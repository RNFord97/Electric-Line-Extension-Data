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Reference Sheet"/>
    <sheet r:id="rId2" sheetId="2" name="Summary"/>
    <sheet r:id="rId3" sheetId="3" name="Mixed-Fuel New Construction"/>
    <sheet r:id="rId4" sheetId="4" name="All Electric New Construction"/>
    <sheet r:id="rId5" sheetId="5" name="Mixed Fuel Upgrades Existing"/>
    <sheet r:id="rId6" sheetId="6" name="All Electric Upgrades Existing"/>
  </sheets>
  <calcPr fullCalcOnLoad="1"/>
</workbook>
</file>

<file path=xl/sharedStrings.xml><?xml version="1.0" encoding="utf-8"?>
<sst xmlns="http://schemas.openxmlformats.org/spreadsheetml/2006/main" count="1143" uniqueCount="54">
  <si>
    <t xml:space="preserve">Category: Upgrades to Existing Facilities </t>
  </si>
  <si>
    <t>Dates to Pull: January 01, 2023 - December 31, 2023</t>
  </si>
  <si>
    <t>Due Date: May 01, 2024</t>
  </si>
  <si>
    <t>Item 9</t>
  </si>
  <si>
    <t>Item 12</t>
  </si>
  <si>
    <t>Item 7</t>
  </si>
  <si>
    <t>Item 10</t>
  </si>
  <si>
    <t>Item 8</t>
  </si>
  <si>
    <t>Item 11</t>
  </si>
  <si>
    <t>Item 3</t>
  </si>
  <si>
    <t>Item 2</t>
  </si>
  <si>
    <t>Item 1</t>
  </si>
  <si>
    <t>Item 4</t>
  </si>
  <si>
    <t>Item 14</t>
  </si>
  <si>
    <t>Customer Class</t>
  </si>
  <si>
    <t>Total Discounts (Non-Exempted Projects)</t>
  </si>
  <si>
    <t>Total Discounts (Exempted projects)</t>
  </si>
  <si>
    <t>Total Allowances (Non-Exempted Projects)</t>
  </si>
  <si>
    <t>Total Allowances (Exempted projects)</t>
  </si>
  <si>
    <t>Total Refund Payments Provided to Builders (Non-Exempted Projects)</t>
  </si>
  <si>
    <t>Total Refund Payments Provided to Builders  (Exempted projects)</t>
  </si>
  <si>
    <t xml:space="preserve">Total Estimated Non-Refundable </t>
  </si>
  <si>
    <t xml:space="preserve">Total Estimated Refundable </t>
  </si>
  <si>
    <t>Total Electric Line Extension Requests Received (Applications)</t>
  </si>
  <si>
    <t>Total Electric Line Extensions Energized</t>
  </si>
  <si>
    <t>Total Electric Line Extension Applications for Applicant Install</t>
  </si>
  <si>
    <t>Agency (City, County, Caltrans)</t>
  </si>
  <si>
    <t>Agricultural</t>
  </si>
  <si>
    <t>Commercial</t>
  </si>
  <si>
    <t>Industrial</t>
  </si>
  <si>
    <t>Mixed Use (Commercial / Residential)</t>
  </si>
  <si>
    <t>Residential</t>
  </si>
  <si>
    <t>Street and Outdoor area Lighting</t>
  </si>
  <si>
    <t>Telecommunications</t>
  </si>
  <si>
    <t>Temporary Services</t>
  </si>
  <si>
    <t xml:space="preserve">Category: All Electric New Construction </t>
  </si>
  <si>
    <t>Category: MIXED FUEL NEW CONSTRUCTION</t>
  </si>
  <si>
    <t>*Customer classes vary between IOU's</t>
  </si>
  <si>
    <t xml:space="preserve">PG&amp;E - 2023 Line Extension Requests Received (Applications) </t>
  </si>
  <si>
    <t>Mixed Fuel</t>
  </si>
  <si>
    <t>All-Electric</t>
  </si>
  <si>
    <t>Total</t>
  </si>
  <si>
    <t>Percent All-Electric</t>
  </si>
  <si>
    <t>All Buildings (Comm + Res + Mixed)</t>
  </si>
  <si>
    <t>All Requests (Buildings + Ind + Ag)</t>
  </si>
  <si>
    <t xml:space="preserve">SDG&amp;E - 2023 Line Extension Requests Received (Applications) </t>
  </si>
  <si>
    <t xml:space="preserve">PG&amp;E &amp; SDG&amp;E Combined - 2023 Line Extension Requests Received (Applications) </t>
  </si>
  <si>
    <t>Report Due: May 01, 2024</t>
  </si>
  <si>
    <t>Reporting Period: January 01, 2023 - December 31, 2023</t>
  </si>
  <si>
    <t>Report Due: May 01, 2025</t>
  </si>
  <si>
    <t>Reporting Period:  January 01, 2024 - December 31, 2024</t>
  </si>
  <si>
    <t>Report Due: May 01, 2026</t>
  </si>
  <si>
    <t>Reporting Period:  January 01, 2025 - December 31, 2025</t>
  </si>
  <si>
    <t>Note: Beginning 2026,  Refundable Actual Net to Builders and Non-Refundable Actual Net to Builders need to be included in the reported data.</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</si>
</sst>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_);($#,##0)"/>
    <numFmt numFmtId="165" formatCode="#,##0.00%"/>
  </numFmts>
  <fonts count="5" x14ac:knownFonts="1">
    <font>
      <sz val="11"/>
      <color theme="1"/>
      <name val="Calibri"/>
      <family val="2"/>
      <scheme val="minor"/>
    </font>
    <font>
      <sz val="11"/>
      <color theme="1"/>
      <name val="Calibri"/>
      <family val="2"/>
    </font>
    <font>
      <b/>
      <sz val="11"/>
      <color rgb="FF000000"/>
      <name val="Calibri"/>
      <family val="2"/>
    </font>
    <font>
      <b/>
      <sz val="14"/>
      <color rgb="FF000000"/>
      <name val="Aptos"/>
      <family val="2"/>
    </font>
    <font>
      <sz val="11"/>
      <color rgb="FF000000"/>
      <name val="Aptos"/>
      <family val="2"/>
    </font>
  </fonts>
  <fills count="4">
    <fill>
      <patternFill patternType="none"/>
    </fill>
    <fill>
      <patternFill patternType="gray125"/>
    </fill>
    <fill>
      <patternFill patternType="solid">
        <fgColor rgb="FFffc000"/>
      </patternFill>
    </fill>
    <fill>
      <patternFill patternType="solid">
        <fgColor rgb="FFffff00"/>
      </patternFill>
    </fill>
  </fills>
  <borders count="17">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7">
    <xf xfId="0" numFmtId="0" borderId="0" fontId="0" fillId="0"/>
    <xf xfId="0" numFmtId="17" applyNumberFormat="1" borderId="1" applyBorder="1" fontId="1" applyFont="1" fillId="0" applyAlignment="1">
      <alignment horizontal="left"/>
    </xf>
    <xf xfId="0" numFmtId="164" applyNumberFormat="1" borderId="0" fontId="0" fillId="0" applyAlignment="1">
      <alignment horizontal="general"/>
    </xf>
    <xf xfId="0" numFmtId="7" applyNumberFormat="1" borderId="0" fontId="0" fillId="0" applyAlignment="1">
      <alignment horizontal="right"/>
    </xf>
    <xf xfId="0" numFmtId="3" applyNumberFormat="1" borderId="0" fontId="0" fillId="0" applyAlignment="1">
      <alignment horizontal="general"/>
    </xf>
    <xf xfId="0" numFmtId="7" applyNumberFormat="1" borderId="1" applyBorder="1" fontId="1" applyFont="1" fillId="0" applyAlignment="1">
      <alignment horizontal="left" wrapText="1"/>
    </xf>
    <xf xfId="0" numFmtId="17" applyNumberFormat="1" borderId="2" applyBorder="1" fontId="1" applyFont="1" fillId="2" applyFill="1" applyAlignment="1">
      <alignment horizontal="left"/>
    </xf>
    <xf xfId="0" numFmtId="164" applyNumberFormat="1" borderId="1" applyBorder="1" fontId="2" applyFont="1" fillId="0" applyAlignment="1">
      <alignment horizontal="left"/>
    </xf>
    <xf xfId="0" numFmtId="7" applyNumberFormat="1" borderId="1" applyBorder="1" fontId="2" applyFont="1" fillId="0" applyAlignment="1">
      <alignment horizontal="left"/>
    </xf>
    <xf xfId="0" numFmtId="3" applyNumberFormat="1" borderId="1" applyBorder="1" fontId="2" applyFont="1" fillId="0" applyAlignment="1">
      <alignment horizontal="left"/>
    </xf>
    <xf xfId="0" numFmtId="17" applyNumberFormat="1" borderId="3" applyBorder="1" fontId="1" applyFont="1" fillId="3" applyFill="1" applyAlignment="1">
      <alignment horizontal="left"/>
    </xf>
    <xf xfId="0" numFmtId="164" applyNumberFormat="1" borderId="3" applyBorder="1" fontId="1" applyFont="1" fillId="3" applyFill="1" applyAlignment="1">
      <alignment horizontal="left" wrapText="1"/>
    </xf>
    <xf xfId="0" numFmtId="7" applyNumberFormat="1" borderId="3" applyBorder="1" fontId="1" applyFont="1" fillId="3" applyFill="1" applyAlignment="1">
      <alignment horizontal="left" wrapText="1"/>
    </xf>
    <xf xfId="0" numFmtId="3" applyNumberFormat="1" borderId="3" applyBorder="1" fontId="1" applyFont="1" fillId="3" applyFill="1" applyAlignment="1">
      <alignment horizontal="left" wrapText="1"/>
    </xf>
    <xf xfId="0" numFmtId="17" applyNumberFormat="1" borderId="3" applyBorder="1" fontId="1" applyFont="1" fillId="0" applyAlignment="1">
      <alignment horizontal="left"/>
    </xf>
    <xf xfId="0" numFmtId="164" applyNumberFormat="1" borderId="3" applyBorder="1" fontId="1" applyFont="1" fillId="0" applyAlignment="1">
      <alignment horizontal="right"/>
    </xf>
    <xf xfId="0" numFmtId="7" applyNumberFormat="1" borderId="3" applyBorder="1" fontId="1" applyFont="1" fillId="0" applyAlignment="1">
      <alignment horizontal="right" wrapText="1"/>
    </xf>
    <xf xfId="0" numFmtId="3" applyNumberFormat="1" borderId="3" applyBorder="1" fontId="1" applyFont="1" fillId="0" applyAlignment="1">
      <alignment horizontal="left" wrapText="1"/>
    </xf>
    <xf xfId="0" numFmtId="3" applyNumberFormat="1" borderId="3" applyBorder="1" fontId="1" applyFont="1" fillId="0" applyAlignment="1">
      <alignment horizontal="right"/>
    </xf>
    <xf xfId="0" numFmtId="7" applyNumberFormat="1" borderId="3" applyBorder="1" fontId="1" applyFont="1" fillId="0" applyAlignment="1">
      <alignment horizontal="right"/>
    </xf>
    <xf xfId="0" numFmtId="3" applyNumberFormat="1" borderId="3" applyBorder="1" fontId="1" applyFont="1" fillId="0" applyAlignment="1">
      <alignment horizontal="left"/>
    </xf>
    <xf xfId="0" numFmtId="164" applyNumberFormat="1" borderId="3" applyBorder="1" fontId="1" applyFont="1" fillId="0" applyAlignment="1">
      <alignment horizontal="left"/>
    </xf>
    <xf xfId="0" numFmtId="17" applyNumberFormat="1" borderId="0" fontId="0" fillId="0" applyAlignment="1">
      <alignment horizontal="general"/>
    </xf>
    <xf xfId="0" numFmtId="16" applyNumberFormat="1" borderId="2" applyBorder="1" fontId="1" applyFont="1" fillId="2" applyFill="1" applyAlignment="1">
      <alignment horizontal="left"/>
    </xf>
    <xf xfId="0" numFmtId="3" applyNumberFormat="1" borderId="3" applyBorder="1" fontId="1" applyFont="1" fillId="3" applyFill="1" applyAlignment="1">
      <alignment horizontal="left"/>
    </xf>
    <xf xfId="0" numFmtId="3" applyNumberFormat="1" borderId="1" applyBorder="1" fontId="1" applyFont="1" fillId="0" applyAlignment="1">
      <alignment horizontal="right"/>
    </xf>
    <xf xfId="0" numFmtId="3" applyNumberFormat="1" borderId="4" applyBorder="1" fontId="1" applyFont="1" fillId="0" applyAlignment="1">
      <alignment horizontal="left" wrapText="1"/>
    </xf>
    <xf xfId="0" numFmtId="17" applyNumberFormat="1" borderId="0" fontId="0" fillId="0" applyAlignment="1">
      <alignment horizontal="general"/>
    </xf>
    <xf xfId="0" numFmtId="164" applyNumberFormat="1" borderId="0" fontId="0" fillId="0" applyAlignment="1">
      <alignment horizontal="general"/>
    </xf>
    <xf xfId="0" numFmtId="7" applyNumberFormat="1" borderId="0" fontId="0" fillId="0" applyAlignment="1">
      <alignment horizontal="right"/>
    </xf>
    <xf xfId="0" numFmtId="3" applyNumberFormat="1" borderId="0" fontId="0" fillId="0" applyAlignment="1">
      <alignment horizontal="general"/>
    </xf>
    <xf xfId="0" numFmtId="164" applyNumberFormat="1" borderId="0" fontId="0" fillId="0" applyAlignment="1">
      <alignment horizontal="right"/>
    </xf>
    <xf xfId="0" numFmtId="3" applyNumberFormat="1" borderId="0" fontId="0" fillId="0" applyAlignment="1">
      <alignment horizontal="right"/>
    </xf>
    <xf xfId="0" numFmtId="3" applyNumberFormat="1" borderId="4" applyBorder="1" fontId="1" applyFont="1" fillId="0" applyAlignment="1">
      <alignment horizontal="left"/>
    </xf>
    <xf xfId="0" numFmtId="4" applyNumberFormat="1" borderId="3" applyBorder="1" fontId="1" applyFont="1" fillId="0" applyAlignment="1">
      <alignment horizontal="right"/>
    </xf>
    <xf xfId="0" numFmtId="164" applyNumberFormat="1" borderId="1" applyBorder="1" fontId="1" applyFont="1" fillId="0" applyAlignment="1">
      <alignment horizontal="right"/>
    </xf>
    <xf xfId="0" numFmtId="164" applyNumberFormat="1" borderId="0" fontId="0" fillId="0" applyAlignment="1">
      <alignment horizontal="right"/>
    </xf>
    <xf xfId="0" numFmtId="3" applyNumberFormat="1" borderId="0" fontId="0" fillId="0" applyAlignment="1">
      <alignment horizontal="right"/>
    </xf>
    <xf xfId="0" numFmtId="3" applyNumberFormat="1" borderId="5" applyBorder="1" fontId="1" applyFont="1" fillId="0" applyAlignment="1">
      <alignment horizontal="left" wrapText="1"/>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left"/>
    </xf>
    <xf xfId="0" numFmtId="165" applyNumberFormat="1" borderId="0" fontId="0" fillId="0" applyAlignment="1">
      <alignment horizontal="left"/>
    </xf>
    <xf xfId="0" numFmtId="0" borderId="1" applyBorder="1" fontId="3" applyFont="1" fillId="0" applyAlignment="1">
      <alignment horizontal="center"/>
    </xf>
    <xf xfId="0" numFmtId="3" applyNumberFormat="1" borderId="1" applyBorder="1" fontId="3" applyFont="1" fillId="0" applyAlignment="1">
      <alignment horizontal="center"/>
    </xf>
    <xf xfId="0" numFmtId="165" applyNumberFormat="1" borderId="1" applyBorder="1" fontId="3" applyFont="1" fillId="0" applyAlignment="1">
      <alignment horizontal="center"/>
    </xf>
    <xf xfId="0" numFmtId="0" borderId="0" fontId="0" fillId="0" applyAlignment="1">
      <alignment wrapText="1"/>
    </xf>
    <xf xfId="0" numFmtId="0" borderId="0" fontId="0" fillId="0" applyAlignment="1">
      <alignment horizontal="general" wrapText="1"/>
    </xf>
    <xf xfId="0" numFmtId="0" borderId="1" applyBorder="1" fontId="4" applyFont="1" fillId="0" applyAlignment="1">
      <alignment horizontal="left" wrapText="1"/>
    </xf>
    <xf xfId="0" numFmtId="3" applyNumberFormat="1" borderId="1" applyBorder="1" fontId="4" applyFont="1" fillId="0" applyAlignment="1">
      <alignment horizontal="left" wrapText="1"/>
    </xf>
    <xf xfId="0" numFmtId="165" applyNumberFormat="1" borderId="1" applyBorder="1" fontId="4" applyFont="1" fillId="0" applyAlignment="1">
      <alignment horizontal="left" wrapText="1"/>
    </xf>
    <xf xfId="0" numFmtId="0" borderId="6" applyBorder="1" fontId="4" applyFont="1" fillId="0" applyAlignment="1">
      <alignment horizontal="left"/>
    </xf>
    <xf xfId="0" numFmtId="3" applyNumberFormat="1" borderId="7" applyBorder="1" fontId="4" applyFont="1" fillId="0" applyAlignment="1">
      <alignment horizontal="left"/>
    </xf>
    <xf xfId="0" numFmtId="165" applyNumberFormat="1" borderId="8" applyBorder="1" fontId="4" applyFont="1" fillId="0" applyAlignment="1">
      <alignment horizontal="left"/>
    </xf>
    <xf xfId="0" numFmtId="0" borderId="9" applyBorder="1" fontId="4" applyFont="1" fillId="0" applyAlignment="1">
      <alignment horizontal="left"/>
    </xf>
    <xf xfId="0" numFmtId="3" applyNumberFormat="1" borderId="3" applyBorder="1" fontId="4" applyFont="1" fillId="0" applyAlignment="1">
      <alignment horizontal="left"/>
    </xf>
    <xf xfId="0" numFmtId="165" applyNumberFormat="1" borderId="10" applyBorder="1" fontId="4" applyFont="1" fillId="0" applyAlignment="1">
      <alignment horizontal="left"/>
    </xf>
    <xf xfId="0" numFmtId="0" borderId="11" applyBorder="1" fontId="4" applyFont="1" fillId="0" applyAlignment="1">
      <alignment horizontal="left"/>
    </xf>
    <xf xfId="0" numFmtId="3" applyNumberFormat="1" borderId="12" applyBorder="1" fontId="4" applyFont="1" fillId="0" applyAlignment="1">
      <alignment horizontal="left"/>
    </xf>
    <xf xfId="0" numFmtId="165" applyNumberFormat="1" borderId="13" applyBorder="1" fontId="4" applyFont="1" fillId="0" applyAlignment="1">
      <alignment horizontal="left"/>
    </xf>
    <xf xfId="0" numFmtId="0" borderId="14" applyBorder="1" fontId="4" applyFont="1" fillId="0" applyAlignment="1">
      <alignment horizontal="left"/>
    </xf>
    <xf xfId="0" numFmtId="3" applyNumberFormat="1" borderId="15" applyBorder="1" fontId="4" applyFont="1" fillId="0" applyAlignment="1">
      <alignment horizontal="left"/>
    </xf>
    <xf xfId="0" numFmtId="165" applyNumberFormat="1" borderId="16" applyBorder="1" fontId="4" applyFont="1" fillId="0" applyAlignment="1">
      <alignment horizontal="lef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left"/>
    </xf>
    <xf xfId="0" numFmtId="165"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2"/>
  <sheetViews>
    <sheetView workbookViewId="0"/>
  </sheetViews>
  <sheetFormatPr defaultRowHeight="15" x14ac:dyDescent="0.25"/>
  <cols>
    <col min="1" max="1" style="30" width="13.576428571428572" customWidth="1" bestFit="1"/>
  </cols>
  <sheetData>
    <row x14ac:dyDescent="0.25" r="1" customHeight="1" ht="18.75">
      <c r="A1" s="25">
        <v>2024</v>
      </c>
    </row>
    <row x14ac:dyDescent="0.25" r="2" customHeight="1" ht="18.75">
      <c r="A2" s="4" t="s">
        <v>47</v>
      </c>
    </row>
    <row x14ac:dyDescent="0.25" r="3" customHeight="1" ht="18.75">
      <c r="A3" s="4" t="s">
        <v>48</v>
      </c>
    </row>
    <row x14ac:dyDescent="0.25" r="4" customHeight="1" ht="18.75">
      <c r="A4" s="4"/>
    </row>
    <row x14ac:dyDescent="0.25" r="5" customHeight="1" ht="18.75">
      <c r="A5" s="25">
        <v>2025</v>
      </c>
    </row>
    <row x14ac:dyDescent="0.25" r="6" customHeight="1" ht="18.75">
      <c r="A6" s="4" t="s">
        <v>49</v>
      </c>
    </row>
    <row x14ac:dyDescent="0.25" r="7" customHeight="1" ht="18.75">
      <c r="A7" s="4" t="s">
        <v>50</v>
      </c>
    </row>
    <row x14ac:dyDescent="0.25" r="8" customHeight="1" ht="18.75">
      <c r="A8" s="4"/>
    </row>
    <row x14ac:dyDescent="0.25" r="9" customHeight="1" ht="18.75">
      <c r="A9" s="25">
        <v>2026</v>
      </c>
    </row>
    <row x14ac:dyDescent="0.25" r="10" customHeight="1" ht="18.75">
      <c r="A10" s="4" t="s">
        <v>51</v>
      </c>
    </row>
    <row x14ac:dyDescent="0.25" r="11" customHeight="1" ht="18.75">
      <c r="A11" s="4" t="s">
        <v>52</v>
      </c>
    </row>
    <row x14ac:dyDescent="0.25" r="12" customHeight="1" ht="18.75">
      <c r="A12" s="4"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8"/>
  <sheetViews>
    <sheetView workbookViewId="0" tabSelected="1"/>
  </sheetViews>
  <sheetFormatPr defaultRowHeight="15" x14ac:dyDescent="0.25"/>
  <cols>
    <col min="1" max="1" style="63" width="8.719285714285713" customWidth="1" bestFit="1"/>
    <col min="2" max="2" style="64" width="35.57642857142857" customWidth="1" bestFit="1"/>
    <col min="3" max="3" style="65" width="15.576428571428572" customWidth="1" bestFit="1"/>
    <col min="4" max="4" style="65" width="15.576428571428572" customWidth="1" bestFit="1"/>
    <col min="5" max="5" style="65" width="15.576428571428572" customWidth="1" bestFit="1"/>
    <col min="6" max="6" style="66" width="20.576428571428572" customWidth="1" bestFit="1"/>
  </cols>
  <sheetData>
    <row x14ac:dyDescent="0.25" r="1" customHeight="1" ht="18.75">
      <c r="A1" s="39"/>
      <c r="B1" s="40"/>
      <c r="C1" s="41"/>
      <c r="D1" s="41"/>
      <c r="E1" s="41"/>
      <c r="F1" s="42"/>
    </row>
    <row x14ac:dyDescent="0.25" r="2" customHeight="1" ht="33.75">
      <c r="A2" s="39"/>
      <c r="B2" s="43" t="s">
        <v>38</v>
      </c>
      <c r="C2" s="44"/>
      <c r="D2" s="44"/>
      <c r="E2" s="44"/>
      <c r="F2" s="45"/>
    </row>
    <row x14ac:dyDescent="0.25" r="3" customHeight="1" ht="18.75" customFormat="1" s="46">
      <c r="A3" s="47"/>
      <c r="B3" s="48" t="s">
        <v>14</v>
      </c>
      <c r="C3" s="49" t="s">
        <v>39</v>
      </c>
      <c r="D3" s="49" t="s">
        <v>40</v>
      </c>
      <c r="E3" s="49" t="s">
        <v>41</v>
      </c>
      <c r="F3" s="50" t="s">
        <v>42</v>
      </c>
    </row>
    <row x14ac:dyDescent="0.25" r="4" customHeight="1" ht="18.75">
      <c r="A4" s="39"/>
      <c r="B4" s="51" t="s">
        <v>28</v>
      </c>
      <c r="C4" s="52">
        <f>SUM('Mixed-Fuel New Construction'!J10,'Mixed-Fuel New Construction'!J22,'Mixed-Fuel New Construction'!J34,'Mixed-Fuel New Construction'!J46,'Mixed-Fuel New Construction'!J58,'Mixed-Fuel New Construction'!J70,'Mixed-Fuel New Construction'!J82,'Mixed-Fuel New Construction'!J94,'Mixed-Fuel New Construction'!J106,'Mixed-Fuel New Construction'!J118,'Mixed-Fuel New Construction'!J130,'Mixed-Fuel New Construction'!J142)</f>
      </c>
      <c r="D4" s="52">
        <f>SUM('All Electric New Construction'!J8,'All Electric New Construction'!J20,'All Electric New Construction'!J32,'All Electric New Construction'!J44,'All Electric New Construction'!J56,'All Electric New Construction'!J68,'All Electric New Construction'!J80,'All Electric New Construction'!J92,'All Electric New Construction'!J104,'All Electric New Construction'!J116,'All Electric New Construction'!J128,'All Electric New Construction'!J140)</f>
      </c>
      <c r="E4" s="52">
        <f>SUM(C4:D4)</f>
      </c>
      <c r="F4" s="53">
        <f>D4/E4</f>
      </c>
    </row>
    <row x14ac:dyDescent="0.25" r="5" customHeight="1" ht="18.75">
      <c r="A5" s="39"/>
      <c r="B5" s="54" t="s">
        <v>30</v>
      </c>
      <c r="C5" s="55">
        <f>SUM('Mixed-Fuel New Construction'!J12,'Mixed-Fuel New Construction'!J24,'Mixed-Fuel New Construction'!J36,'Mixed-Fuel New Construction'!J48,'Mixed-Fuel New Construction'!J60,'Mixed-Fuel New Construction'!J72,'Mixed-Fuel New Construction'!J84,'Mixed-Fuel New Construction'!J96,'Mixed-Fuel New Construction'!J108,'Mixed-Fuel New Construction'!J120,'Mixed-Fuel New Construction'!J132,'Mixed-Fuel New Construction'!J144)</f>
      </c>
      <c r="D5" s="55">
        <f>SUM('All Electric New Construction'!J10,'All Electric New Construction'!J22,'All Electric New Construction'!J34,'All Electric New Construction'!J46,'All Electric New Construction'!J58,'All Electric New Construction'!J70,'All Electric New Construction'!J82,'All Electric New Construction'!J94,'All Electric New Construction'!J106,'All Electric New Construction'!J118,'All Electric New Construction'!J130,'All Electric New Construction'!J142)</f>
      </c>
      <c r="E5" s="55">
        <f>SUM(C5:D5)</f>
      </c>
      <c r="F5" s="56">
        <f>D5/E5</f>
      </c>
    </row>
    <row x14ac:dyDescent="0.25" r="6" customHeight="1" ht="18.75">
      <c r="A6" s="39"/>
      <c r="B6" s="54" t="s">
        <v>31</v>
      </c>
      <c r="C6" s="55">
        <f>SUM('Mixed-Fuel New Construction'!J13,'Mixed-Fuel New Construction'!J25,'Mixed-Fuel New Construction'!J37,'Mixed-Fuel New Construction'!J49,'Mixed-Fuel New Construction'!J61,'Mixed-Fuel New Construction'!J73,'Mixed-Fuel New Construction'!J85,'Mixed-Fuel New Construction'!J97,'Mixed-Fuel New Construction'!J109,'Mixed-Fuel New Construction'!J121,'Mixed-Fuel New Construction'!J133,'Mixed-Fuel New Construction'!J145)</f>
      </c>
      <c r="D6" s="55">
        <f>SUM('All Electric New Construction'!J11,'All Electric New Construction'!J23,'All Electric New Construction'!J35,'All Electric New Construction'!J47,'All Electric New Construction'!J59,'All Electric New Construction'!J71,'All Electric New Construction'!J83,'All Electric New Construction'!J95,'All Electric New Construction'!J107,'All Electric New Construction'!J119,'All Electric New Construction'!J131,'All Electric New Construction'!J143)</f>
      </c>
      <c r="E6" s="55">
        <f>SUM(C6:D6)</f>
      </c>
      <c r="F6" s="56">
        <f>D6/E6</f>
      </c>
    </row>
    <row x14ac:dyDescent="0.25" r="7" customHeight="1" ht="18.75">
      <c r="A7" s="39"/>
      <c r="B7" s="54" t="s">
        <v>29</v>
      </c>
      <c r="C7" s="55">
        <f>SUM('Mixed-Fuel New Construction'!J11,'Mixed-Fuel New Construction'!J23,'Mixed-Fuel New Construction'!J35,'Mixed-Fuel New Construction'!J47,'Mixed-Fuel New Construction'!J59,'Mixed-Fuel New Construction'!J71,'Mixed-Fuel New Construction'!J83,'Mixed-Fuel New Construction'!J95,'Mixed-Fuel New Construction'!J107,'Mixed-Fuel New Construction'!J119,'Mixed-Fuel New Construction'!J131,'Mixed-Fuel New Construction'!J143)</f>
      </c>
      <c r="D7" s="55">
        <f>SUM('All Electric New Construction'!J9,'All Electric New Construction'!J21,'All Electric New Construction'!J33,'All Electric New Construction'!J45,'All Electric New Construction'!J57,'All Electric New Construction'!J69,'All Electric New Construction'!J81,'All Electric New Construction'!J93,'All Electric New Construction'!J105,'All Electric New Construction'!J117,'All Electric New Construction'!J129,'All Electric New Construction'!J141)</f>
      </c>
      <c r="E7" s="55">
        <f>SUM(C7:D7)</f>
      </c>
      <c r="F7" s="56">
        <f>D7/E7</f>
      </c>
    </row>
    <row x14ac:dyDescent="0.25" r="8" customHeight="1" ht="18.75">
      <c r="A8" s="39"/>
      <c r="B8" s="54" t="s">
        <v>27</v>
      </c>
      <c r="C8" s="55">
        <f>SUM('Mixed-Fuel New Construction'!J9,'Mixed-Fuel New Construction'!J21,'Mixed-Fuel New Construction'!J33,'Mixed-Fuel New Construction'!J45,'Mixed-Fuel New Construction'!J57,'Mixed-Fuel New Construction'!J69,'Mixed-Fuel New Construction'!J81,'Mixed-Fuel New Construction'!J93,'Mixed-Fuel New Construction'!J105,'Mixed-Fuel New Construction'!J117,'Mixed-Fuel New Construction'!J129,'Mixed-Fuel New Construction'!J141)</f>
      </c>
      <c r="D8" s="55">
        <f>SUM('All Electric New Construction'!J7,'All Electric New Construction'!J19,'All Electric New Construction'!J31,'All Electric New Construction'!J43,'All Electric New Construction'!J55,'All Electric New Construction'!J67,'All Electric New Construction'!J79,'All Electric New Construction'!J91,'All Electric New Construction'!J103,'All Electric New Construction'!J115,'All Electric New Construction'!J127,'All Electric New Construction'!J139)</f>
      </c>
      <c r="E8" s="55">
        <f>SUM(C8:D8)</f>
      </c>
      <c r="F8" s="56">
        <f>D8/E8</f>
      </c>
    </row>
    <row x14ac:dyDescent="0.25" r="9" customHeight="1" ht="18.75">
      <c r="A9" s="39"/>
      <c r="B9" s="54" t="s">
        <v>43</v>
      </c>
      <c r="C9" s="55">
        <f>SUM(C4,C5,C6)</f>
      </c>
      <c r="D9" s="55">
        <f>SUM(D4,D5,D6)</f>
      </c>
      <c r="E9" s="55">
        <f>SUM(E4,E5,E6)</f>
      </c>
      <c r="F9" s="56">
        <f>D9/E9</f>
      </c>
    </row>
    <row x14ac:dyDescent="0.25" r="10" customHeight="1" ht="18.75">
      <c r="A10" s="39"/>
      <c r="B10" s="57" t="s">
        <v>44</v>
      </c>
      <c r="C10" s="58">
        <f>SUM(C4:C8)</f>
      </c>
      <c r="D10" s="58">
        <f>SUM(D4:D8)</f>
      </c>
      <c r="E10" s="58">
        <f>SUM(E4:E8)</f>
      </c>
      <c r="F10" s="59">
        <f>D10/E10</f>
      </c>
    </row>
    <row x14ac:dyDescent="0.25" r="11" customHeight="1" ht="18.75">
      <c r="A11" s="39"/>
      <c r="B11" s="40"/>
      <c r="C11" s="41"/>
      <c r="D11" s="41"/>
      <c r="E11" s="41"/>
      <c r="F11" s="42"/>
    </row>
    <row x14ac:dyDescent="0.25" r="12" customHeight="1" ht="18.75">
      <c r="A12" s="39"/>
      <c r="B12" s="43" t="s">
        <v>45</v>
      </c>
      <c r="C12" s="44"/>
      <c r="D12" s="44"/>
      <c r="E12" s="44"/>
      <c r="F12" s="45"/>
    </row>
    <row x14ac:dyDescent="0.25" r="13" customHeight="1" ht="18.75" customFormat="1" s="46">
      <c r="A13" s="47"/>
      <c r="B13" s="48" t="s">
        <v>14</v>
      </c>
      <c r="C13" s="49" t="s">
        <v>39</v>
      </c>
      <c r="D13" s="49" t="s">
        <v>40</v>
      </c>
      <c r="E13" s="49" t="s">
        <v>41</v>
      </c>
      <c r="F13" s="50" t="s">
        <v>42</v>
      </c>
    </row>
    <row x14ac:dyDescent="0.25" r="14" customHeight="1" ht="18.75">
      <c r="A14" s="39"/>
      <c r="B14" s="60" t="s">
        <v>44</v>
      </c>
      <c r="C14" s="61">
        <v>1787</v>
      </c>
      <c r="D14" s="61">
        <v>12680</v>
      </c>
      <c r="E14" s="61">
        <f>SUM(C14:D14)</f>
      </c>
      <c r="F14" s="62">
        <f>D14/E14</f>
      </c>
    </row>
    <row x14ac:dyDescent="0.25" r="15" customHeight="1" ht="18.75">
      <c r="A15" s="39"/>
      <c r="B15" s="40"/>
      <c r="C15" s="41"/>
      <c r="D15" s="41"/>
      <c r="E15" s="41"/>
      <c r="F15" s="42"/>
    </row>
    <row x14ac:dyDescent="0.25" r="16" customHeight="1" ht="18.75">
      <c r="A16" s="39"/>
      <c r="B16" s="43" t="s">
        <v>46</v>
      </c>
      <c r="C16" s="44"/>
      <c r="D16" s="44"/>
      <c r="E16" s="44"/>
      <c r="F16" s="45"/>
    </row>
    <row x14ac:dyDescent="0.25" r="17" customHeight="1" ht="18.75" customFormat="1" s="46">
      <c r="A17" s="47"/>
      <c r="B17" s="48" t="s">
        <v>14</v>
      </c>
      <c r="C17" s="49" t="s">
        <v>39</v>
      </c>
      <c r="D17" s="49" t="s">
        <v>40</v>
      </c>
      <c r="E17" s="49" t="s">
        <v>41</v>
      </c>
      <c r="F17" s="50" t="s">
        <v>42</v>
      </c>
    </row>
    <row x14ac:dyDescent="0.25" r="18" customHeight="1" ht="18.75">
      <c r="A18" s="39"/>
      <c r="B18" s="60" t="s">
        <v>44</v>
      </c>
      <c r="C18" s="61">
        <f>SUM(C10+C14)</f>
      </c>
      <c r="D18" s="61">
        <f>SUM(D10+D14)</f>
      </c>
      <c r="E18" s="61">
        <f>SUM(C18:D18)</f>
      </c>
      <c r="F18" s="62">
        <f>D18/E18</f>
      </c>
    </row>
  </sheetData>
  <mergeCells count="3">
    <mergeCell ref="B2:F2"/>
    <mergeCell ref="B12:F12"/>
    <mergeCell ref="B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48"/>
  <sheetViews>
    <sheetView workbookViewId="0">
      <pane state="frozen" activePane="bottomLeft" topLeftCell="A8" ySplit="7" xSplit="0"/>
    </sheetView>
  </sheetViews>
  <sheetFormatPr defaultRowHeight="15" x14ac:dyDescent="0.25"/>
  <cols>
    <col min="1" max="1" style="27" width="37.57642857142857" customWidth="1" bestFit="1"/>
    <col min="2" max="2" style="28" width="37.43357142857143" customWidth="1" bestFit="1"/>
    <col min="3" max="3" style="29" width="40.86214285714286" customWidth="1" bestFit="1"/>
    <col min="4" max="4" style="28" width="37.14785714285715" customWidth="1" bestFit="1"/>
    <col min="5" max="5" style="29" width="36.57642857142857" customWidth="1" bestFit="1"/>
    <col min="6" max="6" style="30" width="39.43357142857143" customWidth="1" bestFit="1"/>
    <col min="7" max="7" style="29" width="34.005" customWidth="1" bestFit="1"/>
    <col min="8" max="8" style="28" width="31.433571428571426" customWidth="1" bestFit="1"/>
    <col min="9" max="9" style="28" width="31.433571428571426" customWidth="1" bestFit="1"/>
    <col min="10" max="10" style="30" width="35.86214285714286" customWidth="1" bestFit="1"/>
    <col min="11" max="11" style="30" width="35.86214285714286" customWidth="1" bestFit="1"/>
    <col min="12" max="12" style="30" width="35.86214285714286" customWidth="1" bestFit="1"/>
  </cols>
  <sheetData>
    <row x14ac:dyDescent="0.25" r="1" customHeight="1" ht="18.75">
      <c r="A1" s="1" t="s">
        <v>36</v>
      </c>
      <c r="B1" s="2"/>
      <c r="C1" s="3"/>
      <c r="D1" s="2"/>
      <c r="E1" s="3"/>
      <c r="F1" s="4"/>
      <c r="G1" s="3"/>
      <c r="H1" s="2"/>
      <c r="I1" s="2"/>
      <c r="J1" s="4"/>
      <c r="K1" s="4"/>
      <c r="L1" s="4"/>
    </row>
    <row x14ac:dyDescent="0.25" r="2" customHeight="1" ht="18.75">
      <c r="A2" s="1" t="s">
        <v>1</v>
      </c>
      <c r="B2" s="2"/>
      <c r="C2" s="3"/>
      <c r="D2" s="2"/>
      <c r="E2" s="3"/>
      <c r="F2" s="4"/>
      <c r="G2" s="3"/>
      <c r="H2" s="2"/>
      <c r="I2" s="2"/>
      <c r="J2" s="4"/>
      <c r="K2" s="4"/>
      <c r="L2" s="4"/>
    </row>
    <row x14ac:dyDescent="0.25" r="3" customHeight="1" ht="18.75">
      <c r="A3" s="1" t="s">
        <v>2</v>
      </c>
      <c r="B3" s="2"/>
      <c r="C3" s="3"/>
      <c r="D3" s="2"/>
      <c r="E3" s="3"/>
      <c r="F3" s="4"/>
      <c r="G3" s="3"/>
      <c r="H3" s="2"/>
      <c r="I3" s="2"/>
      <c r="J3" s="4"/>
      <c r="K3" s="4"/>
      <c r="L3" s="4"/>
    </row>
    <row x14ac:dyDescent="0.25" r="4" customHeight="1" ht="18.75">
      <c r="A4" s="22" t="s">
        <v>37</v>
      </c>
      <c r="B4" s="2"/>
      <c r="C4" s="3"/>
      <c r="D4" s="2"/>
      <c r="E4" s="3"/>
      <c r="F4" s="4"/>
      <c r="G4" s="3"/>
      <c r="H4" s="2"/>
      <c r="I4" s="2"/>
      <c r="J4" s="4"/>
      <c r="K4" s="4"/>
      <c r="L4" s="4"/>
    </row>
    <row x14ac:dyDescent="0.25" r="5" customHeight="1" ht="18.75">
      <c r="A5" s="22"/>
      <c r="B5" s="2"/>
      <c r="C5" s="3"/>
      <c r="D5" s="2"/>
      <c r="E5" s="3"/>
      <c r="F5" s="4"/>
      <c r="G5" s="3"/>
      <c r="H5" s="2"/>
      <c r="I5" s="2"/>
      <c r="J5" s="4"/>
      <c r="K5" s="4"/>
      <c r="L5" s="4"/>
    </row>
    <row x14ac:dyDescent="0.25" r="6" customHeight="1" ht="18.75">
      <c r="A6" s="6">
        <v>44927</v>
      </c>
      <c r="B6" s="7" t="s">
        <v>3</v>
      </c>
      <c r="C6" s="8" t="s">
        <v>4</v>
      </c>
      <c r="D6" s="7" t="s">
        <v>5</v>
      </c>
      <c r="E6" s="8" t="s">
        <v>6</v>
      </c>
      <c r="F6" s="9" t="s">
        <v>7</v>
      </c>
      <c r="G6" s="8" t="s">
        <v>8</v>
      </c>
      <c r="H6" s="7" t="s">
        <v>9</v>
      </c>
      <c r="I6" s="7" t="s">
        <v>10</v>
      </c>
      <c r="J6" s="9" t="s">
        <v>11</v>
      </c>
      <c r="K6" s="9" t="s">
        <v>12</v>
      </c>
      <c r="L6" s="9" t="s">
        <v>13</v>
      </c>
    </row>
    <row x14ac:dyDescent="0.25" r="7" customHeight="1" ht="33">
      <c r="A7" s="10" t="s">
        <v>14</v>
      </c>
      <c r="B7" s="11" t="s">
        <v>15</v>
      </c>
      <c r="C7" s="12" t="s">
        <v>16</v>
      </c>
      <c r="D7" s="11" t="s">
        <v>17</v>
      </c>
      <c r="E7" s="12" t="s">
        <v>18</v>
      </c>
      <c r="F7" s="13" t="s">
        <v>19</v>
      </c>
      <c r="G7" s="12" t="s">
        <v>20</v>
      </c>
      <c r="H7" s="11" t="s">
        <v>21</v>
      </c>
      <c r="I7" s="11" t="s">
        <v>22</v>
      </c>
      <c r="J7" s="13" t="s">
        <v>23</v>
      </c>
      <c r="K7" s="13" t="s">
        <v>24</v>
      </c>
      <c r="L7" s="13" t="s">
        <v>25</v>
      </c>
    </row>
    <row x14ac:dyDescent="0.25" r="8" customHeight="1" ht="18.75">
      <c r="A8" s="14" t="s">
        <v>26</v>
      </c>
      <c r="B8" s="15"/>
      <c r="C8" s="16">
        <v>0</v>
      </c>
      <c r="D8" s="15"/>
      <c r="E8" s="16">
        <v>0</v>
      </c>
      <c r="F8" s="17"/>
      <c r="G8" s="16">
        <v>0</v>
      </c>
      <c r="H8" s="15"/>
      <c r="I8" s="15"/>
      <c r="J8" s="18">
        <v>2</v>
      </c>
      <c r="K8" s="18"/>
      <c r="L8" s="18"/>
    </row>
    <row x14ac:dyDescent="0.25" r="9" customHeight="1" ht="18.75">
      <c r="A9" s="14" t="s">
        <v>27</v>
      </c>
      <c r="B9" s="15"/>
      <c r="C9" s="16">
        <v>0</v>
      </c>
      <c r="D9" s="15"/>
      <c r="E9" s="16">
        <v>0</v>
      </c>
      <c r="F9" s="18"/>
      <c r="G9" s="16">
        <v>0</v>
      </c>
      <c r="H9" s="15"/>
      <c r="I9" s="15"/>
      <c r="J9" s="18"/>
      <c r="K9" s="18"/>
      <c r="L9" s="18"/>
    </row>
    <row x14ac:dyDescent="0.25" r="10" customHeight="1" ht="18.75">
      <c r="A10" s="14" t="s">
        <v>28</v>
      </c>
      <c r="B10" s="15">
        <v>561528.8208661246</v>
      </c>
      <c r="C10" s="16">
        <v>0</v>
      </c>
      <c r="D10" s="15">
        <v>645295.954667751</v>
      </c>
      <c r="E10" s="16">
        <v>0</v>
      </c>
      <c r="F10" s="18">
        <v>24887.989999999998</v>
      </c>
      <c r="G10" s="16">
        <v>0</v>
      </c>
      <c r="H10" s="15">
        <v>106956.71280000001</v>
      </c>
      <c r="I10" s="15">
        <v>1768353.5964</v>
      </c>
      <c r="J10" s="18">
        <v>46</v>
      </c>
      <c r="K10" s="18">
        <v>10</v>
      </c>
      <c r="L10" s="18">
        <v>20</v>
      </c>
    </row>
    <row x14ac:dyDescent="0.25" r="11" customHeight="1" ht="18.75">
      <c r="A11" s="14" t="s">
        <v>29</v>
      </c>
      <c r="B11" s="15"/>
      <c r="C11" s="16">
        <v>0</v>
      </c>
      <c r="D11" s="15"/>
      <c r="E11" s="16">
        <v>0</v>
      </c>
      <c r="F11" s="18"/>
      <c r="G11" s="16">
        <v>0</v>
      </c>
      <c r="H11" s="15"/>
      <c r="I11" s="15"/>
      <c r="J11" s="18">
        <v>6</v>
      </c>
      <c r="K11" s="18"/>
      <c r="L11" s="18">
        <v>4</v>
      </c>
    </row>
    <row x14ac:dyDescent="0.25" r="12" customHeight="1" ht="18.75">
      <c r="A12" s="14" t="s">
        <v>30</v>
      </c>
      <c r="B12" s="15">
        <v>10376.3758</v>
      </c>
      <c r="C12" s="19">
        <v>0</v>
      </c>
      <c r="D12" s="15">
        <v>273108.8468</v>
      </c>
      <c r="E12" s="19">
        <v>0</v>
      </c>
      <c r="F12" s="18">
        <v>80646.47000000003</v>
      </c>
      <c r="G12" s="19">
        <v>0</v>
      </c>
      <c r="H12" s="15">
        <v>23309.4556</v>
      </c>
      <c r="I12" s="15">
        <v>293861.5984</v>
      </c>
      <c r="J12" s="18">
        <v>11</v>
      </c>
      <c r="K12" s="18">
        <v>1</v>
      </c>
      <c r="L12" s="18">
        <v>4</v>
      </c>
    </row>
    <row x14ac:dyDescent="0.25" r="13" customHeight="1" ht="18.75">
      <c r="A13" s="14" t="s">
        <v>31</v>
      </c>
      <c r="B13" s="15">
        <v>2944811.9439099403</v>
      </c>
      <c r="C13" s="19">
        <v>0</v>
      </c>
      <c r="D13" s="15">
        <v>527015.8425801188</v>
      </c>
      <c r="E13" s="19">
        <v>0</v>
      </c>
      <c r="F13" s="18">
        <v>39788.869999999995</v>
      </c>
      <c r="G13" s="19">
        <v>0</v>
      </c>
      <c r="H13" s="15">
        <v>1798704.0300000003</v>
      </c>
      <c r="I13" s="15">
        <v>6416639.730400001</v>
      </c>
      <c r="J13" s="18">
        <v>291</v>
      </c>
      <c r="K13" s="18">
        <v>55</v>
      </c>
      <c r="L13" s="18">
        <v>75</v>
      </c>
    </row>
    <row x14ac:dyDescent="0.25" r="14" customHeight="1" ht="18.75">
      <c r="A14" s="14" t="s">
        <v>32</v>
      </c>
      <c r="B14" s="15"/>
      <c r="C14" s="19">
        <v>0</v>
      </c>
      <c r="D14" s="15"/>
      <c r="E14" s="19">
        <v>0</v>
      </c>
      <c r="F14" s="18"/>
      <c r="G14" s="19">
        <v>0</v>
      </c>
      <c r="H14" s="15"/>
      <c r="I14" s="15"/>
      <c r="J14" s="18"/>
      <c r="K14" s="20"/>
      <c r="L14" s="18"/>
    </row>
    <row x14ac:dyDescent="0.25" r="15" customHeight="1" ht="18.75">
      <c r="A15" s="14" t="s">
        <v>33</v>
      </c>
      <c r="B15" s="15"/>
      <c r="C15" s="19">
        <v>0</v>
      </c>
      <c r="D15" s="15"/>
      <c r="E15" s="19">
        <v>0</v>
      </c>
      <c r="F15" s="20"/>
      <c r="G15" s="19">
        <v>0</v>
      </c>
      <c r="H15" s="15"/>
      <c r="I15" s="15"/>
      <c r="J15" s="18"/>
      <c r="K15" s="20"/>
      <c r="L15" s="18"/>
    </row>
    <row x14ac:dyDescent="0.25" r="16" customHeight="1" ht="19.5">
      <c r="A16" s="14" t="s">
        <v>34</v>
      </c>
      <c r="B16" s="21"/>
      <c r="C16" s="19">
        <v>0</v>
      </c>
      <c r="D16" s="15"/>
      <c r="E16" s="19">
        <v>0</v>
      </c>
      <c r="F16" s="20"/>
      <c r="G16" s="19">
        <v>0</v>
      </c>
      <c r="H16" s="21"/>
      <c r="I16" s="21"/>
      <c r="J16" s="18"/>
      <c r="K16" s="20"/>
      <c r="L16" s="20"/>
    </row>
    <row x14ac:dyDescent="0.25" r="17" customHeight="1" ht="18.75">
      <c r="A17" s="22"/>
      <c r="B17" s="2"/>
      <c r="C17" s="3"/>
      <c r="D17" s="2"/>
      <c r="E17" s="3"/>
      <c r="F17" s="4"/>
      <c r="G17" s="3"/>
      <c r="H17" s="2"/>
      <c r="I17" s="2"/>
      <c r="J17" s="4"/>
      <c r="K17" s="4"/>
      <c r="L17" s="4"/>
    </row>
    <row x14ac:dyDescent="0.25" r="18" customHeight="1" ht="18.75">
      <c r="A18" s="23">
        <v>45345</v>
      </c>
      <c r="B18" s="2"/>
      <c r="C18" s="3"/>
      <c r="D18" s="2"/>
      <c r="E18" s="3"/>
      <c r="F18" s="4"/>
      <c r="G18" s="3"/>
      <c r="H18" s="2"/>
      <c r="I18" s="2"/>
      <c r="J18" s="4"/>
      <c r="K18" s="4"/>
      <c r="L18" s="4"/>
    </row>
    <row x14ac:dyDescent="0.25" r="19" customHeight="1" ht="31.5">
      <c r="A19" s="10" t="s">
        <v>14</v>
      </c>
      <c r="B19" s="11" t="s">
        <v>15</v>
      </c>
      <c r="C19" s="12" t="s">
        <v>16</v>
      </c>
      <c r="D19" s="11" t="s">
        <v>17</v>
      </c>
      <c r="E19" s="12" t="s">
        <v>18</v>
      </c>
      <c r="F19" s="13" t="s">
        <v>19</v>
      </c>
      <c r="G19" s="12" t="s">
        <v>20</v>
      </c>
      <c r="H19" s="11" t="s">
        <v>21</v>
      </c>
      <c r="I19" s="11" t="s">
        <v>22</v>
      </c>
      <c r="J19" s="13" t="s">
        <v>23</v>
      </c>
      <c r="K19" s="24" t="s">
        <v>24</v>
      </c>
      <c r="L19" s="13" t="s">
        <v>25</v>
      </c>
    </row>
    <row x14ac:dyDescent="0.25" r="20" customHeight="1" ht="18.75">
      <c r="A20" s="14" t="s">
        <v>26</v>
      </c>
      <c r="B20" s="15"/>
      <c r="C20" s="16">
        <v>0</v>
      </c>
      <c r="D20" s="15"/>
      <c r="E20" s="16">
        <v>0</v>
      </c>
      <c r="F20" s="17"/>
      <c r="G20" s="16">
        <v>0</v>
      </c>
      <c r="H20" s="15"/>
      <c r="I20" s="15"/>
      <c r="J20" s="18">
        <v>1</v>
      </c>
      <c r="K20" s="18"/>
      <c r="L20" s="18">
        <v>1</v>
      </c>
    </row>
    <row x14ac:dyDescent="0.25" r="21" customHeight="1" ht="18.75">
      <c r="A21" s="14" t="s">
        <v>27</v>
      </c>
      <c r="B21" s="15"/>
      <c r="C21" s="16">
        <v>0</v>
      </c>
      <c r="D21" s="15"/>
      <c r="E21" s="16">
        <v>0</v>
      </c>
      <c r="F21" s="18"/>
      <c r="G21" s="16">
        <v>0</v>
      </c>
      <c r="H21" s="15"/>
      <c r="I21" s="15"/>
      <c r="J21" s="18">
        <v>2</v>
      </c>
      <c r="K21" s="18"/>
      <c r="L21" s="18"/>
    </row>
    <row x14ac:dyDescent="0.25" r="22" customHeight="1" ht="18.75">
      <c r="A22" s="14" t="s">
        <v>28</v>
      </c>
      <c r="B22" s="15">
        <v>1250921.3949658538</v>
      </c>
      <c r="C22" s="16">
        <v>0</v>
      </c>
      <c r="D22" s="15">
        <v>607933.8412682926</v>
      </c>
      <c r="E22" s="16">
        <v>0</v>
      </c>
      <c r="F22" s="18">
        <v>88153.49</v>
      </c>
      <c r="G22" s="16">
        <v>0</v>
      </c>
      <c r="H22" s="15">
        <v>398885.40320000006</v>
      </c>
      <c r="I22" s="15">
        <v>3109776.6312000006</v>
      </c>
      <c r="J22" s="18">
        <v>41</v>
      </c>
      <c r="K22" s="18">
        <v>12</v>
      </c>
      <c r="L22" s="18">
        <v>14</v>
      </c>
    </row>
    <row x14ac:dyDescent="0.25" r="23" customHeight="1" ht="18.75">
      <c r="A23" s="14" t="s">
        <v>29</v>
      </c>
      <c r="B23" s="15">
        <v>19985.33036910569</v>
      </c>
      <c r="C23" s="16">
        <v>0</v>
      </c>
      <c r="D23" s="15">
        <v>2130.178861788618</v>
      </c>
      <c r="E23" s="16">
        <v>0</v>
      </c>
      <c r="F23" s="18"/>
      <c r="G23" s="16">
        <v>0</v>
      </c>
      <c r="H23" s="15">
        <v>3922.3624</v>
      </c>
      <c r="I23" s="15">
        <v>42100.8396</v>
      </c>
      <c r="J23" s="18">
        <v>2</v>
      </c>
      <c r="K23" s="18">
        <v>1</v>
      </c>
      <c r="L23" s="18">
        <v>1</v>
      </c>
    </row>
    <row x14ac:dyDescent="0.25" r="24" customHeight="1" ht="18.75">
      <c r="A24" s="14" t="s">
        <v>30</v>
      </c>
      <c r="B24" s="15">
        <v>27084.66370731707</v>
      </c>
      <c r="C24" s="19">
        <v>0</v>
      </c>
      <c r="D24" s="15">
        <v>557902.0505853659</v>
      </c>
      <c r="E24" s="19">
        <v>0</v>
      </c>
      <c r="F24" s="18">
        <v>18084.64</v>
      </c>
      <c r="G24" s="19">
        <v>0</v>
      </c>
      <c r="H24" s="15">
        <v>66985.834</v>
      </c>
      <c r="I24" s="15">
        <v>612071.378</v>
      </c>
      <c r="J24" s="18">
        <v>5</v>
      </c>
      <c r="K24" s="18">
        <v>3</v>
      </c>
      <c r="L24" s="18">
        <v>4</v>
      </c>
    </row>
    <row x14ac:dyDescent="0.25" r="25" customHeight="1" ht="18.75">
      <c r="A25" s="14" t="s">
        <v>31</v>
      </c>
      <c r="B25" s="15">
        <v>2759403.3902404145</v>
      </c>
      <c r="C25" s="19">
        <v>0</v>
      </c>
      <c r="D25" s="15">
        <v>794196.1059191708</v>
      </c>
      <c r="E25" s="19">
        <v>0</v>
      </c>
      <c r="F25" s="18">
        <v>74869.33000000003</v>
      </c>
      <c r="G25" s="19">
        <v>0</v>
      </c>
      <c r="H25" s="15">
        <v>1990732.144399999</v>
      </c>
      <c r="I25" s="15">
        <v>6313002.8864</v>
      </c>
      <c r="J25" s="18">
        <v>317</v>
      </c>
      <c r="K25" s="18">
        <v>88</v>
      </c>
      <c r="L25" s="18">
        <v>81</v>
      </c>
    </row>
    <row x14ac:dyDescent="0.25" r="26" customHeight="1" ht="18.75">
      <c r="A26" s="14" t="s">
        <v>32</v>
      </c>
      <c r="B26" s="15"/>
      <c r="C26" s="19">
        <v>0</v>
      </c>
      <c r="D26" s="15"/>
      <c r="E26" s="19">
        <v>0</v>
      </c>
      <c r="F26" s="18"/>
      <c r="G26" s="19">
        <v>0</v>
      </c>
      <c r="H26" s="15"/>
      <c r="I26" s="15"/>
      <c r="J26" s="18"/>
      <c r="K26" s="20"/>
      <c r="L26" s="20"/>
    </row>
    <row x14ac:dyDescent="0.25" r="27" customHeight="1" ht="18.75">
      <c r="A27" s="14" t="s">
        <v>33</v>
      </c>
      <c r="B27" s="15"/>
      <c r="C27" s="19">
        <v>0</v>
      </c>
      <c r="D27" s="15"/>
      <c r="E27" s="19">
        <v>0</v>
      </c>
      <c r="F27" s="20"/>
      <c r="G27" s="19">
        <v>0</v>
      </c>
      <c r="H27" s="15"/>
      <c r="I27" s="15"/>
      <c r="J27" s="18"/>
      <c r="K27" s="20"/>
      <c r="L27" s="20"/>
    </row>
    <row x14ac:dyDescent="0.25" r="28" customHeight="1" ht="18.75">
      <c r="A28" s="14" t="s">
        <v>34</v>
      </c>
      <c r="B28" s="21"/>
      <c r="C28" s="19">
        <v>0</v>
      </c>
      <c r="D28" s="15"/>
      <c r="E28" s="19">
        <v>0</v>
      </c>
      <c r="F28" s="20"/>
      <c r="G28" s="19">
        <v>0</v>
      </c>
      <c r="H28" s="21"/>
      <c r="I28" s="21"/>
      <c r="J28" s="18"/>
      <c r="K28" s="20"/>
      <c r="L28" s="20"/>
    </row>
    <row x14ac:dyDescent="0.25" r="29" customHeight="1" ht="18.75">
      <c r="A29" s="22"/>
      <c r="B29" s="2"/>
      <c r="C29" s="3"/>
      <c r="D29" s="2"/>
      <c r="E29" s="3"/>
      <c r="F29" s="4"/>
      <c r="G29" s="3"/>
      <c r="H29" s="2"/>
      <c r="I29" s="2"/>
      <c r="J29" s="4"/>
      <c r="K29" s="4"/>
      <c r="L29" s="4"/>
    </row>
    <row x14ac:dyDescent="0.25" r="30" customHeight="1" ht="18.75">
      <c r="A30" s="6">
        <v>44986</v>
      </c>
      <c r="B30" s="2"/>
      <c r="C30" s="3"/>
      <c r="D30" s="2"/>
      <c r="E30" s="3"/>
      <c r="F30" s="4"/>
      <c r="G30" s="3"/>
      <c r="H30" s="2"/>
      <c r="I30" s="2"/>
      <c r="J30" s="4"/>
      <c r="K30" s="4"/>
      <c r="L30" s="4"/>
    </row>
    <row x14ac:dyDescent="0.25" r="31" customHeight="1" ht="33">
      <c r="A31" s="10" t="s">
        <v>14</v>
      </c>
      <c r="B31" s="11" t="s">
        <v>15</v>
      </c>
      <c r="C31" s="12" t="s">
        <v>16</v>
      </c>
      <c r="D31" s="11" t="s">
        <v>17</v>
      </c>
      <c r="E31" s="12" t="s">
        <v>18</v>
      </c>
      <c r="F31" s="13" t="s">
        <v>19</v>
      </c>
      <c r="G31" s="12" t="s">
        <v>20</v>
      </c>
      <c r="H31" s="11" t="s">
        <v>21</v>
      </c>
      <c r="I31" s="11" t="s">
        <v>22</v>
      </c>
      <c r="J31" s="13" t="s">
        <v>23</v>
      </c>
      <c r="K31" s="24" t="s">
        <v>24</v>
      </c>
      <c r="L31" s="13" t="s">
        <v>25</v>
      </c>
    </row>
    <row x14ac:dyDescent="0.25" r="32" customHeight="1" ht="33">
      <c r="A32" s="14" t="s">
        <v>26</v>
      </c>
      <c r="B32" s="15"/>
      <c r="C32" s="16">
        <v>0</v>
      </c>
      <c r="D32" s="15"/>
      <c r="E32" s="16">
        <v>0</v>
      </c>
      <c r="F32" s="17"/>
      <c r="G32" s="16">
        <v>0</v>
      </c>
      <c r="H32" s="15"/>
      <c r="I32" s="15"/>
      <c r="J32" s="18">
        <v>2</v>
      </c>
      <c r="K32" s="18"/>
      <c r="L32" s="18">
        <v>2</v>
      </c>
    </row>
    <row x14ac:dyDescent="0.25" r="33" customHeight="1" ht="33">
      <c r="A33" s="14" t="s">
        <v>27</v>
      </c>
      <c r="B33" s="15"/>
      <c r="C33" s="16">
        <v>0</v>
      </c>
      <c r="D33" s="15"/>
      <c r="E33" s="16">
        <v>0</v>
      </c>
      <c r="F33" s="18"/>
      <c r="G33" s="16">
        <v>0</v>
      </c>
      <c r="H33" s="15"/>
      <c r="I33" s="15"/>
      <c r="J33" s="18">
        <v>1</v>
      </c>
      <c r="K33" s="18"/>
      <c r="L33" s="18">
        <v>1</v>
      </c>
    </row>
    <row x14ac:dyDescent="0.25" r="34" customHeight="1" ht="33">
      <c r="A34" s="14" t="s">
        <v>28</v>
      </c>
      <c r="B34" s="15">
        <v>1001094.1635452575</v>
      </c>
      <c r="C34" s="16">
        <v>0</v>
      </c>
      <c r="D34" s="15">
        <v>393171.9141094851</v>
      </c>
      <c r="E34" s="16">
        <v>0</v>
      </c>
      <c r="F34" s="18">
        <v>1269.21</v>
      </c>
      <c r="G34" s="16">
        <v>0</v>
      </c>
      <c r="H34" s="15">
        <v>147700.97639999999</v>
      </c>
      <c r="I34" s="15">
        <v>2395360.2412</v>
      </c>
      <c r="J34" s="18">
        <v>45</v>
      </c>
      <c r="K34" s="18">
        <v>16</v>
      </c>
      <c r="L34" s="18">
        <v>19</v>
      </c>
    </row>
    <row x14ac:dyDescent="0.25" r="35" customHeight="1" ht="33">
      <c r="A35" s="14" t="s">
        <v>29</v>
      </c>
      <c r="B35" s="15"/>
      <c r="C35" s="16">
        <v>0</v>
      </c>
      <c r="D35" s="15"/>
      <c r="E35" s="16">
        <v>0</v>
      </c>
      <c r="F35" s="18">
        <v>27700.210000000003</v>
      </c>
      <c r="G35" s="16">
        <v>0</v>
      </c>
      <c r="H35" s="15"/>
      <c r="I35" s="15"/>
      <c r="J35" s="18">
        <v>2</v>
      </c>
      <c r="K35" s="18">
        <v>2</v>
      </c>
      <c r="L35" s="18">
        <v>1</v>
      </c>
    </row>
    <row x14ac:dyDescent="0.25" r="36" customHeight="1" ht="18.75">
      <c r="A36" s="14" t="s">
        <v>30</v>
      </c>
      <c r="B36" s="15">
        <v>244574.56687262873</v>
      </c>
      <c r="C36" s="19">
        <v>0</v>
      </c>
      <c r="D36" s="15">
        <v>124575.08985474255</v>
      </c>
      <c r="E36" s="19">
        <v>0</v>
      </c>
      <c r="F36" s="18"/>
      <c r="G36" s="19">
        <v>0</v>
      </c>
      <c r="H36" s="15">
        <v>91186.97119999999</v>
      </c>
      <c r="I36" s="15">
        <v>613724.2236000001</v>
      </c>
      <c r="J36" s="18">
        <v>8</v>
      </c>
      <c r="K36" s="18">
        <v>2</v>
      </c>
      <c r="L36" s="18">
        <v>5</v>
      </c>
    </row>
    <row x14ac:dyDescent="0.25" r="37" customHeight="1" ht="18.75">
      <c r="A37" s="14" t="s">
        <v>31</v>
      </c>
      <c r="B37" s="15">
        <v>4401405.607551093</v>
      </c>
      <c r="C37" s="19">
        <v>0</v>
      </c>
      <c r="D37" s="15">
        <v>886275.9848978133</v>
      </c>
      <c r="E37" s="19">
        <v>0</v>
      </c>
      <c r="F37" s="18">
        <v>6405.24</v>
      </c>
      <c r="G37" s="19">
        <v>0</v>
      </c>
      <c r="H37" s="15">
        <v>2547604.4123999984</v>
      </c>
      <c r="I37" s="15">
        <v>9689087.199999997</v>
      </c>
      <c r="J37" s="18">
        <v>377</v>
      </c>
      <c r="K37" s="18">
        <v>56</v>
      </c>
      <c r="L37" s="18">
        <v>108</v>
      </c>
    </row>
    <row x14ac:dyDescent="0.25" r="38" customHeight="1" ht="18.75">
      <c r="A38" s="14" t="s">
        <v>32</v>
      </c>
      <c r="B38" s="15"/>
      <c r="C38" s="19">
        <v>0</v>
      </c>
      <c r="D38" s="15"/>
      <c r="E38" s="19">
        <v>0</v>
      </c>
      <c r="F38" s="18"/>
      <c r="G38" s="19">
        <v>0</v>
      </c>
      <c r="H38" s="15"/>
      <c r="I38" s="15"/>
      <c r="J38" s="18"/>
      <c r="K38" s="18"/>
      <c r="L38" s="18"/>
    </row>
    <row x14ac:dyDescent="0.25" r="39" customHeight="1" ht="18.75">
      <c r="A39" s="14" t="s">
        <v>33</v>
      </c>
      <c r="B39" s="15"/>
      <c r="C39" s="19">
        <v>0</v>
      </c>
      <c r="D39" s="15"/>
      <c r="E39" s="19">
        <v>0</v>
      </c>
      <c r="F39" s="20"/>
      <c r="G39" s="19">
        <v>0</v>
      </c>
      <c r="H39" s="15"/>
      <c r="I39" s="15"/>
      <c r="J39" s="18"/>
      <c r="K39" s="18"/>
      <c r="L39" s="18"/>
    </row>
    <row x14ac:dyDescent="0.25" r="40" customHeight="1" ht="18.75">
      <c r="A40" s="14" t="s">
        <v>34</v>
      </c>
      <c r="B40" s="21"/>
      <c r="C40" s="19">
        <v>0</v>
      </c>
      <c r="D40" s="15"/>
      <c r="E40" s="19">
        <v>0</v>
      </c>
      <c r="F40" s="20"/>
      <c r="G40" s="19">
        <v>0</v>
      </c>
      <c r="H40" s="15"/>
      <c r="I40" s="21"/>
      <c r="J40" s="18"/>
      <c r="K40" s="20"/>
      <c r="L40" s="20"/>
    </row>
    <row x14ac:dyDescent="0.25" r="41" customHeight="1" ht="18.75">
      <c r="A41" s="22"/>
      <c r="B41" s="2"/>
      <c r="C41" s="3"/>
      <c r="D41" s="2"/>
      <c r="E41" s="3"/>
      <c r="F41" s="4"/>
      <c r="G41" s="3"/>
      <c r="H41" s="2"/>
      <c r="I41" s="2"/>
      <c r="J41" s="4"/>
      <c r="K41" s="4"/>
      <c r="L41" s="4"/>
    </row>
    <row x14ac:dyDescent="0.25" r="42" customHeight="1" ht="18.75">
      <c r="A42" s="6">
        <v>45017</v>
      </c>
      <c r="B42" s="2"/>
      <c r="C42" s="3"/>
      <c r="D42" s="2"/>
      <c r="E42" s="3"/>
      <c r="F42" s="4"/>
      <c r="G42" s="3"/>
      <c r="H42" s="2"/>
      <c r="I42" s="2"/>
      <c r="J42" s="4"/>
      <c r="K42" s="4"/>
      <c r="L42" s="4"/>
    </row>
    <row x14ac:dyDescent="0.25" r="43" customHeight="1" ht="33">
      <c r="A43" s="10" t="s">
        <v>14</v>
      </c>
      <c r="B43" s="11" t="s">
        <v>15</v>
      </c>
      <c r="C43" s="12" t="s">
        <v>16</v>
      </c>
      <c r="D43" s="11" t="s">
        <v>17</v>
      </c>
      <c r="E43" s="12" t="s">
        <v>18</v>
      </c>
      <c r="F43" s="13" t="s">
        <v>19</v>
      </c>
      <c r="G43" s="12" t="s">
        <v>20</v>
      </c>
      <c r="H43" s="11" t="s">
        <v>21</v>
      </c>
      <c r="I43" s="11" t="s">
        <v>22</v>
      </c>
      <c r="J43" s="13" t="s">
        <v>23</v>
      </c>
      <c r="K43" s="24" t="s">
        <v>24</v>
      </c>
      <c r="L43" s="13" t="s">
        <v>25</v>
      </c>
    </row>
    <row x14ac:dyDescent="0.25" r="44" customHeight="1" ht="33">
      <c r="A44" s="14" t="s">
        <v>26</v>
      </c>
      <c r="B44" s="15"/>
      <c r="C44" s="16">
        <v>0</v>
      </c>
      <c r="D44" s="15"/>
      <c r="E44" s="16">
        <v>0</v>
      </c>
      <c r="F44" s="17"/>
      <c r="G44" s="16">
        <v>0</v>
      </c>
      <c r="H44" s="15"/>
      <c r="I44" s="15"/>
      <c r="J44" s="18">
        <v>5</v>
      </c>
      <c r="K44" s="18"/>
      <c r="L44" s="18">
        <v>1</v>
      </c>
    </row>
    <row x14ac:dyDescent="0.25" r="45" customHeight="1" ht="33">
      <c r="A45" s="14" t="s">
        <v>27</v>
      </c>
      <c r="B45" s="15"/>
      <c r="C45" s="16">
        <v>0</v>
      </c>
      <c r="D45" s="15"/>
      <c r="E45" s="16">
        <v>0</v>
      </c>
      <c r="F45" s="18"/>
      <c r="G45" s="16">
        <v>0</v>
      </c>
      <c r="H45" s="15"/>
      <c r="I45" s="15"/>
      <c r="J45" s="18">
        <v>2</v>
      </c>
      <c r="K45" s="18"/>
      <c r="L45" s="18"/>
    </row>
    <row x14ac:dyDescent="0.25" r="46" customHeight="1" ht="33">
      <c r="A46" s="14" t="s">
        <v>28</v>
      </c>
      <c r="B46" s="15">
        <v>614645.8132747968</v>
      </c>
      <c r="C46" s="16">
        <v>0</v>
      </c>
      <c r="D46" s="15">
        <v>1417069.2782504072</v>
      </c>
      <c r="E46" s="16">
        <v>0</v>
      </c>
      <c r="F46" s="18">
        <v>46001.68</v>
      </c>
      <c r="G46" s="16">
        <v>0</v>
      </c>
      <c r="H46" s="15">
        <v>127461.71520000002</v>
      </c>
      <c r="I46" s="15">
        <v>2646360.9047999997</v>
      </c>
      <c r="J46" s="18">
        <v>68</v>
      </c>
      <c r="K46" s="18">
        <v>43</v>
      </c>
      <c r="L46" s="18">
        <v>26</v>
      </c>
    </row>
    <row x14ac:dyDescent="0.25" r="47" customHeight="1" ht="33">
      <c r="A47" s="14" t="s">
        <v>29</v>
      </c>
      <c r="B47" s="15">
        <v>100498.3482</v>
      </c>
      <c r="C47" s="16">
        <v>0</v>
      </c>
      <c r="D47" s="15">
        <v>0</v>
      </c>
      <c r="E47" s="16">
        <v>0</v>
      </c>
      <c r="F47" s="18"/>
      <c r="G47" s="16">
        <v>0</v>
      </c>
      <c r="H47" s="15">
        <v>4098.7632</v>
      </c>
      <c r="I47" s="15">
        <v>200996.6964</v>
      </c>
      <c r="J47" s="18">
        <v>3</v>
      </c>
      <c r="K47" s="18"/>
      <c r="L47" s="18">
        <v>1</v>
      </c>
    </row>
    <row x14ac:dyDescent="0.25" r="48" customHeight="1" ht="18.75">
      <c r="A48" s="14" t="s">
        <v>30</v>
      </c>
      <c r="B48" s="15">
        <v>35091.39224878049</v>
      </c>
      <c r="C48" s="19">
        <v>0</v>
      </c>
      <c r="D48" s="15">
        <v>619370.6011024391</v>
      </c>
      <c r="E48" s="19">
        <v>0</v>
      </c>
      <c r="F48" s="18"/>
      <c r="G48" s="19">
        <v>0</v>
      </c>
      <c r="H48" s="15">
        <v>118928.302</v>
      </c>
      <c r="I48" s="15">
        <v>689553.3856</v>
      </c>
      <c r="J48" s="18">
        <v>7</v>
      </c>
      <c r="K48" s="18">
        <v>9</v>
      </c>
      <c r="L48" s="18">
        <v>4</v>
      </c>
    </row>
    <row x14ac:dyDescent="0.25" r="49" customHeight="1" ht="18.75">
      <c r="A49" s="14" t="s">
        <v>31</v>
      </c>
      <c r="B49" s="15">
        <v>5339128.511095833</v>
      </c>
      <c r="C49" s="19">
        <v>0</v>
      </c>
      <c r="D49" s="15">
        <v>593799.9550083333</v>
      </c>
      <c r="E49" s="19">
        <v>0</v>
      </c>
      <c r="F49" s="18">
        <v>4640.08</v>
      </c>
      <c r="G49" s="19">
        <v>0</v>
      </c>
      <c r="H49" s="15">
        <v>2456256.0168</v>
      </c>
      <c r="I49" s="15">
        <v>11272056.977200001</v>
      </c>
      <c r="J49" s="18">
        <v>375</v>
      </c>
      <c r="K49" s="18">
        <v>149</v>
      </c>
      <c r="L49" s="18">
        <v>112</v>
      </c>
    </row>
    <row x14ac:dyDescent="0.25" r="50" customHeight="1" ht="18.75">
      <c r="A50" s="14" t="s">
        <v>32</v>
      </c>
      <c r="B50" s="15"/>
      <c r="C50" s="19">
        <v>0</v>
      </c>
      <c r="D50" s="15"/>
      <c r="E50" s="19">
        <v>0</v>
      </c>
      <c r="F50" s="18"/>
      <c r="G50" s="19">
        <v>0</v>
      </c>
      <c r="H50" s="15"/>
      <c r="I50" s="15"/>
      <c r="J50" s="18"/>
      <c r="K50" s="18"/>
      <c r="L50" s="18"/>
    </row>
    <row x14ac:dyDescent="0.25" r="51" customHeight="1" ht="18.75">
      <c r="A51" s="14" t="s">
        <v>33</v>
      </c>
      <c r="B51" s="15"/>
      <c r="C51" s="19">
        <v>0</v>
      </c>
      <c r="D51" s="15"/>
      <c r="E51" s="19">
        <v>0</v>
      </c>
      <c r="F51" s="20"/>
      <c r="G51" s="19">
        <v>0</v>
      </c>
      <c r="H51" s="15"/>
      <c r="I51" s="15"/>
      <c r="J51" s="18"/>
      <c r="K51" s="18"/>
      <c r="L51" s="18"/>
    </row>
    <row x14ac:dyDescent="0.25" r="52" customHeight="1" ht="18.75">
      <c r="A52" s="14" t="s">
        <v>34</v>
      </c>
      <c r="B52" s="15"/>
      <c r="C52" s="19">
        <v>0</v>
      </c>
      <c r="D52" s="15"/>
      <c r="E52" s="19">
        <v>0</v>
      </c>
      <c r="F52" s="20"/>
      <c r="G52" s="19">
        <v>0</v>
      </c>
      <c r="H52" s="15"/>
      <c r="I52" s="15"/>
      <c r="J52" s="18"/>
      <c r="K52" s="18">
        <v>1</v>
      </c>
      <c r="L52" s="20"/>
    </row>
    <row x14ac:dyDescent="0.25" r="53" customHeight="1" ht="18.75">
      <c r="A53" s="22"/>
      <c r="B53" s="2"/>
      <c r="C53" s="3"/>
      <c r="D53" s="2"/>
      <c r="E53" s="3"/>
      <c r="F53" s="4"/>
      <c r="G53" s="3"/>
      <c r="H53" s="2"/>
      <c r="I53" s="2"/>
      <c r="J53" s="4"/>
      <c r="K53" s="4"/>
      <c r="L53" s="4"/>
    </row>
    <row x14ac:dyDescent="0.25" r="54" customHeight="1" ht="18.75">
      <c r="A54" s="6">
        <v>45047</v>
      </c>
      <c r="B54" s="2"/>
      <c r="C54" s="3"/>
      <c r="D54" s="2"/>
      <c r="E54" s="3"/>
      <c r="F54" s="4"/>
      <c r="G54" s="3"/>
      <c r="H54" s="2"/>
      <c r="I54" s="2"/>
      <c r="J54" s="4"/>
      <c r="K54" s="4"/>
      <c r="L54" s="4"/>
    </row>
    <row x14ac:dyDescent="0.25" r="55" customHeight="1" ht="33">
      <c r="A55" s="10" t="s">
        <v>14</v>
      </c>
      <c r="B55" s="11" t="s">
        <v>15</v>
      </c>
      <c r="C55" s="12" t="s">
        <v>16</v>
      </c>
      <c r="D55" s="11" t="s">
        <v>17</v>
      </c>
      <c r="E55" s="12" t="s">
        <v>18</v>
      </c>
      <c r="F55" s="13" t="s">
        <v>19</v>
      </c>
      <c r="G55" s="12" t="s">
        <v>20</v>
      </c>
      <c r="H55" s="11" t="s">
        <v>21</v>
      </c>
      <c r="I55" s="11" t="s">
        <v>22</v>
      </c>
      <c r="J55" s="13" t="s">
        <v>23</v>
      </c>
      <c r="K55" s="24" t="s">
        <v>24</v>
      </c>
      <c r="L55" s="13" t="s">
        <v>25</v>
      </c>
    </row>
    <row x14ac:dyDescent="0.25" r="56" customHeight="1" ht="33">
      <c r="A56" s="14" t="s">
        <v>26</v>
      </c>
      <c r="B56" s="15"/>
      <c r="C56" s="16">
        <v>0</v>
      </c>
      <c r="D56" s="15"/>
      <c r="E56" s="16">
        <v>0</v>
      </c>
      <c r="F56" s="17"/>
      <c r="G56" s="16">
        <v>0</v>
      </c>
      <c r="H56" s="15"/>
      <c r="I56" s="15"/>
      <c r="J56" s="18">
        <v>1</v>
      </c>
      <c r="K56" s="18"/>
      <c r="L56" s="18"/>
    </row>
    <row x14ac:dyDescent="0.25" r="57" customHeight="1" ht="33">
      <c r="A57" s="14" t="s">
        <v>27</v>
      </c>
      <c r="B57" s="15"/>
      <c r="C57" s="16">
        <v>0</v>
      </c>
      <c r="D57" s="15"/>
      <c r="E57" s="16">
        <v>0</v>
      </c>
      <c r="F57" s="18"/>
      <c r="G57" s="16">
        <v>0</v>
      </c>
      <c r="H57" s="15"/>
      <c r="I57" s="15"/>
      <c r="J57" s="18">
        <v>1</v>
      </c>
      <c r="K57" s="18"/>
      <c r="L57" s="18"/>
    </row>
    <row x14ac:dyDescent="0.25" r="58" customHeight="1" ht="33">
      <c r="A58" s="14" t="s">
        <v>28</v>
      </c>
      <c r="B58" s="15">
        <v>1887479.535893767</v>
      </c>
      <c r="C58" s="16">
        <v>0</v>
      </c>
      <c r="D58" s="15">
        <v>674340.1330124659</v>
      </c>
      <c r="E58" s="16">
        <v>0</v>
      </c>
      <c r="F58" s="18"/>
      <c r="G58" s="16">
        <v>0</v>
      </c>
      <c r="H58" s="15">
        <v>220857.97359999994</v>
      </c>
      <c r="I58" s="15">
        <v>4449299.2048</v>
      </c>
      <c r="J58" s="18">
        <v>44</v>
      </c>
      <c r="K58" s="18">
        <v>18</v>
      </c>
      <c r="L58" s="18">
        <v>24</v>
      </c>
    </row>
    <row x14ac:dyDescent="0.25" r="59" customHeight="1" ht="33">
      <c r="A59" s="14" t="s">
        <v>29</v>
      </c>
      <c r="B59" s="15">
        <v>127948.0422</v>
      </c>
      <c r="C59" s="16">
        <v>0</v>
      </c>
      <c r="D59" s="15">
        <v>0</v>
      </c>
      <c r="E59" s="16">
        <v>0</v>
      </c>
      <c r="F59" s="18"/>
      <c r="G59" s="16">
        <v>0</v>
      </c>
      <c r="H59" s="15">
        <v>10553.0384</v>
      </c>
      <c r="I59" s="15">
        <v>255896.0844</v>
      </c>
      <c r="J59" s="18">
        <v>5</v>
      </c>
      <c r="K59" s="18"/>
      <c r="L59" s="18">
        <v>1</v>
      </c>
    </row>
    <row x14ac:dyDescent="0.25" r="60" customHeight="1" ht="18.75">
      <c r="A60" s="14" t="s">
        <v>30</v>
      </c>
      <c r="B60" s="15">
        <v>318921.70380175876</v>
      </c>
      <c r="C60" s="19">
        <v>0</v>
      </c>
      <c r="D60" s="15">
        <v>64046.1675964825</v>
      </c>
      <c r="E60" s="19">
        <v>0</v>
      </c>
      <c r="F60" s="18">
        <v>188115.91</v>
      </c>
      <c r="G60" s="19">
        <v>0</v>
      </c>
      <c r="H60" s="15">
        <v>89672.768</v>
      </c>
      <c r="I60" s="15">
        <v>701889.5752000001</v>
      </c>
      <c r="J60" s="18">
        <v>4</v>
      </c>
      <c r="K60" s="18">
        <v>3</v>
      </c>
      <c r="L60" s="18">
        <v>1</v>
      </c>
    </row>
    <row x14ac:dyDescent="0.25" r="61" customHeight="1" ht="18.75">
      <c r="A61" s="14" t="s">
        <v>31</v>
      </c>
      <c r="B61" s="15">
        <v>3598721.8543722313</v>
      </c>
      <c r="C61" s="19">
        <v>0</v>
      </c>
      <c r="D61" s="15">
        <v>824872.9764555377</v>
      </c>
      <c r="E61" s="19">
        <v>0</v>
      </c>
      <c r="F61" s="18">
        <v>8120.140000000001</v>
      </c>
      <c r="G61" s="19">
        <v>0</v>
      </c>
      <c r="H61" s="15">
        <v>2328913.114799999</v>
      </c>
      <c r="I61" s="15">
        <v>8022316.6852</v>
      </c>
      <c r="J61" s="18">
        <v>250</v>
      </c>
      <c r="K61" s="18">
        <v>134</v>
      </c>
      <c r="L61" s="18">
        <v>68</v>
      </c>
    </row>
    <row x14ac:dyDescent="0.25" r="62" customHeight="1" ht="18.75">
      <c r="A62" s="14" t="s">
        <v>32</v>
      </c>
      <c r="B62" s="15"/>
      <c r="C62" s="19">
        <v>0</v>
      </c>
      <c r="D62" s="15"/>
      <c r="E62" s="19">
        <v>0</v>
      </c>
      <c r="F62" s="18"/>
      <c r="G62" s="19">
        <v>0</v>
      </c>
      <c r="H62" s="15"/>
      <c r="I62" s="15"/>
      <c r="J62" s="18"/>
      <c r="K62" s="18"/>
      <c r="L62" s="18"/>
    </row>
    <row x14ac:dyDescent="0.25" r="63" customHeight="1" ht="18.75">
      <c r="A63" s="14" t="s">
        <v>33</v>
      </c>
      <c r="B63" s="15"/>
      <c r="C63" s="19">
        <v>0</v>
      </c>
      <c r="D63" s="15"/>
      <c r="E63" s="19">
        <v>0</v>
      </c>
      <c r="F63" s="20"/>
      <c r="G63" s="19">
        <v>0</v>
      </c>
      <c r="H63" s="15"/>
      <c r="I63" s="15"/>
      <c r="J63" s="18"/>
      <c r="K63" s="18"/>
      <c r="L63" s="18"/>
    </row>
    <row x14ac:dyDescent="0.25" r="64" customHeight="1" ht="18.75">
      <c r="A64" s="14" t="s">
        <v>34</v>
      </c>
      <c r="B64" s="15"/>
      <c r="C64" s="19">
        <v>0</v>
      </c>
      <c r="D64" s="15"/>
      <c r="E64" s="19">
        <v>0</v>
      </c>
      <c r="F64" s="20"/>
      <c r="G64" s="19">
        <v>0</v>
      </c>
      <c r="H64" s="15"/>
      <c r="I64" s="15"/>
      <c r="J64" s="18"/>
      <c r="K64" s="20"/>
      <c r="L64" s="20"/>
    </row>
    <row x14ac:dyDescent="0.25" r="65" customHeight="1" ht="18.75">
      <c r="A65" s="22"/>
      <c r="B65" s="2"/>
      <c r="C65" s="3"/>
      <c r="D65" s="2"/>
      <c r="E65" s="3"/>
      <c r="F65" s="4"/>
      <c r="G65" s="3"/>
      <c r="H65" s="2"/>
      <c r="I65" s="2"/>
      <c r="J65" s="4"/>
      <c r="K65" s="4"/>
      <c r="L65" s="4"/>
    </row>
    <row x14ac:dyDescent="0.25" r="66" customHeight="1" ht="18.75">
      <c r="A66" s="6">
        <v>45078</v>
      </c>
      <c r="B66" s="7" t="s">
        <v>3</v>
      </c>
      <c r="C66" s="8" t="s">
        <v>4</v>
      </c>
      <c r="D66" s="7" t="s">
        <v>5</v>
      </c>
      <c r="E66" s="8" t="s">
        <v>6</v>
      </c>
      <c r="F66" s="9" t="s">
        <v>7</v>
      </c>
      <c r="G66" s="8" t="s">
        <v>8</v>
      </c>
      <c r="H66" s="7" t="s">
        <v>9</v>
      </c>
      <c r="I66" s="7" t="s">
        <v>10</v>
      </c>
      <c r="J66" s="9" t="s">
        <v>11</v>
      </c>
      <c r="K66" s="9" t="s">
        <v>12</v>
      </c>
      <c r="L66" s="9" t="s">
        <v>11</v>
      </c>
    </row>
    <row x14ac:dyDescent="0.25" r="67" customHeight="1" ht="33">
      <c r="A67" s="10" t="s">
        <v>14</v>
      </c>
      <c r="B67" s="11" t="s">
        <v>15</v>
      </c>
      <c r="C67" s="12" t="s">
        <v>16</v>
      </c>
      <c r="D67" s="11" t="s">
        <v>17</v>
      </c>
      <c r="E67" s="12" t="s">
        <v>18</v>
      </c>
      <c r="F67" s="13" t="s">
        <v>19</v>
      </c>
      <c r="G67" s="12" t="s">
        <v>20</v>
      </c>
      <c r="H67" s="11" t="s">
        <v>21</v>
      </c>
      <c r="I67" s="11" t="s">
        <v>22</v>
      </c>
      <c r="J67" s="13" t="s">
        <v>23</v>
      </c>
      <c r="K67" s="24" t="s">
        <v>24</v>
      </c>
      <c r="L67" s="13" t="s">
        <v>25</v>
      </c>
    </row>
    <row x14ac:dyDescent="0.25" r="68" customHeight="1" ht="33">
      <c r="A68" s="14" t="s">
        <v>26</v>
      </c>
      <c r="B68" s="15"/>
      <c r="C68" s="16">
        <v>0</v>
      </c>
      <c r="D68" s="15"/>
      <c r="E68" s="16">
        <v>0</v>
      </c>
      <c r="F68" s="38"/>
      <c r="G68" s="16">
        <v>0</v>
      </c>
      <c r="H68" s="15"/>
      <c r="I68" s="15"/>
      <c r="J68" s="18">
        <v>2</v>
      </c>
      <c r="K68" s="18"/>
      <c r="L68" s="18">
        <v>2</v>
      </c>
    </row>
    <row x14ac:dyDescent="0.25" r="69" customHeight="1" ht="33">
      <c r="A69" s="14" t="s">
        <v>27</v>
      </c>
      <c r="B69" s="15">
        <v>50414.4878</v>
      </c>
      <c r="C69" s="16">
        <v>0</v>
      </c>
      <c r="D69" s="15">
        <v>105009.9828</v>
      </c>
      <c r="E69" s="16">
        <v>0</v>
      </c>
      <c r="F69" s="18"/>
      <c r="G69" s="16">
        <v>0</v>
      </c>
      <c r="H69" s="15">
        <v>15156.8088</v>
      </c>
      <c r="I69" s="15">
        <v>205838.9584</v>
      </c>
      <c r="J69" s="18">
        <v>3</v>
      </c>
      <c r="K69" s="18"/>
      <c r="L69" s="18">
        <v>2</v>
      </c>
    </row>
    <row x14ac:dyDescent="0.25" r="70" customHeight="1" ht="33">
      <c r="A70" s="14" t="s">
        <v>28</v>
      </c>
      <c r="B70" s="15">
        <v>2251153.6972336043</v>
      </c>
      <c r="C70" s="16">
        <v>0</v>
      </c>
      <c r="D70" s="15">
        <v>1180166.0195327916</v>
      </c>
      <c r="E70" s="16">
        <v>0</v>
      </c>
      <c r="F70" s="18">
        <v>949.51</v>
      </c>
      <c r="G70" s="16">
        <v>0</v>
      </c>
      <c r="H70" s="15">
        <v>346656.9508000001</v>
      </c>
      <c r="I70" s="15">
        <v>5682473.414000001</v>
      </c>
      <c r="J70" s="18">
        <v>41</v>
      </c>
      <c r="K70" s="18">
        <v>28</v>
      </c>
      <c r="L70" s="18">
        <v>12</v>
      </c>
    </row>
    <row x14ac:dyDescent="0.25" r="71" customHeight="1" ht="33">
      <c r="A71" s="14" t="s">
        <v>29</v>
      </c>
      <c r="B71" s="15"/>
      <c r="C71" s="16">
        <v>0</v>
      </c>
      <c r="D71" s="15"/>
      <c r="E71" s="16">
        <v>0</v>
      </c>
      <c r="F71" s="18"/>
      <c r="G71" s="16">
        <v>0</v>
      </c>
      <c r="H71" s="15"/>
      <c r="I71" s="15"/>
      <c r="J71" s="18">
        <v>1</v>
      </c>
      <c r="K71" s="18">
        <v>3</v>
      </c>
      <c r="L71" s="18">
        <v>1</v>
      </c>
    </row>
    <row x14ac:dyDescent="0.25" r="72" customHeight="1" ht="18.75">
      <c r="A72" s="14" t="s">
        <v>30</v>
      </c>
      <c r="B72" s="15">
        <v>56274.36562926829</v>
      </c>
      <c r="C72" s="19">
        <v>0</v>
      </c>
      <c r="D72" s="15">
        <v>264051.22234146344</v>
      </c>
      <c r="E72" s="19">
        <v>0</v>
      </c>
      <c r="F72" s="18"/>
      <c r="G72" s="19">
        <v>0</v>
      </c>
      <c r="H72" s="15">
        <v>49323.483199999995</v>
      </c>
      <c r="I72" s="15">
        <v>376599.9536</v>
      </c>
      <c r="J72" s="18">
        <v>3</v>
      </c>
      <c r="K72" s="18">
        <v>3</v>
      </c>
      <c r="L72" s="18">
        <v>2</v>
      </c>
    </row>
    <row x14ac:dyDescent="0.25" r="73" customHeight="1" ht="18.75">
      <c r="A73" s="14" t="s">
        <v>31</v>
      </c>
      <c r="B73" s="15">
        <v>4994659.619792556</v>
      </c>
      <c r="C73" s="19">
        <v>0</v>
      </c>
      <c r="D73" s="15">
        <v>1091993.9068148863</v>
      </c>
      <c r="E73" s="19">
        <v>0</v>
      </c>
      <c r="F73" s="18">
        <v>51281.240000000005</v>
      </c>
      <c r="G73" s="19">
        <v>0</v>
      </c>
      <c r="H73" s="15">
        <v>2441232.1140000005</v>
      </c>
      <c r="I73" s="15">
        <v>11081313.146399999</v>
      </c>
      <c r="J73" s="18">
        <v>276</v>
      </c>
      <c r="K73" s="18">
        <v>99</v>
      </c>
      <c r="L73" s="18">
        <v>62</v>
      </c>
    </row>
    <row x14ac:dyDescent="0.25" r="74" customHeight="1" ht="18.75">
      <c r="A74" s="14" t="s">
        <v>32</v>
      </c>
      <c r="B74" s="15"/>
      <c r="C74" s="19">
        <v>0</v>
      </c>
      <c r="D74" s="15"/>
      <c r="E74" s="19">
        <v>0</v>
      </c>
      <c r="F74" s="18"/>
      <c r="G74" s="19">
        <v>0</v>
      </c>
      <c r="H74" s="15"/>
      <c r="I74" s="15"/>
      <c r="J74" s="18"/>
      <c r="K74" s="18"/>
      <c r="L74" s="18"/>
    </row>
    <row x14ac:dyDescent="0.25" r="75" customHeight="1" ht="18.75">
      <c r="A75" s="14" t="s">
        <v>33</v>
      </c>
      <c r="B75" s="15"/>
      <c r="C75" s="19">
        <v>0</v>
      </c>
      <c r="D75" s="15"/>
      <c r="E75" s="19">
        <v>0</v>
      </c>
      <c r="F75" s="20"/>
      <c r="G75" s="19">
        <v>0</v>
      </c>
      <c r="H75" s="15"/>
      <c r="I75" s="15"/>
      <c r="J75" s="18"/>
      <c r="K75" s="20"/>
      <c r="L75" s="18"/>
    </row>
    <row x14ac:dyDescent="0.25" r="76" customHeight="1" ht="18.75">
      <c r="A76" s="14" t="s">
        <v>34</v>
      </c>
      <c r="B76" s="15"/>
      <c r="C76" s="19">
        <v>0</v>
      </c>
      <c r="D76" s="21"/>
      <c r="E76" s="19">
        <v>0</v>
      </c>
      <c r="F76" s="20"/>
      <c r="G76" s="19">
        <v>0</v>
      </c>
      <c r="H76" s="15"/>
      <c r="I76" s="15"/>
      <c r="J76" s="18"/>
      <c r="K76" s="18">
        <v>1</v>
      </c>
      <c r="L76" s="20"/>
    </row>
    <row x14ac:dyDescent="0.25" r="77" customHeight="1" ht="18.75">
      <c r="A77" s="22"/>
      <c r="B77" s="2"/>
      <c r="C77" s="3"/>
      <c r="D77" s="2"/>
      <c r="E77" s="3"/>
      <c r="F77" s="4"/>
      <c r="G77" s="3"/>
      <c r="H77" s="2"/>
      <c r="I77" s="2"/>
      <c r="J77" s="4"/>
      <c r="K77" s="4"/>
      <c r="L77" s="4"/>
    </row>
    <row x14ac:dyDescent="0.25" r="78" customHeight="1" ht="18.75">
      <c r="A78" s="6">
        <v>45137</v>
      </c>
      <c r="B78" s="2"/>
      <c r="C78" s="3"/>
      <c r="D78" s="2"/>
      <c r="E78" s="3"/>
      <c r="F78" s="4"/>
      <c r="G78" s="3"/>
      <c r="H78" s="2"/>
      <c r="I78" s="2"/>
      <c r="J78" s="4"/>
      <c r="K78" s="4"/>
      <c r="L78" s="4"/>
    </row>
    <row x14ac:dyDescent="0.25" r="79" customHeight="1" ht="33">
      <c r="A79" s="10" t="s">
        <v>14</v>
      </c>
      <c r="B79" s="11" t="s">
        <v>15</v>
      </c>
      <c r="C79" s="12" t="s">
        <v>16</v>
      </c>
      <c r="D79" s="11" t="s">
        <v>17</v>
      </c>
      <c r="E79" s="12" t="s">
        <v>18</v>
      </c>
      <c r="F79" s="13" t="s">
        <v>19</v>
      </c>
      <c r="G79" s="12" t="s">
        <v>20</v>
      </c>
      <c r="H79" s="11" t="s">
        <v>21</v>
      </c>
      <c r="I79" s="11" t="s">
        <v>22</v>
      </c>
      <c r="J79" s="13" t="s">
        <v>23</v>
      </c>
      <c r="K79" s="24" t="s">
        <v>24</v>
      </c>
      <c r="L79" s="13" t="s">
        <v>25</v>
      </c>
    </row>
    <row x14ac:dyDescent="0.25" r="80" customHeight="1" ht="33">
      <c r="A80" s="14" t="s">
        <v>26</v>
      </c>
      <c r="B80" s="15">
        <v>0</v>
      </c>
      <c r="C80" s="16">
        <v>0</v>
      </c>
      <c r="D80" s="15">
        <v>318406.4436</v>
      </c>
      <c r="E80" s="16">
        <v>0</v>
      </c>
      <c r="F80" s="38"/>
      <c r="G80" s="16">
        <v>0</v>
      </c>
      <c r="H80" s="15">
        <v>14829.0228</v>
      </c>
      <c r="I80" s="15">
        <v>318406.4436</v>
      </c>
      <c r="J80" s="17">
        <v>1</v>
      </c>
      <c r="K80" s="18"/>
      <c r="L80" s="17">
        <v>1</v>
      </c>
    </row>
    <row x14ac:dyDescent="0.25" r="81" customHeight="1" ht="33">
      <c r="A81" s="14" t="s">
        <v>27</v>
      </c>
      <c r="B81" s="15"/>
      <c r="C81" s="16">
        <v>0</v>
      </c>
      <c r="D81" s="15"/>
      <c r="E81" s="16">
        <v>0</v>
      </c>
      <c r="F81" s="18"/>
      <c r="G81" s="16">
        <v>0</v>
      </c>
      <c r="H81" s="15"/>
      <c r="I81" s="15"/>
      <c r="J81" s="17">
        <v>2</v>
      </c>
      <c r="K81" s="18"/>
      <c r="L81" s="17"/>
    </row>
    <row x14ac:dyDescent="0.25" r="82" customHeight="1" ht="33">
      <c r="A82" s="14" t="s">
        <v>28</v>
      </c>
      <c r="B82" s="15">
        <v>1241323.6503495935</v>
      </c>
      <c r="C82" s="16">
        <v>0</v>
      </c>
      <c r="D82" s="15">
        <v>695603.1349008128</v>
      </c>
      <c r="E82" s="16">
        <v>0</v>
      </c>
      <c r="F82" s="18">
        <v>18329.12</v>
      </c>
      <c r="G82" s="16">
        <v>0</v>
      </c>
      <c r="H82" s="15">
        <v>332233.4476</v>
      </c>
      <c r="I82" s="15">
        <v>3178250.4356</v>
      </c>
      <c r="J82" s="18">
        <v>31</v>
      </c>
      <c r="K82" s="18">
        <v>18</v>
      </c>
      <c r="L82" s="18">
        <v>8</v>
      </c>
    </row>
    <row x14ac:dyDescent="0.25" r="83" customHeight="1" ht="33">
      <c r="A83" s="14" t="s">
        <v>29</v>
      </c>
      <c r="B83" s="15">
        <v>0</v>
      </c>
      <c r="C83" s="16">
        <v>0</v>
      </c>
      <c r="D83" s="15">
        <v>0</v>
      </c>
      <c r="E83" s="16">
        <v>0</v>
      </c>
      <c r="F83" s="18"/>
      <c r="G83" s="16">
        <v>0</v>
      </c>
      <c r="H83" s="15">
        <v>150</v>
      </c>
      <c r="I83" s="15">
        <v>0</v>
      </c>
      <c r="J83" s="18"/>
      <c r="K83" s="18">
        <v>2</v>
      </c>
      <c r="L83" s="18"/>
    </row>
    <row x14ac:dyDescent="0.25" r="84" customHeight="1" ht="18.75">
      <c r="A84" s="14" t="s">
        <v>30</v>
      </c>
      <c r="B84" s="15">
        <v>95196.7295105691</v>
      </c>
      <c r="C84" s="19">
        <v>0</v>
      </c>
      <c r="D84" s="15">
        <v>35926.616578861795</v>
      </c>
      <c r="E84" s="19">
        <v>0</v>
      </c>
      <c r="F84" s="18">
        <v>9271.18</v>
      </c>
      <c r="G84" s="19">
        <v>0</v>
      </c>
      <c r="H84" s="15">
        <v>48199.384399999995</v>
      </c>
      <c r="I84" s="15">
        <v>226320.07559999998</v>
      </c>
      <c r="J84" s="18">
        <v>7</v>
      </c>
      <c r="K84" s="18"/>
      <c r="L84" s="18">
        <v>4</v>
      </c>
    </row>
    <row x14ac:dyDescent="0.25" r="85" customHeight="1" ht="18.75">
      <c r="A85" s="14" t="s">
        <v>31</v>
      </c>
      <c r="B85" s="15">
        <v>4405042.098700818</v>
      </c>
      <c r="C85" s="19">
        <v>0</v>
      </c>
      <c r="D85" s="15">
        <v>1295489.8129983672</v>
      </c>
      <c r="E85" s="19">
        <v>0</v>
      </c>
      <c r="F85" s="18">
        <v>151274.55</v>
      </c>
      <c r="G85" s="19">
        <v>0</v>
      </c>
      <c r="H85" s="15">
        <v>2783625.548</v>
      </c>
      <c r="I85" s="15">
        <v>10105574.010400003</v>
      </c>
      <c r="J85" s="18">
        <v>236</v>
      </c>
      <c r="K85" s="18">
        <v>102</v>
      </c>
      <c r="L85" s="18">
        <v>56</v>
      </c>
    </row>
    <row x14ac:dyDescent="0.25" r="86" customHeight="1" ht="18.75">
      <c r="A86" s="14" t="s">
        <v>32</v>
      </c>
      <c r="B86" s="15"/>
      <c r="C86" s="19">
        <v>0</v>
      </c>
      <c r="D86" s="15"/>
      <c r="E86" s="19">
        <v>0</v>
      </c>
      <c r="F86" s="18"/>
      <c r="G86" s="19">
        <v>0</v>
      </c>
      <c r="H86" s="15"/>
      <c r="I86" s="15"/>
      <c r="J86" s="18"/>
      <c r="K86" s="18"/>
      <c r="L86" s="18"/>
    </row>
    <row x14ac:dyDescent="0.25" r="87" customHeight="1" ht="18.75">
      <c r="A87" s="14" t="s">
        <v>33</v>
      </c>
      <c r="B87" s="15"/>
      <c r="C87" s="19">
        <v>0</v>
      </c>
      <c r="D87" s="15"/>
      <c r="E87" s="19">
        <v>0</v>
      </c>
      <c r="F87" s="20"/>
      <c r="G87" s="19">
        <v>0</v>
      </c>
      <c r="H87" s="15"/>
      <c r="I87" s="15"/>
      <c r="J87" s="18"/>
      <c r="K87" s="18"/>
      <c r="L87" s="18"/>
    </row>
    <row x14ac:dyDescent="0.25" r="88" customHeight="1" ht="18.75">
      <c r="A88" s="14" t="s">
        <v>34</v>
      </c>
      <c r="B88" s="21"/>
      <c r="C88" s="19">
        <v>0</v>
      </c>
      <c r="D88" s="21"/>
      <c r="E88" s="19">
        <v>0</v>
      </c>
      <c r="F88" s="20"/>
      <c r="G88" s="19">
        <v>0</v>
      </c>
      <c r="H88" s="15"/>
      <c r="I88" s="15"/>
      <c r="J88" s="18"/>
      <c r="K88" s="20"/>
      <c r="L88" s="18"/>
    </row>
    <row x14ac:dyDescent="0.25" r="89" customHeight="1" ht="18.75">
      <c r="A89" s="22"/>
      <c r="B89" s="2"/>
      <c r="C89" s="3"/>
      <c r="D89" s="2"/>
      <c r="E89" s="3"/>
      <c r="F89" s="4"/>
      <c r="G89" s="3"/>
      <c r="H89" s="2"/>
      <c r="I89" s="2"/>
      <c r="J89" s="4"/>
      <c r="K89" s="4"/>
      <c r="L89" s="4"/>
    </row>
    <row x14ac:dyDescent="0.25" r="90" customHeight="1" ht="18.75">
      <c r="A90" s="6">
        <v>45139</v>
      </c>
      <c r="B90" s="2"/>
      <c r="C90" s="3"/>
      <c r="D90" s="2"/>
      <c r="E90" s="3"/>
      <c r="F90" s="4"/>
      <c r="G90" s="3"/>
      <c r="H90" s="2"/>
      <c r="I90" s="2"/>
      <c r="J90" s="4"/>
      <c r="K90" s="4"/>
      <c r="L90" s="4"/>
    </row>
    <row x14ac:dyDescent="0.25" r="91" customHeight="1" ht="33">
      <c r="A91" s="10" t="s">
        <v>14</v>
      </c>
      <c r="B91" s="11" t="s">
        <v>15</v>
      </c>
      <c r="C91" s="12" t="s">
        <v>16</v>
      </c>
      <c r="D91" s="11" t="s">
        <v>17</v>
      </c>
      <c r="E91" s="12" t="s">
        <v>18</v>
      </c>
      <c r="F91" s="13" t="s">
        <v>19</v>
      </c>
      <c r="G91" s="12" t="s">
        <v>20</v>
      </c>
      <c r="H91" s="11" t="s">
        <v>21</v>
      </c>
      <c r="I91" s="11" t="s">
        <v>22</v>
      </c>
      <c r="J91" s="13" t="s">
        <v>23</v>
      </c>
      <c r="K91" s="24" t="s">
        <v>24</v>
      </c>
      <c r="L91" s="13" t="s">
        <v>25</v>
      </c>
    </row>
    <row x14ac:dyDescent="0.25" r="92" customHeight="1" ht="33">
      <c r="A92" s="14" t="s">
        <v>26</v>
      </c>
      <c r="B92" s="15"/>
      <c r="C92" s="16">
        <v>0</v>
      </c>
      <c r="D92" s="15"/>
      <c r="E92" s="16">
        <v>0</v>
      </c>
      <c r="F92" s="38"/>
      <c r="G92" s="16">
        <v>0</v>
      </c>
      <c r="H92" s="15"/>
      <c r="I92" s="15"/>
      <c r="J92" s="18"/>
      <c r="K92" s="18"/>
      <c r="L92" s="18"/>
    </row>
    <row x14ac:dyDescent="0.25" r="93" customHeight="1" ht="33">
      <c r="A93" s="14" t="s">
        <v>27</v>
      </c>
      <c r="B93" s="15">
        <v>0</v>
      </c>
      <c r="C93" s="16">
        <v>0</v>
      </c>
      <c r="D93" s="15">
        <v>0</v>
      </c>
      <c r="E93" s="16">
        <v>0</v>
      </c>
      <c r="F93" s="18"/>
      <c r="G93" s="16">
        <v>0</v>
      </c>
      <c r="H93" s="15">
        <v>1994.024</v>
      </c>
      <c r="I93" s="15">
        <v>0</v>
      </c>
      <c r="J93" s="18">
        <v>2</v>
      </c>
      <c r="K93" s="18"/>
      <c r="L93" s="18"/>
    </row>
    <row x14ac:dyDescent="0.25" r="94" customHeight="1" ht="33">
      <c r="A94" s="14" t="s">
        <v>28</v>
      </c>
      <c r="B94" s="15">
        <v>1694366.5754428185</v>
      </c>
      <c r="C94" s="16">
        <v>0</v>
      </c>
      <c r="D94" s="15">
        <v>1630810.6323143637</v>
      </c>
      <c r="E94" s="16">
        <v>0</v>
      </c>
      <c r="F94" s="18"/>
      <c r="G94" s="16">
        <v>0</v>
      </c>
      <c r="H94" s="15">
        <v>387299.74040000007</v>
      </c>
      <c r="I94" s="15">
        <v>5019543.7832</v>
      </c>
      <c r="J94" s="18">
        <v>39</v>
      </c>
      <c r="K94" s="18">
        <v>22</v>
      </c>
      <c r="L94" s="18">
        <v>14</v>
      </c>
    </row>
    <row x14ac:dyDescent="0.25" r="95" customHeight="1" ht="33">
      <c r="A95" s="14" t="s">
        <v>29</v>
      </c>
      <c r="B95" s="15">
        <v>63557.80890840109</v>
      </c>
      <c r="C95" s="16">
        <v>0</v>
      </c>
      <c r="D95" s="15">
        <v>44266.31978319783</v>
      </c>
      <c r="E95" s="16">
        <v>0</v>
      </c>
      <c r="F95" s="18"/>
      <c r="G95" s="16">
        <v>0</v>
      </c>
      <c r="H95" s="15">
        <v>4620.3844</v>
      </c>
      <c r="I95" s="15">
        <v>171381.9376</v>
      </c>
      <c r="J95" s="18"/>
      <c r="K95" s="18">
        <v>1</v>
      </c>
      <c r="L95" s="18"/>
    </row>
    <row x14ac:dyDescent="0.25" r="96" customHeight="1" ht="18.75">
      <c r="A96" s="14" t="s">
        <v>30</v>
      </c>
      <c r="B96" s="15">
        <v>2205515.334773442</v>
      </c>
      <c r="C96" s="19">
        <v>0</v>
      </c>
      <c r="D96" s="15">
        <v>864667.3288531166</v>
      </c>
      <c r="E96" s="19">
        <v>0</v>
      </c>
      <c r="F96" s="18">
        <v>60557.45</v>
      </c>
      <c r="G96" s="19">
        <v>0</v>
      </c>
      <c r="H96" s="15">
        <v>505724.6964</v>
      </c>
      <c r="I96" s="15">
        <v>5275697.998399999</v>
      </c>
      <c r="J96" s="18">
        <v>1</v>
      </c>
      <c r="K96" s="18">
        <v>4</v>
      </c>
      <c r="L96" s="18">
        <v>1</v>
      </c>
    </row>
    <row x14ac:dyDescent="0.25" r="97" customHeight="1" ht="18.75">
      <c r="A97" s="14" t="s">
        <v>31</v>
      </c>
      <c r="B97" s="15">
        <v>5795711.859443064</v>
      </c>
      <c r="C97" s="19">
        <v>0</v>
      </c>
      <c r="D97" s="15">
        <v>1472203.3003138704</v>
      </c>
      <c r="E97" s="19">
        <v>0</v>
      </c>
      <c r="F97" s="18">
        <v>123343.43999999986</v>
      </c>
      <c r="G97" s="19">
        <v>0</v>
      </c>
      <c r="H97" s="15">
        <v>3465758.7295999974</v>
      </c>
      <c r="I97" s="15">
        <v>13063627.019199999</v>
      </c>
      <c r="J97" s="18">
        <v>225</v>
      </c>
      <c r="K97" s="18">
        <v>126</v>
      </c>
      <c r="L97" s="18">
        <v>55</v>
      </c>
    </row>
    <row x14ac:dyDescent="0.25" r="98" customHeight="1" ht="18.75">
      <c r="A98" s="14" t="s">
        <v>32</v>
      </c>
      <c r="B98" s="15"/>
      <c r="C98" s="19">
        <v>0</v>
      </c>
      <c r="D98" s="15"/>
      <c r="E98" s="19">
        <v>0</v>
      </c>
      <c r="F98" s="18"/>
      <c r="G98" s="19">
        <v>0</v>
      </c>
      <c r="H98" s="15"/>
      <c r="I98" s="15"/>
      <c r="J98" s="18"/>
      <c r="K98" s="18"/>
      <c r="L98" s="18"/>
    </row>
    <row x14ac:dyDescent="0.25" r="99" customHeight="1" ht="18.75">
      <c r="A99" s="14" t="s">
        <v>33</v>
      </c>
      <c r="B99" s="15"/>
      <c r="C99" s="19">
        <v>0</v>
      </c>
      <c r="D99" s="15"/>
      <c r="E99" s="19">
        <v>0</v>
      </c>
      <c r="F99" s="20"/>
      <c r="G99" s="19">
        <v>0</v>
      </c>
      <c r="H99" s="15"/>
      <c r="I99" s="15"/>
      <c r="J99" s="18"/>
      <c r="K99" s="18"/>
      <c r="L99" s="20"/>
    </row>
    <row x14ac:dyDescent="0.25" r="100" customHeight="1" ht="18.75">
      <c r="A100" s="14" t="s">
        <v>34</v>
      </c>
      <c r="B100" s="34">
        <v>41520.2592</v>
      </c>
      <c r="C100" s="19">
        <v>0</v>
      </c>
      <c r="D100" s="15">
        <v>0</v>
      </c>
      <c r="E100" s="19">
        <v>0</v>
      </c>
      <c r="F100" s="20"/>
      <c r="G100" s="19">
        <v>0</v>
      </c>
      <c r="H100" s="34">
        <v>3631.8896</v>
      </c>
      <c r="I100" s="15">
        <v>83040.5184</v>
      </c>
      <c r="J100" s="18"/>
      <c r="K100" s="20"/>
      <c r="L100" s="20"/>
    </row>
    <row x14ac:dyDescent="0.25" r="101" customHeight="1" ht="18.75">
      <c r="A101" s="22"/>
      <c r="B101" s="2"/>
      <c r="C101" s="3"/>
      <c r="D101" s="2"/>
      <c r="E101" s="3"/>
      <c r="F101" s="4"/>
      <c r="G101" s="3"/>
      <c r="H101" s="2"/>
      <c r="I101" s="2"/>
      <c r="J101" s="4"/>
      <c r="K101" s="4"/>
      <c r="L101" s="4"/>
    </row>
    <row x14ac:dyDescent="0.25" r="102" customHeight="1" ht="18.75">
      <c r="A102" s="6">
        <v>45170</v>
      </c>
      <c r="B102" s="2"/>
      <c r="C102" s="3"/>
      <c r="D102" s="2"/>
      <c r="E102" s="3"/>
      <c r="F102" s="4"/>
      <c r="G102" s="3"/>
      <c r="H102" s="2"/>
      <c r="I102" s="2"/>
      <c r="J102" s="4"/>
      <c r="K102" s="4"/>
      <c r="L102" s="4"/>
    </row>
    <row x14ac:dyDescent="0.25" r="103" customHeight="1" ht="33">
      <c r="A103" s="10" t="s">
        <v>14</v>
      </c>
      <c r="B103" s="11" t="s">
        <v>15</v>
      </c>
      <c r="C103" s="12" t="s">
        <v>16</v>
      </c>
      <c r="D103" s="11" t="s">
        <v>17</v>
      </c>
      <c r="E103" s="12" t="s">
        <v>18</v>
      </c>
      <c r="F103" s="13" t="s">
        <v>19</v>
      </c>
      <c r="G103" s="12" t="s">
        <v>20</v>
      </c>
      <c r="H103" s="11" t="s">
        <v>21</v>
      </c>
      <c r="I103" s="11" t="s">
        <v>22</v>
      </c>
      <c r="J103" s="13" t="s">
        <v>23</v>
      </c>
      <c r="K103" s="24" t="s">
        <v>24</v>
      </c>
      <c r="L103" s="13" t="s">
        <v>25</v>
      </c>
    </row>
    <row x14ac:dyDescent="0.25" r="104" customHeight="1" ht="33">
      <c r="A104" s="14" t="s">
        <v>26</v>
      </c>
      <c r="B104" s="15">
        <v>39916.40831869919</v>
      </c>
      <c r="C104" s="16">
        <v>0</v>
      </c>
      <c r="D104" s="15">
        <v>10913.26016260163</v>
      </c>
      <c r="E104" s="16">
        <v>0</v>
      </c>
      <c r="F104" s="17"/>
      <c r="G104" s="16">
        <v>0</v>
      </c>
      <c r="H104" s="15">
        <v>7055.936799999999</v>
      </c>
      <c r="I104" s="15">
        <v>90746.07680000001</v>
      </c>
      <c r="J104" s="17">
        <v>5</v>
      </c>
      <c r="K104" s="18"/>
      <c r="L104" s="17">
        <v>1</v>
      </c>
    </row>
    <row x14ac:dyDescent="0.25" r="105" customHeight="1" ht="33">
      <c r="A105" s="14" t="s">
        <v>27</v>
      </c>
      <c r="B105" s="15"/>
      <c r="C105" s="16">
        <v>0</v>
      </c>
      <c r="D105" s="15"/>
      <c r="E105" s="16">
        <v>0</v>
      </c>
      <c r="F105" s="25"/>
      <c r="G105" s="16">
        <v>0</v>
      </c>
      <c r="H105" s="15"/>
      <c r="I105" s="15"/>
      <c r="J105" s="18"/>
      <c r="K105" s="18"/>
      <c r="L105" s="17"/>
    </row>
    <row x14ac:dyDescent="0.25" r="106" customHeight="1" ht="33">
      <c r="A106" s="14" t="s">
        <v>28</v>
      </c>
      <c r="B106" s="15">
        <v>2316871.62337561</v>
      </c>
      <c r="C106" s="16">
        <v>0</v>
      </c>
      <c r="D106" s="15">
        <v>916166.6032487806</v>
      </c>
      <c r="E106" s="16">
        <v>0</v>
      </c>
      <c r="F106" s="18"/>
      <c r="G106" s="16">
        <v>0</v>
      </c>
      <c r="H106" s="15">
        <v>702175.3716000001</v>
      </c>
      <c r="I106" s="15">
        <v>5549909.85</v>
      </c>
      <c r="J106" s="18">
        <v>35</v>
      </c>
      <c r="K106" s="18">
        <v>16</v>
      </c>
      <c r="L106" s="18">
        <v>20</v>
      </c>
    </row>
    <row x14ac:dyDescent="0.25" r="107" customHeight="1" ht="33">
      <c r="A107" s="14" t="s">
        <v>29</v>
      </c>
      <c r="B107" s="15">
        <v>119424.21925907857</v>
      </c>
      <c r="C107" s="16">
        <v>0</v>
      </c>
      <c r="D107" s="15">
        <v>117244.18428184281</v>
      </c>
      <c r="E107" s="16">
        <v>0</v>
      </c>
      <c r="F107" s="18"/>
      <c r="G107" s="16">
        <v>0</v>
      </c>
      <c r="H107" s="15">
        <v>31412.714400000004</v>
      </c>
      <c r="I107" s="15">
        <v>356092.6228</v>
      </c>
      <c r="J107" s="18">
        <v>3</v>
      </c>
      <c r="K107" s="18"/>
      <c r="L107" s="18">
        <v>1</v>
      </c>
    </row>
    <row x14ac:dyDescent="0.25" r="108" customHeight="1" ht="18.75">
      <c r="A108" s="14" t="s">
        <v>30</v>
      </c>
      <c r="B108" s="15">
        <v>748083.3084569107</v>
      </c>
      <c r="C108" s="19">
        <v>0</v>
      </c>
      <c r="D108" s="15">
        <v>1625911.4838861788</v>
      </c>
      <c r="E108" s="19">
        <v>0</v>
      </c>
      <c r="F108" s="18"/>
      <c r="G108" s="19">
        <v>0</v>
      </c>
      <c r="H108" s="15">
        <v>234191.90559999997</v>
      </c>
      <c r="I108" s="15">
        <v>3122078.1007999997</v>
      </c>
      <c r="J108" s="18">
        <v>5</v>
      </c>
      <c r="K108" s="18">
        <v>3</v>
      </c>
      <c r="L108" s="18">
        <v>2</v>
      </c>
    </row>
    <row x14ac:dyDescent="0.25" r="109" customHeight="1" ht="18.75">
      <c r="A109" s="14" t="s">
        <v>31</v>
      </c>
      <c r="B109" s="35">
        <v>6733240.213411299</v>
      </c>
      <c r="C109" s="19">
        <v>0</v>
      </c>
      <c r="D109" s="35">
        <v>401809.698777398</v>
      </c>
      <c r="E109" s="19">
        <v>0</v>
      </c>
      <c r="F109" s="18">
        <v>25166.65</v>
      </c>
      <c r="G109" s="19">
        <v>0</v>
      </c>
      <c r="H109" s="35">
        <v>2921405.3152</v>
      </c>
      <c r="I109" s="35">
        <v>13868290.125599995</v>
      </c>
      <c r="J109" s="18">
        <v>199</v>
      </c>
      <c r="K109" s="18">
        <v>107</v>
      </c>
      <c r="L109" s="18">
        <v>47</v>
      </c>
    </row>
    <row x14ac:dyDescent="0.25" r="110" customHeight="1" ht="18.75">
      <c r="A110" s="14" t="s">
        <v>32</v>
      </c>
      <c r="B110" s="15"/>
      <c r="C110" s="19">
        <v>0</v>
      </c>
      <c r="D110" s="15"/>
      <c r="E110" s="19">
        <v>0</v>
      </c>
      <c r="F110" s="18"/>
      <c r="G110" s="19">
        <v>0</v>
      </c>
      <c r="H110" s="15"/>
      <c r="I110" s="15"/>
      <c r="J110" s="18"/>
      <c r="K110" s="18"/>
      <c r="L110" s="18"/>
    </row>
    <row x14ac:dyDescent="0.25" r="111" customHeight="1" ht="18.75">
      <c r="A111" s="14" t="s">
        <v>33</v>
      </c>
      <c r="B111" s="15"/>
      <c r="C111" s="19">
        <v>0</v>
      </c>
      <c r="D111" s="15"/>
      <c r="E111" s="19">
        <v>0</v>
      </c>
      <c r="F111" s="20"/>
      <c r="G111" s="19">
        <v>0</v>
      </c>
      <c r="H111" s="15"/>
      <c r="I111" s="15"/>
      <c r="J111" s="18"/>
      <c r="K111" s="18">
        <v>1</v>
      </c>
      <c r="L111" s="18"/>
    </row>
    <row x14ac:dyDescent="0.25" r="112" customHeight="1" ht="18.75">
      <c r="A112" s="14" t="s">
        <v>34</v>
      </c>
      <c r="B112" s="15"/>
      <c r="C112" s="19">
        <v>0</v>
      </c>
      <c r="D112" s="15"/>
      <c r="E112" s="19">
        <v>0</v>
      </c>
      <c r="F112" s="20"/>
      <c r="G112" s="19">
        <v>0</v>
      </c>
      <c r="H112" s="21"/>
      <c r="I112" s="15"/>
      <c r="J112" s="18"/>
      <c r="K112" s="20"/>
      <c r="L112" s="18"/>
    </row>
    <row x14ac:dyDescent="0.25" r="113" customHeight="1" ht="18.75">
      <c r="A113" s="22"/>
      <c r="B113" s="2"/>
      <c r="C113" s="3"/>
      <c r="D113" s="2"/>
      <c r="E113" s="3"/>
      <c r="F113" s="4"/>
      <c r="G113" s="3"/>
      <c r="H113" s="2"/>
      <c r="I113" s="2"/>
      <c r="J113" s="4"/>
      <c r="K113" s="4"/>
      <c r="L113" s="4"/>
    </row>
    <row x14ac:dyDescent="0.25" r="114" customHeight="1" ht="18.75">
      <c r="A114" s="6">
        <v>45200</v>
      </c>
      <c r="B114" s="2"/>
      <c r="C114" s="3"/>
      <c r="D114" s="2"/>
      <c r="E114" s="3"/>
      <c r="F114" s="4"/>
      <c r="G114" s="3"/>
      <c r="H114" s="2"/>
      <c r="I114" s="2"/>
      <c r="J114" s="4"/>
      <c r="K114" s="4"/>
      <c r="L114" s="4"/>
    </row>
    <row x14ac:dyDescent="0.25" r="115" customHeight="1" ht="33">
      <c r="A115" s="10" t="s">
        <v>14</v>
      </c>
      <c r="B115" s="11" t="s">
        <v>15</v>
      </c>
      <c r="C115" s="12" t="s">
        <v>16</v>
      </c>
      <c r="D115" s="11" t="s">
        <v>17</v>
      </c>
      <c r="E115" s="12" t="s">
        <v>18</v>
      </c>
      <c r="F115" s="13" t="s">
        <v>19</v>
      </c>
      <c r="G115" s="12" t="s">
        <v>20</v>
      </c>
      <c r="H115" s="11" t="s">
        <v>21</v>
      </c>
      <c r="I115" s="11" t="s">
        <v>22</v>
      </c>
      <c r="J115" s="13" t="s">
        <v>23</v>
      </c>
      <c r="K115" s="24" t="s">
        <v>24</v>
      </c>
      <c r="L115" s="13" t="s">
        <v>25</v>
      </c>
    </row>
    <row x14ac:dyDescent="0.25" r="116" customHeight="1" ht="33">
      <c r="A116" s="14" t="s">
        <v>26</v>
      </c>
      <c r="B116" s="15"/>
      <c r="C116" s="16">
        <v>0</v>
      </c>
      <c r="D116" s="15"/>
      <c r="E116" s="16">
        <v>0</v>
      </c>
      <c r="F116" s="17"/>
      <c r="G116" s="16">
        <v>0</v>
      </c>
      <c r="H116" s="15"/>
      <c r="I116" s="15"/>
      <c r="J116" s="17">
        <v>3</v>
      </c>
      <c r="K116" s="18"/>
      <c r="L116" s="17"/>
    </row>
    <row x14ac:dyDescent="0.25" r="117" customHeight="1" ht="33">
      <c r="A117" s="14" t="s">
        <v>27</v>
      </c>
      <c r="B117" s="15"/>
      <c r="C117" s="16">
        <v>0</v>
      </c>
      <c r="D117" s="15"/>
      <c r="E117" s="16">
        <v>0</v>
      </c>
      <c r="F117" s="18"/>
      <c r="G117" s="16">
        <v>0</v>
      </c>
      <c r="H117" s="15"/>
      <c r="I117" s="15"/>
      <c r="J117" s="18">
        <v>1</v>
      </c>
      <c r="K117" s="18"/>
      <c r="L117" s="18"/>
    </row>
    <row x14ac:dyDescent="0.25" r="118" customHeight="1" ht="33">
      <c r="A118" s="14" t="s">
        <v>28</v>
      </c>
      <c r="B118" s="35">
        <v>1086070.468056911</v>
      </c>
      <c r="C118" s="16">
        <v>0</v>
      </c>
      <c r="D118" s="35">
        <v>1541696.375486179</v>
      </c>
      <c r="E118" s="16">
        <v>0</v>
      </c>
      <c r="F118" s="18">
        <v>32990.270000000004</v>
      </c>
      <c r="G118" s="16">
        <v>0</v>
      </c>
      <c r="H118" s="35">
        <v>435042.69919999986</v>
      </c>
      <c r="I118" s="35">
        <v>3713837.3116</v>
      </c>
      <c r="J118" s="18">
        <v>38</v>
      </c>
      <c r="K118" s="18">
        <v>27</v>
      </c>
      <c r="L118" s="18">
        <v>11</v>
      </c>
    </row>
    <row x14ac:dyDescent="0.25" r="119" customHeight="1" ht="33">
      <c r="A119" s="14" t="s">
        <v>29</v>
      </c>
      <c r="B119" s="15">
        <v>26149.76495121951</v>
      </c>
      <c r="C119" s="16">
        <v>0</v>
      </c>
      <c r="D119" s="15">
        <v>42501.75609756097</v>
      </c>
      <c r="E119" s="16">
        <v>0</v>
      </c>
      <c r="F119" s="18"/>
      <c r="G119" s="16">
        <v>0</v>
      </c>
      <c r="H119" s="15">
        <v>2611.0264</v>
      </c>
      <c r="I119" s="15">
        <v>94801.286</v>
      </c>
      <c r="J119" s="18"/>
      <c r="K119" s="18"/>
      <c r="L119" s="18"/>
    </row>
    <row x14ac:dyDescent="0.25" r="120" customHeight="1" ht="18.75">
      <c r="A120" s="14" t="s">
        <v>30</v>
      </c>
      <c r="B120" s="15">
        <v>0</v>
      </c>
      <c r="C120" s="19">
        <v>0</v>
      </c>
      <c r="D120" s="15">
        <v>49431.36</v>
      </c>
      <c r="E120" s="19">
        <v>0</v>
      </c>
      <c r="F120" s="18">
        <v>49586.88</v>
      </c>
      <c r="G120" s="19">
        <v>0</v>
      </c>
      <c r="H120" s="15">
        <v>8430.903199999999</v>
      </c>
      <c r="I120" s="15">
        <v>49431.36</v>
      </c>
      <c r="J120" s="18">
        <v>3</v>
      </c>
      <c r="K120" s="18">
        <v>2</v>
      </c>
      <c r="L120" s="18">
        <v>2</v>
      </c>
    </row>
    <row x14ac:dyDescent="0.25" r="121" customHeight="1" ht="18.75">
      <c r="A121" s="14" t="s">
        <v>31</v>
      </c>
      <c r="B121" s="35">
        <v>5442633.456289315</v>
      </c>
      <c r="C121" s="19">
        <v>0</v>
      </c>
      <c r="D121" s="35">
        <v>1349788.2626213722</v>
      </c>
      <c r="E121" s="19">
        <v>0</v>
      </c>
      <c r="F121" s="18">
        <v>221723.75000000015</v>
      </c>
      <c r="G121" s="19">
        <v>0</v>
      </c>
      <c r="H121" s="35">
        <v>4444429.099199996</v>
      </c>
      <c r="I121" s="35">
        <v>12235055.175199999</v>
      </c>
      <c r="J121" s="18">
        <v>218</v>
      </c>
      <c r="K121" s="18">
        <v>109</v>
      </c>
      <c r="L121" s="18">
        <v>56</v>
      </c>
    </row>
    <row x14ac:dyDescent="0.25" r="122" customHeight="1" ht="18.75">
      <c r="A122" s="14" t="s">
        <v>32</v>
      </c>
      <c r="B122" s="15"/>
      <c r="C122" s="19">
        <v>0</v>
      </c>
      <c r="D122" s="15"/>
      <c r="E122" s="19">
        <v>0</v>
      </c>
      <c r="F122" s="18"/>
      <c r="G122" s="19">
        <v>0</v>
      </c>
      <c r="H122" s="15"/>
      <c r="I122" s="15"/>
      <c r="J122" s="18"/>
      <c r="K122" s="18"/>
      <c r="L122" s="18"/>
    </row>
    <row x14ac:dyDescent="0.25" r="123" customHeight="1" ht="18.75">
      <c r="A123" s="14" t="s">
        <v>33</v>
      </c>
      <c r="B123" s="15"/>
      <c r="C123" s="19">
        <v>0</v>
      </c>
      <c r="D123" s="15"/>
      <c r="E123" s="19">
        <v>0</v>
      </c>
      <c r="F123" s="33"/>
      <c r="G123" s="19">
        <v>0</v>
      </c>
      <c r="H123" s="15"/>
      <c r="I123" s="15"/>
      <c r="J123" s="18"/>
      <c r="K123" s="18"/>
      <c r="L123" s="18"/>
    </row>
    <row x14ac:dyDescent="0.25" r="124" customHeight="1" ht="18.75">
      <c r="A124" s="14" t="s">
        <v>34</v>
      </c>
      <c r="B124" s="21"/>
      <c r="C124" s="19">
        <v>0</v>
      </c>
      <c r="D124" s="15"/>
      <c r="E124" s="19">
        <v>0</v>
      </c>
      <c r="F124" s="20"/>
      <c r="G124" s="19">
        <v>0</v>
      </c>
      <c r="H124" s="15"/>
      <c r="I124" s="15"/>
      <c r="J124" s="18"/>
      <c r="K124" s="18"/>
      <c r="L124" s="20"/>
    </row>
    <row x14ac:dyDescent="0.25" r="125" customHeight="1" ht="18.75">
      <c r="A125" s="22"/>
      <c r="B125" s="2"/>
      <c r="C125" s="3"/>
      <c r="D125" s="2"/>
      <c r="E125" s="3"/>
      <c r="F125" s="4"/>
      <c r="G125" s="3"/>
      <c r="H125" s="2"/>
      <c r="I125" s="2"/>
      <c r="J125" s="4"/>
      <c r="K125" s="4"/>
      <c r="L125" s="4"/>
    </row>
    <row x14ac:dyDescent="0.25" r="126" customHeight="1" ht="18.75">
      <c r="A126" s="6">
        <v>45231</v>
      </c>
      <c r="B126" s="2"/>
      <c r="C126" s="3"/>
      <c r="D126" s="2"/>
      <c r="E126" s="3"/>
      <c r="F126" s="4"/>
      <c r="G126" s="3"/>
      <c r="H126" s="2"/>
      <c r="I126" s="2"/>
      <c r="J126" s="4"/>
      <c r="K126" s="4"/>
      <c r="L126" s="4"/>
    </row>
    <row x14ac:dyDescent="0.25" r="127" customHeight="1" ht="33">
      <c r="A127" s="10" t="s">
        <v>14</v>
      </c>
      <c r="B127" s="11" t="s">
        <v>15</v>
      </c>
      <c r="C127" s="12" t="s">
        <v>16</v>
      </c>
      <c r="D127" s="11" t="s">
        <v>17</v>
      </c>
      <c r="E127" s="12" t="s">
        <v>18</v>
      </c>
      <c r="F127" s="13" t="s">
        <v>19</v>
      </c>
      <c r="G127" s="12" t="s">
        <v>20</v>
      </c>
      <c r="H127" s="11" t="s">
        <v>21</v>
      </c>
      <c r="I127" s="11" t="s">
        <v>22</v>
      </c>
      <c r="J127" s="13" t="s">
        <v>23</v>
      </c>
      <c r="K127" s="24" t="s">
        <v>24</v>
      </c>
      <c r="L127" s="13" t="s">
        <v>25</v>
      </c>
    </row>
    <row x14ac:dyDescent="0.25" r="128" customHeight="1" ht="33">
      <c r="A128" s="14" t="s">
        <v>26</v>
      </c>
      <c r="B128" s="15"/>
      <c r="C128" s="16">
        <v>0</v>
      </c>
      <c r="D128" s="15"/>
      <c r="E128" s="16">
        <v>0</v>
      </c>
      <c r="F128" s="17"/>
      <c r="G128" s="16">
        <v>0</v>
      </c>
      <c r="H128" s="15"/>
      <c r="I128" s="15"/>
      <c r="J128" s="18">
        <v>4</v>
      </c>
      <c r="K128" s="18"/>
      <c r="L128" s="18">
        <v>2</v>
      </c>
    </row>
    <row x14ac:dyDescent="0.25" r="129" customHeight="1" ht="33">
      <c r="A129" s="14" t="s">
        <v>27</v>
      </c>
      <c r="B129" s="15"/>
      <c r="C129" s="16">
        <v>0</v>
      </c>
      <c r="D129" s="15"/>
      <c r="E129" s="16">
        <v>0</v>
      </c>
      <c r="F129" s="18"/>
      <c r="G129" s="16">
        <v>0</v>
      </c>
      <c r="H129" s="15"/>
      <c r="I129" s="15"/>
      <c r="J129" s="18">
        <v>2</v>
      </c>
      <c r="K129" s="18">
        <v>1</v>
      </c>
      <c r="L129" s="18"/>
    </row>
    <row x14ac:dyDescent="0.25" r="130" customHeight="1" ht="33">
      <c r="A130" s="14" t="s">
        <v>28</v>
      </c>
      <c r="B130" s="15">
        <v>740353.0575403796</v>
      </c>
      <c r="C130" s="16">
        <v>0</v>
      </c>
      <c r="D130" s="15">
        <v>793307.1929192411</v>
      </c>
      <c r="E130" s="16">
        <v>0</v>
      </c>
      <c r="F130" s="18"/>
      <c r="G130" s="16">
        <v>0</v>
      </c>
      <c r="H130" s="15">
        <v>385236.09279999987</v>
      </c>
      <c r="I130" s="15">
        <v>2274013.3079999997</v>
      </c>
      <c r="J130" s="18">
        <v>41</v>
      </c>
      <c r="K130" s="18">
        <v>20</v>
      </c>
      <c r="L130" s="18">
        <v>16</v>
      </c>
    </row>
    <row x14ac:dyDescent="0.25" r="131" customHeight="1" ht="33">
      <c r="A131" s="14" t="s">
        <v>29</v>
      </c>
      <c r="B131" s="15"/>
      <c r="C131" s="16">
        <v>0</v>
      </c>
      <c r="D131" s="15"/>
      <c r="E131" s="16">
        <v>0</v>
      </c>
      <c r="F131" s="18"/>
      <c r="G131" s="16">
        <v>0</v>
      </c>
      <c r="H131" s="15"/>
      <c r="I131" s="15"/>
      <c r="J131" s="18">
        <v>1</v>
      </c>
      <c r="K131" s="18"/>
      <c r="L131" s="18"/>
    </row>
    <row x14ac:dyDescent="0.25" r="132" customHeight="1" ht="18.75">
      <c r="A132" s="14" t="s">
        <v>30</v>
      </c>
      <c r="B132" s="15">
        <v>283288.6376878049</v>
      </c>
      <c r="C132" s="19">
        <v>0</v>
      </c>
      <c r="D132" s="15">
        <v>184243.29502439022</v>
      </c>
      <c r="E132" s="19">
        <v>0</v>
      </c>
      <c r="F132" s="18"/>
      <c r="G132" s="19">
        <v>0</v>
      </c>
      <c r="H132" s="15">
        <v>77767.9996</v>
      </c>
      <c r="I132" s="15">
        <v>750820.5704</v>
      </c>
      <c r="J132" s="18">
        <v>6</v>
      </c>
      <c r="K132" s="18">
        <v>3</v>
      </c>
      <c r="L132" s="18">
        <v>2</v>
      </c>
    </row>
    <row x14ac:dyDescent="0.25" r="133" customHeight="1" ht="18.75">
      <c r="A133" s="14" t="s">
        <v>31</v>
      </c>
      <c r="B133" s="35">
        <v>4699621.611967123</v>
      </c>
      <c r="C133" s="19">
        <v>0</v>
      </c>
      <c r="D133" s="35">
        <v>1250448.6144657512</v>
      </c>
      <c r="E133" s="19">
        <v>0</v>
      </c>
      <c r="F133" s="18">
        <v>59403.029999999984</v>
      </c>
      <c r="G133" s="19">
        <v>0</v>
      </c>
      <c r="H133" s="35">
        <v>2802511.311200001</v>
      </c>
      <c r="I133" s="35">
        <v>10649691.838399999</v>
      </c>
      <c r="J133" s="18">
        <v>196</v>
      </c>
      <c r="K133" s="18">
        <v>80</v>
      </c>
      <c r="L133" s="18">
        <v>39</v>
      </c>
    </row>
    <row x14ac:dyDescent="0.25" r="134" customHeight="1" ht="18.75">
      <c r="A134" s="14" t="s">
        <v>32</v>
      </c>
      <c r="B134" s="15"/>
      <c r="C134" s="19">
        <v>0</v>
      </c>
      <c r="D134" s="15"/>
      <c r="E134" s="19">
        <v>0</v>
      </c>
      <c r="F134" s="25"/>
      <c r="G134" s="19">
        <v>0</v>
      </c>
      <c r="H134" s="15"/>
      <c r="I134" s="15"/>
      <c r="J134" s="18"/>
      <c r="K134" s="18"/>
      <c r="L134" s="18"/>
    </row>
    <row x14ac:dyDescent="0.25" r="135" customHeight="1" ht="18.75">
      <c r="A135" s="14" t="s">
        <v>33</v>
      </c>
      <c r="B135" s="15"/>
      <c r="C135" s="19">
        <v>0</v>
      </c>
      <c r="D135" s="15"/>
      <c r="E135" s="19">
        <v>0</v>
      </c>
      <c r="F135" s="20"/>
      <c r="G135" s="19">
        <v>0</v>
      </c>
      <c r="H135" s="15"/>
      <c r="I135" s="15"/>
      <c r="J135" s="18"/>
      <c r="K135" s="20"/>
      <c r="L135" s="18"/>
    </row>
    <row x14ac:dyDescent="0.25" r="136" customHeight="1" ht="18.75">
      <c r="A136" s="14" t="s">
        <v>34</v>
      </c>
      <c r="B136" s="15">
        <v>0</v>
      </c>
      <c r="C136" s="19">
        <v>0</v>
      </c>
      <c r="D136" s="15">
        <v>0</v>
      </c>
      <c r="E136" s="19">
        <v>0</v>
      </c>
      <c r="F136" s="20"/>
      <c r="G136" s="19">
        <v>0</v>
      </c>
      <c r="H136" s="15">
        <v>22813.7852</v>
      </c>
      <c r="I136" s="15">
        <v>0</v>
      </c>
      <c r="J136" s="18"/>
      <c r="K136" s="20"/>
      <c r="L136" s="20"/>
    </row>
    <row x14ac:dyDescent="0.25" r="137" customHeight="1" ht="18.75">
      <c r="A137" s="22"/>
      <c r="B137" s="2"/>
      <c r="C137" s="3"/>
      <c r="D137" s="2"/>
      <c r="E137" s="3"/>
      <c r="F137" s="4"/>
      <c r="G137" s="3"/>
      <c r="H137" s="2"/>
      <c r="I137" s="2"/>
      <c r="J137" s="4"/>
      <c r="K137" s="4"/>
      <c r="L137" s="4"/>
    </row>
    <row x14ac:dyDescent="0.25" r="138" customHeight="1" ht="18.75">
      <c r="A138" s="6">
        <v>45261</v>
      </c>
      <c r="B138" s="2"/>
      <c r="C138" s="3"/>
      <c r="D138" s="2"/>
      <c r="E138" s="3"/>
      <c r="F138" s="4"/>
      <c r="G138" s="3"/>
      <c r="H138" s="2"/>
      <c r="I138" s="2"/>
      <c r="J138" s="4"/>
      <c r="K138" s="4"/>
      <c r="L138" s="4"/>
    </row>
    <row x14ac:dyDescent="0.25" r="139" customHeight="1" ht="33">
      <c r="A139" s="10" t="s">
        <v>14</v>
      </c>
      <c r="B139" s="11" t="s">
        <v>15</v>
      </c>
      <c r="C139" s="12" t="s">
        <v>16</v>
      </c>
      <c r="D139" s="11" t="s">
        <v>17</v>
      </c>
      <c r="E139" s="12" t="s">
        <v>18</v>
      </c>
      <c r="F139" s="13" t="s">
        <v>19</v>
      </c>
      <c r="G139" s="12" t="s">
        <v>20</v>
      </c>
      <c r="H139" s="11" t="s">
        <v>21</v>
      </c>
      <c r="I139" s="11" t="s">
        <v>22</v>
      </c>
      <c r="J139" s="13" t="s">
        <v>23</v>
      </c>
      <c r="K139" s="24" t="s">
        <v>24</v>
      </c>
      <c r="L139" s="13" t="s">
        <v>25</v>
      </c>
    </row>
    <row x14ac:dyDescent="0.25" r="140" customHeight="1" ht="33">
      <c r="A140" s="14" t="s">
        <v>26</v>
      </c>
      <c r="B140" s="15">
        <v>0</v>
      </c>
      <c r="C140" s="16">
        <v>0</v>
      </c>
      <c r="D140" s="15">
        <v>44431.246</v>
      </c>
      <c r="E140" s="16">
        <v>0</v>
      </c>
      <c r="F140" s="17"/>
      <c r="G140" s="16">
        <v>0</v>
      </c>
      <c r="H140" s="15">
        <v>1374.8332</v>
      </c>
      <c r="I140" s="15">
        <v>44431.246</v>
      </c>
      <c r="J140" s="18">
        <v>2</v>
      </c>
      <c r="K140" s="18">
        <v>1</v>
      </c>
      <c r="L140" s="17">
        <v>2</v>
      </c>
    </row>
    <row x14ac:dyDescent="0.25" r="141" customHeight="1" ht="33">
      <c r="A141" s="14" t="s">
        <v>27</v>
      </c>
      <c r="B141" s="15">
        <v>0</v>
      </c>
      <c r="C141" s="16">
        <v>0</v>
      </c>
      <c r="D141" s="15">
        <v>68899.2236</v>
      </c>
      <c r="E141" s="16">
        <v>0</v>
      </c>
      <c r="F141" s="18"/>
      <c r="G141" s="16">
        <v>0</v>
      </c>
      <c r="H141" s="15">
        <v>3252.2808</v>
      </c>
      <c r="I141" s="15">
        <v>68899.2236</v>
      </c>
      <c r="J141" s="18"/>
      <c r="K141" s="18"/>
      <c r="L141" s="17"/>
    </row>
    <row x14ac:dyDescent="0.25" r="142" customHeight="1" ht="33">
      <c r="A142" s="14" t="s">
        <v>28</v>
      </c>
      <c r="B142" s="15">
        <v>1477867.6561159894</v>
      </c>
      <c r="C142" s="16">
        <v>0</v>
      </c>
      <c r="D142" s="35">
        <v>727942.5705680216</v>
      </c>
      <c r="E142" s="16">
        <v>0</v>
      </c>
      <c r="F142" s="18">
        <v>74846.9</v>
      </c>
      <c r="G142" s="16">
        <v>0</v>
      </c>
      <c r="H142" s="35">
        <v>691409.0263999997</v>
      </c>
      <c r="I142" s="35">
        <v>3683677.8828000003</v>
      </c>
      <c r="J142" s="18">
        <v>26</v>
      </c>
      <c r="K142" s="18">
        <v>22</v>
      </c>
      <c r="L142" s="18">
        <v>8</v>
      </c>
    </row>
    <row x14ac:dyDescent="0.25" r="143" customHeight="1" ht="33">
      <c r="A143" s="14" t="s">
        <v>29</v>
      </c>
      <c r="B143" s="15">
        <v>79126.46409593496</v>
      </c>
      <c r="C143" s="16">
        <v>0</v>
      </c>
      <c r="D143" s="15">
        <v>23784.81300813008</v>
      </c>
      <c r="E143" s="16">
        <v>0</v>
      </c>
      <c r="F143" s="18"/>
      <c r="G143" s="16">
        <v>0</v>
      </c>
      <c r="H143" s="15">
        <v>4994.5552</v>
      </c>
      <c r="I143" s="15">
        <v>182037.7412</v>
      </c>
      <c r="J143" s="18">
        <v>1</v>
      </c>
      <c r="K143" s="18">
        <v>1</v>
      </c>
      <c r="L143" s="18">
        <v>1</v>
      </c>
    </row>
    <row x14ac:dyDescent="0.25" r="144" customHeight="1" ht="18.75">
      <c r="A144" s="14" t="s">
        <v>30</v>
      </c>
      <c r="B144" s="15">
        <v>10065.770216260164</v>
      </c>
      <c r="C144" s="19">
        <v>0</v>
      </c>
      <c r="D144" s="15">
        <v>79102.06356747966</v>
      </c>
      <c r="E144" s="19">
        <v>0</v>
      </c>
      <c r="F144" s="18">
        <v>33813.79</v>
      </c>
      <c r="G144" s="19">
        <v>0</v>
      </c>
      <c r="H144" s="15">
        <v>14222.676800000001</v>
      </c>
      <c r="I144" s="15">
        <v>99233.60399999999</v>
      </c>
      <c r="J144" s="18">
        <v>11</v>
      </c>
      <c r="K144" s="18">
        <v>1</v>
      </c>
      <c r="L144" s="18">
        <v>5</v>
      </c>
    </row>
    <row x14ac:dyDescent="0.25" r="145" customHeight="1" ht="18.75">
      <c r="A145" s="14" t="s">
        <v>31</v>
      </c>
      <c r="B145" s="15">
        <v>3764334.90493401</v>
      </c>
      <c r="C145" s="19">
        <v>0</v>
      </c>
      <c r="D145" s="35">
        <v>1061562.8205319804</v>
      </c>
      <c r="E145" s="19">
        <v>0</v>
      </c>
      <c r="F145" s="18">
        <v>44767.37000000001</v>
      </c>
      <c r="G145" s="19">
        <v>0</v>
      </c>
      <c r="H145" s="35">
        <v>2514844.4052000004</v>
      </c>
      <c r="I145" s="35">
        <v>8590232.6304</v>
      </c>
      <c r="J145" s="18">
        <v>156</v>
      </c>
      <c r="K145" s="18">
        <v>84</v>
      </c>
      <c r="L145" s="18">
        <v>40</v>
      </c>
    </row>
    <row x14ac:dyDescent="0.25" r="146" customHeight="1" ht="18.75">
      <c r="A146" s="14" t="s">
        <v>32</v>
      </c>
      <c r="B146" s="15"/>
      <c r="C146" s="19">
        <v>0</v>
      </c>
      <c r="D146" s="15"/>
      <c r="E146" s="19">
        <v>0</v>
      </c>
      <c r="F146" s="18"/>
      <c r="G146" s="19">
        <v>0</v>
      </c>
      <c r="H146" s="15"/>
      <c r="I146" s="15"/>
      <c r="J146" s="18"/>
      <c r="K146" s="18"/>
      <c r="L146" s="18"/>
    </row>
    <row x14ac:dyDescent="0.25" r="147" customHeight="1" ht="18.75">
      <c r="A147" s="14" t="s">
        <v>33</v>
      </c>
      <c r="B147" s="15"/>
      <c r="C147" s="19">
        <v>0</v>
      </c>
      <c r="D147" s="15"/>
      <c r="E147" s="19">
        <v>0</v>
      </c>
      <c r="F147" s="33"/>
      <c r="G147" s="19">
        <v>0</v>
      </c>
      <c r="H147" s="15"/>
      <c r="I147" s="15"/>
      <c r="J147" s="18"/>
      <c r="K147" s="18"/>
      <c r="L147" s="18"/>
    </row>
    <row x14ac:dyDescent="0.25" r="148" customHeight="1" ht="18.75">
      <c r="A148" s="14" t="s">
        <v>34</v>
      </c>
      <c r="B148" s="21"/>
      <c r="C148" s="19">
        <v>0</v>
      </c>
      <c r="D148" s="15"/>
      <c r="E148" s="19">
        <v>0</v>
      </c>
      <c r="F148" s="20"/>
      <c r="G148" s="19">
        <v>0</v>
      </c>
      <c r="H148" s="21"/>
      <c r="I148" s="21"/>
      <c r="J148" s="18"/>
      <c r="K148" s="20"/>
      <c r="L148"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46"/>
  <sheetViews>
    <sheetView workbookViewId="0">
      <pane state="frozen" activePane="bottomLeft" topLeftCell="A6" ySplit="5" xSplit="0"/>
    </sheetView>
  </sheetViews>
  <sheetFormatPr defaultRowHeight="15" x14ac:dyDescent="0.25"/>
  <cols>
    <col min="1" max="1" style="27" width="32.86214285714286" customWidth="1" bestFit="1"/>
    <col min="2" max="2" style="36" width="13.576428571428572" customWidth="1" bestFit="1"/>
    <col min="3" max="3" style="29" width="13.576428571428572" customWidth="1" bestFit="1"/>
    <col min="4" max="4" style="36" width="13.576428571428572" customWidth="1" bestFit="1"/>
    <col min="5" max="5" style="29" width="13.576428571428572" customWidth="1" bestFit="1"/>
    <col min="6" max="6" style="30" width="13.576428571428572" customWidth="1" bestFit="1"/>
    <col min="7" max="7" style="29" width="13.576428571428572" customWidth="1" bestFit="1"/>
    <col min="8" max="8" style="36" width="13.576428571428572" customWidth="1" bestFit="1"/>
    <col min="9" max="9" style="36" width="13.576428571428572" customWidth="1" bestFit="1"/>
    <col min="10" max="10" style="30" width="13.576428571428572" customWidth="1" bestFit="1"/>
    <col min="11" max="11" style="37" width="13.576428571428572" customWidth="1" bestFit="1"/>
    <col min="12" max="12" style="30" width="13.576428571428572" customWidth="1" bestFit="1"/>
  </cols>
  <sheetData>
    <row x14ac:dyDescent="0.25" r="1" customHeight="1" ht="18.75">
      <c r="A1" s="1" t="s">
        <v>35</v>
      </c>
      <c r="B1" s="31"/>
      <c r="C1" s="3"/>
      <c r="D1" s="31"/>
      <c r="E1" s="3"/>
      <c r="F1" s="4"/>
      <c r="G1" s="3"/>
      <c r="H1" s="31"/>
      <c r="I1" s="31"/>
      <c r="J1" s="4"/>
      <c r="K1" s="32"/>
      <c r="L1" s="4"/>
    </row>
    <row x14ac:dyDescent="0.25" r="2" customHeight="1" ht="18.75">
      <c r="A2" s="1" t="s">
        <v>1</v>
      </c>
      <c r="B2" s="31"/>
      <c r="C2" s="3"/>
      <c r="D2" s="31"/>
      <c r="E2" s="3"/>
      <c r="F2" s="4"/>
      <c r="G2" s="3"/>
      <c r="H2" s="31"/>
      <c r="I2" s="31"/>
      <c r="J2" s="4"/>
      <c r="K2" s="32"/>
      <c r="L2" s="4"/>
    </row>
    <row x14ac:dyDescent="0.25" r="3" customHeight="1" ht="18.75">
      <c r="A3" s="1" t="s">
        <v>2</v>
      </c>
      <c r="B3" s="31"/>
      <c r="C3" s="3"/>
      <c r="D3" s="31"/>
      <c r="E3" s="3"/>
      <c r="F3" s="4"/>
      <c r="G3" s="3"/>
      <c r="H3" s="31"/>
      <c r="I3" s="31"/>
      <c r="J3" s="4"/>
      <c r="K3" s="32"/>
      <c r="L3" s="4"/>
    </row>
    <row x14ac:dyDescent="0.25" r="4" customHeight="1" ht="18.75">
      <c r="A4" s="6">
        <v>44927</v>
      </c>
      <c r="B4" s="7" t="s">
        <v>3</v>
      </c>
      <c r="C4" s="8" t="s">
        <v>4</v>
      </c>
      <c r="D4" s="7" t="s">
        <v>5</v>
      </c>
      <c r="E4" s="8" t="s">
        <v>6</v>
      </c>
      <c r="F4" s="9" t="s">
        <v>7</v>
      </c>
      <c r="G4" s="8" t="s">
        <v>8</v>
      </c>
      <c r="H4" s="7" t="s">
        <v>9</v>
      </c>
      <c r="I4" s="7" t="s">
        <v>10</v>
      </c>
      <c r="J4" s="9" t="s">
        <v>11</v>
      </c>
      <c r="K4" s="9" t="s">
        <v>12</v>
      </c>
      <c r="L4" s="9" t="s">
        <v>13</v>
      </c>
    </row>
    <row x14ac:dyDescent="0.25" r="5" customHeight="1" ht="33">
      <c r="A5" s="10" t="s">
        <v>14</v>
      </c>
      <c r="B5" s="11" t="s">
        <v>15</v>
      </c>
      <c r="C5" s="12" t="s">
        <v>16</v>
      </c>
      <c r="D5" s="11" t="s">
        <v>17</v>
      </c>
      <c r="E5" s="12" t="s">
        <v>18</v>
      </c>
      <c r="F5" s="13" t="s">
        <v>19</v>
      </c>
      <c r="G5" s="12" t="s">
        <v>20</v>
      </c>
      <c r="H5" s="11" t="s">
        <v>21</v>
      </c>
      <c r="I5" s="11" t="s">
        <v>22</v>
      </c>
      <c r="J5" s="13" t="s">
        <v>23</v>
      </c>
      <c r="K5" s="13" t="s">
        <v>24</v>
      </c>
      <c r="L5" s="13" t="s">
        <v>25</v>
      </c>
    </row>
    <row x14ac:dyDescent="0.25" r="6" customHeight="1" ht="33">
      <c r="A6" s="14" t="s">
        <v>26</v>
      </c>
      <c r="B6" s="15">
        <v>17836.433001626017</v>
      </c>
      <c r="C6" s="16">
        <v>0</v>
      </c>
      <c r="D6" s="15">
        <v>3555.6747967479673</v>
      </c>
      <c r="E6" s="16">
        <v>0</v>
      </c>
      <c r="F6" s="17"/>
      <c r="G6" s="16">
        <v>0</v>
      </c>
      <c r="H6" s="15">
        <v>13939.3032</v>
      </c>
      <c r="I6" s="15">
        <v>39228.540799999995</v>
      </c>
      <c r="J6" s="18">
        <v>45</v>
      </c>
      <c r="K6" s="18"/>
      <c r="L6" s="18">
        <v>23</v>
      </c>
    </row>
    <row x14ac:dyDescent="0.25" r="7" customHeight="1" ht="33">
      <c r="A7" s="14" t="s">
        <v>27</v>
      </c>
      <c r="B7" s="15">
        <v>328108.68353051675</v>
      </c>
      <c r="C7" s="16">
        <v>0</v>
      </c>
      <c r="D7" s="15">
        <v>1391260.1425389666</v>
      </c>
      <c r="E7" s="16">
        <v>0</v>
      </c>
      <c r="F7" s="18">
        <v>95518.83</v>
      </c>
      <c r="G7" s="16">
        <v>0</v>
      </c>
      <c r="H7" s="15">
        <v>118770.51239999999</v>
      </c>
      <c r="I7" s="15">
        <v>2047477.5095999995</v>
      </c>
      <c r="J7" s="18">
        <v>133</v>
      </c>
      <c r="K7" s="18">
        <v>45</v>
      </c>
      <c r="L7" s="18">
        <v>24</v>
      </c>
    </row>
    <row x14ac:dyDescent="0.25" r="8" customHeight="1" ht="33">
      <c r="A8" s="14" t="s">
        <v>28</v>
      </c>
      <c r="B8" s="15">
        <v>770881.0718968946</v>
      </c>
      <c r="C8" s="16">
        <v>0</v>
      </c>
      <c r="D8" s="15">
        <v>568141.1818062109</v>
      </c>
      <c r="E8" s="16">
        <v>0</v>
      </c>
      <c r="F8" s="18">
        <v>36684.54</v>
      </c>
      <c r="G8" s="16">
        <v>0</v>
      </c>
      <c r="H8" s="15">
        <v>569063.5731999999</v>
      </c>
      <c r="I8" s="15">
        <v>2109903.3256</v>
      </c>
      <c r="J8" s="18">
        <v>190</v>
      </c>
      <c r="K8" s="18">
        <v>51</v>
      </c>
      <c r="L8" s="18">
        <v>46</v>
      </c>
    </row>
    <row x14ac:dyDescent="0.25" r="9" customHeight="1" ht="33">
      <c r="A9" s="14" t="s">
        <v>29</v>
      </c>
      <c r="B9" s="15">
        <v>0</v>
      </c>
      <c r="C9" s="16">
        <v>0</v>
      </c>
      <c r="D9" s="15">
        <v>8688.494</v>
      </c>
      <c r="E9" s="16">
        <v>0</v>
      </c>
      <c r="F9" s="18"/>
      <c r="G9" s="16">
        <v>0</v>
      </c>
      <c r="H9" s="15">
        <v>1378.9624</v>
      </c>
      <c r="I9" s="15">
        <v>8688.494</v>
      </c>
      <c r="J9" s="18">
        <v>11</v>
      </c>
      <c r="K9" s="18">
        <v>1</v>
      </c>
      <c r="L9" s="18">
        <v>2</v>
      </c>
    </row>
    <row x14ac:dyDescent="0.25" r="10" customHeight="1" ht="18.75">
      <c r="A10" s="14" t="s">
        <v>30</v>
      </c>
      <c r="B10" s="15">
        <v>46416.54989864498</v>
      </c>
      <c r="C10" s="19">
        <v>0</v>
      </c>
      <c r="D10" s="15">
        <v>20948.271002710026</v>
      </c>
      <c r="E10" s="19">
        <v>0</v>
      </c>
      <c r="F10" s="18">
        <v>2495.33</v>
      </c>
      <c r="G10" s="19">
        <v>0</v>
      </c>
      <c r="H10" s="15">
        <v>15963.765599999999</v>
      </c>
      <c r="I10" s="15">
        <v>113781.3708</v>
      </c>
      <c r="J10" s="18">
        <v>22</v>
      </c>
      <c r="K10" s="18">
        <v>1</v>
      </c>
      <c r="L10" s="18">
        <v>8</v>
      </c>
    </row>
    <row x14ac:dyDescent="0.25" r="11" customHeight="1" ht="18.75">
      <c r="A11" s="14" t="s">
        <v>31</v>
      </c>
      <c r="B11" s="15">
        <v>845001.9026752737</v>
      </c>
      <c r="C11" s="19">
        <v>0</v>
      </c>
      <c r="D11" s="15">
        <v>1239279.9138494523</v>
      </c>
      <c r="E11" s="19">
        <v>0</v>
      </c>
      <c r="F11" s="18">
        <v>2340.78</v>
      </c>
      <c r="G11" s="19">
        <v>0</v>
      </c>
      <c r="H11" s="15">
        <v>1375024.3295999996</v>
      </c>
      <c r="I11" s="15">
        <v>2929283.7191999992</v>
      </c>
      <c r="J11" s="18">
        <v>687</v>
      </c>
      <c r="K11" s="18">
        <v>86</v>
      </c>
      <c r="L11" s="18">
        <v>152</v>
      </c>
    </row>
    <row x14ac:dyDescent="0.25" r="12" customHeight="1" ht="18.75">
      <c r="A12" s="14" t="s">
        <v>32</v>
      </c>
      <c r="B12" s="15"/>
      <c r="C12" s="19">
        <v>0</v>
      </c>
      <c r="D12" s="15"/>
      <c r="E12" s="19">
        <v>0</v>
      </c>
      <c r="F12" s="18"/>
      <c r="G12" s="19">
        <v>0</v>
      </c>
      <c r="H12" s="15">
        <v>8507.5444</v>
      </c>
      <c r="I12" s="15"/>
      <c r="J12" s="18">
        <v>32</v>
      </c>
      <c r="K12" s="18">
        <v>5</v>
      </c>
      <c r="L12" s="18">
        <v>6</v>
      </c>
    </row>
    <row x14ac:dyDescent="0.25" r="13" customHeight="1" ht="18.75">
      <c r="A13" s="14" t="s">
        <v>33</v>
      </c>
      <c r="B13" s="15">
        <v>69817.66760650408</v>
      </c>
      <c r="C13" s="19">
        <v>0</v>
      </c>
      <c r="D13" s="15">
        <v>17818.699186991864</v>
      </c>
      <c r="E13" s="19">
        <v>0</v>
      </c>
      <c r="F13" s="33"/>
      <c r="G13" s="19">
        <v>0</v>
      </c>
      <c r="H13" s="15">
        <v>71867.12320000002</v>
      </c>
      <c r="I13" s="15">
        <v>157454.0344</v>
      </c>
      <c r="J13" s="18">
        <v>149</v>
      </c>
      <c r="K13" s="18">
        <v>6</v>
      </c>
      <c r="L13" s="18">
        <v>13</v>
      </c>
    </row>
    <row x14ac:dyDescent="0.25" r="14" customHeight="1" ht="18.75">
      <c r="A14" s="14" t="s">
        <v>34</v>
      </c>
      <c r="B14" s="34">
        <v>3449.483616260163</v>
      </c>
      <c r="C14" s="19">
        <v>0</v>
      </c>
      <c r="D14" s="15">
        <v>712.7479674796747</v>
      </c>
      <c r="E14" s="19">
        <v>0</v>
      </c>
      <c r="F14" s="20"/>
      <c r="G14" s="19">
        <v>0</v>
      </c>
      <c r="H14" s="34">
        <v>29984.8628</v>
      </c>
      <c r="I14" s="34">
        <v>7611.715200000001</v>
      </c>
      <c r="J14" s="18"/>
      <c r="K14" s="18">
        <v>7</v>
      </c>
      <c r="L14" s="20"/>
    </row>
    <row x14ac:dyDescent="0.25" r="15" customHeight="1" ht="18.75">
      <c r="A15" s="22"/>
      <c r="B15" s="35">
        <f>SUM(B6:B14)</f>
      </c>
      <c r="C15" s="3"/>
      <c r="D15" s="31"/>
      <c r="E15" s="3"/>
      <c r="F15" s="4"/>
      <c r="G15" s="3"/>
      <c r="H15" s="31"/>
      <c r="I15" s="31"/>
      <c r="J15" s="4"/>
      <c r="K15" s="32"/>
      <c r="L15" s="4"/>
    </row>
    <row x14ac:dyDescent="0.25" r="16" customHeight="1" ht="18.75">
      <c r="A16" s="23">
        <v>45345</v>
      </c>
      <c r="B16" s="31"/>
      <c r="C16" s="3"/>
      <c r="D16" s="31"/>
      <c r="E16" s="3"/>
      <c r="F16" s="4"/>
      <c r="G16" s="3"/>
      <c r="H16" s="31"/>
      <c r="I16" s="31"/>
      <c r="J16" s="4"/>
      <c r="K16" s="32"/>
      <c r="L16" s="4"/>
    </row>
    <row x14ac:dyDescent="0.25" r="17" customHeight="1" ht="33">
      <c r="A17" s="10" t="s">
        <v>14</v>
      </c>
      <c r="B17" s="11" t="s">
        <v>15</v>
      </c>
      <c r="C17" s="12" t="s">
        <v>16</v>
      </c>
      <c r="D17" s="11" t="s">
        <v>17</v>
      </c>
      <c r="E17" s="12" t="s">
        <v>18</v>
      </c>
      <c r="F17" s="13" t="s">
        <v>19</v>
      </c>
      <c r="G17" s="12" t="s">
        <v>20</v>
      </c>
      <c r="H17" s="11" t="s">
        <v>21</v>
      </c>
      <c r="I17" s="11" t="s">
        <v>22</v>
      </c>
      <c r="J17" s="13" t="s">
        <v>23</v>
      </c>
      <c r="K17" s="24" t="s">
        <v>24</v>
      </c>
      <c r="L17" s="13" t="s">
        <v>25</v>
      </c>
    </row>
    <row x14ac:dyDescent="0.25" r="18" customHeight="1" ht="33">
      <c r="A18" s="14" t="s">
        <v>26</v>
      </c>
      <c r="B18" s="15">
        <v>17713.180832520324</v>
      </c>
      <c r="C18" s="16">
        <v>0</v>
      </c>
      <c r="D18" s="15">
        <v>1425.4959349593494</v>
      </c>
      <c r="E18" s="16">
        <v>0</v>
      </c>
      <c r="F18" s="17"/>
      <c r="G18" s="16">
        <v>0</v>
      </c>
      <c r="H18" s="15">
        <v>16104.1124</v>
      </c>
      <c r="I18" s="15">
        <v>36851.857599999996</v>
      </c>
      <c r="J18" s="18">
        <v>35</v>
      </c>
      <c r="K18" s="18">
        <v>1</v>
      </c>
      <c r="L18" s="18">
        <v>13</v>
      </c>
    </row>
    <row x14ac:dyDescent="0.25" r="19" customHeight="1" ht="33">
      <c r="A19" s="14" t="s">
        <v>27</v>
      </c>
      <c r="B19" s="15">
        <v>345955.9674964769</v>
      </c>
      <c r="C19" s="16">
        <v>0</v>
      </c>
      <c r="D19" s="15">
        <v>2333330.4738070457</v>
      </c>
      <c r="E19" s="16">
        <v>0</v>
      </c>
      <c r="F19" s="18">
        <v>48749.36</v>
      </c>
      <c r="G19" s="16">
        <v>0</v>
      </c>
      <c r="H19" s="15">
        <v>75197.63680000001</v>
      </c>
      <c r="I19" s="15">
        <v>3025242.408800001</v>
      </c>
      <c r="J19" s="18">
        <v>105</v>
      </c>
      <c r="K19" s="18">
        <v>61</v>
      </c>
      <c r="L19" s="18">
        <v>22</v>
      </c>
    </row>
    <row x14ac:dyDescent="0.25" r="20" customHeight="1" ht="33">
      <c r="A20" s="14" t="s">
        <v>28</v>
      </c>
      <c r="B20" s="15">
        <v>770418.5593815717</v>
      </c>
      <c r="C20" s="16">
        <v>0</v>
      </c>
      <c r="D20" s="15">
        <v>808433.5128368563</v>
      </c>
      <c r="E20" s="16">
        <v>0</v>
      </c>
      <c r="F20" s="18">
        <v>105361.84999999999</v>
      </c>
      <c r="G20" s="16">
        <v>0</v>
      </c>
      <c r="H20" s="15">
        <v>353523.38920000003</v>
      </c>
      <c r="I20" s="15">
        <v>2349270.6316</v>
      </c>
      <c r="J20" s="18">
        <v>206</v>
      </c>
      <c r="K20" s="18">
        <v>37</v>
      </c>
      <c r="L20" s="18">
        <v>51</v>
      </c>
    </row>
    <row x14ac:dyDescent="0.25" r="21" customHeight="1" ht="33">
      <c r="A21" s="14" t="s">
        <v>29</v>
      </c>
      <c r="B21" s="15">
        <v>54429.75283631437</v>
      </c>
      <c r="C21" s="16">
        <v>0</v>
      </c>
      <c r="D21" s="15">
        <v>518576.73712737137</v>
      </c>
      <c r="E21" s="16">
        <v>0</v>
      </c>
      <c r="F21" s="18">
        <v>1296497.12</v>
      </c>
      <c r="G21" s="16">
        <v>0</v>
      </c>
      <c r="H21" s="15">
        <v>34191.081999999995</v>
      </c>
      <c r="I21" s="15">
        <v>627436.2428</v>
      </c>
      <c r="J21" s="18">
        <v>22</v>
      </c>
      <c r="K21" s="18">
        <v>4</v>
      </c>
      <c r="L21" s="18">
        <v>9</v>
      </c>
    </row>
    <row x14ac:dyDescent="0.25" r="22" customHeight="1" ht="18.75">
      <c r="A22" s="14" t="s">
        <v>30</v>
      </c>
      <c r="B22" s="15">
        <v>48888.14049756099</v>
      </c>
      <c r="C22" s="19">
        <v>0</v>
      </c>
      <c r="D22" s="15">
        <v>736689.518604878</v>
      </c>
      <c r="E22" s="19">
        <v>0</v>
      </c>
      <c r="F22" s="18">
        <v>2184.25</v>
      </c>
      <c r="G22" s="19">
        <v>0</v>
      </c>
      <c r="H22" s="15">
        <v>138090.1064</v>
      </c>
      <c r="I22" s="15">
        <v>834465.7996000001</v>
      </c>
      <c r="J22" s="18">
        <v>14</v>
      </c>
      <c r="K22" s="18">
        <v>3</v>
      </c>
      <c r="L22" s="18">
        <v>8</v>
      </c>
    </row>
    <row x14ac:dyDescent="0.25" r="23" customHeight="1" ht="18.75">
      <c r="A23" s="14" t="s">
        <v>31</v>
      </c>
      <c r="B23" s="15">
        <v>578541.932306746</v>
      </c>
      <c r="C23" s="19">
        <v>0</v>
      </c>
      <c r="D23" s="15">
        <v>1166225.0853865086</v>
      </c>
      <c r="E23" s="19">
        <v>0</v>
      </c>
      <c r="F23" s="18">
        <v>50950.43999999999</v>
      </c>
      <c r="G23" s="19">
        <v>0</v>
      </c>
      <c r="H23" s="15">
        <v>1352308.9356000002</v>
      </c>
      <c r="I23" s="15">
        <v>2323308.950000001</v>
      </c>
      <c r="J23" s="18">
        <v>736</v>
      </c>
      <c r="K23" s="18">
        <v>146</v>
      </c>
      <c r="L23" s="18">
        <v>144</v>
      </c>
    </row>
    <row x14ac:dyDescent="0.25" r="24" customHeight="1" ht="18.75">
      <c r="A24" s="14" t="s">
        <v>32</v>
      </c>
      <c r="B24" s="15">
        <v>12555.39881626016</v>
      </c>
      <c r="C24" s="19">
        <v>0</v>
      </c>
      <c r="D24" s="15">
        <v>712.7479674796747</v>
      </c>
      <c r="E24" s="19">
        <v>0</v>
      </c>
      <c r="F24" s="18"/>
      <c r="G24" s="19">
        <v>0</v>
      </c>
      <c r="H24" s="15">
        <v>44179.7932</v>
      </c>
      <c r="I24" s="15">
        <v>25823.5456</v>
      </c>
      <c r="J24" s="18">
        <v>34</v>
      </c>
      <c r="K24" s="18">
        <v>2</v>
      </c>
      <c r="L24" s="18">
        <v>7</v>
      </c>
    </row>
    <row x14ac:dyDescent="0.25" r="25" customHeight="1" ht="18.75">
      <c r="A25" s="14" t="s">
        <v>33</v>
      </c>
      <c r="B25" s="15">
        <v>298048.2256227642</v>
      </c>
      <c r="C25" s="19">
        <v>0</v>
      </c>
      <c r="D25" s="15">
        <v>18531.447154471538</v>
      </c>
      <c r="E25" s="19">
        <v>0</v>
      </c>
      <c r="F25" s="33"/>
      <c r="G25" s="19">
        <v>0</v>
      </c>
      <c r="H25" s="15">
        <v>96184.4536</v>
      </c>
      <c r="I25" s="15">
        <v>614627.8984000002</v>
      </c>
      <c r="J25" s="18">
        <v>165</v>
      </c>
      <c r="K25" s="18">
        <v>1</v>
      </c>
      <c r="L25" s="18">
        <v>8</v>
      </c>
    </row>
    <row x14ac:dyDescent="0.25" r="26" customHeight="1" ht="18.75">
      <c r="A26" s="14" t="s">
        <v>34</v>
      </c>
      <c r="B26" s="18">
        <v>0</v>
      </c>
      <c r="C26" s="19">
        <v>0</v>
      </c>
      <c r="D26" s="15">
        <v>0</v>
      </c>
      <c r="E26" s="19">
        <v>0</v>
      </c>
      <c r="F26" s="20"/>
      <c r="G26" s="19">
        <v>0</v>
      </c>
      <c r="H26" s="34">
        <v>3800.6964</v>
      </c>
      <c r="I26" s="18">
        <v>0</v>
      </c>
      <c r="J26" s="18"/>
      <c r="K26" s="18">
        <v>4</v>
      </c>
      <c r="L26" s="20"/>
    </row>
    <row x14ac:dyDescent="0.25" r="27" customHeight="1" ht="18.75">
      <c r="A27" s="22"/>
      <c r="B27" s="31"/>
      <c r="C27" s="3"/>
      <c r="D27" s="31"/>
      <c r="E27" s="3"/>
      <c r="F27" s="4"/>
      <c r="G27" s="3"/>
      <c r="H27" s="31"/>
      <c r="I27" s="31"/>
      <c r="J27" s="4"/>
      <c r="K27" s="32"/>
      <c r="L27" s="4"/>
    </row>
    <row x14ac:dyDescent="0.25" r="28" customHeight="1" ht="18.75">
      <c r="A28" s="6">
        <v>44986</v>
      </c>
      <c r="B28" s="31"/>
      <c r="C28" s="3"/>
      <c r="D28" s="31"/>
      <c r="E28" s="3"/>
      <c r="F28" s="4"/>
      <c r="G28" s="3"/>
      <c r="H28" s="31"/>
      <c r="I28" s="31"/>
      <c r="J28" s="4"/>
      <c r="K28" s="32"/>
      <c r="L28" s="4"/>
    </row>
    <row x14ac:dyDescent="0.25" r="29" customHeight="1" ht="33">
      <c r="A29" s="10" t="s">
        <v>14</v>
      </c>
      <c r="B29" s="11" t="s">
        <v>15</v>
      </c>
      <c r="C29" s="12" t="s">
        <v>16</v>
      </c>
      <c r="D29" s="11" t="s">
        <v>17</v>
      </c>
      <c r="E29" s="12" t="s">
        <v>18</v>
      </c>
      <c r="F29" s="13" t="s">
        <v>19</v>
      </c>
      <c r="G29" s="12" t="s">
        <v>20</v>
      </c>
      <c r="H29" s="11" t="s">
        <v>21</v>
      </c>
      <c r="I29" s="11" t="s">
        <v>22</v>
      </c>
      <c r="J29" s="13" t="s">
        <v>23</v>
      </c>
      <c r="K29" s="24" t="s">
        <v>24</v>
      </c>
      <c r="L29" s="13" t="s">
        <v>25</v>
      </c>
    </row>
    <row x14ac:dyDescent="0.25" r="30" customHeight="1" ht="33">
      <c r="A30" s="14" t="s">
        <v>26</v>
      </c>
      <c r="B30" s="15">
        <v>127172.146157182</v>
      </c>
      <c r="C30" s="16">
        <v>0</v>
      </c>
      <c r="D30" s="15">
        <v>84224.56368563685</v>
      </c>
      <c r="E30" s="16">
        <v>0</v>
      </c>
      <c r="F30" s="17"/>
      <c r="G30" s="16">
        <v>0</v>
      </c>
      <c r="H30" s="15">
        <v>79728.30359999998</v>
      </c>
      <c r="I30" s="15">
        <v>338568.85599999997</v>
      </c>
      <c r="J30" s="18">
        <v>60</v>
      </c>
      <c r="K30" s="18">
        <v>2</v>
      </c>
      <c r="L30" s="18">
        <v>39</v>
      </c>
    </row>
    <row x14ac:dyDescent="0.25" r="31" customHeight="1" ht="33">
      <c r="A31" s="14" t="s">
        <v>27</v>
      </c>
      <c r="B31" s="15">
        <v>770975.1369337157</v>
      </c>
      <c r="C31" s="16">
        <v>0</v>
      </c>
      <c r="D31" s="15">
        <v>3181840.10493257</v>
      </c>
      <c r="E31" s="16">
        <v>0</v>
      </c>
      <c r="F31" s="18">
        <v>82929.06</v>
      </c>
      <c r="G31" s="16">
        <v>0</v>
      </c>
      <c r="H31" s="15">
        <v>161668.1452</v>
      </c>
      <c r="I31" s="15">
        <v>4723790.378800001</v>
      </c>
      <c r="J31" s="18">
        <v>125</v>
      </c>
      <c r="K31" s="18">
        <v>19</v>
      </c>
      <c r="L31" s="18">
        <v>19</v>
      </c>
    </row>
    <row x14ac:dyDescent="0.25" r="32" customHeight="1" ht="33">
      <c r="A32" s="14" t="s">
        <v>28</v>
      </c>
      <c r="B32" s="15">
        <v>1743833.5409358032</v>
      </c>
      <c r="C32" s="16">
        <v>0</v>
      </c>
      <c r="D32" s="15">
        <v>1491301.371728393</v>
      </c>
      <c r="E32" s="16">
        <v>0</v>
      </c>
      <c r="F32" s="18">
        <v>55492</v>
      </c>
      <c r="G32" s="16">
        <v>0</v>
      </c>
      <c r="H32" s="15">
        <v>552004.4848</v>
      </c>
      <c r="I32" s="15">
        <v>4978968.4536</v>
      </c>
      <c r="J32" s="18">
        <v>207</v>
      </c>
      <c r="K32" s="18">
        <v>32</v>
      </c>
      <c r="L32" s="18">
        <v>43</v>
      </c>
    </row>
    <row x14ac:dyDescent="0.25" r="33" customHeight="1" ht="33">
      <c r="A33" s="14" t="s">
        <v>29</v>
      </c>
      <c r="B33" s="15">
        <v>625279.9959626016</v>
      </c>
      <c r="C33" s="16">
        <v>0</v>
      </c>
      <c r="D33" s="15">
        <v>311930.04447479674</v>
      </c>
      <c r="E33" s="16">
        <v>0</v>
      </c>
      <c r="F33" s="18"/>
      <c r="G33" s="16">
        <v>0</v>
      </c>
      <c r="H33" s="15">
        <v>126471.01279999997</v>
      </c>
      <c r="I33" s="15">
        <v>1562490.0364000003</v>
      </c>
      <c r="J33" s="18">
        <v>23</v>
      </c>
      <c r="K33" s="18">
        <v>1</v>
      </c>
      <c r="L33" s="18">
        <v>12</v>
      </c>
    </row>
    <row x14ac:dyDescent="0.25" r="34" customHeight="1" ht="18.75">
      <c r="A34" s="14" t="s">
        <v>30</v>
      </c>
      <c r="B34" s="15">
        <v>87339.28109105691</v>
      </c>
      <c r="C34" s="19">
        <v>0</v>
      </c>
      <c r="D34" s="15">
        <v>575162.9538178862</v>
      </c>
      <c r="E34" s="19">
        <v>0</v>
      </c>
      <c r="F34" s="18"/>
      <c r="G34" s="19">
        <v>0</v>
      </c>
      <c r="H34" s="15">
        <v>104340.684</v>
      </c>
      <c r="I34" s="15">
        <v>749841.5160000001</v>
      </c>
      <c r="J34" s="18">
        <v>20</v>
      </c>
      <c r="K34" s="18">
        <v>4</v>
      </c>
      <c r="L34" s="18">
        <v>9</v>
      </c>
    </row>
    <row x14ac:dyDescent="0.25" r="35" customHeight="1" ht="18.75">
      <c r="A35" s="14" t="s">
        <v>31</v>
      </c>
      <c r="B35" s="15">
        <v>2261770.01361371</v>
      </c>
      <c r="C35" s="19">
        <v>0</v>
      </c>
      <c r="D35" s="15">
        <v>1023686.9959725778</v>
      </c>
      <c r="E35" s="19">
        <v>0</v>
      </c>
      <c r="F35" s="18">
        <v>44765.4</v>
      </c>
      <c r="G35" s="19">
        <v>0</v>
      </c>
      <c r="H35" s="15">
        <v>2441715.14</v>
      </c>
      <c r="I35" s="15">
        <v>5547227.023199999</v>
      </c>
      <c r="J35" s="18">
        <v>988</v>
      </c>
      <c r="K35" s="18">
        <v>74</v>
      </c>
      <c r="L35" s="18">
        <v>237</v>
      </c>
    </row>
    <row x14ac:dyDescent="0.25" r="36" customHeight="1" ht="18.75">
      <c r="A36" s="14" t="s">
        <v>32</v>
      </c>
      <c r="B36" s="15"/>
      <c r="C36" s="19">
        <v>0</v>
      </c>
      <c r="D36" s="15"/>
      <c r="E36" s="19">
        <v>0</v>
      </c>
      <c r="F36" s="25"/>
      <c r="G36" s="19">
        <v>0</v>
      </c>
      <c r="H36" s="15">
        <v>188559.0596</v>
      </c>
      <c r="I36" s="15"/>
      <c r="J36" s="18">
        <v>54</v>
      </c>
      <c r="K36" s="18">
        <v>2</v>
      </c>
      <c r="L36" s="18">
        <v>25</v>
      </c>
    </row>
    <row x14ac:dyDescent="0.25" r="37" customHeight="1" ht="18.75">
      <c r="A37" s="14" t="s">
        <v>33</v>
      </c>
      <c r="B37" s="15">
        <v>487846.4624146341</v>
      </c>
      <c r="C37" s="19">
        <v>0</v>
      </c>
      <c r="D37" s="15">
        <v>20779.0731707317</v>
      </c>
      <c r="E37" s="19">
        <v>0</v>
      </c>
      <c r="F37" s="20"/>
      <c r="G37" s="19">
        <v>0</v>
      </c>
      <c r="H37" s="15">
        <v>147300.76919999995</v>
      </c>
      <c r="I37" s="15">
        <v>996471.9980000001</v>
      </c>
      <c r="J37" s="18">
        <v>152</v>
      </c>
      <c r="K37" s="18">
        <v>3</v>
      </c>
      <c r="L37" s="18">
        <v>21</v>
      </c>
    </row>
    <row x14ac:dyDescent="0.25" r="38" customHeight="1" ht="18.75">
      <c r="A38" s="14" t="s">
        <v>34</v>
      </c>
      <c r="B38" s="34">
        <v>6689.673681300813</v>
      </c>
      <c r="C38" s="19">
        <v>0</v>
      </c>
      <c r="D38" s="15">
        <v>7996.739837398374</v>
      </c>
      <c r="E38" s="19">
        <v>0</v>
      </c>
      <c r="F38" s="20"/>
      <c r="G38" s="19">
        <v>0</v>
      </c>
      <c r="H38" s="15">
        <v>16634.3364</v>
      </c>
      <c r="I38" s="34">
        <v>21376.0872</v>
      </c>
      <c r="J38" s="18"/>
      <c r="K38" s="18">
        <v>3</v>
      </c>
      <c r="L38" s="20"/>
    </row>
    <row x14ac:dyDescent="0.25" r="39" customHeight="1" ht="18.75">
      <c r="A39" s="22"/>
      <c r="B39" s="31"/>
      <c r="C39" s="3"/>
      <c r="D39" s="31"/>
      <c r="E39" s="3"/>
      <c r="F39" s="4"/>
      <c r="G39" s="3"/>
      <c r="H39" s="31"/>
      <c r="I39" s="31"/>
      <c r="J39" s="4"/>
      <c r="K39" s="32"/>
      <c r="L39" s="4"/>
    </row>
    <row x14ac:dyDescent="0.25" r="40" customHeight="1" ht="18.75">
      <c r="A40" s="6">
        <v>45017</v>
      </c>
      <c r="B40" s="31"/>
      <c r="C40" s="3"/>
      <c r="D40" s="31"/>
      <c r="E40" s="3"/>
      <c r="F40" s="4"/>
      <c r="G40" s="3"/>
      <c r="H40" s="31"/>
      <c r="I40" s="31"/>
      <c r="J40" s="4"/>
      <c r="K40" s="32"/>
      <c r="L40" s="4"/>
    </row>
    <row x14ac:dyDescent="0.25" r="41" customHeight="1" ht="33">
      <c r="A41" s="10" t="s">
        <v>14</v>
      </c>
      <c r="B41" s="11" t="s">
        <v>15</v>
      </c>
      <c r="C41" s="12" t="s">
        <v>16</v>
      </c>
      <c r="D41" s="11" t="s">
        <v>17</v>
      </c>
      <c r="E41" s="12" t="s">
        <v>18</v>
      </c>
      <c r="F41" s="13" t="s">
        <v>19</v>
      </c>
      <c r="G41" s="12" t="s">
        <v>20</v>
      </c>
      <c r="H41" s="11" t="s">
        <v>21</v>
      </c>
      <c r="I41" s="11" t="s">
        <v>22</v>
      </c>
      <c r="J41" s="13" t="s">
        <v>23</v>
      </c>
      <c r="K41" s="24" t="s">
        <v>24</v>
      </c>
      <c r="L41" s="13" t="s">
        <v>25</v>
      </c>
    </row>
    <row x14ac:dyDescent="0.25" r="42" customHeight="1" ht="33">
      <c r="A42" s="14" t="s">
        <v>26</v>
      </c>
      <c r="B42" s="15">
        <v>26649.811232520326</v>
      </c>
      <c r="C42" s="16">
        <v>0</v>
      </c>
      <c r="D42" s="15">
        <v>64117.97393495935</v>
      </c>
      <c r="E42" s="16">
        <v>0</v>
      </c>
      <c r="F42" s="17"/>
      <c r="G42" s="16">
        <v>0</v>
      </c>
      <c r="H42" s="15">
        <v>45497.278</v>
      </c>
      <c r="I42" s="15">
        <v>117417.59640000001</v>
      </c>
      <c r="J42" s="18">
        <v>45</v>
      </c>
      <c r="K42" s="18">
        <v>2</v>
      </c>
      <c r="L42" s="18">
        <v>20</v>
      </c>
    </row>
    <row x14ac:dyDescent="0.25" r="43" customHeight="1" ht="33">
      <c r="A43" s="14" t="s">
        <v>27</v>
      </c>
      <c r="B43" s="15">
        <v>306922.42249322496</v>
      </c>
      <c r="C43" s="16">
        <v>0</v>
      </c>
      <c r="D43" s="15">
        <v>1636153.89141355</v>
      </c>
      <c r="E43" s="16">
        <v>0</v>
      </c>
      <c r="F43" s="18">
        <v>9172.38</v>
      </c>
      <c r="G43" s="16">
        <v>0</v>
      </c>
      <c r="H43" s="15">
        <v>109045.35399999998</v>
      </c>
      <c r="I43" s="15">
        <v>2249998.7364</v>
      </c>
      <c r="J43" s="18">
        <v>95</v>
      </c>
      <c r="K43" s="18">
        <v>94</v>
      </c>
      <c r="L43" s="18">
        <v>15</v>
      </c>
    </row>
    <row x14ac:dyDescent="0.25" r="44" customHeight="1" ht="33">
      <c r="A44" s="14" t="s">
        <v>28</v>
      </c>
      <c r="B44" s="15">
        <v>517711.783595664</v>
      </c>
      <c r="C44" s="16">
        <v>0</v>
      </c>
      <c r="D44" s="15">
        <v>1700248.0648086725</v>
      </c>
      <c r="E44" s="16">
        <v>0</v>
      </c>
      <c r="F44" s="18">
        <v>2398.18</v>
      </c>
      <c r="G44" s="16">
        <v>0</v>
      </c>
      <c r="H44" s="15">
        <v>227021.72919999997</v>
      </c>
      <c r="I44" s="15">
        <v>2735671.632</v>
      </c>
      <c r="J44" s="18">
        <v>194</v>
      </c>
      <c r="K44" s="18">
        <v>88</v>
      </c>
      <c r="L44" s="18">
        <v>48</v>
      </c>
    </row>
    <row x14ac:dyDescent="0.25" r="45" customHeight="1" ht="33">
      <c r="A45" s="14" t="s">
        <v>29</v>
      </c>
      <c r="B45" s="15">
        <v>0</v>
      </c>
      <c r="C45" s="16">
        <v>0</v>
      </c>
      <c r="D45" s="15">
        <v>235467.9896</v>
      </c>
      <c r="E45" s="16">
        <v>0</v>
      </c>
      <c r="F45" s="18"/>
      <c r="G45" s="16">
        <v>0</v>
      </c>
      <c r="H45" s="15">
        <v>3598.0912</v>
      </c>
      <c r="I45" s="15">
        <v>235467.9896</v>
      </c>
      <c r="J45" s="18">
        <v>19</v>
      </c>
      <c r="K45" s="18">
        <v>2</v>
      </c>
      <c r="L45" s="18">
        <v>7</v>
      </c>
    </row>
    <row x14ac:dyDescent="0.25" r="46" customHeight="1" ht="18.75">
      <c r="A46" s="14" t="s">
        <v>30</v>
      </c>
      <c r="B46" s="15">
        <v>263165.14725799457</v>
      </c>
      <c r="C46" s="19">
        <v>0</v>
      </c>
      <c r="D46" s="15">
        <v>269498.6922840108</v>
      </c>
      <c r="E46" s="19">
        <v>0</v>
      </c>
      <c r="F46" s="18"/>
      <c r="G46" s="19">
        <v>0</v>
      </c>
      <c r="H46" s="15">
        <v>99843.66639999999</v>
      </c>
      <c r="I46" s="15">
        <v>795828.9868</v>
      </c>
      <c r="J46" s="18">
        <v>27</v>
      </c>
      <c r="K46" s="18">
        <v>6</v>
      </c>
      <c r="L46" s="18">
        <v>13</v>
      </c>
    </row>
    <row x14ac:dyDescent="0.25" r="47" customHeight="1" ht="18.75">
      <c r="A47" s="14" t="s">
        <v>31</v>
      </c>
      <c r="B47" s="15">
        <v>1829977.7232032823</v>
      </c>
      <c r="C47" s="19">
        <v>0</v>
      </c>
      <c r="D47" s="15">
        <v>1741575.891993437</v>
      </c>
      <c r="E47" s="19">
        <v>0</v>
      </c>
      <c r="F47" s="18"/>
      <c r="G47" s="19">
        <v>0</v>
      </c>
      <c r="H47" s="15">
        <v>1677385.9631999994</v>
      </c>
      <c r="I47" s="15">
        <v>5401531.338400002</v>
      </c>
      <c r="J47" s="18">
        <v>1191</v>
      </c>
      <c r="K47" s="18">
        <v>206</v>
      </c>
      <c r="L47" s="18">
        <v>352</v>
      </c>
    </row>
    <row x14ac:dyDescent="0.25" r="48" customHeight="1" ht="18.75">
      <c r="A48" s="14" t="s">
        <v>32</v>
      </c>
      <c r="B48" s="15"/>
      <c r="C48" s="19">
        <v>0</v>
      </c>
      <c r="D48" s="15"/>
      <c r="E48" s="19">
        <v>0</v>
      </c>
      <c r="F48" s="33"/>
      <c r="G48" s="19">
        <v>0</v>
      </c>
      <c r="H48" s="15">
        <v>50387.18720000001</v>
      </c>
      <c r="I48" s="15"/>
      <c r="J48" s="18">
        <v>33</v>
      </c>
      <c r="K48" s="18">
        <v>7</v>
      </c>
      <c r="L48" s="18">
        <v>6</v>
      </c>
    </row>
    <row x14ac:dyDescent="0.25" r="49" customHeight="1" ht="18.75">
      <c r="A49" s="14" t="s">
        <v>33</v>
      </c>
      <c r="B49" s="15">
        <v>535404.626596748</v>
      </c>
      <c r="C49" s="19">
        <v>0</v>
      </c>
      <c r="D49" s="15">
        <v>14960.650406504059</v>
      </c>
      <c r="E49" s="19">
        <v>0</v>
      </c>
      <c r="F49" s="20"/>
      <c r="G49" s="19">
        <v>0</v>
      </c>
      <c r="H49" s="15">
        <v>108497.76199999999</v>
      </c>
      <c r="I49" s="15">
        <v>1085769.9036</v>
      </c>
      <c r="J49" s="18">
        <v>120</v>
      </c>
      <c r="K49" s="18">
        <v>10</v>
      </c>
      <c r="L49" s="18">
        <v>16</v>
      </c>
    </row>
    <row x14ac:dyDescent="0.25" r="50" customHeight="1" ht="18.75">
      <c r="A50" s="14" t="s">
        <v>34</v>
      </c>
      <c r="B50" s="15">
        <v>17890.914216260164</v>
      </c>
      <c r="C50" s="19">
        <v>0</v>
      </c>
      <c r="D50" s="15">
        <v>172189.53316747968</v>
      </c>
      <c r="E50" s="19">
        <v>0</v>
      </c>
      <c r="F50" s="20"/>
      <c r="G50" s="19">
        <v>0</v>
      </c>
      <c r="H50" s="15">
        <v>69568.9748</v>
      </c>
      <c r="I50" s="15">
        <v>207971.3616</v>
      </c>
      <c r="J50" s="18"/>
      <c r="K50" s="18">
        <v>7</v>
      </c>
      <c r="L50" s="20"/>
    </row>
    <row x14ac:dyDescent="0.25" r="51" customHeight="1" ht="18.75">
      <c r="A51" s="22"/>
      <c r="B51" s="31"/>
      <c r="C51" s="3"/>
      <c r="D51" s="31"/>
      <c r="E51" s="3"/>
      <c r="F51" s="4"/>
      <c r="G51" s="3"/>
      <c r="H51" s="31"/>
      <c r="I51" s="31"/>
      <c r="J51" s="4"/>
      <c r="K51" s="32"/>
      <c r="L51" s="4"/>
    </row>
    <row x14ac:dyDescent="0.25" r="52" customHeight="1" ht="18.75">
      <c r="A52" s="6">
        <v>45047</v>
      </c>
      <c r="B52" s="31"/>
      <c r="C52" s="3"/>
      <c r="D52" s="31"/>
      <c r="E52" s="3"/>
      <c r="F52" s="4"/>
      <c r="G52" s="3"/>
      <c r="H52" s="31"/>
      <c r="I52" s="31"/>
      <c r="J52" s="4"/>
      <c r="K52" s="32"/>
      <c r="L52" s="4"/>
    </row>
    <row x14ac:dyDescent="0.25" r="53" customHeight="1" ht="33">
      <c r="A53" s="10" t="s">
        <v>14</v>
      </c>
      <c r="B53" s="11" t="s">
        <v>15</v>
      </c>
      <c r="C53" s="12" t="s">
        <v>16</v>
      </c>
      <c r="D53" s="11" t="s">
        <v>17</v>
      </c>
      <c r="E53" s="12" t="s">
        <v>18</v>
      </c>
      <c r="F53" s="13" t="s">
        <v>19</v>
      </c>
      <c r="G53" s="12" t="s">
        <v>20</v>
      </c>
      <c r="H53" s="11" t="s">
        <v>21</v>
      </c>
      <c r="I53" s="11" t="s">
        <v>22</v>
      </c>
      <c r="J53" s="13" t="s">
        <v>23</v>
      </c>
      <c r="K53" s="24" t="s">
        <v>24</v>
      </c>
      <c r="L53" s="13" t="s">
        <v>25</v>
      </c>
    </row>
    <row x14ac:dyDescent="0.25" r="54" customHeight="1" ht="33">
      <c r="A54" s="14" t="s">
        <v>26</v>
      </c>
      <c r="B54" s="15">
        <v>70408.72563685637</v>
      </c>
      <c r="C54" s="16">
        <v>0</v>
      </c>
      <c r="D54" s="15">
        <v>289866.86312628724</v>
      </c>
      <c r="E54" s="16">
        <v>0</v>
      </c>
      <c r="F54" s="17"/>
      <c r="G54" s="16">
        <v>0</v>
      </c>
      <c r="H54" s="15">
        <v>187825.6084</v>
      </c>
      <c r="I54" s="15">
        <v>430684.3143999999</v>
      </c>
      <c r="J54" s="18">
        <v>52</v>
      </c>
      <c r="K54" s="18">
        <v>1</v>
      </c>
      <c r="L54" s="18">
        <v>13</v>
      </c>
    </row>
    <row x14ac:dyDescent="0.25" r="55" customHeight="1" ht="33">
      <c r="A55" s="14" t="s">
        <v>27</v>
      </c>
      <c r="B55" s="15">
        <v>545333.09480542</v>
      </c>
      <c r="C55" s="16">
        <v>0</v>
      </c>
      <c r="D55" s="15">
        <v>2886004.53518916</v>
      </c>
      <c r="E55" s="16">
        <v>0</v>
      </c>
      <c r="F55" s="18">
        <v>7888.679999999999</v>
      </c>
      <c r="G55" s="16">
        <v>0</v>
      </c>
      <c r="H55" s="15">
        <v>152233.79760000002</v>
      </c>
      <c r="I55" s="15">
        <v>3976670.724799999</v>
      </c>
      <c r="J55" s="18">
        <v>106</v>
      </c>
      <c r="K55" s="18">
        <v>69</v>
      </c>
      <c r="L55" s="18">
        <v>16</v>
      </c>
    </row>
    <row x14ac:dyDescent="0.25" r="56" customHeight="1" ht="33">
      <c r="A56" s="14" t="s">
        <v>28</v>
      </c>
      <c r="B56" s="15">
        <v>3121900.628337127</v>
      </c>
      <c r="C56" s="16">
        <v>0</v>
      </c>
      <c r="D56" s="15">
        <v>1946537.2389257462</v>
      </c>
      <c r="E56" s="16">
        <v>0</v>
      </c>
      <c r="F56" s="18">
        <v>2158.32</v>
      </c>
      <c r="G56" s="16">
        <v>0</v>
      </c>
      <c r="H56" s="15">
        <v>638476.3224000001</v>
      </c>
      <c r="I56" s="15">
        <v>8190338.495599999</v>
      </c>
      <c r="J56" s="18">
        <v>247</v>
      </c>
      <c r="K56" s="18">
        <v>64</v>
      </c>
      <c r="L56" s="18">
        <v>58</v>
      </c>
    </row>
    <row x14ac:dyDescent="0.25" r="57" customHeight="1" ht="33">
      <c r="A57" s="14" t="s">
        <v>29</v>
      </c>
      <c r="B57" s="15">
        <v>518023.63158211386</v>
      </c>
      <c r="C57" s="16">
        <v>0</v>
      </c>
      <c r="D57" s="15">
        <v>71619.57723577236</v>
      </c>
      <c r="E57" s="16">
        <v>0</v>
      </c>
      <c r="F57" s="18"/>
      <c r="G57" s="16">
        <v>0</v>
      </c>
      <c r="H57" s="15">
        <v>89921.76999999999</v>
      </c>
      <c r="I57" s="15">
        <v>1107666.8404</v>
      </c>
      <c r="J57" s="18">
        <v>11</v>
      </c>
      <c r="K57" s="18">
        <v>3</v>
      </c>
      <c r="L57" s="18">
        <v>4</v>
      </c>
    </row>
    <row x14ac:dyDescent="0.25" r="58" customHeight="1" ht="18.75">
      <c r="A58" s="14" t="s">
        <v>30</v>
      </c>
      <c r="B58" s="15">
        <v>985858.9304140245</v>
      </c>
      <c r="C58" s="19">
        <v>0</v>
      </c>
      <c r="D58" s="15">
        <v>520874.9839719512</v>
      </c>
      <c r="E58" s="19">
        <v>0</v>
      </c>
      <c r="F58" s="18"/>
      <c r="G58" s="19">
        <v>0</v>
      </c>
      <c r="H58" s="15">
        <v>223413.126</v>
      </c>
      <c r="I58" s="15">
        <v>2492592.8447999996</v>
      </c>
      <c r="J58" s="18">
        <v>21</v>
      </c>
      <c r="K58" s="18">
        <v>4</v>
      </c>
      <c r="L58" s="18">
        <v>6</v>
      </c>
    </row>
    <row x14ac:dyDescent="0.25" r="59" customHeight="1" ht="18.75">
      <c r="A59" s="14" t="s">
        <v>31</v>
      </c>
      <c r="B59" s="15">
        <v>1864786.6551288378</v>
      </c>
      <c r="C59" s="19">
        <v>0</v>
      </c>
      <c r="D59" s="15">
        <v>1050959.0097423242</v>
      </c>
      <c r="E59" s="19">
        <v>0</v>
      </c>
      <c r="F59" s="18"/>
      <c r="G59" s="19">
        <v>0</v>
      </c>
      <c r="H59" s="15">
        <v>2447440.7235999983</v>
      </c>
      <c r="I59" s="15">
        <v>4780532.319999999</v>
      </c>
      <c r="J59" s="18">
        <v>666</v>
      </c>
      <c r="K59" s="18">
        <v>184</v>
      </c>
      <c r="L59" s="18">
        <v>159</v>
      </c>
    </row>
    <row x14ac:dyDescent="0.25" r="60" customHeight="1" ht="18.75">
      <c r="A60" s="14" t="s">
        <v>32</v>
      </c>
      <c r="B60" s="15"/>
      <c r="C60" s="19">
        <v>0</v>
      </c>
      <c r="D60" s="15"/>
      <c r="E60" s="19">
        <v>0</v>
      </c>
      <c r="F60" s="20"/>
      <c r="G60" s="19">
        <v>0</v>
      </c>
      <c r="H60" s="15">
        <v>5480.9996</v>
      </c>
      <c r="I60" s="15"/>
      <c r="J60" s="18">
        <v>19</v>
      </c>
      <c r="K60" s="18">
        <v>4</v>
      </c>
      <c r="L60" s="18">
        <v>3</v>
      </c>
    </row>
    <row x14ac:dyDescent="0.25" r="61" customHeight="1" ht="18.75">
      <c r="A61" s="14" t="s">
        <v>33</v>
      </c>
      <c r="B61" s="15">
        <v>293659.23337398365</v>
      </c>
      <c r="C61" s="19">
        <v>0</v>
      </c>
      <c r="D61" s="15">
        <v>16393.203252032516</v>
      </c>
      <c r="E61" s="19">
        <v>0</v>
      </c>
      <c r="F61" s="20"/>
      <c r="G61" s="19">
        <v>0</v>
      </c>
      <c r="H61" s="15">
        <v>118384.992</v>
      </c>
      <c r="I61" s="15">
        <v>603711.6699999999</v>
      </c>
      <c r="J61" s="18">
        <v>168</v>
      </c>
      <c r="K61" s="18">
        <v>3</v>
      </c>
      <c r="L61" s="18">
        <v>30</v>
      </c>
    </row>
    <row x14ac:dyDescent="0.25" r="62" customHeight="1" ht="18.75">
      <c r="A62" s="14" t="s">
        <v>34</v>
      </c>
      <c r="B62" s="15">
        <v>0</v>
      </c>
      <c r="C62" s="19">
        <v>0</v>
      </c>
      <c r="D62" s="15">
        <v>0</v>
      </c>
      <c r="E62" s="19">
        <v>0</v>
      </c>
      <c r="F62" s="20"/>
      <c r="G62" s="19">
        <v>0</v>
      </c>
      <c r="H62" s="15">
        <v>2747.142</v>
      </c>
      <c r="I62" s="15">
        <v>0</v>
      </c>
      <c r="J62" s="18"/>
      <c r="K62" s="18">
        <v>9</v>
      </c>
      <c r="L62" s="20"/>
    </row>
    <row x14ac:dyDescent="0.25" r="63" customHeight="1" ht="18.75">
      <c r="A63" s="22"/>
      <c r="B63" s="31"/>
      <c r="C63" s="3"/>
      <c r="D63" s="31"/>
      <c r="E63" s="3"/>
      <c r="F63" s="4"/>
      <c r="G63" s="3"/>
      <c r="H63" s="31"/>
      <c r="I63" s="31"/>
      <c r="J63" s="4"/>
      <c r="K63" s="32"/>
      <c r="L63" s="4"/>
    </row>
    <row x14ac:dyDescent="0.25" r="64" customHeight="1" ht="18.75">
      <c r="A64" s="6">
        <v>45078</v>
      </c>
      <c r="B64" s="7" t="s">
        <v>3</v>
      </c>
      <c r="C64" s="8" t="s">
        <v>4</v>
      </c>
      <c r="D64" s="7" t="s">
        <v>5</v>
      </c>
      <c r="E64" s="8" t="s">
        <v>6</v>
      </c>
      <c r="F64" s="9" t="s">
        <v>7</v>
      </c>
      <c r="G64" s="8" t="s">
        <v>8</v>
      </c>
      <c r="H64" s="7" t="s">
        <v>9</v>
      </c>
      <c r="I64" s="7" t="s">
        <v>10</v>
      </c>
      <c r="J64" s="9" t="s">
        <v>11</v>
      </c>
      <c r="K64" s="9" t="s">
        <v>12</v>
      </c>
      <c r="L64" s="9" t="s">
        <v>13</v>
      </c>
    </row>
    <row x14ac:dyDescent="0.25" r="65" customHeight="1" ht="33">
      <c r="A65" s="10" t="s">
        <v>14</v>
      </c>
      <c r="B65" s="11" t="s">
        <v>15</v>
      </c>
      <c r="C65" s="12" t="s">
        <v>16</v>
      </c>
      <c r="D65" s="11" t="s">
        <v>17</v>
      </c>
      <c r="E65" s="12" t="s">
        <v>18</v>
      </c>
      <c r="F65" s="13" t="s">
        <v>19</v>
      </c>
      <c r="G65" s="12" t="s">
        <v>20</v>
      </c>
      <c r="H65" s="11" t="s">
        <v>21</v>
      </c>
      <c r="I65" s="11" t="s">
        <v>22</v>
      </c>
      <c r="J65" s="13" t="s">
        <v>23</v>
      </c>
      <c r="K65" s="24" t="s">
        <v>24</v>
      </c>
      <c r="L65" s="13" t="s">
        <v>25</v>
      </c>
    </row>
    <row x14ac:dyDescent="0.25" r="66" customHeight="1" ht="33">
      <c r="A66" s="14" t="s">
        <v>26</v>
      </c>
      <c r="B66" s="15">
        <v>33570.1856200542</v>
      </c>
      <c r="C66" s="16">
        <v>0</v>
      </c>
      <c r="D66" s="15">
        <v>51003.98915989159</v>
      </c>
      <c r="E66" s="16">
        <v>0</v>
      </c>
      <c r="F66" s="17"/>
      <c r="G66" s="16">
        <v>0</v>
      </c>
      <c r="H66" s="15">
        <v>159354.24000000002</v>
      </c>
      <c r="I66" s="15">
        <v>118144.36039999999</v>
      </c>
      <c r="J66" s="18">
        <v>54</v>
      </c>
      <c r="K66" s="18">
        <v>2</v>
      </c>
      <c r="L66" s="18">
        <v>20</v>
      </c>
    </row>
    <row x14ac:dyDescent="0.25" r="67" customHeight="1" ht="33">
      <c r="A67" s="14" t="s">
        <v>27</v>
      </c>
      <c r="B67" s="15">
        <v>559959.3464644986</v>
      </c>
      <c r="C67" s="16">
        <v>0</v>
      </c>
      <c r="D67" s="15">
        <v>2371635.5614710026</v>
      </c>
      <c r="E67" s="16">
        <v>0</v>
      </c>
      <c r="F67" s="18">
        <v>79560.53</v>
      </c>
      <c r="G67" s="16">
        <v>0</v>
      </c>
      <c r="H67" s="15">
        <v>111989.13599999998</v>
      </c>
      <c r="I67" s="15">
        <v>3491554.2543999995</v>
      </c>
      <c r="J67" s="18">
        <v>111</v>
      </c>
      <c r="K67" s="18">
        <v>58</v>
      </c>
      <c r="L67" s="18">
        <v>21</v>
      </c>
    </row>
    <row x14ac:dyDescent="0.25" r="68" customHeight="1" ht="33">
      <c r="A68" s="14" t="s">
        <v>28</v>
      </c>
      <c r="B68" s="15">
        <v>1649032.9642101293</v>
      </c>
      <c r="C68" s="16">
        <v>0</v>
      </c>
      <c r="D68" s="15">
        <v>1237235.7703797412</v>
      </c>
      <c r="E68" s="16">
        <v>0</v>
      </c>
      <c r="F68" s="18">
        <v>225712.53000000003</v>
      </c>
      <c r="G68" s="16">
        <v>0</v>
      </c>
      <c r="H68" s="15">
        <v>668605.7196</v>
      </c>
      <c r="I68" s="15">
        <v>4535301.698800002</v>
      </c>
      <c r="J68" s="18">
        <v>199</v>
      </c>
      <c r="K68" s="18">
        <v>76</v>
      </c>
      <c r="L68" s="18">
        <v>53</v>
      </c>
    </row>
    <row x14ac:dyDescent="0.25" r="69" customHeight="1" ht="33">
      <c r="A69" s="14" t="s">
        <v>29</v>
      </c>
      <c r="B69" s="15">
        <v>13647.82918861789</v>
      </c>
      <c r="C69" s="16">
        <v>0</v>
      </c>
      <c r="D69" s="15">
        <v>6265.276422764226</v>
      </c>
      <c r="E69" s="16">
        <v>0</v>
      </c>
      <c r="F69" s="18"/>
      <c r="G69" s="16">
        <v>0</v>
      </c>
      <c r="H69" s="15">
        <v>1793.8076</v>
      </c>
      <c r="I69" s="15">
        <v>33560.9348</v>
      </c>
      <c r="J69" s="18">
        <v>13</v>
      </c>
      <c r="K69" s="18">
        <v>4</v>
      </c>
      <c r="L69" s="18">
        <v>6</v>
      </c>
    </row>
    <row x14ac:dyDescent="0.25" r="70" customHeight="1" ht="18.75">
      <c r="A70" s="14" t="s">
        <v>30</v>
      </c>
      <c r="B70" s="15">
        <v>7446.393291331178</v>
      </c>
      <c r="C70" s="19">
        <v>0</v>
      </c>
      <c r="D70" s="15">
        <v>255880.1482173377</v>
      </c>
      <c r="E70" s="19">
        <v>0</v>
      </c>
      <c r="F70" s="18">
        <v>334209.54000000015</v>
      </c>
      <c r="G70" s="19">
        <v>0</v>
      </c>
      <c r="H70" s="15">
        <v>31211.582400000003</v>
      </c>
      <c r="I70" s="15">
        <v>270772.93480000005</v>
      </c>
      <c r="J70" s="18">
        <v>20</v>
      </c>
      <c r="K70" s="18">
        <v>3</v>
      </c>
      <c r="L70" s="18">
        <v>12</v>
      </c>
    </row>
    <row x14ac:dyDescent="0.25" r="71" customHeight="1" ht="18.75">
      <c r="A71" s="14" t="s">
        <v>31</v>
      </c>
      <c r="B71" s="15">
        <v>1936976.4596806508</v>
      </c>
      <c r="C71" s="19">
        <v>0</v>
      </c>
      <c r="D71" s="15">
        <v>973059.136238699</v>
      </c>
      <c r="E71" s="19">
        <v>0</v>
      </c>
      <c r="F71" s="18">
        <v>33642.100000000006</v>
      </c>
      <c r="G71" s="19">
        <v>0</v>
      </c>
      <c r="H71" s="15">
        <v>2486852.4940000013</v>
      </c>
      <c r="I71" s="15">
        <v>4847012.055600003</v>
      </c>
      <c r="J71" s="18">
        <v>695</v>
      </c>
      <c r="K71" s="18">
        <v>155</v>
      </c>
      <c r="L71" s="18">
        <v>146</v>
      </c>
    </row>
    <row x14ac:dyDescent="0.25" r="72" customHeight="1" ht="18.75">
      <c r="A72" s="14" t="s">
        <v>32</v>
      </c>
      <c r="B72" s="15">
        <v>4641.967471544715</v>
      </c>
      <c r="C72" s="19">
        <v>0</v>
      </c>
      <c r="D72" s="15">
        <v>705.6910569105692</v>
      </c>
      <c r="E72" s="19">
        <v>0</v>
      </c>
      <c r="F72" s="20"/>
      <c r="G72" s="19">
        <v>0</v>
      </c>
      <c r="H72" s="15">
        <v>61199.03279999999</v>
      </c>
      <c r="I72" s="15">
        <v>9989.626</v>
      </c>
      <c r="J72" s="18">
        <v>16</v>
      </c>
      <c r="K72" s="18">
        <v>3</v>
      </c>
      <c r="L72" s="18">
        <v>8</v>
      </c>
    </row>
    <row x14ac:dyDescent="0.25" r="73" customHeight="1" ht="18.75">
      <c r="A73" s="14" t="s">
        <v>33</v>
      </c>
      <c r="B73" s="15">
        <v>446091.1832926828</v>
      </c>
      <c r="C73" s="19">
        <v>0</v>
      </c>
      <c r="D73" s="15">
        <v>12829.463414634143</v>
      </c>
      <c r="E73" s="19">
        <v>0</v>
      </c>
      <c r="F73" s="20"/>
      <c r="G73" s="19">
        <v>0</v>
      </c>
      <c r="H73" s="15">
        <v>124877.74919999998</v>
      </c>
      <c r="I73" s="15">
        <v>905011.8300000002</v>
      </c>
      <c r="J73" s="18">
        <v>124</v>
      </c>
      <c r="K73" s="18">
        <v>7</v>
      </c>
      <c r="L73" s="18">
        <v>20</v>
      </c>
    </row>
    <row x14ac:dyDescent="0.25" r="74" customHeight="1" ht="18.75">
      <c r="A74" s="14" t="s">
        <v>34</v>
      </c>
      <c r="B74" s="15">
        <v>1727.260016260163</v>
      </c>
      <c r="C74" s="19">
        <v>0</v>
      </c>
      <c r="D74" s="34">
        <v>712.7479674796747</v>
      </c>
      <c r="E74" s="19">
        <v>0</v>
      </c>
      <c r="F74" s="20"/>
      <c r="G74" s="19">
        <v>0</v>
      </c>
      <c r="H74" s="15">
        <v>25317.8688</v>
      </c>
      <c r="I74" s="15">
        <v>4167.268</v>
      </c>
      <c r="J74" s="18"/>
      <c r="K74" s="18">
        <v>5</v>
      </c>
      <c r="L74" s="20"/>
    </row>
    <row x14ac:dyDescent="0.25" r="75" customHeight="1" ht="18.75">
      <c r="A75" s="22"/>
      <c r="B75" s="31"/>
      <c r="C75" s="3"/>
      <c r="D75" s="31"/>
      <c r="E75" s="3"/>
      <c r="F75" s="4"/>
      <c r="G75" s="3"/>
      <c r="H75" s="31"/>
      <c r="I75" s="31"/>
      <c r="J75" s="4"/>
      <c r="K75" s="32"/>
      <c r="L75" s="4"/>
    </row>
    <row x14ac:dyDescent="0.25" r="76" customHeight="1" ht="18.75">
      <c r="A76" s="6">
        <v>45137</v>
      </c>
      <c r="B76" s="31"/>
      <c r="C76" s="3"/>
      <c r="D76" s="31"/>
      <c r="E76" s="3"/>
      <c r="F76" s="4"/>
      <c r="G76" s="3"/>
      <c r="H76" s="31"/>
      <c r="I76" s="31"/>
      <c r="J76" s="4"/>
      <c r="K76" s="32"/>
      <c r="L76" s="4"/>
    </row>
    <row x14ac:dyDescent="0.25" r="77" customHeight="1" ht="33">
      <c r="A77" s="10" t="s">
        <v>14</v>
      </c>
      <c r="B77" s="11" t="s">
        <v>15</v>
      </c>
      <c r="C77" s="12" t="s">
        <v>16</v>
      </c>
      <c r="D77" s="11" t="s">
        <v>17</v>
      </c>
      <c r="E77" s="12" t="s">
        <v>18</v>
      </c>
      <c r="F77" s="13" t="s">
        <v>19</v>
      </c>
      <c r="G77" s="12" t="s">
        <v>20</v>
      </c>
      <c r="H77" s="11" t="s">
        <v>21</v>
      </c>
      <c r="I77" s="11" t="s">
        <v>22</v>
      </c>
      <c r="J77" s="13" t="s">
        <v>23</v>
      </c>
      <c r="K77" s="24" t="s">
        <v>24</v>
      </c>
      <c r="L77" s="13" t="s">
        <v>25</v>
      </c>
    </row>
    <row x14ac:dyDescent="0.25" r="78" customHeight="1" ht="33">
      <c r="A78" s="14" t="s">
        <v>26</v>
      </c>
      <c r="B78" s="15">
        <v>162458.53875609758</v>
      </c>
      <c r="C78" s="16">
        <v>0</v>
      </c>
      <c r="D78" s="15">
        <v>173200.7804878048</v>
      </c>
      <c r="E78" s="16">
        <v>0</v>
      </c>
      <c r="F78" s="17"/>
      <c r="G78" s="16">
        <v>0</v>
      </c>
      <c r="H78" s="15">
        <v>43594.1796</v>
      </c>
      <c r="I78" s="15">
        <v>498117.858</v>
      </c>
      <c r="J78" s="17">
        <v>44</v>
      </c>
      <c r="K78" s="18">
        <v>2</v>
      </c>
      <c r="L78" s="17">
        <v>12</v>
      </c>
    </row>
    <row x14ac:dyDescent="0.25" r="79" customHeight="1" ht="33">
      <c r="A79" s="14" t="s">
        <v>27</v>
      </c>
      <c r="B79" s="15">
        <v>765802.2693864498</v>
      </c>
      <c r="C79" s="16">
        <v>0</v>
      </c>
      <c r="D79" s="15">
        <v>2779073.9004271007</v>
      </c>
      <c r="E79" s="16">
        <v>0</v>
      </c>
      <c r="F79" s="18">
        <v>39446.21</v>
      </c>
      <c r="G79" s="16">
        <v>0</v>
      </c>
      <c r="H79" s="15">
        <v>127626.17199999998</v>
      </c>
      <c r="I79" s="15">
        <v>4310678.439200001</v>
      </c>
      <c r="J79" s="17">
        <v>84</v>
      </c>
      <c r="K79" s="18">
        <v>42</v>
      </c>
      <c r="L79" s="17">
        <v>13</v>
      </c>
    </row>
    <row x14ac:dyDescent="0.25" r="80" customHeight="1" ht="33">
      <c r="A80" s="14" t="s">
        <v>28</v>
      </c>
      <c r="B80" s="15">
        <v>1201816.8257756094</v>
      </c>
      <c r="C80" s="16">
        <v>0</v>
      </c>
      <c r="D80" s="15">
        <v>958538.0480487803</v>
      </c>
      <c r="E80" s="16">
        <v>0</v>
      </c>
      <c r="F80" s="18">
        <v>76733.95999999999</v>
      </c>
      <c r="G80" s="16">
        <v>0</v>
      </c>
      <c r="H80" s="15">
        <v>339923.522</v>
      </c>
      <c r="I80" s="15">
        <v>3362171.699599999</v>
      </c>
      <c r="J80" s="18">
        <v>217</v>
      </c>
      <c r="K80" s="18">
        <v>37</v>
      </c>
      <c r="L80" s="18">
        <v>63</v>
      </c>
    </row>
    <row x14ac:dyDescent="0.25" r="81" customHeight="1" ht="33">
      <c r="A81" s="14" t="s">
        <v>29</v>
      </c>
      <c r="B81" s="15">
        <v>176784.01567913278</v>
      </c>
      <c r="C81" s="16">
        <v>0</v>
      </c>
      <c r="D81" s="15">
        <v>130743.22024173442</v>
      </c>
      <c r="E81" s="16">
        <v>0</v>
      </c>
      <c r="F81" s="18"/>
      <c r="G81" s="16">
        <v>0</v>
      </c>
      <c r="H81" s="15">
        <v>59063.5984</v>
      </c>
      <c r="I81" s="15">
        <v>484311.2516</v>
      </c>
      <c r="J81" s="18">
        <v>9</v>
      </c>
      <c r="K81" s="18">
        <v>5</v>
      </c>
      <c r="L81" s="18">
        <v>3</v>
      </c>
    </row>
    <row x14ac:dyDescent="0.25" r="82" customHeight="1" ht="18.75">
      <c r="A82" s="14" t="s">
        <v>30</v>
      </c>
      <c r="B82" s="15">
        <v>77147.778100813</v>
      </c>
      <c r="C82" s="19">
        <v>0</v>
      </c>
      <c r="D82" s="15">
        <v>47605.21179837398</v>
      </c>
      <c r="E82" s="19">
        <v>0</v>
      </c>
      <c r="F82" s="18">
        <v>3472.3</v>
      </c>
      <c r="G82" s="19">
        <v>0</v>
      </c>
      <c r="H82" s="15">
        <v>111883.6632</v>
      </c>
      <c r="I82" s="15">
        <v>201900.76799999998</v>
      </c>
      <c r="J82" s="18">
        <v>13</v>
      </c>
      <c r="K82" s="18">
        <v>5</v>
      </c>
      <c r="L82" s="18">
        <v>7</v>
      </c>
    </row>
    <row x14ac:dyDescent="0.25" r="83" customHeight="1" ht="18.75">
      <c r="A83" s="14" t="s">
        <v>31</v>
      </c>
      <c r="B83" s="15">
        <v>2213665.6579617145</v>
      </c>
      <c r="C83" s="19">
        <v>0</v>
      </c>
      <c r="D83" s="15">
        <v>984628.9556765713</v>
      </c>
      <c r="E83" s="19">
        <v>0</v>
      </c>
      <c r="F83" s="18">
        <v>32380.67</v>
      </c>
      <c r="G83" s="19">
        <v>0</v>
      </c>
      <c r="H83" s="15">
        <v>2865708.7568000006</v>
      </c>
      <c r="I83" s="15">
        <v>5411960.2716</v>
      </c>
      <c r="J83" s="18">
        <v>599</v>
      </c>
      <c r="K83" s="18">
        <v>157</v>
      </c>
      <c r="L83" s="18">
        <v>115</v>
      </c>
    </row>
    <row x14ac:dyDescent="0.25" r="84" customHeight="1" ht="18.75">
      <c r="A84" s="14" t="s">
        <v>32</v>
      </c>
      <c r="B84" s="15">
        <v>44797.486183197834</v>
      </c>
      <c r="C84" s="19">
        <v>0</v>
      </c>
      <c r="D84" s="15">
        <v>3351.3604336043354</v>
      </c>
      <c r="E84" s="19">
        <v>0</v>
      </c>
      <c r="F84" s="20"/>
      <c r="G84" s="19">
        <v>0</v>
      </c>
      <c r="H84" s="15">
        <v>69952.0096</v>
      </c>
      <c r="I84" s="15">
        <v>92946.3328</v>
      </c>
      <c r="J84" s="18">
        <v>10</v>
      </c>
      <c r="K84" s="18">
        <v>1</v>
      </c>
      <c r="L84" s="18">
        <v>2</v>
      </c>
    </row>
    <row x14ac:dyDescent="0.25" r="85" customHeight="1" ht="18.75">
      <c r="A85" s="14" t="s">
        <v>33</v>
      </c>
      <c r="B85" s="15">
        <v>320296.8516764228</v>
      </c>
      <c r="C85" s="19">
        <v>0</v>
      </c>
      <c r="D85" s="15">
        <v>12116.715447154469</v>
      </c>
      <c r="E85" s="19">
        <v>0</v>
      </c>
      <c r="F85" s="33"/>
      <c r="G85" s="19">
        <v>0</v>
      </c>
      <c r="H85" s="15">
        <v>104092.42040000002</v>
      </c>
      <c r="I85" s="15">
        <v>652710.4188</v>
      </c>
      <c r="J85" s="18">
        <v>102</v>
      </c>
      <c r="K85" s="18">
        <v>6</v>
      </c>
      <c r="L85" s="18">
        <v>14</v>
      </c>
    </row>
    <row x14ac:dyDescent="0.25" r="86" customHeight="1" ht="18.75">
      <c r="A86" s="14" t="s">
        <v>34</v>
      </c>
      <c r="B86" s="34">
        <v>6773.9402</v>
      </c>
      <c r="C86" s="19">
        <v>0</v>
      </c>
      <c r="D86" s="18">
        <v>0</v>
      </c>
      <c r="E86" s="19">
        <v>0</v>
      </c>
      <c r="F86" s="20"/>
      <c r="G86" s="19">
        <v>0</v>
      </c>
      <c r="H86" s="15">
        <v>44066.6876</v>
      </c>
      <c r="I86" s="15">
        <v>13547.8804</v>
      </c>
      <c r="J86" s="18"/>
      <c r="K86" s="18">
        <v>7</v>
      </c>
      <c r="L86" s="18"/>
    </row>
    <row x14ac:dyDescent="0.25" r="87" customHeight="1" ht="18.75">
      <c r="A87" s="22"/>
      <c r="B87" s="31"/>
      <c r="C87" s="3"/>
      <c r="D87" s="31"/>
      <c r="E87" s="3"/>
      <c r="F87" s="4"/>
      <c r="G87" s="3"/>
      <c r="H87" s="31"/>
      <c r="I87" s="31"/>
      <c r="J87" s="4"/>
      <c r="K87" s="32"/>
      <c r="L87" s="4"/>
    </row>
    <row x14ac:dyDescent="0.25" r="88" customHeight="1" ht="18.75">
      <c r="A88" s="6">
        <v>45139</v>
      </c>
      <c r="B88" s="31"/>
      <c r="C88" s="3"/>
      <c r="D88" s="31"/>
      <c r="E88" s="3"/>
      <c r="F88" s="4"/>
      <c r="G88" s="3"/>
      <c r="H88" s="31"/>
      <c r="I88" s="31"/>
      <c r="J88" s="4"/>
      <c r="K88" s="32"/>
      <c r="L88" s="4"/>
    </row>
    <row x14ac:dyDescent="0.25" r="89" customHeight="1" ht="33">
      <c r="A89" s="10" t="s">
        <v>14</v>
      </c>
      <c r="B89" s="11" t="s">
        <v>15</v>
      </c>
      <c r="C89" s="12" t="s">
        <v>16</v>
      </c>
      <c r="D89" s="11" t="s">
        <v>17</v>
      </c>
      <c r="E89" s="12" t="s">
        <v>18</v>
      </c>
      <c r="F89" s="13" t="s">
        <v>19</v>
      </c>
      <c r="G89" s="12" t="s">
        <v>20</v>
      </c>
      <c r="H89" s="11" t="s">
        <v>21</v>
      </c>
      <c r="I89" s="11" t="s">
        <v>22</v>
      </c>
      <c r="J89" s="13" t="s">
        <v>23</v>
      </c>
      <c r="K89" s="24" t="s">
        <v>24</v>
      </c>
      <c r="L89" s="13" t="s">
        <v>25</v>
      </c>
    </row>
    <row x14ac:dyDescent="0.25" r="90" customHeight="1" ht="33">
      <c r="A90" s="14" t="s">
        <v>26</v>
      </c>
      <c r="B90" s="15">
        <v>48250.93781626016</v>
      </c>
      <c r="C90" s="16">
        <v>0</v>
      </c>
      <c r="D90" s="15">
        <v>255264.72196747965</v>
      </c>
      <c r="E90" s="16">
        <v>0</v>
      </c>
      <c r="F90" s="17"/>
      <c r="G90" s="16">
        <v>0</v>
      </c>
      <c r="H90" s="15">
        <v>274707.55079999997</v>
      </c>
      <c r="I90" s="15">
        <v>351766.5976</v>
      </c>
      <c r="J90" s="18">
        <v>55</v>
      </c>
      <c r="K90" s="18">
        <v>4</v>
      </c>
      <c r="L90" s="18">
        <v>13</v>
      </c>
    </row>
    <row x14ac:dyDescent="0.25" r="91" customHeight="1" ht="33">
      <c r="A91" s="14" t="s">
        <v>27</v>
      </c>
      <c r="B91" s="15">
        <v>809875.2921728997</v>
      </c>
      <c r="C91" s="16">
        <v>0</v>
      </c>
      <c r="D91" s="15">
        <v>2025493.6844542003</v>
      </c>
      <c r="E91" s="16">
        <v>0</v>
      </c>
      <c r="F91" s="18">
        <v>66595.9</v>
      </c>
      <c r="G91" s="16">
        <v>0</v>
      </c>
      <c r="H91" s="15">
        <v>155050.79760000002</v>
      </c>
      <c r="I91" s="15">
        <v>3645244.2688000007</v>
      </c>
      <c r="J91" s="18">
        <v>122</v>
      </c>
      <c r="K91" s="18">
        <v>51</v>
      </c>
      <c r="L91" s="18">
        <v>21</v>
      </c>
    </row>
    <row x14ac:dyDescent="0.25" r="92" customHeight="1" ht="33">
      <c r="A92" s="14" t="s">
        <v>28</v>
      </c>
      <c r="B92" s="15">
        <v>1679189.80137019</v>
      </c>
      <c r="C92" s="16">
        <v>0</v>
      </c>
      <c r="D92" s="15">
        <v>1877951.3716596214</v>
      </c>
      <c r="E92" s="16">
        <v>0</v>
      </c>
      <c r="F92" s="18">
        <v>1611426.09</v>
      </c>
      <c r="G92" s="16">
        <v>0</v>
      </c>
      <c r="H92" s="15">
        <v>624501.9239999999</v>
      </c>
      <c r="I92" s="15">
        <v>5236330.974399999</v>
      </c>
      <c r="J92" s="18">
        <v>206</v>
      </c>
      <c r="K92" s="18">
        <v>65</v>
      </c>
      <c r="L92" s="18">
        <v>43</v>
      </c>
    </row>
    <row x14ac:dyDescent="0.25" r="93" customHeight="1" ht="33">
      <c r="A93" s="14" t="s">
        <v>29</v>
      </c>
      <c r="B93" s="15">
        <v>178152.2138016261</v>
      </c>
      <c r="C93" s="16">
        <v>0</v>
      </c>
      <c r="D93" s="15">
        <v>721631.7883967478</v>
      </c>
      <c r="E93" s="16">
        <v>0</v>
      </c>
      <c r="F93" s="18"/>
      <c r="G93" s="16">
        <v>0</v>
      </c>
      <c r="H93" s="15">
        <v>54601.0628</v>
      </c>
      <c r="I93" s="15">
        <v>1077936.216</v>
      </c>
      <c r="J93" s="18">
        <v>15</v>
      </c>
      <c r="K93" s="18">
        <v>4</v>
      </c>
      <c r="L93" s="18">
        <v>5</v>
      </c>
    </row>
    <row x14ac:dyDescent="0.25" r="94" customHeight="1" ht="18.75">
      <c r="A94" s="14" t="s">
        <v>30</v>
      </c>
      <c r="B94" s="15">
        <v>80558.435401626</v>
      </c>
      <c r="C94" s="19">
        <v>0</v>
      </c>
      <c r="D94" s="15">
        <v>332510.01719674794</v>
      </c>
      <c r="E94" s="19">
        <v>0</v>
      </c>
      <c r="F94" s="18">
        <v>935.65</v>
      </c>
      <c r="G94" s="19">
        <v>0</v>
      </c>
      <c r="H94" s="15">
        <v>121157.38680000001</v>
      </c>
      <c r="I94" s="15">
        <v>493626.88800000004</v>
      </c>
      <c r="J94" s="18">
        <v>20</v>
      </c>
      <c r="K94" s="18">
        <v>3</v>
      </c>
      <c r="L94" s="18">
        <v>8</v>
      </c>
    </row>
    <row x14ac:dyDescent="0.25" r="95" customHeight="1" ht="18.75">
      <c r="A95" s="14" t="s">
        <v>31</v>
      </c>
      <c r="B95" s="15">
        <v>1228777.78981748</v>
      </c>
      <c r="C95" s="19">
        <v>0</v>
      </c>
      <c r="D95" s="15">
        <v>755406.9075650406</v>
      </c>
      <c r="E95" s="19">
        <v>0</v>
      </c>
      <c r="F95" s="18">
        <v>149718.54</v>
      </c>
      <c r="G95" s="19">
        <v>0</v>
      </c>
      <c r="H95" s="15">
        <v>2306566.7791999993</v>
      </c>
      <c r="I95" s="15">
        <v>3212962.4872</v>
      </c>
      <c r="J95" s="18">
        <v>604</v>
      </c>
      <c r="K95" s="18">
        <v>198</v>
      </c>
      <c r="L95" s="18">
        <v>119</v>
      </c>
    </row>
    <row x14ac:dyDescent="0.25" r="96" customHeight="1" ht="18.75">
      <c r="A96" s="14" t="s">
        <v>32</v>
      </c>
      <c r="B96" s="15">
        <v>19499.861648780487</v>
      </c>
      <c r="C96" s="19">
        <v>0</v>
      </c>
      <c r="D96" s="15">
        <v>2138.243902439024</v>
      </c>
      <c r="E96" s="19">
        <v>0</v>
      </c>
      <c r="F96" s="18">
        <v>485.24</v>
      </c>
      <c r="G96" s="19">
        <v>0</v>
      </c>
      <c r="H96" s="15">
        <v>420005.0292</v>
      </c>
      <c r="I96" s="15">
        <v>41137.9672</v>
      </c>
      <c r="J96" s="18">
        <v>21</v>
      </c>
      <c r="K96" s="18">
        <v>5</v>
      </c>
      <c r="L96" s="18">
        <v>4</v>
      </c>
    </row>
    <row x14ac:dyDescent="0.25" r="97" customHeight="1" ht="18.75">
      <c r="A97" s="14" t="s">
        <v>33</v>
      </c>
      <c r="B97" s="15">
        <v>999133.9707219515</v>
      </c>
      <c r="C97" s="19">
        <v>0</v>
      </c>
      <c r="D97" s="15">
        <v>33524.60975609755</v>
      </c>
      <c r="E97" s="19">
        <v>0</v>
      </c>
      <c r="F97" s="33"/>
      <c r="G97" s="19">
        <v>0</v>
      </c>
      <c r="H97" s="15">
        <v>329053.18880000006</v>
      </c>
      <c r="I97" s="15">
        <v>2031792.5512000003</v>
      </c>
      <c r="J97" s="18">
        <v>124</v>
      </c>
      <c r="K97" s="18">
        <v>11</v>
      </c>
      <c r="L97" s="18">
        <v>20</v>
      </c>
    </row>
    <row x14ac:dyDescent="0.25" r="98" customHeight="1" ht="18.75">
      <c r="A98" s="14" t="s">
        <v>34</v>
      </c>
      <c r="B98" s="34">
        <v>417.1484</v>
      </c>
      <c r="C98" s="19">
        <v>0</v>
      </c>
      <c r="D98" s="15">
        <v>0</v>
      </c>
      <c r="E98" s="19">
        <v>0</v>
      </c>
      <c r="F98" s="20"/>
      <c r="G98" s="19">
        <v>0</v>
      </c>
      <c r="H98" s="34">
        <v>58277.07800000001</v>
      </c>
      <c r="I98" s="15">
        <v>834.2968</v>
      </c>
      <c r="J98" s="18"/>
      <c r="K98" s="18">
        <v>9</v>
      </c>
      <c r="L98" s="20"/>
    </row>
    <row x14ac:dyDescent="0.25" r="99" customHeight="1" ht="18.75">
      <c r="A99" s="22"/>
      <c r="B99" s="31"/>
      <c r="C99" s="3"/>
      <c r="D99" s="31"/>
      <c r="E99" s="3"/>
      <c r="F99" s="4"/>
      <c r="G99" s="3"/>
      <c r="H99" s="31"/>
      <c r="I99" s="31"/>
      <c r="J99" s="4"/>
      <c r="K99" s="32"/>
      <c r="L99" s="4"/>
    </row>
    <row x14ac:dyDescent="0.25" r="100" customHeight="1" ht="18.75">
      <c r="A100" s="6">
        <v>45170</v>
      </c>
      <c r="B100" s="31"/>
      <c r="C100" s="3"/>
      <c r="D100" s="31"/>
      <c r="E100" s="3"/>
      <c r="F100" s="4"/>
      <c r="G100" s="3"/>
      <c r="H100" s="31"/>
      <c r="I100" s="31"/>
      <c r="J100" s="4"/>
      <c r="K100" s="32"/>
      <c r="L100" s="4"/>
    </row>
    <row x14ac:dyDescent="0.25" r="101" customHeight="1" ht="33">
      <c r="A101" s="10" t="s">
        <v>14</v>
      </c>
      <c r="B101" s="11" t="s">
        <v>15</v>
      </c>
      <c r="C101" s="12" t="s">
        <v>16</v>
      </c>
      <c r="D101" s="11" t="s">
        <v>17</v>
      </c>
      <c r="E101" s="12" t="s">
        <v>18</v>
      </c>
      <c r="F101" s="13" t="s">
        <v>19</v>
      </c>
      <c r="G101" s="12" t="s">
        <v>20</v>
      </c>
      <c r="H101" s="11" t="s">
        <v>21</v>
      </c>
      <c r="I101" s="11" t="s">
        <v>22</v>
      </c>
      <c r="J101" s="13" t="s">
        <v>23</v>
      </c>
      <c r="K101" s="24" t="s">
        <v>24</v>
      </c>
      <c r="L101" s="13" t="s">
        <v>25</v>
      </c>
    </row>
    <row x14ac:dyDescent="0.25" r="102" customHeight="1" ht="33">
      <c r="A102" s="14" t="s">
        <v>26</v>
      </c>
      <c r="B102" s="15">
        <v>153469.2661387534</v>
      </c>
      <c r="C102" s="16">
        <v>0</v>
      </c>
      <c r="D102" s="15">
        <v>205270.45012249326</v>
      </c>
      <c r="E102" s="16">
        <v>0</v>
      </c>
      <c r="F102" s="17"/>
      <c r="G102" s="16">
        <v>0</v>
      </c>
      <c r="H102" s="15">
        <v>105703.09240000001</v>
      </c>
      <c r="I102" s="15">
        <v>512208.9824</v>
      </c>
      <c r="J102" s="17">
        <v>74</v>
      </c>
      <c r="K102" s="18">
        <v>4</v>
      </c>
      <c r="L102" s="17">
        <v>21</v>
      </c>
    </row>
    <row x14ac:dyDescent="0.25" r="103" customHeight="1" ht="33">
      <c r="A103" s="14" t="s">
        <v>27</v>
      </c>
      <c r="B103" s="15">
        <v>867342.7864070463</v>
      </c>
      <c r="C103" s="16">
        <v>0</v>
      </c>
      <c r="D103" s="15">
        <v>2515278.9075859087</v>
      </c>
      <c r="E103" s="16">
        <v>0</v>
      </c>
      <c r="F103" s="18"/>
      <c r="G103" s="16">
        <v>0</v>
      </c>
      <c r="H103" s="15">
        <v>211678.9732</v>
      </c>
      <c r="I103" s="15">
        <v>4249964.480399999</v>
      </c>
      <c r="J103" s="18">
        <v>96</v>
      </c>
      <c r="K103" s="18">
        <v>54</v>
      </c>
      <c r="L103" s="17">
        <v>17</v>
      </c>
    </row>
    <row x14ac:dyDescent="0.25" r="104" customHeight="1" ht="33">
      <c r="A104" s="14" t="s">
        <v>28</v>
      </c>
      <c r="B104" s="15">
        <v>1568219.1344536582</v>
      </c>
      <c r="C104" s="16">
        <v>0</v>
      </c>
      <c r="D104" s="15">
        <v>1779423.3854926843</v>
      </c>
      <c r="E104" s="16">
        <v>0</v>
      </c>
      <c r="F104" s="18">
        <v>872.16</v>
      </c>
      <c r="G104" s="16">
        <v>0</v>
      </c>
      <c r="H104" s="15">
        <v>335216.58759999997</v>
      </c>
      <c r="I104" s="15">
        <v>4915861.654400002</v>
      </c>
      <c r="J104" s="18">
        <v>176</v>
      </c>
      <c r="K104" s="18">
        <v>64</v>
      </c>
      <c r="L104" s="18">
        <v>36</v>
      </c>
    </row>
    <row x14ac:dyDescent="0.25" r="105" customHeight="1" ht="33">
      <c r="A105" s="14" t="s">
        <v>29</v>
      </c>
      <c r="B105" s="15"/>
      <c r="C105" s="16">
        <v>0</v>
      </c>
      <c r="D105" s="15"/>
      <c r="E105" s="16">
        <v>0</v>
      </c>
      <c r="F105" s="18"/>
      <c r="G105" s="16">
        <v>0</v>
      </c>
      <c r="H105" s="15"/>
      <c r="I105" s="15"/>
      <c r="J105" s="18">
        <v>14</v>
      </c>
      <c r="K105" s="18">
        <v>1</v>
      </c>
      <c r="L105" s="18">
        <v>3</v>
      </c>
    </row>
    <row x14ac:dyDescent="0.25" r="106" customHeight="1" ht="18.75">
      <c r="A106" s="14" t="s">
        <v>30</v>
      </c>
      <c r="B106" s="15">
        <v>80164.01383252033</v>
      </c>
      <c r="C106" s="19">
        <v>0</v>
      </c>
      <c r="D106" s="15">
        <v>285590.20753495937</v>
      </c>
      <c r="E106" s="19">
        <v>0</v>
      </c>
      <c r="F106" s="18">
        <v>108220.27000000006</v>
      </c>
      <c r="G106" s="19">
        <v>0</v>
      </c>
      <c r="H106" s="15">
        <v>88706.948</v>
      </c>
      <c r="I106" s="15">
        <v>445918.23520000005</v>
      </c>
      <c r="J106" s="18">
        <v>21</v>
      </c>
      <c r="K106" s="18">
        <v>2</v>
      </c>
      <c r="L106" s="18">
        <v>8</v>
      </c>
    </row>
    <row x14ac:dyDescent="0.25" r="107" customHeight="1" ht="18.75">
      <c r="A107" s="14" t="s">
        <v>31</v>
      </c>
      <c r="B107" s="35">
        <v>1689586.359270504</v>
      </c>
      <c r="C107" s="19">
        <v>0</v>
      </c>
      <c r="D107" s="35">
        <v>1168261.0782589924</v>
      </c>
      <c r="E107" s="19">
        <v>0</v>
      </c>
      <c r="F107" s="18">
        <v>144.21</v>
      </c>
      <c r="G107" s="19">
        <v>0</v>
      </c>
      <c r="H107" s="35">
        <v>2372163.296000002</v>
      </c>
      <c r="I107" s="35">
        <v>4547433.796800001</v>
      </c>
      <c r="J107" s="18">
        <v>560</v>
      </c>
      <c r="K107" s="18">
        <v>168</v>
      </c>
      <c r="L107" s="18">
        <v>112</v>
      </c>
    </row>
    <row x14ac:dyDescent="0.25" r="108" customHeight="1" ht="18.75">
      <c r="A108" s="14" t="s">
        <v>32</v>
      </c>
      <c r="B108" s="15">
        <v>5442.231816260162</v>
      </c>
      <c r="C108" s="19">
        <v>0</v>
      </c>
      <c r="D108" s="15">
        <v>712.7479674796747</v>
      </c>
      <c r="E108" s="19">
        <v>0</v>
      </c>
      <c r="F108" s="25"/>
      <c r="G108" s="19">
        <v>0</v>
      </c>
      <c r="H108" s="15">
        <v>48821.146</v>
      </c>
      <c r="I108" s="15">
        <v>11597.2116</v>
      </c>
      <c r="J108" s="18">
        <v>13</v>
      </c>
      <c r="K108" s="18">
        <v>12</v>
      </c>
      <c r="L108" s="18">
        <v>1</v>
      </c>
    </row>
    <row x14ac:dyDescent="0.25" r="109" customHeight="1" ht="18.75">
      <c r="A109" s="14" t="s">
        <v>33</v>
      </c>
      <c r="B109" s="15">
        <v>983370.4219284555</v>
      </c>
      <c r="C109" s="19">
        <v>0</v>
      </c>
      <c r="D109" s="15">
        <v>67368.93254308956</v>
      </c>
      <c r="E109" s="19">
        <v>0</v>
      </c>
      <c r="F109" s="20"/>
      <c r="G109" s="19">
        <v>0</v>
      </c>
      <c r="H109" s="15">
        <v>526065.1779999997</v>
      </c>
      <c r="I109" s="15">
        <v>2034109.7763999996</v>
      </c>
      <c r="J109" s="18">
        <v>90</v>
      </c>
      <c r="K109" s="18">
        <v>6</v>
      </c>
      <c r="L109" s="18">
        <v>8</v>
      </c>
    </row>
    <row x14ac:dyDescent="0.25" r="110" customHeight="1" ht="18.75">
      <c r="A110" s="14" t="s">
        <v>34</v>
      </c>
      <c r="B110" s="15">
        <v>50136.21723252033</v>
      </c>
      <c r="C110" s="19">
        <v>0</v>
      </c>
      <c r="D110" s="15">
        <v>1425.4959349593494</v>
      </c>
      <c r="E110" s="19">
        <v>0</v>
      </c>
      <c r="F110" s="20"/>
      <c r="G110" s="19">
        <v>0</v>
      </c>
      <c r="H110" s="35">
        <v>123892.25559999996</v>
      </c>
      <c r="I110" s="15">
        <v>101697.9304</v>
      </c>
      <c r="J110" s="18"/>
      <c r="K110" s="18">
        <v>6</v>
      </c>
      <c r="L110" s="18"/>
    </row>
    <row x14ac:dyDescent="0.25" r="111" customHeight="1" ht="18.75">
      <c r="A111" s="22"/>
      <c r="B111" s="31"/>
      <c r="C111" s="3"/>
      <c r="D111" s="31"/>
      <c r="E111" s="3"/>
      <c r="F111" s="4"/>
      <c r="G111" s="3"/>
      <c r="H111" s="31"/>
      <c r="I111" s="31"/>
      <c r="J111" s="4"/>
      <c r="K111" s="32"/>
      <c r="L111" s="4"/>
    </row>
    <row x14ac:dyDescent="0.25" r="112" customHeight="1" ht="18.75">
      <c r="A112" s="6">
        <v>45200</v>
      </c>
      <c r="B112" s="31"/>
      <c r="C112" s="3"/>
      <c r="D112" s="31"/>
      <c r="E112" s="3"/>
      <c r="F112" s="4"/>
      <c r="G112" s="3"/>
      <c r="H112" s="31"/>
      <c r="I112" s="31"/>
      <c r="J112" s="4"/>
      <c r="K112" s="32"/>
      <c r="L112" s="4"/>
    </row>
    <row x14ac:dyDescent="0.25" r="113" customHeight="1" ht="33">
      <c r="A113" s="10" t="s">
        <v>14</v>
      </c>
      <c r="B113" s="11" t="s">
        <v>15</v>
      </c>
      <c r="C113" s="12" t="s">
        <v>16</v>
      </c>
      <c r="D113" s="11" t="s">
        <v>17</v>
      </c>
      <c r="E113" s="12" t="s">
        <v>18</v>
      </c>
      <c r="F113" s="13" t="s">
        <v>19</v>
      </c>
      <c r="G113" s="12" t="s">
        <v>20</v>
      </c>
      <c r="H113" s="11" t="s">
        <v>21</v>
      </c>
      <c r="I113" s="11" t="s">
        <v>22</v>
      </c>
      <c r="J113" s="13" t="s">
        <v>23</v>
      </c>
      <c r="K113" s="24" t="s">
        <v>24</v>
      </c>
      <c r="L113" s="13" t="s">
        <v>25</v>
      </c>
    </row>
    <row x14ac:dyDescent="0.25" r="114" customHeight="1" ht="33">
      <c r="A114" s="14" t="s">
        <v>26</v>
      </c>
      <c r="B114" s="15">
        <v>497601.4880428183</v>
      </c>
      <c r="C114" s="16">
        <v>0</v>
      </c>
      <c r="D114" s="15">
        <v>547805.4451143632</v>
      </c>
      <c r="E114" s="16">
        <v>0</v>
      </c>
      <c r="F114" s="17"/>
      <c r="G114" s="16">
        <v>0</v>
      </c>
      <c r="H114" s="15">
        <v>252351.33120000002</v>
      </c>
      <c r="I114" s="15">
        <v>1543008.4212000002</v>
      </c>
      <c r="J114" s="17">
        <v>58</v>
      </c>
      <c r="K114" s="18">
        <v>3</v>
      </c>
      <c r="L114" s="17">
        <v>10</v>
      </c>
    </row>
    <row x14ac:dyDescent="0.25" r="115" customHeight="1" ht="33">
      <c r="A115" s="14" t="s">
        <v>27</v>
      </c>
      <c r="B115" s="15">
        <v>939026.3133831979</v>
      </c>
      <c r="C115" s="16">
        <v>0</v>
      </c>
      <c r="D115" s="15">
        <v>1924112.8236336051</v>
      </c>
      <c r="E115" s="16">
        <v>0</v>
      </c>
      <c r="F115" s="18">
        <v>70056.73</v>
      </c>
      <c r="G115" s="16">
        <v>0</v>
      </c>
      <c r="H115" s="15">
        <v>151466.442</v>
      </c>
      <c r="I115" s="15">
        <v>3802165.450400001</v>
      </c>
      <c r="J115" s="18">
        <v>84</v>
      </c>
      <c r="K115" s="18">
        <v>66</v>
      </c>
      <c r="L115" s="18">
        <v>19</v>
      </c>
    </row>
    <row x14ac:dyDescent="0.25" r="116" customHeight="1" ht="33">
      <c r="A116" s="14" t="s">
        <v>28</v>
      </c>
      <c r="B116" s="35">
        <v>1713755.3671327918</v>
      </c>
      <c r="C116" s="16">
        <v>0</v>
      </c>
      <c r="D116" s="35">
        <v>3100863.300534417</v>
      </c>
      <c r="E116" s="16">
        <v>0</v>
      </c>
      <c r="F116" s="18">
        <v>1649507.57</v>
      </c>
      <c r="G116" s="16">
        <v>0</v>
      </c>
      <c r="H116" s="35">
        <v>764269.8679999999</v>
      </c>
      <c r="I116" s="35">
        <v>6528374.034799998</v>
      </c>
      <c r="J116" s="18">
        <v>231</v>
      </c>
      <c r="K116" s="18">
        <v>76</v>
      </c>
      <c r="L116" s="18">
        <v>51</v>
      </c>
    </row>
    <row x14ac:dyDescent="0.25" r="117" customHeight="1" ht="33">
      <c r="A117" s="14" t="s">
        <v>29</v>
      </c>
      <c r="B117" s="15">
        <v>147834.86043306233</v>
      </c>
      <c r="C117" s="16">
        <v>0</v>
      </c>
      <c r="D117" s="15">
        <v>59857.38753387535</v>
      </c>
      <c r="E117" s="16">
        <v>0</v>
      </c>
      <c r="F117" s="18"/>
      <c r="G117" s="16">
        <v>0</v>
      </c>
      <c r="H117" s="15">
        <v>14888.294</v>
      </c>
      <c r="I117" s="15">
        <v>355527.1084</v>
      </c>
      <c r="J117" s="18">
        <v>22</v>
      </c>
      <c r="K117" s="18">
        <v>1</v>
      </c>
      <c r="L117" s="18">
        <v>2</v>
      </c>
    </row>
    <row x14ac:dyDescent="0.25" r="118" customHeight="1" ht="18.75">
      <c r="A118" s="14" t="s">
        <v>30</v>
      </c>
      <c r="B118" s="15">
        <v>363149.8977676396</v>
      </c>
      <c r="C118" s="19">
        <v>0</v>
      </c>
      <c r="D118" s="15">
        <v>383759.69926472084</v>
      </c>
      <c r="E118" s="19">
        <v>0</v>
      </c>
      <c r="F118" s="18">
        <v>5753.6900000000005</v>
      </c>
      <c r="G118" s="19">
        <v>0</v>
      </c>
      <c r="H118" s="15">
        <v>322428.18559999997</v>
      </c>
      <c r="I118" s="15">
        <v>1110059.4948</v>
      </c>
      <c r="J118" s="18">
        <v>19</v>
      </c>
      <c r="K118" s="18">
        <v>4</v>
      </c>
      <c r="L118" s="18">
        <v>11</v>
      </c>
    </row>
    <row x14ac:dyDescent="0.25" r="119" customHeight="1" ht="18.75">
      <c r="A119" s="14" t="s">
        <v>31</v>
      </c>
      <c r="B119" s="35">
        <v>1454863.506106459</v>
      </c>
      <c r="C119" s="19">
        <v>0</v>
      </c>
      <c r="D119" s="35">
        <v>1468564.386187082</v>
      </c>
      <c r="E119" s="19">
        <v>0</v>
      </c>
      <c r="F119" s="18">
        <v>6209.43</v>
      </c>
      <c r="G119" s="19">
        <v>0</v>
      </c>
      <c r="H119" s="35">
        <v>2409280.4567999984</v>
      </c>
      <c r="I119" s="35">
        <v>4378291.398400001</v>
      </c>
      <c r="J119" s="18">
        <v>554</v>
      </c>
      <c r="K119" s="18">
        <v>215</v>
      </c>
      <c r="L119" s="18">
        <v>104</v>
      </c>
    </row>
    <row x14ac:dyDescent="0.25" r="120" customHeight="1" ht="18.75">
      <c r="A120" s="14" t="s">
        <v>32</v>
      </c>
      <c r="B120" s="15">
        <v>16589.206809214094</v>
      </c>
      <c r="C120" s="19">
        <v>0</v>
      </c>
      <c r="D120" s="15">
        <v>7728.157181571816</v>
      </c>
      <c r="E120" s="19">
        <v>0</v>
      </c>
      <c r="F120" s="18">
        <v>485.24</v>
      </c>
      <c r="G120" s="19">
        <v>0</v>
      </c>
      <c r="H120" s="15">
        <v>37467.4656</v>
      </c>
      <c r="I120" s="15">
        <v>40906.570799999994</v>
      </c>
      <c r="J120" s="18">
        <v>12</v>
      </c>
      <c r="K120" s="18">
        <v>6</v>
      </c>
      <c r="L120" s="18">
        <v>5</v>
      </c>
    </row>
    <row x14ac:dyDescent="0.25" r="121" customHeight="1" ht="18.75">
      <c r="A121" s="14" t="s">
        <v>33</v>
      </c>
      <c r="B121" s="15">
        <v>985971.7825934961</v>
      </c>
      <c r="C121" s="19">
        <v>0</v>
      </c>
      <c r="D121" s="15">
        <v>69849.30081300826</v>
      </c>
      <c r="E121" s="19">
        <v>0</v>
      </c>
      <c r="F121" s="33"/>
      <c r="G121" s="19">
        <v>0</v>
      </c>
      <c r="H121" s="15">
        <v>468562.02040000004</v>
      </c>
      <c r="I121" s="15">
        <v>2041792.8659999997</v>
      </c>
      <c r="J121" s="18">
        <v>99</v>
      </c>
      <c r="K121" s="18">
        <v>7</v>
      </c>
      <c r="L121" s="18">
        <v>27</v>
      </c>
    </row>
    <row x14ac:dyDescent="0.25" r="122" customHeight="1" ht="18.75">
      <c r="A122" s="14" t="s">
        <v>34</v>
      </c>
      <c r="B122" s="35">
        <v>5172.288</v>
      </c>
      <c r="C122" s="19">
        <v>0</v>
      </c>
      <c r="D122" s="15">
        <v>139876.34</v>
      </c>
      <c r="E122" s="19">
        <v>0</v>
      </c>
      <c r="F122" s="20"/>
      <c r="G122" s="19">
        <v>0</v>
      </c>
      <c r="H122" s="15">
        <v>88171.4344</v>
      </c>
      <c r="I122" s="15">
        <v>150220.916</v>
      </c>
      <c r="J122" s="18"/>
      <c r="K122" s="18">
        <v>6</v>
      </c>
      <c r="L122" s="20"/>
    </row>
    <row x14ac:dyDescent="0.25" r="123" customHeight="1" ht="18.75">
      <c r="A123" s="22"/>
      <c r="B123" s="31"/>
      <c r="C123" s="3"/>
      <c r="D123" s="31"/>
      <c r="E123" s="3"/>
      <c r="F123" s="4"/>
      <c r="G123" s="3"/>
      <c r="H123" s="31"/>
      <c r="I123" s="31"/>
      <c r="J123" s="4"/>
      <c r="K123" s="32"/>
      <c r="L123" s="4"/>
    </row>
    <row x14ac:dyDescent="0.25" r="124" customHeight="1" ht="18.75">
      <c r="A124" s="6">
        <v>45231</v>
      </c>
      <c r="B124" s="31"/>
      <c r="C124" s="3"/>
      <c r="D124" s="31"/>
      <c r="E124" s="3"/>
      <c r="F124" s="4"/>
      <c r="G124" s="3"/>
      <c r="H124" s="31"/>
      <c r="I124" s="31"/>
      <c r="J124" s="4"/>
      <c r="K124" s="32"/>
      <c r="L124" s="4"/>
    </row>
    <row x14ac:dyDescent="0.25" r="125" customHeight="1" ht="33">
      <c r="A125" s="10" t="s">
        <v>14</v>
      </c>
      <c r="B125" s="11" t="s">
        <v>15</v>
      </c>
      <c r="C125" s="12" t="s">
        <v>16</v>
      </c>
      <c r="D125" s="11" t="s">
        <v>17</v>
      </c>
      <c r="E125" s="12" t="s">
        <v>18</v>
      </c>
      <c r="F125" s="13" t="s">
        <v>19</v>
      </c>
      <c r="G125" s="12" t="s">
        <v>20</v>
      </c>
      <c r="H125" s="11" t="s">
        <v>21</v>
      </c>
      <c r="I125" s="11" t="s">
        <v>22</v>
      </c>
      <c r="J125" s="13" t="s">
        <v>23</v>
      </c>
      <c r="K125" s="24" t="s">
        <v>24</v>
      </c>
      <c r="L125" s="13" t="s">
        <v>25</v>
      </c>
    </row>
    <row x14ac:dyDescent="0.25" r="126" customHeight="1" ht="33">
      <c r="A126" s="14" t="s">
        <v>26</v>
      </c>
      <c r="B126" s="15">
        <v>150098.29838157183</v>
      </c>
      <c r="C126" s="16">
        <v>0</v>
      </c>
      <c r="D126" s="15">
        <v>10459.685636856368</v>
      </c>
      <c r="E126" s="16">
        <v>0</v>
      </c>
      <c r="F126" s="17"/>
      <c r="G126" s="16">
        <v>0</v>
      </c>
      <c r="H126" s="15">
        <v>85399.4852</v>
      </c>
      <c r="I126" s="15">
        <v>310656.28239999997</v>
      </c>
      <c r="J126" s="18">
        <v>62</v>
      </c>
      <c r="K126" s="18">
        <v>3</v>
      </c>
      <c r="L126" s="18">
        <v>14</v>
      </c>
    </row>
    <row x14ac:dyDescent="0.25" r="127" customHeight="1" ht="33">
      <c r="A127" s="14" t="s">
        <v>27</v>
      </c>
      <c r="B127" s="15">
        <v>671080.2431279132</v>
      </c>
      <c r="C127" s="16">
        <v>0</v>
      </c>
      <c r="D127" s="15">
        <v>1850809.6545441735</v>
      </c>
      <c r="E127" s="16">
        <v>0</v>
      </c>
      <c r="F127" s="18">
        <v>1848</v>
      </c>
      <c r="G127" s="16">
        <v>0</v>
      </c>
      <c r="H127" s="15">
        <v>129957.8264</v>
      </c>
      <c r="I127" s="15">
        <v>3192970.1408</v>
      </c>
      <c r="J127" s="18">
        <v>89</v>
      </c>
      <c r="K127" s="18">
        <v>60</v>
      </c>
      <c r="L127" s="18">
        <v>14</v>
      </c>
    </row>
    <row x14ac:dyDescent="0.25" r="128" customHeight="1" ht="33">
      <c r="A128" s="14" t="s">
        <v>28</v>
      </c>
      <c r="B128" s="15">
        <v>1801800.674433605</v>
      </c>
      <c r="C128" s="16">
        <v>0</v>
      </c>
      <c r="D128" s="15">
        <v>4129255.41553279</v>
      </c>
      <c r="E128" s="16">
        <v>0</v>
      </c>
      <c r="F128" s="18">
        <v>33846.04</v>
      </c>
      <c r="G128" s="16">
        <v>0</v>
      </c>
      <c r="H128" s="15">
        <v>766450.1059999998</v>
      </c>
      <c r="I128" s="15">
        <v>7732856.7644</v>
      </c>
      <c r="J128" s="18">
        <v>173</v>
      </c>
      <c r="K128" s="18">
        <v>66</v>
      </c>
      <c r="L128" s="18">
        <v>37</v>
      </c>
    </row>
    <row x14ac:dyDescent="0.25" r="129" customHeight="1" ht="33">
      <c r="A129" s="14" t="s">
        <v>29</v>
      </c>
      <c r="B129" s="15">
        <v>62901.1328</v>
      </c>
      <c r="C129" s="16">
        <v>0</v>
      </c>
      <c r="D129" s="15">
        <v>138801.818</v>
      </c>
      <c r="E129" s="16">
        <v>0</v>
      </c>
      <c r="F129" s="18"/>
      <c r="G129" s="16">
        <v>0</v>
      </c>
      <c r="H129" s="15">
        <v>21491.5884</v>
      </c>
      <c r="I129" s="15">
        <v>264604.0836</v>
      </c>
      <c r="J129" s="18">
        <v>16</v>
      </c>
      <c r="K129" s="18">
        <v>3</v>
      </c>
      <c r="L129" s="18">
        <v>6</v>
      </c>
    </row>
    <row x14ac:dyDescent="0.25" r="130" customHeight="1" ht="18.75">
      <c r="A130" s="14" t="s">
        <v>30</v>
      </c>
      <c r="B130" s="15">
        <v>77622.28083577237</v>
      </c>
      <c r="C130" s="19">
        <v>0</v>
      </c>
      <c r="D130" s="15">
        <v>43814.84552845528</v>
      </c>
      <c r="E130" s="19">
        <v>0</v>
      </c>
      <c r="F130" s="18">
        <v>47156.49</v>
      </c>
      <c r="G130" s="19">
        <v>0</v>
      </c>
      <c r="H130" s="15">
        <v>19217.4748</v>
      </c>
      <c r="I130" s="15">
        <v>199059.40720000002</v>
      </c>
      <c r="J130" s="18">
        <v>18</v>
      </c>
      <c r="K130" s="18">
        <v>8</v>
      </c>
      <c r="L130" s="18">
        <v>9</v>
      </c>
    </row>
    <row x14ac:dyDescent="0.25" r="131" customHeight="1" ht="18.75">
      <c r="A131" s="14" t="s">
        <v>31</v>
      </c>
      <c r="B131" s="35">
        <v>2016404.9837452655</v>
      </c>
      <c r="C131" s="19">
        <v>0</v>
      </c>
      <c r="D131" s="35">
        <v>1501742.5321094687</v>
      </c>
      <c r="E131" s="19">
        <v>0</v>
      </c>
      <c r="F131" s="18">
        <v>50082.25000000001</v>
      </c>
      <c r="G131" s="19">
        <v>0</v>
      </c>
      <c r="H131" s="35">
        <v>2063154.5055999998</v>
      </c>
      <c r="I131" s="35">
        <v>5534552.499600004</v>
      </c>
      <c r="J131" s="18">
        <v>490</v>
      </c>
      <c r="K131" s="18">
        <v>174</v>
      </c>
      <c r="L131" s="18">
        <v>102</v>
      </c>
    </row>
    <row x14ac:dyDescent="0.25" r="132" customHeight="1" ht="18.75">
      <c r="A132" s="14" t="s">
        <v>32</v>
      </c>
      <c r="B132" s="15">
        <v>3360.646000542006</v>
      </c>
      <c r="C132" s="19">
        <v>0</v>
      </c>
      <c r="D132" s="15">
        <v>1719.2763989159891</v>
      </c>
      <c r="E132" s="19">
        <v>0</v>
      </c>
      <c r="F132" s="20"/>
      <c r="G132" s="19">
        <v>0</v>
      </c>
      <c r="H132" s="15">
        <v>226112.53639999998</v>
      </c>
      <c r="I132" s="15">
        <v>8440.5684</v>
      </c>
      <c r="J132" s="18">
        <v>15</v>
      </c>
      <c r="K132" s="18">
        <v>6</v>
      </c>
      <c r="L132" s="18">
        <v>4</v>
      </c>
    </row>
    <row x14ac:dyDescent="0.25" r="133" customHeight="1" ht="18.75">
      <c r="A133" s="14" t="s">
        <v>33</v>
      </c>
      <c r="B133" s="15">
        <v>701844.8540455283</v>
      </c>
      <c r="C133" s="19">
        <v>0</v>
      </c>
      <c r="D133" s="15">
        <v>37062.89430894309</v>
      </c>
      <c r="E133" s="19">
        <v>0</v>
      </c>
      <c r="F133" s="20"/>
      <c r="G133" s="19">
        <v>0</v>
      </c>
      <c r="H133" s="15">
        <v>278903.56399999995</v>
      </c>
      <c r="I133" s="15">
        <v>1440752.6024000002</v>
      </c>
      <c r="J133" s="18">
        <v>80</v>
      </c>
      <c r="K133" s="18">
        <v>7</v>
      </c>
      <c r="L133" s="18">
        <v>23</v>
      </c>
    </row>
    <row x14ac:dyDescent="0.25" r="134" customHeight="1" ht="18.75">
      <c r="A134" s="14" t="s">
        <v>34</v>
      </c>
      <c r="B134" s="15">
        <v>37430.91310243902</v>
      </c>
      <c r="C134" s="19">
        <v>0</v>
      </c>
      <c r="D134" s="15">
        <v>285257.473395122</v>
      </c>
      <c r="E134" s="19">
        <v>0</v>
      </c>
      <c r="F134" s="20"/>
      <c r="G134" s="19">
        <v>0</v>
      </c>
      <c r="H134" s="15">
        <v>100199.06240000001</v>
      </c>
      <c r="I134" s="15">
        <v>360119.29959999997</v>
      </c>
      <c r="J134" s="18"/>
      <c r="K134" s="18">
        <v>10</v>
      </c>
      <c r="L134" s="20"/>
    </row>
    <row x14ac:dyDescent="0.25" r="135" customHeight="1" ht="18.75">
      <c r="A135" s="22"/>
      <c r="B135" s="31"/>
      <c r="C135" s="3"/>
      <c r="D135" s="31"/>
      <c r="E135" s="3"/>
      <c r="F135" s="4"/>
      <c r="G135" s="3"/>
      <c r="H135" s="31"/>
      <c r="I135" s="31"/>
      <c r="J135" s="4"/>
      <c r="K135" s="32"/>
      <c r="L135" s="4"/>
    </row>
    <row x14ac:dyDescent="0.25" r="136" customHeight="1" ht="18.75">
      <c r="A136" s="6">
        <v>45261</v>
      </c>
      <c r="B136" s="31"/>
      <c r="C136" s="3"/>
      <c r="D136" s="31"/>
      <c r="E136" s="3"/>
      <c r="F136" s="4"/>
      <c r="G136" s="3"/>
      <c r="H136" s="31"/>
      <c r="I136" s="31"/>
      <c r="J136" s="4"/>
      <c r="K136" s="32"/>
      <c r="L136" s="4"/>
    </row>
    <row x14ac:dyDescent="0.25" r="137" customHeight="1" ht="33">
      <c r="A137" s="10" t="s">
        <v>14</v>
      </c>
      <c r="B137" s="11" t="s">
        <v>15</v>
      </c>
      <c r="C137" s="12" t="s">
        <v>16</v>
      </c>
      <c r="D137" s="11" t="s">
        <v>17</v>
      </c>
      <c r="E137" s="12" t="s">
        <v>18</v>
      </c>
      <c r="F137" s="13" t="s">
        <v>19</v>
      </c>
      <c r="G137" s="12" t="s">
        <v>20</v>
      </c>
      <c r="H137" s="11" t="s">
        <v>21</v>
      </c>
      <c r="I137" s="11" t="s">
        <v>22</v>
      </c>
      <c r="J137" s="13" t="s">
        <v>23</v>
      </c>
      <c r="K137" s="24" t="s">
        <v>24</v>
      </c>
      <c r="L137" s="13" t="s">
        <v>25</v>
      </c>
    </row>
    <row x14ac:dyDescent="0.25" r="138" customHeight="1" ht="33">
      <c r="A138" s="14" t="s">
        <v>26</v>
      </c>
      <c r="B138" s="15">
        <v>167776.37985474255</v>
      </c>
      <c r="C138" s="16">
        <v>0</v>
      </c>
      <c r="D138" s="15">
        <v>427702.2330905149</v>
      </c>
      <c r="E138" s="16">
        <v>0</v>
      </c>
      <c r="F138" s="17"/>
      <c r="G138" s="16">
        <v>0</v>
      </c>
      <c r="H138" s="15">
        <v>152984.68040000004</v>
      </c>
      <c r="I138" s="15">
        <v>763254.9927999999</v>
      </c>
      <c r="J138" s="18">
        <v>57</v>
      </c>
      <c r="K138" s="18">
        <v>5</v>
      </c>
      <c r="L138" s="17">
        <v>22</v>
      </c>
    </row>
    <row x14ac:dyDescent="0.25" r="139" customHeight="1" ht="33">
      <c r="A139" s="14" t="s">
        <v>27</v>
      </c>
      <c r="B139" s="15">
        <v>603106.7331268293</v>
      </c>
      <c r="C139" s="16">
        <v>0</v>
      </c>
      <c r="D139" s="15">
        <v>2107594.166146341</v>
      </c>
      <c r="E139" s="16">
        <v>0</v>
      </c>
      <c r="F139" s="18">
        <v>26373.510000000002</v>
      </c>
      <c r="G139" s="16">
        <v>0</v>
      </c>
      <c r="H139" s="15">
        <v>126875.13719999998</v>
      </c>
      <c r="I139" s="15">
        <v>3313807.6324000005</v>
      </c>
      <c r="J139" s="18">
        <v>77</v>
      </c>
      <c r="K139" s="18">
        <v>63</v>
      </c>
      <c r="L139" s="17">
        <v>10</v>
      </c>
    </row>
    <row x14ac:dyDescent="0.25" r="140" customHeight="1" ht="33">
      <c r="A140" s="14" t="s">
        <v>28</v>
      </c>
      <c r="B140" s="15">
        <v>1657694.9357967481</v>
      </c>
      <c r="C140" s="16">
        <v>0</v>
      </c>
      <c r="D140" s="35">
        <v>1065995.5252065042</v>
      </c>
      <c r="E140" s="16">
        <v>0</v>
      </c>
      <c r="F140" s="18">
        <v>4519.27</v>
      </c>
      <c r="G140" s="16">
        <v>0</v>
      </c>
      <c r="H140" s="35">
        <v>573414.7636000002</v>
      </c>
      <c r="I140" s="35">
        <v>4381385.3968</v>
      </c>
      <c r="J140" s="18">
        <v>196</v>
      </c>
      <c r="K140" s="18">
        <v>62</v>
      </c>
      <c r="L140" s="18">
        <v>61</v>
      </c>
    </row>
    <row x14ac:dyDescent="0.25" r="141" customHeight="1" ht="33">
      <c r="A141" s="14" t="s">
        <v>29</v>
      </c>
      <c r="B141" s="15">
        <v>38631.4733398374</v>
      </c>
      <c r="C141" s="16">
        <v>0</v>
      </c>
      <c r="D141" s="15">
        <v>440591.6441203252</v>
      </c>
      <c r="E141" s="16">
        <v>0</v>
      </c>
      <c r="F141" s="18"/>
      <c r="G141" s="16">
        <v>0</v>
      </c>
      <c r="H141" s="15">
        <v>27656.4676</v>
      </c>
      <c r="I141" s="15">
        <v>517854.5908</v>
      </c>
      <c r="J141" s="18">
        <v>9</v>
      </c>
      <c r="K141" s="18">
        <v>5</v>
      </c>
      <c r="L141" s="18">
        <v>3</v>
      </c>
    </row>
    <row x14ac:dyDescent="0.25" r="142" customHeight="1" ht="18.75">
      <c r="A142" s="14" t="s">
        <v>30</v>
      </c>
      <c r="B142" s="15">
        <v>536913.1118504065</v>
      </c>
      <c r="C142" s="19">
        <v>0</v>
      </c>
      <c r="D142" s="15">
        <v>287119.904299187</v>
      </c>
      <c r="E142" s="19">
        <v>0</v>
      </c>
      <c r="F142" s="18">
        <v>88.62</v>
      </c>
      <c r="G142" s="19">
        <v>0</v>
      </c>
      <c r="H142" s="15">
        <v>129029.2468</v>
      </c>
      <c r="I142" s="15">
        <v>1360946.128</v>
      </c>
      <c r="J142" s="18">
        <v>10</v>
      </c>
      <c r="K142" s="18">
        <v>2</v>
      </c>
      <c r="L142" s="18">
        <v>9</v>
      </c>
    </row>
    <row x14ac:dyDescent="0.25" r="143" customHeight="1" ht="18.75">
      <c r="A143" s="14" t="s">
        <v>31</v>
      </c>
      <c r="B143" s="15">
        <v>957627.7349306232</v>
      </c>
      <c r="C143" s="19">
        <v>0</v>
      </c>
      <c r="D143" s="35">
        <v>700135.0709387532</v>
      </c>
      <c r="E143" s="19">
        <v>0</v>
      </c>
      <c r="F143" s="18">
        <v>633.84</v>
      </c>
      <c r="G143" s="19">
        <v>0</v>
      </c>
      <c r="H143" s="35">
        <v>1191248.9584000001</v>
      </c>
      <c r="I143" s="35">
        <v>2615390.5407999996</v>
      </c>
      <c r="J143" s="18">
        <v>426</v>
      </c>
      <c r="K143" s="18">
        <v>154</v>
      </c>
      <c r="L143" s="18">
        <v>87</v>
      </c>
    </row>
    <row x14ac:dyDescent="0.25" r="144" customHeight="1" ht="18.75">
      <c r="A144" s="14" t="s">
        <v>32</v>
      </c>
      <c r="B144" s="15">
        <v>12161.77321626016</v>
      </c>
      <c r="C144" s="19">
        <v>0</v>
      </c>
      <c r="D144" s="15">
        <v>712.7479674796747</v>
      </c>
      <c r="E144" s="19">
        <v>0</v>
      </c>
      <c r="F144" s="18"/>
      <c r="G144" s="19">
        <v>0</v>
      </c>
      <c r="H144" s="15">
        <v>90023.19039999999</v>
      </c>
      <c r="I144" s="15">
        <v>25036.2944</v>
      </c>
      <c r="J144" s="18">
        <v>15</v>
      </c>
      <c r="K144" s="18">
        <v>5</v>
      </c>
      <c r="L144" s="18">
        <v>5</v>
      </c>
    </row>
    <row x14ac:dyDescent="0.25" r="145" customHeight="1" ht="18.75">
      <c r="A145" s="14" t="s">
        <v>33</v>
      </c>
      <c r="B145" s="15">
        <v>1039092.9913550135</v>
      </c>
      <c r="C145" s="19">
        <v>0</v>
      </c>
      <c r="D145" s="15">
        <v>56785.02168997298</v>
      </c>
      <c r="E145" s="19">
        <v>0</v>
      </c>
      <c r="F145" s="20"/>
      <c r="G145" s="19">
        <v>0</v>
      </c>
      <c r="H145" s="15">
        <v>419410.37999999983</v>
      </c>
      <c r="I145" s="15">
        <v>2134971.0044000004</v>
      </c>
      <c r="J145" s="18">
        <v>100</v>
      </c>
      <c r="K145" s="18">
        <v>9</v>
      </c>
      <c r="L145" s="18">
        <v>11</v>
      </c>
    </row>
    <row x14ac:dyDescent="0.25" r="146" customHeight="1" ht="18.75">
      <c r="A146" s="14" t="s">
        <v>34</v>
      </c>
      <c r="B146" s="35">
        <v>13678.198199999999</v>
      </c>
      <c r="C146" s="19">
        <v>0</v>
      </c>
      <c r="D146" s="15">
        <v>0</v>
      </c>
      <c r="E146" s="19">
        <v>0</v>
      </c>
      <c r="F146" s="20"/>
      <c r="G146" s="19">
        <v>0</v>
      </c>
      <c r="H146" s="35">
        <v>27387.8672</v>
      </c>
      <c r="I146" s="35">
        <v>27356.396399999998</v>
      </c>
      <c r="J146" s="18"/>
      <c r="K146" s="18">
        <v>10</v>
      </c>
      <c r="L14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46"/>
  <sheetViews>
    <sheetView workbookViewId="0">
      <pane state="frozen" activePane="bottomLeft" topLeftCell="A6" ySplit="5" xSplit="0"/>
    </sheetView>
  </sheetViews>
  <sheetFormatPr defaultRowHeight="15" x14ac:dyDescent="0.25"/>
  <cols>
    <col min="1" max="1" style="27" width="13.576428571428572" customWidth="1" bestFit="1"/>
    <col min="2" max="2" style="28" width="20.433571428571426" customWidth="1" bestFit="1"/>
    <col min="3" max="3" style="29" width="17.14785714285714" customWidth="1" bestFit="1"/>
    <col min="4" max="4" style="28" width="13.576428571428572" customWidth="1" bestFit="1"/>
    <col min="5" max="5" style="29" width="13.576428571428572" customWidth="1" bestFit="1"/>
    <col min="6" max="6" style="30" width="13.576428571428572" customWidth="1" bestFit="1"/>
    <col min="7" max="7" style="29" width="13.576428571428572" customWidth="1" bestFit="1"/>
    <col min="8" max="8" style="28" width="13.576428571428572" customWidth="1" bestFit="1"/>
    <col min="9" max="9" style="28" width="13.576428571428572" customWidth="1" bestFit="1"/>
    <col min="10" max="10" style="30" width="13.576428571428572" customWidth="1" bestFit="1"/>
    <col min="11" max="11" style="30" width="13.576428571428572" customWidth="1" bestFit="1"/>
    <col min="12" max="12" style="30" width="13.576428571428572" customWidth="1" bestFit="1"/>
  </cols>
  <sheetData>
    <row x14ac:dyDescent="0.25" r="1" customHeight="1" ht="18.75">
      <c r="A1" s="1" t="s">
        <v>0</v>
      </c>
      <c r="B1" s="2"/>
      <c r="C1" s="3"/>
      <c r="D1" s="2"/>
      <c r="E1" s="3"/>
      <c r="F1" s="4"/>
      <c r="G1" s="3"/>
      <c r="H1" s="2"/>
      <c r="I1" s="2"/>
      <c r="J1" s="4"/>
      <c r="K1" s="4"/>
      <c r="L1" s="4"/>
    </row>
    <row x14ac:dyDescent="0.25" r="2" customHeight="1" ht="18.75">
      <c r="A2" s="1" t="s">
        <v>1</v>
      </c>
      <c r="B2" s="2"/>
      <c r="C2" s="3"/>
      <c r="D2" s="2"/>
      <c r="E2" s="5"/>
      <c r="F2" s="4"/>
      <c r="G2" s="3"/>
      <c r="H2" s="2"/>
      <c r="I2" s="2"/>
      <c r="J2" s="4"/>
      <c r="K2" s="4"/>
      <c r="L2" s="4"/>
    </row>
    <row x14ac:dyDescent="0.25" r="3" customHeight="1" ht="18.75">
      <c r="A3" s="1" t="s">
        <v>2</v>
      </c>
      <c r="B3" s="2"/>
      <c r="C3" s="3"/>
      <c r="D3" s="2"/>
      <c r="E3" s="3"/>
      <c r="F3" s="4"/>
      <c r="G3" s="3"/>
      <c r="H3" s="2"/>
      <c r="I3" s="2"/>
      <c r="J3" s="4"/>
      <c r="K3" s="4"/>
      <c r="L3" s="4"/>
    </row>
    <row x14ac:dyDescent="0.25" r="4" customHeight="1" ht="18.75">
      <c r="A4" s="6">
        <v>44927</v>
      </c>
      <c r="B4" s="7" t="s">
        <v>3</v>
      </c>
      <c r="C4" s="8" t="s">
        <v>4</v>
      </c>
      <c r="D4" s="7" t="s">
        <v>5</v>
      </c>
      <c r="E4" s="8" t="s">
        <v>6</v>
      </c>
      <c r="F4" s="9" t="s">
        <v>7</v>
      </c>
      <c r="G4" s="8" t="s">
        <v>8</v>
      </c>
      <c r="H4" s="7" t="s">
        <v>9</v>
      </c>
      <c r="I4" s="7" t="s">
        <v>10</v>
      </c>
      <c r="J4" s="9" t="s">
        <v>11</v>
      </c>
      <c r="K4" s="9" t="s">
        <v>12</v>
      </c>
      <c r="L4" s="9" t="s">
        <v>13</v>
      </c>
    </row>
    <row x14ac:dyDescent="0.25" r="5" customHeight="1" ht="90">
      <c r="A5" s="10" t="s">
        <v>14</v>
      </c>
      <c r="B5" s="11" t="s">
        <v>15</v>
      </c>
      <c r="C5" s="12" t="s">
        <v>16</v>
      </c>
      <c r="D5" s="11" t="s">
        <v>17</v>
      </c>
      <c r="E5" s="12" t="s">
        <v>18</v>
      </c>
      <c r="F5" s="13" t="s">
        <v>19</v>
      </c>
      <c r="G5" s="12" t="s">
        <v>20</v>
      </c>
      <c r="H5" s="11" t="s">
        <v>21</v>
      </c>
      <c r="I5" s="11" t="s">
        <v>22</v>
      </c>
      <c r="J5" s="13" t="s">
        <v>23</v>
      </c>
      <c r="K5" s="13" t="s">
        <v>24</v>
      </c>
      <c r="L5" s="13" t="s">
        <v>25</v>
      </c>
    </row>
    <row x14ac:dyDescent="0.25" r="6" customHeight="1" ht="33">
      <c r="A6" s="14" t="s">
        <v>26</v>
      </c>
      <c r="B6" s="15">
        <v>0</v>
      </c>
      <c r="C6" s="16">
        <v>0</v>
      </c>
      <c r="D6" s="15">
        <v>369.8672</v>
      </c>
      <c r="E6" s="16">
        <v>0</v>
      </c>
      <c r="F6" s="17"/>
      <c r="G6" s="16">
        <v>0</v>
      </c>
      <c r="H6" s="15">
        <v>125</v>
      </c>
      <c r="I6" s="15">
        <v>369.8672</v>
      </c>
      <c r="J6" s="18"/>
      <c r="K6" s="18"/>
      <c r="L6" s="18"/>
    </row>
    <row x14ac:dyDescent="0.25" r="7" customHeight="1" ht="33">
      <c r="A7" s="14" t="s">
        <v>27</v>
      </c>
      <c r="B7" s="15"/>
      <c r="C7" s="16">
        <v>0</v>
      </c>
      <c r="D7" s="15"/>
      <c r="E7" s="16">
        <v>0</v>
      </c>
      <c r="F7" s="17"/>
      <c r="G7" s="16">
        <v>0</v>
      </c>
      <c r="H7" s="15"/>
      <c r="I7" s="15"/>
      <c r="J7" s="18"/>
      <c r="K7" s="18"/>
      <c r="L7" s="18"/>
    </row>
    <row x14ac:dyDescent="0.25" r="8" customHeight="1" ht="33">
      <c r="A8" s="14" t="s">
        <v>28</v>
      </c>
      <c r="B8" s="15"/>
      <c r="C8" s="16">
        <v>0</v>
      </c>
      <c r="D8" s="15"/>
      <c r="E8" s="16">
        <v>0</v>
      </c>
      <c r="F8" s="17"/>
      <c r="G8" s="16">
        <v>0</v>
      </c>
      <c r="H8" s="15"/>
      <c r="I8" s="15"/>
      <c r="J8" s="18">
        <v>2</v>
      </c>
      <c r="K8" s="18"/>
      <c r="L8" s="18">
        <v>2</v>
      </c>
    </row>
    <row x14ac:dyDescent="0.25" r="9" customHeight="1" ht="33">
      <c r="A9" s="14" t="s">
        <v>29</v>
      </c>
      <c r="B9" s="15"/>
      <c r="C9" s="16">
        <v>0</v>
      </c>
      <c r="D9" s="15"/>
      <c r="E9" s="16">
        <v>0</v>
      </c>
      <c r="F9" s="17"/>
      <c r="G9" s="16">
        <v>0</v>
      </c>
      <c r="H9" s="15"/>
      <c r="I9" s="15"/>
      <c r="J9" s="18"/>
      <c r="K9" s="18"/>
      <c r="L9" s="18"/>
    </row>
    <row x14ac:dyDescent="0.25" r="10" customHeight="1" ht="18.75">
      <c r="A10" s="14" t="s">
        <v>30</v>
      </c>
      <c r="B10" s="15"/>
      <c r="C10" s="19">
        <v>0</v>
      </c>
      <c r="D10" s="15"/>
      <c r="E10" s="19">
        <v>0</v>
      </c>
      <c r="F10" s="20"/>
      <c r="G10" s="19">
        <v>0</v>
      </c>
      <c r="H10" s="15"/>
      <c r="I10" s="15"/>
      <c r="J10" s="18"/>
      <c r="K10" s="18"/>
      <c r="L10" s="18"/>
    </row>
    <row x14ac:dyDescent="0.25" r="11" customHeight="1" ht="18.75">
      <c r="A11" s="14" t="s">
        <v>31</v>
      </c>
      <c r="B11" s="15">
        <v>2989.857</v>
      </c>
      <c r="C11" s="19">
        <v>0</v>
      </c>
      <c r="D11" s="15">
        <v>0</v>
      </c>
      <c r="E11" s="19">
        <v>0</v>
      </c>
      <c r="F11" s="20"/>
      <c r="G11" s="19">
        <v>0</v>
      </c>
      <c r="H11" s="15">
        <v>105881.12520000002</v>
      </c>
      <c r="I11" s="15">
        <v>5979.714</v>
      </c>
      <c r="J11" s="18">
        <v>4</v>
      </c>
      <c r="K11" s="18">
        <v>15</v>
      </c>
      <c r="L11" s="18">
        <v>3</v>
      </c>
    </row>
    <row x14ac:dyDescent="0.25" r="12" customHeight="1" ht="18.75">
      <c r="A12" s="14" t="s">
        <v>32</v>
      </c>
      <c r="B12" s="15"/>
      <c r="C12" s="19">
        <v>0</v>
      </c>
      <c r="D12" s="15"/>
      <c r="E12" s="19">
        <v>0</v>
      </c>
      <c r="F12" s="20"/>
      <c r="G12" s="19">
        <v>0</v>
      </c>
      <c r="H12" s="15"/>
      <c r="I12" s="15"/>
      <c r="J12" s="18"/>
      <c r="K12" s="20"/>
      <c r="L12" s="18"/>
    </row>
    <row x14ac:dyDescent="0.25" r="13" customHeight="1" ht="18.75">
      <c r="A13" s="14" t="s">
        <v>33</v>
      </c>
      <c r="B13" s="15"/>
      <c r="C13" s="19">
        <v>0</v>
      </c>
      <c r="D13" s="15"/>
      <c r="E13" s="19">
        <v>0</v>
      </c>
      <c r="F13" s="20"/>
      <c r="G13" s="19">
        <v>0</v>
      </c>
      <c r="H13" s="15"/>
      <c r="I13" s="15"/>
      <c r="J13" s="18"/>
      <c r="K13" s="20"/>
      <c r="L13" s="18"/>
    </row>
    <row x14ac:dyDescent="0.25" r="14" customHeight="1" ht="18.75">
      <c r="A14" s="14" t="s">
        <v>34</v>
      </c>
      <c r="B14" s="21"/>
      <c r="C14" s="19">
        <v>0</v>
      </c>
      <c r="D14" s="15"/>
      <c r="E14" s="19">
        <v>0</v>
      </c>
      <c r="F14" s="20"/>
      <c r="G14" s="19">
        <v>0</v>
      </c>
      <c r="H14" s="21"/>
      <c r="I14" s="21"/>
      <c r="J14" s="18"/>
      <c r="K14" s="20"/>
      <c r="L14" s="20"/>
    </row>
    <row x14ac:dyDescent="0.25" r="15" customHeight="1" ht="18.75">
      <c r="A15" s="22"/>
      <c r="B15" s="2"/>
      <c r="C15" s="3"/>
      <c r="D15" s="2"/>
      <c r="E15" s="3"/>
      <c r="F15" s="4"/>
      <c r="G15" s="3"/>
      <c r="H15" s="2"/>
      <c r="I15" s="2"/>
      <c r="J15" s="4"/>
      <c r="K15" s="4"/>
      <c r="L15" s="4"/>
    </row>
    <row x14ac:dyDescent="0.25" r="16" customHeight="1" ht="18.75">
      <c r="A16" s="23">
        <v>45345</v>
      </c>
      <c r="B16" s="2"/>
      <c r="C16" s="3"/>
      <c r="D16" s="2"/>
      <c r="E16" s="3"/>
      <c r="F16" s="4"/>
      <c r="G16" s="3"/>
      <c r="H16" s="2"/>
      <c r="I16" s="2"/>
      <c r="J16" s="4"/>
      <c r="K16" s="4"/>
      <c r="L16" s="4"/>
    </row>
    <row x14ac:dyDescent="0.25" r="17" customHeight="1" ht="33">
      <c r="A17" s="10" t="s">
        <v>14</v>
      </c>
      <c r="B17" s="11" t="s">
        <v>15</v>
      </c>
      <c r="C17" s="12" t="s">
        <v>16</v>
      </c>
      <c r="D17" s="11" t="s">
        <v>17</v>
      </c>
      <c r="E17" s="12" t="s">
        <v>18</v>
      </c>
      <c r="F17" s="13" t="s">
        <v>19</v>
      </c>
      <c r="G17" s="12" t="s">
        <v>20</v>
      </c>
      <c r="H17" s="11" t="s">
        <v>21</v>
      </c>
      <c r="I17" s="11" t="s">
        <v>22</v>
      </c>
      <c r="J17" s="13" t="s">
        <v>23</v>
      </c>
      <c r="K17" s="24" t="s">
        <v>24</v>
      </c>
      <c r="L17" s="13" t="s">
        <v>25</v>
      </c>
    </row>
    <row x14ac:dyDescent="0.25" r="18" customHeight="1" ht="33">
      <c r="A18" s="14" t="s">
        <v>26</v>
      </c>
      <c r="B18" s="15"/>
      <c r="C18" s="16">
        <v>0</v>
      </c>
      <c r="D18" s="15"/>
      <c r="E18" s="16">
        <v>0</v>
      </c>
      <c r="F18" s="17"/>
      <c r="G18" s="16">
        <v>0</v>
      </c>
      <c r="H18" s="15"/>
      <c r="I18" s="15"/>
      <c r="J18" s="18"/>
      <c r="K18" s="18"/>
      <c r="L18" s="18"/>
    </row>
    <row x14ac:dyDescent="0.25" r="19" customHeight="1" ht="33">
      <c r="A19" s="14" t="s">
        <v>27</v>
      </c>
      <c r="B19" s="15"/>
      <c r="C19" s="16">
        <v>0</v>
      </c>
      <c r="D19" s="15"/>
      <c r="E19" s="16">
        <v>0</v>
      </c>
      <c r="F19" s="17"/>
      <c r="G19" s="16">
        <v>0</v>
      </c>
      <c r="H19" s="15"/>
      <c r="I19" s="15"/>
      <c r="J19" s="18"/>
      <c r="K19" s="18"/>
      <c r="L19" s="18"/>
    </row>
    <row x14ac:dyDescent="0.25" r="20" customHeight="1" ht="33">
      <c r="A20" s="14" t="s">
        <v>28</v>
      </c>
      <c r="B20" s="15">
        <v>3244.821616260163</v>
      </c>
      <c r="C20" s="16">
        <v>0</v>
      </c>
      <c r="D20" s="15">
        <v>181794.98236747965</v>
      </c>
      <c r="E20" s="16">
        <v>0</v>
      </c>
      <c r="F20" s="17"/>
      <c r="G20" s="16">
        <v>0</v>
      </c>
      <c r="H20" s="15">
        <v>8303.7512</v>
      </c>
      <c r="I20" s="15">
        <v>188284.6256</v>
      </c>
      <c r="J20" s="18">
        <v>2</v>
      </c>
      <c r="K20" s="18">
        <v>2</v>
      </c>
      <c r="L20" s="18">
        <v>2</v>
      </c>
    </row>
    <row x14ac:dyDescent="0.25" r="21" customHeight="1" ht="33">
      <c r="A21" s="14" t="s">
        <v>29</v>
      </c>
      <c r="B21" s="15"/>
      <c r="C21" s="16">
        <v>0</v>
      </c>
      <c r="D21" s="15"/>
      <c r="E21" s="16">
        <v>0</v>
      </c>
      <c r="F21" s="17"/>
      <c r="G21" s="16">
        <v>0</v>
      </c>
      <c r="H21" s="15"/>
      <c r="I21" s="15"/>
      <c r="J21" s="18"/>
      <c r="K21" s="18"/>
      <c r="L21" s="18"/>
    </row>
    <row x14ac:dyDescent="0.25" r="22" customHeight="1" ht="18.75">
      <c r="A22" s="14" t="s">
        <v>30</v>
      </c>
      <c r="B22" s="15"/>
      <c r="C22" s="19">
        <v>0</v>
      </c>
      <c r="D22" s="15"/>
      <c r="E22" s="19">
        <v>0</v>
      </c>
      <c r="F22" s="20"/>
      <c r="G22" s="19">
        <v>0</v>
      </c>
      <c r="H22" s="15"/>
      <c r="I22" s="15"/>
      <c r="J22" s="18"/>
      <c r="K22" s="18"/>
      <c r="L22" s="18"/>
    </row>
    <row x14ac:dyDescent="0.25" r="23" customHeight="1" ht="18.75">
      <c r="A23" s="14" t="s">
        <v>31</v>
      </c>
      <c r="B23" s="15">
        <v>19340.3482</v>
      </c>
      <c r="C23" s="19">
        <v>0</v>
      </c>
      <c r="D23" s="15">
        <v>13076.9656</v>
      </c>
      <c r="E23" s="19">
        <v>0</v>
      </c>
      <c r="F23" s="20"/>
      <c r="G23" s="19">
        <v>0</v>
      </c>
      <c r="H23" s="15">
        <v>128386.75399999997</v>
      </c>
      <c r="I23" s="15">
        <v>51757.662</v>
      </c>
      <c r="J23" s="18">
        <v>9</v>
      </c>
      <c r="K23" s="18">
        <v>13</v>
      </c>
      <c r="L23" s="18">
        <v>4</v>
      </c>
    </row>
    <row x14ac:dyDescent="0.25" r="24" customHeight="1" ht="18.75">
      <c r="A24" s="14" t="s">
        <v>32</v>
      </c>
      <c r="B24" s="15"/>
      <c r="C24" s="19">
        <v>0</v>
      </c>
      <c r="D24" s="15"/>
      <c r="E24" s="19">
        <v>0</v>
      </c>
      <c r="F24" s="20"/>
      <c r="G24" s="19">
        <v>0</v>
      </c>
      <c r="H24" s="15"/>
      <c r="I24" s="15"/>
      <c r="J24" s="18"/>
      <c r="K24" s="20"/>
      <c r="L24" s="20"/>
    </row>
    <row x14ac:dyDescent="0.25" r="25" customHeight="1" ht="18.75">
      <c r="A25" s="14" t="s">
        <v>33</v>
      </c>
      <c r="B25" s="15"/>
      <c r="C25" s="19">
        <v>0</v>
      </c>
      <c r="D25" s="15"/>
      <c r="E25" s="19">
        <v>0</v>
      </c>
      <c r="F25" s="20"/>
      <c r="G25" s="19">
        <v>0</v>
      </c>
      <c r="H25" s="15"/>
      <c r="I25" s="15"/>
      <c r="J25" s="18"/>
      <c r="K25" s="20"/>
      <c r="L25" s="20"/>
    </row>
    <row x14ac:dyDescent="0.25" r="26" customHeight="1" ht="18.75">
      <c r="A26" s="14" t="s">
        <v>34</v>
      </c>
      <c r="B26" s="21"/>
      <c r="C26" s="19">
        <v>0</v>
      </c>
      <c r="D26" s="15"/>
      <c r="E26" s="19">
        <v>0</v>
      </c>
      <c r="F26" s="20"/>
      <c r="G26" s="19">
        <v>0</v>
      </c>
      <c r="H26" s="21"/>
      <c r="I26" s="21"/>
      <c r="J26" s="18"/>
      <c r="K26" s="20"/>
      <c r="L26" s="20"/>
    </row>
    <row x14ac:dyDescent="0.25" r="27" customHeight="1" ht="18.75">
      <c r="A27" s="22"/>
      <c r="B27" s="2"/>
      <c r="C27" s="3"/>
      <c r="D27" s="2"/>
      <c r="E27" s="3"/>
      <c r="F27" s="4"/>
      <c r="G27" s="3"/>
      <c r="H27" s="2"/>
      <c r="I27" s="2"/>
      <c r="J27" s="4"/>
      <c r="K27" s="4"/>
      <c r="L27" s="4"/>
    </row>
    <row x14ac:dyDescent="0.25" r="28" customHeight="1" ht="18.75">
      <c r="A28" s="6">
        <v>44986</v>
      </c>
      <c r="B28" s="2"/>
      <c r="C28" s="3"/>
      <c r="D28" s="2"/>
      <c r="E28" s="3"/>
      <c r="F28" s="4"/>
      <c r="G28" s="3"/>
      <c r="H28" s="2"/>
      <c r="I28" s="2"/>
      <c r="J28" s="4"/>
      <c r="K28" s="4"/>
      <c r="L28" s="4"/>
    </row>
    <row x14ac:dyDescent="0.25" r="29" customHeight="1" ht="33">
      <c r="A29" s="10" t="s">
        <v>14</v>
      </c>
      <c r="B29" s="11" t="s">
        <v>15</v>
      </c>
      <c r="C29" s="12" t="s">
        <v>16</v>
      </c>
      <c r="D29" s="11" t="s">
        <v>17</v>
      </c>
      <c r="E29" s="12" t="s">
        <v>18</v>
      </c>
      <c r="F29" s="13" t="s">
        <v>19</v>
      </c>
      <c r="G29" s="12" t="s">
        <v>20</v>
      </c>
      <c r="H29" s="11" t="s">
        <v>21</v>
      </c>
      <c r="I29" s="11" t="s">
        <v>22</v>
      </c>
      <c r="J29" s="13" t="s">
        <v>23</v>
      </c>
      <c r="K29" s="24" t="s">
        <v>24</v>
      </c>
      <c r="L29" s="13" t="s">
        <v>25</v>
      </c>
    </row>
    <row x14ac:dyDescent="0.25" r="30" customHeight="1" ht="33">
      <c r="A30" s="14" t="s">
        <v>26</v>
      </c>
      <c r="B30" s="15"/>
      <c r="C30" s="16">
        <v>0</v>
      </c>
      <c r="D30" s="15"/>
      <c r="E30" s="16">
        <v>0</v>
      </c>
      <c r="F30" s="17"/>
      <c r="G30" s="16">
        <v>0</v>
      </c>
      <c r="H30" s="15"/>
      <c r="I30" s="15"/>
      <c r="J30" s="18"/>
      <c r="K30" s="18"/>
      <c r="L30" s="18"/>
    </row>
    <row x14ac:dyDescent="0.25" r="31" customHeight="1" ht="33">
      <c r="A31" s="14" t="s">
        <v>27</v>
      </c>
      <c r="B31" s="15"/>
      <c r="C31" s="16">
        <v>0</v>
      </c>
      <c r="D31" s="15"/>
      <c r="E31" s="16">
        <v>0</v>
      </c>
      <c r="F31" s="17"/>
      <c r="G31" s="16">
        <v>0</v>
      </c>
      <c r="H31" s="15"/>
      <c r="I31" s="15"/>
      <c r="J31" s="18"/>
      <c r="K31" s="18"/>
      <c r="L31" s="18"/>
    </row>
    <row x14ac:dyDescent="0.25" r="32" customHeight="1" ht="33">
      <c r="A32" s="14" t="s">
        <v>28</v>
      </c>
      <c r="B32" s="15">
        <v>0</v>
      </c>
      <c r="C32" s="16">
        <v>0</v>
      </c>
      <c r="D32" s="15">
        <v>109047.15</v>
      </c>
      <c r="E32" s="16">
        <v>0</v>
      </c>
      <c r="F32" s="17"/>
      <c r="G32" s="16">
        <v>0</v>
      </c>
      <c r="H32" s="15">
        <v>47293.9628</v>
      </c>
      <c r="I32" s="15">
        <v>109047.15</v>
      </c>
      <c r="J32" s="18"/>
      <c r="K32" s="18">
        <v>1</v>
      </c>
      <c r="L32" s="18"/>
    </row>
    <row x14ac:dyDescent="0.25" r="33" customHeight="1" ht="33">
      <c r="A33" s="14" t="s">
        <v>29</v>
      </c>
      <c r="B33" s="15">
        <v>17075.54388238484</v>
      </c>
      <c r="C33" s="16">
        <v>0</v>
      </c>
      <c r="D33" s="15">
        <v>163703.5230352303</v>
      </c>
      <c r="E33" s="16">
        <v>0</v>
      </c>
      <c r="F33" s="17"/>
      <c r="G33" s="16">
        <v>0</v>
      </c>
      <c r="H33" s="15">
        <v>7830.150000000001</v>
      </c>
      <c r="I33" s="15">
        <v>197854.6108</v>
      </c>
      <c r="J33" s="18"/>
      <c r="K33" s="18"/>
      <c r="L33" s="18"/>
    </row>
    <row x14ac:dyDescent="0.25" r="34" customHeight="1" ht="18.75">
      <c r="A34" s="14" t="s">
        <v>30</v>
      </c>
      <c r="B34" s="15">
        <v>1513.341214634146</v>
      </c>
      <c r="C34" s="19">
        <v>0</v>
      </c>
      <c r="D34" s="15">
        <v>303371.6879707317</v>
      </c>
      <c r="E34" s="19">
        <v>0</v>
      </c>
      <c r="F34" s="20"/>
      <c r="G34" s="19">
        <v>0</v>
      </c>
      <c r="H34" s="15">
        <v>53870.676</v>
      </c>
      <c r="I34" s="15">
        <v>306398.3704</v>
      </c>
      <c r="J34" s="18"/>
      <c r="K34" s="18"/>
      <c r="L34" s="18"/>
    </row>
    <row x14ac:dyDescent="0.25" r="35" customHeight="1" ht="18.75">
      <c r="A35" s="14" t="s">
        <v>31</v>
      </c>
      <c r="B35" s="15">
        <v>0</v>
      </c>
      <c r="C35" s="19">
        <v>0</v>
      </c>
      <c r="D35" s="15">
        <v>0</v>
      </c>
      <c r="E35" s="19">
        <v>0</v>
      </c>
      <c r="F35" s="20"/>
      <c r="G35" s="19">
        <v>0</v>
      </c>
      <c r="H35" s="15">
        <v>47945.05959999999</v>
      </c>
      <c r="I35" s="15">
        <v>0</v>
      </c>
      <c r="J35" s="18">
        <v>8</v>
      </c>
      <c r="K35" s="18">
        <v>12</v>
      </c>
      <c r="L35" s="18">
        <v>4</v>
      </c>
    </row>
    <row x14ac:dyDescent="0.25" r="36" customHeight="1" ht="18.75">
      <c r="A36" s="14" t="s">
        <v>32</v>
      </c>
      <c r="B36" s="15"/>
      <c r="C36" s="19">
        <v>0</v>
      </c>
      <c r="D36" s="15"/>
      <c r="E36" s="19">
        <v>0</v>
      </c>
      <c r="F36" s="20"/>
      <c r="G36" s="19">
        <v>0</v>
      </c>
      <c r="H36" s="15"/>
      <c r="I36" s="15"/>
      <c r="J36" s="18"/>
      <c r="K36" s="18"/>
      <c r="L36" s="18"/>
    </row>
    <row x14ac:dyDescent="0.25" r="37" customHeight="1" ht="18.75">
      <c r="A37" s="14" t="s">
        <v>33</v>
      </c>
      <c r="B37" s="15"/>
      <c r="C37" s="19">
        <v>0</v>
      </c>
      <c r="D37" s="15"/>
      <c r="E37" s="19">
        <v>0</v>
      </c>
      <c r="F37" s="20"/>
      <c r="G37" s="19">
        <v>0</v>
      </c>
      <c r="H37" s="15"/>
      <c r="I37" s="15"/>
      <c r="J37" s="18"/>
      <c r="K37" s="18"/>
      <c r="L37" s="18"/>
    </row>
    <row x14ac:dyDescent="0.25" r="38" customHeight="1" ht="18.75">
      <c r="A38" s="14" t="s">
        <v>34</v>
      </c>
      <c r="B38" s="21"/>
      <c r="C38" s="19">
        <v>0</v>
      </c>
      <c r="D38" s="15"/>
      <c r="E38" s="19">
        <v>0</v>
      </c>
      <c r="F38" s="20"/>
      <c r="G38" s="19">
        <v>0</v>
      </c>
      <c r="H38" s="15"/>
      <c r="I38" s="21"/>
      <c r="J38" s="18"/>
      <c r="K38" s="20"/>
      <c r="L38" s="20"/>
    </row>
    <row x14ac:dyDescent="0.25" r="39" customHeight="1" ht="18.75">
      <c r="A39" s="22"/>
      <c r="B39" s="2"/>
      <c r="C39" s="3"/>
      <c r="D39" s="2"/>
      <c r="E39" s="3"/>
      <c r="F39" s="4"/>
      <c r="G39" s="3"/>
      <c r="H39" s="2"/>
      <c r="I39" s="2"/>
      <c r="J39" s="4"/>
      <c r="K39" s="4"/>
      <c r="L39" s="4"/>
    </row>
    <row x14ac:dyDescent="0.25" r="40" customHeight="1" ht="18.75">
      <c r="A40" s="6">
        <v>45017</v>
      </c>
      <c r="B40" s="2"/>
      <c r="C40" s="3"/>
      <c r="D40" s="2"/>
      <c r="E40" s="3"/>
      <c r="F40" s="4"/>
      <c r="G40" s="3"/>
      <c r="H40" s="2"/>
      <c r="I40" s="2"/>
      <c r="J40" s="4"/>
      <c r="K40" s="4"/>
      <c r="L40" s="4"/>
    </row>
    <row x14ac:dyDescent="0.25" r="41" customHeight="1" ht="33">
      <c r="A41" s="10" t="s">
        <v>14</v>
      </c>
      <c r="B41" s="11" t="s">
        <v>15</v>
      </c>
      <c r="C41" s="12" t="s">
        <v>16</v>
      </c>
      <c r="D41" s="11" t="s">
        <v>17</v>
      </c>
      <c r="E41" s="12" t="s">
        <v>18</v>
      </c>
      <c r="F41" s="13" t="s">
        <v>19</v>
      </c>
      <c r="G41" s="12" t="s">
        <v>20</v>
      </c>
      <c r="H41" s="11" t="s">
        <v>21</v>
      </c>
      <c r="I41" s="11" t="s">
        <v>22</v>
      </c>
      <c r="J41" s="13" t="s">
        <v>23</v>
      </c>
      <c r="K41" s="24" t="s">
        <v>24</v>
      </c>
      <c r="L41" s="13" t="s">
        <v>25</v>
      </c>
    </row>
    <row x14ac:dyDescent="0.25" r="42" customHeight="1" ht="33">
      <c r="A42" s="14" t="s">
        <v>26</v>
      </c>
      <c r="B42" s="15">
        <v>18795.13814471545</v>
      </c>
      <c r="C42" s="16">
        <v>0</v>
      </c>
      <c r="D42" s="15">
        <v>67959.0569105691</v>
      </c>
      <c r="E42" s="16">
        <v>0</v>
      </c>
      <c r="F42" s="17"/>
      <c r="G42" s="16">
        <v>0</v>
      </c>
      <c r="H42" s="15">
        <v>11841.2108</v>
      </c>
      <c r="I42" s="15">
        <v>105549.3332</v>
      </c>
      <c r="J42" s="18"/>
      <c r="K42" s="18"/>
      <c r="L42" s="18"/>
    </row>
    <row x14ac:dyDescent="0.25" r="43" customHeight="1" ht="33">
      <c r="A43" s="14" t="s">
        <v>27</v>
      </c>
      <c r="B43" s="15"/>
      <c r="C43" s="16">
        <v>0</v>
      </c>
      <c r="D43" s="15"/>
      <c r="E43" s="16">
        <v>0</v>
      </c>
      <c r="F43" s="17"/>
      <c r="G43" s="16">
        <v>0</v>
      </c>
      <c r="H43" s="15"/>
      <c r="I43" s="15"/>
      <c r="J43" s="18"/>
      <c r="K43" s="18"/>
      <c r="L43" s="18"/>
    </row>
    <row x14ac:dyDescent="0.25" r="44" customHeight="1" ht="33">
      <c r="A44" s="14" t="s">
        <v>28</v>
      </c>
      <c r="B44" s="15">
        <v>10966.24556422764</v>
      </c>
      <c r="C44" s="16">
        <v>0</v>
      </c>
      <c r="D44" s="15">
        <v>175562.19727154472</v>
      </c>
      <c r="E44" s="16">
        <v>0</v>
      </c>
      <c r="F44" s="17"/>
      <c r="G44" s="16">
        <v>0</v>
      </c>
      <c r="H44" s="15">
        <v>53894.2104</v>
      </c>
      <c r="I44" s="15">
        <v>197494.68839999998</v>
      </c>
      <c r="J44" s="18"/>
      <c r="K44" s="18">
        <v>2</v>
      </c>
      <c r="L44" s="18"/>
    </row>
    <row x14ac:dyDescent="0.25" r="45" customHeight="1" ht="33">
      <c r="A45" s="14" t="s">
        <v>29</v>
      </c>
      <c r="B45" s="15"/>
      <c r="C45" s="16">
        <v>0</v>
      </c>
      <c r="D45" s="15"/>
      <c r="E45" s="16">
        <v>0</v>
      </c>
      <c r="F45" s="17"/>
      <c r="G45" s="16">
        <v>0</v>
      </c>
      <c r="H45" s="15"/>
      <c r="I45" s="15"/>
      <c r="J45" s="18"/>
      <c r="K45" s="18"/>
      <c r="L45" s="18"/>
    </row>
    <row x14ac:dyDescent="0.25" r="46" customHeight="1" ht="18.75">
      <c r="A46" s="14" t="s">
        <v>30</v>
      </c>
      <c r="B46" s="15"/>
      <c r="C46" s="19">
        <v>0</v>
      </c>
      <c r="D46" s="15"/>
      <c r="E46" s="19">
        <v>0</v>
      </c>
      <c r="F46" s="20"/>
      <c r="G46" s="19">
        <v>0</v>
      </c>
      <c r="H46" s="15"/>
      <c r="I46" s="15"/>
      <c r="J46" s="18"/>
      <c r="K46" s="18"/>
      <c r="L46" s="18"/>
    </row>
    <row x14ac:dyDescent="0.25" r="47" customHeight="1" ht="18.75">
      <c r="A47" s="14" t="s">
        <v>31</v>
      </c>
      <c r="B47" s="15">
        <v>4894.2056</v>
      </c>
      <c r="C47" s="19">
        <v>0</v>
      </c>
      <c r="D47" s="15">
        <v>0</v>
      </c>
      <c r="E47" s="19">
        <v>0</v>
      </c>
      <c r="F47" s="20"/>
      <c r="G47" s="19">
        <v>0</v>
      </c>
      <c r="H47" s="15">
        <v>133507.4888</v>
      </c>
      <c r="I47" s="15">
        <v>9788.4112</v>
      </c>
      <c r="J47" s="18">
        <v>11</v>
      </c>
      <c r="K47" s="18">
        <v>33</v>
      </c>
      <c r="L47" s="18">
        <v>3</v>
      </c>
    </row>
    <row x14ac:dyDescent="0.25" r="48" customHeight="1" ht="18.75">
      <c r="A48" s="14" t="s">
        <v>32</v>
      </c>
      <c r="B48" s="15"/>
      <c r="C48" s="19">
        <v>0</v>
      </c>
      <c r="D48" s="15"/>
      <c r="E48" s="19">
        <v>0</v>
      </c>
      <c r="F48" s="20"/>
      <c r="G48" s="19">
        <v>0</v>
      </c>
      <c r="H48" s="15"/>
      <c r="I48" s="15"/>
      <c r="J48" s="18"/>
      <c r="K48" s="18"/>
      <c r="L48" s="18"/>
    </row>
    <row x14ac:dyDescent="0.25" r="49" customHeight="1" ht="18.75">
      <c r="A49" s="14" t="s">
        <v>33</v>
      </c>
      <c r="B49" s="15"/>
      <c r="C49" s="19">
        <v>0</v>
      </c>
      <c r="D49" s="15"/>
      <c r="E49" s="19">
        <v>0</v>
      </c>
      <c r="F49" s="20"/>
      <c r="G49" s="19">
        <v>0</v>
      </c>
      <c r="H49" s="15"/>
      <c r="I49" s="15"/>
      <c r="J49" s="18"/>
      <c r="K49" s="18"/>
      <c r="L49" s="18"/>
    </row>
    <row x14ac:dyDescent="0.25" r="50" customHeight="1" ht="18.75">
      <c r="A50" s="14" t="s">
        <v>34</v>
      </c>
      <c r="B50" s="15"/>
      <c r="C50" s="19">
        <v>0</v>
      </c>
      <c r="D50" s="15"/>
      <c r="E50" s="19">
        <v>0</v>
      </c>
      <c r="F50" s="20"/>
      <c r="G50" s="19">
        <v>0</v>
      </c>
      <c r="H50" s="15"/>
      <c r="I50" s="15"/>
      <c r="J50" s="18"/>
      <c r="K50" s="20"/>
      <c r="L50" s="20"/>
    </row>
    <row x14ac:dyDescent="0.25" r="51" customHeight="1" ht="18.75">
      <c r="A51" s="22"/>
      <c r="B51" s="2"/>
      <c r="C51" s="3"/>
      <c r="D51" s="2"/>
      <c r="E51" s="3"/>
      <c r="F51" s="4"/>
      <c r="G51" s="3"/>
      <c r="H51" s="2"/>
      <c r="I51" s="2"/>
      <c r="J51" s="4"/>
      <c r="K51" s="4"/>
      <c r="L51" s="4"/>
    </row>
    <row x14ac:dyDescent="0.25" r="52" customHeight="1" ht="18.75">
      <c r="A52" s="6">
        <v>45047</v>
      </c>
      <c r="B52" s="2"/>
      <c r="C52" s="3"/>
      <c r="D52" s="2"/>
      <c r="E52" s="3"/>
      <c r="F52" s="4"/>
      <c r="G52" s="3"/>
      <c r="H52" s="2"/>
      <c r="I52" s="2"/>
      <c r="J52" s="4"/>
      <c r="K52" s="4"/>
      <c r="L52" s="4"/>
    </row>
    <row x14ac:dyDescent="0.25" r="53" customHeight="1" ht="33">
      <c r="A53" s="10" t="s">
        <v>14</v>
      </c>
      <c r="B53" s="11" t="s">
        <v>15</v>
      </c>
      <c r="C53" s="12" t="s">
        <v>16</v>
      </c>
      <c r="D53" s="11" t="s">
        <v>17</v>
      </c>
      <c r="E53" s="12" t="s">
        <v>18</v>
      </c>
      <c r="F53" s="13" t="s">
        <v>19</v>
      </c>
      <c r="G53" s="12" t="s">
        <v>20</v>
      </c>
      <c r="H53" s="11" t="s">
        <v>21</v>
      </c>
      <c r="I53" s="11" t="s">
        <v>22</v>
      </c>
      <c r="J53" s="13" t="s">
        <v>23</v>
      </c>
      <c r="K53" s="24" t="s">
        <v>24</v>
      </c>
      <c r="L53" s="13" t="s">
        <v>25</v>
      </c>
    </row>
    <row x14ac:dyDescent="0.25" r="54" customHeight="1" ht="33">
      <c r="A54" s="14" t="s">
        <v>26</v>
      </c>
      <c r="B54" s="15"/>
      <c r="C54" s="16">
        <v>0</v>
      </c>
      <c r="D54" s="15"/>
      <c r="E54" s="16">
        <v>0</v>
      </c>
      <c r="F54" s="17"/>
      <c r="G54" s="16">
        <v>0</v>
      </c>
      <c r="H54" s="15"/>
      <c r="I54" s="15"/>
      <c r="J54" s="18"/>
      <c r="K54" s="18"/>
      <c r="L54" s="18"/>
    </row>
    <row x14ac:dyDescent="0.25" r="55" customHeight="1" ht="33">
      <c r="A55" s="14" t="s">
        <v>27</v>
      </c>
      <c r="B55" s="15"/>
      <c r="C55" s="16">
        <v>0</v>
      </c>
      <c r="D55" s="15"/>
      <c r="E55" s="16">
        <v>0</v>
      </c>
      <c r="F55" s="17"/>
      <c r="G55" s="16">
        <v>0</v>
      </c>
      <c r="H55" s="15"/>
      <c r="I55" s="15"/>
      <c r="J55" s="18"/>
      <c r="K55" s="18"/>
      <c r="L55" s="18"/>
    </row>
    <row x14ac:dyDescent="0.25" r="56" customHeight="1" ht="33">
      <c r="A56" s="14" t="s">
        <v>28</v>
      </c>
      <c r="B56" s="15">
        <v>25945.29610894309</v>
      </c>
      <c r="C56" s="16">
        <v>0</v>
      </c>
      <c r="D56" s="15">
        <v>18874.21138211382</v>
      </c>
      <c r="E56" s="16">
        <v>0</v>
      </c>
      <c r="F56" s="17"/>
      <c r="G56" s="16">
        <v>0</v>
      </c>
      <c r="H56" s="15">
        <v>2432.2556</v>
      </c>
      <c r="I56" s="15">
        <v>70764.8036</v>
      </c>
      <c r="J56" s="18"/>
      <c r="K56" s="18">
        <v>6</v>
      </c>
      <c r="L56" s="18"/>
    </row>
    <row x14ac:dyDescent="0.25" r="57" customHeight="1" ht="33">
      <c r="A57" s="14" t="s">
        <v>29</v>
      </c>
      <c r="B57" s="15"/>
      <c r="C57" s="16">
        <v>0</v>
      </c>
      <c r="D57" s="15"/>
      <c r="E57" s="16">
        <v>0</v>
      </c>
      <c r="F57" s="17"/>
      <c r="G57" s="16">
        <v>0</v>
      </c>
      <c r="H57" s="15"/>
      <c r="I57" s="15"/>
      <c r="J57" s="18"/>
      <c r="K57" s="18"/>
      <c r="L57" s="18"/>
    </row>
    <row x14ac:dyDescent="0.25" r="58" customHeight="1" ht="18.75">
      <c r="A58" s="14" t="s">
        <v>30</v>
      </c>
      <c r="B58" s="15"/>
      <c r="C58" s="19">
        <v>0</v>
      </c>
      <c r="D58" s="15"/>
      <c r="E58" s="19">
        <v>0</v>
      </c>
      <c r="F58" s="20"/>
      <c r="G58" s="19">
        <v>0</v>
      </c>
      <c r="H58" s="15"/>
      <c r="I58" s="15"/>
      <c r="J58" s="18"/>
      <c r="K58" s="18">
        <v>1</v>
      </c>
      <c r="L58" s="18"/>
    </row>
    <row x14ac:dyDescent="0.25" r="59" customHeight="1" ht="18.75">
      <c r="A59" s="14" t="s">
        <v>31</v>
      </c>
      <c r="B59" s="15">
        <v>6287.5254</v>
      </c>
      <c r="C59" s="19">
        <v>0</v>
      </c>
      <c r="D59" s="15">
        <v>0</v>
      </c>
      <c r="E59" s="19">
        <v>0</v>
      </c>
      <c r="F59" s="20"/>
      <c r="G59" s="19">
        <v>0</v>
      </c>
      <c r="H59" s="15">
        <v>165305.78199999998</v>
      </c>
      <c r="I59" s="15">
        <v>12575.0508</v>
      </c>
      <c r="J59" s="18">
        <v>14</v>
      </c>
      <c r="K59" s="18">
        <v>37</v>
      </c>
      <c r="L59" s="18">
        <v>8</v>
      </c>
    </row>
    <row x14ac:dyDescent="0.25" r="60" customHeight="1" ht="18.75">
      <c r="A60" s="14" t="s">
        <v>32</v>
      </c>
      <c r="B60" s="15"/>
      <c r="C60" s="19">
        <v>0</v>
      </c>
      <c r="D60" s="15"/>
      <c r="E60" s="19">
        <v>0</v>
      </c>
      <c r="F60" s="20"/>
      <c r="G60" s="19">
        <v>0</v>
      </c>
      <c r="H60" s="15"/>
      <c r="I60" s="15"/>
      <c r="J60" s="18"/>
      <c r="K60" s="18"/>
      <c r="L60" s="18"/>
    </row>
    <row x14ac:dyDescent="0.25" r="61" customHeight="1" ht="18.75">
      <c r="A61" s="14" t="s">
        <v>33</v>
      </c>
      <c r="B61" s="15"/>
      <c r="C61" s="19">
        <v>0</v>
      </c>
      <c r="D61" s="15"/>
      <c r="E61" s="19">
        <v>0</v>
      </c>
      <c r="F61" s="20"/>
      <c r="G61" s="19">
        <v>0</v>
      </c>
      <c r="H61" s="15"/>
      <c r="I61" s="15"/>
      <c r="J61" s="18"/>
      <c r="K61" s="18"/>
      <c r="L61" s="18"/>
    </row>
    <row x14ac:dyDescent="0.25" r="62" customHeight="1" ht="18.75">
      <c r="A62" s="14" t="s">
        <v>34</v>
      </c>
      <c r="B62" s="15"/>
      <c r="C62" s="19">
        <v>0</v>
      </c>
      <c r="D62" s="15"/>
      <c r="E62" s="19">
        <v>0</v>
      </c>
      <c r="F62" s="20"/>
      <c r="G62" s="19">
        <v>0</v>
      </c>
      <c r="H62" s="15"/>
      <c r="I62" s="15"/>
      <c r="J62" s="18"/>
      <c r="K62" s="20"/>
      <c r="L62" s="20"/>
    </row>
    <row x14ac:dyDescent="0.25" r="63" customHeight="1" ht="18.75">
      <c r="A63" s="22"/>
      <c r="B63" s="2"/>
      <c r="C63" s="3"/>
      <c r="D63" s="2"/>
      <c r="E63" s="3"/>
      <c r="F63" s="4"/>
      <c r="G63" s="3"/>
      <c r="H63" s="2"/>
      <c r="I63" s="2"/>
      <c r="J63" s="4"/>
      <c r="K63" s="4"/>
      <c r="L63" s="4"/>
    </row>
    <row x14ac:dyDescent="0.25" r="64" customHeight="1" ht="18.75">
      <c r="A64" s="6">
        <v>45078</v>
      </c>
      <c r="B64" s="7" t="s">
        <v>3</v>
      </c>
      <c r="C64" s="8" t="s">
        <v>4</v>
      </c>
      <c r="D64" s="7" t="s">
        <v>5</v>
      </c>
      <c r="E64" s="8" t="s">
        <v>6</v>
      </c>
      <c r="F64" s="9" t="s">
        <v>7</v>
      </c>
      <c r="G64" s="8" t="s">
        <v>8</v>
      </c>
      <c r="H64" s="7" t="s">
        <v>9</v>
      </c>
      <c r="I64" s="7" t="s">
        <v>10</v>
      </c>
      <c r="J64" s="9" t="s">
        <v>11</v>
      </c>
      <c r="K64" s="9" t="s">
        <v>12</v>
      </c>
      <c r="L64" s="9" t="s">
        <v>13</v>
      </c>
    </row>
    <row x14ac:dyDescent="0.25" r="65" customHeight="1" ht="33">
      <c r="A65" s="10" t="s">
        <v>14</v>
      </c>
      <c r="B65" s="11" t="s">
        <v>15</v>
      </c>
      <c r="C65" s="12" t="s">
        <v>16</v>
      </c>
      <c r="D65" s="11" t="s">
        <v>17</v>
      </c>
      <c r="E65" s="12" t="s">
        <v>18</v>
      </c>
      <c r="F65" s="13" t="s">
        <v>19</v>
      </c>
      <c r="G65" s="12" t="s">
        <v>20</v>
      </c>
      <c r="H65" s="11" t="s">
        <v>21</v>
      </c>
      <c r="I65" s="11" t="s">
        <v>22</v>
      </c>
      <c r="J65" s="13" t="s">
        <v>23</v>
      </c>
      <c r="K65" s="24" t="s">
        <v>24</v>
      </c>
      <c r="L65" s="13" t="s">
        <v>25</v>
      </c>
    </row>
    <row x14ac:dyDescent="0.25" r="66" customHeight="1" ht="33">
      <c r="A66" s="14" t="s">
        <v>26</v>
      </c>
      <c r="B66" s="15"/>
      <c r="C66" s="16">
        <v>0</v>
      </c>
      <c r="D66" s="15"/>
      <c r="E66" s="16">
        <v>0</v>
      </c>
      <c r="F66" s="17"/>
      <c r="G66" s="16">
        <v>0</v>
      </c>
      <c r="H66" s="15"/>
      <c r="I66" s="15"/>
      <c r="J66" s="18"/>
      <c r="K66" s="18">
        <v>1</v>
      </c>
      <c r="L66" s="18"/>
    </row>
    <row x14ac:dyDescent="0.25" r="67" customHeight="1" ht="33">
      <c r="A67" s="14" t="s">
        <v>27</v>
      </c>
      <c r="B67" s="15"/>
      <c r="C67" s="16">
        <v>0</v>
      </c>
      <c r="D67" s="15"/>
      <c r="E67" s="16">
        <v>0</v>
      </c>
      <c r="F67" s="17"/>
      <c r="G67" s="16">
        <v>0</v>
      </c>
      <c r="H67" s="15"/>
      <c r="I67" s="15"/>
      <c r="J67" s="18"/>
      <c r="K67" s="18"/>
      <c r="L67" s="18"/>
    </row>
    <row x14ac:dyDescent="0.25" r="68" customHeight="1" ht="33">
      <c r="A68" s="14" t="s">
        <v>28</v>
      </c>
      <c r="B68" s="15">
        <v>101431.8728243902</v>
      </c>
      <c r="C68" s="16">
        <v>0</v>
      </c>
      <c r="D68" s="15">
        <v>13035.12195121951</v>
      </c>
      <c r="E68" s="16">
        <v>0</v>
      </c>
      <c r="F68" s="17"/>
      <c r="G68" s="16">
        <v>0</v>
      </c>
      <c r="H68" s="15">
        <v>125</v>
      </c>
      <c r="I68" s="15">
        <v>215898.8676</v>
      </c>
      <c r="J68" s="18">
        <v>1</v>
      </c>
      <c r="K68" s="18">
        <v>2</v>
      </c>
      <c r="L68" s="18">
        <v>1</v>
      </c>
    </row>
    <row x14ac:dyDescent="0.25" r="69" customHeight="1" ht="33">
      <c r="A69" s="14" t="s">
        <v>29</v>
      </c>
      <c r="B69" s="15"/>
      <c r="C69" s="16">
        <v>0</v>
      </c>
      <c r="D69" s="15"/>
      <c r="E69" s="16">
        <v>0</v>
      </c>
      <c r="F69" s="17"/>
      <c r="G69" s="16">
        <v>0</v>
      </c>
      <c r="H69" s="15"/>
      <c r="I69" s="15"/>
      <c r="J69" s="18"/>
      <c r="K69" s="18">
        <v>1</v>
      </c>
      <c r="L69" s="18"/>
    </row>
    <row x14ac:dyDescent="0.25" r="70" customHeight="1" ht="18.75">
      <c r="A70" s="14" t="s">
        <v>30</v>
      </c>
      <c r="B70" s="15"/>
      <c r="C70" s="19">
        <v>0</v>
      </c>
      <c r="D70" s="15"/>
      <c r="E70" s="19">
        <v>0</v>
      </c>
      <c r="F70" s="25">
        <v>27694.97</v>
      </c>
      <c r="G70" s="19">
        <v>0</v>
      </c>
      <c r="H70" s="15"/>
      <c r="I70" s="15"/>
      <c r="J70" s="18">
        <v>1</v>
      </c>
      <c r="K70" s="18"/>
      <c r="L70" s="18">
        <v>1</v>
      </c>
    </row>
    <row x14ac:dyDescent="0.25" r="71" customHeight="1" ht="18.75">
      <c r="A71" s="14" t="s">
        <v>31</v>
      </c>
      <c r="B71" s="15">
        <v>1653.4718</v>
      </c>
      <c r="C71" s="19">
        <v>0</v>
      </c>
      <c r="D71" s="15">
        <v>0</v>
      </c>
      <c r="E71" s="19">
        <v>0</v>
      </c>
      <c r="F71" s="20"/>
      <c r="G71" s="19">
        <v>0</v>
      </c>
      <c r="H71" s="15">
        <v>131179.47479999997</v>
      </c>
      <c r="I71" s="15">
        <v>3306.9436</v>
      </c>
      <c r="J71" s="18">
        <v>6</v>
      </c>
      <c r="K71" s="18">
        <v>21</v>
      </c>
      <c r="L71" s="18">
        <v>3</v>
      </c>
    </row>
    <row x14ac:dyDescent="0.25" r="72" customHeight="1" ht="18.75">
      <c r="A72" s="14" t="s">
        <v>32</v>
      </c>
      <c r="B72" s="15"/>
      <c r="C72" s="19">
        <v>0</v>
      </c>
      <c r="D72" s="15"/>
      <c r="E72" s="19">
        <v>0</v>
      </c>
      <c r="F72" s="20"/>
      <c r="G72" s="19">
        <v>0</v>
      </c>
      <c r="H72" s="15"/>
      <c r="I72" s="15"/>
      <c r="J72" s="18"/>
      <c r="K72" s="18"/>
      <c r="L72" s="18"/>
    </row>
    <row x14ac:dyDescent="0.25" r="73" customHeight="1" ht="18.75">
      <c r="A73" s="14" t="s">
        <v>33</v>
      </c>
      <c r="B73" s="15"/>
      <c r="C73" s="19">
        <v>0</v>
      </c>
      <c r="D73" s="15"/>
      <c r="E73" s="19">
        <v>0</v>
      </c>
      <c r="F73" s="20"/>
      <c r="G73" s="19">
        <v>0</v>
      </c>
      <c r="H73" s="15"/>
      <c r="I73" s="15"/>
      <c r="J73" s="18"/>
      <c r="K73" s="20"/>
      <c r="L73" s="18"/>
    </row>
    <row x14ac:dyDescent="0.25" r="74" customHeight="1" ht="18.75">
      <c r="A74" s="14" t="s">
        <v>34</v>
      </c>
      <c r="B74" s="15"/>
      <c r="C74" s="19">
        <v>0</v>
      </c>
      <c r="D74" s="21"/>
      <c r="E74" s="19">
        <v>0</v>
      </c>
      <c r="F74" s="20"/>
      <c r="G74" s="19">
        <v>0</v>
      </c>
      <c r="H74" s="15"/>
      <c r="I74" s="15"/>
      <c r="J74" s="18"/>
      <c r="K74" s="20"/>
      <c r="L74" s="20"/>
    </row>
    <row x14ac:dyDescent="0.25" r="75" customHeight="1" ht="18.75">
      <c r="A75" s="22"/>
      <c r="B75" s="2"/>
      <c r="C75" s="3"/>
      <c r="D75" s="2"/>
      <c r="E75" s="3"/>
      <c r="F75" s="4"/>
      <c r="G75" s="3"/>
      <c r="H75" s="2"/>
      <c r="I75" s="2"/>
      <c r="J75" s="4"/>
      <c r="K75" s="4"/>
      <c r="L75" s="4"/>
    </row>
    <row x14ac:dyDescent="0.25" r="76" customHeight="1" ht="18.75">
      <c r="A76" s="6">
        <v>45137</v>
      </c>
      <c r="B76" s="2"/>
      <c r="C76" s="3"/>
      <c r="D76" s="2"/>
      <c r="E76" s="3"/>
      <c r="F76" s="4"/>
      <c r="G76" s="3"/>
      <c r="H76" s="2"/>
      <c r="I76" s="2"/>
      <c r="J76" s="4"/>
      <c r="K76" s="4"/>
      <c r="L76" s="4"/>
    </row>
    <row x14ac:dyDescent="0.25" r="77" customHeight="1" ht="33">
      <c r="A77" s="10" t="s">
        <v>14</v>
      </c>
      <c r="B77" s="11" t="s">
        <v>15</v>
      </c>
      <c r="C77" s="12" t="s">
        <v>16</v>
      </c>
      <c r="D77" s="11" t="s">
        <v>17</v>
      </c>
      <c r="E77" s="12" t="s">
        <v>18</v>
      </c>
      <c r="F77" s="13" t="s">
        <v>19</v>
      </c>
      <c r="G77" s="12" t="s">
        <v>20</v>
      </c>
      <c r="H77" s="11" t="s">
        <v>21</v>
      </c>
      <c r="I77" s="11" t="s">
        <v>22</v>
      </c>
      <c r="J77" s="13" t="s">
        <v>23</v>
      </c>
      <c r="K77" s="24" t="s">
        <v>24</v>
      </c>
      <c r="L77" s="13" t="s">
        <v>25</v>
      </c>
    </row>
    <row x14ac:dyDescent="0.25" r="78" customHeight="1" ht="33">
      <c r="A78" s="14" t="s">
        <v>26</v>
      </c>
      <c r="B78" s="15"/>
      <c r="C78" s="16">
        <v>0</v>
      </c>
      <c r="D78" s="15"/>
      <c r="E78" s="16">
        <v>0</v>
      </c>
      <c r="F78" s="17"/>
      <c r="G78" s="16">
        <v>0</v>
      </c>
      <c r="H78" s="15"/>
      <c r="I78" s="15"/>
      <c r="J78" s="17"/>
      <c r="K78" s="18"/>
      <c r="L78" s="17"/>
    </row>
    <row x14ac:dyDescent="0.25" r="79" customHeight="1" ht="33">
      <c r="A79" s="14" t="s">
        <v>27</v>
      </c>
      <c r="B79" s="15"/>
      <c r="C79" s="16">
        <v>0</v>
      </c>
      <c r="D79" s="15"/>
      <c r="E79" s="16">
        <v>0</v>
      </c>
      <c r="F79" s="17"/>
      <c r="G79" s="16">
        <v>0</v>
      </c>
      <c r="H79" s="15"/>
      <c r="I79" s="15"/>
      <c r="J79" s="17"/>
      <c r="K79" s="18"/>
      <c r="L79" s="17"/>
    </row>
    <row x14ac:dyDescent="0.25" r="80" customHeight="1" ht="33">
      <c r="A80" s="14" t="s">
        <v>28</v>
      </c>
      <c r="B80" s="15">
        <v>31011.785343089432</v>
      </c>
      <c r="C80" s="16">
        <v>0</v>
      </c>
      <c r="D80" s="15">
        <v>28939.38211382114</v>
      </c>
      <c r="E80" s="16">
        <v>0</v>
      </c>
      <c r="F80" s="17"/>
      <c r="G80" s="16">
        <v>0</v>
      </c>
      <c r="H80" s="15">
        <v>5298.7004</v>
      </c>
      <c r="I80" s="15">
        <v>90962.9528</v>
      </c>
      <c r="J80" s="18"/>
      <c r="K80" s="18">
        <v>2</v>
      </c>
      <c r="L80" s="18"/>
    </row>
    <row x14ac:dyDescent="0.25" r="81" customHeight="1" ht="33">
      <c r="A81" s="14" t="s">
        <v>29</v>
      </c>
      <c r="B81" s="15"/>
      <c r="C81" s="16">
        <v>0</v>
      </c>
      <c r="D81" s="15"/>
      <c r="E81" s="16">
        <v>0</v>
      </c>
      <c r="F81" s="17"/>
      <c r="G81" s="16">
        <v>0</v>
      </c>
      <c r="H81" s="15"/>
      <c r="I81" s="15"/>
      <c r="J81" s="18"/>
      <c r="K81" s="18"/>
      <c r="L81" s="18"/>
    </row>
    <row x14ac:dyDescent="0.25" r="82" customHeight="1" ht="18.75">
      <c r="A82" s="14" t="s">
        <v>30</v>
      </c>
      <c r="B82" s="15"/>
      <c r="C82" s="19">
        <v>0</v>
      </c>
      <c r="D82" s="15"/>
      <c r="E82" s="19">
        <v>0</v>
      </c>
      <c r="F82" s="20"/>
      <c r="G82" s="19">
        <v>0</v>
      </c>
      <c r="H82" s="15"/>
      <c r="I82" s="15"/>
      <c r="J82" s="18"/>
      <c r="K82" s="18"/>
      <c r="L82" s="18"/>
    </row>
    <row x14ac:dyDescent="0.25" r="83" customHeight="1" ht="18.75">
      <c r="A83" s="14" t="s">
        <v>31</v>
      </c>
      <c r="B83" s="15">
        <v>5457.7794</v>
      </c>
      <c r="C83" s="19">
        <v>0</v>
      </c>
      <c r="D83" s="15">
        <v>0</v>
      </c>
      <c r="E83" s="19">
        <v>0</v>
      </c>
      <c r="F83" s="20"/>
      <c r="G83" s="19">
        <v>0</v>
      </c>
      <c r="H83" s="15">
        <v>168038.2008</v>
      </c>
      <c r="I83" s="15">
        <v>10915.5588</v>
      </c>
      <c r="J83" s="18">
        <v>1</v>
      </c>
      <c r="K83" s="18">
        <v>15</v>
      </c>
      <c r="L83" s="18">
        <v>1</v>
      </c>
    </row>
    <row x14ac:dyDescent="0.25" r="84" customHeight="1" ht="18.75">
      <c r="A84" s="14" t="s">
        <v>32</v>
      </c>
      <c r="B84" s="15"/>
      <c r="C84" s="19">
        <v>0</v>
      </c>
      <c r="D84" s="15"/>
      <c r="E84" s="19">
        <v>0</v>
      </c>
      <c r="F84" s="20"/>
      <c r="G84" s="19">
        <v>0</v>
      </c>
      <c r="H84" s="15"/>
      <c r="I84" s="15"/>
      <c r="J84" s="18"/>
      <c r="K84" s="18"/>
      <c r="L84" s="18"/>
    </row>
    <row x14ac:dyDescent="0.25" r="85" customHeight="1" ht="18.75">
      <c r="A85" s="14" t="s">
        <v>33</v>
      </c>
      <c r="B85" s="15"/>
      <c r="C85" s="19">
        <v>0</v>
      </c>
      <c r="D85" s="15"/>
      <c r="E85" s="19">
        <v>0</v>
      </c>
      <c r="F85" s="20"/>
      <c r="G85" s="19">
        <v>0</v>
      </c>
      <c r="H85" s="15"/>
      <c r="I85" s="15"/>
      <c r="J85" s="18"/>
      <c r="K85" s="18"/>
      <c r="L85" s="18"/>
    </row>
    <row x14ac:dyDescent="0.25" r="86" customHeight="1" ht="18.75">
      <c r="A86" s="14" t="s">
        <v>34</v>
      </c>
      <c r="B86" s="21"/>
      <c r="C86" s="19">
        <v>0</v>
      </c>
      <c r="D86" s="21"/>
      <c r="E86" s="19">
        <v>0</v>
      </c>
      <c r="F86" s="20"/>
      <c r="G86" s="19">
        <v>0</v>
      </c>
      <c r="H86" s="15"/>
      <c r="I86" s="15"/>
      <c r="J86" s="18"/>
      <c r="K86" s="20"/>
      <c r="L86" s="18"/>
    </row>
    <row x14ac:dyDescent="0.25" r="87" customHeight="1" ht="18.75">
      <c r="A87" s="22"/>
      <c r="B87" s="2"/>
      <c r="C87" s="3"/>
      <c r="D87" s="2"/>
      <c r="E87" s="3"/>
      <c r="F87" s="4"/>
      <c r="G87" s="3"/>
      <c r="H87" s="2"/>
      <c r="I87" s="2"/>
      <c r="J87" s="4"/>
      <c r="K87" s="4"/>
      <c r="L87" s="4"/>
    </row>
    <row x14ac:dyDescent="0.25" r="88" customHeight="1" ht="18.75">
      <c r="A88" s="6">
        <v>45139</v>
      </c>
      <c r="B88" s="2"/>
      <c r="C88" s="3"/>
      <c r="D88" s="2"/>
      <c r="E88" s="3"/>
      <c r="F88" s="4"/>
      <c r="G88" s="3"/>
      <c r="H88" s="2"/>
      <c r="I88" s="2"/>
      <c r="J88" s="4"/>
      <c r="K88" s="4"/>
      <c r="L88" s="4"/>
    </row>
    <row x14ac:dyDescent="0.25" r="89" customHeight="1" ht="33">
      <c r="A89" s="10" t="s">
        <v>14</v>
      </c>
      <c r="B89" s="11" t="s">
        <v>15</v>
      </c>
      <c r="C89" s="12" t="s">
        <v>16</v>
      </c>
      <c r="D89" s="11" t="s">
        <v>17</v>
      </c>
      <c r="E89" s="12" t="s">
        <v>18</v>
      </c>
      <c r="F89" s="13" t="s">
        <v>19</v>
      </c>
      <c r="G89" s="12" t="s">
        <v>20</v>
      </c>
      <c r="H89" s="11" t="s">
        <v>21</v>
      </c>
      <c r="I89" s="11" t="s">
        <v>22</v>
      </c>
      <c r="J89" s="13" t="s">
        <v>23</v>
      </c>
      <c r="K89" s="24" t="s">
        <v>24</v>
      </c>
      <c r="L89" s="13" t="s">
        <v>25</v>
      </c>
    </row>
    <row x14ac:dyDescent="0.25" r="90" customHeight="1" ht="33">
      <c r="A90" s="14" t="s">
        <v>26</v>
      </c>
      <c r="B90" s="15"/>
      <c r="C90" s="16">
        <v>0</v>
      </c>
      <c r="D90" s="15"/>
      <c r="E90" s="16">
        <v>0</v>
      </c>
      <c r="F90" s="17"/>
      <c r="G90" s="16">
        <v>0</v>
      </c>
      <c r="H90" s="15"/>
      <c r="I90" s="15"/>
      <c r="J90" s="18"/>
      <c r="K90" s="18"/>
      <c r="L90" s="18"/>
    </row>
    <row x14ac:dyDescent="0.25" r="91" customHeight="1" ht="33">
      <c r="A91" s="14" t="s">
        <v>27</v>
      </c>
      <c r="B91" s="15"/>
      <c r="C91" s="16">
        <v>0</v>
      </c>
      <c r="D91" s="15"/>
      <c r="E91" s="16">
        <v>0</v>
      </c>
      <c r="F91" s="17"/>
      <c r="G91" s="16">
        <v>0</v>
      </c>
      <c r="H91" s="15"/>
      <c r="I91" s="15"/>
      <c r="J91" s="18"/>
      <c r="K91" s="18"/>
      <c r="L91" s="18"/>
    </row>
    <row x14ac:dyDescent="0.25" r="92" customHeight="1" ht="33">
      <c r="A92" s="14" t="s">
        <v>28</v>
      </c>
      <c r="B92" s="15">
        <v>148527.2264298103</v>
      </c>
      <c r="C92" s="16">
        <v>0</v>
      </c>
      <c r="D92" s="15">
        <v>231106.0879403794</v>
      </c>
      <c r="E92" s="16">
        <v>0</v>
      </c>
      <c r="F92" s="17"/>
      <c r="G92" s="16">
        <v>0</v>
      </c>
      <c r="H92" s="15">
        <v>48882.7876</v>
      </c>
      <c r="I92" s="15">
        <v>528160.5408</v>
      </c>
      <c r="J92" s="18">
        <v>2</v>
      </c>
      <c r="K92" s="18">
        <v>1</v>
      </c>
      <c r="L92" s="18"/>
    </row>
    <row x14ac:dyDescent="0.25" r="93" customHeight="1" ht="33">
      <c r="A93" s="14" t="s">
        <v>29</v>
      </c>
      <c r="B93" s="15"/>
      <c r="C93" s="16">
        <v>0</v>
      </c>
      <c r="D93" s="15"/>
      <c r="E93" s="16">
        <v>0</v>
      </c>
      <c r="F93" s="17"/>
      <c r="G93" s="16">
        <v>0</v>
      </c>
      <c r="H93" s="15"/>
      <c r="I93" s="15"/>
      <c r="J93" s="18"/>
      <c r="K93" s="18"/>
      <c r="L93" s="18"/>
    </row>
    <row x14ac:dyDescent="0.25" r="94" customHeight="1" ht="18.75">
      <c r="A94" s="14" t="s">
        <v>30</v>
      </c>
      <c r="B94" s="15"/>
      <c r="C94" s="19">
        <v>0</v>
      </c>
      <c r="D94" s="15"/>
      <c r="E94" s="19">
        <v>0</v>
      </c>
      <c r="F94" s="20"/>
      <c r="G94" s="19">
        <v>0</v>
      </c>
      <c r="H94" s="15"/>
      <c r="I94" s="15"/>
      <c r="J94" s="18"/>
      <c r="K94" s="18"/>
      <c r="L94" s="18"/>
    </row>
    <row x14ac:dyDescent="0.25" r="95" customHeight="1" ht="18.75">
      <c r="A95" s="14" t="s">
        <v>31</v>
      </c>
      <c r="B95" s="15">
        <v>28945.2394</v>
      </c>
      <c r="C95" s="19">
        <v>0</v>
      </c>
      <c r="D95" s="15">
        <v>0</v>
      </c>
      <c r="E95" s="19">
        <v>0</v>
      </c>
      <c r="F95" s="20"/>
      <c r="G95" s="19">
        <v>0</v>
      </c>
      <c r="H95" s="15">
        <v>99601.51919999998</v>
      </c>
      <c r="I95" s="15">
        <v>57890.4788</v>
      </c>
      <c r="J95" s="18"/>
      <c r="K95" s="18">
        <v>35</v>
      </c>
      <c r="L95" s="18"/>
    </row>
    <row x14ac:dyDescent="0.25" r="96" customHeight="1" ht="18.75">
      <c r="A96" s="14" t="s">
        <v>32</v>
      </c>
      <c r="B96" s="15"/>
      <c r="C96" s="19">
        <v>0</v>
      </c>
      <c r="D96" s="15"/>
      <c r="E96" s="19">
        <v>0</v>
      </c>
      <c r="F96" s="20"/>
      <c r="G96" s="19">
        <v>0</v>
      </c>
      <c r="H96" s="15"/>
      <c r="I96" s="15"/>
      <c r="J96" s="18"/>
      <c r="K96" s="18"/>
      <c r="L96" s="18"/>
    </row>
    <row x14ac:dyDescent="0.25" r="97" customHeight="1" ht="18.75">
      <c r="A97" s="14" t="s">
        <v>33</v>
      </c>
      <c r="B97" s="15"/>
      <c r="C97" s="19">
        <v>0</v>
      </c>
      <c r="D97" s="15"/>
      <c r="E97" s="19">
        <v>0</v>
      </c>
      <c r="F97" s="20"/>
      <c r="G97" s="19">
        <v>0</v>
      </c>
      <c r="H97" s="15"/>
      <c r="I97" s="15"/>
      <c r="J97" s="18"/>
      <c r="K97" s="18"/>
      <c r="L97" s="20"/>
    </row>
    <row x14ac:dyDescent="0.25" r="98" customHeight="1" ht="18.75">
      <c r="A98" s="14" t="s">
        <v>34</v>
      </c>
      <c r="B98" s="21"/>
      <c r="C98" s="19">
        <v>0</v>
      </c>
      <c r="D98" s="15"/>
      <c r="E98" s="19">
        <v>0</v>
      </c>
      <c r="F98" s="20"/>
      <c r="G98" s="19">
        <v>0</v>
      </c>
      <c r="H98" s="21"/>
      <c r="I98" s="15"/>
      <c r="J98" s="18"/>
      <c r="K98" s="20"/>
      <c r="L98" s="20"/>
    </row>
    <row x14ac:dyDescent="0.25" r="99" customHeight="1" ht="18.75">
      <c r="A99" s="22"/>
      <c r="B99" s="2"/>
      <c r="C99" s="3"/>
      <c r="D99" s="2"/>
      <c r="E99" s="3"/>
      <c r="F99" s="4"/>
      <c r="G99" s="3"/>
      <c r="H99" s="2"/>
      <c r="I99" s="2"/>
      <c r="J99" s="4"/>
      <c r="K99" s="4"/>
      <c r="L99" s="4"/>
    </row>
    <row x14ac:dyDescent="0.25" r="100" customHeight="1" ht="18.75">
      <c r="A100" s="6">
        <v>45170</v>
      </c>
      <c r="B100" s="2"/>
      <c r="C100" s="3"/>
      <c r="D100" s="2"/>
      <c r="E100" s="3"/>
      <c r="F100" s="4"/>
      <c r="G100" s="3"/>
      <c r="H100" s="2"/>
      <c r="I100" s="2"/>
      <c r="J100" s="4"/>
      <c r="K100" s="4"/>
      <c r="L100" s="4"/>
    </row>
    <row x14ac:dyDescent="0.25" r="101" customHeight="1" ht="33">
      <c r="A101" s="10" t="s">
        <v>14</v>
      </c>
      <c r="B101" s="11" t="s">
        <v>15</v>
      </c>
      <c r="C101" s="12" t="s">
        <v>16</v>
      </c>
      <c r="D101" s="11" t="s">
        <v>17</v>
      </c>
      <c r="E101" s="12" t="s">
        <v>18</v>
      </c>
      <c r="F101" s="13" t="s">
        <v>19</v>
      </c>
      <c r="G101" s="12" t="s">
        <v>20</v>
      </c>
      <c r="H101" s="11" t="s">
        <v>21</v>
      </c>
      <c r="I101" s="11" t="s">
        <v>22</v>
      </c>
      <c r="J101" s="13" t="s">
        <v>23</v>
      </c>
      <c r="K101" s="24" t="s">
        <v>24</v>
      </c>
      <c r="L101" s="13" t="s">
        <v>25</v>
      </c>
    </row>
    <row x14ac:dyDescent="0.25" r="102" customHeight="1" ht="33">
      <c r="A102" s="14" t="s">
        <v>26</v>
      </c>
      <c r="B102" s="15"/>
      <c r="C102" s="16">
        <v>0</v>
      </c>
      <c r="D102" s="15"/>
      <c r="E102" s="16">
        <v>0</v>
      </c>
      <c r="F102" s="17"/>
      <c r="G102" s="16">
        <v>0</v>
      </c>
      <c r="H102" s="15"/>
      <c r="I102" s="15"/>
      <c r="J102" s="17"/>
      <c r="K102" s="18"/>
      <c r="L102" s="17"/>
    </row>
    <row x14ac:dyDescent="0.25" r="103" customHeight="1" ht="33">
      <c r="A103" s="14" t="s">
        <v>27</v>
      </c>
      <c r="B103" s="15"/>
      <c r="C103" s="16">
        <v>0</v>
      </c>
      <c r="D103" s="15"/>
      <c r="E103" s="16">
        <v>0</v>
      </c>
      <c r="F103" s="17"/>
      <c r="G103" s="16">
        <v>0</v>
      </c>
      <c r="H103" s="15"/>
      <c r="I103" s="15"/>
      <c r="J103" s="18"/>
      <c r="K103" s="18"/>
      <c r="L103" s="17"/>
    </row>
    <row x14ac:dyDescent="0.25" r="104" customHeight="1" ht="33">
      <c r="A104" s="14" t="s">
        <v>28</v>
      </c>
      <c r="B104" s="15">
        <v>146018.50846666668</v>
      </c>
      <c r="C104" s="16">
        <v>0</v>
      </c>
      <c r="D104" s="15">
        <v>101895.96666666666</v>
      </c>
      <c r="E104" s="16">
        <v>0</v>
      </c>
      <c r="F104" s="17"/>
      <c r="G104" s="16">
        <v>0</v>
      </c>
      <c r="H104" s="15">
        <v>24939.7948</v>
      </c>
      <c r="I104" s="15">
        <v>393932.9836</v>
      </c>
      <c r="J104" s="18"/>
      <c r="K104" s="18">
        <v>3</v>
      </c>
      <c r="L104" s="18"/>
    </row>
    <row x14ac:dyDescent="0.25" r="105" customHeight="1" ht="33">
      <c r="A105" s="14" t="s">
        <v>29</v>
      </c>
      <c r="B105" s="15"/>
      <c r="C105" s="16">
        <v>0</v>
      </c>
      <c r="D105" s="15"/>
      <c r="E105" s="16">
        <v>0</v>
      </c>
      <c r="F105" s="17"/>
      <c r="G105" s="16">
        <v>0</v>
      </c>
      <c r="H105" s="15"/>
      <c r="I105" s="15"/>
      <c r="J105" s="18"/>
      <c r="K105" s="18"/>
      <c r="L105" s="18"/>
    </row>
    <row x14ac:dyDescent="0.25" r="106" customHeight="1" ht="18.75">
      <c r="A106" s="14" t="s">
        <v>30</v>
      </c>
      <c r="B106" s="15">
        <v>5515.768</v>
      </c>
      <c r="C106" s="19">
        <v>0</v>
      </c>
      <c r="D106" s="15">
        <v>0</v>
      </c>
      <c r="E106" s="19">
        <v>0</v>
      </c>
      <c r="F106" s="20"/>
      <c r="G106" s="19">
        <v>0</v>
      </c>
      <c r="H106" s="15">
        <v>5019.0072</v>
      </c>
      <c r="I106" s="15">
        <v>11031.536</v>
      </c>
      <c r="J106" s="18"/>
      <c r="K106" s="18"/>
      <c r="L106" s="18"/>
    </row>
    <row x14ac:dyDescent="0.25" r="107" customHeight="1" ht="18.75">
      <c r="A107" s="14" t="s">
        <v>31</v>
      </c>
      <c r="B107" s="15">
        <v>2624.3236</v>
      </c>
      <c r="C107" s="19">
        <v>0</v>
      </c>
      <c r="D107" s="15">
        <v>0</v>
      </c>
      <c r="E107" s="19">
        <v>0</v>
      </c>
      <c r="F107" s="20"/>
      <c r="G107" s="19">
        <v>0</v>
      </c>
      <c r="H107" s="15">
        <v>336622.5024</v>
      </c>
      <c r="I107" s="15">
        <v>5248.6472</v>
      </c>
      <c r="J107" s="18">
        <v>1</v>
      </c>
      <c r="K107" s="18">
        <v>17</v>
      </c>
      <c r="L107" s="18">
        <v>1</v>
      </c>
    </row>
    <row x14ac:dyDescent="0.25" r="108" customHeight="1" ht="18.75">
      <c r="A108" s="14" t="s">
        <v>32</v>
      </c>
      <c r="B108" s="15"/>
      <c r="C108" s="19">
        <v>0</v>
      </c>
      <c r="D108" s="15"/>
      <c r="E108" s="19">
        <v>0</v>
      </c>
      <c r="F108" s="20"/>
      <c r="G108" s="19">
        <v>0</v>
      </c>
      <c r="H108" s="15"/>
      <c r="I108" s="15"/>
      <c r="J108" s="18"/>
      <c r="K108" s="18"/>
      <c r="L108" s="18"/>
    </row>
    <row x14ac:dyDescent="0.25" r="109" customHeight="1" ht="18.75">
      <c r="A109" s="14" t="s">
        <v>33</v>
      </c>
      <c r="B109" s="15"/>
      <c r="C109" s="19">
        <v>0</v>
      </c>
      <c r="D109" s="15"/>
      <c r="E109" s="19">
        <v>0</v>
      </c>
      <c r="F109" s="20"/>
      <c r="G109" s="19">
        <v>0</v>
      </c>
      <c r="H109" s="15"/>
      <c r="I109" s="15"/>
      <c r="J109" s="18"/>
      <c r="K109" s="20"/>
      <c r="L109" s="18"/>
    </row>
    <row x14ac:dyDescent="0.25" r="110" customHeight="1" ht="18.75">
      <c r="A110" s="14" t="s">
        <v>34</v>
      </c>
      <c r="B110" s="15"/>
      <c r="C110" s="19">
        <v>0</v>
      </c>
      <c r="D110" s="15"/>
      <c r="E110" s="19">
        <v>0</v>
      </c>
      <c r="F110" s="20"/>
      <c r="G110" s="19">
        <v>0</v>
      </c>
      <c r="H110" s="21"/>
      <c r="I110" s="15"/>
      <c r="J110" s="18"/>
      <c r="K110" s="20"/>
      <c r="L110" s="18"/>
    </row>
    <row x14ac:dyDescent="0.25" r="111" customHeight="1" ht="18.75">
      <c r="A111" s="22"/>
      <c r="B111" s="2"/>
      <c r="C111" s="3"/>
      <c r="D111" s="2"/>
      <c r="E111" s="3"/>
      <c r="F111" s="4"/>
      <c r="G111" s="3"/>
      <c r="H111" s="2"/>
      <c r="I111" s="2"/>
      <c r="J111" s="4"/>
      <c r="K111" s="4"/>
      <c r="L111" s="4"/>
    </row>
    <row x14ac:dyDescent="0.25" r="112" customHeight="1" ht="18.75">
      <c r="A112" s="6">
        <v>45200</v>
      </c>
      <c r="B112" s="2"/>
      <c r="C112" s="3"/>
      <c r="D112" s="2"/>
      <c r="E112" s="3"/>
      <c r="F112" s="4"/>
      <c r="G112" s="3"/>
      <c r="H112" s="2"/>
      <c r="I112" s="2"/>
      <c r="J112" s="4"/>
      <c r="K112" s="4"/>
      <c r="L112" s="4"/>
    </row>
    <row x14ac:dyDescent="0.25" r="113" customHeight="1" ht="33">
      <c r="A113" s="10" t="s">
        <v>14</v>
      </c>
      <c r="B113" s="11" t="s">
        <v>15</v>
      </c>
      <c r="C113" s="12" t="s">
        <v>16</v>
      </c>
      <c r="D113" s="11" t="s">
        <v>17</v>
      </c>
      <c r="E113" s="12" t="s">
        <v>18</v>
      </c>
      <c r="F113" s="13" t="s">
        <v>19</v>
      </c>
      <c r="G113" s="12" t="s">
        <v>20</v>
      </c>
      <c r="H113" s="11" t="s">
        <v>21</v>
      </c>
      <c r="I113" s="11" t="s">
        <v>22</v>
      </c>
      <c r="J113" s="13" t="s">
        <v>23</v>
      </c>
      <c r="K113" s="24" t="s">
        <v>24</v>
      </c>
      <c r="L113" s="13" t="s">
        <v>25</v>
      </c>
    </row>
    <row x14ac:dyDescent="0.25" r="114" customHeight="1" ht="33">
      <c r="A114" s="14" t="s">
        <v>26</v>
      </c>
      <c r="B114" s="15"/>
      <c r="C114" s="16">
        <v>0</v>
      </c>
      <c r="D114" s="15"/>
      <c r="E114" s="16">
        <v>0</v>
      </c>
      <c r="F114" s="17"/>
      <c r="G114" s="16">
        <v>0</v>
      </c>
      <c r="H114" s="15"/>
      <c r="I114" s="15"/>
      <c r="J114" s="17"/>
      <c r="K114" s="18"/>
      <c r="L114" s="17"/>
    </row>
    <row x14ac:dyDescent="0.25" r="115" customHeight="1" ht="33">
      <c r="A115" s="14" t="s">
        <v>27</v>
      </c>
      <c r="B115" s="15"/>
      <c r="C115" s="16">
        <v>0</v>
      </c>
      <c r="D115" s="15"/>
      <c r="E115" s="16">
        <v>0</v>
      </c>
      <c r="F115" s="17"/>
      <c r="G115" s="16">
        <v>0</v>
      </c>
      <c r="H115" s="15"/>
      <c r="I115" s="15"/>
      <c r="J115" s="18"/>
      <c r="K115" s="18"/>
      <c r="L115" s="18"/>
    </row>
    <row x14ac:dyDescent="0.25" r="116" customHeight="1" ht="33">
      <c r="A116" s="14" t="s">
        <v>28</v>
      </c>
      <c r="B116" s="15">
        <v>39206.82697181572</v>
      </c>
      <c r="C116" s="16">
        <v>0</v>
      </c>
      <c r="D116" s="15">
        <v>132810.63685636854</v>
      </c>
      <c r="E116" s="16">
        <v>0</v>
      </c>
      <c r="F116" s="17"/>
      <c r="G116" s="16">
        <v>0</v>
      </c>
      <c r="H116" s="15">
        <v>53059.1724</v>
      </c>
      <c r="I116" s="15">
        <v>211224.2908</v>
      </c>
      <c r="J116" s="18"/>
      <c r="K116" s="18">
        <v>3</v>
      </c>
      <c r="L116" s="18"/>
    </row>
    <row x14ac:dyDescent="0.25" r="117" customHeight="1" ht="33">
      <c r="A117" s="14" t="s">
        <v>29</v>
      </c>
      <c r="B117" s="15"/>
      <c r="C117" s="16">
        <v>0</v>
      </c>
      <c r="D117" s="15"/>
      <c r="E117" s="16">
        <v>0</v>
      </c>
      <c r="F117" s="17"/>
      <c r="G117" s="16">
        <v>0</v>
      </c>
      <c r="H117" s="15"/>
      <c r="I117" s="15"/>
      <c r="J117" s="18"/>
      <c r="K117" s="18"/>
      <c r="L117" s="18"/>
    </row>
    <row x14ac:dyDescent="0.25" r="118" customHeight="1" ht="18.75">
      <c r="A118" s="14" t="s">
        <v>30</v>
      </c>
      <c r="B118" s="15"/>
      <c r="C118" s="19">
        <v>0</v>
      </c>
      <c r="D118" s="15"/>
      <c r="E118" s="19">
        <v>0</v>
      </c>
      <c r="F118" s="20"/>
      <c r="G118" s="19">
        <v>0</v>
      </c>
      <c r="H118" s="15"/>
      <c r="I118" s="15"/>
      <c r="J118" s="18"/>
      <c r="K118" s="18">
        <v>1</v>
      </c>
      <c r="L118" s="18"/>
    </row>
    <row x14ac:dyDescent="0.25" r="119" customHeight="1" ht="18.75">
      <c r="A119" s="14" t="s">
        <v>31</v>
      </c>
      <c r="B119" s="15">
        <v>30369.04525528455</v>
      </c>
      <c r="C119" s="19">
        <v>0</v>
      </c>
      <c r="D119" s="15">
        <v>9709.025089430894</v>
      </c>
      <c r="E119" s="19">
        <v>0</v>
      </c>
      <c r="F119" s="20"/>
      <c r="G119" s="19">
        <v>0</v>
      </c>
      <c r="H119" s="15">
        <v>246158.94439999998</v>
      </c>
      <c r="I119" s="15">
        <v>70447.1156</v>
      </c>
      <c r="J119" s="18">
        <v>1</v>
      </c>
      <c r="K119" s="18">
        <v>29</v>
      </c>
      <c r="L119" s="18"/>
    </row>
    <row x14ac:dyDescent="0.25" r="120" customHeight="1" ht="18.75">
      <c r="A120" s="14" t="s">
        <v>32</v>
      </c>
      <c r="B120" s="15"/>
      <c r="C120" s="19">
        <v>0</v>
      </c>
      <c r="D120" s="15"/>
      <c r="E120" s="19">
        <v>0</v>
      </c>
      <c r="F120" s="20"/>
      <c r="G120" s="19">
        <v>0</v>
      </c>
      <c r="H120" s="15"/>
      <c r="I120" s="15"/>
      <c r="J120" s="18"/>
      <c r="K120" s="18"/>
      <c r="L120" s="18"/>
    </row>
    <row x14ac:dyDescent="0.25" r="121" customHeight="1" ht="18.75">
      <c r="A121" s="14" t="s">
        <v>33</v>
      </c>
      <c r="B121" s="15"/>
      <c r="C121" s="19">
        <v>0</v>
      </c>
      <c r="D121" s="15"/>
      <c r="E121" s="19">
        <v>0</v>
      </c>
      <c r="F121" s="20"/>
      <c r="G121" s="19">
        <v>0</v>
      </c>
      <c r="H121" s="15"/>
      <c r="I121" s="15"/>
      <c r="J121" s="18"/>
      <c r="K121" s="18"/>
      <c r="L121" s="18"/>
    </row>
    <row x14ac:dyDescent="0.25" r="122" customHeight="1" ht="18.75">
      <c r="A122" s="14" t="s">
        <v>34</v>
      </c>
      <c r="B122" s="21"/>
      <c r="C122" s="19">
        <v>0</v>
      </c>
      <c r="D122" s="15"/>
      <c r="E122" s="19">
        <v>0</v>
      </c>
      <c r="F122" s="20"/>
      <c r="G122" s="19">
        <v>0</v>
      </c>
      <c r="H122" s="15"/>
      <c r="I122" s="15"/>
      <c r="J122" s="18"/>
      <c r="K122" s="18"/>
      <c r="L122" s="20"/>
    </row>
    <row x14ac:dyDescent="0.25" r="123" customHeight="1" ht="18.75">
      <c r="A123" s="22"/>
      <c r="B123" s="2"/>
      <c r="C123" s="3"/>
      <c r="D123" s="2"/>
      <c r="E123" s="3"/>
      <c r="F123" s="4"/>
      <c r="G123" s="3"/>
      <c r="H123" s="2"/>
      <c r="I123" s="2"/>
      <c r="J123" s="4"/>
      <c r="K123" s="4"/>
      <c r="L123" s="4"/>
    </row>
    <row x14ac:dyDescent="0.25" r="124" customHeight="1" ht="18.75">
      <c r="A124" s="6">
        <v>45231</v>
      </c>
      <c r="B124" s="2"/>
      <c r="C124" s="3"/>
      <c r="D124" s="2"/>
      <c r="E124" s="3"/>
      <c r="F124" s="4"/>
      <c r="G124" s="3"/>
      <c r="H124" s="2"/>
      <c r="I124" s="2"/>
      <c r="J124" s="4"/>
      <c r="K124" s="4"/>
      <c r="L124" s="4"/>
    </row>
    <row x14ac:dyDescent="0.25" r="125" customHeight="1" ht="33">
      <c r="A125" s="10" t="s">
        <v>14</v>
      </c>
      <c r="B125" s="11" t="s">
        <v>15</v>
      </c>
      <c r="C125" s="12" t="s">
        <v>16</v>
      </c>
      <c r="D125" s="11" t="s">
        <v>17</v>
      </c>
      <c r="E125" s="12" t="s">
        <v>18</v>
      </c>
      <c r="F125" s="13" t="s">
        <v>19</v>
      </c>
      <c r="G125" s="12" t="s">
        <v>20</v>
      </c>
      <c r="H125" s="11" t="s">
        <v>21</v>
      </c>
      <c r="I125" s="11" t="s">
        <v>22</v>
      </c>
      <c r="J125" s="13" t="s">
        <v>23</v>
      </c>
      <c r="K125" s="24" t="s">
        <v>24</v>
      </c>
      <c r="L125" s="13" t="s">
        <v>25</v>
      </c>
    </row>
    <row x14ac:dyDescent="0.25" r="126" customHeight="1" ht="33">
      <c r="A126" s="14" t="s">
        <v>26</v>
      </c>
      <c r="B126" s="15">
        <v>20134.09972195122</v>
      </c>
      <c r="C126" s="16">
        <v>0</v>
      </c>
      <c r="D126" s="15">
        <v>54511.60975609756</v>
      </c>
      <c r="E126" s="16">
        <v>0</v>
      </c>
      <c r="F126" s="17"/>
      <c r="G126" s="16">
        <v>0</v>
      </c>
      <c r="H126" s="15">
        <v>4779.7792</v>
      </c>
      <c r="I126" s="15">
        <v>94779.8092</v>
      </c>
      <c r="J126" s="18"/>
      <c r="K126" s="18"/>
      <c r="L126" s="18"/>
    </row>
    <row x14ac:dyDescent="0.25" r="127" customHeight="1" ht="33">
      <c r="A127" s="14" t="s">
        <v>27</v>
      </c>
      <c r="B127" s="15"/>
      <c r="C127" s="16">
        <v>0</v>
      </c>
      <c r="D127" s="15"/>
      <c r="E127" s="16">
        <v>0</v>
      </c>
      <c r="F127" s="17"/>
      <c r="G127" s="16">
        <v>0</v>
      </c>
      <c r="H127" s="15"/>
      <c r="I127" s="15"/>
      <c r="J127" s="18"/>
      <c r="K127" s="18"/>
      <c r="L127" s="18"/>
    </row>
    <row x14ac:dyDescent="0.25" r="128" customHeight="1" ht="33">
      <c r="A128" s="14" t="s">
        <v>28</v>
      </c>
      <c r="B128" s="15">
        <v>65806.38676747968</v>
      </c>
      <c r="C128" s="16">
        <v>0</v>
      </c>
      <c r="D128" s="15">
        <v>46198.31606504065</v>
      </c>
      <c r="E128" s="16">
        <v>0</v>
      </c>
      <c r="F128" s="17"/>
      <c r="G128" s="16">
        <v>0</v>
      </c>
      <c r="H128" s="15">
        <v>14699.5808</v>
      </c>
      <c r="I128" s="15">
        <v>177811.0896</v>
      </c>
      <c r="J128" s="18"/>
      <c r="K128" s="18">
        <v>1</v>
      </c>
      <c r="L128" s="18"/>
    </row>
    <row x14ac:dyDescent="0.25" r="129" customHeight="1" ht="33">
      <c r="A129" s="14" t="s">
        <v>29</v>
      </c>
      <c r="B129" s="15"/>
      <c r="C129" s="16">
        <v>0</v>
      </c>
      <c r="D129" s="15"/>
      <c r="E129" s="16">
        <v>0</v>
      </c>
      <c r="F129" s="17"/>
      <c r="G129" s="16">
        <v>0</v>
      </c>
      <c r="H129" s="15"/>
      <c r="I129" s="15"/>
      <c r="J129" s="18"/>
      <c r="K129" s="18"/>
      <c r="L129" s="18"/>
    </row>
    <row x14ac:dyDescent="0.25" r="130" customHeight="1" ht="18.75">
      <c r="A130" s="14" t="s">
        <v>30</v>
      </c>
      <c r="B130" s="15">
        <v>0</v>
      </c>
      <c r="C130" s="19">
        <v>0</v>
      </c>
      <c r="D130" s="15">
        <v>25235.3268</v>
      </c>
      <c r="E130" s="19">
        <v>0</v>
      </c>
      <c r="F130" s="20"/>
      <c r="G130" s="19">
        <v>0</v>
      </c>
      <c r="H130" s="15">
        <v>2056.9624</v>
      </c>
      <c r="I130" s="15">
        <v>25235.3268</v>
      </c>
      <c r="J130" s="18"/>
      <c r="K130" s="18">
        <v>1</v>
      </c>
      <c r="L130" s="18"/>
    </row>
    <row x14ac:dyDescent="0.25" r="131" customHeight="1" ht="18.75">
      <c r="A131" s="14" t="s">
        <v>31</v>
      </c>
      <c r="B131" s="15">
        <v>28839.603799999997</v>
      </c>
      <c r="C131" s="19">
        <v>0</v>
      </c>
      <c r="D131" s="15">
        <v>44667.9124</v>
      </c>
      <c r="E131" s="19">
        <v>0</v>
      </c>
      <c r="F131" s="20"/>
      <c r="G131" s="19">
        <v>0</v>
      </c>
      <c r="H131" s="15">
        <v>167097.5484</v>
      </c>
      <c r="I131" s="15">
        <v>102347.12</v>
      </c>
      <c r="J131" s="18">
        <v>1</v>
      </c>
      <c r="K131" s="18">
        <v>21</v>
      </c>
      <c r="L131" s="18">
        <v>1</v>
      </c>
    </row>
    <row x14ac:dyDescent="0.25" r="132" customHeight="1" ht="18.75">
      <c r="A132" s="14" t="s">
        <v>32</v>
      </c>
      <c r="B132" s="15"/>
      <c r="C132" s="19">
        <v>0</v>
      </c>
      <c r="D132" s="15"/>
      <c r="E132" s="19">
        <v>0</v>
      </c>
      <c r="F132" s="20"/>
      <c r="G132" s="19">
        <v>0</v>
      </c>
      <c r="H132" s="15"/>
      <c r="I132" s="15"/>
      <c r="J132" s="18"/>
      <c r="K132" s="18"/>
      <c r="L132" s="18"/>
    </row>
    <row x14ac:dyDescent="0.25" r="133" customHeight="1" ht="18.75">
      <c r="A133" s="14" t="s">
        <v>33</v>
      </c>
      <c r="B133" s="15"/>
      <c r="C133" s="19">
        <v>0</v>
      </c>
      <c r="D133" s="15"/>
      <c r="E133" s="19">
        <v>0</v>
      </c>
      <c r="F133" s="20"/>
      <c r="G133" s="19">
        <v>0</v>
      </c>
      <c r="H133" s="15"/>
      <c r="I133" s="15"/>
      <c r="J133" s="18"/>
      <c r="K133" s="20"/>
      <c r="L133" s="18"/>
    </row>
    <row x14ac:dyDescent="0.25" r="134" customHeight="1" ht="18.75">
      <c r="A134" s="14" t="s">
        <v>34</v>
      </c>
      <c r="B134" s="15"/>
      <c r="C134" s="19">
        <v>0</v>
      </c>
      <c r="D134" s="15"/>
      <c r="E134" s="19">
        <v>0</v>
      </c>
      <c r="F134" s="20"/>
      <c r="G134" s="19">
        <v>0</v>
      </c>
      <c r="H134" s="15"/>
      <c r="I134" s="15"/>
      <c r="J134" s="18"/>
      <c r="K134" s="20"/>
      <c r="L134" s="20"/>
    </row>
    <row x14ac:dyDescent="0.25" r="135" customHeight="1" ht="18.75">
      <c r="A135" s="22"/>
      <c r="B135" s="2"/>
      <c r="C135" s="3"/>
      <c r="D135" s="2"/>
      <c r="E135" s="3"/>
      <c r="F135" s="4"/>
      <c r="G135" s="3"/>
      <c r="H135" s="2"/>
      <c r="I135" s="2"/>
      <c r="J135" s="4"/>
      <c r="K135" s="4"/>
      <c r="L135" s="4"/>
    </row>
    <row x14ac:dyDescent="0.25" r="136" customHeight="1" ht="18.75">
      <c r="A136" s="6">
        <v>45261</v>
      </c>
      <c r="B136" s="2"/>
      <c r="C136" s="3"/>
      <c r="D136" s="2"/>
      <c r="E136" s="3"/>
      <c r="F136" s="4"/>
      <c r="G136" s="3"/>
      <c r="H136" s="2"/>
      <c r="I136" s="2"/>
      <c r="J136" s="4"/>
      <c r="K136" s="4"/>
      <c r="L136" s="4"/>
    </row>
    <row x14ac:dyDescent="0.25" r="137" customHeight="1" ht="33">
      <c r="A137" s="10" t="s">
        <v>14</v>
      </c>
      <c r="B137" s="11" t="s">
        <v>15</v>
      </c>
      <c r="C137" s="12" t="s">
        <v>16</v>
      </c>
      <c r="D137" s="11" t="s">
        <v>17</v>
      </c>
      <c r="E137" s="12" t="s">
        <v>18</v>
      </c>
      <c r="F137" s="13" t="s">
        <v>19</v>
      </c>
      <c r="G137" s="12" t="s">
        <v>20</v>
      </c>
      <c r="H137" s="11" t="s">
        <v>21</v>
      </c>
      <c r="I137" s="11" t="s">
        <v>22</v>
      </c>
      <c r="J137" s="13" t="s">
        <v>23</v>
      </c>
      <c r="K137" s="24" t="s">
        <v>24</v>
      </c>
      <c r="L137" s="13" t="s">
        <v>25</v>
      </c>
    </row>
    <row x14ac:dyDescent="0.25" r="138" customHeight="1" ht="33">
      <c r="A138" s="14" t="s">
        <v>26</v>
      </c>
      <c r="B138" s="15"/>
      <c r="C138" s="16">
        <v>0</v>
      </c>
      <c r="D138" s="15"/>
      <c r="E138" s="16">
        <v>0</v>
      </c>
      <c r="F138" s="17"/>
      <c r="G138" s="16">
        <v>0</v>
      </c>
      <c r="H138" s="15"/>
      <c r="I138" s="15"/>
      <c r="J138" s="18"/>
      <c r="K138" s="18"/>
      <c r="L138" s="17"/>
    </row>
    <row x14ac:dyDescent="0.25" r="139" customHeight="1" ht="33">
      <c r="A139" s="14" t="s">
        <v>27</v>
      </c>
      <c r="B139" s="15"/>
      <c r="C139" s="16">
        <v>0</v>
      </c>
      <c r="D139" s="15"/>
      <c r="E139" s="16">
        <v>0</v>
      </c>
      <c r="F139" s="17"/>
      <c r="G139" s="16">
        <v>0</v>
      </c>
      <c r="H139" s="15"/>
      <c r="I139" s="15"/>
      <c r="J139" s="18"/>
      <c r="K139" s="18"/>
      <c r="L139" s="17"/>
    </row>
    <row x14ac:dyDescent="0.25" r="140" customHeight="1" ht="33">
      <c r="A140" s="14" t="s">
        <v>28</v>
      </c>
      <c r="B140" s="15">
        <v>9877.749016260163</v>
      </c>
      <c r="C140" s="16">
        <v>0</v>
      </c>
      <c r="D140" s="15">
        <v>712.7479674796747</v>
      </c>
      <c r="E140" s="16">
        <v>0</v>
      </c>
      <c r="F140" s="17"/>
      <c r="G140" s="16">
        <v>0</v>
      </c>
      <c r="H140" s="15">
        <v>13862.18</v>
      </c>
      <c r="I140" s="15">
        <v>20468.246</v>
      </c>
      <c r="J140" s="18">
        <v>1</v>
      </c>
      <c r="K140" s="18">
        <v>2</v>
      </c>
      <c r="L140" s="18"/>
    </row>
    <row x14ac:dyDescent="0.25" r="141" customHeight="1" ht="33">
      <c r="A141" s="14" t="s">
        <v>29</v>
      </c>
      <c r="B141" s="15"/>
      <c r="C141" s="16">
        <v>0</v>
      </c>
      <c r="D141" s="15"/>
      <c r="E141" s="16">
        <v>0</v>
      </c>
      <c r="F141" s="17"/>
      <c r="G141" s="16">
        <v>0</v>
      </c>
      <c r="H141" s="15"/>
      <c r="I141" s="15"/>
      <c r="J141" s="18"/>
      <c r="K141" s="18"/>
      <c r="L141" s="18"/>
    </row>
    <row x14ac:dyDescent="0.25" r="142" customHeight="1" ht="18.75">
      <c r="A142" s="14" t="s">
        <v>30</v>
      </c>
      <c r="B142" s="15"/>
      <c r="C142" s="19">
        <v>0</v>
      </c>
      <c r="D142" s="15"/>
      <c r="E142" s="19">
        <v>0</v>
      </c>
      <c r="F142" s="20"/>
      <c r="G142" s="19">
        <v>0</v>
      </c>
      <c r="H142" s="15"/>
      <c r="I142" s="15"/>
      <c r="J142" s="18"/>
      <c r="K142" s="18"/>
      <c r="L142" s="18"/>
    </row>
    <row x14ac:dyDescent="0.25" r="143" customHeight="1" ht="18.75">
      <c r="A143" s="14" t="s">
        <v>31</v>
      </c>
      <c r="B143" s="15">
        <v>0</v>
      </c>
      <c r="C143" s="19">
        <v>0</v>
      </c>
      <c r="D143" s="15">
        <v>0</v>
      </c>
      <c r="E143" s="19">
        <v>0</v>
      </c>
      <c r="F143" s="20"/>
      <c r="G143" s="19">
        <v>0</v>
      </c>
      <c r="H143" s="15">
        <v>134923.062</v>
      </c>
      <c r="I143" s="15">
        <v>0</v>
      </c>
      <c r="J143" s="18">
        <v>1</v>
      </c>
      <c r="K143" s="18">
        <v>17</v>
      </c>
      <c r="L143" s="18">
        <v>1</v>
      </c>
    </row>
    <row x14ac:dyDescent="0.25" r="144" customHeight="1" ht="18.75">
      <c r="A144" s="14" t="s">
        <v>32</v>
      </c>
      <c r="B144" s="15"/>
      <c r="C144" s="19">
        <v>0</v>
      </c>
      <c r="D144" s="15"/>
      <c r="E144" s="19">
        <v>0</v>
      </c>
      <c r="F144" s="20"/>
      <c r="G144" s="19">
        <v>0</v>
      </c>
      <c r="H144" s="15"/>
      <c r="I144" s="15"/>
      <c r="J144" s="18"/>
      <c r="K144" s="18"/>
      <c r="L144" s="18"/>
    </row>
    <row x14ac:dyDescent="0.25" r="145" customHeight="1" ht="18.75">
      <c r="A145" s="14" t="s">
        <v>33</v>
      </c>
      <c r="B145" s="15"/>
      <c r="C145" s="19">
        <v>0</v>
      </c>
      <c r="D145" s="15"/>
      <c r="E145" s="19">
        <v>0</v>
      </c>
      <c r="F145" s="20"/>
      <c r="G145" s="19">
        <v>0</v>
      </c>
      <c r="H145" s="15"/>
      <c r="I145" s="15"/>
      <c r="J145" s="18"/>
      <c r="K145" s="18"/>
      <c r="L145" s="18"/>
    </row>
    <row x14ac:dyDescent="0.25" r="146" customHeight="1" ht="18.75">
      <c r="A146" s="14" t="s">
        <v>34</v>
      </c>
      <c r="B146" s="21"/>
      <c r="C146" s="19">
        <v>0</v>
      </c>
      <c r="D146" s="15"/>
      <c r="E146" s="19">
        <v>0</v>
      </c>
      <c r="F146" s="20"/>
      <c r="G146" s="19">
        <v>0</v>
      </c>
      <c r="H146" s="21"/>
      <c r="I146" s="21"/>
      <c r="J146" s="18"/>
      <c r="K146" s="20"/>
      <c r="L146"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46"/>
  <sheetViews>
    <sheetView workbookViewId="0">
      <pane state="frozen" activePane="bottomLeft" topLeftCell="A6" ySplit="5" xSplit="0"/>
    </sheetView>
  </sheetViews>
  <sheetFormatPr defaultRowHeight="15" x14ac:dyDescent="0.25"/>
  <cols>
    <col min="1" max="1" style="27" width="20.576428571428572" customWidth="1" bestFit="1"/>
    <col min="2" max="2" style="28" width="37.57642857142857" customWidth="1" bestFit="1"/>
    <col min="3" max="3" style="29" width="36.005" customWidth="1" bestFit="1"/>
    <col min="4" max="4" style="28" width="13.576428571428572" customWidth="1" bestFit="1"/>
    <col min="5" max="5" style="29" width="13.576428571428572" customWidth="1" bestFit="1"/>
    <col min="6" max="6" style="30" width="13.576428571428572" customWidth="1" bestFit="1"/>
    <col min="7" max="7" style="29" width="13.576428571428572" customWidth="1" bestFit="1"/>
    <col min="8" max="8" style="28" width="13.576428571428572" customWidth="1" bestFit="1"/>
    <col min="9" max="9" style="28" width="13.576428571428572" customWidth="1" bestFit="1"/>
    <col min="10" max="10" style="30" width="13.576428571428572" customWidth="1" bestFit="1"/>
    <col min="11" max="11" style="30" width="13.576428571428572" customWidth="1" bestFit="1"/>
    <col min="12" max="12" style="30" width="13.576428571428572" customWidth="1" bestFit="1"/>
  </cols>
  <sheetData>
    <row x14ac:dyDescent="0.25" r="1" customHeight="1" ht="18.75">
      <c r="A1" s="1" t="s">
        <v>0</v>
      </c>
      <c r="B1" s="2"/>
      <c r="C1" s="3"/>
      <c r="D1" s="2"/>
      <c r="E1" s="3"/>
      <c r="F1" s="4"/>
      <c r="G1" s="3"/>
      <c r="H1" s="2"/>
      <c r="I1" s="2"/>
      <c r="J1" s="4"/>
      <c r="K1" s="4"/>
      <c r="L1" s="4"/>
    </row>
    <row x14ac:dyDescent="0.25" r="2" customHeight="1" ht="18.75">
      <c r="A2" s="1" t="s">
        <v>1</v>
      </c>
      <c r="B2" s="2"/>
      <c r="C2" s="3"/>
      <c r="D2" s="2"/>
      <c r="E2" s="5"/>
      <c r="F2" s="4"/>
      <c r="G2" s="3"/>
      <c r="H2" s="2"/>
      <c r="I2" s="2"/>
      <c r="J2" s="4"/>
      <c r="K2" s="4"/>
      <c r="L2" s="4"/>
    </row>
    <row x14ac:dyDescent="0.25" r="3" customHeight="1" ht="18.75">
      <c r="A3" s="1" t="s">
        <v>2</v>
      </c>
      <c r="B3" s="2"/>
      <c r="C3" s="3"/>
      <c r="D3" s="2"/>
      <c r="E3" s="3"/>
      <c r="F3" s="4"/>
      <c r="G3" s="3"/>
      <c r="H3" s="2"/>
      <c r="I3" s="2"/>
      <c r="J3" s="4"/>
      <c r="K3" s="4"/>
      <c r="L3" s="4"/>
    </row>
    <row x14ac:dyDescent="0.25" r="4" customHeight="1" ht="18.75">
      <c r="A4" s="6">
        <v>44927</v>
      </c>
      <c r="B4" s="7" t="s">
        <v>3</v>
      </c>
      <c r="C4" s="8" t="s">
        <v>4</v>
      </c>
      <c r="D4" s="7" t="s">
        <v>5</v>
      </c>
      <c r="E4" s="8" t="s">
        <v>6</v>
      </c>
      <c r="F4" s="9" t="s">
        <v>7</v>
      </c>
      <c r="G4" s="8" t="s">
        <v>8</v>
      </c>
      <c r="H4" s="7" t="s">
        <v>9</v>
      </c>
      <c r="I4" s="7" t="s">
        <v>10</v>
      </c>
      <c r="J4" s="9" t="s">
        <v>11</v>
      </c>
      <c r="K4" s="9" t="s">
        <v>12</v>
      </c>
      <c r="L4" s="9" t="s">
        <v>13</v>
      </c>
    </row>
    <row x14ac:dyDescent="0.25" r="5" customHeight="1" ht="33">
      <c r="A5" s="10" t="s">
        <v>14</v>
      </c>
      <c r="B5" s="11" t="s">
        <v>15</v>
      </c>
      <c r="C5" s="12" t="s">
        <v>16</v>
      </c>
      <c r="D5" s="11" t="s">
        <v>17</v>
      </c>
      <c r="E5" s="12" t="s">
        <v>18</v>
      </c>
      <c r="F5" s="13" t="s">
        <v>19</v>
      </c>
      <c r="G5" s="12" t="s">
        <v>20</v>
      </c>
      <c r="H5" s="11" t="s">
        <v>21</v>
      </c>
      <c r="I5" s="11" t="s">
        <v>22</v>
      </c>
      <c r="J5" s="13" t="s">
        <v>23</v>
      </c>
      <c r="K5" s="13" t="s">
        <v>24</v>
      </c>
      <c r="L5" s="13" t="s">
        <v>25</v>
      </c>
    </row>
    <row x14ac:dyDescent="0.25" r="6" customHeight="1" ht="33">
      <c r="A6" s="14" t="s">
        <v>26</v>
      </c>
      <c r="B6" s="15">
        <v>1698.942801626016</v>
      </c>
      <c r="C6" s="16">
        <v>0</v>
      </c>
      <c r="D6" s="15">
        <v>84530.35319674796</v>
      </c>
      <c r="E6" s="16">
        <v>0</v>
      </c>
      <c r="F6" s="17"/>
      <c r="G6" s="16">
        <v>0</v>
      </c>
      <c r="H6" s="15">
        <v>10127.013200000001</v>
      </c>
      <c r="I6" s="15">
        <v>87928.2388</v>
      </c>
      <c r="J6" s="18">
        <v>5</v>
      </c>
      <c r="K6" s="18">
        <v>2</v>
      </c>
      <c r="L6" s="18">
        <v>3</v>
      </c>
    </row>
    <row x14ac:dyDescent="0.25" r="7" customHeight="1" ht="33">
      <c r="A7" s="14" t="s">
        <v>27</v>
      </c>
      <c r="B7" s="15">
        <v>62130.89162764229</v>
      </c>
      <c r="C7" s="16">
        <v>0</v>
      </c>
      <c r="D7" s="15">
        <v>738253.8331447154</v>
      </c>
      <c r="E7" s="16">
        <v>0</v>
      </c>
      <c r="F7" s="18">
        <v>2115.22</v>
      </c>
      <c r="G7" s="16">
        <v>0</v>
      </c>
      <c r="H7" s="15">
        <v>25090.684</v>
      </c>
      <c r="I7" s="15">
        <v>862515.6164000003</v>
      </c>
      <c r="J7" s="18">
        <v>6</v>
      </c>
      <c r="K7" s="18">
        <v>9</v>
      </c>
      <c r="L7" s="18">
        <v>3</v>
      </c>
    </row>
    <row x14ac:dyDescent="0.25" r="8" customHeight="1" ht="33">
      <c r="A8" s="14" t="s">
        <v>28</v>
      </c>
      <c r="B8" s="15">
        <v>470418.4289577236</v>
      </c>
      <c r="C8" s="16">
        <v>0</v>
      </c>
      <c r="D8" s="15">
        <v>479026.38208455284</v>
      </c>
      <c r="E8" s="16">
        <v>0</v>
      </c>
      <c r="F8" s="18">
        <v>28923.07</v>
      </c>
      <c r="G8" s="16">
        <v>0</v>
      </c>
      <c r="H8" s="15">
        <v>162489.06440000003</v>
      </c>
      <c r="I8" s="15">
        <v>1419863.2400000002</v>
      </c>
      <c r="J8" s="18">
        <v>30</v>
      </c>
      <c r="K8" s="18">
        <v>17</v>
      </c>
      <c r="L8" s="18">
        <v>17</v>
      </c>
    </row>
    <row x14ac:dyDescent="0.25" r="9" customHeight="1" ht="33">
      <c r="A9" s="14" t="s">
        <v>29</v>
      </c>
      <c r="B9" s="15">
        <v>1820.632419512196</v>
      </c>
      <c r="C9" s="16">
        <v>0</v>
      </c>
      <c r="D9" s="15">
        <v>18488.09756097561</v>
      </c>
      <c r="E9" s="16">
        <v>0</v>
      </c>
      <c r="F9" s="18"/>
      <c r="G9" s="16">
        <v>0</v>
      </c>
      <c r="H9" s="15">
        <v>125</v>
      </c>
      <c r="I9" s="15">
        <v>22129.3624</v>
      </c>
      <c r="J9" s="18">
        <v>5</v>
      </c>
      <c r="K9" s="18"/>
      <c r="L9" s="18">
        <v>5</v>
      </c>
    </row>
    <row x14ac:dyDescent="0.25" r="10" customHeight="1" ht="18.75">
      <c r="A10" s="14" t="s">
        <v>30</v>
      </c>
      <c r="B10" s="15">
        <v>126788.1542482385</v>
      </c>
      <c r="C10" s="19">
        <v>0</v>
      </c>
      <c r="D10" s="15">
        <v>56679.763903523024</v>
      </c>
      <c r="E10" s="19">
        <v>0</v>
      </c>
      <c r="F10" s="18">
        <v>782.71</v>
      </c>
      <c r="G10" s="19">
        <v>0</v>
      </c>
      <c r="H10" s="15">
        <v>22809.068</v>
      </c>
      <c r="I10" s="15">
        <v>310256.0724</v>
      </c>
      <c r="J10" s="18">
        <v>3</v>
      </c>
      <c r="K10" s="18">
        <v>7</v>
      </c>
      <c r="L10" s="18">
        <v>2</v>
      </c>
    </row>
    <row x14ac:dyDescent="0.25" r="11" customHeight="1" ht="18.75">
      <c r="A11" s="14" t="s">
        <v>31</v>
      </c>
      <c r="B11" s="15">
        <v>122971.20157181572</v>
      </c>
      <c r="C11" s="19">
        <v>0</v>
      </c>
      <c r="D11" s="15">
        <v>32074.38845636856</v>
      </c>
      <c r="E11" s="19">
        <v>0</v>
      </c>
      <c r="F11" s="18"/>
      <c r="G11" s="19">
        <v>0</v>
      </c>
      <c r="H11" s="15">
        <v>931829.0576000002</v>
      </c>
      <c r="I11" s="15">
        <v>278016.7916</v>
      </c>
      <c r="J11" s="18">
        <v>568</v>
      </c>
      <c r="K11" s="18">
        <v>119</v>
      </c>
      <c r="L11" s="18">
        <v>465</v>
      </c>
    </row>
    <row x14ac:dyDescent="0.25" r="12" customHeight="1" ht="18.75">
      <c r="A12" s="14" t="s">
        <v>32</v>
      </c>
      <c r="B12" s="15"/>
      <c r="C12" s="19">
        <v>0</v>
      </c>
      <c r="D12" s="15"/>
      <c r="E12" s="19">
        <v>0</v>
      </c>
      <c r="F12" s="18"/>
      <c r="G12" s="19">
        <v>0</v>
      </c>
      <c r="H12" s="15">
        <v>10501.6096</v>
      </c>
      <c r="I12" s="15"/>
      <c r="J12" s="18">
        <v>1</v>
      </c>
      <c r="K12" s="20"/>
      <c r="L12" s="18">
        <v>1</v>
      </c>
    </row>
    <row x14ac:dyDescent="0.25" r="13" customHeight="1" ht="18.75">
      <c r="A13" s="14" t="s">
        <v>33</v>
      </c>
      <c r="B13" s="15">
        <v>3265.666016260162</v>
      </c>
      <c r="C13" s="19">
        <v>0</v>
      </c>
      <c r="D13" s="15">
        <v>712.7479674796747</v>
      </c>
      <c r="E13" s="19">
        <v>0</v>
      </c>
      <c r="F13" s="20"/>
      <c r="G13" s="19">
        <v>0</v>
      </c>
      <c r="H13" s="15">
        <v>2615.6268</v>
      </c>
      <c r="I13" s="15">
        <v>7244.08</v>
      </c>
      <c r="J13" s="18">
        <v>15</v>
      </c>
      <c r="K13" s="20"/>
      <c r="L13" s="18">
        <v>5</v>
      </c>
    </row>
    <row x14ac:dyDescent="0.25" r="14" customHeight="1" ht="18.75">
      <c r="A14" s="14" t="s">
        <v>34</v>
      </c>
      <c r="B14" s="21"/>
      <c r="C14" s="19">
        <v>0</v>
      </c>
      <c r="D14" s="15"/>
      <c r="E14" s="19">
        <v>0</v>
      </c>
      <c r="F14" s="20"/>
      <c r="G14" s="19">
        <v>0</v>
      </c>
      <c r="H14" s="21"/>
      <c r="I14" s="21"/>
      <c r="J14" s="18"/>
      <c r="K14" s="20"/>
      <c r="L14" s="20"/>
    </row>
    <row x14ac:dyDescent="0.25" r="15" customHeight="1" ht="18.75">
      <c r="A15" s="22"/>
      <c r="B15" s="2"/>
      <c r="C15" s="3"/>
      <c r="D15" s="2"/>
      <c r="E15" s="3"/>
      <c r="F15" s="4"/>
      <c r="G15" s="3"/>
      <c r="H15" s="2"/>
      <c r="I15" s="2"/>
      <c r="J15" s="4"/>
      <c r="K15" s="4"/>
      <c r="L15" s="4"/>
    </row>
    <row x14ac:dyDescent="0.25" r="16" customHeight="1" ht="18.75">
      <c r="A16" s="23">
        <v>45345</v>
      </c>
      <c r="B16" s="2"/>
      <c r="C16" s="3"/>
      <c r="D16" s="2"/>
      <c r="E16" s="3"/>
      <c r="F16" s="4"/>
      <c r="G16" s="3"/>
      <c r="H16" s="2"/>
      <c r="I16" s="2"/>
      <c r="J16" s="4"/>
      <c r="K16" s="4"/>
      <c r="L16" s="4"/>
    </row>
    <row x14ac:dyDescent="0.25" r="17" customHeight="1" ht="33">
      <c r="A17" s="10" t="s">
        <v>14</v>
      </c>
      <c r="B17" s="11" t="s">
        <v>15</v>
      </c>
      <c r="C17" s="12" t="s">
        <v>16</v>
      </c>
      <c r="D17" s="11" t="s">
        <v>17</v>
      </c>
      <c r="E17" s="12" t="s">
        <v>18</v>
      </c>
      <c r="F17" s="13" t="s">
        <v>19</v>
      </c>
      <c r="G17" s="12" t="s">
        <v>20</v>
      </c>
      <c r="H17" s="11" t="s">
        <v>21</v>
      </c>
      <c r="I17" s="11" t="s">
        <v>22</v>
      </c>
      <c r="J17" s="13" t="s">
        <v>23</v>
      </c>
      <c r="K17" s="24" t="s">
        <v>24</v>
      </c>
      <c r="L17" s="13" t="s">
        <v>25</v>
      </c>
    </row>
    <row x14ac:dyDescent="0.25" r="18" customHeight="1" ht="33">
      <c r="A18" s="14" t="s">
        <v>26</v>
      </c>
      <c r="B18" s="15">
        <v>83953.13939674795</v>
      </c>
      <c r="C18" s="16">
        <v>0</v>
      </c>
      <c r="D18" s="15">
        <v>187424.9840065041</v>
      </c>
      <c r="E18" s="16">
        <v>0</v>
      </c>
      <c r="F18" s="17"/>
      <c r="G18" s="16">
        <v>0</v>
      </c>
      <c r="H18" s="15">
        <v>41764.142000000014</v>
      </c>
      <c r="I18" s="15">
        <v>355331.26279999997</v>
      </c>
      <c r="J18" s="18">
        <v>4</v>
      </c>
      <c r="K18" s="18">
        <v>1</v>
      </c>
      <c r="L18" s="18">
        <v>3</v>
      </c>
    </row>
    <row x14ac:dyDescent="0.25" r="19" customHeight="1" ht="33">
      <c r="A19" s="14" t="s">
        <v>27</v>
      </c>
      <c r="B19" s="15">
        <v>89985.72151924117</v>
      </c>
      <c r="C19" s="16">
        <v>0</v>
      </c>
      <c r="D19" s="15">
        <v>616700.1857615177</v>
      </c>
      <c r="E19" s="16">
        <v>0</v>
      </c>
      <c r="F19" s="18">
        <v>5095.28</v>
      </c>
      <c r="G19" s="16">
        <v>0</v>
      </c>
      <c r="H19" s="15">
        <v>29860.0608</v>
      </c>
      <c r="I19" s="15">
        <v>796671.6288</v>
      </c>
      <c r="J19" s="18">
        <v>9</v>
      </c>
      <c r="K19" s="18">
        <v>27</v>
      </c>
      <c r="L19" s="18">
        <v>4</v>
      </c>
    </row>
    <row x14ac:dyDescent="0.25" r="20" customHeight="1" ht="33">
      <c r="A20" s="14" t="s">
        <v>28</v>
      </c>
      <c r="B20" s="15">
        <v>225490.519901355</v>
      </c>
      <c r="C20" s="16">
        <v>0</v>
      </c>
      <c r="D20" s="15">
        <v>389280.5445972899</v>
      </c>
      <c r="E20" s="16">
        <v>0</v>
      </c>
      <c r="F20" s="18">
        <v>71397.45</v>
      </c>
      <c r="G20" s="16">
        <v>0</v>
      </c>
      <c r="H20" s="15">
        <v>90459.5084</v>
      </c>
      <c r="I20" s="15">
        <v>840261.5843999999</v>
      </c>
      <c r="J20" s="18">
        <v>29</v>
      </c>
      <c r="K20" s="18">
        <v>19</v>
      </c>
      <c r="L20" s="18">
        <v>10</v>
      </c>
    </row>
    <row x14ac:dyDescent="0.25" r="21" customHeight="1" ht="33">
      <c r="A21" s="14" t="s">
        <v>29</v>
      </c>
      <c r="B21" s="15"/>
      <c r="C21" s="16">
        <v>0</v>
      </c>
      <c r="D21" s="15"/>
      <c r="E21" s="16">
        <v>0</v>
      </c>
      <c r="F21" s="18"/>
      <c r="G21" s="16">
        <v>0</v>
      </c>
      <c r="H21" s="15"/>
      <c r="I21" s="15"/>
      <c r="J21" s="18">
        <v>2</v>
      </c>
      <c r="K21" s="18">
        <v>1</v>
      </c>
      <c r="L21" s="18"/>
    </row>
    <row x14ac:dyDescent="0.25" r="22" customHeight="1" ht="18.75">
      <c r="A22" s="14" t="s">
        <v>30</v>
      </c>
      <c r="B22" s="15">
        <v>40541.2048</v>
      </c>
      <c r="C22" s="19">
        <v>0</v>
      </c>
      <c r="D22" s="15">
        <v>191626.7232</v>
      </c>
      <c r="E22" s="19">
        <v>0</v>
      </c>
      <c r="F22" s="18">
        <v>1505.05</v>
      </c>
      <c r="G22" s="19">
        <v>0</v>
      </c>
      <c r="H22" s="15">
        <v>45645.162399999994</v>
      </c>
      <c r="I22" s="15">
        <v>272709.1328</v>
      </c>
      <c r="J22" s="18">
        <v>6</v>
      </c>
      <c r="K22" s="18">
        <v>8</v>
      </c>
      <c r="L22" s="18">
        <v>2</v>
      </c>
    </row>
    <row x14ac:dyDescent="0.25" r="23" customHeight="1" ht="18.75">
      <c r="A23" s="14" t="s">
        <v>31</v>
      </c>
      <c r="B23" s="15">
        <v>89634.61659843619</v>
      </c>
      <c r="C23" s="19">
        <v>0</v>
      </c>
      <c r="D23" s="15">
        <v>67976.04080312763</v>
      </c>
      <c r="E23" s="19">
        <v>0</v>
      </c>
      <c r="F23" s="18"/>
      <c r="G23" s="19">
        <v>0</v>
      </c>
      <c r="H23" s="15">
        <v>945975.9427999995</v>
      </c>
      <c r="I23" s="15">
        <v>247245.274</v>
      </c>
      <c r="J23" s="18">
        <v>576</v>
      </c>
      <c r="K23" s="18">
        <v>205</v>
      </c>
      <c r="L23" s="18">
        <v>509</v>
      </c>
    </row>
    <row x14ac:dyDescent="0.25" r="24" customHeight="1" ht="18.75">
      <c r="A24" s="14" t="s">
        <v>32</v>
      </c>
      <c r="B24" s="15">
        <v>10898.380616260161</v>
      </c>
      <c r="C24" s="19">
        <v>0</v>
      </c>
      <c r="D24" s="15">
        <v>712.7479674796747</v>
      </c>
      <c r="E24" s="19">
        <v>0</v>
      </c>
      <c r="F24" s="18"/>
      <c r="G24" s="19">
        <v>0</v>
      </c>
      <c r="H24" s="15">
        <v>46326.8288</v>
      </c>
      <c r="I24" s="15">
        <v>22509.5092</v>
      </c>
      <c r="J24" s="18">
        <v>2</v>
      </c>
      <c r="K24" s="20"/>
      <c r="L24" s="20"/>
    </row>
    <row x14ac:dyDescent="0.25" r="25" customHeight="1" ht="18.75">
      <c r="A25" s="14" t="s">
        <v>33</v>
      </c>
      <c r="B25" s="15">
        <v>334.2998162601626</v>
      </c>
      <c r="C25" s="19">
        <v>0</v>
      </c>
      <c r="D25" s="15">
        <v>712.7479674796747</v>
      </c>
      <c r="E25" s="19">
        <v>0</v>
      </c>
      <c r="F25" s="20"/>
      <c r="G25" s="19">
        <v>0</v>
      </c>
      <c r="H25" s="15">
        <v>125</v>
      </c>
      <c r="I25" s="15">
        <v>1381.3476</v>
      </c>
      <c r="J25" s="18">
        <v>17</v>
      </c>
      <c r="K25" s="20"/>
      <c r="L25" s="20"/>
    </row>
    <row x14ac:dyDescent="0.25" r="26" customHeight="1" ht="18.75">
      <c r="A26" s="14" t="s">
        <v>34</v>
      </c>
      <c r="B26" s="21"/>
      <c r="C26" s="19">
        <v>0</v>
      </c>
      <c r="D26" s="15"/>
      <c r="E26" s="19">
        <v>0</v>
      </c>
      <c r="F26" s="20"/>
      <c r="G26" s="19">
        <v>0</v>
      </c>
      <c r="H26" s="21"/>
      <c r="I26" s="21"/>
      <c r="J26" s="18"/>
      <c r="K26" s="20"/>
      <c r="L26" s="20"/>
    </row>
    <row x14ac:dyDescent="0.25" r="27" customHeight="1" ht="18.75">
      <c r="A27" s="22"/>
      <c r="B27" s="2"/>
      <c r="C27" s="3"/>
      <c r="D27" s="2"/>
      <c r="E27" s="3"/>
      <c r="F27" s="4"/>
      <c r="G27" s="3"/>
      <c r="H27" s="2"/>
      <c r="I27" s="2"/>
      <c r="J27" s="4"/>
      <c r="K27" s="4"/>
      <c r="L27" s="4"/>
    </row>
    <row x14ac:dyDescent="0.25" r="28" customHeight="1" ht="18.75">
      <c r="A28" s="6">
        <v>44986</v>
      </c>
      <c r="B28" s="2"/>
      <c r="C28" s="3"/>
      <c r="D28" s="2"/>
      <c r="E28" s="3"/>
      <c r="F28" s="4"/>
      <c r="G28" s="3"/>
      <c r="H28" s="2"/>
      <c r="I28" s="2"/>
      <c r="J28" s="4"/>
      <c r="K28" s="4"/>
      <c r="L28" s="4"/>
    </row>
    <row x14ac:dyDescent="0.25" r="29" customHeight="1" ht="33">
      <c r="A29" s="10" t="s">
        <v>14</v>
      </c>
      <c r="B29" s="11" t="s">
        <v>15</v>
      </c>
      <c r="C29" s="12" t="s">
        <v>16</v>
      </c>
      <c r="D29" s="11" t="s">
        <v>17</v>
      </c>
      <c r="E29" s="12" t="s">
        <v>18</v>
      </c>
      <c r="F29" s="13" t="s">
        <v>19</v>
      </c>
      <c r="G29" s="12" t="s">
        <v>20</v>
      </c>
      <c r="H29" s="11" t="s">
        <v>21</v>
      </c>
      <c r="I29" s="11" t="s">
        <v>22</v>
      </c>
      <c r="J29" s="13" t="s">
        <v>23</v>
      </c>
      <c r="K29" s="24" t="s">
        <v>24</v>
      </c>
      <c r="L29" s="13" t="s">
        <v>25</v>
      </c>
    </row>
    <row x14ac:dyDescent="0.25" r="30" customHeight="1" ht="33">
      <c r="A30" s="14" t="s">
        <v>26</v>
      </c>
      <c r="B30" s="15">
        <v>13537.16296910569</v>
      </c>
      <c r="C30" s="16">
        <v>0</v>
      </c>
      <c r="D30" s="15">
        <v>2130.178861788618</v>
      </c>
      <c r="E30" s="16">
        <v>0</v>
      </c>
      <c r="F30" s="17"/>
      <c r="G30" s="16">
        <v>0</v>
      </c>
      <c r="H30" s="15">
        <v>3276.6144</v>
      </c>
      <c r="I30" s="15">
        <v>29204.5048</v>
      </c>
      <c r="J30" s="18">
        <v>5</v>
      </c>
      <c r="K30" s="18">
        <v>2</v>
      </c>
      <c r="L30" s="18">
        <v>2</v>
      </c>
    </row>
    <row x14ac:dyDescent="0.25" r="31" customHeight="1" ht="33">
      <c r="A31" s="14" t="s">
        <v>27</v>
      </c>
      <c r="B31" s="15">
        <v>130402.21872953932</v>
      </c>
      <c r="C31" s="16">
        <v>0</v>
      </c>
      <c r="D31" s="15">
        <v>902373.1233409212</v>
      </c>
      <c r="E31" s="16">
        <v>0</v>
      </c>
      <c r="F31" s="18">
        <v>19070.69</v>
      </c>
      <c r="G31" s="16">
        <v>0</v>
      </c>
      <c r="H31" s="15">
        <v>26675.177600000003</v>
      </c>
      <c r="I31" s="15">
        <v>1163177.5607999996</v>
      </c>
      <c r="J31" s="18">
        <v>10</v>
      </c>
      <c r="K31" s="18">
        <v>13</v>
      </c>
      <c r="L31" s="18">
        <v>5</v>
      </c>
    </row>
    <row x14ac:dyDescent="0.25" r="32" customHeight="1" ht="33">
      <c r="A32" s="14" t="s">
        <v>28</v>
      </c>
      <c r="B32" s="15">
        <v>1197851.8794876533</v>
      </c>
      <c r="C32" s="16">
        <v>0</v>
      </c>
      <c r="D32" s="15">
        <v>1468765.6526246937</v>
      </c>
      <c r="E32" s="16">
        <v>0</v>
      </c>
      <c r="F32" s="18"/>
      <c r="G32" s="16">
        <v>0</v>
      </c>
      <c r="H32" s="15">
        <v>260941.1536</v>
      </c>
      <c r="I32" s="15">
        <v>3864469.4115999993</v>
      </c>
      <c r="J32" s="18">
        <v>37</v>
      </c>
      <c r="K32" s="18">
        <v>8</v>
      </c>
      <c r="L32" s="18">
        <v>22</v>
      </c>
    </row>
    <row x14ac:dyDescent="0.25" r="33" customHeight="1" ht="33">
      <c r="A33" s="14" t="s">
        <v>29</v>
      </c>
      <c r="B33" s="15">
        <v>51018.94056910569</v>
      </c>
      <c r="C33" s="16">
        <v>0</v>
      </c>
      <c r="D33" s="15">
        <v>57381.18126178862</v>
      </c>
      <c r="E33" s="16">
        <v>0</v>
      </c>
      <c r="F33" s="18"/>
      <c r="G33" s="16">
        <v>0</v>
      </c>
      <c r="H33" s="15">
        <v>5930.448399999999</v>
      </c>
      <c r="I33" s="15">
        <v>159419.0624</v>
      </c>
      <c r="J33" s="18">
        <v>3</v>
      </c>
      <c r="K33" s="18"/>
      <c r="L33" s="18">
        <v>2</v>
      </c>
    </row>
    <row x14ac:dyDescent="0.25" r="34" customHeight="1" ht="18.75">
      <c r="A34" s="14" t="s">
        <v>30</v>
      </c>
      <c r="B34" s="15">
        <v>32617.735806504064</v>
      </c>
      <c r="C34" s="19">
        <v>0</v>
      </c>
      <c r="D34" s="15">
        <v>80753.64678699189</v>
      </c>
      <c r="E34" s="19">
        <v>0</v>
      </c>
      <c r="F34" s="18">
        <v>17003.3</v>
      </c>
      <c r="G34" s="19">
        <v>0</v>
      </c>
      <c r="H34" s="15">
        <v>7658.1036</v>
      </c>
      <c r="I34" s="15">
        <v>145989.1184</v>
      </c>
      <c r="J34" s="18">
        <v>10</v>
      </c>
      <c r="K34" s="18">
        <v>3</v>
      </c>
      <c r="L34" s="18">
        <v>4</v>
      </c>
    </row>
    <row x14ac:dyDescent="0.25" r="35" customHeight="1" ht="18.75">
      <c r="A35" s="14" t="s">
        <v>31</v>
      </c>
      <c r="B35" s="15">
        <v>31234.281416260164</v>
      </c>
      <c r="C35" s="19">
        <v>0</v>
      </c>
      <c r="D35" s="15">
        <v>14181.404767479675</v>
      </c>
      <c r="E35" s="19">
        <v>0</v>
      </c>
      <c r="F35" s="18"/>
      <c r="G35" s="19">
        <v>0</v>
      </c>
      <c r="H35" s="15">
        <v>1000458.8323999998</v>
      </c>
      <c r="I35" s="15">
        <v>76649.9676</v>
      </c>
      <c r="J35" s="18">
        <v>903</v>
      </c>
      <c r="K35" s="18">
        <v>124</v>
      </c>
      <c r="L35" s="18">
        <v>744</v>
      </c>
    </row>
    <row x14ac:dyDescent="0.25" r="36" customHeight="1" ht="18.75">
      <c r="A36" s="14" t="s">
        <v>32</v>
      </c>
      <c r="B36" s="15">
        <v>0</v>
      </c>
      <c r="C36" s="19">
        <v>0</v>
      </c>
      <c r="D36" s="15">
        <v>11910.9316</v>
      </c>
      <c r="E36" s="19">
        <v>0</v>
      </c>
      <c r="F36" s="20"/>
      <c r="G36" s="19">
        <v>0</v>
      </c>
      <c r="H36" s="15">
        <v>6819.6532</v>
      </c>
      <c r="I36" s="15">
        <v>11910.9316</v>
      </c>
      <c r="J36" s="18">
        <v>3</v>
      </c>
      <c r="K36" s="18"/>
      <c r="L36" s="18"/>
    </row>
    <row x14ac:dyDescent="0.25" r="37" customHeight="1" ht="18.75">
      <c r="A37" s="14" t="s">
        <v>33</v>
      </c>
      <c r="B37" s="15">
        <v>100748.3360813008</v>
      </c>
      <c r="C37" s="19">
        <v>0</v>
      </c>
      <c r="D37" s="15">
        <v>3563.7398373983733</v>
      </c>
      <c r="E37" s="19">
        <v>0</v>
      </c>
      <c r="F37" s="20"/>
      <c r="G37" s="19">
        <v>0</v>
      </c>
      <c r="H37" s="15">
        <v>15437.1192</v>
      </c>
      <c r="I37" s="15">
        <v>205060.412</v>
      </c>
      <c r="J37" s="18">
        <v>15</v>
      </c>
      <c r="K37" s="18">
        <v>1</v>
      </c>
      <c r="L37" s="18">
        <v>4</v>
      </c>
    </row>
    <row x14ac:dyDescent="0.25" r="38" customHeight="1" ht="18.75">
      <c r="A38" s="14" t="s">
        <v>34</v>
      </c>
      <c r="B38" s="21"/>
      <c r="C38" s="19">
        <v>0</v>
      </c>
      <c r="D38" s="15"/>
      <c r="E38" s="19">
        <v>0</v>
      </c>
      <c r="F38" s="20"/>
      <c r="G38" s="19">
        <v>0</v>
      </c>
      <c r="H38" s="15"/>
      <c r="I38" s="21"/>
      <c r="J38" s="18"/>
      <c r="K38" s="20"/>
      <c r="L38" s="20"/>
    </row>
    <row x14ac:dyDescent="0.25" r="39" customHeight="1" ht="18.75">
      <c r="A39" s="22"/>
      <c r="B39" s="2"/>
      <c r="C39" s="3"/>
      <c r="D39" s="2"/>
      <c r="E39" s="3"/>
      <c r="F39" s="4"/>
      <c r="G39" s="3"/>
      <c r="H39" s="2"/>
      <c r="I39" s="2"/>
      <c r="J39" s="4"/>
      <c r="K39" s="4"/>
      <c r="L39" s="4"/>
    </row>
    <row x14ac:dyDescent="0.25" r="40" customHeight="1" ht="18.75">
      <c r="A40" s="6">
        <v>45017</v>
      </c>
      <c r="B40" s="2"/>
      <c r="C40" s="3"/>
      <c r="D40" s="2"/>
      <c r="E40" s="3"/>
      <c r="F40" s="4"/>
      <c r="G40" s="3"/>
      <c r="H40" s="2"/>
      <c r="I40" s="2"/>
      <c r="J40" s="4"/>
      <c r="K40" s="4"/>
      <c r="L40" s="4"/>
    </row>
    <row x14ac:dyDescent="0.25" r="41" customHeight="1" ht="33">
      <c r="A41" s="10" t="s">
        <v>14</v>
      </c>
      <c r="B41" s="11" t="s">
        <v>15</v>
      </c>
      <c r="C41" s="12" t="s">
        <v>16</v>
      </c>
      <c r="D41" s="11" t="s">
        <v>17</v>
      </c>
      <c r="E41" s="12" t="s">
        <v>18</v>
      </c>
      <c r="F41" s="13" t="s">
        <v>19</v>
      </c>
      <c r="G41" s="12" t="s">
        <v>20</v>
      </c>
      <c r="H41" s="11" t="s">
        <v>21</v>
      </c>
      <c r="I41" s="11" t="s">
        <v>22</v>
      </c>
      <c r="J41" s="13" t="s">
        <v>23</v>
      </c>
      <c r="K41" s="24" t="s">
        <v>24</v>
      </c>
      <c r="L41" s="13" t="s">
        <v>25</v>
      </c>
    </row>
    <row x14ac:dyDescent="0.25" r="42" customHeight="1" ht="33">
      <c r="A42" s="14" t="s">
        <v>26</v>
      </c>
      <c r="B42" s="15">
        <v>119076.22258428184</v>
      </c>
      <c r="C42" s="16">
        <v>0</v>
      </c>
      <c r="D42" s="15">
        <v>90506.30603143631</v>
      </c>
      <c r="E42" s="16">
        <v>0</v>
      </c>
      <c r="F42" s="17"/>
      <c r="G42" s="16">
        <v>0</v>
      </c>
      <c r="H42" s="15">
        <v>58068.019199999995</v>
      </c>
      <c r="I42" s="15">
        <v>328658.75119999994</v>
      </c>
      <c r="J42" s="18">
        <v>1</v>
      </c>
      <c r="K42" s="18">
        <v>4</v>
      </c>
      <c r="L42" s="18">
        <v>1</v>
      </c>
    </row>
    <row x14ac:dyDescent="0.25" r="43" customHeight="1" ht="33">
      <c r="A43" s="14" t="s">
        <v>27</v>
      </c>
      <c r="B43" s="15">
        <v>103335.30713441735</v>
      </c>
      <c r="C43" s="16">
        <v>0</v>
      </c>
      <c r="D43" s="15">
        <v>579211.0305311653</v>
      </c>
      <c r="E43" s="16">
        <v>0</v>
      </c>
      <c r="F43" s="17"/>
      <c r="G43" s="16">
        <v>0</v>
      </c>
      <c r="H43" s="15">
        <v>13015.7864</v>
      </c>
      <c r="I43" s="15">
        <v>785881.6447999999</v>
      </c>
      <c r="J43" s="18">
        <v>5</v>
      </c>
      <c r="K43" s="18">
        <v>43</v>
      </c>
      <c r="L43" s="18">
        <v>2</v>
      </c>
    </row>
    <row x14ac:dyDescent="0.25" r="44" customHeight="1" ht="33">
      <c r="A44" s="14" t="s">
        <v>28</v>
      </c>
      <c r="B44" s="15">
        <v>288177.34702981025</v>
      </c>
      <c r="C44" s="16">
        <v>0</v>
      </c>
      <c r="D44" s="15">
        <v>113809.93714037942</v>
      </c>
      <c r="E44" s="16">
        <v>0</v>
      </c>
      <c r="F44" s="17"/>
      <c r="G44" s="16">
        <v>0</v>
      </c>
      <c r="H44" s="15">
        <v>75402.86200000001</v>
      </c>
      <c r="I44" s="15">
        <v>690164.6312000001</v>
      </c>
      <c r="J44" s="18">
        <v>12</v>
      </c>
      <c r="K44" s="18">
        <v>31</v>
      </c>
      <c r="L44" s="18">
        <v>8</v>
      </c>
    </row>
    <row x14ac:dyDescent="0.25" r="45" customHeight="1" ht="33">
      <c r="A45" s="14" t="s">
        <v>29</v>
      </c>
      <c r="B45" s="15">
        <v>50369.95884552845</v>
      </c>
      <c r="C45" s="16">
        <v>0</v>
      </c>
      <c r="D45" s="15">
        <v>108920.8943089431</v>
      </c>
      <c r="E45" s="16">
        <v>0</v>
      </c>
      <c r="F45" s="17"/>
      <c r="G45" s="16">
        <v>0</v>
      </c>
      <c r="H45" s="15">
        <v>2693.7096</v>
      </c>
      <c r="I45" s="15">
        <v>209660.812</v>
      </c>
      <c r="J45" s="18">
        <v>4</v>
      </c>
      <c r="K45" s="18">
        <v>5</v>
      </c>
      <c r="L45" s="18">
        <v>2</v>
      </c>
    </row>
    <row x14ac:dyDescent="0.25" r="46" customHeight="1" ht="18.75">
      <c r="A46" s="14" t="s">
        <v>30</v>
      </c>
      <c r="B46" s="15">
        <v>69359.67033008131</v>
      </c>
      <c r="C46" s="19">
        <v>0</v>
      </c>
      <c r="D46" s="15">
        <v>38716.98373983741</v>
      </c>
      <c r="E46" s="19">
        <v>0</v>
      </c>
      <c r="F46" s="25">
        <v>28955.89</v>
      </c>
      <c r="G46" s="19">
        <v>0</v>
      </c>
      <c r="H46" s="15">
        <v>23654.161999999997</v>
      </c>
      <c r="I46" s="15">
        <v>177436.32439999998</v>
      </c>
      <c r="J46" s="18">
        <v>10</v>
      </c>
      <c r="K46" s="18">
        <v>12</v>
      </c>
      <c r="L46" s="18">
        <v>2</v>
      </c>
    </row>
    <row x14ac:dyDescent="0.25" r="47" customHeight="1" ht="18.75">
      <c r="A47" s="14" t="s">
        <v>31</v>
      </c>
      <c r="B47" s="15">
        <v>112563.82100000001</v>
      </c>
      <c r="C47" s="19">
        <v>0</v>
      </c>
      <c r="D47" s="15">
        <v>35389.6744</v>
      </c>
      <c r="E47" s="19">
        <v>0</v>
      </c>
      <c r="F47" s="20"/>
      <c r="G47" s="19">
        <v>0</v>
      </c>
      <c r="H47" s="15">
        <v>1176671.3228000002</v>
      </c>
      <c r="I47" s="15">
        <v>260517.3164</v>
      </c>
      <c r="J47" s="18">
        <v>756</v>
      </c>
      <c r="K47" s="18">
        <v>374</v>
      </c>
      <c r="L47" s="18">
        <v>688</v>
      </c>
    </row>
    <row x14ac:dyDescent="0.25" r="48" customHeight="1" ht="18.75">
      <c r="A48" s="14" t="s">
        <v>32</v>
      </c>
      <c r="B48" s="15"/>
      <c r="C48" s="19">
        <v>0</v>
      </c>
      <c r="D48" s="15"/>
      <c r="E48" s="19">
        <v>0</v>
      </c>
      <c r="F48" s="20"/>
      <c r="G48" s="19">
        <v>0</v>
      </c>
      <c r="H48" s="15">
        <v>20003.655199999997</v>
      </c>
      <c r="I48" s="15"/>
      <c r="J48" s="18">
        <v>2</v>
      </c>
      <c r="K48" s="18"/>
      <c r="L48" s="18"/>
    </row>
    <row x14ac:dyDescent="0.25" r="49" customHeight="1" ht="18.75">
      <c r="A49" s="14" t="s">
        <v>33</v>
      </c>
      <c r="B49" s="15">
        <v>32567.223448780485</v>
      </c>
      <c r="C49" s="19">
        <v>0</v>
      </c>
      <c r="D49" s="15">
        <v>2138.243902439024</v>
      </c>
      <c r="E49" s="19">
        <v>0</v>
      </c>
      <c r="F49" s="20"/>
      <c r="G49" s="19">
        <v>0</v>
      </c>
      <c r="H49" s="15">
        <v>4889.654</v>
      </c>
      <c r="I49" s="15">
        <v>67272.6908</v>
      </c>
      <c r="J49" s="18">
        <v>28</v>
      </c>
      <c r="K49" s="18">
        <v>1</v>
      </c>
      <c r="L49" s="18">
        <v>20</v>
      </c>
    </row>
    <row x14ac:dyDescent="0.25" r="50" customHeight="1" ht="18.75">
      <c r="A50" s="14" t="s">
        <v>34</v>
      </c>
      <c r="B50" s="15"/>
      <c r="C50" s="19">
        <v>0</v>
      </c>
      <c r="D50" s="15"/>
      <c r="E50" s="19">
        <v>0</v>
      </c>
      <c r="F50" s="20"/>
      <c r="G50" s="19">
        <v>0</v>
      </c>
      <c r="H50" s="15"/>
      <c r="I50" s="15"/>
      <c r="J50" s="18"/>
      <c r="K50" s="20"/>
      <c r="L50" s="20"/>
    </row>
    <row x14ac:dyDescent="0.25" r="51" customHeight="1" ht="18.75">
      <c r="A51" s="22"/>
      <c r="B51" s="2"/>
      <c r="C51" s="3"/>
      <c r="D51" s="2"/>
      <c r="E51" s="3"/>
      <c r="F51" s="4"/>
      <c r="G51" s="3"/>
      <c r="H51" s="2"/>
      <c r="I51" s="2"/>
      <c r="J51" s="4"/>
      <c r="K51" s="4"/>
      <c r="L51" s="4"/>
    </row>
    <row x14ac:dyDescent="0.25" r="52" customHeight="1" ht="18.75">
      <c r="A52" s="6">
        <v>45047</v>
      </c>
      <c r="B52" s="2"/>
      <c r="C52" s="3"/>
      <c r="D52" s="2"/>
      <c r="E52" s="3"/>
      <c r="F52" s="4"/>
      <c r="G52" s="3"/>
      <c r="H52" s="2"/>
      <c r="I52" s="2"/>
      <c r="J52" s="4"/>
      <c r="K52" s="4"/>
      <c r="L52" s="4"/>
    </row>
    <row x14ac:dyDescent="0.25" r="53" customHeight="1" ht="33">
      <c r="A53" s="10" t="s">
        <v>14</v>
      </c>
      <c r="B53" s="11" t="s">
        <v>15</v>
      </c>
      <c r="C53" s="12" t="s">
        <v>16</v>
      </c>
      <c r="D53" s="11" t="s">
        <v>17</v>
      </c>
      <c r="E53" s="12" t="s">
        <v>18</v>
      </c>
      <c r="F53" s="13" t="s">
        <v>19</v>
      </c>
      <c r="G53" s="12" t="s">
        <v>20</v>
      </c>
      <c r="H53" s="11" t="s">
        <v>21</v>
      </c>
      <c r="I53" s="11" t="s">
        <v>22</v>
      </c>
      <c r="J53" s="13" t="s">
        <v>23</v>
      </c>
      <c r="K53" s="24" t="s">
        <v>24</v>
      </c>
      <c r="L53" s="13" t="s">
        <v>25</v>
      </c>
    </row>
    <row x14ac:dyDescent="0.25" r="54" customHeight="1" ht="33">
      <c r="A54" s="14" t="s">
        <v>26</v>
      </c>
      <c r="B54" s="15">
        <v>16430.480827642274</v>
      </c>
      <c r="C54" s="16">
        <v>0</v>
      </c>
      <c r="D54" s="15">
        <v>8242.471544715447</v>
      </c>
      <c r="E54" s="16">
        <v>0</v>
      </c>
      <c r="F54" s="17"/>
      <c r="G54" s="16">
        <v>0</v>
      </c>
      <c r="H54" s="15">
        <v>46067.6664</v>
      </c>
      <c r="I54" s="15">
        <v>41103.4332</v>
      </c>
      <c r="J54" s="18">
        <v>6</v>
      </c>
      <c r="K54" s="18">
        <v>1</v>
      </c>
      <c r="L54" s="18">
        <v>6</v>
      </c>
    </row>
    <row x14ac:dyDescent="0.25" r="55" customHeight="1" ht="33">
      <c r="A55" s="14" t="s">
        <v>27</v>
      </c>
      <c r="B55" s="15">
        <v>162899.58282981033</v>
      </c>
      <c r="C55" s="16">
        <v>0</v>
      </c>
      <c r="D55" s="15">
        <v>1212420.8963403795</v>
      </c>
      <c r="E55" s="16">
        <v>0</v>
      </c>
      <c r="F55" s="18">
        <v>1076.18</v>
      </c>
      <c r="G55" s="16">
        <v>0</v>
      </c>
      <c r="H55" s="15">
        <v>17525.733200000002</v>
      </c>
      <c r="I55" s="15">
        <v>1538220.0619999997</v>
      </c>
      <c r="J55" s="18">
        <v>3</v>
      </c>
      <c r="K55" s="18">
        <v>36</v>
      </c>
      <c r="L55" s="18">
        <v>1</v>
      </c>
    </row>
    <row x14ac:dyDescent="0.25" r="56" customHeight="1" ht="33">
      <c r="A56" s="14" t="s">
        <v>28</v>
      </c>
      <c r="B56" s="15">
        <v>959982.4476997291</v>
      </c>
      <c r="C56" s="16">
        <v>0</v>
      </c>
      <c r="D56" s="15">
        <v>738976.4294005419</v>
      </c>
      <c r="E56" s="16">
        <v>0</v>
      </c>
      <c r="F56" s="18">
        <v>13748.24</v>
      </c>
      <c r="G56" s="16">
        <v>0</v>
      </c>
      <c r="H56" s="15">
        <v>147090.024</v>
      </c>
      <c r="I56" s="15">
        <v>2658941.3248000005</v>
      </c>
      <c r="J56" s="18">
        <v>32</v>
      </c>
      <c r="K56" s="18">
        <v>25</v>
      </c>
      <c r="L56" s="18">
        <v>18</v>
      </c>
    </row>
    <row x14ac:dyDescent="0.25" r="57" customHeight="1" ht="33">
      <c r="A57" s="14" t="s">
        <v>29</v>
      </c>
      <c r="B57" s="15">
        <v>44837.14961626016</v>
      </c>
      <c r="C57" s="16">
        <v>0</v>
      </c>
      <c r="D57" s="15">
        <v>23613.514367479675</v>
      </c>
      <c r="E57" s="16">
        <v>0</v>
      </c>
      <c r="F57" s="26"/>
      <c r="G57" s="16">
        <v>0</v>
      </c>
      <c r="H57" s="15">
        <v>14179.170399999999</v>
      </c>
      <c r="I57" s="15">
        <v>113287.8136</v>
      </c>
      <c r="J57" s="18">
        <v>1</v>
      </c>
      <c r="K57" s="18">
        <v>2</v>
      </c>
      <c r="L57" s="18">
        <v>1</v>
      </c>
    </row>
    <row x14ac:dyDescent="0.25" r="58" customHeight="1" ht="18.75">
      <c r="A58" s="14" t="s">
        <v>30</v>
      </c>
      <c r="B58" s="15">
        <v>13581.373774525748</v>
      </c>
      <c r="C58" s="19">
        <v>0</v>
      </c>
      <c r="D58" s="15">
        <v>101024.93085094848</v>
      </c>
      <c r="E58" s="19">
        <v>0</v>
      </c>
      <c r="F58" s="20"/>
      <c r="G58" s="19">
        <v>0</v>
      </c>
      <c r="H58" s="15">
        <v>9944.938</v>
      </c>
      <c r="I58" s="15">
        <v>128187.6784</v>
      </c>
      <c r="J58" s="18">
        <v>9</v>
      </c>
      <c r="K58" s="18">
        <v>5</v>
      </c>
      <c r="L58" s="18">
        <v>1</v>
      </c>
    </row>
    <row x14ac:dyDescent="0.25" r="59" customHeight="1" ht="18.75">
      <c r="A59" s="14" t="s">
        <v>31</v>
      </c>
      <c r="B59" s="15">
        <v>48339.57990514904</v>
      </c>
      <c r="C59" s="19">
        <v>0</v>
      </c>
      <c r="D59" s="15">
        <v>3726.3309897018967</v>
      </c>
      <c r="E59" s="19">
        <v>0</v>
      </c>
      <c r="F59" s="20"/>
      <c r="G59" s="19">
        <v>0</v>
      </c>
      <c r="H59" s="15">
        <v>1456738.639999998</v>
      </c>
      <c r="I59" s="15">
        <v>100405.49079999999</v>
      </c>
      <c r="J59" s="18">
        <v>603</v>
      </c>
      <c r="K59" s="18">
        <v>433</v>
      </c>
      <c r="L59" s="18">
        <v>541</v>
      </c>
    </row>
    <row x14ac:dyDescent="0.25" r="60" customHeight="1" ht="18.75">
      <c r="A60" s="14" t="s">
        <v>32</v>
      </c>
      <c r="B60" s="15">
        <v>0</v>
      </c>
      <c r="C60" s="19">
        <v>0</v>
      </c>
      <c r="D60" s="15">
        <v>0</v>
      </c>
      <c r="E60" s="19">
        <v>0</v>
      </c>
      <c r="F60" s="20"/>
      <c r="G60" s="19">
        <v>0</v>
      </c>
      <c r="H60" s="15">
        <v>9216.5652</v>
      </c>
      <c r="I60" s="15">
        <v>0</v>
      </c>
      <c r="J60" s="18">
        <v>3</v>
      </c>
      <c r="K60" s="18">
        <v>2</v>
      </c>
      <c r="L60" s="18"/>
    </row>
    <row x14ac:dyDescent="0.25" r="61" customHeight="1" ht="18.75">
      <c r="A61" s="14" t="s">
        <v>33</v>
      </c>
      <c r="B61" s="15">
        <v>5377.456232520326</v>
      </c>
      <c r="C61" s="19">
        <v>0</v>
      </c>
      <c r="D61" s="15">
        <v>1425.4959349593494</v>
      </c>
      <c r="E61" s="19">
        <v>0</v>
      </c>
      <c r="F61" s="20"/>
      <c r="G61" s="19">
        <v>0</v>
      </c>
      <c r="H61" s="15">
        <v>5942.2188</v>
      </c>
      <c r="I61" s="15">
        <v>12180.4084</v>
      </c>
      <c r="J61" s="18">
        <v>10</v>
      </c>
      <c r="K61" s="18">
        <v>2</v>
      </c>
      <c r="L61" s="18">
        <v>1</v>
      </c>
    </row>
    <row x14ac:dyDescent="0.25" r="62" customHeight="1" ht="18.75">
      <c r="A62" s="14" t="s">
        <v>34</v>
      </c>
      <c r="B62" s="15"/>
      <c r="C62" s="19">
        <v>0</v>
      </c>
      <c r="D62" s="15"/>
      <c r="E62" s="19">
        <v>0</v>
      </c>
      <c r="F62" s="20"/>
      <c r="G62" s="19">
        <v>0</v>
      </c>
      <c r="H62" s="15"/>
      <c r="I62" s="15"/>
      <c r="J62" s="18"/>
      <c r="K62" s="20"/>
      <c r="L62" s="20"/>
    </row>
    <row x14ac:dyDescent="0.25" r="63" customHeight="1" ht="18.75">
      <c r="A63" s="22"/>
      <c r="B63" s="2"/>
      <c r="C63" s="3"/>
      <c r="D63" s="2"/>
      <c r="E63" s="3"/>
      <c r="F63" s="4"/>
      <c r="G63" s="3"/>
      <c r="H63" s="2"/>
      <c r="I63" s="2"/>
      <c r="J63" s="4"/>
      <c r="K63" s="4"/>
      <c r="L63" s="4"/>
    </row>
    <row x14ac:dyDescent="0.25" r="64" customHeight="1" ht="18.75">
      <c r="A64" s="6">
        <v>45078</v>
      </c>
      <c r="B64" s="7" t="s">
        <v>3</v>
      </c>
      <c r="C64" s="8" t="s">
        <v>4</v>
      </c>
      <c r="D64" s="7" t="s">
        <v>5</v>
      </c>
      <c r="E64" s="8" t="s">
        <v>6</v>
      </c>
      <c r="F64" s="9" t="s">
        <v>7</v>
      </c>
      <c r="G64" s="8" t="s">
        <v>8</v>
      </c>
      <c r="H64" s="7" t="s">
        <v>9</v>
      </c>
      <c r="I64" s="7" t="s">
        <v>10</v>
      </c>
      <c r="J64" s="9" t="s">
        <v>11</v>
      </c>
      <c r="K64" s="9" t="s">
        <v>12</v>
      </c>
      <c r="L64" s="9" t="s">
        <v>13</v>
      </c>
    </row>
    <row x14ac:dyDescent="0.25" r="65" customHeight="1" ht="33">
      <c r="A65" s="10" t="s">
        <v>14</v>
      </c>
      <c r="B65" s="11" t="s">
        <v>15</v>
      </c>
      <c r="C65" s="12" t="s">
        <v>16</v>
      </c>
      <c r="D65" s="11" t="s">
        <v>17</v>
      </c>
      <c r="E65" s="12" t="s">
        <v>18</v>
      </c>
      <c r="F65" s="13" t="s">
        <v>19</v>
      </c>
      <c r="G65" s="12" t="s">
        <v>20</v>
      </c>
      <c r="H65" s="11" t="s">
        <v>21</v>
      </c>
      <c r="I65" s="11" t="s">
        <v>22</v>
      </c>
      <c r="J65" s="13" t="s">
        <v>23</v>
      </c>
      <c r="K65" s="24" t="s">
        <v>24</v>
      </c>
      <c r="L65" s="13" t="s">
        <v>25</v>
      </c>
    </row>
    <row x14ac:dyDescent="0.25" r="66" customHeight="1" ht="33">
      <c r="A66" s="14" t="s">
        <v>26</v>
      </c>
      <c r="B66" s="15">
        <v>61057.92149268292</v>
      </c>
      <c r="C66" s="16">
        <v>0</v>
      </c>
      <c r="D66" s="15">
        <v>60817.463414634156</v>
      </c>
      <c r="E66" s="16">
        <v>0</v>
      </c>
      <c r="F66" s="17"/>
      <c r="G66" s="16">
        <v>0</v>
      </c>
      <c r="H66" s="15">
        <v>30003.761199999997</v>
      </c>
      <c r="I66" s="15">
        <v>182933.3064</v>
      </c>
      <c r="J66" s="18">
        <v>6</v>
      </c>
      <c r="K66" s="18">
        <v>3</v>
      </c>
      <c r="L66" s="18">
        <v>2</v>
      </c>
    </row>
    <row x14ac:dyDescent="0.25" r="67" customHeight="1" ht="33">
      <c r="A67" s="14" t="s">
        <v>27</v>
      </c>
      <c r="B67" s="15">
        <v>247496.15802493226</v>
      </c>
      <c r="C67" s="16">
        <v>0</v>
      </c>
      <c r="D67" s="15">
        <v>629070.4987501354</v>
      </c>
      <c r="E67" s="16">
        <v>0</v>
      </c>
      <c r="F67" s="18">
        <v>1143.25</v>
      </c>
      <c r="G67" s="16">
        <v>0</v>
      </c>
      <c r="H67" s="15">
        <v>71993.4272</v>
      </c>
      <c r="I67" s="15">
        <v>1124062.8148</v>
      </c>
      <c r="J67" s="18">
        <v>12</v>
      </c>
      <c r="K67" s="18">
        <v>25</v>
      </c>
      <c r="L67" s="18">
        <v>6</v>
      </c>
    </row>
    <row x14ac:dyDescent="0.25" r="68" customHeight="1" ht="33">
      <c r="A68" s="14" t="s">
        <v>28</v>
      </c>
      <c r="B68" s="15">
        <v>399410.08675338747</v>
      </c>
      <c r="C68" s="16">
        <v>0</v>
      </c>
      <c r="D68" s="15">
        <v>1164648.030493225</v>
      </c>
      <c r="E68" s="16">
        <v>0</v>
      </c>
      <c r="F68" s="18">
        <v>95651.32</v>
      </c>
      <c r="G68" s="16">
        <v>0</v>
      </c>
      <c r="H68" s="15">
        <v>160820.24799999996</v>
      </c>
      <c r="I68" s="15">
        <v>1963468.204</v>
      </c>
      <c r="J68" s="18">
        <v>15</v>
      </c>
      <c r="K68" s="18">
        <v>24</v>
      </c>
      <c r="L68" s="18">
        <v>10</v>
      </c>
    </row>
    <row x14ac:dyDescent="0.25" r="69" customHeight="1" ht="33">
      <c r="A69" s="14" t="s">
        <v>29</v>
      </c>
      <c r="B69" s="15">
        <v>49357.96562655827</v>
      </c>
      <c r="C69" s="16">
        <v>0</v>
      </c>
      <c r="D69" s="15">
        <v>4466.688346883468</v>
      </c>
      <c r="E69" s="16">
        <v>0</v>
      </c>
      <c r="F69" s="18"/>
      <c r="G69" s="16">
        <v>0</v>
      </c>
      <c r="H69" s="15">
        <v>20023.5776</v>
      </c>
      <c r="I69" s="15">
        <v>103182.6196</v>
      </c>
      <c r="J69" s="18">
        <v>3</v>
      </c>
      <c r="K69" s="18">
        <v>2</v>
      </c>
      <c r="L69" s="18">
        <v>3</v>
      </c>
    </row>
    <row x14ac:dyDescent="0.25" r="70" customHeight="1" ht="18.75">
      <c r="A70" s="14" t="s">
        <v>30</v>
      </c>
      <c r="B70" s="15">
        <v>0</v>
      </c>
      <c r="C70" s="19">
        <v>0</v>
      </c>
      <c r="D70" s="15">
        <v>0</v>
      </c>
      <c r="E70" s="19">
        <v>0</v>
      </c>
      <c r="F70" s="18">
        <v>3775.1</v>
      </c>
      <c r="G70" s="19">
        <v>0</v>
      </c>
      <c r="H70" s="15">
        <v>138170.7688</v>
      </c>
      <c r="I70" s="15">
        <v>0</v>
      </c>
      <c r="J70" s="18">
        <v>11</v>
      </c>
      <c r="K70" s="18">
        <v>7</v>
      </c>
      <c r="L70" s="18">
        <v>2</v>
      </c>
    </row>
    <row x14ac:dyDescent="0.25" r="71" customHeight="1" ht="18.75">
      <c r="A71" s="14" t="s">
        <v>31</v>
      </c>
      <c r="B71" s="15">
        <v>39031.163799999995</v>
      </c>
      <c r="C71" s="19">
        <v>0</v>
      </c>
      <c r="D71" s="15">
        <v>1258.0295999999998</v>
      </c>
      <c r="E71" s="19">
        <v>0</v>
      </c>
      <c r="F71" s="25"/>
      <c r="G71" s="19">
        <v>0</v>
      </c>
      <c r="H71" s="15">
        <v>1406727.3455999997</v>
      </c>
      <c r="I71" s="15">
        <v>79320.3572</v>
      </c>
      <c r="J71" s="18">
        <v>326</v>
      </c>
      <c r="K71" s="18">
        <v>349</v>
      </c>
      <c r="L71" s="18">
        <v>272</v>
      </c>
    </row>
    <row x14ac:dyDescent="0.25" r="72" customHeight="1" ht="18.75">
      <c r="A72" s="14" t="s">
        <v>32</v>
      </c>
      <c r="B72" s="15"/>
      <c r="C72" s="19">
        <v>0</v>
      </c>
      <c r="D72" s="15"/>
      <c r="E72" s="19">
        <v>0</v>
      </c>
      <c r="F72" s="20"/>
      <c r="G72" s="19">
        <v>0</v>
      </c>
      <c r="H72" s="15">
        <v>9605.474</v>
      </c>
      <c r="I72" s="15"/>
      <c r="J72" s="18">
        <v>1</v>
      </c>
      <c r="K72" s="18">
        <v>1</v>
      </c>
      <c r="L72" s="18"/>
    </row>
    <row x14ac:dyDescent="0.25" r="73" customHeight="1" ht="18.75">
      <c r="A73" s="14" t="s">
        <v>33</v>
      </c>
      <c r="B73" s="15">
        <v>10366.118832520326</v>
      </c>
      <c r="C73" s="19">
        <v>0</v>
      </c>
      <c r="D73" s="15">
        <v>1425.4959349593494</v>
      </c>
      <c r="E73" s="19">
        <v>0</v>
      </c>
      <c r="F73" s="20"/>
      <c r="G73" s="19">
        <v>0</v>
      </c>
      <c r="H73" s="15">
        <v>2243.982</v>
      </c>
      <c r="I73" s="15">
        <v>22157.7336</v>
      </c>
      <c r="J73" s="18">
        <v>8</v>
      </c>
      <c r="K73" s="20"/>
      <c r="L73" s="18">
        <v>2</v>
      </c>
    </row>
    <row x14ac:dyDescent="0.25" r="74" customHeight="1" ht="18.75">
      <c r="A74" s="14" t="s">
        <v>34</v>
      </c>
      <c r="B74" s="15"/>
      <c r="C74" s="19">
        <v>0</v>
      </c>
      <c r="D74" s="21"/>
      <c r="E74" s="19">
        <v>0</v>
      </c>
      <c r="F74" s="20"/>
      <c r="G74" s="19">
        <v>0</v>
      </c>
      <c r="H74" s="15"/>
      <c r="I74" s="15"/>
      <c r="J74" s="18"/>
      <c r="K74" s="20"/>
      <c r="L74" s="20"/>
    </row>
    <row x14ac:dyDescent="0.25" r="75" customHeight="1" ht="18.75">
      <c r="A75" s="22"/>
      <c r="B75" s="2"/>
      <c r="C75" s="3"/>
      <c r="D75" s="2"/>
      <c r="E75" s="3"/>
      <c r="F75" s="4"/>
      <c r="G75" s="3"/>
      <c r="H75" s="2"/>
      <c r="I75" s="2"/>
      <c r="J75" s="4"/>
      <c r="K75" s="4"/>
      <c r="L75" s="4"/>
    </row>
    <row x14ac:dyDescent="0.25" r="76" customHeight="1" ht="18.75">
      <c r="A76" s="6">
        <v>45137</v>
      </c>
      <c r="B76" s="2"/>
      <c r="C76" s="3"/>
      <c r="D76" s="2"/>
      <c r="E76" s="3"/>
      <c r="F76" s="4"/>
      <c r="G76" s="3"/>
      <c r="H76" s="2"/>
      <c r="I76" s="2"/>
      <c r="J76" s="4"/>
      <c r="K76" s="4"/>
      <c r="L76" s="4"/>
    </row>
    <row x14ac:dyDescent="0.25" r="77" customHeight="1" ht="33">
      <c r="A77" s="10" t="s">
        <v>14</v>
      </c>
      <c r="B77" s="11" t="s">
        <v>15</v>
      </c>
      <c r="C77" s="12" t="s">
        <v>16</v>
      </c>
      <c r="D77" s="11" t="s">
        <v>17</v>
      </c>
      <c r="E77" s="12" t="s">
        <v>18</v>
      </c>
      <c r="F77" s="13" t="s">
        <v>19</v>
      </c>
      <c r="G77" s="12" t="s">
        <v>20</v>
      </c>
      <c r="H77" s="11" t="s">
        <v>21</v>
      </c>
      <c r="I77" s="11" t="s">
        <v>22</v>
      </c>
      <c r="J77" s="13" t="s">
        <v>23</v>
      </c>
      <c r="K77" s="24" t="s">
        <v>24</v>
      </c>
      <c r="L77" s="13" t="s">
        <v>25</v>
      </c>
    </row>
    <row x14ac:dyDescent="0.25" r="78" customHeight="1" ht="33">
      <c r="A78" s="14" t="s">
        <v>26</v>
      </c>
      <c r="B78" s="15">
        <v>5112.726616260163</v>
      </c>
      <c r="C78" s="16">
        <v>0</v>
      </c>
      <c r="D78" s="15">
        <v>712.7479674796747</v>
      </c>
      <c r="E78" s="16">
        <v>0</v>
      </c>
      <c r="F78" s="17"/>
      <c r="G78" s="16">
        <v>0</v>
      </c>
      <c r="H78" s="15">
        <v>6475.8336</v>
      </c>
      <c r="I78" s="15">
        <v>10938.2012</v>
      </c>
      <c r="J78" s="17"/>
      <c r="K78" s="18">
        <v>5</v>
      </c>
      <c r="L78" s="17"/>
    </row>
    <row x14ac:dyDescent="0.25" r="79" customHeight="1" ht="33">
      <c r="A79" s="14" t="s">
        <v>27</v>
      </c>
      <c r="B79" s="15">
        <v>92147.07025094853</v>
      </c>
      <c r="C79" s="16">
        <v>0</v>
      </c>
      <c r="D79" s="15">
        <v>674918.959098103</v>
      </c>
      <c r="E79" s="16">
        <v>0</v>
      </c>
      <c r="F79" s="17"/>
      <c r="G79" s="16">
        <v>0</v>
      </c>
      <c r="H79" s="15">
        <v>30428.370800000004</v>
      </c>
      <c r="I79" s="15">
        <v>859213.0996000001</v>
      </c>
      <c r="J79" s="17"/>
      <c r="K79" s="18">
        <v>30</v>
      </c>
      <c r="L79" s="17"/>
    </row>
    <row x14ac:dyDescent="0.25" r="80" customHeight="1" ht="33">
      <c r="A80" s="14" t="s">
        <v>28</v>
      </c>
      <c r="B80" s="15">
        <v>494625.1978357725</v>
      </c>
      <c r="C80" s="16">
        <v>0</v>
      </c>
      <c r="D80" s="15">
        <v>747057.5211284553</v>
      </c>
      <c r="E80" s="16">
        <v>0</v>
      </c>
      <c r="F80" s="25">
        <v>353212.98</v>
      </c>
      <c r="G80" s="16">
        <v>0</v>
      </c>
      <c r="H80" s="15">
        <v>135072.6024</v>
      </c>
      <c r="I80" s="15">
        <v>1736307.9167999995</v>
      </c>
      <c r="J80" s="18">
        <v>9</v>
      </c>
      <c r="K80" s="18">
        <v>29</v>
      </c>
      <c r="L80" s="18">
        <v>1</v>
      </c>
    </row>
    <row x14ac:dyDescent="0.25" r="81" customHeight="1" ht="33">
      <c r="A81" s="14" t="s">
        <v>29</v>
      </c>
      <c r="B81" s="15">
        <v>39548.15296747968</v>
      </c>
      <c r="C81" s="16">
        <v>0</v>
      </c>
      <c r="D81" s="15">
        <v>147341.76806504064</v>
      </c>
      <c r="E81" s="16">
        <v>0</v>
      </c>
      <c r="F81" s="17"/>
      <c r="G81" s="16">
        <v>0</v>
      </c>
      <c r="H81" s="15">
        <v>12870.5216</v>
      </c>
      <c r="I81" s="15">
        <v>226438.074</v>
      </c>
      <c r="J81" s="18">
        <v>4</v>
      </c>
      <c r="K81" s="18">
        <v>2</v>
      </c>
      <c r="L81" s="18">
        <v>2</v>
      </c>
    </row>
    <row x14ac:dyDescent="0.25" r="82" customHeight="1" ht="18.75">
      <c r="A82" s="14" t="s">
        <v>30</v>
      </c>
      <c r="B82" s="15">
        <v>67442.616401084</v>
      </c>
      <c r="C82" s="19">
        <v>0</v>
      </c>
      <c r="D82" s="15">
        <v>27589.21439783197</v>
      </c>
      <c r="E82" s="19">
        <v>0</v>
      </c>
      <c r="F82" s="20"/>
      <c r="G82" s="19">
        <v>0</v>
      </c>
      <c r="H82" s="15">
        <v>19609.485200000003</v>
      </c>
      <c r="I82" s="15">
        <v>162474.4472</v>
      </c>
      <c r="J82" s="18">
        <v>13</v>
      </c>
      <c r="K82" s="18">
        <v>4</v>
      </c>
      <c r="L82" s="18">
        <v>5</v>
      </c>
    </row>
    <row x14ac:dyDescent="0.25" r="83" customHeight="1" ht="18.75">
      <c r="A83" s="14" t="s">
        <v>31</v>
      </c>
      <c r="B83" s="15">
        <v>144718.9724037941</v>
      </c>
      <c r="C83" s="19">
        <v>0</v>
      </c>
      <c r="D83" s="15">
        <v>12359.021192411923</v>
      </c>
      <c r="E83" s="19">
        <v>0</v>
      </c>
      <c r="F83" s="20"/>
      <c r="G83" s="19">
        <v>0</v>
      </c>
      <c r="H83" s="15">
        <v>1495582.2644000002</v>
      </c>
      <c r="I83" s="15">
        <v>301796.966</v>
      </c>
      <c r="J83" s="18">
        <v>65</v>
      </c>
      <c r="K83" s="18">
        <v>257</v>
      </c>
      <c r="L83" s="18">
        <v>35</v>
      </c>
    </row>
    <row x14ac:dyDescent="0.25" r="84" customHeight="1" ht="18.75">
      <c r="A84" s="14" t="s">
        <v>32</v>
      </c>
      <c r="B84" s="15">
        <v>3814.555830352304</v>
      </c>
      <c r="C84" s="19">
        <v>0</v>
      </c>
      <c r="D84" s="15">
        <v>31817.92953929539</v>
      </c>
      <c r="E84" s="19">
        <v>0</v>
      </c>
      <c r="F84" s="20"/>
      <c r="G84" s="19">
        <v>0</v>
      </c>
      <c r="H84" s="15">
        <v>3960.2576</v>
      </c>
      <c r="I84" s="15">
        <v>39447.0412</v>
      </c>
      <c r="J84" s="18">
        <v>3</v>
      </c>
      <c r="K84" s="18"/>
      <c r="L84" s="18">
        <v>1</v>
      </c>
    </row>
    <row x14ac:dyDescent="0.25" r="85" customHeight="1" ht="18.75">
      <c r="A85" s="14" t="s">
        <v>33</v>
      </c>
      <c r="B85" s="15">
        <v>23238.63121626016</v>
      </c>
      <c r="C85" s="19">
        <v>0</v>
      </c>
      <c r="D85" s="15">
        <v>712.7479674796747</v>
      </c>
      <c r="E85" s="19">
        <v>0</v>
      </c>
      <c r="F85" s="20"/>
      <c r="G85" s="19">
        <v>0</v>
      </c>
      <c r="H85" s="15">
        <v>5801.3652</v>
      </c>
      <c r="I85" s="15">
        <v>47190.0104</v>
      </c>
      <c r="J85" s="18">
        <v>16</v>
      </c>
      <c r="K85" s="18">
        <v>2</v>
      </c>
      <c r="L85" s="18">
        <v>8</v>
      </c>
    </row>
    <row x14ac:dyDescent="0.25" r="86" customHeight="1" ht="18.75">
      <c r="A86" s="14" t="s">
        <v>34</v>
      </c>
      <c r="B86" s="21"/>
      <c r="C86" s="19">
        <v>0</v>
      </c>
      <c r="D86" s="21"/>
      <c r="E86" s="19">
        <v>0</v>
      </c>
      <c r="F86" s="20"/>
      <c r="G86" s="19">
        <v>0</v>
      </c>
      <c r="H86" s="15"/>
      <c r="I86" s="15"/>
      <c r="J86" s="18"/>
      <c r="K86" s="20"/>
      <c r="L86" s="18"/>
    </row>
    <row x14ac:dyDescent="0.25" r="87" customHeight="1" ht="18.75">
      <c r="A87" s="22"/>
      <c r="B87" s="2"/>
      <c r="C87" s="3"/>
      <c r="D87" s="2"/>
      <c r="E87" s="3"/>
      <c r="F87" s="4"/>
      <c r="G87" s="3"/>
      <c r="H87" s="2"/>
      <c r="I87" s="2"/>
      <c r="J87" s="4"/>
      <c r="K87" s="4"/>
      <c r="L87" s="4"/>
    </row>
    <row x14ac:dyDescent="0.25" r="88" customHeight="1" ht="18.75">
      <c r="A88" s="6">
        <v>45139</v>
      </c>
      <c r="B88" s="2"/>
      <c r="C88" s="3"/>
      <c r="D88" s="2"/>
      <c r="E88" s="3"/>
      <c r="F88" s="4"/>
      <c r="G88" s="3"/>
      <c r="H88" s="2"/>
      <c r="I88" s="2"/>
      <c r="J88" s="4"/>
      <c r="K88" s="4"/>
      <c r="L88" s="4"/>
    </row>
    <row x14ac:dyDescent="0.25" r="89" customHeight="1" ht="33">
      <c r="A89" s="10" t="s">
        <v>14</v>
      </c>
      <c r="B89" s="11" t="s">
        <v>15</v>
      </c>
      <c r="C89" s="12" t="s">
        <v>16</v>
      </c>
      <c r="D89" s="11" t="s">
        <v>17</v>
      </c>
      <c r="E89" s="12" t="s">
        <v>18</v>
      </c>
      <c r="F89" s="13" t="s">
        <v>19</v>
      </c>
      <c r="G89" s="12" t="s">
        <v>20</v>
      </c>
      <c r="H89" s="11" t="s">
        <v>21</v>
      </c>
      <c r="I89" s="11" t="s">
        <v>22</v>
      </c>
      <c r="J89" s="13" t="s">
        <v>23</v>
      </c>
      <c r="K89" s="24" t="s">
        <v>24</v>
      </c>
      <c r="L89" s="13" t="s">
        <v>25</v>
      </c>
    </row>
    <row x14ac:dyDescent="0.25" r="90" customHeight="1" ht="33">
      <c r="A90" s="14" t="s">
        <v>26</v>
      </c>
      <c r="B90" s="15">
        <v>150073.87884986453</v>
      </c>
      <c r="C90" s="16">
        <v>0</v>
      </c>
      <c r="D90" s="15">
        <v>259449.01510027095</v>
      </c>
      <c r="E90" s="16">
        <v>0</v>
      </c>
      <c r="F90" s="17"/>
      <c r="G90" s="16">
        <v>0</v>
      </c>
      <c r="H90" s="15">
        <v>38050.819599999995</v>
      </c>
      <c r="I90" s="15">
        <v>559596.7728</v>
      </c>
      <c r="J90" s="18">
        <v>1</v>
      </c>
      <c r="K90" s="18">
        <v>2</v>
      </c>
      <c r="L90" s="18">
        <v>1</v>
      </c>
    </row>
    <row x14ac:dyDescent="0.25" r="91" customHeight="1" ht="33">
      <c r="A91" s="14" t="s">
        <v>27</v>
      </c>
      <c r="B91" s="15">
        <v>180399.4511669377</v>
      </c>
      <c r="C91" s="16">
        <v>0</v>
      </c>
      <c r="D91" s="15">
        <v>830195.5908661245</v>
      </c>
      <c r="E91" s="16">
        <v>0</v>
      </c>
      <c r="F91" s="25">
        <v>8817.380000000001</v>
      </c>
      <c r="G91" s="16">
        <v>0</v>
      </c>
      <c r="H91" s="15">
        <v>41253.950800000006</v>
      </c>
      <c r="I91" s="15">
        <v>1190994.4932</v>
      </c>
      <c r="J91" s="18">
        <v>4</v>
      </c>
      <c r="K91" s="18">
        <v>25</v>
      </c>
      <c r="L91" s="18">
        <v>3</v>
      </c>
    </row>
    <row x14ac:dyDescent="0.25" r="92" customHeight="1" ht="33">
      <c r="A92" s="14" t="s">
        <v>28</v>
      </c>
      <c r="B92" s="15">
        <v>577389.1067138211</v>
      </c>
      <c r="C92" s="16">
        <v>0</v>
      </c>
      <c r="D92" s="15">
        <v>612846.1389723573</v>
      </c>
      <c r="E92" s="16">
        <v>0</v>
      </c>
      <c r="F92" s="17"/>
      <c r="G92" s="16">
        <v>0</v>
      </c>
      <c r="H92" s="15">
        <v>98380.29800000001</v>
      </c>
      <c r="I92" s="15">
        <v>1767624.3524</v>
      </c>
      <c r="J92" s="18">
        <v>18</v>
      </c>
      <c r="K92" s="18">
        <v>22</v>
      </c>
      <c r="L92" s="18">
        <v>5</v>
      </c>
    </row>
    <row x14ac:dyDescent="0.25" r="93" customHeight="1" ht="33">
      <c r="A93" s="14" t="s">
        <v>29</v>
      </c>
      <c r="B93" s="15">
        <v>10843.99890406504</v>
      </c>
      <c r="C93" s="16">
        <v>0</v>
      </c>
      <c r="D93" s="15">
        <v>93147.18699186992</v>
      </c>
      <c r="E93" s="16">
        <v>0</v>
      </c>
      <c r="F93" s="17"/>
      <c r="G93" s="16">
        <v>0</v>
      </c>
      <c r="H93" s="15">
        <v>7504.9492</v>
      </c>
      <c r="I93" s="15">
        <v>114835.1848</v>
      </c>
      <c r="J93" s="18"/>
      <c r="K93" s="18"/>
      <c r="L93" s="18"/>
    </row>
    <row x14ac:dyDescent="0.25" r="94" customHeight="1" ht="18.75">
      <c r="A94" s="14" t="s">
        <v>30</v>
      </c>
      <c r="B94" s="15">
        <v>2454.365016260163</v>
      </c>
      <c r="C94" s="19">
        <v>0</v>
      </c>
      <c r="D94" s="15">
        <v>44755.99796747968</v>
      </c>
      <c r="E94" s="19">
        <v>0</v>
      </c>
      <c r="F94" s="20"/>
      <c r="G94" s="19">
        <v>0</v>
      </c>
      <c r="H94" s="15">
        <v>9409.170399999999</v>
      </c>
      <c r="I94" s="15">
        <v>49664.728</v>
      </c>
      <c r="J94" s="18">
        <v>15</v>
      </c>
      <c r="K94" s="18">
        <v>3</v>
      </c>
      <c r="L94" s="18">
        <v>1</v>
      </c>
    </row>
    <row x14ac:dyDescent="0.25" r="95" customHeight="1" ht="18.75">
      <c r="A95" s="14" t="s">
        <v>31</v>
      </c>
      <c r="B95" s="15">
        <v>61221.229895934965</v>
      </c>
      <c r="C95" s="19">
        <v>0</v>
      </c>
      <c r="D95" s="15">
        <v>50184.078208130086</v>
      </c>
      <c r="E95" s="19">
        <v>0</v>
      </c>
      <c r="F95" s="20"/>
      <c r="G95" s="19">
        <v>0</v>
      </c>
      <c r="H95" s="15">
        <v>1671929.0836</v>
      </c>
      <c r="I95" s="15">
        <v>172626.538</v>
      </c>
      <c r="J95" s="18">
        <v>48</v>
      </c>
      <c r="K95" s="18">
        <v>361</v>
      </c>
      <c r="L95" s="18">
        <v>29</v>
      </c>
    </row>
    <row x14ac:dyDescent="0.25" r="96" customHeight="1" ht="18.75">
      <c r="A96" s="14" t="s">
        <v>32</v>
      </c>
      <c r="B96" s="15"/>
      <c r="C96" s="19">
        <v>0</v>
      </c>
      <c r="D96" s="15"/>
      <c r="E96" s="19">
        <v>0</v>
      </c>
      <c r="F96" s="20"/>
      <c r="G96" s="19">
        <v>0</v>
      </c>
      <c r="H96" s="15">
        <v>208695.796</v>
      </c>
      <c r="I96" s="15"/>
      <c r="J96" s="18">
        <v>7</v>
      </c>
      <c r="K96" s="18">
        <v>2</v>
      </c>
      <c r="L96" s="18">
        <v>4</v>
      </c>
    </row>
    <row x14ac:dyDescent="0.25" r="97" customHeight="1" ht="18.75">
      <c r="A97" s="14" t="s">
        <v>33</v>
      </c>
      <c r="B97" s="15">
        <v>41609.14441626016</v>
      </c>
      <c r="C97" s="19">
        <v>0</v>
      </c>
      <c r="D97" s="15">
        <v>712.7479674796747</v>
      </c>
      <c r="E97" s="19">
        <v>0</v>
      </c>
      <c r="F97" s="20"/>
      <c r="G97" s="19">
        <v>0</v>
      </c>
      <c r="H97" s="15">
        <v>4490.358</v>
      </c>
      <c r="I97" s="15">
        <v>83931.0368</v>
      </c>
      <c r="J97" s="18">
        <v>2</v>
      </c>
      <c r="K97" s="18">
        <v>3</v>
      </c>
      <c r="L97" s="20"/>
    </row>
    <row x14ac:dyDescent="0.25" r="98" customHeight="1" ht="18.75">
      <c r="A98" s="14" t="s">
        <v>34</v>
      </c>
      <c r="B98" s="21"/>
      <c r="C98" s="19">
        <v>0</v>
      </c>
      <c r="D98" s="15"/>
      <c r="E98" s="19">
        <v>0</v>
      </c>
      <c r="F98" s="20"/>
      <c r="G98" s="19">
        <v>0</v>
      </c>
      <c r="H98" s="21"/>
      <c r="I98" s="15"/>
      <c r="J98" s="18"/>
      <c r="K98" s="20"/>
      <c r="L98" s="20"/>
    </row>
    <row x14ac:dyDescent="0.25" r="99" customHeight="1" ht="18.75">
      <c r="A99" s="22"/>
      <c r="B99" s="2"/>
      <c r="C99" s="3"/>
      <c r="D99" s="2"/>
      <c r="E99" s="3"/>
      <c r="F99" s="4"/>
      <c r="G99" s="3"/>
      <c r="H99" s="2"/>
      <c r="I99" s="2"/>
      <c r="J99" s="4"/>
      <c r="K99" s="4"/>
      <c r="L99" s="4"/>
    </row>
    <row x14ac:dyDescent="0.25" r="100" customHeight="1" ht="18.75">
      <c r="A100" s="6">
        <v>45170</v>
      </c>
      <c r="B100" s="2"/>
      <c r="C100" s="3"/>
      <c r="D100" s="2"/>
      <c r="E100" s="3"/>
      <c r="F100" s="4"/>
      <c r="G100" s="3"/>
      <c r="H100" s="2"/>
      <c r="I100" s="2"/>
      <c r="J100" s="4"/>
      <c r="K100" s="4"/>
      <c r="L100" s="4"/>
    </row>
    <row x14ac:dyDescent="0.25" r="101" customHeight="1" ht="33">
      <c r="A101" s="10" t="s">
        <v>14</v>
      </c>
      <c r="B101" s="11" t="s">
        <v>15</v>
      </c>
      <c r="C101" s="12" t="s">
        <v>16</v>
      </c>
      <c r="D101" s="11" t="s">
        <v>17</v>
      </c>
      <c r="E101" s="12" t="s">
        <v>18</v>
      </c>
      <c r="F101" s="13" t="s">
        <v>19</v>
      </c>
      <c r="G101" s="12" t="s">
        <v>20</v>
      </c>
      <c r="H101" s="11" t="s">
        <v>21</v>
      </c>
      <c r="I101" s="11" t="s">
        <v>22</v>
      </c>
      <c r="J101" s="13" t="s">
        <v>23</v>
      </c>
      <c r="K101" s="24" t="s">
        <v>24</v>
      </c>
      <c r="L101" s="13" t="s">
        <v>25</v>
      </c>
    </row>
    <row x14ac:dyDescent="0.25" r="102" customHeight="1" ht="33">
      <c r="A102" s="14" t="s">
        <v>26</v>
      </c>
      <c r="B102" s="15">
        <v>205158.30247262874</v>
      </c>
      <c r="C102" s="16">
        <v>0</v>
      </c>
      <c r="D102" s="15">
        <v>190791.47425474253</v>
      </c>
      <c r="E102" s="16">
        <v>0</v>
      </c>
      <c r="F102" s="17"/>
      <c r="G102" s="16">
        <v>0</v>
      </c>
      <c r="H102" s="15">
        <v>97598.72480000001</v>
      </c>
      <c r="I102" s="15">
        <v>601108.0792</v>
      </c>
      <c r="J102" s="17"/>
      <c r="K102" s="18">
        <v>3</v>
      </c>
      <c r="L102" s="17"/>
    </row>
    <row x14ac:dyDescent="0.25" r="103" customHeight="1" ht="33">
      <c r="A103" s="14" t="s">
        <v>27</v>
      </c>
      <c r="B103" s="15">
        <v>189225.9648791328</v>
      </c>
      <c r="C103" s="16">
        <v>0</v>
      </c>
      <c r="D103" s="15">
        <v>865418.2838417344</v>
      </c>
      <c r="E103" s="16">
        <v>0</v>
      </c>
      <c r="F103" s="17"/>
      <c r="G103" s="16">
        <v>0</v>
      </c>
      <c r="H103" s="15">
        <v>43653.439600000005</v>
      </c>
      <c r="I103" s="15">
        <v>1243870.2136000001</v>
      </c>
      <c r="J103" s="18">
        <v>2</v>
      </c>
      <c r="K103" s="18">
        <v>24</v>
      </c>
      <c r="L103" s="17"/>
    </row>
    <row x14ac:dyDescent="0.25" r="104" customHeight="1" ht="33">
      <c r="A104" s="14" t="s">
        <v>28</v>
      </c>
      <c r="B104" s="15">
        <v>544482.4021810299</v>
      </c>
      <c r="C104" s="16">
        <v>0</v>
      </c>
      <c r="D104" s="15">
        <v>742584.7472379402</v>
      </c>
      <c r="E104" s="16">
        <v>0</v>
      </c>
      <c r="F104" s="17"/>
      <c r="G104" s="16">
        <v>0</v>
      </c>
      <c r="H104" s="15">
        <v>175917.57160000002</v>
      </c>
      <c r="I104" s="15">
        <v>1831549.5516000001</v>
      </c>
      <c r="J104" s="18">
        <v>21</v>
      </c>
      <c r="K104" s="18">
        <v>29</v>
      </c>
      <c r="L104" s="18">
        <v>1</v>
      </c>
    </row>
    <row x14ac:dyDescent="0.25" r="105" customHeight="1" ht="33">
      <c r="A105" s="14" t="s">
        <v>29</v>
      </c>
      <c r="B105" s="15">
        <v>0</v>
      </c>
      <c r="C105" s="16">
        <v>0</v>
      </c>
      <c r="D105" s="15">
        <v>302510.4124</v>
      </c>
      <c r="E105" s="16">
        <v>0</v>
      </c>
      <c r="F105" s="17"/>
      <c r="G105" s="16">
        <v>0</v>
      </c>
      <c r="H105" s="15">
        <v>3249.9412</v>
      </c>
      <c r="I105" s="15">
        <v>302510.4124</v>
      </c>
      <c r="J105" s="18"/>
      <c r="K105" s="18">
        <v>6</v>
      </c>
      <c r="L105" s="18"/>
    </row>
    <row x14ac:dyDescent="0.25" r="106" customHeight="1" ht="18.75">
      <c r="A106" s="14" t="s">
        <v>30</v>
      </c>
      <c r="B106" s="15">
        <v>0</v>
      </c>
      <c r="C106" s="19">
        <v>0</v>
      </c>
      <c r="D106" s="15">
        <v>7760.230000000001</v>
      </c>
      <c r="E106" s="19">
        <v>0</v>
      </c>
      <c r="F106" s="20"/>
      <c r="G106" s="19">
        <v>0</v>
      </c>
      <c r="H106" s="15">
        <v>400</v>
      </c>
      <c r="I106" s="15">
        <v>7760.230000000001</v>
      </c>
      <c r="J106" s="18">
        <v>5</v>
      </c>
      <c r="K106" s="18">
        <v>11</v>
      </c>
      <c r="L106" s="18"/>
    </row>
    <row x14ac:dyDescent="0.25" r="107" customHeight="1" ht="18.75">
      <c r="A107" s="14" t="s">
        <v>31</v>
      </c>
      <c r="B107" s="15">
        <v>70055.06681626017</v>
      </c>
      <c r="C107" s="19">
        <v>0</v>
      </c>
      <c r="D107" s="15">
        <v>21820.660367479675</v>
      </c>
      <c r="E107" s="19">
        <v>0</v>
      </c>
      <c r="F107" s="20"/>
      <c r="G107" s="19">
        <v>0</v>
      </c>
      <c r="H107" s="15">
        <v>997660.8336000002</v>
      </c>
      <c r="I107" s="15">
        <v>161930.794</v>
      </c>
      <c r="J107" s="18">
        <v>44</v>
      </c>
      <c r="K107" s="18">
        <v>343</v>
      </c>
      <c r="L107" s="18">
        <v>25</v>
      </c>
    </row>
    <row x14ac:dyDescent="0.25" r="108" customHeight="1" ht="18.75">
      <c r="A108" s="14" t="s">
        <v>32</v>
      </c>
      <c r="B108" s="15">
        <v>0</v>
      </c>
      <c r="C108" s="19">
        <v>0</v>
      </c>
      <c r="D108" s="15">
        <v>0</v>
      </c>
      <c r="E108" s="19">
        <v>0</v>
      </c>
      <c r="F108" s="20"/>
      <c r="G108" s="19">
        <v>0</v>
      </c>
      <c r="H108" s="15">
        <v>97772.7408</v>
      </c>
      <c r="I108" s="15">
        <v>0</v>
      </c>
      <c r="J108" s="18">
        <v>2</v>
      </c>
      <c r="K108" s="18">
        <v>2</v>
      </c>
      <c r="L108" s="18"/>
    </row>
    <row x14ac:dyDescent="0.25" r="109" customHeight="1" ht="18.75">
      <c r="A109" s="14" t="s">
        <v>33</v>
      </c>
      <c r="B109" s="15">
        <v>61299.00924878048</v>
      </c>
      <c r="C109" s="19">
        <v>0</v>
      </c>
      <c r="D109" s="15">
        <v>2138.243902439024</v>
      </c>
      <c r="E109" s="19">
        <v>0</v>
      </c>
      <c r="F109" s="20"/>
      <c r="G109" s="19">
        <v>0</v>
      </c>
      <c r="H109" s="15">
        <v>16136.301599999999</v>
      </c>
      <c r="I109" s="15">
        <v>124736.2624</v>
      </c>
      <c r="J109" s="18">
        <v>7</v>
      </c>
      <c r="K109" s="20"/>
      <c r="L109" s="18">
        <v>1</v>
      </c>
    </row>
    <row x14ac:dyDescent="0.25" r="110" customHeight="1" ht="18.75">
      <c r="A110" s="14" t="s">
        <v>34</v>
      </c>
      <c r="B110" s="15"/>
      <c r="C110" s="19">
        <v>0</v>
      </c>
      <c r="D110" s="15"/>
      <c r="E110" s="19">
        <v>0</v>
      </c>
      <c r="F110" s="20"/>
      <c r="G110" s="19">
        <v>0</v>
      </c>
      <c r="H110" s="21"/>
      <c r="I110" s="15"/>
      <c r="J110" s="18"/>
      <c r="K110" s="20"/>
      <c r="L110" s="18"/>
    </row>
    <row x14ac:dyDescent="0.25" r="111" customHeight="1" ht="18.75">
      <c r="A111" s="22"/>
      <c r="B111" s="2"/>
      <c r="C111" s="3"/>
      <c r="D111" s="2"/>
      <c r="E111" s="3"/>
      <c r="F111" s="4"/>
      <c r="G111" s="3"/>
      <c r="H111" s="2"/>
      <c r="I111" s="2"/>
      <c r="J111" s="4"/>
      <c r="K111" s="4"/>
      <c r="L111" s="4"/>
    </row>
    <row x14ac:dyDescent="0.25" r="112" customHeight="1" ht="18.75">
      <c r="A112" s="6">
        <v>45200</v>
      </c>
      <c r="B112" s="2"/>
      <c r="C112" s="3"/>
      <c r="D112" s="2"/>
      <c r="E112" s="3"/>
      <c r="F112" s="4"/>
      <c r="G112" s="3"/>
      <c r="H112" s="2"/>
      <c r="I112" s="2"/>
      <c r="J112" s="4"/>
      <c r="K112" s="4"/>
      <c r="L112" s="4"/>
    </row>
    <row x14ac:dyDescent="0.25" r="113" customHeight="1" ht="33">
      <c r="A113" s="10" t="s">
        <v>14</v>
      </c>
      <c r="B113" s="11" t="s">
        <v>15</v>
      </c>
      <c r="C113" s="12" t="s">
        <v>16</v>
      </c>
      <c r="D113" s="11" t="s">
        <v>17</v>
      </c>
      <c r="E113" s="12" t="s">
        <v>18</v>
      </c>
      <c r="F113" s="13" t="s">
        <v>19</v>
      </c>
      <c r="G113" s="12" t="s">
        <v>20</v>
      </c>
      <c r="H113" s="11" t="s">
        <v>21</v>
      </c>
      <c r="I113" s="11" t="s">
        <v>22</v>
      </c>
      <c r="J113" s="13" t="s">
        <v>23</v>
      </c>
      <c r="K113" s="24" t="s">
        <v>24</v>
      </c>
      <c r="L113" s="13" t="s">
        <v>25</v>
      </c>
    </row>
    <row x14ac:dyDescent="0.25" r="114" customHeight="1" ht="33">
      <c r="A114" s="14" t="s">
        <v>26</v>
      </c>
      <c r="B114" s="15">
        <v>157972.6633582656</v>
      </c>
      <c r="C114" s="16">
        <v>0</v>
      </c>
      <c r="D114" s="15">
        <v>351314.3468834688</v>
      </c>
      <c r="E114" s="16">
        <v>0</v>
      </c>
      <c r="F114" s="17"/>
      <c r="G114" s="16">
        <v>0</v>
      </c>
      <c r="H114" s="15">
        <v>70336.9988</v>
      </c>
      <c r="I114" s="15">
        <v>667259.6736000001</v>
      </c>
      <c r="J114" s="17"/>
      <c r="K114" s="18">
        <v>2</v>
      </c>
      <c r="L114" s="17"/>
    </row>
    <row x14ac:dyDescent="0.25" r="115" customHeight="1" ht="33">
      <c r="A115" s="14" t="s">
        <v>27</v>
      </c>
      <c r="B115" s="15">
        <v>183200.8803376694</v>
      </c>
      <c r="C115" s="16">
        <v>0</v>
      </c>
      <c r="D115" s="15">
        <v>689072.2273246612</v>
      </c>
      <c r="E115" s="16">
        <v>0</v>
      </c>
      <c r="F115" s="18">
        <v>1557.8400000000001</v>
      </c>
      <c r="G115" s="16">
        <v>0</v>
      </c>
      <c r="H115" s="15">
        <v>30289.5784</v>
      </c>
      <c r="I115" s="15">
        <v>1055473.9880000001</v>
      </c>
      <c r="J115" s="18">
        <v>2</v>
      </c>
      <c r="K115" s="18">
        <v>24</v>
      </c>
      <c r="L115" s="18">
        <v>2</v>
      </c>
    </row>
    <row x14ac:dyDescent="0.25" r="116" customHeight="1" ht="33">
      <c r="A116" s="14" t="s">
        <v>28</v>
      </c>
      <c r="B116" s="15">
        <v>427525.1336525745</v>
      </c>
      <c r="C116" s="16">
        <v>0</v>
      </c>
      <c r="D116" s="15">
        <v>746131.7246948509</v>
      </c>
      <c r="E116" s="16">
        <v>0</v>
      </c>
      <c r="F116" s="18">
        <v>98787.76000000001</v>
      </c>
      <c r="G116" s="16">
        <v>0</v>
      </c>
      <c r="H116" s="15">
        <v>94710.898</v>
      </c>
      <c r="I116" s="15">
        <v>1601181.9919999999</v>
      </c>
      <c r="J116" s="18">
        <v>15</v>
      </c>
      <c r="K116" s="18">
        <v>24</v>
      </c>
      <c r="L116" s="18">
        <v>2</v>
      </c>
    </row>
    <row x14ac:dyDescent="0.25" r="117" customHeight="1" ht="33">
      <c r="A117" s="14" t="s">
        <v>29</v>
      </c>
      <c r="B117" s="15">
        <v>79229.61877181572</v>
      </c>
      <c r="C117" s="16">
        <v>0</v>
      </c>
      <c r="D117" s="15">
        <v>181372.17405636856</v>
      </c>
      <c r="E117" s="16">
        <v>0</v>
      </c>
      <c r="F117" s="18"/>
      <c r="G117" s="16">
        <v>0</v>
      </c>
      <c r="H117" s="15">
        <v>16694.9988</v>
      </c>
      <c r="I117" s="15">
        <v>339831.4116</v>
      </c>
      <c r="J117" s="18"/>
      <c r="K117" s="18">
        <v>2</v>
      </c>
      <c r="L117" s="18"/>
    </row>
    <row x14ac:dyDescent="0.25" r="118" customHeight="1" ht="18.75">
      <c r="A118" s="14" t="s">
        <v>30</v>
      </c>
      <c r="B118" s="15">
        <v>13022.22087696477</v>
      </c>
      <c r="C118" s="19">
        <v>0</v>
      </c>
      <c r="D118" s="15">
        <v>170950.29104607046</v>
      </c>
      <c r="E118" s="19">
        <v>0</v>
      </c>
      <c r="F118" s="18"/>
      <c r="G118" s="19">
        <v>0</v>
      </c>
      <c r="H118" s="15">
        <v>17985.8128</v>
      </c>
      <c r="I118" s="15">
        <v>196994.73280000003</v>
      </c>
      <c r="J118" s="18">
        <v>10</v>
      </c>
      <c r="K118" s="18">
        <v>4</v>
      </c>
      <c r="L118" s="18">
        <v>4</v>
      </c>
    </row>
    <row x14ac:dyDescent="0.25" r="119" customHeight="1" ht="18.75">
      <c r="A119" s="14" t="s">
        <v>31</v>
      </c>
      <c r="B119" s="15">
        <v>95038.15014471544</v>
      </c>
      <c r="C119" s="19">
        <v>0</v>
      </c>
      <c r="D119" s="15">
        <v>90141.44171056911</v>
      </c>
      <c r="E119" s="19">
        <v>0</v>
      </c>
      <c r="F119" s="18"/>
      <c r="G119" s="19">
        <v>0</v>
      </c>
      <c r="H119" s="15">
        <v>1286769.6156000001</v>
      </c>
      <c r="I119" s="15">
        <v>280217.74199999997</v>
      </c>
      <c r="J119" s="18">
        <v>55</v>
      </c>
      <c r="K119" s="18">
        <v>419</v>
      </c>
      <c r="L119" s="18">
        <v>32</v>
      </c>
    </row>
    <row x14ac:dyDescent="0.25" r="120" customHeight="1" ht="18.75">
      <c r="A120" s="14" t="s">
        <v>32</v>
      </c>
      <c r="B120" s="15">
        <v>1543.776661788618</v>
      </c>
      <c r="C120" s="19">
        <v>0</v>
      </c>
      <c r="D120" s="15">
        <v>1443.642276422764</v>
      </c>
      <c r="E120" s="19">
        <v>0</v>
      </c>
      <c r="F120" s="18"/>
      <c r="G120" s="19">
        <v>0</v>
      </c>
      <c r="H120" s="15">
        <v>125</v>
      </c>
      <c r="I120" s="15">
        <v>4531.1956</v>
      </c>
      <c r="J120" s="18">
        <v>1</v>
      </c>
      <c r="K120" s="18">
        <v>1</v>
      </c>
      <c r="L120" s="18">
        <v>1</v>
      </c>
    </row>
    <row x14ac:dyDescent="0.25" r="121" customHeight="1" ht="18.75">
      <c r="A121" s="14" t="s">
        <v>33</v>
      </c>
      <c r="B121" s="15">
        <v>23093.04468130081</v>
      </c>
      <c r="C121" s="19">
        <v>0</v>
      </c>
      <c r="D121" s="15">
        <v>3563.7398373983733</v>
      </c>
      <c r="E121" s="19">
        <v>0</v>
      </c>
      <c r="F121" s="20"/>
      <c r="G121" s="19">
        <v>0</v>
      </c>
      <c r="H121" s="15">
        <v>9842.4828</v>
      </c>
      <c r="I121" s="15">
        <v>49749.82920000001</v>
      </c>
      <c r="J121" s="18">
        <v>8</v>
      </c>
      <c r="K121" s="18">
        <v>2</v>
      </c>
      <c r="L121" s="18">
        <v>3</v>
      </c>
    </row>
    <row x14ac:dyDescent="0.25" r="122" customHeight="1" ht="18.75">
      <c r="A122" s="14" t="s">
        <v>34</v>
      </c>
      <c r="B122" s="21"/>
      <c r="C122" s="19">
        <v>0</v>
      </c>
      <c r="D122" s="15"/>
      <c r="E122" s="19">
        <v>0</v>
      </c>
      <c r="F122" s="20"/>
      <c r="G122" s="19">
        <v>0</v>
      </c>
      <c r="H122" s="15"/>
      <c r="I122" s="15"/>
      <c r="J122" s="18"/>
      <c r="K122" s="18"/>
      <c r="L122" s="20"/>
    </row>
    <row x14ac:dyDescent="0.25" r="123" customHeight="1" ht="18.75">
      <c r="A123" s="22"/>
      <c r="B123" s="2"/>
      <c r="C123" s="3"/>
      <c r="D123" s="2"/>
      <c r="E123" s="3"/>
      <c r="F123" s="4"/>
      <c r="G123" s="3"/>
      <c r="H123" s="2"/>
      <c r="I123" s="2"/>
      <c r="J123" s="4"/>
      <c r="K123" s="4"/>
      <c r="L123" s="4"/>
    </row>
    <row x14ac:dyDescent="0.25" r="124" customHeight="1" ht="18.75">
      <c r="A124" s="6">
        <v>45231</v>
      </c>
      <c r="B124" s="2"/>
      <c r="C124" s="3"/>
      <c r="D124" s="2"/>
      <c r="E124" s="3"/>
      <c r="F124" s="4"/>
      <c r="G124" s="3"/>
      <c r="H124" s="2"/>
      <c r="I124" s="2"/>
      <c r="J124" s="4"/>
      <c r="K124" s="4"/>
      <c r="L124" s="4"/>
    </row>
    <row x14ac:dyDescent="0.25" r="125" customHeight="1" ht="33">
      <c r="A125" s="10" t="s">
        <v>14</v>
      </c>
      <c r="B125" s="11" t="s">
        <v>15</v>
      </c>
      <c r="C125" s="12" t="s">
        <v>16</v>
      </c>
      <c r="D125" s="11" t="s">
        <v>17</v>
      </c>
      <c r="E125" s="12" t="s">
        <v>18</v>
      </c>
      <c r="F125" s="13" t="s">
        <v>19</v>
      </c>
      <c r="G125" s="12" t="s">
        <v>20</v>
      </c>
      <c r="H125" s="11" t="s">
        <v>21</v>
      </c>
      <c r="I125" s="11" t="s">
        <v>22</v>
      </c>
      <c r="J125" s="13" t="s">
        <v>23</v>
      </c>
      <c r="K125" s="24" t="s">
        <v>24</v>
      </c>
      <c r="L125" s="13" t="s">
        <v>25</v>
      </c>
    </row>
    <row x14ac:dyDescent="0.25" r="126" customHeight="1" ht="33">
      <c r="A126" s="14" t="s">
        <v>26</v>
      </c>
      <c r="B126" s="15">
        <v>70520.0557100271</v>
      </c>
      <c r="C126" s="16">
        <v>0</v>
      </c>
      <c r="D126" s="15">
        <v>234441.9945799458</v>
      </c>
      <c r="E126" s="16">
        <v>0</v>
      </c>
      <c r="F126" s="17"/>
      <c r="G126" s="16">
        <v>0</v>
      </c>
      <c r="H126" s="15">
        <v>171283.44719999997</v>
      </c>
      <c r="I126" s="15">
        <v>375482.106</v>
      </c>
      <c r="J126" s="18">
        <v>7</v>
      </c>
      <c r="K126" s="18">
        <v>3</v>
      </c>
      <c r="L126" s="18">
        <v>3</v>
      </c>
    </row>
    <row x14ac:dyDescent="0.25" r="127" customHeight="1" ht="33">
      <c r="A127" s="14" t="s">
        <v>27</v>
      </c>
      <c r="B127" s="15">
        <v>56218.2259398374</v>
      </c>
      <c r="C127" s="16">
        <v>0</v>
      </c>
      <c r="D127" s="15">
        <v>473830.1789203253</v>
      </c>
      <c r="E127" s="16">
        <v>0</v>
      </c>
      <c r="F127" s="17"/>
      <c r="G127" s="16">
        <v>0</v>
      </c>
      <c r="H127" s="15">
        <v>25103.142</v>
      </c>
      <c r="I127" s="15">
        <v>586266.6308</v>
      </c>
      <c r="J127" s="18">
        <v>2</v>
      </c>
      <c r="K127" s="18">
        <v>26</v>
      </c>
      <c r="L127" s="18"/>
    </row>
    <row x14ac:dyDescent="0.25" r="128" customHeight="1" ht="33">
      <c r="A128" s="14" t="s">
        <v>28</v>
      </c>
      <c r="B128" s="15">
        <v>795758.939872087</v>
      </c>
      <c r="C128" s="16">
        <v>0</v>
      </c>
      <c r="D128" s="15">
        <v>1315522.8930558264</v>
      </c>
      <c r="E128" s="16">
        <v>0</v>
      </c>
      <c r="F128" s="25">
        <v>10379.93</v>
      </c>
      <c r="G128" s="16">
        <v>0</v>
      </c>
      <c r="H128" s="15">
        <v>217868.69960000002</v>
      </c>
      <c r="I128" s="15">
        <v>2907040.7727999995</v>
      </c>
      <c r="J128" s="18">
        <v>5</v>
      </c>
      <c r="K128" s="18">
        <v>22</v>
      </c>
      <c r="L128" s="18">
        <v>3</v>
      </c>
    </row>
    <row x14ac:dyDescent="0.25" r="129" customHeight="1" ht="33">
      <c r="A129" s="14" t="s">
        <v>29</v>
      </c>
      <c r="B129" s="15"/>
      <c r="C129" s="16">
        <v>0</v>
      </c>
      <c r="D129" s="15"/>
      <c r="E129" s="16">
        <v>0</v>
      </c>
      <c r="F129" s="17"/>
      <c r="G129" s="16">
        <v>0</v>
      </c>
      <c r="H129" s="15"/>
      <c r="I129" s="15"/>
      <c r="J129" s="18"/>
      <c r="K129" s="18"/>
      <c r="L129" s="18"/>
    </row>
    <row x14ac:dyDescent="0.25" r="130" customHeight="1" ht="18.75">
      <c r="A130" s="14" t="s">
        <v>30</v>
      </c>
      <c r="B130" s="15">
        <v>44667.733532520324</v>
      </c>
      <c r="C130" s="19">
        <v>0</v>
      </c>
      <c r="D130" s="15">
        <v>111656.87693495935</v>
      </c>
      <c r="E130" s="19">
        <v>0</v>
      </c>
      <c r="F130" s="20"/>
      <c r="G130" s="19">
        <v>0</v>
      </c>
      <c r="H130" s="15">
        <v>20994.6868</v>
      </c>
      <c r="I130" s="15">
        <v>200992.34400000004</v>
      </c>
      <c r="J130" s="18">
        <v>7</v>
      </c>
      <c r="K130" s="18">
        <v>3</v>
      </c>
      <c r="L130" s="18">
        <v>3</v>
      </c>
    </row>
    <row x14ac:dyDescent="0.25" r="131" customHeight="1" ht="18.75">
      <c r="A131" s="14" t="s">
        <v>31</v>
      </c>
      <c r="B131" s="15">
        <v>131035.8579734417</v>
      </c>
      <c r="C131" s="19">
        <v>0</v>
      </c>
      <c r="D131" s="15">
        <v>414600.36365311657</v>
      </c>
      <c r="E131" s="19">
        <v>0</v>
      </c>
      <c r="F131" s="20"/>
      <c r="G131" s="19">
        <v>0</v>
      </c>
      <c r="H131" s="15">
        <v>1156911.1799999992</v>
      </c>
      <c r="I131" s="15">
        <v>676672.0795999999</v>
      </c>
      <c r="J131" s="18">
        <v>43</v>
      </c>
      <c r="K131" s="18">
        <v>293</v>
      </c>
      <c r="L131" s="18">
        <v>16</v>
      </c>
    </row>
    <row x14ac:dyDescent="0.25" r="132" customHeight="1" ht="18.75">
      <c r="A132" s="14" t="s">
        <v>32</v>
      </c>
      <c r="B132" s="15"/>
      <c r="C132" s="19">
        <v>0</v>
      </c>
      <c r="D132" s="15"/>
      <c r="E132" s="19">
        <v>0</v>
      </c>
      <c r="F132" s="20"/>
      <c r="G132" s="19">
        <v>0</v>
      </c>
      <c r="H132" s="15"/>
      <c r="I132" s="15"/>
      <c r="J132" s="18">
        <v>1</v>
      </c>
      <c r="K132" s="18">
        <v>1</v>
      </c>
      <c r="L132" s="18"/>
    </row>
    <row x14ac:dyDescent="0.25" r="133" customHeight="1" ht="18.75">
      <c r="A133" s="14" t="s">
        <v>33</v>
      </c>
      <c r="B133" s="15">
        <v>16067.465081300814</v>
      </c>
      <c r="C133" s="19">
        <v>0</v>
      </c>
      <c r="D133" s="15">
        <v>3813.637037398373</v>
      </c>
      <c r="E133" s="19">
        <v>0</v>
      </c>
      <c r="F133" s="20"/>
      <c r="G133" s="19">
        <v>0</v>
      </c>
      <c r="H133" s="15">
        <v>8561.6564</v>
      </c>
      <c r="I133" s="15">
        <v>35948.5672</v>
      </c>
      <c r="J133" s="18">
        <v>7</v>
      </c>
      <c r="K133" s="20"/>
      <c r="L133" s="18">
        <v>1</v>
      </c>
    </row>
    <row x14ac:dyDescent="0.25" r="134" customHeight="1" ht="18.75">
      <c r="A134" s="14" t="s">
        <v>34</v>
      </c>
      <c r="B134" s="15"/>
      <c r="C134" s="19">
        <v>0</v>
      </c>
      <c r="D134" s="15"/>
      <c r="E134" s="19">
        <v>0</v>
      </c>
      <c r="F134" s="20"/>
      <c r="G134" s="19">
        <v>0</v>
      </c>
      <c r="H134" s="15"/>
      <c r="I134" s="15"/>
      <c r="J134" s="18"/>
      <c r="K134" s="20"/>
      <c r="L134" s="20"/>
    </row>
    <row x14ac:dyDescent="0.25" r="135" customHeight="1" ht="18.75">
      <c r="A135" s="22"/>
      <c r="B135" s="2"/>
      <c r="C135" s="3"/>
      <c r="D135" s="2"/>
      <c r="E135" s="3"/>
      <c r="F135" s="4"/>
      <c r="G135" s="3"/>
      <c r="H135" s="2"/>
      <c r="I135" s="2"/>
      <c r="J135" s="4"/>
      <c r="K135" s="4"/>
      <c r="L135" s="4"/>
    </row>
    <row x14ac:dyDescent="0.25" r="136" customHeight="1" ht="18.75">
      <c r="A136" s="6">
        <v>45261</v>
      </c>
      <c r="B136" s="2"/>
      <c r="C136" s="3"/>
      <c r="D136" s="2"/>
      <c r="E136" s="3"/>
      <c r="F136" s="4"/>
      <c r="G136" s="3"/>
      <c r="H136" s="2"/>
      <c r="I136" s="2"/>
      <c r="J136" s="4"/>
      <c r="K136" s="4"/>
      <c r="L136" s="4"/>
    </row>
    <row x14ac:dyDescent="0.25" r="137" customHeight="1" ht="33">
      <c r="A137" s="10" t="s">
        <v>14</v>
      </c>
      <c r="B137" s="11" t="s">
        <v>15</v>
      </c>
      <c r="C137" s="12" t="s">
        <v>16</v>
      </c>
      <c r="D137" s="11" t="s">
        <v>17</v>
      </c>
      <c r="E137" s="12" t="s">
        <v>18</v>
      </c>
      <c r="F137" s="13" t="s">
        <v>19</v>
      </c>
      <c r="G137" s="12" t="s">
        <v>20</v>
      </c>
      <c r="H137" s="11" t="s">
        <v>21</v>
      </c>
      <c r="I137" s="11" t="s">
        <v>22</v>
      </c>
      <c r="J137" s="13" t="s">
        <v>23</v>
      </c>
      <c r="K137" s="24" t="s">
        <v>24</v>
      </c>
      <c r="L137" s="13" t="s">
        <v>25</v>
      </c>
    </row>
    <row x14ac:dyDescent="0.25" r="138" customHeight="1" ht="33">
      <c r="A138" s="14" t="s">
        <v>26</v>
      </c>
      <c r="B138" s="15">
        <v>83862.88952520325</v>
      </c>
      <c r="C138" s="16">
        <v>0</v>
      </c>
      <c r="D138" s="15">
        <v>457859.1189495935</v>
      </c>
      <c r="E138" s="16">
        <v>0</v>
      </c>
      <c r="F138" s="17"/>
      <c r="G138" s="16">
        <v>0</v>
      </c>
      <c r="H138" s="15">
        <v>34093.7856</v>
      </c>
      <c r="I138" s="15">
        <v>625584.898</v>
      </c>
      <c r="J138" s="18">
        <v>2</v>
      </c>
      <c r="K138" s="18">
        <v>6</v>
      </c>
      <c r="L138" s="17"/>
    </row>
    <row x14ac:dyDescent="0.25" r="139" customHeight="1" ht="33">
      <c r="A139" s="14" t="s">
        <v>27</v>
      </c>
      <c r="B139" s="15">
        <v>135502.50641517618</v>
      </c>
      <c r="C139" s="16">
        <v>0</v>
      </c>
      <c r="D139" s="15">
        <v>771053.7375696478</v>
      </c>
      <c r="E139" s="16">
        <v>0</v>
      </c>
      <c r="F139" s="17"/>
      <c r="G139" s="16">
        <v>0</v>
      </c>
      <c r="H139" s="15">
        <v>32097.946</v>
      </c>
      <c r="I139" s="15">
        <v>1042058.7503999999</v>
      </c>
      <c r="J139" s="18">
        <v>1</v>
      </c>
      <c r="K139" s="18">
        <v>24</v>
      </c>
      <c r="L139" s="17"/>
    </row>
    <row x14ac:dyDescent="0.25" r="140" customHeight="1" ht="33">
      <c r="A140" s="14" t="s">
        <v>28</v>
      </c>
      <c r="B140" s="15">
        <v>83788.38027750676</v>
      </c>
      <c r="C140" s="16">
        <v>0</v>
      </c>
      <c r="D140" s="15">
        <v>85518.54824498645</v>
      </c>
      <c r="E140" s="16">
        <v>0</v>
      </c>
      <c r="F140" s="25">
        <v>144476.79</v>
      </c>
      <c r="G140" s="16">
        <v>0</v>
      </c>
      <c r="H140" s="15">
        <v>34597.9308</v>
      </c>
      <c r="I140" s="15">
        <v>253095.30879999997</v>
      </c>
      <c r="J140" s="18">
        <v>16</v>
      </c>
      <c r="K140" s="18">
        <v>21</v>
      </c>
      <c r="L140" s="18">
        <v>5</v>
      </c>
    </row>
    <row x14ac:dyDescent="0.25" r="141" customHeight="1" ht="33">
      <c r="A141" s="14" t="s">
        <v>29</v>
      </c>
      <c r="B141" s="15">
        <v>32002.06113821138</v>
      </c>
      <c r="C141" s="16">
        <v>0</v>
      </c>
      <c r="D141" s="15">
        <v>4260.357723577236</v>
      </c>
      <c r="E141" s="16">
        <v>0</v>
      </c>
      <c r="F141" s="17"/>
      <c r="G141" s="16">
        <v>0</v>
      </c>
      <c r="H141" s="15">
        <v>7523.2919999999995</v>
      </c>
      <c r="I141" s="15">
        <v>68264.48000000001</v>
      </c>
      <c r="J141" s="18"/>
      <c r="K141" s="18">
        <v>2</v>
      </c>
      <c r="L141" s="18"/>
    </row>
    <row x14ac:dyDescent="0.25" r="142" customHeight="1" ht="18.75">
      <c r="A142" s="14" t="s">
        <v>30</v>
      </c>
      <c r="B142" s="15">
        <v>0</v>
      </c>
      <c r="C142" s="19">
        <v>0</v>
      </c>
      <c r="D142" s="15">
        <v>17995.7356</v>
      </c>
      <c r="E142" s="19">
        <v>0</v>
      </c>
      <c r="F142" s="20"/>
      <c r="G142" s="19">
        <v>0</v>
      </c>
      <c r="H142" s="15">
        <v>3835.75</v>
      </c>
      <c r="I142" s="15">
        <v>17995.7356</v>
      </c>
      <c r="J142" s="18">
        <v>10</v>
      </c>
      <c r="K142" s="18">
        <v>2</v>
      </c>
      <c r="L142" s="18">
        <v>3</v>
      </c>
    </row>
    <row x14ac:dyDescent="0.25" r="143" customHeight="1" ht="18.75">
      <c r="A143" s="14" t="s">
        <v>31</v>
      </c>
      <c r="B143" s="15">
        <v>58534.231453658525</v>
      </c>
      <c r="C143" s="19">
        <v>0</v>
      </c>
      <c r="D143" s="15">
        <v>61736.48669268293</v>
      </c>
      <c r="E143" s="19">
        <v>0</v>
      </c>
      <c r="F143" s="20"/>
      <c r="G143" s="19">
        <v>0</v>
      </c>
      <c r="H143" s="15">
        <v>1030141.5012000008</v>
      </c>
      <c r="I143" s="15">
        <v>178804.9496</v>
      </c>
      <c r="J143" s="18">
        <v>25</v>
      </c>
      <c r="K143" s="18">
        <v>300</v>
      </c>
      <c r="L143" s="18">
        <v>7</v>
      </c>
    </row>
    <row x14ac:dyDescent="0.25" r="144" customHeight="1" ht="18.75">
      <c r="A144" s="14" t="s">
        <v>32</v>
      </c>
      <c r="B144" s="15">
        <v>4217.564416260163</v>
      </c>
      <c r="C144" s="19">
        <v>0</v>
      </c>
      <c r="D144" s="15">
        <v>712.7479674796747</v>
      </c>
      <c r="E144" s="19">
        <v>0</v>
      </c>
      <c r="F144" s="20"/>
      <c r="G144" s="19">
        <v>0</v>
      </c>
      <c r="H144" s="15">
        <v>3845.4216</v>
      </c>
      <c r="I144" s="15">
        <v>9147.8768</v>
      </c>
      <c r="J144" s="18">
        <v>1</v>
      </c>
      <c r="K144" s="18">
        <v>1</v>
      </c>
      <c r="L144" s="18"/>
    </row>
    <row x14ac:dyDescent="0.25" r="145" customHeight="1" ht="18.75">
      <c r="A145" s="14" t="s">
        <v>33</v>
      </c>
      <c r="B145" s="15">
        <v>68755.60044878047</v>
      </c>
      <c r="C145" s="19">
        <v>0</v>
      </c>
      <c r="D145" s="15">
        <v>2138.243902439024</v>
      </c>
      <c r="E145" s="19">
        <v>0</v>
      </c>
      <c r="F145" s="20"/>
      <c r="G145" s="19">
        <v>0</v>
      </c>
      <c r="H145" s="15">
        <v>23749.5556</v>
      </c>
      <c r="I145" s="15">
        <v>139649.44480000003</v>
      </c>
      <c r="J145" s="18">
        <v>8</v>
      </c>
      <c r="K145" s="18"/>
      <c r="L145" s="18">
        <v>2</v>
      </c>
    </row>
    <row x14ac:dyDescent="0.25" r="146" customHeight="1" ht="18.75">
      <c r="A146" s="14" t="s">
        <v>34</v>
      </c>
      <c r="B146" s="21"/>
      <c r="C146" s="19">
        <v>0</v>
      </c>
      <c r="D146" s="15"/>
      <c r="E146" s="19">
        <v>0</v>
      </c>
      <c r="F146" s="20"/>
      <c r="G146" s="19">
        <v>0</v>
      </c>
      <c r="H146" s="21"/>
      <c r="I146" s="21"/>
      <c r="J146" s="18"/>
      <c r="K146" s="20"/>
      <c r="L146" s="2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Reference Sheet</vt:lpstr>
      <vt:lpstr>Summary</vt:lpstr>
      <vt:lpstr>Mixed-Fuel New Construction</vt:lpstr>
      <vt:lpstr>All Electric New Construction</vt:lpstr>
      <vt:lpstr>Mixed Fuel Upgrades Existing</vt:lpstr>
      <vt:lpstr>All Electric Upgrades Existing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2025-08-13T20:36:31.873Z</dcterms:created>
  <dcterms:modified xsi:type="dcterms:W3CDTF">2025-08-13T20:36:31.873Z</dcterms:modified>
</cp:coreProperties>
</file>