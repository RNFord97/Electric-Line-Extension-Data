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8"/>
  <workbookPr defaultThemeVersion="166925"/>
  <mc:AlternateContent xmlns:mc="http://schemas.openxmlformats.org/markup-compatibility/2006">
    <mc:Choice Requires="x15">
      <x15ac:absPath xmlns:x15ac="http://schemas.microsoft.com/office/spreadsheetml/2010/11/ac" url="C:\Users\wvicent\AppData\Local\Microsoft\Windows\INetCache\Content.Outlook\EV3E3MMV\"/>
    </mc:Choice>
  </mc:AlternateContent>
  <xr:revisionPtr revIDLastSave="10" documentId="13_ncr:1_{FAC62410-D115-4E47-8E6E-2E609D0A6D53}" xr6:coauthVersionLast="47" xr6:coauthVersionMax="47" xr10:uidLastSave="{8F586CEE-9B2E-4BE8-83E9-184985428535}"/>
  <bookViews>
    <workbookView xWindow="-110" yWindow="-110" windowWidth="19420" windowHeight="10420" tabRatio="699" firstSheet="1" activeTab="2" xr2:uid="{5A75DE74-B25E-4059-A0A9-40D464A41ACF}"/>
  </bookViews>
  <sheets>
    <sheet name="Reference Sheet" sheetId="4" r:id="rId1"/>
    <sheet name="Summary" sheetId="6" r:id="rId2"/>
    <sheet name="Mixed-Fuel New Construction" sheetId="1" r:id="rId3"/>
    <sheet name="All Electric New Construction" sheetId="2" r:id="rId4"/>
    <sheet name="Mixed Fuel Upgrades Existing" sheetId="5" r:id="rId5"/>
    <sheet name="All Electric Upgrades Existing" sheetId="3"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6" l="1"/>
  <c r="D8" i="6"/>
  <c r="C8" i="6"/>
  <c r="D5" i="6"/>
  <c r="E5" i="6"/>
  <c r="D7" i="6"/>
  <c r="C7" i="6"/>
  <c r="D4" i="6"/>
  <c r="D6" i="6"/>
  <c r="C6" i="6"/>
  <c r="C4" i="6"/>
  <c r="B15" i="2"/>
  <c r="E6" i="6" l="1"/>
  <c r="D10" i="6"/>
  <c r="D18" i="6" s="1"/>
  <c r="C9" i="6"/>
  <c r="E7" i="6"/>
  <c r="F7" i="6" s="1"/>
  <c r="C10" i="6"/>
  <c r="C18" i="6" s="1"/>
  <c r="E18" i="6" s="1"/>
  <c r="E8" i="6"/>
  <c r="F8" i="6" s="1"/>
  <c r="E14" i="6"/>
  <c r="F6" i="6"/>
  <c r="F5" i="6"/>
  <c r="E4" i="6"/>
  <c r="D9" i="6"/>
  <c r="F18" i="6" l="1"/>
  <c r="E10" i="6"/>
  <c r="F10" i="6" s="1"/>
  <c r="F4" i="6"/>
  <c r="E9" i="6"/>
  <c r="F9" i="6" s="1"/>
  <c r="F14" i="6"/>
</calcChain>
</file>

<file path=xl/sharedStrings.xml><?xml version="1.0" encoding="utf-8"?>
<sst xmlns="http://schemas.openxmlformats.org/spreadsheetml/2006/main" count="1143" uniqueCount="54">
  <si>
    <t>Report Due: May 01, 2024</t>
  </si>
  <si>
    <t>Reporting Period: January 01, 2023 - December 31, 2023</t>
  </si>
  <si>
    <t>Report Due: May 01, 2025</t>
  </si>
  <si>
    <t>Reporting Period:  January 01, 2024 - December 31, 2024</t>
  </si>
  <si>
    <t>Report Due: May 01, 2026</t>
  </si>
  <si>
    <t>Reporting Period:  January 01, 2025 - December 31, 2025</t>
  </si>
  <si>
    <t>Note: Beginning 2026,  Refundable Actual Net to Builders and Non-Refundable Actual Net to Builders need to be included in the reported data.</t>
  </si>
  <si>
    <t xml:space="preserve">PG&amp;E - 2023 Line Extension Requests Received (Applications) </t>
  </si>
  <si>
    <t>Customer Class</t>
  </si>
  <si>
    <t>Mixed Fuel</t>
  </si>
  <si>
    <t>All-Electric</t>
  </si>
  <si>
    <t>Total</t>
  </si>
  <si>
    <t>Percent All-Electric</t>
  </si>
  <si>
    <t>Commercial</t>
  </si>
  <si>
    <t>Mixed Use (Commercial / Residential)</t>
  </si>
  <si>
    <t>Residential</t>
  </si>
  <si>
    <t>Industrial</t>
  </si>
  <si>
    <t>Agricultural</t>
  </si>
  <si>
    <t>All Buildings (Comm + Res + Mixed)</t>
  </si>
  <si>
    <t>All Requests (Buildings + Ind + Ag)</t>
  </si>
  <si>
    <t xml:space="preserve">SDG&amp;E - 2023 Line Extension Requests Received (Applications) </t>
  </si>
  <si>
    <t xml:space="preserve">PG&amp;E &amp; SDG&amp;E Combined - 2023 Line Extension Requests Received (Applications) </t>
  </si>
  <si>
    <t>Category: MIXED FUEL NEW CONSTRUCTION</t>
  </si>
  <si>
    <t>Dates to Pull: January 01, 2023 - December 31, 2023</t>
  </si>
  <si>
    <t>Due Date: May 01, 2024</t>
  </si>
  <si>
    <t>*Customer classes vary between IOU's</t>
  </si>
  <si>
    <t>Item 9</t>
  </si>
  <si>
    <t>Item 12</t>
  </si>
  <si>
    <t>Item 7</t>
  </si>
  <si>
    <t>Item 10</t>
  </si>
  <si>
    <t>Item 8</t>
  </si>
  <si>
    <t>Item 11</t>
  </si>
  <si>
    <t>Item 3</t>
  </si>
  <si>
    <t>Item 2</t>
  </si>
  <si>
    <t>Item 1</t>
  </si>
  <si>
    <t>Item 4</t>
  </si>
  <si>
    <t>Item 14</t>
  </si>
  <si>
    <t>Total Discounts (Non-Exempted Projects)</t>
  </si>
  <si>
    <t>Total Discounts (Exempted projects)</t>
  </si>
  <si>
    <t>Total Allowances (Non-Exempted Projects)</t>
  </si>
  <si>
    <t>Total Allowances (Exempted projects)</t>
  </si>
  <si>
    <t>Total Refund Payments Provided to Builders (Non-Exempted Projects)</t>
  </si>
  <si>
    <t>Total Refund Payments Provided to Builders  (Exempted projects)</t>
  </si>
  <si>
    <t xml:space="preserve">Total Estimated Non-Refundable </t>
  </si>
  <si>
    <t xml:space="preserve">Total Estimated Refundable </t>
  </si>
  <si>
    <t>Total Electric Line Extension Requests Received (Applications)</t>
  </si>
  <si>
    <t>Total Electric Line Extensions Energized</t>
  </si>
  <si>
    <t>Total Electric Line Extension Applications for Applicant Install</t>
  </si>
  <si>
    <t>Agency (City, County, Caltrans)</t>
  </si>
  <si>
    <t>Street and Outdoor area Lighting</t>
  </si>
  <si>
    <t>Telecommunications</t>
  </si>
  <si>
    <t>Temporary Services</t>
  </si>
  <si>
    <t xml:space="preserve">Category: All Electric New Construction </t>
  </si>
  <si>
    <t xml:space="preserve">Category: Upgrades to Existing Facilities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</si>
</sst>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6">
    <font>
      <sz val="11"/>
      <color theme="1"/>
      <name val="Calibri"/>
      <family val="2"/>
      <scheme val="minor"/>
    </font>
    <font>
      <sz val="11"/>
      <color theme="1"/>
      <name val="Calibri"/>
      <family val="2"/>
      <scheme val="minor"/>
    </font>
    <font>
      <b/>
      <sz val="11"/>
      <color theme="1"/>
      <name val="Calibri"/>
      <family val="2"/>
      <scheme val="minor"/>
    </font>
    <font>
      <sz val="11"/>
      <color theme="1"/>
      <name val="Aptos"/>
      <family val="2"/>
    </font>
    <font>
      <b/>
      <sz val="11"/>
      <color theme="1"/>
      <name val="Aptos"/>
      <family val="2"/>
    </font>
    <font>
      <b/>
      <sz val="14"/>
      <color theme="1"/>
      <name val="Aptos"/>
      <family val="2"/>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38">
    <xf numFmtId="0" fontId="0" fillId="0" borderId="0" xfId="0"/>
    <xf numFmtId="14" fontId="0" fillId="0" borderId="0" xfId="0" applyNumberFormat="1"/>
    <xf numFmtId="14" fontId="0" fillId="2" borderId="1" xfId="0" applyNumberFormat="1" applyFill="1" applyBorder="1"/>
    <xf numFmtId="0" fontId="0" fillId="0" borderId="0" xfId="0" applyAlignment="1">
      <alignment wrapText="1"/>
    </xf>
    <xf numFmtId="0" fontId="0" fillId="2" borderId="1" xfId="0" applyFill="1" applyBorder="1" applyAlignment="1">
      <alignment horizontal="left" wrapText="1"/>
    </xf>
    <xf numFmtId="0" fontId="0" fillId="2" borderId="1" xfId="0" applyFill="1" applyBorder="1" applyAlignment="1">
      <alignment horizontal="left"/>
    </xf>
    <xf numFmtId="0" fontId="0" fillId="2" borderId="1" xfId="0" applyFill="1" applyBorder="1" applyAlignment="1">
      <alignment wrapText="1"/>
    </xf>
    <xf numFmtId="17" fontId="0" fillId="3" borderId="0" xfId="0" applyNumberFormat="1" applyFill="1"/>
    <xf numFmtId="16" fontId="0" fillId="3" borderId="0" xfId="0" applyNumberFormat="1" applyFill="1"/>
    <xf numFmtId="0" fontId="2" fillId="0" borderId="0" xfId="0" applyFont="1"/>
    <xf numFmtId="3" fontId="0" fillId="0" borderId="1" xfId="0" applyNumberFormat="1" applyBorder="1"/>
    <xf numFmtId="0" fontId="0" fillId="0" borderId="1" xfId="0" applyBorder="1"/>
    <xf numFmtId="0" fontId="0" fillId="0" borderId="1" xfId="0" applyBorder="1" applyAlignment="1">
      <alignment wrapText="1"/>
    </xf>
    <xf numFmtId="0" fontId="0" fillId="0" borderId="1" xfId="0" applyBorder="1" applyAlignment="1">
      <alignment horizontal="left" wrapText="1"/>
    </xf>
    <xf numFmtId="44" fontId="0" fillId="0" borderId="1" xfId="1" applyFont="1" applyFill="1" applyBorder="1" applyAlignment="1">
      <alignment wrapText="1"/>
    </xf>
    <xf numFmtId="44" fontId="0" fillId="0" borderId="1" xfId="1" applyFont="1" applyFill="1" applyBorder="1"/>
    <xf numFmtId="164" fontId="0" fillId="0" borderId="1" xfId="0" applyNumberFormat="1" applyBorder="1"/>
    <xf numFmtId="3" fontId="0" fillId="0" borderId="0" xfId="0" applyNumberFormat="1"/>
    <xf numFmtId="0" fontId="0" fillId="0" borderId="2" xfId="0" applyBorder="1" applyAlignment="1">
      <alignment wrapText="1"/>
    </xf>
    <xf numFmtId="0" fontId="0" fillId="0" borderId="2" xfId="0" applyBorder="1"/>
    <xf numFmtId="0" fontId="0" fillId="0" borderId="3" xfId="0" applyBorder="1" applyAlignment="1">
      <alignment wrapText="1"/>
    </xf>
    <xf numFmtId="164" fontId="0" fillId="0" borderId="0" xfId="0" applyNumberFormat="1"/>
    <xf numFmtId="0" fontId="3" fillId="0" borderId="0" xfId="0" applyFont="1" applyAlignment="1">
      <alignment horizontal="left"/>
    </xf>
    <xf numFmtId="3" fontId="3" fillId="0" borderId="10" xfId="0" applyNumberFormat="1" applyFont="1" applyBorder="1" applyAlignment="1">
      <alignment horizontal="left"/>
    </xf>
    <xf numFmtId="3" fontId="3" fillId="0" borderId="1" xfId="0" applyNumberFormat="1" applyFont="1" applyBorder="1" applyAlignment="1">
      <alignment horizontal="left"/>
    </xf>
    <xf numFmtId="0" fontId="4" fillId="0" borderId="0" xfId="0" applyFont="1" applyAlignment="1">
      <alignment horizontal="left"/>
    </xf>
    <xf numFmtId="0" fontId="3" fillId="0" borderId="4" xfId="0" applyFont="1" applyBorder="1" applyAlignment="1">
      <alignment horizontal="left"/>
    </xf>
    <xf numFmtId="3" fontId="3" fillId="0" borderId="5" xfId="0" applyNumberFormat="1" applyFont="1" applyBorder="1" applyAlignment="1">
      <alignment horizontal="left"/>
    </xf>
    <xf numFmtId="10" fontId="3" fillId="0" borderId="6" xfId="2" applyNumberFormat="1" applyFont="1" applyBorder="1" applyAlignment="1">
      <alignment horizontal="left"/>
    </xf>
    <xf numFmtId="0" fontId="3" fillId="0" borderId="7" xfId="0" applyFont="1" applyBorder="1" applyAlignment="1">
      <alignment horizontal="left"/>
    </xf>
    <xf numFmtId="10" fontId="3" fillId="0" borderId="8" xfId="2" applyNumberFormat="1" applyFont="1" applyBorder="1" applyAlignment="1">
      <alignment horizontal="left"/>
    </xf>
    <xf numFmtId="0" fontId="3" fillId="0" borderId="9" xfId="0" applyFont="1" applyBorder="1" applyAlignment="1">
      <alignment horizontal="left"/>
    </xf>
    <xf numFmtId="10" fontId="3" fillId="0" borderId="11" xfId="2" applyNumberFormat="1" applyFont="1" applyBorder="1" applyAlignment="1">
      <alignment horizontal="left"/>
    </xf>
    <xf numFmtId="0" fontId="3" fillId="0" borderId="12" xfId="0" applyFont="1" applyBorder="1" applyAlignment="1">
      <alignment horizontal="left"/>
    </xf>
    <xf numFmtId="3" fontId="3" fillId="0" borderId="13" xfId="0" applyNumberFormat="1" applyFont="1" applyBorder="1" applyAlignment="1">
      <alignment horizontal="left"/>
    </xf>
    <xf numFmtId="10" fontId="3" fillId="0" borderId="14" xfId="2" applyNumberFormat="1" applyFont="1" applyBorder="1" applyAlignment="1">
      <alignment horizontal="left"/>
    </xf>
    <xf numFmtId="0" fontId="3" fillId="0" borderId="0" xfId="0" applyFont="1" applyAlignment="1">
      <alignment horizontal="left" wrapText="1"/>
    </xf>
    <xf numFmtId="0" fontId="5" fillId="0" borderId="0" xfId="0" applyFont="1" applyAlignment="1">
      <alignment horizontal="center"/>
    </xf>
  </cellXfs>
  <cellStyles count="3">
    <cellStyle name="Currency" xfId="1" builtinId="4"/>
    <cellStyle name="Normal" xfId="0" builtinId="0"/>
    <cellStyle name="Percent" xfId="2" builtinId="5"/>
  </cellStyles>
  <dxfs count="0"/>
  <tableStyles count="0" defaultTableStyle="TableStyleMedium2" defaultPivotStyle="PivotStyleLight16"/>
  <colors>
    <mruColors>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2.bin"/></Relationships>
</file>

<file path=xl/worksheets/_rels/sheet4.xml.rels><?xml version="1.0" encoding="UTF-8" standalone="yes"?>
<Relationships xmlns="http://schemas.openxmlformats.org/package/2006/relationships"><Relationship Id="rId1" Type="http://schemas.openxmlformats.org/officeDocument/2006/relationships/customProperty" Target="../customProperty3.bin"/></Relationships>
</file>

<file path=xl/worksheets/_rels/sheet5.xml.rels><?xml version="1.0" encoding="UTF-8" standalone="yes"?>
<Relationships xmlns="http://schemas.openxmlformats.org/package/2006/relationships"><Relationship Id="rId1" Type="http://schemas.openxmlformats.org/officeDocument/2006/relationships/customProperty" Target="../customProperty4.bin"/></Relationships>
</file>

<file path=xl/worksheets/_rels/sheet6.xml.rels><?xml version="1.0" encoding="UTF-8" standalone="yes"?>
<Relationships xmlns="http://schemas.openxmlformats.org/package/2006/relationships"><Relationship Id="rId1" Type="http://schemas.openxmlformats.org/officeDocument/2006/relationships/customProperty" Target="../customProperty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061FF-8E31-4014-947C-CDADB007C517}">
  <dimension ref="A1:A12"/>
  <sheetViews>
    <sheetView workbookViewId="0">
      <selection activeCell="E25" sqref="E25"/>
    </sheetView>
  </sheetViews>
  <sheetFormatPr defaultRowHeight="14.45"/>
  <cols>
    <col min="2" max="2" width="16.42578125" customWidth="1"/>
  </cols>
  <sheetData>
    <row r="1" spans="1:1">
      <c r="A1">
        <v>2024</v>
      </c>
    </row>
    <row r="2" spans="1:1">
      <c r="A2" t="s">
        <v>0</v>
      </c>
    </row>
    <row r="3" spans="1:1">
      <c r="A3" t="s">
        <v>1</v>
      </c>
    </row>
    <row r="5" spans="1:1">
      <c r="A5">
        <v>2025</v>
      </c>
    </row>
    <row r="6" spans="1:1">
      <c r="A6" t="s">
        <v>2</v>
      </c>
    </row>
    <row r="7" spans="1:1">
      <c r="A7" t="s">
        <v>3</v>
      </c>
    </row>
    <row r="9" spans="1:1">
      <c r="A9">
        <v>2026</v>
      </c>
    </row>
    <row r="10" spans="1:1">
      <c r="A10" t="s">
        <v>4</v>
      </c>
    </row>
    <row r="11" spans="1:1">
      <c r="A11" t="s">
        <v>5</v>
      </c>
    </row>
    <row r="12" spans="1:1">
      <c r="A12" t="s">
        <v>6</v>
      </c>
    </row>
  </sheetData>
  <pageMargins left="0.7" right="0.7" top="0.75" bottom="0.75" header="0.3" footer="0.3"/>
  <customProperties>
    <customPr name="_pios_id"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0F1F7-88C3-48EC-9C8A-5820748E0B83}">
  <dimension ref="B2:F18"/>
  <sheetViews>
    <sheetView workbookViewId="0">
      <selection activeCell="I6" sqref="I6"/>
    </sheetView>
  </sheetViews>
  <sheetFormatPr defaultColWidth="8.7109375" defaultRowHeight="14.45"/>
  <cols>
    <col min="1" max="1" width="8.7109375" style="22"/>
    <col min="2" max="2" width="35.5703125" style="22" customWidth="1"/>
    <col min="3" max="5" width="15.5703125" style="22" customWidth="1"/>
    <col min="6" max="6" width="20.5703125" style="22" customWidth="1"/>
    <col min="7" max="16384" width="8.7109375" style="22"/>
  </cols>
  <sheetData>
    <row r="2" spans="2:6" ht="15.95" customHeight="1">
      <c r="B2" s="37" t="s">
        <v>7</v>
      </c>
      <c r="C2" s="37"/>
      <c r="D2" s="37"/>
      <c r="E2" s="37"/>
      <c r="F2" s="37"/>
    </row>
    <row r="3" spans="2:6" s="25" customFormat="1" ht="15" thickBot="1">
      <c r="B3" s="36" t="s">
        <v>8</v>
      </c>
      <c r="C3" s="36" t="s">
        <v>9</v>
      </c>
      <c r="D3" s="36" t="s">
        <v>10</v>
      </c>
      <c r="E3" s="36" t="s">
        <v>11</v>
      </c>
      <c r="F3" s="36" t="s">
        <v>12</v>
      </c>
    </row>
    <row r="4" spans="2:6">
      <c r="B4" s="26" t="s">
        <v>13</v>
      </c>
      <c r="C4" s="27">
        <f>SUM('Mixed-Fuel New Construction'!J10,'Mixed-Fuel New Construction'!J22,'Mixed-Fuel New Construction'!J34,'Mixed-Fuel New Construction'!J46,'Mixed-Fuel New Construction'!J58,'Mixed-Fuel New Construction'!J70,'Mixed-Fuel New Construction'!J82,'Mixed-Fuel New Construction'!J94,'Mixed-Fuel New Construction'!J106,'Mixed-Fuel New Construction'!J118,'Mixed-Fuel New Construction'!J130,'Mixed-Fuel New Construction'!J142)</f>
        <v>495</v>
      </c>
      <c r="D4" s="27">
        <f>SUM('All Electric New Construction'!J8,'All Electric New Construction'!J20,'All Electric New Construction'!J32,'All Electric New Construction'!J44,'All Electric New Construction'!J56,'All Electric New Construction'!J68,'All Electric New Construction'!J80,'All Electric New Construction'!J92,'All Electric New Construction'!J104,'All Electric New Construction'!J116,'All Electric New Construction'!J128,'All Electric New Construction'!J140)</f>
        <v>2442</v>
      </c>
      <c r="E4" s="27">
        <f>SUM(C4:D4)</f>
        <v>2937</v>
      </c>
      <c r="F4" s="28">
        <f>D4/E4</f>
        <v>0.8314606741573034</v>
      </c>
    </row>
    <row r="5" spans="2:6">
      <c r="B5" s="29" t="s">
        <v>14</v>
      </c>
      <c r="C5" s="24">
        <f>SUM('Mixed-Fuel New Construction'!J12,'Mixed-Fuel New Construction'!J24,'Mixed-Fuel New Construction'!J36,'Mixed-Fuel New Construction'!J48,'Mixed-Fuel New Construction'!J60,'Mixed-Fuel New Construction'!J72,'Mixed-Fuel New Construction'!J84,'Mixed-Fuel New Construction'!J96,'Mixed-Fuel New Construction'!J108,'Mixed-Fuel New Construction'!J120,'Mixed-Fuel New Construction'!J132,'Mixed-Fuel New Construction'!J144)</f>
        <v>71</v>
      </c>
      <c r="D5" s="24">
        <f>SUM('All Electric New Construction'!J10,'All Electric New Construction'!J22,'All Electric New Construction'!J34,'All Electric New Construction'!J46,'All Electric New Construction'!J58,'All Electric New Construction'!J70,'All Electric New Construction'!J82,'All Electric New Construction'!J94,'All Electric New Construction'!J106,'All Electric New Construction'!J118,'All Electric New Construction'!J130,'All Electric New Construction'!J142)</f>
        <v>225</v>
      </c>
      <c r="E5" s="24">
        <f t="shared" ref="E5:E8" si="0">SUM(C5:D5)</f>
        <v>296</v>
      </c>
      <c r="F5" s="30">
        <f t="shared" ref="F5:F10" si="1">D5/E5</f>
        <v>0.76013513513513509</v>
      </c>
    </row>
    <row r="6" spans="2:6">
      <c r="B6" s="29" t="s">
        <v>15</v>
      </c>
      <c r="C6" s="24">
        <f>SUM('Mixed-Fuel New Construction'!J13,'Mixed-Fuel New Construction'!J25,'Mixed-Fuel New Construction'!J37,'Mixed-Fuel New Construction'!J49,'Mixed-Fuel New Construction'!J61,'Mixed-Fuel New Construction'!J73,'Mixed-Fuel New Construction'!J85,'Mixed-Fuel New Construction'!J97,'Mixed-Fuel New Construction'!J109,'Mixed-Fuel New Construction'!J121,'Mixed-Fuel New Construction'!J133,'Mixed-Fuel New Construction'!J145)</f>
        <v>3116</v>
      </c>
      <c r="D6" s="24">
        <f>SUM('All Electric New Construction'!J11,'All Electric New Construction'!J23,'All Electric New Construction'!J35,'All Electric New Construction'!J47,'All Electric New Construction'!J59,'All Electric New Construction'!J71,'All Electric New Construction'!J83,'All Electric New Construction'!J95,'All Electric New Construction'!J107,'All Electric New Construction'!J119,'All Electric New Construction'!J131,'All Electric New Construction'!J143)</f>
        <v>8196</v>
      </c>
      <c r="E6" s="24">
        <f t="shared" si="0"/>
        <v>11312</v>
      </c>
      <c r="F6" s="30">
        <f t="shared" si="1"/>
        <v>0.72454031117397455</v>
      </c>
    </row>
    <row r="7" spans="2:6">
      <c r="B7" s="29" t="s">
        <v>16</v>
      </c>
      <c r="C7" s="24">
        <f>SUM('Mixed-Fuel New Construction'!J11,'Mixed-Fuel New Construction'!J23,'Mixed-Fuel New Construction'!J35,'Mixed-Fuel New Construction'!J47,'Mixed-Fuel New Construction'!J59,'Mixed-Fuel New Construction'!J71,'Mixed-Fuel New Construction'!J83,'Mixed-Fuel New Construction'!J95,'Mixed-Fuel New Construction'!J107,'Mixed-Fuel New Construction'!J119,'Mixed-Fuel New Construction'!J131,'Mixed-Fuel New Construction'!J143)</f>
        <v>24</v>
      </c>
      <c r="D7" s="24">
        <f>SUM('All Electric New Construction'!J9,'All Electric New Construction'!J21,'All Electric New Construction'!J33,'All Electric New Construction'!J45,'All Electric New Construction'!J57,'All Electric New Construction'!J69,'All Electric New Construction'!J81,'All Electric New Construction'!J93,'All Electric New Construction'!J105,'All Electric New Construction'!J117,'All Electric New Construction'!J129,'All Electric New Construction'!J141)</f>
        <v>184</v>
      </c>
      <c r="E7" s="24">
        <f t="shared" si="0"/>
        <v>208</v>
      </c>
      <c r="F7" s="30">
        <f t="shared" si="1"/>
        <v>0.88461538461538458</v>
      </c>
    </row>
    <row r="8" spans="2:6">
      <c r="B8" s="29" t="s">
        <v>17</v>
      </c>
      <c r="C8" s="24">
        <f>SUM('Mixed-Fuel New Construction'!J9,'Mixed-Fuel New Construction'!J21,'Mixed-Fuel New Construction'!J33,'Mixed-Fuel New Construction'!J45,'Mixed-Fuel New Construction'!J57,'Mixed-Fuel New Construction'!J69,'Mixed-Fuel New Construction'!J81,'Mixed-Fuel New Construction'!J93,'Mixed-Fuel New Construction'!J105,'Mixed-Fuel New Construction'!J117,'Mixed-Fuel New Construction'!J129,'Mixed-Fuel New Construction'!J141)</f>
        <v>16</v>
      </c>
      <c r="D8" s="24">
        <f>SUM('All Electric New Construction'!J7,'All Electric New Construction'!J19,'All Electric New Construction'!J31,'All Electric New Construction'!J43,'All Electric New Construction'!J55,'All Electric New Construction'!J67,'All Electric New Construction'!J79,'All Electric New Construction'!J91,'All Electric New Construction'!J103,'All Electric New Construction'!J115,'All Electric New Construction'!J127,'All Electric New Construction'!J139)</f>
        <v>1227</v>
      </c>
      <c r="E8" s="24">
        <f t="shared" si="0"/>
        <v>1243</v>
      </c>
      <c r="F8" s="30">
        <f t="shared" si="1"/>
        <v>0.98712791633145613</v>
      </c>
    </row>
    <row r="9" spans="2:6">
      <c r="B9" s="29" t="s">
        <v>18</v>
      </c>
      <c r="C9" s="24">
        <f>SUM(C4,C5,C6)</f>
        <v>3682</v>
      </c>
      <c r="D9" s="24">
        <f>SUM(D4,D5,D6)</f>
        <v>10863</v>
      </c>
      <c r="E9" s="24">
        <f>SUM(E4,E5,E6)</f>
        <v>14545</v>
      </c>
      <c r="F9" s="30">
        <f t="shared" si="1"/>
        <v>0.74685458920591263</v>
      </c>
    </row>
    <row r="10" spans="2:6" ht="15" thickBot="1">
      <c r="B10" s="31" t="s">
        <v>19</v>
      </c>
      <c r="C10" s="23">
        <f>SUM(C4:C8)</f>
        <v>3722</v>
      </c>
      <c r="D10" s="23">
        <f>SUM(D4:D8)</f>
        <v>12274</v>
      </c>
      <c r="E10" s="23">
        <f>SUM(E4:E8)</f>
        <v>15996</v>
      </c>
      <c r="F10" s="32">
        <f t="shared" si="1"/>
        <v>0.76731682920730182</v>
      </c>
    </row>
    <row r="12" spans="2:6" ht="18.600000000000001">
      <c r="B12" s="37" t="s">
        <v>20</v>
      </c>
      <c r="C12" s="37"/>
      <c r="D12" s="37"/>
      <c r="E12" s="37"/>
      <c r="F12" s="37"/>
    </row>
    <row r="13" spans="2:6" ht="15" thickBot="1">
      <c r="B13" s="36" t="s">
        <v>8</v>
      </c>
      <c r="C13" s="36" t="s">
        <v>9</v>
      </c>
      <c r="D13" s="36" t="s">
        <v>10</v>
      </c>
      <c r="E13" s="36" t="s">
        <v>11</v>
      </c>
      <c r="F13" s="36" t="s">
        <v>12</v>
      </c>
    </row>
    <row r="14" spans="2:6" ht="15" thickBot="1">
      <c r="B14" s="33" t="s">
        <v>19</v>
      </c>
      <c r="C14" s="34">
        <v>1787</v>
      </c>
      <c r="D14" s="34">
        <v>12680</v>
      </c>
      <c r="E14" s="34">
        <f>SUM(C14:D14)</f>
        <v>14467</v>
      </c>
      <c r="F14" s="35">
        <f>D14/E14</f>
        <v>0.87647750051842122</v>
      </c>
    </row>
    <row r="16" spans="2:6" ht="18.600000000000001">
      <c r="B16" s="37" t="s">
        <v>21</v>
      </c>
      <c r="C16" s="37"/>
      <c r="D16" s="37"/>
      <c r="E16" s="37"/>
      <c r="F16" s="37"/>
    </row>
    <row r="17" spans="2:6" ht="15" thickBot="1">
      <c r="B17" s="36" t="s">
        <v>8</v>
      </c>
      <c r="C17" s="36" t="s">
        <v>9</v>
      </c>
      <c r="D17" s="36" t="s">
        <v>10</v>
      </c>
      <c r="E17" s="36" t="s">
        <v>11</v>
      </c>
      <c r="F17" s="36" t="s">
        <v>12</v>
      </c>
    </row>
    <row r="18" spans="2:6" ht="15" thickBot="1">
      <c r="B18" s="33" t="s">
        <v>19</v>
      </c>
      <c r="C18" s="34">
        <f>SUM(C10+C14)</f>
        <v>5509</v>
      </c>
      <c r="D18" s="34">
        <f>SUM(D10+D14)</f>
        <v>24954</v>
      </c>
      <c r="E18" s="34">
        <f>SUM(C18:D18)</f>
        <v>30463</v>
      </c>
      <c r="F18" s="35">
        <f>D18/E18</f>
        <v>0.81915766667760892</v>
      </c>
    </row>
  </sheetData>
  <mergeCells count="3">
    <mergeCell ref="B2:F2"/>
    <mergeCell ref="B12:F12"/>
    <mergeCell ref="B16:F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E9A7C-86EB-428A-BC4A-AD8DA8DA3699}">
  <dimension ref="A1:L148"/>
  <sheetViews>
    <sheetView zoomScale="80" zoomScaleNormal="80" workbookViewId="0">
      <pane xSplit="1" ySplit="7" topLeftCell="B8" activePane="bottomRight" state="frozen"/>
      <selection pane="bottomRight" sqref="A1:G1"/>
      <selection pane="bottomLeft" activeCell="A8" sqref="A8"/>
      <selection pane="topRight" activeCell="B1" sqref="B1"/>
    </sheetView>
  </sheetViews>
  <sheetFormatPr defaultRowHeight="14.45"/>
  <cols>
    <col min="1" max="1" width="37.5703125" customWidth="1"/>
    <col min="2" max="2" width="37.42578125" customWidth="1"/>
    <col min="3" max="3" width="40.85546875" customWidth="1"/>
    <col min="4" max="4" width="37.140625" customWidth="1"/>
    <col min="5" max="5" width="36.5703125" customWidth="1"/>
    <col min="6" max="6" width="39.42578125" customWidth="1"/>
    <col min="7" max="7" width="34" customWidth="1"/>
    <col min="8" max="9" width="31.42578125" customWidth="1"/>
    <col min="10" max="12" width="35.85546875" customWidth="1"/>
  </cols>
  <sheetData>
    <row r="1" spans="1:12">
      <c r="A1" s="1" t="s">
        <v>22</v>
      </c>
    </row>
    <row r="2" spans="1:12">
      <c r="A2" s="1" t="s">
        <v>23</v>
      </c>
    </row>
    <row r="3" spans="1:12">
      <c r="A3" s="1" t="s">
        <v>24</v>
      </c>
    </row>
    <row r="4" spans="1:12">
      <c r="A4" t="s">
        <v>25</v>
      </c>
    </row>
    <row r="6" spans="1:12">
      <c r="A6" s="7">
        <v>44927</v>
      </c>
      <c r="B6" s="9" t="s">
        <v>26</v>
      </c>
      <c r="C6" s="9" t="s">
        <v>27</v>
      </c>
      <c r="D6" s="9" t="s">
        <v>28</v>
      </c>
      <c r="E6" s="9" t="s">
        <v>29</v>
      </c>
      <c r="F6" s="9" t="s">
        <v>30</v>
      </c>
      <c r="G6" s="9" t="s">
        <v>31</v>
      </c>
      <c r="H6" s="9" t="s">
        <v>32</v>
      </c>
      <c r="I6" s="9" t="s">
        <v>33</v>
      </c>
      <c r="J6" s="9" t="s">
        <v>34</v>
      </c>
      <c r="K6" s="9" t="s">
        <v>35</v>
      </c>
      <c r="L6" s="9" t="s">
        <v>36</v>
      </c>
    </row>
    <row r="7" spans="1:12" ht="33" customHeight="1">
      <c r="A7" s="2" t="s">
        <v>8</v>
      </c>
      <c r="B7" s="6" t="s">
        <v>37</v>
      </c>
      <c r="C7" s="6" t="s">
        <v>38</v>
      </c>
      <c r="D7" s="6" t="s">
        <v>39</v>
      </c>
      <c r="E7" s="6" t="s">
        <v>40</v>
      </c>
      <c r="F7" s="6" t="s">
        <v>41</v>
      </c>
      <c r="G7" s="6" t="s">
        <v>42</v>
      </c>
      <c r="H7" s="6" t="s">
        <v>43</v>
      </c>
      <c r="I7" s="6" t="s">
        <v>44</v>
      </c>
      <c r="J7" s="4" t="s">
        <v>45</v>
      </c>
      <c r="K7" s="4" t="s">
        <v>46</v>
      </c>
      <c r="L7" s="4" t="s">
        <v>47</v>
      </c>
    </row>
    <row r="8" spans="1:12" ht="33" customHeight="1">
      <c r="A8" s="11" t="s">
        <v>48</v>
      </c>
      <c r="B8" s="16"/>
      <c r="C8" s="14">
        <v>0</v>
      </c>
      <c r="D8" s="16"/>
      <c r="E8" s="14">
        <v>0</v>
      </c>
      <c r="F8" s="12"/>
      <c r="G8" s="14">
        <v>0</v>
      </c>
      <c r="H8" s="16"/>
      <c r="I8" s="16"/>
      <c r="J8" s="10">
        <v>2</v>
      </c>
      <c r="K8" s="10"/>
      <c r="L8" s="10"/>
    </row>
    <row r="9" spans="1:12" ht="33" customHeight="1">
      <c r="A9" s="11" t="s">
        <v>17</v>
      </c>
      <c r="B9" s="16"/>
      <c r="C9" s="14">
        <v>0</v>
      </c>
      <c r="D9" s="16"/>
      <c r="E9" s="14">
        <v>0</v>
      </c>
      <c r="F9" s="10"/>
      <c r="G9" s="14">
        <v>0</v>
      </c>
      <c r="H9" s="16"/>
      <c r="I9" s="16"/>
      <c r="J9" s="10"/>
      <c r="K9" s="10"/>
      <c r="L9" s="10"/>
    </row>
    <row r="10" spans="1:12" ht="33" customHeight="1">
      <c r="A10" s="11" t="s">
        <v>13</v>
      </c>
      <c r="B10" s="16">
        <v>561528.82086612459</v>
      </c>
      <c r="C10" s="14">
        <v>0</v>
      </c>
      <c r="D10" s="16">
        <v>645295.95466775098</v>
      </c>
      <c r="E10" s="14">
        <v>0</v>
      </c>
      <c r="F10" s="10">
        <v>24887.989999999998</v>
      </c>
      <c r="G10" s="14">
        <v>0</v>
      </c>
      <c r="H10" s="16">
        <v>106956.71280000001</v>
      </c>
      <c r="I10" s="16">
        <v>1768353.5963999999</v>
      </c>
      <c r="J10" s="10">
        <v>46</v>
      </c>
      <c r="K10" s="10">
        <v>10</v>
      </c>
      <c r="L10" s="10">
        <v>20</v>
      </c>
    </row>
    <row r="11" spans="1:12" ht="33" customHeight="1">
      <c r="A11" s="11" t="s">
        <v>16</v>
      </c>
      <c r="B11" s="16"/>
      <c r="C11" s="14">
        <v>0</v>
      </c>
      <c r="D11" s="16"/>
      <c r="E11" s="14">
        <v>0</v>
      </c>
      <c r="F11" s="10"/>
      <c r="G11" s="14">
        <v>0</v>
      </c>
      <c r="H11" s="16"/>
      <c r="I11" s="16"/>
      <c r="J11" s="10">
        <v>6</v>
      </c>
      <c r="K11" s="10"/>
      <c r="L11" s="10">
        <v>4</v>
      </c>
    </row>
    <row r="12" spans="1:12">
      <c r="A12" s="11" t="s">
        <v>14</v>
      </c>
      <c r="B12" s="16">
        <v>10376.3758</v>
      </c>
      <c r="C12" s="15">
        <v>0</v>
      </c>
      <c r="D12" s="16">
        <v>273108.8468</v>
      </c>
      <c r="E12" s="15">
        <v>0</v>
      </c>
      <c r="F12" s="10">
        <v>80646.47000000003</v>
      </c>
      <c r="G12" s="15">
        <v>0</v>
      </c>
      <c r="H12" s="16">
        <v>23309.455600000001</v>
      </c>
      <c r="I12" s="16">
        <v>293861.59840000002</v>
      </c>
      <c r="J12" s="10">
        <v>11</v>
      </c>
      <c r="K12" s="10">
        <v>1</v>
      </c>
      <c r="L12" s="10">
        <v>4</v>
      </c>
    </row>
    <row r="13" spans="1:12">
      <c r="A13" s="11" t="s">
        <v>15</v>
      </c>
      <c r="B13" s="16">
        <v>2944811.9439099403</v>
      </c>
      <c r="C13" s="15">
        <v>0</v>
      </c>
      <c r="D13" s="16">
        <v>527015.8425801188</v>
      </c>
      <c r="E13" s="15">
        <v>0</v>
      </c>
      <c r="F13" s="10">
        <v>39788.869999999995</v>
      </c>
      <c r="G13" s="15">
        <v>0</v>
      </c>
      <c r="H13" s="16">
        <v>1798704.0300000003</v>
      </c>
      <c r="I13" s="16">
        <v>6416639.7304000007</v>
      </c>
      <c r="J13" s="10">
        <v>291</v>
      </c>
      <c r="K13" s="10">
        <v>55</v>
      </c>
      <c r="L13" s="10">
        <v>75</v>
      </c>
    </row>
    <row r="14" spans="1:12">
      <c r="A14" s="11" t="s">
        <v>49</v>
      </c>
      <c r="B14" s="16"/>
      <c r="C14" s="15">
        <v>0</v>
      </c>
      <c r="D14" s="16"/>
      <c r="E14" s="15">
        <v>0</v>
      </c>
      <c r="F14" s="10"/>
      <c r="G14" s="15">
        <v>0</v>
      </c>
      <c r="H14" s="16"/>
      <c r="I14" s="16"/>
      <c r="J14" s="10"/>
      <c r="K14" s="11"/>
      <c r="L14" s="10"/>
    </row>
    <row r="15" spans="1:12">
      <c r="A15" s="11" t="s">
        <v>50</v>
      </c>
      <c r="B15" s="16"/>
      <c r="C15" s="15">
        <v>0</v>
      </c>
      <c r="D15" s="16"/>
      <c r="E15" s="15">
        <v>0</v>
      </c>
      <c r="F15" s="11"/>
      <c r="G15" s="15">
        <v>0</v>
      </c>
      <c r="H15" s="16"/>
      <c r="I15" s="16"/>
      <c r="J15" s="10"/>
      <c r="K15" s="11"/>
      <c r="L15" s="10"/>
    </row>
    <row r="16" spans="1:12">
      <c r="A16" s="11" t="s">
        <v>51</v>
      </c>
      <c r="B16" s="11"/>
      <c r="C16" s="15">
        <v>0</v>
      </c>
      <c r="D16" s="16"/>
      <c r="E16" s="15">
        <v>0</v>
      </c>
      <c r="F16" s="11"/>
      <c r="G16" s="15">
        <v>0</v>
      </c>
      <c r="H16" s="11"/>
      <c r="I16" s="11"/>
      <c r="J16" s="10"/>
      <c r="K16" s="11"/>
      <c r="L16" s="11"/>
    </row>
    <row r="18" spans="1:12">
      <c r="A18" s="8">
        <v>45345</v>
      </c>
    </row>
    <row r="19" spans="1:12" ht="33" customHeight="1">
      <c r="A19" s="2" t="s">
        <v>8</v>
      </c>
      <c r="B19" s="6" t="s">
        <v>37</v>
      </c>
      <c r="C19" s="6" t="s">
        <v>38</v>
      </c>
      <c r="D19" s="6" t="s">
        <v>39</v>
      </c>
      <c r="E19" s="6" t="s">
        <v>40</v>
      </c>
      <c r="F19" s="6" t="s">
        <v>41</v>
      </c>
      <c r="G19" s="6" t="s">
        <v>42</v>
      </c>
      <c r="H19" s="6" t="s">
        <v>43</v>
      </c>
      <c r="I19" s="6" t="s">
        <v>44</v>
      </c>
      <c r="J19" s="4" t="s">
        <v>45</v>
      </c>
      <c r="K19" s="5" t="s">
        <v>46</v>
      </c>
      <c r="L19" s="4" t="s">
        <v>47</v>
      </c>
    </row>
    <row r="20" spans="1:12" ht="33" customHeight="1">
      <c r="A20" s="11" t="s">
        <v>48</v>
      </c>
      <c r="B20" s="16"/>
      <c r="C20" s="14">
        <v>0</v>
      </c>
      <c r="D20" s="16"/>
      <c r="E20" s="14">
        <v>0</v>
      </c>
      <c r="F20" s="12"/>
      <c r="G20" s="14">
        <v>0</v>
      </c>
      <c r="H20" s="16"/>
      <c r="I20" s="16"/>
      <c r="J20" s="10">
        <v>1</v>
      </c>
      <c r="K20" s="10"/>
      <c r="L20" s="10">
        <v>1</v>
      </c>
    </row>
    <row r="21" spans="1:12" ht="33" customHeight="1">
      <c r="A21" s="11" t="s">
        <v>17</v>
      </c>
      <c r="B21" s="16"/>
      <c r="C21" s="14">
        <v>0</v>
      </c>
      <c r="D21" s="16"/>
      <c r="E21" s="14">
        <v>0</v>
      </c>
      <c r="F21" s="10"/>
      <c r="G21" s="14">
        <v>0</v>
      </c>
      <c r="H21" s="16"/>
      <c r="I21" s="16"/>
      <c r="J21" s="10">
        <v>2</v>
      </c>
      <c r="K21" s="10"/>
      <c r="L21" s="10"/>
    </row>
    <row r="22" spans="1:12" ht="33" customHeight="1">
      <c r="A22" s="11" t="s">
        <v>13</v>
      </c>
      <c r="B22" s="16">
        <v>1250921.3949658538</v>
      </c>
      <c r="C22" s="14">
        <v>0</v>
      </c>
      <c r="D22" s="16">
        <v>607933.84126829263</v>
      </c>
      <c r="E22" s="14">
        <v>0</v>
      </c>
      <c r="F22" s="10">
        <v>88153.49</v>
      </c>
      <c r="G22" s="14">
        <v>0</v>
      </c>
      <c r="H22" s="16">
        <v>398885.40320000006</v>
      </c>
      <c r="I22" s="16">
        <v>3109776.6312000006</v>
      </c>
      <c r="J22" s="10">
        <v>41</v>
      </c>
      <c r="K22" s="10">
        <v>12</v>
      </c>
      <c r="L22" s="10">
        <v>14</v>
      </c>
    </row>
    <row r="23" spans="1:12" ht="33" customHeight="1">
      <c r="A23" s="11" t="s">
        <v>16</v>
      </c>
      <c r="B23" s="16">
        <v>19985.33036910569</v>
      </c>
      <c r="C23" s="14">
        <v>0</v>
      </c>
      <c r="D23" s="16">
        <v>2130.1788617886182</v>
      </c>
      <c r="E23" s="14">
        <v>0</v>
      </c>
      <c r="F23" s="10"/>
      <c r="G23" s="14">
        <v>0</v>
      </c>
      <c r="H23" s="16">
        <v>3922.3624</v>
      </c>
      <c r="I23" s="16">
        <v>42100.839599999999</v>
      </c>
      <c r="J23" s="10">
        <v>2</v>
      </c>
      <c r="K23" s="10">
        <v>1</v>
      </c>
      <c r="L23" s="10">
        <v>1</v>
      </c>
    </row>
    <row r="24" spans="1:12">
      <c r="A24" s="11" t="s">
        <v>14</v>
      </c>
      <c r="B24" s="16">
        <v>27084.663707317071</v>
      </c>
      <c r="C24" s="15">
        <v>0</v>
      </c>
      <c r="D24" s="16">
        <v>557902.05058536585</v>
      </c>
      <c r="E24" s="15">
        <v>0</v>
      </c>
      <c r="F24" s="10">
        <v>18084.64</v>
      </c>
      <c r="G24" s="15">
        <v>0</v>
      </c>
      <c r="H24" s="16">
        <v>66985.834000000003</v>
      </c>
      <c r="I24" s="16">
        <v>612071.37800000003</v>
      </c>
      <c r="J24" s="10">
        <v>5</v>
      </c>
      <c r="K24" s="10">
        <v>3</v>
      </c>
      <c r="L24" s="10">
        <v>4</v>
      </c>
    </row>
    <row r="25" spans="1:12">
      <c r="A25" s="11" t="s">
        <v>15</v>
      </c>
      <c r="B25" s="16">
        <v>2759403.3902404145</v>
      </c>
      <c r="C25" s="15">
        <v>0</v>
      </c>
      <c r="D25" s="16">
        <v>794196.10591917078</v>
      </c>
      <c r="E25" s="15">
        <v>0</v>
      </c>
      <c r="F25" s="10">
        <v>74869.330000000031</v>
      </c>
      <c r="G25" s="15">
        <v>0</v>
      </c>
      <c r="H25" s="16">
        <v>1990732.1443999989</v>
      </c>
      <c r="I25" s="16">
        <v>6313002.8864000002</v>
      </c>
      <c r="J25" s="10">
        <v>317</v>
      </c>
      <c r="K25" s="10">
        <v>88</v>
      </c>
      <c r="L25" s="10">
        <v>81</v>
      </c>
    </row>
    <row r="26" spans="1:12">
      <c r="A26" s="11" t="s">
        <v>49</v>
      </c>
      <c r="B26" s="16"/>
      <c r="C26" s="15">
        <v>0</v>
      </c>
      <c r="D26" s="16"/>
      <c r="E26" s="15">
        <v>0</v>
      </c>
      <c r="F26" s="10"/>
      <c r="G26" s="15">
        <v>0</v>
      </c>
      <c r="H26" s="16"/>
      <c r="I26" s="16"/>
      <c r="J26" s="10"/>
      <c r="K26" s="11"/>
      <c r="L26" s="11"/>
    </row>
    <row r="27" spans="1:12">
      <c r="A27" s="11" t="s">
        <v>50</v>
      </c>
      <c r="B27" s="16"/>
      <c r="C27" s="15">
        <v>0</v>
      </c>
      <c r="D27" s="16"/>
      <c r="E27" s="15">
        <v>0</v>
      </c>
      <c r="F27" s="11"/>
      <c r="G27" s="15">
        <v>0</v>
      </c>
      <c r="H27" s="16"/>
      <c r="I27" s="16"/>
      <c r="J27" s="10"/>
      <c r="K27" s="11"/>
      <c r="L27" s="11"/>
    </row>
    <row r="28" spans="1:12">
      <c r="A28" s="11" t="s">
        <v>51</v>
      </c>
      <c r="B28" s="11"/>
      <c r="C28" s="15">
        <v>0</v>
      </c>
      <c r="D28" s="16"/>
      <c r="E28" s="15">
        <v>0</v>
      </c>
      <c r="F28" s="11"/>
      <c r="G28" s="15">
        <v>0</v>
      </c>
      <c r="H28" s="11"/>
      <c r="I28" s="11"/>
      <c r="J28" s="10"/>
      <c r="K28" s="11"/>
      <c r="L28" s="11"/>
    </row>
    <row r="30" spans="1:12">
      <c r="A30" s="7">
        <v>44986</v>
      </c>
    </row>
    <row r="31" spans="1:12" ht="33" customHeight="1">
      <c r="A31" s="2" t="s">
        <v>8</v>
      </c>
      <c r="B31" s="6" t="s">
        <v>37</v>
      </c>
      <c r="C31" s="6" t="s">
        <v>38</v>
      </c>
      <c r="D31" s="6" t="s">
        <v>39</v>
      </c>
      <c r="E31" s="6" t="s">
        <v>40</v>
      </c>
      <c r="F31" s="6" t="s">
        <v>41</v>
      </c>
      <c r="G31" s="6" t="s">
        <v>42</v>
      </c>
      <c r="H31" s="6" t="s">
        <v>43</v>
      </c>
      <c r="I31" s="6" t="s">
        <v>44</v>
      </c>
      <c r="J31" s="4" t="s">
        <v>45</v>
      </c>
      <c r="K31" s="5" t="s">
        <v>46</v>
      </c>
      <c r="L31" s="4" t="s">
        <v>47</v>
      </c>
    </row>
    <row r="32" spans="1:12" ht="33" customHeight="1">
      <c r="A32" s="11" t="s">
        <v>48</v>
      </c>
      <c r="B32" s="16"/>
      <c r="C32" s="14">
        <v>0</v>
      </c>
      <c r="D32" s="16"/>
      <c r="E32" s="14">
        <v>0</v>
      </c>
      <c r="F32" s="12"/>
      <c r="G32" s="14">
        <v>0</v>
      </c>
      <c r="H32" s="16"/>
      <c r="I32" s="16"/>
      <c r="J32" s="10">
        <v>2</v>
      </c>
      <c r="K32" s="10"/>
      <c r="L32" s="10">
        <v>2</v>
      </c>
    </row>
    <row r="33" spans="1:12" ht="33" customHeight="1">
      <c r="A33" s="11" t="s">
        <v>17</v>
      </c>
      <c r="B33" s="16"/>
      <c r="C33" s="14">
        <v>0</v>
      </c>
      <c r="D33" s="16"/>
      <c r="E33" s="14">
        <v>0</v>
      </c>
      <c r="F33" s="10"/>
      <c r="G33" s="14">
        <v>0</v>
      </c>
      <c r="H33" s="16"/>
      <c r="I33" s="16"/>
      <c r="J33" s="10">
        <v>1</v>
      </c>
      <c r="K33" s="10"/>
      <c r="L33" s="10">
        <v>1</v>
      </c>
    </row>
    <row r="34" spans="1:12" ht="33" customHeight="1">
      <c r="A34" s="11" t="s">
        <v>13</v>
      </c>
      <c r="B34" s="16">
        <v>1001094.1635452575</v>
      </c>
      <c r="C34" s="14">
        <v>0</v>
      </c>
      <c r="D34" s="16">
        <v>393171.91410948511</v>
      </c>
      <c r="E34" s="14">
        <v>0</v>
      </c>
      <c r="F34" s="10">
        <v>1269.21</v>
      </c>
      <c r="G34" s="14">
        <v>0</v>
      </c>
      <c r="H34" s="16">
        <v>147700.97639999999</v>
      </c>
      <c r="I34" s="16">
        <v>2395360.2412</v>
      </c>
      <c r="J34" s="10">
        <v>45</v>
      </c>
      <c r="K34" s="10">
        <v>16</v>
      </c>
      <c r="L34" s="10">
        <v>19</v>
      </c>
    </row>
    <row r="35" spans="1:12" ht="33" customHeight="1">
      <c r="A35" s="11" t="s">
        <v>16</v>
      </c>
      <c r="B35" s="16"/>
      <c r="C35" s="14">
        <v>0</v>
      </c>
      <c r="D35" s="16"/>
      <c r="E35" s="14">
        <v>0</v>
      </c>
      <c r="F35" s="10">
        <v>27700.210000000003</v>
      </c>
      <c r="G35" s="14">
        <v>0</v>
      </c>
      <c r="H35" s="16"/>
      <c r="I35" s="16"/>
      <c r="J35" s="10">
        <v>2</v>
      </c>
      <c r="K35" s="10">
        <v>2</v>
      </c>
      <c r="L35" s="10">
        <v>1</v>
      </c>
    </row>
    <row r="36" spans="1:12">
      <c r="A36" s="11" t="s">
        <v>14</v>
      </c>
      <c r="B36" s="16">
        <v>244574.56687262873</v>
      </c>
      <c r="C36" s="15">
        <v>0</v>
      </c>
      <c r="D36" s="16">
        <v>124575.08985474255</v>
      </c>
      <c r="E36" s="15">
        <v>0</v>
      </c>
      <c r="F36" s="10"/>
      <c r="G36" s="15">
        <v>0</v>
      </c>
      <c r="H36" s="16">
        <v>91186.971199999985</v>
      </c>
      <c r="I36" s="16">
        <v>613724.22360000014</v>
      </c>
      <c r="J36" s="10">
        <v>8</v>
      </c>
      <c r="K36" s="10">
        <v>2</v>
      </c>
      <c r="L36" s="10">
        <v>5</v>
      </c>
    </row>
    <row r="37" spans="1:12">
      <c r="A37" s="11" t="s">
        <v>15</v>
      </c>
      <c r="B37" s="16">
        <v>4401405.6075510932</v>
      </c>
      <c r="C37" s="15">
        <v>0</v>
      </c>
      <c r="D37" s="16">
        <v>886275.98489781329</v>
      </c>
      <c r="E37" s="15">
        <v>0</v>
      </c>
      <c r="F37" s="10">
        <v>6405.24</v>
      </c>
      <c r="G37" s="15">
        <v>0</v>
      </c>
      <c r="H37" s="16">
        <v>2547604.4123999984</v>
      </c>
      <c r="I37" s="16">
        <v>9689087.1999999974</v>
      </c>
      <c r="J37" s="10">
        <v>377</v>
      </c>
      <c r="K37" s="10">
        <v>56</v>
      </c>
      <c r="L37" s="10">
        <v>108</v>
      </c>
    </row>
    <row r="38" spans="1:12">
      <c r="A38" s="11" t="s">
        <v>49</v>
      </c>
      <c r="B38" s="16"/>
      <c r="C38" s="15">
        <v>0</v>
      </c>
      <c r="D38" s="16"/>
      <c r="E38" s="15">
        <v>0</v>
      </c>
      <c r="F38" s="10"/>
      <c r="G38" s="15">
        <v>0</v>
      </c>
      <c r="H38" s="16"/>
      <c r="I38" s="16"/>
      <c r="J38" s="10"/>
      <c r="K38" s="10"/>
      <c r="L38" s="10"/>
    </row>
    <row r="39" spans="1:12">
      <c r="A39" s="11" t="s">
        <v>50</v>
      </c>
      <c r="B39" s="16"/>
      <c r="C39" s="15">
        <v>0</v>
      </c>
      <c r="D39" s="16"/>
      <c r="E39" s="15">
        <v>0</v>
      </c>
      <c r="F39" s="11"/>
      <c r="G39" s="15">
        <v>0</v>
      </c>
      <c r="H39" s="16"/>
      <c r="I39" s="16"/>
      <c r="J39" s="10"/>
      <c r="K39" s="10"/>
      <c r="L39" s="10"/>
    </row>
    <row r="40" spans="1:12">
      <c r="A40" s="11" t="s">
        <v>51</v>
      </c>
      <c r="B40" s="11"/>
      <c r="C40" s="15">
        <v>0</v>
      </c>
      <c r="D40" s="16"/>
      <c r="E40" s="15">
        <v>0</v>
      </c>
      <c r="F40" s="11"/>
      <c r="G40" s="15">
        <v>0</v>
      </c>
      <c r="H40" s="16"/>
      <c r="I40" s="11"/>
      <c r="J40" s="10"/>
      <c r="K40" s="11"/>
      <c r="L40" s="11"/>
    </row>
    <row r="42" spans="1:12">
      <c r="A42" s="7">
        <v>45017</v>
      </c>
    </row>
    <row r="43" spans="1:12" ht="33" customHeight="1">
      <c r="A43" s="2" t="s">
        <v>8</v>
      </c>
      <c r="B43" s="6" t="s">
        <v>37</v>
      </c>
      <c r="C43" s="6" t="s">
        <v>38</v>
      </c>
      <c r="D43" s="6" t="s">
        <v>39</v>
      </c>
      <c r="E43" s="6" t="s">
        <v>40</v>
      </c>
      <c r="F43" s="6" t="s">
        <v>41</v>
      </c>
      <c r="G43" s="6" t="s">
        <v>42</v>
      </c>
      <c r="H43" s="6" t="s">
        <v>43</v>
      </c>
      <c r="I43" s="6" t="s">
        <v>44</v>
      </c>
      <c r="J43" s="4" t="s">
        <v>45</v>
      </c>
      <c r="K43" s="5" t="s">
        <v>46</v>
      </c>
      <c r="L43" s="4" t="s">
        <v>47</v>
      </c>
    </row>
    <row r="44" spans="1:12" ht="33" customHeight="1">
      <c r="A44" s="11" t="s">
        <v>48</v>
      </c>
      <c r="B44" s="16"/>
      <c r="C44" s="14">
        <v>0</v>
      </c>
      <c r="D44" s="16"/>
      <c r="E44" s="14">
        <v>0</v>
      </c>
      <c r="F44" s="12"/>
      <c r="G44" s="14">
        <v>0</v>
      </c>
      <c r="H44" s="16"/>
      <c r="I44" s="16"/>
      <c r="J44" s="10">
        <v>5</v>
      </c>
      <c r="K44" s="10"/>
      <c r="L44" s="10">
        <v>1</v>
      </c>
    </row>
    <row r="45" spans="1:12" ht="33" customHeight="1">
      <c r="A45" s="11" t="s">
        <v>17</v>
      </c>
      <c r="B45" s="16"/>
      <c r="C45" s="14">
        <v>0</v>
      </c>
      <c r="D45" s="16"/>
      <c r="E45" s="14">
        <v>0</v>
      </c>
      <c r="F45" s="10"/>
      <c r="G45" s="14">
        <v>0</v>
      </c>
      <c r="H45" s="16"/>
      <c r="I45" s="16"/>
      <c r="J45" s="10">
        <v>2</v>
      </c>
      <c r="K45" s="10"/>
      <c r="L45" s="10"/>
    </row>
    <row r="46" spans="1:12" ht="33" customHeight="1">
      <c r="A46" s="11" t="s">
        <v>13</v>
      </c>
      <c r="B46" s="16">
        <v>614645.81327479682</v>
      </c>
      <c r="C46" s="14">
        <v>0</v>
      </c>
      <c r="D46" s="16">
        <v>1417069.2782504072</v>
      </c>
      <c r="E46" s="14">
        <v>0</v>
      </c>
      <c r="F46" s="10">
        <v>46001.68</v>
      </c>
      <c r="G46" s="14">
        <v>0</v>
      </c>
      <c r="H46" s="16">
        <v>127461.71520000002</v>
      </c>
      <c r="I46" s="16">
        <v>2646360.9047999997</v>
      </c>
      <c r="J46" s="10">
        <v>68</v>
      </c>
      <c r="K46" s="10">
        <v>43</v>
      </c>
      <c r="L46" s="10">
        <v>26</v>
      </c>
    </row>
    <row r="47" spans="1:12" ht="33" customHeight="1">
      <c r="A47" s="11" t="s">
        <v>16</v>
      </c>
      <c r="B47" s="16">
        <v>100498.34819999999</v>
      </c>
      <c r="C47" s="14">
        <v>0</v>
      </c>
      <c r="D47" s="16">
        <v>0</v>
      </c>
      <c r="E47" s="14">
        <v>0</v>
      </c>
      <c r="F47" s="10"/>
      <c r="G47" s="14">
        <v>0</v>
      </c>
      <c r="H47" s="16">
        <v>4098.7632000000003</v>
      </c>
      <c r="I47" s="16">
        <v>200996.69639999999</v>
      </c>
      <c r="J47" s="10">
        <v>3</v>
      </c>
      <c r="K47" s="10"/>
      <c r="L47" s="10">
        <v>1</v>
      </c>
    </row>
    <row r="48" spans="1:12">
      <c r="A48" s="11" t="s">
        <v>14</v>
      </c>
      <c r="B48" s="16">
        <v>35091.392248780488</v>
      </c>
      <c r="C48" s="15">
        <v>0</v>
      </c>
      <c r="D48" s="16">
        <v>619370.6011024391</v>
      </c>
      <c r="E48" s="15">
        <v>0</v>
      </c>
      <c r="F48" s="10"/>
      <c r="G48" s="15">
        <v>0</v>
      </c>
      <c r="H48" s="16">
        <v>118928.302</v>
      </c>
      <c r="I48" s="16">
        <v>689553.38560000004</v>
      </c>
      <c r="J48" s="10">
        <v>7</v>
      </c>
      <c r="K48" s="10">
        <v>9</v>
      </c>
      <c r="L48" s="10">
        <v>4</v>
      </c>
    </row>
    <row r="49" spans="1:12">
      <c r="A49" s="11" t="s">
        <v>15</v>
      </c>
      <c r="B49" s="16">
        <v>5339128.511095833</v>
      </c>
      <c r="C49" s="15">
        <v>0</v>
      </c>
      <c r="D49" s="16">
        <v>593799.95500833332</v>
      </c>
      <c r="E49" s="15">
        <v>0</v>
      </c>
      <c r="F49" s="10">
        <v>4640.08</v>
      </c>
      <c r="G49" s="15">
        <v>0</v>
      </c>
      <c r="H49" s="16">
        <v>2456256.0167999999</v>
      </c>
      <c r="I49" s="16">
        <v>11272056.977200001</v>
      </c>
      <c r="J49" s="10">
        <v>375</v>
      </c>
      <c r="K49" s="10">
        <v>149</v>
      </c>
      <c r="L49" s="10">
        <v>112</v>
      </c>
    </row>
    <row r="50" spans="1:12">
      <c r="A50" s="11" t="s">
        <v>49</v>
      </c>
      <c r="B50" s="16"/>
      <c r="C50" s="15">
        <v>0</v>
      </c>
      <c r="D50" s="16"/>
      <c r="E50" s="15">
        <v>0</v>
      </c>
      <c r="F50" s="10"/>
      <c r="G50" s="15">
        <v>0</v>
      </c>
      <c r="H50" s="16"/>
      <c r="I50" s="16"/>
      <c r="J50" s="10"/>
      <c r="K50" s="10"/>
      <c r="L50" s="10"/>
    </row>
    <row r="51" spans="1:12">
      <c r="A51" s="11" t="s">
        <v>50</v>
      </c>
      <c r="B51" s="16"/>
      <c r="C51" s="15">
        <v>0</v>
      </c>
      <c r="D51" s="16"/>
      <c r="E51" s="15">
        <v>0</v>
      </c>
      <c r="F51" s="11"/>
      <c r="G51" s="15">
        <v>0</v>
      </c>
      <c r="H51" s="16"/>
      <c r="I51" s="16"/>
      <c r="J51" s="10"/>
      <c r="K51" s="10"/>
      <c r="L51" s="10"/>
    </row>
    <row r="52" spans="1:12">
      <c r="A52" s="11" t="s">
        <v>51</v>
      </c>
      <c r="B52" s="16"/>
      <c r="C52" s="15">
        <v>0</v>
      </c>
      <c r="D52" s="16"/>
      <c r="E52" s="15">
        <v>0</v>
      </c>
      <c r="F52" s="11"/>
      <c r="G52" s="15">
        <v>0</v>
      </c>
      <c r="H52" s="16"/>
      <c r="I52" s="16"/>
      <c r="J52" s="10"/>
      <c r="K52" s="11">
        <v>1</v>
      </c>
      <c r="L52" s="11"/>
    </row>
    <row r="54" spans="1:12">
      <c r="A54" s="7">
        <v>45047</v>
      </c>
    </row>
    <row r="55" spans="1:12" ht="33" customHeight="1">
      <c r="A55" s="2" t="s">
        <v>8</v>
      </c>
      <c r="B55" s="6" t="s">
        <v>37</v>
      </c>
      <c r="C55" s="6" t="s">
        <v>38</v>
      </c>
      <c r="D55" s="6" t="s">
        <v>39</v>
      </c>
      <c r="E55" s="6" t="s">
        <v>40</v>
      </c>
      <c r="F55" s="6" t="s">
        <v>41</v>
      </c>
      <c r="G55" s="6" t="s">
        <v>42</v>
      </c>
      <c r="H55" s="6" t="s">
        <v>43</v>
      </c>
      <c r="I55" s="6" t="s">
        <v>44</v>
      </c>
      <c r="J55" s="4" t="s">
        <v>45</v>
      </c>
      <c r="K55" s="5" t="s">
        <v>46</v>
      </c>
      <c r="L55" s="4" t="s">
        <v>47</v>
      </c>
    </row>
    <row r="56" spans="1:12" ht="33" customHeight="1">
      <c r="A56" s="11" t="s">
        <v>48</v>
      </c>
      <c r="B56" s="16"/>
      <c r="C56" s="14">
        <v>0</v>
      </c>
      <c r="D56" s="16"/>
      <c r="E56" s="14">
        <v>0</v>
      </c>
      <c r="F56" s="12"/>
      <c r="G56" s="14">
        <v>0</v>
      </c>
      <c r="H56" s="16"/>
      <c r="I56" s="16"/>
      <c r="J56" s="10">
        <v>1</v>
      </c>
      <c r="K56" s="10"/>
      <c r="L56" s="10"/>
    </row>
    <row r="57" spans="1:12" ht="33" customHeight="1">
      <c r="A57" s="11" t="s">
        <v>17</v>
      </c>
      <c r="B57" s="16"/>
      <c r="C57" s="14">
        <v>0</v>
      </c>
      <c r="D57" s="16"/>
      <c r="E57" s="14">
        <v>0</v>
      </c>
      <c r="F57" s="10"/>
      <c r="G57" s="14">
        <v>0</v>
      </c>
      <c r="H57" s="16"/>
      <c r="I57" s="16"/>
      <c r="J57" s="10">
        <v>1</v>
      </c>
      <c r="K57" s="10"/>
      <c r="L57" s="10"/>
    </row>
    <row r="58" spans="1:12" ht="33" customHeight="1">
      <c r="A58" s="11" t="s">
        <v>13</v>
      </c>
      <c r="B58" s="16">
        <v>1887479.5358937669</v>
      </c>
      <c r="C58" s="14">
        <v>0</v>
      </c>
      <c r="D58" s="16">
        <v>674340.1330124659</v>
      </c>
      <c r="E58" s="14">
        <v>0</v>
      </c>
      <c r="F58" s="10"/>
      <c r="G58" s="14">
        <v>0</v>
      </c>
      <c r="H58" s="16">
        <v>220857.97359999994</v>
      </c>
      <c r="I58" s="16">
        <v>4449299.2048000004</v>
      </c>
      <c r="J58" s="10">
        <v>44</v>
      </c>
      <c r="K58" s="10">
        <v>18</v>
      </c>
      <c r="L58" s="10">
        <v>24</v>
      </c>
    </row>
    <row r="59" spans="1:12" ht="33" customHeight="1">
      <c r="A59" s="11" t="s">
        <v>16</v>
      </c>
      <c r="B59" s="16">
        <v>127948.0422</v>
      </c>
      <c r="C59" s="14">
        <v>0</v>
      </c>
      <c r="D59" s="16">
        <v>0</v>
      </c>
      <c r="E59" s="14">
        <v>0</v>
      </c>
      <c r="F59" s="10"/>
      <c r="G59" s="14">
        <v>0</v>
      </c>
      <c r="H59" s="16">
        <v>10553.038399999999</v>
      </c>
      <c r="I59" s="16">
        <v>255896.08439999999</v>
      </c>
      <c r="J59" s="10">
        <v>5</v>
      </c>
      <c r="K59" s="10"/>
      <c r="L59" s="10">
        <v>1</v>
      </c>
    </row>
    <row r="60" spans="1:12">
      <c r="A60" s="11" t="s">
        <v>14</v>
      </c>
      <c r="B60" s="16">
        <v>318921.70380175876</v>
      </c>
      <c r="C60" s="15">
        <v>0</v>
      </c>
      <c r="D60" s="16">
        <v>64046.167596482497</v>
      </c>
      <c r="E60" s="15">
        <v>0</v>
      </c>
      <c r="F60" s="10">
        <v>188115.91</v>
      </c>
      <c r="G60" s="15">
        <v>0</v>
      </c>
      <c r="H60" s="16">
        <v>89672.767999999996</v>
      </c>
      <c r="I60" s="16">
        <v>701889.57520000008</v>
      </c>
      <c r="J60" s="10">
        <v>4</v>
      </c>
      <c r="K60" s="10">
        <v>3</v>
      </c>
      <c r="L60" s="10">
        <v>1</v>
      </c>
    </row>
    <row r="61" spans="1:12">
      <c r="A61" s="11" t="s">
        <v>15</v>
      </c>
      <c r="B61" s="16">
        <v>3598721.8543722313</v>
      </c>
      <c r="C61" s="15">
        <v>0</v>
      </c>
      <c r="D61" s="16">
        <v>824872.97645553772</v>
      </c>
      <c r="E61" s="15">
        <v>0</v>
      </c>
      <c r="F61" s="10">
        <v>8120.1400000000012</v>
      </c>
      <c r="G61" s="15">
        <v>0</v>
      </c>
      <c r="H61" s="16">
        <v>2328913.1147999992</v>
      </c>
      <c r="I61" s="16">
        <v>8022316.6852000002</v>
      </c>
      <c r="J61" s="10">
        <v>250</v>
      </c>
      <c r="K61" s="10">
        <v>134</v>
      </c>
      <c r="L61" s="10">
        <v>68</v>
      </c>
    </row>
    <row r="62" spans="1:12">
      <c r="A62" s="11" t="s">
        <v>49</v>
      </c>
      <c r="B62" s="16"/>
      <c r="C62" s="15">
        <v>0</v>
      </c>
      <c r="D62" s="16"/>
      <c r="E62" s="15">
        <v>0</v>
      </c>
      <c r="F62" s="10"/>
      <c r="G62" s="15">
        <v>0</v>
      </c>
      <c r="H62" s="16"/>
      <c r="I62" s="16"/>
      <c r="J62" s="10"/>
      <c r="K62" s="10"/>
      <c r="L62" s="10"/>
    </row>
    <row r="63" spans="1:12">
      <c r="A63" s="11" t="s">
        <v>50</v>
      </c>
      <c r="B63" s="16"/>
      <c r="C63" s="15">
        <v>0</v>
      </c>
      <c r="D63" s="16"/>
      <c r="E63" s="15">
        <v>0</v>
      </c>
      <c r="F63" s="11"/>
      <c r="G63" s="15">
        <v>0</v>
      </c>
      <c r="H63" s="16"/>
      <c r="I63" s="16"/>
      <c r="J63" s="10"/>
      <c r="K63" s="10"/>
      <c r="L63" s="10"/>
    </row>
    <row r="64" spans="1:12">
      <c r="A64" s="11" t="s">
        <v>51</v>
      </c>
      <c r="B64" s="16"/>
      <c r="C64" s="15">
        <v>0</v>
      </c>
      <c r="D64" s="16"/>
      <c r="E64" s="15">
        <v>0</v>
      </c>
      <c r="F64" s="11"/>
      <c r="G64" s="15">
        <v>0</v>
      </c>
      <c r="H64" s="16"/>
      <c r="I64" s="16"/>
      <c r="J64" s="10"/>
      <c r="K64" s="11"/>
      <c r="L64" s="11"/>
    </row>
    <row r="66" spans="1:12">
      <c r="A66" s="7">
        <v>45078</v>
      </c>
      <c r="B66" s="9" t="s">
        <v>26</v>
      </c>
      <c r="C66" s="9" t="s">
        <v>27</v>
      </c>
      <c r="D66" s="9" t="s">
        <v>28</v>
      </c>
      <c r="E66" s="9" t="s">
        <v>29</v>
      </c>
      <c r="F66" s="9" t="s">
        <v>30</v>
      </c>
      <c r="G66" s="9" t="s">
        <v>31</v>
      </c>
      <c r="H66" s="9" t="s">
        <v>32</v>
      </c>
      <c r="I66" s="9" t="s">
        <v>33</v>
      </c>
      <c r="J66" s="9" t="s">
        <v>34</v>
      </c>
      <c r="K66" s="9" t="s">
        <v>35</v>
      </c>
      <c r="L66" s="9" t="s">
        <v>34</v>
      </c>
    </row>
    <row r="67" spans="1:12" ht="33" customHeight="1">
      <c r="A67" s="2" t="s">
        <v>8</v>
      </c>
      <c r="B67" s="6" t="s">
        <v>37</v>
      </c>
      <c r="C67" s="6" t="s">
        <v>38</v>
      </c>
      <c r="D67" s="6" t="s">
        <v>39</v>
      </c>
      <c r="E67" s="6" t="s">
        <v>40</v>
      </c>
      <c r="F67" s="6" t="s">
        <v>41</v>
      </c>
      <c r="G67" s="6" t="s">
        <v>42</v>
      </c>
      <c r="H67" s="6" t="s">
        <v>43</v>
      </c>
      <c r="I67" s="6" t="s">
        <v>44</v>
      </c>
      <c r="J67" s="4" t="s">
        <v>45</v>
      </c>
      <c r="K67" s="5" t="s">
        <v>46</v>
      </c>
      <c r="L67" s="4" t="s">
        <v>47</v>
      </c>
    </row>
    <row r="68" spans="1:12" ht="33" customHeight="1">
      <c r="A68" s="11" t="s">
        <v>48</v>
      </c>
      <c r="B68" s="16"/>
      <c r="C68" s="14">
        <v>0</v>
      </c>
      <c r="D68" s="16"/>
      <c r="E68" s="14">
        <v>0</v>
      </c>
      <c r="F68" s="20"/>
      <c r="G68" s="14">
        <v>0</v>
      </c>
      <c r="H68" s="16"/>
      <c r="I68" s="16"/>
      <c r="J68" s="10">
        <v>2</v>
      </c>
      <c r="K68" s="10"/>
      <c r="L68" s="10">
        <v>2</v>
      </c>
    </row>
    <row r="69" spans="1:12" ht="33" customHeight="1">
      <c r="A69" s="11" t="s">
        <v>17</v>
      </c>
      <c r="B69" s="16">
        <v>50414.487800000003</v>
      </c>
      <c r="C69" s="14">
        <v>0</v>
      </c>
      <c r="D69" s="16">
        <v>105009.9828</v>
      </c>
      <c r="E69" s="14">
        <v>0</v>
      </c>
      <c r="F69" s="10"/>
      <c r="G69" s="14">
        <v>0</v>
      </c>
      <c r="H69" s="16">
        <v>15156.808800000001</v>
      </c>
      <c r="I69" s="16">
        <v>205838.9584</v>
      </c>
      <c r="J69" s="10">
        <v>3</v>
      </c>
      <c r="K69" s="10"/>
      <c r="L69" s="10">
        <v>2</v>
      </c>
    </row>
    <row r="70" spans="1:12" ht="33" customHeight="1">
      <c r="A70" s="11" t="s">
        <v>13</v>
      </c>
      <c r="B70" s="16">
        <v>2251153.6972336043</v>
      </c>
      <c r="C70" s="14">
        <v>0</v>
      </c>
      <c r="D70" s="16">
        <v>1180166.0195327916</v>
      </c>
      <c r="E70" s="14">
        <v>0</v>
      </c>
      <c r="F70" s="10">
        <v>949.51</v>
      </c>
      <c r="G70" s="14">
        <v>0</v>
      </c>
      <c r="H70" s="16">
        <v>346656.95080000011</v>
      </c>
      <c r="I70" s="16">
        <v>5682473.4140000008</v>
      </c>
      <c r="J70" s="10">
        <v>41</v>
      </c>
      <c r="K70" s="10">
        <v>28</v>
      </c>
      <c r="L70" s="10">
        <v>12</v>
      </c>
    </row>
    <row r="71" spans="1:12" ht="33" customHeight="1">
      <c r="A71" s="11" t="s">
        <v>16</v>
      </c>
      <c r="B71" s="16"/>
      <c r="C71" s="14">
        <v>0</v>
      </c>
      <c r="D71" s="16"/>
      <c r="E71" s="14">
        <v>0</v>
      </c>
      <c r="F71" s="10"/>
      <c r="G71" s="14">
        <v>0</v>
      </c>
      <c r="H71" s="16"/>
      <c r="I71" s="16"/>
      <c r="J71" s="10">
        <v>1</v>
      </c>
      <c r="K71" s="10">
        <v>3</v>
      </c>
      <c r="L71" s="10">
        <v>1</v>
      </c>
    </row>
    <row r="72" spans="1:12">
      <c r="A72" s="11" t="s">
        <v>14</v>
      </c>
      <c r="B72" s="16">
        <v>56274.365629268294</v>
      </c>
      <c r="C72" s="15">
        <v>0</v>
      </c>
      <c r="D72" s="16">
        <v>264051.22234146344</v>
      </c>
      <c r="E72" s="15">
        <v>0</v>
      </c>
      <c r="F72" s="10"/>
      <c r="G72" s="15">
        <v>0</v>
      </c>
      <c r="H72" s="16">
        <v>49323.483199999995</v>
      </c>
      <c r="I72" s="16">
        <v>376599.95360000001</v>
      </c>
      <c r="J72" s="10">
        <v>3</v>
      </c>
      <c r="K72" s="10">
        <v>3</v>
      </c>
      <c r="L72" s="10">
        <v>2</v>
      </c>
    </row>
    <row r="73" spans="1:12">
      <c r="A73" s="11" t="s">
        <v>15</v>
      </c>
      <c r="B73" s="16">
        <v>4994659.6197925564</v>
      </c>
      <c r="C73" s="15">
        <v>0</v>
      </c>
      <c r="D73" s="16">
        <v>1091993.9068148863</v>
      </c>
      <c r="E73" s="15">
        <v>0</v>
      </c>
      <c r="F73" s="10">
        <v>51281.240000000005</v>
      </c>
      <c r="G73" s="15">
        <v>0</v>
      </c>
      <c r="H73" s="16">
        <v>2441232.1140000005</v>
      </c>
      <c r="I73" s="16">
        <v>11081313.146399999</v>
      </c>
      <c r="J73" s="10">
        <v>276</v>
      </c>
      <c r="K73" s="10">
        <v>99</v>
      </c>
      <c r="L73" s="10">
        <v>62</v>
      </c>
    </row>
    <row r="74" spans="1:12">
      <c r="A74" s="11" t="s">
        <v>49</v>
      </c>
      <c r="B74" s="16"/>
      <c r="C74" s="15">
        <v>0</v>
      </c>
      <c r="D74" s="16"/>
      <c r="E74" s="15">
        <v>0</v>
      </c>
      <c r="F74" s="10"/>
      <c r="G74" s="15">
        <v>0</v>
      </c>
      <c r="H74" s="16"/>
      <c r="I74" s="16"/>
      <c r="J74" s="10"/>
      <c r="K74" s="10"/>
      <c r="L74" s="10"/>
    </row>
    <row r="75" spans="1:12">
      <c r="A75" s="11" t="s">
        <v>50</v>
      </c>
      <c r="B75" s="16"/>
      <c r="C75" s="15">
        <v>0</v>
      </c>
      <c r="D75" s="16"/>
      <c r="E75" s="15">
        <v>0</v>
      </c>
      <c r="F75" s="11"/>
      <c r="G75" s="15">
        <v>0</v>
      </c>
      <c r="H75" s="16"/>
      <c r="I75" s="16"/>
      <c r="J75" s="10"/>
      <c r="K75" s="11"/>
      <c r="L75" s="10"/>
    </row>
    <row r="76" spans="1:12">
      <c r="A76" s="11" t="s">
        <v>51</v>
      </c>
      <c r="B76" s="16"/>
      <c r="C76" s="15">
        <v>0</v>
      </c>
      <c r="D76" s="11"/>
      <c r="E76" s="15">
        <v>0</v>
      </c>
      <c r="F76" s="11"/>
      <c r="G76" s="15">
        <v>0</v>
      </c>
      <c r="H76" s="16"/>
      <c r="I76" s="16"/>
      <c r="J76" s="10"/>
      <c r="K76" s="11">
        <v>1</v>
      </c>
      <c r="L76" s="11"/>
    </row>
    <row r="78" spans="1:12">
      <c r="A78" s="7">
        <v>45137</v>
      </c>
    </row>
    <row r="79" spans="1:12" ht="33" customHeight="1">
      <c r="A79" s="2" t="s">
        <v>8</v>
      </c>
      <c r="B79" s="6" t="s">
        <v>37</v>
      </c>
      <c r="C79" s="6" t="s">
        <v>38</v>
      </c>
      <c r="D79" s="6" t="s">
        <v>39</v>
      </c>
      <c r="E79" s="6" t="s">
        <v>40</v>
      </c>
      <c r="F79" s="6" t="s">
        <v>41</v>
      </c>
      <c r="G79" s="6" t="s">
        <v>42</v>
      </c>
      <c r="H79" s="6" t="s">
        <v>43</v>
      </c>
      <c r="I79" s="6" t="s">
        <v>44</v>
      </c>
      <c r="J79" s="4" t="s">
        <v>45</v>
      </c>
      <c r="K79" s="5" t="s">
        <v>46</v>
      </c>
      <c r="L79" s="4" t="s">
        <v>47</v>
      </c>
    </row>
    <row r="80" spans="1:12" ht="33" customHeight="1">
      <c r="A80" s="11" t="s">
        <v>48</v>
      </c>
      <c r="B80" s="16">
        <v>0</v>
      </c>
      <c r="C80" s="14">
        <v>0</v>
      </c>
      <c r="D80" s="16">
        <v>318406.4436</v>
      </c>
      <c r="E80" s="14">
        <v>0</v>
      </c>
      <c r="F80" s="20"/>
      <c r="G80" s="14">
        <v>0</v>
      </c>
      <c r="H80" s="16">
        <v>14829.022800000001</v>
      </c>
      <c r="I80" s="16">
        <v>318406.4436</v>
      </c>
      <c r="J80" s="13">
        <v>1</v>
      </c>
      <c r="K80" s="10"/>
      <c r="L80" s="13">
        <v>1</v>
      </c>
    </row>
    <row r="81" spans="1:12" ht="33" customHeight="1">
      <c r="A81" s="11" t="s">
        <v>17</v>
      </c>
      <c r="B81" s="16"/>
      <c r="C81" s="14">
        <v>0</v>
      </c>
      <c r="D81" s="16"/>
      <c r="E81" s="14">
        <v>0</v>
      </c>
      <c r="F81" s="10"/>
      <c r="G81" s="14">
        <v>0</v>
      </c>
      <c r="H81" s="16"/>
      <c r="I81" s="16"/>
      <c r="J81" s="13">
        <v>2</v>
      </c>
      <c r="K81" s="10"/>
      <c r="L81" s="13"/>
    </row>
    <row r="82" spans="1:12" ht="33" customHeight="1">
      <c r="A82" s="11" t="s">
        <v>13</v>
      </c>
      <c r="B82" s="16">
        <v>1241323.6503495935</v>
      </c>
      <c r="C82" s="14">
        <v>0</v>
      </c>
      <c r="D82" s="16">
        <v>695603.13490081276</v>
      </c>
      <c r="E82" s="14">
        <v>0</v>
      </c>
      <c r="F82" s="10">
        <v>18329.12</v>
      </c>
      <c r="G82" s="14">
        <v>0</v>
      </c>
      <c r="H82" s="16">
        <v>332233.44760000001</v>
      </c>
      <c r="I82" s="16">
        <v>3178250.4356</v>
      </c>
      <c r="J82" s="10">
        <v>31</v>
      </c>
      <c r="K82" s="10">
        <v>18</v>
      </c>
      <c r="L82" s="10">
        <v>8</v>
      </c>
    </row>
    <row r="83" spans="1:12" ht="33" customHeight="1">
      <c r="A83" s="11" t="s">
        <v>16</v>
      </c>
      <c r="B83" s="16">
        <v>0</v>
      </c>
      <c r="C83" s="14">
        <v>0</v>
      </c>
      <c r="D83" s="16">
        <v>0</v>
      </c>
      <c r="E83" s="14">
        <v>0</v>
      </c>
      <c r="F83" s="10"/>
      <c r="G83" s="14">
        <v>0</v>
      </c>
      <c r="H83" s="16">
        <v>150</v>
      </c>
      <c r="I83" s="16">
        <v>0</v>
      </c>
      <c r="J83" s="10"/>
      <c r="K83" s="10">
        <v>2</v>
      </c>
      <c r="L83" s="10"/>
    </row>
    <row r="84" spans="1:12">
      <c r="A84" s="11" t="s">
        <v>14</v>
      </c>
      <c r="B84" s="16">
        <v>95196.729510569101</v>
      </c>
      <c r="C84" s="15">
        <v>0</v>
      </c>
      <c r="D84" s="16">
        <v>35926.616578861795</v>
      </c>
      <c r="E84" s="15">
        <v>0</v>
      </c>
      <c r="F84" s="10">
        <v>9271.18</v>
      </c>
      <c r="G84" s="15">
        <v>0</v>
      </c>
      <c r="H84" s="16">
        <v>48199.384399999995</v>
      </c>
      <c r="I84" s="16">
        <v>226320.07559999998</v>
      </c>
      <c r="J84" s="10">
        <v>7</v>
      </c>
      <c r="K84" s="10"/>
      <c r="L84" s="10">
        <v>4</v>
      </c>
    </row>
    <row r="85" spans="1:12">
      <c r="A85" s="11" t="s">
        <v>15</v>
      </c>
      <c r="B85" s="16">
        <v>4405042.0987008177</v>
      </c>
      <c r="C85" s="15">
        <v>0</v>
      </c>
      <c r="D85" s="16">
        <v>1295489.8129983672</v>
      </c>
      <c r="E85" s="15">
        <v>0</v>
      </c>
      <c r="F85" s="10">
        <v>151274.54999999999</v>
      </c>
      <c r="G85" s="15">
        <v>0</v>
      </c>
      <c r="H85" s="16">
        <v>2783625.548</v>
      </c>
      <c r="I85" s="16">
        <v>10105574.010400003</v>
      </c>
      <c r="J85" s="10">
        <v>236</v>
      </c>
      <c r="K85" s="10">
        <v>102</v>
      </c>
      <c r="L85" s="10">
        <v>56</v>
      </c>
    </row>
    <row r="86" spans="1:12">
      <c r="A86" s="11" t="s">
        <v>49</v>
      </c>
      <c r="B86" s="16"/>
      <c r="C86" s="15">
        <v>0</v>
      </c>
      <c r="D86" s="16"/>
      <c r="E86" s="15">
        <v>0</v>
      </c>
      <c r="F86" s="10"/>
      <c r="G86" s="15">
        <v>0</v>
      </c>
      <c r="H86" s="16"/>
      <c r="I86" s="16"/>
      <c r="J86" s="10"/>
      <c r="K86" s="10"/>
      <c r="L86" s="10"/>
    </row>
    <row r="87" spans="1:12">
      <c r="A87" s="11" t="s">
        <v>50</v>
      </c>
      <c r="B87" s="16"/>
      <c r="C87" s="15">
        <v>0</v>
      </c>
      <c r="D87" s="16"/>
      <c r="E87" s="15">
        <v>0</v>
      </c>
      <c r="F87" s="11"/>
      <c r="G87" s="15">
        <v>0</v>
      </c>
      <c r="H87" s="16"/>
      <c r="I87" s="16"/>
      <c r="J87" s="10"/>
      <c r="K87" s="10"/>
      <c r="L87" s="10"/>
    </row>
    <row r="88" spans="1:12">
      <c r="A88" s="11" t="s">
        <v>51</v>
      </c>
      <c r="B88" s="11"/>
      <c r="C88" s="15">
        <v>0</v>
      </c>
      <c r="D88" s="11"/>
      <c r="E88" s="15">
        <v>0</v>
      </c>
      <c r="F88" s="11"/>
      <c r="G88" s="15">
        <v>0</v>
      </c>
      <c r="H88" s="16"/>
      <c r="I88" s="16"/>
      <c r="J88" s="10"/>
      <c r="K88" s="11"/>
      <c r="L88" s="10"/>
    </row>
    <row r="90" spans="1:12">
      <c r="A90" s="7">
        <v>45139</v>
      </c>
    </row>
    <row r="91" spans="1:12" ht="33" customHeight="1">
      <c r="A91" s="2" t="s">
        <v>8</v>
      </c>
      <c r="B91" s="6" t="s">
        <v>37</v>
      </c>
      <c r="C91" s="6" t="s">
        <v>38</v>
      </c>
      <c r="D91" s="6" t="s">
        <v>39</v>
      </c>
      <c r="E91" s="6" t="s">
        <v>40</v>
      </c>
      <c r="F91" s="6" t="s">
        <v>41</v>
      </c>
      <c r="G91" s="6" t="s">
        <v>42</v>
      </c>
      <c r="H91" s="6" t="s">
        <v>43</v>
      </c>
      <c r="I91" s="6" t="s">
        <v>44</v>
      </c>
      <c r="J91" s="4" t="s">
        <v>45</v>
      </c>
      <c r="K91" s="5" t="s">
        <v>46</v>
      </c>
      <c r="L91" s="4" t="s">
        <v>47</v>
      </c>
    </row>
    <row r="92" spans="1:12" ht="33" customHeight="1">
      <c r="A92" s="11" t="s">
        <v>48</v>
      </c>
      <c r="B92" s="16"/>
      <c r="C92" s="14">
        <v>0</v>
      </c>
      <c r="D92" s="16"/>
      <c r="E92" s="14">
        <v>0</v>
      </c>
      <c r="F92" s="20"/>
      <c r="G92" s="14">
        <v>0</v>
      </c>
      <c r="H92" s="16"/>
      <c r="I92" s="16"/>
      <c r="J92" s="10"/>
      <c r="K92" s="10"/>
      <c r="L92" s="10"/>
    </row>
    <row r="93" spans="1:12" ht="33" customHeight="1">
      <c r="A93" s="11" t="s">
        <v>17</v>
      </c>
      <c r="B93" s="16">
        <v>0</v>
      </c>
      <c r="C93" s="14">
        <v>0</v>
      </c>
      <c r="D93" s="16">
        <v>0</v>
      </c>
      <c r="E93" s="14">
        <v>0</v>
      </c>
      <c r="F93" s="10"/>
      <c r="G93" s="14">
        <v>0</v>
      </c>
      <c r="H93" s="16">
        <v>1994.0239999999999</v>
      </c>
      <c r="I93" s="16">
        <v>0</v>
      </c>
      <c r="J93" s="10">
        <v>2</v>
      </c>
      <c r="K93" s="10"/>
      <c r="L93" s="10"/>
    </row>
    <row r="94" spans="1:12" ht="33" customHeight="1">
      <c r="A94" s="11" t="s">
        <v>13</v>
      </c>
      <c r="B94" s="16">
        <v>1694366.5754428185</v>
      </c>
      <c r="C94" s="14">
        <v>0</v>
      </c>
      <c r="D94" s="16">
        <v>1630810.6323143637</v>
      </c>
      <c r="E94" s="14">
        <v>0</v>
      </c>
      <c r="F94" s="10"/>
      <c r="G94" s="14">
        <v>0</v>
      </c>
      <c r="H94" s="16">
        <v>387299.74040000007</v>
      </c>
      <c r="I94" s="16">
        <v>5019543.7832000004</v>
      </c>
      <c r="J94" s="10">
        <v>39</v>
      </c>
      <c r="K94" s="10">
        <v>22</v>
      </c>
      <c r="L94" s="10">
        <v>14</v>
      </c>
    </row>
    <row r="95" spans="1:12" ht="33" customHeight="1">
      <c r="A95" s="11" t="s">
        <v>16</v>
      </c>
      <c r="B95" s="16">
        <v>63557.808908401094</v>
      </c>
      <c r="C95" s="14">
        <v>0</v>
      </c>
      <c r="D95" s="16">
        <v>44266.319783197832</v>
      </c>
      <c r="E95" s="14">
        <v>0</v>
      </c>
      <c r="F95" s="10"/>
      <c r="G95" s="14">
        <v>0</v>
      </c>
      <c r="H95" s="16">
        <v>4620.3843999999999</v>
      </c>
      <c r="I95" s="16">
        <v>171381.9376</v>
      </c>
      <c r="J95" s="10"/>
      <c r="K95" s="10">
        <v>1</v>
      </c>
      <c r="L95" s="10"/>
    </row>
    <row r="96" spans="1:12">
      <c r="A96" s="11" t="s">
        <v>14</v>
      </c>
      <c r="B96" s="16">
        <v>2205515.3347734418</v>
      </c>
      <c r="C96" s="15">
        <v>0</v>
      </c>
      <c r="D96" s="16">
        <v>864667.3288531166</v>
      </c>
      <c r="E96" s="15">
        <v>0</v>
      </c>
      <c r="F96" s="10">
        <v>60557.45</v>
      </c>
      <c r="G96" s="15">
        <v>0</v>
      </c>
      <c r="H96" s="16">
        <v>505724.69640000002</v>
      </c>
      <c r="I96" s="16">
        <v>5275697.998399999</v>
      </c>
      <c r="J96" s="10">
        <v>1</v>
      </c>
      <c r="K96" s="10">
        <v>4</v>
      </c>
      <c r="L96" s="10">
        <v>1</v>
      </c>
    </row>
    <row r="97" spans="1:12">
      <c r="A97" s="11" t="s">
        <v>15</v>
      </c>
      <c r="B97" s="16">
        <v>5795711.8594430638</v>
      </c>
      <c r="C97" s="15">
        <v>0</v>
      </c>
      <c r="D97" s="16">
        <v>1472203.3003138704</v>
      </c>
      <c r="E97" s="15">
        <v>0</v>
      </c>
      <c r="F97" s="10">
        <v>123343.43999999986</v>
      </c>
      <c r="G97" s="15">
        <v>0</v>
      </c>
      <c r="H97" s="16">
        <v>3465758.7295999974</v>
      </c>
      <c r="I97" s="16">
        <v>13063627.019199999</v>
      </c>
      <c r="J97" s="10">
        <v>225</v>
      </c>
      <c r="K97" s="10">
        <v>126</v>
      </c>
      <c r="L97" s="10">
        <v>55</v>
      </c>
    </row>
    <row r="98" spans="1:12">
      <c r="A98" s="11" t="s">
        <v>49</v>
      </c>
      <c r="B98" s="16"/>
      <c r="C98" s="15">
        <v>0</v>
      </c>
      <c r="D98" s="16"/>
      <c r="E98" s="15">
        <v>0</v>
      </c>
      <c r="F98" s="10"/>
      <c r="G98" s="15">
        <v>0</v>
      </c>
      <c r="H98" s="16"/>
      <c r="I98" s="16"/>
      <c r="J98" s="10"/>
      <c r="K98" s="10"/>
      <c r="L98" s="10"/>
    </row>
    <row r="99" spans="1:12">
      <c r="A99" s="11" t="s">
        <v>50</v>
      </c>
      <c r="B99" s="16"/>
      <c r="C99" s="15">
        <v>0</v>
      </c>
      <c r="D99" s="16"/>
      <c r="E99" s="15">
        <v>0</v>
      </c>
      <c r="F99" s="11"/>
      <c r="G99" s="15">
        <v>0</v>
      </c>
      <c r="H99" s="16"/>
      <c r="I99" s="16"/>
      <c r="J99" s="10"/>
      <c r="K99" s="10"/>
      <c r="L99" s="11"/>
    </row>
    <row r="100" spans="1:12">
      <c r="A100" s="11" t="s">
        <v>51</v>
      </c>
      <c r="B100" s="11">
        <v>41520.2592</v>
      </c>
      <c r="C100" s="15">
        <v>0</v>
      </c>
      <c r="D100" s="16">
        <v>0</v>
      </c>
      <c r="E100" s="15">
        <v>0</v>
      </c>
      <c r="F100" s="11"/>
      <c r="G100" s="15">
        <v>0</v>
      </c>
      <c r="H100" s="11">
        <v>3631.8896</v>
      </c>
      <c r="I100" s="16">
        <v>83040.518400000001</v>
      </c>
      <c r="J100" s="10"/>
      <c r="K100" s="11"/>
      <c r="L100" s="11"/>
    </row>
    <row r="102" spans="1:12">
      <c r="A102" s="7">
        <v>45170</v>
      </c>
    </row>
    <row r="103" spans="1:12" ht="33" customHeight="1">
      <c r="A103" s="2" t="s">
        <v>8</v>
      </c>
      <c r="B103" s="6" t="s">
        <v>37</v>
      </c>
      <c r="C103" s="6" t="s">
        <v>38</v>
      </c>
      <c r="D103" s="6" t="s">
        <v>39</v>
      </c>
      <c r="E103" s="6" t="s">
        <v>40</v>
      </c>
      <c r="F103" s="6" t="s">
        <v>41</v>
      </c>
      <c r="G103" s="6" t="s">
        <v>42</v>
      </c>
      <c r="H103" s="6" t="s">
        <v>43</v>
      </c>
      <c r="I103" s="6" t="s">
        <v>44</v>
      </c>
      <c r="J103" s="4" t="s">
        <v>45</v>
      </c>
      <c r="K103" s="5" t="s">
        <v>46</v>
      </c>
      <c r="L103" s="4" t="s">
        <v>47</v>
      </c>
    </row>
    <row r="104" spans="1:12" ht="33" customHeight="1">
      <c r="A104" s="11" t="s">
        <v>48</v>
      </c>
      <c r="B104" s="16">
        <v>39916.408318699192</v>
      </c>
      <c r="C104" s="14">
        <v>0</v>
      </c>
      <c r="D104" s="16">
        <v>10913.260162601629</v>
      </c>
      <c r="E104" s="14">
        <v>0</v>
      </c>
      <c r="F104" s="12"/>
      <c r="G104" s="14">
        <v>0</v>
      </c>
      <c r="H104" s="16">
        <v>7055.9367999999986</v>
      </c>
      <c r="I104" s="16">
        <v>90746.07680000001</v>
      </c>
      <c r="J104" s="13">
        <v>5</v>
      </c>
      <c r="K104" s="10"/>
      <c r="L104" s="13">
        <v>1</v>
      </c>
    </row>
    <row r="105" spans="1:12" ht="33" customHeight="1">
      <c r="A105" s="11" t="s">
        <v>17</v>
      </c>
      <c r="B105" s="16"/>
      <c r="C105" s="14">
        <v>0</v>
      </c>
      <c r="D105" s="16"/>
      <c r="E105" s="14">
        <v>0</v>
      </c>
      <c r="F105" s="17"/>
      <c r="G105" s="14">
        <v>0</v>
      </c>
      <c r="H105" s="16"/>
      <c r="I105" s="16"/>
      <c r="J105" s="10"/>
      <c r="K105" s="10"/>
      <c r="L105" s="13"/>
    </row>
    <row r="106" spans="1:12" ht="33" customHeight="1">
      <c r="A106" s="11" t="s">
        <v>13</v>
      </c>
      <c r="B106" s="16">
        <v>2316871.62337561</v>
      </c>
      <c r="C106" s="14">
        <v>0</v>
      </c>
      <c r="D106" s="16">
        <v>916166.60324878059</v>
      </c>
      <c r="E106" s="14">
        <v>0</v>
      </c>
      <c r="F106" s="10"/>
      <c r="G106" s="14">
        <v>0</v>
      </c>
      <c r="H106" s="16">
        <v>702175.37160000007</v>
      </c>
      <c r="I106" s="16">
        <v>5549909.8499999996</v>
      </c>
      <c r="J106" s="10">
        <v>35</v>
      </c>
      <c r="K106" s="10">
        <v>16</v>
      </c>
      <c r="L106" s="10">
        <v>20</v>
      </c>
    </row>
    <row r="107" spans="1:12" ht="33" customHeight="1">
      <c r="A107" s="11" t="s">
        <v>16</v>
      </c>
      <c r="B107" s="16">
        <v>119424.21925907857</v>
      </c>
      <c r="C107" s="14">
        <v>0</v>
      </c>
      <c r="D107" s="16">
        <v>117244.18428184281</v>
      </c>
      <c r="E107" s="14">
        <v>0</v>
      </c>
      <c r="F107" s="10"/>
      <c r="G107" s="14">
        <v>0</v>
      </c>
      <c r="H107" s="16">
        <v>31412.714400000004</v>
      </c>
      <c r="I107" s="16">
        <v>356092.62280000001</v>
      </c>
      <c r="J107" s="10">
        <v>3</v>
      </c>
      <c r="K107" s="10"/>
      <c r="L107" s="10">
        <v>1</v>
      </c>
    </row>
    <row r="108" spans="1:12">
      <c r="A108" s="11" t="s">
        <v>14</v>
      </c>
      <c r="B108" s="16">
        <v>748083.30845691066</v>
      </c>
      <c r="C108" s="15">
        <v>0</v>
      </c>
      <c r="D108" s="16">
        <v>1625911.4838861788</v>
      </c>
      <c r="E108" s="15">
        <v>0</v>
      </c>
      <c r="F108" s="10"/>
      <c r="G108" s="15">
        <v>0</v>
      </c>
      <c r="H108" s="16">
        <v>234191.90559999997</v>
      </c>
      <c r="I108" s="16">
        <v>3122078.1007999997</v>
      </c>
      <c r="J108" s="10">
        <v>5</v>
      </c>
      <c r="K108" s="10">
        <v>3</v>
      </c>
      <c r="L108" s="10">
        <v>2</v>
      </c>
    </row>
    <row r="109" spans="1:12">
      <c r="A109" s="11" t="s">
        <v>15</v>
      </c>
      <c r="B109" s="21">
        <v>6733240.2134112986</v>
      </c>
      <c r="C109" s="15">
        <v>0</v>
      </c>
      <c r="D109" s="21">
        <v>401809.69877739798</v>
      </c>
      <c r="E109" s="15">
        <v>0</v>
      </c>
      <c r="F109" s="10">
        <v>25166.65</v>
      </c>
      <c r="G109" s="15">
        <v>0</v>
      </c>
      <c r="H109" s="21">
        <v>2921405.3152000001</v>
      </c>
      <c r="I109" s="21">
        <v>13868290.125599995</v>
      </c>
      <c r="J109" s="10">
        <v>199</v>
      </c>
      <c r="K109" s="10">
        <v>107</v>
      </c>
      <c r="L109" s="10">
        <v>47</v>
      </c>
    </row>
    <row r="110" spans="1:12">
      <c r="A110" s="11" t="s">
        <v>49</v>
      </c>
      <c r="B110" s="16"/>
      <c r="C110" s="15">
        <v>0</v>
      </c>
      <c r="D110" s="16"/>
      <c r="E110" s="15">
        <v>0</v>
      </c>
      <c r="F110" s="10"/>
      <c r="G110" s="15">
        <v>0</v>
      </c>
      <c r="H110" s="16"/>
      <c r="I110" s="16"/>
      <c r="J110" s="10"/>
      <c r="K110" s="10"/>
      <c r="L110" s="10"/>
    </row>
    <row r="111" spans="1:12">
      <c r="A111" s="11" t="s">
        <v>50</v>
      </c>
      <c r="B111" s="16"/>
      <c r="C111" s="15">
        <v>0</v>
      </c>
      <c r="D111" s="16"/>
      <c r="E111" s="15">
        <v>0</v>
      </c>
      <c r="F111" s="11"/>
      <c r="G111" s="15">
        <v>0</v>
      </c>
      <c r="H111" s="16"/>
      <c r="I111" s="16"/>
      <c r="J111" s="10"/>
      <c r="K111" s="11">
        <v>1</v>
      </c>
      <c r="L111" s="10"/>
    </row>
    <row r="112" spans="1:12">
      <c r="A112" s="11" t="s">
        <v>51</v>
      </c>
      <c r="B112" s="16"/>
      <c r="C112" s="15">
        <v>0</v>
      </c>
      <c r="D112" s="16"/>
      <c r="E112" s="15">
        <v>0</v>
      </c>
      <c r="F112" s="11"/>
      <c r="G112" s="15">
        <v>0</v>
      </c>
      <c r="H112" s="11"/>
      <c r="I112" s="16"/>
      <c r="J112" s="10"/>
      <c r="K112" s="11"/>
      <c r="L112" s="10"/>
    </row>
    <row r="114" spans="1:12">
      <c r="A114" s="7">
        <v>45200</v>
      </c>
    </row>
    <row r="115" spans="1:12" ht="33" customHeight="1">
      <c r="A115" s="2" t="s">
        <v>8</v>
      </c>
      <c r="B115" s="6" t="s">
        <v>37</v>
      </c>
      <c r="C115" s="6" t="s">
        <v>38</v>
      </c>
      <c r="D115" s="6" t="s">
        <v>39</v>
      </c>
      <c r="E115" s="6" t="s">
        <v>40</v>
      </c>
      <c r="F115" s="6" t="s">
        <v>41</v>
      </c>
      <c r="G115" s="6" t="s">
        <v>42</v>
      </c>
      <c r="H115" s="6" t="s">
        <v>43</v>
      </c>
      <c r="I115" s="6" t="s">
        <v>44</v>
      </c>
      <c r="J115" s="4" t="s">
        <v>45</v>
      </c>
      <c r="K115" s="5" t="s">
        <v>46</v>
      </c>
      <c r="L115" s="4" t="s">
        <v>47</v>
      </c>
    </row>
    <row r="116" spans="1:12" ht="33" customHeight="1">
      <c r="A116" s="11" t="s">
        <v>48</v>
      </c>
      <c r="B116" s="16"/>
      <c r="C116" s="14">
        <v>0</v>
      </c>
      <c r="D116" s="16"/>
      <c r="E116" s="14">
        <v>0</v>
      </c>
      <c r="F116" s="12"/>
      <c r="G116" s="14">
        <v>0</v>
      </c>
      <c r="H116" s="16"/>
      <c r="I116" s="16"/>
      <c r="J116" s="13">
        <v>3</v>
      </c>
      <c r="K116" s="10"/>
      <c r="L116" s="13"/>
    </row>
    <row r="117" spans="1:12" ht="33" customHeight="1">
      <c r="A117" s="11" t="s">
        <v>17</v>
      </c>
      <c r="B117" s="16"/>
      <c r="C117" s="14">
        <v>0</v>
      </c>
      <c r="D117" s="16"/>
      <c r="E117" s="14">
        <v>0</v>
      </c>
      <c r="F117" s="10"/>
      <c r="G117" s="14">
        <v>0</v>
      </c>
      <c r="H117" s="16"/>
      <c r="I117" s="16"/>
      <c r="J117" s="10">
        <v>1</v>
      </c>
      <c r="K117" s="10"/>
      <c r="L117" s="10"/>
    </row>
    <row r="118" spans="1:12" ht="33" customHeight="1">
      <c r="A118" s="11" t="s">
        <v>13</v>
      </c>
      <c r="B118" s="21">
        <v>1086070.4680569109</v>
      </c>
      <c r="C118" s="14">
        <v>0</v>
      </c>
      <c r="D118" s="21">
        <v>1541696.375486179</v>
      </c>
      <c r="E118" s="14">
        <v>0</v>
      </c>
      <c r="F118" s="10">
        <v>32990.270000000004</v>
      </c>
      <c r="G118" s="14">
        <v>0</v>
      </c>
      <c r="H118" s="21">
        <v>435042.69919999986</v>
      </c>
      <c r="I118" s="21">
        <v>3713837.3116000001</v>
      </c>
      <c r="J118" s="10">
        <v>38</v>
      </c>
      <c r="K118" s="10">
        <v>27</v>
      </c>
      <c r="L118" s="10">
        <v>11</v>
      </c>
    </row>
    <row r="119" spans="1:12" ht="33" customHeight="1">
      <c r="A119" s="11" t="s">
        <v>16</v>
      </c>
      <c r="B119" s="16">
        <v>26149.764951219509</v>
      </c>
      <c r="C119" s="14">
        <v>0</v>
      </c>
      <c r="D119" s="16">
        <v>42501.756097560967</v>
      </c>
      <c r="E119" s="14">
        <v>0</v>
      </c>
      <c r="F119" s="10"/>
      <c r="G119" s="14">
        <v>0</v>
      </c>
      <c r="H119" s="16">
        <v>2611.0264000000002</v>
      </c>
      <c r="I119" s="16">
        <v>94801.285999999993</v>
      </c>
      <c r="J119" s="10"/>
      <c r="K119" s="10"/>
      <c r="L119" s="10"/>
    </row>
    <row r="120" spans="1:12">
      <c r="A120" s="11" t="s">
        <v>14</v>
      </c>
      <c r="B120" s="16">
        <v>0</v>
      </c>
      <c r="C120" s="15">
        <v>0</v>
      </c>
      <c r="D120" s="16">
        <v>49431.360000000001</v>
      </c>
      <c r="E120" s="15">
        <v>0</v>
      </c>
      <c r="F120" s="10">
        <v>49586.879999999997</v>
      </c>
      <c r="G120" s="15">
        <v>0</v>
      </c>
      <c r="H120" s="16">
        <v>8430.9031999999988</v>
      </c>
      <c r="I120" s="16">
        <v>49431.360000000001</v>
      </c>
      <c r="J120" s="10">
        <v>3</v>
      </c>
      <c r="K120" s="10">
        <v>2</v>
      </c>
      <c r="L120" s="10">
        <v>2</v>
      </c>
    </row>
    <row r="121" spans="1:12">
      <c r="A121" s="11" t="s">
        <v>15</v>
      </c>
      <c r="B121" s="21">
        <v>5442633.4562893147</v>
      </c>
      <c r="C121" s="15">
        <v>0</v>
      </c>
      <c r="D121" s="21">
        <v>1349788.2626213722</v>
      </c>
      <c r="E121" s="15">
        <v>0</v>
      </c>
      <c r="F121" s="10">
        <v>221723.75000000015</v>
      </c>
      <c r="G121" s="15">
        <v>0</v>
      </c>
      <c r="H121" s="21">
        <v>4444429.0991999963</v>
      </c>
      <c r="I121" s="21">
        <v>12235055.175199999</v>
      </c>
      <c r="J121" s="10">
        <v>218</v>
      </c>
      <c r="K121" s="10">
        <v>109</v>
      </c>
      <c r="L121" s="10">
        <v>56</v>
      </c>
    </row>
    <row r="122" spans="1:12">
      <c r="A122" s="11" t="s">
        <v>49</v>
      </c>
      <c r="B122" s="16"/>
      <c r="C122" s="15">
        <v>0</v>
      </c>
      <c r="D122" s="16"/>
      <c r="E122" s="15">
        <v>0</v>
      </c>
      <c r="F122" s="10"/>
      <c r="G122" s="15">
        <v>0</v>
      </c>
      <c r="H122" s="16"/>
      <c r="I122" s="16"/>
      <c r="J122" s="10"/>
      <c r="K122" s="10"/>
      <c r="L122" s="10"/>
    </row>
    <row r="123" spans="1:12">
      <c r="A123" s="11" t="s">
        <v>50</v>
      </c>
      <c r="B123" s="16"/>
      <c r="C123" s="15">
        <v>0</v>
      </c>
      <c r="D123" s="16"/>
      <c r="E123" s="15">
        <v>0</v>
      </c>
      <c r="F123" s="19"/>
      <c r="G123" s="15">
        <v>0</v>
      </c>
      <c r="H123" s="16"/>
      <c r="I123" s="16"/>
      <c r="J123" s="10"/>
      <c r="K123" s="10"/>
      <c r="L123" s="10"/>
    </row>
    <row r="124" spans="1:12">
      <c r="A124" s="11" t="s">
        <v>51</v>
      </c>
      <c r="B124" s="11"/>
      <c r="C124" s="15">
        <v>0</v>
      </c>
      <c r="D124" s="16"/>
      <c r="E124" s="15">
        <v>0</v>
      </c>
      <c r="F124" s="11"/>
      <c r="G124" s="15">
        <v>0</v>
      </c>
      <c r="H124" s="16"/>
      <c r="I124" s="16"/>
      <c r="J124" s="10"/>
      <c r="K124" s="10"/>
      <c r="L124" s="11"/>
    </row>
    <row r="126" spans="1:12">
      <c r="A126" s="7">
        <v>45231</v>
      </c>
    </row>
    <row r="127" spans="1:12" ht="33" customHeight="1">
      <c r="A127" s="2" t="s">
        <v>8</v>
      </c>
      <c r="B127" s="6" t="s">
        <v>37</v>
      </c>
      <c r="C127" s="6" t="s">
        <v>38</v>
      </c>
      <c r="D127" s="6" t="s">
        <v>39</v>
      </c>
      <c r="E127" s="6" t="s">
        <v>40</v>
      </c>
      <c r="F127" s="6" t="s">
        <v>41</v>
      </c>
      <c r="G127" s="6" t="s">
        <v>42</v>
      </c>
      <c r="H127" s="6" t="s">
        <v>43</v>
      </c>
      <c r="I127" s="6" t="s">
        <v>44</v>
      </c>
      <c r="J127" s="4" t="s">
        <v>45</v>
      </c>
      <c r="K127" s="5" t="s">
        <v>46</v>
      </c>
      <c r="L127" s="4" t="s">
        <v>47</v>
      </c>
    </row>
    <row r="128" spans="1:12" ht="33" customHeight="1">
      <c r="A128" s="11" t="s">
        <v>48</v>
      </c>
      <c r="B128" s="16"/>
      <c r="C128" s="14">
        <v>0</v>
      </c>
      <c r="D128" s="16"/>
      <c r="E128" s="14">
        <v>0</v>
      </c>
      <c r="F128" s="12"/>
      <c r="G128" s="14">
        <v>0</v>
      </c>
      <c r="H128" s="16"/>
      <c r="I128" s="16"/>
      <c r="J128" s="10">
        <v>4</v>
      </c>
      <c r="K128" s="10"/>
      <c r="L128" s="10">
        <v>2</v>
      </c>
    </row>
    <row r="129" spans="1:12" ht="33" customHeight="1">
      <c r="A129" s="11" t="s">
        <v>17</v>
      </c>
      <c r="B129" s="16"/>
      <c r="C129" s="14">
        <v>0</v>
      </c>
      <c r="D129" s="16"/>
      <c r="E129" s="14">
        <v>0</v>
      </c>
      <c r="F129" s="10"/>
      <c r="G129" s="14">
        <v>0</v>
      </c>
      <c r="H129" s="16"/>
      <c r="I129" s="16"/>
      <c r="J129" s="10">
        <v>2</v>
      </c>
      <c r="K129" s="10">
        <v>1</v>
      </c>
      <c r="L129" s="10"/>
    </row>
    <row r="130" spans="1:12" ht="33" customHeight="1">
      <c r="A130" s="11" t="s">
        <v>13</v>
      </c>
      <c r="B130" s="16">
        <v>740353.05754037958</v>
      </c>
      <c r="C130" s="14">
        <v>0</v>
      </c>
      <c r="D130" s="16">
        <v>793307.19291924115</v>
      </c>
      <c r="E130" s="14">
        <v>0</v>
      </c>
      <c r="F130" s="10"/>
      <c r="G130" s="14">
        <v>0</v>
      </c>
      <c r="H130" s="16">
        <v>385236.09279999987</v>
      </c>
      <c r="I130" s="16">
        <v>2274013.3079999997</v>
      </c>
      <c r="J130" s="10">
        <v>41</v>
      </c>
      <c r="K130" s="10">
        <v>20</v>
      </c>
      <c r="L130" s="10">
        <v>16</v>
      </c>
    </row>
    <row r="131" spans="1:12" ht="33" customHeight="1">
      <c r="A131" s="11" t="s">
        <v>16</v>
      </c>
      <c r="B131" s="16"/>
      <c r="C131" s="14">
        <v>0</v>
      </c>
      <c r="D131" s="16"/>
      <c r="E131" s="14">
        <v>0</v>
      </c>
      <c r="F131" s="10"/>
      <c r="G131" s="14">
        <v>0</v>
      </c>
      <c r="H131" s="16"/>
      <c r="I131" s="16"/>
      <c r="J131" s="10">
        <v>1</v>
      </c>
      <c r="K131" s="10"/>
      <c r="L131" s="10"/>
    </row>
    <row r="132" spans="1:12">
      <c r="A132" s="11" t="s">
        <v>14</v>
      </c>
      <c r="B132" s="16">
        <v>283288.63768780488</v>
      </c>
      <c r="C132" s="15">
        <v>0</v>
      </c>
      <c r="D132" s="16">
        <v>184243.29502439022</v>
      </c>
      <c r="E132" s="15">
        <v>0</v>
      </c>
      <c r="F132" s="10"/>
      <c r="G132" s="15">
        <v>0</v>
      </c>
      <c r="H132" s="16">
        <v>77767.999599999996</v>
      </c>
      <c r="I132" s="16">
        <v>750820.57039999997</v>
      </c>
      <c r="J132" s="10">
        <v>6</v>
      </c>
      <c r="K132" s="10">
        <v>3</v>
      </c>
      <c r="L132" s="10">
        <v>2</v>
      </c>
    </row>
    <row r="133" spans="1:12">
      <c r="A133" s="11" t="s">
        <v>15</v>
      </c>
      <c r="B133" s="21">
        <v>4699621.6119671231</v>
      </c>
      <c r="C133" s="15">
        <v>0</v>
      </c>
      <c r="D133" s="21">
        <v>1250448.6144657512</v>
      </c>
      <c r="E133" s="15">
        <v>0</v>
      </c>
      <c r="F133" s="10">
        <v>59403.029999999984</v>
      </c>
      <c r="G133" s="15">
        <v>0</v>
      </c>
      <c r="H133" s="21">
        <v>2802511.3112000008</v>
      </c>
      <c r="I133" s="21">
        <v>10649691.838399999</v>
      </c>
      <c r="J133" s="10">
        <v>196</v>
      </c>
      <c r="K133" s="10">
        <v>80</v>
      </c>
      <c r="L133" s="10">
        <v>39</v>
      </c>
    </row>
    <row r="134" spans="1:12">
      <c r="A134" s="11" t="s">
        <v>49</v>
      </c>
      <c r="B134" s="16"/>
      <c r="C134" s="15">
        <v>0</v>
      </c>
      <c r="D134" s="16"/>
      <c r="E134" s="15">
        <v>0</v>
      </c>
      <c r="F134" s="17"/>
      <c r="G134" s="15">
        <v>0</v>
      </c>
      <c r="H134" s="16"/>
      <c r="I134" s="16"/>
      <c r="J134" s="10"/>
      <c r="K134" s="10"/>
      <c r="L134" s="10"/>
    </row>
    <row r="135" spans="1:12">
      <c r="A135" s="11" t="s">
        <v>50</v>
      </c>
      <c r="B135" s="16"/>
      <c r="C135" s="15">
        <v>0</v>
      </c>
      <c r="D135" s="16"/>
      <c r="E135" s="15">
        <v>0</v>
      </c>
      <c r="F135" s="11"/>
      <c r="G135" s="15">
        <v>0</v>
      </c>
      <c r="H135" s="16"/>
      <c r="I135" s="16"/>
      <c r="J135" s="10"/>
      <c r="K135" s="11"/>
      <c r="L135" s="10"/>
    </row>
    <row r="136" spans="1:12">
      <c r="A136" s="11" t="s">
        <v>51</v>
      </c>
      <c r="B136" s="16">
        <v>0</v>
      </c>
      <c r="C136" s="15">
        <v>0</v>
      </c>
      <c r="D136" s="16">
        <v>0</v>
      </c>
      <c r="E136" s="15">
        <v>0</v>
      </c>
      <c r="F136" s="11"/>
      <c r="G136" s="15">
        <v>0</v>
      </c>
      <c r="H136" s="16">
        <v>22813.785199999998</v>
      </c>
      <c r="I136" s="16">
        <v>0</v>
      </c>
      <c r="J136" s="10"/>
      <c r="K136" s="11"/>
      <c r="L136" s="11"/>
    </row>
    <row r="138" spans="1:12">
      <c r="A138" s="7">
        <v>45261</v>
      </c>
    </row>
    <row r="139" spans="1:12" ht="33" customHeight="1">
      <c r="A139" s="2" t="s">
        <v>8</v>
      </c>
      <c r="B139" s="6" t="s">
        <v>37</v>
      </c>
      <c r="C139" s="6" t="s">
        <v>38</v>
      </c>
      <c r="D139" s="6" t="s">
        <v>39</v>
      </c>
      <c r="E139" s="6" t="s">
        <v>40</v>
      </c>
      <c r="F139" s="6" t="s">
        <v>41</v>
      </c>
      <c r="G139" s="6" t="s">
        <v>42</v>
      </c>
      <c r="H139" s="6" t="s">
        <v>43</v>
      </c>
      <c r="I139" s="6" t="s">
        <v>44</v>
      </c>
      <c r="J139" s="4" t="s">
        <v>45</v>
      </c>
      <c r="K139" s="5" t="s">
        <v>46</v>
      </c>
      <c r="L139" s="4" t="s">
        <v>47</v>
      </c>
    </row>
    <row r="140" spans="1:12" ht="33" customHeight="1">
      <c r="A140" s="11" t="s">
        <v>48</v>
      </c>
      <c r="B140" s="16">
        <v>0</v>
      </c>
      <c r="C140" s="14">
        <v>0</v>
      </c>
      <c r="D140" s="16">
        <v>44431.245999999999</v>
      </c>
      <c r="E140" s="14">
        <v>0</v>
      </c>
      <c r="F140" s="12"/>
      <c r="G140" s="14">
        <v>0</v>
      </c>
      <c r="H140" s="16">
        <v>1374.8332</v>
      </c>
      <c r="I140" s="16">
        <v>44431.245999999999</v>
      </c>
      <c r="J140" s="10">
        <v>2</v>
      </c>
      <c r="K140" s="10">
        <v>1</v>
      </c>
      <c r="L140" s="13">
        <v>2</v>
      </c>
    </row>
    <row r="141" spans="1:12" ht="33" customHeight="1">
      <c r="A141" s="11" t="s">
        <v>17</v>
      </c>
      <c r="B141" s="16">
        <v>0</v>
      </c>
      <c r="C141" s="14">
        <v>0</v>
      </c>
      <c r="D141" s="16">
        <v>68899.223599999998</v>
      </c>
      <c r="E141" s="14">
        <v>0</v>
      </c>
      <c r="F141" s="10"/>
      <c r="G141" s="14">
        <v>0</v>
      </c>
      <c r="H141" s="16">
        <v>3252.2808</v>
      </c>
      <c r="I141" s="16">
        <v>68899.223599999998</v>
      </c>
      <c r="J141" s="10"/>
      <c r="K141" s="10"/>
      <c r="L141" s="13"/>
    </row>
    <row r="142" spans="1:12" ht="33" customHeight="1">
      <c r="A142" s="11" t="s">
        <v>13</v>
      </c>
      <c r="B142" s="16">
        <v>1477867.6561159894</v>
      </c>
      <c r="C142" s="14">
        <v>0</v>
      </c>
      <c r="D142" s="21">
        <v>727942.57056802162</v>
      </c>
      <c r="E142" s="14">
        <v>0</v>
      </c>
      <c r="F142" s="10">
        <v>74846.899999999994</v>
      </c>
      <c r="G142" s="14">
        <v>0</v>
      </c>
      <c r="H142" s="21">
        <v>691409.02639999974</v>
      </c>
      <c r="I142" s="21">
        <v>3683677.8828000003</v>
      </c>
      <c r="J142" s="10">
        <v>26</v>
      </c>
      <c r="K142" s="10">
        <v>22</v>
      </c>
      <c r="L142" s="10">
        <v>8</v>
      </c>
    </row>
    <row r="143" spans="1:12" ht="33" customHeight="1">
      <c r="A143" s="11" t="s">
        <v>16</v>
      </c>
      <c r="B143" s="16">
        <v>79126.464095934964</v>
      </c>
      <c r="C143" s="14">
        <v>0</v>
      </c>
      <c r="D143" s="16">
        <v>23784.813008130081</v>
      </c>
      <c r="E143" s="14">
        <v>0</v>
      </c>
      <c r="F143" s="10"/>
      <c r="G143" s="14">
        <v>0</v>
      </c>
      <c r="H143" s="16">
        <v>4994.5551999999998</v>
      </c>
      <c r="I143" s="16">
        <v>182037.74119999999</v>
      </c>
      <c r="J143" s="10">
        <v>1</v>
      </c>
      <c r="K143" s="10">
        <v>1</v>
      </c>
      <c r="L143" s="10">
        <v>1</v>
      </c>
    </row>
    <row r="144" spans="1:12">
      <c r="A144" s="11" t="s">
        <v>14</v>
      </c>
      <c r="B144" s="16">
        <v>10065.770216260164</v>
      </c>
      <c r="C144" s="15">
        <v>0</v>
      </c>
      <c r="D144" s="16">
        <v>79102.063567479665</v>
      </c>
      <c r="E144" s="15">
        <v>0</v>
      </c>
      <c r="F144" s="10">
        <v>33813.79</v>
      </c>
      <c r="G144" s="15">
        <v>0</v>
      </c>
      <c r="H144" s="16">
        <v>14222.676800000001</v>
      </c>
      <c r="I144" s="16">
        <v>99233.603999999992</v>
      </c>
      <c r="J144" s="10">
        <v>11</v>
      </c>
      <c r="K144" s="10">
        <v>1</v>
      </c>
      <c r="L144" s="10">
        <v>5</v>
      </c>
    </row>
    <row r="145" spans="1:12">
      <c r="A145" s="11" t="s">
        <v>15</v>
      </c>
      <c r="B145" s="16">
        <v>3764334.90493401</v>
      </c>
      <c r="C145" s="15">
        <v>0</v>
      </c>
      <c r="D145" s="21">
        <v>1061562.8205319804</v>
      </c>
      <c r="E145" s="15">
        <v>0</v>
      </c>
      <c r="F145" s="10">
        <v>44767.37000000001</v>
      </c>
      <c r="G145" s="15">
        <v>0</v>
      </c>
      <c r="H145" s="21">
        <v>2514844.4052000004</v>
      </c>
      <c r="I145" s="21">
        <v>8590232.6304000001</v>
      </c>
      <c r="J145" s="10">
        <v>156</v>
      </c>
      <c r="K145" s="10">
        <v>84</v>
      </c>
      <c r="L145" s="10">
        <v>40</v>
      </c>
    </row>
    <row r="146" spans="1:12">
      <c r="A146" s="11" t="s">
        <v>49</v>
      </c>
      <c r="B146" s="16"/>
      <c r="C146" s="15">
        <v>0</v>
      </c>
      <c r="D146" s="16"/>
      <c r="E146" s="15">
        <v>0</v>
      </c>
      <c r="F146" s="10"/>
      <c r="G146" s="15">
        <v>0</v>
      </c>
      <c r="H146" s="16"/>
      <c r="I146" s="16"/>
      <c r="J146" s="10"/>
      <c r="K146" s="10"/>
      <c r="L146" s="10"/>
    </row>
    <row r="147" spans="1:12">
      <c r="A147" s="11" t="s">
        <v>50</v>
      </c>
      <c r="B147" s="16"/>
      <c r="C147" s="15">
        <v>0</v>
      </c>
      <c r="D147" s="16"/>
      <c r="E147" s="15">
        <v>0</v>
      </c>
      <c r="F147" s="19"/>
      <c r="G147" s="15">
        <v>0</v>
      </c>
      <c r="H147" s="16"/>
      <c r="I147" s="16"/>
      <c r="J147" s="10"/>
      <c r="K147" s="10"/>
      <c r="L147" s="10"/>
    </row>
    <row r="148" spans="1:12">
      <c r="A148" s="11" t="s">
        <v>51</v>
      </c>
      <c r="B148" s="11"/>
      <c r="C148" s="15">
        <v>0</v>
      </c>
      <c r="D148" s="16"/>
      <c r="E148" s="15">
        <v>0</v>
      </c>
      <c r="F148" s="11"/>
      <c r="G148" s="15">
        <v>0</v>
      </c>
      <c r="H148" s="11"/>
      <c r="I148" s="11"/>
      <c r="J148" s="10"/>
      <c r="K148" s="11"/>
      <c r="L148" s="11"/>
    </row>
  </sheetData>
  <pageMargins left="0.7" right="0.7" top="0.75" bottom="0.75" header="0.3" footer="0.3"/>
  <customProperties>
    <customPr name="_pios_id" r:id="rId1"/>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ECB18-1DF2-4E2D-8120-5D178D38E78B}">
  <dimension ref="A1:L146"/>
  <sheetViews>
    <sheetView zoomScale="90" zoomScaleNormal="90" workbookViewId="0">
      <pane xSplit="1" ySplit="5" topLeftCell="G6" activePane="bottomRight" state="frozen"/>
      <selection pane="bottomRight" activeCell="B139" sqref="B139"/>
      <selection pane="bottomLeft" activeCell="A6" sqref="A6"/>
      <selection pane="topRight" activeCell="B1" sqref="B1"/>
    </sheetView>
  </sheetViews>
  <sheetFormatPr defaultColWidth="40.5703125" defaultRowHeight="14.45"/>
  <cols>
    <col min="1" max="1" width="32.85546875" customWidth="1"/>
  </cols>
  <sheetData>
    <row r="1" spans="1:12">
      <c r="A1" s="1" t="s">
        <v>52</v>
      </c>
    </row>
    <row r="2" spans="1:12">
      <c r="A2" s="1" t="s">
        <v>23</v>
      </c>
    </row>
    <row r="3" spans="1:12">
      <c r="A3" s="1" t="s">
        <v>24</v>
      </c>
    </row>
    <row r="4" spans="1:12">
      <c r="A4" s="7">
        <v>44927</v>
      </c>
      <c r="B4" s="9" t="s">
        <v>26</v>
      </c>
      <c r="C4" s="9" t="s">
        <v>27</v>
      </c>
      <c r="D4" s="9" t="s">
        <v>28</v>
      </c>
      <c r="E4" s="9" t="s">
        <v>29</v>
      </c>
      <c r="F4" s="9" t="s">
        <v>30</v>
      </c>
      <c r="G4" s="9" t="s">
        <v>31</v>
      </c>
      <c r="H4" s="9" t="s">
        <v>32</v>
      </c>
      <c r="I4" s="9" t="s">
        <v>33</v>
      </c>
      <c r="J4" s="9" t="s">
        <v>34</v>
      </c>
      <c r="K4" s="9" t="s">
        <v>35</v>
      </c>
      <c r="L4" s="9" t="s">
        <v>36</v>
      </c>
    </row>
    <row r="5" spans="1:12" ht="33" customHeight="1">
      <c r="A5" s="2" t="s">
        <v>8</v>
      </c>
      <c r="B5" s="6" t="s">
        <v>37</v>
      </c>
      <c r="C5" s="6" t="s">
        <v>38</v>
      </c>
      <c r="D5" s="6" t="s">
        <v>39</v>
      </c>
      <c r="E5" s="6" t="s">
        <v>40</v>
      </c>
      <c r="F5" s="6" t="s">
        <v>41</v>
      </c>
      <c r="G5" s="6" t="s">
        <v>42</v>
      </c>
      <c r="H5" s="6" t="s">
        <v>43</v>
      </c>
      <c r="I5" s="6" t="s">
        <v>44</v>
      </c>
      <c r="J5" s="4" t="s">
        <v>45</v>
      </c>
      <c r="K5" s="4" t="s">
        <v>46</v>
      </c>
      <c r="L5" s="4" t="s">
        <v>47</v>
      </c>
    </row>
    <row r="6" spans="1:12" ht="33" customHeight="1">
      <c r="A6" s="11" t="s">
        <v>48</v>
      </c>
      <c r="B6" s="16">
        <v>17836.433001626017</v>
      </c>
      <c r="C6" s="14">
        <v>0</v>
      </c>
      <c r="D6" s="16">
        <v>3555.6747967479673</v>
      </c>
      <c r="E6" s="14">
        <v>0</v>
      </c>
      <c r="F6" s="12"/>
      <c r="G6" s="14">
        <v>0</v>
      </c>
      <c r="H6" s="16">
        <v>13939.3032</v>
      </c>
      <c r="I6" s="16">
        <v>39228.540799999995</v>
      </c>
      <c r="J6" s="10">
        <v>45</v>
      </c>
      <c r="K6" s="10"/>
      <c r="L6" s="10">
        <v>23</v>
      </c>
    </row>
    <row r="7" spans="1:12" ht="33" customHeight="1">
      <c r="A7" s="11" t="s">
        <v>17</v>
      </c>
      <c r="B7" s="16">
        <v>328108.68353051675</v>
      </c>
      <c r="C7" s="14">
        <v>0</v>
      </c>
      <c r="D7" s="16">
        <v>1391260.1425389666</v>
      </c>
      <c r="E7" s="14">
        <v>0</v>
      </c>
      <c r="F7" s="10">
        <v>95518.83</v>
      </c>
      <c r="G7" s="14">
        <v>0</v>
      </c>
      <c r="H7" s="16">
        <v>118770.51239999999</v>
      </c>
      <c r="I7" s="16">
        <v>2047477.5095999995</v>
      </c>
      <c r="J7" s="10">
        <v>133</v>
      </c>
      <c r="K7" s="10">
        <v>45</v>
      </c>
      <c r="L7" s="10">
        <v>24</v>
      </c>
    </row>
    <row r="8" spans="1:12" ht="33" customHeight="1">
      <c r="A8" s="11" t="s">
        <v>13</v>
      </c>
      <c r="B8" s="16">
        <v>770881.0718968946</v>
      </c>
      <c r="C8" s="14">
        <v>0</v>
      </c>
      <c r="D8" s="16">
        <v>568141.18180621089</v>
      </c>
      <c r="E8" s="14">
        <v>0</v>
      </c>
      <c r="F8" s="10">
        <v>36684.54</v>
      </c>
      <c r="G8" s="14">
        <v>0</v>
      </c>
      <c r="H8" s="16">
        <v>569063.57319999987</v>
      </c>
      <c r="I8" s="16">
        <v>2109903.3256000001</v>
      </c>
      <c r="J8" s="10">
        <v>190</v>
      </c>
      <c r="K8" s="10">
        <v>51</v>
      </c>
      <c r="L8" s="10">
        <v>46</v>
      </c>
    </row>
    <row r="9" spans="1:12" ht="33" customHeight="1">
      <c r="A9" s="11" t="s">
        <v>16</v>
      </c>
      <c r="B9" s="16">
        <v>0</v>
      </c>
      <c r="C9" s="14">
        <v>0</v>
      </c>
      <c r="D9" s="16">
        <v>8688.4940000000006</v>
      </c>
      <c r="E9" s="14">
        <v>0</v>
      </c>
      <c r="F9" s="10"/>
      <c r="G9" s="14">
        <v>0</v>
      </c>
      <c r="H9" s="16">
        <v>1378.9623999999999</v>
      </c>
      <c r="I9" s="16">
        <v>8688.4940000000006</v>
      </c>
      <c r="J9" s="10">
        <v>11</v>
      </c>
      <c r="K9" s="10">
        <v>1</v>
      </c>
      <c r="L9" s="10">
        <v>2</v>
      </c>
    </row>
    <row r="10" spans="1:12">
      <c r="A10" s="11" t="s">
        <v>14</v>
      </c>
      <c r="B10" s="16">
        <v>46416.549898644982</v>
      </c>
      <c r="C10" s="15">
        <v>0</v>
      </c>
      <c r="D10" s="16">
        <v>20948.271002710026</v>
      </c>
      <c r="E10" s="15">
        <v>0</v>
      </c>
      <c r="F10" s="10">
        <v>2495.33</v>
      </c>
      <c r="G10" s="15">
        <v>0</v>
      </c>
      <c r="H10" s="16">
        <v>15963.765599999999</v>
      </c>
      <c r="I10" s="16">
        <v>113781.3708</v>
      </c>
      <c r="J10" s="10">
        <v>22</v>
      </c>
      <c r="K10" s="10">
        <v>1</v>
      </c>
      <c r="L10" s="10">
        <v>8</v>
      </c>
    </row>
    <row r="11" spans="1:12">
      <c r="A11" s="11" t="s">
        <v>15</v>
      </c>
      <c r="B11" s="16">
        <v>845001.90267527371</v>
      </c>
      <c r="C11" s="15">
        <v>0</v>
      </c>
      <c r="D11" s="16">
        <v>1239279.9138494523</v>
      </c>
      <c r="E11" s="15">
        <v>0</v>
      </c>
      <c r="F11" s="10">
        <v>2340.7800000000002</v>
      </c>
      <c r="G11" s="15">
        <v>0</v>
      </c>
      <c r="H11" s="16">
        <v>1375024.3295999996</v>
      </c>
      <c r="I11" s="16">
        <v>2929283.7191999992</v>
      </c>
      <c r="J11" s="10">
        <v>687</v>
      </c>
      <c r="K11" s="10">
        <v>86</v>
      </c>
      <c r="L11" s="10">
        <v>152</v>
      </c>
    </row>
    <row r="12" spans="1:12">
      <c r="A12" s="11" t="s">
        <v>49</v>
      </c>
      <c r="B12" s="16"/>
      <c r="C12" s="15">
        <v>0</v>
      </c>
      <c r="D12" s="16"/>
      <c r="E12" s="15">
        <v>0</v>
      </c>
      <c r="F12" s="10"/>
      <c r="G12" s="15">
        <v>0</v>
      </c>
      <c r="H12" s="16">
        <v>8507.5444000000007</v>
      </c>
      <c r="I12" s="16"/>
      <c r="J12" s="10">
        <v>32</v>
      </c>
      <c r="K12" s="11">
        <v>5</v>
      </c>
      <c r="L12" s="10">
        <v>6</v>
      </c>
    </row>
    <row r="13" spans="1:12">
      <c r="A13" s="11" t="s">
        <v>50</v>
      </c>
      <c r="B13" s="16">
        <v>69817.667606504081</v>
      </c>
      <c r="C13" s="15">
        <v>0</v>
      </c>
      <c r="D13" s="16">
        <v>17818.699186991864</v>
      </c>
      <c r="E13" s="15">
        <v>0</v>
      </c>
      <c r="F13" s="19"/>
      <c r="G13" s="15">
        <v>0</v>
      </c>
      <c r="H13" s="16">
        <v>71867.123200000016</v>
      </c>
      <c r="I13" s="16">
        <v>157454.0344</v>
      </c>
      <c r="J13" s="10">
        <v>149</v>
      </c>
      <c r="K13" s="11">
        <v>6</v>
      </c>
      <c r="L13" s="10">
        <v>13</v>
      </c>
    </row>
    <row r="14" spans="1:12">
      <c r="A14" s="11" t="s">
        <v>51</v>
      </c>
      <c r="B14" s="11">
        <v>3449.4836162601632</v>
      </c>
      <c r="C14" s="15">
        <v>0</v>
      </c>
      <c r="D14" s="16">
        <v>712.74796747967468</v>
      </c>
      <c r="E14" s="15">
        <v>0</v>
      </c>
      <c r="F14" s="11"/>
      <c r="G14" s="15">
        <v>0</v>
      </c>
      <c r="H14" s="11">
        <v>29984.862799999999</v>
      </c>
      <c r="I14" s="11">
        <v>7611.7152000000006</v>
      </c>
      <c r="J14" s="10"/>
      <c r="K14" s="11">
        <v>7</v>
      </c>
      <c r="L14" s="11"/>
    </row>
    <row r="15" spans="1:12">
      <c r="B15" s="21">
        <f>SUM(B6:B14)</f>
        <v>2081511.7922257201</v>
      </c>
    </row>
    <row r="16" spans="1:12">
      <c r="A16" s="8">
        <v>45345</v>
      </c>
    </row>
    <row r="17" spans="1:12" ht="33" customHeight="1">
      <c r="A17" s="2" t="s">
        <v>8</v>
      </c>
      <c r="B17" s="6" t="s">
        <v>37</v>
      </c>
      <c r="C17" s="6" t="s">
        <v>38</v>
      </c>
      <c r="D17" s="6" t="s">
        <v>39</v>
      </c>
      <c r="E17" s="6" t="s">
        <v>40</v>
      </c>
      <c r="F17" s="6" t="s">
        <v>41</v>
      </c>
      <c r="G17" s="6" t="s">
        <v>42</v>
      </c>
      <c r="H17" s="6" t="s">
        <v>43</v>
      </c>
      <c r="I17" s="6" t="s">
        <v>44</v>
      </c>
      <c r="J17" s="4" t="s">
        <v>45</v>
      </c>
      <c r="K17" s="5" t="s">
        <v>46</v>
      </c>
      <c r="L17" s="4" t="s">
        <v>47</v>
      </c>
    </row>
    <row r="18" spans="1:12" ht="33" customHeight="1">
      <c r="A18" s="11" t="s">
        <v>48</v>
      </c>
      <c r="B18" s="16">
        <v>17713.180832520324</v>
      </c>
      <c r="C18" s="14">
        <v>0</v>
      </c>
      <c r="D18" s="16">
        <v>1425.4959349593494</v>
      </c>
      <c r="E18" s="14">
        <v>0</v>
      </c>
      <c r="F18" s="12"/>
      <c r="G18" s="14">
        <v>0</v>
      </c>
      <c r="H18" s="16">
        <v>16104.1124</v>
      </c>
      <c r="I18" s="16">
        <v>36851.857599999996</v>
      </c>
      <c r="J18" s="10">
        <v>35</v>
      </c>
      <c r="K18" s="10">
        <v>1</v>
      </c>
      <c r="L18" s="10">
        <v>13</v>
      </c>
    </row>
    <row r="19" spans="1:12" ht="33" customHeight="1">
      <c r="A19" s="11" t="s">
        <v>17</v>
      </c>
      <c r="B19" s="16">
        <v>345955.96749647689</v>
      </c>
      <c r="C19" s="14">
        <v>0</v>
      </c>
      <c r="D19" s="16">
        <v>2333330.4738070457</v>
      </c>
      <c r="E19" s="14">
        <v>0</v>
      </c>
      <c r="F19" s="10">
        <v>48749.36</v>
      </c>
      <c r="G19" s="14">
        <v>0</v>
      </c>
      <c r="H19" s="16">
        <v>75197.636800000007</v>
      </c>
      <c r="I19" s="16">
        <v>3025242.4088000008</v>
      </c>
      <c r="J19" s="10">
        <v>105</v>
      </c>
      <c r="K19" s="10">
        <v>61</v>
      </c>
      <c r="L19" s="10">
        <v>22</v>
      </c>
    </row>
    <row r="20" spans="1:12" ht="33" customHeight="1">
      <c r="A20" s="11" t="s">
        <v>13</v>
      </c>
      <c r="B20" s="16">
        <v>770418.55938157171</v>
      </c>
      <c r="C20" s="14">
        <v>0</v>
      </c>
      <c r="D20" s="16">
        <v>808433.5128368563</v>
      </c>
      <c r="E20" s="14">
        <v>0</v>
      </c>
      <c r="F20" s="10">
        <v>105361.84999999999</v>
      </c>
      <c r="G20" s="14">
        <v>0</v>
      </c>
      <c r="H20" s="16">
        <v>353523.38920000003</v>
      </c>
      <c r="I20" s="16">
        <v>2349270.6316</v>
      </c>
      <c r="J20" s="10">
        <v>206</v>
      </c>
      <c r="K20" s="10">
        <v>37</v>
      </c>
      <c r="L20" s="10">
        <v>51</v>
      </c>
    </row>
    <row r="21" spans="1:12" ht="33" customHeight="1">
      <c r="A21" s="11" t="s">
        <v>16</v>
      </c>
      <c r="B21" s="16">
        <v>54429.752836314372</v>
      </c>
      <c r="C21" s="14">
        <v>0</v>
      </c>
      <c r="D21" s="16">
        <v>518576.73712737137</v>
      </c>
      <c r="E21" s="14">
        <v>0</v>
      </c>
      <c r="F21" s="10">
        <v>1296497.1200000001</v>
      </c>
      <c r="G21" s="14">
        <v>0</v>
      </c>
      <c r="H21" s="16">
        <v>34191.081999999995</v>
      </c>
      <c r="I21" s="16">
        <v>627436.24280000001</v>
      </c>
      <c r="J21" s="10">
        <v>22</v>
      </c>
      <c r="K21" s="10">
        <v>4</v>
      </c>
      <c r="L21" s="10">
        <v>9</v>
      </c>
    </row>
    <row r="22" spans="1:12">
      <c r="A22" s="11" t="s">
        <v>14</v>
      </c>
      <c r="B22" s="16">
        <v>48888.140497560991</v>
      </c>
      <c r="C22" s="15">
        <v>0</v>
      </c>
      <c r="D22" s="16">
        <v>736689.51860487799</v>
      </c>
      <c r="E22" s="15">
        <v>0</v>
      </c>
      <c r="F22" s="10">
        <v>2184.25</v>
      </c>
      <c r="G22" s="15">
        <v>0</v>
      </c>
      <c r="H22" s="16">
        <v>138090.10639999999</v>
      </c>
      <c r="I22" s="16">
        <v>834465.79960000014</v>
      </c>
      <c r="J22" s="10">
        <v>14</v>
      </c>
      <c r="K22" s="10">
        <v>3</v>
      </c>
      <c r="L22" s="10">
        <v>8</v>
      </c>
    </row>
    <row r="23" spans="1:12">
      <c r="A23" s="11" t="s">
        <v>15</v>
      </c>
      <c r="B23" s="16">
        <v>578541.93230674602</v>
      </c>
      <c r="C23" s="15">
        <v>0</v>
      </c>
      <c r="D23" s="16">
        <v>1166225.0853865086</v>
      </c>
      <c r="E23" s="15">
        <v>0</v>
      </c>
      <c r="F23" s="10">
        <v>50950.439999999988</v>
      </c>
      <c r="G23" s="15">
        <v>0</v>
      </c>
      <c r="H23" s="16">
        <v>1352308.9356000002</v>
      </c>
      <c r="I23" s="16">
        <v>2323308.9500000011</v>
      </c>
      <c r="J23" s="10">
        <v>736</v>
      </c>
      <c r="K23" s="10">
        <v>146</v>
      </c>
      <c r="L23" s="10">
        <v>144</v>
      </c>
    </row>
    <row r="24" spans="1:12">
      <c r="A24" s="11" t="s">
        <v>49</v>
      </c>
      <c r="B24" s="16">
        <v>12555.39881626016</v>
      </c>
      <c r="C24" s="15">
        <v>0</v>
      </c>
      <c r="D24" s="16">
        <v>712.74796747967468</v>
      </c>
      <c r="E24" s="15">
        <v>0</v>
      </c>
      <c r="F24" s="10"/>
      <c r="G24" s="15">
        <v>0</v>
      </c>
      <c r="H24" s="16">
        <v>44179.7932</v>
      </c>
      <c r="I24" s="16">
        <v>25823.545600000001</v>
      </c>
      <c r="J24" s="10">
        <v>34</v>
      </c>
      <c r="K24" s="11">
        <v>2</v>
      </c>
      <c r="L24" s="11">
        <v>7</v>
      </c>
    </row>
    <row r="25" spans="1:12">
      <c r="A25" s="11" t="s">
        <v>50</v>
      </c>
      <c r="B25" s="16">
        <v>298048.22562276421</v>
      </c>
      <c r="C25" s="15">
        <v>0</v>
      </c>
      <c r="D25" s="16">
        <v>18531.447154471538</v>
      </c>
      <c r="E25" s="15">
        <v>0</v>
      </c>
      <c r="F25" s="19"/>
      <c r="G25" s="15">
        <v>0</v>
      </c>
      <c r="H25" s="16">
        <v>96184.453599999993</v>
      </c>
      <c r="I25" s="16">
        <v>614627.89840000018</v>
      </c>
      <c r="J25" s="10">
        <v>165</v>
      </c>
      <c r="K25" s="11">
        <v>1</v>
      </c>
      <c r="L25" s="11">
        <v>8</v>
      </c>
    </row>
    <row r="26" spans="1:12">
      <c r="A26" s="11" t="s">
        <v>51</v>
      </c>
      <c r="B26" s="11">
        <v>0</v>
      </c>
      <c r="C26" s="15">
        <v>0</v>
      </c>
      <c r="D26" s="16">
        <v>0</v>
      </c>
      <c r="E26" s="15">
        <v>0</v>
      </c>
      <c r="F26" s="11"/>
      <c r="G26" s="15">
        <v>0</v>
      </c>
      <c r="H26" s="11">
        <v>3800.6963999999998</v>
      </c>
      <c r="I26" s="11">
        <v>0</v>
      </c>
      <c r="J26" s="10"/>
      <c r="K26" s="11">
        <v>4</v>
      </c>
      <c r="L26" s="11"/>
    </row>
    <row r="28" spans="1:12">
      <c r="A28" s="7">
        <v>44986</v>
      </c>
    </row>
    <row r="29" spans="1:12" ht="33" customHeight="1">
      <c r="A29" s="2" t="s">
        <v>8</v>
      </c>
      <c r="B29" s="6" t="s">
        <v>37</v>
      </c>
      <c r="C29" s="6" t="s">
        <v>38</v>
      </c>
      <c r="D29" s="6" t="s">
        <v>39</v>
      </c>
      <c r="E29" s="6" t="s">
        <v>40</v>
      </c>
      <c r="F29" s="6" t="s">
        <v>41</v>
      </c>
      <c r="G29" s="6" t="s">
        <v>42</v>
      </c>
      <c r="H29" s="6" t="s">
        <v>43</v>
      </c>
      <c r="I29" s="6" t="s">
        <v>44</v>
      </c>
      <c r="J29" s="4" t="s">
        <v>45</v>
      </c>
      <c r="K29" s="5" t="s">
        <v>46</v>
      </c>
      <c r="L29" s="4" t="s">
        <v>47</v>
      </c>
    </row>
    <row r="30" spans="1:12" ht="33" customHeight="1">
      <c r="A30" s="11" t="s">
        <v>48</v>
      </c>
      <c r="B30" s="16">
        <v>127172.146157182</v>
      </c>
      <c r="C30" s="14">
        <v>0</v>
      </c>
      <c r="D30" s="16">
        <v>84224.563685636851</v>
      </c>
      <c r="E30" s="14">
        <v>0</v>
      </c>
      <c r="F30" s="12"/>
      <c r="G30" s="14">
        <v>0</v>
      </c>
      <c r="H30" s="16">
        <v>79728.303599999985</v>
      </c>
      <c r="I30" s="16">
        <v>338568.85599999997</v>
      </c>
      <c r="J30" s="10">
        <v>60</v>
      </c>
      <c r="K30" s="10">
        <v>2</v>
      </c>
      <c r="L30" s="10">
        <v>39</v>
      </c>
    </row>
    <row r="31" spans="1:12" ht="33" customHeight="1">
      <c r="A31" s="11" t="s">
        <v>17</v>
      </c>
      <c r="B31" s="16">
        <v>770975.13693371566</v>
      </c>
      <c r="C31" s="14">
        <v>0</v>
      </c>
      <c r="D31" s="16">
        <v>3181840.1049325699</v>
      </c>
      <c r="E31" s="14">
        <v>0</v>
      </c>
      <c r="F31" s="10">
        <v>82929.06</v>
      </c>
      <c r="G31" s="14">
        <v>0</v>
      </c>
      <c r="H31" s="16">
        <v>161668.1452</v>
      </c>
      <c r="I31" s="16">
        <v>4723790.378800001</v>
      </c>
      <c r="J31" s="10">
        <v>125</v>
      </c>
      <c r="K31" s="10">
        <v>19</v>
      </c>
      <c r="L31" s="10">
        <v>19</v>
      </c>
    </row>
    <row r="32" spans="1:12" ht="33" customHeight="1">
      <c r="A32" s="11" t="s">
        <v>13</v>
      </c>
      <c r="B32" s="16">
        <v>1743833.5409358032</v>
      </c>
      <c r="C32" s="14">
        <v>0</v>
      </c>
      <c r="D32" s="16">
        <v>1491301.371728393</v>
      </c>
      <c r="E32" s="14">
        <v>0</v>
      </c>
      <c r="F32" s="10">
        <v>55492</v>
      </c>
      <c r="G32" s="14">
        <v>0</v>
      </c>
      <c r="H32" s="16">
        <v>552004.48479999998</v>
      </c>
      <c r="I32" s="16">
        <v>4978968.4535999997</v>
      </c>
      <c r="J32" s="10">
        <v>207</v>
      </c>
      <c r="K32" s="10">
        <v>32</v>
      </c>
      <c r="L32" s="10">
        <v>43</v>
      </c>
    </row>
    <row r="33" spans="1:12" ht="33" customHeight="1">
      <c r="A33" s="11" t="s">
        <v>16</v>
      </c>
      <c r="B33" s="16">
        <v>625279.99596260162</v>
      </c>
      <c r="C33" s="14">
        <v>0</v>
      </c>
      <c r="D33" s="16">
        <v>311930.04447479674</v>
      </c>
      <c r="E33" s="14">
        <v>0</v>
      </c>
      <c r="F33" s="10"/>
      <c r="G33" s="14">
        <v>0</v>
      </c>
      <c r="H33" s="16">
        <v>126471.01279999997</v>
      </c>
      <c r="I33" s="16">
        <v>1562490.0364000003</v>
      </c>
      <c r="J33" s="10">
        <v>23</v>
      </c>
      <c r="K33" s="10">
        <v>1</v>
      </c>
      <c r="L33" s="10">
        <v>12</v>
      </c>
    </row>
    <row r="34" spans="1:12">
      <c r="A34" s="11" t="s">
        <v>14</v>
      </c>
      <c r="B34" s="16">
        <v>87339.28109105691</v>
      </c>
      <c r="C34" s="15">
        <v>0</v>
      </c>
      <c r="D34" s="16">
        <v>575162.95381788618</v>
      </c>
      <c r="E34" s="15">
        <v>0</v>
      </c>
      <c r="F34" s="10"/>
      <c r="G34" s="15">
        <v>0</v>
      </c>
      <c r="H34" s="16">
        <v>104340.68399999999</v>
      </c>
      <c r="I34" s="16">
        <v>749841.51600000006</v>
      </c>
      <c r="J34" s="10">
        <v>20</v>
      </c>
      <c r="K34" s="10">
        <v>4</v>
      </c>
      <c r="L34" s="10">
        <v>9</v>
      </c>
    </row>
    <row r="35" spans="1:12">
      <c r="A35" s="11" t="s">
        <v>15</v>
      </c>
      <c r="B35" s="16">
        <v>2261770.0136137102</v>
      </c>
      <c r="C35" s="15">
        <v>0</v>
      </c>
      <c r="D35" s="16">
        <v>1023686.9959725778</v>
      </c>
      <c r="E35" s="15">
        <v>0</v>
      </c>
      <c r="F35" s="10">
        <v>44765.4</v>
      </c>
      <c r="G35" s="15">
        <v>0</v>
      </c>
      <c r="H35" s="16">
        <v>2441715.14</v>
      </c>
      <c r="I35" s="16">
        <v>5547227.0231999988</v>
      </c>
      <c r="J35" s="10">
        <v>988</v>
      </c>
      <c r="K35" s="10">
        <v>74</v>
      </c>
      <c r="L35" s="10">
        <v>237</v>
      </c>
    </row>
    <row r="36" spans="1:12">
      <c r="A36" s="11" t="s">
        <v>49</v>
      </c>
      <c r="B36" s="16"/>
      <c r="C36" s="15">
        <v>0</v>
      </c>
      <c r="D36" s="16"/>
      <c r="E36" s="15">
        <v>0</v>
      </c>
      <c r="F36" s="17"/>
      <c r="G36" s="15">
        <v>0</v>
      </c>
      <c r="H36" s="16">
        <v>188559.05960000001</v>
      </c>
      <c r="I36" s="16"/>
      <c r="J36" s="10">
        <v>54</v>
      </c>
      <c r="K36" s="10">
        <v>2</v>
      </c>
      <c r="L36" s="10">
        <v>25</v>
      </c>
    </row>
    <row r="37" spans="1:12">
      <c r="A37" s="11" t="s">
        <v>50</v>
      </c>
      <c r="B37" s="16">
        <v>487846.46241463412</v>
      </c>
      <c r="C37" s="15">
        <v>0</v>
      </c>
      <c r="D37" s="16">
        <v>20779.073170731699</v>
      </c>
      <c r="E37" s="15">
        <v>0</v>
      </c>
      <c r="F37" s="11"/>
      <c r="G37" s="15">
        <v>0</v>
      </c>
      <c r="H37" s="16">
        <v>147300.76919999995</v>
      </c>
      <c r="I37" s="16">
        <v>996471.99800000014</v>
      </c>
      <c r="J37" s="10">
        <v>152</v>
      </c>
      <c r="K37" s="10">
        <v>3</v>
      </c>
      <c r="L37" s="10">
        <v>21</v>
      </c>
    </row>
    <row r="38" spans="1:12">
      <c r="A38" s="11" t="s">
        <v>51</v>
      </c>
      <c r="B38" s="11">
        <v>6689.6736813008129</v>
      </c>
      <c r="C38" s="15">
        <v>0</v>
      </c>
      <c r="D38" s="16">
        <v>7996.7398373983742</v>
      </c>
      <c r="E38" s="15">
        <v>0</v>
      </c>
      <c r="F38" s="11"/>
      <c r="G38" s="15">
        <v>0</v>
      </c>
      <c r="H38" s="16">
        <v>16634.3364</v>
      </c>
      <c r="I38" s="11">
        <v>21376.087200000002</v>
      </c>
      <c r="J38" s="10"/>
      <c r="K38" s="11">
        <v>3</v>
      </c>
      <c r="L38" s="11"/>
    </row>
    <row r="40" spans="1:12">
      <c r="A40" s="7">
        <v>45017</v>
      </c>
    </row>
    <row r="41" spans="1:12" ht="33" customHeight="1">
      <c r="A41" s="2" t="s">
        <v>8</v>
      </c>
      <c r="B41" s="6" t="s">
        <v>37</v>
      </c>
      <c r="C41" s="6" t="s">
        <v>38</v>
      </c>
      <c r="D41" s="6" t="s">
        <v>39</v>
      </c>
      <c r="E41" s="6" t="s">
        <v>40</v>
      </c>
      <c r="F41" s="6" t="s">
        <v>41</v>
      </c>
      <c r="G41" s="6" t="s">
        <v>42</v>
      </c>
      <c r="H41" s="6" t="s">
        <v>43</v>
      </c>
      <c r="I41" s="6" t="s">
        <v>44</v>
      </c>
      <c r="J41" s="4" t="s">
        <v>45</v>
      </c>
      <c r="K41" s="5" t="s">
        <v>46</v>
      </c>
      <c r="L41" s="4" t="s">
        <v>47</v>
      </c>
    </row>
    <row r="42" spans="1:12" ht="33" customHeight="1">
      <c r="A42" s="11" t="s">
        <v>48</v>
      </c>
      <c r="B42" s="16">
        <v>26649.811232520326</v>
      </c>
      <c r="C42" s="14">
        <v>0</v>
      </c>
      <c r="D42" s="16">
        <v>64117.973934959351</v>
      </c>
      <c r="E42" s="14">
        <v>0</v>
      </c>
      <c r="F42" s="12"/>
      <c r="G42" s="14">
        <v>0</v>
      </c>
      <c r="H42" s="16">
        <v>45497.277999999998</v>
      </c>
      <c r="I42" s="16">
        <v>117417.59640000001</v>
      </c>
      <c r="J42" s="10">
        <v>45</v>
      </c>
      <c r="K42" s="10">
        <v>2</v>
      </c>
      <c r="L42" s="10">
        <v>20</v>
      </c>
    </row>
    <row r="43" spans="1:12" ht="33" customHeight="1">
      <c r="A43" s="11" t="s">
        <v>17</v>
      </c>
      <c r="B43" s="16">
        <v>306922.42249322496</v>
      </c>
      <c r="C43" s="14">
        <v>0</v>
      </c>
      <c r="D43" s="16">
        <v>1636153.8914135499</v>
      </c>
      <c r="E43" s="14">
        <v>0</v>
      </c>
      <c r="F43" s="10">
        <v>9172.3799999999992</v>
      </c>
      <c r="G43" s="14">
        <v>0</v>
      </c>
      <c r="H43" s="16">
        <v>109045.35399999998</v>
      </c>
      <c r="I43" s="16">
        <v>2249998.7363999998</v>
      </c>
      <c r="J43" s="10">
        <v>95</v>
      </c>
      <c r="K43" s="10">
        <v>94</v>
      </c>
      <c r="L43" s="10">
        <v>15</v>
      </c>
    </row>
    <row r="44" spans="1:12" ht="33" customHeight="1">
      <c r="A44" s="11" t="s">
        <v>13</v>
      </c>
      <c r="B44" s="16">
        <v>517711.78359566402</v>
      </c>
      <c r="C44" s="14">
        <v>0</v>
      </c>
      <c r="D44" s="16">
        <v>1700248.0648086725</v>
      </c>
      <c r="E44" s="14">
        <v>0</v>
      </c>
      <c r="F44" s="10">
        <v>2398.1799999999998</v>
      </c>
      <c r="G44" s="14">
        <v>0</v>
      </c>
      <c r="H44" s="16">
        <v>227021.72919999997</v>
      </c>
      <c r="I44" s="16">
        <v>2735671.6320000002</v>
      </c>
      <c r="J44" s="10">
        <v>194</v>
      </c>
      <c r="K44" s="10">
        <v>88</v>
      </c>
      <c r="L44" s="10">
        <v>48</v>
      </c>
    </row>
    <row r="45" spans="1:12" ht="33" customHeight="1">
      <c r="A45" s="11" t="s">
        <v>16</v>
      </c>
      <c r="B45" s="16">
        <v>0</v>
      </c>
      <c r="C45" s="14">
        <v>0</v>
      </c>
      <c r="D45" s="16">
        <v>235467.9896</v>
      </c>
      <c r="E45" s="14">
        <v>0</v>
      </c>
      <c r="F45" s="10"/>
      <c r="G45" s="14">
        <v>0</v>
      </c>
      <c r="H45" s="16">
        <v>3598.0911999999998</v>
      </c>
      <c r="I45" s="16">
        <v>235467.9896</v>
      </c>
      <c r="J45" s="10">
        <v>19</v>
      </c>
      <c r="K45" s="10">
        <v>2</v>
      </c>
      <c r="L45" s="10">
        <v>7</v>
      </c>
    </row>
    <row r="46" spans="1:12">
      <c r="A46" s="11" t="s">
        <v>14</v>
      </c>
      <c r="B46" s="16">
        <v>263165.14725799457</v>
      </c>
      <c r="C46" s="15">
        <v>0</v>
      </c>
      <c r="D46" s="16">
        <v>269498.69228401082</v>
      </c>
      <c r="E46" s="15">
        <v>0</v>
      </c>
      <c r="F46" s="10"/>
      <c r="G46" s="15">
        <v>0</v>
      </c>
      <c r="H46" s="16">
        <v>99843.666399999987</v>
      </c>
      <c r="I46" s="16">
        <v>795828.98679999996</v>
      </c>
      <c r="J46" s="10">
        <v>27</v>
      </c>
      <c r="K46" s="10">
        <v>6</v>
      </c>
      <c r="L46" s="10">
        <v>13</v>
      </c>
    </row>
    <row r="47" spans="1:12">
      <c r="A47" s="11" t="s">
        <v>15</v>
      </c>
      <c r="B47" s="16">
        <v>1829977.7232032823</v>
      </c>
      <c r="C47" s="15">
        <v>0</v>
      </c>
      <c r="D47" s="16">
        <v>1741575.891993437</v>
      </c>
      <c r="E47" s="15">
        <v>0</v>
      </c>
      <c r="F47" s="10"/>
      <c r="G47" s="15">
        <v>0</v>
      </c>
      <c r="H47" s="16">
        <v>1677385.9631999994</v>
      </c>
      <c r="I47" s="16">
        <v>5401531.3384000016</v>
      </c>
      <c r="J47" s="10">
        <v>1191</v>
      </c>
      <c r="K47" s="10">
        <v>206</v>
      </c>
      <c r="L47" s="10">
        <v>352</v>
      </c>
    </row>
    <row r="48" spans="1:12">
      <c r="A48" s="11" t="s">
        <v>49</v>
      </c>
      <c r="B48" s="16"/>
      <c r="C48" s="15">
        <v>0</v>
      </c>
      <c r="D48" s="16"/>
      <c r="E48" s="15">
        <v>0</v>
      </c>
      <c r="F48" s="19"/>
      <c r="G48" s="15">
        <v>0</v>
      </c>
      <c r="H48" s="16">
        <v>50387.187200000008</v>
      </c>
      <c r="I48" s="16"/>
      <c r="J48" s="10">
        <v>33</v>
      </c>
      <c r="K48" s="10">
        <v>7</v>
      </c>
      <c r="L48" s="10">
        <v>6</v>
      </c>
    </row>
    <row r="49" spans="1:12">
      <c r="A49" s="11" t="s">
        <v>50</v>
      </c>
      <c r="B49" s="16">
        <v>535404.62659674801</v>
      </c>
      <c r="C49" s="15">
        <v>0</v>
      </c>
      <c r="D49" s="16">
        <v>14960.650406504059</v>
      </c>
      <c r="E49" s="15">
        <v>0</v>
      </c>
      <c r="F49" s="11"/>
      <c r="G49" s="15">
        <v>0</v>
      </c>
      <c r="H49" s="16">
        <v>108497.76199999999</v>
      </c>
      <c r="I49" s="16">
        <v>1085769.9036000001</v>
      </c>
      <c r="J49" s="10">
        <v>120</v>
      </c>
      <c r="K49" s="10">
        <v>10</v>
      </c>
      <c r="L49" s="10">
        <v>16</v>
      </c>
    </row>
    <row r="50" spans="1:12">
      <c r="A50" s="11" t="s">
        <v>51</v>
      </c>
      <c r="B50" s="16">
        <v>17890.914216260164</v>
      </c>
      <c r="C50" s="15">
        <v>0</v>
      </c>
      <c r="D50" s="16">
        <v>172189.53316747968</v>
      </c>
      <c r="E50" s="15">
        <v>0</v>
      </c>
      <c r="F50" s="11"/>
      <c r="G50" s="15">
        <v>0</v>
      </c>
      <c r="H50" s="16">
        <v>69568.974799999996</v>
      </c>
      <c r="I50" s="16">
        <v>207971.3616</v>
      </c>
      <c r="J50" s="10"/>
      <c r="K50" s="11">
        <v>7</v>
      </c>
      <c r="L50" s="11"/>
    </row>
    <row r="52" spans="1:12">
      <c r="A52" s="7">
        <v>45047</v>
      </c>
    </row>
    <row r="53" spans="1:12" ht="33" customHeight="1">
      <c r="A53" s="2" t="s">
        <v>8</v>
      </c>
      <c r="B53" s="6" t="s">
        <v>37</v>
      </c>
      <c r="C53" s="6" t="s">
        <v>38</v>
      </c>
      <c r="D53" s="6" t="s">
        <v>39</v>
      </c>
      <c r="E53" s="6" t="s">
        <v>40</v>
      </c>
      <c r="F53" s="6" t="s">
        <v>41</v>
      </c>
      <c r="G53" s="6" t="s">
        <v>42</v>
      </c>
      <c r="H53" s="6" t="s">
        <v>43</v>
      </c>
      <c r="I53" s="6" t="s">
        <v>44</v>
      </c>
      <c r="J53" s="4" t="s">
        <v>45</v>
      </c>
      <c r="K53" s="5" t="s">
        <v>46</v>
      </c>
      <c r="L53" s="4" t="s">
        <v>47</v>
      </c>
    </row>
    <row r="54" spans="1:12" ht="33" customHeight="1">
      <c r="A54" s="11" t="s">
        <v>48</v>
      </c>
      <c r="B54" s="16">
        <v>70408.725636856369</v>
      </c>
      <c r="C54" s="14">
        <v>0</v>
      </c>
      <c r="D54" s="16">
        <v>289866.86312628724</v>
      </c>
      <c r="E54" s="14">
        <v>0</v>
      </c>
      <c r="F54" s="12"/>
      <c r="G54" s="14">
        <v>0</v>
      </c>
      <c r="H54" s="16">
        <v>187825.6084</v>
      </c>
      <c r="I54" s="16">
        <v>430684.31439999992</v>
      </c>
      <c r="J54" s="10">
        <v>52</v>
      </c>
      <c r="K54" s="10">
        <v>1</v>
      </c>
      <c r="L54" s="10">
        <v>13</v>
      </c>
    </row>
    <row r="55" spans="1:12" ht="33" customHeight="1">
      <c r="A55" s="11" t="s">
        <v>17</v>
      </c>
      <c r="B55" s="16">
        <v>545333.09480542003</v>
      </c>
      <c r="C55" s="14">
        <v>0</v>
      </c>
      <c r="D55" s="16">
        <v>2886004.5351891601</v>
      </c>
      <c r="E55" s="14">
        <v>0</v>
      </c>
      <c r="F55" s="10">
        <v>7888.6799999999994</v>
      </c>
      <c r="G55" s="14">
        <v>0</v>
      </c>
      <c r="H55" s="16">
        <v>152233.79760000002</v>
      </c>
      <c r="I55" s="16">
        <v>3976670.724799999</v>
      </c>
      <c r="J55" s="10">
        <v>106</v>
      </c>
      <c r="K55" s="10">
        <v>69</v>
      </c>
      <c r="L55" s="10">
        <v>16</v>
      </c>
    </row>
    <row r="56" spans="1:12" ht="33" customHeight="1">
      <c r="A56" s="11" t="s">
        <v>13</v>
      </c>
      <c r="B56" s="16">
        <v>3121900.6283371272</v>
      </c>
      <c r="C56" s="14">
        <v>0</v>
      </c>
      <c r="D56" s="16">
        <v>1946537.2389257462</v>
      </c>
      <c r="E56" s="14">
        <v>0</v>
      </c>
      <c r="F56" s="10">
        <v>2158.3200000000002</v>
      </c>
      <c r="G56" s="14">
        <v>0</v>
      </c>
      <c r="H56" s="16">
        <v>638476.32240000006</v>
      </c>
      <c r="I56" s="16">
        <v>8190338.4955999991</v>
      </c>
      <c r="J56" s="10">
        <v>247</v>
      </c>
      <c r="K56" s="10">
        <v>64</v>
      </c>
      <c r="L56" s="10">
        <v>58</v>
      </c>
    </row>
    <row r="57" spans="1:12" ht="33" customHeight="1">
      <c r="A57" s="11" t="s">
        <v>16</v>
      </c>
      <c r="B57" s="16">
        <v>518023.63158211386</v>
      </c>
      <c r="C57" s="14">
        <v>0</v>
      </c>
      <c r="D57" s="16">
        <v>71619.577235772362</v>
      </c>
      <c r="E57" s="14">
        <v>0</v>
      </c>
      <c r="F57" s="10"/>
      <c r="G57" s="14">
        <v>0</v>
      </c>
      <c r="H57" s="16">
        <v>89921.76999999999</v>
      </c>
      <c r="I57" s="16">
        <v>1107666.8404000001</v>
      </c>
      <c r="J57" s="10">
        <v>11</v>
      </c>
      <c r="K57" s="10">
        <v>3</v>
      </c>
      <c r="L57" s="10">
        <v>4</v>
      </c>
    </row>
    <row r="58" spans="1:12">
      <c r="A58" s="11" t="s">
        <v>14</v>
      </c>
      <c r="B58" s="16">
        <v>985858.93041402451</v>
      </c>
      <c r="C58" s="15">
        <v>0</v>
      </c>
      <c r="D58" s="16">
        <v>520874.98397195118</v>
      </c>
      <c r="E58" s="15">
        <v>0</v>
      </c>
      <c r="F58" s="10"/>
      <c r="G58" s="15">
        <v>0</v>
      </c>
      <c r="H58" s="16">
        <v>223413.12599999999</v>
      </c>
      <c r="I58" s="16">
        <v>2492592.8447999996</v>
      </c>
      <c r="J58" s="10">
        <v>21</v>
      </c>
      <c r="K58" s="10">
        <v>4</v>
      </c>
      <c r="L58" s="10">
        <v>6</v>
      </c>
    </row>
    <row r="59" spans="1:12">
      <c r="A59" s="11" t="s">
        <v>15</v>
      </c>
      <c r="B59" s="16">
        <v>1864786.6551288378</v>
      </c>
      <c r="C59" s="15">
        <v>0</v>
      </c>
      <c r="D59" s="16">
        <v>1050959.0097423242</v>
      </c>
      <c r="E59" s="15">
        <v>0</v>
      </c>
      <c r="F59" s="10"/>
      <c r="G59" s="15">
        <v>0</v>
      </c>
      <c r="H59" s="16">
        <v>2447440.7235999983</v>
      </c>
      <c r="I59" s="16">
        <v>4780532.3199999994</v>
      </c>
      <c r="J59" s="10">
        <v>666</v>
      </c>
      <c r="K59" s="10">
        <v>184</v>
      </c>
      <c r="L59" s="10">
        <v>159</v>
      </c>
    </row>
    <row r="60" spans="1:12">
      <c r="A60" s="11" t="s">
        <v>49</v>
      </c>
      <c r="B60" s="16"/>
      <c r="C60" s="15">
        <v>0</v>
      </c>
      <c r="D60" s="16"/>
      <c r="E60" s="15">
        <v>0</v>
      </c>
      <c r="F60" s="11"/>
      <c r="G60" s="15">
        <v>0</v>
      </c>
      <c r="H60" s="16">
        <v>5480.9996000000001</v>
      </c>
      <c r="I60" s="16"/>
      <c r="J60" s="10">
        <v>19</v>
      </c>
      <c r="K60" s="10">
        <v>4</v>
      </c>
      <c r="L60" s="10">
        <v>3</v>
      </c>
    </row>
    <row r="61" spans="1:12">
      <c r="A61" s="11" t="s">
        <v>50</v>
      </c>
      <c r="B61" s="16">
        <v>293659.23337398365</v>
      </c>
      <c r="C61" s="15">
        <v>0</v>
      </c>
      <c r="D61" s="16">
        <v>16393.203252032516</v>
      </c>
      <c r="E61" s="15">
        <v>0</v>
      </c>
      <c r="F61" s="11"/>
      <c r="G61" s="15">
        <v>0</v>
      </c>
      <c r="H61" s="16">
        <v>118384.992</v>
      </c>
      <c r="I61" s="16">
        <v>603711.66999999993</v>
      </c>
      <c r="J61" s="10">
        <v>168</v>
      </c>
      <c r="K61" s="10">
        <v>3</v>
      </c>
      <c r="L61" s="10">
        <v>30</v>
      </c>
    </row>
    <row r="62" spans="1:12">
      <c r="A62" s="11" t="s">
        <v>51</v>
      </c>
      <c r="B62" s="16">
        <v>0</v>
      </c>
      <c r="C62" s="15">
        <v>0</v>
      </c>
      <c r="D62" s="16">
        <v>0</v>
      </c>
      <c r="E62" s="15">
        <v>0</v>
      </c>
      <c r="F62" s="11"/>
      <c r="G62" s="15">
        <v>0</v>
      </c>
      <c r="H62" s="16">
        <v>2747.1419999999998</v>
      </c>
      <c r="I62" s="16">
        <v>0</v>
      </c>
      <c r="J62" s="10"/>
      <c r="K62" s="11">
        <v>9</v>
      </c>
      <c r="L62" s="11"/>
    </row>
    <row r="64" spans="1:12">
      <c r="A64" s="7">
        <v>45078</v>
      </c>
      <c r="B64" s="9" t="s">
        <v>26</v>
      </c>
      <c r="C64" s="9" t="s">
        <v>27</v>
      </c>
      <c r="D64" s="9" t="s">
        <v>28</v>
      </c>
      <c r="E64" s="9" t="s">
        <v>29</v>
      </c>
      <c r="F64" s="9" t="s">
        <v>30</v>
      </c>
      <c r="G64" s="9" t="s">
        <v>31</v>
      </c>
      <c r="H64" s="9" t="s">
        <v>32</v>
      </c>
      <c r="I64" s="9" t="s">
        <v>33</v>
      </c>
      <c r="J64" s="9" t="s">
        <v>34</v>
      </c>
      <c r="K64" s="9" t="s">
        <v>35</v>
      </c>
      <c r="L64" s="9" t="s">
        <v>36</v>
      </c>
    </row>
    <row r="65" spans="1:12" ht="33" customHeight="1">
      <c r="A65" s="2" t="s">
        <v>8</v>
      </c>
      <c r="B65" s="6" t="s">
        <v>37</v>
      </c>
      <c r="C65" s="6" t="s">
        <v>38</v>
      </c>
      <c r="D65" s="6" t="s">
        <v>39</v>
      </c>
      <c r="E65" s="6" t="s">
        <v>40</v>
      </c>
      <c r="F65" s="6" t="s">
        <v>41</v>
      </c>
      <c r="G65" s="6" t="s">
        <v>42</v>
      </c>
      <c r="H65" s="6" t="s">
        <v>43</v>
      </c>
      <c r="I65" s="6" t="s">
        <v>44</v>
      </c>
      <c r="J65" s="4" t="s">
        <v>45</v>
      </c>
      <c r="K65" s="5" t="s">
        <v>46</v>
      </c>
      <c r="L65" s="4" t="s">
        <v>47</v>
      </c>
    </row>
    <row r="66" spans="1:12" ht="33" customHeight="1">
      <c r="A66" s="11" t="s">
        <v>48</v>
      </c>
      <c r="B66" s="16">
        <v>33570.185620054202</v>
      </c>
      <c r="C66" s="14">
        <v>0</v>
      </c>
      <c r="D66" s="16">
        <v>51003.989159891593</v>
      </c>
      <c r="E66" s="14">
        <v>0</v>
      </c>
      <c r="F66" s="12"/>
      <c r="G66" s="14">
        <v>0</v>
      </c>
      <c r="H66" s="16">
        <v>159354.24000000002</v>
      </c>
      <c r="I66" s="16">
        <v>118144.36039999999</v>
      </c>
      <c r="J66" s="10">
        <v>54</v>
      </c>
      <c r="K66" s="10">
        <v>2</v>
      </c>
      <c r="L66" s="10">
        <v>20</v>
      </c>
    </row>
    <row r="67" spans="1:12" ht="33" customHeight="1">
      <c r="A67" s="11" t="s">
        <v>17</v>
      </c>
      <c r="B67" s="16">
        <v>559959.34646449855</v>
      </c>
      <c r="C67" s="14">
        <v>0</v>
      </c>
      <c r="D67" s="16">
        <v>2371635.5614710026</v>
      </c>
      <c r="E67" s="14">
        <v>0</v>
      </c>
      <c r="F67" s="10">
        <v>79560.53</v>
      </c>
      <c r="G67" s="14">
        <v>0</v>
      </c>
      <c r="H67" s="16">
        <v>111989.13599999998</v>
      </c>
      <c r="I67" s="16">
        <v>3491554.2543999995</v>
      </c>
      <c r="J67" s="10">
        <v>111</v>
      </c>
      <c r="K67" s="10">
        <v>58</v>
      </c>
      <c r="L67" s="10">
        <v>21</v>
      </c>
    </row>
    <row r="68" spans="1:12" ht="33" customHeight="1">
      <c r="A68" s="11" t="s">
        <v>13</v>
      </c>
      <c r="B68" s="16">
        <v>1649032.9642101293</v>
      </c>
      <c r="C68" s="14">
        <v>0</v>
      </c>
      <c r="D68" s="16">
        <v>1237235.7703797412</v>
      </c>
      <c r="E68" s="14">
        <v>0</v>
      </c>
      <c r="F68" s="10">
        <v>225712.53000000003</v>
      </c>
      <c r="G68" s="14">
        <v>0</v>
      </c>
      <c r="H68" s="16">
        <v>668605.71959999995</v>
      </c>
      <c r="I68" s="16">
        <v>4535301.6988000022</v>
      </c>
      <c r="J68" s="10">
        <v>199</v>
      </c>
      <c r="K68" s="10">
        <v>76</v>
      </c>
      <c r="L68" s="10">
        <v>53</v>
      </c>
    </row>
    <row r="69" spans="1:12" ht="33" customHeight="1">
      <c r="A69" s="11" t="s">
        <v>16</v>
      </c>
      <c r="B69" s="16">
        <v>13647.82918861789</v>
      </c>
      <c r="C69" s="14">
        <v>0</v>
      </c>
      <c r="D69" s="16">
        <v>6265.2764227642256</v>
      </c>
      <c r="E69" s="14">
        <v>0</v>
      </c>
      <c r="F69" s="10"/>
      <c r="G69" s="14">
        <v>0</v>
      </c>
      <c r="H69" s="16">
        <v>1793.8076000000001</v>
      </c>
      <c r="I69" s="16">
        <v>33560.934800000003</v>
      </c>
      <c r="J69" s="10">
        <v>13</v>
      </c>
      <c r="K69" s="10">
        <v>4</v>
      </c>
      <c r="L69" s="10">
        <v>6</v>
      </c>
    </row>
    <row r="70" spans="1:12">
      <c r="A70" s="11" t="s">
        <v>14</v>
      </c>
      <c r="B70" s="16">
        <v>7446.3932913311783</v>
      </c>
      <c r="C70" s="15">
        <v>0</v>
      </c>
      <c r="D70" s="16">
        <v>255880.1482173377</v>
      </c>
      <c r="E70" s="15">
        <v>0</v>
      </c>
      <c r="F70" s="10">
        <v>334209.54000000015</v>
      </c>
      <c r="G70" s="15">
        <v>0</v>
      </c>
      <c r="H70" s="16">
        <v>31211.582400000003</v>
      </c>
      <c r="I70" s="16">
        <v>270772.93480000005</v>
      </c>
      <c r="J70" s="10">
        <v>20</v>
      </c>
      <c r="K70" s="10">
        <v>3</v>
      </c>
      <c r="L70" s="10">
        <v>12</v>
      </c>
    </row>
    <row r="71" spans="1:12">
      <c r="A71" s="11" t="s">
        <v>15</v>
      </c>
      <c r="B71" s="16">
        <v>1936976.4596806508</v>
      </c>
      <c r="C71" s="15">
        <v>0</v>
      </c>
      <c r="D71" s="16">
        <v>973059.13623869896</v>
      </c>
      <c r="E71" s="15">
        <v>0</v>
      </c>
      <c r="F71" s="10">
        <v>33642.100000000006</v>
      </c>
      <c r="G71" s="15">
        <v>0</v>
      </c>
      <c r="H71" s="16">
        <v>2486852.4940000013</v>
      </c>
      <c r="I71" s="16">
        <v>4847012.0556000033</v>
      </c>
      <c r="J71" s="10">
        <v>695</v>
      </c>
      <c r="K71" s="10">
        <v>155</v>
      </c>
      <c r="L71" s="10">
        <v>146</v>
      </c>
    </row>
    <row r="72" spans="1:12">
      <c r="A72" s="11" t="s">
        <v>49</v>
      </c>
      <c r="B72" s="16">
        <v>4641.9674715447154</v>
      </c>
      <c r="C72" s="15">
        <v>0</v>
      </c>
      <c r="D72" s="16">
        <v>705.69105691056916</v>
      </c>
      <c r="E72" s="15">
        <v>0</v>
      </c>
      <c r="F72" s="11"/>
      <c r="G72" s="15">
        <v>0</v>
      </c>
      <c r="H72" s="16">
        <v>61199.032799999994</v>
      </c>
      <c r="I72" s="16">
        <v>9989.6260000000002</v>
      </c>
      <c r="J72" s="10">
        <v>16</v>
      </c>
      <c r="K72" s="10">
        <v>3</v>
      </c>
      <c r="L72" s="10">
        <v>8</v>
      </c>
    </row>
    <row r="73" spans="1:12">
      <c r="A73" s="11" t="s">
        <v>50</v>
      </c>
      <c r="B73" s="16">
        <v>446091.18329268281</v>
      </c>
      <c r="C73" s="15">
        <v>0</v>
      </c>
      <c r="D73" s="16">
        <v>12829.463414634143</v>
      </c>
      <c r="E73" s="15">
        <v>0</v>
      </c>
      <c r="F73" s="11"/>
      <c r="G73" s="15">
        <v>0</v>
      </c>
      <c r="H73" s="16">
        <v>124877.74919999998</v>
      </c>
      <c r="I73" s="16">
        <v>905011.83000000019</v>
      </c>
      <c r="J73" s="10">
        <v>124</v>
      </c>
      <c r="K73" s="11">
        <v>7</v>
      </c>
      <c r="L73" s="10">
        <v>20</v>
      </c>
    </row>
    <row r="74" spans="1:12">
      <c r="A74" s="11" t="s">
        <v>51</v>
      </c>
      <c r="B74" s="16">
        <v>1727.260016260163</v>
      </c>
      <c r="C74" s="15">
        <v>0</v>
      </c>
      <c r="D74" s="11">
        <v>712.74796747967468</v>
      </c>
      <c r="E74" s="15">
        <v>0</v>
      </c>
      <c r="F74" s="11"/>
      <c r="G74" s="15">
        <v>0</v>
      </c>
      <c r="H74" s="16">
        <v>25317.8688</v>
      </c>
      <c r="I74" s="16">
        <v>4167.268</v>
      </c>
      <c r="J74" s="10"/>
      <c r="K74" s="11">
        <v>5</v>
      </c>
      <c r="L74" s="11"/>
    </row>
    <row r="76" spans="1:12">
      <c r="A76" s="7">
        <v>45137</v>
      </c>
    </row>
    <row r="77" spans="1:12" ht="33" customHeight="1">
      <c r="A77" s="2" t="s">
        <v>8</v>
      </c>
      <c r="B77" s="6" t="s">
        <v>37</v>
      </c>
      <c r="C77" s="6" t="s">
        <v>38</v>
      </c>
      <c r="D77" s="6" t="s">
        <v>39</v>
      </c>
      <c r="E77" s="6" t="s">
        <v>40</v>
      </c>
      <c r="F77" s="6" t="s">
        <v>41</v>
      </c>
      <c r="G77" s="6" t="s">
        <v>42</v>
      </c>
      <c r="H77" s="6" t="s">
        <v>43</v>
      </c>
      <c r="I77" s="6" t="s">
        <v>44</v>
      </c>
      <c r="J77" s="4" t="s">
        <v>45</v>
      </c>
      <c r="K77" s="5" t="s">
        <v>46</v>
      </c>
      <c r="L77" s="4" t="s">
        <v>47</v>
      </c>
    </row>
    <row r="78" spans="1:12" ht="33" customHeight="1">
      <c r="A78" s="11" t="s">
        <v>48</v>
      </c>
      <c r="B78" s="16">
        <v>162458.53875609758</v>
      </c>
      <c r="C78" s="14">
        <v>0</v>
      </c>
      <c r="D78" s="16">
        <v>173200.78048780479</v>
      </c>
      <c r="E78" s="14">
        <v>0</v>
      </c>
      <c r="F78" s="12"/>
      <c r="G78" s="14">
        <v>0</v>
      </c>
      <c r="H78" s="16">
        <v>43594.179600000003</v>
      </c>
      <c r="I78" s="16">
        <v>498117.85800000001</v>
      </c>
      <c r="J78" s="13">
        <v>44</v>
      </c>
      <c r="K78" s="10">
        <v>2</v>
      </c>
      <c r="L78" s="13">
        <v>12</v>
      </c>
    </row>
    <row r="79" spans="1:12" ht="33" customHeight="1">
      <c r="A79" s="11" t="s">
        <v>17</v>
      </c>
      <c r="B79" s="16">
        <v>765802.26938644983</v>
      </c>
      <c r="C79" s="14">
        <v>0</v>
      </c>
      <c r="D79" s="16">
        <v>2779073.9004271007</v>
      </c>
      <c r="E79" s="14">
        <v>0</v>
      </c>
      <c r="F79" s="10">
        <v>39446.21</v>
      </c>
      <c r="G79" s="14">
        <v>0</v>
      </c>
      <c r="H79" s="16">
        <v>127626.17199999998</v>
      </c>
      <c r="I79" s="16">
        <v>4310678.4392000008</v>
      </c>
      <c r="J79" s="13">
        <v>84</v>
      </c>
      <c r="K79" s="10">
        <v>42</v>
      </c>
      <c r="L79" s="13">
        <v>13</v>
      </c>
    </row>
    <row r="80" spans="1:12" ht="33" customHeight="1">
      <c r="A80" s="11" t="s">
        <v>13</v>
      </c>
      <c r="B80" s="16">
        <v>1201816.8257756094</v>
      </c>
      <c r="C80" s="14">
        <v>0</v>
      </c>
      <c r="D80" s="16">
        <v>958538.0480487803</v>
      </c>
      <c r="E80" s="14">
        <v>0</v>
      </c>
      <c r="F80" s="10">
        <v>76733.959999999992</v>
      </c>
      <c r="G80" s="14">
        <v>0</v>
      </c>
      <c r="H80" s="16">
        <v>339923.522</v>
      </c>
      <c r="I80" s="16">
        <v>3362171.699599999</v>
      </c>
      <c r="J80" s="10">
        <v>217</v>
      </c>
      <c r="K80" s="10">
        <v>37</v>
      </c>
      <c r="L80" s="10">
        <v>63</v>
      </c>
    </row>
    <row r="81" spans="1:12" ht="33" customHeight="1">
      <c r="A81" s="11" t="s">
        <v>16</v>
      </c>
      <c r="B81" s="16">
        <v>176784.01567913278</v>
      </c>
      <c r="C81" s="14">
        <v>0</v>
      </c>
      <c r="D81" s="16">
        <v>130743.22024173442</v>
      </c>
      <c r="E81" s="14">
        <v>0</v>
      </c>
      <c r="F81" s="10"/>
      <c r="G81" s="14">
        <v>0</v>
      </c>
      <c r="H81" s="16">
        <v>59063.598400000003</v>
      </c>
      <c r="I81" s="16">
        <v>484311.25160000002</v>
      </c>
      <c r="J81" s="10">
        <v>9</v>
      </c>
      <c r="K81" s="10">
        <v>5</v>
      </c>
      <c r="L81" s="10">
        <v>3</v>
      </c>
    </row>
    <row r="82" spans="1:12">
      <c r="A82" s="11" t="s">
        <v>14</v>
      </c>
      <c r="B82" s="16">
        <v>77147.778100812997</v>
      </c>
      <c r="C82" s="15">
        <v>0</v>
      </c>
      <c r="D82" s="16">
        <v>47605.211798373981</v>
      </c>
      <c r="E82" s="15">
        <v>0</v>
      </c>
      <c r="F82" s="10">
        <v>3472.3</v>
      </c>
      <c r="G82" s="15">
        <v>0</v>
      </c>
      <c r="H82" s="16">
        <v>111883.6632</v>
      </c>
      <c r="I82" s="16">
        <v>201900.76799999998</v>
      </c>
      <c r="J82" s="10">
        <v>13</v>
      </c>
      <c r="K82" s="10">
        <v>5</v>
      </c>
      <c r="L82" s="10">
        <v>7</v>
      </c>
    </row>
    <row r="83" spans="1:12">
      <c r="A83" s="11" t="s">
        <v>15</v>
      </c>
      <c r="B83" s="16">
        <v>2213665.6579617145</v>
      </c>
      <c r="C83" s="15">
        <v>0</v>
      </c>
      <c r="D83" s="16">
        <v>984628.95567657135</v>
      </c>
      <c r="E83" s="15">
        <v>0</v>
      </c>
      <c r="F83" s="10">
        <v>32380.67</v>
      </c>
      <c r="G83" s="15">
        <v>0</v>
      </c>
      <c r="H83" s="16">
        <v>2865708.7568000006</v>
      </c>
      <c r="I83" s="16">
        <v>5411960.2715999996</v>
      </c>
      <c r="J83" s="10">
        <v>599</v>
      </c>
      <c r="K83" s="10">
        <v>157</v>
      </c>
      <c r="L83" s="10">
        <v>115</v>
      </c>
    </row>
    <row r="84" spans="1:12">
      <c r="A84" s="11" t="s">
        <v>49</v>
      </c>
      <c r="B84" s="16">
        <v>44797.486183197834</v>
      </c>
      <c r="C84" s="15">
        <v>0</v>
      </c>
      <c r="D84" s="16">
        <v>3351.3604336043354</v>
      </c>
      <c r="E84" s="15">
        <v>0</v>
      </c>
      <c r="F84" s="11"/>
      <c r="G84" s="15">
        <v>0</v>
      </c>
      <c r="H84" s="16">
        <v>69952.009600000005</v>
      </c>
      <c r="I84" s="16">
        <v>92946.332800000004</v>
      </c>
      <c r="J84" s="10">
        <v>10</v>
      </c>
      <c r="K84" s="10">
        <v>1</v>
      </c>
      <c r="L84" s="10">
        <v>2</v>
      </c>
    </row>
    <row r="85" spans="1:12">
      <c r="A85" s="11" t="s">
        <v>50</v>
      </c>
      <c r="B85" s="16">
        <v>320296.85167642281</v>
      </c>
      <c r="C85" s="15">
        <v>0</v>
      </c>
      <c r="D85" s="16">
        <v>12116.715447154469</v>
      </c>
      <c r="E85" s="15">
        <v>0</v>
      </c>
      <c r="F85" s="19"/>
      <c r="G85" s="15">
        <v>0</v>
      </c>
      <c r="H85" s="16">
        <v>104092.42040000002</v>
      </c>
      <c r="I85" s="16">
        <v>652710.41879999998</v>
      </c>
      <c r="J85" s="10">
        <v>102</v>
      </c>
      <c r="K85" s="10">
        <v>6</v>
      </c>
      <c r="L85" s="10">
        <v>14</v>
      </c>
    </row>
    <row r="86" spans="1:12">
      <c r="A86" s="11" t="s">
        <v>51</v>
      </c>
      <c r="B86" s="11">
        <v>6773.9402</v>
      </c>
      <c r="C86" s="15">
        <v>0</v>
      </c>
      <c r="D86" s="11">
        <v>0</v>
      </c>
      <c r="E86" s="15">
        <v>0</v>
      </c>
      <c r="F86" s="11"/>
      <c r="G86" s="15">
        <v>0</v>
      </c>
      <c r="H86" s="16">
        <v>44066.687599999997</v>
      </c>
      <c r="I86" s="16">
        <v>13547.8804</v>
      </c>
      <c r="J86" s="10"/>
      <c r="K86" s="11">
        <v>7</v>
      </c>
      <c r="L86" s="10"/>
    </row>
    <row r="88" spans="1:12">
      <c r="A88" s="7">
        <v>45139</v>
      </c>
    </row>
    <row r="89" spans="1:12" ht="33" customHeight="1">
      <c r="A89" s="2" t="s">
        <v>8</v>
      </c>
      <c r="B89" s="6" t="s">
        <v>37</v>
      </c>
      <c r="C89" s="6" t="s">
        <v>38</v>
      </c>
      <c r="D89" s="6" t="s">
        <v>39</v>
      </c>
      <c r="E89" s="6" t="s">
        <v>40</v>
      </c>
      <c r="F89" s="6" t="s">
        <v>41</v>
      </c>
      <c r="G89" s="6" t="s">
        <v>42</v>
      </c>
      <c r="H89" s="6" t="s">
        <v>43</v>
      </c>
      <c r="I89" s="6" t="s">
        <v>44</v>
      </c>
      <c r="J89" s="4" t="s">
        <v>45</v>
      </c>
      <c r="K89" s="5" t="s">
        <v>46</v>
      </c>
      <c r="L89" s="4" t="s">
        <v>47</v>
      </c>
    </row>
    <row r="90" spans="1:12" ht="33" customHeight="1">
      <c r="A90" s="11" t="s">
        <v>48</v>
      </c>
      <c r="B90" s="16">
        <v>48250.937816260157</v>
      </c>
      <c r="C90" s="14">
        <v>0</v>
      </c>
      <c r="D90" s="16">
        <v>255264.72196747965</v>
      </c>
      <c r="E90" s="14">
        <v>0</v>
      </c>
      <c r="F90" s="12"/>
      <c r="G90" s="14">
        <v>0</v>
      </c>
      <c r="H90" s="16">
        <v>274707.55079999997</v>
      </c>
      <c r="I90" s="16">
        <v>351766.59759999998</v>
      </c>
      <c r="J90" s="10">
        <v>55</v>
      </c>
      <c r="K90" s="10">
        <v>4</v>
      </c>
      <c r="L90" s="10">
        <v>13</v>
      </c>
    </row>
    <row r="91" spans="1:12" ht="33" customHeight="1">
      <c r="A91" s="11" t="s">
        <v>17</v>
      </c>
      <c r="B91" s="16">
        <v>809875.2921728997</v>
      </c>
      <c r="C91" s="14">
        <v>0</v>
      </c>
      <c r="D91" s="16">
        <v>2025493.6844542003</v>
      </c>
      <c r="E91" s="14">
        <v>0</v>
      </c>
      <c r="F91" s="10">
        <v>66595.899999999994</v>
      </c>
      <c r="G91" s="14">
        <v>0</v>
      </c>
      <c r="H91" s="16">
        <v>155050.79760000002</v>
      </c>
      <c r="I91" s="16">
        <v>3645244.2688000007</v>
      </c>
      <c r="J91" s="10">
        <v>122</v>
      </c>
      <c r="K91" s="10">
        <v>51</v>
      </c>
      <c r="L91" s="10">
        <v>21</v>
      </c>
    </row>
    <row r="92" spans="1:12" ht="33" customHeight="1">
      <c r="A92" s="11" t="s">
        <v>13</v>
      </c>
      <c r="B92" s="16">
        <v>1679189.80137019</v>
      </c>
      <c r="C92" s="14">
        <v>0</v>
      </c>
      <c r="D92" s="16">
        <v>1877951.3716596214</v>
      </c>
      <c r="E92" s="14">
        <v>0</v>
      </c>
      <c r="F92" s="10">
        <v>1611426.09</v>
      </c>
      <c r="G92" s="14">
        <v>0</v>
      </c>
      <c r="H92" s="16">
        <v>624501.92399999988</v>
      </c>
      <c r="I92" s="16">
        <v>5236330.9743999988</v>
      </c>
      <c r="J92" s="10">
        <v>206</v>
      </c>
      <c r="K92" s="10">
        <v>65</v>
      </c>
      <c r="L92" s="10">
        <v>43</v>
      </c>
    </row>
    <row r="93" spans="1:12" ht="33" customHeight="1">
      <c r="A93" s="11" t="s">
        <v>16</v>
      </c>
      <c r="B93" s="16">
        <v>178152.21380162609</v>
      </c>
      <c r="C93" s="14">
        <v>0</v>
      </c>
      <c r="D93" s="16">
        <v>721631.78839674778</v>
      </c>
      <c r="E93" s="14">
        <v>0</v>
      </c>
      <c r="F93" s="10"/>
      <c r="G93" s="14">
        <v>0</v>
      </c>
      <c r="H93" s="16">
        <v>54601.0628</v>
      </c>
      <c r="I93" s="16">
        <v>1077936.216</v>
      </c>
      <c r="J93" s="10">
        <v>15</v>
      </c>
      <c r="K93" s="10">
        <v>4</v>
      </c>
      <c r="L93" s="10">
        <v>5</v>
      </c>
    </row>
    <row r="94" spans="1:12">
      <c r="A94" s="11" t="s">
        <v>14</v>
      </c>
      <c r="B94" s="16">
        <v>80558.435401626004</v>
      </c>
      <c r="C94" s="15">
        <v>0</v>
      </c>
      <c r="D94" s="16">
        <v>332510.01719674794</v>
      </c>
      <c r="E94" s="15">
        <v>0</v>
      </c>
      <c r="F94" s="10">
        <v>935.65</v>
      </c>
      <c r="G94" s="15">
        <v>0</v>
      </c>
      <c r="H94" s="16">
        <v>121157.38680000001</v>
      </c>
      <c r="I94" s="16">
        <v>493626.88800000004</v>
      </c>
      <c r="J94" s="10">
        <v>20</v>
      </c>
      <c r="K94" s="10">
        <v>3</v>
      </c>
      <c r="L94" s="10">
        <v>8</v>
      </c>
    </row>
    <row r="95" spans="1:12">
      <c r="A95" s="11" t="s">
        <v>15</v>
      </c>
      <c r="B95" s="16">
        <v>1228777.7898174799</v>
      </c>
      <c r="C95" s="15">
        <v>0</v>
      </c>
      <c r="D95" s="16">
        <v>755406.90756504063</v>
      </c>
      <c r="E95" s="15">
        <v>0</v>
      </c>
      <c r="F95" s="10">
        <v>149718.54</v>
      </c>
      <c r="G95" s="15">
        <v>0</v>
      </c>
      <c r="H95" s="16">
        <v>2306566.7791999993</v>
      </c>
      <c r="I95" s="16">
        <v>3212962.4871999999</v>
      </c>
      <c r="J95" s="10">
        <v>604</v>
      </c>
      <c r="K95" s="10">
        <v>198</v>
      </c>
      <c r="L95" s="10">
        <v>119</v>
      </c>
    </row>
    <row r="96" spans="1:12">
      <c r="A96" s="11" t="s">
        <v>49</v>
      </c>
      <c r="B96" s="16">
        <v>19499.861648780487</v>
      </c>
      <c r="C96" s="15">
        <v>0</v>
      </c>
      <c r="D96" s="16">
        <v>2138.2439024390242</v>
      </c>
      <c r="E96" s="15">
        <v>0</v>
      </c>
      <c r="F96" s="10">
        <v>485.24</v>
      </c>
      <c r="G96" s="15">
        <v>0</v>
      </c>
      <c r="H96" s="16">
        <v>420005.02919999999</v>
      </c>
      <c r="I96" s="16">
        <v>41137.967199999999</v>
      </c>
      <c r="J96" s="10">
        <v>21</v>
      </c>
      <c r="K96" s="10">
        <v>5</v>
      </c>
      <c r="L96" s="10">
        <v>4</v>
      </c>
    </row>
    <row r="97" spans="1:12">
      <c r="A97" s="11" t="s">
        <v>50</v>
      </c>
      <c r="B97" s="16">
        <v>999133.97072195145</v>
      </c>
      <c r="C97" s="15">
        <v>0</v>
      </c>
      <c r="D97" s="16">
        <v>33524.609756097547</v>
      </c>
      <c r="E97" s="15">
        <v>0</v>
      </c>
      <c r="F97" s="19"/>
      <c r="G97" s="15">
        <v>0</v>
      </c>
      <c r="H97" s="16">
        <v>329053.18880000006</v>
      </c>
      <c r="I97" s="16">
        <v>2031792.5512000003</v>
      </c>
      <c r="J97" s="10">
        <v>124</v>
      </c>
      <c r="K97" s="10">
        <v>11</v>
      </c>
      <c r="L97" s="11">
        <v>20</v>
      </c>
    </row>
    <row r="98" spans="1:12">
      <c r="A98" s="11" t="s">
        <v>51</v>
      </c>
      <c r="B98" s="11">
        <v>417.14839999999998</v>
      </c>
      <c r="C98" s="15">
        <v>0</v>
      </c>
      <c r="D98" s="16">
        <v>0</v>
      </c>
      <c r="E98" s="15">
        <v>0</v>
      </c>
      <c r="F98" s="11"/>
      <c r="G98" s="15">
        <v>0</v>
      </c>
      <c r="H98" s="11">
        <v>58277.078000000009</v>
      </c>
      <c r="I98" s="16">
        <v>834.29679999999996</v>
      </c>
      <c r="J98" s="10"/>
      <c r="K98" s="11">
        <v>9</v>
      </c>
      <c r="L98" s="11"/>
    </row>
    <row r="100" spans="1:12">
      <c r="A100" s="7">
        <v>45170</v>
      </c>
    </row>
    <row r="101" spans="1:12" ht="33" customHeight="1">
      <c r="A101" s="2" t="s">
        <v>8</v>
      </c>
      <c r="B101" s="6" t="s">
        <v>37</v>
      </c>
      <c r="C101" s="6" t="s">
        <v>38</v>
      </c>
      <c r="D101" s="6" t="s">
        <v>39</v>
      </c>
      <c r="E101" s="6" t="s">
        <v>40</v>
      </c>
      <c r="F101" s="6" t="s">
        <v>41</v>
      </c>
      <c r="G101" s="6" t="s">
        <v>42</v>
      </c>
      <c r="H101" s="6" t="s">
        <v>43</v>
      </c>
      <c r="I101" s="6" t="s">
        <v>44</v>
      </c>
      <c r="J101" s="4" t="s">
        <v>45</v>
      </c>
      <c r="K101" s="5" t="s">
        <v>46</v>
      </c>
      <c r="L101" s="4" t="s">
        <v>47</v>
      </c>
    </row>
    <row r="102" spans="1:12" ht="33" customHeight="1">
      <c r="A102" s="11" t="s">
        <v>48</v>
      </c>
      <c r="B102" s="16">
        <v>153469.26613875339</v>
      </c>
      <c r="C102" s="14">
        <v>0</v>
      </c>
      <c r="D102" s="16">
        <v>205270.45012249326</v>
      </c>
      <c r="E102" s="14">
        <v>0</v>
      </c>
      <c r="F102" s="12"/>
      <c r="G102" s="14">
        <v>0</v>
      </c>
      <c r="H102" s="16">
        <v>105703.09240000001</v>
      </c>
      <c r="I102" s="16">
        <v>512208.98239999998</v>
      </c>
      <c r="J102" s="13">
        <v>74</v>
      </c>
      <c r="K102" s="10">
        <v>4</v>
      </c>
      <c r="L102" s="13">
        <v>21</v>
      </c>
    </row>
    <row r="103" spans="1:12" ht="33" customHeight="1">
      <c r="A103" s="11" t="s">
        <v>17</v>
      </c>
      <c r="B103" s="16">
        <v>867342.78640704625</v>
      </c>
      <c r="C103" s="14">
        <v>0</v>
      </c>
      <c r="D103" s="16">
        <v>2515278.9075859087</v>
      </c>
      <c r="E103" s="14">
        <v>0</v>
      </c>
      <c r="F103" s="10"/>
      <c r="G103" s="14">
        <v>0</v>
      </c>
      <c r="H103" s="16">
        <v>211678.97320000001</v>
      </c>
      <c r="I103" s="16">
        <v>4249964.4803999988</v>
      </c>
      <c r="J103" s="10">
        <v>96</v>
      </c>
      <c r="K103" s="10">
        <v>54</v>
      </c>
      <c r="L103" s="13">
        <v>17</v>
      </c>
    </row>
    <row r="104" spans="1:12" ht="33" customHeight="1">
      <c r="A104" s="11" t="s">
        <v>13</v>
      </c>
      <c r="B104" s="16">
        <v>1568219.1344536582</v>
      </c>
      <c r="C104" s="14">
        <v>0</v>
      </c>
      <c r="D104" s="16">
        <v>1779423.3854926843</v>
      </c>
      <c r="E104" s="14">
        <v>0</v>
      </c>
      <c r="F104" s="10">
        <v>872.16</v>
      </c>
      <c r="G104" s="14">
        <v>0</v>
      </c>
      <c r="H104" s="16">
        <v>335216.58759999997</v>
      </c>
      <c r="I104" s="16">
        <v>4915861.6544000022</v>
      </c>
      <c r="J104" s="10">
        <v>176</v>
      </c>
      <c r="K104" s="10">
        <v>64</v>
      </c>
      <c r="L104" s="10">
        <v>36</v>
      </c>
    </row>
    <row r="105" spans="1:12" ht="33" customHeight="1">
      <c r="A105" s="11" t="s">
        <v>16</v>
      </c>
      <c r="B105" s="16"/>
      <c r="C105" s="14">
        <v>0</v>
      </c>
      <c r="D105" s="16"/>
      <c r="E105" s="14">
        <v>0</v>
      </c>
      <c r="F105" s="10"/>
      <c r="G105" s="14">
        <v>0</v>
      </c>
      <c r="H105" s="16"/>
      <c r="I105" s="16"/>
      <c r="J105" s="10">
        <v>14</v>
      </c>
      <c r="K105" s="10">
        <v>1</v>
      </c>
      <c r="L105" s="10">
        <v>3</v>
      </c>
    </row>
    <row r="106" spans="1:12">
      <c r="A106" s="11" t="s">
        <v>14</v>
      </c>
      <c r="B106" s="16">
        <v>80164.01383252033</v>
      </c>
      <c r="C106" s="15">
        <v>0</v>
      </c>
      <c r="D106" s="16">
        <v>285590.20753495937</v>
      </c>
      <c r="E106" s="15">
        <v>0</v>
      </c>
      <c r="F106" s="10">
        <v>108220.27000000006</v>
      </c>
      <c r="G106" s="15">
        <v>0</v>
      </c>
      <c r="H106" s="16">
        <v>88706.948000000004</v>
      </c>
      <c r="I106" s="16">
        <v>445918.23520000005</v>
      </c>
      <c r="J106" s="10">
        <v>21</v>
      </c>
      <c r="K106" s="10">
        <v>2</v>
      </c>
      <c r="L106" s="10">
        <v>8</v>
      </c>
    </row>
    <row r="107" spans="1:12">
      <c r="A107" s="11" t="s">
        <v>15</v>
      </c>
      <c r="B107" s="21">
        <v>1689586.359270504</v>
      </c>
      <c r="C107" s="15">
        <v>0</v>
      </c>
      <c r="D107" s="21">
        <v>1168261.0782589924</v>
      </c>
      <c r="E107" s="15">
        <v>0</v>
      </c>
      <c r="F107" s="10">
        <v>144.21</v>
      </c>
      <c r="G107" s="15">
        <v>0</v>
      </c>
      <c r="H107" s="21">
        <v>2372163.296000002</v>
      </c>
      <c r="I107" s="21">
        <v>4547433.7968000006</v>
      </c>
      <c r="J107" s="10">
        <v>560</v>
      </c>
      <c r="K107" s="10">
        <v>168</v>
      </c>
      <c r="L107" s="10">
        <v>112</v>
      </c>
    </row>
    <row r="108" spans="1:12">
      <c r="A108" s="11" t="s">
        <v>49</v>
      </c>
      <c r="B108" s="16">
        <v>5442.2318162601623</v>
      </c>
      <c r="C108" s="15">
        <v>0</v>
      </c>
      <c r="D108" s="16">
        <v>712.74796747967468</v>
      </c>
      <c r="E108" s="15">
        <v>0</v>
      </c>
      <c r="F108" s="17"/>
      <c r="G108" s="15">
        <v>0</v>
      </c>
      <c r="H108" s="16">
        <v>48821.146000000001</v>
      </c>
      <c r="I108" s="16">
        <v>11597.211600000001</v>
      </c>
      <c r="J108" s="10">
        <v>13</v>
      </c>
      <c r="K108" s="10">
        <v>12</v>
      </c>
      <c r="L108" s="10">
        <v>1</v>
      </c>
    </row>
    <row r="109" spans="1:12">
      <c r="A109" s="11" t="s">
        <v>50</v>
      </c>
      <c r="B109" s="16">
        <v>983370.42192845547</v>
      </c>
      <c r="C109" s="15">
        <v>0</v>
      </c>
      <c r="D109" s="16">
        <v>67368.932543089555</v>
      </c>
      <c r="E109" s="15">
        <v>0</v>
      </c>
      <c r="F109" s="11"/>
      <c r="G109" s="15">
        <v>0</v>
      </c>
      <c r="H109" s="16">
        <v>526065.17799999972</v>
      </c>
      <c r="I109" s="16">
        <v>2034109.7763999996</v>
      </c>
      <c r="J109" s="10">
        <v>90</v>
      </c>
      <c r="K109" s="11">
        <v>6</v>
      </c>
      <c r="L109" s="10">
        <v>8</v>
      </c>
    </row>
    <row r="110" spans="1:12">
      <c r="A110" s="11" t="s">
        <v>51</v>
      </c>
      <c r="B110" s="16">
        <v>50136.217232520328</v>
      </c>
      <c r="C110" s="15">
        <v>0</v>
      </c>
      <c r="D110" s="16">
        <v>1425.4959349593494</v>
      </c>
      <c r="E110" s="15">
        <v>0</v>
      </c>
      <c r="F110" s="11"/>
      <c r="G110" s="15">
        <v>0</v>
      </c>
      <c r="H110" s="21">
        <v>123892.25559999996</v>
      </c>
      <c r="I110" s="16">
        <v>101697.9304</v>
      </c>
      <c r="J110" s="10"/>
      <c r="K110" s="11">
        <v>6</v>
      </c>
      <c r="L110" s="10"/>
    </row>
    <row r="112" spans="1:12">
      <c r="A112" s="7">
        <v>45200</v>
      </c>
    </row>
    <row r="113" spans="1:12" ht="33" customHeight="1">
      <c r="A113" s="2" t="s">
        <v>8</v>
      </c>
      <c r="B113" s="6" t="s">
        <v>37</v>
      </c>
      <c r="C113" s="6" t="s">
        <v>38</v>
      </c>
      <c r="D113" s="6" t="s">
        <v>39</v>
      </c>
      <c r="E113" s="6" t="s">
        <v>40</v>
      </c>
      <c r="F113" s="6" t="s">
        <v>41</v>
      </c>
      <c r="G113" s="6" t="s">
        <v>42</v>
      </c>
      <c r="H113" s="6" t="s">
        <v>43</v>
      </c>
      <c r="I113" s="6" t="s">
        <v>44</v>
      </c>
      <c r="J113" s="4" t="s">
        <v>45</v>
      </c>
      <c r="K113" s="5" t="s">
        <v>46</v>
      </c>
      <c r="L113" s="4" t="s">
        <v>47</v>
      </c>
    </row>
    <row r="114" spans="1:12" ht="33" customHeight="1">
      <c r="A114" s="11" t="s">
        <v>48</v>
      </c>
      <c r="B114" s="16">
        <v>497601.48804281832</v>
      </c>
      <c r="C114" s="14">
        <v>0</v>
      </c>
      <c r="D114" s="16">
        <v>547805.44511436322</v>
      </c>
      <c r="E114" s="14">
        <v>0</v>
      </c>
      <c r="F114" s="12"/>
      <c r="G114" s="14">
        <v>0</v>
      </c>
      <c r="H114" s="16">
        <v>252351.33120000002</v>
      </c>
      <c r="I114" s="16">
        <v>1543008.4212000002</v>
      </c>
      <c r="J114" s="13">
        <v>58</v>
      </c>
      <c r="K114" s="10">
        <v>3</v>
      </c>
      <c r="L114" s="13">
        <v>10</v>
      </c>
    </row>
    <row r="115" spans="1:12" ht="33" customHeight="1">
      <c r="A115" s="11" t="s">
        <v>17</v>
      </c>
      <c r="B115" s="16">
        <v>939026.31338319788</v>
      </c>
      <c r="C115" s="14">
        <v>0</v>
      </c>
      <c r="D115" s="16">
        <v>1924112.8236336051</v>
      </c>
      <c r="E115" s="14">
        <v>0</v>
      </c>
      <c r="F115" s="10">
        <v>70056.73</v>
      </c>
      <c r="G115" s="14">
        <v>0</v>
      </c>
      <c r="H115" s="16">
        <v>151466.44200000001</v>
      </c>
      <c r="I115" s="16">
        <v>3802165.4504000009</v>
      </c>
      <c r="J115" s="10">
        <v>84</v>
      </c>
      <c r="K115" s="10">
        <v>66</v>
      </c>
      <c r="L115" s="10">
        <v>19</v>
      </c>
    </row>
    <row r="116" spans="1:12" ht="33" customHeight="1">
      <c r="A116" s="11" t="s">
        <v>13</v>
      </c>
      <c r="B116" s="21">
        <v>1713755.3671327918</v>
      </c>
      <c r="C116" s="14">
        <v>0</v>
      </c>
      <c r="D116" s="21">
        <v>3100863.3005344169</v>
      </c>
      <c r="E116" s="14">
        <v>0</v>
      </c>
      <c r="F116" s="10">
        <v>1649507.57</v>
      </c>
      <c r="G116" s="14">
        <v>0</v>
      </c>
      <c r="H116" s="21">
        <v>764269.8679999999</v>
      </c>
      <c r="I116" s="21">
        <v>6528374.0347999977</v>
      </c>
      <c r="J116" s="10">
        <v>231</v>
      </c>
      <c r="K116" s="10">
        <v>76</v>
      </c>
      <c r="L116" s="10">
        <v>51</v>
      </c>
    </row>
    <row r="117" spans="1:12" ht="33" customHeight="1">
      <c r="A117" s="11" t="s">
        <v>16</v>
      </c>
      <c r="B117" s="16">
        <v>147834.86043306233</v>
      </c>
      <c r="C117" s="14">
        <v>0</v>
      </c>
      <c r="D117" s="16">
        <v>59857.38753387535</v>
      </c>
      <c r="E117" s="14">
        <v>0</v>
      </c>
      <c r="F117" s="10"/>
      <c r="G117" s="14">
        <v>0</v>
      </c>
      <c r="H117" s="16">
        <v>14888.294</v>
      </c>
      <c r="I117" s="16">
        <v>355527.10840000003</v>
      </c>
      <c r="J117" s="10">
        <v>22</v>
      </c>
      <c r="K117" s="10">
        <v>1</v>
      </c>
      <c r="L117" s="10">
        <v>2</v>
      </c>
    </row>
    <row r="118" spans="1:12">
      <c r="A118" s="11" t="s">
        <v>14</v>
      </c>
      <c r="B118" s="16">
        <v>363149.8977676396</v>
      </c>
      <c r="C118" s="15">
        <v>0</v>
      </c>
      <c r="D118" s="16">
        <v>383759.69926472084</v>
      </c>
      <c r="E118" s="15">
        <v>0</v>
      </c>
      <c r="F118" s="10">
        <v>5753.6900000000005</v>
      </c>
      <c r="G118" s="15">
        <v>0</v>
      </c>
      <c r="H118" s="16">
        <v>322428.18559999997</v>
      </c>
      <c r="I118" s="16">
        <v>1110059.4948</v>
      </c>
      <c r="J118" s="10">
        <v>19</v>
      </c>
      <c r="K118" s="10">
        <v>4</v>
      </c>
      <c r="L118" s="10">
        <v>11</v>
      </c>
    </row>
    <row r="119" spans="1:12">
      <c r="A119" s="11" t="s">
        <v>15</v>
      </c>
      <c r="B119" s="21">
        <v>1454863.5061064591</v>
      </c>
      <c r="C119" s="15">
        <v>0</v>
      </c>
      <c r="D119" s="21">
        <v>1468564.3861870819</v>
      </c>
      <c r="E119" s="15">
        <v>0</v>
      </c>
      <c r="F119" s="10">
        <v>6209.43</v>
      </c>
      <c r="G119" s="15">
        <v>0</v>
      </c>
      <c r="H119" s="21">
        <v>2409280.4567999984</v>
      </c>
      <c r="I119" s="21">
        <v>4378291.3984000012</v>
      </c>
      <c r="J119" s="10">
        <v>554</v>
      </c>
      <c r="K119" s="10">
        <v>215</v>
      </c>
      <c r="L119" s="10">
        <v>104</v>
      </c>
    </row>
    <row r="120" spans="1:12">
      <c r="A120" s="11" t="s">
        <v>49</v>
      </c>
      <c r="B120" s="16">
        <v>16589.206809214094</v>
      </c>
      <c r="C120" s="15">
        <v>0</v>
      </c>
      <c r="D120" s="16">
        <v>7728.1571815718162</v>
      </c>
      <c r="E120" s="15">
        <v>0</v>
      </c>
      <c r="F120" s="10">
        <v>485.24</v>
      </c>
      <c r="G120" s="15">
        <v>0</v>
      </c>
      <c r="H120" s="16">
        <v>37467.465600000003</v>
      </c>
      <c r="I120" s="16">
        <v>40906.570799999994</v>
      </c>
      <c r="J120" s="10">
        <v>12</v>
      </c>
      <c r="K120" s="10">
        <v>6</v>
      </c>
      <c r="L120" s="10">
        <v>5</v>
      </c>
    </row>
    <row r="121" spans="1:12">
      <c r="A121" s="11" t="s">
        <v>50</v>
      </c>
      <c r="B121" s="16">
        <v>985971.78259349614</v>
      </c>
      <c r="C121" s="15">
        <v>0</v>
      </c>
      <c r="D121" s="16">
        <v>69849.30081300826</v>
      </c>
      <c r="E121" s="15">
        <v>0</v>
      </c>
      <c r="F121" s="19"/>
      <c r="G121" s="15">
        <v>0</v>
      </c>
      <c r="H121" s="16">
        <v>468562.02040000004</v>
      </c>
      <c r="I121" s="16">
        <v>2041792.8659999997</v>
      </c>
      <c r="J121" s="10">
        <v>99</v>
      </c>
      <c r="K121" s="10">
        <v>7</v>
      </c>
      <c r="L121" s="10">
        <v>27</v>
      </c>
    </row>
    <row r="122" spans="1:12">
      <c r="A122" s="11" t="s">
        <v>51</v>
      </c>
      <c r="B122" s="21">
        <v>5172.2879999999996</v>
      </c>
      <c r="C122" s="15">
        <v>0</v>
      </c>
      <c r="D122" s="16">
        <v>139876.34</v>
      </c>
      <c r="E122" s="15">
        <v>0</v>
      </c>
      <c r="F122" s="11"/>
      <c r="G122" s="15">
        <v>0</v>
      </c>
      <c r="H122" s="16">
        <v>88171.434399999998</v>
      </c>
      <c r="I122" s="16">
        <v>150220.916</v>
      </c>
      <c r="J122" s="10"/>
      <c r="K122" s="10">
        <v>6</v>
      </c>
      <c r="L122" s="11"/>
    </row>
    <row r="124" spans="1:12">
      <c r="A124" s="7">
        <v>45231</v>
      </c>
    </row>
    <row r="125" spans="1:12" ht="33" customHeight="1">
      <c r="A125" s="2" t="s">
        <v>8</v>
      </c>
      <c r="B125" s="6" t="s">
        <v>37</v>
      </c>
      <c r="C125" s="6" t="s">
        <v>38</v>
      </c>
      <c r="D125" s="6" t="s">
        <v>39</v>
      </c>
      <c r="E125" s="6" t="s">
        <v>40</v>
      </c>
      <c r="F125" s="6" t="s">
        <v>41</v>
      </c>
      <c r="G125" s="6" t="s">
        <v>42</v>
      </c>
      <c r="H125" s="6" t="s">
        <v>43</v>
      </c>
      <c r="I125" s="6" t="s">
        <v>44</v>
      </c>
      <c r="J125" s="4" t="s">
        <v>45</v>
      </c>
      <c r="K125" s="5" t="s">
        <v>46</v>
      </c>
      <c r="L125" s="4" t="s">
        <v>47</v>
      </c>
    </row>
    <row r="126" spans="1:12" ht="33" customHeight="1">
      <c r="A126" s="11" t="s">
        <v>48</v>
      </c>
      <c r="B126" s="16">
        <v>150098.29838157183</v>
      </c>
      <c r="C126" s="14">
        <v>0</v>
      </c>
      <c r="D126" s="16">
        <v>10459.685636856368</v>
      </c>
      <c r="E126" s="14">
        <v>0</v>
      </c>
      <c r="F126" s="12"/>
      <c r="G126" s="14">
        <v>0</v>
      </c>
      <c r="H126" s="16">
        <v>85399.485199999996</v>
      </c>
      <c r="I126" s="16">
        <v>310656.28239999997</v>
      </c>
      <c r="J126" s="10">
        <v>62</v>
      </c>
      <c r="K126" s="10">
        <v>3</v>
      </c>
      <c r="L126" s="10">
        <v>14</v>
      </c>
    </row>
    <row r="127" spans="1:12" ht="33" customHeight="1">
      <c r="A127" s="11" t="s">
        <v>17</v>
      </c>
      <c r="B127" s="16">
        <v>671080.24312791321</v>
      </c>
      <c r="C127" s="14">
        <v>0</v>
      </c>
      <c r="D127" s="16">
        <v>1850809.6545441735</v>
      </c>
      <c r="E127" s="14">
        <v>0</v>
      </c>
      <c r="F127" s="10">
        <v>1848</v>
      </c>
      <c r="G127" s="14">
        <v>0</v>
      </c>
      <c r="H127" s="16">
        <v>129957.82640000001</v>
      </c>
      <c r="I127" s="16">
        <v>3192970.1408000002</v>
      </c>
      <c r="J127" s="10">
        <v>89</v>
      </c>
      <c r="K127" s="10">
        <v>60</v>
      </c>
      <c r="L127" s="10">
        <v>14</v>
      </c>
    </row>
    <row r="128" spans="1:12" ht="33" customHeight="1">
      <c r="A128" s="11" t="s">
        <v>13</v>
      </c>
      <c r="B128" s="16">
        <v>1801800.674433605</v>
      </c>
      <c r="C128" s="14">
        <v>0</v>
      </c>
      <c r="D128" s="16">
        <v>4129255.4155327901</v>
      </c>
      <c r="E128" s="14">
        <v>0</v>
      </c>
      <c r="F128" s="10">
        <v>33846.04</v>
      </c>
      <c r="G128" s="14">
        <v>0</v>
      </c>
      <c r="H128" s="16">
        <v>766450.1059999998</v>
      </c>
      <c r="I128" s="16">
        <v>7732856.7643999998</v>
      </c>
      <c r="J128" s="10">
        <v>173</v>
      </c>
      <c r="K128" s="10">
        <v>66</v>
      </c>
      <c r="L128" s="10">
        <v>37</v>
      </c>
    </row>
    <row r="129" spans="1:12" ht="33" customHeight="1">
      <c r="A129" s="11" t="s">
        <v>16</v>
      </c>
      <c r="B129" s="16">
        <v>62901.132799999999</v>
      </c>
      <c r="C129" s="14">
        <v>0</v>
      </c>
      <c r="D129" s="16">
        <v>138801.818</v>
      </c>
      <c r="E129" s="14">
        <v>0</v>
      </c>
      <c r="F129" s="10"/>
      <c r="G129" s="14">
        <v>0</v>
      </c>
      <c r="H129" s="16">
        <v>21491.588400000001</v>
      </c>
      <c r="I129" s="16">
        <v>264604.08360000001</v>
      </c>
      <c r="J129" s="10">
        <v>16</v>
      </c>
      <c r="K129" s="10">
        <v>3</v>
      </c>
      <c r="L129" s="10">
        <v>6</v>
      </c>
    </row>
    <row r="130" spans="1:12">
      <c r="A130" s="11" t="s">
        <v>14</v>
      </c>
      <c r="B130" s="16">
        <v>77622.28083577237</v>
      </c>
      <c r="C130" s="15">
        <v>0</v>
      </c>
      <c r="D130" s="16">
        <v>43814.845528455277</v>
      </c>
      <c r="E130" s="15">
        <v>0</v>
      </c>
      <c r="F130" s="10">
        <v>47156.49</v>
      </c>
      <c r="G130" s="15">
        <v>0</v>
      </c>
      <c r="H130" s="16">
        <v>19217.4748</v>
      </c>
      <c r="I130" s="16">
        <v>199059.40720000002</v>
      </c>
      <c r="J130" s="10">
        <v>18</v>
      </c>
      <c r="K130" s="10">
        <v>8</v>
      </c>
      <c r="L130" s="10">
        <v>9</v>
      </c>
    </row>
    <row r="131" spans="1:12">
      <c r="A131" s="11" t="s">
        <v>15</v>
      </c>
      <c r="B131" s="21">
        <v>2016404.9837452655</v>
      </c>
      <c r="C131" s="15">
        <v>0</v>
      </c>
      <c r="D131" s="21">
        <v>1501742.5321094687</v>
      </c>
      <c r="E131" s="15">
        <v>0</v>
      </c>
      <c r="F131" s="10">
        <v>50082.250000000007</v>
      </c>
      <c r="G131" s="15">
        <v>0</v>
      </c>
      <c r="H131" s="21">
        <v>2063154.5055999998</v>
      </c>
      <c r="I131" s="21">
        <v>5534552.4996000044</v>
      </c>
      <c r="J131" s="10">
        <v>490</v>
      </c>
      <c r="K131" s="10">
        <v>174</v>
      </c>
      <c r="L131" s="10">
        <v>102</v>
      </c>
    </row>
    <row r="132" spans="1:12">
      <c r="A132" s="11" t="s">
        <v>49</v>
      </c>
      <c r="B132" s="16">
        <v>3360.6460005420058</v>
      </c>
      <c r="C132" s="15">
        <v>0</v>
      </c>
      <c r="D132" s="16">
        <v>1719.2763989159891</v>
      </c>
      <c r="E132" s="15">
        <v>0</v>
      </c>
      <c r="F132" s="11"/>
      <c r="G132" s="15">
        <v>0</v>
      </c>
      <c r="H132" s="16">
        <v>226112.53639999998</v>
      </c>
      <c r="I132" s="16">
        <v>8440.5684000000001</v>
      </c>
      <c r="J132" s="10">
        <v>15</v>
      </c>
      <c r="K132" s="10">
        <v>6</v>
      </c>
      <c r="L132" s="10">
        <v>4</v>
      </c>
    </row>
    <row r="133" spans="1:12">
      <c r="A133" s="11" t="s">
        <v>50</v>
      </c>
      <c r="B133" s="16">
        <v>701844.85404552834</v>
      </c>
      <c r="C133" s="15">
        <v>0</v>
      </c>
      <c r="D133" s="16">
        <v>37062.89430894309</v>
      </c>
      <c r="E133" s="15">
        <v>0</v>
      </c>
      <c r="F133" s="11"/>
      <c r="G133" s="15">
        <v>0</v>
      </c>
      <c r="H133" s="16">
        <v>278903.56399999995</v>
      </c>
      <c r="I133" s="16">
        <v>1440752.6024000002</v>
      </c>
      <c r="J133" s="10">
        <v>80</v>
      </c>
      <c r="K133" s="11">
        <v>7</v>
      </c>
      <c r="L133" s="10">
        <v>23</v>
      </c>
    </row>
    <row r="134" spans="1:12">
      <c r="A134" s="11" t="s">
        <v>51</v>
      </c>
      <c r="B134" s="16">
        <v>37430.913102439023</v>
      </c>
      <c r="C134" s="15">
        <v>0</v>
      </c>
      <c r="D134" s="16">
        <v>285257.47339512198</v>
      </c>
      <c r="E134" s="15">
        <v>0</v>
      </c>
      <c r="F134" s="11"/>
      <c r="G134" s="15">
        <v>0</v>
      </c>
      <c r="H134" s="16">
        <v>100199.06240000001</v>
      </c>
      <c r="I134" s="16">
        <v>360119.29959999997</v>
      </c>
      <c r="J134" s="10"/>
      <c r="K134" s="11">
        <v>10</v>
      </c>
      <c r="L134" s="11"/>
    </row>
    <row r="136" spans="1:12">
      <c r="A136" s="7">
        <v>45261</v>
      </c>
    </row>
    <row r="137" spans="1:12" ht="33" customHeight="1">
      <c r="A137" s="2" t="s">
        <v>8</v>
      </c>
      <c r="B137" s="6" t="s">
        <v>37</v>
      </c>
      <c r="C137" s="6" t="s">
        <v>38</v>
      </c>
      <c r="D137" s="6" t="s">
        <v>39</v>
      </c>
      <c r="E137" s="6" t="s">
        <v>40</v>
      </c>
      <c r="F137" s="6" t="s">
        <v>41</v>
      </c>
      <c r="G137" s="6" t="s">
        <v>42</v>
      </c>
      <c r="H137" s="6" t="s">
        <v>43</v>
      </c>
      <c r="I137" s="6" t="s">
        <v>44</v>
      </c>
      <c r="J137" s="4" t="s">
        <v>45</v>
      </c>
      <c r="K137" s="5" t="s">
        <v>46</v>
      </c>
      <c r="L137" s="4" t="s">
        <v>47</v>
      </c>
    </row>
    <row r="138" spans="1:12" ht="33" customHeight="1">
      <c r="A138" s="11" t="s">
        <v>48</v>
      </c>
      <c r="B138" s="16">
        <v>167776.37985474255</v>
      </c>
      <c r="C138" s="14">
        <v>0</v>
      </c>
      <c r="D138" s="16">
        <v>427702.2330905149</v>
      </c>
      <c r="E138" s="14">
        <v>0</v>
      </c>
      <c r="F138" s="12"/>
      <c r="G138" s="14">
        <v>0</v>
      </c>
      <c r="H138" s="16">
        <v>152984.68040000004</v>
      </c>
      <c r="I138" s="16">
        <v>763254.99279999989</v>
      </c>
      <c r="J138" s="10">
        <v>57</v>
      </c>
      <c r="K138" s="10">
        <v>5</v>
      </c>
      <c r="L138" s="13">
        <v>22</v>
      </c>
    </row>
    <row r="139" spans="1:12" ht="33" customHeight="1">
      <c r="A139" s="11" t="s">
        <v>17</v>
      </c>
      <c r="B139" s="16">
        <v>603106.73312682926</v>
      </c>
      <c r="C139" s="14">
        <v>0</v>
      </c>
      <c r="D139" s="16">
        <v>2107594.1661463408</v>
      </c>
      <c r="E139" s="14">
        <v>0</v>
      </c>
      <c r="F139" s="10">
        <v>26373.510000000002</v>
      </c>
      <c r="G139" s="14">
        <v>0</v>
      </c>
      <c r="H139" s="16">
        <v>126875.13719999998</v>
      </c>
      <c r="I139" s="16">
        <v>3313807.6324000005</v>
      </c>
      <c r="J139" s="10">
        <v>77</v>
      </c>
      <c r="K139" s="10">
        <v>63</v>
      </c>
      <c r="L139" s="13">
        <v>10</v>
      </c>
    </row>
    <row r="140" spans="1:12" ht="33" customHeight="1">
      <c r="A140" s="11" t="s">
        <v>13</v>
      </c>
      <c r="B140" s="16">
        <v>1657694.9357967481</v>
      </c>
      <c r="C140" s="14">
        <v>0</v>
      </c>
      <c r="D140" s="21">
        <v>1065995.5252065042</v>
      </c>
      <c r="E140" s="14">
        <v>0</v>
      </c>
      <c r="F140" s="10">
        <v>4519.2700000000004</v>
      </c>
      <c r="G140" s="14">
        <v>0</v>
      </c>
      <c r="H140" s="21">
        <v>573414.76360000018</v>
      </c>
      <c r="I140" s="21">
        <v>4381385.3968000002</v>
      </c>
      <c r="J140" s="10">
        <v>196</v>
      </c>
      <c r="K140" s="10">
        <v>62</v>
      </c>
      <c r="L140" s="10">
        <v>61</v>
      </c>
    </row>
    <row r="141" spans="1:12" ht="33" customHeight="1">
      <c r="A141" s="11" t="s">
        <v>16</v>
      </c>
      <c r="B141" s="16">
        <v>38631.473339837401</v>
      </c>
      <c r="C141" s="14">
        <v>0</v>
      </c>
      <c r="D141" s="16">
        <v>440591.64412032522</v>
      </c>
      <c r="E141" s="14">
        <v>0</v>
      </c>
      <c r="F141" s="10"/>
      <c r="G141" s="14">
        <v>0</v>
      </c>
      <c r="H141" s="16">
        <v>27656.4676</v>
      </c>
      <c r="I141" s="16">
        <v>517854.59080000001</v>
      </c>
      <c r="J141" s="10">
        <v>9</v>
      </c>
      <c r="K141" s="10">
        <v>5</v>
      </c>
      <c r="L141" s="10">
        <v>3</v>
      </c>
    </row>
    <row r="142" spans="1:12">
      <c r="A142" s="11" t="s">
        <v>14</v>
      </c>
      <c r="B142" s="16">
        <v>536913.11185040651</v>
      </c>
      <c r="C142" s="15">
        <v>0</v>
      </c>
      <c r="D142" s="16">
        <v>287119.90429918701</v>
      </c>
      <c r="E142" s="15">
        <v>0</v>
      </c>
      <c r="F142" s="10">
        <v>88.62</v>
      </c>
      <c r="G142" s="15">
        <v>0</v>
      </c>
      <c r="H142" s="16">
        <v>129029.24679999999</v>
      </c>
      <c r="I142" s="16">
        <v>1360946.128</v>
      </c>
      <c r="J142" s="10">
        <v>10</v>
      </c>
      <c r="K142" s="10">
        <v>2</v>
      </c>
      <c r="L142" s="10">
        <v>9</v>
      </c>
    </row>
    <row r="143" spans="1:12">
      <c r="A143" s="11" t="s">
        <v>15</v>
      </c>
      <c r="B143" s="16">
        <v>957627.73493062321</v>
      </c>
      <c r="C143" s="15">
        <v>0</v>
      </c>
      <c r="D143" s="21">
        <v>700135.0709387532</v>
      </c>
      <c r="E143" s="15">
        <v>0</v>
      </c>
      <c r="F143" s="10">
        <v>633.84</v>
      </c>
      <c r="G143" s="15">
        <v>0</v>
      </c>
      <c r="H143" s="21">
        <v>1191248.9584000001</v>
      </c>
      <c r="I143" s="21">
        <v>2615390.5407999996</v>
      </c>
      <c r="J143" s="10">
        <v>426</v>
      </c>
      <c r="K143" s="10">
        <v>154</v>
      </c>
      <c r="L143" s="10">
        <v>87</v>
      </c>
    </row>
    <row r="144" spans="1:12">
      <c r="A144" s="11" t="s">
        <v>49</v>
      </c>
      <c r="B144" s="16">
        <v>12161.773216260161</v>
      </c>
      <c r="C144" s="15">
        <v>0</v>
      </c>
      <c r="D144" s="16">
        <v>712.74796747967468</v>
      </c>
      <c r="E144" s="15">
        <v>0</v>
      </c>
      <c r="F144" s="10"/>
      <c r="G144" s="15">
        <v>0</v>
      </c>
      <c r="H144" s="16">
        <v>90023.190399999992</v>
      </c>
      <c r="I144" s="16">
        <v>25036.294399999999</v>
      </c>
      <c r="J144" s="10">
        <v>15</v>
      </c>
      <c r="K144" s="10">
        <v>5</v>
      </c>
      <c r="L144" s="10">
        <v>5</v>
      </c>
    </row>
    <row r="145" spans="1:12">
      <c r="A145" s="11" t="s">
        <v>50</v>
      </c>
      <c r="B145" s="16">
        <v>1039092.9913550135</v>
      </c>
      <c r="C145" s="15">
        <v>0</v>
      </c>
      <c r="D145" s="16">
        <v>56785.021689972978</v>
      </c>
      <c r="E145" s="15">
        <v>0</v>
      </c>
      <c r="F145" s="11"/>
      <c r="G145" s="15">
        <v>0</v>
      </c>
      <c r="H145" s="16">
        <v>419410.37999999983</v>
      </c>
      <c r="I145" s="16">
        <v>2134971.0044000004</v>
      </c>
      <c r="J145" s="10">
        <v>100</v>
      </c>
      <c r="K145" s="10">
        <v>9</v>
      </c>
      <c r="L145" s="10">
        <v>11</v>
      </c>
    </row>
    <row r="146" spans="1:12">
      <c r="A146" s="11" t="s">
        <v>51</v>
      </c>
      <c r="B146" s="21">
        <v>13678.198199999999</v>
      </c>
      <c r="C146" s="15">
        <v>0</v>
      </c>
      <c r="D146" s="16">
        <v>0</v>
      </c>
      <c r="E146" s="15">
        <v>0</v>
      </c>
      <c r="F146" s="11"/>
      <c r="G146" s="15">
        <v>0</v>
      </c>
      <c r="H146" s="21">
        <v>27387.867200000001</v>
      </c>
      <c r="I146" s="21">
        <v>27356.396399999998</v>
      </c>
      <c r="J146" s="10"/>
      <c r="K146" s="11">
        <v>10</v>
      </c>
      <c r="L146" s="11"/>
    </row>
  </sheetData>
  <pageMargins left="0.7" right="0.7" top="0.75" bottom="0.75" header="0.3" footer="0.3"/>
  <customProperties>
    <customPr name="_pios_id" r:id="rId1"/>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574FA-4350-4CB9-AF69-B976029E7F8A}">
  <dimension ref="A1:L146"/>
  <sheetViews>
    <sheetView workbookViewId="0">
      <pane xSplit="1" ySplit="5" topLeftCell="H6" activePane="bottomRight" state="frozen"/>
      <selection pane="bottomRight" activeCell="A5" sqref="A5"/>
      <selection pane="bottomLeft" activeCell="A6" sqref="A6"/>
      <selection pane="topRight" activeCell="B1" sqref="B1"/>
    </sheetView>
  </sheetViews>
  <sheetFormatPr defaultColWidth="39.140625" defaultRowHeight="14.45"/>
  <cols>
    <col min="2" max="2" width="37.5703125" customWidth="1"/>
    <col min="3" max="3" width="36" customWidth="1"/>
  </cols>
  <sheetData>
    <row r="1" spans="1:12">
      <c r="A1" s="1" t="s">
        <v>53</v>
      </c>
    </row>
    <row r="2" spans="1:12">
      <c r="A2" s="1" t="s">
        <v>23</v>
      </c>
      <c r="E2" s="3"/>
    </row>
    <row r="3" spans="1:12">
      <c r="A3" s="1" t="s">
        <v>24</v>
      </c>
    </row>
    <row r="4" spans="1:12">
      <c r="A4" s="7">
        <v>44927</v>
      </c>
      <c r="B4" s="9" t="s">
        <v>26</v>
      </c>
      <c r="C4" s="9" t="s">
        <v>27</v>
      </c>
      <c r="D4" s="9" t="s">
        <v>28</v>
      </c>
      <c r="E4" s="9" t="s">
        <v>29</v>
      </c>
      <c r="F4" s="9" t="s">
        <v>30</v>
      </c>
      <c r="G4" s="9" t="s">
        <v>31</v>
      </c>
      <c r="H4" s="9" t="s">
        <v>32</v>
      </c>
      <c r="I4" s="9" t="s">
        <v>33</v>
      </c>
      <c r="J4" s="9" t="s">
        <v>34</v>
      </c>
      <c r="K4" s="9" t="s">
        <v>35</v>
      </c>
      <c r="L4" s="9" t="s">
        <v>36</v>
      </c>
    </row>
    <row r="5" spans="1:12" ht="33" customHeight="1">
      <c r="A5" s="2" t="s">
        <v>8</v>
      </c>
      <c r="B5" s="6" t="s">
        <v>37</v>
      </c>
      <c r="C5" s="6" t="s">
        <v>38</v>
      </c>
      <c r="D5" s="6" t="s">
        <v>39</v>
      </c>
      <c r="E5" s="6" t="s">
        <v>40</v>
      </c>
      <c r="F5" s="6" t="s">
        <v>41</v>
      </c>
      <c r="G5" s="6" t="s">
        <v>42</v>
      </c>
      <c r="H5" s="6" t="s">
        <v>43</v>
      </c>
      <c r="I5" s="6" t="s">
        <v>44</v>
      </c>
      <c r="J5" s="4" t="s">
        <v>45</v>
      </c>
      <c r="K5" s="4" t="s">
        <v>46</v>
      </c>
      <c r="L5" s="4" t="s">
        <v>47</v>
      </c>
    </row>
    <row r="6" spans="1:12" ht="33" customHeight="1">
      <c r="A6" s="11" t="s">
        <v>48</v>
      </c>
      <c r="B6" s="16">
        <v>0</v>
      </c>
      <c r="C6" s="14">
        <v>0</v>
      </c>
      <c r="D6" s="16">
        <v>369.86720000000003</v>
      </c>
      <c r="E6" s="14">
        <v>0</v>
      </c>
      <c r="F6" s="12"/>
      <c r="G6" s="14">
        <v>0</v>
      </c>
      <c r="H6" s="16">
        <v>125</v>
      </c>
      <c r="I6" s="16">
        <v>369.86720000000003</v>
      </c>
      <c r="J6" s="10"/>
      <c r="K6" s="10"/>
      <c r="L6" s="10"/>
    </row>
    <row r="7" spans="1:12" ht="33" customHeight="1">
      <c r="A7" s="11" t="s">
        <v>17</v>
      </c>
      <c r="B7" s="16"/>
      <c r="C7" s="14">
        <v>0</v>
      </c>
      <c r="D7" s="16"/>
      <c r="E7" s="14">
        <v>0</v>
      </c>
      <c r="F7" s="12"/>
      <c r="G7" s="14">
        <v>0</v>
      </c>
      <c r="H7" s="16"/>
      <c r="I7" s="16"/>
      <c r="J7" s="10"/>
      <c r="K7" s="10"/>
      <c r="L7" s="10"/>
    </row>
    <row r="8" spans="1:12" ht="33" customHeight="1">
      <c r="A8" s="11" t="s">
        <v>13</v>
      </c>
      <c r="B8" s="16"/>
      <c r="C8" s="14">
        <v>0</v>
      </c>
      <c r="D8" s="16"/>
      <c r="E8" s="14">
        <v>0</v>
      </c>
      <c r="F8" s="12"/>
      <c r="G8" s="14">
        <v>0</v>
      </c>
      <c r="H8" s="16"/>
      <c r="I8" s="16"/>
      <c r="J8" s="10">
        <v>2</v>
      </c>
      <c r="K8" s="10"/>
      <c r="L8" s="10">
        <v>2</v>
      </c>
    </row>
    <row r="9" spans="1:12" ht="33" customHeight="1">
      <c r="A9" s="11" t="s">
        <v>16</v>
      </c>
      <c r="B9" s="16"/>
      <c r="C9" s="14">
        <v>0</v>
      </c>
      <c r="D9" s="16"/>
      <c r="E9" s="14">
        <v>0</v>
      </c>
      <c r="F9" s="12"/>
      <c r="G9" s="14">
        <v>0</v>
      </c>
      <c r="H9" s="16"/>
      <c r="I9" s="16"/>
      <c r="J9" s="10"/>
      <c r="K9" s="10"/>
      <c r="L9" s="10"/>
    </row>
    <row r="10" spans="1:12">
      <c r="A10" s="11" t="s">
        <v>14</v>
      </c>
      <c r="B10" s="16"/>
      <c r="C10" s="15">
        <v>0</v>
      </c>
      <c r="D10" s="16"/>
      <c r="E10" s="15">
        <v>0</v>
      </c>
      <c r="F10" s="11"/>
      <c r="G10" s="15">
        <v>0</v>
      </c>
      <c r="H10" s="16"/>
      <c r="I10" s="16"/>
      <c r="J10" s="10"/>
      <c r="K10" s="10"/>
      <c r="L10" s="10"/>
    </row>
    <row r="11" spans="1:12">
      <c r="A11" s="11" t="s">
        <v>15</v>
      </c>
      <c r="B11" s="16">
        <v>2989.857</v>
      </c>
      <c r="C11" s="15">
        <v>0</v>
      </c>
      <c r="D11" s="16">
        <v>0</v>
      </c>
      <c r="E11" s="15">
        <v>0</v>
      </c>
      <c r="F11" s="11"/>
      <c r="G11" s="15">
        <v>0</v>
      </c>
      <c r="H11" s="16">
        <v>105881.12520000002</v>
      </c>
      <c r="I11" s="16">
        <v>5979.7139999999999</v>
      </c>
      <c r="J11" s="10">
        <v>4</v>
      </c>
      <c r="K11" s="10">
        <v>15</v>
      </c>
      <c r="L11" s="10">
        <v>3</v>
      </c>
    </row>
    <row r="12" spans="1:12">
      <c r="A12" s="11" t="s">
        <v>49</v>
      </c>
      <c r="B12" s="16"/>
      <c r="C12" s="15">
        <v>0</v>
      </c>
      <c r="D12" s="16"/>
      <c r="E12" s="15">
        <v>0</v>
      </c>
      <c r="F12" s="11"/>
      <c r="G12" s="15">
        <v>0</v>
      </c>
      <c r="H12" s="16"/>
      <c r="I12" s="16"/>
      <c r="J12" s="10"/>
      <c r="K12" s="11"/>
      <c r="L12" s="10"/>
    </row>
    <row r="13" spans="1:12">
      <c r="A13" s="11" t="s">
        <v>50</v>
      </c>
      <c r="B13" s="16"/>
      <c r="C13" s="15">
        <v>0</v>
      </c>
      <c r="D13" s="16"/>
      <c r="E13" s="15">
        <v>0</v>
      </c>
      <c r="F13" s="11"/>
      <c r="G13" s="15">
        <v>0</v>
      </c>
      <c r="H13" s="16"/>
      <c r="I13" s="16"/>
      <c r="J13" s="10"/>
      <c r="K13" s="11"/>
      <c r="L13" s="10"/>
    </row>
    <row r="14" spans="1:12">
      <c r="A14" s="11" t="s">
        <v>51</v>
      </c>
      <c r="B14" s="11"/>
      <c r="C14" s="15">
        <v>0</v>
      </c>
      <c r="D14" s="16"/>
      <c r="E14" s="15">
        <v>0</v>
      </c>
      <c r="F14" s="11"/>
      <c r="G14" s="15">
        <v>0</v>
      </c>
      <c r="H14" s="11"/>
      <c r="I14" s="11"/>
      <c r="J14" s="10"/>
      <c r="K14" s="11"/>
      <c r="L14" s="11"/>
    </row>
    <row r="16" spans="1:12">
      <c r="A16" s="8">
        <v>45345</v>
      </c>
    </row>
    <row r="17" spans="1:12" ht="33" customHeight="1">
      <c r="A17" s="2" t="s">
        <v>8</v>
      </c>
      <c r="B17" s="6" t="s">
        <v>37</v>
      </c>
      <c r="C17" s="6" t="s">
        <v>38</v>
      </c>
      <c r="D17" s="6" t="s">
        <v>39</v>
      </c>
      <c r="E17" s="6" t="s">
        <v>40</v>
      </c>
      <c r="F17" s="6" t="s">
        <v>41</v>
      </c>
      <c r="G17" s="6" t="s">
        <v>42</v>
      </c>
      <c r="H17" s="6" t="s">
        <v>43</v>
      </c>
      <c r="I17" s="6" t="s">
        <v>44</v>
      </c>
      <c r="J17" s="4" t="s">
        <v>45</v>
      </c>
      <c r="K17" s="5" t="s">
        <v>46</v>
      </c>
      <c r="L17" s="4" t="s">
        <v>47</v>
      </c>
    </row>
    <row r="18" spans="1:12" ht="33" customHeight="1">
      <c r="A18" s="11" t="s">
        <v>48</v>
      </c>
      <c r="B18" s="16"/>
      <c r="C18" s="14">
        <v>0</v>
      </c>
      <c r="D18" s="16"/>
      <c r="E18" s="14">
        <v>0</v>
      </c>
      <c r="F18" s="12"/>
      <c r="G18" s="14">
        <v>0</v>
      </c>
      <c r="H18" s="16"/>
      <c r="I18" s="16"/>
      <c r="J18" s="10"/>
      <c r="K18" s="10"/>
      <c r="L18" s="10"/>
    </row>
    <row r="19" spans="1:12" ht="33" customHeight="1">
      <c r="A19" s="11" t="s">
        <v>17</v>
      </c>
      <c r="B19" s="16"/>
      <c r="C19" s="14">
        <v>0</v>
      </c>
      <c r="D19" s="16"/>
      <c r="E19" s="14">
        <v>0</v>
      </c>
      <c r="F19" s="12"/>
      <c r="G19" s="14">
        <v>0</v>
      </c>
      <c r="H19" s="16"/>
      <c r="I19" s="16"/>
      <c r="J19" s="10"/>
      <c r="K19" s="10"/>
      <c r="L19" s="10"/>
    </row>
    <row r="20" spans="1:12" ht="33" customHeight="1">
      <c r="A20" s="11" t="s">
        <v>13</v>
      </c>
      <c r="B20" s="16">
        <v>3244.821616260163</v>
      </c>
      <c r="C20" s="14">
        <v>0</v>
      </c>
      <c r="D20" s="16">
        <v>181794.98236747965</v>
      </c>
      <c r="E20" s="14">
        <v>0</v>
      </c>
      <c r="F20" s="12"/>
      <c r="G20" s="14">
        <v>0</v>
      </c>
      <c r="H20" s="16">
        <v>8303.7512000000006</v>
      </c>
      <c r="I20" s="16">
        <v>188284.6256</v>
      </c>
      <c r="J20" s="10">
        <v>2</v>
      </c>
      <c r="K20" s="10">
        <v>2</v>
      </c>
      <c r="L20" s="10">
        <v>2</v>
      </c>
    </row>
    <row r="21" spans="1:12" ht="33" customHeight="1">
      <c r="A21" s="11" t="s">
        <v>16</v>
      </c>
      <c r="B21" s="16"/>
      <c r="C21" s="14">
        <v>0</v>
      </c>
      <c r="D21" s="16"/>
      <c r="E21" s="14">
        <v>0</v>
      </c>
      <c r="F21" s="12"/>
      <c r="G21" s="14">
        <v>0</v>
      </c>
      <c r="H21" s="16"/>
      <c r="I21" s="16"/>
      <c r="J21" s="10"/>
      <c r="K21" s="10"/>
      <c r="L21" s="10"/>
    </row>
    <row r="22" spans="1:12">
      <c r="A22" s="11" t="s">
        <v>14</v>
      </c>
      <c r="B22" s="16"/>
      <c r="C22" s="15">
        <v>0</v>
      </c>
      <c r="D22" s="16"/>
      <c r="E22" s="15">
        <v>0</v>
      </c>
      <c r="F22" s="11"/>
      <c r="G22" s="15">
        <v>0</v>
      </c>
      <c r="H22" s="16"/>
      <c r="I22" s="16"/>
      <c r="J22" s="10"/>
      <c r="K22" s="10"/>
      <c r="L22" s="10"/>
    </row>
    <row r="23" spans="1:12">
      <c r="A23" s="11" t="s">
        <v>15</v>
      </c>
      <c r="B23" s="16">
        <v>19340.3482</v>
      </c>
      <c r="C23" s="15">
        <v>0</v>
      </c>
      <c r="D23" s="16">
        <v>13076.9656</v>
      </c>
      <c r="E23" s="15">
        <v>0</v>
      </c>
      <c r="F23" s="11"/>
      <c r="G23" s="15">
        <v>0</v>
      </c>
      <c r="H23" s="16">
        <v>128386.75399999997</v>
      </c>
      <c r="I23" s="16">
        <v>51757.661999999997</v>
      </c>
      <c r="J23" s="10">
        <v>9</v>
      </c>
      <c r="K23" s="10">
        <v>13</v>
      </c>
      <c r="L23" s="10">
        <v>4</v>
      </c>
    </row>
    <row r="24" spans="1:12">
      <c r="A24" s="11" t="s">
        <v>49</v>
      </c>
      <c r="B24" s="16"/>
      <c r="C24" s="15">
        <v>0</v>
      </c>
      <c r="D24" s="16"/>
      <c r="E24" s="15">
        <v>0</v>
      </c>
      <c r="F24" s="11"/>
      <c r="G24" s="15">
        <v>0</v>
      </c>
      <c r="H24" s="16"/>
      <c r="I24" s="16"/>
      <c r="J24" s="10"/>
      <c r="K24" s="11"/>
      <c r="L24" s="11"/>
    </row>
    <row r="25" spans="1:12">
      <c r="A25" s="11" t="s">
        <v>50</v>
      </c>
      <c r="B25" s="16"/>
      <c r="C25" s="15">
        <v>0</v>
      </c>
      <c r="D25" s="16"/>
      <c r="E25" s="15">
        <v>0</v>
      </c>
      <c r="F25" s="11"/>
      <c r="G25" s="15">
        <v>0</v>
      </c>
      <c r="H25" s="16"/>
      <c r="I25" s="16"/>
      <c r="J25" s="10"/>
      <c r="K25" s="11"/>
      <c r="L25" s="11"/>
    </row>
    <row r="26" spans="1:12">
      <c r="A26" s="11" t="s">
        <v>51</v>
      </c>
      <c r="B26" s="11"/>
      <c r="C26" s="15">
        <v>0</v>
      </c>
      <c r="D26" s="16"/>
      <c r="E26" s="15">
        <v>0</v>
      </c>
      <c r="F26" s="11"/>
      <c r="G26" s="15">
        <v>0</v>
      </c>
      <c r="H26" s="11"/>
      <c r="I26" s="11"/>
      <c r="J26" s="10"/>
      <c r="K26" s="11"/>
      <c r="L26" s="11"/>
    </row>
    <row r="28" spans="1:12">
      <c r="A28" s="7">
        <v>44986</v>
      </c>
    </row>
    <row r="29" spans="1:12" ht="33" customHeight="1">
      <c r="A29" s="2" t="s">
        <v>8</v>
      </c>
      <c r="B29" s="6" t="s">
        <v>37</v>
      </c>
      <c r="C29" s="6" t="s">
        <v>38</v>
      </c>
      <c r="D29" s="6" t="s">
        <v>39</v>
      </c>
      <c r="E29" s="6" t="s">
        <v>40</v>
      </c>
      <c r="F29" s="6" t="s">
        <v>41</v>
      </c>
      <c r="G29" s="6" t="s">
        <v>42</v>
      </c>
      <c r="H29" s="6" t="s">
        <v>43</v>
      </c>
      <c r="I29" s="6" t="s">
        <v>44</v>
      </c>
      <c r="J29" s="4" t="s">
        <v>45</v>
      </c>
      <c r="K29" s="5" t="s">
        <v>46</v>
      </c>
      <c r="L29" s="4" t="s">
        <v>47</v>
      </c>
    </row>
    <row r="30" spans="1:12" ht="33" customHeight="1">
      <c r="A30" s="11" t="s">
        <v>48</v>
      </c>
      <c r="B30" s="16"/>
      <c r="C30" s="14">
        <v>0</v>
      </c>
      <c r="D30" s="16"/>
      <c r="E30" s="14">
        <v>0</v>
      </c>
      <c r="F30" s="12"/>
      <c r="G30" s="14">
        <v>0</v>
      </c>
      <c r="H30" s="16"/>
      <c r="I30" s="16"/>
      <c r="J30" s="10"/>
      <c r="K30" s="10"/>
      <c r="L30" s="10"/>
    </row>
    <row r="31" spans="1:12" ht="33" customHeight="1">
      <c r="A31" s="11" t="s">
        <v>17</v>
      </c>
      <c r="B31" s="16"/>
      <c r="C31" s="14">
        <v>0</v>
      </c>
      <c r="D31" s="16"/>
      <c r="E31" s="14">
        <v>0</v>
      </c>
      <c r="F31" s="12"/>
      <c r="G31" s="14">
        <v>0</v>
      </c>
      <c r="H31" s="16"/>
      <c r="I31" s="16"/>
      <c r="J31" s="10"/>
      <c r="K31" s="10"/>
      <c r="L31" s="10"/>
    </row>
    <row r="32" spans="1:12" ht="33" customHeight="1">
      <c r="A32" s="11" t="s">
        <v>13</v>
      </c>
      <c r="B32" s="16">
        <v>0</v>
      </c>
      <c r="C32" s="14">
        <v>0</v>
      </c>
      <c r="D32" s="16">
        <v>109047.15</v>
      </c>
      <c r="E32" s="14">
        <v>0</v>
      </c>
      <c r="F32" s="12"/>
      <c r="G32" s="14">
        <v>0</v>
      </c>
      <c r="H32" s="16">
        <v>47293.962800000001</v>
      </c>
      <c r="I32" s="16">
        <v>109047.15</v>
      </c>
      <c r="J32" s="10"/>
      <c r="K32" s="10">
        <v>1</v>
      </c>
      <c r="L32" s="10"/>
    </row>
    <row r="33" spans="1:12" ht="33" customHeight="1">
      <c r="A33" s="11" t="s">
        <v>16</v>
      </c>
      <c r="B33" s="16">
        <v>17075.543882384842</v>
      </c>
      <c r="C33" s="14">
        <v>0</v>
      </c>
      <c r="D33" s="16">
        <v>163703.52303523029</v>
      </c>
      <c r="E33" s="14">
        <v>0</v>
      </c>
      <c r="F33" s="12"/>
      <c r="G33" s="14">
        <v>0</v>
      </c>
      <c r="H33" s="16">
        <v>7830.1500000000005</v>
      </c>
      <c r="I33" s="16">
        <v>197854.61079999999</v>
      </c>
      <c r="J33" s="10"/>
      <c r="K33" s="10"/>
      <c r="L33" s="10"/>
    </row>
    <row r="34" spans="1:12">
      <c r="A34" s="11" t="s">
        <v>14</v>
      </c>
      <c r="B34" s="16">
        <v>1513.3412146341459</v>
      </c>
      <c r="C34" s="15">
        <v>0</v>
      </c>
      <c r="D34" s="16">
        <v>303371.6879707317</v>
      </c>
      <c r="E34" s="15">
        <v>0</v>
      </c>
      <c r="F34" s="11"/>
      <c r="G34" s="15">
        <v>0</v>
      </c>
      <c r="H34" s="16">
        <v>53870.675999999999</v>
      </c>
      <c r="I34" s="16">
        <v>306398.37040000001</v>
      </c>
      <c r="J34" s="10"/>
      <c r="K34" s="10"/>
      <c r="L34" s="10"/>
    </row>
    <row r="35" spans="1:12">
      <c r="A35" s="11" t="s">
        <v>15</v>
      </c>
      <c r="B35" s="16">
        <v>0</v>
      </c>
      <c r="C35" s="15">
        <v>0</v>
      </c>
      <c r="D35" s="16">
        <v>0</v>
      </c>
      <c r="E35" s="15">
        <v>0</v>
      </c>
      <c r="F35" s="11"/>
      <c r="G35" s="15">
        <v>0</v>
      </c>
      <c r="H35" s="16">
        <v>47945.059599999993</v>
      </c>
      <c r="I35" s="16">
        <v>0</v>
      </c>
      <c r="J35" s="10">
        <v>8</v>
      </c>
      <c r="K35" s="10">
        <v>12</v>
      </c>
      <c r="L35" s="10">
        <v>4</v>
      </c>
    </row>
    <row r="36" spans="1:12">
      <c r="A36" s="11" t="s">
        <v>49</v>
      </c>
      <c r="B36" s="16"/>
      <c r="C36" s="15">
        <v>0</v>
      </c>
      <c r="D36" s="16"/>
      <c r="E36" s="15">
        <v>0</v>
      </c>
      <c r="F36" s="11"/>
      <c r="G36" s="15">
        <v>0</v>
      </c>
      <c r="H36" s="16"/>
      <c r="I36" s="16"/>
      <c r="J36" s="10"/>
      <c r="K36" s="10"/>
      <c r="L36" s="10"/>
    </row>
    <row r="37" spans="1:12">
      <c r="A37" s="11" t="s">
        <v>50</v>
      </c>
      <c r="B37" s="16"/>
      <c r="C37" s="15">
        <v>0</v>
      </c>
      <c r="D37" s="16"/>
      <c r="E37" s="15">
        <v>0</v>
      </c>
      <c r="F37" s="11"/>
      <c r="G37" s="15">
        <v>0</v>
      </c>
      <c r="H37" s="16"/>
      <c r="I37" s="16"/>
      <c r="J37" s="10"/>
      <c r="K37" s="10"/>
      <c r="L37" s="10"/>
    </row>
    <row r="38" spans="1:12">
      <c r="A38" s="11" t="s">
        <v>51</v>
      </c>
      <c r="B38" s="11"/>
      <c r="C38" s="15">
        <v>0</v>
      </c>
      <c r="D38" s="16"/>
      <c r="E38" s="15">
        <v>0</v>
      </c>
      <c r="F38" s="11"/>
      <c r="G38" s="15">
        <v>0</v>
      </c>
      <c r="H38" s="16"/>
      <c r="I38" s="11"/>
      <c r="J38" s="10"/>
      <c r="K38" s="11"/>
      <c r="L38" s="11"/>
    </row>
    <row r="40" spans="1:12">
      <c r="A40" s="7">
        <v>45017</v>
      </c>
    </row>
    <row r="41" spans="1:12" ht="33" customHeight="1">
      <c r="A41" s="2" t="s">
        <v>8</v>
      </c>
      <c r="B41" s="6" t="s">
        <v>37</v>
      </c>
      <c r="C41" s="6" t="s">
        <v>38</v>
      </c>
      <c r="D41" s="6" t="s">
        <v>39</v>
      </c>
      <c r="E41" s="6" t="s">
        <v>40</v>
      </c>
      <c r="F41" s="6" t="s">
        <v>41</v>
      </c>
      <c r="G41" s="6" t="s">
        <v>42</v>
      </c>
      <c r="H41" s="6" t="s">
        <v>43</v>
      </c>
      <c r="I41" s="6" t="s">
        <v>44</v>
      </c>
      <c r="J41" s="4" t="s">
        <v>45</v>
      </c>
      <c r="K41" s="5" t="s">
        <v>46</v>
      </c>
      <c r="L41" s="4" t="s">
        <v>47</v>
      </c>
    </row>
    <row r="42" spans="1:12" ht="33" customHeight="1">
      <c r="A42" s="11" t="s">
        <v>48</v>
      </c>
      <c r="B42" s="16">
        <v>18795.138144715449</v>
      </c>
      <c r="C42" s="14">
        <v>0</v>
      </c>
      <c r="D42" s="16">
        <v>67959.056910569096</v>
      </c>
      <c r="E42" s="14">
        <v>0</v>
      </c>
      <c r="F42" s="12"/>
      <c r="G42" s="14">
        <v>0</v>
      </c>
      <c r="H42" s="16">
        <v>11841.210800000001</v>
      </c>
      <c r="I42" s="16">
        <v>105549.33319999999</v>
      </c>
      <c r="J42" s="10"/>
      <c r="K42" s="10"/>
      <c r="L42" s="10"/>
    </row>
    <row r="43" spans="1:12" ht="33" customHeight="1">
      <c r="A43" s="11" t="s">
        <v>17</v>
      </c>
      <c r="B43" s="16"/>
      <c r="C43" s="14">
        <v>0</v>
      </c>
      <c r="D43" s="16"/>
      <c r="E43" s="14">
        <v>0</v>
      </c>
      <c r="F43" s="12"/>
      <c r="G43" s="14">
        <v>0</v>
      </c>
      <c r="H43" s="16"/>
      <c r="I43" s="16"/>
      <c r="J43" s="10"/>
      <c r="K43" s="10"/>
      <c r="L43" s="10"/>
    </row>
    <row r="44" spans="1:12" ht="33" customHeight="1">
      <c r="A44" s="11" t="s">
        <v>13</v>
      </c>
      <c r="B44" s="16">
        <v>10966.24556422764</v>
      </c>
      <c r="C44" s="14">
        <v>0</v>
      </c>
      <c r="D44" s="16">
        <v>175562.19727154472</v>
      </c>
      <c r="E44" s="14">
        <v>0</v>
      </c>
      <c r="F44" s="12"/>
      <c r="G44" s="14">
        <v>0</v>
      </c>
      <c r="H44" s="16">
        <v>53894.210400000004</v>
      </c>
      <c r="I44" s="16">
        <v>197494.68839999998</v>
      </c>
      <c r="J44" s="10"/>
      <c r="K44" s="10">
        <v>2</v>
      </c>
      <c r="L44" s="10"/>
    </row>
    <row r="45" spans="1:12" ht="33" customHeight="1">
      <c r="A45" s="11" t="s">
        <v>16</v>
      </c>
      <c r="B45" s="16"/>
      <c r="C45" s="14">
        <v>0</v>
      </c>
      <c r="D45" s="16"/>
      <c r="E45" s="14">
        <v>0</v>
      </c>
      <c r="F45" s="12"/>
      <c r="G45" s="14">
        <v>0</v>
      </c>
      <c r="H45" s="16"/>
      <c r="I45" s="16"/>
      <c r="J45" s="10"/>
      <c r="K45" s="10"/>
      <c r="L45" s="10"/>
    </row>
    <row r="46" spans="1:12">
      <c r="A46" s="11" t="s">
        <v>14</v>
      </c>
      <c r="B46" s="16"/>
      <c r="C46" s="15">
        <v>0</v>
      </c>
      <c r="D46" s="16"/>
      <c r="E46" s="15">
        <v>0</v>
      </c>
      <c r="F46" s="11"/>
      <c r="G46" s="15">
        <v>0</v>
      </c>
      <c r="H46" s="16"/>
      <c r="I46" s="16"/>
      <c r="J46" s="10"/>
      <c r="K46" s="10"/>
      <c r="L46" s="10"/>
    </row>
    <row r="47" spans="1:12">
      <c r="A47" s="11" t="s">
        <v>15</v>
      </c>
      <c r="B47" s="16">
        <v>4894.2056000000002</v>
      </c>
      <c r="C47" s="15">
        <v>0</v>
      </c>
      <c r="D47" s="16">
        <v>0</v>
      </c>
      <c r="E47" s="15">
        <v>0</v>
      </c>
      <c r="F47" s="11"/>
      <c r="G47" s="15">
        <v>0</v>
      </c>
      <c r="H47" s="16">
        <v>133507.48879999999</v>
      </c>
      <c r="I47" s="16">
        <v>9788.4112000000005</v>
      </c>
      <c r="J47" s="10">
        <v>11</v>
      </c>
      <c r="K47" s="10">
        <v>33</v>
      </c>
      <c r="L47" s="10">
        <v>3</v>
      </c>
    </row>
    <row r="48" spans="1:12">
      <c r="A48" s="11" t="s">
        <v>49</v>
      </c>
      <c r="B48" s="16"/>
      <c r="C48" s="15">
        <v>0</v>
      </c>
      <c r="D48" s="16"/>
      <c r="E48" s="15">
        <v>0</v>
      </c>
      <c r="F48" s="11"/>
      <c r="G48" s="15">
        <v>0</v>
      </c>
      <c r="H48" s="16"/>
      <c r="I48" s="16"/>
      <c r="J48" s="10"/>
      <c r="K48" s="10"/>
      <c r="L48" s="10"/>
    </row>
    <row r="49" spans="1:12">
      <c r="A49" s="11" t="s">
        <v>50</v>
      </c>
      <c r="B49" s="16"/>
      <c r="C49" s="15">
        <v>0</v>
      </c>
      <c r="D49" s="16"/>
      <c r="E49" s="15">
        <v>0</v>
      </c>
      <c r="F49" s="11"/>
      <c r="G49" s="15">
        <v>0</v>
      </c>
      <c r="H49" s="16"/>
      <c r="I49" s="16"/>
      <c r="J49" s="10"/>
      <c r="K49" s="10"/>
      <c r="L49" s="10"/>
    </row>
    <row r="50" spans="1:12">
      <c r="A50" s="11" t="s">
        <v>51</v>
      </c>
      <c r="B50" s="16"/>
      <c r="C50" s="15">
        <v>0</v>
      </c>
      <c r="D50" s="16"/>
      <c r="E50" s="15">
        <v>0</v>
      </c>
      <c r="F50" s="11"/>
      <c r="G50" s="15">
        <v>0</v>
      </c>
      <c r="H50" s="16"/>
      <c r="I50" s="16"/>
      <c r="J50" s="10"/>
      <c r="K50" s="11"/>
      <c r="L50" s="11"/>
    </row>
    <row r="52" spans="1:12">
      <c r="A52" s="7">
        <v>45047</v>
      </c>
    </row>
    <row r="53" spans="1:12" ht="33" customHeight="1">
      <c r="A53" s="2" t="s">
        <v>8</v>
      </c>
      <c r="B53" s="6" t="s">
        <v>37</v>
      </c>
      <c r="C53" s="6" t="s">
        <v>38</v>
      </c>
      <c r="D53" s="6" t="s">
        <v>39</v>
      </c>
      <c r="E53" s="6" t="s">
        <v>40</v>
      </c>
      <c r="F53" s="6" t="s">
        <v>41</v>
      </c>
      <c r="G53" s="6" t="s">
        <v>42</v>
      </c>
      <c r="H53" s="6" t="s">
        <v>43</v>
      </c>
      <c r="I53" s="6" t="s">
        <v>44</v>
      </c>
      <c r="J53" s="4" t="s">
        <v>45</v>
      </c>
      <c r="K53" s="5" t="s">
        <v>46</v>
      </c>
      <c r="L53" s="4" t="s">
        <v>47</v>
      </c>
    </row>
    <row r="54" spans="1:12" ht="33" customHeight="1">
      <c r="A54" s="11" t="s">
        <v>48</v>
      </c>
      <c r="B54" s="16"/>
      <c r="C54" s="14">
        <v>0</v>
      </c>
      <c r="D54" s="16"/>
      <c r="E54" s="14">
        <v>0</v>
      </c>
      <c r="F54" s="12"/>
      <c r="G54" s="14">
        <v>0</v>
      </c>
      <c r="H54" s="16"/>
      <c r="I54" s="16"/>
      <c r="J54" s="10"/>
      <c r="K54" s="10"/>
      <c r="L54" s="10"/>
    </row>
    <row r="55" spans="1:12" ht="33" customHeight="1">
      <c r="A55" s="11" t="s">
        <v>17</v>
      </c>
      <c r="B55" s="16"/>
      <c r="C55" s="14">
        <v>0</v>
      </c>
      <c r="D55" s="16"/>
      <c r="E55" s="14">
        <v>0</v>
      </c>
      <c r="F55" s="12"/>
      <c r="G55" s="14">
        <v>0</v>
      </c>
      <c r="H55" s="16"/>
      <c r="I55" s="16"/>
      <c r="J55" s="10"/>
      <c r="K55" s="10"/>
      <c r="L55" s="10"/>
    </row>
    <row r="56" spans="1:12" ht="33" customHeight="1">
      <c r="A56" s="11" t="s">
        <v>13</v>
      </c>
      <c r="B56" s="16">
        <v>25945.29610894309</v>
      </c>
      <c r="C56" s="14">
        <v>0</v>
      </c>
      <c r="D56" s="16">
        <v>18874.211382113819</v>
      </c>
      <c r="E56" s="14">
        <v>0</v>
      </c>
      <c r="F56" s="12"/>
      <c r="G56" s="14">
        <v>0</v>
      </c>
      <c r="H56" s="16">
        <v>2432.2556</v>
      </c>
      <c r="I56" s="16">
        <v>70764.803599999999</v>
      </c>
      <c r="J56" s="10"/>
      <c r="K56" s="10">
        <v>6</v>
      </c>
      <c r="L56" s="10"/>
    </row>
    <row r="57" spans="1:12" ht="33" customHeight="1">
      <c r="A57" s="11" t="s">
        <v>16</v>
      </c>
      <c r="B57" s="16"/>
      <c r="C57" s="14">
        <v>0</v>
      </c>
      <c r="D57" s="16"/>
      <c r="E57" s="14">
        <v>0</v>
      </c>
      <c r="F57" s="12"/>
      <c r="G57" s="14">
        <v>0</v>
      </c>
      <c r="H57" s="16"/>
      <c r="I57" s="16"/>
      <c r="J57" s="10"/>
      <c r="K57" s="10"/>
      <c r="L57" s="10"/>
    </row>
    <row r="58" spans="1:12">
      <c r="A58" s="11" t="s">
        <v>14</v>
      </c>
      <c r="B58" s="16"/>
      <c r="C58" s="15">
        <v>0</v>
      </c>
      <c r="D58" s="16"/>
      <c r="E58" s="15">
        <v>0</v>
      </c>
      <c r="F58" s="11"/>
      <c r="G58" s="15">
        <v>0</v>
      </c>
      <c r="H58" s="16"/>
      <c r="I58" s="16"/>
      <c r="J58" s="10"/>
      <c r="K58" s="10">
        <v>1</v>
      </c>
      <c r="L58" s="10"/>
    </row>
    <row r="59" spans="1:12">
      <c r="A59" s="11" t="s">
        <v>15</v>
      </c>
      <c r="B59" s="16">
        <v>6287.5254000000004</v>
      </c>
      <c r="C59" s="15">
        <v>0</v>
      </c>
      <c r="D59" s="16">
        <v>0</v>
      </c>
      <c r="E59" s="15">
        <v>0</v>
      </c>
      <c r="F59" s="11"/>
      <c r="G59" s="15">
        <v>0</v>
      </c>
      <c r="H59" s="16">
        <v>165305.78199999998</v>
      </c>
      <c r="I59" s="16">
        <v>12575.050800000001</v>
      </c>
      <c r="J59" s="10">
        <v>14</v>
      </c>
      <c r="K59" s="10">
        <v>37</v>
      </c>
      <c r="L59" s="10">
        <v>8</v>
      </c>
    </row>
    <row r="60" spans="1:12">
      <c r="A60" s="11" t="s">
        <v>49</v>
      </c>
      <c r="B60" s="16"/>
      <c r="C60" s="15">
        <v>0</v>
      </c>
      <c r="D60" s="16"/>
      <c r="E60" s="15">
        <v>0</v>
      </c>
      <c r="F60" s="11"/>
      <c r="G60" s="15">
        <v>0</v>
      </c>
      <c r="H60" s="16"/>
      <c r="I60" s="16"/>
      <c r="J60" s="10"/>
      <c r="K60" s="10"/>
      <c r="L60" s="10"/>
    </row>
    <row r="61" spans="1:12">
      <c r="A61" s="11" t="s">
        <v>50</v>
      </c>
      <c r="B61" s="16"/>
      <c r="C61" s="15">
        <v>0</v>
      </c>
      <c r="D61" s="16"/>
      <c r="E61" s="15">
        <v>0</v>
      </c>
      <c r="F61" s="11"/>
      <c r="G61" s="15">
        <v>0</v>
      </c>
      <c r="H61" s="16"/>
      <c r="I61" s="16"/>
      <c r="J61" s="10"/>
      <c r="K61" s="10"/>
      <c r="L61" s="10"/>
    </row>
    <row r="62" spans="1:12">
      <c r="A62" s="11" t="s">
        <v>51</v>
      </c>
      <c r="B62" s="16"/>
      <c r="C62" s="15">
        <v>0</v>
      </c>
      <c r="D62" s="16"/>
      <c r="E62" s="15">
        <v>0</v>
      </c>
      <c r="F62" s="11"/>
      <c r="G62" s="15">
        <v>0</v>
      </c>
      <c r="H62" s="16"/>
      <c r="I62" s="16"/>
      <c r="J62" s="10"/>
      <c r="K62" s="11"/>
      <c r="L62" s="11"/>
    </row>
    <row r="64" spans="1:12">
      <c r="A64" s="7">
        <v>45078</v>
      </c>
      <c r="B64" s="9" t="s">
        <v>26</v>
      </c>
      <c r="C64" s="9" t="s">
        <v>27</v>
      </c>
      <c r="D64" s="9" t="s">
        <v>28</v>
      </c>
      <c r="E64" s="9" t="s">
        <v>29</v>
      </c>
      <c r="F64" s="9" t="s">
        <v>30</v>
      </c>
      <c r="G64" s="9" t="s">
        <v>31</v>
      </c>
      <c r="H64" s="9" t="s">
        <v>32</v>
      </c>
      <c r="I64" s="9" t="s">
        <v>33</v>
      </c>
      <c r="J64" s="9" t="s">
        <v>34</v>
      </c>
      <c r="K64" s="9" t="s">
        <v>35</v>
      </c>
      <c r="L64" s="9" t="s">
        <v>36</v>
      </c>
    </row>
    <row r="65" spans="1:12" ht="33" customHeight="1">
      <c r="A65" s="2" t="s">
        <v>8</v>
      </c>
      <c r="B65" s="6" t="s">
        <v>37</v>
      </c>
      <c r="C65" s="6" t="s">
        <v>38</v>
      </c>
      <c r="D65" s="6" t="s">
        <v>39</v>
      </c>
      <c r="E65" s="6" t="s">
        <v>40</v>
      </c>
      <c r="F65" s="6" t="s">
        <v>41</v>
      </c>
      <c r="G65" s="6" t="s">
        <v>42</v>
      </c>
      <c r="H65" s="6" t="s">
        <v>43</v>
      </c>
      <c r="I65" s="6" t="s">
        <v>44</v>
      </c>
      <c r="J65" s="4" t="s">
        <v>45</v>
      </c>
      <c r="K65" s="5" t="s">
        <v>46</v>
      </c>
      <c r="L65" s="4" t="s">
        <v>47</v>
      </c>
    </row>
    <row r="66" spans="1:12" ht="33" customHeight="1">
      <c r="A66" s="11" t="s">
        <v>48</v>
      </c>
      <c r="B66" s="16"/>
      <c r="C66" s="14">
        <v>0</v>
      </c>
      <c r="D66" s="16"/>
      <c r="E66" s="14">
        <v>0</v>
      </c>
      <c r="F66" s="12"/>
      <c r="G66" s="14">
        <v>0</v>
      </c>
      <c r="H66" s="16"/>
      <c r="I66" s="16"/>
      <c r="J66" s="10"/>
      <c r="K66" s="10">
        <v>1</v>
      </c>
      <c r="L66" s="10"/>
    </row>
    <row r="67" spans="1:12" ht="33" customHeight="1">
      <c r="A67" s="11" t="s">
        <v>17</v>
      </c>
      <c r="B67" s="16"/>
      <c r="C67" s="14">
        <v>0</v>
      </c>
      <c r="D67" s="16"/>
      <c r="E67" s="14">
        <v>0</v>
      </c>
      <c r="F67" s="12"/>
      <c r="G67" s="14">
        <v>0</v>
      </c>
      <c r="H67" s="16"/>
      <c r="I67" s="16"/>
      <c r="J67" s="10"/>
      <c r="K67" s="10"/>
      <c r="L67" s="10"/>
    </row>
    <row r="68" spans="1:12" ht="33" customHeight="1">
      <c r="A68" s="11" t="s">
        <v>13</v>
      </c>
      <c r="B68" s="16">
        <v>101431.8728243902</v>
      </c>
      <c r="C68" s="14">
        <v>0</v>
      </c>
      <c r="D68" s="16">
        <v>13035.121951219509</v>
      </c>
      <c r="E68" s="14">
        <v>0</v>
      </c>
      <c r="F68" s="12"/>
      <c r="G68" s="14">
        <v>0</v>
      </c>
      <c r="H68" s="16">
        <v>125</v>
      </c>
      <c r="I68" s="16">
        <v>215898.8676</v>
      </c>
      <c r="J68" s="10">
        <v>1</v>
      </c>
      <c r="K68" s="10">
        <v>2</v>
      </c>
      <c r="L68" s="10">
        <v>1</v>
      </c>
    </row>
    <row r="69" spans="1:12" ht="33" customHeight="1">
      <c r="A69" s="11" t="s">
        <v>16</v>
      </c>
      <c r="B69" s="16"/>
      <c r="C69" s="14">
        <v>0</v>
      </c>
      <c r="D69" s="16"/>
      <c r="E69" s="14">
        <v>0</v>
      </c>
      <c r="F69" s="12"/>
      <c r="G69" s="14">
        <v>0</v>
      </c>
      <c r="H69" s="16"/>
      <c r="I69" s="16"/>
      <c r="J69" s="10"/>
      <c r="K69" s="10">
        <v>1</v>
      </c>
      <c r="L69" s="10"/>
    </row>
    <row r="70" spans="1:12">
      <c r="A70" s="11" t="s">
        <v>14</v>
      </c>
      <c r="B70" s="16"/>
      <c r="C70" s="15">
        <v>0</v>
      </c>
      <c r="D70" s="16"/>
      <c r="E70" s="15">
        <v>0</v>
      </c>
      <c r="F70" s="17">
        <v>27694.97</v>
      </c>
      <c r="G70" s="15">
        <v>0</v>
      </c>
      <c r="H70" s="16"/>
      <c r="I70" s="16"/>
      <c r="J70" s="10">
        <v>1</v>
      </c>
      <c r="K70" s="10"/>
      <c r="L70" s="10">
        <v>1</v>
      </c>
    </row>
    <row r="71" spans="1:12">
      <c r="A71" s="11" t="s">
        <v>15</v>
      </c>
      <c r="B71" s="16">
        <v>1653.4718</v>
      </c>
      <c r="C71" s="15">
        <v>0</v>
      </c>
      <c r="D71" s="16">
        <v>0</v>
      </c>
      <c r="E71" s="15">
        <v>0</v>
      </c>
      <c r="F71" s="11"/>
      <c r="G71" s="15">
        <v>0</v>
      </c>
      <c r="H71" s="16">
        <v>131179.47479999997</v>
      </c>
      <c r="I71" s="16">
        <v>3306.9436000000001</v>
      </c>
      <c r="J71" s="10">
        <v>6</v>
      </c>
      <c r="K71" s="10">
        <v>21</v>
      </c>
      <c r="L71" s="10">
        <v>3</v>
      </c>
    </row>
    <row r="72" spans="1:12">
      <c r="A72" s="11" t="s">
        <v>49</v>
      </c>
      <c r="B72" s="16"/>
      <c r="C72" s="15">
        <v>0</v>
      </c>
      <c r="D72" s="16"/>
      <c r="E72" s="15">
        <v>0</v>
      </c>
      <c r="F72" s="11"/>
      <c r="G72" s="15">
        <v>0</v>
      </c>
      <c r="H72" s="16"/>
      <c r="I72" s="16"/>
      <c r="J72" s="10"/>
      <c r="K72" s="10"/>
      <c r="L72" s="10"/>
    </row>
    <row r="73" spans="1:12">
      <c r="A73" s="11" t="s">
        <v>50</v>
      </c>
      <c r="B73" s="16"/>
      <c r="C73" s="15">
        <v>0</v>
      </c>
      <c r="D73" s="16"/>
      <c r="E73" s="15">
        <v>0</v>
      </c>
      <c r="F73" s="11"/>
      <c r="G73" s="15">
        <v>0</v>
      </c>
      <c r="H73" s="16"/>
      <c r="I73" s="16"/>
      <c r="J73" s="10"/>
      <c r="K73" s="11"/>
      <c r="L73" s="10"/>
    </row>
    <row r="74" spans="1:12">
      <c r="A74" s="11" t="s">
        <v>51</v>
      </c>
      <c r="B74" s="16"/>
      <c r="C74" s="15">
        <v>0</v>
      </c>
      <c r="D74" s="11"/>
      <c r="E74" s="15">
        <v>0</v>
      </c>
      <c r="F74" s="11"/>
      <c r="G74" s="15">
        <v>0</v>
      </c>
      <c r="H74" s="16"/>
      <c r="I74" s="16"/>
      <c r="J74" s="10"/>
      <c r="K74" s="11"/>
      <c r="L74" s="11"/>
    </row>
    <row r="76" spans="1:12">
      <c r="A76" s="7">
        <v>45137</v>
      </c>
    </row>
    <row r="77" spans="1:12" ht="33" customHeight="1">
      <c r="A77" s="2" t="s">
        <v>8</v>
      </c>
      <c r="B77" s="6" t="s">
        <v>37</v>
      </c>
      <c r="C77" s="6" t="s">
        <v>38</v>
      </c>
      <c r="D77" s="6" t="s">
        <v>39</v>
      </c>
      <c r="E77" s="6" t="s">
        <v>40</v>
      </c>
      <c r="F77" s="6" t="s">
        <v>41</v>
      </c>
      <c r="G77" s="6" t="s">
        <v>42</v>
      </c>
      <c r="H77" s="6" t="s">
        <v>43</v>
      </c>
      <c r="I77" s="6" t="s">
        <v>44</v>
      </c>
      <c r="J77" s="4" t="s">
        <v>45</v>
      </c>
      <c r="K77" s="5" t="s">
        <v>46</v>
      </c>
      <c r="L77" s="4" t="s">
        <v>47</v>
      </c>
    </row>
    <row r="78" spans="1:12" ht="33" customHeight="1">
      <c r="A78" s="11" t="s">
        <v>48</v>
      </c>
      <c r="B78" s="16"/>
      <c r="C78" s="14">
        <v>0</v>
      </c>
      <c r="D78" s="16"/>
      <c r="E78" s="14">
        <v>0</v>
      </c>
      <c r="F78" s="12"/>
      <c r="G78" s="14">
        <v>0</v>
      </c>
      <c r="H78" s="16"/>
      <c r="I78" s="16"/>
      <c r="J78" s="13"/>
      <c r="K78" s="10"/>
      <c r="L78" s="13"/>
    </row>
    <row r="79" spans="1:12" ht="33" customHeight="1">
      <c r="A79" s="11" t="s">
        <v>17</v>
      </c>
      <c r="B79" s="16"/>
      <c r="C79" s="14">
        <v>0</v>
      </c>
      <c r="D79" s="16"/>
      <c r="E79" s="14">
        <v>0</v>
      </c>
      <c r="F79" s="12"/>
      <c r="G79" s="14">
        <v>0</v>
      </c>
      <c r="H79" s="16"/>
      <c r="I79" s="16"/>
      <c r="J79" s="13"/>
      <c r="K79" s="10"/>
      <c r="L79" s="13"/>
    </row>
    <row r="80" spans="1:12" ht="33" customHeight="1">
      <c r="A80" s="11" t="s">
        <v>13</v>
      </c>
      <c r="B80" s="16">
        <v>31011.785343089432</v>
      </c>
      <c r="C80" s="14">
        <v>0</v>
      </c>
      <c r="D80" s="16">
        <v>28939.382113821139</v>
      </c>
      <c r="E80" s="14">
        <v>0</v>
      </c>
      <c r="F80" s="12"/>
      <c r="G80" s="14">
        <v>0</v>
      </c>
      <c r="H80" s="16">
        <v>5298.7003999999997</v>
      </c>
      <c r="I80" s="16">
        <v>90962.952799999999</v>
      </c>
      <c r="J80" s="10"/>
      <c r="K80" s="10">
        <v>2</v>
      </c>
      <c r="L80" s="10"/>
    </row>
    <row r="81" spans="1:12" ht="33" customHeight="1">
      <c r="A81" s="11" t="s">
        <v>16</v>
      </c>
      <c r="B81" s="16"/>
      <c r="C81" s="14">
        <v>0</v>
      </c>
      <c r="D81" s="16"/>
      <c r="E81" s="14">
        <v>0</v>
      </c>
      <c r="F81" s="12"/>
      <c r="G81" s="14">
        <v>0</v>
      </c>
      <c r="H81" s="16"/>
      <c r="I81" s="16"/>
      <c r="J81" s="10"/>
      <c r="K81" s="10"/>
      <c r="L81" s="10"/>
    </row>
    <row r="82" spans="1:12">
      <c r="A82" s="11" t="s">
        <v>14</v>
      </c>
      <c r="B82" s="16"/>
      <c r="C82" s="15">
        <v>0</v>
      </c>
      <c r="D82" s="16"/>
      <c r="E82" s="15">
        <v>0</v>
      </c>
      <c r="F82" s="11"/>
      <c r="G82" s="15">
        <v>0</v>
      </c>
      <c r="H82" s="16"/>
      <c r="I82" s="16"/>
      <c r="J82" s="10"/>
      <c r="K82" s="10"/>
      <c r="L82" s="10"/>
    </row>
    <row r="83" spans="1:12">
      <c r="A83" s="11" t="s">
        <v>15</v>
      </c>
      <c r="B83" s="16">
        <v>5457.7794000000004</v>
      </c>
      <c r="C83" s="15">
        <v>0</v>
      </c>
      <c r="D83" s="16">
        <v>0</v>
      </c>
      <c r="E83" s="15">
        <v>0</v>
      </c>
      <c r="F83" s="11"/>
      <c r="G83" s="15">
        <v>0</v>
      </c>
      <c r="H83" s="16">
        <v>168038.20079999999</v>
      </c>
      <c r="I83" s="16">
        <v>10915.558800000001</v>
      </c>
      <c r="J83" s="10">
        <v>1</v>
      </c>
      <c r="K83" s="10">
        <v>15</v>
      </c>
      <c r="L83" s="10">
        <v>1</v>
      </c>
    </row>
    <row r="84" spans="1:12">
      <c r="A84" s="11" t="s">
        <v>49</v>
      </c>
      <c r="B84" s="16"/>
      <c r="C84" s="15">
        <v>0</v>
      </c>
      <c r="D84" s="16"/>
      <c r="E84" s="15">
        <v>0</v>
      </c>
      <c r="F84" s="11"/>
      <c r="G84" s="15">
        <v>0</v>
      </c>
      <c r="H84" s="16"/>
      <c r="I84" s="16"/>
      <c r="J84" s="10"/>
      <c r="K84" s="10"/>
      <c r="L84" s="10"/>
    </row>
    <row r="85" spans="1:12">
      <c r="A85" s="11" t="s">
        <v>50</v>
      </c>
      <c r="B85" s="16"/>
      <c r="C85" s="15">
        <v>0</v>
      </c>
      <c r="D85" s="16"/>
      <c r="E85" s="15">
        <v>0</v>
      </c>
      <c r="F85" s="11"/>
      <c r="G85" s="15">
        <v>0</v>
      </c>
      <c r="H85" s="16"/>
      <c r="I85" s="16"/>
      <c r="J85" s="10"/>
      <c r="K85" s="10"/>
      <c r="L85" s="10"/>
    </row>
    <row r="86" spans="1:12">
      <c r="A86" s="11" t="s">
        <v>51</v>
      </c>
      <c r="B86" s="11"/>
      <c r="C86" s="15">
        <v>0</v>
      </c>
      <c r="D86" s="11"/>
      <c r="E86" s="15">
        <v>0</v>
      </c>
      <c r="F86" s="11"/>
      <c r="G86" s="15">
        <v>0</v>
      </c>
      <c r="H86" s="16"/>
      <c r="I86" s="16"/>
      <c r="J86" s="10"/>
      <c r="K86" s="11"/>
      <c r="L86" s="10"/>
    </row>
    <row r="88" spans="1:12">
      <c r="A88" s="7">
        <v>45139</v>
      </c>
    </row>
    <row r="89" spans="1:12" ht="33" customHeight="1">
      <c r="A89" s="2" t="s">
        <v>8</v>
      </c>
      <c r="B89" s="6" t="s">
        <v>37</v>
      </c>
      <c r="C89" s="6" t="s">
        <v>38</v>
      </c>
      <c r="D89" s="6" t="s">
        <v>39</v>
      </c>
      <c r="E89" s="6" t="s">
        <v>40</v>
      </c>
      <c r="F89" s="6" t="s">
        <v>41</v>
      </c>
      <c r="G89" s="6" t="s">
        <v>42</v>
      </c>
      <c r="H89" s="6" t="s">
        <v>43</v>
      </c>
      <c r="I89" s="6" t="s">
        <v>44</v>
      </c>
      <c r="J89" s="4" t="s">
        <v>45</v>
      </c>
      <c r="K89" s="5" t="s">
        <v>46</v>
      </c>
      <c r="L89" s="4" t="s">
        <v>47</v>
      </c>
    </row>
    <row r="90" spans="1:12" ht="33" customHeight="1">
      <c r="A90" s="11" t="s">
        <v>48</v>
      </c>
      <c r="B90" s="16"/>
      <c r="C90" s="14">
        <v>0</v>
      </c>
      <c r="D90" s="16"/>
      <c r="E90" s="14">
        <v>0</v>
      </c>
      <c r="F90" s="12"/>
      <c r="G90" s="14">
        <v>0</v>
      </c>
      <c r="H90" s="16"/>
      <c r="I90" s="16"/>
      <c r="J90" s="10"/>
      <c r="K90" s="10"/>
      <c r="L90" s="10"/>
    </row>
    <row r="91" spans="1:12" ht="33" customHeight="1">
      <c r="A91" s="11" t="s">
        <v>17</v>
      </c>
      <c r="B91" s="16"/>
      <c r="C91" s="14">
        <v>0</v>
      </c>
      <c r="D91" s="16"/>
      <c r="E91" s="14">
        <v>0</v>
      </c>
      <c r="F91" s="12"/>
      <c r="G91" s="14">
        <v>0</v>
      </c>
      <c r="H91" s="16"/>
      <c r="I91" s="16"/>
      <c r="J91" s="10"/>
      <c r="K91" s="10"/>
      <c r="L91" s="10"/>
    </row>
    <row r="92" spans="1:12" ht="33" customHeight="1">
      <c r="A92" s="11" t="s">
        <v>13</v>
      </c>
      <c r="B92" s="16">
        <v>148527.22642981031</v>
      </c>
      <c r="C92" s="14">
        <v>0</v>
      </c>
      <c r="D92" s="16">
        <v>231106.0879403794</v>
      </c>
      <c r="E92" s="14">
        <v>0</v>
      </c>
      <c r="F92" s="12"/>
      <c r="G92" s="14">
        <v>0</v>
      </c>
      <c r="H92" s="16">
        <v>48882.787600000003</v>
      </c>
      <c r="I92" s="16">
        <v>528160.54079999996</v>
      </c>
      <c r="J92" s="10">
        <v>2</v>
      </c>
      <c r="K92" s="10">
        <v>1</v>
      </c>
      <c r="L92" s="10"/>
    </row>
    <row r="93" spans="1:12" ht="33" customHeight="1">
      <c r="A93" s="11" t="s">
        <v>16</v>
      </c>
      <c r="B93" s="16"/>
      <c r="C93" s="14">
        <v>0</v>
      </c>
      <c r="D93" s="16"/>
      <c r="E93" s="14">
        <v>0</v>
      </c>
      <c r="F93" s="12"/>
      <c r="G93" s="14">
        <v>0</v>
      </c>
      <c r="H93" s="16"/>
      <c r="I93" s="16"/>
      <c r="J93" s="10"/>
      <c r="K93" s="10"/>
      <c r="L93" s="10"/>
    </row>
    <row r="94" spans="1:12">
      <c r="A94" s="11" t="s">
        <v>14</v>
      </c>
      <c r="B94" s="16"/>
      <c r="C94" s="15">
        <v>0</v>
      </c>
      <c r="D94" s="16"/>
      <c r="E94" s="15">
        <v>0</v>
      </c>
      <c r="F94" s="11"/>
      <c r="G94" s="15">
        <v>0</v>
      </c>
      <c r="H94" s="16"/>
      <c r="I94" s="16"/>
      <c r="J94" s="10"/>
      <c r="K94" s="10"/>
      <c r="L94" s="10"/>
    </row>
    <row r="95" spans="1:12">
      <c r="A95" s="11" t="s">
        <v>15</v>
      </c>
      <c r="B95" s="16">
        <v>28945.239399999999</v>
      </c>
      <c r="C95" s="15">
        <v>0</v>
      </c>
      <c r="D95" s="16">
        <v>0</v>
      </c>
      <c r="E95" s="15">
        <v>0</v>
      </c>
      <c r="F95" s="11"/>
      <c r="G95" s="15">
        <v>0</v>
      </c>
      <c r="H95" s="16">
        <v>99601.519199999981</v>
      </c>
      <c r="I95" s="16">
        <v>57890.478799999997</v>
      </c>
      <c r="J95" s="10"/>
      <c r="K95" s="10">
        <v>35</v>
      </c>
      <c r="L95" s="10"/>
    </row>
    <row r="96" spans="1:12">
      <c r="A96" s="11" t="s">
        <v>49</v>
      </c>
      <c r="B96" s="16"/>
      <c r="C96" s="15">
        <v>0</v>
      </c>
      <c r="D96" s="16"/>
      <c r="E96" s="15">
        <v>0</v>
      </c>
      <c r="F96" s="11"/>
      <c r="G96" s="15">
        <v>0</v>
      </c>
      <c r="H96" s="16"/>
      <c r="I96" s="16"/>
      <c r="J96" s="10"/>
      <c r="K96" s="10"/>
      <c r="L96" s="10"/>
    </row>
    <row r="97" spans="1:12">
      <c r="A97" s="11" t="s">
        <v>50</v>
      </c>
      <c r="B97" s="16"/>
      <c r="C97" s="15">
        <v>0</v>
      </c>
      <c r="D97" s="16"/>
      <c r="E97" s="15">
        <v>0</v>
      </c>
      <c r="F97" s="11"/>
      <c r="G97" s="15">
        <v>0</v>
      </c>
      <c r="H97" s="16"/>
      <c r="I97" s="16"/>
      <c r="J97" s="10"/>
      <c r="K97" s="10"/>
      <c r="L97" s="11"/>
    </row>
    <row r="98" spans="1:12">
      <c r="A98" s="11" t="s">
        <v>51</v>
      </c>
      <c r="B98" s="11"/>
      <c r="C98" s="15">
        <v>0</v>
      </c>
      <c r="D98" s="16"/>
      <c r="E98" s="15">
        <v>0</v>
      </c>
      <c r="F98" s="11"/>
      <c r="G98" s="15">
        <v>0</v>
      </c>
      <c r="H98" s="11"/>
      <c r="I98" s="16"/>
      <c r="J98" s="10"/>
      <c r="K98" s="11"/>
      <c r="L98" s="11"/>
    </row>
    <row r="100" spans="1:12">
      <c r="A100" s="7">
        <v>45170</v>
      </c>
    </row>
    <row r="101" spans="1:12" ht="33" customHeight="1">
      <c r="A101" s="2" t="s">
        <v>8</v>
      </c>
      <c r="B101" s="6" t="s">
        <v>37</v>
      </c>
      <c r="C101" s="6" t="s">
        <v>38</v>
      </c>
      <c r="D101" s="6" t="s">
        <v>39</v>
      </c>
      <c r="E101" s="6" t="s">
        <v>40</v>
      </c>
      <c r="F101" s="6" t="s">
        <v>41</v>
      </c>
      <c r="G101" s="6" t="s">
        <v>42</v>
      </c>
      <c r="H101" s="6" t="s">
        <v>43</v>
      </c>
      <c r="I101" s="6" t="s">
        <v>44</v>
      </c>
      <c r="J101" s="4" t="s">
        <v>45</v>
      </c>
      <c r="K101" s="5" t="s">
        <v>46</v>
      </c>
      <c r="L101" s="4" t="s">
        <v>47</v>
      </c>
    </row>
    <row r="102" spans="1:12" ht="33" customHeight="1">
      <c r="A102" s="11" t="s">
        <v>48</v>
      </c>
      <c r="B102" s="16"/>
      <c r="C102" s="14">
        <v>0</v>
      </c>
      <c r="D102" s="16"/>
      <c r="E102" s="14">
        <v>0</v>
      </c>
      <c r="F102" s="12"/>
      <c r="G102" s="14">
        <v>0</v>
      </c>
      <c r="H102" s="16"/>
      <c r="I102" s="16"/>
      <c r="J102" s="13"/>
      <c r="K102" s="10"/>
      <c r="L102" s="13"/>
    </row>
    <row r="103" spans="1:12" ht="33" customHeight="1">
      <c r="A103" s="11" t="s">
        <v>17</v>
      </c>
      <c r="B103" s="16"/>
      <c r="C103" s="14">
        <v>0</v>
      </c>
      <c r="D103" s="16"/>
      <c r="E103" s="14">
        <v>0</v>
      </c>
      <c r="F103" s="12"/>
      <c r="G103" s="14">
        <v>0</v>
      </c>
      <c r="H103" s="16"/>
      <c r="I103" s="16"/>
      <c r="J103" s="10"/>
      <c r="K103" s="10"/>
      <c r="L103" s="13"/>
    </row>
    <row r="104" spans="1:12" ht="33" customHeight="1">
      <c r="A104" s="11" t="s">
        <v>13</v>
      </c>
      <c r="B104" s="16">
        <v>146018.50846666668</v>
      </c>
      <c r="C104" s="14">
        <v>0</v>
      </c>
      <c r="D104" s="16">
        <v>101895.96666666666</v>
      </c>
      <c r="E104" s="14">
        <v>0</v>
      </c>
      <c r="F104" s="12"/>
      <c r="G104" s="14">
        <v>0</v>
      </c>
      <c r="H104" s="16">
        <v>24939.7948</v>
      </c>
      <c r="I104" s="16">
        <v>393932.98359999998</v>
      </c>
      <c r="J104" s="10"/>
      <c r="K104" s="10">
        <v>3</v>
      </c>
      <c r="L104" s="10"/>
    </row>
    <row r="105" spans="1:12" ht="33" customHeight="1">
      <c r="A105" s="11" t="s">
        <v>16</v>
      </c>
      <c r="B105" s="16"/>
      <c r="C105" s="14">
        <v>0</v>
      </c>
      <c r="D105" s="16"/>
      <c r="E105" s="14">
        <v>0</v>
      </c>
      <c r="F105" s="12"/>
      <c r="G105" s="14">
        <v>0</v>
      </c>
      <c r="H105" s="16"/>
      <c r="I105" s="16"/>
      <c r="J105" s="10"/>
      <c r="K105" s="10"/>
      <c r="L105" s="10"/>
    </row>
    <row r="106" spans="1:12">
      <c r="A106" s="11" t="s">
        <v>14</v>
      </c>
      <c r="B106" s="16">
        <v>5515.768</v>
      </c>
      <c r="C106" s="15">
        <v>0</v>
      </c>
      <c r="D106" s="16">
        <v>0</v>
      </c>
      <c r="E106" s="15">
        <v>0</v>
      </c>
      <c r="F106" s="11"/>
      <c r="G106" s="15">
        <v>0</v>
      </c>
      <c r="H106" s="16">
        <v>5019.0072</v>
      </c>
      <c r="I106" s="16">
        <v>11031.536</v>
      </c>
      <c r="J106" s="10"/>
      <c r="K106" s="10"/>
      <c r="L106" s="10"/>
    </row>
    <row r="107" spans="1:12">
      <c r="A107" s="11" t="s">
        <v>15</v>
      </c>
      <c r="B107" s="16">
        <v>2624.3236000000002</v>
      </c>
      <c r="C107" s="15">
        <v>0</v>
      </c>
      <c r="D107" s="16">
        <v>0</v>
      </c>
      <c r="E107" s="15">
        <v>0</v>
      </c>
      <c r="F107" s="11"/>
      <c r="G107" s="15">
        <v>0</v>
      </c>
      <c r="H107" s="16">
        <v>336622.5024</v>
      </c>
      <c r="I107" s="16">
        <v>5248.6472000000003</v>
      </c>
      <c r="J107" s="10">
        <v>1</v>
      </c>
      <c r="K107" s="10">
        <v>17</v>
      </c>
      <c r="L107" s="10">
        <v>1</v>
      </c>
    </row>
    <row r="108" spans="1:12">
      <c r="A108" s="11" t="s">
        <v>49</v>
      </c>
      <c r="B108" s="16"/>
      <c r="C108" s="15">
        <v>0</v>
      </c>
      <c r="D108" s="16"/>
      <c r="E108" s="15">
        <v>0</v>
      </c>
      <c r="F108" s="11"/>
      <c r="G108" s="15">
        <v>0</v>
      </c>
      <c r="H108" s="16"/>
      <c r="I108" s="16"/>
      <c r="J108" s="10"/>
      <c r="K108" s="10"/>
      <c r="L108" s="10"/>
    </row>
    <row r="109" spans="1:12">
      <c r="A109" s="11" t="s">
        <v>50</v>
      </c>
      <c r="B109" s="16"/>
      <c r="C109" s="15">
        <v>0</v>
      </c>
      <c r="D109" s="16"/>
      <c r="E109" s="15">
        <v>0</v>
      </c>
      <c r="F109" s="11"/>
      <c r="G109" s="15">
        <v>0</v>
      </c>
      <c r="H109" s="16"/>
      <c r="I109" s="16"/>
      <c r="J109" s="10"/>
      <c r="K109" s="11"/>
      <c r="L109" s="10"/>
    </row>
    <row r="110" spans="1:12">
      <c r="A110" s="11" t="s">
        <v>51</v>
      </c>
      <c r="B110" s="16"/>
      <c r="C110" s="15">
        <v>0</v>
      </c>
      <c r="D110" s="16"/>
      <c r="E110" s="15">
        <v>0</v>
      </c>
      <c r="F110" s="11"/>
      <c r="G110" s="15">
        <v>0</v>
      </c>
      <c r="H110" s="11"/>
      <c r="I110" s="16"/>
      <c r="J110" s="10"/>
      <c r="K110" s="11"/>
      <c r="L110" s="10"/>
    </row>
    <row r="112" spans="1:12">
      <c r="A112" s="7">
        <v>45200</v>
      </c>
    </row>
    <row r="113" spans="1:12" ht="33" customHeight="1">
      <c r="A113" s="2" t="s">
        <v>8</v>
      </c>
      <c r="B113" s="6" t="s">
        <v>37</v>
      </c>
      <c r="C113" s="6" t="s">
        <v>38</v>
      </c>
      <c r="D113" s="6" t="s">
        <v>39</v>
      </c>
      <c r="E113" s="6" t="s">
        <v>40</v>
      </c>
      <c r="F113" s="6" t="s">
        <v>41</v>
      </c>
      <c r="G113" s="6" t="s">
        <v>42</v>
      </c>
      <c r="H113" s="6" t="s">
        <v>43</v>
      </c>
      <c r="I113" s="6" t="s">
        <v>44</v>
      </c>
      <c r="J113" s="4" t="s">
        <v>45</v>
      </c>
      <c r="K113" s="5" t="s">
        <v>46</v>
      </c>
      <c r="L113" s="4" t="s">
        <v>47</v>
      </c>
    </row>
    <row r="114" spans="1:12" ht="33" customHeight="1">
      <c r="A114" s="11" t="s">
        <v>48</v>
      </c>
      <c r="B114" s="16"/>
      <c r="C114" s="14">
        <v>0</v>
      </c>
      <c r="D114" s="16"/>
      <c r="E114" s="14">
        <v>0</v>
      </c>
      <c r="F114" s="12"/>
      <c r="G114" s="14">
        <v>0</v>
      </c>
      <c r="H114" s="16"/>
      <c r="I114" s="16"/>
      <c r="J114" s="13"/>
      <c r="K114" s="10"/>
      <c r="L114" s="13"/>
    </row>
    <row r="115" spans="1:12" ht="33" customHeight="1">
      <c r="A115" s="11" t="s">
        <v>17</v>
      </c>
      <c r="B115" s="16"/>
      <c r="C115" s="14">
        <v>0</v>
      </c>
      <c r="D115" s="16"/>
      <c r="E115" s="14">
        <v>0</v>
      </c>
      <c r="F115" s="12"/>
      <c r="G115" s="14">
        <v>0</v>
      </c>
      <c r="H115" s="16"/>
      <c r="I115" s="16"/>
      <c r="J115" s="10"/>
      <c r="K115" s="10"/>
      <c r="L115" s="10"/>
    </row>
    <row r="116" spans="1:12" ht="33" customHeight="1">
      <c r="A116" s="11" t="s">
        <v>13</v>
      </c>
      <c r="B116" s="16">
        <v>39206.826971815717</v>
      </c>
      <c r="C116" s="14">
        <v>0</v>
      </c>
      <c r="D116" s="16">
        <v>132810.63685636854</v>
      </c>
      <c r="E116" s="14">
        <v>0</v>
      </c>
      <c r="F116" s="12"/>
      <c r="G116" s="14">
        <v>0</v>
      </c>
      <c r="H116" s="16">
        <v>53059.172400000003</v>
      </c>
      <c r="I116" s="16">
        <v>211224.29079999999</v>
      </c>
      <c r="J116" s="10"/>
      <c r="K116" s="10">
        <v>3</v>
      </c>
      <c r="L116" s="10"/>
    </row>
    <row r="117" spans="1:12" ht="33" customHeight="1">
      <c r="A117" s="11" t="s">
        <v>16</v>
      </c>
      <c r="B117" s="16"/>
      <c r="C117" s="14">
        <v>0</v>
      </c>
      <c r="D117" s="16"/>
      <c r="E117" s="14">
        <v>0</v>
      </c>
      <c r="F117" s="12"/>
      <c r="G117" s="14">
        <v>0</v>
      </c>
      <c r="H117" s="16"/>
      <c r="I117" s="16"/>
      <c r="J117" s="10"/>
      <c r="K117" s="10"/>
      <c r="L117" s="10"/>
    </row>
    <row r="118" spans="1:12">
      <c r="A118" s="11" t="s">
        <v>14</v>
      </c>
      <c r="B118" s="16"/>
      <c r="C118" s="15">
        <v>0</v>
      </c>
      <c r="D118" s="16"/>
      <c r="E118" s="15">
        <v>0</v>
      </c>
      <c r="F118" s="11"/>
      <c r="G118" s="15">
        <v>0</v>
      </c>
      <c r="H118" s="16"/>
      <c r="I118" s="16"/>
      <c r="J118" s="10"/>
      <c r="K118" s="10">
        <v>1</v>
      </c>
      <c r="L118" s="10"/>
    </row>
    <row r="119" spans="1:12">
      <c r="A119" s="11" t="s">
        <v>15</v>
      </c>
      <c r="B119" s="16">
        <v>30369.045255284549</v>
      </c>
      <c r="C119" s="15">
        <v>0</v>
      </c>
      <c r="D119" s="16">
        <v>9709.0250894308938</v>
      </c>
      <c r="E119" s="15">
        <v>0</v>
      </c>
      <c r="F119" s="11"/>
      <c r="G119" s="15">
        <v>0</v>
      </c>
      <c r="H119" s="16">
        <v>246158.94439999998</v>
      </c>
      <c r="I119" s="16">
        <v>70447.115600000005</v>
      </c>
      <c r="J119" s="10">
        <v>1</v>
      </c>
      <c r="K119" s="10">
        <v>29</v>
      </c>
      <c r="L119" s="10"/>
    </row>
    <row r="120" spans="1:12">
      <c r="A120" s="11" t="s">
        <v>49</v>
      </c>
      <c r="B120" s="16"/>
      <c r="C120" s="15">
        <v>0</v>
      </c>
      <c r="D120" s="16"/>
      <c r="E120" s="15">
        <v>0</v>
      </c>
      <c r="F120" s="11"/>
      <c r="G120" s="15">
        <v>0</v>
      </c>
      <c r="H120" s="16"/>
      <c r="I120" s="16"/>
      <c r="J120" s="10"/>
      <c r="K120" s="10"/>
      <c r="L120" s="10"/>
    </row>
    <row r="121" spans="1:12">
      <c r="A121" s="11" t="s">
        <v>50</v>
      </c>
      <c r="B121" s="16"/>
      <c r="C121" s="15">
        <v>0</v>
      </c>
      <c r="D121" s="16"/>
      <c r="E121" s="15">
        <v>0</v>
      </c>
      <c r="F121" s="11"/>
      <c r="G121" s="15">
        <v>0</v>
      </c>
      <c r="H121" s="16"/>
      <c r="I121" s="16"/>
      <c r="J121" s="10"/>
      <c r="K121" s="10"/>
      <c r="L121" s="10"/>
    </row>
    <row r="122" spans="1:12">
      <c r="A122" s="11" t="s">
        <v>51</v>
      </c>
      <c r="B122" s="11"/>
      <c r="C122" s="15">
        <v>0</v>
      </c>
      <c r="D122" s="16"/>
      <c r="E122" s="15">
        <v>0</v>
      </c>
      <c r="F122" s="11"/>
      <c r="G122" s="15">
        <v>0</v>
      </c>
      <c r="H122" s="16"/>
      <c r="I122" s="16"/>
      <c r="J122" s="10"/>
      <c r="K122" s="10"/>
      <c r="L122" s="11"/>
    </row>
    <row r="124" spans="1:12">
      <c r="A124" s="7">
        <v>45231</v>
      </c>
    </row>
    <row r="125" spans="1:12" ht="33" customHeight="1">
      <c r="A125" s="2" t="s">
        <v>8</v>
      </c>
      <c r="B125" s="6" t="s">
        <v>37</v>
      </c>
      <c r="C125" s="6" t="s">
        <v>38</v>
      </c>
      <c r="D125" s="6" t="s">
        <v>39</v>
      </c>
      <c r="E125" s="6" t="s">
        <v>40</v>
      </c>
      <c r="F125" s="6" t="s">
        <v>41</v>
      </c>
      <c r="G125" s="6" t="s">
        <v>42</v>
      </c>
      <c r="H125" s="6" t="s">
        <v>43</v>
      </c>
      <c r="I125" s="6" t="s">
        <v>44</v>
      </c>
      <c r="J125" s="4" t="s">
        <v>45</v>
      </c>
      <c r="K125" s="5" t="s">
        <v>46</v>
      </c>
      <c r="L125" s="4" t="s">
        <v>47</v>
      </c>
    </row>
    <row r="126" spans="1:12" ht="33" customHeight="1">
      <c r="A126" s="11" t="s">
        <v>48</v>
      </c>
      <c r="B126" s="16">
        <v>20134.099721951221</v>
      </c>
      <c r="C126" s="14">
        <v>0</v>
      </c>
      <c r="D126" s="16">
        <v>54511.609756097561</v>
      </c>
      <c r="E126" s="14">
        <v>0</v>
      </c>
      <c r="F126" s="12"/>
      <c r="G126" s="14">
        <v>0</v>
      </c>
      <c r="H126" s="16">
        <v>4779.7791999999999</v>
      </c>
      <c r="I126" s="16">
        <v>94779.809200000003</v>
      </c>
      <c r="J126" s="10"/>
      <c r="K126" s="10"/>
      <c r="L126" s="10"/>
    </row>
    <row r="127" spans="1:12" ht="33" customHeight="1">
      <c r="A127" s="11" t="s">
        <v>17</v>
      </c>
      <c r="B127" s="16"/>
      <c r="C127" s="14">
        <v>0</v>
      </c>
      <c r="D127" s="16"/>
      <c r="E127" s="14">
        <v>0</v>
      </c>
      <c r="F127" s="12"/>
      <c r="G127" s="14">
        <v>0</v>
      </c>
      <c r="H127" s="16"/>
      <c r="I127" s="16"/>
      <c r="J127" s="10"/>
      <c r="K127" s="10"/>
      <c r="L127" s="10"/>
    </row>
    <row r="128" spans="1:12" ht="33" customHeight="1">
      <c r="A128" s="11" t="s">
        <v>13</v>
      </c>
      <c r="B128" s="16">
        <v>65806.386767479678</v>
      </c>
      <c r="C128" s="14">
        <v>0</v>
      </c>
      <c r="D128" s="16">
        <v>46198.31606504065</v>
      </c>
      <c r="E128" s="14">
        <v>0</v>
      </c>
      <c r="F128" s="12"/>
      <c r="G128" s="14">
        <v>0</v>
      </c>
      <c r="H128" s="16">
        <v>14699.5808</v>
      </c>
      <c r="I128" s="16">
        <v>177811.08960000001</v>
      </c>
      <c r="J128" s="10"/>
      <c r="K128" s="10">
        <v>1</v>
      </c>
      <c r="L128" s="10"/>
    </row>
    <row r="129" spans="1:12" ht="33" customHeight="1">
      <c r="A129" s="11" t="s">
        <v>16</v>
      </c>
      <c r="B129" s="16"/>
      <c r="C129" s="14">
        <v>0</v>
      </c>
      <c r="D129" s="16"/>
      <c r="E129" s="14">
        <v>0</v>
      </c>
      <c r="F129" s="12"/>
      <c r="G129" s="14">
        <v>0</v>
      </c>
      <c r="H129" s="16"/>
      <c r="I129" s="16"/>
      <c r="J129" s="10"/>
      <c r="K129" s="10"/>
      <c r="L129" s="10"/>
    </row>
    <row r="130" spans="1:12">
      <c r="A130" s="11" t="s">
        <v>14</v>
      </c>
      <c r="B130" s="16">
        <v>0</v>
      </c>
      <c r="C130" s="15">
        <v>0</v>
      </c>
      <c r="D130" s="16">
        <v>25235.326799999999</v>
      </c>
      <c r="E130" s="15">
        <v>0</v>
      </c>
      <c r="F130" s="11"/>
      <c r="G130" s="15">
        <v>0</v>
      </c>
      <c r="H130" s="16">
        <v>2056.9623999999999</v>
      </c>
      <c r="I130" s="16">
        <v>25235.326799999999</v>
      </c>
      <c r="J130" s="10"/>
      <c r="K130" s="10">
        <v>1</v>
      </c>
      <c r="L130" s="10"/>
    </row>
    <row r="131" spans="1:12">
      <c r="A131" s="11" t="s">
        <v>15</v>
      </c>
      <c r="B131" s="16">
        <v>28839.603799999997</v>
      </c>
      <c r="C131" s="15">
        <v>0</v>
      </c>
      <c r="D131" s="16">
        <v>44667.912400000001</v>
      </c>
      <c r="E131" s="15">
        <v>0</v>
      </c>
      <c r="F131" s="11"/>
      <c r="G131" s="15">
        <v>0</v>
      </c>
      <c r="H131" s="16">
        <v>167097.5484</v>
      </c>
      <c r="I131" s="16">
        <v>102347.12</v>
      </c>
      <c r="J131" s="10">
        <v>1</v>
      </c>
      <c r="K131" s="10">
        <v>21</v>
      </c>
      <c r="L131" s="10">
        <v>1</v>
      </c>
    </row>
    <row r="132" spans="1:12">
      <c r="A132" s="11" t="s">
        <v>49</v>
      </c>
      <c r="B132" s="16"/>
      <c r="C132" s="15">
        <v>0</v>
      </c>
      <c r="D132" s="16"/>
      <c r="E132" s="15">
        <v>0</v>
      </c>
      <c r="F132" s="11"/>
      <c r="G132" s="15">
        <v>0</v>
      </c>
      <c r="H132" s="16"/>
      <c r="I132" s="16"/>
      <c r="J132" s="10"/>
      <c r="K132" s="10"/>
      <c r="L132" s="10"/>
    </row>
    <row r="133" spans="1:12">
      <c r="A133" s="11" t="s">
        <v>50</v>
      </c>
      <c r="B133" s="16"/>
      <c r="C133" s="15">
        <v>0</v>
      </c>
      <c r="D133" s="16"/>
      <c r="E133" s="15">
        <v>0</v>
      </c>
      <c r="F133" s="11"/>
      <c r="G133" s="15">
        <v>0</v>
      </c>
      <c r="H133" s="16"/>
      <c r="I133" s="16"/>
      <c r="J133" s="10"/>
      <c r="K133" s="11"/>
      <c r="L133" s="10"/>
    </row>
    <row r="134" spans="1:12">
      <c r="A134" s="11" t="s">
        <v>51</v>
      </c>
      <c r="B134" s="16"/>
      <c r="C134" s="15">
        <v>0</v>
      </c>
      <c r="D134" s="16"/>
      <c r="E134" s="15">
        <v>0</v>
      </c>
      <c r="F134" s="11"/>
      <c r="G134" s="15">
        <v>0</v>
      </c>
      <c r="H134" s="16"/>
      <c r="I134" s="16"/>
      <c r="J134" s="10"/>
      <c r="K134" s="11"/>
      <c r="L134" s="11"/>
    </row>
    <row r="136" spans="1:12">
      <c r="A136" s="7">
        <v>45261</v>
      </c>
    </row>
    <row r="137" spans="1:12" ht="33" customHeight="1">
      <c r="A137" s="2" t="s">
        <v>8</v>
      </c>
      <c r="B137" s="6" t="s">
        <v>37</v>
      </c>
      <c r="C137" s="6" t="s">
        <v>38</v>
      </c>
      <c r="D137" s="6" t="s">
        <v>39</v>
      </c>
      <c r="E137" s="6" t="s">
        <v>40</v>
      </c>
      <c r="F137" s="6" t="s">
        <v>41</v>
      </c>
      <c r="G137" s="6" t="s">
        <v>42</v>
      </c>
      <c r="H137" s="6" t="s">
        <v>43</v>
      </c>
      <c r="I137" s="6" t="s">
        <v>44</v>
      </c>
      <c r="J137" s="4" t="s">
        <v>45</v>
      </c>
      <c r="K137" s="5" t="s">
        <v>46</v>
      </c>
      <c r="L137" s="4" t="s">
        <v>47</v>
      </c>
    </row>
    <row r="138" spans="1:12" ht="33" customHeight="1">
      <c r="A138" s="11" t="s">
        <v>48</v>
      </c>
      <c r="B138" s="16"/>
      <c r="C138" s="14">
        <v>0</v>
      </c>
      <c r="D138" s="16"/>
      <c r="E138" s="14">
        <v>0</v>
      </c>
      <c r="F138" s="12"/>
      <c r="G138" s="14">
        <v>0</v>
      </c>
      <c r="H138" s="16"/>
      <c r="I138" s="16"/>
      <c r="J138" s="10"/>
      <c r="K138" s="10"/>
      <c r="L138" s="13"/>
    </row>
    <row r="139" spans="1:12" ht="33" customHeight="1">
      <c r="A139" s="11" t="s">
        <v>17</v>
      </c>
      <c r="B139" s="16"/>
      <c r="C139" s="14">
        <v>0</v>
      </c>
      <c r="D139" s="16"/>
      <c r="E139" s="14">
        <v>0</v>
      </c>
      <c r="F139" s="12"/>
      <c r="G139" s="14">
        <v>0</v>
      </c>
      <c r="H139" s="16"/>
      <c r="I139" s="16"/>
      <c r="J139" s="10"/>
      <c r="K139" s="10"/>
      <c r="L139" s="13"/>
    </row>
    <row r="140" spans="1:12" ht="33" customHeight="1">
      <c r="A140" s="11" t="s">
        <v>13</v>
      </c>
      <c r="B140" s="16">
        <v>9877.7490162601625</v>
      </c>
      <c r="C140" s="14">
        <v>0</v>
      </c>
      <c r="D140" s="16">
        <v>712.74796747967468</v>
      </c>
      <c r="E140" s="14">
        <v>0</v>
      </c>
      <c r="F140" s="12"/>
      <c r="G140" s="14">
        <v>0</v>
      </c>
      <c r="H140" s="16">
        <v>13862.18</v>
      </c>
      <c r="I140" s="16">
        <v>20468.245999999999</v>
      </c>
      <c r="J140" s="10">
        <v>1</v>
      </c>
      <c r="K140" s="10">
        <v>2</v>
      </c>
      <c r="L140" s="10"/>
    </row>
    <row r="141" spans="1:12" ht="33" customHeight="1">
      <c r="A141" s="11" t="s">
        <v>16</v>
      </c>
      <c r="B141" s="16"/>
      <c r="C141" s="14">
        <v>0</v>
      </c>
      <c r="D141" s="16"/>
      <c r="E141" s="14">
        <v>0</v>
      </c>
      <c r="F141" s="12"/>
      <c r="G141" s="14">
        <v>0</v>
      </c>
      <c r="H141" s="16"/>
      <c r="I141" s="16"/>
      <c r="J141" s="10"/>
      <c r="K141" s="10"/>
      <c r="L141" s="10"/>
    </row>
    <row r="142" spans="1:12">
      <c r="A142" s="11" t="s">
        <v>14</v>
      </c>
      <c r="B142" s="16"/>
      <c r="C142" s="15">
        <v>0</v>
      </c>
      <c r="D142" s="16"/>
      <c r="E142" s="15">
        <v>0</v>
      </c>
      <c r="F142" s="11"/>
      <c r="G142" s="15">
        <v>0</v>
      </c>
      <c r="H142" s="16"/>
      <c r="I142" s="16"/>
      <c r="J142" s="10"/>
      <c r="K142" s="10"/>
      <c r="L142" s="10"/>
    </row>
    <row r="143" spans="1:12">
      <c r="A143" s="11" t="s">
        <v>15</v>
      </c>
      <c r="B143" s="16">
        <v>0</v>
      </c>
      <c r="C143" s="15">
        <v>0</v>
      </c>
      <c r="D143" s="16">
        <v>0</v>
      </c>
      <c r="E143" s="15">
        <v>0</v>
      </c>
      <c r="F143" s="11"/>
      <c r="G143" s="15">
        <v>0</v>
      </c>
      <c r="H143" s="16">
        <v>134923.06200000001</v>
      </c>
      <c r="I143" s="16">
        <v>0</v>
      </c>
      <c r="J143" s="10">
        <v>1</v>
      </c>
      <c r="K143" s="10">
        <v>17</v>
      </c>
      <c r="L143" s="10">
        <v>1</v>
      </c>
    </row>
    <row r="144" spans="1:12">
      <c r="A144" s="11" t="s">
        <v>49</v>
      </c>
      <c r="B144" s="16"/>
      <c r="C144" s="15">
        <v>0</v>
      </c>
      <c r="D144" s="16"/>
      <c r="E144" s="15">
        <v>0</v>
      </c>
      <c r="F144" s="11"/>
      <c r="G144" s="15">
        <v>0</v>
      </c>
      <c r="H144" s="16"/>
      <c r="I144" s="16"/>
      <c r="J144" s="10"/>
      <c r="K144" s="10"/>
      <c r="L144" s="10"/>
    </row>
    <row r="145" spans="1:12">
      <c r="A145" s="11" t="s">
        <v>50</v>
      </c>
      <c r="B145" s="16"/>
      <c r="C145" s="15">
        <v>0</v>
      </c>
      <c r="D145" s="16"/>
      <c r="E145" s="15">
        <v>0</v>
      </c>
      <c r="F145" s="11"/>
      <c r="G145" s="15">
        <v>0</v>
      </c>
      <c r="H145" s="16"/>
      <c r="I145" s="16"/>
      <c r="J145" s="10"/>
      <c r="K145" s="10"/>
      <c r="L145" s="10"/>
    </row>
    <row r="146" spans="1:12">
      <c r="A146" s="11" t="s">
        <v>51</v>
      </c>
      <c r="B146" s="11"/>
      <c r="C146" s="15">
        <v>0</v>
      </c>
      <c r="D146" s="16"/>
      <c r="E146" s="15">
        <v>0</v>
      </c>
      <c r="F146" s="11"/>
      <c r="G146" s="15">
        <v>0</v>
      </c>
      <c r="H146" s="11"/>
      <c r="I146" s="11"/>
      <c r="J146" s="10"/>
      <c r="K146" s="11"/>
      <c r="L146" s="11"/>
    </row>
  </sheetData>
  <pageMargins left="0.7" right="0.7" top="0.75" bottom="0.75" header="0.3" footer="0.3"/>
  <customProperties>
    <customPr name="_pios_id"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6A0EC-135C-4DA9-B368-FFD249E9541B}">
  <dimension ref="A1:L146"/>
  <sheetViews>
    <sheetView zoomScale="80" zoomScaleNormal="80" workbookViewId="0">
      <pane xSplit="1" ySplit="5" topLeftCell="B143" activePane="bottomRight" state="frozen"/>
      <selection pane="bottomRight" activeCell="B143" sqref="B143"/>
      <selection pane="bottomLeft" activeCell="A6" sqref="A6"/>
      <selection pane="topRight" activeCell="B1" sqref="B1"/>
    </sheetView>
  </sheetViews>
  <sheetFormatPr defaultColWidth="39.140625" defaultRowHeight="14.45"/>
  <cols>
    <col min="2" max="2" width="37.5703125" customWidth="1"/>
    <col min="3" max="3" width="36" customWidth="1"/>
  </cols>
  <sheetData>
    <row r="1" spans="1:12">
      <c r="A1" s="1" t="s">
        <v>53</v>
      </c>
    </row>
    <row r="2" spans="1:12">
      <c r="A2" s="1" t="s">
        <v>23</v>
      </c>
      <c r="E2" s="3"/>
    </row>
    <row r="3" spans="1:12">
      <c r="A3" s="1" t="s">
        <v>24</v>
      </c>
    </row>
    <row r="4" spans="1:12">
      <c r="A4" s="7">
        <v>44927</v>
      </c>
      <c r="B4" s="9" t="s">
        <v>26</v>
      </c>
      <c r="C4" s="9" t="s">
        <v>27</v>
      </c>
      <c r="D4" s="9" t="s">
        <v>28</v>
      </c>
      <c r="E4" s="9" t="s">
        <v>29</v>
      </c>
      <c r="F4" s="9" t="s">
        <v>30</v>
      </c>
      <c r="G4" s="9" t="s">
        <v>31</v>
      </c>
      <c r="H4" s="9" t="s">
        <v>32</v>
      </c>
      <c r="I4" s="9" t="s">
        <v>33</v>
      </c>
      <c r="J4" s="9" t="s">
        <v>34</v>
      </c>
      <c r="K4" s="9" t="s">
        <v>35</v>
      </c>
      <c r="L4" s="9" t="s">
        <v>36</v>
      </c>
    </row>
    <row r="5" spans="1:12" ht="33" customHeight="1">
      <c r="A5" s="2" t="s">
        <v>8</v>
      </c>
      <c r="B5" s="6" t="s">
        <v>37</v>
      </c>
      <c r="C5" s="6" t="s">
        <v>38</v>
      </c>
      <c r="D5" s="6" t="s">
        <v>39</v>
      </c>
      <c r="E5" s="6" t="s">
        <v>40</v>
      </c>
      <c r="F5" s="6" t="s">
        <v>41</v>
      </c>
      <c r="G5" s="6" t="s">
        <v>42</v>
      </c>
      <c r="H5" s="6" t="s">
        <v>43</v>
      </c>
      <c r="I5" s="6" t="s">
        <v>44</v>
      </c>
      <c r="J5" s="4" t="s">
        <v>45</v>
      </c>
      <c r="K5" s="4" t="s">
        <v>46</v>
      </c>
      <c r="L5" s="4" t="s">
        <v>47</v>
      </c>
    </row>
    <row r="6" spans="1:12" ht="33" customHeight="1">
      <c r="A6" s="11" t="s">
        <v>48</v>
      </c>
      <c r="B6" s="16">
        <v>1698.942801626016</v>
      </c>
      <c r="C6" s="14">
        <v>0</v>
      </c>
      <c r="D6" s="16">
        <v>84530.353196747965</v>
      </c>
      <c r="E6" s="14">
        <v>0</v>
      </c>
      <c r="F6" s="12"/>
      <c r="G6" s="14">
        <v>0</v>
      </c>
      <c r="H6" s="16">
        <v>10127.013200000001</v>
      </c>
      <c r="I6" s="16">
        <v>87928.238800000006</v>
      </c>
      <c r="J6" s="10">
        <v>5</v>
      </c>
      <c r="K6" s="10">
        <v>2</v>
      </c>
      <c r="L6" s="10">
        <v>3</v>
      </c>
    </row>
    <row r="7" spans="1:12" ht="33" customHeight="1">
      <c r="A7" s="11" t="s">
        <v>17</v>
      </c>
      <c r="B7" s="16">
        <v>62130.89162764229</v>
      </c>
      <c r="C7" s="14">
        <v>0</v>
      </c>
      <c r="D7" s="16">
        <v>738253.83314471541</v>
      </c>
      <c r="E7" s="14">
        <v>0</v>
      </c>
      <c r="F7" s="10">
        <v>2115.2199999999998</v>
      </c>
      <c r="G7" s="14">
        <v>0</v>
      </c>
      <c r="H7" s="16">
        <v>25090.684000000001</v>
      </c>
      <c r="I7" s="16">
        <v>862515.61640000029</v>
      </c>
      <c r="J7" s="10">
        <v>6</v>
      </c>
      <c r="K7" s="10">
        <v>9</v>
      </c>
      <c r="L7" s="10">
        <v>3</v>
      </c>
    </row>
    <row r="8" spans="1:12" ht="33" customHeight="1">
      <c r="A8" s="11" t="s">
        <v>13</v>
      </c>
      <c r="B8" s="16">
        <v>470418.4289577236</v>
      </c>
      <c r="C8" s="14">
        <v>0</v>
      </c>
      <c r="D8" s="16">
        <v>479026.38208455284</v>
      </c>
      <c r="E8" s="14">
        <v>0</v>
      </c>
      <c r="F8" s="10">
        <v>28923.07</v>
      </c>
      <c r="G8" s="14">
        <v>0</v>
      </c>
      <c r="H8" s="16">
        <v>162489.06440000003</v>
      </c>
      <c r="I8" s="16">
        <v>1419863.2400000002</v>
      </c>
      <c r="J8" s="10">
        <v>30</v>
      </c>
      <c r="K8" s="10">
        <v>17</v>
      </c>
      <c r="L8" s="10">
        <v>17</v>
      </c>
    </row>
    <row r="9" spans="1:12" ht="33" customHeight="1">
      <c r="A9" s="11" t="s">
        <v>16</v>
      </c>
      <c r="B9" s="16">
        <v>1820.6324195121961</v>
      </c>
      <c r="C9" s="14">
        <v>0</v>
      </c>
      <c r="D9" s="16">
        <v>18488.09756097561</v>
      </c>
      <c r="E9" s="14">
        <v>0</v>
      </c>
      <c r="F9" s="10"/>
      <c r="G9" s="14">
        <v>0</v>
      </c>
      <c r="H9" s="16">
        <v>125</v>
      </c>
      <c r="I9" s="16">
        <v>22129.362400000002</v>
      </c>
      <c r="J9" s="10">
        <v>5</v>
      </c>
      <c r="K9" s="10"/>
      <c r="L9" s="10">
        <v>5</v>
      </c>
    </row>
    <row r="10" spans="1:12">
      <c r="A10" s="11" t="s">
        <v>14</v>
      </c>
      <c r="B10" s="16">
        <v>126788.1542482385</v>
      </c>
      <c r="C10" s="15">
        <v>0</v>
      </c>
      <c r="D10" s="16">
        <v>56679.763903523024</v>
      </c>
      <c r="E10" s="15">
        <v>0</v>
      </c>
      <c r="F10" s="10">
        <v>782.71</v>
      </c>
      <c r="G10" s="15">
        <v>0</v>
      </c>
      <c r="H10" s="16">
        <v>22809.067999999999</v>
      </c>
      <c r="I10" s="16">
        <v>310256.0724</v>
      </c>
      <c r="J10" s="10">
        <v>3</v>
      </c>
      <c r="K10" s="10">
        <v>7</v>
      </c>
      <c r="L10" s="10">
        <v>2</v>
      </c>
    </row>
    <row r="11" spans="1:12">
      <c r="A11" s="11" t="s">
        <v>15</v>
      </c>
      <c r="B11" s="16">
        <v>122971.20157181572</v>
      </c>
      <c r="C11" s="15">
        <v>0</v>
      </c>
      <c r="D11" s="16">
        <v>32074.388456368561</v>
      </c>
      <c r="E11" s="15">
        <v>0</v>
      </c>
      <c r="F11" s="10"/>
      <c r="G11" s="15">
        <v>0</v>
      </c>
      <c r="H11" s="16">
        <v>931829.05760000017</v>
      </c>
      <c r="I11" s="16">
        <v>278016.7916</v>
      </c>
      <c r="J11" s="10">
        <v>568</v>
      </c>
      <c r="K11" s="10">
        <v>119</v>
      </c>
      <c r="L11" s="10">
        <v>465</v>
      </c>
    </row>
    <row r="12" spans="1:12">
      <c r="A12" s="11" t="s">
        <v>49</v>
      </c>
      <c r="B12" s="16"/>
      <c r="C12" s="15">
        <v>0</v>
      </c>
      <c r="D12" s="16"/>
      <c r="E12" s="15">
        <v>0</v>
      </c>
      <c r="F12" s="10"/>
      <c r="G12" s="15">
        <v>0</v>
      </c>
      <c r="H12" s="16">
        <v>10501.6096</v>
      </c>
      <c r="I12" s="16"/>
      <c r="J12" s="10">
        <v>1</v>
      </c>
      <c r="K12" s="11"/>
      <c r="L12" s="10">
        <v>1</v>
      </c>
    </row>
    <row r="13" spans="1:12">
      <c r="A13" s="11" t="s">
        <v>50</v>
      </c>
      <c r="B13" s="16">
        <v>3265.666016260162</v>
      </c>
      <c r="C13" s="15">
        <v>0</v>
      </c>
      <c r="D13" s="16">
        <v>712.74796747967468</v>
      </c>
      <c r="E13" s="15">
        <v>0</v>
      </c>
      <c r="F13" s="11"/>
      <c r="G13" s="15">
        <v>0</v>
      </c>
      <c r="H13" s="16">
        <v>2615.6268</v>
      </c>
      <c r="I13" s="16">
        <v>7244.08</v>
      </c>
      <c r="J13" s="10">
        <v>15</v>
      </c>
      <c r="K13" s="11"/>
      <c r="L13" s="10">
        <v>5</v>
      </c>
    </row>
    <row r="14" spans="1:12">
      <c r="A14" s="11" t="s">
        <v>51</v>
      </c>
      <c r="B14" s="11"/>
      <c r="C14" s="15">
        <v>0</v>
      </c>
      <c r="D14" s="16"/>
      <c r="E14" s="15">
        <v>0</v>
      </c>
      <c r="F14" s="11"/>
      <c r="G14" s="15">
        <v>0</v>
      </c>
      <c r="H14" s="11"/>
      <c r="I14" s="11"/>
      <c r="J14" s="10"/>
      <c r="K14" s="11"/>
      <c r="L14" s="11"/>
    </row>
    <row r="16" spans="1:12">
      <c r="A16" s="8">
        <v>45345</v>
      </c>
    </row>
    <row r="17" spans="1:12" ht="33" customHeight="1">
      <c r="A17" s="2" t="s">
        <v>8</v>
      </c>
      <c r="B17" s="6" t="s">
        <v>37</v>
      </c>
      <c r="C17" s="6" t="s">
        <v>38</v>
      </c>
      <c r="D17" s="6" t="s">
        <v>39</v>
      </c>
      <c r="E17" s="6" t="s">
        <v>40</v>
      </c>
      <c r="F17" s="6" t="s">
        <v>41</v>
      </c>
      <c r="G17" s="6" t="s">
        <v>42</v>
      </c>
      <c r="H17" s="6" t="s">
        <v>43</v>
      </c>
      <c r="I17" s="6" t="s">
        <v>44</v>
      </c>
      <c r="J17" s="4" t="s">
        <v>45</v>
      </c>
      <c r="K17" s="5" t="s">
        <v>46</v>
      </c>
      <c r="L17" s="4" t="s">
        <v>47</v>
      </c>
    </row>
    <row r="18" spans="1:12" ht="33" customHeight="1">
      <c r="A18" s="11" t="s">
        <v>48</v>
      </c>
      <c r="B18" s="16">
        <v>83953.139396747953</v>
      </c>
      <c r="C18" s="14">
        <v>0</v>
      </c>
      <c r="D18" s="16">
        <v>187424.98400650409</v>
      </c>
      <c r="E18" s="14">
        <v>0</v>
      </c>
      <c r="F18" s="12"/>
      <c r="G18" s="14">
        <v>0</v>
      </c>
      <c r="H18" s="16">
        <v>41764.142000000014</v>
      </c>
      <c r="I18" s="16">
        <v>355331.26279999997</v>
      </c>
      <c r="J18" s="10">
        <v>4</v>
      </c>
      <c r="K18" s="10">
        <v>1</v>
      </c>
      <c r="L18" s="10">
        <v>3</v>
      </c>
    </row>
    <row r="19" spans="1:12" ht="33" customHeight="1">
      <c r="A19" s="11" t="s">
        <v>17</v>
      </c>
      <c r="B19" s="16">
        <v>89985.721519241168</v>
      </c>
      <c r="C19" s="14">
        <v>0</v>
      </c>
      <c r="D19" s="16">
        <v>616700.18576151773</v>
      </c>
      <c r="E19" s="14">
        <v>0</v>
      </c>
      <c r="F19" s="10">
        <v>5095.28</v>
      </c>
      <c r="G19" s="14">
        <v>0</v>
      </c>
      <c r="H19" s="16">
        <v>29860.060799999999</v>
      </c>
      <c r="I19" s="16">
        <v>796671.62879999995</v>
      </c>
      <c r="J19" s="10">
        <v>9</v>
      </c>
      <c r="K19" s="10">
        <v>27</v>
      </c>
      <c r="L19" s="10">
        <v>4</v>
      </c>
    </row>
    <row r="20" spans="1:12" ht="33" customHeight="1">
      <c r="A20" s="11" t="s">
        <v>13</v>
      </c>
      <c r="B20" s="16">
        <v>225490.519901355</v>
      </c>
      <c r="C20" s="14">
        <v>0</v>
      </c>
      <c r="D20" s="16">
        <v>389280.54459728987</v>
      </c>
      <c r="E20" s="14">
        <v>0</v>
      </c>
      <c r="F20" s="10">
        <v>71397.45</v>
      </c>
      <c r="G20" s="14">
        <v>0</v>
      </c>
      <c r="H20" s="16">
        <v>90459.508400000006</v>
      </c>
      <c r="I20" s="16">
        <v>840261.58439999993</v>
      </c>
      <c r="J20" s="10">
        <v>29</v>
      </c>
      <c r="K20" s="10">
        <v>19</v>
      </c>
      <c r="L20" s="10">
        <v>10</v>
      </c>
    </row>
    <row r="21" spans="1:12" ht="33" customHeight="1">
      <c r="A21" s="11" t="s">
        <v>16</v>
      </c>
      <c r="B21" s="16"/>
      <c r="C21" s="14">
        <v>0</v>
      </c>
      <c r="D21" s="16"/>
      <c r="E21" s="14">
        <v>0</v>
      </c>
      <c r="F21" s="10"/>
      <c r="G21" s="14">
        <v>0</v>
      </c>
      <c r="H21" s="16"/>
      <c r="I21" s="16"/>
      <c r="J21" s="10">
        <v>2</v>
      </c>
      <c r="K21" s="10">
        <v>1</v>
      </c>
      <c r="L21" s="10"/>
    </row>
    <row r="22" spans="1:12">
      <c r="A22" s="11" t="s">
        <v>14</v>
      </c>
      <c r="B22" s="16">
        <v>40541.2048</v>
      </c>
      <c r="C22" s="15">
        <v>0</v>
      </c>
      <c r="D22" s="16">
        <v>191626.72320000001</v>
      </c>
      <c r="E22" s="15">
        <v>0</v>
      </c>
      <c r="F22" s="10">
        <v>1505.05</v>
      </c>
      <c r="G22" s="15">
        <v>0</v>
      </c>
      <c r="H22" s="16">
        <v>45645.162399999994</v>
      </c>
      <c r="I22" s="16">
        <v>272709.13280000002</v>
      </c>
      <c r="J22" s="10">
        <v>6</v>
      </c>
      <c r="K22" s="10">
        <v>8</v>
      </c>
      <c r="L22" s="10">
        <v>2</v>
      </c>
    </row>
    <row r="23" spans="1:12">
      <c r="A23" s="11" t="s">
        <v>15</v>
      </c>
      <c r="B23" s="16">
        <v>89634.616598436187</v>
      </c>
      <c r="C23" s="15">
        <v>0</v>
      </c>
      <c r="D23" s="16">
        <v>67976.040803127631</v>
      </c>
      <c r="E23" s="15">
        <v>0</v>
      </c>
      <c r="F23" s="10"/>
      <c r="G23" s="15">
        <v>0</v>
      </c>
      <c r="H23" s="16">
        <v>945975.9427999995</v>
      </c>
      <c r="I23" s="16">
        <v>247245.274</v>
      </c>
      <c r="J23" s="10">
        <v>576</v>
      </c>
      <c r="K23" s="10">
        <v>205</v>
      </c>
      <c r="L23" s="10">
        <v>509</v>
      </c>
    </row>
    <row r="24" spans="1:12">
      <c r="A24" s="11" t="s">
        <v>49</v>
      </c>
      <c r="B24" s="16">
        <v>10898.380616260161</v>
      </c>
      <c r="C24" s="15">
        <v>0</v>
      </c>
      <c r="D24" s="16">
        <v>712.74796747967468</v>
      </c>
      <c r="E24" s="15">
        <v>0</v>
      </c>
      <c r="F24" s="10"/>
      <c r="G24" s="15">
        <v>0</v>
      </c>
      <c r="H24" s="16">
        <v>46326.828800000003</v>
      </c>
      <c r="I24" s="16">
        <v>22509.5092</v>
      </c>
      <c r="J24" s="10">
        <v>2</v>
      </c>
      <c r="K24" s="11"/>
      <c r="L24" s="11"/>
    </row>
    <row r="25" spans="1:12">
      <c r="A25" s="11" t="s">
        <v>50</v>
      </c>
      <c r="B25" s="16">
        <v>334.29981626016257</v>
      </c>
      <c r="C25" s="15">
        <v>0</v>
      </c>
      <c r="D25" s="16">
        <v>712.74796747967468</v>
      </c>
      <c r="E25" s="15">
        <v>0</v>
      </c>
      <c r="F25" s="11"/>
      <c r="G25" s="15">
        <v>0</v>
      </c>
      <c r="H25" s="16">
        <v>125</v>
      </c>
      <c r="I25" s="16">
        <v>1381.3476000000001</v>
      </c>
      <c r="J25" s="10">
        <v>17</v>
      </c>
      <c r="K25" s="11"/>
      <c r="L25" s="11"/>
    </row>
    <row r="26" spans="1:12">
      <c r="A26" s="11" t="s">
        <v>51</v>
      </c>
      <c r="B26" s="11"/>
      <c r="C26" s="15">
        <v>0</v>
      </c>
      <c r="D26" s="16"/>
      <c r="E26" s="15">
        <v>0</v>
      </c>
      <c r="F26" s="11"/>
      <c r="G26" s="15">
        <v>0</v>
      </c>
      <c r="H26" s="11"/>
      <c r="I26" s="11"/>
      <c r="J26" s="10"/>
      <c r="K26" s="11"/>
      <c r="L26" s="11"/>
    </row>
    <row r="28" spans="1:12">
      <c r="A28" s="7">
        <v>44986</v>
      </c>
    </row>
    <row r="29" spans="1:12" ht="33" customHeight="1">
      <c r="A29" s="2" t="s">
        <v>8</v>
      </c>
      <c r="B29" s="6" t="s">
        <v>37</v>
      </c>
      <c r="C29" s="6" t="s">
        <v>38</v>
      </c>
      <c r="D29" s="6" t="s">
        <v>39</v>
      </c>
      <c r="E29" s="6" t="s">
        <v>40</v>
      </c>
      <c r="F29" s="6" t="s">
        <v>41</v>
      </c>
      <c r="G29" s="6" t="s">
        <v>42</v>
      </c>
      <c r="H29" s="6" t="s">
        <v>43</v>
      </c>
      <c r="I29" s="6" t="s">
        <v>44</v>
      </c>
      <c r="J29" s="4" t="s">
        <v>45</v>
      </c>
      <c r="K29" s="5" t="s">
        <v>46</v>
      </c>
      <c r="L29" s="4" t="s">
        <v>47</v>
      </c>
    </row>
    <row r="30" spans="1:12" ht="33" customHeight="1">
      <c r="A30" s="11" t="s">
        <v>48</v>
      </c>
      <c r="B30" s="16">
        <v>13537.16296910569</v>
      </c>
      <c r="C30" s="14">
        <v>0</v>
      </c>
      <c r="D30" s="16">
        <v>2130.1788617886182</v>
      </c>
      <c r="E30" s="14">
        <v>0</v>
      </c>
      <c r="F30" s="12"/>
      <c r="G30" s="14">
        <v>0</v>
      </c>
      <c r="H30" s="16">
        <v>3276.6143999999999</v>
      </c>
      <c r="I30" s="16">
        <v>29204.504799999999</v>
      </c>
      <c r="J30" s="10">
        <v>5</v>
      </c>
      <c r="K30" s="10">
        <v>2</v>
      </c>
      <c r="L30" s="10">
        <v>2</v>
      </c>
    </row>
    <row r="31" spans="1:12" ht="33" customHeight="1">
      <c r="A31" s="11" t="s">
        <v>17</v>
      </c>
      <c r="B31" s="16">
        <v>130402.21872953932</v>
      </c>
      <c r="C31" s="14">
        <v>0</v>
      </c>
      <c r="D31" s="16">
        <v>902373.12334092124</v>
      </c>
      <c r="E31" s="14">
        <v>0</v>
      </c>
      <c r="F31" s="10">
        <v>19070.689999999999</v>
      </c>
      <c r="G31" s="14">
        <v>0</v>
      </c>
      <c r="H31" s="16">
        <v>26675.177600000003</v>
      </c>
      <c r="I31" s="16">
        <v>1163177.5607999996</v>
      </c>
      <c r="J31" s="10">
        <v>10</v>
      </c>
      <c r="K31" s="10">
        <v>13</v>
      </c>
      <c r="L31" s="10">
        <v>5</v>
      </c>
    </row>
    <row r="32" spans="1:12" ht="33" customHeight="1">
      <c r="A32" s="11" t="s">
        <v>13</v>
      </c>
      <c r="B32" s="16">
        <v>1197851.8794876533</v>
      </c>
      <c r="C32" s="14">
        <v>0</v>
      </c>
      <c r="D32" s="16">
        <v>1468765.6526246937</v>
      </c>
      <c r="E32" s="14">
        <v>0</v>
      </c>
      <c r="F32" s="10"/>
      <c r="G32" s="14">
        <v>0</v>
      </c>
      <c r="H32" s="16">
        <v>260941.15359999999</v>
      </c>
      <c r="I32" s="16">
        <v>3864469.4115999993</v>
      </c>
      <c r="J32" s="10">
        <v>37</v>
      </c>
      <c r="K32" s="10">
        <v>8</v>
      </c>
      <c r="L32" s="10">
        <v>22</v>
      </c>
    </row>
    <row r="33" spans="1:12" ht="33" customHeight="1">
      <c r="A33" s="11" t="s">
        <v>16</v>
      </c>
      <c r="B33" s="16">
        <v>51018.940569105689</v>
      </c>
      <c r="C33" s="14">
        <v>0</v>
      </c>
      <c r="D33" s="16">
        <v>57381.181261788617</v>
      </c>
      <c r="E33" s="14">
        <v>0</v>
      </c>
      <c r="F33" s="10"/>
      <c r="G33" s="14">
        <v>0</v>
      </c>
      <c r="H33" s="16">
        <v>5930.4483999999993</v>
      </c>
      <c r="I33" s="16">
        <v>159419.0624</v>
      </c>
      <c r="J33" s="10">
        <v>3</v>
      </c>
      <c r="K33" s="10"/>
      <c r="L33" s="10">
        <v>2</v>
      </c>
    </row>
    <row r="34" spans="1:12">
      <c r="A34" s="11" t="s">
        <v>14</v>
      </c>
      <c r="B34" s="16">
        <v>32617.735806504064</v>
      </c>
      <c r="C34" s="15">
        <v>0</v>
      </c>
      <c r="D34" s="16">
        <v>80753.646786991885</v>
      </c>
      <c r="E34" s="15">
        <v>0</v>
      </c>
      <c r="F34" s="10">
        <v>17003.3</v>
      </c>
      <c r="G34" s="15">
        <v>0</v>
      </c>
      <c r="H34" s="16">
        <v>7658.1036000000004</v>
      </c>
      <c r="I34" s="16">
        <v>145989.11840000001</v>
      </c>
      <c r="J34" s="10">
        <v>10</v>
      </c>
      <c r="K34" s="10">
        <v>3</v>
      </c>
      <c r="L34" s="10">
        <v>4</v>
      </c>
    </row>
    <row r="35" spans="1:12">
      <c r="A35" s="11" t="s">
        <v>15</v>
      </c>
      <c r="B35" s="16">
        <v>31234.281416260164</v>
      </c>
      <c r="C35" s="15">
        <v>0</v>
      </c>
      <c r="D35" s="16">
        <v>14181.404767479675</v>
      </c>
      <c r="E35" s="15">
        <v>0</v>
      </c>
      <c r="F35" s="10"/>
      <c r="G35" s="15">
        <v>0</v>
      </c>
      <c r="H35" s="16">
        <v>1000458.8323999998</v>
      </c>
      <c r="I35" s="16">
        <v>76649.967600000004</v>
      </c>
      <c r="J35" s="10">
        <v>903</v>
      </c>
      <c r="K35" s="10">
        <v>124</v>
      </c>
      <c r="L35" s="10">
        <v>744</v>
      </c>
    </row>
    <row r="36" spans="1:12">
      <c r="A36" s="11" t="s">
        <v>49</v>
      </c>
      <c r="B36" s="16">
        <v>0</v>
      </c>
      <c r="C36" s="15">
        <v>0</v>
      </c>
      <c r="D36" s="16">
        <v>11910.9316</v>
      </c>
      <c r="E36" s="15">
        <v>0</v>
      </c>
      <c r="F36" s="11"/>
      <c r="G36" s="15">
        <v>0</v>
      </c>
      <c r="H36" s="16">
        <v>6819.6531999999997</v>
      </c>
      <c r="I36" s="16">
        <v>11910.9316</v>
      </c>
      <c r="J36" s="10">
        <v>3</v>
      </c>
      <c r="K36" s="10"/>
      <c r="L36" s="10"/>
    </row>
    <row r="37" spans="1:12">
      <c r="A37" s="11" t="s">
        <v>50</v>
      </c>
      <c r="B37" s="16">
        <v>100748.3360813008</v>
      </c>
      <c r="C37" s="15">
        <v>0</v>
      </c>
      <c r="D37" s="16">
        <v>3563.7398373983733</v>
      </c>
      <c r="E37" s="15">
        <v>0</v>
      </c>
      <c r="F37" s="11"/>
      <c r="G37" s="15">
        <v>0</v>
      </c>
      <c r="H37" s="16">
        <v>15437.119199999999</v>
      </c>
      <c r="I37" s="16">
        <v>205060.41200000001</v>
      </c>
      <c r="J37" s="10">
        <v>15</v>
      </c>
      <c r="K37" s="10">
        <v>1</v>
      </c>
      <c r="L37" s="10">
        <v>4</v>
      </c>
    </row>
    <row r="38" spans="1:12">
      <c r="A38" s="11" t="s">
        <v>51</v>
      </c>
      <c r="B38" s="11"/>
      <c r="C38" s="15">
        <v>0</v>
      </c>
      <c r="D38" s="16"/>
      <c r="E38" s="15">
        <v>0</v>
      </c>
      <c r="F38" s="11"/>
      <c r="G38" s="15">
        <v>0</v>
      </c>
      <c r="H38" s="16"/>
      <c r="I38" s="11"/>
      <c r="J38" s="10"/>
      <c r="K38" s="11"/>
      <c r="L38" s="11"/>
    </row>
    <row r="40" spans="1:12">
      <c r="A40" s="7">
        <v>45017</v>
      </c>
    </row>
    <row r="41" spans="1:12" ht="33" customHeight="1">
      <c r="A41" s="2" t="s">
        <v>8</v>
      </c>
      <c r="B41" s="6" t="s">
        <v>37</v>
      </c>
      <c r="C41" s="6" t="s">
        <v>38</v>
      </c>
      <c r="D41" s="6" t="s">
        <v>39</v>
      </c>
      <c r="E41" s="6" t="s">
        <v>40</v>
      </c>
      <c r="F41" s="6" t="s">
        <v>41</v>
      </c>
      <c r="G41" s="6" t="s">
        <v>42</v>
      </c>
      <c r="H41" s="6" t="s">
        <v>43</v>
      </c>
      <c r="I41" s="6" t="s">
        <v>44</v>
      </c>
      <c r="J41" s="4" t="s">
        <v>45</v>
      </c>
      <c r="K41" s="5" t="s">
        <v>46</v>
      </c>
      <c r="L41" s="4" t="s">
        <v>47</v>
      </c>
    </row>
    <row r="42" spans="1:12" ht="33" customHeight="1">
      <c r="A42" s="11" t="s">
        <v>48</v>
      </c>
      <c r="B42" s="16">
        <v>119076.22258428184</v>
      </c>
      <c r="C42" s="14">
        <v>0</v>
      </c>
      <c r="D42" s="16">
        <v>90506.30603143631</v>
      </c>
      <c r="E42" s="14">
        <v>0</v>
      </c>
      <c r="F42" s="12"/>
      <c r="G42" s="14">
        <v>0</v>
      </c>
      <c r="H42" s="16">
        <v>58068.019199999995</v>
      </c>
      <c r="I42" s="16">
        <v>328658.75119999994</v>
      </c>
      <c r="J42" s="10">
        <v>1</v>
      </c>
      <c r="K42" s="10">
        <v>4</v>
      </c>
      <c r="L42" s="10">
        <v>1</v>
      </c>
    </row>
    <row r="43" spans="1:12" ht="33" customHeight="1">
      <c r="A43" s="11" t="s">
        <v>17</v>
      </c>
      <c r="B43" s="16">
        <v>103335.30713441735</v>
      </c>
      <c r="C43" s="14">
        <v>0</v>
      </c>
      <c r="D43" s="16">
        <v>579211.03053116531</v>
      </c>
      <c r="E43" s="14">
        <v>0</v>
      </c>
      <c r="F43" s="12"/>
      <c r="G43" s="14">
        <v>0</v>
      </c>
      <c r="H43" s="16">
        <v>13015.786400000001</v>
      </c>
      <c r="I43" s="16">
        <v>785881.64479999989</v>
      </c>
      <c r="J43" s="10">
        <v>5</v>
      </c>
      <c r="K43" s="10">
        <v>43</v>
      </c>
      <c r="L43" s="10">
        <v>2</v>
      </c>
    </row>
    <row r="44" spans="1:12" ht="33" customHeight="1">
      <c r="A44" s="11" t="s">
        <v>13</v>
      </c>
      <c r="B44" s="16">
        <v>288177.34702981025</v>
      </c>
      <c r="C44" s="14">
        <v>0</v>
      </c>
      <c r="D44" s="16">
        <v>113809.93714037942</v>
      </c>
      <c r="E44" s="14">
        <v>0</v>
      </c>
      <c r="F44" s="12"/>
      <c r="G44" s="14">
        <v>0</v>
      </c>
      <c r="H44" s="16">
        <v>75402.862000000008</v>
      </c>
      <c r="I44" s="16">
        <v>690164.63120000006</v>
      </c>
      <c r="J44" s="10">
        <v>12</v>
      </c>
      <c r="K44" s="10">
        <v>31</v>
      </c>
      <c r="L44" s="10">
        <v>8</v>
      </c>
    </row>
    <row r="45" spans="1:12" ht="33" customHeight="1">
      <c r="A45" s="11" t="s">
        <v>16</v>
      </c>
      <c r="B45" s="16">
        <v>50369.958845528447</v>
      </c>
      <c r="C45" s="14">
        <v>0</v>
      </c>
      <c r="D45" s="16">
        <v>108920.8943089431</v>
      </c>
      <c r="E45" s="14">
        <v>0</v>
      </c>
      <c r="F45" s="12"/>
      <c r="G45" s="14">
        <v>0</v>
      </c>
      <c r="H45" s="16">
        <v>2693.7096000000001</v>
      </c>
      <c r="I45" s="16">
        <v>209660.81200000001</v>
      </c>
      <c r="J45" s="10">
        <v>4</v>
      </c>
      <c r="K45" s="10">
        <v>5</v>
      </c>
      <c r="L45" s="10">
        <v>2</v>
      </c>
    </row>
    <row r="46" spans="1:12">
      <c r="A46" s="11" t="s">
        <v>14</v>
      </c>
      <c r="B46" s="16">
        <v>69359.67033008131</v>
      </c>
      <c r="C46" s="15">
        <v>0</v>
      </c>
      <c r="D46" s="16">
        <v>38716.983739837407</v>
      </c>
      <c r="E46" s="15">
        <v>0</v>
      </c>
      <c r="F46" s="17">
        <v>28955.89</v>
      </c>
      <c r="G46" s="15">
        <v>0</v>
      </c>
      <c r="H46" s="16">
        <v>23654.161999999997</v>
      </c>
      <c r="I46" s="16">
        <v>177436.32439999998</v>
      </c>
      <c r="J46" s="10">
        <v>10</v>
      </c>
      <c r="K46" s="10">
        <v>12</v>
      </c>
      <c r="L46" s="10">
        <v>2</v>
      </c>
    </row>
    <row r="47" spans="1:12">
      <c r="A47" s="11" t="s">
        <v>15</v>
      </c>
      <c r="B47" s="16">
        <v>112563.82100000001</v>
      </c>
      <c r="C47" s="15">
        <v>0</v>
      </c>
      <c r="D47" s="16">
        <v>35389.674400000004</v>
      </c>
      <c r="E47" s="15">
        <v>0</v>
      </c>
      <c r="F47" s="11"/>
      <c r="G47" s="15">
        <v>0</v>
      </c>
      <c r="H47" s="16">
        <v>1176671.3228000002</v>
      </c>
      <c r="I47" s="16">
        <v>260517.31640000001</v>
      </c>
      <c r="J47" s="10">
        <v>756</v>
      </c>
      <c r="K47" s="10">
        <v>374</v>
      </c>
      <c r="L47" s="10">
        <v>688</v>
      </c>
    </row>
    <row r="48" spans="1:12">
      <c r="A48" s="11" t="s">
        <v>49</v>
      </c>
      <c r="B48" s="16"/>
      <c r="C48" s="15">
        <v>0</v>
      </c>
      <c r="D48" s="16"/>
      <c r="E48" s="15">
        <v>0</v>
      </c>
      <c r="F48" s="11"/>
      <c r="G48" s="15">
        <v>0</v>
      </c>
      <c r="H48" s="16">
        <v>20003.655199999997</v>
      </c>
      <c r="I48" s="16"/>
      <c r="J48" s="10">
        <v>2</v>
      </c>
      <c r="K48" s="10"/>
      <c r="L48" s="10"/>
    </row>
    <row r="49" spans="1:12">
      <c r="A49" s="11" t="s">
        <v>50</v>
      </c>
      <c r="B49" s="16">
        <v>32567.223448780485</v>
      </c>
      <c r="C49" s="15">
        <v>0</v>
      </c>
      <c r="D49" s="16">
        <v>2138.2439024390242</v>
      </c>
      <c r="E49" s="15">
        <v>0</v>
      </c>
      <c r="F49" s="11"/>
      <c r="G49" s="15">
        <v>0</v>
      </c>
      <c r="H49" s="16">
        <v>4889.6540000000005</v>
      </c>
      <c r="I49" s="16">
        <v>67272.690799999997</v>
      </c>
      <c r="J49" s="10">
        <v>28</v>
      </c>
      <c r="K49" s="10">
        <v>1</v>
      </c>
      <c r="L49" s="10">
        <v>20</v>
      </c>
    </row>
    <row r="50" spans="1:12">
      <c r="A50" s="11" t="s">
        <v>51</v>
      </c>
      <c r="B50" s="16"/>
      <c r="C50" s="15">
        <v>0</v>
      </c>
      <c r="D50" s="16"/>
      <c r="E50" s="15">
        <v>0</v>
      </c>
      <c r="F50" s="11"/>
      <c r="G50" s="15">
        <v>0</v>
      </c>
      <c r="H50" s="16"/>
      <c r="I50" s="16"/>
      <c r="J50" s="10"/>
      <c r="K50" s="11"/>
      <c r="L50" s="11"/>
    </row>
    <row r="52" spans="1:12">
      <c r="A52" s="7">
        <v>45047</v>
      </c>
    </row>
    <row r="53" spans="1:12" ht="33" customHeight="1">
      <c r="A53" s="2" t="s">
        <v>8</v>
      </c>
      <c r="B53" s="6" t="s">
        <v>37</v>
      </c>
      <c r="C53" s="6" t="s">
        <v>38</v>
      </c>
      <c r="D53" s="6" t="s">
        <v>39</v>
      </c>
      <c r="E53" s="6" t="s">
        <v>40</v>
      </c>
      <c r="F53" s="6" t="s">
        <v>41</v>
      </c>
      <c r="G53" s="6" t="s">
        <v>42</v>
      </c>
      <c r="H53" s="6" t="s">
        <v>43</v>
      </c>
      <c r="I53" s="6" t="s">
        <v>44</v>
      </c>
      <c r="J53" s="4" t="s">
        <v>45</v>
      </c>
      <c r="K53" s="5" t="s">
        <v>46</v>
      </c>
      <c r="L53" s="4" t="s">
        <v>47</v>
      </c>
    </row>
    <row r="54" spans="1:12" ht="33" customHeight="1">
      <c r="A54" s="11" t="s">
        <v>48</v>
      </c>
      <c r="B54" s="16">
        <v>16430.480827642274</v>
      </c>
      <c r="C54" s="14">
        <v>0</v>
      </c>
      <c r="D54" s="16">
        <v>8242.4715447154467</v>
      </c>
      <c r="E54" s="14">
        <v>0</v>
      </c>
      <c r="F54" s="12"/>
      <c r="G54" s="14">
        <v>0</v>
      </c>
      <c r="H54" s="16">
        <v>46067.666400000002</v>
      </c>
      <c r="I54" s="16">
        <v>41103.433199999999</v>
      </c>
      <c r="J54" s="10">
        <v>6</v>
      </c>
      <c r="K54" s="10">
        <v>1</v>
      </c>
      <c r="L54" s="10">
        <v>6</v>
      </c>
    </row>
    <row r="55" spans="1:12" ht="33" customHeight="1">
      <c r="A55" s="11" t="s">
        <v>17</v>
      </c>
      <c r="B55" s="16">
        <v>162899.58282981033</v>
      </c>
      <c r="C55" s="14">
        <v>0</v>
      </c>
      <c r="D55" s="16">
        <v>1212420.8963403795</v>
      </c>
      <c r="E55" s="14">
        <v>0</v>
      </c>
      <c r="F55" s="10">
        <v>1076.18</v>
      </c>
      <c r="G55" s="14">
        <v>0</v>
      </c>
      <c r="H55" s="16">
        <v>17525.733200000002</v>
      </c>
      <c r="I55" s="16">
        <v>1538220.0619999997</v>
      </c>
      <c r="J55" s="10">
        <v>3</v>
      </c>
      <c r="K55" s="10">
        <v>36</v>
      </c>
      <c r="L55" s="10">
        <v>1</v>
      </c>
    </row>
    <row r="56" spans="1:12" ht="33" customHeight="1">
      <c r="A56" s="11" t="s">
        <v>13</v>
      </c>
      <c r="B56" s="16">
        <v>959982.44769972912</v>
      </c>
      <c r="C56" s="14">
        <v>0</v>
      </c>
      <c r="D56" s="16">
        <v>738976.42940054194</v>
      </c>
      <c r="E56" s="14">
        <v>0</v>
      </c>
      <c r="F56" s="10">
        <v>13748.24</v>
      </c>
      <c r="G56" s="14">
        <v>0</v>
      </c>
      <c r="H56" s="16">
        <v>147090.024</v>
      </c>
      <c r="I56" s="16">
        <v>2658941.3248000005</v>
      </c>
      <c r="J56" s="10">
        <v>32</v>
      </c>
      <c r="K56" s="10">
        <v>25</v>
      </c>
      <c r="L56" s="10">
        <v>18</v>
      </c>
    </row>
    <row r="57" spans="1:12" ht="33" customHeight="1">
      <c r="A57" s="11" t="s">
        <v>16</v>
      </c>
      <c r="B57" s="16">
        <v>44837.149616260162</v>
      </c>
      <c r="C57" s="14">
        <v>0</v>
      </c>
      <c r="D57" s="16">
        <v>23613.514367479675</v>
      </c>
      <c r="E57" s="14">
        <v>0</v>
      </c>
      <c r="F57" s="18"/>
      <c r="G57" s="14">
        <v>0</v>
      </c>
      <c r="H57" s="16">
        <v>14179.170399999999</v>
      </c>
      <c r="I57" s="16">
        <v>113287.81359999999</v>
      </c>
      <c r="J57" s="10">
        <v>1</v>
      </c>
      <c r="K57" s="10">
        <v>2</v>
      </c>
      <c r="L57" s="10">
        <v>1</v>
      </c>
    </row>
    <row r="58" spans="1:12">
      <c r="A58" s="11" t="s">
        <v>14</v>
      </c>
      <c r="B58" s="16">
        <v>13581.373774525748</v>
      </c>
      <c r="C58" s="15">
        <v>0</v>
      </c>
      <c r="D58" s="16">
        <v>101024.93085094848</v>
      </c>
      <c r="E58" s="15">
        <v>0</v>
      </c>
      <c r="F58" s="11"/>
      <c r="G58" s="15">
        <v>0</v>
      </c>
      <c r="H58" s="16">
        <v>9944.9380000000001</v>
      </c>
      <c r="I58" s="16">
        <v>128187.6784</v>
      </c>
      <c r="J58" s="10">
        <v>9</v>
      </c>
      <c r="K58" s="10">
        <v>5</v>
      </c>
      <c r="L58" s="10">
        <v>1</v>
      </c>
    </row>
    <row r="59" spans="1:12">
      <c r="A59" s="11" t="s">
        <v>15</v>
      </c>
      <c r="B59" s="16">
        <v>48339.579905149039</v>
      </c>
      <c r="C59" s="15">
        <v>0</v>
      </c>
      <c r="D59" s="16">
        <v>3726.3309897018967</v>
      </c>
      <c r="E59" s="15">
        <v>0</v>
      </c>
      <c r="F59" s="11"/>
      <c r="G59" s="15">
        <v>0</v>
      </c>
      <c r="H59" s="16">
        <v>1456738.639999998</v>
      </c>
      <c r="I59" s="16">
        <v>100405.49079999999</v>
      </c>
      <c r="J59" s="10">
        <v>603</v>
      </c>
      <c r="K59" s="10">
        <v>433</v>
      </c>
      <c r="L59" s="10">
        <v>541</v>
      </c>
    </row>
    <row r="60" spans="1:12">
      <c r="A60" s="11" t="s">
        <v>49</v>
      </c>
      <c r="B60" s="16">
        <v>0</v>
      </c>
      <c r="C60" s="15">
        <v>0</v>
      </c>
      <c r="D60" s="16">
        <v>0</v>
      </c>
      <c r="E60" s="15">
        <v>0</v>
      </c>
      <c r="F60" s="11"/>
      <c r="G60" s="15">
        <v>0</v>
      </c>
      <c r="H60" s="16">
        <v>9216.5651999999991</v>
      </c>
      <c r="I60" s="16">
        <v>0</v>
      </c>
      <c r="J60" s="10">
        <v>3</v>
      </c>
      <c r="K60" s="10">
        <v>2</v>
      </c>
      <c r="L60" s="10"/>
    </row>
    <row r="61" spans="1:12">
      <c r="A61" s="11" t="s">
        <v>50</v>
      </c>
      <c r="B61" s="16">
        <v>5377.456232520326</v>
      </c>
      <c r="C61" s="15">
        <v>0</v>
      </c>
      <c r="D61" s="16">
        <v>1425.4959349593494</v>
      </c>
      <c r="E61" s="15">
        <v>0</v>
      </c>
      <c r="F61" s="11"/>
      <c r="G61" s="15">
        <v>0</v>
      </c>
      <c r="H61" s="16">
        <v>5942.2187999999996</v>
      </c>
      <c r="I61" s="16">
        <v>12180.4084</v>
      </c>
      <c r="J61" s="10">
        <v>10</v>
      </c>
      <c r="K61" s="10">
        <v>2</v>
      </c>
      <c r="L61" s="10">
        <v>1</v>
      </c>
    </row>
    <row r="62" spans="1:12">
      <c r="A62" s="11" t="s">
        <v>51</v>
      </c>
      <c r="B62" s="16"/>
      <c r="C62" s="15">
        <v>0</v>
      </c>
      <c r="D62" s="16"/>
      <c r="E62" s="15">
        <v>0</v>
      </c>
      <c r="F62" s="11"/>
      <c r="G62" s="15">
        <v>0</v>
      </c>
      <c r="H62" s="16"/>
      <c r="I62" s="16"/>
      <c r="J62" s="10"/>
      <c r="K62" s="11"/>
      <c r="L62" s="11"/>
    </row>
    <row r="64" spans="1:12">
      <c r="A64" s="7">
        <v>45078</v>
      </c>
      <c r="B64" s="9" t="s">
        <v>26</v>
      </c>
      <c r="C64" s="9" t="s">
        <v>27</v>
      </c>
      <c r="D64" s="9" t="s">
        <v>28</v>
      </c>
      <c r="E64" s="9" t="s">
        <v>29</v>
      </c>
      <c r="F64" s="9" t="s">
        <v>30</v>
      </c>
      <c r="G64" s="9" t="s">
        <v>31</v>
      </c>
      <c r="H64" s="9" t="s">
        <v>32</v>
      </c>
      <c r="I64" s="9" t="s">
        <v>33</v>
      </c>
      <c r="J64" s="9" t="s">
        <v>34</v>
      </c>
      <c r="K64" s="9" t="s">
        <v>35</v>
      </c>
      <c r="L64" s="9" t="s">
        <v>36</v>
      </c>
    </row>
    <row r="65" spans="1:12" ht="33" customHeight="1">
      <c r="A65" s="2" t="s">
        <v>8</v>
      </c>
      <c r="B65" s="6" t="s">
        <v>37</v>
      </c>
      <c r="C65" s="6" t="s">
        <v>38</v>
      </c>
      <c r="D65" s="6" t="s">
        <v>39</v>
      </c>
      <c r="E65" s="6" t="s">
        <v>40</v>
      </c>
      <c r="F65" s="6" t="s">
        <v>41</v>
      </c>
      <c r="G65" s="6" t="s">
        <v>42</v>
      </c>
      <c r="H65" s="6" t="s">
        <v>43</v>
      </c>
      <c r="I65" s="6" t="s">
        <v>44</v>
      </c>
      <c r="J65" s="4" t="s">
        <v>45</v>
      </c>
      <c r="K65" s="5" t="s">
        <v>46</v>
      </c>
      <c r="L65" s="4" t="s">
        <v>47</v>
      </c>
    </row>
    <row r="66" spans="1:12" ht="33" customHeight="1">
      <c r="A66" s="11" t="s">
        <v>48</v>
      </c>
      <c r="B66" s="16">
        <v>61057.921492682923</v>
      </c>
      <c r="C66" s="14">
        <v>0</v>
      </c>
      <c r="D66" s="16">
        <v>60817.463414634156</v>
      </c>
      <c r="E66" s="14">
        <v>0</v>
      </c>
      <c r="F66" s="12"/>
      <c r="G66" s="14">
        <v>0</v>
      </c>
      <c r="H66" s="16">
        <v>30003.761199999997</v>
      </c>
      <c r="I66" s="16">
        <v>182933.3064</v>
      </c>
      <c r="J66" s="10">
        <v>6</v>
      </c>
      <c r="K66" s="10">
        <v>3</v>
      </c>
      <c r="L66" s="10">
        <v>2</v>
      </c>
    </row>
    <row r="67" spans="1:12" ht="33" customHeight="1">
      <c r="A67" s="11" t="s">
        <v>17</v>
      </c>
      <c r="B67" s="16">
        <v>247496.15802493226</v>
      </c>
      <c r="C67" s="14">
        <v>0</v>
      </c>
      <c r="D67" s="16">
        <v>629070.49875013542</v>
      </c>
      <c r="E67" s="14">
        <v>0</v>
      </c>
      <c r="F67" s="10">
        <v>1143.25</v>
      </c>
      <c r="G67" s="14">
        <v>0</v>
      </c>
      <c r="H67" s="16">
        <v>71993.427200000006</v>
      </c>
      <c r="I67" s="16">
        <v>1124062.8148000001</v>
      </c>
      <c r="J67" s="10">
        <v>12</v>
      </c>
      <c r="K67" s="10">
        <v>25</v>
      </c>
      <c r="L67" s="10">
        <v>6</v>
      </c>
    </row>
    <row r="68" spans="1:12" ht="33" customHeight="1">
      <c r="A68" s="11" t="s">
        <v>13</v>
      </c>
      <c r="B68" s="16">
        <v>399410.08675338747</v>
      </c>
      <c r="C68" s="14">
        <v>0</v>
      </c>
      <c r="D68" s="16">
        <v>1164648.030493225</v>
      </c>
      <c r="E68" s="14">
        <v>0</v>
      </c>
      <c r="F68" s="10">
        <v>95651.32</v>
      </c>
      <c r="G68" s="14">
        <v>0</v>
      </c>
      <c r="H68" s="16">
        <v>160820.24799999996</v>
      </c>
      <c r="I68" s="16">
        <v>1963468.2039999999</v>
      </c>
      <c r="J68" s="10">
        <v>15</v>
      </c>
      <c r="K68" s="10">
        <v>24</v>
      </c>
      <c r="L68" s="10">
        <v>10</v>
      </c>
    </row>
    <row r="69" spans="1:12" ht="33" customHeight="1">
      <c r="A69" s="11" t="s">
        <v>16</v>
      </c>
      <c r="B69" s="16">
        <v>49357.965626558267</v>
      </c>
      <c r="C69" s="14">
        <v>0</v>
      </c>
      <c r="D69" s="16">
        <v>4466.6883468834676</v>
      </c>
      <c r="E69" s="14">
        <v>0</v>
      </c>
      <c r="F69" s="10"/>
      <c r="G69" s="14">
        <v>0</v>
      </c>
      <c r="H69" s="16">
        <v>20023.577600000001</v>
      </c>
      <c r="I69" s="16">
        <v>103182.61960000001</v>
      </c>
      <c r="J69" s="10">
        <v>3</v>
      </c>
      <c r="K69" s="10">
        <v>2</v>
      </c>
      <c r="L69" s="10">
        <v>3</v>
      </c>
    </row>
    <row r="70" spans="1:12">
      <c r="A70" s="11" t="s">
        <v>14</v>
      </c>
      <c r="B70" s="16">
        <v>0</v>
      </c>
      <c r="C70" s="15">
        <v>0</v>
      </c>
      <c r="D70" s="16">
        <v>0</v>
      </c>
      <c r="E70" s="15">
        <v>0</v>
      </c>
      <c r="F70" s="10">
        <v>3775.1</v>
      </c>
      <c r="G70" s="15">
        <v>0</v>
      </c>
      <c r="H70" s="16">
        <v>138170.76879999999</v>
      </c>
      <c r="I70" s="16">
        <v>0</v>
      </c>
      <c r="J70" s="10">
        <v>11</v>
      </c>
      <c r="K70" s="10">
        <v>7</v>
      </c>
      <c r="L70" s="10">
        <v>2</v>
      </c>
    </row>
    <row r="71" spans="1:12">
      <c r="A71" s="11" t="s">
        <v>15</v>
      </c>
      <c r="B71" s="16">
        <v>39031.163799999995</v>
      </c>
      <c r="C71" s="15">
        <v>0</v>
      </c>
      <c r="D71" s="16">
        <v>1258.0295999999998</v>
      </c>
      <c r="E71" s="15">
        <v>0</v>
      </c>
      <c r="F71" s="17"/>
      <c r="G71" s="15">
        <v>0</v>
      </c>
      <c r="H71" s="16">
        <v>1406727.3455999997</v>
      </c>
      <c r="I71" s="16">
        <v>79320.357199999999</v>
      </c>
      <c r="J71" s="10">
        <v>326</v>
      </c>
      <c r="K71" s="10">
        <v>349</v>
      </c>
      <c r="L71" s="10">
        <v>272</v>
      </c>
    </row>
    <row r="72" spans="1:12">
      <c r="A72" s="11" t="s">
        <v>49</v>
      </c>
      <c r="B72" s="16"/>
      <c r="C72" s="15">
        <v>0</v>
      </c>
      <c r="D72" s="16"/>
      <c r="E72" s="15">
        <v>0</v>
      </c>
      <c r="F72" s="11"/>
      <c r="G72" s="15">
        <v>0</v>
      </c>
      <c r="H72" s="16">
        <v>9605.4740000000002</v>
      </c>
      <c r="I72" s="16"/>
      <c r="J72" s="10">
        <v>1</v>
      </c>
      <c r="K72" s="10">
        <v>1</v>
      </c>
      <c r="L72" s="10"/>
    </row>
    <row r="73" spans="1:12">
      <c r="A73" s="11" t="s">
        <v>50</v>
      </c>
      <c r="B73" s="16">
        <v>10366.118832520326</v>
      </c>
      <c r="C73" s="15">
        <v>0</v>
      </c>
      <c r="D73" s="16">
        <v>1425.4959349593494</v>
      </c>
      <c r="E73" s="15">
        <v>0</v>
      </c>
      <c r="F73" s="11"/>
      <c r="G73" s="15">
        <v>0</v>
      </c>
      <c r="H73" s="16">
        <v>2243.982</v>
      </c>
      <c r="I73" s="16">
        <v>22157.7336</v>
      </c>
      <c r="J73" s="10">
        <v>8</v>
      </c>
      <c r="K73" s="11"/>
      <c r="L73" s="10">
        <v>2</v>
      </c>
    </row>
    <row r="74" spans="1:12">
      <c r="A74" s="11" t="s">
        <v>51</v>
      </c>
      <c r="B74" s="16"/>
      <c r="C74" s="15">
        <v>0</v>
      </c>
      <c r="D74" s="11"/>
      <c r="E74" s="15">
        <v>0</v>
      </c>
      <c r="F74" s="11"/>
      <c r="G74" s="15">
        <v>0</v>
      </c>
      <c r="H74" s="16"/>
      <c r="I74" s="16"/>
      <c r="J74" s="10"/>
      <c r="K74" s="11"/>
      <c r="L74" s="11"/>
    </row>
    <row r="76" spans="1:12">
      <c r="A76" s="7">
        <v>45137</v>
      </c>
    </row>
    <row r="77" spans="1:12" ht="33" customHeight="1">
      <c r="A77" s="2" t="s">
        <v>8</v>
      </c>
      <c r="B77" s="6" t="s">
        <v>37</v>
      </c>
      <c r="C77" s="6" t="s">
        <v>38</v>
      </c>
      <c r="D77" s="6" t="s">
        <v>39</v>
      </c>
      <c r="E77" s="6" t="s">
        <v>40</v>
      </c>
      <c r="F77" s="6" t="s">
        <v>41</v>
      </c>
      <c r="G77" s="6" t="s">
        <v>42</v>
      </c>
      <c r="H77" s="6" t="s">
        <v>43</v>
      </c>
      <c r="I77" s="6" t="s">
        <v>44</v>
      </c>
      <c r="J77" s="4" t="s">
        <v>45</v>
      </c>
      <c r="K77" s="5" t="s">
        <v>46</v>
      </c>
      <c r="L77" s="4" t="s">
        <v>47</v>
      </c>
    </row>
    <row r="78" spans="1:12" ht="33" customHeight="1">
      <c r="A78" s="11" t="s">
        <v>48</v>
      </c>
      <c r="B78" s="16">
        <v>5112.7266162601627</v>
      </c>
      <c r="C78" s="14">
        <v>0</v>
      </c>
      <c r="D78" s="16">
        <v>712.74796747967468</v>
      </c>
      <c r="E78" s="14">
        <v>0</v>
      </c>
      <c r="F78" s="12"/>
      <c r="G78" s="14">
        <v>0</v>
      </c>
      <c r="H78" s="16">
        <v>6475.8335999999999</v>
      </c>
      <c r="I78" s="16">
        <v>10938.2012</v>
      </c>
      <c r="J78" s="13"/>
      <c r="K78" s="10">
        <v>5</v>
      </c>
      <c r="L78" s="13"/>
    </row>
    <row r="79" spans="1:12" ht="33" customHeight="1">
      <c r="A79" s="11" t="s">
        <v>17</v>
      </c>
      <c r="B79" s="16">
        <v>92147.070250948527</v>
      </c>
      <c r="C79" s="14">
        <v>0</v>
      </c>
      <c r="D79" s="16">
        <v>674918.95909810299</v>
      </c>
      <c r="E79" s="14">
        <v>0</v>
      </c>
      <c r="F79" s="12"/>
      <c r="G79" s="14">
        <v>0</v>
      </c>
      <c r="H79" s="16">
        <v>30428.370800000004</v>
      </c>
      <c r="I79" s="16">
        <v>859213.09960000007</v>
      </c>
      <c r="J79" s="13"/>
      <c r="K79" s="10">
        <v>30</v>
      </c>
      <c r="L79" s="13"/>
    </row>
    <row r="80" spans="1:12" ht="33" customHeight="1">
      <c r="A80" s="11" t="s">
        <v>13</v>
      </c>
      <c r="B80" s="16">
        <v>494625.19783577247</v>
      </c>
      <c r="C80" s="14">
        <v>0</v>
      </c>
      <c r="D80" s="16">
        <v>747057.52112845529</v>
      </c>
      <c r="E80" s="14">
        <v>0</v>
      </c>
      <c r="F80" s="17">
        <v>353212.98</v>
      </c>
      <c r="G80" s="14">
        <v>0</v>
      </c>
      <c r="H80" s="16">
        <v>135072.6024</v>
      </c>
      <c r="I80" s="16">
        <v>1736307.9167999995</v>
      </c>
      <c r="J80" s="10">
        <v>9</v>
      </c>
      <c r="K80" s="10">
        <v>29</v>
      </c>
      <c r="L80" s="10">
        <v>1</v>
      </c>
    </row>
    <row r="81" spans="1:12" ht="33" customHeight="1">
      <c r="A81" s="11" t="s">
        <v>16</v>
      </c>
      <c r="B81" s="16">
        <v>39548.152967479677</v>
      </c>
      <c r="C81" s="14">
        <v>0</v>
      </c>
      <c r="D81" s="16">
        <v>147341.76806504064</v>
      </c>
      <c r="E81" s="14">
        <v>0</v>
      </c>
      <c r="F81" s="12"/>
      <c r="G81" s="14">
        <v>0</v>
      </c>
      <c r="H81" s="16">
        <v>12870.5216</v>
      </c>
      <c r="I81" s="16">
        <v>226438.07399999999</v>
      </c>
      <c r="J81" s="10">
        <v>4</v>
      </c>
      <c r="K81" s="10">
        <v>2</v>
      </c>
      <c r="L81" s="10">
        <v>2</v>
      </c>
    </row>
    <row r="82" spans="1:12">
      <c r="A82" s="11" t="s">
        <v>14</v>
      </c>
      <c r="B82" s="16">
        <v>67442.616401084</v>
      </c>
      <c r="C82" s="15">
        <v>0</v>
      </c>
      <c r="D82" s="16">
        <v>27589.214397831969</v>
      </c>
      <c r="E82" s="15">
        <v>0</v>
      </c>
      <c r="F82" s="11"/>
      <c r="G82" s="15">
        <v>0</v>
      </c>
      <c r="H82" s="16">
        <v>19609.485200000003</v>
      </c>
      <c r="I82" s="16">
        <v>162474.4472</v>
      </c>
      <c r="J82" s="10">
        <v>13</v>
      </c>
      <c r="K82" s="10">
        <v>4</v>
      </c>
      <c r="L82" s="10">
        <v>5</v>
      </c>
    </row>
    <row r="83" spans="1:12">
      <c r="A83" s="11" t="s">
        <v>15</v>
      </c>
      <c r="B83" s="16">
        <v>144718.97240379409</v>
      </c>
      <c r="C83" s="15">
        <v>0</v>
      </c>
      <c r="D83" s="16">
        <v>12359.021192411923</v>
      </c>
      <c r="E83" s="15">
        <v>0</v>
      </c>
      <c r="F83" s="11"/>
      <c r="G83" s="15">
        <v>0</v>
      </c>
      <c r="H83" s="16">
        <v>1495582.2644000002</v>
      </c>
      <c r="I83" s="16">
        <v>301796.96600000001</v>
      </c>
      <c r="J83" s="10">
        <v>65</v>
      </c>
      <c r="K83" s="10">
        <v>257</v>
      </c>
      <c r="L83" s="10">
        <v>35</v>
      </c>
    </row>
    <row r="84" spans="1:12">
      <c r="A84" s="11" t="s">
        <v>49</v>
      </c>
      <c r="B84" s="16">
        <v>3814.5558303523039</v>
      </c>
      <c r="C84" s="15">
        <v>0</v>
      </c>
      <c r="D84" s="16">
        <v>31817.92953929539</v>
      </c>
      <c r="E84" s="15">
        <v>0</v>
      </c>
      <c r="F84" s="11"/>
      <c r="G84" s="15">
        <v>0</v>
      </c>
      <c r="H84" s="16">
        <v>3960.2575999999999</v>
      </c>
      <c r="I84" s="16">
        <v>39447.0412</v>
      </c>
      <c r="J84" s="10">
        <v>3</v>
      </c>
      <c r="K84" s="10"/>
      <c r="L84" s="10">
        <v>1</v>
      </c>
    </row>
    <row r="85" spans="1:12">
      <c r="A85" s="11" t="s">
        <v>50</v>
      </c>
      <c r="B85" s="16">
        <v>23238.631216260161</v>
      </c>
      <c r="C85" s="15">
        <v>0</v>
      </c>
      <c r="D85" s="16">
        <v>712.74796747967468</v>
      </c>
      <c r="E85" s="15">
        <v>0</v>
      </c>
      <c r="F85" s="11"/>
      <c r="G85" s="15">
        <v>0</v>
      </c>
      <c r="H85" s="16">
        <v>5801.3652000000002</v>
      </c>
      <c r="I85" s="16">
        <v>47190.010399999999</v>
      </c>
      <c r="J85" s="10">
        <v>16</v>
      </c>
      <c r="K85" s="10">
        <v>2</v>
      </c>
      <c r="L85" s="10">
        <v>8</v>
      </c>
    </row>
    <row r="86" spans="1:12">
      <c r="A86" s="11" t="s">
        <v>51</v>
      </c>
      <c r="B86" s="11"/>
      <c r="C86" s="15">
        <v>0</v>
      </c>
      <c r="D86" s="11"/>
      <c r="E86" s="15">
        <v>0</v>
      </c>
      <c r="F86" s="11"/>
      <c r="G86" s="15">
        <v>0</v>
      </c>
      <c r="H86" s="16"/>
      <c r="I86" s="16"/>
      <c r="J86" s="10"/>
      <c r="K86" s="11"/>
      <c r="L86" s="10"/>
    </row>
    <row r="88" spans="1:12">
      <c r="A88" s="7">
        <v>45139</v>
      </c>
    </row>
    <row r="89" spans="1:12" ht="33" customHeight="1">
      <c r="A89" s="2" t="s">
        <v>8</v>
      </c>
      <c r="B89" s="6" t="s">
        <v>37</v>
      </c>
      <c r="C89" s="6" t="s">
        <v>38</v>
      </c>
      <c r="D89" s="6" t="s">
        <v>39</v>
      </c>
      <c r="E89" s="6" t="s">
        <v>40</v>
      </c>
      <c r="F89" s="6" t="s">
        <v>41</v>
      </c>
      <c r="G89" s="6" t="s">
        <v>42</v>
      </c>
      <c r="H89" s="6" t="s">
        <v>43</v>
      </c>
      <c r="I89" s="6" t="s">
        <v>44</v>
      </c>
      <c r="J89" s="4" t="s">
        <v>45</v>
      </c>
      <c r="K89" s="5" t="s">
        <v>46</v>
      </c>
      <c r="L89" s="4" t="s">
        <v>47</v>
      </c>
    </row>
    <row r="90" spans="1:12" ht="33" customHeight="1">
      <c r="A90" s="11" t="s">
        <v>48</v>
      </c>
      <c r="B90" s="16">
        <v>150073.87884986453</v>
      </c>
      <c r="C90" s="14">
        <v>0</v>
      </c>
      <c r="D90" s="16">
        <v>259449.01510027095</v>
      </c>
      <c r="E90" s="14">
        <v>0</v>
      </c>
      <c r="F90" s="12"/>
      <c r="G90" s="14">
        <v>0</v>
      </c>
      <c r="H90" s="16">
        <v>38050.819599999995</v>
      </c>
      <c r="I90" s="16">
        <v>559596.77280000004</v>
      </c>
      <c r="J90" s="10">
        <v>1</v>
      </c>
      <c r="K90" s="10">
        <v>2</v>
      </c>
      <c r="L90" s="10">
        <v>1</v>
      </c>
    </row>
    <row r="91" spans="1:12" ht="33" customHeight="1">
      <c r="A91" s="11" t="s">
        <v>17</v>
      </c>
      <c r="B91" s="16">
        <v>180399.45116693771</v>
      </c>
      <c r="C91" s="14">
        <v>0</v>
      </c>
      <c r="D91" s="16">
        <v>830195.59086612449</v>
      </c>
      <c r="E91" s="14">
        <v>0</v>
      </c>
      <c r="F91" s="17">
        <v>8817.380000000001</v>
      </c>
      <c r="G91" s="14">
        <v>0</v>
      </c>
      <c r="H91" s="16">
        <v>41253.950800000006</v>
      </c>
      <c r="I91" s="16">
        <v>1190994.4931999999</v>
      </c>
      <c r="J91" s="10">
        <v>4</v>
      </c>
      <c r="K91" s="10">
        <v>25</v>
      </c>
      <c r="L91" s="10">
        <v>3</v>
      </c>
    </row>
    <row r="92" spans="1:12" ht="33" customHeight="1">
      <c r="A92" s="11" t="s">
        <v>13</v>
      </c>
      <c r="B92" s="16">
        <v>577389.10671382106</v>
      </c>
      <c r="C92" s="14">
        <v>0</v>
      </c>
      <c r="D92" s="16">
        <v>612846.13897235726</v>
      </c>
      <c r="E92" s="14">
        <v>0</v>
      </c>
      <c r="F92" s="12"/>
      <c r="G92" s="14">
        <v>0</v>
      </c>
      <c r="H92" s="16">
        <v>98380.29800000001</v>
      </c>
      <c r="I92" s="16">
        <v>1767624.3524</v>
      </c>
      <c r="J92" s="10">
        <v>18</v>
      </c>
      <c r="K92" s="10">
        <v>22</v>
      </c>
      <c r="L92" s="10">
        <v>5</v>
      </c>
    </row>
    <row r="93" spans="1:12" ht="33" customHeight="1">
      <c r="A93" s="11" t="s">
        <v>16</v>
      </c>
      <c r="B93" s="16">
        <v>10843.99890406504</v>
      </c>
      <c r="C93" s="14">
        <v>0</v>
      </c>
      <c r="D93" s="16">
        <v>93147.186991869923</v>
      </c>
      <c r="E93" s="14">
        <v>0</v>
      </c>
      <c r="F93" s="12"/>
      <c r="G93" s="14">
        <v>0</v>
      </c>
      <c r="H93" s="16">
        <v>7504.9492</v>
      </c>
      <c r="I93" s="16">
        <v>114835.1848</v>
      </c>
      <c r="J93" s="10"/>
      <c r="K93" s="10"/>
      <c r="L93" s="10"/>
    </row>
    <row r="94" spans="1:12">
      <c r="A94" s="11" t="s">
        <v>14</v>
      </c>
      <c r="B94" s="16">
        <v>2454.365016260163</v>
      </c>
      <c r="C94" s="15">
        <v>0</v>
      </c>
      <c r="D94" s="16">
        <v>44755.997967479678</v>
      </c>
      <c r="E94" s="15">
        <v>0</v>
      </c>
      <c r="F94" s="11"/>
      <c r="G94" s="15">
        <v>0</v>
      </c>
      <c r="H94" s="16">
        <v>9409.1703999999991</v>
      </c>
      <c r="I94" s="16">
        <v>49664.728000000003</v>
      </c>
      <c r="J94" s="10">
        <v>15</v>
      </c>
      <c r="K94" s="10">
        <v>3</v>
      </c>
      <c r="L94" s="10">
        <v>1</v>
      </c>
    </row>
    <row r="95" spans="1:12">
      <c r="A95" s="11" t="s">
        <v>15</v>
      </c>
      <c r="B95" s="16">
        <v>61221.229895934965</v>
      </c>
      <c r="C95" s="15">
        <v>0</v>
      </c>
      <c r="D95" s="16">
        <v>50184.078208130086</v>
      </c>
      <c r="E95" s="15">
        <v>0</v>
      </c>
      <c r="F95" s="11"/>
      <c r="G95" s="15">
        <v>0</v>
      </c>
      <c r="H95" s="16">
        <v>1671929.0836</v>
      </c>
      <c r="I95" s="16">
        <v>172626.538</v>
      </c>
      <c r="J95" s="10">
        <v>48</v>
      </c>
      <c r="K95" s="10">
        <v>361</v>
      </c>
      <c r="L95" s="10">
        <v>29</v>
      </c>
    </row>
    <row r="96" spans="1:12">
      <c r="A96" s="11" t="s">
        <v>49</v>
      </c>
      <c r="B96" s="16"/>
      <c r="C96" s="15">
        <v>0</v>
      </c>
      <c r="D96" s="16"/>
      <c r="E96" s="15">
        <v>0</v>
      </c>
      <c r="F96" s="11"/>
      <c r="G96" s="15">
        <v>0</v>
      </c>
      <c r="H96" s="16">
        <v>208695.796</v>
      </c>
      <c r="I96" s="16"/>
      <c r="J96" s="10">
        <v>7</v>
      </c>
      <c r="K96" s="10">
        <v>2</v>
      </c>
      <c r="L96" s="10">
        <v>4</v>
      </c>
    </row>
    <row r="97" spans="1:12">
      <c r="A97" s="11" t="s">
        <v>50</v>
      </c>
      <c r="B97" s="16">
        <v>41609.144416260162</v>
      </c>
      <c r="C97" s="15">
        <v>0</v>
      </c>
      <c r="D97" s="16">
        <v>712.74796747967468</v>
      </c>
      <c r="E97" s="15">
        <v>0</v>
      </c>
      <c r="F97" s="11"/>
      <c r="G97" s="15">
        <v>0</v>
      </c>
      <c r="H97" s="16">
        <v>4490.3580000000002</v>
      </c>
      <c r="I97" s="16">
        <v>83931.036800000002</v>
      </c>
      <c r="J97" s="10">
        <v>2</v>
      </c>
      <c r="K97" s="10">
        <v>3</v>
      </c>
      <c r="L97" s="11"/>
    </row>
    <row r="98" spans="1:12">
      <c r="A98" s="11" t="s">
        <v>51</v>
      </c>
      <c r="B98" s="11"/>
      <c r="C98" s="15">
        <v>0</v>
      </c>
      <c r="D98" s="16"/>
      <c r="E98" s="15">
        <v>0</v>
      </c>
      <c r="F98" s="11"/>
      <c r="G98" s="15">
        <v>0</v>
      </c>
      <c r="H98" s="11"/>
      <c r="I98" s="16"/>
      <c r="J98" s="10"/>
      <c r="K98" s="11"/>
      <c r="L98" s="11"/>
    </row>
    <row r="100" spans="1:12">
      <c r="A100" s="7">
        <v>45170</v>
      </c>
    </row>
    <row r="101" spans="1:12" ht="33" customHeight="1">
      <c r="A101" s="2" t="s">
        <v>8</v>
      </c>
      <c r="B101" s="6" t="s">
        <v>37</v>
      </c>
      <c r="C101" s="6" t="s">
        <v>38</v>
      </c>
      <c r="D101" s="6" t="s">
        <v>39</v>
      </c>
      <c r="E101" s="6" t="s">
        <v>40</v>
      </c>
      <c r="F101" s="6" t="s">
        <v>41</v>
      </c>
      <c r="G101" s="6" t="s">
        <v>42</v>
      </c>
      <c r="H101" s="6" t="s">
        <v>43</v>
      </c>
      <c r="I101" s="6" t="s">
        <v>44</v>
      </c>
      <c r="J101" s="4" t="s">
        <v>45</v>
      </c>
      <c r="K101" s="5" t="s">
        <v>46</v>
      </c>
      <c r="L101" s="4" t="s">
        <v>47</v>
      </c>
    </row>
    <row r="102" spans="1:12" ht="33" customHeight="1">
      <c r="A102" s="11" t="s">
        <v>48</v>
      </c>
      <c r="B102" s="16">
        <v>205158.30247262874</v>
      </c>
      <c r="C102" s="14">
        <v>0</v>
      </c>
      <c r="D102" s="16">
        <v>190791.47425474253</v>
      </c>
      <c r="E102" s="14">
        <v>0</v>
      </c>
      <c r="F102" s="12"/>
      <c r="G102" s="14">
        <v>0</v>
      </c>
      <c r="H102" s="16">
        <v>97598.724800000011</v>
      </c>
      <c r="I102" s="16">
        <v>601108.07920000004</v>
      </c>
      <c r="J102" s="13"/>
      <c r="K102" s="10">
        <v>3</v>
      </c>
      <c r="L102" s="13"/>
    </row>
    <row r="103" spans="1:12" ht="33" customHeight="1">
      <c r="A103" s="11" t="s">
        <v>17</v>
      </c>
      <c r="B103" s="16">
        <v>189225.96487913281</v>
      </c>
      <c r="C103" s="14">
        <v>0</v>
      </c>
      <c r="D103" s="16">
        <v>865418.2838417344</v>
      </c>
      <c r="E103" s="14">
        <v>0</v>
      </c>
      <c r="F103" s="12"/>
      <c r="G103" s="14">
        <v>0</v>
      </c>
      <c r="H103" s="16">
        <v>43653.439600000005</v>
      </c>
      <c r="I103" s="16">
        <v>1243870.2136000001</v>
      </c>
      <c r="J103" s="10">
        <v>2</v>
      </c>
      <c r="K103" s="10">
        <v>24</v>
      </c>
      <c r="L103" s="13"/>
    </row>
    <row r="104" spans="1:12" ht="33" customHeight="1">
      <c r="A104" s="11" t="s">
        <v>13</v>
      </c>
      <c r="B104" s="16">
        <v>544482.4021810299</v>
      </c>
      <c r="C104" s="14">
        <v>0</v>
      </c>
      <c r="D104" s="16">
        <v>742584.7472379402</v>
      </c>
      <c r="E104" s="14">
        <v>0</v>
      </c>
      <c r="F104" s="12"/>
      <c r="G104" s="14">
        <v>0</v>
      </c>
      <c r="H104" s="16">
        <v>175917.57160000002</v>
      </c>
      <c r="I104" s="16">
        <v>1831549.5516000001</v>
      </c>
      <c r="J104" s="10">
        <v>21</v>
      </c>
      <c r="K104" s="10">
        <v>29</v>
      </c>
      <c r="L104" s="10">
        <v>1</v>
      </c>
    </row>
    <row r="105" spans="1:12" ht="33" customHeight="1">
      <c r="A105" s="11" t="s">
        <v>16</v>
      </c>
      <c r="B105" s="16">
        <v>0</v>
      </c>
      <c r="C105" s="14">
        <v>0</v>
      </c>
      <c r="D105" s="16">
        <v>302510.41239999997</v>
      </c>
      <c r="E105" s="14">
        <v>0</v>
      </c>
      <c r="F105" s="12"/>
      <c r="G105" s="14">
        <v>0</v>
      </c>
      <c r="H105" s="16">
        <v>3249.9412000000002</v>
      </c>
      <c r="I105" s="16">
        <v>302510.41239999997</v>
      </c>
      <c r="J105" s="10"/>
      <c r="K105" s="10">
        <v>6</v>
      </c>
      <c r="L105" s="10"/>
    </row>
    <row r="106" spans="1:12">
      <c r="A106" s="11" t="s">
        <v>14</v>
      </c>
      <c r="B106" s="16">
        <v>0</v>
      </c>
      <c r="C106" s="15">
        <v>0</v>
      </c>
      <c r="D106" s="16">
        <v>7760.2300000000014</v>
      </c>
      <c r="E106" s="15">
        <v>0</v>
      </c>
      <c r="F106" s="11"/>
      <c r="G106" s="15">
        <v>0</v>
      </c>
      <c r="H106" s="16">
        <v>400</v>
      </c>
      <c r="I106" s="16">
        <v>7760.2300000000014</v>
      </c>
      <c r="J106" s="10">
        <v>5</v>
      </c>
      <c r="K106" s="10">
        <v>11</v>
      </c>
      <c r="L106" s="10"/>
    </row>
    <row r="107" spans="1:12">
      <c r="A107" s="11" t="s">
        <v>15</v>
      </c>
      <c r="B107" s="16">
        <v>70055.066816260165</v>
      </c>
      <c r="C107" s="15">
        <v>0</v>
      </c>
      <c r="D107" s="16">
        <v>21820.660367479675</v>
      </c>
      <c r="E107" s="15">
        <v>0</v>
      </c>
      <c r="F107" s="11"/>
      <c r="G107" s="15">
        <v>0</v>
      </c>
      <c r="H107" s="16">
        <v>997660.83360000025</v>
      </c>
      <c r="I107" s="16">
        <v>161930.79399999999</v>
      </c>
      <c r="J107" s="10">
        <v>44</v>
      </c>
      <c r="K107" s="10">
        <v>343</v>
      </c>
      <c r="L107" s="10">
        <v>25</v>
      </c>
    </row>
    <row r="108" spans="1:12">
      <c r="A108" s="11" t="s">
        <v>49</v>
      </c>
      <c r="B108" s="16">
        <v>0</v>
      </c>
      <c r="C108" s="15">
        <v>0</v>
      </c>
      <c r="D108" s="16">
        <v>0</v>
      </c>
      <c r="E108" s="15">
        <v>0</v>
      </c>
      <c r="F108" s="11"/>
      <c r="G108" s="15">
        <v>0</v>
      </c>
      <c r="H108" s="16">
        <v>97772.7408</v>
      </c>
      <c r="I108" s="16">
        <v>0</v>
      </c>
      <c r="J108" s="10">
        <v>2</v>
      </c>
      <c r="K108" s="10">
        <v>2</v>
      </c>
      <c r="L108" s="10"/>
    </row>
    <row r="109" spans="1:12">
      <c r="A109" s="11" t="s">
        <v>50</v>
      </c>
      <c r="B109" s="16">
        <v>61299.00924878048</v>
      </c>
      <c r="C109" s="15">
        <v>0</v>
      </c>
      <c r="D109" s="16">
        <v>2138.2439024390242</v>
      </c>
      <c r="E109" s="15">
        <v>0</v>
      </c>
      <c r="F109" s="11"/>
      <c r="G109" s="15">
        <v>0</v>
      </c>
      <c r="H109" s="16">
        <v>16136.301599999999</v>
      </c>
      <c r="I109" s="16">
        <v>124736.26240000001</v>
      </c>
      <c r="J109" s="10">
        <v>7</v>
      </c>
      <c r="K109" s="11"/>
      <c r="L109" s="10">
        <v>1</v>
      </c>
    </row>
    <row r="110" spans="1:12">
      <c r="A110" s="11" t="s">
        <v>51</v>
      </c>
      <c r="B110" s="16"/>
      <c r="C110" s="15">
        <v>0</v>
      </c>
      <c r="D110" s="16"/>
      <c r="E110" s="15">
        <v>0</v>
      </c>
      <c r="F110" s="11"/>
      <c r="G110" s="15">
        <v>0</v>
      </c>
      <c r="H110" s="11"/>
      <c r="I110" s="16"/>
      <c r="J110" s="10"/>
      <c r="K110" s="11"/>
      <c r="L110" s="10"/>
    </row>
    <row r="112" spans="1:12">
      <c r="A112" s="7">
        <v>45200</v>
      </c>
    </row>
    <row r="113" spans="1:12" ht="33" customHeight="1">
      <c r="A113" s="2" t="s">
        <v>8</v>
      </c>
      <c r="B113" s="6" t="s">
        <v>37</v>
      </c>
      <c r="C113" s="6" t="s">
        <v>38</v>
      </c>
      <c r="D113" s="6" t="s">
        <v>39</v>
      </c>
      <c r="E113" s="6" t="s">
        <v>40</v>
      </c>
      <c r="F113" s="6" t="s">
        <v>41</v>
      </c>
      <c r="G113" s="6" t="s">
        <v>42</v>
      </c>
      <c r="H113" s="6" t="s">
        <v>43</v>
      </c>
      <c r="I113" s="6" t="s">
        <v>44</v>
      </c>
      <c r="J113" s="4" t="s">
        <v>45</v>
      </c>
      <c r="K113" s="5" t="s">
        <v>46</v>
      </c>
      <c r="L113" s="4" t="s">
        <v>47</v>
      </c>
    </row>
    <row r="114" spans="1:12" ht="33" customHeight="1">
      <c r="A114" s="11" t="s">
        <v>48</v>
      </c>
      <c r="B114" s="16">
        <v>157972.66335826559</v>
      </c>
      <c r="C114" s="14">
        <v>0</v>
      </c>
      <c r="D114" s="16">
        <v>351314.3468834688</v>
      </c>
      <c r="E114" s="14">
        <v>0</v>
      </c>
      <c r="F114" s="12"/>
      <c r="G114" s="14">
        <v>0</v>
      </c>
      <c r="H114" s="16">
        <v>70336.998800000001</v>
      </c>
      <c r="I114" s="16">
        <v>667259.6736000001</v>
      </c>
      <c r="J114" s="13"/>
      <c r="K114" s="10">
        <v>2</v>
      </c>
      <c r="L114" s="13"/>
    </row>
    <row r="115" spans="1:12" ht="33" customHeight="1">
      <c r="A115" s="11" t="s">
        <v>17</v>
      </c>
      <c r="B115" s="16">
        <v>183200.8803376694</v>
      </c>
      <c r="C115" s="14">
        <v>0</v>
      </c>
      <c r="D115" s="16">
        <v>689072.22732466122</v>
      </c>
      <c r="E115" s="14">
        <v>0</v>
      </c>
      <c r="F115" s="10">
        <v>1557.8400000000001</v>
      </c>
      <c r="G115" s="14">
        <v>0</v>
      </c>
      <c r="H115" s="16">
        <v>30289.578399999999</v>
      </c>
      <c r="I115" s="16">
        <v>1055473.9880000001</v>
      </c>
      <c r="J115" s="10">
        <v>2</v>
      </c>
      <c r="K115" s="10">
        <v>24</v>
      </c>
      <c r="L115" s="10">
        <v>2</v>
      </c>
    </row>
    <row r="116" spans="1:12" ht="33" customHeight="1">
      <c r="A116" s="11" t="s">
        <v>13</v>
      </c>
      <c r="B116" s="16">
        <v>427525.1336525745</v>
      </c>
      <c r="C116" s="14">
        <v>0</v>
      </c>
      <c r="D116" s="16">
        <v>746131.72469485085</v>
      </c>
      <c r="E116" s="14">
        <v>0</v>
      </c>
      <c r="F116" s="10">
        <v>98787.760000000009</v>
      </c>
      <c r="G116" s="14">
        <v>0</v>
      </c>
      <c r="H116" s="16">
        <v>94710.898000000001</v>
      </c>
      <c r="I116" s="16">
        <v>1601181.9919999999</v>
      </c>
      <c r="J116" s="10">
        <v>15</v>
      </c>
      <c r="K116" s="10">
        <v>24</v>
      </c>
      <c r="L116" s="10">
        <v>2</v>
      </c>
    </row>
    <row r="117" spans="1:12" ht="33" customHeight="1">
      <c r="A117" s="11" t="s">
        <v>16</v>
      </c>
      <c r="B117" s="16">
        <v>79229.618771815716</v>
      </c>
      <c r="C117" s="14">
        <v>0</v>
      </c>
      <c r="D117" s="16">
        <v>181372.17405636856</v>
      </c>
      <c r="E117" s="14">
        <v>0</v>
      </c>
      <c r="F117" s="10"/>
      <c r="G117" s="14">
        <v>0</v>
      </c>
      <c r="H117" s="16">
        <v>16694.998800000001</v>
      </c>
      <c r="I117" s="16">
        <v>339831.41159999999</v>
      </c>
      <c r="J117" s="10"/>
      <c r="K117" s="10">
        <v>2</v>
      </c>
      <c r="L117" s="10"/>
    </row>
    <row r="118" spans="1:12">
      <c r="A118" s="11" t="s">
        <v>14</v>
      </c>
      <c r="B118" s="16">
        <v>13022.22087696477</v>
      </c>
      <c r="C118" s="15">
        <v>0</v>
      </c>
      <c r="D118" s="16">
        <v>170950.29104607046</v>
      </c>
      <c r="E118" s="15">
        <v>0</v>
      </c>
      <c r="F118" s="10"/>
      <c r="G118" s="15">
        <v>0</v>
      </c>
      <c r="H118" s="16">
        <v>17985.8128</v>
      </c>
      <c r="I118" s="16">
        <v>196994.73280000003</v>
      </c>
      <c r="J118" s="10">
        <v>10</v>
      </c>
      <c r="K118" s="10">
        <v>4</v>
      </c>
      <c r="L118" s="10">
        <v>4</v>
      </c>
    </row>
    <row r="119" spans="1:12">
      <c r="A119" s="11" t="s">
        <v>15</v>
      </c>
      <c r="B119" s="16">
        <v>95038.150144715444</v>
      </c>
      <c r="C119" s="15">
        <v>0</v>
      </c>
      <c r="D119" s="16">
        <v>90141.44171056911</v>
      </c>
      <c r="E119" s="15">
        <v>0</v>
      </c>
      <c r="F119" s="10"/>
      <c r="G119" s="15">
        <v>0</v>
      </c>
      <c r="H119" s="16">
        <v>1286769.6156000001</v>
      </c>
      <c r="I119" s="16">
        <v>280217.74199999997</v>
      </c>
      <c r="J119" s="10">
        <v>55</v>
      </c>
      <c r="K119" s="10">
        <v>419</v>
      </c>
      <c r="L119" s="10">
        <v>32</v>
      </c>
    </row>
    <row r="120" spans="1:12">
      <c r="A120" s="11" t="s">
        <v>49</v>
      </c>
      <c r="B120" s="16">
        <v>1543.776661788618</v>
      </c>
      <c r="C120" s="15">
        <v>0</v>
      </c>
      <c r="D120" s="16">
        <v>1443.6422764227641</v>
      </c>
      <c r="E120" s="15">
        <v>0</v>
      </c>
      <c r="F120" s="10"/>
      <c r="G120" s="15">
        <v>0</v>
      </c>
      <c r="H120" s="16">
        <v>125</v>
      </c>
      <c r="I120" s="16">
        <v>4531.1956</v>
      </c>
      <c r="J120" s="10">
        <v>1</v>
      </c>
      <c r="K120" s="10">
        <v>1</v>
      </c>
      <c r="L120" s="10">
        <v>1</v>
      </c>
    </row>
    <row r="121" spans="1:12">
      <c r="A121" s="11" t="s">
        <v>50</v>
      </c>
      <c r="B121" s="16">
        <v>23093.044681300809</v>
      </c>
      <c r="C121" s="15">
        <v>0</v>
      </c>
      <c r="D121" s="16">
        <v>3563.7398373983733</v>
      </c>
      <c r="E121" s="15">
        <v>0</v>
      </c>
      <c r="F121" s="11"/>
      <c r="G121" s="15">
        <v>0</v>
      </c>
      <c r="H121" s="16">
        <v>9842.4827999999998</v>
      </c>
      <c r="I121" s="16">
        <v>49749.829200000007</v>
      </c>
      <c r="J121" s="10">
        <v>8</v>
      </c>
      <c r="K121" s="10">
        <v>2</v>
      </c>
      <c r="L121" s="10">
        <v>3</v>
      </c>
    </row>
    <row r="122" spans="1:12">
      <c r="A122" s="11" t="s">
        <v>51</v>
      </c>
      <c r="B122" s="11"/>
      <c r="C122" s="15">
        <v>0</v>
      </c>
      <c r="D122" s="16"/>
      <c r="E122" s="15">
        <v>0</v>
      </c>
      <c r="F122" s="11"/>
      <c r="G122" s="15">
        <v>0</v>
      </c>
      <c r="H122" s="16"/>
      <c r="I122" s="16"/>
      <c r="J122" s="10"/>
      <c r="K122" s="10"/>
      <c r="L122" s="11"/>
    </row>
    <row r="124" spans="1:12">
      <c r="A124" s="7">
        <v>45231</v>
      </c>
    </row>
    <row r="125" spans="1:12" ht="33" customHeight="1">
      <c r="A125" s="2" t="s">
        <v>8</v>
      </c>
      <c r="B125" s="6" t="s">
        <v>37</v>
      </c>
      <c r="C125" s="6" t="s">
        <v>38</v>
      </c>
      <c r="D125" s="6" t="s">
        <v>39</v>
      </c>
      <c r="E125" s="6" t="s">
        <v>40</v>
      </c>
      <c r="F125" s="6" t="s">
        <v>41</v>
      </c>
      <c r="G125" s="6" t="s">
        <v>42</v>
      </c>
      <c r="H125" s="6" t="s">
        <v>43</v>
      </c>
      <c r="I125" s="6" t="s">
        <v>44</v>
      </c>
      <c r="J125" s="4" t="s">
        <v>45</v>
      </c>
      <c r="K125" s="5" t="s">
        <v>46</v>
      </c>
      <c r="L125" s="4" t="s">
        <v>47</v>
      </c>
    </row>
    <row r="126" spans="1:12" ht="33" customHeight="1">
      <c r="A126" s="11" t="s">
        <v>48</v>
      </c>
      <c r="B126" s="16">
        <v>70520.055710027096</v>
      </c>
      <c r="C126" s="14">
        <v>0</v>
      </c>
      <c r="D126" s="16">
        <v>234441.99457994581</v>
      </c>
      <c r="E126" s="14">
        <v>0</v>
      </c>
      <c r="F126" s="12"/>
      <c r="G126" s="14">
        <v>0</v>
      </c>
      <c r="H126" s="16">
        <v>171283.44719999997</v>
      </c>
      <c r="I126" s="16">
        <v>375482.10600000003</v>
      </c>
      <c r="J126" s="10">
        <v>7</v>
      </c>
      <c r="K126" s="10">
        <v>3</v>
      </c>
      <c r="L126" s="10">
        <v>3</v>
      </c>
    </row>
    <row r="127" spans="1:12" ht="33" customHeight="1">
      <c r="A127" s="11" t="s">
        <v>17</v>
      </c>
      <c r="B127" s="16">
        <v>56218.225939837401</v>
      </c>
      <c r="C127" s="14">
        <v>0</v>
      </c>
      <c r="D127" s="16">
        <v>473830.1789203253</v>
      </c>
      <c r="E127" s="14">
        <v>0</v>
      </c>
      <c r="F127" s="12"/>
      <c r="G127" s="14">
        <v>0</v>
      </c>
      <c r="H127" s="16">
        <v>25103.142</v>
      </c>
      <c r="I127" s="16">
        <v>586266.63080000004</v>
      </c>
      <c r="J127" s="10">
        <v>2</v>
      </c>
      <c r="K127" s="10">
        <v>26</v>
      </c>
      <c r="L127" s="10"/>
    </row>
    <row r="128" spans="1:12" ht="33" customHeight="1">
      <c r="A128" s="11" t="s">
        <v>13</v>
      </c>
      <c r="B128" s="16">
        <v>795758.93987208698</v>
      </c>
      <c r="C128" s="14">
        <v>0</v>
      </c>
      <c r="D128" s="16">
        <v>1315522.8930558264</v>
      </c>
      <c r="E128" s="14">
        <v>0</v>
      </c>
      <c r="F128" s="17">
        <v>10379.93</v>
      </c>
      <c r="G128" s="14">
        <v>0</v>
      </c>
      <c r="H128" s="16">
        <v>217868.69960000002</v>
      </c>
      <c r="I128" s="16">
        <v>2907040.7727999995</v>
      </c>
      <c r="J128" s="10">
        <v>5</v>
      </c>
      <c r="K128" s="10">
        <v>22</v>
      </c>
      <c r="L128" s="10">
        <v>3</v>
      </c>
    </row>
    <row r="129" spans="1:12" ht="33" customHeight="1">
      <c r="A129" s="11" t="s">
        <v>16</v>
      </c>
      <c r="B129" s="16"/>
      <c r="C129" s="14">
        <v>0</v>
      </c>
      <c r="D129" s="16"/>
      <c r="E129" s="14">
        <v>0</v>
      </c>
      <c r="F129" s="12"/>
      <c r="G129" s="14">
        <v>0</v>
      </c>
      <c r="H129" s="16"/>
      <c r="I129" s="16"/>
      <c r="J129" s="10"/>
      <c r="K129" s="10"/>
      <c r="L129" s="10"/>
    </row>
    <row r="130" spans="1:12">
      <c r="A130" s="11" t="s">
        <v>14</v>
      </c>
      <c r="B130" s="16">
        <v>44667.733532520324</v>
      </c>
      <c r="C130" s="15">
        <v>0</v>
      </c>
      <c r="D130" s="16">
        <v>111656.87693495935</v>
      </c>
      <c r="E130" s="15">
        <v>0</v>
      </c>
      <c r="F130" s="11"/>
      <c r="G130" s="15">
        <v>0</v>
      </c>
      <c r="H130" s="16">
        <v>20994.686799999999</v>
      </c>
      <c r="I130" s="16">
        <v>200992.34400000004</v>
      </c>
      <c r="J130" s="10">
        <v>7</v>
      </c>
      <c r="K130" s="10">
        <v>3</v>
      </c>
      <c r="L130" s="10">
        <v>3</v>
      </c>
    </row>
    <row r="131" spans="1:12">
      <c r="A131" s="11" t="s">
        <v>15</v>
      </c>
      <c r="B131" s="16">
        <v>131035.8579734417</v>
      </c>
      <c r="C131" s="15">
        <v>0</v>
      </c>
      <c r="D131" s="16">
        <v>414600.36365311657</v>
      </c>
      <c r="E131" s="15">
        <v>0</v>
      </c>
      <c r="F131" s="11"/>
      <c r="G131" s="15">
        <v>0</v>
      </c>
      <c r="H131" s="16">
        <v>1156911.1799999992</v>
      </c>
      <c r="I131" s="16">
        <v>676672.07959999994</v>
      </c>
      <c r="J131" s="10">
        <v>43</v>
      </c>
      <c r="K131" s="10">
        <v>293</v>
      </c>
      <c r="L131" s="10">
        <v>16</v>
      </c>
    </row>
    <row r="132" spans="1:12">
      <c r="A132" s="11" t="s">
        <v>49</v>
      </c>
      <c r="B132" s="16"/>
      <c r="C132" s="15">
        <v>0</v>
      </c>
      <c r="D132" s="16"/>
      <c r="E132" s="15">
        <v>0</v>
      </c>
      <c r="F132" s="11"/>
      <c r="G132" s="15">
        <v>0</v>
      </c>
      <c r="H132" s="16"/>
      <c r="I132" s="16"/>
      <c r="J132" s="10">
        <v>1</v>
      </c>
      <c r="K132" s="10">
        <v>1</v>
      </c>
      <c r="L132" s="10"/>
    </row>
    <row r="133" spans="1:12">
      <c r="A133" s="11" t="s">
        <v>50</v>
      </c>
      <c r="B133" s="16">
        <v>16067.465081300814</v>
      </c>
      <c r="C133" s="15">
        <v>0</v>
      </c>
      <c r="D133" s="16">
        <v>3813.6370373983732</v>
      </c>
      <c r="E133" s="15">
        <v>0</v>
      </c>
      <c r="F133" s="11"/>
      <c r="G133" s="15">
        <v>0</v>
      </c>
      <c r="H133" s="16">
        <v>8561.6563999999998</v>
      </c>
      <c r="I133" s="16">
        <v>35948.567199999998</v>
      </c>
      <c r="J133" s="10">
        <v>7</v>
      </c>
      <c r="K133" s="11"/>
      <c r="L133" s="10">
        <v>1</v>
      </c>
    </row>
    <row r="134" spans="1:12">
      <c r="A134" s="11" t="s">
        <v>51</v>
      </c>
      <c r="B134" s="16"/>
      <c r="C134" s="15">
        <v>0</v>
      </c>
      <c r="D134" s="16"/>
      <c r="E134" s="15">
        <v>0</v>
      </c>
      <c r="F134" s="11"/>
      <c r="G134" s="15">
        <v>0</v>
      </c>
      <c r="H134" s="16"/>
      <c r="I134" s="16"/>
      <c r="J134" s="10"/>
      <c r="K134" s="11"/>
      <c r="L134" s="11"/>
    </row>
    <row r="136" spans="1:12">
      <c r="A136" s="7">
        <v>45261</v>
      </c>
    </row>
    <row r="137" spans="1:12" ht="33" customHeight="1">
      <c r="A137" s="2" t="s">
        <v>8</v>
      </c>
      <c r="B137" s="6" t="s">
        <v>37</v>
      </c>
      <c r="C137" s="6" t="s">
        <v>38</v>
      </c>
      <c r="D137" s="6" t="s">
        <v>39</v>
      </c>
      <c r="E137" s="6" t="s">
        <v>40</v>
      </c>
      <c r="F137" s="6" t="s">
        <v>41</v>
      </c>
      <c r="G137" s="6" t="s">
        <v>42</v>
      </c>
      <c r="H137" s="6" t="s">
        <v>43</v>
      </c>
      <c r="I137" s="6" t="s">
        <v>44</v>
      </c>
      <c r="J137" s="4" t="s">
        <v>45</v>
      </c>
      <c r="K137" s="5" t="s">
        <v>46</v>
      </c>
      <c r="L137" s="4" t="s">
        <v>47</v>
      </c>
    </row>
    <row r="138" spans="1:12" ht="33" customHeight="1">
      <c r="A138" s="11" t="s">
        <v>48</v>
      </c>
      <c r="B138" s="16">
        <v>83862.889525203253</v>
      </c>
      <c r="C138" s="14">
        <v>0</v>
      </c>
      <c r="D138" s="16">
        <v>457859.11894959351</v>
      </c>
      <c r="E138" s="14">
        <v>0</v>
      </c>
      <c r="F138" s="12"/>
      <c r="G138" s="14">
        <v>0</v>
      </c>
      <c r="H138" s="16">
        <v>34093.785600000003</v>
      </c>
      <c r="I138" s="16">
        <v>625584.89800000004</v>
      </c>
      <c r="J138" s="10">
        <v>2</v>
      </c>
      <c r="K138" s="10">
        <v>6</v>
      </c>
      <c r="L138" s="13"/>
    </row>
    <row r="139" spans="1:12" ht="33" customHeight="1">
      <c r="A139" s="11" t="s">
        <v>17</v>
      </c>
      <c r="B139" s="16">
        <v>135502.50641517618</v>
      </c>
      <c r="C139" s="14">
        <v>0</v>
      </c>
      <c r="D139" s="16">
        <v>771053.73756964784</v>
      </c>
      <c r="E139" s="14">
        <v>0</v>
      </c>
      <c r="F139" s="12"/>
      <c r="G139" s="14">
        <v>0</v>
      </c>
      <c r="H139" s="16">
        <v>32097.946</v>
      </c>
      <c r="I139" s="16">
        <v>1042058.7503999999</v>
      </c>
      <c r="J139" s="10">
        <v>1</v>
      </c>
      <c r="K139" s="10">
        <v>24</v>
      </c>
      <c r="L139" s="13"/>
    </row>
    <row r="140" spans="1:12" ht="33" customHeight="1">
      <c r="A140" s="11" t="s">
        <v>13</v>
      </c>
      <c r="B140" s="16">
        <v>83788.38027750676</v>
      </c>
      <c r="C140" s="14">
        <v>0</v>
      </c>
      <c r="D140" s="16">
        <v>85518.54824498645</v>
      </c>
      <c r="E140" s="14">
        <v>0</v>
      </c>
      <c r="F140" s="17">
        <v>144476.79</v>
      </c>
      <c r="G140" s="14">
        <v>0</v>
      </c>
      <c r="H140" s="16">
        <v>34597.930800000002</v>
      </c>
      <c r="I140" s="16">
        <v>253095.30879999997</v>
      </c>
      <c r="J140" s="10">
        <v>16</v>
      </c>
      <c r="K140" s="10">
        <v>21</v>
      </c>
      <c r="L140" s="10">
        <v>5</v>
      </c>
    </row>
    <row r="141" spans="1:12" ht="33" customHeight="1">
      <c r="A141" s="11" t="s">
        <v>16</v>
      </c>
      <c r="B141" s="16">
        <v>32002.061138211378</v>
      </c>
      <c r="C141" s="14">
        <v>0</v>
      </c>
      <c r="D141" s="16">
        <v>4260.3577235772364</v>
      </c>
      <c r="E141" s="14">
        <v>0</v>
      </c>
      <c r="F141" s="12"/>
      <c r="G141" s="14">
        <v>0</v>
      </c>
      <c r="H141" s="16">
        <v>7523.2919999999995</v>
      </c>
      <c r="I141" s="16">
        <v>68264.48000000001</v>
      </c>
      <c r="J141" s="10"/>
      <c r="K141" s="10">
        <v>2</v>
      </c>
      <c r="L141" s="10"/>
    </row>
    <row r="142" spans="1:12">
      <c r="A142" s="11" t="s">
        <v>14</v>
      </c>
      <c r="B142" s="16">
        <v>0</v>
      </c>
      <c r="C142" s="15">
        <v>0</v>
      </c>
      <c r="D142" s="16">
        <v>17995.7356</v>
      </c>
      <c r="E142" s="15">
        <v>0</v>
      </c>
      <c r="F142" s="11"/>
      <c r="G142" s="15">
        <v>0</v>
      </c>
      <c r="H142" s="16">
        <v>3835.75</v>
      </c>
      <c r="I142" s="16">
        <v>17995.7356</v>
      </c>
      <c r="J142" s="10">
        <v>10</v>
      </c>
      <c r="K142" s="10">
        <v>2</v>
      </c>
      <c r="L142" s="10">
        <v>3</v>
      </c>
    </row>
    <row r="143" spans="1:12">
      <c r="A143" s="11" t="s">
        <v>15</v>
      </c>
      <c r="B143" s="16">
        <v>58534.231453658525</v>
      </c>
      <c r="C143" s="15">
        <v>0</v>
      </c>
      <c r="D143" s="16">
        <v>61736.486692682927</v>
      </c>
      <c r="E143" s="15">
        <v>0</v>
      </c>
      <c r="F143" s="11"/>
      <c r="G143" s="15">
        <v>0</v>
      </c>
      <c r="H143" s="16">
        <v>1030141.5012000008</v>
      </c>
      <c r="I143" s="16">
        <v>178804.94959999999</v>
      </c>
      <c r="J143" s="10">
        <v>25</v>
      </c>
      <c r="K143" s="10">
        <v>300</v>
      </c>
      <c r="L143" s="10">
        <v>7</v>
      </c>
    </row>
    <row r="144" spans="1:12">
      <c r="A144" s="11" t="s">
        <v>49</v>
      </c>
      <c r="B144" s="16">
        <v>4217.5644162601629</v>
      </c>
      <c r="C144" s="15">
        <v>0</v>
      </c>
      <c r="D144" s="16">
        <v>712.74796747967468</v>
      </c>
      <c r="E144" s="15">
        <v>0</v>
      </c>
      <c r="F144" s="11"/>
      <c r="G144" s="15">
        <v>0</v>
      </c>
      <c r="H144" s="16">
        <v>3845.4216000000001</v>
      </c>
      <c r="I144" s="16">
        <v>9147.8768</v>
      </c>
      <c r="J144" s="10">
        <v>1</v>
      </c>
      <c r="K144" s="10">
        <v>1</v>
      </c>
      <c r="L144" s="10"/>
    </row>
    <row r="145" spans="1:12">
      <c r="A145" s="11" t="s">
        <v>50</v>
      </c>
      <c r="B145" s="16">
        <v>68755.600448780475</v>
      </c>
      <c r="C145" s="15">
        <v>0</v>
      </c>
      <c r="D145" s="16">
        <v>2138.2439024390242</v>
      </c>
      <c r="E145" s="15">
        <v>0</v>
      </c>
      <c r="F145" s="11"/>
      <c r="G145" s="15">
        <v>0</v>
      </c>
      <c r="H145" s="16">
        <v>23749.5556</v>
      </c>
      <c r="I145" s="16">
        <v>139649.44480000003</v>
      </c>
      <c r="J145" s="10">
        <v>8</v>
      </c>
      <c r="K145" s="10"/>
      <c r="L145" s="10">
        <v>2</v>
      </c>
    </row>
    <row r="146" spans="1:12">
      <c r="A146" s="11" t="s">
        <v>51</v>
      </c>
      <c r="B146" s="11"/>
      <c r="C146" s="15">
        <v>0</v>
      </c>
      <c r="D146" s="16"/>
      <c r="E146" s="15">
        <v>0</v>
      </c>
      <c r="F146" s="11"/>
      <c r="G146" s="15">
        <v>0</v>
      </c>
      <c r="H146" s="11"/>
      <c r="I146" s="11"/>
      <c r="J146" s="10"/>
      <c r="K146" s="11"/>
      <c r="L146" s="11"/>
    </row>
  </sheetData>
  <pageMargins left="0.7" right="0.7" top="0.75" bottom="0.75" header="0.3" footer="0.3"/>
  <customProperties>
    <customPr name="_pios_id" r:id="rId1"/>
  </customPropertie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067c814-4b34-462c-a21d-c185ff6548d2" xsi:nil="true"/>
    <SharedWithUsers xmlns="5067c814-4b34-462c-a21d-c185ff6548d2">
      <UserInfo>
        <DisplayName/>
        <AccountId xsi:nil="true"/>
        <AccountType/>
      </UserInfo>
    </SharedWithUsers>
    <lcf76f155ced4ddcb4097134ff3c332f xmlns="785685f2-c2e1-4352-89aa-3faca8eaba52">
      <Terms xmlns="http://schemas.microsoft.com/office/infopath/2007/PartnerControls"/>
    </lcf76f155ced4ddcb4097134ff3c332f>
    <note xmlns="785685f2-c2e1-4352-89aa-3faca8eaba5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1DC9A153AAEEE45BACE06E01F8272AC" ma:contentTypeVersion="17" ma:contentTypeDescription="Create a new document." ma:contentTypeScope="" ma:versionID="89de3611917157b7bcfec79458841576">
  <xsd:schema xmlns:xsd="http://www.w3.org/2001/XMLSchema" xmlns:xs="http://www.w3.org/2001/XMLSchema" xmlns:p="http://schemas.microsoft.com/office/2006/metadata/properties" xmlns:ns2="785685f2-c2e1-4352-89aa-3faca8eaba52" xmlns:ns3="5067c814-4b34-462c-a21d-c185ff6548d2" targetNamespace="http://schemas.microsoft.com/office/2006/metadata/properties" ma:root="true" ma:fieldsID="cb0c811e8af9167bc13eb17de89cd7b2" ns2:_="" ns3:_="">
    <xsd:import namespace="785685f2-c2e1-4352-89aa-3faca8eaba52"/>
    <xsd:import namespace="5067c814-4b34-462c-a21d-c185ff6548d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not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5685f2-c2e1-4352-89aa-3faca8eaba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note" ma:index="18" nillable="true" ma:displayName="note" ma:format="Dropdown" ma:internalName="note">
      <xsd:simpleType>
        <xsd:restriction base="dms:Text">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96df981b-247c-4b11-954d-40cb1951968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067c814-4b34-462c-a21d-c185ff6548d2"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569b5e3c-1897-4e33-84fe-bcccbae8b075}" ma:internalName="TaxCatchAll" ma:showField="CatchAllData" ma:web="5067c814-4b34-462c-a21d-c185ff6548d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94107D1-EFD0-49AD-93F4-B66DA23B226D}"/>
</file>

<file path=customXml/itemProps2.xml><?xml version="1.0" encoding="utf-8"?>
<ds:datastoreItem xmlns:ds="http://schemas.openxmlformats.org/officeDocument/2006/customXml" ds:itemID="{3E7E4EB8-958D-4E2E-BE48-A5553EE4624E}"/>
</file>

<file path=customXml/itemProps3.xml><?xml version="1.0" encoding="utf-8"?>
<ds:datastoreItem xmlns:ds="http://schemas.openxmlformats.org/officeDocument/2006/customXml" ds:itemID="{C9EEBBB7-0BB3-431C-BA33-06B68AAB51BB}"/>
</file>

<file path=docMetadata/LabelInfo.xml><?xml version="1.0" encoding="utf-8"?>
<clbl:labelList xmlns:clbl="http://schemas.microsoft.com/office/2020/mipLabelMetadata">
  <clbl:label id="{746d2a3f-4d51-44da-b226-f025675a294d}" enabled="1" method="Privileged" siteId="{44ae661a-ece6-41aa-bc96-7c2c85a0894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Kenna, Julya G (Contractor)</dc:creator>
  <cp:keywords/>
  <dc:description/>
  <cp:lastModifiedBy>Majumder, Ria@Energy</cp:lastModifiedBy>
  <cp:revision/>
  <dcterms:created xsi:type="dcterms:W3CDTF">2024-01-16T19:55:57Z</dcterms:created>
  <dcterms:modified xsi:type="dcterms:W3CDTF">2025-08-04T22:36:51Z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0x01010061DC9A153AAEEE45BACE06E01F8272AC</vt:lpwstr>
  </property>
  <property fmtid="{D5CDD505-2E9C-101B-9397-08002B2CF9AE}" pid="3" name="pgeRecordCategory">
    <vt:lpwstr/>
  </property>
  <property fmtid="{D5CDD505-2E9C-101B-9397-08002B2CF9AE}" pid="4" name="MediaServiceImageTags">
    <vt:lpwstr/>
  </property>
</Properties>
</file>