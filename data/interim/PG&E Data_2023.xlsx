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/>
  <mc:AlternateContent xmlns:mc="http://schemas.openxmlformats.org/markup-compatibility/2006">
    <mc:Choice Requires="x15">
      <x15ac:absPath xmlns:x15ac="http://schemas.microsoft.com/office/spreadsheetml/2010/11/ac" url="https://capuc-my.sharepoint.com/personal/garima_chatrath_cpuc_ca_gov/Documents/Phase_3B/Annual_report_Data Analysis-3B/"/>
    </mc:Choice>
  </mc:AlternateContent>
  <xr:revisionPtr revIDLastSave="493" documentId="8_{5C7C5F3E-1644-4211-9371-6D5691ACAC79}" xr6:coauthVersionLast="47" xr6:coauthVersionMax="47" xr10:uidLastSave="{7A28962C-E7A1-4432-92CB-60F48533EB75}"/>
  <bookViews>
    <workbookView xWindow="28680" yWindow="-120" windowWidth="29040" windowHeight="15840" xr2:uid="{B34BAAE9-2EEE-4B67-8ADB-AA530C158E5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N33" i="1"/>
  <c r="N50" i="1"/>
  <c r="N4" i="1"/>
  <c r="N3" i="1"/>
  <c r="I47" i="1"/>
  <c r="I46" i="1"/>
  <c r="I42" i="1"/>
  <c r="I41" i="1"/>
  <c r="I38" i="1"/>
  <c r="I39" i="1"/>
  <c r="I40" i="1"/>
  <c r="I43" i="1"/>
  <c r="I44" i="1"/>
  <c r="I45" i="1"/>
  <c r="I50" i="1"/>
  <c r="I48" i="1"/>
  <c r="I37" i="1"/>
  <c r="H42" i="1"/>
  <c r="J42" i="1" s="1"/>
  <c r="P42" i="1" s="1"/>
  <c r="H38" i="1"/>
  <c r="H39" i="1"/>
  <c r="H40" i="1"/>
  <c r="H41" i="1"/>
  <c r="H43" i="1"/>
  <c r="J43" i="1" s="1"/>
  <c r="P43" i="1" s="1"/>
  <c r="H44" i="1"/>
  <c r="H45" i="1"/>
  <c r="J45" i="1" s="1"/>
  <c r="P45" i="1" s="1"/>
  <c r="H46" i="1"/>
  <c r="J46" i="1" s="1"/>
  <c r="P46" i="1" s="1"/>
  <c r="H47" i="1"/>
  <c r="H48" i="1"/>
  <c r="J48" i="1" s="1"/>
  <c r="P48" i="1" s="1"/>
  <c r="H37" i="1"/>
  <c r="G48" i="1"/>
  <c r="G47" i="1"/>
  <c r="K47" i="1" s="1"/>
  <c r="Q47" i="1" s="1"/>
  <c r="G46" i="1"/>
  <c r="K46" i="1" s="1"/>
  <c r="Q46" i="1" s="1"/>
  <c r="G45" i="1"/>
  <c r="G44" i="1"/>
  <c r="K44" i="1" s="1"/>
  <c r="Q44" i="1" s="1"/>
  <c r="G43" i="1"/>
  <c r="G42" i="1"/>
  <c r="G41" i="1"/>
  <c r="G40" i="1"/>
  <c r="G39" i="1"/>
  <c r="G38" i="1"/>
  <c r="K38" i="1" s="1"/>
  <c r="Q38" i="1" s="1"/>
  <c r="K40" i="1"/>
  <c r="Q40" i="1" s="1"/>
  <c r="G37" i="1"/>
  <c r="F48" i="1"/>
  <c r="F47" i="1"/>
  <c r="J47" i="1" s="1"/>
  <c r="P47" i="1" s="1"/>
  <c r="F46" i="1"/>
  <c r="F45" i="1"/>
  <c r="F44" i="1"/>
  <c r="J44" i="1" s="1"/>
  <c r="P44" i="1" s="1"/>
  <c r="F43" i="1"/>
  <c r="F42" i="1"/>
  <c r="F41" i="1"/>
  <c r="F40" i="1"/>
  <c r="F39" i="1"/>
  <c r="F38" i="1"/>
  <c r="J38" i="1" s="1"/>
  <c r="P38" i="1" s="1"/>
  <c r="F37" i="1"/>
  <c r="J37" i="1" s="1"/>
  <c r="P37" i="1" s="1"/>
  <c r="E48" i="1"/>
  <c r="E47" i="1"/>
  <c r="E46" i="1"/>
  <c r="E45" i="1"/>
  <c r="E44" i="1"/>
  <c r="E43" i="1"/>
  <c r="E42" i="1"/>
  <c r="E41" i="1"/>
  <c r="E40" i="1"/>
  <c r="E39" i="1"/>
  <c r="E38" i="1"/>
  <c r="M47" i="1"/>
  <c r="O47" i="1" s="1"/>
  <c r="M48" i="1"/>
  <c r="O48" i="1" s="1"/>
  <c r="E37" i="1"/>
  <c r="D48" i="1"/>
  <c r="D47" i="1"/>
  <c r="D46" i="1"/>
  <c r="D45" i="1"/>
  <c r="D44" i="1"/>
  <c r="D43" i="1"/>
  <c r="D42" i="1"/>
  <c r="D41" i="1"/>
  <c r="D40" i="1"/>
  <c r="D39" i="1"/>
  <c r="C39" i="1"/>
  <c r="D38" i="1"/>
  <c r="L46" i="1"/>
  <c r="N46" i="1" s="1"/>
  <c r="L47" i="1"/>
  <c r="N47" i="1" s="1"/>
  <c r="D37" i="1"/>
  <c r="C48" i="1"/>
  <c r="C47" i="1"/>
  <c r="C46" i="1"/>
  <c r="M46" i="1" s="1"/>
  <c r="O46" i="1" s="1"/>
  <c r="C45" i="1"/>
  <c r="C44" i="1"/>
  <c r="M44" i="1" s="1"/>
  <c r="O44" i="1" s="1"/>
  <c r="C43" i="1"/>
  <c r="C42" i="1"/>
  <c r="C41" i="1"/>
  <c r="C40" i="1"/>
  <c r="M40" i="1" s="1"/>
  <c r="O40" i="1" s="1"/>
  <c r="M39" i="1"/>
  <c r="O39" i="1" s="1"/>
  <c r="C38" i="1"/>
  <c r="M43" i="1"/>
  <c r="O43" i="1" s="1"/>
  <c r="C37" i="1"/>
  <c r="B48" i="1"/>
  <c r="B47" i="1"/>
  <c r="B46" i="1"/>
  <c r="B45" i="1"/>
  <c r="B44" i="1"/>
  <c r="B43" i="1"/>
  <c r="L43" i="1" s="1"/>
  <c r="N43" i="1" s="1"/>
  <c r="B42" i="1"/>
  <c r="B41" i="1"/>
  <c r="B40" i="1"/>
  <c r="B39" i="1"/>
  <c r="L39" i="1" s="1"/>
  <c r="N39" i="1" s="1"/>
  <c r="B38" i="1"/>
  <c r="L38" i="1" s="1"/>
  <c r="N38" i="1" s="1"/>
  <c r="B37" i="1"/>
  <c r="M45" i="1"/>
  <c r="O45" i="1" s="1"/>
  <c r="K45" i="1"/>
  <c r="Q45" i="1" s="1"/>
  <c r="K43" i="1"/>
  <c r="Q43" i="1" s="1"/>
  <c r="K42" i="1"/>
  <c r="Q42" i="1" s="1"/>
  <c r="K41" i="1"/>
  <c r="Q41" i="1" s="1"/>
  <c r="J40" i="1"/>
  <c r="P40" i="1" s="1"/>
  <c r="K39" i="1"/>
  <c r="Q39" i="1" s="1"/>
  <c r="J39" i="1"/>
  <c r="P39" i="1" s="1"/>
  <c r="K37" i="1"/>
  <c r="L20" i="1"/>
  <c r="K20" i="1"/>
  <c r="J20" i="1"/>
  <c r="I33" i="1"/>
  <c r="H33" i="1"/>
  <c r="G33" i="1"/>
  <c r="F33" i="1"/>
  <c r="E33" i="1"/>
  <c r="D33" i="1"/>
  <c r="C33" i="1"/>
  <c r="B33" i="1"/>
  <c r="M31" i="1"/>
  <c r="O31" i="1" s="1"/>
  <c r="L31" i="1"/>
  <c r="N31" i="1" s="1"/>
  <c r="K31" i="1"/>
  <c r="Q31" i="1" s="1"/>
  <c r="J31" i="1"/>
  <c r="P31" i="1" s="1"/>
  <c r="M30" i="1"/>
  <c r="O30" i="1" s="1"/>
  <c r="L30" i="1"/>
  <c r="N30" i="1" s="1"/>
  <c r="K30" i="1"/>
  <c r="Q30" i="1" s="1"/>
  <c r="J30" i="1"/>
  <c r="P30" i="1" s="1"/>
  <c r="M29" i="1"/>
  <c r="O29" i="1" s="1"/>
  <c r="L29" i="1"/>
  <c r="N29" i="1" s="1"/>
  <c r="K29" i="1"/>
  <c r="Q29" i="1" s="1"/>
  <c r="J29" i="1"/>
  <c r="P29" i="1" s="1"/>
  <c r="M28" i="1"/>
  <c r="O28" i="1" s="1"/>
  <c r="L28" i="1"/>
  <c r="N28" i="1" s="1"/>
  <c r="K28" i="1"/>
  <c r="Q28" i="1" s="1"/>
  <c r="J28" i="1"/>
  <c r="P28" i="1" s="1"/>
  <c r="M27" i="1"/>
  <c r="O27" i="1" s="1"/>
  <c r="L27" i="1"/>
  <c r="N27" i="1" s="1"/>
  <c r="K27" i="1"/>
  <c r="Q27" i="1" s="1"/>
  <c r="J27" i="1"/>
  <c r="P27" i="1" s="1"/>
  <c r="M26" i="1"/>
  <c r="O26" i="1" s="1"/>
  <c r="L26" i="1"/>
  <c r="N26" i="1" s="1"/>
  <c r="K26" i="1"/>
  <c r="Q26" i="1" s="1"/>
  <c r="J26" i="1"/>
  <c r="P26" i="1" s="1"/>
  <c r="M25" i="1"/>
  <c r="O25" i="1" s="1"/>
  <c r="L25" i="1"/>
  <c r="N25" i="1" s="1"/>
  <c r="K25" i="1"/>
  <c r="Q25" i="1" s="1"/>
  <c r="J25" i="1"/>
  <c r="P25" i="1" s="1"/>
  <c r="M24" i="1"/>
  <c r="O24" i="1" s="1"/>
  <c r="L24" i="1"/>
  <c r="N24" i="1" s="1"/>
  <c r="K24" i="1"/>
  <c r="Q24" i="1" s="1"/>
  <c r="J24" i="1"/>
  <c r="P24" i="1" s="1"/>
  <c r="M23" i="1"/>
  <c r="O23" i="1" s="1"/>
  <c r="L23" i="1"/>
  <c r="N23" i="1" s="1"/>
  <c r="K23" i="1"/>
  <c r="Q23" i="1" s="1"/>
  <c r="J23" i="1"/>
  <c r="P23" i="1" s="1"/>
  <c r="M22" i="1"/>
  <c r="O22" i="1" s="1"/>
  <c r="L22" i="1"/>
  <c r="N22" i="1" s="1"/>
  <c r="K22" i="1"/>
  <c r="Q22" i="1" s="1"/>
  <c r="J22" i="1"/>
  <c r="P22" i="1" s="1"/>
  <c r="M21" i="1"/>
  <c r="O21" i="1" s="1"/>
  <c r="L21" i="1"/>
  <c r="N21" i="1" s="1"/>
  <c r="K21" i="1"/>
  <c r="Q21" i="1" s="1"/>
  <c r="J21" i="1"/>
  <c r="P21" i="1" s="1"/>
  <c r="M20" i="1"/>
  <c r="K48" i="1" l="1"/>
  <c r="Q48" i="1" s="1"/>
  <c r="H50" i="1"/>
  <c r="J41" i="1"/>
  <c r="P41" i="1" s="1"/>
  <c r="G50" i="1"/>
  <c r="F50" i="1"/>
  <c r="E50" i="1"/>
  <c r="M38" i="1"/>
  <c r="O38" i="1" s="1"/>
  <c r="M41" i="1"/>
  <c r="O41" i="1" s="1"/>
  <c r="M42" i="1"/>
  <c r="O42" i="1" s="1"/>
  <c r="M37" i="1"/>
  <c r="L48" i="1"/>
  <c r="N48" i="1" s="1"/>
  <c r="L44" i="1"/>
  <c r="N44" i="1" s="1"/>
  <c r="D50" i="1"/>
  <c r="L45" i="1"/>
  <c r="N45" i="1" s="1"/>
  <c r="L40" i="1"/>
  <c r="N40" i="1" s="1"/>
  <c r="L41" i="1"/>
  <c r="N41" i="1" s="1"/>
  <c r="L37" i="1"/>
  <c r="K50" i="1"/>
  <c r="C50" i="1"/>
  <c r="B50" i="1"/>
  <c r="L42" i="1"/>
  <c r="N42" i="1" s="1"/>
  <c r="N37" i="1"/>
  <c r="O37" i="1"/>
  <c r="Q37" i="1"/>
  <c r="J50" i="1"/>
  <c r="K33" i="1"/>
  <c r="Q33" i="1" s="1"/>
  <c r="J33" i="1"/>
  <c r="P33" i="1" s="1"/>
  <c r="L33" i="1"/>
  <c r="M33" i="1"/>
  <c r="O33" i="1" s="1"/>
  <c r="N20" i="1"/>
  <c r="O20" i="1"/>
  <c r="P20" i="1"/>
  <c r="Q20" i="1"/>
  <c r="Q50" i="1" l="1"/>
  <c r="P50" i="1"/>
  <c r="M50" i="1"/>
  <c r="O50" i="1" s="1"/>
  <c r="L50" i="1"/>
  <c r="M3" i="1"/>
  <c r="O3" i="1" s="1"/>
  <c r="L3" i="1"/>
  <c r="K4" i="1"/>
  <c r="Q4" i="1" s="1"/>
  <c r="J3" i="1"/>
  <c r="P3" i="1" s="1"/>
  <c r="K3" i="1"/>
  <c r="Q3" i="1" l="1"/>
  <c r="K5" i="1"/>
  <c r="Q5" i="1" s="1"/>
  <c r="K6" i="1"/>
  <c r="Q6" i="1" s="1"/>
  <c r="K7" i="1"/>
  <c r="K8" i="1"/>
  <c r="Q8" i="1" s="1"/>
  <c r="K9" i="1"/>
  <c r="Q9" i="1" s="1"/>
  <c r="K10" i="1"/>
  <c r="Q10" i="1" s="1"/>
  <c r="K11" i="1"/>
  <c r="Q11" i="1" s="1"/>
  <c r="K12" i="1"/>
  <c r="Q12" i="1" s="1"/>
  <c r="K13" i="1"/>
  <c r="Q13" i="1" s="1"/>
  <c r="K14" i="1"/>
  <c r="Q14" i="1" s="1"/>
  <c r="J4" i="1"/>
  <c r="J5" i="1"/>
  <c r="P5" i="1" s="1"/>
  <c r="J6" i="1"/>
  <c r="P6" i="1" s="1"/>
  <c r="J7" i="1"/>
  <c r="P7" i="1" s="1"/>
  <c r="J8" i="1"/>
  <c r="P8" i="1" s="1"/>
  <c r="J9" i="1"/>
  <c r="P9" i="1" s="1"/>
  <c r="J10" i="1"/>
  <c r="P10" i="1" s="1"/>
  <c r="J11" i="1"/>
  <c r="P11" i="1" s="1"/>
  <c r="J12" i="1"/>
  <c r="P12" i="1" s="1"/>
  <c r="J13" i="1"/>
  <c r="P13" i="1" s="1"/>
  <c r="J14" i="1"/>
  <c r="P14" i="1" s="1"/>
  <c r="J16" i="1" l="1"/>
  <c r="P4" i="1"/>
  <c r="K16" i="1"/>
  <c r="Q7" i="1"/>
  <c r="M5" i="1"/>
  <c r="O5" i="1" s="1"/>
  <c r="L4" i="1"/>
  <c r="M4" i="1"/>
  <c r="M6" i="1"/>
  <c r="O6" i="1" s="1"/>
  <c r="M7" i="1"/>
  <c r="O7" i="1" s="1"/>
  <c r="M8" i="1"/>
  <c r="M9" i="1"/>
  <c r="O9" i="1" s="1"/>
  <c r="M10" i="1"/>
  <c r="O10" i="1" s="1"/>
  <c r="M11" i="1"/>
  <c r="O11" i="1" s="1"/>
  <c r="M12" i="1"/>
  <c r="O12" i="1" s="1"/>
  <c r="M13" i="1"/>
  <c r="O13" i="1" s="1"/>
  <c r="M14" i="1"/>
  <c r="O14" i="1" s="1"/>
  <c r="L5" i="1"/>
  <c r="N5" i="1" s="1"/>
  <c r="L6" i="1"/>
  <c r="L7" i="1"/>
  <c r="L8" i="1"/>
  <c r="N8" i="1" s="1"/>
  <c r="L9" i="1"/>
  <c r="N9" i="1" s="1"/>
  <c r="L10" i="1"/>
  <c r="N10" i="1" s="1"/>
  <c r="L11" i="1"/>
  <c r="N11" i="1" s="1"/>
  <c r="L12" i="1"/>
  <c r="N12" i="1" s="1"/>
  <c r="L13" i="1"/>
  <c r="N13" i="1" s="1"/>
  <c r="L14" i="1"/>
  <c r="N14" i="1" s="1"/>
  <c r="O4" i="1"/>
  <c r="O8" i="1"/>
  <c r="N6" i="1"/>
  <c r="N7" i="1"/>
  <c r="C16" i="1"/>
  <c r="D16" i="1"/>
  <c r="E16" i="1"/>
  <c r="F16" i="1"/>
  <c r="P16" i="1" s="1"/>
  <c r="G16" i="1"/>
  <c r="H16" i="1"/>
  <c r="I16" i="1"/>
  <c r="B16" i="1"/>
  <c r="Q16" i="1" l="1"/>
  <c r="M16" i="1"/>
  <c r="O16" i="1" s="1"/>
  <c r="L16" i="1"/>
</calcChain>
</file>

<file path=xl/sharedStrings.xml><?xml version="1.0" encoding="utf-8"?>
<sst xmlns="http://schemas.openxmlformats.org/spreadsheetml/2006/main" count="93" uniqueCount="33">
  <si>
    <t>Residential</t>
  </si>
  <si>
    <t>Month</t>
  </si>
  <si>
    <t xml:space="preserve">Mixed Fuel Projects Requested </t>
  </si>
  <si>
    <t xml:space="preserve">Mixed Fuel Projects Energized </t>
  </si>
  <si>
    <t>All-Electric Projects Requested</t>
  </si>
  <si>
    <t xml:space="preserve">All-Electric Projects Energized </t>
  </si>
  <si>
    <t>All-Electric Upgrades exisitng- Project Requested</t>
  </si>
  <si>
    <t>All-Electric Upgrades exisitng- Project Energized</t>
  </si>
  <si>
    <t>Mixed Fuel Upgrades exisitng- Project Requested</t>
  </si>
  <si>
    <t>Mixed Fuel Upgrades exisitng- Project Energized</t>
  </si>
  <si>
    <t>Total Upgrades Requested</t>
  </si>
  <si>
    <t>Total upgrades completed</t>
  </si>
  <si>
    <t xml:space="preserve">Total Projects Requested </t>
  </si>
  <si>
    <t xml:space="preserve">Total Projects Projects Energized </t>
  </si>
  <si>
    <t>Percentage All-Electric Requested</t>
  </si>
  <si>
    <t>Percentage All-electric energized</t>
  </si>
  <si>
    <t>Percentage of All-Electric Upgrades Requested</t>
  </si>
  <si>
    <t>Percentage of All-Electric Upgrades completed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</si>
  <si>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</si>
  <si>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</si>
  <si>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</si>
  <si>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</si>
  <si>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</si>
  <si>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</si>
  <si>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</si>
  <si>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</si>
  <si>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</si>
  <si>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</si>
  <si>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</si>
  <si>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</si>
  <si>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</si>
  <si>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Commercial</t>
  </si>
  <si>
    <t>Residential +Commercial +Mixed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</si>
</sst>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5" xfId="0" applyBorder="1"/>
    <xf numFmtId="0" fontId="0" fillId="2" borderId="5" xfId="0" applyFill="1" applyBorder="1"/>
    <xf numFmtId="0" fontId="0" fillId="2" borderId="0" xfId="0" applyFill="1"/>
    <xf numFmtId="2" fontId="0" fillId="2" borderId="0" xfId="0" applyNumberFormat="1" applyFill="1"/>
    <xf numFmtId="2" fontId="0" fillId="2" borderId="6" xfId="0" applyNumberFormat="1" applyFill="1" applyBorder="1"/>
    <xf numFmtId="0" fontId="0" fillId="3" borderId="5" xfId="0" applyFill="1" applyBorder="1"/>
    <xf numFmtId="0" fontId="0" fillId="3" borderId="0" xfId="0" applyFill="1"/>
    <xf numFmtId="2" fontId="0" fillId="3" borderId="0" xfId="0" applyNumberFormat="1" applyFill="1"/>
    <xf numFmtId="2" fontId="0" fillId="3" borderId="6" xfId="0" applyNumberFormat="1" applyFill="1" applyBorder="1"/>
    <xf numFmtId="2" fontId="0" fillId="0" borderId="0" xfId="0" applyNumberFormat="1"/>
    <xf numFmtId="2" fontId="0" fillId="0" borderId="6" xfId="0" applyNumberFormat="1" applyBorder="1"/>
    <xf numFmtId="0" fontId="0" fillId="0" borderId="7" xfId="0" applyBorder="1"/>
    <xf numFmtId="0" fontId="0" fillId="0" borderId="8" xfId="0" applyBorder="1"/>
    <xf numFmtId="2" fontId="0" fillId="4" borderId="8" xfId="0" applyNumberFormat="1" applyFill="1" applyBorder="1"/>
    <xf numFmtId="2" fontId="0" fillId="4" borderId="9" xfId="0" applyNumberForma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302F-AFD6-4C22-85C4-0445FE28CF5A}">
  <dimension ref="A1:Q50"/>
  <sheetViews>
    <sheetView tabSelected="1" topLeftCell="A21" workbookViewId="0">
      <selection activeCell="S19" sqref="S19"/>
    </sheetView>
  </sheetViews>
  <sheetFormatPr defaultRowHeight="14.45"/>
  <cols>
    <col min="2" max="2" width="9.85546875" customWidth="1"/>
    <col min="4" max="4" width="11" customWidth="1"/>
    <col min="12" max="12" width="10" customWidth="1"/>
  </cols>
  <sheetData>
    <row r="1" spans="1:17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00.9">
      <c r="A2" s="16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7" t="s">
        <v>14</v>
      </c>
      <c r="O2" s="17" t="s">
        <v>15</v>
      </c>
      <c r="P2" s="17" t="s">
        <v>16</v>
      </c>
      <c r="Q2" s="17" t="s">
        <v>17</v>
      </c>
    </row>
    <row r="3" spans="1:17">
      <c r="A3" s="2" t="s">
        <v>18</v>
      </c>
      <c r="B3" s="3">
        <v>291</v>
      </c>
      <c r="C3" s="3">
        <v>55</v>
      </c>
      <c r="D3" s="3">
        <v>687</v>
      </c>
      <c r="E3" s="3">
        <v>86</v>
      </c>
      <c r="F3" s="3">
        <v>568</v>
      </c>
      <c r="G3" s="3">
        <v>119</v>
      </c>
      <c r="H3" s="3">
        <v>4</v>
      </c>
      <c r="I3" s="3">
        <v>15</v>
      </c>
      <c r="J3" s="3">
        <f>F3+H3</f>
        <v>572</v>
      </c>
      <c r="K3" s="3">
        <f>G3+I3</f>
        <v>134</v>
      </c>
      <c r="L3" s="3">
        <f>SUM(B3,D3)</f>
        <v>978</v>
      </c>
      <c r="M3" s="3">
        <f>SUM(C3,E3)</f>
        <v>141</v>
      </c>
      <c r="N3" s="4">
        <f>D3/L3*100</f>
        <v>70.245398773006144</v>
      </c>
      <c r="O3" s="4">
        <f>E3/M3*100</f>
        <v>60.99290780141844</v>
      </c>
      <c r="P3" s="4">
        <f>(F3/J3)*100</f>
        <v>99.300699300699307</v>
      </c>
      <c r="Q3" s="5">
        <f>(G3/K3)*100</f>
        <v>88.805970149253739</v>
      </c>
    </row>
    <row r="4" spans="1:17">
      <c r="A4" s="2" t="s">
        <v>19</v>
      </c>
      <c r="B4" s="3">
        <v>317</v>
      </c>
      <c r="C4" s="3">
        <v>88</v>
      </c>
      <c r="D4" s="3">
        <v>736</v>
      </c>
      <c r="E4" s="3">
        <v>146</v>
      </c>
      <c r="F4" s="3">
        <v>576</v>
      </c>
      <c r="G4" s="3">
        <v>205</v>
      </c>
      <c r="H4" s="3">
        <v>9</v>
      </c>
      <c r="I4" s="3">
        <v>13</v>
      </c>
      <c r="J4" s="3">
        <f t="shared" ref="J4:J14" si="0">F4+H4</f>
        <v>585</v>
      </c>
      <c r="K4" s="3">
        <f>G4+I4</f>
        <v>218</v>
      </c>
      <c r="L4" s="3">
        <f t="shared" ref="L4:L14" si="1">SUM(B4,D4)</f>
        <v>1053</v>
      </c>
      <c r="M4" s="3">
        <f t="shared" ref="M4:M14" si="2">SUM(C4,E4)</f>
        <v>234</v>
      </c>
      <c r="N4" s="4">
        <f>D4/L4*100</f>
        <v>69.895536562203233</v>
      </c>
      <c r="O4" s="4">
        <f t="shared" ref="O4:O14" si="3">E4/M4*100</f>
        <v>62.393162393162392</v>
      </c>
      <c r="P4" s="4">
        <f t="shared" ref="P4:P16" si="4">(F4/J4)*100</f>
        <v>98.461538461538467</v>
      </c>
      <c r="Q4" s="5">
        <f>(G4/K4)*100</f>
        <v>94.036697247706428</v>
      </c>
    </row>
    <row r="5" spans="1:17">
      <c r="A5" s="2" t="s">
        <v>20</v>
      </c>
      <c r="B5" s="3">
        <v>377</v>
      </c>
      <c r="C5" s="3">
        <v>56</v>
      </c>
      <c r="D5" s="3">
        <v>988</v>
      </c>
      <c r="E5" s="3">
        <v>74</v>
      </c>
      <c r="F5" s="3">
        <v>903</v>
      </c>
      <c r="G5" s="3">
        <v>124</v>
      </c>
      <c r="H5" s="3">
        <v>8</v>
      </c>
      <c r="I5" s="3">
        <v>12</v>
      </c>
      <c r="J5" s="3">
        <f t="shared" si="0"/>
        <v>911</v>
      </c>
      <c r="K5" s="3">
        <f t="shared" ref="K5:K14" si="5">G5+I5</f>
        <v>136</v>
      </c>
      <c r="L5" s="3">
        <f t="shared" si="1"/>
        <v>1365</v>
      </c>
      <c r="M5" s="3">
        <f t="shared" si="2"/>
        <v>130</v>
      </c>
      <c r="N5" s="4">
        <f t="shared" ref="N4:N16" si="6">D5/L5*100</f>
        <v>72.38095238095238</v>
      </c>
      <c r="O5" s="4">
        <f t="shared" si="3"/>
        <v>56.92307692307692</v>
      </c>
      <c r="P5" s="4">
        <f t="shared" si="4"/>
        <v>99.121844127332608</v>
      </c>
      <c r="Q5" s="5">
        <f t="shared" ref="Q5:Q16" si="7">(G5/K5)*100</f>
        <v>91.17647058823529</v>
      </c>
    </row>
    <row r="6" spans="1:17">
      <c r="A6" s="2" t="s">
        <v>21</v>
      </c>
      <c r="B6" s="3">
        <v>375</v>
      </c>
      <c r="C6" s="3">
        <v>149</v>
      </c>
      <c r="D6" s="3">
        <v>1191</v>
      </c>
      <c r="E6" s="3">
        <v>206</v>
      </c>
      <c r="F6" s="3">
        <v>756</v>
      </c>
      <c r="G6" s="3">
        <v>374</v>
      </c>
      <c r="H6" s="3">
        <v>11</v>
      </c>
      <c r="I6" s="3">
        <v>33</v>
      </c>
      <c r="J6" s="3">
        <f t="shared" si="0"/>
        <v>767</v>
      </c>
      <c r="K6" s="3">
        <f t="shared" si="5"/>
        <v>407</v>
      </c>
      <c r="L6" s="3">
        <f t="shared" si="1"/>
        <v>1566</v>
      </c>
      <c r="M6" s="3">
        <f t="shared" si="2"/>
        <v>355</v>
      </c>
      <c r="N6" s="4">
        <f t="shared" si="6"/>
        <v>76.053639846743295</v>
      </c>
      <c r="O6" s="4">
        <f t="shared" si="3"/>
        <v>58.028169014084504</v>
      </c>
      <c r="P6" s="4">
        <f t="shared" si="4"/>
        <v>98.565840938722289</v>
      </c>
      <c r="Q6" s="5">
        <f t="shared" si="7"/>
        <v>91.891891891891902</v>
      </c>
    </row>
    <row r="7" spans="1:17">
      <c r="A7" s="2" t="s">
        <v>22</v>
      </c>
      <c r="B7" s="3">
        <v>250</v>
      </c>
      <c r="C7" s="3">
        <v>134</v>
      </c>
      <c r="D7" s="3">
        <v>666</v>
      </c>
      <c r="E7" s="3">
        <v>184</v>
      </c>
      <c r="F7" s="3">
        <v>603</v>
      </c>
      <c r="G7" s="3">
        <v>433</v>
      </c>
      <c r="H7" s="3">
        <v>14</v>
      </c>
      <c r="I7" s="3">
        <v>37</v>
      </c>
      <c r="J7" s="3">
        <f t="shared" si="0"/>
        <v>617</v>
      </c>
      <c r="K7" s="3">
        <f t="shared" si="5"/>
        <v>470</v>
      </c>
      <c r="L7" s="3">
        <f t="shared" si="1"/>
        <v>916</v>
      </c>
      <c r="M7" s="3">
        <f t="shared" si="2"/>
        <v>318</v>
      </c>
      <c r="N7" s="4">
        <f t="shared" si="6"/>
        <v>72.707423580786028</v>
      </c>
      <c r="O7" s="4">
        <f t="shared" si="3"/>
        <v>57.861635220125784</v>
      </c>
      <c r="P7" s="4">
        <f t="shared" si="4"/>
        <v>97.730956239870338</v>
      </c>
      <c r="Q7" s="5">
        <f t="shared" si="7"/>
        <v>92.127659574468083</v>
      </c>
    </row>
    <row r="8" spans="1:17">
      <c r="A8" s="2" t="s">
        <v>23</v>
      </c>
      <c r="B8" s="3">
        <v>276</v>
      </c>
      <c r="C8" s="3">
        <v>99</v>
      </c>
      <c r="D8" s="3">
        <v>695</v>
      </c>
      <c r="E8" s="3">
        <v>155</v>
      </c>
      <c r="F8" s="3">
        <v>326</v>
      </c>
      <c r="G8" s="3">
        <v>349</v>
      </c>
      <c r="H8" s="3">
        <v>6</v>
      </c>
      <c r="I8" s="3">
        <v>21</v>
      </c>
      <c r="J8" s="3">
        <f t="shared" si="0"/>
        <v>332</v>
      </c>
      <c r="K8" s="3">
        <f t="shared" si="5"/>
        <v>370</v>
      </c>
      <c r="L8" s="3">
        <f t="shared" si="1"/>
        <v>971</v>
      </c>
      <c r="M8" s="3">
        <f t="shared" si="2"/>
        <v>254</v>
      </c>
      <c r="N8" s="4">
        <f t="shared" si="6"/>
        <v>71.575695159629248</v>
      </c>
      <c r="O8" s="4">
        <f t="shared" si="3"/>
        <v>61.023622047244096</v>
      </c>
      <c r="P8" s="4">
        <f t="shared" si="4"/>
        <v>98.192771084337352</v>
      </c>
      <c r="Q8" s="5">
        <f t="shared" si="7"/>
        <v>94.324324324324323</v>
      </c>
    </row>
    <row r="9" spans="1:17">
      <c r="A9" s="6" t="s">
        <v>24</v>
      </c>
      <c r="B9" s="7">
        <v>236</v>
      </c>
      <c r="C9" s="7">
        <v>102</v>
      </c>
      <c r="D9" s="7">
        <v>599</v>
      </c>
      <c r="E9" s="7">
        <v>157</v>
      </c>
      <c r="F9" s="7">
        <v>65</v>
      </c>
      <c r="G9" s="7">
        <v>257</v>
      </c>
      <c r="H9" s="7">
        <v>1</v>
      </c>
      <c r="I9" s="7">
        <v>15</v>
      </c>
      <c r="J9" s="7">
        <f t="shared" si="0"/>
        <v>66</v>
      </c>
      <c r="K9" s="7">
        <f t="shared" si="5"/>
        <v>272</v>
      </c>
      <c r="L9" s="7">
        <f t="shared" si="1"/>
        <v>835</v>
      </c>
      <c r="M9" s="7">
        <f t="shared" si="2"/>
        <v>259</v>
      </c>
      <c r="N9" s="8">
        <f t="shared" si="6"/>
        <v>71.736526946107787</v>
      </c>
      <c r="O9" s="8">
        <f t="shared" si="3"/>
        <v>60.617760617760617</v>
      </c>
      <c r="P9" s="8">
        <f t="shared" si="4"/>
        <v>98.484848484848484</v>
      </c>
      <c r="Q9" s="9">
        <f t="shared" si="7"/>
        <v>94.485294117647058</v>
      </c>
    </row>
    <row r="10" spans="1:17">
      <c r="A10" s="6" t="s">
        <v>25</v>
      </c>
      <c r="B10" s="7">
        <v>225</v>
      </c>
      <c r="C10" s="7">
        <v>126</v>
      </c>
      <c r="D10" s="7">
        <v>604</v>
      </c>
      <c r="E10" s="7">
        <v>198</v>
      </c>
      <c r="F10" s="7">
        <v>48</v>
      </c>
      <c r="G10" s="7">
        <v>361</v>
      </c>
      <c r="H10" s="7"/>
      <c r="I10" s="7">
        <v>35</v>
      </c>
      <c r="J10" s="7">
        <f t="shared" si="0"/>
        <v>48</v>
      </c>
      <c r="K10" s="7">
        <f t="shared" si="5"/>
        <v>396</v>
      </c>
      <c r="L10" s="7">
        <f t="shared" si="1"/>
        <v>829</v>
      </c>
      <c r="M10" s="7">
        <f t="shared" si="2"/>
        <v>324</v>
      </c>
      <c r="N10" s="8">
        <f t="shared" si="6"/>
        <v>72.858866103739444</v>
      </c>
      <c r="O10" s="8">
        <f t="shared" si="3"/>
        <v>61.111111111111114</v>
      </c>
      <c r="P10" s="8">
        <f t="shared" si="4"/>
        <v>100</v>
      </c>
      <c r="Q10" s="9">
        <f t="shared" si="7"/>
        <v>91.161616161616166</v>
      </c>
    </row>
    <row r="11" spans="1:17">
      <c r="A11" s="6" t="s">
        <v>26</v>
      </c>
      <c r="B11" s="7">
        <v>199</v>
      </c>
      <c r="C11" s="7">
        <v>107</v>
      </c>
      <c r="D11" s="7">
        <v>560</v>
      </c>
      <c r="E11" s="7">
        <v>168</v>
      </c>
      <c r="F11" s="7">
        <v>44</v>
      </c>
      <c r="G11" s="7">
        <v>343</v>
      </c>
      <c r="H11" s="7">
        <v>1</v>
      </c>
      <c r="I11" s="7">
        <v>17</v>
      </c>
      <c r="J11" s="7">
        <f t="shared" si="0"/>
        <v>45</v>
      </c>
      <c r="K11" s="7">
        <f t="shared" si="5"/>
        <v>360</v>
      </c>
      <c r="L11" s="7">
        <f t="shared" si="1"/>
        <v>759</v>
      </c>
      <c r="M11" s="7">
        <f t="shared" si="2"/>
        <v>275</v>
      </c>
      <c r="N11" s="8">
        <f t="shared" si="6"/>
        <v>73.781291172595516</v>
      </c>
      <c r="O11" s="8">
        <f t="shared" si="3"/>
        <v>61.090909090909093</v>
      </c>
      <c r="P11" s="8">
        <f t="shared" si="4"/>
        <v>97.777777777777771</v>
      </c>
      <c r="Q11" s="9">
        <f t="shared" si="7"/>
        <v>95.277777777777771</v>
      </c>
    </row>
    <row r="12" spans="1:17">
      <c r="A12" s="6" t="s">
        <v>27</v>
      </c>
      <c r="B12" s="7">
        <v>218</v>
      </c>
      <c r="C12" s="7">
        <v>109</v>
      </c>
      <c r="D12" s="7">
        <v>554</v>
      </c>
      <c r="E12" s="7">
        <v>215</v>
      </c>
      <c r="F12" s="7">
        <v>55</v>
      </c>
      <c r="G12" s="7">
        <v>419</v>
      </c>
      <c r="H12" s="7">
        <v>1</v>
      </c>
      <c r="I12" s="7">
        <v>29</v>
      </c>
      <c r="J12" s="7">
        <f t="shared" si="0"/>
        <v>56</v>
      </c>
      <c r="K12" s="7">
        <f t="shared" si="5"/>
        <v>448</v>
      </c>
      <c r="L12" s="7">
        <f t="shared" si="1"/>
        <v>772</v>
      </c>
      <c r="M12" s="7">
        <f t="shared" si="2"/>
        <v>324</v>
      </c>
      <c r="N12" s="8">
        <f t="shared" si="6"/>
        <v>71.761658031088089</v>
      </c>
      <c r="O12" s="8">
        <f t="shared" si="3"/>
        <v>66.358024691358025</v>
      </c>
      <c r="P12" s="8">
        <f t="shared" si="4"/>
        <v>98.214285714285708</v>
      </c>
      <c r="Q12" s="9">
        <f t="shared" si="7"/>
        <v>93.526785714285708</v>
      </c>
    </row>
    <row r="13" spans="1:17">
      <c r="A13" s="6" t="s">
        <v>28</v>
      </c>
      <c r="B13" s="7">
        <v>196</v>
      </c>
      <c r="C13" s="7">
        <v>80</v>
      </c>
      <c r="D13" s="7">
        <v>490</v>
      </c>
      <c r="E13" s="7">
        <v>174</v>
      </c>
      <c r="F13" s="7">
        <v>43</v>
      </c>
      <c r="G13" s="7">
        <v>293</v>
      </c>
      <c r="H13" s="7">
        <v>1</v>
      </c>
      <c r="I13" s="7">
        <v>21</v>
      </c>
      <c r="J13" s="7">
        <f t="shared" si="0"/>
        <v>44</v>
      </c>
      <c r="K13" s="7">
        <f t="shared" si="5"/>
        <v>314</v>
      </c>
      <c r="L13" s="7">
        <f t="shared" si="1"/>
        <v>686</v>
      </c>
      <c r="M13" s="7">
        <f t="shared" si="2"/>
        <v>254</v>
      </c>
      <c r="N13" s="8">
        <f t="shared" si="6"/>
        <v>71.428571428571431</v>
      </c>
      <c r="O13" s="8">
        <f t="shared" si="3"/>
        <v>68.503937007874015</v>
      </c>
      <c r="P13" s="8">
        <f t="shared" si="4"/>
        <v>97.727272727272734</v>
      </c>
      <c r="Q13" s="9">
        <f t="shared" si="7"/>
        <v>93.312101910828034</v>
      </c>
    </row>
    <row r="14" spans="1:17">
      <c r="A14" s="6" t="s">
        <v>29</v>
      </c>
      <c r="B14" s="7">
        <v>156</v>
      </c>
      <c r="C14" s="7">
        <v>84</v>
      </c>
      <c r="D14" s="7">
        <v>426</v>
      </c>
      <c r="E14" s="7">
        <v>154</v>
      </c>
      <c r="F14" s="7">
        <v>25</v>
      </c>
      <c r="G14" s="7">
        <v>300</v>
      </c>
      <c r="H14" s="7">
        <v>1</v>
      </c>
      <c r="I14" s="7">
        <v>17</v>
      </c>
      <c r="J14" s="7">
        <f t="shared" si="0"/>
        <v>26</v>
      </c>
      <c r="K14" s="7">
        <f t="shared" si="5"/>
        <v>317</v>
      </c>
      <c r="L14" s="7">
        <f t="shared" si="1"/>
        <v>582</v>
      </c>
      <c r="M14" s="7">
        <f t="shared" si="2"/>
        <v>238</v>
      </c>
      <c r="N14" s="8">
        <f t="shared" si="6"/>
        <v>73.19587628865979</v>
      </c>
      <c r="O14" s="8">
        <f t="shared" si="3"/>
        <v>64.705882352941174</v>
      </c>
      <c r="P14" s="8">
        <f t="shared" si="4"/>
        <v>96.15384615384616</v>
      </c>
      <c r="Q14" s="9">
        <f t="shared" si="7"/>
        <v>94.637223974763401</v>
      </c>
    </row>
    <row r="15" spans="1:17">
      <c r="A15" s="1"/>
      <c r="N15" s="10"/>
      <c r="O15" s="10"/>
      <c r="P15" s="10"/>
      <c r="Q15" s="11"/>
    </row>
    <row r="16" spans="1:17">
      <c r="A16" s="12" t="s">
        <v>30</v>
      </c>
      <c r="B16" s="13">
        <f>SUM(B3:B14)</f>
        <v>3116</v>
      </c>
      <c r="C16" s="13">
        <f t="shared" ref="C16:M16" si="8">SUM(C3:C14)</f>
        <v>1189</v>
      </c>
      <c r="D16" s="13">
        <f t="shared" si="8"/>
        <v>8196</v>
      </c>
      <c r="E16" s="13">
        <f t="shared" si="8"/>
        <v>1917</v>
      </c>
      <c r="F16" s="13">
        <f t="shared" si="8"/>
        <v>4012</v>
      </c>
      <c r="G16" s="13">
        <f t="shared" si="8"/>
        <v>3577</v>
      </c>
      <c r="H16" s="13">
        <f t="shared" si="8"/>
        <v>57</v>
      </c>
      <c r="I16" s="13">
        <f t="shared" si="8"/>
        <v>265</v>
      </c>
      <c r="J16" s="13">
        <f t="shared" si="8"/>
        <v>4069</v>
      </c>
      <c r="K16" s="13">
        <f t="shared" si="8"/>
        <v>3842</v>
      </c>
      <c r="L16" s="13">
        <f t="shared" si="8"/>
        <v>11312</v>
      </c>
      <c r="M16" s="13">
        <f t="shared" si="8"/>
        <v>3106</v>
      </c>
      <c r="N16" s="14">
        <f>D16/L16*100</f>
        <v>72.454031117397449</v>
      </c>
      <c r="O16" s="14">
        <f>E16/M16*100</f>
        <v>61.719253058596266</v>
      </c>
      <c r="P16" s="14">
        <f t="shared" si="4"/>
        <v>98.59916441386089</v>
      </c>
      <c r="Q16" s="15">
        <f t="shared" si="7"/>
        <v>93.102550754815212</v>
      </c>
    </row>
    <row r="18" spans="1:17">
      <c r="A18" s="18" t="s">
        <v>31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ht="100.9">
      <c r="A19" s="16" t="s">
        <v>1</v>
      </c>
      <c r="B19" s="17" t="s">
        <v>2</v>
      </c>
      <c r="C19" s="17" t="s">
        <v>3</v>
      </c>
      <c r="D19" s="17" t="s">
        <v>4</v>
      </c>
      <c r="E19" s="17" t="s">
        <v>5</v>
      </c>
      <c r="F19" s="17" t="s">
        <v>6</v>
      </c>
      <c r="G19" s="17" t="s">
        <v>7</v>
      </c>
      <c r="H19" s="17" t="s">
        <v>8</v>
      </c>
      <c r="I19" s="17" t="s">
        <v>9</v>
      </c>
      <c r="J19" s="17" t="s">
        <v>10</v>
      </c>
      <c r="K19" s="17" t="s">
        <v>11</v>
      </c>
      <c r="L19" s="17" t="s">
        <v>12</v>
      </c>
      <c r="M19" s="17" t="s">
        <v>13</v>
      </c>
      <c r="N19" s="17" t="s">
        <v>14</v>
      </c>
      <c r="O19" s="17" t="s">
        <v>15</v>
      </c>
      <c r="P19" s="17" t="s">
        <v>16</v>
      </c>
      <c r="Q19" s="17" t="s">
        <v>17</v>
      </c>
    </row>
    <row r="20" spans="1:17">
      <c r="A20" s="2" t="s">
        <v>18</v>
      </c>
      <c r="B20" s="3">
        <v>46</v>
      </c>
      <c r="C20" s="3">
        <v>10</v>
      </c>
      <c r="D20" s="3">
        <v>190</v>
      </c>
      <c r="E20" s="3">
        <v>51</v>
      </c>
      <c r="F20" s="3">
        <v>30</v>
      </c>
      <c r="G20" s="3">
        <v>17</v>
      </c>
      <c r="H20" s="3">
        <v>2</v>
      </c>
      <c r="I20" s="3">
        <v>0</v>
      </c>
      <c r="J20" s="3">
        <f>F20+H20</f>
        <v>32</v>
      </c>
      <c r="K20" s="3">
        <f>G20+I20</f>
        <v>17</v>
      </c>
      <c r="L20" s="3">
        <f>SUM(B20,D20)</f>
        <v>236</v>
      </c>
      <c r="M20" s="3">
        <f>SUM(C20,E20)</f>
        <v>61</v>
      </c>
      <c r="N20" s="4">
        <f>D20/L20*100</f>
        <v>80.508474576271183</v>
      </c>
      <c r="O20" s="4">
        <f>E20/M20*100</f>
        <v>83.606557377049185</v>
      </c>
      <c r="P20" s="4">
        <f>(F20/J20)*100</f>
        <v>93.75</v>
      </c>
      <c r="Q20" s="5">
        <f>(G20/K20)*100</f>
        <v>100</v>
      </c>
    </row>
    <row r="21" spans="1:17">
      <c r="A21" s="2" t="s">
        <v>19</v>
      </c>
      <c r="B21" s="3">
        <v>41</v>
      </c>
      <c r="C21" s="3">
        <v>12</v>
      </c>
      <c r="D21" s="3">
        <v>206</v>
      </c>
      <c r="E21" s="3">
        <v>37</v>
      </c>
      <c r="F21" s="3">
        <v>29</v>
      </c>
      <c r="G21" s="3">
        <v>19</v>
      </c>
      <c r="H21" s="3">
        <v>2</v>
      </c>
      <c r="I21" s="3">
        <v>2</v>
      </c>
      <c r="J21" s="3">
        <f t="shared" ref="J21:J31" si="9">F21+H21</f>
        <v>31</v>
      </c>
      <c r="K21" s="3">
        <f>G21+I21</f>
        <v>21</v>
      </c>
      <c r="L21" s="3">
        <f t="shared" ref="L21:L31" si="10">SUM(B21,D21)</f>
        <v>247</v>
      </c>
      <c r="M21" s="3">
        <f t="shared" ref="M21:M31" si="11">SUM(C21,E21)</f>
        <v>49</v>
      </c>
      <c r="N21" s="4">
        <f t="shared" ref="N21:N31" si="12">D21/L21*100</f>
        <v>83.400809716599184</v>
      </c>
      <c r="O21" s="4">
        <f t="shared" ref="O21:O31" si="13">E21/M21*100</f>
        <v>75.510204081632651</v>
      </c>
      <c r="P21" s="4">
        <f t="shared" ref="P21:P31" si="14">(F21/J21)*100</f>
        <v>93.548387096774192</v>
      </c>
      <c r="Q21" s="5">
        <f>(G21/K21)*100</f>
        <v>90.476190476190482</v>
      </c>
    </row>
    <row r="22" spans="1:17">
      <c r="A22" s="2" t="s">
        <v>20</v>
      </c>
      <c r="B22" s="3">
        <v>45</v>
      </c>
      <c r="C22" s="3">
        <v>16</v>
      </c>
      <c r="D22" s="3">
        <v>207</v>
      </c>
      <c r="E22" s="3">
        <v>32</v>
      </c>
      <c r="F22" s="3">
        <v>37</v>
      </c>
      <c r="G22" s="3">
        <v>8</v>
      </c>
      <c r="H22" s="3">
        <v>0</v>
      </c>
      <c r="I22" s="3">
        <v>1</v>
      </c>
      <c r="J22" s="3">
        <f t="shared" si="9"/>
        <v>37</v>
      </c>
      <c r="K22" s="3">
        <f t="shared" ref="K22:K31" si="15">G22+I22</f>
        <v>9</v>
      </c>
      <c r="L22" s="3">
        <f t="shared" si="10"/>
        <v>252</v>
      </c>
      <c r="M22" s="3">
        <f t="shared" si="11"/>
        <v>48</v>
      </c>
      <c r="N22" s="4">
        <f t="shared" si="12"/>
        <v>82.142857142857139</v>
      </c>
      <c r="O22" s="4">
        <f t="shared" si="13"/>
        <v>66.666666666666657</v>
      </c>
      <c r="P22" s="4">
        <f t="shared" si="14"/>
        <v>100</v>
      </c>
      <c r="Q22" s="5">
        <f t="shared" ref="Q22:Q31" si="16">(G22/K22)*100</f>
        <v>88.888888888888886</v>
      </c>
    </row>
    <row r="23" spans="1:17">
      <c r="A23" s="2" t="s">
        <v>21</v>
      </c>
      <c r="B23" s="3">
        <v>68</v>
      </c>
      <c r="C23" s="3">
        <v>43</v>
      </c>
      <c r="D23" s="3">
        <v>194</v>
      </c>
      <c r="E23" s="3">
        <v>88</v>
      </c>
      <c r="F23" s="3">
        <v>12</v>
      </c>
      <c r="G23" s="3">
        <v>31</v>
      </c>
      <c r="H23" s="3">
        <v>0</v>
      </c>
      <c r="I23" s="3">
        <v>2</v>
      </c>
      <c r="J23" s="3">
        <f t="shared" si="9"/>
        <v>12</v>
      </c>
      <c r="K23" s="3">
        <f t="shared" si="15"/>
        <v>33</v>
      </c>
      <c r="L23" s="3">
        <f t="shared" si="10"/>
        <v>262</v>
      </c>
      <c r="M23" s="3">
        <f t="shared" si="11"/>
        <v>131</v>
      </c>
      <c r="N23" s="4">
        <f t="shared" si="12"/>
        <v>74.045801526717554</v>
      </c>
      <c r="O23" s="4">
        <f t="shared" si="13"/>
        <v>67.175572519083971</v>
      </c>
      <c r="P23" s="4">
        <f t="shared" si="14"/>
        <v>100</v>
      </c>
      <c r="Q23" s="5">
        <f t="shared" si="16"/>
        <v>93.939393939393938</v>
      </c>
    </row>
    <row r="24" spans="1:17">
      <c r="A24" s="2" t="s">
        <v>22</v>
      </c>
      <c r="B24" s="3">
        <v>44</v>
      </c>
      <c r="C24" s="3">
        <v>18</v>
      </c>
      <c r="D24" s="3">
        <v>247</v>
      </c>
      <c r="E24" s="3">
        <v>64</v>
      </c>
      <c r="F24" s="3">
        <v>32</v>
      </c>
      <c r="G24" s="3">
        <v>25</v>
      </c>
      <c r="H24" s="3">
        <v>0</v>
      </c>
      <c r="I24" s="3">
        <v>6</v>
      </c>
      <c r="J24" s="3">
        <f t="shared" si="9"/>
        <v>32</v>
      </c>
      <c r="K24" s="3">
        <f t="shared" si="15"/>
        <v>31</v>
      </c>
      <c r="L24" s="3">
        <f t="shared" si="10"/>
        <v>291</v>
      </c>
      <c r="M24" s="3">
        <f t="shared" si="11"/>
        <v>82</v>
      </c>
      <c r="N24" s="4">
        <f t="shared" si="12"/>
        <v>84.87972508591065</v>
      </c>
      <c r="O24" s="4">
        <f t="shared" si="13"/>
        <v>78.048780487804876</v>
      </c>
      <c r="P24" s="4">
        <f t="shared" si="14"/>
        <v>100</v>
      </c>
      <c r="Q24" s="5">
        <f t="shared" si="16"/>
        <v>80.645161290322577</v>
      </c>
    </row>
    <row r="25" spans="1:17">
      <c r="A25" s="2" t="s">
        <v>23</v>
      </c>
      <c r="B25" s="3">
        <v>41</v>
      </c>
      <c r="C25" s="3">
        <v>28</v>
      </c>
      <c r="D25" s="3">
        <v>199</v>
      </c>
      <c r="E25" s="3">
        <v>76</v>
      </c>
      <c r="F25" s="3">
        <v>15</v>
      </c>
      <c r="G25" s="3">
        <v>24</v>
      </c>
      <c r="H25" s="3">
        <v>1</v>
      </c>
      <c r="I25" s="3">
        <v>2</v>
      </c>
      <c r="J25" s="3">
        <f t="shared" si="9"/>
        <v>16</v>
      </c>
      <c r="K25" s="3">
        <f t="shared" si="15"/>
        <v>26</v>
      </c>
      <c r="L25" s="3">
        <f t="shared" si="10"/>
        <v>240</v>
      </c>
      <c r="M25" s="3">
        <f t="shared" si="11"/>
        <v>104</v>
      </c>
      <c r="N25" s="4">
        <f t="shared" si="12"/>
        <v>82.916666666666671</v>
      </c>
      <c r="O25" s="4">
        <f t="shared" si="13"/>
        <v>73.076923076923066</v>
      </c>
      <c r="P25" s="4">
        <f t="shared" si="14"/>
        <v>93.75</v>
      </c>
      <c r="Q25" s="5">
        <f t="shared" si="16"/>
        <v>92.307692307692307</v>
      </c>
    </row>
    <row r="26" spans="1:17">
      <c r="A26" s="6" t="s">
        <v>24</v>
      </c>
      <c r="B26" s="7">
        <v>31</v>
      </c>
      <c r="C26" s="7">
        <v>18</v>
      </c>
      <c r="D26" s="7">
        <v>217</v>
      </c>
      <c r="E26" s="7">
        <v>37</v>
      </c>
      <c r="F26" s="7">
        <v>9</v>
      </c>
      <c r="G26" s="7">
        <v>29</v>
      </c>
      <c r="H26" s="7">
        <v>0</v>
      </c>
      <c r="I26" s="7">
        <v>2</v>
      </c>
      <c r="J26" s="7">
        <f t="shared" si="9"/>
        <v>9</v>
      </c>
      <c r="K26" s="7">
        <f t="shared" si="15"/>
        <v>31</v>
      </c>
      <c r="L26" s="7">
        <f t="shared" si="10"/>
        <v>248</v>
      </c>
      <c r="M26" s="7">
        <f t="shared" si="11"/>
        <v>55</v>
      </c>
      <c r="N26" s="8">
        <f t="shared" si="12"/>
        <v>87.5</v>
      </c>
      <c r="O26" s="8">
        <f t="shared" si="13"/>
        <v>67.272727272727266</v>
      </c>
      <c r="P26" s="8">
        <f t="shared" si="14"/>
        <v>100</v>
      </c>
      <c r="Q26" s="9">
        <f t="shared" si="16"/>
        <v>93.548387096774192</v>
      </c>
    </row>
    <row r="27" spans="1:17">
      <c r="A27" s="6" t="s">
        <v>25</v>
      </c>
      <c r="B27" s="7">
        <v>39</v>
      </c>
      <c r="C27" s="7">
        <v>22</v>
      </c>
      <c r="D27" s="7">
        <v>206</v>
      </c>
      <c r="E27" s="7">
        <v>65</v>
      </c>
      <c r="F27" s="7">
        <v>18</v>
      </c>
      <c r="G27" s="7">
        <v>22</v>
      </c>
      <c r="H27" s="7">
        <v>2</v>
      </c>
      <c r="I27" s="7">
        <v>1</v>
      </c>
      <c r="J27" s="7">
        <f t="shared" si="9"/>
        <v>20</v>
      </c>
      <c r="K27" s="7">
        <f t="shared" si="15"/>
        <v>23</v>
      </c>
      <c r="L27" s="7">
        <f t="shared" si="10"/>
        <v>245</v>
      </c>
      <c r="M27" s="7">
        <f t="shared" si="11"/>
        <v>87</v>
      </c>
      <c r="N27" s="8">
        <f t="shared" si="12"/>
        <v>84.08163265306122</v>
      </c>
      <c r="O27" s="8">
        <f t="shared" si="13"/>
        <v>74.712643678160916</v>
      </c>
      <c r="P27" s="8">
        <f t="shared" si="14"/>
        <v>90</v>
      </c>
      <c r="Q27" s="9">
        <f t="shared" si="16"/>
        <v>95.652173913043484</v>
      </c>
    </row>
    <row r="28" spans="1:17">
      <c r="A28" s="6" t="s">
        <v>26</v>
      </c>
      <c r="B28" s="7">
        <v>35</v>
      </c>
      <c r="C28" s="7">
        <v>16</v>
      </c>
      <c r="D28" s="7">
        <v>176</v>
      </c>
      <c r="E28" s="7">
        <v>64</v>
      </c>
      <c r="F28" s="7">
        <v>21</v>
      </c>
      <c r="G28" s="7">
        <v>29</v>
      </c>
      <c r="H28" s="7">
        <v>0</v>
      </c>
      <c r="I28" s="7">
        <v>3</v>
      </c>
      <c r="J28" s="7">
        <f t="shared" si="9"/>
        <v>21</v>
      </c>
      <c r="K28" s="7">
        <f t="shared" si="15"/>
        <v>32</v>
      </c>
      <c r="L28" s="7">
        <f t="shared" si="10"/>
        <v>211</v>
      </c>
      <c r="M28" s="7">
        <f t="shared" si="11"/>
        <v>80</v>
      </c>
      <c r="N28" s="8">
        <f t="shared" si="12"/>
        <v>83.412322274881518</v>
      </c>
      <c r="O28" s="8">
        <f t="shared" si="13"/>
        <v>80</v>
      </c>
      <c r="P28" s="8">
        <f t="shared" si="14"/>
        <v>100</v>
      </c>
      <c r="Q28" s="9">
        <f t="shared" si="16"/>
        <v>90.625</v>
      </c>
    </row>
    <row r="29" spans="1:17">
      <c r="A29" s="6" t="s">
        <v>27</v>
      </c>
      <c r="B29" s="7">
        <v>38</v>
      </c>
      <c r="C29" s="7">
        <v>27</v>
      </c>
      <c r="D29" s="7">
        <v>231</v>
      </c>
      <c r="E29" s="7">
        <v>76</v>
      </c>
      <c r="F29" s="7">
        <v>15</v>
      </c>
      <c r="G29" s="7">
        <v>24</v>
      </c>
      <c r="H29" s="7">
        <v>0</v>
      </c>
      <c r="I29" s="7">
        <v>3</v>
      </c>
      <c r="J29" s="7">
        <f t="shared" si="9"/>
        <v>15</v>
      </c>
      <c r="K29" s="7">
        <f t="shared" si="15"/>
        <v>27</v>
      </c>
      <c r="L29" s="7">
        <f t="shared" si="10"/>
        <v>269</v>
      </c>
      <c r="M29" s="7">
        <f t="shared" si="11"/>
        <v>103</v>
      </c>
      <c r="N29" s="8">
        <f t="shared" si="12"/>
        <v>85.873605947955383</v>
      </c>
      <c r="O29" s="8">
        <f t="shared" si="13"/>
        <v>73.786407766990294</v>
      </c>
      <c r="P29" s="8">
        <f t="shared" si="14"/>
        <v>100</v>
      </c>
      <c r="Q29" s="9">
        <f t="shared" si="16"/>
        <v>88.888888888888886</v>
      </c>
    </row>
    <row r="30" spans="1:17">
      <c r="A30" s="6" t="s">
        <v>28</v>
      </c>
      <c r="B30" s="7">
        <v>41</v>
      </c>
      <c r="C30" s="7">
        <v>20</v>
      </c>
      <c r="D30" s="7">
        <v>173</v>
      </c>
      <c r="E30" s="7">
        <v>66</v>
      </c>
      <c r="F30" s="7">
        <v>5</v>
      </c>
      <c r="G30" s="7">
        <v>22</v>
      </c>
      <c r="H30" s="7">
        <v>0</v>
      </c>
      <c r="I30" s="7">
        <v>1</v>
      </c>
      <c r="J30" s="7">
        <f t="shared" si="9"/>
        <v>5</v>
      </c>
      <c r="K30" s="7">
        <f t="shared" si="15"/>
        <v>23</v>
      </c>
      <c r="L30" s="7">
        <f t="shared" si="10"/>
        <v>214</v>
      </c>
      <c r="M30" s="7">
        <f t="shared" si="11"/>
        <v>86</v>
      </c>
      <c r="N30" s="8">
        <f t="shared" si="12"/>
        <v>80.841121495327101</v>
      </c>
      <c r="O30" s="8">
        <f t="shared" si="13"/>
        <v>76.744186046511629</v>
      </c>
      <c r="P30" s="8">
        <f t="shared" si="14"/>
        <v>100</v>
      </c>
      <c r="Q30" s="9">
        <f t="shared" si="16"/>
        <v>95.652173913043484</v>
      </c>
    </row>
    <row r="31" spans="1:17">
      <c r="A31" s="6" t="s">
        <v>29</v>
      </c>
      <c r="B31" s="7">
        <v>26</v>
      </c>
      <c r="C31" s="7">
        <v>22</v>
      </c>
      <c r="D31" s="7">
        <v>196</v>
      </c>
      <c r="E31" s="7">
        <v>62</v>
      </c>
      <c r="F31" s="7">
        <v>16</v>
      </c>
      <c r="G31" s="7">
        <v>21</v>
      </c>
      <c r="H31" s="7">
        <v>1</v>
      </c>
      <c r="I31" s="7">
        <v>2</v>
      </c>
      <c r="J31" s="7">
        <f t="shared" si="9"/>
        <v>17</v>
      </c>
      <c r="K31" s="7">
        <f t="shared" si="15"/>
        <v>23</v>
      </c>
      <c r="L31" s="7">
        <f t="shared" si="10"/>
        <v>222</v>
      </c>
      <c r="M31" s="7">
        <f t="shared" si="11"/>
        <v>84</v>
      </c>
      <c r="N31" s="8">
        <f t="shared" si="12"/>
        <v>88.288288288288285</v>
      </c>
      <c r="O31" s="8">
        <f t="shared" si="13"/>
        <v>73.80952380952381</v>
      </c>
      <c r="P31" s="8">
        <f t="shared" si="14"/>
        <v>94.117647058823522</v>
      </c>
      <c r="Q31" s="9">
        <f t="shared" si="16"/>
        <v>91.304347826086953</v>
      </c>
    </row>
    <row r="32" spans="1:17">
      <c r="A32" s="1"/>
      <c r="N32" s="10"/>
      <c r="O32" s="10"/>
      <c r="P32" s="10"/>
      <c r="Q32" s="11"/>
    </row>
    <row r="33" spans="1:17">
      <c r="A33" s="12" t="s">
        <v>30</v>
      </c>
      <c r="B33" s="13">
        <f>SUM(B20:B31)</f>
        <v>495</v>
      </c>
      <c r="C33" s="13">
        <f t="shared" ref="C33:M33" si="17">SUM(C20:C31)</f>
        <v>252</v>
      </c>
      <c r="D33" s="13">
        <f t="shared" si="17"/>
        <v>2442</v>
      </c>
      <c r="E33" s="13">
        <f t="shared" si="17"/>
        <v>718</v>
      </c>
      <c r="F33" s="13">
        <f t="shared" si="17"/>
        <v>239</v>
      </c>
      <c r="G33" s="13">
        <f t="shared" si="17"/>
        <v>271</v>
      </c>
      <c r="H33" s="13">
        <f t="shared" si="17"/>
        <v>8</v>
      </c>
      <c r="I33" s="13">
        <f t="shared" si="17"/>
        <v>25</v>
      </c>
      <c r="J33" s="13">
        <f t="shared" si="17"/>
        <v>247</v>
      </c>
      <c r="K33" s="13">
        <f t="shared" si="17"/>
        <v>296</v>
      </c>
      <c r="L33" s="13">
        <f t="shared" si="17"/>
        <v>2937</v>
      </c>
      <c r="M33" s="13">
        <f t="shared" si="17"/>
        <v>970</v>
      </c>
      <c r="N33" s="14">
        <f>D33/L33*100</f>
        <v>83.146067415730343</v>
      </c>
      <c r="O33" s="14">
        <f>E33/M33*100</f>
        <v>74.020618556701038</v>
      </c>
      <c r="P33" s="14">
        <f t="shared" ref="P33" si="18">(F33/J33)*100</f>
        <v>96.761133603238875</v>
      </c>
      <c r="Q33" s="15">
        <f t="shared" ref="Q33" si="19">(G33/K33)*100</f>
        <v>91.554054054054063</v>
      </c>
    </row>
    <row r="35" spans="1:17">
      <c r="A35" s="19" t="s">
        <v>32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1"/>
    </row>
    <row r="36" spans="1:17" ht="100.9">
      <c r="A36" s="16" t="s">
        <v>1</v>
      </c>
      <c r="B36" s="17" t="s">
        <v>2</v>
      </c>
      <c r="C36" s="17" t="s">
        <v>3</v>
      </c>
      <c r="D36" s="17" t="s">
        <v>4</v>
      </c>
      <c r="E36" s="17" t="s">
        <v>5</v>
      </c>
      <c r="F36" s="17" t="s">
        <v>6</v>
      </c>
      <c r="G36" s="17" t="s">
        <v>7</v>
      </c>
      <c r="H36" s="17" t="s">
        <v>8</v>
      </c>
      <c r="I36" s="17" t="s">
        <v>9</v>
      </c>
      <c r="J36" s="17" t="s">
        <v>10</v>
      </c>
      <c r="K36" s="17" t="s">
        <v>11</v>
      </c>
      <c r="L36" s="17" t="s">
        <v>12</v>
      </c>
      <c r="M36" s="17" t="s">
        <v>13</v>
      </c>
      <c r="N36" s="17" t="s">
        <v>14</v>
      </c>
      <c r="O36" s="17" t="s">
        <v>15</v>
      </c>
      <c r="P36" s="17" t="s">
        <v>16</v>
      </c>
      <c r="Q36" s="17" t="s">
        <v>17</v>
      </c>
    </row>
    <row r="37" spans="1:17">
      <c r="A37" s="2" t="s">
        <v>18</v>
      </c>
      <c r="B37" s="3">
        <f>B3+B20+11</f>
        <v>348</v>
      </c>
      <c r="C37" s="3">
        <f>C3+C20+1</f>
        <v>66</v>
      </c>
      <c r="D37" s="3">
        <f>D3+D20+22</f>
        <v>899</v>
      </c>
      <c r="E37" s="3">
        <f>E3+E20+1</f>
        <v>138</v>
      </c>
      <c r="F37" s="3">
        <f>F3+F20+3</f>
        <v>601</v>
      </c>
      <c r="G37" s="3">
        <f>G3+G20+7</f>
        <v>143</v>
      </c>
      <c r="H37" s="3">
        <f>H3+H20+0</f>
        <v>6</v>
      </c>
      <c r="I37" s="3">
        <f>I3+I20+0</f>
        <v>15</v>
      </c>
      <c r="J37" s="3">
        <f>F37+H37</f>
        <v>607</v>
      </c>
      <c r="K37" s="3">
        <f>G37+I37</f>
        <v>158</v>
      </c>
      <c r="L37" s="3">
        <f>SUM(B37,D37)</f>
        <v>1247</v>
      </c>
      <c r="M37" s="3">
        <f>SUM(C37,E37)</f>
        <v>204</v>
      </c>
      <c r="N37" s="4">
        <f>D37/L37*100</f>
        <v>72.093023255813947</v>
      </c>
      <c r="O37" s="4">
        <f>E37/M37*100</f>
        <v>67.64705882352942</v>
      </c>
      <c r="P37" s="4">
        <f>(F37/J37)*100</f>
        <v>99.011532125205932</v>
      </c>
      <c r="Q37" s="5">
        <f>(G37/K37)*100</f>
        <v>90.506329113924053</v>
      </c>
    </row>
    <row r="38" spans="1:17">
      <c r="A38" s="2" t="s">
        <v>19</v>
      </c>
      <c r="B38" s="3">
        <f>B4+B21+5</f>
        <v>363</v>
      </c>
      <c r="C38" s="3">
        <f>C4+C21+3</f>
        <v>103</v>
      </c>
      <c r="D38" s="3">
        <f>D4+D21+14</f>
        <v>956</v>
      </c>
      <c r="E38" s="3">
        <f>E4+E21+3</f>
        <v>186</v>
      </c>
      <c r="F38" s="3">
        <f>F4+F21+6</f>
        <v>611</v>
      </c>
      <c r="G38" s="3">
        <f>G4+G21+8</f>
        <v>232</v>
      </c>
      <c r="H38" s="3">
        <f t="shared" ref="H38:I48" si="20">H4+H21+0</f>
        <v>11</v>
      </c>
      <c r="I38" s="3">
        <f t="shared" si="20"/>
        <v>15</v>
      </c>
      <c r="J38" s="3">
        <f t="shared" ref="J38:J48" si="21">F38+H38</f>
        <v>622</v>
      </c>
      <c r="K38" s="3">
        <f>G38+I38</f>
        <v>247</v>
      </c>
      <c r="L38" s="3">
        <f t="shared" ref="L38:L48" si="22">SUM(B38,D38)</f>
        <v>1319</v>
      </c>
      <c r="M38" s="3">
        <f t="shared" ref="M38:M48" si="23">SUM(C38,E38)</f>
        <v>289</v>
      </c>
      <c r="N38" s="4">
        <f t="shared" ref="N38:N48" si="24">D38/L38*100</f>
        <v>72.479150871872633</v>
      </c>
      <c r="O38" s="4">
        <f t="shared" ref="O38:O48" si="25">E38/M38*100</f>
        <v>64.359861591695505</v>
      </c>
      <c r="P38" s="4">
        <f t="shared" ref="P38:P48" si="26">(F38/J38)*100</f>
        <v>98.231511254019281</v>
      </c>
      <c r="Q38" s="5">
        <f>(G38/K38)*100</f>
        <v>93.927125506072869</v>
      </c>
    </row>
    <row r="39" spans="1:17">
      <c r="A39" s="2" t="s">
        <v>20</v>
      </c>
      <c r="B39" s="3">
        <f>B5+B22+8</f>
        <v>430</v>
      </c>
      <c r="C39" s="3">
        <f>C5+C22+2</f>
        <v>74</v>
      </c>
      <c r="D39" s="3">
        <f>D5+D22+20</f>
        <v>1215</v>
      </c>
      <c r="E39" s="3">
        <f>E5+E22+4</f>
        <v>110</v>
      </c>
      <c r="F39" s="3">
        <f>F5+F22+10</f>
        <v>950</v>
      </c>
      <c r="G39" s="3">
        <f>G5+G22+3</f>
        <v>135</v>
      </c>
      <c r="H39" s="3">
        <f t="shared" si="20"/>
        <v>8</v>
      </c>
      <c r="I39" s="3">
        <f t="shared" si="20"/>
        <v>13</v>
      </c>
      <c r="J39" s="3">
        <f t="shared" si="21"/>
        <v>958</v>
      </c>
      <c r="K39" s="3">
        <f t="shared" ref="K39:K48" si="27">G39+I39</f>
        <v>148</v>
      </c>
      <c r="L39" s="3">
        <f t="shared" si="22"/>
        <v>1645</v>
      </c>
      <c r="M39" s="3">
        <f t="shared" si="23"/>
        <v>184</v>
      </c>
      <c r="N39" s="4">
        <f t="shared" si="24"/>
        <v>73.860182370820667</v>
      </c>
      <c r="O39" s="4">
        <f t="shared" si="25"/>
        <v>59.782608695652172</v>
      </c>
      <c r="P39" s="4">
        <f t="shared" si="26"/>
        <v>99.164926931106464</v>
      </c>
      <c r="Q39" s="5">
        <f t="shared" ref="Q39:Q48" si="28">(G39/K39)*100</f>
        <v>91.21621621621621</v>
      </c>
    </row>
    <row r="40" spans="1:17">
      <c r="A40" s="2" t="s">
        <v>21</v>
      </c>
      <c r="B40" s="3">
        <f>B6+B23+7</f>
        <v>450</v>
      </c>
      <c r="C40" s="3">
        <f>C6+C23+9</f>
        <v>201</v>
      </c>
      <c r="D40" s="3">
        <f>D6+D23+27</f>
        <v>1412</v>
      </c>
      <c r="E40" s="3">
        <f>E6+E23+6</f>
        <v>300</v>
      </c>
      <c r="F40" s="3">
        <f>F6+F23+10</f>
        <v>778</v>
      </c>
      <c r="G40" s="3">
        <f>G6+G23+12</f>
        <v>417</v>
      </c>
      <c r="H40" s="3">
        <f t="shared" si="20"/>
        <v>11</v>
      </c>
      <c r="I40" s="3">
        <f t="shared" si="20"/>
        <v>35</v>
      </c>
      <c r="J40" s="3">
        <f t="shared" si="21"/>
        <v>789</v>
      </c>
      <c r="K40" s="3">
        <f t="shared" si="27"/>
        <v>452</v>
      </c>
      <c r="L40" s="3">
        <f t="shared" si="22"/>
        <v>1862</v>
      </c>
      <c r="M40" s="3">
        <f t="shared" si="23"/>
        <v>501</v>
      </c>
      <c r="N40" s="4">
        <f t="shared" si="24"/>
        <v>75.832438238453278</v>
      </c>
      <c r="O40" s="4">
        <f t="shared" si="25"/>
        <v>59.880239520958078</v>
      </c>
      <c r="P40" s="4">
        <f t="shared" si="26"/>
        <v>98.605830164765536</v>
      </c>
      <c r="Q40" s="5">
        <f t="shared" si="28"/>
        <v>92.256637168141594</v>
      </c>
    </row>
    <row r="41" spans="1:17">
      <c r="A41" s="2" t="s">
        <v>22</v>
      </c>
      <c r="B41" s="3">
        <f>B7+B24+4</f>
        <v>298</v>
      </c>
      <c r="C41" s="3">
        <f>C7+C24+3</f>
        <v>155</v>
      </c>
      <c r="D41" s="3">
        <f>D7+D24+21</f>
        <v>934</v>
      </c>
      <c r="E41" s="3">
        <f>E7+E24+4</f>
        <v>252</v>
      </c>
      <c r="F41" s="3">
        <f>F7+F24+9</f>
        <v>644</v>
      </c>
      <c r="G41" s="3">
        <f>G7+G24+5</f>
        <v>463</v>
      </c>
      <c r="H41" s="3">
        <f t="shared" si="20"/>
        <v>14</v>
      </c>
      <c r="I41" s="3">
        <f>I7+I24+1</f>
        <v>44</v>
      </c>
      <c r="J41" s="3">
        <f t="shared" si="21"/>
        <v>658</v>
      </c>
      <c r="K41" s="3">
        <f t="shared" si="27"/>
        <v>507</v>
      </c>
      <c r="L41" s="3">
        <f t="shared" si="22"/>
        <v>1232</v>
      </c>
      <c r="M41" s="3">
        <f t="shared" si="23"/>
        <v>407</v>
      </c>
      <c r="N41" s="4">
        <f t="shared" si="24"/>
        <v>75.811688311688314</v>
      </c>
      <c r="O41" s="4">
        <f t="shared" si="25"/>
        <v>61.91646191646192</v>
      </c>
      <c r="P41" s="4">
        <f t="shared" si="26"/>
        <v>97.872340425531917</v>
      </c>
      <c r="Q41" s="5">
        <f t="shared" si="28"/>
        <v>91.321499013806701</v>
      </c>
    </row>
    <row r="42" spans="1:17">
      <c r="A42" s="2" t="s">
        <v>23</v>
      </c>
      <c r="B42" s="3">
        <f>B8+B25+3</f>
        <v>320</v>
      </c>
      <c r="C42" s="3">
        <f>C8+C25+3</f>
        <v>130</v>
      </c>
      <c r="D42" s="3">
        <f>D8+D25+20</f>
        <v>914</v>
      </c>
      <c r="E42" s="3">
        <f>E8+E25+3</f>
        <v>234</v>
      </c>
      <c r="F42" s="3">
        <f>F8+F25+11</f>
        <v>352</v>
      </c>
      <c r="G42" s="3">
        <f>G8+G25+7</f>
        <v>380</v>
      </c>
      <c r="H42" s="3">
        <f>H8+H25+1</f>
        <v>8</v>
      </c>
      <c r="I42" s="3">
        <f>I8+I25+1</f>
        <v>24</v>
      </c>
      <c r="J42" s="3">
        <f t="shared" si="21"/>
        <v>360</v>
      </c>
      <c r="K42" s="3">
        <f t="shared" si="27"/>
        <v>404</v>
      </c>
      <c r="L42" s="3">
        <f t="shared" si="22"/>
        <v>1234</v>
      </c>
      <c r="M42" s="3">
        <f t="shared" si="23"/>
        <v>364</v>
      </c>
      <c r="N42" s="4">
        <f t="shared" si="24"/>
        <v>74.06807131280388</v>
      </c>
      <c r="O42" s="4">
        <f t="shared" si="25"/>
        <v>64.285714285714292</v>
      </c>
      <c r="P42" s="4">
        <f t="shared" si="26"/>
        <v>97.777777777777771</v>
      </c>
      <c r="Q42" s="5">
        <f t="shared" si="28"/>
        <v>94.059405940594047</v>
      </c>
    </row>
    <row r="43" spans="1:17">
      <c r="A43" s="6" t="s">
        <v>24</v>
      </c>
      <c r="B43" s="7">
        <f>B9+B26+7</f>
        <v>274</v>
      </c>
      <c r="C43" s="7">
        <f>C9+C26+0</f>
        <v>120</v>
      </c>
      <c r="D43" s="7">
        <f>D9+D26+13</f>
        <v>829</v>
      </c>
      <c r="E43" s="7">
        <f>E9+E26+5</f>
        <v>199</v>
      </c>
      <c r="F43" s="7">
        <f>F9+F26+13</f>
        <v>87</v>
      </c>
      <c r="G43" s="7">
        <f>G9+G26+4</f>
        <v>290</v>
      </c>
      <c r="H43" s="7">
        <f t="shared" si="20"/>
        <v>1</v>
      </c>
      <c r="I43" s="7">
        <f t="shared" ref="I43:I48" si="29">I9+I26+0</f>
        <v>17</v>
      </c>
      <c r="J43" s="7">
        <f t="shared" si="21"/>
        <v>88</v>
      </c>
      <c r="K43" s="7">
        <f t="shared" si="27"/>
        <v>307</v>
      </c>
      <c r="L43" s="7">
        <f t="shared" si="22"/>
        <v>1103</v>
      </c>
      <c r="M43" s="7">
        <f t="shared" si="23"/>
        <v>319</v>
      </c>
      <c r="N43" s="8">
        <f t="shared" si="24"/>
        <v>75.15865820489573</v>
      </c>
      <c r="O43" s="8">
        <f t="shared" si="25"/>
        <v>62.382445141065837</v>
      </c>
      <c r="P43" s="8">
        <f t="shared" si="26"/>
        <v>98.86363636363636</v>
      </c>
      <c r="Q43" s="9">
        <f t="shared" si="28"/>
        <v>94.462540716612381</v>
      </c>
    </row>
    <row r="44" spans="1:17">
      <c r="A44" s="6" t="s">
        <v>25</v>
      </c>
      <c r="B44" s="7">
        <f>B10+B27+1</f>
        <v>265</v>
      </c>
      <c r="C44" s="7">
        <f>C10+C27+4</f>
        <v>152</v>
      </c>
      <c r="D44" s="7">
        <f>D10+D27+20</f>
        <v>830</v>
      </c>
      <c r="E44" s="7">
        <f>E10+E27+3</f>
        <v>266</v>
      </c>
      <c r="F44" s="7">
        <f>F10+F27+15</f>
        <v>81</v>
      </c>
      <c r="G44" s="7">
        <f>G10+G27+3</f>
        <v>386</v>
      </c>
      <c r="H44" s="7">
        <f t="shared" si="20"/>
        <v>2</v>
      </c>
      <c r="I44" s="7">
        <f t="shared" si="29"/>
        <v>36</v>
      </c>
      <c r="J44" s="7">
        <f t="shared" si="21"/>
        <v>83</v>
      </c>
      <c r="K44" s="7">
        <f t="shared" si="27"/>
        <v>422</v>
      </c>
      <c r="L44" s="7">
        <f t="shared" si="22"/>
        <v>1095</v>
      </c>
      <c r="M44" s="7">
        <f t="shared" si="23"/>
        <v>418</v>
      </c>
      <c r="N44" s="8">
        <f t="shared" si="24"/>
        <v>75.799086757990864</v>
      </c>
      <c r="O44" s="8">
        <f t="shared" si="25"/>
        <v>63.636363636363633</v>
      </c>
      <c r="P44" s="8">
        <f t="shared" si="26"/>
        <v>97.590361445783131</v>
      </c>
      <c r="Q44" s="9">
        <f t="shared" si="28"/>
        <v>91.469194312796205</v>
      </c>
    </row>
    <row r="45" spans="1:17">
      <c r="A45" s="6" t="s">
        <v>26</v>
      </c>
      <c r="B45" s="7">
        <f>B11+B28+5</f>
        <v>239</v>
      </c>
      <c r="C45" s="7">
        <f>C11+C28+3</f>
        <v>126</v>
      </c>
      <c r="D45" s="7">
        <f>D11+D28+21</f>
        <v>757</v>
      </c>
      <c r="E45" s="7">
        <f>E11+E28+2</f>
        <v>234</v>
      </c>
      <c r="F45" s="7">
        <f>F11+F28+5</f>
        <v>70</v>
      </c>
      <c r="G45" s="7">
        <f>G11+G28+11</f>
        <v>383</v>
      </c>
      <c r="H45" s="7">
        <f t="shared" si="20"/>
        <v>1</v>
      </c>
      <c r="I45" s="7">
        <f t="shared" si="29"/>
        <v>20</v>
      </c>
      <c r="J45" s="7">
        <f t="shared" si="21"/>
        <v>71</v>
      </c>
      <c r="K45" s="7">
        <f t="shared" si="27"/>
        <v>403</v>
      </c>
      <c r="L45" s="7">
        <f t="shared" si="22"/>
        <v>996</v>
      </c>
      <c r="M45" s="7">
        <f t="shared" si="23"/>
        <v>360</v>
      </c>
      <c r="N45" s="8">
        <f t="shared" si="24"/>
        <v>76.00401606425703</v>
      </c>
      <c r="O45" s="8">
        <f t="shared" si="25"/>
        <v>65</v>
      </c>
      <c r="P45" s="8">
        <f t="shared" si="26"/>
        <v>98.591549295774655</v>
      </c>
      <c r="Q45" s="9">
        <f t="shared" si="28"/>
        <v>95.037220843672458</v>
      </c>
    </row>
    <row r="46" spans="1:17">
      <c r="A46" s="6" t="s">
        <v>27</v>
      </c>
      <c r="B46" s="7">
        <f>B12+B29+3</f>
        <v>259</v>
      </c>
      <c r="C46" s="7">
        <f>C12+C29+2</f>
        <v>138</v>
      </c>
      <c r="D46" s="7">
        <f>D12+D29+19</f>
        <v>804</v>
      </c>
      <c r="E46" s="7">
        <f>E12+E29+4</f>
        <v>295</v>
      </c>
      <c r="F46" s="7">
        <f>F12+F29+10</f>
        <v>80</v>
      </c>
      <c r="G46" s="7">
        <f>G12+G29+4</f>
        <v>447</v>
      </c>
      <c r="H46" s="7">
        <f t="shared" si="20"/>
        <v>1</v>
      </c>
      <c r="I46" s="7">
        <f>I12+I29+1</f>
        <v>33</v>
      </c>
      <c r="J46" s="7">
        <f t="shared" si="21"/>
        <v>81</v>
      </c>
      <c r="K46" s="7">
        <f t="shared" si="27"/>
        <v>480</v>
      </c>
      <c r="L46" s="7">
        <f t="shared" si="22"/>
        <v>1063</v>
      </c>
      <c r="M46" s="7">
        <f t="shared" si="23"/>
        <v>433</v>
      </c>
      <c r="N46" s="8">
        <f t="shared" si="24"/>
        <v>75.634995296331141</v>
      </c>
      <c r="O46" s="8">
        <f t="shared" si="25"/>
        <v>68.129330254041577</v>
      </c>
      <c r="P46" s="8">
        <f t="shared" si="26"/>
        <v>98.76543209876543</v>
      </c>
      <c r="Q46" s="9">
        <f t="shared" si="28"/>
        <v>93.125</v>
      </c>
    </row>
    <row r="47" spans="1:17">
      <c r="A47" s="6" t="s">
        <v>28</v>
      </c>
      <c r="B47" s="7">
        <f>B13+B30+6</f>
        <v>243</v>
      </c>
      <c r="C47" s="7">
        <f>C13+C30+3</f>
        <v>103</v>
      </c>
      <c r="D47" s="7">
        <f>D13+D30+18</f>
        <v>681</v>
      </c>
      <c r="E47" s="7">
        <f>E13+E30+8</f>
        <v>248</v>
      </c>
      <c r="F47" s="7">
        <f>F13+F30+7</f>
        <v>55</v>
      </c>
      <c r="G47" s="7">
        <f>G13+G30+3</f>
        <v>318</v>
      </c>
      <c r="H47" s="7">
        <f t="shared" si="20"/>
        <v>1</v>
      </c>
      <c r="I47" s="7">
        <f>I13+I30+1</f>
        <v>23</v>
      </c>
      <c r="J47" s="7">
        <f t="shared" si="21"/>
        <v>56</v>
      </c>
      <c r="K47" s="7">
        <f t="shared" si="27"/>
        <v>341</v>
      </c>
      <c r="L47" s="7">
        <f t="shared" si="22"/>
        <v>924</v>
      </c>
      <c r="M47" s="7">
        <f t="shared" si="23"/>
        <v>351</v>
      </c>
      <c r="N47" s="8">
        <f t="shared" si="24"/>
        <v>73.701298701298697</v>
      </c>
      <c r="O47" s="8">
        <f t="shared" si="25"/>
        <v>70.655270655270655</v>
      </c>
      <c r="P47" s="8">
        <f t="shared" si="26"/>
        <v>98.214285714285708</v>
      </c>
      <c r="Q47" s="9">
        <f t="shared" si="28"/>
        <v>93.255131964809379</v>
      </c>
    </row>
    <row r="48" spans="1:17">
      <c r="A48" s="6" t="s">
        <v>29</v>
      </c>
      <c r="B48" s="7">
        <f>B14+B31+11</f>
        <v>193</v>
      </c>
      <c r="C48" s="7">
        <f>C14+C31+1</f>
        <v>107</v>
      </c>
      <c r="D48" s="7">
        <f>D14+D31+10</f>
        <v>632</v>
      </c>
      <c r="E48" s="7">
        <f>E14+E31+2</f>
        <v>218</v>
      </c>
      <c r="F48" s="7">
        <f>F14+F31+10</f>
        <v>51</v>
      </c>
      <c r="G48" s="7">
        <f>G14+G31+2</f>
        <v>323</v>
      </c>
      <c r="H48" s="7">
        <f t="shared" si="20"/>
        <v>2</v>
      </c>
      <c r="I48" s="7">
        <f t="shared" si="29"/>
        <v>19</v>
      </c>
      <c r="J48" s="7">
        <f t="shared" si="21"/>
        <v>53</v>
      </c>
      <c r="K48" s="7">
        <f t="shared" si="27"/>
        <v>342</v>
      </c>
      <c r="L48" s="7">
        <f t="shared" si="22"/>
        <v>825</v>
      </c>
      <c r="M48" s="7">
        <f t="shared" si="23"/>
        <v>325</v>
      </c>
      <c r="N48" s="8">
        <f t="shared" si="24"/>
        <v>76.606060606060609</v>
      </c>
      <c r="O48" s="8">
        <f t="shared" si="25"/>
        <v>67.07692307692308</v>
      </c>
      <c r="P48" s="8">
        <f t="shared" si="26"/>
        <v>96.226415094339629</v>
      </c>
      <c r="Q48" s="9">
        <f t="shared" si="28"/>
        <v>94.444444444444443</v>
      </c>
    </row>
    <row r="49" spans="1:17">
      <c r="A49" s="1"/>
      <c r="N49" s="10"/>
      <c r="O49" s="10"/>
      <c r="P49" s="10"/>
      <c r="Q49" s="11"/>
    </row>
    <row r="50" spans="1:17">
      <c r="A50" s="12" t="s">
        <v>30</v>
      </c>
      <c r="B50" s="13">
        <f>SUM(B37:B48)</f>
        <v>3682</v>
      </c>
      <c r="C50" s="13">
        <f t="shared" ref="C50:M50" si="30">SUM(C37:C48)</f>
        <v>1475</v>
      </c>
      <c r="D50" s="13">
        <f t="shared" si="30"/>
        <v>10863</v>
      </c>
      <c r="E50" s="13">
        <f t="shared" si="30"/>
        <v>2680</v>
      </c>
      <c r="F50" s="13">
        <f t="shared" si="30"/>
        <v>4360</v>
      </c>
      <c r="G50" s="13">
        <f t="shared" si="30"/>
        <v>3917</v>
      </c>
      <c r="H50" s="13">
        <f t="shared" si="30"/>
        <v>66</v>
      </c>
      <c r="I50" s="13">
        <f t="shared" si="30"/>
        <v>294</v>
      </c>
      <c r="J50" s="13">
        <f t="shared" si="30"/>
        <v>4426</v>
      </c>
      <c r="K50" s="13">
        <f t="shared" si="30"/>
        <v>4211</v>
      </c>
      <c r="L50" s="13">
        <f t="shared" si="30"/>
        <v>14545</v>
      </c>
      <c r="M50" s="13">
        <f t="shared" si="30"/>
        <v>4155</v>
      </c>
      <c r="N50" s="14">
        <f>D50/L50*100</f>
        <v>74.685458920591259</v>
      </c>
      <c r="O50" s="14">
        <f>E50/M50*100</f>
        <v>64.500601684717211</v>
      </c>
      <c r="P50" s="14">
        <f t="shared" ref="P50" si="31">(F50/J50)*100</f>
        <v>98.508811568007232</v>
      </c>
      <c r="Q50" s="15">
        <f t="shared" ref="Q50" si="32">(G50/K50)*100</f>
        <v>93.018285442887674</v>
      </c>
    </row>
  </sheetData>
  <mergeCells count="3">
    <mergeCell ref="A1:Q1"/>
    <mergeCell ref="A18:Q18"/>
    <mergeCell ref="A35:Q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89de3611917157b7bcfec79458841576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cb0c811e8af9167bc13eb17de89cd7b2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A99B36-C44B-4E1C-B69A-5B6D20B5277E}"/>
</file>

<file path=customXml/itemProps2.xml><?xml version="1.0" encoding="utf-8"?>
<ds:datastoreItem xmlns:ds="http://schemas.openxmlformats.org/officeDocument/2006/customXml" ds:itemID="{81EED95F-119F-455F-AE20-1F2AB2FFE8B6}"/>
</file>

<file path=customXml/itemProps3.xml><?xml version="1.0" encoding="utf-8"?>
<ds:datastoreItem xmlns:ds="http://schemas.openxmlformats.org/officeDocument/2006/customXml" ds:itemID="{CD8AA575-A75D-4F74-91B0-DFCF68A40F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Chatrath, Garima</dc:creator>
  <cp:keywords/>
  <dc:description/>
  <cp:lastModifiedBy>Ford, Robert@Energy</cp:lastModifiedBy>
  <cp:revision/>
  <dcterms:created xsi:type="dcterms:W3CDTF">2024-05-03T20:56:30Z</dcterms:created>
  <dcterms:modified xsi:type="dcterms:W3CDTF">2025-04-11T20:45:35Z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  <property fmtid="{D5CDD505-2E9C-101B-9397-08002B2CF9AE}" pid="3" name="MediaServiceImageTags">
    <vt:lpwstr/>
  </property>
</Properties>
</file>