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capuc-my.sharepoint.com/personal/garima_chatrath_cpuc_ca_gov/Documents/Phase_3B/Annual_report_Data Analysis-3B/"/>
    </mc:Choice>
  </mc:AlternateContent>
  <xr:revisionPtr revIDLastSave="334" documentId="8_{AB143C1F-101C-47D6-A06D-8007371F4B82}" xr6:coauthVersionLast="47" xr6:coauthVersionMax="47" xr10:uidLastSave="{93BA23B8-B177-4515-8400-5978630A4CFC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34" i="1"/>
  <c r="N52" i="1"/>
  <c r="I40" i="1" l="1"/>
  <c r="I41" i="1"/>
  <c r="I52" i="1" s="1"/>
  <c r="I42" i="1"/>
  <c r="I43" i="1"/>
  <c r="M43" i="1" s="1"/>
  <c r="O43" i="1" s="1"/>
  <c r="I44" i="1"/>
  <c r="I45" i="1"/>
  <c r="I46" i="1"/>
  <c r="I47" i="1"/>
  <c r="I48" i="1"/>
  <c r="I49" i="1"/>
  <c r="I50" i="1"/>
  <c r="K50" i="1" s="1"/>
  <c r="Q50" i="1" s="1"/>
  <c r="I39" i="1"/>
  <c r="H40" i="1"/>
  <c r="H41" i="1"/>
  <c r="J41" i="1" s="1"/>
  <c r="P41" i="1" s="1"/>
  <c r="H42" i="1"/>
  <c r="H43" i="1"/>
  <c r="H44" i="1"/>
  <c r="H45" i="1"/>
  <c r="H46" i="1"/>
  <c r="H52" i="1" s="1"/>
  <c r="H47" i="1"/>
  <c r="H48" i="1"/>
  <c r="H49" i="1"/>
  <c r="H50" i="1"/>
  <c r="H39" i="1"/>
  <c r="G40" i="1"/>
  <c r="G41" i="1"/>
  <c r="G42" i="1"/>
  <c r="G43" i="1"/>
  <c r="K43" i="1" s="1"/>
  <c r="Q43" i="1" s="1"/>
  <c r="G44" i="1"/>
  <c r="G45" i="1"/>
  <c r="G46" i="1"/>
  <c r="G47" i="1"/>
  <c r="K47" i="1" s="1"/>
  <c r="Q47" i="1" s="1"/>
  <c r="G48" i="1"/>
  <c r="G49" i="1"/>
  <c r="G50" i="1"/>
  <c r="G39" i="1"/>
  <c r="F40" i="1"/>
  <c r="F41" i="1"/>
  <c r="F42" i="1"/>
  <c r="F43" i="1"/>
  <c r="F44" i="1"/>
  <c r="F45" i="1"/>
  <c r="J45" i="1" s="1"/>
  <c r="P45" i="1" s="1"/>
  <c r="F46" i="1"/>
  <c r="F47" i="1"/>
  <c r="F48" i="1"/>
  <c r="F49" i="1"/>
  <c r="F50" i="1"/>
  <c r="F39" i="1"/>
  <c r="E40" i="1"/>
  <c r="E41" i="1"/>
  <c r="E42" i="1"/>
  <c r="E43" i="1"/>
  <c r="E44" i="1"/>
  <c r="E45" i="1"/>
  <c r="E52" i="1" s="1"/>
  <c r="E46" i="1"/>
  <c r="E47" i="1"/>
  <c r="M47" i="1" s="1"/>
  <c r="O47" i="1" s="1"/>
  <c r="E48" i="1"/>
  <c r="E49" i="1"/>
  <c r="E50" i="1"/>
  <c r="E39" i="1"/>
  <c r="D40" i="1"/>
  <c r="D41" i="1"/>
  <c r="D42" i="1"/>
  <c r="D43" i="1"/>
  <c r="D44" i="1"/>
  <c r="L44" i="1" s="1"/>
  <c r="N44" i="1" s="1"/>
  <c r="D45" i="1"/>
  <c r="D46" i="1"/>
  <c r="D47" i="1"/>
  <c r="D48" i="1"/>
  <c r="L48" i="1" s="1"/>
  <c r="N48" i="1" s="1"/>
  <c r="D49" i="1"/>
  <c r="D50" i="1"/>
  <c r="D39" i="1"/>
  <c r="C40" i="1"/>
  <c r="C41" i="1"/>
  <c r="C42" i="1"/>
  <c r="C43" i="1"/>
  <c r="C44" i="1"/>
  <c r="C45" i="1"/>
  <c r="M45" i="1" s="1"/>
  <c r="O45" i="1" s="1"/>
  <c r="C46" i="1"/>
  <c r="C52" i="1" s="1"/>
  <c r="C47" i="1"/>
  <c r="C48" i="1"/>
  <c r="C49" i="1"/>
  <c r="C50" i="1"/>
  <c r="C39" i="1"/>
  <c r="B40" i="1"/>
  <c r="B41" i="1"/>
  <c r="B42" i="1"/>
  <c r="B43" i="1"/>
  <c r="B44" i="1"/>
  <c r="B52" i="1" s="1"/>
  <c r="B45" i="1"/>
  <c r="B46" i="1"/>
  <c r="B47" i="1"/>
  <c r="L47" i="1" s="1"/>
  <c r="N47" i="1" s="1"/>
  <c r="B48" i="1"/>
  <c r="B49" i="1"/>
  <c r="B50" i="1"/>
  <c r="B39" i="1"/>
  <c r="G52" i="1"/>
  <c r="F52" i="1"/>
  <c r="D52" i="1"/>
  <c r="L49" i="1"/>
  <c r="N49" i="1" s="1"/>
  <c r="J48" i="1"/>
  <c r="P48" i="1" s="1"/>
  <c r="J47" i="1"/>
  <c r="P47" i="1" s="1"/>
  <c r="L46" i="1"/>
  <c r="N46" i="1" s="1"/>
  <c r="K46" i="1"/>
  <c r="Q46" i="1" s="1"/>
  <c r="J46" i="1"/>
  <c r="P46" i="1" s="1"/>
  <c r="L45" i="1"/>
  <c r="N45" i="1" s="1"/>
  <c r="K45" i="1"/>
  <c r="Q45" i="1" s="1"/>
  <c r="M44" i="1"/>
  <c r="O44" i="1" s="1"/>
  <c r="K44" i="1"/>
  <c r="Q44" i="1" s="1"/>
  <c r="J44" i="1"/>
  <c r="P44" i="1" s="1"/>
  <c r="L43" i="1"/>
  <c r="N43" i="1" s="1"/>
  <c r="J43" i="1"/>
  <c r="P43" i="1" s="1"/>
  <c r="M42" i="1"/>
  <c r="O42" i="1" s="1"/>
  <c r="L42" i="1"/>
  <c r="N42" i="1" s="1"/>
  <c r="K42" i="1"/>
  <c r="Q42" i="1" s="1"/>
  <c r="J42" i="1"/>
  <c r="P42" i="1" s="1"/>
  <c r="M41" i="1"/>
  <c r="O41" i="1" s="1"/>
  <c r="L41" i="1"/>
  <c r="N41" i="1" s="1"/>
  <c r="K41" i="1"/>
  <c r="Q41" i="1" s="1"/>
  <c r="M40" i="1"/>
  <c r="O40" i="1" s="1"/>
  <c r="L40" i="1"/>
  <c r="N40" i="1" s="1"/>
  <c r="K40" i="1"/>
  <c r="Q40" i="1" s="1"/>
  <c r="J40" i="1"/>
  <c r="P40" i="1" s="1"/>
  <c r="M39" i="1"/>
  <c r="O39" i="1" s="1"/>
  <c r="L39" i="1"/>
  <c r="N39" i="1" s="1"/>
  <c r="K39" i="1"/>
  <c r="J39" i="1"/>
  <c r="P39" i="1" s="1"/>
  <c r="K49" i="1" l="1"/>
  <c r="Q49" i="1" s="1"/>
  <c r="M48" i="1"/>
  <c r="O48" i="1" s="1"/>
  <c r="J50" i="1"/>
  <c r="P50" i="1" s="1"/>
  <c r="J49" i="1"/>
  <c r="P49" i="1" s="1"/>
  <c r="K48" i="1"/>
  <c r="Q48" i="1" s="1"/>
  <c r="M50" i="1"/>
  <c r="O50" i="1" s="1"/>
  <c r="M49" i="1"/>
  <c r="O49" i="1" s="1"/>
  <c r="L50" i="1"/>
  <c r="N50" i="1" s="1"/>
  <c r="M46" i="1"/>
  <c r="O46" i="1" s="1"/>
  <c r="Q39" i="1"/>
  <c r="J52" i="1"/>
  <c r="P52" i="1" s="1"/>
  <c r="L52" i="1"/>
  <c r="J21" i="1"/>
  <c r="I34" i="1"/>
  <c r="H34" i="1"/>
  <c r="G34" i="1"/>
  <c r="F34" i="1"/>
  <c r="E34" i="1"/>
  <c r="D34" i="1"/>
  <c r="C34" i="1"/>
  <c r="B34" i="1"/>
  <c r="M32" i="1"/>
  <c r="O32" i="1" s="1"/>
  <c r="L32" i="1"/>
  <c r="N32" i="1" s="1"/>
  <c r="K32" i="1"/>
  <c r="Q32" i="1" s="1"/>
  <c r="J32" i="1"/>
  <c r="P32" i="1" s="1"/>
  <c r="M31" i="1"/>
  <c r="O31" i="1" s="1"/>
  <c r="L31" i="1"/>
  <c r="N31" i="1" s="1"/>
  <c r="K31" i="1"/>
  <c r="Q31" i="1" s="1"/>
  <c r="J31" i="1"/>
  <c r="P31" i="1" s="1"/>
  <c r="M30" i="1"/>
  <c r="O30" i="1" s="1"/>
  <c r="L30" i="1"/>
  <c r="N30" i="1" s="1"/>
  <c r="K30" i="1"/>
  <c r="Q30" i="1" s="1"/>
  <c r="J30" i="1"/>
  <c r="P30" i="1" s="1"/>
  <c r="M29" i="1"/>
  <c r="O29" i="1" s="1"/>
  <c r="L29" i="1"/>
  <c r="N29" i="1" s="1"/>
  <c r="K29" i="1"/>
  <c r="Q29" i="1" s="1"/>
  <c r="J29" i="1"/>
  <c r="P29" i="1" s="1"/>
  <c r="M28" i="1"/>
  <c r="O28" i="1" s="1"/>
  <c r="L28" i="1"/>
  <c r="N28" i="1" s="1"/>
  <c r="K28" i="1"/>
  <c r="Q28" i="1" s="1"/>
  <c r="J28" i="1"/>
  <c r="P28" i="1" s="1"/>
  <c r="M27" i="1"/>
  <c r="O27" i="1" s="1"/>
  <c r="L27" i="1"/>
  <c r="N27" i="1" s="1"/>
  <c r="K27" i="1"/>
  <c r="Q27" i="1" s="1"/>
  <c r="J27" i="1"/>
  <c r="P27" i="1" s="1"/>
  <c r="M26" i="1"/>
  <c r="O26" i="1" s="1"/>
  <c r="L26" i="1"/>
  <c r="N26" i="1" s="1"/>
  <c r="K26" i="1"/>
  <c r="Q26" i="1" s="1"/>
  <c r="J26" i="1"/>
  <c r="P26" i="1" s="1"/>
  <c r="M25" i="1"/>
  <c r="O25" i="1" s="1"/>
  <c r="L25" i="1"/>
  <c r="N25" i="1" s="1"/>
  <c r="K25" i="1"/>
  <c r="Q25" i="1" s="1"/>
  <c r="J25" i="1"/>
  <c r="P25" i="1" s="1"/>
  <c r="M24" i="1"/>
  <c r="O24" i="1" s="1"/>
  <c r="L24" i="1"/>
  <c r="N24" i="1" s="1"/>
  <c r="K24" i="1"/>
  <c r="Q24" i="1" s="1"/>
  <c r="J24" i="1"/>
  <c r="P24" i="1" s="1"/>
  <c r="M23" i="1"/>
  <c r="O23" i="1" s="1"/>
  <c r="L23" i="1"/>
  <c r="N23" i="1" s="1"/>
  <c r="K23" i="1"/>
  <c r="Q23" i="1" s="1"/>
  <c r="J23" i="1"/>
  <c r="P23" i="1" s="1"/>
  <c r="M22" i="1"/>
  <c r="L22" i="1"/>
  <c r="N22" i="1" s="1"/>
  <c r="K22" i="1"/>
  <c r="J22" i="1"/>
  <c r="P22" i="1" s="1"/>
  <c r="M21" i="1"/>
  <c r="O21" i="1" s="1"/>
  <c r="L21" i="1"/>
  <c r="N21" i="1" s="1"/>
  <c r="K21" i="1"/>
  <c r="Q21" i="1" s="1"/>
  <c r="K52" i="1" l="1"/>
  <c r="Q52" i="1" s="1"/>
  <c r="M52" i="1"/>
  <c r="O52" i="1" s="1"/>
  <c r="J34" i="1"/>
  <c r="P34" i="1" s="1"/>
  <c r="P21" i="1"/>
  <c r="K34" i="1"/>
  <c r="Q34" i="1" s="1"/>
  <c r="M34" i="1"/>
  <c r="O34" i="1" s="1"/>
  <c r="Q22" i="1"/>
  <c r="L34" i="1"/>
  <c r="O22" i="1"/>
  <c r="J3" i="1"/>
  <c r="K5" i="1"/>
  <c r="K3" i="1"/>
  <c r="I16" i="1"/>
  <c r="Q5" i="1"/>
  <c r="Q3" i="1"/>
  <c r="P3" i="1"/>
  <c r="K4" i="1"/>
  <c r="Q4" i="1" s="1"/>
  <c r="K6" i="1"/>
  <c r="Q6" i="1" s="1"/>
  <c r="K7" i="1"/>
  <c r="Q7" i="1" s="1"/>
  <c r="K8" i="1"/>
  <c r="Q8" i="1" s="1"/>
  <c r="K9" i="1"/>
  <c r="Q9" i="1" s="1"/>
  <c r="K10" i="1"/>
  <c r="Q10" i="1" s="1"/>
  <c r="K11" i="1"/>
  <c r="K12" i="1"/>
  <c r="Q12" i="1" s="1"/>
  <c r="K13" i="1"/>
  <c r="Q13" i="1" s="1"/>
  <c r="K14" i="1"/>
  <c r="Q14" i="1" s="1"/>
  <c r="J4" i="1"/>
  <c r="P4" i="1" s="1"/>
  <c r="J5" i="1"/>
  <c r="P5" i="1" s="1"/>
  <c r="J6" i="1"/>
  <c r="P6" i="1" s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P13" i="1" s="1"/>
  <c r="J14" i="1"/>
  <c r="P14" i="1" s="1"/>
  <c r="L4" i="1"/>
  <c r="M4" i="1"/>
  <c r="M5" i="1"/>
  <c r="M6" i="1"/>
  <c r="M7" i="1"/>
  <c r="M8" i="1"/>
  <c r="M9" i="1"/>
  <c r="M10" i="1"/>
  <c r="M11" i="1"/>
  <c r="M12" i="1"/>
  <c r="M13" i="1"/>
  <c r="M14" i="1"/>
  <c r="O14" i="1" s="1"/>
  <c r="L5" i="1"/>
  <c r="L6" i="1"/>
  <c r="L7" i="1"/>
  <c r="L8" i="1"/>
  <c r="L9" i="1"/>
  <c r="L10" i="1"/>
  <c r="L11" i="1"/>
  <c r="L12" i="1"/>
  <c r="L13" i="1"/>
  <c r="L14" i="1"/>
  <c r="N14" i="1" s="1"/>
  <c r="L3" i="1"/>
  <c r="N3" i="1" s="1"/>
  <c r="F16" i="1"/>
  <c r="G16" i="1"/>
  <c r="H16" i="1"/>
  <c r="B16" i="1"/>
  <c r="M3" i="1"/>
  <c r="O3" i="1" s="1"/>
  <c r="K16" i="1" l="1"/>
  <c r="Q16" i="1" s="1"/>
  <c r="J16" i="1"/>
  <c r="P16" i="1" s="1"/>
  <c r="Q11" i="1"/>
  <c r="M16" i="1"/>
  <c r="L16" i="1"/>
  <c r="O10" i="1"/>
  <c r="O9" i="1"/>
  <c r="O8" i="1"/>
  <c r="O7" i="1"/>
  <c r="N4" i="1"/>
  <c r="O5" i="1"/>
  <c r="O13" i="1"/>
  <c r="O12" i="1"/>
  <c r="O11" i="1"/>
  <c r="O6" i="1"/>
  <c r="O4" i="1"/>
  <c r="N13" i="1"/>
  <c r="N12" i="1"/>
  <c r="N11" i="1"/>
  <c r="N10" i="1"/>
  <c r="N9" i="1"/>
  <c r="N8" i="1"/>
  <c r="N7" i="1"/>
  <c r="N6" i="1"/>
  <c r="N5" i="1"/>
  <c r="E16" i="1"/>
  <c r="D16" i="1"/>
  <c r="C16" i="1"/>
  <c r="O16" i="1" l="1"/>
</calcChain>
</file>

<file path=xl/sharedStrings.xml><?xml version="1.0" encoding="utf-8"?>
<sst xmlns="http://schemas.openxmlformats.org/spreadsheetml/2006/main" count="93" uniqueCount="33">
  <si>
    <t>Residential</t>
  </si>
  <si>
    <t>Month</t>
  </si>
  <si>
    <t>Mixed Fuel Projects Requested</t>
  </si>
  <si>
    <t>Mixed Fuel Projects Energized</t>
  </si>
  <si>
    <t>All-Electric Projects Requested</t>
  </si>
  <si>
    <t>All-Electric Projects Energized</t>
  </si>
  <si>
    <t xml:space="preserve">Mixed Fuel upgrades Requested in Existing facilities </t>
  </si>
  <si>
    <t xml:space="preserve">Mixed Fuel upgrades completed in Existing facilities </t>
  </si>
  <si>
    <t>All-Electric Upgrades requested in Existing facilities</t>
  </si>
  <si>
    <t>All-Electric Upgrades completed in Existing facilities</t>
  </si>
  <si>
    <t xml:space="preserve">Total Upgrades requested </t>
  </si>
  <si>
    <t>Total Upgrades Completed</t>
  </si>
  <si>
    <t>Total Projects Requested</t>
  </si>
  <si>
    <t>Total Projects Energized</t>
  </si>
  <si>
    <t>Percentage All-Electric Requested</t>
  </si>
  <si>
    <t>Percentage All-Electric Energized</t>
  </si>
  <si>
    <t>Percentage of All-Electric Upgrades Requested</t>
  </si>
  <si>
    <t>Percentage of All-Electric Upgrades completed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</si>
  <si>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</si>
  <si>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</si>
  <si>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</si>
  <si>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</si>
  <si>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</si>
  <si>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</si>
  <si>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</si>
  <si>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</si>
  <si>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</si>
  <si>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</si>
  <si>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</si>
  <si>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</si>
  <si>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</si>
  <si>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Commercial</t>
  </si>
  <si>
    <t>Residential +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</si>
</sst>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4" borderId="0" xfId="0" applyFill="1" applyBorder="1"/>
    <xf numFmtId="164" fontId="0" fillId="4" borderId="0" xfId="1" applyNumberFormat="1" applyFont="1" applyFill="1" applyBorder="1"/>
    <xf numFmtId="164" fontId="0" fillId="4" borderId="0" xfId="0" applyNumberFormat="1" applyFill="1" applyBorder="1"/>
    <xf numFmtId="2" fontId="0" fillId="4" borderId="0" xfId="0" applyNumberFormat="1" applyFill="1" applyBorder="1"/>
    <xf numFmtId="0" fontId="0" fillId="3" borderId="0" xfId="0" applyFill="1" applyBorder="1"/>
    <xf numFmtId="164" fontId="0" fillId="3" borderId="0" xfId="1" applyNumberFormat="1" applyFont="1" applyFill="1" applyBorder="1"/>
    <xf numFmtId="164" fontId="0" fillId="3" borderId="0" xfId="0" applyNumberFormat="1" applyFill="1" applyBorder="1"/>
    <xf numFmtId="2" fontId="0" fillId="3" borderId="0" xfId="0" applyNumberFormat="1" applyFill="1" applyBorder="1"/>
    <xf numFmtId="0" fontId="0" fillId="0" borderId="0" xfId="0" applyBorder="1"/>
    <xf numFmtId="164" fontId="0" fillId="0" borderId="0" xfId="1" applyNumberFormat="1" applyFont="1" applyBorder="1"/>
    <xf numFmtId="0" fontId="0" fillId="4" borderId="3" xfId="0" applyFill="1" applyBorder="1"/>
    <xf numFmtId="2" fontId="0" fillId="4" borderId="4" xfId="0" applyNumberFormat="1" applyFill="1" applyBorder="1"/>
    <xf numFmtId="0" fontId="0" fillId="3" borderId="3" xfId="0" applyFill="1" applyBorder="1"/>
    <xf numFmtId="2" fontId="0" fillId="3" borderId="4" xfId="0" applyNumberForma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1" applyNumberFormat="1" applyFont="1" applyBorder="1"/>
    <xf numFmtId="164" fontId="0" fillId="0" borderId="6" xfId="0" applyNumberFormat="1" applyBorder="1"/>
    <xf numFmtId="2" fontId="0" fillId="2" borderId="6" xfId="0" applyNumberFormat="1" applyFill="1" applyBorder="1"/>
    <xf numFmtId="2" fontId="0" fillId="2" borderId="7" xfId="0" applyNumberFormat="1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S11" sqref="S11"/>
    </sheetView>
  </sheetViews>
  <sheetFormatPr defaultRowHeight="14.45"/>
  <cols>
    <col min="2" max="4" width="10.5703125" bestFit="1" customWidth="1"/>
    <col min="5" max="5" width="9.42578125" bestFit="1" customWidth="1"/>
    <col min="8" max="8" width="9.85546875" customWidth="1"/>
    <col min="9" max="9" width="10.5703125" customWidth="1"/>
    <col min="10" max="10" width="9.7109375" customWidth="1"/>
    <col min="11" max="11" width="11" customWidth="1"/>
    <col min="12" max="12" width="10.5703125" customWidth="1"/>
    <col min="13" max="13" width="9.85546875" customWidth="1"/>
    <col min="14" max="14" width="10.7109375" customWidth="1"/>
    <col min="15" max="15" width="9.5703125" bestFit="1" customWidth="1"/>
    <col min="16" max="16" width="11.28515625" customWidth="1"/>
    <col min="17" max="17" width="10.42578125" customWidth="1"/>
  </cols>
  <sheetData>
    <row r="1" spans="1:17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</row>
    <row r="2" spans="1:17" ht="100.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spans="1:17">
      <c r="A3" s="15" t="s">
        <v>18</v>
      </c>
      <c r="B3" s="6">
        <v>143</v>
      </c>
      <c r="C3" s="6">
        <v>127</v>
      </c>
      <c r="D3" s="6">
        <v>1031</v>
      </c>
      <c r="E3" s="6">
        <v>68</v>
      </c>
      <c r="F3" s="5">
        <v>158</v>
      </c>
      <c r="G3" s="5">
        <v>142</v>
      </c>
      <c r="H3" s="5">
        <v>989</v>
      </c>
      <c r="I3" s="5">
        <v>856</v>
      </c>
      <c r="J3" s="5">
        <f>F3+H3</f>
        <v>1147</v>
      </c>
      <c r="K3" s="5">
        <f>G3+I3</f>
        <v>998</v>
      </c>
      <c r="L3" s="7">
        <f t="shared" ref="L3:L14" si="0">B3+D3</f>
        <v>1174</v>
      </c>
      <c r="M3" s="7">
        <f t="shared" ref="M3:M14" si="1">C3+E3+G3+I3</f>
        <v>1193</v>
      </c>
      <c r="N3" s="8">
        <f t="shared" ref="N3:N14" si="2">(D3/L3)*100</f>
        <v>87.819420783645654</v>
      </c>
      <c r="O3" s="8">
        <f t="shared" ref="O3:O14" si="3">(E3/M3)*100</f>
        <v>5.699916177703269</v>
      </c>
      <c r="P3" s="8">
        <f>(H3/J3)*100</f>
        <v>86.22493461203139</v>
      </c>
      <c r="Q3" s="16">
        <f>(I3/K3)*100</f>
        <v>85.771543086172343</v>
      </c>
    </row>
    <row r="4" spans="1:17">
      <c r="A4" s="15" t="s">
        <v>19</v>
      </c>
      <c r="B4" s="6">
        <v>164</v>
      </c>
      <c r="C4" s="6">
        <v>112</v>
      </c>
      <c r="D4" s="6">
        <v>968</v>
      </c>
      <c r="E4" s="6">
        <v>42</v>
      </c>
      <c r="F4" s="5">
        <v>158</v>
      </c>
      <c r="G4" s="5">
        <v>111</v>
      </c>
      <c r="H4" s="5">
        <v>936</v>
      </c>
      <c r="I4" s="5">
        <v>685</v>
      </c>
      <c r="J4" s="5">
        <f t="shared" ref="J4:J14" si="4">F4+H4</f>
        <v>1094</v>
      </c>
      <c r="K4" s="5">
        <f t="shared" ref="K4:K14" si="5">G4+I4</f>
        <v>796</v>
      </c>
      <c r="L4" s="7">
        <f t="shared" si="0"/>
        <v>1132</v>
      </c>
      <c r="M4" s="7">
        <f t="shared" si="1"/>
        <v>950</v>
      </c>
      <c r="N4" s="8">
        <f t="shared" si="2"/>
        <v>85.512367491166074</v>
      </c>
      <c r="O4" s="8">
        <f t="shared" si="3"/>
        <v>4.4210526315789469</v>
      </c>
      <c r="P4" s="8">
        <f>(H4/J4)*100</f>
        <v>85.557586837294338</v>
      </c>
      <c r="Q4" s="16">
        <f t="shared" ref="Q4:Q11" si="6">(I4/K4)*100</f>
        <v>86.05527638190955</v>
      </c>
    </row>
    <row r="5" spans="1:17">
      <c r="A5" s="15" t="s">
        <v>20</v>
      </c>
      <c r="B5" s="6">
        <v>206</v>
      </c>
      <c r="C5" s="6">
        <v>100</v>
      </c>
      <c r="D5" s="6">
        <v>1326</v>
      </c>
      <c r="E5" s="6">
        <v>34</v>
      </c>
      <c r="F5" s="5">
        <v>194</v>
      </c>
      <c r="G5" s="5">
        <v>111</v>
      </c>
      <c r="H5" s="5">
        <v>1295</v>
      </c>
      <c r="I5" s="5">
        <v>668</v>
      </c>
      <c r="J5" s="5">
        <f t="shared" si="4"/>
        <v>1489</v>
      </c>
      <c r="K5" s="5">
        <f>G5+I5</f>
        <v>779</v>
      </c>
      <c r="L5" s="7">
        <f t="shared" si="0"/>
        <v>1532</v>
      </c>
      <c r="M5" s="7">
        <f t="shared" si="1"/>
        <v>913</v>
      </c>
      <c r="N5" s="8">
        <f t="shared" si="2"/>
        <v>86.553524804177556</v>
      </c>
      <c r="O5" s="8">
        <f t="shared" si="3"/>
        <v>3.7239868565169769</v>
      </c>
      <c r="P5" s="8">
        <f t="shared" ref="P5:P12" si="7">(H5/J5)*100</f>
        <v>86.971121558092676</v>
      </c>
      <c r="Q5" s="16">
        <f t="shared" si="6"/>
        <v>85.750962772785627</v>
      </c>
    </row>
    <row r="6" spans="1:17">
      <c r="A6" s="15" t="s">
        <v>21</v>
      </c>
      <c r="B6" s="6">
        <v>141</v>
      </c>
      <c r="C6" s="6">
        <v>50</v>
      </c>
      <c r="D6" s="6">
        <v>952</v>
      </c>
      <c r="E6" s="6">
        <v>19</v>
      </c>
      <c r="F6" s="5">
        <v>143</v>
      </c>
      <c r="G6" s="5">
        <v>106</v>
      </c>
      <c r="H6" s="5">
        <v>933</v>
      </c>
      <c r="I6" s="5">
        <v>580</v>
      </c>
      <c r="J6" s="5">
        <f t="shared" si="4"/>
        <v>1076</v>
      </c>
      <c r="K6" s="5">
        <f t="shared" si="5"/>
        <v>686</v>
      </c>
      <c r="L6" s="7">
        <f t="shared" si="0"/>
        <v>1093</v>
      </c>
      <c r="M6" s="7">
        <f t="shared" si="1"/>
        <v>755</v>
      </c>
      <c r="N6" s="8">
        <f t="shared" si="2"/>
        <v>87.099725526075019</v>
      </c>
      <c r="O6" s="8">
        <f t="shared" si="3"/>
        <v>2.5165562913907285</v>
      </c>
      <c r="P6" s="8">
        <f t="shared" si="7"/>
        <v>86.710037174721194</v>
      </c>
      <c r="Q6" s="16">
        <f t="shared" si="6"/>
        <v>84.548104956268219</v>
      </c>
    </row>
    <row r="7" spans="1:17">
      <c r="A7" s="15" t="s">
        <v>22</v>
      </c>
      <c r="B7" s="6">
        <v>156</v>
      </c>
      <c r="C7" s="6">
        <v>67</v>
      </c>
      <c r="D7" s="6">
        <v>963</v>
      </c>
      <c r="E7" s="6">
        <v>43</v>
      </c>
      <c r="F7" s="5">
        <v>137</v>
      </c>
      <c r="G7" s="5">
        <v>111</v>
      </c>
      <c r="H7" s="5">
        <v>946</v>
      </c>
      <c r="I7" s="5">
        <v>503</v>
      </c>
      <c r="J7" s="5">
        <f t="shared" si="4"/>
        <v>1083</v>
      </c>
      <c r="K7" s="5">
        <f t="shared" si="5"/>
        <v>614</v>
      </c>
      <c r="L7" s="7">
        <f t="shared" si="0"/>
        <v>1119</v>
      </c>
      <c r="M7" s="7">
        <f t="shared" si="1"/>
        <v>724</v>
      </c>
      <c r="N7" s="8">
        <f t="shared" si="2"/>
        <v>86.058981233243969</v>
      </c>
      <c r="O7" s="8">
        <f t="shared" si="3"/>
        <v>5.9392265193370166</v>
      </c>
      <c r="P7" s="8">
        <f t="shared" si="7"/>
        <v>87.349953831948284</v>
      </c>
      <c r="Q7" s="16">
        <f t="shared" si="6"/>
        <v>81.921824104234531</v>
      </c>
    </row>
    <row r="8" spans="1:17">
      <c r="A8" s="15" t="s">
        <v>23</v>
      </c>
      <c r="B8" s="6">
        <v>153</v>
      </c>
      <c r="C8" s="6">
        <v>174</v>
      </c>
      <c r="D8" s="6">
        <v>1249</v>
      </c>
      <c r="E8" s="6">
        <v>115</v>
      </c>
      <c r="F8" s="5">
        <v>184</v>
      </c>
      <c r="G8" s="5">
        <v>260</v>
      </c>
      <c r="H8" s="5">
        <v>1233</v>
      </c>
      <c r="I8" s="5">
        <v>1507</v>
      </c>
      <c r="J8" s="5">
        <f t="shared" si="4"/>
        <v>1417</v>
      </c>
      <c r="K8" s="5">
        <f t="shared" si="5"/>
        <v>1767</v>
      </c>
      <c r="L8" s="7">
        <f t="shared" si="0"/>
        <v>1402</v>
      </c>
      <c r="M8" s="7">
        <f t="shared" si="1"/>
        <v>2056</v>
      </c>
      <c r="N8" s="8">
        <f t="shared" si="2"/>
        <v>89.087018544935802</v>
      </c>
      <c r="O8" s="8">
        <f t="shared" si="3"/>
        <v>5.5933852140077827</v>
      </c>
      <c r="P8" s="8">
        <f t="shared" si="7"/>
        <v>87.014820042342976</v>
      </c>
      <c r="Q8" s="16">
        <f>(I8/K8)*100</f>
        <v>85.285795132993783</v>
      </c>
    </row>
    <row r="9" spans="1:17">
      <c r="A9" s="17" t="s">
        <v>24</v>
      </c>
      <c r="B9" s="10">
        <v>120</v>
      </c>
      <c r="C9" s="10">
        <v>108</v>
      </c>
      <c r="D9" s="10">
        <v>1121</v>
      </c>
      <c r="E9" s="10">
        <v>78</v>
      </c>
      <c r="F9" s="9">
        <v>111</v>
      </c>
      <c r="G9" s="9">
        <v>138</v>
      </c>
      <c r="H9" s="9">
        <v>1115</v>
      </c>
      <c r="I9" s="9">
        <v>847</v>
      </c>
      <c r="J9" s="9">
        <f t="shared" si="4"/>
        <v>1226</v>
      </c>
      <c r="K9" s="9">
        <f t="shared" si="5"/>
        <v>985</v>
      </c>
      <c r="L9" s="11">
        <f t="shared" si="0"/>
        <v>1241</v>
      </c>
      <c r="M9" s="11">
        <f t="shared" si="1"/>
        <v>1171</v>
      </c>
      <c r="N9" s="12">
        <f t="shared" si="2"/>
        <v>90.330378726833189</v>
      </c>
      <c r="O9" s="12">
        <f t="shared" si="3"/>
        <v>6.6609735269000856</v>
      </c>
      <c r="P9" s="12">
        <f t="shared" si="7"/>
        <v>90.946166394779766</v>
      </c>
      <c r="Q9" s="18">
        <f t="shared" si="6"/>
        <v>85.989847715736047</v>
      </c>
    </row>
    <row r="10" spans="1:17">
      <c r="A10" s="17" t="s">
        <v>25</v>
      </c>
      <c r="B10" s="10">
        <v>155</v>
      </c>
      <c r="C10" s="10">
        <v>176</v>
      </c>
      <c r="D10" s="10">
        <v>1362</v>
      </c>
      <c r="E10" s="10">
        <v>86</v>
      </c>
      <c r="F10" s="9">
        <v>174</v>
      </c>
      <c r="G10" s="9">
        <v>173</v>
      </c>
      <c r="H10" s="9">
        <v>1332</v>
      </c>
      <c r="I10" s="9">
        <v>1309</v>
      </c>
      <c r="J10" s="9">
        <f t="shared" si="4"/>
        <v>1506</v>
      </c>
      <c r="K10" s="9">
        <f t="shared" si="5"/>
        <v>1482</v>
      </c>
      <c r="L10" s="11">
        <f t="shared" si="0"/>
        <v>1517</v>
      </c>
      <c r="M10" s="11">
        <f t="shared" si="1"/>
        <v>1744</v>
      </c>
      <c r="N10" s="12">
        <f t="shared" si="2"/>
        <v>89.782465392221482</v>
      </c>
      <c r="O10" s="12">
        <f t="shared" si="3"/>
        <v>4.931192660550459</v>
      </c>
      <c r="P10" s="12">
        <f t="shared" si="7"/>
        <v>88.446215139442231</v>
      </c>
      <c r="Q10" s="18">
        <f t="shared" si="6"/>
        <v>88.326585695006742</v>
      </c>
    </row>
    <row r="11" spans="1:17">
      <c r="A11" s="17" t="s">
        <v>26</v>
      </c>
      <c r="B11" s="10">
        <v>183</v>
      </c>
      <c r="C11" s="10">
        <v>120</v>
      </c>
      <c r="D11" s="10">
        <v>1148</v>
      </c>
      <c r="E11" s="10">
        <v>58</v>
      </c>
      <c r="F11" s="9">
        <v>160</v>
      </c>
      <c r="G11" s="9">
        <v>132</v>
      </c>
      <c r="H11" s="9">
        <v>1103</v>
      </c>
      <c r="I11" s="9">
        <v>805</v>
      </c>
      <c r="J11" s="9">
        <f t="shared" si="4"/>
        <v>1263</v>
      </c>
      <c r="K11" s="9">
        <f t="shared" si="5"/>
        <v>937</v>
      </c>
      <c r="L11" s="11">
        <f t="shared" si="0"/>
        <v>1331</v>
      </c>
      <c r="M11" s="11">
        <f t="shared" si="1"/>
        <v>1115</v>
      </c>
      <c r="N11" s="12">
        <f t="shared" si="2"/>
        <v>86.250939143501128</v>
      </c>
      <c r="O11" s="12">
        <f t="shared" si="3"/>
        <v>5.2017937219730941</v>
      </c>
      <c r="P11" s="12">
        <f t="shared" si="7"/>
        <v>87.331749802058596</v>
      </c>
      <c r="Q11" s="18">
        <f t="shared" si="6"/>
        <v>85.91248665955176</v>
      </c>
    </row>
    <row r="12" spans="1:17">
      <c r="A12" s="17" t="s">
        <v>27</v>
      </c>
      <c r="B12" s="10">
        <v>139</v>
      </c>
      <c r="C12" s="10">
        <v>105</v>
      </c>
      <c r="D12" s="10">
        <v>970</v>
      </c>
      <c r="E12" s="10">
        <v>76</v>
      </c>
      <c r="F12" s="9">
        <v>145</v>
      </c>
      <c r="G12" s="9">
        <v>163</v>
      </c>
      <c r="H12" s="9">
        <v>972</v>
      </c>
      <c r="I12" s="9">
        <v>859</v>
      </c>
      <c r="J12" s="9">
        <f t="shared" si="4"/>
        <v>1117</v>
      </c>
      <c r="K12" s="9">
        <f t="shared" si="5"/>
        <v>1022</v>
      </c>
      <c r="L12" s="11">
        <f t="shared" si="0"/>
        <v>1109</v>
      </c>
      <c r="M12" s="11">
        <f t="shared" si="1"/>
        <v>1203</v>
      </c>
      <c r="N12" s="12">
        <f t="shared" si="2"/>
        <v>87.466185752930571</v>
      </c>
      <c r="O12" s="12">
        <f t="shared" si="3"/>
        <v>6.3175394846217783</v>
      </c>
      <c r="P12" s="12">
        <f t="shared" si="7"/>
        <v>87.018800358102055</v>
      </c>
      <c r="Q12" s="18">
        <f>(I12/K12)*100</f>
        <v>84.050880626223091</v>
      </c>
    </row>
    <row r="13" spans="1:17">
      <c r="A13" s="17" t="s">
        <v>28</v>
      </c>
      <c r="B13" s="10">
        <v>118</v>
      </c>
      <c r="C13" s="10">
        <v>73</v>
      </c>
      <c r="D13" s="10">
        <v>860</v>
      </c>
      <c r="E13" s="10">
        <v>62</v>
      </c>
      <c r="F13" s="9">
        <v>120</v>
      </c>
      <c r="G13" s="9">
        <v>96</v>
      </c>
      <c r="H13" s="9">
        <v>814</v>
      </c>
      <c r="I13" s="9">
        <v>721</v>
      </c>
      <c r="J13" s="9">
        <f t="shared" si="4"/>
        <v>934</v>
      </c>
      <c r="K13" s="9">
        <f t="shared" si="5"/>
        <v>817</v>
      </c>
      <c r="L13" s="11">
        <f t="shared" si="0"/>
        <v>978</v>
      </c>
      <c r="M13" s="11">
        <f t="shared" si="1"/>
        <v>952</v>
      </c>
      <c r="N13" s="12">
        <f t="shared" si="2"/>
        <v>87.934560327198369</v>
      </c>
      <c r="O13" s="12">
        <f t="shared" si="3"/>
        <v>6.5126050420168076</v>
      </c>
      <c r="P13" s="12">
        <f>(H13/J13)*100</f>
        <v>87.15203426124198</v>
      </c>
      <c r="Q13" s="18">
        <f>(I13/K13)*100</f>
        <v>88.249694002447981</v>
      </c>
    </row>
    <row r="14" spans="1:17">
      <c r="A14" s="17" t="s">
        <v>29</v>
      </c>
      <c r="B14" s="10">
        <v>109</v>
      </c>
      <c r="C14" s="10">
        <v>52</v>
      </c>
      <c r="D14" s="10">
        <v>730</v>
      </c>
      <c r="E14" s="10">
        <v>38</v>
      </c>
      <c r="F14" s="9">
        <v>112</v>
      </c>
      <c r="G14" s="9">
        <v>85</v>
      </c>
      <c r="H14" s="9">
        <v>702</v>
      </c>
      <c r="I14" s="9">
        <v>557</v>
      </c>
      <c r="J14" s="9">
        <f t="shared" si="4"/>
        <v>814</v>
      </c>
      <c r="K14" s="9">
        <f t="shared" si="5"/>
        <v>642</v>
      </c>
      <c r="L14" s="11">
        <f t="shared" si="0"/>
        <v>839</v>
      </c>
      <c r="M14" s="11">
        <f t="shared" si="1"/>
        <v>732</v>
      </c>
      <c r="N14" s="12">
        <f t="shared" si="2"/>
        <v>87.008343265792604</v>
      </c>
      <c r="O14" s="12">
        <f t="shared" si="3"/>
        <v>5.1912568306010929</v>
      </c>
      <c r="P14" s="12">
        <f>(H14/J14)*100</f>
        <v>86.240786240786235</v>
      </c>
      <c r="Q14" s="18">
        <f>(I14/K14)*100</f>
        <v>86.760124610591902</v>
      </c>
    </row>
    <row r="15" spans="1:17">
      <c r="A15" s="19"/>
      <c r="B15" s="14"/>
      <c r="C15" s="14"/>
      <c r="D15" s="14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0"/>
    </row>
    <row r="16" spans="1:17">
      <c r="A16" s="21" t="s">
        <v>30</v>
      </c>
      <c r="B16" s="22">
        <f>SUM(B3:B14)</f>
        <v>1787</v>
      </c>
      <c r="C16" s="22">
        <f>SUM(C3:C14)</f>
        <v>1264</v>
      </c>
      <c r="D16" s="22">
        <f>SUM(D3:D14)</f>
        <v>12680</v>
      </c>
      <c r="E16" s="22">
        <f>SUM(E3:E14)</f>
        <v>719</v>
      </c>
      <c r="F16" s="22">
        <f t="shared" ref="F16:H16" si="8">SUM(F3:F14)</f>
        <v>1796</v>
      </c>
      <c r="G16" s="22">
        <f t="shared" si="8"/>
        <v>1628</v>
      </c>
      <c r="H16" s="22">
        <f t="shared" si="8"/>
        <v>12370</v>
      </c>
      <c r="I16" s="22">
        <f>SUM(I3:I14)</f>
        <v>9897</v>
      </c>
      <c r="J16" s="22">
        <f t="shared" ref="J16:K16" si="9">SUM(J3:J14)</f>
        <v>14166</v>
      </c>
      <c r="K16" s="22">
        <f t="shared" si="9"/>
        <v>11525</v>
      </c>
      <c r="L16" s="23">
        <f>SUM(L3:L14)</f>
        <v>14467</v>
      </c>
      <c r="M16" s="23">
        <f>SUM(M3:M14)</f>
        <v>13508</v>
      </c>
      <c r="N16" s="24">
        <f>(D16/L16)*100</f>
        <v>87.647750051842124</v>
      </c>
      <c r="O16" s="24">
        <f>(E16/M16)*100</f>
        <v>5.3227716908498666</v>
      </c>
      <c r="P16" s="24">
        <f>(H16/J16)*100</f>
        <v>87.321756317944377</v>
      </c>
      <c r="Q16" s="25">
        <f>(I16/K16)*100</f>
        <v>85.874186550976134</v>
      </c>
    </row>
    <row r="19" spans="1:17">
      <c r="A19" s="29" t="s">
        <v>31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17" ht="100.9">
      <c r="A20" s="1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  <c r="N20" s="2" t="s">
        <v>14</v>
      </c>
      <c r="O20" s="2" t="s">
        <v>15</v>
      </c>
      <c r="P20" s="2" t="s">
        <v>16</v>
      </c>
      <c r="Q20" s="2" t="s">
        <v>17</v>
      </c>
    </row>
    <row r="21" spans="1:17">
      <c r="A21" s="15" t="s">
        <v>18</v>
      </c>
      <c r="B21" s="6">
        <v>90</v>
      </c>
      <c r="C21" s="6">
        <v>69</v>
      </c>
      <c r="D21" s="6">
        <v>114</v>
      </c>
      <c r="E21" s="6">
        <v>26</v>
      </c>
      <c r="F21" s="5">
        <v>30</v>
      </c>
      <c r="G21" s="5">
        <v>31</v>
      </c>
      <c r="H21" s="5">
        <v>62</v>
      </c>
      <c r="I21" s="5">
        <v>64</v>
      </c>
      <c r="J21" s="5">
        <f>F21+H21</f>
        <v>92</v>
      </c>
      <c r="K21" s="5">
        <f>G21+I21</f>
        <v>95</v>
      </c>
      <c r="L21" s="7">
        <f t="shared" ref="L21:L32" si="10">B21+D21</f>
        <v>204</v>
      </c>
      <c r="M21" s="7">
        <f t="shared" ref="M21:M32" si="11">C21+E21+G21+I21</f>
        <v>190</v>
      </c>
      <c r="N21" s="8">
        <f t="shared" ref="N21:N32" si="12">(D21/L21)*100</f>
        <v>55.882352941176471</v>
      </c>
      <c r="O21" s="8">
        <f t="shared" ref="O21:O32" si="13">(E21/M21)*100</f>
        <v>13.684210526315791</v>
      </c>
      <c r="P21" s="8">
        <f>(H21/J21)*100</f>
        <v>67.391304347826093</v>
      </c>
      <c r="Q21" s="16">
        <f>(I21/K21)*100</f>
        <v>67.368421052631575</v>
      </c>
    </row>
    <row r="22" spans="1:17">
      <c r="A22" s="15" t="s">
        <v>19</v>
      </c>
      <c r="B22" s="6">
        <v>74</v>
      </c>
      <c r="C22" s="6">
        <v>52</v>
      </c>
      <c r="D22" s="6">
        <v>104</v>
      </c>
      <c r="E22" s="6">
        <v>25</v>
      </c>
      <c r="F22" s="5">
        <v>29</v>
      </c>
      <c r="G22" s="5">
        <v>13</v>
      </c>
      <c r="H22" s="5">
        <v>47</v>
      </c>
      <c r="I22" s="5">
        <v>37</v>
      </c>
      <c r="J22" s="5">
        <f t="shared" ref="J22:J32" si="14">F22+H22</f>
        <v>76</v>
      </c>
      <c r="K22" s="5">
        <f t="shared" ref="K22:K32" si="15">G22+I22</f>
        <v>50</v>
      </c>
      <c r="L22" s="7">
        <f t="shared" si="10"/>
        <v>178</v>
      </c>
      <c r="M22" s="7">
        <f t="shared" si="11"/>
        <v>127</v>
      </c>
      <c r="N22" s="8">
        <f t="shared" si="12"/>
        <v>58.426966292134829</v>
      </c>
      <c r="O22" s="8">
        <f t="shared" si="13"/>
        <v>19.685039370078741</v>
      </c>
      <c r="P22" s="8">
        <f>(H22/J22)*100</f>
        <v>61.842105263157897</v>
      </c>
      <c r="Q22" s="16">
        <f t="shared" ref="Q22:Q29" si="16">(I22/K22)*100</f>
        <v>74</v>
      </c>
    </row>
    <row r="23" spans="1:17">
      <c r="A23" s="15" t="s">
        <v>20</v>
      </c>
      <c r="B23" s="6">
        <v>77</v>
      </c>
      <c r="C23" s="6">
        <v>0</v>
      </c>
      <c r="D23" s="6">
        <v>3</v>
      </c>
      <c r="E23" s="6">
        <v>11</v>
      </c>
      <c r="F23" s="5">
        <v>29</v>
      </c>
      <c r="G23" s="5">
        <v>21</v>
      </c>
      <c r="H23" s="5">
        <v>63</v>
      </c>
      <c r="I23" s="5">
        <v>30</v>
      </c>
      <c r="J23" s="5">
        <f t="shared" si="14"/>
        <v>92</v>
      </c>
      <c r="K23" s="5">
        <f>G23+I23</f>
        <v>51</v>
      </c>
      <c r="L23" s="7">
        <f t="shared" si="10"/>
        <v>80</v>
      </c>
      <c r="M23" s="7">
        <f t="shared" si="11"/>
        <v>62</v>
      </c>
      <c r="N23" s="8">
        <f t="shared" si="12"/>
        <v>3.75</v>
      </c>
      <c r="O23" s="8">
        <f t="shared" si="13"/>
        <v>17.741935483870968</v>
      </c>
      <c r="P23" s="8">
        <f t="shared" ref="P23:P30" si="17">(H23/J23)*100</f>
        <v>68.478260869565219</v>
      </c>
      <c r="Q23" s="16">
        <f t="shared" si="16"/>
        <v>58.82352941176471</v>
      </c>
    </row>
    <row r="24" spans="1:17">
      <c r="A24" s="15" t="s">
        <v>21</v>
      </c>
      <c r="B24" s="6">
        <v>71</v>
      </c>
      <c r="C24" s="6">
        <v>26</v>
      </c>
      <c r="D24" s="6">
        <v>104</v>
      </c>
      <c r="E24" s="6">
        <v>6</v>
      </c>
      <c r="F24" s="5">
        <v>22</v>
      </c>
      <c r="G24" s="5">
        <v>12</v>
      </c>
      <c r="H24" s="5">
        <v>54</v>
      </c>
      <c r="I24" s="5">
        <v>25</v>
      </c>
      <c r="J24" s="5">
        <f t="shared" si="14"/>
        <v>76</v>
      </c>
      <c r="K24" s="5">
        <f t="shared" ref="K24:K34" si="18">G24+I24</f>
        <v>37</v>
      </c>
      <c r="L24" s="7">
        <f t="shared" si="10"/>
        <v>175</v>
      </c>
      <c r="M24" s="7">
        <f t="shared" si="11"/>
        <v>69</v>
      </c>
      <c r="N24" s="8">
        <f t="shared" si="12"/>
        <v>59.428571428571431</v>
      </c>
      <c r="O24" s="8">
        <f t="shared" si="13"/>
        <v>8.695652173913043</v>
      </c>
      <c r="P24" s="8">
        <f t="shared" si="17"/>
        <v>71.05263157894737</v>
      </c>
      <c r="Q24" s="16">
        <f t="shared" si="16"/>
        <v>67.567567567567565</v>
      </c>
    </row>
    <row r="25" spans="1:17">
      <c r="A25" s="15" t="s">
        <v>22</v>
      </c>
      <c r="B25" s="6">
        <v>61</v>
      </c>
      <c r="C25" s="6">
        <v>35</v>
      </c>
      <c r="D25" s="6">
        <v>147</v>
      </c>
      <c r="E25" s="6">
        <v>18</v>
      </c>
      <c r="F25" s="5">
        <v>22</v>
      </c>
      <c r="G25" s="5">
        <v>19</v>
      </c>
      <c r="H25" s="5">
        <v>78</v>
      </c>
      <c r="I25" s="5">
        <v>30</v>
      </c>
      <c r="J25" s="5">
        <f t="shared" si="14"/>
        <v>100</v>
      </c>
      <c r="K25" s="5">
        <f t="shared" si="18"/>
        <v>49</v>
      </c>
      <c r="L25" s="7">
        <f t="shared" si="10"/>
        <v>208</v>
      </c>
      <c r="M25" s="7">
        <f t="shared" si="11"/>
        <v>102</v>
      </c>
      <c r="N25" s="8">
        <f t="shared" si="12"/>
        <v>70.673076923076934</v>
      </c>
      <c r="O25" s="8">
        <f t="shared" si="13"/>
        <v>17.647058823529413</v>
      </c>
      <c r="P25" s="8">
        <f t="shared" si="17"/>
        <v>78</v>
      </c>
      <c r="Q25" s="16">
        <f t="shared" si="16"/>
        <v>61.224489795918366</v>
      </c>
    </row>
    <row r="26" spans="1:17">
      <c r="A26" s="15" t="s">
        <v>23</v>
      </c>
      <c r="B26" s="6">
        <v>63</v>
      </c>
      <c r="C26" s="6">
        <v>52</v>
      </c>
      <c r="D26" s="6">
        <v>144</v>
      </c>
      <c r="E26" s="6">
        <v>34</v>
      </c>
      <c r="F26" s="5">
        <v>33</v>
      </c>
      <c r="G26" s="5">
        <v>23</v>
      </c>
      <c r="H26" s="5">
        <v>61</v>
      </c>
      <c r="I26" s="5">
        <v>78</v>
      </c>
      <c r="J26" s="5">
        <f t="shared" si="14"/>
        <v>94</v>
      </c>
      <c r="K26" s="5">
        <f t="shared" si="18"/>
        <v>101</v>
      </c>
      <c r="L26" s="7">
        <f t="shared" si="10"/>
        <v>207</v>
      </c>
      <c r="M26" s="7">
        <f t="shared" si="11"/>
        <v>187</v>
      </c>
      <c r="N26" s="8">
        <f t="shared" si="12"/>
        <v>69.565217391304344</v>
      </c>
      <c r="O26" s="8">
        <f t="shared" si="13"/>
        <v>18.181818181818183</v>
      </c>
      <c r="P26" s="8">
        <f t="shared" si="17"/>
        <v>64.893617021276597</v>
      </c>
      <c r="Q26" s="16">
        <f>(I26/K26)*100</f>
        <v>77.227722772277232</v>
      </c>
    </row>
    <row r="27" spans="1:17">
      <c r="A27" s="17" t="s">
        <v>24</v>
      </c>
      <c r="B27" s="10">
        <v>50</v>
      </c>
      <c r="C27" s="10">
        <v>50</v>
      </c>
      <c r="D27" s="10">
        <v>131</v>
      </c>
      <c r="E27" s="10">
        <v>23</v>
      </c>
      <c r="F27" s="9">
        <v>16</v>
      </c>
      <c r="G27" s="9">
        <v>39</v>
      </c>
      <c r="H27" s="9">
        <v>58</v>
      </c>
      <c r="I27" s="9">
        <v>43</v>
      </c>
      <c r="J27" s="9">
        <f t="shared" si="14"/>
        <v>74</v>
      </c>
      <c r="K27" s="9">
        <f t="shared" si="18"/>
        <v>82</v>
      </c>
      <c r="L27" s="11">
        <f t="shared" si="10"/>
        <v>181</v>
      </c>
      <c r="M27" s="11">
        <f t="shared" si="11"/>
        <v>155</v>
      </c>
      <c r="N27" s="12">
        <f t="shared" si="12"/>
        <v>72.375690607734811</v>
      </c>
      <c r="O27" s="12">
        <f t="shared" si="13"/>
        <v>14.838709677419354</v>
      </c>
      <c r="P27" s="12">
        <f t="shared" si="17"/>
        <v>78.378378378378372</v>
      </c>
      <c r="Q27" s="18">
        <f t="shared" ref="Q27:Q34" si="19">(I27/K27)*100</f>
        <v>52.439024390243901</v>
      </c>
    </row>
    <row r="28" spans="1:17">
      <c r="A28" s="17" t="s">
        <v>25</v>
      </c>
      <c r="B28" s="10">
        <v>65</v>
      </c>
      <c r="C28" s="10">
        <v>60</v>
      </c>
      <c r="D28" s="10">
        <v>158</v>
      </c>
      <c r="E28" s="10">
        <v>39</v>
      </c>
      <c r="F28" s="9">
        <v>20</v>
      </c>
      <c r="G28" s="9">
        <v>32</v>
      </c>
      <c r="H28" s="9">
        <v>77</v>
      </c>
      <c r="I28" s="9">
        <v>96</v>
      </c>
      <c r="J28" s="9">
        <f t="shared" si="14"/>
        <v>97</v>
      </c>
      <c r="K28" s="9">
        <f t="shared" si="18"/>
        <v>128</v>
      </c>
      <c r="L28" s="11">
        <f t="shared" si="10"/>
        <v>223</v>
      </c>
      <c r="M28" s="11">
        <f t="shared" si="11"/>
        <v>227</v>
      </c>
      <c r="N28" s="12">
        <f t="shared" si="12"/>
        <v>70.852017937219742</v>
      </c>
      <c r="O28" s="12">
        <f t="shared" si="13"/>
        <v>17.180616740088105</v>
      </c>
      <c r="P28" s="12">
        <f t="shared" si="17"/>
        <v>79.381443298969074</v>
      </c>
      <c r="Q28" s="18">
        <f t="shared" si="19"/>
        <v>75</v>
      </c>
    </row>
    <row r="29" spans="1:17">
      <c r="A29" s="17" t="s">
        <v>26</v>
      </c>
      <c r="B29" s="10">
        <v>58</v>
      </c>
      <c r="C29" s="10">
        <v>40</v>
      </c>
      <c r="D29" s="10">
        <v>120</v>
      </c>
      <c r="E29" s="10">
        <v>31</v>
      </c>
      <c r="F29" s="9">
        <v>23</v>
      </c>
      <c r="G29" s="9">
        <v>28</v>
      </c>
      <c r="H29" s="9">
        <v>81</v>
      </c>
      <c r="I29" s="9">
        <v>59</v>
      </c>
      <c r="J29" s="9">
        <f t="shared" si="14"/>
        <v>104</v>
      </c>
      <c r="K29" s="9">
        <f t="shared" si="18"/>
        <v>87</v>
      </c>
      <c r="L29" s="11">
        <f t="shared" si="10"/>
        <v>178</v>
      </c>
      <c r="M29" s="11">
        <f t="shared" si="11"/>
        <v>158</v>
      </c>
      <c r="N29" s="12">
        <f t="shared" si="12"/>
        <v>67.415730337078656</v>
      </c>
      <c r="O29" s="12">
        <f t="shared" si="13"/>
        <v>19.62025316455696</v>
      </c>
      <c r="P29" s="12">
        <f t="shared" si="17"/>
        <v>77.884615384615387</v>
      </c>
      <c r="Q29" s="18">
        <f t="shared" si="19"/>
        <v>67.81609195402298</v>
      </c>
    </row>
    <row r="30" spans="1:17">
      <c r="A30" s="17" t="s">
        <v>27</v>
      </c>
      <c r="B30" s="10">
        <v>80</v>
      </c>
      <c r="C30" s="10">
        <v>49</v>
      </c>
      <c r="D30" s="10">
        <v>125</v>
      </c>
      <c r="E30" s="10">
        <v>30</v>
      </c>
      <c r="F30" s="9">
        <v>30</v>
      </c>
      <c r="G30" s="9">
        <v>33</v>
      </c>
      <c r="H30" s="9">
        <v>59</v>
      </c>
      <c r="I30" s="9">
        <v>59</v>
      </c>
      <c r="J30" s="9">
        <f t="shared" si="14"/>
        <v>89</v>
      </c>
      <c r="K30" s="9">
        <f t="shared" si="18"/>
        <v>92</v>
      </c>
      <c r="L30" s="11">
        <f t="shared" si="10"/>
        <v>205</v>
      </c>
      <c r="M30" s="11">
        <f t="shared" si="11"/>
        <v>171</v>
      </c>
      <c r="N30" s="12">
        <f t="shared" si="12"/>
        <v>60.975609756097562</v>
      </c>
      <c r="O30" s="12">
        <f t="shared" si="13"/>
        <v>17.543859649122805</v>
      </c>
      <c r="P30" s="12">
        <f t="shared" si="17"/>
        <v>66.292134831460672</v>
      </c>
      <c r="Q30" s="18">
        <f>(I30/K30)*100</f>
        <v>64.130434782608688</v>
      </c>
    </row>
    <row r="31" spans="1:17">
      <c r="A31" s="17" t="s">
        <v>28</v>
      </c>
      <c r="B31" s="10">
        <v>56</v>
      </c>
      <c r="C31" s="10">
        <v>22</v>
      </c>
      <c r="D31" s="10">
        <v>140</v>
      </c>
      <c r="E31" s="10">
        <v>21</v>
      </c>
      <c r="F31" s="9">
        <v>18</v>
      </c>
      <c r="G31" s="9">
        <v>17</v>
      </c>
      <c r="H31" s="9">
        <v>63</v>
      </c>
      <c r="I31" s="9">
        <v>50</v>
      </c>
      <c r="J31" s="9">
        <f t="shared" si="14"/>
        <v>81</v>
      </c>
      <c r="K31" s="9">
        <f t="shared" si="18"/>
        <v>67</v>
      </c>
      <c r="L31" s="11">
        <f t="shared" si="10"/>
        <v>196</v>
      </c>
      <c r="M31" s="11">
        <f t="shared" si="11"/>
        <v>110</v>
      </c>
      <c r="N31" s="12">
        <f t="shared" si="12"/>
        <v>71.428571428571431</v>
      </c>
      <c r="O31" s="12">
        <f t="shared" si="13"/>
        <v>19.090909090909093</v>
      </c>
      <c r="P31" s="12">
        <f>(H31/J31)*100</f>
        <v>77.777777777777786</v>
      </c>
      <c r="Q31" s="18">
        <f>(I31/K31)*100</f>
        <v>74.626865671641795</v>
      </c>
    </row>
    <row r="32" spans="1:17">
      <c r="A32" s="17" t="s">
        <v>29</v>
      </c>
      <c r="B32" s="10">
        <v>0</v>
      </c>
      <c r="C32" s="10">
        <v>17</v>
      </c>
      <c r="D32" s="10">
        <v>81</v>
      </c>
      <c r="E32" s="10">
        <v>17</v>
      </c>
      <c r="F32" s="9">
        <v>28</v>
      </c>
      <c r="G32" s="9">
        <v>10</v>
      </c>
      <c r="H32" s="9">
        <v>35</v>
      </c>
      <c r="I32" s="9">
        <v>47</v>
      </c>
      <c r="J32" s="9">
        <f t="shared" si="14"/>
        <v>63</v>
      </c>
      <c r="K32" s="9">
        <f t="shared" si="18"/>
        <v>57</v>
      </c>
      <c r="L32" s="11">
        <f t="shared" si="10"/>
        <v>81</v>
      </c>
      <c r="M32" s="11">
        <f t="shared" si="11"/>
        <v>91</v>
      </c>
      <c r="N32" s="12">
        <f t="shared" si="12"/>
        <v>100</v>
      </c>
      <c r="O32" s="12">
        <f t="shared" si="13"/>
        <v>18.681318681318682</v>
      </c>
      <c r="P32" s="12">
        <f>(H32/J32)*100</f>
        <v>55.555555555555557</v>
      </c>
      <c r="Q32" s="18">
        <f>(I32/K32)*100</f>
        <v>82.456140350877192</v>
      </c>
    </row>
    <row r="33" spans="1:17">
      <c r="A33" s="19"/>
      <c r="B33" s="14"/>
      <c r="C33" s="14"/>
      <c r="D33" s="14"/>
      <c r="E33" s="14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0"/>
    </row>
    <row r="34" spans="1:17">
      <c r="A34" s="21" t="s">
        <v>30</v>
      </c>
      <c r="B34" s="22">
        <f>SUM(B21:B32)</f>
        <v>745</v>
      </c>
      <c r="C34" s="22">
        <f>SUM(C21:C32)</f>
        <v>472</v>
      </c>
      <c r="D34" s="22">
        <f>SUM(D21:D32)</f>
        <v>1371</v>
      </c>
      <c r="E34" s="22">
        <f>SUM(E21:E32)</f>
        <v>281</v>
      </c>
      <c r="F34" s="22">
        <f t="shared" ref="F34:H34" si="20">SUM(F21:F32)</f>
        <v>300</v>
      </c>
      <c r="G34" s="22">
        <f t="shared" si="20"/>
        <v>278</v>
      </c>
      <c r="H34" s="22">
        <f t="shared" si="20"/>
        <v>738</v>
      </c>
      <c r="I34" s="22">
        <f>SUM(I21:I32)</f>
        <v>618</v>
      </c>
      <c r="J34" s="22">
        <f t="shared" ref="J34:K34" si="21">SUM(J21:J32)</f>
        <v>1038</v>
      </c>
      <c r="K34" s="22">
        <f t="shared" si="21"/>
        <v>896</v>
      </c>
      <c r="L34" s="23">
        <f>SUM(L21:L32)</f>
        <v>2116</v>
      </c>
      <c r="M34" s="23">
        <f>SUM(M21:M32)</f>
        <v>1649</v>
      </c>
      <c r="N34" s="24">
        <f>(D34/L34)*100</f>
        <v>64.792060491493388</v>
      </c>
      <c r="O34" s="24">
        <f>(E34/M34)*100</f>
        <v>17.040630685263796</v>
      </c>
      <c r="P34" s="24">
        <f>(H34/J34)*100</f>
        <v>71.098265895953759</v>
      </c>
      <c r="Q34" s="25">
        <f>(I34/K34)*100</f>
        <v>68.973214285714292</v>
      </c>
    </row>
    <row r="37" spans="1:17">
      <c r="A37" s="29" t="s">
        <v>32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00.9">
      <c r="A38" s="1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2" t="s">
        <v>15</v>
      </c>
      <c r="P38" s="2" t="s">
        <v>16</v>
      </c>
      <c r="Q38" s="2" t="s">
        <v>17</v>
      </c>
    </row>
    <row r="39" spans="1:17">
      <c r="A39" s="15" t="s">
        <v>18</v>
      </c>
      <c r="B39" s="6">
        <f>B3+B21</f>
        <v>233</v>
      </c>
      <c r="C39" s="6">
        <f>C3+C21</f>
        <v>196</v>
      </c>
      <c r="D39" s="6">
        <f>D3+D21</f>
        <v>1145</v>
      </c>
      <c r="E39" s="6">
        <f>E3+E21</f>
        <v>94</v>
      </c>
      <c r="F39" s="5">
        <f>F3+F21</f>
        <v>188</v>
      </c>
      <c r="G39" s="5">
        <f>G3+G21</f>
        <v>173</v>
      </c>
      <c r="H39" s="5">
        <f>H3+H21</f>
        <v>1051</v>
      </c>
      <c r="I39" s="5">
        <f>I3+I21</f>
        <v>920</v>
      </c>
      <c r="J39" s="5">
        <f>F39+H39</f>
        <v>1239</v>
      </c>
      <c r="K39" s="5">
        <f>G39+I39</f>
        <v>1093</v>
      </c>
      <c r="L39" s="7">
        <f t="shared" ref="L39:L50" si="22">B39+D39</f>
        <v>1378</v>
      </c>
      <c r="M39" s="7">
        <f t="shared" ref="M39:M50" si="23">C39+E39+G39+I39</f>
        <v>1383</v>
      </c>
      <c r="N39" s="8">
        <f t="shared" ref="N39:N50" si="24">(D39/L39)*100</f>
        <v>83.091436865021777</v>
      </c>
      <c r="O39" s="8">
        <f t="shared" ref="O39:O50" si="25">(E39/M39)*100</f>
        <v>6.7968185104844538</v>
      </c>
      <c r="P39" s="8">
        <f>(H39/J39)*100</f>
        <v>84.826472962066177</v>
      </c>
      <c r="Q39" s="16">
        <f>(I39/K39)*100</f>
        <v>84.172003659652333</v>
      </c>
    </row>
    <row r="40" spans="1:17">
      <c r="A40" s="15" t="s">
        <v>19</v>
      </c>
      <c r="B40" s="6">
        <f t="shared" ref="B40:I50" si="26">B4+B22</f>
        <v>238</v>
      </c>
      <c r="C40" s="6">
        <f t="shared" si="26"/>
        <v>164</v>
      </c>
      <c r="D40" s="6">
        <f t="shared" si="26"/>
        <v>1072</v>
      </c>
      <c r="E40" s="6">
        <f t="shared" si="26"/>
        <v>67</v>
      </c>
      <c r="F40" s="5">
        <f t="shared" si="26"/>
        <v>187</v>
      </c>
      <c r="G40" s="5">
        <f t="shared" si="26"/>
        <v>124</v>
      </c>
      <c r="H40" s="5">
        <f t="shared" si="26"/>
        <v>983</v>
      </c>
      <c r="I40" s="5">
        <f t="shared" si="26"/>
        <v>722</v>
      </c>
      <c r="J40" s="5">
        <f t="shared" ref="J40:J50" si="27">F40+H40</f>
        <v>1170</v>
      </c>
      <c r="K40" s="5">
        <f t="shared" ref="K40:K50" si="28">G40+I40</f>
        <v>846</v>
      </c>
      <c r="L40" s="7">
        <f t="shared" si="22"/>
        <v>1310</v>
      </c>
      <c r="M40" s="7">
        <f t="shared" si="23"/>
        <v>1077</v>
      </c>
      <c r="N40" s="8">
        <f t="shared" si="24"/>
        <v>81.832061068702288</v>
      </c>
      <c r="O40" s="8">
        <f t="shared" si="25"/>
        <v>6.2209842154131847</v>
      </c>
      <c r="P40" s="8">
        <f>(H40/J40)*100</f>
        <v>84.017094017094024</v>
      </c>
      <c r="Q40" s="16">
        <f t="shared" ref="Q40:Q47" si="29">(I40/K40)*100</f>
        <v>85.342789598108752</v>
      </c>
    </row>
    <row r="41" spans="1:17">
      <c r="A41" s="15" t="s">
        <v>20</v>
      </c>
      <c r="B41" s="6">
        <f t="shared" si="26"/>
        <v>283</v>
      </c>
      <c r="C41" s="6">
        <f t="shared" si="26"/>
        <v>100</v>
      </c>
      <c r="D41" s="6">
        <f t="shared" si="26"/>
        <v>1329</v>
      </c>
      <c r="E41" s="6">
        <f t="shared" si="26"/>
        <v>45</v>
      </c>
      <c r="F41" s="5">
        <f t="shared" si="26"/>
        <v>223</v>
      </c>
      <c r="G41" s="5">
        <f t="shared" si="26"/>
        <v>132</v>
      </c>
      <c r="H41" s="5">
        <f t="shared" si="26"/>
        <v>1358</v>
      </c>
      <c r="I41" s="5">
        <f t="shared" si="26"/>
        <v>698</v>
      </c>
      <c r="J41" s="5">
        <f t="shared" si="27"/>
        <v>1581</v>
      </c>
      <c r="K41" s="5">
        <f>G41+I41</f>
        <v>830</v>
      </c>
      <c r="L41" s="7">
        <f t="shared" si="22"/>
        <v>1612</v>
      </c>
      <c r="M41" s="7">
        <f t="shared" si="23"/>
        <v>975</v>
      </c>
      <c r="N41" s="8">
        <f t="shared" si="24"/>
        <v>82.444168734491313</v>
      </c>
      <c r="O41" s="8">
        <f t="shared" si="25"/>
        <v>4.6153846153846159</v>
      </c>
      <c r="P41" s="8">
        <f t="shared" ref="P41:P48" si="30">(H41/J41)*100</f>
        <v>85.895003162555355</v>
      </c>
      <c r="Q41" s="16">
        <f t="shared" si="29"/>
        <v>84.096385542168676</v>
      </c>
    </row>
    <row r="42" spans="1:17">
      <c r="A42" s="15" t="s">
        <v>21</v>
      </c>
      <c r="B42" s="6">
        <f t="shared" si="26"/>
        <v>212</v>
      </c>
      <c r="C42" s="6">
        <f t="shared" si="26"/>
        <v>76</v>
      </c>
      <c r="D42" s="6">
        <f t="shared" si="26"/>
        <v>1056</v>
      </c>
      <c r="E42" s="6">
        <f t="shared" si="26"/>
        <v>25</v>
      </c>
      <c r="F42" s="5">
        <f t="shared" si="26"/>
        <v>165</v>
      </c>
      <c r="G42" s="5">
        <f t="shared" si="26"/>
        <v>118</v>
      </c>
      <c r="H42" s="5">
        <f t="shared" si="26"/>
        <v>987</v>
      </c>
      <c r="I42" s="5">
        <f t="shared" si="26"/>
        <v>605</v>
      </c>
      <c r="J42" s="5">
        <f t="shared" si="27"/>
        <v>1152</v>
      </c>
      <c r="K42" s="5">
        <f t="shared" ref="K42:K52" si="31">G42+I42</f>
        <v>723</v>
      </c>
      <c r="L42" s="7">
        <f t="shared" si="22"/>
        <v>1268</v>
      </c>
      <c r="M42" s="7">
        <f t="shared" si="23"/>
        <v>824</v>
      </c>
      <c r="N42" s="8">
        <f t="shared" si="24"/>
        <v>83.280757097791806</v>
      </c>
      <c r="O42" s="8">
        <f t="shared" si="25"/>
        <v>3.0339805825242721</v>
      </c>
      <c r="P42" s="8">
        <f t="shared" si="30"/>
        <v>85.677083333333343</v>
      </c>
      <c r="Q42" s="16">
        <f t="shared" si="29"/>
        <v>83.679114799446751</v>
      </c>
    </row>
    <row r="43" spans="1:17">
      <c r="A43" s="15" t="s">
        <v>22</v>
      </c>
      <c r="B43" s="6">
        <f t="shared" si="26"/>
        <v>217</v>
      </c>
      <c r="C43" s="6">
        <f t="shared" si="26"/>
        <v>102</v>
      </c>
      <c r="D43" s="6">
        <f t="shared" si="26"/>
        <v>1110</v>
      </c>
      <c r="E43" s="6">
        <f t="shared" si="26"/>
        <v>61</v>
      </c>
      <c r="F43" s="5">
        <f t="shared" si="26"/>
        <v>159</v>
      </c>
      <c r="G43" s="5">
        <f t="shared" si="26"/>
        <v>130</v>
      </c>
      <c r="H43" s="5">
        <f t="shared" si="26"/>
        <v>1024</v>
      </c>
      <c r="I43" s="5">
        <f t="shared" si="26"/>
        <v>533</v>
      </c>
      <c r="J43" s="5">
        <f t="shared" si="27"/>
        <v>1183</v>
      </c>
      <c r="K43" s="5">
        <f t="shared" si="31"/>
        <v>663</v>
      </c>
      <c r="L43" s="7">
        <f t="shared" si="22"/>
        <v>1327</v>
      </c>
      <c r="M43" s="7">
        <f t="shared" si="23"/>
        <v>826</v>
      </c>
      <c r="N43" s="8">
        <f t="shared" si="24"/>
        <v>83.64732479276563</v>
      </c>
      <c r="O43" s="8">
        <f t="shared" si="25"/>
        <v>7.3849878934624691</v>
      </c>
      <c r="P43" s="8">
        <f t="shared" si="30"/>
        <v>86.559594251901942</v>
      </c>
      <c r="Q43" s="16">
        <f t="shared" si="29"/>
        <v>80.392156862745097</v>
      </c>
    </row>
    <row r="44" spans="1:17">
      <c r="A44" s="15" t="s">
        <v>23</v>
      </c>
      <c r="B44" s="6">
        <f t="shared" si="26"/>
        <v>216</v>
      </c>
      <c r="C44" s="6">
        <f t="shared" si="26"/>
        <v>226</v>
      </c>
      <c r="D44" s="6">
        <f t="shared" si="26"/>
        <v>1393</v>
      </c>
      <c r="E44" s="6">
        <f t="shared" si="26"/>
        <v>149</v>
      </c>
      <c r="F44" s="5">
        <f t="shared" si="26"/>
        <v>217</v>
      </c>
      <c r="G44" s="5">
        <f t="shared" si="26"/>
        <v>283</v>
      </c>
      <c r="H44" s="5">
        <f t="shared" si="26"/>
        <v>1294</v>
      </c>
      <c r="I44" s="5">
        <f t="shared" si="26"/>
        <v>1585</v>
      </c>
      <c r="J44" s="5">
        <f t="shared" si="27"/>
        <v>1511</v>
      </c>
      <c r="K44" s="5">
        <f t="shared" si="31"/>
        <v>1868</v>
      </c>
      <c r="L44" s="7">
        <f t="shared" si="22"/>
        <v>1609</v>
      </c>
      <c r="M44" s="7">
        <f t="shared" si="23"/>
        <v>2243</v>
      </c>
      <c r="N44" s="8">
        <f t="shared" si="24"/>
        <v>86.575512740832821</v>
      </c>
      <c r="O44" s="8">
        <f t="shared" si="25"/>
        <v>6.6428889879625501</v>
      </c>
      <c r="P44" s="8">
        <f t="shared" si="30"/>
        <v>85.638649900727998</v>
      </c>
      <c r="Q44" s="16">
        <f>(I44/K44)*100</f>
        <v>84.850107066381156</v>
      </c>
    </row>
    <row r="45" spans="1:17">
      <c r="A45" s="17" t="s">
        <v>24</v>
      </c>
      <c r="B45" s="10">
        <f t="shared" si="26"/>
        <v>170</v>
      </c>
      <c r="C45" s="10">
        <f t="shared" si="26"/>
        <v>158</v>
      </c>
      <c r="D45" s="10">
        <f t="shared" si="26"/>
        <v>1252</v>
      </c>
      <c r="E45" s="10">
        <f t="shared" si="26"/>
        <v>101</v>
      </c>
      <c r="F45" s="9">
        <f t="shared" si="26"/>
        <v>127</v>
      </c>
      <c r="G45" s="9">
        <f t="shared" si="26"/>
        <v>177</v>
      </c>
      <c r="H45" s="9">
        <f t="shared" si="26"/>
        <v>1173</v>
      </c>
      <c r="I45" s="9">
        <f t="shared" si="26"/>
        <v>890</v>
      </c>
      <c r="J45" s="9">
        <f t="shared" si="27"/>
        <v>1300</v>
      </c>
      <c r="K45" s="9">
        <f t="shared" si="31"/>
        <v>1067</v>
      </c>
      <c r="L45" s="11">
        <f t="shared" si="22"/>
        <v>1422</v>
      </c>
      <c r="M45" s="11">
        <f t="shared" si="23"/>
        <v>1326</v>
      </c>
      <c r="N45" s="12">
        <f t="shared" si="24"/>
        <v>88.045007032348806</v>
      </c>
      <c r="O45" s="12">
        <f t="shared" si="25"/>
        <v>7.6168929110105577</v>
      </c>
      <c r="P45" s="12">
        <f t="shared" si="30"/>
        <v>90.230769230769226</v>
      </c>
      <c r="Q45" s="18">
        <f t="shared" ref="Q45:Q52" si="32">(I45/K45)*100</f>
        <v>83.411433926897843</v>
      </c>
    </row>
    <row r="46" spans="1:17">
      <c r="A46" s="17" t="s">
        <v>25</v>
      </c>
      <c r="B46" s="10">
        <f t="shared" si="26"/>
        <v>220</v>
      </c>
      <c r="C46" s="10">
        <f t="shared" si="26"/>
        <v>236</v>
      </c>
      <c r="D46" s="10">
        <f t="shared" si="26"/>
        <v>1520</v>
      </c>
      <c r="E46" s="10">
        <f t="shared" si="26"/>
        <v>125</v>
      </c>
      <c r="F46" s="9">
        <f t="shared" si="26"/>
        <v>194</v>
      </c>
      <c r="G46" s="9">
        <f t="shared" si="26"/>
        <v>205</v>
      </c>
      <c r="H46" s="9">
        <f t="shared" si="26"/>
        <v>1409</v>
      </c>
      <c r="I46" s="9">
        <f t="shared" si="26"/>
        <v>1405</v>
      </c>
      <c r="J46" s="9">
        <f t="shared" si="27"/>
        <v>1603</v>
      </c>
      <c r="K46" s="9">
        <f t="shared" si="31"/>
        <v>1610</v>
      </c>
      <c r="L46" s="11">
        <f t="shared" si="22"/>
        <v>1740</v>
      </c>
      <c r="M46" s="11">
        <f t="shared" si="23"/>
        <v>1971</v>
      </c>
      <c r="N46" s="12">
        <f t="shared" si="24"/>
        <v>87.356321839080465</v>
      </c>
      <c r="O46" s="12">
        <f t="shared" si="25"/>
        <v>6.3419583967529167</v>
      </c>
      <c r="P46" s="12">
        <f t="shared" si="30"/>
        <v>87.897691827822825</v>
      </c>
      <c r="Q46" s="18">
        <f t="shared" si="32"/>
        <v>87.267080745341616</v>
      </c>
    </row>
    <row r="47" spans="1:17">
      <c r="A47" s="17" t="s">
        <v>26</v>
      </c>
      <c r="B47" s="10">
        <f t="shared" si="26"/>
        <v>241</v>
      </c>
      <c r="C47" s="10">
        <f t="shared" si="26"/>
        <v>160</v>
      </c>
      <c r="D47" s="10">
        <f t="shared" si="26"/>
        <v>1268</v>
      </c>
      <c r="E47" s="10">
        <f t="shared" si="26"/>
        <v>89</v>
      </c>
      <c r="F47" s="9">
        <f t="shared" si="26"/>
        <v>183</v>
      </c>
      <c r="G47" s="9">
        <f t="shared" si="26"/>
        <v>160</v>
      </c>
      <c r="H47" s="9">
        <f t="shared" si="26"/>
        <v>1184</v>
      </c>
      <c r="I47" s="9">
        <f t="shared" si="26"/>
        <v>864</v>
      </c>
      <c r="J47" s="9">
        <f t="shared" si="27"/>
        <v>1367</v>
      </c>
      <c r="K47" s="9">
        <f t="shared" si="31"/>
        <v>1024</v>
      </c>
      <c r="L47" s="11">
        <f t="shared" si="22"/>
        <v>1509</v>
      </c>
      <c r="M47" s="11">
        <f t="shared" si="23"/>
        <v>1273</v>
      </c>
      <c r="N47" s="12">
        <f t="shared" si="24"/>
        <v>84.029158383035124</v>
      </c>
      <c r="O47" s="12">
        <f t="shared" si="25"/>
        <v>6.9913589945011791</v>
      </c>
      <c r="P47" s="12">
        <f t="shared" si="30"/>
        <v>86.613021214337977</v>
      </c>
      <c r="Q47" s="18">
        <f t="shared" si="32"/>
        <v>84.375</v>
      </c>
    </row>
    <row r="48" spans="1:17">
      <c r="A48" s="17" t="s">
        <v>27</v>
      </c>
      <c r="B48" s="10">
        <f t="shared" si="26"/>
        <v>219</v>
      </c>
      <c r="C48" s="10">
        <f t="shared" si="26"/>
        <v>154</v>
      </c>
      <c r="D48" s="10">
        <f t="shared" si="26"/>
        <v>1095</v>
      </c>
      <c r="E48" s="10">
        <f t="shared" si="26"/>
        <v>106</v>
      </c>
      <c r="F48" s="9">
        <f t="shared" si="26"/>
        <v>175</v>
      </c>
      <c r="G48" s="9">
        <f t="shared" si="26"/>
        <v>196</v>
      </c>
      <c r="H48" s="9">
        <f t="shared" si="26"/>
        <v>1031</v>
      </c>
      <c r="I48" s="9">
        <f t="shared" si="26"/>
        <v>918</v>
      </c>
      <c r="J48" s="9">
        <f t="shared" si="27"/>
        <v>1206</v>
      </c>
      <c r="K48" s="9">
        <f t="shared" si="31"/>
        <v>1114</v>
      </c>
      <c r="L48" s="11">
        <f t="shared" si="22"/>
        <v>1314</v>
      </c>
      <c r="M48" s="11">
        <f t="shared" si="23"/>
        <v>1374</v>
      </c>
      <c r="N48" s="12">
        <f t="shared" si="24"/>
        <v>83.333333333333343</v>
      </c>
      <c r="O48" s="12">
        <f t="shared" si="25"/>
        <v>7.7147016011644833</v>
      </c>
      <c r="P48" s="12">
        <f t="shared" si="30"/>
        <v>85.489220563847439</v>
      </c>
      <c r="Q48" s="18">
        <f>(I48/K48)*100</f>
        <v>82.405745062836615</v>
      </c>
    </row>
    <row r="49" spans="1:17">
      <c r="A49" s="17" t="s">
        <v>28</v>
      </c>
      <c r="B49" s="10">
        <f t="shared" si="26"/>
        <v>174</v>
      </c>
      <c r="C49" s="10">
        <f t="shared" si="26"/>
        <v>95</v>
      </c>
      <c r="D49" s="10">
        <f t="shared" si="26"/>
        <v>1000</v>
      </c>
      <c r="E49" s="10">
        <f t="shared" si="26"/>
        <v>83</v>
      </c>
      <c r="F49" s="9">
        <f t="shared" si="26"/>
        <v>138</v>
      </c>
      <c r="G49" s="9">
        <f t="shared" si="26"/>
        <v>113</v>
      </c>
      <c r="H49" s="9">
        <f t="shared" si="26"/>
        <v>877</v>
      </c>
      <c r="I49" s="9">
        <f t="shared" si="26"/>
        <v>771</v>
      </c>
      <c r="J49" s="9">
        <f t="shared" si="27"/>
        <v>1015</v>
      </c>
      <c r="K49" s="9">
        <f t="shared" si="31"/>
        <v>884</v>
      </c>
      <c r="L49" s="11">
        <f t="shared" si="22"/>
        <v>1174</v>
      </c>
      <c r="M49" s="11">
        <f t="shared" si="23"/>
        <v>1062</v>
      </c>
      <c r="N49" s="12">
        <f t="shared" si="24"/>
        <v>85.178875638841561</v>
      </c>
      <c r="O49" s="12">
        <f t="shared" si="25"/>
        <v>7.8154425612052725</v>
      </c>
      <c r="P49" s="12">
        <f>(H49/J49)*100</f>
        <v>86.403940886699502</v>
      </c>
      <c r="Q49" s="18">
        <f>(I49/K49)*100</f>
        <v>87.217194570135746</v>
      </c>
    </row>
    <row r="50" spans="1:17">
      <c r="A50" s="17" t="s">
        <v>29</v>
      </c>
      <c r="B50" s="10">
        <f t="shared" si="26"/>
        <v>109</v>
      </c>
      <c r="C50" s="10">
        <f t="shared" si="26"/>
        <v>69</v>
      </c>
      <c r="D50" s="10">
        <f t="shared" si="26"/>
        <v>811</v>
      </c>
      <c r="E50" s="10">
        <f t="shared" si="26"/>
        <v>55</v>
      </c>
      <c r="F50" s="9">
        <f t="shared" si="26"/>
        <v>140</v>
      </c>
      <c r="G50" s="9">
        <f t="shared" si="26"/>
        <v>95</v>
      </c>
      <c r="H50" s="9">
        <f t="shared" si="26"/>
        <v>737</v>
      </c>
      <c r="I50" s="9">
        <f t="shared" si="26"/>
        <v>604</v>
      </c>
      <c r="J50" s="9">
        <f t="shared" si="27"/>
        <v>877</v>
      </c>
      <c r="K50" s="9">
        <f t="shared" si="31"/>
        <v>699</v>
      </c>
      <c r="L50" s="11">
        <f t="shared" si="22"/>
        <v>920</v>
      </c>
      <c r="M50" s="11">
        <f t="shared" si="23"/>
        <v>823</v>
      </c>
      <c r="N50" s="12">
        <f t="shared" si="24"/>
        <v>88.15217391304347</v>
      </c>
      <c r="O50" s="12">
        <f t="shared" si="25"/>
        <v>6.6828675577156744</v>
      </c>
      <c r="P50" s="12">
        <f>(H50/J50)*100</f>
        <v>84.036488027366019</v>
      </c>
      <c r="Q50" s="18">
        <f>(I50/K50)*100</f>
        <v>86.40915593705293</v>
      </c>
    </row>
    <row r="51" spans="1:17">
      <c r="A51" s="19"/>
      <c r="B51" s="14"/>
      <c r="C51" s="14"/>
      <c r="D51" s="14"/>
      <c r="E51" s="14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20"/>
    </row>
    <row r="52" spans="1:17">
      <c r="A52" s="21" t="s">
        <v>30</v>
      </c>
      <c r="B52" s="22">
        <f>SUM(B39:B50)</f>
        <v>2532</v>
      </c>
      <c r="C52" s="22">
        <f>SUM(C39:C50)</f>
        <v>1736</v>
      </c>
      <c r="D52" s="22">
        <f>SUM(D39:D50)</f>
        <v>14051</v>
      </c>
      <c r="E52" s="22">
        <f>SUM(E39:E50)</f>
        <v>1000</v>
      </c>
      <c r="F52" s="22">
        <f t="shared" ref="F52:H52" si="33">SUM(F39:F50)</f>
        <v>2096</v>
      </c>
      <c r="G52" s="22">
        <f t="shared" si="33"/>
        <v>1906</v>
      </c>
      <c r="H52" s="22">
        <f t="shared" si="33"/>
        <v>13108</v>
      </c>
      <c r="I52" s="22">
        <f>SUM(I39:I50)</f>
        <v>10515</v>
      </c>
      <c r="J52" s="22">
        <f t="shared" ref="J52:K52" si="34">SUM(J39:J50)</f>
        <v>15204</v>
      </c>
      <c r="K52" s="22">
        <f t="shared" si="34"/>
        <v>12421</v>
      </c>
      <c r="L52" s="23">
        <f>SUM(L39:L50)</f>
        <v>16583</v>
      </c>
      <c r="M52" s="23">
        <f>SUM(M39:M50)</f>
        <v>15157</v>
      </c>
      <c r="N52" s="24">
        <f>(D52/L52)*100</f>
        <v>84.731351383947413</v>
      </c>
      <c r="O52" s="24">
        <f>(E52/M52)*100</f>
        <v>6.597611664577423</v>
      </c>
      <c r="P52" s="24">
        <f>(H52/J52)*100</f>
        <v>86.214154169955265</v>
      </c>
      <c r="Q52" s="25">
        <f>(I52/K52)*100</f>
        <v>84.655019724659851</v>
      </c>
    </row>
  </sheetData>
  <mergeCells count="3">
    <mergeCell ref="A1:Q1"/>
    <mergeCell ref="A19:Q19"/>
    <mergeCell ref="A37:Q37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B50CA-2926-4EFE-9F7E-4B5E93D8E2D0}"/>
</file>

<file path=customXml/itemProps2.xml><?xml version="1.0" encoding="utf-8"?>
<ds:datastoreItem xmlns:ds="http://schemas.openxmlformats.org/officeDocument/2006/customXml" ds:itemID="{FC612F76-13F0-4FA5-B3A5-0BA8D35241C5}"/>
</file>

<file path=customXml/itemProps3.xml><?xml version="1.0" encoding="utf-8"?>
<ds:datastoreItem xmlns:ds="http://schemas.openxmlformats.org/officeDocument/2006/customXml" ds:itemID="{4FE9A26D-C26B-435F-8D69-EAFC4FBC6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Zanjani, Nick</dc:creator>
  <cp:keywords/>
  <dc:description/>
  <cp:lastModifiedBy>Majumder, Ria@Energy</cp:lastModifiedBy>
  <cp:revision/>
  <dcterms:created xsi:type="dcterms:W3CDTF">2015-06-05T18:17:20Z</dcterms:created>
  <dcterms:modified xsi:type="dcterms:W3CDTF">2025-04-16T18:51:06Z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</Properties>
</file>