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Rford\OneDrive - California Energy Commission\Documents\Analysis - Scripts and Code\Electric-Line-Extension-Data\data\processed\"/>
    </mc:Choice>
  </mc:AlternateContent>
  <xr:revisionPtr revIDLastSave="0" documentId="13_ncr:1_{55B1C713-C612-479E-A316-DE0CD4C908E7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QC Check" sheetId="9" r:id="rId1"/>
    <sheet name="PG&amp;E_2024" sheetId="1" r:id="rId2"/>
    <sheet name="SCE_2024" sheetId="2" r:id="rId3"/>
    <sheet name="SDGE_2024" sheetId="3" r:id="rId4"/>
    <sheet name="PG&amp;E_2023" sheetId="4" r:id="rId5"/>
    <sheet name="SCE_2023" sheetId="7" r:id="rId6"/>
    <sheet name="SDGE_2023" sheetId="8" r:id="rId7"/>
  </sheets>
  <definedNames>
    <definedName name="_xlnm._FilterDatabase" localSheetId="4" hidden="1">'PG&amp;E_2023'!$A$1:$F$4753</definedName>
    <definedName name="_xlnm._FilterDatabase" localSheetId="1" hidden="1">'PG&amp;E_2024'!$A$1:$F$4753</definedName>
    <definedName name="_xlnm._FilterDatabase" localSheetId="5" hidden="1">SCE_2023!$A$1:$F$2117</definedName>
    <definedName name="_xlnm._FilterDatabase" localSheetId="2" hidden="1">SCE_2024!$A$1:$F$2113</definedName>
    <definedName name="_xlnm._FilterDatabase" localSheetId="6" hidden="1">SDGE_2023!$A$1:$F$193</definedName>
    <definedName name="_xlnm._FilterDatabase" localSheetId="3" hidden="1">SDGE_2024!$A$1:$F$2113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9" l="1" a="1"/>
  <c r="O7" i="9" s="1"/>
  <c r="K7" i="9" a="1"/>
  <c r="K7" i="9" s="1"/>
  <c r="O6" i="9" l="1" a="1"/>
  <c r="O6" i="9" s="1"/>
  <c r="P6" i="9" s="1"/>
  <c r="K6" i="9" a="1"/>
  <c r="K6" i="9" s="1"/>
  <c r="L56" i="9" a="1"/>
  <c r="L56" i="9" s="1"/>
  <c r="K56" i="9" a="1"/>
  <c r="K56" i="9" s="1"/>
  <c r="L60" i="9" a="1"/>
  <c r="L60" i="9" s="1"/>
  <c r="K60" i="9" a="1"/>
  <c r="K60" i="9" s="1"/>
  <c r="E60" i="9" a="1"/>
  <c r="E60" i="9" s="1"/>
  <c r="D60" i="9" a="1"/>
  <c r="D60" i="9" s="1"/>
  <c r="E56" i="9" a="1"/>
  <c r="E56" i="9" s="1"/>
  <c r="D56" i="9" a="1"/>
  <c r="D56" i="9" s="1"/>
  <c r="F56" i="9" s="1"/>
  <c r="K45" i="9" a="1"/>
  <c r="K45" i="9" s="1"/>
  <c r="L45" i="9" a="1"/>
  <c r="L45" i="9" s="1"/>
  <c r="K46" i="9" a="1"/>
  <c r="K46" i="9" s="1"/>
  <c r="L46" i="9" a="1"/>
  <c r="L46" i="9" s="1"/>
  <c r="K47" i="9" a="1"/>
  <c r="K47" i="9" s="1"/>
  <c r="L47" i="9" a="1"/>
  <c r="L47" i="9" s="1"/>
  <c r="L44" i="9" a="1"/>
  <c r="L44" i="9" s="1"/>
  <c r="K44" i="9" a="1"/>
  <c r="K44" i="9" s="1"/>
  <c r="K42" i="9" a="1"/>
  <c r="K42" i="9" s="1"/>
  <c r="L42" i="9" a="1"/>
  <c r="L42" i="9" s="1"/>
  <c r="K43" i="9" a="1"/>
  <c r="K43" i="9" s="1"/>
  <c r="L43" i="9" a="1"/>
  <c r="L43" i="9" s="1"/>
  <c r="K41" i="9" a="1"/>
  <c r="K41" i="9" s="1"/>
  <c r="L41" i="9" a="1"/>
  <c r="L41" i="9" s="1"/>
  <c r="L40" i="9" a="1"/>
  <c r="L40" i="9" s="1"/>
  <c r="K40" i="9" a="1"/>
  <c r="K40" i="9" s="1"/>
  <c r="M60" i="9" l="1"/>
  <c r="F60" i="9"/>
  <c r="M56" i="9"/>
  <c r="N56" i="9" s="1"/>
  <c r="N60" i="9"/>
  <c r="G60" i="9"/>
  <c r="G56" i="9"/>
  <c r="K58" i="9" a="1"/>
  <c r="K58" i="9" s="1"/>
  <c r="L58" i="9" a="1"/>
  <c r="L58" i="9" s="1"/>
  <c r="K59" i="9" a="1"/>
  <c r="K59" i="9" s="1"/>
  <c r="L59" i="9" a="1"/>
  <c r="L59" i="9" s="1"/>
  <c r="L57" i="9" a="1"/>
  <c r="L57" i="9" s="1"/>
  <c r="K57" i="9" a="1"/>
  <c r="K57" i="9" s="1"/>
  <c r="K54" i="9" a="1"/>
  <c r="K54" i="9" s="1"/>
  <c r="L54" i="9" a="1"/>
  <c r="L54" i="9" s="1"/>
  <c r="K55" i="9" a="1"/>
  <c r="K55" i="9" s="1"/>
  <c r="L55" i="9" a="1"/>
  <c r="L55" i="9" s="1"/>
  <c r="L53" i="9" a="1"/>
  <c r="L53" i="9" s="1"/>
  <c r="K53" i="9" a="1"/>
  <c r="K53" i="9" s="1"/>
  <c r="D45" i="9" a="1"/>
  <c r="D45" i="9" s="1"/>
  <c r="E45" i="9" a="1"/>
  <c r="E45" i="9" s="1"/>
  <c r="D46" i="9" a="1"/>
  <c r="D46" i="9" s="1"/>
  <c r="E46" i="9" a="1"/>
  <c r="E46" i="9" s="1"/>
  <c r="D47" i="9" a="1"/>
  <c r="D47" i="9" s="1"/>
  <c r="E47" i="9" a="1"/>
  <c r="E47" i="9" s="1"/>
  <c r="E44" i="9" a="1"/>
  <c r="E44" i="9" s="1"/>
  <c r="D44" i="9" a="1"/>
  <c r="D44" i="9" s="1"/>
  <c r="D41" i="9" a="1"/>
  <c r="D41" i="9" s="1"/>
  <c r="E41" i="9" a="1"/>
  <c r="E41" i="9" s="1"/>
  <c r="D42" i="9" a="1"/>
  <c r="D42" i="9" s="1"/>
  <c r="E42" i="9" a="1"/>
  <c r="E42" i="9" s="1"/>
  <c r="D43" i="9" a="1"/>
  <c r="D43" i="9" s="1"/>
  <c r="E43" i="9" a="1"/>
  <c r="E43" i="9" s="1"/>
  <c r="E40" i="9" a="1"/>
  <c r="E40" i="9" s="1"/>
  <c r="D40" i="9" a="1"/>
  <c r="D40" i="9" s="1"/>
  <c r="E58" i="9" a="1"/>
  <c r="E58" i="9" s="1"/>
  <c r="E59" i="9" a="1"/>
  <c r="E59" i="9" s="1"/>
  <c r="E57" i="9" a="1"/>
  <c r="E57" i="9" s="1"/>
  <c r="E54" i="9" a="1"/>
  <c r="E54" i="9" s="1"/>
  <c r="E55" i="9" a="1"/>
  <c r="E55" i="9" s="1"/>
  <c r="E53" i="9" a="1"/>
  <c r="E53" i="9" s="1"/>
  <c r="D58" i="9" a="1"/>
  <c r="D58" i="9" s="1"/>
  <c r="D59" i="9" a="1"/>
  <c r="D59" i="9" s="1"/>
  <c r="D57" i="9" a="1"/>
  <c r="D57" i="9" s="1"/>
  <c r="D54" i="9" a="1"/>
  <c r="D54" i="9" s="1"/>
  <c r="D55" i="9" a="1"/>
  <c r="D55" i="9" s="1"/>
  <c r="D53" i="9" a="1"/>
  <c r="D53" i="9" s="1"/>
  <c r="L18" i="9" a="1"/>
  <c r="L18" i="9" s="1"/>
  <c r="L19" i="9" a="1"/>
  <c r="L19" i="9" s="1"/>
  <c r="L20" i="9" a="1"/>
  <c r="L20" i="9" s="1"/>
  <c r="L21" i="9" a="1"/>
  <c r="L21" i="9" s="1"/>
  <c r="L22" i="9" a="1"/>
  <c r="L22" i="9" s="1"/>
  <c r="L23" i="9" a="1"/>
  <c r="L23" i="9" s="1"/>
  <c r="L24" i="9" a="1"/>
  <c r="L24" i="9" s="1"/>
  <c r="L25" i="9" a="1"/>
  <c r="L25" i="9" s="1"/>
  <c r="K18" i="9" a="1"/>
  <c r="K18" i="9" s="1"/>
  <c r="K19" i="9" a="1"/>
  <c r="K19" i="9" s="1"/>
  <c r="K20" i="9" a="1"/>
  <c r="K20" i="9" s="1"/>
  <c r="K21" i="9" a="1"/>
  <c r="K21" i="9" s="1"/>
  <c r="K22" i="9" a="1"/>
  <c r="K22" i="9" s="1"/>
  <c r="K23" i="9" a="1"/>
  <c r="K23" i="9" s="1"/>
  <c r="K24" i="9" a="1"/>
  <c r="K24" i="9" s="1"/>
  <c r="K25" i="9" a="1"/>
  <c r="K25" i="9" s="1"/>
  <c r="L17" i="9" a="1"/>
  <c r="L17" i="9" s="1"/>
  <c r="K17" i="9" a="1"/>
  <c r="K17" i="9" s="1"/>
  <c r="K27" i="9" a="1"/>
  <c r="K27" i="9" s="1"/>
  <c r="L27" i="9" a="1"/>
  <c r="L27" i="9" s="1"/>
  <c r="K28" i="9" a="1"/>
  <c r="K28" i="9" s="1"/>
  <c r="L28" i="9" a="1"/>
  <c r="L28" i="9" s="1"/>
  <c r="K29" i="9" a="1"/>
  <c r="K29" i="9" s="1"/>
  <c r="L29" i="9" a="1"/>
  <c r="L29" i="9" s="1"/>
  <c r="K30" i="9" a="1"/>
  <c r="K30" i="9" s="1"/>
  <c r="L30" i="9" a="1"/>
  <c r="L30" i="9" s="1"/>
  <c r="K31" i="9" a="1"/>
  <c r="K31" i="9" s="1"/>
  <c r="L31" i="9" a="1"/>
  <c r="L31" i="9" s="1"/>
  <c r="K32" i="9" a="1"/>
  <c r="K32" i="9" s="1"/>
  <c r="L32" i="9" a="1"/>
  <c r="L32" i="9" s="1"/>
  <c r="K33" i="9" a="1"/>
  <c r="K33" i="9" s="1"/>
  <c r="L33" i="9" a="1"/>
  <c r="L33" i="9" s="1"/>
  <c r="K34" i="9" a="1"/>
  <c r="K34" i="9" s="1"/>
  <c r="L34" i="9" a="1"/>
  <c r="L34" i="9" s="1"/>
  <c r="L26" i="9" a="1"/>
  <c r="L26" i="9" s="1"/>
  <c r="K26" i="9" a="1"/>
  <c r="K26" i="9" s="1"/>
  <c r="D21" i="9" a="1"/>
  <c r="D21" i="9" s="1"/>
  <c r="E21" i="9" a="1"/>
  <c r="E21" i="9" s="1"/>
  <c r="E34" i="9" a="1"/>
  <c r="E34" i="9" s="1"/>
  <c r="D34" i="9" a="1"/>
  <c r="D34" i="9" s="1"/>
  <c r="E25" i="9" a="1"/>
  <c r="E25" i="9" s="1"/>
  <c r="D25" i="9" a="1"/>
  <c r="D25" i="9" s="1"/>
  <c r="E30" i="9" a="1"/>
  <c r="E30" i="9" s="1"/>
  <c r="E31" i="9" a="1"/>
  <c r="E31" i="9" s="1"/>
  <c r="E27" i="9" a="1"/>
  <c r="E27" i="9" s="1"/>
  <c r="E26" i="9" a="1"/>
  <c r="E26" i="9" s="1"/>
  <c r="E29" i="9" a="1"/>
  <c r="E29" i="9" s="1"/>
  <c r="E33" i="9" a="1"/>
  <c r="E33" i="9" s="1"/>
  <c r="E32" i="9" a="1"/>
  <c r="E32" i="9" s="1"/>
  <c r="E28" i="9" a="1"/>
  <c r="E28" i="9" s="1"/>
  <c r="E18" i="9" a="1"/>
  <c r="E18" i="9" s="1"/>
  <c r="E19" i="9" a="1"/>
  <c r="E19" i="9" s="1"/>
  <c r="E20" i="9" a="1"/>
  <c r="E20" i="9" s="1"/>
  <c r="E22" i="9" a="1"/>
  <c r="E22" i="9" s="1"/>
  <c r="E23" i="9" a="1"/>
  <c r="E23" i="9" s="1"/>
  <c r="E24" i="9" a="1"/>
  <c r="E24" i="9" s="1"/>
  <c r="E17" i="9" a="1"/>
  <c r="E17" i="9" s="1"/>
  <c r="D30" i="9" a="1"/>
  <c r="D30" i="9" s="1"/>
  <c r="D31" i="9" a="1"/>
  <c r="D31" i="9" s="1"/>
  <c r="D27" i="9" a="1"/>
  <c r="D27" i="9" s="1"/>
  <c r="D26" i="9" a="1"/>
  <c r="D26" i="9" s="1"/>
  <c r="D29" i="9" a="1"/>
  <c r="D29" i="9" s="1"/>
  <c r="D33" i="9" a="1"/>
  <c r="D33" i="9" s="1"/>
  <c r="D32" i="9" a="1"/>
  <c r="D32" i="9" s="1"/>
  <c r="D28" i="9" a="1"/>
  <c r="D28" i="9" s="1"/>
  <c r="D19" i="9" a="1"/>
  <c r="D19" i="9" s="1"/>
  <c r="D20" i="9" a="1"/>
  <c r="D20" i="9" s="1"/>
  <c r="D22" i="9" a="1"/>
  <c r="D22" i="9" s="1"/>
  <c r="D23" i="9" a="1"/>
  <c r="D23" i="9" s="1"/>
  <c r="D24" i="9" a="1"/>
  <c r="D24" i="9" s="1"/>
  <c r="D18" i="9" a="1"/>
  <c r="D18" i="9" s="1"/>
  <c r="D17" i="9" a="1"/>
  <c r="D17" i="9" s="1"/>
  <c r="D6" i="9" a="1"/>
  <c r="D6" i="9" s="1"/>
  <c r="K8" i="9" a="1"/>
  <c r="K8" i="9" s="1"/>
  <c r="D8" i="9" a="1"/>
  <c r="D8" i="9" s="1"/>
  <c r="K4" i="9" a="1"/>
  <c r="K4" i="9" s="1"/>
  <c r="D4" i="9" a="1"/>
  <c r="D4" i="9" s="1"/>
  <c r="D7" i="9" a="1"/>
  <c r="D7" i="9" s="1"/>
  <c r="K9" i="9" a="1"/>
  <c r="K9" i="9" s="1"/>
  <c r="D9" i="9" a="1"/>
  <c r="D9" i="9" s="1"/>
  <c r="K5" i="9" a="1"/>
  <c r="K5" i="9" s="1"/>
  <c r="D5" i="9" a="1"/>
  <c r="D5" i="9" s="1"/>
  <c r="M42" i="9" l="1"/>
  <c r="N42" i="9" s="1"/>
  <c r="M46" i="9"/>
  <c r="N46" i="9" s="1"/>
  <c r="F43" i="9"/>
  <c r="G43" i="9" s="1"/>
  <c r="F41" i="9"/>
  <c r="G41" i="9" s="1"/>
  <c r="M47" i="9"/>
  <c r="N47" i="9" s="1"/>
  <c r="M43" i="9"/>
  <c r="N43" i="9" s="1"/>
  <c r="M57" i="9"/>
  <c r="N57" i="9" s="1"/>
  <c r="M55" i="9"/>
  <c r="N55" i="9" s="1"/>
  <c r="M40" i="9"/>
  <c r="N40" i="9" s="1"/>
  <c r="M44" i="9"/>
  <c r="N44" i="9" s="1"/>
  <c r="M53" i="9"/>
  <c r="N53" i="9" s="1"/>
  <c r="M58" i="9"/>
  <c r="N58" i="9" s="1"/>
  <c r="M41" i="9"/>
  <c r="N41" i="9" s="1"/>
  <c r="M45" i="9"/>
  <c r="N45" i="9" s="1"/>
  <c r="M54" i="9"/>
  <c r="N54" i="9" s="1"/>
  <c r="M59" i="9"/>
  <c r="N59" i="9" s="1"/>
  <c r="F44" i="9"/>
  <c r="G44" i="9" s="1"/>
  <c r="F40" i="9"/>
  <c r="G40" i="9" s="1"/>
  <c r="F45" i="9"/>
  <c r="G45" i="9" s="1"/>
  <c r="F55" i="9"/>
  <c r="G55" i="9" s="1"/>
  <c r="F57" i="9"/>
  <c r="G57" i="9" s="1"/>
  <c r="F53" i="9"/>
  <c r="G53" i="9" s="1"/>
  <c r="F58" i="9"/>
  <c r="G58" i="9" s="1"/>
  <c r="F54" i="9"/>
  <c r="G54" i="9" s="1"/>
  <c r="F59" i="9"/>
  <c r="G59" i="9" s="1"/>
  <c r="F42" i="9"/>
  <c r="G42" i="9" s="1"/>
  <c r="F47" i="9"/>
  <c r="G47" i="9" s="1"/>
  <c r="F46" i="9"/>
  <c r="G46" i="9" s="1"/>
  <c r="M27" i="9"/>
  <c r="N27" i="9" s="1"/>
  <c r="M30" i="9"/>
  <c r="N30" i="9" s="1"/>
  <c r="M29" i="9"/>
  <c r="N29" i="9" s="1"/>
  <c r="M33" i="9"/>
  <c r="N33" i="9" s="1"/>
  <c r="M23" i="9"/>
  <c r="N23" i="9" s="1"/>
  <c r="M25" i="9"/>
  <c r="N25" i="9" s="1"/>
  <c r="M21" i="9"/>
  <c r="N21" i="9" s="1"/>
  <c r="M19" i="9"/>
  <c r="N19" i="9" s="1"/>
  <c r="M17" i="9"/>
  <c r="N17" i="9" s="1"/>
  <c r="M31" i="9"/>
  <c r="N31" i="9" s="1"/>
  <c r="M18" i="9"/>
  <c r="N18" i="9" s="1"/>
  <c r="M22" i="9"/>
  <c r="N22" i="9" s="1"/>
  <c r="M26" i="9"/>
  <c r="N26" i="9" s="1"/>
  <c r="M34" i="9"/>
  <c r="N34" i="9" s="1"/>
  <c r="M20" i="9"/>
  <c r="N20" i="9" s="1"/>
  <c r="M24" i="9"/>
  <c r="N24" i="9" s="1"/>
  <c r="M28" i="9"/>
  <c r="N28" i="9" s="1"/>
  <c r="M32" i="9"/>
  <c r="N32" i="9" s="1"/>
  <c r="F21" i="9"/>
  <c r="G21" i="9" s="1"/>
  <c r="F25" i="9"/>
  <c r="G25" i="9" s="1"/>
  <c r="F34" i="9"/>
  <c r="G34" i="9" s="1"/>
  <c r="F31" i="9"/>
  <c r="G31" i="9" s="1"/>
  <c r="F29" i="9"/>
  <c r="G29" i="9" s="1"/>
  <c r="F27" i="9"/>
  <c r="G27" i="9" s="1"/>
  <c r="F30" i="9"/>
  <c r="G30" i="9" s="1"/>
  <c r="F26" i="9"/>
  <c r="G26" i="9" s="1"/>
  <c r="F19" i="9"/>
  <c r="G19" i="9" s="1"/>
  <c r="F28" i="9"/>
  <c r="G28" i="9" s="1"/>
  <c r="F20" i="9"/>
  <c r="G20" i="9" s="1"/>
  <c r="F24" i="9"/>
  <c r="G24" i="9" s="1"/>
  <c r="F17" i="9"/>
  <c r="G17" i="9" s="1"/>
  <c r="F23" i="9"/>
  <c r="G23" i="9" s="1"/>
  <c r="F32" i="9"/>
  <c r="G32" i="9" s="1"/>
  <c r="F18" i="9"/>
  <c r="G18" i="9" s="1"/>
  <c r="F22" i="9"/>
  <c r="G22" i="9" s="1"/>
  <c r="F33" i="9"/>
  <c r="G33" i="9" s="1"/>
  <c r="L6" i="9"/>
  <c r="E6" i="9"/>
  <c r="L8" i="9"/>
  <c r="E8" i="9"/>
  <c r="L4" i="9"/>
  <c r="E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<sst xmlns="http://schemas.openxmlformats.org/spreadsheetml/2006/main" count="80411" uniqueCount="105">
  <si>
    <t>Month</t>
  </si>
  <si>
    <t>Customer Class</t>
  </si>
  <si>
    <t>Type</t>
  </si>
  <si>
    <t>Count</t>
  </si>
  <si>
    <t>Fuel_Structure_Type</t>
  </si>
  <si>
    <t>IoU</t>
  </si>
  <si>
    <t>Jan 2024</t>
  </si>
  <si>
    <t>Agency (City, County, Caltrans)</t>
  </si>
  <si>
    <t>Total Discounts (Non‐Exempted Projects)</t>
  </si>
  <si>
    <t>Mixed Fuel New Construction</t>
  </si>
  <si>
    <t>PG&amp;E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</si>
  <si>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</si>
  <si>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</si>
  <si>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</si>
  <si>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</si>
  <si>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</si>
  <si>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</si>
  <si>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</si>
  <si>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</si>
  <si>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</si>
  <si>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</si>
  <si>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</si>
  <si>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</si>
  <si>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</si>
  <si>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</si>
  <si>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</si>
  <si>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</si>
  <si>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</si>
  <si>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</si>
  <si>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Extension Requests received (applications)</t>
  </si>
  <si>
    <t>Total Electric Line Extensions Energized</t>
  </si>
  <si>
    <t>Total Electric Line Extension Applications for applicant install</t>
  </si>
  <si>
    <t>Agricultural</t>
  </si>
  <si>
    <t>Commercial</t>
  </si>
  <si>
    <t xml:space="preserve">Industrial </t>
  </si>
  <si>
    <t xml:space="preserve">Mixed Use (Commercial / Residential) </t>
  </si>
  <si>
    <t xml:space="preserve">Residential </t>
  </si>
  <si>
    <t xml:space="preserve">Street and Outdoor area Lighting  </t>
  </si>
  <si>
    <t xml:space="preserve">Telecommunications  </t>
  </si>
  <si>
    <t>Temporary Services</t>
  </si>
  <si>
    <t>All Electric New Construction</t>
  </si>
  <si>
    <t>Mixed Fuel Upgrades</t>
  </si>
  <si>
    <t>All Electric Upgrades</t>
  </si>
  <si>
    <t>Agriculture</t>
  </si>
  <si>
    <t>Total Discounts (Non-Exempted Projects)</t>
  </si>
  <si>
    <t>SCE</t>
  </si>
  <si>
    <t>Total Allowances (Non-Exempted Projects)</t>
  </si>
  <si>
    <t>Total Refund Payments Provided to Builders (Non-Exempted Projects)</t>
  </si>
  <si>
    <t>Total Refund Payments Provided to Builders  (Exempted projects)</t>
  </si>
  <si>
    <t xml:space="preserve">Total Estimated Non-Refundable </t>
  </si>
  <si>
    <t xml:space="preserve">Total Estimated Refundable </t>
  </si>
  <si>
    <t>Total Electric Line Extension Requests Received (Applications)</t>
  </si>
  <si>
    <t>Total Electric Line Extension Applications for Applicant Install</t>
  </si>
  <si>
    <t>Industrial</t>
  </si>
  <si>
    <t>Residential</t>
  </si>
  <si>
    <t>SDGE</t>
  </si>
  <si>
    <t>Total Estimated Non-Refundable</t>
  </si>
  <si>
    <t>Jan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</si>
  <si>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</si>
  <si>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</si>
  <si>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</si>
  <si>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</si>
  <si>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</si>
  <si>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</si>
  <si>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</si>
  <si>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</si>
  <si>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</si>
  <si>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</si>
  <si>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Mixed Use (Commercial / Residential)</t>
  </si>
  <si>
    <t>Street and Outdoor area Lighting</t>
  </si>
  <si>
    <t>Telecommunications</t>
  </si>
  <si>
    <t xml:space="preserve"> Month</t>
  </si>
  <si>
    <t xml:space="preserve">Customer Class </t>
  </si>
  <si>
    <t xml:space="preserve"> </t>
  </si>
  <si>
    <t xml:space="preserve">Total Upgrades requested </t>
  </si>
  <si>
    <t>Feb 2023</t>
  </si>
  <si>
    <t>Total Upgrades Completed</t>
  </si>
  <si>
    <t>Total Projects Energized</t>
  </si>
  <si>
    <t>Mixed fuel New Construction</t>
  </si>
  <si>
    <t>Mixed fuel Upgrades</t>
  </si>
  <si>
    <t>Total Upgrades Requested</t>
  </si>
  <si>
    <t>Iou</t>
  </si>
  <si>
    <t>Calculated Percent AE</t>
  </si>
  <si>
    <t>Tableau Percent AE</t>
  </si>
  <si>
    <t>PGE</t>
  </si>
  <si>
    <t>AE Total Apps</t>
  </si>
  <si>
    <t>Total ELE Apps</t>
  </si>
  <si>
    <t xml:space="preserve">2023 QC Check </t>
  </si>
  <si>
    <t xml:space="preserve">2024 QC Check </t>
  </si>
  <si>
    <t>Total Electric Line Extension Applications</t>
  </si>
  <si>
    <t>Type of Construction</t>
  </si>
  <si>
    <t>Mixed Fuel</t>
  </si>
  <si>
    <t>All-Electric</t>
  </si>
  <si>
    <t>Total</t>
  </si>
  <si>
    <t>Percent All-Electric</t>
  </si>
  <si>
    <t>Upgrade</t>
  </si>
  <si>
    <t>New Construction</t>
  </si>
  <si>
    <t>PG&amp;E 2024</t>
  </si>
  <si>
    <t>PG&amp;E 2023</t>
  </si>
  <si>
    <t xml:space="preserve">Total Electric Line Extension Applications </t>
  </si>
  <si>
    <t>SCE 2024</t>
  </si>
  <si>
    <t>SDGE 2024</t>
  </si>
  <si>
    <t>SDGE 2023</t>
  </si>
  <si>
    <t>SCE 2023</t>
  </si>
  <si>
    <t>Additional QC Check for SDGE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</si>
</sst>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Aptos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7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164" fontId="0" fillId="2" borderId="1" xfId="1" applyNumberFormat="1" applyFont="1" applyFill="1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3" fontId="0" fillId="0" borderId="0" xfId="0" applyNumberFormat="1"/>
    <xf numFmtId="0" fontId="0" fillId="0" borderId="14" xfId="0" applyBorder="1"/>
    <xf numFmtId="0" fontId="0" fillId="0" borderId="15" xfId="0" applyBorder="1"/>
    <xf numFmtId="3" fontId="0" fillId="0" borderId="15" xfId="0" applyNumberFormat="1" applyBorder="1"/>
    <xf numFmtId="0" fontId="4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wrapText="1"/>
    </xf>
    <xf numFmtId="3" fontId="0" fillId="6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2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wrapText="1"/>
    </xf>
    <xf numFmtId="164" fontId="0" fillId="7" borderId="1" xfId="1" applyNumberFormat="1" applyFont="1" applyFill="1" applyBorder="1"/>
    <xf numFmtId="3" fontId="0" fillId="7" borderId="1" xfId="0" applyNumberFormat="1" applyFill="1" applyBorder="1" applyAlignment="1">
      <alignment horizontal="center"/>
    </xf>
    <xf numFmtId="0" fontId="0" fillId="0" borderId="1" xfId="0" applyBorder="1"/>
    <xf numFmtId="0" fontId="0" fillId="0" borderId="18" xfId="0" applyBorder="1"/>
    <xf numFmtId="0" fontId="7" fillId="0" borderId="1" xfId="0" applyFont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left"/>
    </xf>
    <xf numFmtId="10" fontId="0" fillId="7" borderId="1" xfId="2" applyNumberFormat="1" applyFont="1" applyFill="1" applyBorder="1"/>
    <xf numFmtId="10" fontId="0" fillId="2" borderId="1" xfId="2" applyNumberFormat="1" applyFont="1" applyFill="1" applyBorder="1"/>
    <xf numFmtId="10" fontId="0" fillId="6" borderId="1" xfId="2" applyNumberFormat="1" applyFont="1" applyFill="1" applyBorder="1"/>
    <xf numFmtId="10" fontId="0" fillId="0" borderId="1" xfId="2" applyNumberFormat="1" applyFont="1" applyBorder="1"/>
    <xf numFmtId="0" fontId="1" fillId="3" borderId="4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9" fontId="0" fillId="0" borderId="0" xfId="2" applyFont="1" applyBorder="1" applyAlignment="1">
      <alignment horizontal="center"/>
    </xf>
    <xf numFmtId="9" fontId="0" fillId="0" borderId="15" xfId="2" applyFont="1" applyBorder="1" applyAlignment="1">
      <alignment horizontal="center"/>
    </xf>
    <xf numFmtId="9" fontId="0" fillId="0" borderId="13" xfId="2" applyFont="1" applyBorder="1" applyAlignment="1">
      <alignment horizontal="center"/>
    </xf>
    <xf numFmtId="9" fontId="0" fillId="0" borderId="16" xfId="2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C055-C095-421F-80E1-C9FFABC6DDCF}">
  <dimension ref="B1:P60"/>
  <sheetViews>
    <sheetView tabSelected="1" topLeftCell="C1" zoomScaleNormal="100" workbookViewId="0">
      <selection activeCell="E8" sqref="E8:E9"/>
    </sheetView>
  </sheetViews>
  <sheetFormatPr defaultRowHeight="14.5" x14ac:dyDescent="0.35"/>
  <cols>
    <col min="2" max="2" width="18.6328125" bestFit="1" customWidth="1"/>
    <col min="3" max="3" width="34.08984375" bestFit="1" customWidth="1"/>
    <col min="4" max="4" width="12.453125" customWidth="1"/>
    <col min="5" max="5" width="19.6328125" bestFit="1" customWidth="1"/>
    <col min="6" max="6" width="17.453125" bestFit="1" customWidth="1"/>
    <col min="9" max="9" width="18.6328125" bestFit="1" customWidth="1"/>
    <col min="10" max="10" width="19.90625" customWidth="1"/>
    <col min="11" max="12" width="19.6328125" bestFit="1" customWidth="1"/>
    <col min="13" max="13" width="17.453125" bestFit="1" customWidth="1"/>
    <col min="15" max="15" width="30.6328125" bestFit="1" customWidth="1"/>
  </cols>
  <sheetData>
    <row r="1" spans="2:16" ht="15" thickBot="1" x14ac:dyDescent="0.4"/>
    <row r="2" spans="2:16" ht="15" thickBot="1" x14ac:dyDescent="0.4">
      <c r="B2" s="57" t="s">
        <v>88</v>
      </c>
      <c r="C2" s="58"/>
      <c r="D2" s="58"/>
      <c r="E2" s="58"/>
      <c r="F2" s="59"/>
      <c r="I2" s="57" t="s">
        <v>87</v>
      </c>
      <c r="J2" s="58"/>
      <c r="K2" s="58"/>
      <c r="L2" s="58"/>
      <c r="M2" s="59"/>
    </row>
    <row r="3" spans="2:16" x14ac:dyDescent="0.35">
      <c r="B3" s="11" t="s">
        <v>81</v>
      </c>
      <c r="C3" s="12"/>
      <c r="D3" s="12"/>
      <c r="E3" s="12" t="s">
        <v>82</v>
      </c>
      <c r="F3" s="13" t="s">
        <v>83</v>
      </c>
      <c r="I3" s="11" t="s">
        <v>81</v>
      </c>
      <c r="J3" s="12"/>
      <c r="K3" s="12"/>
      <c r="L3" s="12" t="s">
        <v>82</v>
      </c>
      <c r="M3" s="13" t="s">
        <v>83</v>
      </c>
    </row>
    <row r="4" spans="2:16" x14ac:dyDescent="0.35">
      <c r="B4" s="14" t="s">
        <v>84</v>
      </c>
      <c r="C4" t="s">
        <v>85</v>
      </c>
      <c r="D4" s="15" cm="1">
        <f t="array" ref="D4">SUM(SUMIFS('PG&amp;E_2024'!D2:D4753, 'PG&amp;E_2024'!C2:C4753, {"Total Electric Line Extension Requests received (applications)","Total Electric Line Extension Applications for applicant install"}, 'PG&amp;E_2024'!E2:E4753, {"All Electric New Construction";"All Electric Upgrades"}))</f>
        <v>17505</v>
      </c>
      <c r="E4" s="53">
        <f>D4/D5</f>
        <v>0.81837307152875172</v>
      </c>
      <c r="F4" s="55">
        <v>0.82</v>
      </c>
      <c r="I4" s="14" t="s">
        <v>84</v>
      </c>
      <c r="J4" t="s">
        <v>85</v>
      </c>
      <c r="K4" s="15" cm="1">
        <f t="array" ref="K4">SUM(SUMIFS('PG&amp;E_2023'!D2:D4753, 'PG&amp;E_2023'!C2:C4753, {"Total Electric Line Extension Requests received (applications)","Total Electric Line Extension Applications for applicant install"}, 'PG&amp;E_2023'!E2:E4753, {"All Electric New Construction";"All Electric Upgrades"}))</f>
        <v>26222</v>
      </c>
      <c r="L4" s="53">
        <f>K4/K5</f>
        <v>0.84244682901754164</v>
      </c>
      <c r="M4" s="55">
        <v>0.83</v>
      </c>
    </row>
    <row r="5" spans="2:16" x14ac:dyDescent="0.35">
      <c r="B5" s="14"/>
      <c r="C5" t="s">
        <v>86</v>
      </c>
      <c r="D5" s="15" cm="1">
        <f t="array" ref="D5">SUM(SUMIFS('PG&amp;E_2024'!D2:D4753, 'PG&amp;E_2024'!C2:C4753, {"Total Electric Line Extension Requests received (applications)","Total Electric Line Extension Applications for applicant install"}))</f>
        <v>21390</v>
      </c>
      <c r="E5" s="53"/>
      <c r="F5" s="55"/>
      <c r="I5" s="14"/>
      <c r="J5" t="s">
        <v>86</v>
      </c>
      <c r="K5" s="15" cm="1">
        <f t="array" ref="K5">SUM(SUMIFS('PG&amp;E_2023'!D2:D4753, 'PG&amp;E_2023'!C2:C4753, {"Total Electric Line Extension Requests received (applications)","Total Electric Line Extension Applications for applicant install"}))</f>
        <v>31126</v>
      </c>
      <c r="L5" s="53"/>
      <c r="M5" s="55"/>
      <c r="O5" s="35" t="s">
        <v>104</v>
      </c>
      <c r="P5" s="35"/>
    </row>
    <row r="6" spans="2:16" x14ac:dyDescent="0.35">
      <c r="B6" s="14" t="s">
        <v>55</v>
      </c>
      <c r="C6" t="s">
        <v>85</v>
      </c>
      <c r="D6" s="15" cm="1">
        <f t="array" ref="D6">SUM(SUMIFS(SDGE_2024!D2:D2113, SDGE_2024!C2:C2113, {"Total Electric Line Extension Requests received (applications)","Total Electric Line Extension Applications for applicant install"}, SDGE_2024!E2:E2113, {"All Electric New Construction";"All Electric Upgrades"}))</f>
        <v>16007</v>
      </c>
      <c r="E6" s="53">
        <f t="shared" ref="E6" si="0">D6/D7</f>
        <v>0.82894873122734336</v>
      </c>
      <c r="F6" s="55">
        <v>0.83</v>
      </c>
      <c r="I6" s="14" t="s">
        <v>55</v>
      </c>
      <c r="J6" t="s">
        <v>85</v>
      </c>
      <c r="K6" s="15" cm="1">
        <f t="array" ref="K6">SUM(SUMIFS(SDGE_2023!D2:D193, SDGE_2023!C2:C193, {"Total Electric Line Extension Requests received (applications)","Total Electric Line Extension Applications for applicant install"}, SDGE_2023!E2:E193, {"All Electric New Construction";"All Electric Upgrades"}))</f>
        <v>14051</v>
      </c>
      <c r="L6" s="53">
        <f t="shared" ref="L6" si="1">K6/K7</f>
        <v>0.84644578313253016</v>
      </c>
      <c r="M6" s="55">
        <v>0.85</v>
      </c>
      <c r="O6" s="35" cm="1">
        <f t="array" ref="O6">SUM(SUMIFS(SDGE_2023!D1:D192, SDGE_2023!C1:C192, {"Total Electric Line Extension Requests Received (Applications)";"Total Upgrades requested*"}, SDGE_2023!E2:E193, {"All Electric New Construction";"All Electric Upgrades"}))</f>
        <v>27176</v>
      </c>
      <c r="P6" s="26">
        <f>O6/O7</f>
        <v>0.85448371274053581</v>
      </c>
    </row>
    <row r="7" spans="2:16" x14ac:dyDescent="0.35">
      <c r="B7" s="14"/>
      <c r="C7" t="s">
        <v>86</v>
      </c>
      <c r="D7" s="15" cm="1">
        <f t="array" ref="D7">SUM(SUMIFS(SDGE_2024!D2:D2113, SDGE_2024!C2:C2113, {"Total Electric Line Extension Requests received (applications)","Total Electric Line Extension Applications for applicant install"}))</f>
        <v>19310</v>
      </c>
      <c r="E7" s="53"/>
      <c r="F7" s="55"/>
      <c r="I7" s="14"/>
      <c r="J7" t="s">
        <v>86</v>
      </c>
      <c r="K7" s="15" cm="1">
        <f t="array" ref="K7">SUM(SUMIFS(SDGE_2023!D2:D193, SDGE_2023!C2:C193, {"Total Electric Line Extension Requests received (applications)","Total Electric Line Extension Applications for applicant install"}))</f>
        <v>16600</v>
      </c>
      <c r="L7" s="53"/>
      <c r="M7" s="55"/>
      <c r="O7" s="35" cm="1">
        <f t="array" ref="O7">SUM(SUMIFS(SDGE_2023!D2:D193, SDGE_2023!C2:C193, {"Total Electric Line Extension Requests Received (Applications)";"Total Upgrades requested*"}))</f>
        <v>31804</v>
      </c>
      <c r="P7" s="35"/>
    </row>
    <row r="8" spans="2:16" x14ac:dyDescent="0.35">
      <c r="B8" s="14" t="s">
        <v>45</v>
      </c>
      <c r="C8" t="s">
        <v>85</v>
      </c>
      <c r="D8" s="15" cm="1">
        <f t="array" ref="D8">SUM(SUMIFS(SCE_2024!D2:D2113, SCE_2024!C2:C2113, {"Total Electric Line Extension Requests received (applications)","Total Electric Line Extension Applications for applicant install"}, SCE_2024!E2:E2113, {"All Electric New Construction";"All Electric Upgrades"}))</f>
        <v>5097</v>
      </c>
      <c r="E8" s="53">
        <f t="shared" ref="E8" si="2">D8/D9</f>
        <v>0.21075917962289117</v>
      </c>
      <c r="F8" s="55">
        <v>0.19</v>
      </c>
      <c r="I8" s="14" t="s">
        <v>45</v>
      </c>
      <c r="J8" t="s">
        <v>85</v>
      </c>
      <c r="K8" s="15" cm="1">
        <f t="array" ref="K8">SUM(SUMIFS(SCE_2023!D2:D2113, SCE_2023!C2:C2113, {"Total Electric Line Extension Requests received (applications)","Total Electric Line Extension Applications for applicant install"}, SCE_2023!E2:E2113, {"All Electric New Construction";"All Electric Upgrades"}))</f>
        <v>709</v>
      </c>
      <c r="L8" s="53">
        <f t="shared" ref="L8" si="3">K8/K9</f>
        <v>2.9215427723751443E-2</v>
      </c>
      <c r="M8" s="55">
        <v>0.03</v>
      </c>
    </row>
    <row r="9" spans="2:16" ht="15" thickBot="1" x14ac:dyDescent="0.4">
      <c r="B9" s="16"/>
      <c r="C9" s="17" t="s">
        <v>86</v>
      </c>
      <c r="D9" s="18" cm="1">
        <f t="array" ref="D9">SUM(SUMIFS(SCE_2024!D2:D2113, SCE_2024!C2:C2113, {"Total Electric Line Extension Requests received (applications)","Total Electric Line Extension Applications for applicant install"}))</f>
        <v>24184</v>
      </c>
      <c r="E9" s="54"/>
      <c r="F9" s="56"/>
      <c r="I9" s="16"/>
      <c r="J9" s="17" t="s">
        <v>86</v>
      </c>
      <c r="K9" s="18" cm="1">
        <f t="array" ref="K9">SUM(SUMIFS(SCE_2023!D2:D2113, SCE_2023!C2:C2113, {"Total Electric Line Extension Requests received (applications)","Total Electric Line Extension Applications for applicant install"}))</f>
        <v>24268</v>
      </c>
      <c r="L9" s="54"/>
      <c r="M9" s="56"/>
    </row>
    <row r="14" spans="2:16" x14ac:dyDescent="0.35">
      <c r="B14" s="49" t="s">
        <v>97</v>
      </c>
      <c r="C14" s="49"/>
      <c r="D14" s="49"/>
      <c r="E14" s="49"/>
      <c r="F14" s="49"/>
      <c r="G14" s="49"/>
      <c r="I14" s="49" t="s">
        <v>98</v>
      </c>
      <c r="J14" s="49"/>
      <c r="K14" s="49"/>
      <c r="L14" s="49"/>
      <c r="M14" s="49"/>
      <c r="N14" s="49"/>
    </row>
    <row r="15" spans="2:16" x14ac:dyDescent="0.35">
      <c r="B15" s="50" t="s">
        <v>89</v>
      </c>
      <c r="C15" s="51"/>
      <c r="D15" s="51"/>
      <c r="E15" s="51"/>
      <c r="F15" s="51"/>
      <c r="G15" s="52"/>
      <c r="I15" s="50" t="s">
        <v>89</v>
      </c>
      <c r="J15" s="51"/>
      <c r="K15" s="51"/>
      <c r="L15" s="51"/>
      <c r="M15" s="51"/>
      <c r="N15" s="52"/>
    </row>
    <row r="16" spans="2:16" ht="43.5" x14ac:dyDescent="0.35">
      <c r="B16" s="19" t="s">
        <v>90</v>
      </c>
      <c r="C16" s="20" t="s">
        <v>1</v>
      </c>
      <c r="D16" s="20" t="s">
        <v>91</v>
      </c>
      <c r="E16" s="20" t="s">
        <v>92</v>
      </c>
      <c r="F16" s="20" t="s">
        <v>93</v>
      </c>
      <c r="G16" s="21" t="s">
        <v>94</v>
      </c>
      <c r="I16" s="19" t="s">
        <v>90</v>
      </c>
      <c r="J16" s="20" t="s">
        <v>1</v>
      </c>
      <c r="K16" s="20" t="s">
        <v>91</v>
      </c>
      <c r="L16" s="20" t="s">
        <v>92</v>
      </c>
      <c r="M16" s="20" t="s">
        <v>93</v>
      </c>
      <c r="N16" s="21" t="s">
        <v>94</v>
      </c>
    </row>
    <row r="17" spans="2:14" x14ac:dyDescent="0.35">
      <c r="B17" s="31" t="s">
        <v>95</v>
      </c>
      <c r="C17" s="32" t="s">
        <v>36</v>
      </c>
      <c r="D17" s="33" cm="1">
        <f t="array" ref="D17">SUM(SUMIFS('PG&amp;E_2024'!$D$2:$D$4753, 'PG&amp;E_2024'!$C$2:$C$4753, {"Total Electric Line Extension Requests received (applications)","Total Electric Line Extension Applications for applicant install"}, 'PG&amp;E_2024'!$B$2:$B$4753, $C17, 'PG&amp;E_2024'!$E$2:$E$4753, "Mixed Fuel Upgrades"))</f>
        <v>12</v>
      </c>
      <c r="E17" s="33" cm="1">
        <f t="array" ref="E17">SUM(SUMIFS('PG&amp;E_2024'!$D$2:$D$4753, 'PG&amp;E_2024'!$C$2:$C$4753, {"Total Electric Line Extension Requests received (applications)","Total Electric Line Extension Applications for applicant install"}, 'PG&amp;E_2024'!$B$2:$B$4753, $C17, 'PG&amp;E_2024'!$E$2:$E$4753, "All Electric Upgrades"))</f>
        <v>494</v>
      </c>
      <c r="F17" s="34">
        <f>D17+E17</f>
        <v>506</v>
      </c>
      <c r="G17" s="40">
        <f>E17/F17</f>
        <v>0.97628458498023718</v>
      </c>
      <c r="I17" s="31" t="s">
        <v>95</v>
      </c>
      <c r="J17" s="32" t="s">
        <v>54</v>
      </c>
      <c r="K17" s="33" cm="1">
        <f t="array" ref="K17">SUM(SUMIFS('PG&amp;E_2023'!$D$2:$D$4753, 'PG&amp;E_2023'!$C$2:$C$4753, {"Total Electric Line Extension Requests received (applications)";"Total Electric Line Extension Applications for applicant install"}, 'PG&amp;E_2023'!$B$2:$B$4753, $J17 &amp; "*", 'PG&amp;E_2023'!$E$2:$E$4753, "Mixed Fuel Upgrades"))</f>
        <v>86</v>
      </c>
      <c r="L17" s="33" cm="1">
        <f t="array" ref="L17">SUM(SUMIFS('PG&amp;E_2023'!$D$2:$D$4753, 'PG&amp;E_2023'!$C$2:$C$4753, {"Total Electric Line Extension Requests received (applications)";"Total Electric Line Extension Applications for applicant install"}, 'PG&amp;E_2023'!$B$2:$B$4753, $J17 &amp; "*", 'PG&amp;E_2023'!$E$2:$E$4753, "All Electric Upgrades"))</f>
        <v>7375</v>
      </c>
      <c r="M17" s="34">
        <f>K17+L17</f>
        <v>7461</v>
      </c>
      <c r="N17" s="40">
        <f>L17/M17</f>
        <v>0.98847339498726716</v>
      </c>
    </row>
    <row r="18" spans="2:14" x14ac:dyDescent="0.35">
      <c r="B18" s="31" t="s">
        <v>95</v>
      </c>
      <c r="C18" s="32" t="s">
        <v>33</v>
      </c>
      <c r="D18" s="33" cm="1">
        <f t="array" ref="D18">SUM(SUMIFS('PG&amp;E_2024'!$D$2:$D$4753, 'PG&amp;E_2024'!$C$2:$C$4753, {"Total Electric Line Extension Requests received (applications)","Total Electric Line Extension Applications for applicant install"}, 'PG&amp;E_2024'!$B$2:$B$4753, $C18, 'PG&amp;E_2024'!$E$2:$E$4753, "Mixed Fuel Upgrades"))</f>
        <v>2</v>
      </c>
      <c r="E18" s="33" cm="1">
        <f t="array" ref="E18">SUM(SUMIFS('PG&amp;E_2024'!$D$2:$D$4753, 'PG&amp;E_2024'!$C$2:$C$4753, {"Total Electric Line Extension Requests received (applications)","Total Electric Line Extension Applications for applicant install"}, 'PG&amp;E_2024'!$B$2:$B$4753, $C18, 'PG&amp;E_2024'!$E$2:$E$4753, "All Electric Upgrades"))</f>
        <v>187</v>
      </c>
      <c r="F18" s="34">
        <f t="shared" ref="F18:F32" si="4">D18+E18</f>
        <v>189</v>
      </c>
      <c r="G18" s="40">
        <f t="shared" ref="G18:G32" si="5">E18/F18</f>
        <v>0.98941798941798942</v>
      </c>
      <c r="I18" s="31" t="s">
        <v>95</v>
      </c>
      <c r="J18" s="32" t="s">
        <v>33</v>
      </c>
      <c r="K18" s="33" cm="1">
        <f t="array" ref="K18">SUM(SUMIFS('PG&amp;E_2023'!$D$2:$D$4753, 'PG&amp;E_2023'!$C$2:$C$4753, {"Total Electric Line Extension Requests received (applications)";"Total Electric Line Extension Applications for applicant install"}, 'PG&amp;E_2023'!$B$2:$B$4753, $J18 &amp; "*", 'PG&amp;E_2023'!$E$2:$E$4753, "Mixed Fuel Upgrades"))</f>
        <v>13</v>
      </c>
      <c r="L18" s="33" cm="1">
        <f t="array" ref="L18">SUM(SUMIFS('PG&amp;E_2023'!$D$2:$D$4753, 'PG&amp;E_2023'!$C$2:$C$4753, {"Total Electric Line Extension Requests received (applications)";"Total Electric Line Extension Applications for applicant install"}, 'PG&amp;E_2023'!$B$2:$B$4753, $J18 &amp; "*", 'PG&amp;E_2023'!$E$2:$E$4753, "All Electric Upgrades"))</f>
        <v>341</v>
      </c>
      <c r="M18" s="34">
        <f t="shared" ref="M18:M25" si="6">K18+L18</f>
        <v>354</v>
      </c>
      <c r="N18" s="40">
        <f t="shared" ref="N18:N25" si="7">L18/M18</f>
        <v>0.96327683615819204</v>
      </c>
    </row>
    <row r="19" spans="2:14" x14ac:dyDescent="0.35">
      <c r="B19" s="27" t="s">
        <v>95</v>
      </c>
      <c r="C19" s="30" t="s">
        <v>7</v>
      </c>
      <c r="D19" s="9" cm="1">
        <f t="array" ref="D19">SUM(SUMIFS('PG&amp;E_2024'!$D$2:$D$4753, 'PG&amp;E_2024'!$C$2:$C$4753, {"Total Electric Line Extension Requests received (applications)","Total Electric Line Extension Applications for applicant install"}, 'PG&amp;E_2024'!$B$2:$B$4753, $C19, 'PG&amp;E_2024'!$E$2:$E$4753, "Mixed Fuel Upgrades"))</f>
        <v>0</v>
      </c>
      <c r="E19" s="9" cm="1">
        <f t="array" ref="E19">SUM(SUMIFS('PG&amp;E_2024'!$D$2:$D$4753, 'PG&amp;E_2024'!$C$2:$C$4753, {"Total Electric Line Extension Requests received (applications)","Total Electric Line Extension Applications for applicant install"}, 'PG&amp;E_2024'!$B$2:$B$4753, $C19, 'PG&amp;E_2024'!$E$2:$E$4753, "All Electric Upgrades"))</f>
        <v>16</v>
      </c>
      <c r="F19" s="29">
        <f t="shared" si="4"/>
        <v>16</v>
      </c>
      <c r="G19" s="41">
        <f t="shared" si="5"/>
        <v>1</v>
      </c>
      <c r="I19" s="27" t="s">
        <v>95</v>
      </c>
      <c r="J19" s="30" t="s">
        <v>7</v>
      </c>
      <c r="K19" s="9" cm="1">
        <f t="array" ref="K19">SUM(SUMIFS('PG&amp;E_2023'!$D$2:$D$4753, 'PG&amp;E_2023'!$C$2:$C$4753, {"Total Electric Line Extension Requests received (applications)";"Total Electric Line Extension Applications for applicant install"}, 'PG&amp;E_2023'!$B$2:$B$4753, $J19 &amp; "*", 'PG&amp;E_2023'!$E$2:$E$4753, "Mixed Fuel Upgrades"))</f>
        <v>0</v>
      </c>
      <c r="L19" s="9" cm="1">
        <f t="array" ref="L19">SUM(SUMIFS('PG&amp;E_2023'!$D$2:$D$4753, 'PG&amp;E_2023'!$C$2:$C$4753, {"Total Electric Line Extension Requests received (applications)";"Total Electric Line Extension Applications for applicant install"}, 'PG&amp;E_2023'!$B$2:$B$4753, $J19 &amp; "*", 'PG&amp;E_2023'!$E$2:$E$4753, "All Electric Upgrades"))</f>
        <v>58</v>
      </c>
      <c r="M19" s="29">
        <f t="shared" si="6"/>
        <v>58</v>
      </c>
      <c r="N19" s="41">
        <f t="shared" si="7"/>
        <v>1</v>
      </c>
    </row>
    <row r="20" spans="2:14" x14ac:dyDescent="0.35">
      <c r="B20" s="27" t="s">
        <v>95</v>
      </c>
      <c r="C20" s="30" t="s">
        <v>32</v>
      </c>
      <c r="D20" s="9" cm="1">
        <f t="array" ref="D20">SUM(SUMIFS('PG&amp;E_2024'!$D$2:$D$4753, 'PG&amp;E_2024'!$C$2:$C$4753, {"Total Electric Line Extension Requests received (applications)","Total Electric Line Extension Applications for applicant install"}, 'PG&amp;E_2024'!$B$2:$B$4753, $C20, 'PG&amp;E_2024'!$E$2:$E$4753, "Mixed Fuel Upgrades"))</f>
        <v>0</v>
      </c>
      <c r="E20" s="9" cm="1">
        <f t="array" ref="E20">SUM(SUMIFS('PG&amp;E_2024'!$D$2:$D$4753, 'PG&amp;E_2024'!$C$2:$C$4753, {"Total Electric Line Extension Requests received (applications)","Total Electric Line Extension Applications for applicant install"}, 'PG&amp;E_2024'!$B$2:$B$4753, $C20, 'PG&amp;E_2024'!$E$2:$E$4753, "All Electric Upgrades"))</f>
        <v>30</v>
      </c>
      <c r="F20" s="29">
        <f t="shared" si="4"/>
        <v>30</v>
      </c>
      <c r="G20" s="41">
        <f t="shared" si="5"/>
        <v>1</v>
      </c>
      <c r="I20" s="27" t="s">
        <v>95</v>
      </c>
      <c r="J20" s="30" t="s">
        <v>32</v>
      </c>
      <c r="K20" s="9" cm="1">
        <f t="array" ref="K20">SUM(SUMIFS('PG&amp;E_2023'!$D$2:$D$4753, 'PG&amp;E_2023'!$C$2:$C$4753, {"Total Electric Line Extension Requests received (applications)";"Total Electric Line Extension Applications for applicant install"}, 'PG&amp;E_2023'!$B$2:$B$4753, $J20 &amp; "*", 'PG&amp;E_2023'!$E$2:$E$4753, "Mixed Fuel Upgrades"))</f>
        <v>0</v>
      </c>
      <c r="L20" s="9" cm="1">
        <f t="array" ref="L20">SUM(SUMIFS('PG&amp;E_2023'!$D$2:$D$4753, 'PG&amp;E_2023'!$C$2:$C$4753, {"Total Electric Line Extension Requests received (applications)";"Total Electric Line Extension Applications for applicant install"}, 'PG&amp;E_2023'!$B$2:$B$4753, $J20 &amp; "*", 'PG&amp;E_2023'!$E$2:$E$4753, "All Electric Upgrades"))</f>
        <v>82</v>
      </c>
      <c r="M20" s="29">
        <f t="shared" si="6"/>
        <v>82</v>
      </c>
      <c r="N20" s="41">
        <f t="shared" si="7"/>
        <v>1</v>
      </c>
    </row>
    <row r="21" spans="2:14" x14ac:dyDescent="0.35">
      <c r="B21" s="27" t="s">
        <v>95</v>
      </c>
      <c r="C21" s="28" t="s">
        <v>34</v>
      </c>
      <c r="D21" s="9" cm="1">
        <f t="array" ref="D21">SUM(SUMIFS('PG&amp;E_2024'!$D$2:$D$4753, 'PG&amp;E_2024'!$C$2:$C$4753, {"Total Electric Line Extension Requests received (applications)","Total Electric Line Extension Applications for applicant install"}, 'PG&amp;E_2024'!$B$2:$B$4753, $C21, 'PG&amp;E_2024'!$E$2:$E$4753, "Mixed Fuel Upgrades"))</f>
        <v>0</v>
      </c>
      <c r="E21" s="9" cm="1">
        <f t="array" ref="E21">SUM(SUMIFS('PG&amp;E_2024'!$D$2:$D$4753, 'PG&amp;E_2024'!$C$2:$C$4753, {"Total Electric Line Extension Requests received (applications)","Total Electric Line Extension Applications for applicant install"}, 'PG&amp;E_2024'!$B$2:$B$4753, $C21, 'PG&amp;E_2024'!$E$2:$E$4753, "All Electric Upgrades"))</f>
        <v>13</v>
      </c>
      <c r="F21" s="29">
        <f t="shared" ref="F21" si="8">D21+E21</f>
        <v>13</v>
      </c>
      <c r="G21" s="41">
        <f t="shared" ref="G21" si="9">E21/F21</f>
        <v>1</v>
      </c>
      <c r="I21" s="27" t="s">
        <v>95</v>
      </c>
      <c r="J21" s="28" t="s">
        <v>53</v>
      </c>
      <c r="K21" s="9" cm="1">
        <f t="array" ref="K21">SUM(SUMIFS('PG&amp;E_2023'!$D$2:$D$4753, 'PG&amp;E_2023'!$C$2:$C$4753, {"Total Electric Line Extension Requests received (applications)";"Total Electric Line Extension Applications for applicant install"}, 'PG&amp;E_2023'!$B$2:$B$4753, $J21 &amp; "*", 'PG&amp;E_2023'!$E$2:$E$4753, "Mixed Fuel Upgrades"))</f>
        <v>0</v>
      </c>
      <c r="L21" s="9" cm="1">
        <f t="array" ref="L21">SUM(SUMIFS('PG&amp;E_2023'!$D$2:$D$4753, 'PG&amp;E_2023'!$C$2:$C$4753, {"Total Electric Line Extension Requests received (applications)";"Total Electric Line Extension Applications for applicant install"}, 'PG&amp;E_2023'!$B$2:$B$4753, $J21 &amp; "*", 'PG&amp;E_2023'!$E$2:$E$4753, "All Electric Upgrades"))</f>
        <v>37</v>
      </c>
      <c r="M21" s="29">
        <f t="shared" si="6"/>
        <v>37</v>
      </c>
      <c r="N21" s="41">
        <f t="shared" si="7"/>
        <v>1</v>
      </c>
    </row>
    <row r="22" spans="2:14" x14ac:dyDescent="0.35">
      <c r="B22" s="31" t="s">
        <v>95</v>
      </c>
      <c r="C22" s="32" t="s">
        <v>35</v>
      </c>
      <c r="D22" s="33" cm="1">
        <f t="array" ref="D22">SUM(SUMIFS('PG&amp;E_2024'!$D$2:$D$4753, 'PG&amp;E_2024'!$C$2:$C$4753, {"Total Electric Line Extension Requests received (applications)","Total Electric Line Extension Applications for applicant install"}, 'PG&amp;E_2024'!$B$2:$B$4753, $C22, 'PG&amp;E_2024'!$E$2:$E$4753, "Mixed Fuel Upgrades"))</f>
        <v>0</v>
      </c>
      <c r="E22" s="33" cm="1">
        <f t="array" ref="E22">SUM(SUMIFS('PG&amp;E_2024'!$D$2:$D$4753, 'PG&amp;E_2024'!$C$2:$C$4753, {"Total Electric Line Extension Requests received (applications)","Total Electric Line Extension Applications for applicant install"}, 'PG&amp;E_2024'!$B$2:$B$4753, $C22, 'PG&amp;E_2024'!$E$2:$E$4753, "All Electric Upgrades"))</f>
        <v>132</v>
      </c>
      <c r="F22" s="34">
        <f t="shared" si="4"/>
        <v>132</v>
      </c>
      <c r="G22" s="40">
        <f t="shared" si="5"/>
        <v>1</v>
      </c>
      <c r="I22" s="31" t="s">
        <v>95</v>
      </c>
      <c r="J22" s="39" t="s">
        <v>68</v>
      </c>
      <c r="K22" s="33" cm="1">
        <f t="array" ref="K22">SUM(SUMIFS('PG&amp;E_2023'!$D$2:$D$4753, 'PG&amp;E_2023'!$C$2:$C$4753, {"Total Electric Line Extension Requests received (applications)";"Total Electric Line Extension Applications for applicant install"}, 'PG&amp;E_2023'!$B$2:$B$4753, $J22 &amp; "*", 'PG&amp;E_2023'!$E$2:$E$4753, "Mixed Fuel Upgrades"))</f>
        <v>2</v>
      </c>
      <c r="L22" s="33" cm="1">
        <f t="array" ref="L22">SUM(SUMIFS('PG&amp;E_2023'!$D$2:$D$4753, 'PG&amp;E_2023'!$C$2:$C$4753, {"Total Electric Line Extension Requests received (applications)";"Total Electric Line Extension Applications for applicant install"}, 'PG&amp;E_2023'!$B$2:$B$4753, $J22 &amp; "*", 'PG&amp;E_2023'!$E$2:$E$4753, "All Electric Upgrades"))</f>
        <v>138</v>
      </c>
      <c r="M22" s="34">
        <f t="shared" si="6"/>
        <v>140</v>
      </c>
      <c r="N22" s="40">
        <f t="shared" si="7"/>
        <v>0.98571428571428577</v>
      </c>
    </row>
    <row r="23" spans="2:14" x14ac:dyDescent="0.35">
      <c r="B23" s="27" t="s">
        <v>95</v>
      </c>
      <c r="C23" s="30" t="s">
        <v>38</v>
      </c>
      <c r="D23" s="9" cm="1">
        <f t="array" ref="D23">SUM(SUMIFS('PG&amp;E_2024'!$D$2:$D$4753, 'PG&amp;E_2024'!$C$2:$C$4753, {"Total Electric Line Extension Requests received (applications)","Total Electric Line Extension Applications for applicant install"}, 'PG&amp;E_2024'!$B$2:$B$4753, $C23, 'PG&amp;E_2024'!$E$2:$E$4753, "Mixed Fuel Upgrades"))</f>
        <v>0</v>
      </c>
      <c r="E23" s="9" cm="1">
        <f t="array" ref="E23">SUM(SUMIFS('PG&amp;E_2024'!$D$2:$D$4753, 'PG&amp;E_2024'!$C$2:$C$4753, {"Total Electric Line Extension Requests received (applications)","Total Electric Line Extension Applications for applicant install"}, 'PG&amp;E_2024'!$B$2:$B$4753, $C23, 'PG&amp;E_2024'!$E$2:$E$4753, "All Electric Upgrades"))</f>
        <v>268</v>
      </c>
      <c r="F23" s="29">
        <f t="shared" si="4"/>
        <v>268</v>
      </c>
      <c r="G23" s="41">
        <f t="shared" si="5"/>
        <v>1</v>
      </c>
      <c r="I23" s="27" t="s">
        <v>95</v>
      </c>
      <c r="J23" s="30" t="s">
        <v>70</v>
      </c>
      <c r="K23" s="9" cm="1">
        <f t="array" ref="K23">SUM(SUMIFS('PG&amp;E_2023'!$D$2:$D$4753, 'PG&amp;E_2023'!$C$2:$C$4753, {"Total Electric Line Extension Requests received (applications)";"Total Electric Line Extension Applications for applicant install"}, 'PG&amp;E_2023'!$B$2:$B$4753, $J23 &amp; "*", 'PG&amp;E_2023'!$E$2:$E$4753, "Mixed Fuel Upgrades"))</f>
        <v>0</v>
      </c>
      <c r="L23" s="9" cm="1">
        <f t="array" ref="L23">SUM(SUMIFS('PG&amp;E_2023'!$D$2:$D$4753, 'PG&amp;E_2023'!$C$2:$C$4753, {"Total Electric Line Extension Requests received (applications)";"Total Electric Line Extension Applications for applicant install"}, 'PG&amp;E_2023'!$B$2:$B$4753, $J23 &amp; "*", 'PG&amp;E_2023'!$E$2:$E$4753, "All Electric Upgrades"))</f>
        <v>188</v>
      </c>
      <c r="M23" s="29">
        <f t="shared" si="6"/>
        <v>188</v>
      </c>
      <c r="N23" s="41">
        <f t="shared" si="7"/>
        <v>1</v>
      </c>
    </row>
    <row r="24" spans="2:14" x14ac:dyDescent="0.35">
      <c r="B24" s="27" t="s">
        <v>95</v>
      </c>
      <c r="C24" s="30" t="s">
        <v>37</v>
      </c>
      <c r="D24" s="9" cm="1">
        <f t="array" ref="D24">SUM(SUMIFS('PG&amp;E_2024'!$D$2:$D$4753, 'PG&amp;E_2024'!$C$2:$C$4753, {"Total Electric Line Extension Requests received (applications)","Total Electric Line Extension Applications for applicant install"}, 'PG&amp;E_2024'!$B$2:$B$4753, $C24, 'PG&amp;E_2024'!$E$2:$E$4753, "Mixed Fuel Upgrades"))</f>
        <v>0</v>
      </c>
      <c r="E24" s="9" cm="1">
        <f t="array" ref="E24">SUM(SUMIFS('PG&amp;E_2024'!$D$2:$D$4753, 'PG&amp;E_2024'!$C$2:$C$4753, {"Total Electric Line Extension Requests received (applications)","Total Electric Line Extension Applications for applicant install"}, 'PG&amp;E_2024'!$B$2:$B$4753, $C24, 'PG&amp;E_2024'!$E$2:$E$4753, "All Electric Upgrades"))</f>
        <v>18</v>
      </c>
      <c r="F24" s="29">
        <f t="shared" si="4"/>
        <v>18</v>
      </c>
      <c r="G24" s="41">
        <f t="shared" si="5"/>
        <v>1</v>
      </c>
      <c r="I24" s="27" t="s">
        <v>95</v>
      </c>
      <c r="J24" s="30" t="s">
        <v>69</v>
      </c>
      <c r="K24" s="9" cm="1">
        <f t="array" ref="K24">SUM(SUMIFS('PG&amp;E_2023'!$D$2:$D$4753, 'PG&amp;E_2023'!$C$2:$C$4753, {"Total Electric Line Extension Requests received (applications)";"Total Electric Line Extension Applications for applicant install"}, 'PG&amp;E_2023'!$B$2:$B$4753, $J24 &amp; "*", 'PG&amp;E_2023'!$E$2:$E$4753, "Mixed Fuel Upgrades"))</f>
        <v>0</v>
      </c>
      <c r="L24" s="9" cm="1">
        <f t="array" ref="L24">SUM(SUMIFS('PG&amp;E_2023'!$D$2:$D$4753, 'PG&amp;E_2023'!$C$2:$C$4753, {"Total Electric Line Extension Requests received (applications)";"Total Electric Line Extension Applications for applicant install"}, 'PG&amp;E_2023'!$B$2:$B$4753, $J24 &amp; "*", 'PG&amp;E_2023'!$E$2:$E$4753, "All Electric Upgrades"))</f>
        <v>34</v>
      </c>
      <c r="M24" s="29">
        <f t="shared" si="6"/>
        <v>34</v>
      </c>
      <c r="N24" s="41">
        <f t="shared" si="7"/>
        <v>1</v>
      </c>
    </row>
    <row r="25" spans="2:14" x14ac:dyDescent="0.35">
      <c r="B25" s="27" t="s">
        <v>95</v>
      </c>
      <c r="C25" s="30" t="s">
        <v>39</v>
      </c>
      <c r="D25" s="9" cm="1">
        <f t="array" ref="D25">SUM(SUMIFS('PG&amp;E_2024'!$D$2:$D$4753, 'PG&amp;E_2024'!$C$2:$C$4753, {"Total Electric Line Extension Requests received (applications)","Total Electric Line Extension Applications for applicant install"}, 'PG&amp;E_2024'!$B$2:$B$4753, $C25, 'PG&amp;E_2024'!$E$2:$E$4753, "Mixed Fuel Upgrades"))</f>
        <v>0</v>
      </c>
      <c r="E25" s="9" cm="1">
        <f t="array" ref="E25">SUM(SUMIFS('PG&amp;E_2024'!$D$2:$D$4753, 'PG&amp;E_2024'!$C$2:$C$4753, {"Total Electric Line Extension Requests received (applications)","Total Electric Line Extension Applications for applicant install"}, 'PG&amp;E_2024'!$B$2:$B$4753, $C25, 'PG&amp;E_2024'!$E$2:$E$4753, "All Electric Upgrades"))</f>
        <v>0</v>
      </c>
      <c r="F25" s="29">
        <f t="shared" ref="F25" si="10">D25+E25</f>
        <v>0</v>
      </c>
      <c r="G25" s="41" t="e">
        <f t="shared" ref="G25" si="11">E25/F25</f>
        <v>#DIV/0!</v>
      </c>
      <c r="I25" s="27" t="s">
        <v>95</v>
      </c>
      <c r="J25" s="30" t="s">
        <v>39</v>
      </c>
      <c r="K25" s="9" cm="1">
        <f t="array" ref="K25">SUM(SUMIFS('PG&amp;E_2023'!$D$2:$D$4753, 'PG&amp;E_2023'!$C$2:$C$4753, {"Total Electric Line Extension Requests received (applications)";"Total Electric Line Extension Applications for applicant install"}, 'PG&amp;E_2023'!$B$2:$B$4753, $J25 &amp; "*", 'PG&amp;E_2023'!$E$2:$E$4753, "Mixed Fuel Upgrades"))</f>
        <v>0</v>
      </c>
      <c r="L25" s="9" cm="1">
        <f t="array" ref="L25">SUM(SUMIFS('PG&amp;E_2023'!$D$2:$D$4753, 'PG&amp;E_2023'!$C$2:$C$4753, {"Total Electric Line Extension Requests received (applications)";"Total Electric Line Extension Applications for applicant install"}, 'PG&amp;E_2023'!$B$2:$B$4753, $J25 &amp; "*", 'PG&amp;E_2023'!$E$2:$E$4753, "All Electric Upgrades"))</f>
        <v>0</v>
      </c>
      <c r="M25" s="29">
        <f t="shared" si="6"/>
        <v>0</v>
      </c>
      <c r="N25" s="41" t="e">
        <f t="shared" si="7"/>
        <v>#DIV/0!</v>
      </c>
    </row>
    <row r="26" spans="2:14" x14ac:dyDescent="0.35">
      <c r="B26" s="31" t="s">
        <v>96</v>
      </c>
      <c r="C26" s="32" t="s">
        <v>36</v>
      </c>
      <c r="D26" s="33" cm="1">
        <f t="array" ref="D26">SUM(SUMIFS('PG&amp;E_2024'!$D$2:$D$4753, 'PG&amp;E_2024'!$C$2:$C$4753, {"Total Electric Line Extension Requests received (applications)","Total Electric Line Extension Applications for applicant install"}, 'PG&amp;E_2024'!$B$2:$B$4753, $C26, 'PG&amp;E_2024'!$E$2:$E$4753, "Mixed Fuel New Construction"))</f>
        <v>3202</v>
      </c>
      <c r="E26" s="33" cm="1">
        <f t="array" ref="E26">SUM(SUMIFS('PG&amp;E_2024'!$D$2:$D$4753,'PG&amp;E_2024'!$C$2:$C$4753,{"Total Electric Line Extension Requests received (applications)","Total Electric Line Extension Applications for applicant install"},'PG&amp;E_2024'!$B$2:$B$4753,$C26,'PG&amp;E_2024'!$E$2:$E$4753,"All Electric New Construction"))</f>
        <v>9376</v>
      </c>
      <c r="F26" s="34">
        <f>D26+E26</f>
        <v>12578</v>
      </c>
      <c r="G26" s="40">
        <f>E26/F26</f>
        <v>0.74542852599777387</v>
      </c>
      <c r="I26" s="31" t="s">
        <v>96</v>
      </c>
      <c r="J26" s="32" t="s">
        <v>54</v>
      </c>
      <c r="K26" s="33" cm="1">
        <f t="array" ref="K26">SUM(SUMIFS('PG&amp;E_2023'!$D$2:$D$4753, 'PG&amp;E_2023'!$C$2:$C$4753, {"Total Electric Line Extension Requests received (applications)","Total Electric Line Extension Applications for applicant install"}, 'PG&amp;E_2023'!$B$2:$B$4753, $J26, 'PG&amp;E_2023'!$E$2:$E$4753, "Mixed Fuel New Construction"))</f>
        <v>3915</v>
      </c>
      <c r="L26" s="33" cm="1">
        <f t="array" ref="L26">SUM(SUMIFS('PG&amp;E_2023'!$D$2:$D$4753,'PG&amp;E_2023'!$C$2:$C$4753,{"Total Electric Line Extension Requests received (applications)","Total Electric Line Extension Applications for applicant install"},'PG&amp;E_2023'!$B$2:$B$4753,$J26,'PG&amp;E_2023'!$E$2:$E$4753,"All Electric New Construction"))</f>
        <v>10025</v>
      </c>
      <c r="M26" s="34">
        <f>K26+L26</f>
        <v>13940</v>
      </c>
      <c r="N26" s="40">
        <f>L26/M26</f>
        <v>0.71915351506456238</v>
      </c>
    </row>
    <row r="27" spans="2:14" x14ac:dyDescent="0.35">
      <c r="B27" s="31" t="s">
        <v>96</v>
      </c>
      <c r="C27" s="32" t="s">
        <v>33</v>
      </c>
      <c r="D27" s="33" cm="1">
        <f t="array" ref="D27">SUM(SUMIFS('PG&amp;E_2024'!$D$2:$D$4753, 'PG&amp;E_2024'!$C$2:$C$4753, {"Total Electric Line Extension Requests received (applications)","Total Electric Line Extension Applications for applicant install"}, 'PG&amp;E_2024'!$B$2:$B$4753, $C27, 'PG&amp;E_2024'!$E$2:$E$4753, "Mixed Fuel New Construction"))</f>
        <v>499</v>
      </c>
      <c r="E27" s="33" cm="1">
        <f t="array" ref="E27">SUM(SUMIFS('PG&amp;E_2024'!$D$2:$D$4753,'PG&amp;E_2024'!$C$2:$C$4753,{"Total Electric Line Extension Requests received (applications)","Total Electric Line Extension Applications for applicant install"},'PG&amp;E_2024'!$B$2:$B$4753,$C27,'PG&amp;E_2024'!$E$2:$E$4753,"All Electric New Construction"))</f>
        <v>2468</v>
      </c>
      <c r="F27" s="34">
        <f>D27+E27</f>
        <v>2967</v>
      </c>
      <c r="G27" s="40">
        <f>E27/F27</f>
        <v>0.83181664981462755</v>
      </c>
      <c r="I27" s="31" t="s">
        <v>96</v>
      </c>
      <c r="J27" s="32" t="s">
        <v>33</v>
      </c>
      <c r="K27" s="33" cm="1">
        <f t="array" ref="K27">SUM(SUMIFS('PG&amp;E_2023'!$D$2:$D$4753, 'PG&amp;E_2023'!$C$2:$C$4753, {"Total Electric Line Extension Requests received (applications)","Total Electric Line Extension Applications for applicant install"}, 'PG&amp;E_2023'!$B$2:$B$4753, $J27, 'PG&amp;E_2023'!$E$2:$E$4753, "Mixed Fuel New Construction"))</f>
        <v>687</v>
      </c>
      <c r="L27" s="33" cm="1">
        <f t="array" ref="L27">SUM(SUMIFS('PG&amp;E_2023'!$D$2:$D$4753,'PG&amp;E_2023'!$C$2:$C$4753,{"Total Electric Line Extension Requests received (applications)","Total Electric Line Extension Applications for applicant install"},'PG&amp;E_2023'!$B$2:$B$4753,$J27,'PG&amp;E_2023'!$E$2:$E$4753,"All Electric New Construction"))</f>
        <v>3032</v>
      </c>
      <c r="M27" s="34">
        <f>K27+L27</f>
        <v>3719</v>
      </c>
      <c r="N27" s="40">
        <f>L27/M27</f>
        <v>0.81527292282871744</v>
      </c>
    </row>
    <row r="28" spans="2:14" x14ac:dyDescent="0.35">
      <c r="B28" s="27" t="s">
        <v>96</v>
      </c>
      <c r="C28" s="30" t="s">
        <v>7</v>
      </c>
      <c r="D28" s="9" cm="1">
        <f t="array" ref="D28">SUM(SUMIFS('PG&amp;E_2024'!$D$2:$D$4753, 'PG&amp;E_2024'!$C$2:$C$4753, {"Total Electric Line Extension Requests received (applications)","Total Electric Line Extension Applications for applicant install"}, 'PG&amp;E_2024'!$B$2:$B$4753, $C28, 'PG&amp;E_2024'!$E$2:$E$4753, "Mixed Fuel New Construction"))</f>
        <v>21</v>
      </c>
      <c r="E28" s="9" cm="1">
        <f t="array" ref="E28">SUM(SUMIFS('PG&amp;E_2024'!$D$2:$D$4753,'PG&amp;E_2024'!$C$2:$C$4753,{"Total Electric Line Extension Requests received (applications)","Total Electric Line Extension Applications for applicant install"},'PG&amp;E_2024'!$B$2:$B$4753,$C28,'PG&amp;E_2024'!$E$2:$E$4753,"All Electric New Construction"))</f>
        <v>1041</v>
      </c>
      <c r="F28" s="29">
        <f t="shared" si="4"/>
        <v>1062</v>
      </c>
      <c r="G28" s="41">
        <f t="shared" si="5"/>
        <v>0.98022598870056499</v>
      </c>
      <c r="I28" s="27" t="s">
        <v>96</v>
      </c>
      <c r="J28" s="30" t="s">
        <v>7</v>
      </c>
      <c r="K28" s="9" cm="1">
        <f t="array" ref="K28">SUM(SUMIFS('PG&amp;E_2023'!$D$2:$D$4753, 'PG&amp;E_2023'!$C$2:$C$4753, {"Total Electric Line Extension Requests received (applications)","Total Electric Line Extension Applications for applicant install"}, 'PG&amp;E_2023'!$B$2:$B$4753, $J28, 'PG&amp;E_2023'!$E$2:$E$4753, "Mixed Fuel New Construction"))</f>
        <v>40</v>
      </c>
      <c r="L28" s="9" cm="1">
        <f t="array" ref="L28">SUM(SUMIFS('PG&amp;E_2023'!$D$2:$D$4753,'PG&amp;E_2023'!$C$2:$C$4753,{"Total Electric Line Extension Requests received (applications)","Total Electric Line Extension Applications for applicant install"},'PG&amp;E_2023'!$B$2:$B$4753,$J28,'PG&amp;E_2023'!$E$2:$E$4753,"All Electric New Construction"))</f>
        <v>861</v>
      </c>
      <c r="M28" s="29">
        <f t="shared" ref="M28" si="12">K28+L28</f>
        <v>901</v>
      </c>
      <c r="N28" s="41">
        <f t="shared" ref="N28" si="13">L28/M28</f>
        <v>0.95560488346281913</v>
      </c>
    </row>
    <row r="29" spans="2:14" x14ac:dyDescent="0.35">
      <c r="B29" s="27" t="s">
        <v>96</v>
      </c>
      <c r="C29" s="30" t="s">
        <v>32</v>
      </c>
      <c r="D29" s="9" cm="1">
        <f t="array" ref="D29">SUM(SUMIFS('PG&amp;E_2024'!$D$2:$D$4753, 'PG&amp;E_2024'!$C$2:$C$4753, {"Total Electric Line Extension Requests received (applications)","Total Electric Line Extension Applications for applicant install"}, 'PG&amp;E_2024'!$B$2:$B$4753, $C29, 'PG&amp;E_2024'!$E$2:$E$4753, "Mixed Fuel New Construction"))</f>
        <v>10</v>
      </c>
      <c r="E29" s="9" cm="1">
        <f t="array" ref="E29">SUM(SUMIFS('PG&amp;E_2024'!$D$2:$D$4753,'PG&amp;E_2024'!$C$2:$C$4753,{"Total Electric Line Extension Requests received (applications)","Total Electric Line Extension Applications for applicant install"},'PG&amp;E_2024'!$B$2:$B$4753,$C29,'PG&amp;E_2024'!$E$2:$E$4753,"All Electric New Construction"))</f>
        <v>1201</v>
      </c>
      <c r="F29" s="29">
        <f>D29+E29</f>
        <v>1211</v>
      </c>
      <c r="G29" s="41">
        <f>E29/F29</f>
        <v>0.9917423616845582</v>
      </c>
      <c r="I29" s="27" t="s">
        <v>96</v>
      </c>
      <c r="J29" s="30" t="s">
        <v>32</v>
      </c>
      <c r="K29" s="9" cm="1">
        <f t="array" ref="K29">SUM(SUMIFS('PG&amp;E_2023'!$D$2:$D$4753, 'PG&amp;E_2023'!$C$2:$C$4753, {"Total Electric Line Extension Requests received (applications)","Total Electric Line Extension Applications for applicant install"}, 'PG&amp;E_2023'!$B$2:$B$4753, $J29, 'PG&amp;E_2023'!$E$2:$E$4753, "Mixed Fuel New Construction"))</f>
        <v>19</v>
      </c>
      <c r="L29" s="9" cm="1">
        <f t="array" ref="L29">SUM(SUMIFS('PG&amp;E_2023'!$D$2:$D$4753,'PG&amp;E_2023'!$C$2:$C$4753,{"Total Electric Line Extension Requests received (applications)","Total Electric Line Extension Applications for applicant install"},'PG&amp;E_2023'!$B$2:$B$4753,$J29,'PG&amp;E_2023'!$E$2:$E$4753,"All Electric New Construction"))</f>
        <v>1438</v>
      </c>
      <c r="M29" s="29">
        <f>K29+L29</f>
        <v>1457</v>
      </c>
      <c r="N29" s="41">
        <f>L29/M29</f>
        <v>0.98695950583390524</v>
      </c>
    </row>
    <row r="30" spans="2:14" x14ac:dyDescent="0.35">
      <c r="B30" s="27" t="s">
        <v>96</v>
      </c>
      <c r="C30" s="28" t="s">
        <v>34</v>
      </c>
      <c r="D30" s="9" cm="1">
        <f t="array" ref="D30">SUM(SUMIFS('PG&amp;E_2024'!$D$2:$D$4753, 'PG&amp;E_2024'!$C$2:$C$4753, {"Total Electric Line Extension Requests received (applications)","Total Electric Line Extension Applications for applicant install"}, 'PG&amp;E_2024'!$B$2:$B$4753, $C30, 'PG&amp;E_2024'!$E$2:$E$4753, "Mixed Fuel New Construction"))</f>
        <v>35</v>
      </c>
      <c r="E30" s="9" cm="1">
        <f t="array" ref="E30">SUM(SUMIFS('PG&amp;E_2024'!$D$2:$D$4753,'PG&amp;E_2024'!$C$2:$C$4753,{"Total Electric Line Extension Requests received (applications)","Total Electric Line Extension Applications for applicant install"},'PG&amp;E_2024'!$B$2:$B$4753,$C30,'PG&amp;E_2024'!$E$2:$E$4753,"All Electric New Construction"))</f>
        <v>291</v>
      </c>
      <c r="F30" s="29">
        <f t="shared" si="4"/>
        <v>326</v>
      </c>
      <c r="G30" s="41">
        <f t="shared" si="5"/>
        <v>0.8926380368098159</v>
      </c>
      <c r="I30" s="27" t="s">
        <v>96</v>
      </c>
      <c r="J30" s="28" t="s">
        <v>53</v>
      </c>
      <c r="K30" s="9" cm="1">
        <f t="array" ref="K30">SUM(SUMIFS('PG&amp;E_2023'!$D$2:$D$4753, 'PG&amp;E_2023'!$C$2:$C$4753, {"Total Electric Line Extension Requests received (applications)","Total Electric Line Extension Applications for applicant install"}, 'PG&amp;E_2023'!$B$2:$B$4753, $J30, 'PG&amp;E_2023'!$E$2:$E$4753, "Mixed Fuel New Construction"))</f>
        <v>35</v>
      </c>
      <c r="L30" s="9" cm="1">
        <f t="array" ref="L30">SUM(SUMIFS('PG&amp;E_2023'!$D$2:$D$4753,'PG&amp;E_2023'!$C$2:$C$4753,{"Total Electric Line Extension Requests received (applications)","Total Electric Line Extension Applications for applicant install"},'PG&amp;E_2023'!$B$2:$B$4753,$J30,'PG&amp;E_2023'!$E$2:$E$4753,"All Electric New Construction"))</f>
        <v>246</v>
      </c>
      <c r="M30" s="29">
        <f t="shared" ref="M30:M32" si="14">K30+L30</f>
        <v>281</v>
      </c>
      <c r="N30" s="41">
        <f t="shared" ref="N30:N32" si="15">L30/M30</f>
        <v>0.8754448398576512</v>
      </c>
    </row>
    <row r="31" spans="2:14" x14ac:dyDescent="0.35">
      <c r="B31" s="27" t="s">
        <v>96</v>
      </c>
      <c r="C31" s="30" t="s">
        <v>35</v>
      </c>
      <c r="D31" s="9" cm="1">
        <f t="array" ref="D31">SUM(SUMIFS('PG&amp;E_2024'!$D$2:$D$4753, 'PG&amp;E_2024'!$C$2:$C$4753, {"Total Electric Line Extension Requests received (applications)","Total Electric Line Extension Applications for applicant install"}, 'PG&amp;E_2024'!$B$2:$B$4753, $C31, 'PG&amp;E_2024'!$E$2:$E$4753, "Mixed Fuel New Construction"))</f>
        <v>104</v>
      </c>
      <c r="E31" s="9" cm="1">
        <f t="array" ref="E31">SUM(SUMIFS('PG&amp;E_2024'!$D$2:$D$4753,'PG&amp;E_2024'!$C$2:$C$4753,{"Total Electric Line Extension Requests received (applications)","Total Electric Line Extension Applications for applicant install"},'PG&amp;E_2024'!$B$2:$B$4753,$C31,'PG&amp;E_2024'!$E$2:$E$4753,"All Electric New Construction"))</f>
        <v>397</v>
      </c>
      <c r="F31" s="29">
        <f t="shared" si="4"/>
        <v>501</v>
      </c>
      <c r="G31" s="41">
        <f t="shared" si="5"/>
        <v>0.7924151696606786</v>
      </c>
      <c r="I31" s="27" t="s">
        <v>96</v>
      </c>
      <c r="J31" s="30" t="s">
        <v>68</v>
      </c>
      <c r="K31" s="9" cm="1">
        <f t="array" ref="K31">SUM(SUMIFS('PG&amp;E_2023'!$D$2:$D$4753, 'PG&amp;E_2023'!$C$2:$C$4753, {"Total Electric Line Extension Requests received (applications)","Total Electric Line Extension Applications for applicant install"}, 'PG&amp;E_2023'!$B$2:$B$4753, $J31, 'PG&amp;E_2023'!$E$2:$E$4753, "Mixed Fuel New Construction"))</f>
        <v>107</v>
      </c>
      <c r="L31" s="9" cm="1">
        <f t="array" ref="L31">SUM(SUMIFS('PG&amp;E_2023'!$D$2:$D$4753,'PG&amp;E_2023'!$C$2:$C$4753,{"Total Electric Line Extension Requests received (applications)","Total Electric Line Extension Applications for applicant install"},'PG&amp;E_2023'!$B$2:$B$4753,$J31,'PG&amp;E_2023'!$E$2:$E$4753,"All Electric New Construction"))</f>
        <v>333</v>
      </c>
      <c r="M31" s="29">
        <f t="shared" si="14"/>
        <v>440</v>
      </c>
      <c r="N31" s="41">
        <f t="shared" si="15"/>
        <v>0.75681818181818183</v>
      </c>
    </row>
    <row r="32" spans="2:14" x14ac:dyDescent="0.35">
      <c r="B32" s="27" t="s">
        <v>96</v>
      </c>
      <c r="C32" s="30" t="s">
        <v>38</v>
      </c>
      <c r="D32" s="9" cm="1">
        <f t="array" ref="D32">SUM(SUMIFS('PG&amp;E_2024'!$D$2:$D$4753, 'PG&amp;E_2024'!$C$2:$C$4753, {"Total Electric Line Extension Requests received (applications)","Total Electric Line Extension Applications for applicant install"}, 'PG&amp;E_2024'!$B$2:$B$4753, $C32, 'PG&amp;E_2024'!$E$2:$E$4753, "Mixed Fuel New Construction"))</f>
        <v>0</v>
      </c>
      <c r="E32" s="9" cm="1">
        <f t="array" ref="E32">SUM(SUMIFS('PG&amp;E_2024'!$D$2:$D$4753,'PG&amp;E_2024'!$C$2:$C$4753,{"Total Electric Line Extension Requests received (applications)","Total Electric Line Extension Applications for applicant install"},'PG&amp;E_2024'!$B$2:$B$4753,$C32,'PG&amp;E_2024'!$E$2:$E$4753,"All Electric New Construction"))</f>
        <v>1231</v>
      </c>
      <c r="F32" s="29">
        <f t="shared" si="4"/>
        <v>1231</v>
      </c>
      <c r="G32" s="41">
        <f t="shared" si="5"/>
        <v>1</v>
      </c>
      <c r="I32" s="27" t="s">
        <v>96</v>
      </c>
      <c r="J32" s="30" t="s">
        <v>70</v>
      </c>
      <c r="K32" s="9" cm="1">
        <f t="array" ref="K32">SUM(SUMIFS('PG&amp;E_2023'!$D$2:$D$4753, 'PG&amp;E_2023'!$C$2:$C$4753, {"Total Electric Line Extension Requests received (applications)","Total Electric Line Extension Applications for applicant install"}, 'PG&amp;E_2023'!$B$2:$B$4753, $J32, 'PG&amp;E_2023'!$E$2:$E$4753, "Mixed Fuel New Construction"))</f>
        <v>0</v>
      </c>
      <c r="L32" s="9" cm="1">
        <f t="array" ref="L32">SUM(SUMIFS('PG&amp;E_2023'!$D$2:$D$4753,'PG&amp;E_2023'!$C$2:$C$4753,{"Total Electric Line Extension Requests received (applications)","Total Electric Line Extension Applications for applicant install"},'PG&amp;E_2023'!$B$2:$B$4753,$J32,'PG&amp;E_2023'!$E$2:$E$4753,"All Electric New Construction"))</f>
        <v>1684</v>
      </c>
      <c r="M32" s="29">
        <f t="shared" si="14"/>
        <v>1684</v>
      </c>
      <c r="N32" s="41">
        <f t="shared" si="15"/>
        <v>1</v>
      </c>
    </row>
    <row r="33" spans="2:14" x14ac:dyDescent="0.35">
      <c r="B33" s="27" t="s">
        <v>96</v>
      </c>
      <c r="C33" s="30" t="s">
        <v>37</v>
      </c>
      <c r="D33" s="9" cm="1">
        <f t="array" ref="D33">SUM(SUMIFS('PG&amp;E_2024'!$D$2:$D$4753, 'PG&amp;E_2024'!$C$2:$C$4753, {"Total Electric Line Extension Requests received (applications)","Total Electric Line Extension Applications for applicant install"}, 'PG&amp;E_2024'!$B$2:$B$4753, $C33, 'PG&amp;E_2024'!$E$2:$E$4753, "Mixed Fuel New Construction"))</f>
        <v>0</v>
      </c>
      <c r="E33" s="9" cm="1">
        <f t="array" ref="E33">SUM(SUMIFS('PG&amp;E_2024'!$D$2:$D$4753,'PG&amp;E_2024'!$C$2:$C$4753,{"Total Electric Line Extension Requests received (applications)","Total Electric Line Extension Applications for applicant install"},'PG&amp;E_2024'!$B$2:$B$4753,$C33,'PG&amp;E_2024'!$E$2:$E$4753,"All Electric New Construction"))</f>
        <v>342</v>
      </c>
      <c r="F33" s="29">
        <f>D33+E33</f>
        <v>342</v>
      </c>
      <c r="G33" s="41">
        <f>E33/F33</f>
        <v>1</v>
      </c>
      <c r="I33" s="27" t="s">
        <v>96</v>
      </c>
      <c r="J33" s="30" t="s">
        <v>69</v>
      </c>
      <c r="K33" s="9" cm="1">
        <f t="array" ref="K33">SUM(SUMIFS('PG&amp;E_2023'!$D$2:$D$4753, 'PG&amp;E_2023'!$C$2:$C$4753, {"Total Electric Line Extension Requests received (applications)","Total Electric Line Extension Applications for applicant install"}, 'PG&amp;E_2023'!$B$2:$B$4753, $J33, 'PG&amp;E_2023'!$E$2:$E$4753, "Mixed Fuel New Construction"))</f>
        <v>0</v>
      </c>
      <c r="L33" s="9" cm="1">
        <f t="array" ref="L33">SUM(SUMIFS('PG&amp;E_2023'!$D$2:$D$4753,'PG&amp;E_2023'!$C$2:$C$4753,{"Total Electric Line Extension Requests received (applications)","Total Electric Line Extension Applications for applicant install"},'PG&amp;E_2023'!$B$2:$B$4753,$J33,'PG&amp;E_2023'!$E$2:$E$4753,"All Electric New Construction"))</f>
        <v>350</v>
      </c>
      <c r="M33" s="29">
        <f>K33+L33</f>
        <v>350</v>
      </c>
      <c r="N33" s="41">
        <f>L33/M33</f>
        <v>1</v>
      </c>
    </row>
    <row r="34" spans="2:14" x14ac:dyDescent="0.35">
      <c r="B34" s="27" t="s">
        <v>96</v>
      </c>
      <c r="C34" s="30" t="s">
        <v>39</v>
      </c>
      <c r="D34" s="9" cm="1">
        <f t="array" ref="D34">SUM(SUMIFS('PG&amp;E_2024'!$D$2:$D$4753, 'PG&amp;E_2024'!$C$2:$C$4753, {"Total Electric Line Extension Requests received (applications)","Total Electric Line Extension Applications for applicant install"}, 'PG&amp;E_2024'!$B$2:$B$4753, $C34, 'PG&amp;E_2024'!$E$2:$E$4753, "Mixed Fuel Upgrades"))</f>
        <v>0</v>
      </c>
      <c r="E34" s="9" cm="1">
        <f t="array" ref="E34">SUM(SUMIFS('PG&amp;E_2024'!$D$2:$D$4753,'PG&amp;E_2024'!$C$2:$C$4753,{"Total Electric Line Extension Requests received (applications)","Total Electric Line Extension Applications for applicant install"},'PG&amp;E_2024'!$B$2:$B$4753,$C34,'PG&amp;E_2024'!$E$2:$E$4753,"All Electric New Construction"))</f>
        <v>0</v>
      </c>
      <c r="F34" s="29">
        <f t="shared" ref="F34" si="16">D34+E34</f>
        <v>0</v>
      </c>
      <c r="G34" s="41" t="e">
        <f t="shared" ref="G34" si="17">E34/F34</f>
        <v>#DIV/0!</v>
      </c>
      <c r="I34" s="27" t="s">
        <v>96</v>
      </c>
      <c r="J34" s="30" t="s">
        <v>39</v>
      </c>
      <c r="K34" s="9" cm="1">
        <f t="array" ref="K34">SUM(SUMIFS('PG&amp;E_2023'!$D$2:$D$4753, 'PG&amp;E_2023'!$C$2:$C$4753, {"Total Electric Line Extension Requests received (applications)","Total Electric Line Extension Applications for applicant install"}, 'PG&amp;E_2023'!$B$2:$B$4753, $J34, 'PG&amp;E_2023'!$E$2:$E$4753, "Mixed Fuel New Construction"))</f>
        <v>0</v>
      </c>
      <c r="L34" s="9" cm="1">
        <f t="array" ref="L34">SUM(SUMIFS('PG&amp;E_2023'!$D$2:$D$4753,'PG&amp;E_2023'!$C$2:$C$4753,{"Total Electric Line Extension Requests received (applications)","Total Electric Line Extension Applications for applicant install"},'PG&amp;E_2023'!$B$2:$B$4753,$J34,'PG&amp;E_2023'!$E$2:$E$4753,"All Electric New Construction"))</f>
        <v>0</v>
      </c>
      <c r="M34" s="29">
        <f t="shared" ref="M34" si="18">K34+L34</f>
        <v>0</v>
      </c>
      <c r="N34" s="41" t="e">
        <f t="shared" ref="N34" si="19">L34/M34</f>
        <v>#DIV/0!</v>
      </c>
    </row>
    <row r="37" spans="2:14" x14ac:dyDescent="0.35">
      <c r="B37" s="44" t="s">
        <v>101</v>
      </c>
      <c r="C37" s="45"/>
      <c r="D37" s="45"/>
      <c r="E37" s="45"/>
      <c r="F37" s="45"/>
      <c r="G37" s="46"/>
      <c r="I37" s="44" t="s">
        <v>102</v>
      </c>
      <c r="J37" s="45"/>
      <c r="K37" s="45"/>
      <c r="L37" s="45"/>
      <c r="M37" s="45"/>
      <c r="N37" s="46"/>
    </row>
    <row r="38" spans="2:14" ht="14.5" customHeight="1" x14ac:dyDescent="0.35">
      <c r="B38" s="47" t="s">
        <v>99</v>
      </c>
      <c r="C38" s="48"/>
      <c r="D38" s="48"/>
      <c r="E38" s="48"/>
      <c r="F38" s="48"/>
      <c r="G38" s="48"/>
      <c r="I38" s="47" t="s">
        <v>99</v>
      </c>
      <c r="J38" s="48"/>
      <c r="K38" s="48"/>
      <c r="L38" s="48"/>
      <c r="M38" s="48"/>
      <c r="N38" s="48"/>
    </row>
    <row r="39" spans="2:14" ht="43.5" x14ac:dyDescent="0.35">
      <c r="B39" s="19" t="s">
        <v>90</v>
      </c>
      <c r="C39" s="20" t="s">
        <v>1</v>
      </c>
      <c r="D39" s="20" t="s">
        <v>91</v>
      </c>
      <c r="E39" s="20" t="s">
        <v>92</v>
      </c>
      <c r="F39" s="20" t="s">
        <v>93</v>
      </c>
      <c r="G39" s="21" t="s">
        <v>94</v>
      </c>
      <c r="I39" s="19" t="s">
        <v>90</v>
      </c>
      <c r="J39" s="20" t="s">
        <v>1</v>
      </c>
      <c r="K39" s="20" t="s">
        <v>91</v>
      </c>
      <c r="L39" s="20" t="s">
        <v>92</v>
      </c>
      <c r="M39" s="20" t="s">
        <v>93</v>
      </c>
      <c r="N39" s="21" t="s">
        <v>94</v>
      </c>
    </row>
    <row r="40" spans="2:14" x14ac:dyDescent="0.35">
      <c r="B40" s="22" t="s">
        <v>95</v>
      </c>
      <c r="C40" s="23" t="s">
        <v>33</v>
      </c>
      <c r="D40" s="24" cm="1">
        <f t="array" ref="D40">SUM(SUMIFS(SDGE_2024!$D$2:$D$2113, SDGE_2024!$C$2:$C$2113, {"Total Electric Line Extension Requests received (applications)";"Total Electric Line Extension Applications for applicant install"}, SDGE_2024!$B$2:$B$2113, $C40 &amp; "*", SDGE_2024!$E$2:$E$2113, "Mixed Fuel Upgrades"))</f>
        <v>98</v>
      </c>
      <c r="E40" s="24" cm="1">
        <f t="array" ref="E40">SUM(SUMIFS(SDGE_2024!$D$2:$D$2113, SDGE_2024!$C$2:$C$2113, {"Total Electric Line Extension Requests received (applications)";"Total Electric Line Extension Applications for applicant install"}, SDGE_2024!$B$2:$B$2113, $C40 &amp; "*", SDGE_2024!$E$2:$E$2113, "All Electric Upgrades"))</f>
        <v>779</v>
      </c>
      <c r="F40" s="24">
        <f>SUM(D40:E40)</f>
        <v>877</v>
      </c>
      <c r="G40" s="42">
        <f t="shared" ref="G40:G47" si="20">E40/F40</f>
        <v>0.88825541619156212</v>
      </c>
      <c r="I40" s="22" t="s">
        <v>95</v>
      </c>
      <c r="J40" s="23" t="s">
        <v>33</v>
      </c>
      <c r="K40" s="24" cm="1">
        <f t="array" ref="K40">SUM(SUMIFS(SDGE_2023!$D$2:$D$193, SDGE_2023!$C$2:$C$193, {"Total Electric Line Extension Requests Received (Applications)";"Total Upgrades requested*"}, SDGE_2023!$B$2:$B$193, $J40 &amp; "*", SDGE_2023!$E$2:$E$193, "Mixed Fuel Upgrades"))</f>
        <v>300</v>
      </c>
      <c r="L40" s="24" cm="1">
        <f t="array" ref="L40">SUM(SUMIFS(SDGE_2023!$D$2:$D$193, SDGE_2023!$C$2:$C$193, {"Total Electric Line Extension Requests Received (Applications)";"Total Upgrades requested*"}, SDGE_2023!$B$2:$B$193, $J40 &amp; "*", SDGE_2023!$E$2:$E$193, "All Electric Upgrades"))</f>
        <v>738</v>
      </c>
      <c r="M40" s="24">
        <f>SUM(K40:L40)</f>
        <v>1038</v>
      </c>
      <c r="N40" s="42">
        <f t="shared" ref="N40:N47" si="21">L40/M40</f>
        <v>0.71098265895953761</v>
      </c>
    </row>
    <row r="41" spans="2:14" x14ac:dyDescent="0.35">
      <c r="B41" s="22" t="s">
        <v>95</v>
      </c>
      <c r="C41" s="23" t="s">
        <v>54</v>
      </c>
      <c r="D41" s="24" cm="1">
        <f t="array" ref="D41">SUM(SUMIFS(SDGE_2024!$D$2:$D$2113, SDGE_2024!$C$2:$C$2113, {"Total Electric Line Extension Requests received (applications)";"Total Electric Line Extension Applications for applicant install"}, SDGE_2024!$B$2:$B$2113, $C41 &amp; "*", SDGE_2024!$E$2:$E$2113, "Mixed Fuel Upgrades"))</f>
        <v>1133</v>
      </c>
      <c r="E41" s="24" cm="1">
        <f t="array" ref="E41">SUM(SUMIFS(SDGE_2024!$D$2:$D$2113, SDGE_2024!$C$2:$C$2113, {"Total Electric Line Extension Requests received (applications)";"Total Electric Line Extension Applications for applicant install"}, SDGE_2024!$B$2:$B$2113, $C41 &amp; "*", SDGE_2024!$E$2:$E$2113, "All Electric Upgrades"))</f>
        <v>9334</v>
      </c>
      <c r="F41" s="24">
        <f t="shared" ref="F41:F47" si="22">SUM(D41:E41)</f>
        <v>10467</v>
      </c>
      <c r="G41" s="42">
        <f t="shared" si="20"/>
        <v>0.89175503964841885</v>
      </c>
      <c r="I41" s="22" t="s">
        <v>95</v>
      </c>
      <c r="J41" s="23" t="s">
        <v>54</v>
      </c>
      <c r="K41" s="24" cm="1">
        <f t="array" ref="K41">SUM(SUMIFS(SDGE_2023!$D$2:$D$193, SDGE_2023!$C$2:$C$193, {"Total Electric Line Extension Requests Received (Applications)";"Total Upgrades requested*"}, SDGE_2023!$B$2:$B$193, $J41 &amp; "*", SDGE_2023!$E$2:$E$193, "Mixed Fuel Upgrades"))</f>
        <v>1796</v>
      </c>
      <c r="L41" s="24" cm="1">
        <f t="array" ref="L41">SUM(SUMIFS(SDGE_2023!$D$2:$D$193, SDGE_2023!$C$2:$C$193, {"Total Electric Line Extension Requests Received (Applications)";"Total Upgrades requested*"}, SDGE_2023!$B$2:$B$193, $J41 &amp; "*", SDGE_2023!$E$2:$E$193, "All Electric Upgrades"))</f>
        <v>12370</v>
      </c>
      <c r="M41" s="24">
        <f t="shared" ref="M41:M47" si="23">SUM(K41:L41)</f>
        <v>14166</v>
      </c>
      <c r="N41" s="42">
        <f t="shared" si="21"/>
        <v>0.87321756317944377</v>
      </c>
    </row>
    <row r="42" spans="2:14" x14ac:dyDescent="0.35">
      <c r="B42" s="25" t="s">
        <v>95</v>
      </c>
      <c r="C42" s="37" t="s">
        <v>43</v>
      </c>
      <c r="D42" s="9" cm="1">
        <f t="array" ref="D42">SUM(SUMIFS(SDGE_2024!$D$2:$D$2113, SDGE_2024!$C$2:$C$2113, {"Total Electric Line Extension Requests received (applications)";"Total Electric Line Extension Applications for applicant install"}, SDGE_2024!$B$2:$B$2113, $C42 &amp; "*", SDGE_2024!$E$2:$E$2113, "Mixed Fuel Upgrades"))</f>
        <v>1</v>
      </c>
      <c r="E42" s="9" cm="1">
        <f t="array" ref="E42">SUM(SUMIFS(SDGE_2024!$D$2:$D$2113, SDGE_2024!$C$2:$C$2113, {"Total Electric Line Extension Requests received (applications)";"Total Electric Line Extension Applications for applicant install"}, SDGE_2024!$B$2:$B$2113, $C42 &amp; "*", SDGE_2024!$E$2:$E$2113, "All Electric Upgrades"))</f>
        <v>10</v>
      </c>
      <c r="F42" s="35">
        <f t="shared" si="22"/>
        <v>11</v>
      </c>
      <c r="G42" s="43">
        <f t="shared" si="20"/>
        <v>0.90909090909090906</v>
      </c>
      <c r="I42" s="25" t="s">
        <v>95</v>
      </c>
      <c r="J42" s="37" t="s">
        <v>43</v>
      </c>
      <c r="K42" s="9" cm="1">
        <f t="array" ref="K42">SUM(SUMIFS(SDGE_2023!$D$2:$D$193, SDGE_2023!$C$2:$C$193, {"Total Electric Line Extension Requests Received (Applications)";"Total Upgrades requested*"}, SDGE_2023!$B$2:$B$193, $J42 &amp; "*", SDGE_2023!$E$2:$E$193, "Mixed Fuel Upgrades"))</f>
        <v>0</v>
      </c>
      <c r="L42" s="9" cm="1">
        <f t="array" ref="L42">SUM(SUMIFS(SDGE_2023!$D$2:$D$193, SDGE_2023!$C$2:$C$193, {"Total Electric Line Extension Requests Received (Applications)";"Total Upgrades requested*"}, SDGE_2023!$B$2:$B$193, $J42 &amp; "*", SDGE_2023!$E$2:$E$193, "All Electric Upgrades"))</f>
        <v>0</v>
      </c>
      <c r="M42" s="35">
        <f t="shared" si="23"/>
        <v>0</v>
      </c>
      <c r="N42" s="43" t="e">
        <f t="shared" si="21"/>
        <v>#DIV/0!</v>
      </c>
    </row>
    <row r="43" spans="2:14" x14ac:dyDescent="0.35">
      <c r="B43" s="25" t="s">
        <v>95</v>
      </c>
      <c r="C43" s="37" t="s">
        <v>53</v>
      </c>
      <c r="D43" s="9" cm="1">
        <f t="array" ref="D43">SUM(SUMIFS(SDGE_2024!$D$2:$D$2113, SDGE_2024!$C$2:$C$2113, {"Total Electric Line Extension Requests received (applications)";"Total Electric Line Extension Applications for applicant install"}, SDGE_2024!$B$2:$B$2113, $C43 &amp; "*", SDGE_2024!$E$2:$E$2113, "Mixed Fuel Upgrades"))</f>
        <v>0</v>
      </c>
      <c r="E43" s="9" cm="1">
        <f t="array" ref="E43">SUM(SUMIFS(SDGE_2024!$D$2:$D$2113, SDGE_2024!$C$2:$C$2113, {"Total Electric Line Extension Requests received (applications)";"Total Electric Line Extension Applications for applicant install"}, SDGE_2024!$B$2:$B$2113, $C43 &amp; "*", SDGE_2024!$E$2:$E$2113, "All Electric Upgrades"))</f>
        <v>2</v>
      </c>
      <c r="F43" s="35">
        <f t="shared" si="22"/>
        <v>2</v>
      </c>
      <c r="G43" s="43">
        <f t="shared" si="20"/>
        <v>1</v>
      </c>
      <c r="I43" s="25" t="s">
        <v>95</v>
      </c>
      <c r="J43" s="37" t="s">
        <v>53</v>
      </c>
      <c r="K43" s="9" cm="1">
        <f t="array" ref="K43">SUM(SUMIFS(SDGE_2023!$D$2:$D$193, SDGE_2023!$C$2:$C$193, {"Total Electric Line Extension Requests Received (Applications)";"Total Upgrades requested*"}, SDGE_2023!$B$2:$B$193, $J43 &amp; "*", SDGE_2023!$E$2:$E$193, "Mixed Fuel Upgrades"))</f>
        <v>0</v>
      </c>
      <c r="L43" s="9" cm="1">
        <f t="array" ref="L43">SUM(SUMIFS(SDGE_2023!$D$2:$D$193, SDGE_2023!$C$2:$C$193, {"Total Electric Line Extension Requests Received (Applications)";"Total Upgrades requested*"}, SDGE_2023!$B$2:$B$193, $J43 &amp; "*", SDGE_2023!$E$2:$E$193, "All Electric Upgrades"))</f>
        <v>0</v>
      </c>
      <c r="M43" s="35">
        <f t="shared" si="23"/>
        <v>0</v>
      </c>
      <c r="N43" s="43" t="e">
        <f t="shared" si="21"/>
        <v>#DIV/0!</v>
      </c>
    </row>
    <row r="44" spans="2:14" x14ac:dyDescent="0.35">
      <c r="B44" s="22" t="s">
        <v>96</v>
      </c>
      <c r="C44" s="23" t="s">
        <v>33</v>
      </c>
      <c r="D44" s="24" cm="1">
        <f t="array" ref="D44">SUM(SUMIFS(SDGE_2024!$D$2:$D$2113,SDGE_2024!$C$2:$C$2113,{"Total Electric Line Extension Requests received (applications)";"Total Electric Line Extension Applications for applicant install"},SDGE_2024!$B$2:$B$2113,$C44&amp;"*",SDGE_2024!$E$2:$E$2113,"Mixed Fuel New Construction"))</f>
        <v>645</v>
      </c>
      <c r="E44" s="24" cm="1">
        <f t="array" ref="E44">SUM(SUMIFS(SDGE_2024!$D$2:$D$2113, SDGE_2024!$C$2:$C$2113, {"Total Electric Line Extension Requests received (applications)";"Total Electric Line Extension Applications for applicant install"}, SDGE_2024!$B$2:$B$2113, $C44 &amp; "*", SDGE_2024!$E$2:$E$2113, "All Electric New Construction"))</f>
        <v>1553</v>
      </c>
      <c r="F44" s="24">
        <f t="shared" si="22"/>
        <v>2198</v>
      </c>
      <c r="G44" s="42">
        <f t="shared" si="20"/>
        <v>0.70655141037306646</v>
      </c>
      <c r="I44" s="22" t="s">
        <v>96</v>
      </c>
      <c r="J44" s="23" t="s">
        <v>33</v>
      </c>
      <c r="K44" s="24" cm="1">
        <f t="array" ref="K44">SUM(SUMIFS(SDGE_2023!$D$2:$D$193, SDGE_2023!$C$2:$C$193, {"Total Electric Line Extension Requests Received (Applications)";"Total Upgrades requested*"}, SDGE_2023!$B$2:$B$193, $J44 &amp; "*", SDGE_2023!$E$2:$E$193, "Mixed Fuel New Construction"))</f>
        <v>762</v>
      </c>
      <c r="L44" s="24" cm="1">
        <f t="array" ref="L44">SUM(SUMIFS(SDGE_2023!$D$2:$D$193, SDGE_2023!$C$2:$C$193, {"Total Electric Line Extension Requests Received (Applications)";"Total Upgrades requested*"}, SDGE_2023!$B$2:$B$193, $J44 &amp; "*", SDGE_2023!$E$2:$E$193, "All Electric New Construction"))</f>
        <v>1371</v>
      </c>
      <c r="M44" s="24">
        <f t="shared" si="23"/>
        <v>2133</v>
      </c>
      <c r="N44" s="42">
        <f t="shared" si="21"/>
        <v>0.64275668073136427</v>
      </c>
    </row>
    <row r="45" spans="2:14" x14ac:dyDescent="0.35">
      <c r="B45" s="22" t="s">
        <v>96</v>
      </c>
      <c r="C45" s="23" t="s">
        <v>54</v>
      </c>
      <c r="D45" s="24" cm="1">
        <f t="array" ref="D45">SUM(SUMIFS(SDGE_2024!$D$2:$D$2113,SDGE_2024!$C$2:$C$2113,{"Total Electric Line Extension Requests received (applications)";"Total Electric Line Extension Applications for applicant install"},SDGE_2024!$B$2:$B$2113,$C45&amp;"*",SDGE_2024!$E$2:$E$2113,"Mixed Fuel New Construction"))</f>
        <v>1426</v>
      </c>
      <c r="E45" s="24" cm="1">
        <f t="array" ref="E45">SUM(SUMIFS(SDGE_2024!$D$2:$D$2113, SDGE_2024!$C$2:$C$2113, {"Total Electric Line Extension Requests received (applications)";"Total Electric Line Extension Applications for applicant install"}, SDGE_2024!$B$2:$B$2113, $C45 &amp; "*", SDGE_2024!$E$2:$E$2113, "All Electric New Construction"))</f>
        <v>4322</v>
      </c>
      <c r="F45" s="24">
        <f t="shared" si="22"/>
        <v>5748</v>
      </c>
      <c r="G45" s="42">
        <f t="shared" si="20"/>
        <v>0.75191370911621436</v>
      </c>
      <c r="I45" s="22" t="s">
        <v>96</v>
      </c>
      <c r="J45" s="23" t="s">
        <v>54</v>
      </c>
      <c r="K45" s="24" cm="1">
        <f t="array" ref="K45">SUM(SUMIFS(SDGE_2023!$D$2:$D$193, SDGE_2023!$C$2:$C$193, {"Total Electric Line Extension Requests Received (Applications)";"Total Upgrades requested*"}, SDGE_2023!$B$2:$B$193, $J45 &amp; "*", SDGE_2023!$E$2:$E$193, "Mixed Fuel New Construction"))</f>
        <v>1787</v>
      </c>
      <c r="L45" s="24" cm="1">
        <f t="array" ref="L45">SUM(SUMIFS(SDGE_2023!$D$2:$D$193, SDGE_2023!$C$2:$C$193, {"Total Electric Line Extension Requests Received (Applications)";"Total Upgrades requested*"}, SDGE_2023!$B$2:$B$193, $J45 &amp; "*", SDGE_2023!$E$2:$E$193, "All Electric New Construction"))</f>
        <v>12680</v>
      </c>
      <c r="M45" s="24">
        <f t="shared" si="23"/>
        <v>14467</v>
      </c>
      <c r="N45" s="42">
        <f t="shared" si="21"/>
        <v>0.87647750051842122</v>
      </c>
    </row>
    <row r="46" spans="2:14" x14ac:dyDescent="0.35">
      <c r="B46" s="25" t="s">
        <v>96</v>
      </c>
      <c r="C46" s="37" t="s">
        <v>43</v>
      </c>
      <c r="D46" s="9" cm="1">
        <f t="array" ref="D46">SUM(SUMIFS(SDGE_2024!$D$2:$D$2113,SDGE_2024!$C$2:$C$2113,{"Total Electric Line Extension Requests received (applications)";"Total Electric Line Extension Applications for applicant install"},SDGE_2024!$B$2:$B$2113,$C46&amp;"*",SDGE_2024!$E$2:$E$2113,"Mixed Fuel New Construction"))</f>
        <v>0</v>
      </c>
      <c r="E46" s="9" cm="1">
        <f t="array" ref="E46">SUM(SUMIFS(SDGE_2024!$D$2:$D$2113, SDGE_2024!$C$2:$C$2113, {"Total Electric Line Extension Requests received (applications)";"Total Electric Line Extension Applications for applicant install"}, SDGE_2024!$B$2:$B$2113, $C46 &amp; "*", SDGE_2024!$E$2:$E$2113, "All Electric New Construction"))</f>
        <v>5</v>
      </c>
      <c r="F46" s="35">
        <f t="shared" si="22"/>
        <v>5</v>
      </c>
      <c r="G46" s="43">
        <f t="shared" si="20"/>
        <v>1</v>
      </c>
      <c r="I46" s="25" t="s">
        <v>96</v>
      </c>
      <c r="J46" s="37" t="s">
        <v>43</v>
      </c>
      <c r="K46" s="9" cm="1">
        <f t="array" ref="K46">SUM(SUMIFS(SDGE_2023!$D$2:$D$193, SDGE_2023!$C$2:$C$193, {"Total Electric Line Extension Requests Received (Applications)";"Total Upgrades requested*"}, SDGE_2023!$B$2:$B$193, $J46 &amp; "*", SDGE_2023!$E$2:$E$193, "Mixed Fuel New Construction"))</f>
        <v>0</v>
      </c>
      <c r="L46" s="9" cm="1">
        <f t="array" ref="L46">SUM(SUMIFS(SDGE_2023!$D$2:$D$193, SDGE_2023!$C$2:$C$193, {"Total Electric Line Extension Requests Received (Applications)";"Total Upgrades requested*"}, SDGE_2023!$B$2:$B$193, $J46 &amp; "*", SDGE_2023!$E$2:$E$193, "All Electric New Construction"))</f>
        <v>0</v>
      </c>
      <c r="M46" s="35">
        <f t="shared" si="23"/>
        <v>0</v>
      </c>
      <c r="N46" s="43" t="e">
        <f t="shared" si="21"/>
        <v>#DIV/0!</v>
      </c>
    </row>
    <row r="47" spans="2:14" x14ac:dyDescent="0.35">
      <c r="B47" s="25" t="s">
        <v>96</v>
      </c>
      <c r="C47" s="37" t="s">
        <v>53</v>
      </c>
      <c r="D47" s="9" cm="1">
        <f t="array" ref="D47">SUM(SUMIFS(SDGE_2024!$D$2:$D$2113,SDGE_2024!$C$2:$C$2113,{"Total Electric Line Extension Requests received (applications)";"Total Electric Line Extension Applications for applicant install"},SDGE_2024!$B$2:$B$2113,$C47&amp;"*",SDGE_2024!$E$2:$E$2113,"Mixed Fuel New Construction"))</f>
        <v>0</v>
      </c>
      <c r="E47" s="9" cm="1">
        <f t="array" ref="E47">SUM(SUMIFS(SDGE_2024!$D$2:$D$2113, SDGE_2024!$C$2:$C$2113, {"Total Electric Line Extension Requests received (applications)";"Total Electric Line Extension Applications for applicant install"}, SDGE_2024!$B$2:$B$2113, $C47 &amp; "*", SDGE_2024!$E$2:$E$2113, "All Electric New Construction"))</f>
        <v>2</v>
      </c>
      <c r="F47" s="35">
        <f t="shared" si="22"/>
        <v>2</v>
      </c>
      <c r="G47" s="43">
        <f t="shared" si="20"/>
        <v>1</v>
      </c>
      <c r="I47" s="25" t="s">
        <v>96</v>
      </c>
      <c r="J47" s="37" t="s">
        <v>53</v>
      </c>
      <c r="K47" s="9" cm="1">
        <f t="array" ref="K47">SUM(SUMIFS(SDGE_2023!$D$2:$D$193, SDGE_2023!$C$2:$C$193, {"Total Electric Line Extension Requests Received (Applications)";"Total Upgrades requested*"}, SDGE_2023!$B$2:$B$193, $J47 &amp; "*", SDGE_2023!$E$2:$E$193, "Mixed Fuel New Construction"))</f>
        <v>0</v>
      </c>
      <c r="L47" s="9" cm="1">
        <f t="array" ref="L47">SUM(SUMIFS(SDGE_2023!$D$2:$D$193, SDGE_2023!$C$2:$C$193, {"Total Electric Line Extension Requests Received (Applications)";"Total Upgrades requested*"}, SDGE_2023!$B$2:$B$193, $J47 &amp; "*", SDGE_2023!$E$2:$E$193, "All Electric New Construction"))</f>
        <v>0</v>
      </c>
      <c r="M47" s="35">
        <f t="shared" si="23"/>
        <v>0</v>
      </c>
      <c r="N47" s="43" t="e">
        <f t="shared" si="21"/>
        <v>#DIV/0!</v>
      </c>
    </row>
    <row r="48" spans="2:14" x14ac:dyDescent="0.35">
      <c r="C48" s="5"/>
      <c r="J48" s="5"/>
    </row>
    <row r="49" spans="2:14" x14ac:dyDescent="0.35">
      <c r="B49" s="36"/>
      <c r="C49" s="5"/>
      <c r="I49" s="36"/>
      <c r="J49" s="5"/>
    </row>
    <row r="50" spans="2:14" x14ac:dyDescent="0.35">
      <c r="B50" s="44" t="s">
        <v>100</v>
      </c>
      <c r="C50" s="45"/>
      <c r="D50" s="45"/>
      <c r="E50" s="45"/>
      <c r="F50" s="45"/>
      <c r="G50" s="46"/>
      <c r="I50" s="44" t="s">
        <v>103</v>
      </c>
      <c r="J50" s="45"/>
      <c r="K50" s="45"/>
      <c r="L50" s="45"/>
      <c r="M50" s="45"/>
      <c r="N50" s="46"/>
    </row>
    <row r="51" spans="2:14" ht="14.5" customHeight="1" x14ac:dyDescent="0.35">
      <c r="B51" s="47" t="s">
        <v>89</v>
      </c>
      <c r="C51" s="48"/>
      <c r="D51" s="48"/>
      <c r="E51" s="48"/>
      <c r="F51" s="48"/>
      <c r="G51" s="48"/>
      <c r="I51" s="47" t="s">
        <v>89</v>
      </c>
      <c r="J51" s="48"/>
      <c r="K51" s="48"/>
      <c r="L51" s="48"/>
      <c r="M51" s="48"/>
      <c r="N51" s="48"/>
    </row>
    <row r="52" spans="2:14" ht="43.5" x14ac:dyDescent="0.35">
      <c r="B52" s="19" t="s">
        <v>90</v>
      </c>
      <c r="C52" s="20" t="s">
        <v>1</v>
      </c>
      <c r="D52" s="20" t="s">
        <v>91</v>
      </c>
      <c r="E52" s="20" t="s">
        <v>92</v>
      </c>
      <c r="F52" s="20" t="s">
        <v>93</v>
      </c>
      <c r="G52" s="21" t="s">
        <v>94</v>
      </c>
      <c r="I52" s="19" t="s">
        <v>90</v>
      </c>
      <c r="J52" s="20" t="s">
        <v>1</v>
      </c>
      <c r="K52" s="20" t="s">
        <v>91</v>
      </c>
      <c r="L52" s="20" t="s">
        <v>92</v>
      </c>
      <c r="M52" s="20" t="s">
        <v>93</v>
      </c>
      <c r="N52" s="21" t="s">
        <v>94</v>
      </c>
    </row>
    <row r="53" spans="2:14" x14ac:dyDescent="0.35">
      <c r="B53" s="31" t="s">
        <v>95</v>
      </c>
      <c r="C53" s="38" t="s">
        <v>54</v>
      </c>
      <c r="D53" s="34" cm="1">
        <f t="array" ref="D53">SUM(SUMIFS(SCE_2024!$D$2:$D$2113, SCE_2024!$C$2:$C$2113, {"Total Electric Line Extension Requests received (applications)";"Total Electric Line Extension Applications for applicant install"}, SCE_2024!$B$2:$B$2113, $C53 &amp; "*", SCE_2024!$E$2:$E$2113, "Mixed Fuel Upgrades"))</f>
        <v>9143</v>
      </c>
      <c r="E53" s="34" cm="1">
        <f t="array" ref="E53">SUM(SUMIFS(SCE_2024!$D$2:$D$2113, SCE_2024!$C$2:$C$2113, {"Total Electric Line Extension Requests received (applications)";"Total Electric Line Extension Applications for applicant install"}, SCE_2024!$B$2:$B$2113, $C53 &amp; "*", SCE_2024!$E$2:$E$2113, "All Electric Upgrades"))</f>
        <v>201</v>
      </c>
      <c r="F53" s="34">
        <f>D53+E53</f>
        <v>9344</v>
      </c>
      <c r="G53" s="40">
        <f t="shared" ref="G53:G60" si="24">E53/F53</f>
        <v>2.1511130136986301E-2</v>
      </c>
      <c r="I53" s="31" t="s">
        <v>95</v>
      </c>
      <c r="J53" s="38" t="s">
        <v>54</v>
      </c>
      <c r="K53" s="34" cm="1">
        <f t="array" ref="K53">SUM(SUMIFS(SCE_2023!$D$2:$D$2113, SCE_2023!$C$2:$C$2113, {"Total Electric Line Extension Requests received (applications)";"Total Electric Line Extension Applications for applicant install"}, SCE_2023!$B$2:$B$2113, $J53 &amp; "*", SCE_2023!$E$2:$E$2113, "Mixed Fuel Upgrades"))</f>
        <v>10109</v>
      </c>
      <c r="L53" s="34" cm="1">
        <f t="array" ref="L53">SUM(SUMIFS(SCE_2023!$D$2:$D$2113, SCE_2023!$C$2:$C$2113, {"Total Electric Line Extension Requests received (applications)";"Total Electric Line Extension Applications for applicant install"}, SCE_2023!$B$2:$B$2113, $J53 &amp; "*", SCE_2023!$E$2:$E$2113, "All Electric Upgrades"))</f>
        <v>56</v>
      </c>
      <c r="M53" s="34">
        <f>K53+L53</f>
        <v>10165</v>
      </c>
      <c r="N53" s="40">
        <f t="shared" ref="N53:N60" si="25">L53/M53</f>
        <v>5.5090998524348258E-3</v>
      </c>
    </row>
    <row r="54" spans="2:14" x14ac:dyDescent="0.35">
      <c r="B54" s="31" t="s">
        <v>95</v>
      </c>
      <c r="C54" s="38" t="s">
        <v>33</v>
      </c>
      <c r="D54" s="34" cm="1">
        <f t="array" ref="D54">SUM(SUMIFS(SCE_2024!$D$2:$D$2113, SCE_2024!$C$2:$C$2113, {"Total Electric Line Extension Requests received (applications)";"Total Electric Line Extension Applications for applicant install"}, SCE_2024!$B$2:$B$2113, $C54 &amp; "*", SCE_2024!$E$2:$E$2113, "Mixed Fuel Upgrades"))</f>
        <v>844</v>
      </c>
      <c r="E54" s="34" cm="1">
        <f t="array" ref="E54">SUM(SUMIFS(SCE_2024!$D$2:$D$2113, SCE_2024!$C$2:$C$2113, {"Total Electric Line Extension Requests received (applications)";"Total Electric Line Extension Applications for applicant install"}, SCE_2024!$B$2:$B$2113, $C54 &amp; "*", SCE_2024!$E$2:$E$2113, "All Electric Upgrades"))</f>
        <v>164</v>
      </c>
      <c r="F54" s="34">
        <f t="shared" ref="F54:F60" si="26">D54+E54</f>
        <v>1008</v>
      </c>
      <c r="G54" s="40">
        <f t="shared" si="24"/>
        <v>0.1626984126984127</v>
      </c>
      <c r="I54" s="31" t="s">
        <v>95</v>
      </c>
      <c r="J54" s="38" t="s">
        <v>33</v>
      </c>
      <c r="K54" s="34" cm="1">
        <f t="array" ref="K54">SUM(SUMIFS(SCE_2023!$D$2:$D$2113, SCE_2023!$C$2:$C$2113, {"Total Electric Line Extension Requests received (applications)";"Total Electric Line Extension Applications for applicant install"}, SCE_2023!$B$2:$B$2113, $J54 &amp; "*", SCE_2023!$E$2:$E$2113, "Mixed Fuel Upgrades"))</f>
        <v>938</v>
      </c>
      <c r="L54" s="34" cm="1">
        <f t="array" ref="L54">SUM(SUMIFS(SCE_2023!$D$2:$D$2113, SCE_2023!$C$2:$C$2113, {"Total Electric Line Extension Requests received (applications)";"Total Electric Line Extension Applications for applicant install"}, SCE_2023!$B$2:$B$2113, $J54 &amp; "*", SCE_2023!$E$2:$E$2113, "All Electric Upgrades"))</f>
        <v>8</v>
      </c>
      <c r="M54" s="34">
        <f t="shared" ref="M54:M60" si="27">K54+L54</f>
        <v>946</v>
      </c>
      <c r="N54" s="40">
        <f t="shared" si="25"/>
        <v>8.4566596194503175E-3</v>
      </c>
    </row>
    <row r="55" spans="2:14" x14ac:dyDescent="0.35">
      <c r="B55" s="27" t="s">
        <v>95</v>
      </c>
      <c r="C55" s="10" t="s">
        <v>43</v>
      </c>
      <c r="D55" s="29" cm="1">
        <f t="array" ref="D55">SUM(SUMIFS(SCE_2024!$D$2:$D$2113, SCE_2024!$C$2:$C$2113, {"Total Electric Line Extension Requests received (applications)";"Total Electric Line Extension Applications for applicant install"}, SCE_2024!$B$2:$B$2113, $C55 &amp; "*", SCE_2024!$E$2:$E$2113, "Mixed Fuel Upgrades"))</f>
        <v>97</v>
      </c>
      <c r="E55" s="29" cm="1">
        <f t="array" ref="E55">SUM(SUMIFS(SCE_2024!$D$2:$D$2113, SCE_2024!$C$2:$C$2113, {"Total Electric Line Extension Requests received (applications)";"Total Electric Line Extension Applications for applicant install"}, SCE_2024!$B$2:$B$2113, $C55 &amp; "*", SCE_2024!$E$2:$E$2113, "All Electric Upgrades"))</f>
        <v>30</v>
      </c>
      <c r="F55" s="29">
        <f t="shared" si="26"/>
        <v>127</v>
      </c>
      <c r="G55" s="41">
        <f t="shared" si="24"/>
        <v>0.23622047244094488</v>
      </c>
      <c r="I55" s="27" t="s">
        <v>95</v>
      </c>
      <c r="J55" s="10" t="s">
        <v>43</v>
      </c>
      <c r="K55" s="29" cm="1">
        <f t="array" ref="K55">SUM(SUMIFS(SCE_2023!$D$2:$D$2113, SCE_2023!$C$2:$C$2113, {"Total Electric Line Extension Requests received (applications)";"Total Electric Line Extension Applications for applicant install"}, SCE_2023!$B$2:$B$2113, $J55 &amp; "*", SCE_2023!$E$2:$E$2113, "Mixed Fuel Upgrades"))</f>
        <v>154</v>
      </c>
      <c r="L55" s="29" cm="1">
        <f t="array" ref="L55">SUM(SUMIFS(SCE_2023!$D$2:$D$2113, SCE_2023!$C$2:$C$2113, {"Total Electric Line Extension Requests received (applications)";"Total Electric Line Extension Applications for applicant install"}, SCE_2023!$B$2:$B$2113, $J55 &amp; "*", SCE_2023!$E$2:$E$2113, "All Electric Upgrades"))</f>
        <v>11</v>
      </c>
      <c r="M55" s="29">
        <f t="shared" si="27"/>
        <v>165</v>
      </c>
      <c r="N55" s="41">
        <f t="shared" si="25"/>
        <v>6.6666666666666666E-2</v>
      </c>
    </row>
    <row r="56" spans="2:14" x14ac:dyDescent="0.35">
      <c r="B56" s="27" t="s">
        <v>95</v>
      </c>
      <c r="C56" s="10" t="s">
        <v>53</v>
      </c>
      <c r="D56" s="29" cm="1">
        <f t="array" ref="D56">SUM(SUMIFS(SCE_2024!$D$2:$D$2113, SCE_2024!$C$2:$C$2113, {"Total Electric Line Extension Requests received (applications)";"Total Electric Line Extension Applications for applicant install"}, SCE_2024!$B$2:$B$2113, $C56 &amp; "*", SCE_2024!$E$2:$E$2113, "Mixed Fuel Upgrades"))</f>
        <v>0</v>
      </c>
      <c r="E56" s="29" cm="1">
        <f t="array" ref="E56">SUM(SUMIFS(SCE_2024!$D$2:$D$2113, SCE_2024!$C$2:$C$2113, {"Total Electric Line Extension Requests received (applications)";"Total Electric Line Extension Applications for applicant install"}, SCE_2024!$B$2:$B$2113, $C56 &amp; "*", SCE_2024!$E$2:$E$2113, "All Electric Upgrades"))</f>
        <v>0</v>
      </c>
      <c r="F56" s="29">
        <f t="shared" ref="F56" si="28">D56+E56</f>
        <v>0</v>
      </c>
      <c r="G56" s="41" t="e">
        <f t="shared" ref="G56" si="29">E56/F56</f>
        <v>#DIV/0!</v>
      </c>
      <c r="I56" s="27" t="s">
        <v>95</v>
      </c>
      <c r="J56" s="10" t="s">
        <v>53</v>
      </c>
      <c r="K56" s="29" cm="1">
        <f t="array" ref="K56">SUM(SUMIFS(SCE_2024!$D$2:$D$2113, SCE_2024!$C$2:$C$2113, {"Total Electric Line Extension Requests received (applications)";"Total Electric Line Extension Applications for applicant install"}, SCE_2024!$B$2:$B$2113, $C56 &amp; "*", SCE_2024!$E$2:$E$2113, "Mixed Fuel Upgrades"))</f>
        <v>0</v>
      </c>
      <c r="L56" s="29" cm="1">
        <f t="array" ref="L56">SUM(SUMIFS(SCE_2024!$D$2:$D$2113, SCE_2024!$C$2:$C$2113, {"Total Electric Line Extension Requests received (applications)";"Total Electric Line Extension Applications for applicant install"}, SCE_2024!$B$2:$B$2113, $C56 &amp; "*", SCE_2024!$E$2:$E$2113, "All Electric Upgrades"))</f>
        <v>0</v>
      </c>
      <c r="M56" s="29">
        <f t="shared" si="27"/>
        <v>0</v>
      </c>
      <c r="N56" s="41" t="e">
        <f t="shared" si="25"/>
        <v>#DIV/0!</v>
      </c>
    </row>
    <row r="57" spans="2:14" x14ac:dyDescent="0.35">
      <c r="B57" s="31" t="s">
        <v>96</v>
      </c>
      <c r="C57" s="38" t="s">
        <v>54</v>
      </c>
      <c r="D57" s="34" cm="1">
        <f t="array" ref="D57">SUM(SUMIFS(SCE_2024!$D$2:$D$2113,SCE_2024!$C$2:$C$2113,{"Total Electric Line Extension Requests received (applications)";"Total Electric Line Extension Applications for applicant install"},SCE_2024!$B$2:$B$2113,$C57&amp;"*",SCE_2024!$E$2:$E$2113,"Mixed Fuel New Construction"))</f>
        <v>7089</v>
      </c>
      <c r="E57" s="34" cm="1">
        <f t="array" ref="E57">SUM(SUMIFS(SCE_2024!$D$2:$D$2113, SCE_2024!$C$2:$C$2113, {"Total Electric Line Extension Requests received (applications)";"Total Electric Line Extension Applications for applicant install"}, SCE_2024!$B$2:$B$2113, $C57 &amp; "*", SCE_2024!$E$2:$E$2113, "All Electric New Construction"))</f>
        <v>2402</v>
      </c>
      <c r="F57" s="34">
        <f t="shared" si="26"/>
        <v>9491</v>
      </c>
      <c r="G57" s="40">
        <f t="shared" si="24"/>
        <v>0.25308186703192498</v>
      </c>
      <c r="I57" s="31" t="s">
        <v>96</v>
      </c>
      <c r="J57" s="38" t="s">
        <v>54</v>
      </c>
      <c r="K57" s="34" cm="1">
        <f t="array" ref="K57">SUM(SUMIFS(SCE_2023!$D$2:$D$2113, SCE_2023!$C$2:$C$2113, {"Total Electric Line Extension Requests received (applications)";"Total Electric Line Extension Applications for applicant install"}, SCE_2023!$B$2:$B$2113, $J57 &amp; "*", SCE_2023!$E$2:$E$2113, "Mixed Fuel New Construction"))</f>
        <v>8185</v>
      </c>
      <c r="L57" s="34" cm="1">
        <f t="array" ref="L57">SUM(SUMIFS(SCE_2023!$D$2:$D$2113, SCE_2023!$C$2:$C$2113, {"Total Electric Line Extension Requests received (applications)";"Total Electric Line Extension Applications for applicant install"}, SCE_2023!$B$2:$B$2113, $J57 &amp; "*", SCE_2023!$E$2:$E$2113, "All Electric New Construction"))</f>
        <v>390</v>
      </c>
      <c r="M57" s="34">
        <f t="shared" si="27"/>
        <v>8575</v>
      </c>
      <c r="N57" s="40">
        <f t="shared" si="25"/>
        <v>4.5481049562682216E-2</v>
      </c>
    </row>
    <row r="58" spans="2:14" x14ac:dyDescent="0.35">
      <c r="B58" s="31" t="s">
        <v>96</v>
      </c>
      <c r="C58" s="38" t="s">
        <v>33</v>
      </c>
      <c r="D58" s="34" cm="1">
        <f t="array" ref="D58">SUM(SUMIFS(SCE_2024!$D$2:$D$2113,SCE_2024!$C$2:$C$2113,{"Total Electric Line Extension Requests received (applications)";"Total Electric Line Extension Applications for applicant install"},SCE_2024!$B$2:$B$2113,$C58&amp;"*",SCE_2024!$E$2:$E$2113,"Mixed Fuel New Construction"))</f>
        <v>1859</v>
      </c>
      <c r="E58" s="34" cm="1">
        <f t="array" ref="E58">SUM(SUMIFS(SCE_2024!$D$2:$D$2113, SCE_2024!$C$2:$C$2113, {"Total Electric Line Extension Requests received (applications)";"Total Electric Line Extension Applications for applicant install"}, SCE_2024!$B$2:$B$2113, $C58 &amp; "*", SCE_2024!$E$2:$E$2113, "All Electric New Construction"))</f>
        <v>2188</v>
      </c>
      <c r="F58" s="34">
        <f t="shared" si="26"/>
        <v>4047</v>
      </c>
      <c r="G58" s="40">
        <f t="shared" si="24"/>
        <v>0.54064739313071408</v>
      </c>
      <c r="I58" s="31" t="s">
        <v>96</v>
      </c>
      <c r="J58" s="38" t="s">
        <v>33</v>
      </c>
      <c r="K58" s="34" cm="1">
        <f t="array" ref="K58">SUM(SUMIFS(SCE_2023!$D$2:$D$2113, SCE_2023!$C$2:$C$2113, {"Total Electric Line Extension Requests received (applications)";"Total Electric Line Extension Applications for applicant install"}, SCE_2023!$B$2:$B$2113, $J58 &amp; "*", SCE_2023!$E$2:$E$2113, "Mixed Fuel New Construction"))</f>
        <v>3994</v>
      </c>
      <c r="L58" s="34" cm="1">
        <f t="array" ref="L58">SUM(SUMIFS(SCE_2023!$D$2:$D$2113, SCE_2023!$C$2:$C$2113, {"Total Electric Line Extension Requests received (applications)";"Total Electric Line Extension Applications for applicant install"}, SCE_2023!$B$2:$B$2113, $J58 &amp; "*", SCE_2023!$E$2:$E$2113, "All Electric New Construction"))</f>
        <v>226</v>
      </c>
      <c r="M58" s="34">
        <f t="shared" si="27"/>
        <v>4220</v>
      </c>
      <c r="N58" s="40">
        <f t="shared" si="25"/>
        <v>5.3554502369668244E-2</v>
      </c>
    </row>
    <row r="59" spans="2:14" x14ac:dyDescent="0.35">
      <c r="B59" s="27" t="s">
        <v>96</v>
      </c>
      <c r="C59" s="10" t="s">
        <v>43</v>
      </c>
      <c r="D59" s="29" cm="1">
        <f t="array" ref="D59">SUM(SUMIFS(SCE_2024!$D$2:$D$2113,SCE_2024!$C$2:$C$2113,{"Total Electric Line Extension Requests received (applications)";"Total Electric Line Extension Applications for applicant install"},SCE_2024!$B$2:$B$2113,$C59&amp;"*",SCE_2024!$E$2:$E$2113,"Mixed Fuel New Construction"))</f>
        <v>55</v>
      </c>
      <c r="E59" s="29" cm="1">
        <f t="array" ref="E59">SUM(SUMIFS(SCE_2024!$D$2:$D$2113, SCE_2024!$C$2:$C$2113, {"Total Electric Line Extension Requests received (applications)";"Total Electric Line Extension Applications for applicant install"}, SCE_2024!$B$2:$B$2113, $C59 &amp; "*", SCE_2024!$E$2:$E$2113, "All Electric New Construction"))</f>
        <v>112</v>
      </c>
      <c r="F59" s="29">
        <f t="shared" si="26"/>
        <v>167</v>
      </c>
      <c r="G59" s="41">
        <f t="shared" si="24"/>
        <v>0.6706586826347305</v>
      </c>
      <c r="I59" s="27" t="s">
        <v>96</v>
      </c>
      <c r="J59" s="10" t="s">
        <v>43</v>
      </c>
      <c r="K59" s="29" cm="1">
        <f t="array" ref="K59">SUM(SUMIFS(SCE_2023!$D$2:$D$2113, SCE_2023!$C$2:$C$2113, {"Total Electric Line Extension Requests received (applications)";"Total Electric Line Extension Applications for applicant install"}, SCE_2023!$B$2:$B$2113, $J59 &amp; "*", SCE_2023!$E$2:$E$2113, "Mixed Fuel New Construction"))</f>
        <v>179</v>
      </c>
      <c r="L59" s="29" cm="1">
        <f t="array" ref="L59">SUM(SUMIFS(SCE_2023!$D$2:$D$2113, SCE_2023!$C$2:$C$2113, {"Total Electric Line Extension Requests received (applications)";"Total Electric Line Extension Applications for applicant install"}, SCE_2023!$B$2:$B$2113, $J59 &amp; "*", SCE_2023!$E$2:$E$2113, "All Electric New Construction"))</f>
        <v>18</v>
      </c>
      <c r="M59" s="29">
        <f t="shared" si="27"/>
        <v>197</v>
      </c>
      <c r="N59" s="41">
        <f t="shared" si="25"/>
        <v>9.1370558375634514E-2</v>
      </c>
    </row>
    <row r="60" spans="2:14" x14ac:dyDescent="0.35">
      <c r="B60" s="27" t="s">
        <v>96</v>
      </c>
      <c r="C60" s="10" t="s">
        <v>53</v>
      </c>
      <c r="D60" s="29" cm="1">
        <f t="array" ref="D60">SUM(SUMIFS(SCE_2024!$D$2:$D$2113, SCE_2024!$C$2:$C$2113, {"Total Electric Line Extension Requests received (applications)";"Total Electric Line Extension Applications for applicant install"}, SCE_2024!$B$2:$B$2113, $C60 &amp; "*", SCE_2024!$E$2:$E$2113, "Mixed Fuel Upgrades"))</f>
        <v>0</v>
      </c>
      <c r="E60" s="29" cm="1">
        <f t="array" ref="E60">SUM(SUMIFS(SCE_2024!$D$2:$D$2113, SCE_2024!$C$2:$C$2113, {"Total Electric Line Extension Requests received (applications)";"Total Electric Line Extension Applications for applicant install"}, SCE_2024!$B$2:$B$2113, $C60 &amp; "*", SCE_2024!$E$2:$E$2113, "All Electric Upgrades"))</f>
        <v>0</v>
      </c>
      <c r="F60" s="29">
        <f t="shared" si="26"/>
        <v>0</v>
      </c>
      <c r="G60" s="41" t="e">
        <f t="shared" si="24"/>
        <v>#DIV/0!</v>
      </c>
      <c r="I60" s="27" t="s">
        <v>96</v>
      </c>
      <c r="J60" s="10" t="s">
        <v>53</v>
      </c>
      <c r="K60" s="29" cm="1">
        <f t="array" ref="K60">SUM(SUMIFS(SCE_2024!$D$2:$D$2113, SCE_2024!$C$2:$C$2113, {"Total Electric Line Extension Requests received (applications)";"Total Electric Line Extension Applications for applicant install"}, SCE_2024!$B$2:$B$2113, $C60 &amp; "*", SCE_2024!$E$2:$E$2113, "Mixed Fuel Upgrades"))</f>
        <v>0</v>
      </c>
      <c r="L60" s="29" cm="1">
        <f t="array" ref="L60">SUM(SUMIFS(SCE_2024!$D$2:$D$2113, SCE_2024!$C$2:$C$2113, {"Total Electric Line Extension Requests received (applications)";"Total Electric Line Extension Applications for applicant install"}, SCE_2024!$B$2:$B$2113, $C60 &amp; "*", SCE_2024!$E$2:$E$2113, "All Electric Upgrades"))</f>
        <v>0</v>
      </c>
      <c r="M60" s="29">
        <f t="shared" si="27"/>
        <v>0</v>
      </c>
      <c r="N60" s="41" t="e">
        <f t="shared" si="25"/>
        <v>#DIV/0!</v>
      </c>
    </row>
  </sheetData>
  <mergeCells count="26">
    <mergeCell ref="E8:E9"/>
    <mergeCell ref="F8:F9"/>
    <mergeCell ref="I2:M2"/>
    <mergeCell ref="L4:L5"/>
    <mergeCell ref="M4:M5"/>
    <mergeCell ref="L6:L7"/>
    <mergeCell ref="M6:M7"/>
    <mergeCell ref="L8:L9"/>
    <mergeCell ref="M8:M9"/>
    <mergeCell ref="B2:F2"/>
    <mergeCell ref="E4:E5"/>
    <mergeCell ref="F4:F5"/>
    <mergeCell ref="E6:E7"/>
    <mergeCell ref="F6:F7"/>
    <mergeCell ref="I50:N50"/>
    <mergeCell ref="I51:N51"/>
    <mergeCell ref="I14:N14"/>
    <mergeCell ref="I15:N15"/>
    <mergeCell ref="B37:G37"/>
    <mergeCell ref="B38:G38"/>
    <mergeCell ref="B50:G50"/>
    <mergeCell ref="B51:G51"/>
    <mergeCell ref="I37:N37"/>
    <mergeCell ref="I38:N38"/>
    <mergeCell ref="B14:G14"/>
    <mergeCell ref="B15:G15"/>
  </mergeCells>
  <conditionalFormatting sqref="E6:E9">
    <cfRule type="expression" dxfId="7" priority="1">
      <formula>ABS(E1-F1)&gt;0.05</formula>
    </cfRule>
    <cfRule type="expression" dxfId="6" priority="2">
      <formula>ABS(E1-F1)&lt;=0.05</formula>
    </cfRule>
  </conditionalFormatting>
  <conditionalFormatting sqref="L7:L9">
    <cfRule type="expression" dxfId="5" priority="3">
      <formula>ABS(L2-M2)&lt;=0.05</formula>
    </cfRule>
    <cfRule type="expression" dxfId="4" priority="3">
      <formula>ABS(L2-M2)&gt;0.05</formula>
    </cfRule>
  </conditionalFormatting>
  <conditionalFormatting sqref="E4:E5">
    <cfRule type="expression" dxfId="3" priority="6">
      <formula>ABS(#REF!-#REF!)&gt;0.05</formula>
    </cfRule>
    <cfRule type="expression" dxfId="2" priority="7">
      <formula>ABS(#REF!-#REF!)&lt;=0.05</formula>
    </cfRule>
  </conditionalFormatting>
  <conditionalFormatting sqref="L4:L6">
    <cfRule type="expression" dxfId="1" priority="10">
      <formula>ABS(#REF!-#REF!)&lt;=0.05</formula>
    </cfRule>
    <cfRule type="expression" dxfId="0" priority="11">
      <formula>ABS(#REF!-#REF!)&gt;0.05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4753"/>
  <sheetViews>
    <sheetView zoomScale="76" zoomScaleNormal="76" workbookViewId="0">
      <pane ySplit="1" topLeftCell="A758" activePane="bottomLeft" state="frozen"/>
      <selection pane="bottomLeft" activeCell="D4357" sqref="D1:D4357"/>
    </sheetView>
  </sheetViews>
  <sheetFormatPr defaultRowHeight="14.5" x14ac:dyDescent="0.35"/>
  <cols>
    <col min="1" max="1" width="21.54296875" customWidth="1"/>
    <col min="2" max="2" width="33.26953125" customWidth="1"/>
    <col min="3" max="3" width="55" customWidth="1"/>
    <col min="4" max="4" width="23.1796875" customWidth="1"/>
    <col min="5" max="5" width="36.54296875" customWidth="1"/>
    <col min="6" max="6" width="14.269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6</v>
      </c>
      <c r="B2" t="s">
        <v>7</v>
      </c>
      <c r="C2" t="s">
        <v>8</v>
      </c>
      <c r="D2">
        <v>34947</v>
      </c>
      <c r="E2" t="s">
        <v>9</v>
      </c>
      <c r="F2" t="s">
        <v>10</v>
      </c>
    </row>
    <row r="3" spans="1:6" hidden="1" x14ac:dyDescent="0.35">
      <c r="A3" t="s">
        <v>11</v>
      </c>
      <c r="B3" t="s">
        <v>7</v>
      </c>
      <c r="C3" t="s">
        <v>8</v>
      </c>
      <c r="D3">
        <v>0</v>
      </c>
      <c r="E3" t="s">
        <v>9</v>
      </c>
      <c r="F3" t="s">
        <v>10</v>
      </c>
    </row>
    <row r="4" spans="1:6" hidden="1" x14ac:dyDescent="0.35">
      <c r="A4" t="s">
        <v>12</v>
      </c>
      <c r="B4" t="s">
        <v>7</v>
      </c>
      <c r="C4" t="s">
        <v>8</v>
      </c>
      <c r="D4">
        <v>0</v>
      </c>
      <c r="E4" t="s">
        <v>9</v>
      </c>
      <c r="F4" t="s">
        <v>10</v>
      </c>
    </row>
    <row r="5" spans="1:6" hidden="1" x14ac:dyDescent="0.35">
      <c r="A5" t="s">
        <v>13</v>
      </c>
      <c r="B5" t="s">
        <v>7</v>
      </c>
      <c r="C5" t="s">
        <v>8</v>
      </c>
      <c r="D5">
        <v>189016</v>
      </c>
      <c r="E5" t="s">
        <v>9</v>
      </c>
      <c r="F5" t="s">
        <v>10</v>
      </c>
    </row>
    <row r="6" spans="1:6" hidden="1" x14ac:dyDescent="0.35">
      <c r="A6" t="s">
        <v>14</v>
      </c>
      <c r="B6" t="s">
        <v>7</v>
      </c>
      <c r="C6" t="s">
        <v>8</v>
      </c>
      <c r="D6">
        <v>0</v>
      </c>
      <c r="E6" t="s">
        <v>9</v>
      </c>
      <c r="F6" t="s">
        <v>10</v>
      </c>
    </row>
    <row r="7" spans="1:6" hidden="1" x14ac:dyDescent="0.35">
      <c r="A7" t="s">
        <v>15</v>
      </c>
      <c r="B7" t="s">
        <v>7</v>
      </c>
      <c r="C7" t="s">
        <v>8</v>
      </c>
      <c r="D7">
        <v>539090</v>
      </c>
      <c r="E7" t="s">
        <v>9</v>
      </c>
      <c r="F7" t="s">
        <v>10</v>
      </c>
    </row>
    <row r="8" spans="1:6" hidden="1" x14ac:dyDescent="0.35">
      <c r="A8" t="s">
        <v>16</v>
      </c>
      <c r="B8" t="s">
        <v>7</v>
      </c>
      <c r="C8" t="s">
        <v>8</v>
      </c>
      <c r="D8">
        <v>0</v>
      </c>
      <c r="E8" t="s">
        <v>9</v>
      </c>
      <c r="F8" t="s">
        <v>10</v>
      </c>
    </row>
    <row r="9" spans="1:6" hidden="1" x14ac:dyDescent="0.35">
      <c r="A9" t="s">
        <v>17</v>
      </c>
      <c r="B9" t="s">
        <v>7</v>
      </c>
      <c r="C9" t="s">
        <v>8</v>
      </c>
      <c r="D9">
        <v>0</v>
      </c>
      <c r="E9" t="s">
        <v>9</v>
      </c>
      <c r="F9" t="s">
        <v>10</v>
      </c>
    </row>
    <row r="10" spans="1:6" hidden="1" x14ac:dyDescent="0.35">
      <c r="A10" t="s">
        <v>18</v>
      </c>
      <c r="B10" t="s">
        <v>7</v>
      </c>
      <c r="C10" t="s">
        <v>8</v>
      </c>
      <c r="D10">
        <v>0</v>
      </c>
      <c r="E10" t="s">
        <v>9</v>
      </c>
      <c r="F10" t="s">
        <v>10</v>
      </c>
    </row>
    <row r="11" spans="1:6" hidden="1" x14ac:dyDescent="0.35">
      <c r="A11" t="s">
        <v>19</v>
      </c>
      <c r="B11" t="s">
        <v>7</v>
      </c>
      <c r="C11" t="s">
        <v>8</v>
      </c>
      <c r="D11">
        <v>0</v>
      </c>
      <c r="E11" t="s">
        <v>9</v>
      </c>
      <c r="F11" t="s">
        <v>10</v>
      </c>
    </row>
    <row r="12" spans="1:6" hidden="1" x14ac:dyDescent="0.35">
      <c r="A12" t="s">
        <v>20</v>
      </c>
      <c r="B12" t="s">
        <v>7</v>
      </c>
      <c r="C12" t="s">
        <v>8</v>
      </c>
      <c r="D12">
        <v>0</v>
      </c>
      <c r="E12" t="s">
        <v>9</v>
      </c>
      <c r="F12" t="s">
        <v>10</v>
      </c>
    </row>
    <row r="13" spans="1:6" hidden="1" x14ac:dyDescent="0.35">
      <c r="A13" t="s">
        <v>21</v>
      </c>
      <c r="B13" t="s">
        <v>7</v>
      </c>
      <c r="C13" t="s">
        <v>8</v>
      </c>
      <c r="D13">
        <v>8782</v>
      </c>
      <c r="E13" t="s">
        <v>9</v>
      </c>
      <c r="F13" t="s">
        <v>10</v>
      </c>
    </row>
    <row r="14" spans="1:6" hidden="1" x14ac:dyDescent="0.35">
      <c r="A14" t="s">
        <v>6</v>
      </c>
      <c r="B14" t="s">
        <v>7</v>
      </c>
      <c r="C14" t="s">
        <v>22</v>
      </c>
      <c r="D14">
        <v>0</v>
      </c>
      <c r="E14" t="s">
        <v>9</v>
      </c>
      <c r="F14" t="s">
        <v>10</v>
      </c>
    </row>
    <row r="15" spans="1:6" hidden="1" x14ac:dyDescent="0.35">
      <c r="A15" t="s">
        <v>11</v>
      </c>
      <c r="B15" t="s">
        <v>7</v>
      </c>
      <c r="C15" t="s">
        <v>22</v>
      </c>
      <c r="D15">
        <v>0</v>
      </c>
      <c r="E15" t="s">
        <v>9</v>
      </c>
      <c r="F15" t="s">
        <v>10</v>
      </c>
    </row>
    <row r="16" spans="1:6" hidden="1" x14ac:dyDescent="0.35">
      <c r="A16" t="s">
        <v>12</v>
      </c>
      <c r="B16" t="s">
        <v>7</v>
      </c>
      <c r="C16" t="s">
        <v>22</v>
      </c>
      <c r="D16">
        <v>0</v>
      </c>
      <c r="E16" t="s">
        <v>9</v>
      </c>
      <c r="F16" t="s">
        <v>10</v>
      </c>
    </row>
    <row r="17" spans="1:6" hidden="1" x14ac:dyDescent="0.35">
      <c r="A17" t="s">
        <v>13</v>
      </c>
      <c r="B17" t="s">
        <v>7</v>
      </c>
      <c r="C17" t="s">
        <v>22</v>
      </c>
      <c r="D17">
        <v>0</v>
      </c>
      <c r="E17" t="s">
        <v>9</v>
      </c>
      <c r="F17" t="s">
        <v>10</v>
      </c>
    </row>
    <row r="18" spans="1:6" hidden="1" x14ac:dyDescent="0.35">
      <c r="A18" t="s">
        <v>14</v>
      </c>
      <c r="B18" t="s">
        <v>7</v>
      </c>
      <c r="C18" t="s">
        <v>22</v>
      </c>
      <c r="D18">
        <v>0</v>
      </c>
      <c r="E18" t="s">
        <v>9</v>
      </c>
      <c r="F18" t="s">
        <v>10</v>
      </c>
    </row>
    <row r="19" spans="1:6" hidden="1" x14ac:dyDescent="0.35">
      <c r="A19" t="s">
        <v>15</v>
      </c>
      <c r="B19" t="s">
        <v>7</v>
      </c>
      <c r="C19" t="s">
        <v>22</v>
      </c>
      <c r="D19">
        <v>0</v>
      </c>
      <c r="E19" t="s">
        <v>9</v>
      </c>
      <c r="F19" t="s">
        <v>10</v>
      </c>
    </row>
    <row r="20" spans="1:6" hidden="1" x14ac:dyDescent="0.35">
      <c r="A20" t="s">
        <v>16</v>
      </c>
      <c r="B20" t="s">
        <v>7</v>
      </c>
      <c r="C20" t="s">
        <v>22</v>
      </c>
      <c r="D20">
        <v>0</v>
      </c>
      <c r="E20" t="s">
        <v>9</v>
      </c>
      <c r="F20" t="s">
        <v>10</v>
      </c>
    </row>
    <row r="21" spans="1:6" hidden="1" x14ac:dyDescent="0.35">
      <c r="A21" t="s">
        <v>17</v>
      </c>
      <c r="B21" t="s">
        <v>7</v>
      </c>
      <c r="C21" t="s">
        <v>22</v>
      </c>
      <c r="D21">
        <v>0</v>
      </c>
      <c r="E21" t="s">
        <v>9</v>
      </c>
      <c r="F21" t="s">
        <v>10</v>
      </c>
    </row>
    <row r="22" spans="1:6" hidden="1" x14ac:dyDescent="0.35">
      <c r="A22" t="s">
        <v>18</v>
      </c>
      <c r="B22" t="s">
        <v>7</v>
      </c>
      <c r="C22" t="s">
        <v>22</v>
      </c>
      <c r="D22">
        <v>0</v>
      </c>
      <c r="E22" t="s">
        <v>9</v>
      </c>
      <c r="F22" t="s">
        <v>10</v>
      </c>
    </row>
    <row r="23" spans="1:6" hidden="1" x14ac:dyDescent="0.35">
      <c r="A23" t="s">
        <v>19</v>
      </c>
      <c r="B23" t="s">
        <v>7</v>
      </c>
      <c r="C23" t="s">
        <v>22</v>
      </c>
      <c r="D23">
        <v>0</v>
      </c>
      <c r="E23" t="s">
        <v>9</v>
      </c>
      <c r="F23" t="s">
        <v>10</v>
      </c>
    </row>
    <row r="24" spans="1:6" hidden="1" x14ac:dyDescent="0.35">
      <c r="A24" t="s">
        <v>20</v>
      </c>
      <c r="B24" t="s">
        <v>7</v>
      </c>
      <c r="C24" t="s">
        <v>22</v>
      </c>
      <c r="D24">
        <v>0</v>
      </c>
      <c r="E24" t="s">
        <v>9</v>
      </c>
      <c r="F24" t="s">
        <v>10</v>
      </c>
    </row>
    <row r="25" spans="1:6" hidden="1" x14ac:dyDescent="0.35">
      <c r="A25" t="s">
        <v>21</v>
      </c>
      <c r="B25" t="s">
        <v>7</v>
      </c>
      <c r="C25" t="s">
        <v>22</v>
      </c>
      <c r="D25">
        <v>0</v>
      </c>
      <c r="E25" t="s">
        <v>9</v>
      </c>
      <c r="F25" t="s">
        <v>10</v>
      </c>
    </row>
    <row r="26" spans="1:6" hidden="1" x14ac:dyDescent="0.35">
      <c r="A26" t="s">
        <v>6</v>
      </c>
      <c r="B26" t="s">
        <v>7</v>
      </c>
      <c r="C26" t="s">
        <v>23</v>
      </c>
      <c r="D26">
        <v>23785</v>
      </c>
      <c r="E26" t="s">
        <v>9</v>
      </c>
      <c r="F26" t="s">
        <v>10</v>
      </c>
    </row>
    <row r="27" spans="1:6" hidden="1" x14ac:dyDescent="0.35">
      <c r="A27" t="s">
        <v>11</v>
      </c>
      <c r="B27" t="s">
        <v>7</v>
      </c>
      <c r="C27" t="s">
        <v>23</v>
      </c>
      <c r="D27">
        <v>0</v>
      </c>
      <c r="E27" t="s">
        <v>9</v>
      </c>
      <c r="F27" t="s">
        <v>10</v>
      </c>
    </row>
    <row r="28" spans="1:6" hidden="1" x14ac:dyDescent="0.35">
      <c r="A28" t="s">
        <v>12</v>
      </c>
      <c r="B28" t="s">
        <v>7</v>
      </c>
      <c r="C28" t="s">
        <v>23</v>
      </c>
      <c r="D28">
        <v>0</v>
      </c>
      <c r="E28" t="s">
        <v>9</v>
      </c>
      <c r="F28" t="s">
        <v>10</v>
      </c>
    </row>
    <row r="29" spans="1:6" hidden="1" x14ac:dyDescent="0.35">
      <c r="A29" t="s">
        <v>13</v>
      </c>
      <c r="B29" t="s">
        <v>7</v>
      </c>
      <c r="C29" t="s">
        <v>23</v>
      </c>
      <c r="D29">
        <v>852</v>
      </c>
      <c r="E29" t="s">
        <v>9</v>
      </c>
      <c r="F29" t="s">
        <v>10</v>
      </c>
    </row>
    <row r="30" spans="1:6" hidden="1" x14ac:dyDescent="0.35">
      <c r="A30" t="s">
        <v>14</v>
      </c>
      <c r="B30" t="s">
        <v>7</v>
      </c>
      <c r="C30" t="s">
        <v>23</v>
      </c>
      <c r="D30">
        <v>0</v>
      </c>
      <c r="E30" t="s">
        <v>9</v>
      </c>
      <c r="F30" t="s">
        <v>10</v>
      </c>
    </row>
    <row r="31" spans="1:6" hidden="1" x14ac:dyDescent="0.35">
      <c r="A31" t="s">
        <v>15</v>
      </c>
      <c r="B31" t="s">
        <v>7</v>
      </c>
      <c r="C31" t="s">
        <v>23</v>
      </c>
      <c r="D31">
        <v>0</v>
      </c>
      <c r="E31" t="s">
        <v>9</v>
      </c>
      <c r="F31" t="s">
        <v>10</v>
      </c>
    </row>
    <row r="32" spans="1:6" hidden="1" x14ac:dyDescent="0.35">
      <c r="A32" t="s">
        <v>16</v>
      </c>
      <c r="B32" t="s">
        <v>7</v>
      </c>
      <c r="C32" t="s">
        <v>23</v>
      </c>
      <c r="D32">
        <v>0</v>
      </c>
      <c r="E32" t="s">
        <v>9</v>
      </c>
      <c r="F32" t="s">
        <v>10</v>
      </c>
    </row>
    <row r="33" spans="1:6" hidden="1" x14ac:dyDescent="0.35">
      <c r="A33" t="s">
        <v>17</v>
      </c>
      <c r="B33" t="s">
        <v>7</v>
      </c>
      <c r="C33" t="s">
        <v>23</v>
      </c>
      <c r="D33">
        <v>0</v>
      </c>
      <c r="E33" t="s">
        <v>9</v>
      </c>
      <c r="F33" t="s">
        <v>10</v>
      </c>
    </row>
    <row r="34" spans="1:6" hidden="1" x14ac:dyDescent="0.35">
      <c r="A34" t="s">
        <v>18</v>
      </c>
      <c r="B34" t="s">
        <v>7</v>
      </c>
      <c r="C34" t="s">
        <v>23</v>
      </c>
      <c r="D34">
        <v>0</v>
      </c>
      <c r="E34" t="s">
        <v>9</v>
      </c>
      <c r="F34" t="s">
        <v>10</v>
      </c>
    </row>
    <row r="35" spans="1:6" hidden="1" x14ac:dyDescent="0.35">
      <c r="A35" t="s">
        <v>19</v>
      </c>
      <c r="B35" t="s">
        <v>7</v>
      </c>
      <c r="C35" t="s">
        <v>23</v>
      </c>
      <c r="D35">
        <v>0</v>
      </c>
      <c r="E35" t="s">
        <v>9</v>
      </c>
      <c r="F35" t="s">
        <v>10</v>
      </c>
    </row>
    <row r="36" spans="1:6" hidden="1" x14ac:dyDescent="0.35">
      <c r="A36" t="s">
        <v>20</v>
      </c>
      <c r="B36" t="s">
        <v>7</v>
      </c>
      <c r="C36" t="s">
        <v>23</v>
      </c>
      <c r="D36">
        <v>0</v>
      </c>
      <c r="E36" t="s">
        <v>9</v>
      </c>
      <c r="F36" t="s">
        <v>10</v>
      </c>
    </row>
    <row r="37" spans="1:6" hidden="1" x14ac:dyDescent="0.35">
      <c r="A37" t="s">
        <v>21</v>
      </c>
      <c r="B37" t="s">
        <v>7</v>
      </c>
      <c r="C37" t="s">
        <v>23</v>
      </c>
      <c r="D37">
        <v>28073</v>
      </c>
      <c r="E37" t="s">
        <v>9</v>
      </c>
      <c r="F37" t="s">
        <v>10</v>
      </c>
    </row>
    <row r="38" spans="1:6" hidden="1" x14ac:dyDescent="0.35">
      <c r="A38" t="s">
        <v>6</v>
      </c>
      <c r="B38" t="s">
        <v>7</v>
      </c>
      <c r="C38" t="s">
        <v>24</v>
      </c>
      <c r="D38">
        <v>0</v>
      </c>
      <c r="E38" t="s">
        <v>9</v>
      </c>
      <c r="F38" t="s">
        <v>10</v>
      </c>
    </row>
    <row r="39" spans="1:6" hidden="1" x14ac:dyDescent="0.35">
      <c r="A39" t="s">
        <v>11</v>
      </c>
      <c r="B39" t="s">
        <v>7</v>
      </c>
      <c r="C39" t="s">
        <v>24</v>
      </c>
      <c r="D39">
        <v>0</v>
      </c>
      <c r="E39" t="s">
        <v>9</v>
      </c>
      <c r="F39" t="s">
        <v>10</v>
      </c>
    </row>
    <row r="40" spans="1:6" hidden="1" x14ac:dyDescent="0.35">
      <c r="A40" t="s">
        <v>12</v>
      </c>
      <c r="B40" t="s">
        <v>7</v>
      </c>
      <c r="C40" t="s">
        <v>24</v>
      </c>
      <c r="D40">
        <v>0</v>
      </c>
      <c r="E40" t="s">
        <v>9</v>
      </c>
      <c r="F40" t="s">
        <v>10</v>
      </c>
    </row>
    <row r="41" spans="1:6" hidden="1" x14ac:dyDescent="0.35">
      <c r="A41" t="s">
        <v>13</v>
      </c>
      <c r="B41" t="s">
        <v>7</v>
      </c>
      <c r="C41" t="s">
        <v>24</v>
      </c>
      <c r="D41">
        <v>0</v>
      </c>
      <c r="E41" t="s">
        <v>9</v>
      </c>
      <c r="F41" t="s">
        <v>10</v>
      </c>
    </row>
    <row r="42" spans="1:6" hidden="1" x14ac:dyDescent="0.35">
      <c r="A42" t="s">
        <v>14</v>
      </c>
      <c r="B42" t="s">
        <v>7</v>
      </c>
      <c r="C42" t="s">
        <v>24</v>
      </c>
      <c r="D42">
        <v>0</v>
      </c>
      <c r="E42" t="s">
        <v>9</v>
      </c>
      <c r="F42" t="s">
        <v>10</v>
      </c>
    </row>
    <row r="43" spans="1:6" hidden="1" x14ac:dyDescent="0.35">
      <c r="A43" t="s">
        <v>15</v>
      </c>
      <c r="B43" t="s">
        <v>7</v>
      </c>
      <c r="C43" t="s">
        <v>24</v>
      </c>
      <c r="D43">
        <v>0</v>
      </c>
      <c r="E43" t="s">
        <v>9</v>
      </c>
      <c r="F43" t="s">
        <v>10</v>
      </c>
    </row>
    <row r="44" spans="1:6" hidden="1" x14ac:dyDescent="0.35">
      <c r="A44" t="s">
        <v>16</v>
      </c>
      <c r="B44" t="s">
        <v>7</v>
      </c>
      <c r="C44" t="s">
        <v>24</v>
      </c>
      <c r="D44">
        <v>0</v>
      </c>
      <c r="E44" t="s">
        <v>9</v>
      </c>
      <c r="F44" t="s">
        <v>10</v>
      </c>
    </row>
    <row r="45" spans="1:6" hidden="1" x14ac:dyDescent="0.35">
      <c r="A45" t="s">
        <v>17</v>
      </c>
      <c r="B45" t="s">
        <v>7</v>
      </c>
      <c r="C45" t="s">
        <v>24</v>
      </c>
      <c r="D45">
        <v>0</v>
      </c>
      <c r="E45" t="s">
        <v>9</v>
      </c>
      <c r="F45" t="s">
        <v>10</v>
      </c>
    </row>
    <row r="46" spans="1:6" hidden="1" x14ac:dyDescent="0.35">
      <c r="A46" t="s">
        <v>18</v>
      </c>
      <c r="B46" t="s">
        <v>7</v>
      </c>
      <c r="C46" t="s">
        <v>24</v>
      </c>
      <c r="D46">
        <v>0</v>
      </c>
      <c r="E46" t="s">
        <v>9</v>
      </c>
      <c r="F46" t="s">
        <v>10</v>
      </c>
    </row>
    <row r="47" spans="1:6" hidden="1" x14ac:dyDescent="0.35">
      <c r="A47" t="s">
        <v>19</v>
      </c>
      <c r="B47" t="s">
        <v>7</v>
      </c>
      <c r="C47" t="s">
        <v>24</v>
      </c>
      <c r="D47">
        <v>0</v>
      </c>
      <c r="E47" t="s">
        <v>9</v>
      </c>
      <c r="F47" t="s">
        <v>10</v>
      </c>
    </row>
    <row r="48" spans="1:6" hidden="1" x14ac:dyDescent="0.35">
      <c r="A48" t="s">
        <v>20</v>
      </c>
      <c r="B48" t="s">
        <v>7</v>
      </c>
      <c r="C48" t="s">
        <v>24</v>
      </c>
      <c r="D48">
        <v>0</v>
      </c>
      <c r="E48" t="s">
        <v>9</v>
      </c>
      <c r="F48" t="s">
        <v>10</v>
      </c>
    </row>
    <row r="49" spans="1:6" hidden="1" x14ac:dyDescent="0.35">
      <c r="A49" t="s">
        <v>21</v>
      </c>
      <c r="B49" t="s">
        <v>7</v>
      </c>
      <c r="C49" t="s">
        <v>24</v>
      </c>
      <c r="D49">
        <v>0</v>
      </c>
      <c r="E49" t="s">
        <v>9</v>
      </c>
      <c r="F49" t="s">
        <v>10</v>
      </c>
    </row>
    <row r="50" spans="1:6" hidden="1" x14ac:dyDescent="0.35">
      <c r="A50" t="s">
        <v>6</v>
      </c>
      <c r="B50" t="s">
        <v>7</v>
      </c>
      <c r="C50" t="s">
        <v>25</v>
      </c>
      <c r="D50">
        <v>0</v>
      </c>
      <c r="E50" t="s">
        <v>9</v>
      </c>
      <c r="F50" t="s">
        <v>10</v>
      </c>
    </row>
    <row r="51" spans="1:6" hidden="1" x14ac:dyDescent="0.35">
      <c r="A51" t="s">
        <v>11</v>
      </c>
      <c r="B51" t="s">
        <v>7</v>
      </c>
      <c r="C51" t="s">
        <v>25</v>
      </c>
      <c r="D51">
        <v>0</v>
      </c>
      <c r="E51" t="s">
        <v>9</v>
      </c>
      <c r="F51" t="s">
        <v>10</v>
      </c>
    </row>
    <row r="52" spans="1:6" hidden="1" x14ac:dyDescent="0.35">
      <c r="A52" t="s">
        <v>12</v>
      </c>
      <c r="B52" t="s">
        <v>7</v>
      </c>
      <c r="C52" t="s">
        <v>25</v>
      </c>
      <c r="D52">
        <v>0</v>
      </c>
      <c r="E52" t="s">
        <v>9</v>
      </c>
      <c r="F52" t="s">
        <v>10</v>
      </c>
    </row>
    <row r="53" spans="1:6" hidden="1" x14ac:dyDescent="0.35">
      <c r="A53" t="s">
        <v>13</v>
      </c>
      <c r="B53" t="s">
        <v>7</v>
      </c>
      <c r="C53" t="s">
        <v>25</v>
      </c>
      <c r="D53">
        <v>0</v>
      </c>
      <c r="E53" t="s">
        <v>9</v>
      </c>
      <c r="F53" t="s">
        <v>10</v>
      </c>
    </row>
    <row r="54" spans="1:6" hidden="1" x14ac:dyDescent="0.35">
      <c r="A54" t="s">
        <v>14</v>
      </c>
      <c r="B54" t="s">
        <v>7</v>
      </c>
      <c r="C54" t="s">
        <v>25</v>
      </c>
      <c r="D54">
        <v>0</v>
      </c>
      <c r="E54" t="s">
        <v>9</v>
      </c>
      <c r="F54" t="s">
        <v>10</v>
      </c>
    </row>
    <row r="55" spans="1:6" hidden="1" x14ac:dyDescent="0.35">
      <c r="A55" t="s">
        <v>15</v>
      </c>
      <c r="B55" t="s">
        <v>7</v>
      </c>
      <c r="C55" t="s">
        <v>25</v>
      </c>
      <c r="D55">
        <v>0</v>
      </c>
      <c r="E55" t="s">
        <v>9</v>
      </c>
      <c r="F55" t="s">
        <v>10</v>
      </c>
    </row>
    <row r="56" spans="1:6" hidden="1" x14ac:dyDescent="0.35">
      <c r="A56" t="s">
        <v>16</v>
      </c>
      <c r="B56" t="s">
        <v>7</v>
      </c>
      <c r="C56" t="s">
        <v>25</v>
      </c>
      <c r="D56">
        <v>0</v>
      </c>
      <c r="E56" t="s">
        <v>9</v>
      </c>
      <c r="F56" t="s">
        <v>10</v>
      </c>
    </row>
    <row r="57" spans="1:6" hidden="1" x14ac:dyDescent="0.35">
      <c r="A57" t="s">
        <v>17</v>
      </c>
      <c r="B57" t="s">
        <v>7</v>
      </c>
      <c r="C57" t="s">
        <v>25</v>
      </c>
      <c r="D57">
        <v>0</v>
      </c>
      <c r="E57" t="s">
        <v>9</v>
      </c>
      <c r="F57" t="s">
        <v>10</v>
      </c>
    </row>
    <row r="58" spans="1:6" hidden="1" x14ac:dyDescent="0.35">
      <c r="A58" t="s">
        <v>18</v>
      </c>
      <c r="B58" t="s">
        <v>7</v>
      </c>
      <c r="C58" t="s">
        <v>25</v>
      </c>
      <c r="D58">
        <v>0</v>
      </c>
      <c r="E58" t="s">
        <v>9</v>
      </c>
      <c r="F58" t="s">
        <v>10</v>
      </c>
    </row>
    <row r="59" spans="1:6" hidden="1" x14ac:dyDescent="0.35">
      <c r="A59" t="s">
        <v>19</v>
      </c>
      <c r="B59" t="s">
        <v>7</v>
      </c>
      <c r="C59" t="s">
        <v>25</v>
      </c>
      <c r="D59">
        <v>0</v>
      </c>
      <c r="E59" t="s">
        <v>9</v>
      </c>
      <c r="F59" t="s">
        <v>10</v>
      </c>
    </row>
    <row r="60" spans="1:6" hidden="1" x14ac:dyDescent="0.35">
      <c r="A60" t="s">
        <v>20</v>
      </c>
      <c r="B60" t="s">
        <v>7</v>
      </c>
      <c r="C60" t="s">
        <v>25</v>
      </c>
      <c r="D60">
        <v>0</v>
      </c>
      <c r="E60" t="s">
        <v>9</v>
      </c>
      <c r="F60" t="s">
        <v>10</v>
      </c>
    </row>
    <row r="61" spans="1:6" hidden="1" x14ac:dyDescent="0.35">
      <c r="A61" t="s">
        <v>21</v>
      </c>
      <c r="B61" t="s">
        <v>7</v>
      </c>
      <c r="C61" t="s">
        <v>25</v>
      </c>
      <c r="D61">
        <v>0</v>
      </c>
      <c r="E61" t="s">
        <v>9</v>
      </c>
      <c r="F61" t="s">
        <v>10</v>
      </c>
    </row>
    <row r="62" spans="1:6" hidden="1" x14ac:dyDescent="0.35">
      <c r="A62" t="s">
        <v>6</v>
      </c>
      <c r="B62" t="s">
        <v>7</v>
      </c>
      <c r="C62" t="s">
        <v>26</v>
      </c>
      <c r="D62">
        <v>0</v>
      </c>
      <c r="E62" t="s">
        <v>9</v>
      </c>
      <c r="F62" t="s">
        <v>10</v>
      </c>
    </row>
    <row r="63" spans="1:6" hidden="1" x14ac:dyDescent="0.35">
      <c r="A63" t="s">
        <v>11</v>
      </c>
      <c r="B63" t="s">
        <v>7</v>
      </c>
      <c r="C63" t="s">
        <v>26</v>
      </c>
      <c r="E63" t="s">
        <v>9</v>
      </c>
      <c r="F63" t="s">
        <v>10</v>
      </c>
    </row>
    <row r="64" spans="1:6" hidden="1" x14ac:dyDescent="0.35">
      <c r="A64" t="s">
        <v>12</v>
      </c>
      <c r="B64" t="s">
        <v>7</v>
      </c>
      <c r="C64" t="s">
        <v>26</v>
      </c>
      <c r="E64" t="s">
        <v>9</v>
      </c>
      <c r="F64" t="s">
        <v>10</v>
      </c>
    </row>
    <row r="65" spans="1:6" hidden="1" x14ac:dyDescent="0.35">
      <c r="A65" t="s">
        <v>13</v>
      </c>
      <c r="B65" t="s">
        <v>7</v>
      </c>
      <c r="C65" t="s">
        <v>26</v>
      </c>
      <c r="E65" t="s">
        <v>9</v>
      </c>
      <c r="F65" t="s">
        <v>10</v>
      </c>
    </row>
    <row r="66" spans="1:6" hidden="1" x14ac:dyDescent="0.35">
      <c r="A66" t="s">
        <v>14</v>
      </c>
      <c r="B66" t="s">
        <v>7</v>
      </c>
      <c r="C66" t="s">
        <v>26</v>
      </c>
      <c r="E66" t="s">
        <v>9</v>
      </c>
      <c r="F66" t="s">
        <v>10</v>
      </c>
    </row>
    <row r="67" spans="1:6" hidden="1" x14ac:dyDescent="0.35">
      <c r="A67" t="s">
        <v>15</v>
      </c>
      <c r="B67" t="s">
        <v>7</v>
      </c>
      <c r="C67" t="s">
        <v>26</v>
      </c>
      <c r="E67" t="s">
        <v>9</v>
      </c>
      <c r="F67" t="s">
        <v>10</v>
      </c>
    </row>
    <row r="68" spans="1:6" hidden="1" x14ac:dyDescent="0.35">
      <c r="A68" t="s">
        <v>16</v>
      </c>
      <c r="B68" t="s">
        <v>7</v>
      </c>
      <c r="C68" t="s">
        <v>26</v>
      </c>
      <c r="E68" t="s">
        <v>9</v>
      </c>
      <c r="F68" t="s">
        <v>10</v>
      </c>
    </row>
    <row r="69" spans="1:6" hidden="1" x14ac:dyDescent="0.35">
      <c r="A69" t="s">
        <v>17</v>
      </c>
      <c r="B69" t="s">
        <v>7</v>
      </c>
      <c r="C69" t="s">
        <v>26</v>
      </c>
      <c r="E69" t="s">
        <v>9</v>
      </c>
      <c r="F69" t="s">
        <v>10</v>
      </c>
    </row>
    <row r="70" spans="1:6" hidden="1" x14ac:dyDescent="0.35">
      <c r="A70" t="s">
        <v>18</v>
      </c>
      <c r="B70" t="s">
        <v>7</v>
      </c>
      <c r="C70" t="s">
        <v>26</v>
      </c>
      <c r="E70" t="s">
        <v>9</v>
      </c>
      <c r="F70" t="s">
        <v>10</v>
      </c>
    </row>
    <row r="71" spans="1:6" hidden="1" x14ac:dyDescent="0.35">
      <c r="A71" t="s">
        <v>19</v>
      </c>
      <c r="B71" t="s">
        <v>7</v>
      </c>
      <c r="C71" t="s">
        <v>26</v>
      </c>
      <c r="E71" t="s">
        <v>9</v>
      </c>
      <c r="F71" t="s">
        <v>10</v>
      </c>
    </row>
    <row r="72" spans="1:6" hidden="1" x14ac:dyDescent="0.35">
      <c r="A72" t="s">
        <v>20</v>
      </c>
      <c r="B72" t="s">
        <v>7</v>
      </c>
      <c r="C72" t="s">
        <v>26</v>
      </c>
      <c r="E72" t="s">
        <v>9</v>
      </c>
      <c r="F72" t="s">
        <v>10</v>
      </c>
    </row>
    <row r="73" spans="1:6" hidden="1" x14ac:dyDescent="0.35">
      <c r="A73" t="s">
        <v>21</v>
      </c>
      <c r="B73" t="s">
        <v>7</v>
      </c>
      <c r="C73" t="s">
        <v>26</v>
      </c>
      <c r="E73" t="s">
        <v>9</v>
      </c>
      <c r="F73" t="s">
        <v>10</v>
      </c>
    </row>
    <row r="74" spans="1:6" hidden="1" x14ac:dyDescent="0.35">
      <c r="A74" t="s">
        <v>6</v>
      </c>
      <c r="B74" t="s">
        <v>7</v>
      </c>
      <c r="C74" t="s">
        <v>27</v>
      </c>
      <c r="D74">
        <v>8530</v>
      </c>
      <c r="E74" t="s">
        <v>9</v>
      </c>
      <c r="F74" t="s">
        <v>10</v>
      </c>
    </row>
    <row r="75" spans="1:6" hidden="1" x14ac:dyDescent="0.35">
      <c r="A75" t="s">
        <v>11</v>
      </c>
      <c r="B75" t="s">
        <v>7</v>
      </c>
      <c r="C75" t="s">
        <v>27</v>
      </c>
      <c r="D75">
        <v>0</v>
      </c>
      <c r="E75" t="s">
        <v>9</v>
      </c>
      <c r="F75" t="s">
        <v>10</v>
      </c>
    </row>
    <row r="76" spans="1:6" hidden="1" x14ac:dyDescent="0.35">
      <c r="A76" t="s">
        <v>12</v>
      </c>
      <c r="B76" t="s">
        <v>7</v>
      </c>
      <c r="C76" t="s">
        <v>27</v>
      </c>
      <c r="D76">
        <v>0</v>
      </c>
      <c r="E76" t="s">
        <v>9</v>
      </c>
      <c r="F76" t="s">
        <v>10</v>
      </c>
    </row>
    <row r="77" spans="1:6" hidden="1" x14ac:dyDescent="0.35">
      <c r="A77" t="s">
        <v>13</v>
      </c>
      <c r="B77" t="s">
        <v>7</v>
      </c>
      <c r="C77" t="s">
        <v>27</v>
      </c>
      <c r="D77">
        <v>36299</v>
      </c>
      <c r="E77" t="s">
        <v>9</v>
      </c>
      <c r="F77" t="s">
        <v>10</v>
      </c>
    </row>
    <row r="78" spans="1:6" hidden="1" x14ac:dyDescent="0.35">
      <c r="A78" t="s">
        <v>14</v>
      </c>
      <c r="B78" t="s">
        <v>7</v>
      </c>
      <c r="C78" t="s">
        <v>27</v>
      </c>
      <c r="D78">
        <v>0</v>
      </c>
      <c r="E78" t="s">
        <v>9</v>
      </c>
      <c r="F78" t="s">
        <v>10</v>
      </c>
    </row>
    <row r="79" spans="1:6" hidden="1" x14ac:dyDescent="0.35">
      <c r="A79" t="s">
        <v>15</v>
      </c>
      <c r="B79" t="s">
        <v>7</v>
      </c>
      <c r="C79" t="s">
        <v>27</v>
      </c>
      <c r="D79">
        <v>39143</v>
      </c>
      <c r="E79" t="s">
        <v>9</v>
      </c>
      <c r="F79" t="s">
        <v>10</v>
      </c>
    </row>
    <row r="80" spans="1:6" hidden="1" x14ac:dyDescent="0.35">
      <c r="A80" t="s">
        <v>16</v>
      </c>
      <c r="B80" t="s">
        <v>7</v>
      </c>
      <c r="C80" t="s">
        <v>27</v>
      </c>
      <c r="D80">
        <v>0</v>
      </c>
      <c r="E80" t="s">
        <v>9</v>
      </c>
      <c r="F80" t="s">
        <v>10</v>
      </c>
    </row>
    <row r="81" spans="1:6" hidden="1" x14ac:dyDescent="0.35">
      <c r="A81" t="s">
        <v>17</v>
      </c>
      <c r="B81" t="s">
        <v>7</v>
      </c>
      <c r="C81" t="s">
        <v>27</v>
      </c>
      <c r="D81">
        <v>0</v>
      </c>
      <c r="E81" t="s">
        <v>9</v>
      </c>
      <c r="F81" t="s">
        <v>10</v>
      </c>
    </row>
    <row r="82" spans="1:6" hidden="1" x14ac:dyDescent="0.35">
      <c r="A82" t="s">
        <v>18</v>
      </c>
      <c r="B82" t="s">
        <v>7</v>
      </c>
      <c r="C82" t="s">
        <v>27</v>
      </c>
      <c r="D82">
        <v>0</v>
      </c>
      <c r="E82" t="s">
        <v>9</v>
      </c>
      <c r="F82" t="s">
        <v>10</v>
      </c>
    </row>
    <row r="83" spans="1:6" hidden="1" x14ac:dyDescent="0.35">
      <c r="A83" t="s">
        <v>19</v>
      </c>
      <c r="B83" t="s">
        <v>7</v>
      </c>
      <c r="C83" t="s">
        <v>27</v>
      </c>
      <c r="D83">
        <v>595223</v>
      </c>
      <c r="E83" t="s">
        <v>9</v>
      </c>
      <c r="F83" t="s">
        <v>10</v>
      </c>
    </row>
    <row r="84" spans="1:6" hidden="1" x14ac:dyDescent="0.35">
      <c r="A84" t="s">
        <v>20</v>
      </c>
      <c r="B84" t="s">
        <v>7</v>
      </c>
      <c r="C84" t="s">
        <v>27</v>
      </c>
      <c r="D84">
        <v>112983</v>
      </c>
      <c r="E84" t="s">
        <v>9</v>
      </c>
      <c r="F84" t="s">
        <v>10</v>
      </c>
    </row>
    <row r="85" spans="1:6" hidden="1" x14ac:dyDescent="0.35">
      <c r="A85" t="s">
        <v>21</v>
      </c>
      <c r="B85" t="s">
        <v>7</v>
      </c>
      <c r="C85" t="s">
        <v>27</v>
      </c>
      <c r="D85">
        <v>6508</v>
      </c>
      <c r="E85" t="s">
        <v>9</v>
      </c>
      <c r="F85" t="s">
        <v>10</v>
      </c>
    </row>
    <row r="86" spans="1:6" hidden="1" x14ac:dyDescent="0.35">
      <c r="A86" t="s">
        <v>6</v>
      </c>
      <c r="B86" t="s">
        <v>7</v>
      </c>
      <c r="C86" t="s">
        <v>28</v>
      </c>
      <c r="D86">
        <v>93678</v>
      </c>
      <c r="E86" t="s">
        <v>9</v>
      </c>
      <c r="F86" t="s">
        <v>10</v>
      </c>
    </row>
    <row r="87" spans="1:6" hidden="1" x14ac:dyDescent="0.35">
      <c r="A87" t="s">
        <v>11</v>
      </c>
      <c r="B87" t="s">
        <v>7</v>
      </c>
      <c r="C87" t="s">
        <v>28</v>
      </c>
      <c r="D87">
        <v>0</v>
      </c>
      <c r="E87" t="s">
        <v>9</v>
      </c>
      <c r="F87" t="s">
        <v>10</v>
      </c>
    </row>
    <row r="88" spans="1:6" hidden="1" x14ac:dyDescent="0.35">
      <c r="A88" t="s">
        <v>12</v>
      </c>
      <c r="B88" t="s">
        <v>7</v>
      </c>
      <c r="C88" t="s">
        <v>28</v>
      </c>
      <c r="D88">
        <v>0</v>
      </c>
      <c r="E88" t="s">
        <v>9</v>
      </c>
      <c r="F88" t="s">
        <v>10</v>
      </c>
    </row>
    <row r="89" spans="1:6" hidden="1" x14ac:dyDescent="0.35">
      <c r="A89" t="s">
        <v>13</v>
      </c>
      <c r="B89" t="s">
        <v>7</v>
      </c>
      <c r="C89" t="s">
        <v>28</v>
      </c>
      <c r="D89">
        <v>378883</v>
      </c>
      <c r="E89" t="s">
        <v>9</v>
      </c>
      <c r="F89" t="s">
        <v>10</v>
      </c>
    </row>
    <row r="90" spans="1:6" hidden="1" x14ac:dyDescent="0.35">
      <c r="A90" t="s">
        <v>14</v>
      </c>
      <c r="B90" t="s">
        <v>7</v>
      </c>
      <c r="C90" t="s">
        <v>28</v>
      </c>
      <c r="D90">
        <v>0</v>
      </c>
      <c r="E90" t="s">
        <v>9</v>
      </c>
      <c r="F90" t="s">
        <v>10</v>
      </c>
    </row>
    <row r="91" spans="1:6" hidden="1" x14ac:dyDescent="0.35">
      <c r="A91" t="s">
        <v>15</v>
      </c>
      <c r="B91" t="s">
        <v>7</v>
      </c>
      <c r="C91" t="s">
        <v>28</v>
      </c>
      <c r="D91">
        <v>1078180</v>
      </c>
      <c r="E91" t="s">
        <v>9</v>
      </c>
      <c r="F91" t="s">
        <v>10</v>
      </c>
    </row>
    <row r="92" spans="1:6" hidden="1" x14ac:dyDescent="0.35">
      <c r="A92" t="s">
        <v>16</v>
      </c>
      <c r="B92" t="s">
        <v>7</v>
      </c>
      <c r="C92" t="s">
        <v>28</v>
      </c>
      <c r="D92">
        <v>0</v>
      </c>
      <c r="E92" t="s">
        <v>9</v>
      </c>
      <c r="F92" t="s">
        <v>10</v>
      </c>
    </row>
    <row r="93" spans="1:6" hidden="1" x14ac:dyDescent="0.35">
      <c r="A93" t="s">
        <v>17</v>
      </c>
      <c r="B93" t="s">
        <v>7</v>
      </c>
      <c r="C93" t="s">
        <v>28</v>
      </c>
      <c r="D93">
        <v>0</v>
      </c>
      <c r="E93" t="s">
        <v>9</v>
      </c>
      <c r="F93" t="s">
        <v>10</v>
      </c>
    </row>
    <row r="94" spans="1:6" hidden="1" x14ac:dyDescent="0.35">
      <c r="A94" t="s">
        <v>18</v>
      </c>
      <c r="B94" t="s">
        <v>7</v>
      </c>
      <c r="C94" t="s">
        <v>28</v>
      </c>
      <c r="D94">
        <v>0</v>
      </c>
      <c r="E94" t="s">
        <v>9</v>
      </c>
      <c r="F94" t="s">
        <v>10</v>
      </c>
    </row>
    <row r="95" spans="1:6" hidden="1" x14ac:dyDescent="0.35">
      <c r="A95" t="s">
        <v>19</v>
      </c>
      <c r="B95" t="s">
        <v>7</v>
      </c>
      <c r="C95" t="s">
        <v>28</v>
      </c>
      <c r="D95">
        <v>0</v>
      </c>
      <c r="E95" t="s">
        <v>9</v>
      </c>
      <c r="F95" t="s">
        <v>10</v>
      </c>
    </row>
    <row r="96" spans="1:6" hidden="1" x14ac:dyDescent="0.35">
      <c r="A96" t="s">
        <v>20</v>
      </c>
      <c r="B96" t="s">
        <v>7</v>
      </c>
      <c r="C96" t="s">
        <v>28</v>
      </c>
      <c r="D96">
        <v>0</v>
      </c>
      <c r="E96" t="s">
        <v>9</v>
      </c>
      <c r="F96" t="s">
        <v>10</v>
      </c>
    </row>
    <row r="97" spans="1:6" hidden="1" x14ac:dyDescent="0.35">
      <c r="A97" t="s">
        <v>21</v>
      </c>
      <c r="B97" t="s">
        <v>7</v>
      </c>
      <c r="C97" t="s">
        <v>28</v>
      </c>
      <c r="D97">
        <v>45638</v>
      </c>
      <c r="E97" t="s">
        <v>9</v>
      </c>
      <c r="F97" t="s">
        <v>10</v>
      </c>
    </row>
    <row r="98" spans="1:6" hidden="1" x14ac:dyDescent="0.35">
      <c r="A98" t="s">
        <v>6</v>
      </c>
      <c r="B98" t="s">
        <v>7</v>
      </c>
      <c r="C98" t="s">
        <v>29</v>
      </c>
      <c r="D98">
        <v>1</v>
      </c>
      <c r="E98" t="s">
        <v>9</v>
      </c>
      <c r="F98" t="s">
        <v>10</v>
      </c>
    </row>
    <row r="99" spans="1:6" hidden="1" x14ac:dyDescent="0.35">
      <c r="A99" t="s">
        <v>11</v>
      </c>
      <c r="B99" t="s">
        <v>7</v>
      </c>
      <c r="C99" t="s">
        <v>29</v>
      </c>
      <c r="E99" t="s">
        <v>9</v>
      </c>
      <c r="F99" t="s">
        <v>10</v>
      </c>
    </row>
    <row r="100" spans="1:6" hidden="1" x14ac:dyDescent="0.35">
      <c r="A100" t="s">
        <v>12</v>
      </c>
      <c r="B100" t="s">
        <v>7</v>
      </c>
      <c r="C100" t="s">
        <v>29</v>
      </c>
      <c r="D100">
        <v>2</v>
      </c>
      <c r="E100" t="s">
        <v>9</v>
      </c>
      <c r="F100" t="s">
        <v>10</v>
      </c>
    </row>
    <row r="101" spans="1:6" hidden="1" x14ac:dyDescent="0.35">
      <c r="A101" t="s">
        <v>13</v>
      </c>
      <c r="B101" t="s">
        <v>7</v>
      </c>
      <c r="C101" t="s">
        <v>29</v>
      </c>
      <c r="D101">
        <v>1</v>
      </c>
      <c r="E101" t="s">
        <v>9</v>
      </c>
      <c r="F101" t="s">
        <v>10</v>
      </c>
    </row>
    <row r="102" spans="1:6" hidden="1" x14ac:dyDescent="0.35">
      <c r="A102" t="s">
        <v>14</v>
      </c>
      <c r="B102" t="s">
        <v>7</v>
      </c>
      <c r="C102" t="s">
        <v>29</v>
      </c>
      <c r="D102">
        <v>1</v>
      </c>
      <c r="E102" t="s">
        <v>9</v>
      </c>
      <c r="F102" t="s">
        <v>10</v>
      </c>
    </row>
    <row r="103" spans="1:6" hidden="1" x14ac:dyDescent="0.35">
      <c r="A103" t="s">
        <v>15</v>
      </c>
      <c r="B103" t="s">
        <v>7</v>
      </c>
      <c r="C103" t="s">
        <v>29</v>
      </c>
      <c r="D103">
        <v>1</v>
      </c>
      <c r="E103" t="s">
        <v>9</v>
      </c>
      <c r="F103" t="s">
        <v>10</v>
      </c>
    </row>
    <row r="104" spans="1:6" hidden="1" x14ac:dyDescent="0.35">
      <c r="A104" t="s">
        <v>16</v>
      </c>
      <c r="B104" t="s">
        <v>7</v>
      </c>
      <c r="C104" t="s">
        <v>29</v>
      </c>
      <c r="D104">
        <v>1</v>
      </c>
      <c r="E104" t="s">
        <v>9</v>
      </c>
      <c r="F104" t="s">
        <v>10</v>
      </c>
    </row>
    <row r="105" spans="1:6" hidden="1" x14ac:dyDescent="0.35">
      <c r="A105" t="s">
        <v>17</v>
      </c>
      <c r="B105" t="s">
        <v>7</v>
      </c>
      <c r="C105" t="s">
        <v>29</v>
      </c>
      <c r="D105">
        <v>1</v>
      </c>
      <c r="E105" t="s">
        <v>9</v>
      </c>
      <c r="F105" t="s">
        <v>10</v>
      </c>
    </row>
    <row r="106" spans="1:6" hidden="1" x14ac:dyDescent="0.35">
      <c r="A106" t="s">
        <v>18</v>
      </c>
      <c r="B106" t="s">
        <v>7</v>
      </c>
      <c r="C106" t="s">
        <v>29</v>
      </c>
      <c r="E106" t="s">
        <v>9</v>
      </c>
      <c r="F106" t="s">
        <v>10</v>
      </c>
    </row>
    <row r="107" spans="1:6" hidden="1" x14ac:dyDescent="0.35">
      <c r="A107" t="s">
        <v>19</v>
      </c>
      <c r="B107" t="s">
        <v>7</v>
      </c>
      <c r="C107" t="s">
        <v>29</v>
      </c>
      <c r="D107">
        <v>1</v>
      </c>
      <c r="E107" t="s">
        <v>9</v>
      </c>
      <c r="F107" t="s">
        <v>10</v>
      </c>
    </row>
    <row r="108" spans="1:6" hidden="1" x14ac:dyDescent="0.35">
      <c r="A108" t="s">
        <v>20</v>
      </c>
      <c r="B108" t="s">
        <v>7</v>
      </c>
      <c r="C108" t="s">
        <v>29</v>
      </c>
      <c r="D108">
        <v>3</v>
      </c>
      <c r="E108" t="s">
        <v>9</v>
      </c>
      <c r="F108" t="s">
        <v>10</v>
      </c>
    </row>
    <row r="109" spans="1:6" hidden="1" x14ac:dyDescent="0.35">
      <c r="A109" t="s">
        <v>21</v>
      </c>
      <c r="B109" t="s">
        <v>7</v>
      </c>
      <c r="C109" t="s">
        <v>29</v>
      </c>
      <c r="D109">
        <v>3</v>
      </c>
      <c r="E109" t="s">
        <v>9</v>
      </c>
      <c r="F109" t="s">
        <v>10</v>
      </c>
    </row>
    <row r="110" spans="1:6" hidden="1" x14ac:dyDescent="0.35">
      <c r="A110" t="s">
        <v>6</v>
      </c>
      <c r="B110" t="s">
        <v>7</v>
      </c>
      <c r="C110" t="s">
        <v>30</v>
      </c>
      <c r="E110" t="s">
        <v>9</v>
      </c>
      <c r="F110" t="s">
        <v>10</v>
      </c>
    </row>
    <row r="111" spans="1:6" hidden="1" x14ac:dyDescent="0.35">
      <c r="A111" t="s">
        <v>11</v>
      </c>
      <c r="B111" t="s">
        <v>7</v>
      </c>
      <c r="C111" t="s">
        <v>30</v>
      </c>
      <c r="E111" t="s">
        <v>9</v>
      </c>
      <c r="F111" t="s">
        <v>10</v>
      </c>
    </row>
    <row r="112" spans="1:6" hidden="1" x14ac:dyDescent="0.35">
      <c r="A112" t="s">
        <v>12</v>
      </c>
      <c r="B112" t="s">
        <v>7</v>
      </c>
      <c r="C112" t="s">
        <v>30</v>
      </c>
      <c r="E112" t="s">
        <v>9</v>
      </c>
      <c r="F112" t="s">
        <v>10</v>
      </c>
    </row>
    <row r="113" spans="1:6" hidden="1" x14ac:dyDescent="0.35">
      <c r="A113" t="s">
        <v>13</v>
      </c>
      <c r="B113" t="s">
        <v>7</v>
      </c>
      <c r="C113" t="s">
        <v>30</v>
      </c>
      <c r="E113" t="s">
        <v>9</v>
      </c>
      <c r="F113" t="s">
        <v>10</v>
      </c>
    </row>
    <row r="114" spans="1:6" hidden="1" x14ac:dyDescent="0.35">
      <c r="A114" t="s">
        <v>14</v>
      </c>
      <c r="B114" t="s">
        <v>7</v>
      </c>
      <c r="C114" t="s">
        <v>30</v>
      </c>
      <c r="E114" t="s">
        <v>9</v>
      </c>
      <c r="F114" t="s">
        <v>10</v>
      </c>
    </row>
    <row r="115" spans="1:6" hidden="1" x14ac:dyDescent="0.35">
      <c r="A115" t="s">
        <v>15</v>
      </c>
      <c r="B115" t="s">
        <v>7</v>
      </c>
      <c r="C115" t="s">
        <v>30</v>
      </c>
      <c r="E115" t="s">
        <v>9</v>
      </c>
      <c r="F115" t="s">
        <v>10</v>
      </c>
    </row>
    <row r="116" spans="1:6" hidden="1" x14ac:dyDescent="0.35">
      <c r="A116" t="s">
        <v>16</v>
      </c>
      <c r="B116" t="s">
        <v>7</v>
      </c>
      <c r="C116" t="s">
        <v>30</v>
      </c>
      <c r="D116">
        <v>1</v>
      </c>
      <c r="E116" t="s">
        <v>9</v>
      </c>
      <c r="F116" t="s">
        <v>10</v>
      </c>
    </row>
    <row r="117" spans="1:6" hidden="1" x14ac:dyDescent="0.35">
      <c r="A117" t="s">
        <v>17</v>
      </c>
      <c r="B117" t="s">
        <v>7</v>
      </c>
      <c r="C117" t="s">
        <v>30</v>
      </c>
      <c r="E117" t="s">
        <v>9</v>
      </c>
      <c r="F117" t="s">
        <v>10</v>
      </c>
    </row>
    <row r="118" spans="1:6" hidden="1" x14ac:dyDescent="0.35">
      <c r="A118" t="s">
        <v>18</v>
      </c>
      <c r="B118" t="s">
        <v>7</v>
      </c>
      <c r="C118" t="s">
        <v>30</v>
      </c>
      <c r="E118" t="s">
        <v>9</v>
      </c>
      <c r="F118" t="s">
        <v>10</v>
      </c>
    </row>
    <row r="119" spans="1:6" hidden="1" x14ac:dyDescent="0.35">
      <c r="A119" t="s">
        <v>19</v>
      </c>
      <c r="B119" t="s">
        <v>7</v>
      </c>
      <c r="C119" t="s">
        <v>30</v>
      </c>
      <c r="E119" t="s">
        <v>9</v>
      </c>
      <c r="F119" t="s">
        <v>10</v>
      </c>
    </row>
    <row r="120" spans="1:6" hidden="1" x14ac:dyDescent="0.35">
      <c r="A120" t="s">
        <v>20</v>
      </c>
      <c r="B120" t="s">
        <v>7</v>
      </c>
      <c r="C120" t="s">
        <v>30</v>
      </c>
      <c r="D120">
        <v>2</v>
      </c>
      <c r="E120" t="s">
        <v>9</v>
      </c>
      <c r="F120" t="s">
        <v>10</v>
      </c>
    </row>
    <row r="121" spans="1:6" hidden="1" x14ac:dyDescent="0.35">
      <c r="A121" t="s">
        <v>21</v>
      </c>
      <c r="B121" t="s">
        <v>7</v>
      </c>
      <c r="C121" t="s">
        <v>30</v>
      </c>
      <c r="E121" t="s">
        <v>9</v>
      </c>
      <c r="F121" t="s">
        <v>10</v>
      </c>
    </row>
    <row r="122" spans="1:6" hidden="1" x14ac:dyDescent="0.35">
      <c r="A122" t="s">
        <v>6</v>
      </c>
      <c r="B122" t="s">
        <v>7</v>
      </c>
      <c r="C122" t="s">
        <v>31</v>
      </c>
      <c r="E122" t="s">
        <v>9</v>
      </c>
      <c r="F122" t="s">
        <v>10</v>
      </c>
    </row>
    <row r="123" spans="1:6" hidden="1" x14ac:dyDescent="0.35">
      <c r="A123" t="s">
        <v>11</v>
      </c>
      <c r="B123" t="s">
        <v>7</v>
      </c>
      <c r="C123" t="s">
        <v>31</v>
      </c>
      <c r="E123" t="s">
        <v>9</v>
      </c>
      <c r="F123" t="s">
        <v>10</v>
      </c>
    </row>
    <row r="124" spans="1:6" hidden="1" x14ac:dyDescent="0.35">
      <c r="A124" t="s">
        <v>12</v>
      </c>
      <c r="B124" t="s">
        <v>7</v>
      </c>
      <c r="C124" t="s">
        <v>31</v>
      </c>
      <c r="E124" t="s">
        <v>9</v>
      </c>
      <c r="F124" t="s">
        <v>10</v>
      </c>
    </row>
    <row r="125" spans="1:6" hidden="1" x14ac:dyDescent="0.35">
      <c r="A125" t="s">
        <v>13</v>
      </c>
      <c r="B125" t="s">
        <v>7</v>
      </c>
      <c r="C125" t="s">
        <v>31</v>
      </c>
      <c r="E125" t="s">
        <v>9</v>
      </c>
      <c r="F125" t="s">
        <v>10</v>
      </c>
    </row>
    <row r="126" spans="1:6" hidden="1" x14ac:dyDescent="0.35">
      <c r="A126" t="s">
        <v>14</v>
      </c>
      <c r="B126" t="s">
        <v>7</v>
      </c>
      <c r="C126" t="s">
        <v>31</v>
      </c>
      <c r="E126" t="s">
        <v>9</v>
      </c>
      <c r="F126" t="s">
        <v>10</v>
      </c>
    </row>
    <row r="127" spans="1:6" hidden="1" x14ac:dyDescent="0.35">
      <c r="A127" t="s">
        <v>15</v>
      </c>
      <c r="B127" t="s">
        <v>7</v>
      </c>
      <c r="C127" t="s">
        <v>31</v>
      </c>
      <c r="E127" t="s">
        <v>9</v>
      </c>
      <c r="F127" t="s">
        <v>10</v>
      </c>
    </row>
    <row r="128" spans="1:6" hidden="1" x14ac:dyDescent="0.35">
      <c r="A128" t="s">
        <v>16</v>
      </c>
      <c r="B128" t="s">
        <v>7</v>
      </c>
      <c r="C128" t="s">
        <v>31</v>
      </c>
      <c r="E128" t="s">
        <v>9</v>
      </c>
      <c r="F128" t="s">
        <v>10</v>
      </c>
    </row>
    <row r="129" spans="1:6" hidden="1" x14ac:dyDescent="0.35">
      <c r="A129" t="s">
        <v>17</v>
      </c>
      <c r="B129" t="s">
        <v>7</v>
      </c>
      <c r="C129" t="s">
        <v>31</v>
      </c>
      <c r="D129">
        <v>1</v>
      </c>
      <c r="E129" t="s">
        <v>9</v>
      </c>
      <c r="F129" t="s">
        <v>10</v>
      </c>
    </row>
    <row r="130" spans="1:6" hidden="1" x14ac:dyDescent="0.35">
      <c r="A130" t="s">
        <v>18</v>
      </c>
      <c r="B130" t="s">
        <v>7</v>
      </c>
      <c r="C130" t="s">
        <v>31</v>
      </c>
      <c r="E130" t="s">
        <v>9</v>
      </c>
      <c r="F130" t="s">
        <v>10</v>
      </c>
    </row>
    <row r="131" spans="1:6" hidden="1" x14ac:dyDescent="0.35">
      <c r="A131" t="s">
        <v>19</v>
      </c>
      <c r="B131" t="s">
        <v>7</v>
      </c>
      <c r="C131" t="s">
        <v>31</v>
      </c>
      <c r="E131" t="s">
        <v>9</v>
      </c>
      <c r="F131" t="s">
        <v>10</v>
      </c>
    </row>
    <row r="132" spans="1:6" hidden="1" x14ac:dyDescent="0.35">
      <c r="A132" t="s">
        <v>20</v>
      </c>
      <c r="B132" t="s">
        <v>7</v>
      </c>
      <c r="C132" t="s">
        <v>31</v>
      </c>
      <c r="D132">
        <v>3</v>
      </c>
      <c r="E132" t="s">
        <v>9</v>
      </c>
      <c r="F132" t="s">
        <v>10</v>
      </c>
    </row>
    <row r="133" spans="1:6" hidden="1" x14ac:dyDescent="0.35">
      <c r="A133" t="s">
        <v>21</v>
      </c>
      <c r="B133" t="s">
        <v>7</v>
      </c>
      <c r="C133" t="s">
        <v>31</v>
      </c>
      <c r="D133">
        <v>2</v>
      </c>
      <c r="E133" t="s">
        <v>9</v>
      </c>
      <c r="F133" t="s">
        <v>10</v>
      </c>
    </row>
    <row r="134" spans="1:6" hidden="1" x14ac:dyDescent="0.35">
      <c r="A134" t="s">
        <v>6</v>
      </c>
      <c r="B134" t="s">
        <v>32</v>
      </c>
      <c r="C134" t="s">
        <v>8</v>
      </c>
      <c r="D134">
        <v>2352</v>
      </c>
      <c r="E134" t="s">
        <v>9</v>
      </c>
      <c r="F134" t="s">
        <v>10</v>
      </c>
    </row>
    <row r="135" spans="1:6" hidden="1" x14ac:dyDescent="0.35">
      <c r="A135" t="s">
        <v>11</v>
      </c>
      <c r="B135" t="s">
        <v>32</v>
      </c>
      <c r="C135" t="s">
        <v>8</v>
      </c>
      <c r="D135">
        <v>0</v>
      </c>
      <c r="E135" t="s">
        <v>9</v>
      </c>
      <c r="F135" t="s">
        <v>10</v>
      </c>
    </row>
    <row r="136" spans="1:6" hidden="1" x14ac:dyDescent="0.35">
      <c r="A136" t="s">
        <v>12</v>
      </c>
      <c r="B136" t="s">
        <v>32</v>
      </c>
      <c r="C136" t="s">
        <v>8</v>
      </c>
      <c r="D136">
        <v>0</v>
      </c>
      <c r="E136" t="s">
        <v>9</v>
      </c>
      <c r="F136" t="s">
        <v>10</v>
      </c>
    </row>
    <row r="137" spans="1:6" hidden="1" x14ac:dyDescent="0.35">
      <c r="A137" t="s">
        <v>13</v>
      </c>
      <c r="B137" t="s">
        <v>32</v>
      </c>
      <c r="C137" t="s">
        <v>8</v>
      </c>
      <c r="D137">
        <v>0</v>
      </c>
      <c r="E137" t="s">
        <v>9</v>
      </c>
      <c r="F137" t="s">
        <v>10</v>
      </c>
    </row>
    <row r="138" spans="1:6" hidden="1" x14ac:dyDescent="0.35">
      <c r="A138" t="s">
        <v>14</v>
      </c>
      <c r="B138" t="s">
        <v>32</v>
      </c>
      <c r="C138" t="s">
        <v>8</v>
      </c>
      <c r="D138">
        <v>12253</v>
      </c>
      <c r="E138" t="s">
        <v>9</v>
      </c>
      <c r="F138" t="s">
        <v>10</v>
      </c>
    </row>
    <row r="139" spans="1:6" hidden="1" x14ac:dyDescent="0.35">
      <c r="A139" t="s">
        <v>15</v>
      </c>
      <c r="B139" t="s">
        <v>32</v>
      </c>
      <c r="C139" t="s">
        <v>8</v>
      </c>
      <c r="D139">
        <v>47541</v>
      </c>
      <c r="E139" t="s">
        <v>9</v>
      </c>
      <c r="F139" t="s">
        <v>10</v>
      </c>
    </row>
    <row r="140" spans="1:6" hidden="1" x14ac:dyDescent="0.35">
      <c r="A140" t="s">
        <v>16</v>
      </c>
      <c r="B140" t="s">
        <v>32</v>
      </c>
      <c r="C140" t="s">
        <v>8</v>
      </c>
      <c r="D140">
        <v>0</v>
      </c>
      <c r="E140" t="s">
        <v>9</v>
      </c>
      <c r="F140" t="s">
        <v>10</v>
      </c>
    </row>
    <row r="141" spans="1:6" hidden="1" x14ac:dyDescent="0.35">
      <c r="A141" t="s">
        <v>17</v>
      </c>
      <c r="B141" t="s">
        <v>32</v>
      </c>
      <c r="C141" t="s">
        <v>8</v>
      </c>
      <c r="D141">
        <v>0</v>
      </c>
      <c r="E141" t="s">
        <v>9</v>
      </c>
      <c r="F141" t="s">
        <v>10</v>
      </c>
    </row>
    <row r="142" spans="1:6" hidden="1" x14ac:dyDescent="0.35">
      <c r="A142" t="s">
        <v>18</v>
      </c>
      <c r="B142" t="s">
        <v>32</v>
      </c>
      <c r="C142" t="s">
        <v>8</v>
      </c>
      <c r="D142">
        <v>0</v>
      </c>
      <c r="E142" t="s">
        <v>9</v>
      </c>
      <c r="F142" t="s">
        <v>10</v>
      </c>
    </row>
    <row r="143" spans="1:6" hidden="1" x14ac:dyDescent="0.35">
      <c r="A143" t="s">
        <v>19</v>
      </c>
      <c r="B143" t="s">
        <v>32</v>
      </c>
      <c r="C143" t="s">
        <v>8</v>
      </c>
      <c r="D143">
        <v>0</v>
      </c>
      <c r="E143" t="s">
        <v>9</v>
      </c>
      <c r="F143" t="s">
        <v>10</v>
      </c>
    </row>
    <row r="144" spans="1:6" hidden="1" x14ac:dyDescent="0.35">
      <c r="A144" t="s">
        <v>20</v>
      </c>
      <c r="B144" t="s">
        <v>32</v>
      </c>
      <c r="C144" t="s">
        <v>8</v>
      </c>
      <c r="D144">
        <v>0</v>
      </c>
      <c r="E144" t="s">
        <v>9</v>
      </c>
      <c r="F144" t="s">
        <v>10</v>
      </c>
    </row>
    <row r="145" spans="1:6" hidden="1" x14ac:dyDescent="0.35">
      <c r="A145" t="s">
        <v>21</v>
      </c>
      <c r="B145" t="s">
        <v>32</v>
      </c>
      <c r="C145" t="s">
        <v>8</v>
      </c>
      <c r="D145">
        <v>0</v>
      </c>
      <c r="E145" t="s">
        <v>9</v>
      </c>
      <c r="F145" t="s">
        <v>10</v>
      </c>
    </row>
    <row r="146" spans="1:6" hidden="1" x14ac:dyDescent="0.35">
      <c r="A146" t="s">
        <v>6</v>
      </c>
      <c r="B146" t="s">
        <v>32</v>
      </c>
      <c r="C146" t="s">
        <v>22</v>
      </c>
      <c r="D146">
        <v>0</v>
      </c>
      <c r="E146" t="s">
        <v>9</v>
      </c>
      <c r="F146" t="s">
        <v>10</v>
      </c>
    </row>
    <row r="147" spans="1:6" hidden="1" x14ac:dyDescent="0.35">
      <c r="A147" t="s">
        <v>11</v>
      </c>
      <c r="B147" t="s">
        <v>32</v>
      </c>
      <c r="C147" t="s">
        <v>22</v>
      </c>
      <c r="D147">
        <v>0</v>
      </c>
      <c r="E147" t="s">
        <v>9</v>
      </c>
      <c r="F147" t="s">
        <v>10</v>
      </c>
    </row>
    <row r="148" spans="1:6" hidden="1" x14ac:dyDescent="0.35">
      <c r="A148" t="s">
        <v>12</v>
      </c>
      <c r="B148" t="s">
        <v>32</v>
      </c>
      <c r="C148" t="s">
        <v>22</v>
      </c>
      <c r="D148">
        <v>0</v>
      </c>
      <c r="E148" t="s">
        <v>9</v>
      </c>
      <c r="F148" t="s">
        <v>10</v>
      </c>
    </row>
    <row r="149" spans="1:6" hidden="1" x14ac:dyDescent="0.35">
      <c r="A149" t="s">
        <v>13</v>
      </c>
      <c r="B149" t="s">
        <v>32</v>
      </c>
      <c r="C149" t="s">
        <v>22</v>
      </c>
      <c r="D149">
        <v>0</v>
      </c>
      <c r="E149" t="s">
        <v>9</v>
      </c>
      <c r="F149" t="s">
        <v>10</v>
      </c>
    </row>
    <row r="150" spans="1:6" hidden="1" x14ac:dyDescent="0.35">
      <c r="A150" t="s">
        <v>14</v>
      </c>
      <c r="B150" t="s">
        <v>32</v>
      </c>
      <c r="C150" t="s">
        <v>22</v>
      </c>
      <c r="D150">
        <v>0</v>
      </c>
      <c r="E150" t="s">
        <v>9</v>
      </c>
      <c r="F150" t="s">
        <v>10</v>
      </c>
    </row>
    <row r="151" spans="1:6" hidden="1" x14ac:dyDescent="0.35">
      <c r="A151" t="s">
        <v>15</v>
      </c>
      <c r="B151" t="s">
        <v>32</v>
      </c>
      <c r="C151" t="s">
        <v>22</v>
      </c>
      <c r="D151">
        <v>0</v>
      </c>
      <c r="E151" t="s">
        <v>9</v>
      </c>
      <c r="F151" t="s">
        <v>10</v>
      </c>
    </row>
    <row r="152" spans="1:6" hidden="1" x14ac:dyDescent="0.35">
      <c r="A152" t="s">
        <v>16</v>
      </c>
      <c r="B152" t="s">
        <v>32</v>
      </c>
      <c r="C152" t="s">
        <v>22</v>
      </c>
      <c r="D152">
        <v>0</v>
      </c>
      <c r="E152" t="s">
        <v>9</v>
      </c>
      <c r="F152" t="s">
        <v>10</v>
      </c>
    </row>
    <row r="153" spans="1:6" hidden="1" x14ac:dyDescent="0.35">
      <c r="A153" t="s">
        <v>17</v>
      </c>
      <c r="B153" t="s">
        <v>32</v>
      </c>
      <c r="C153" t="s">
        <v>22</v>
      </c>
      <c r="D153">
        <v>0</v>
      </c>
      <c r="E153" t="s">
        <v>9</v>
      </c>
      <c r="F153" t="s">
        <v>10</v>
      </c>
    </row>
    <row r="154" spans="1:6" hidden="1" x14ac:dyDescent="0.35">
      <c r="A154" t="s">
        <v>18</v>
      </c>
      <c r="B154" t="s">
        <v>32</v>
      </c>
      <c r="C154" t="s">
        <v>22</v>
      </c>
      <c r="D154">
        <v>0</v>
      </c>
      <c r="E154" t="s">
        <v>9</v>
      </c>
      <c r="F154" t="s">
        <v>10</v>
      </c>
    </row>
    <row r="155" spans="1:6" hidden="1" x14ac:dyDescent="0.35">
      <c r="A155" t="s">
        <v>19</v>
      </c>
      <c r="B155" t="s">
        <v>32</v>
      </c>
      <c r="C155" t="s">
        <v>22</v>
      </c>
      <c r="D155">
        <v>0</v>
      </c>
      <c r="E155" t="s">
        <v>9</v>
      </c>
      <c r="F155" t="s">
        <v>10</v>
      </c>
    </row>
    <row r="156" spans="1:6" hidden="1" x14ac:dyDescent="0.35">
      <c r="A156" t="s">
        <v>20</v>
      </c>
      <c r="B156" t="s">
        <v>32</v>
      </c>
      <c r="C156" t="s">
        <v>22</v>
      </c>
      <c r="D156">
        <v>0</v>
      </c>
      <c r="E156" t="s">
        <v>9</v>
      </c>
      <c r="F156" t="s">
        <v>10</v>
      </c>
    </row>
    <row r="157" spans="1:6" hidden="1" x14ac:dyDescent="0.35">
      <c r="A157" t="s">
        <v>21</v>
      </c>
      <c r="B157" t="s">
        <v>32</v>
      </c>
      <c r="C157" t="s">
        <v>22</v>
      </c>
      <c r="D157">
        <v>0</v>
      </c>
      <c r="E157" t="s">
        <v>9</v>
      </c>
      <c r="F157" t="s">
        <v>10</v>
      </c>
    </row>
    <row r="158" spans="1:6" hidden="1" x14ac:dyDescent="0.35">
      <c r="A158" t="s">
        <v>6</v>
      </c>
      <c r="B158" t="s">
        <v>32</v>
      </c>
      <c r="C158" t="s">
        <v>23</v>
      </c>
      <c r="D158">
        <v>0</v>
      </c>
      <c r="E158" t="s">
        <v>9</v>
      </c>
      <c r="F158" t="s">
        <v>10</v>
      </c>
    </row>
    <row r="159" spans="1:6" hidden="1" x14ac:dyDescent="0.35">
      <c r="A159" t="s">
        <v>11</v>
      </c>
      <c r="B159" t="s">
        <v>32</v>
      </c>
      <c r="C159" t="s">
        <v>23</v>
      </c>
      <c r="D159">
        <v>0</v>
      </c>
      <c r="E159" t="s">
        <v>9</v>
      </c>
      <c r="F159" t="s">
        <v>10</v>
      </c>
    </row>
    <row r="160" spans="1:6" hidden="1" x14ac:dyDescent="0.35">
      <c r="A160" t="s">
        <v>12</v>
      </c>
      <c r="B160" t="s">
        <v>32</v>
      </c>
      <c r="C160" t="s">
        <v>23</v>
      </c>
      <c r="D160">
        <v>0</v>
      </c>
      <c r="E160" t="s">
        <v>9</v>
      </c>
      <c r="F160" t="s">
        <v>10</v>
      </c>
    </row>
    <row r="161" spans="1:6" hidden="1" x14ac:dyDescent="0.35">
      <c r="A161" t="s">
        <v>13</v>
      </c>
      <c r="B161" t="s">
        <v>32</v>
      </c>
      <c r="C161" t="s">
        <v>23</v>
      </c>
      <c r="D161">
        <v>0</v>
      </c>
      <c r="E161" t="s">
        <v>9</v>
      </c>
      <c r="F161" t="s">
        <v>10</v>
      </c>
    </row>
    <row r="162" spans="1:6" hidden="1" x14ac:dyDescent="0.35">
      <c r="A162" t="s">
        <v>14</v>
      </c>
      <c r="B162" t="s">
        <v>32</v>
      </c>
      <c r="C162" t="s">
        <v>23</v>
      </c>
      <c r="D162">
        <v>0</v>
      </c>
      <c r="E162" t="s">
        <v>9</v>
      </c>
      <c r="F162" t="s">
        <v>10</v>
      </c>
    </row>
    <row r="163" spans="1:6" hidden="1" x14ac:dyDescent="0.35">
      <c r="A163" t="s">
        <v>15</v>
      </c>
      <c r="B163" t="s">
        <v>32</v>
      </c>
      <c r="C163" t="s">
        <v>23</v>
      </c>
      <c r="D163">
        <v>24782</v>
      </c>
      <c r="E163" t="s">
        <v>9</v>
      </c>
      <c r="F163" t="s">
        <v>10</v>
      </c>
    </row>
    <row r="164" spans="1:6" hidden="1" x14ac:dyDescent="0.35">
      <c r="A164" t="s">
        <v>16</v>
      </c>
      <c r="B164" t="s">
        <v>32</v>
      </c>
      <c r="C164" t="s">
        <v>23</v>
      </c>
      <c r="D164">
        <v>0</v>
      </c>
      <c r="E164" t="s">
        <v>9</v>
      </c>
      <c r="F164" t="s">
        <v>10</v>
      </c>
    </row>
    <row r="165" spans="1:6" hidden="1" x14ac:dyDescent="0.35">
      <c r="A165" t="s">
        <v>17</v>
      </c>
      <c r="B165" t="s">
        <v>32</v>
      </c>
      <c r="C165" t="s">
        <v>23</v>
      </c>
      <c r="D165">
        <v>0</v>
      </c>
      <c r="E165" t="s">
        <v>9</v>
      </c>
      <c r="F165" t="s">
        <v>10</v>
      </c>
    </row>
    <row r="166" spans="1:6" hidden="1" x14ac:dyDescent="0.35">
      <c r="A166" t="s">
        <v>18</v>
      </c>
      <c r="B166" t="s">
        <v>32</v>
      </c>
      <c r="C166" t="s">
        <v>23</v>
      </c>
      <c r="D166">
        <v>0</v>
      </c>
      <c r="E166" t="s">
        <v>9</v>
      </c>
      <c r="F166" t="s">
        <v>10</v>
      </c>
    </row>
    <row r="167" spans="1:6" hidden="1" x14ac:dyDescent="0.35">
      <c r="A167" t="s">
        <v>19</v>
      </c>
      <c r="B167" t="s">
        <v>32</v>
      </c>
      <c r="C167" t="s">
        <v>23</v>
      </c>
      <c r="D167">
        <v>0</v>
      </c>
      <c r="E167" t="s">
        <v>9</v>
      </c>
      <c r="F167" t="s">
        <v>10</v>
      </c>
    </row>
    <row r="168" spans="1:6" hidden="1" x14ac:dyDescent="0.35">
      <c r="A168" t="s">
        <v>20</v>
      </c>
      <c r="B168" t="s">
        <v>32</v>
      </c>
      <c r="C168" t="s">
        <v>23</v>
      </c>
      <c r="D168">
        <v>0</v>
      </c>
      <c r="E168" t="s">
        <v>9</v>
      </c>
      <c r="F168" t="s">
        <v>10</v>
      </c>
    </row>
    <row r="169" spans="1:6" hidden="1" x14ac:dyDescent="0.35">
      <c r="A169" t="s">
        <v>21</v>
      </c>
      <c r="B169" t="s">
        <v>32</v>
      </c>
      <c r="C169" t="s">
        <v>23</v>
      </c>
      <c r="D169">
        <v>0</v>
      </c>
      <c r="E169" t="s">
        <v>9</v>
      </c>
      <c r="F169" t="s">
        <v>10</v>
      </c>
    </row>
    <row r="170" spans="1:6" hidden="1" x14ac:dyDescent="0.35">
      <c r="A170" t="s">
        <v>6</v>
      </c>
      <c r="B170" t="s">
        <v>32</v>
      </c>
      <c r="C170" t="s">
        <v>24</v>
      </c>
      <c r="D170">
        <v>0</v>
      </c>
      <c r="E170" t="s">
        <v>9</v>
      </c>
      <c r="F170" t="s">
        <v>10</v>
      </c>
    </row>
    <row r="171" spans="1:6" hidden="1" x14ac:dyDescent="0.35">
      <c r="A171" t="s">
        <v>11</v>
      </c>
      <c r="B171" t="s">
        <v>32</v>
      </c>
      <c r="C171" t="s">
        <v>24</v>
      </c>
      <c r="D171">
        <v>0</v>
      </c>
      <c r="E171" t="s">
        <v>9</v>
      </c>
      <c r="F171" t="s">
        <v>10</v>
      </c>
    </row>
    <row r="172" spans="1:6" hidden="1" x14ac:dyDescent="0.35">
      <c r="A172" t="s">
        <v>12</v>
      </c>
      <c r="B172" t="s">
        <v>32</v>
      </c>
      <c r="C172" t="s">
        <v>24</v>
      </c>
      <c r="D172">
        <v>0</v>
      </c>
      <c r="E172" t="s">
        <v>9</v>
      </c>
      <c r="F172" t="s">
        <v>10</v>
      </c>
    </row>
    <row r="173" spans="1:6" hidden="1" x14ac:dyDescent="0.35">
      <c r="A173" t="s">
        <v>13</v>
      </c>
      <c r="B173" t="s">
        <v>32</v>
      </c>
      <c r="C173" t="s">
        <v>24</v>
      </c>
      <c r="D173">
        <v>0</v>
      </c>
      <c r="E173" t="s">
        <v>9</v>
      </c>
      <c r="F173" t="s">
        <v>10</v>
      </c>
    </row>
    <row r="174" spans="1:6" hidden="1" x14ac:dyDescent="0.35">
      <c r="A174" t="s">
        <v>14</v>
      </c>
      <c r="B174" t="s">
        <v>32</v>
      </c>
      <c r="C174" t="s">
        <v>24</v>
      </c>
      <c r="D174">
        <v>0</v>
      </c>
      <c r="E174" t="s">
        <v>9</v>
      </c>
      <c r="F174" t="s">
        <v>10</v>
      </c>
    </row>
    <row r="175" spans="1:6" hidden="1" x14ac:dyDescent="0.35">
      <c r="A175" t="s">
        <v>15</v>
      </c>
      <c r="B175" t="s">
        <v>32</v>
      </c>
      <c r="C175" t="s">
        <v>24</v>
      </c>
      <c r="D175">
        <v>0</v>
      </c>
      <c r="E175" t="s">
        <v>9</v>
      </c>
      <c r="F175" t="s">
        <v>10</v>
      </c>
    </row>
    <row r="176" spans="1:6" hidden="1" x14ac:dyDescent="0.35">
      <c r="A176" t="s">
        <v>16</v>
      </c>
      <c r="B176" t="s">
        <v>32</v>
      </c>
      <c r="C176" t="s">
        <v>24</v>
      </c>
      <c r="D176">
        <v>0</v>
      </c>
      <c r="E176" t="s">
        <v>9</v>
      </c>
      <c r="F176" t="s">
        <v>10</v>
      </c>
    </row>
    <row r="177" spans="1:6" hidden="1" x14ac:dyDescent="0.35">
      <c r="A177" t="s">
        <v>17</v>
      </c>
      <c r="B177" t="s">
        <v>32</v>
      </c>
      <c r="C177" t="s">
        <v>24</v>
      </c>
      <c r="D177">
        <v>0</v>
      </c>
      <c r="E177" t="s">
        <v>9</v>
      </c>
      <c r="F177" t="s">
        <v>10</v>
      </c>
    </row>
    <row r="178" spans="1:6" hidden="1" x14ac:dyDescent="0.35">
      <c r="A178" t="s">
        <v>18</v>
      </c>
      <c r="B178" t="s">
        <v>32</v>
      </c>
      <c r="C178" t="s">
        <v>24</v>
      </c>
      <c r="D178">
        <v>0</v>
      </c>
      <c r="E178" t="s">
        <v>9</v>
      </c>
      <c r="F178" t="s">
        <v>10</v>
      </c>
    </row>
    <row r="179" spans="1:6" hidden="1" x14ac:dyDescent="0.35">
      <c r="A179" t="s">
        <v>19</v>
      </c>
      <c r="B179" t="s">
        <v>32</v>
      </c>
      <c r="C179" t="s">
        <v>24</v>
      </c>
      <c r="D179">
        <v>0</v>
      </c>
      <c r="E179" t="s">
        <v>9</v>
      </c>
      <c r="F179" t="s">
        <v>10</v>
      </c>
    </row>
    <row r="180" spans="1:6" hidden="1" x14ac:dyDescent="0.35">
      <c r="A180" t="s">
        <v>20</v>
      </c>
      <c r="B180" t="s">
        <v>32</v>
      </c>
      <c r="C180" t="s">
        <v>24</v>
      </c>
      <c r="D180">
        <v>0</v>
      </c>
      <c r="E180" t="s">
        <v>9</v>
      </c>
      <c r="F180" t="s">
        <v>10</v>
      </c>
    </row>
    <row r="181" spans="1:6" hidden="1" x14ac:dyDescent="0.35">
      <c r="A181" t="s">
        <v>21</v>
      </c>
      <c r="B181" t="s">
        <v>32</v>
      </c>
      <c r="C181" t="s">
        <v>24</v>
      </c>
      <c r="D181">
        <v>0</v>
      </c>
      <c r="E181" t="s">
        <v>9</v>
      </c>
      <c r="F181" t="s">
        <v>10</v>
      </c>
    </row>
    <row r="182" spans="1:6" hidden="1" x14ac:dyDescent="0.35">
      <c r="A182" t="s">
        <v>6</v>
      </c>
      <c r="B182" t="s">
        <v>32</v>
      </c>
      <c r="C182" t="s">
        <v>25</v>
      </c>
      <c r="D182">
        <v>0</v>
      </c>
      <c r="E182" t="s">
        <v>9</v>
      </c>
      <c r="F182" t="s">
        <v>10</v>
      </c>
    </row>
    <row r="183" spans="1:6" hidden="1" x14ac:dyDescent="0.35">
      <c r="A183" t="s">
        <v>11</v>
      </c>
      <c r="B183" t="s">
        <v>32</v>
      </c>
      <c r="C183" t="s">
        <v>25</v>
      </c>
      <c r="D183">
        <v>0</v>
      </c>
      <c r="E183" t="s">
        <v>9</v>
      </c>
      <c r="F183" t="s">
        <v>10</v>
      </c>
    </row>
    <row r="184" spans="1:6" hidden="1" x14ac:dyDescent="0.35">
      <c r="A184" t="s">
        <v>12</v>
      </c>
      <c r="B184" t="s">
        <v>32</v>
      </c>
      <c r="C184" t="s">
        <v>25</v>
      </c>
      <c r="D184">
        <v>0</v>
      </c>
      <c r="E184" t="s">
        <v>9</v>
      </c>
      <c r="F184" t="s">
        <v>10</v>
      </c>
    </row>
    <row r="185" spans="1:6" hidden="1" x14ac:dyDescent="0.35">
      <c r="A185" t="s">
        <v>13</v>
      </c>
      <c r="B185" t="s">
        <v>32</v>
      </c>
      <c r="C185" t="s">
        <v>25</v>
      </c>
      <c r="D185">
        <v>0</v>
      </c>
      <c r="E185" t="s">
        <v>9</v>
      </c>
      <c r="F185" t="s">
        <v>10</v>
      </c>
    </row>
    <row r="186" spans="1:6" hidden="1" x14ac:dyDescent="0.35">
      <c r="A186" t="s">
        <v>14</v>
      </c>
      <c r="B186" t="s">
        <v>32</v>
      </c>
      <c r="C186" t="s">
        <v>25</v>
      </c>
      <c r="D186">
        <v>0</v>
      </c>
      <c r="E186" t="s">
        <v>9</v>
      </c>
      <c r="F186" t="s">
        <v>10</v>
      </c>
    </row>
    <row r="187" spans="1:6" hidden="1" x14ac:dyDescent="0.35">
      <c r="A187" t="s">
        <v>15</v>
      </c>
      <c r="B187" t="s">
        <v>32</v>
      </c>
      <c r="C187" t="s">
        <v>25</v>
      </c>
      <c r="D187">
        <v>0</v>
      </c>
      <c r="E187" t="s">
        <v>9</v>
      </c>
      <c r="F187" t="s">
        <v>10</v>
      </c>
    </row>
    <row r="188" spans="1:6" hidden="1" x14ac:dyDescent="0.35">
      <c r="A188" t="s">
        <v>16</v>
      </c>
      <c r="B188" t="s">
        <v>32</v>
      </c>
      <c r="C188" t="s">
        <v>25</v>
      </c>
      <c r="D188">
        <v>0</v>
      </c>
      <c r="E188" t="s">
        <v>9</v>
      </c>
      <c r="F188" t="s">
        <v>10</v>
      </c>
    </row>
    <row r="189" spans="1:6" hidden="1" x14ac:dyDescent="0.35">
      <c r="A189" t="s">
        <v>17</v>
      </c>
      <c r="B189" t="s">
        <v>32</v>
      </c>
      <c r="C189" t="s">
        <v>25</v>
      </c>
      <c r="D189">
        <v>0</v>
      </c>
      <c r="E189" t="s">
        <v>9</v>
      </c>
      <c r="F189" t="s">
        <v>10</v>
      </c>
    </row>
    <row r="190" spans="1:6" hidden="1" x14ac:dyDescent="0.35">
      <c r="A190" t="s">
        <v>18</v>
      </c>
      <c r="B190" t="s">
        <v>32</v>
      </c>
      <c r="C190" t="s">
        <v>25</v>
      </c>
      <c r="D190">
        <v>0</v>
      </c>
      <c r="E190" t="s">
        <v>9</v>
      </c>
      <c r="F190" t="s">
        <v>10</v>
      </c>
    </row>
    <row r="191" spans="1:6" hidden="1" x14ac:dyDescent="0.35">
      <c r="A191" t="s">
        <v>19</v>
      </c>
      <c r="B191" t="s">
        <v>32</v>
      </c>
      <c r="C191" t="s">
        <v>25</v>
      </c>
      <c r="D191">
        <v>0</v>
      </c>
      <c r="E191" t="s">
        <v>9</v>
      </c>
      <c r="F191" t="s">
        <v>10</v>
      </c>
    </row>
    <row r="192" spans="1:6" hidden="1" x14ac:dyDescent="0.35">
      <c r="A192" t="s">
        <v>20</v>
      </c>
      <c r="B192" t="s">
        <v>32</v>
      </c>
      <c r="C192" t="s">
        <v>25</v>
      </c>
      <c r="D192">
        <v>0</v>
      </c>
      <c r="E192" t="s">
        <v>9</v>
      </c>
      <c r="F192" t="s">
        <v>10</v>
      </c>
    </row>
    <row r="193" spans="1:6" hidden="1" x14ac:dyDescent="0.35">
      <c r="A193" t="s">
        <v>21</v>
      </c>
      <c r="B193" t="s">
        <v>32</v>
      </c>
      <c r="C193" t="s">
        <v>25</v>
      </c>
      <c r="D193">
        <v>0</v>
      </c>
      <c r="E193" t="s">
        <v>9</v>
      </c>
      <c r="F193" t="s">
        <v>10</v>
      </c>
    </row>
    <row r="194" spans="1:6" hidden="1" x14ac:dyDescent="0.35">
      <c r="A194" t="s">
        <v>6</v>
      </c>
      <c r="B194" t="s">
        <v>32</v>
      </c>
      <c r="C194" t="s">
        <v>26</v>
      </c>
      <c r="D194">
        <v>0</v>
      </c>
      <c r="E194" t="s">
        <v>9</v>
      </c>
      <c r="F194" t="s">
        <v>10</v>
      </c>
    </row>
    <row r="195" spans="1:6" hidden="1" x14ac:dyDescent="0.35">
      <c r="A195" t="s">
        <v>11</v>
      </c>
      <c r="B195" t="s">
        <v>32</v>
      </c>
      <c r="C195" t="s">
        <v>26</v>
      </c>
      <c r="E195" t="s">
        <v>9</v>
      </c>
      <c r="F195" t="s">
        <v>10</v>
      </c>
    </row>
    <row r="196" spans="1:6" hidden="1" x14ac:dyDescent="0.35">
      <c r="A196" t="s">
        <v>12</v>
      </c>
      <c r="B196" t="s">
        <v>32</v>
      </c>
      <c r="C196" t="s">
        <v>26</v>
      </c>
      <c r="E196" t="s">
        <v>9</v>
      </c>
      <c r="F196" t="s">
        <v>10</v>
      </c>
    </row>
    <row r="197" spans="1:6" hidden="1" x14ac:dyDescent="0.35">
      <c r="A197" t="s">
        <v>13</v>
      </c>
      <c r="B197" t="s">
        <v>32</v>
      </c>
      <c r="C197" t="s">
        <v>26</v>
      </c>
      <c r="E197" t="s">
        <v>9</v>
      </c>
      <c r="F197" t="s">
        <v>10</v>
      </c>
    </row>
    <row r="198" spans="1:6" hidden="1" x14ac:dyDescent="0.35">
      <c r="A198" t="s">
        <v>14</v>
      </c>
      <c r="B198" t="s">
        <v>32</v>
      </c>
      <c r="C198" t="s">
        <v>26</v>
      </c>
      <c r="E198" t="s">
        <v>9</v>
      </c>
      <c r="F198" t="s">
        <v>10</v>
      </c>
    </row>
    <row r="199" spans="1:6" hidden="1" x14ac:dyDescent="0.35">
      <c r="A199" t="s">
        <v>15</v>
      </c>
      <c r="B199" t="s">
        <v>32</v>
      </c>
      <c r="C199" t="s">
        <v>26</v>
      </c>
      <c r="E199" t="s">
        <v>9</v>
      </c>
      <c r="F199" t="s">
        <v>10</v>
      </c>
    </row>
    <row r="200" spans="1:6" hidden="1" x14ac:dyDescent="0.35">
      <c r="A200" t="s">
        <v>16</v>
      </c>
      <c r="B200" t="s">
        <v>32</v>
      </c>
      <c r="C200" t="s">
        <v>26</v>
      </c>
      <c r="E200" t="s">
        <v>9</v>
      </c>
      <c r="F200" t="s">
        <v>10</v>
      </c>
    </row>
    <row r="201" spans="1:6" hidden="1" x14ac:dyDescent="0.35">
      <c r="A201" t="s">
        <v>17</v>
      </c>
      <c r="B201" t="s">
        <v>32</v>
      </c>
      <c r="C201" t="s">
        <v>26</v>
      </c>
      <c r="E201" t="s">
        <v>9</v>
      </c>
      <c r="F201" t="s">
        <v>10</v>
      </c>
    </row>
    <row r="202" spans="1:6" hidden="1" x14ac:dyDescent="0.35">
      <c r="A202" t="s">
        <v>18</v>
      </c>
      <c r="B202" t="s">
        <v>32</v>
      </c>
      <c r="C202" t="s">
        <v>26</v>
      </c>
      <c r="E202" t="s">
        <v>9</v>
      </c>
      <c r="F202" t="s">
        <v>10</v>
      </c>
    </row>
    <row r="203" spans="1:6" hidden="1" x14ac:dyDescent="0.35">
      <c r="A203" t="s">
        <v>19</v>
      </c>
      <c r="B203" t="s">
        <v>32</v>
      </c>
      <c r="C203" t="s">
        <v>26</v>
      </c>
      <c r="E203" t="s">
        <v>9</v>
      </c>
      <c r="F203" t="s">
        <v>10</v>
      </c>
    </row>
    <row r="204" spans="1:6" hidden="1" x14ac:dyDescent="0.35">
      <c r="A204" t="s">
        <v>20</v>
      </c>
      <c r="B204" t="s">
        <v>32</v>
      </c>
      <c r="C204" t="s">
        <v>26</v>
      </c>
      <c r="E204" t="s">
        <v>9</v>
      </c>
      <c r="F204" t="s">
        <v>10</v>
      </c>
    </row>
    <row r="205" spans="1:6" hidden="1" x14ac:dyDescent="0.35">
      <c r="A205" t="s">
        <v>21</v>
      </c>
      <c r="B205" t="s">
        <v>32</v>
      </c>
      <c r="C205" t="s">
        <v>26</v>
      </c>
      <c r="E205" t="s">
        <v>9</v>
      </c>
      <c r="F205" t="s">
        <v>10</v>
      </c>
    </row>
    <row r="206" spans="1:6" hidden="1" x14ac:dyDescent="0.35">
      <c r="A206" t="s">
        <v>6</v>
      </c>
      <c r="B206" t="s">
        <v>32</v>
      </c>
      <c r="C206" t="s">
        <v>27</v>
      </c>
      <c r="D206">
        <v>1564</v>
      </c>
      <c r="E206" t="s">
        <v>9</v>
      </c>
      <c r="F206" t="s">
        <v>10</v>
      </c>
    </row>
    <row r="207" spans="1:6" hidden="1" x14ac:dyDescent="0.35">
      <c r="A207" t="s">
        <v>11</v>
      </c>
      <c r="B207" t="s">
        <v>32</v>
      </c>
      <c r="C207" t="s">
        <v>27</v>
      </c>
      <c r="D207">
        <v>0</v>
      </c>
      <c r="E207" t="s">
        <v>9</v>
      </c>
      <c r="F207" t="s">
        <v>10</v>
      </c>
    </row>
    <row r="208" spans="1:6" hidden="1" x14ac:dyDescent="0.35">
      <c r="A208" t="s">
        <v>12</v>
      </c>
      <c r="B208" t="s">
        <v>32</v>
      </c>
      <c r="C208" t="s">
        <v>27</v>
      </c>
      <c r="D208">
        <v>0</v>
      </c>
      <c r="E208" t="s">
        <v>9</v>
      </c>
      <c r="F208" t="s">
        <v>10</v>
      </c>
    </row>
    <row r="209" spans="1:6" hidden="1" x14ac:dyDescent="0.35">
      <c r="A209" t="s">
        <v>13</v>
      </c>
      <c r="B209" t="s">
        <v>32</v>
      </c>
      <c r="C209" t="s">
        <v>27</v>
      </c>
      <c r="D209">
        <v>0</v>
      </c>
      <c r="E209" t="s">
        <v>9</v>
      </c>
      <c r="F209" t="s">
        <v>10</v>
      </c>
    </row>
    <row r="210" spans="1:6" hidden="1" x14ac:dyDescent="0.35">
      <c r="A210" t="s">
        <v>14</v>
      </c>
      <c r="B210" t="s">
        <v>32</v>
      </c>
      <c r="C210" t="s">
        <v>27</v>
      </c>
      <c r="D210">
        <v>275</v>
      </c>
      <c r="E210" t="s">
        <v>9</v>
      </c>
      <c r="F210" t="s">
        <v>10</v>
      </c>
    </row>
    <row r="211" spans="1:6" hidden="1" x14ac:dyDescent="0.35">
      <c r="A211" t="s">
        <v>15</v>
      </c>
      <c r="B211" t="s">
        <v>32</v>
      </c>
      <c r="C211" t="s">
        <v>27</v>
      </c>
      <c r="D211">
        <v>11669</v>
      </c>
      <c r="E211" t="s">
        <v>9</v>
      </c>
      <c r="F211" t="s">
        <v>10</v>
      </c>
    </row>
    <row r="212" spans="1:6" hidden="1" x14ac:dyDescent="0.35">
      <c r="A212" t="s">
        <v>16</v>
      </c>
      <c r="B212" t="s">
        <v>32</v>
      </c>
      <c r="C212" t="s">
        <v>27</v>
      </c>
      <c r="D212">
        <v>0</v>
      </c>
      <c r="E212" t="s">
        <v>9</v>
      </c>
      <c r="F212" t="s">
        <v>10</v>
      </c>
    </row>
    <row r="213" spans="1:6" hidden="1" x14ac:dyDescent="0.35">
      <c r="A213" t="s">
        <v>17</v>
      </c>
      <c r="B213" t="s">
        <v>32</v>
      </c>
      <c r="C213" t="s">
        <v>27</v>
      </c>
      <c r="D213">
        <v>0</v>
      </c>
      <c r="E213" t="s">
        <v>9</v>
      </c>
      <c r="F213" t="s">
        <v>10</v>
      </c>
    </row>
    <row r="214" spans="1:6" hidden="1" x14ac:dyDescent="0.35">
      <c r="A214" t="s">
        <v>18</v>
      </c>
      <c r="B214" t="s">
        <v>32</v>
      </c>
      <c r="C214" t="s">
        <v>27</v>
      </c>
      <c r="D214">
        <v>0</v>
      </c>
      <c r="E214" t="s">
        <v>9</v>
      </c>
      <c r="F214" t="s">
        <v>10</v>
      </c>
    </row>
    <row r="215" spans="1:6" hidden="1" x14ac:dyDescent="0.35">
      <c r="A215" t="s">
        <v>19</v>
      </c>
      <c r="B215" t="s">
        <v>32</v>
      </c>
      <c r="C215" t="s">
        <v>27</v>
      </c>
      <c r="D215">
        <v>0</v>
      </c>
      <c r="E215" t="s">
        <v>9</v>
      </c>
      <c r="F215" t="s">
        <v>10</v>
      </c>
    </row>
    <row r="216" spans="1:6" hidden="1" x14ac:dyDescent="0.35">
      <c r="A216" t="s">
        <v>20</v>
      </c>
      <c r="B216" t="s">
        <v>32</v>
      </c>
      <c r="C216" t="s">
        <v>27</v>
      </c>
      <c r="D216">
        <v>0</v>
      </c>
      <c r="E216" t="s">
        <v>9</v>
      </c>
      <c r="F216" t="s">
        <v>10</v>
      </c>
    </row>
    <row r="217" spans="1:6" hidden="1" x14ac:dyDescent="0.35">
      <c r="A217" t="s">
        <v>21</v>
      </c>
      <c r="B217" t="s">
        <v>32</v>
      </c>
      <c r="C217" t="s">
        <v>27</v>
      </c>
      <c r="D217">
        <v>0</v>
      </c>
      <c r="E217" t="s">
        <v>9</v>
      </c>
      <c r="F217" t="s">
        <v>10</v>
      </c>
    </row>
    <row r="218" spans="1:6" hidden="1" x14ac:dyDescent="0.35">
      <c r="A218" t="s">
        <v>6</v>
      </c>
      <c r="B218" t="s">
        <v>32</v>
      </c>
      <c r="C218" t="s">
        <v>28</v>
      </c>
      <c r="D218">
        <v>4705</v>
      </c>
      <c r="E218" t="s">
        <v>9</v>
      </c>
      <c r="F218" t="s">
        <v>10</v>
      </c>
    </row>
    <row r="219" spans="1:6" hidden="1" x14ac:dyDescent="0.35">
      <c r="A219" t="s">
        <v>11</v>
      </c>
      <c r="B219" t="s">
        <v>32</v>
      </c>
      <c r="C219" t="s">
        <v>28</v>
      </c>
      <c r="D219">
        <v>0</v>
      </c>
      <c r="E219" t="s">
        <v>9</v>
      </c>
      <c r="F219" t="s">
        <v>10</v>
      </c>
    </row>
    <row r="220" spans="1:6" hidden="1" x14ac:dyDescent="0.35">
      <c r="A220" t="s">
        <v>12</v>
      </c>
      <c r="B220" t="s">
        <v>32</v>
      </c>
      <c r="C220" t="s">
        <v>28</v>
      </c>
      <c r="D220">
        <v>0</v>
      </c>
      <c r="E220" t="s">
        <v>9</v>
      </c>
      <c r="F220" t="s">
        <v>10</v>
      </c>
    </row>
    <row r="221" spans="1:6" hidden="1" x14ac:dyDescent="0.35">
      <c r="A221" t="s">
        <v>13</v>
      </c>
      <c r="B221" t="s">
        <v>32</v>
      </c>
      <c r="C221" t="s">
        <v>28</v>
      </c>
      <c r="D221">
        <v>0</v>
      </c>
      <c r="E221" t="s">
        <v>9</v>
      </c>
      <c r="F221" t="s">
        <v>10</v>
      </c>
    </row>
    <row r="222" spans="1:6" hidden="1" x14ac:dyDescent="0.35">
      <c r="A222" t="s">
        <v>14</v>
      </c>
      <c r="B222" t="s">
        <v>32</v>
      </c>
      <c r="C222" t="s">
        <v>28</v>
      </c>
      <c r="D222">
        <v>24505</v>
      </c>
      <c r="E222" t="s">
        <v>9</v>
      </c>
      <c r="F222" t="s">
        <v>10</v>
      </c>
    </row>
    <row r="223" spans="1:6" hidden="1" x14ac:dyDescent="0.35">
      <c r="A223" t="s">
        <v>15</v>
      </c>
      <c r="B223" t="s">
        <v>32</v>
      </c>
      <c r="C223" t="s">
        <v>28</v>
      </c>
      <c r="D223">
        <v>119863</v>
      </c>
      <c r="E223" t="s">
        <v>9</v>
      </c>
      <c r="F223" t="s">
        <v>10</v>
      </c>
    </row>
    <row r="224" spans="1:6" hidden="1" x14ac:dyDescent="0.35">
      <c r="A224" t="s">
        <v>16</v>
      </c>
      <c r="B224" t="s">
        <v>32</v>
      </c>
      <c r="C224" t="s">
        <v>28</v>
      </c>
      <c r="D224">
        <v>0</v>
      </c>
      <c r="E224" t="s">
        <v>9</v>
      </c>
      <c r="F224" t="s">
        <v>10</v>
      </c>
    </row>
    <row r="225" spans="1:6" hidden="1" x14ac:dyDescent="0.35">
      <c r="A225" t="s">
        <v>17</v>
      </c>
      <c r="B225" t="s">
        <v>32</v>
      </c>
      <c r="C225" t="s">
        <v>28</v>
      </c>
      <c r="D225">
        <v>0</v>
      </c>
      <c r="E225" t="s">
        <v>9</v>
      </c>
      <c r="F225" t="s">
        <v>10</v>
      </c>
    </row>
    <row r="226" spans="1:6" hidden="1" x14ac:dyDescent="0.35">
      <c r="A226" t="s">
        <v>18</v>
      </c>
      <c r="B226" t="s">
        <v>32</v>
      </c>
      <c r="C226" t="s">
        <v>28</v>
      </c>
      <c r="D226">
        <v>0</v>
      </c>
      <c r="E226" t="s">
        <v>9</v>
      </c>
      <c r="F226" t="s">
        <v>10</v>
      </c>
    </row>
    <row r="227" spans="1:6" hidden="1" x14ac:dyDescent="0.35">
      <c r="A227" t="s">
        <v>19</v>
      </c>
      <c r="B227" t="s">
        <v>32</v>
      </c>
      <c r="C227" t="s">
        <v>28</v>
      </c>
      <c r="D227">
        <v>0</v>
      </c>
      <c r="E227" t="s">
        <v>9</v>
      </c>
      <c r="F227" t="s">
        <v>10</v>
      </c>
    </row>
    <row r="228" spans="1:6" hidden="1" x14ac:dyDescent="0.35">
      <c r="A228" t="s">
        <v>20</v>
      </c>
      <c r="B228" t="s">
        <v>32</v>
      </c>
      <c r="C228" t="s">
        <v>28</v>
      </c>
      <c r="D228">
        <v>0</v>
      </c>
      <c r="E228" t="s">
        <v>9</v>
      </c>
      <c r="F228" t="s">
        <v>10</v>
      </c>
    </row>
    <row r="229" spans="1:6" hidden="1" x14ac:dyDescent="0.35">
      <c r="A229" t="s">
        <v>21</v>
      </c>
      <c r="B229" t="s">
        <v>32</v>
      </c>
      <c r="C229" t="s">
        <v>28</v>
      </c>
      <c r="D229">
        <v>0</v>
      </c>
      <c r="E229" t="s">
        <v>9</v>
      </c>
      <c r="F229" t="s">
        <v>10</v>
      </c>
    </row>
    <row r="230" spans="1:6" hidden="1" x14ac:dyDescent="0.35">
      <c r="A230" t="s">
        <v>6</v>
      </c>
      <c r="B230" t="s">
        <v>32</v>
      </c>
      <c r="C230" t="s">
        <v>29</v>
      </c>
      <c r="D230">
        <v>4</v>
      </c>
      <c r="E230" t="s">
        <v>9</v>
      </c>
      <c r="F230" t="s">
        <v>10</v>
      </c>
    </row>
    <row r="231" spans="1:6" hidden="1" x14ac:dyDescent="0.35">
      <c r="A231" t="s">
        <v>11</v>
      </c>
      <c r="B231" t="s">
        <v>32</v>
      </c>
      <c r="C231" t="s">
        <v>29</v>
      </c>
      <c r="D231">
        <v>1</v>
      </c>
      <c r="E231" t="s">
        <v>9</v>
      </c>
      <c r="F231" t="s">
        <v>10</v>
      </c>
    </row>
    <row r="232" spans="1:6" hidden="1" x14ac:dyDescent="0.35">
      <c r="A232" t="s">
        <v>12</v>
      </c>
      <c r="B232" t="s">
        <v>32</v>
      </c>
      <c r="C232" t="s">
        <v>29</v>
      </c>
      <c r="D232">
        <v>1</v>
      </c>
      <c r="E232" t="s">
        <v>9</v>
      </c>
      <c r="F232" t="s">
        <v>10</v>
      </c>
    </row>
    <row r="233" spans="1:6" hidden="1" x14ac:dyDescent="0.35">
      <c r="A233" t="s">
        <v>13</v>
      </c>
      <c r="B233" t="s">
        <v>32</v>
      </c>
      <c r="C233" t="s">
        <v>29</v>
      </c>
      <c r="E233" t="s">
        <v>9</v>
      </c>
      <c r="F233" t="s">
        <v>10</v>
      </c>
    </row>
    <row r="234" spans="1:6" hidden="1" x14ac:dyDescent="0.35">
      <c r="A234" t="s">
        <v>14</v>
      </c>
      <c r="B234" t="s">
        <v>32</v>
      </c>
      <c r="C234" t="s">
        <v>29</v>
      </c>
      <c r="E234" t="s">
        <v>9</v>
      </c>
      <c r="F234" t="s">
        <v>10</v>
      </c>
    </row>
    <row r="235" spans="1:6" hidden="1" x14ac:dyDescent="0.35">
      <c r="A235" t="s">
        <v>15</v>
      </c>
      <c r="B235" t="s">
        <v>32</v>
      </c>
      <c r="C235" t="s">
        <v>29</v>
      </c>
      <c r="D235">
        <v>1</v>
      </c>
      <c r="E235" t="s">
        <v>9</v>
      </c>
      <c r="F235" t="s">
        <v>10</v>
      </c>
    </row>
    <row r="236" spans="1:6" hidden="1" x14ac:dyDescent="0.35">
      <c r="A236" t="s">
        <v>16</v>
      </c>
      <c r="B236" t="s">
        <v>32</v>
      </c>
      <c r="C236" t="s">
        <v>29</v>
      </c>
      <c r="D236">
        <v>1</v>
      </c>
      <c r="E236" t="s">
        <v>9</v>
      </c>
      <c r="F236" t="s">
        <v>10</v>
      </c>
    </row>
    <row r="237" spans="1:6" hidden="1" x14ac:dyDescent="0.35">
      <c r="A237" t="s">
        <v>17</v>
      </c>
      <c r="B237" t="s">
        <v>32</v>
      </c>
      <c r="C237" t="s">
        <v>29</v>
      </c>
      <c r="E237" t="s">
        <v>9</v>
      </c>
      <c r="F237" t="s">
        <v>10</v>
      </c>
    </row>
    <row r="238" spans="1:6" hidden="1" x14ac:dyDescent="0.35">
      <c r="A238" t="s">
        <v>18</v>
      </c>
      <c r="B238" t="s">
        <v>32</v>
      </c>
      <c r="C238" t="s">
        <v>29</v>
      </c>
      <c r="D238">
        <v>1</v>
      </c>
      <c r="E238" t="s">
        <v>9</v>
      </c>
      <c r="F238" t="s">
        <v>10</v>
      </c>
    </row>
    <row r="239" spans="1:6" hidden="1" x14ac:dyDescent="0.35">
      <c r="A239" t="s">
        <v>19</v>
      </c>
      <c r="B239" t="s">
        <v>32</v>
      </c>
      <c r="C239" t="s">
        <v>29</v>
      </c>
      <c r="E239" t="s">
        <v>9</v>
      </c>
      <c r="F239" t="s">
        <v>10</v>
      </c>
    </row>
    <row r="240" spans="1:6" hidden="1" x14ac:dyDescent="0.35">
      <c r="A240" t="s">
        <v>20</v>
      </c>
      <c r="B240" t="s">
        <v>32</v>
      </c>
      <c r="C240" t="s">
        <v>29</v>
      </c>
      <c r="E240" t="s">
        <v>9</v>
      </c>
      <c r="F240" t="s">
        <v>10</v>
      </c>
    </row>
    <row r="241" spans="1:6" hidden="1" x14ac:dyDescent="0.35">
      <c r="A241" t="s">
        <v>21</v>
      </c>
      <c r="B241" t="s">
        <v>32</v>
      </c>
      <c r="C241" t="s">
        <v>29</v>
      </c>
      <c r="E241" t="s">
        <v>9</v>
      </c>
      <c r="F241" t="s">
        <v>10</v>
      </c>
    </row>
    <row r="242" spans="1:6" hidden="1" x14ac:dyDescent="0.35">
      <c r="A242" t="s">
        <v>6</v>
      </c>
      <c r="B242" t="s">
        <v>32</v>
      </c>
      <c r="C242" t="s">
        <v>30</v>
      </c>
      <c r="E242" t="s">
        <v>9</v>
      </c>
      <c r="F242" t="s">
        <v>10</v>
      </c>
    </row>
    <row r="243" spans="1:6" hidden="1" x14ac:dyDescent="0.35">
      <c r="A243" t="s">
        <v>11</v>
      </c>
      <c r="B243" t="s">
        <v>32</v>
      </c>
      <c r="C243" t="s">
        <v>30</v>
      </c>
      <c r="E243" t="s">
        <v>9</v>
      </c>
      <c r="F243" t="s">
        <v>10</v>
      </c>
    </row>
    <row r="244" spans="1:6" hidden="1" x14ac:dyDescent="0.35">
      <c r="A244" t="s">
        <v>12</v>
      </c>
      <c r="B244" t="s">
        <v>32</v>
      </c>
      <c r="C244" t="s">
        <v>30</v>
      </c>
      <c r="E244" t="s">
        <v>9</v>
      </c>
      <c r="F244" t="s">
        <v>10</v>
      </c>
    </row>
    <row r="245" spans="1:6" hidden="1" x14ac:dyDescent="0.35">
      <c r="A245" t="s">
        <v>13</v>
      </c>
      <c r="B245" t="s">
        <v>32</v>
      </c>
      <c r="C245" t="s">
        <v>30</v>
      </c>
      <c r="E245" t="s">
        <v>9</v>
      </c>
      <c r="F245" t="s">
        <v>10</v>
      </c>
    </row>
    <row r="246" spans="1:6" hidden="1" x14ac:dyDescent="0.35">
      <c r="A246" t="s">
        <v>14</v>
      </c>
      <c r="B246" t="s">
        <v>32</v>
      </c>
      <c r="C246" t="s">
        <v>30</v>
      </c>
      <c r="E246" t="s">
        <v>9</v>
      </c>
      <c r="F246" t="s">
        <v>10</v>
      </c>
    </row>
    <row r="247" spans="1:6" hidden="1" x14ac:dyDescent="0.35">
      <c r="A247" t="s">
        <v>15</v>
      </c>
      <c r="B247" t="s">
        <v>32</v>
      </c>
      <c r="C247" t="s">
        <v>30</v>
      </c>
      <c r="E247" t="s">
        <v>9</v>
      </c>
      <c r="F247" t="s">
        <v>10</v>
      </c>
    </row>
    <row r="248" spans="1:6" hidden="1" x14ac:dyDescent="0.35">
      <c r="A248" t="s">
        <v>16</v>
      </c>
      <c r="B248" t="s">
        <v>32</v>
      </c>
      <c r="C248" t="s">
        <v>30</v>
      </c>
      <c r="E248" t="s">
        <v>9</v>
      </c>
      <c r="F248" t="s">
        <v>10</v>
      </c>
    </row>
    <row r="249" spans="1:6" hidden="1" x14ac:dyDescent="0.35">
      <c r="A249" t="s">
        <v>17</v>
      </c>
      <c r="B249" t="s">
        <v>32</v>
      </c>
      <c r="C249" t="s">
        <v>30</v>
      </c>
      <c r="E249" t="s">
        <v>9</v>
      </c>
      <c r="F249" t="s">
        <v>10</v>
      </c>
    </row>
    <row r="250" spans="1:6" hidden="1" x14ac:dyDescent="0.35">
      <c r="A250" t="s">
        <v>18</v>
      </c>
      <c r="B250" t="s">
        <v>32</v>
      </c>
      <c r="C250" t="s">
        <v>30</v>
      </c>
      <c r="D250">
        <v>1</v>
      </c>
      <c r="E250" t="s">
        <v>9</v>
      </c>
      <c r="F250" t="s">
        <v>10</v>
      </c>
    </row>
    <row r="251" spans="1:6" hidden="1" x14ac:dyDescent="0.35">
      <c r="A251" t="s">
        <v>19</v>
      </c>
      <c r="B251" t="s">
        <v>32</v>
      </c>
      <c r="C251" t="s">
        <v>30</v>
      </c>
      <c r="D251">
        <v>1</v>
      </c>
      <c r="E251" t="s">
        <v>9</v>
      </c>
      <c r="F251" t="s">
        <v>10</v>
      </c>
    </row>
    <row r="252" spans="1:6" hidden="1" x14ac:dyDescent="0.35">
      <c r="A252" t="s">
        <v>20</v>
      </c>
      <c r="B252" t="s">
        <v>32</v>
      </c>
      <c r="C252" t="s">
        <v>30</v>
      </c>
      <c r="E252" t="s">
        <v>9</v>
      </c>
      <c r="F252" t="s">
        <v>10</v>
      </c>
    </row>
    <row r="253" spans="1:6" hidden="1" x14ac:dyDescent="0.35">
      <c r="A253" t="s">
        <v>21</v>
      </c>
      <c r="B253" t="s">
        <v>32</v>
      </c>
      <c r="C253" t="s">
        <v>30</v>
      </c>
      <c r="D253">
        <v>1</v>
      </c>
      <c r="E253" t="s">
        <v>9</v>
      </c>
      <c r="F253" t="s">
        <v>10</v>
      </c>
    </row>
    <row r="254" spans="1:6" hidden="1" x14ac:dyDescent="0.35">
      <c r="A254" t="s">
        <v>6</v>
      </c>
      <c r="B254" t="s">
        <v>32</v>
      </c>
      <c r="C254" t="s">
        <v>31</v>
      </c>
      <c r="D254">
        <v>1</v>
      </c>
      <c r="E254" t="s">
        <v>9</v>
      </c>
      <c r="F254" t="s">
        <v>10</v>
      </c>
    </row>
    <row r="255" spans="1:6" hidden="1" x14ac:dyDescent="0.35">
      <c r="A255" t="s">
        <v>11</v>
      </c>
      <c r="B255" t="s">
        <v>32</v>
      </c>
      <c r="C255" t="s">
        <v>31</v>
      </c>
      <c r="E255" t="s">
        <v>9</v>
      </c>
      <c r="F255" t="s">
        <v>10</v>
      </c>
    </row>
    <row r="256" spans="1:6" hidden="1" x14ac:dyDescent="0.35">
      <c r="A256" t="s">
        <v>12</v>
      </c>
      <c r="B256" t="s">
        <v>32</v>
      </c>
      <c r="C256" t="s">
        <v>31</v>
      </c>
      <c r="E256" t="s">
        <v>9</v>
      </c>
      <c r="F256" t="s">
        <v>10</v>
      </c>
    </row>
    <row r="257" spans="1:6" hidden="1" x14ac:dyDescent="0.35">
      <c r="A257" t="s">
        <v>13</v>
      </c>
      <c r="B257" t="s">
        <v>32</v>
      </c>
      <c r="C257" t="s">
        <v>31</v>
      </c>
      <c r="E257" t="s">
        <v>9</v>
      </c>
      <c r="F257" t="s">
        <v>10</v>
      </c>
    </row>
    <row r="258" spans="1:6" hidden="1" x14ac:dyDescent="0.35">
      <c r="A258" t="s">
        <v>14</v>
      </c>
      <c r="B258" t="s">
        <v>32</v>
      </c>
      <c r="C258" t="s">
        <v>31</v>
      </c>
      <c r="E258" t="s">
        <v>9</v>
      </c>
      <c r="F258" t="s">
        <v>10</v>
      </c>
    </row>
    <row r="259" spans="1:6" hidden="1" x14ac:dyDescent="0.35">
      <c r="A259" t="s">
        <v>15</v>
      </c>
      <c r="B259" t="s">
        <v>32</v>
      </c>
      <c r="C259" t="s">
        <v>31</v>
      </c>
      <c r="E259" t="s">
        <v>9</v>
      </c>
      <c r="F259" t="s">
        <v>10</v>
      </c>
    </row>
    <row r="260" spans="1:6" hidden="1" x14ac:dyDescent="0.35">
      <c r="A260" t="s">
        <v>16</v>
      </c>
      <c r="B260" t="s">
        <v>32</v>
      </c>
      <c r="C260" t="s">
        <v>31</v>
      </c>
      <c r="E260" t="s">
        <v>9</v>
      </c>
      <c r="F260" t="s">
        <v>10</v>
      </c>
    </row>
    <row r="261" spans="1:6" hidden="1" x14ac:dyDescent="0.35">
      <c r="A261" t="s">
        <v>17</v>
      </c>
      <c r="B261" t="s">
        <v>32</v>
      </c>
      <c r="C261" t="s">
        <v>31</v>
      </c>
      <c r="E261" t="s">
        <v>9</v>
      </c>
      <c r="F261" t="s">
        <v>10</v>
      </c>
    </row>
    <row r="262" spans="1:6" hidden="1" x14ac:dyDescent="0.35">
      <c r="A262" t="s">
        <v>18</v>
      </c>
      <c r="B262" t="s">
        <v>32</v>
      </c>
      <c r="C262" t="s">
        <v>31</v>
      </c>
      <c r="E262" t="s">
        <v>9</v>
      </c>
      <c r="F262" t="s">
        <v>10</v>
      </c>
    </row>
    <row r="263" spans="1:6" hidden="1" x14ac:dyDescent="0.35">
      <c r="A263" t="s">
        <v>19</v>
      </c>
      <c r="B263" t="s">
        <v>32</v>
      </c>
      <c r="C263" t="s">
        <v>31</v>
      </c>
      <c r="E263" t="s">
        <v>9</v>
      </c>
      <c r="F263" t="s">
        <v>10</v>
      </c>
    </row>
    <row r="264" spans="1:6" hidden="1" x14ac:dyDescent="0.35">
      <c r="A264" t="s">
        <v>20</v>
      </c>
      <c r="B264" t="s">
        <v>32</v>
      </c>
      <c r="C264" t="s">
        <v>31</v>
      </c>
      <c r="E264" t="s">
        <v>9</v>
      </c>
      <c r="F264" t="s">
        <v>10</v>
      </c>
    </row>
    <row r="265" spans="1:6" hidden="1" x14ac:dyDescent="0.35">
      <c r="A265" t="s">
        <v>21</v>
      </c>
      <c r="B265" t="s">
        <v>32</v>
      </c>
      <c r="C265" t="s">
        <v>31</v>
      </c>
      <c r="E265" t="s">
        <v>9</v>
      </c>
      <c r="F265" t="s">
        <v>10</v>
      </c>
    </row>
    <row r="266" spans="1:6" hidden="1" x14ac:dyDescent="0.35">
      <c r="A266" t="s">
        <v>6</v>
      </c>
      <c r="B266" t="s">
        <v>33</v>
      </c>
      <c r="C266" t="s">
        <v>8</v>
      </c>
      <c r="D266">
        <v>2154069</v>
      </c>
      <c r="E266" t="s">
        <v>9</v>
      </c>
      <c r="F266" t="s">
        <v>10</v>
      </c>
    </row>
    <row r="267" spans="1:6" hidden="1" x14ac:dyDescent="0.35">
      <c r="A267" t="s">
        <v>11</v>
      </c>
      <c r="B267" t="s">
        <v>33</v>
      </c>
      <c r="C267" t="s">
        <v>8</v>
      </c>
      <c r="D267">
        <v>2496365</v>
      </c>
      <c r="E267" t="s">
        <v>9</v>
      </c>
      <c r="F267" t="s">
        <v>10</v>
      </c>
    </row>
    <row r="268" spans="1:6" hidden="1" x14ac:dyDescent="0.35">
      <c r="A268" t="s">
        <v>12</v>
      </c>
      <c r="B268" t="s">
        <v>33</v>
      </c>
      <c r="C268" t="s">
        <v>8</v>
      </c>
      <c r="D268">
        <v>1197197</v>
      </c>
      <c r="E268" t="s">
        <v>9</v>
      </c>
      <c r="F268" t="s">
        <v>10</v>
      </c>
    </row>
    <row r="269" spans="1:6" hidden="1" x14ac:dyDescent="0.35">
      <c r="A269" t="s">
        <v>13</v>
      </c>
      <c r="B269" t="s">
        <v>33</v>
      </c>
      <c r="C269" t="s">
        <v>8</v>
      </c>
      <c r="D269">
        <v>1162260</v>
      </c>
      <c r="E269" t="s">
        <v>9</v>
      </c>
      <c r="F269" t="s">
        <v>10</v>
      </c>
    </row>
    <row r="270" spans="1:6" hidden="1" x14ac:dyDescent="0.35">
      <c r="A270" t="s">
        <v>14</v>
      </c>
      <c r="B270" t="s">
        <v>33</v>
      </c>
      <c r="C270" t="s">
        <v>8</v>
      </c>
      <c r="D270">
        <v>1413718</v>
      </c>
      <c r="E270" t="s">
        <v>9</v>
      </c>
      <c r="F270" t="s">
        <v>10</v>
      </c>
    </row>
    <row r="271" spans="1:6" hidden="1" x14ac:dyDescent="0.35">
      <c r="A271" t="s">
        <v>15</v>
      </c>
      <c r="B271" t="s">
        <v>33</v>
      </c>
      <c r="C271" t="s">
        <v>8</v>
      </c>
      <c r="D271">
        <v>815648</v>
      </c>
      <c r="E271" t="s">
        <v>9</v>
      </c>
      <c r="F271" t="s">
        <v>10</v>
      </c>
    </row>
    <row r="272" spans="1:6" hidden="1" x14ac:dyDescent="0.35">
      <c r="A272" t="s">
        <v>16</v>
      </c>
      <c r="B272" t="s">
        <v>33</v>
      </c>
      <c r="C272" t="s">
        <v>8</v>
      </c>
      <c r="D272">
        <v>429608</v>
      </c>
      <c r="E272" t="s">
        <v>9</v>
      </c>
      <c r="F272" t="s">
        <v>10</v>
      </c>
    </row>
    <row r="273" spans="1:6" hidden="1" x14ac:dyDescent="0.35">
      <c r="A273" t="s">
        <v>17</v>
      </c>
      <c r="B273" t="s">
        <v>33</v>
      </c>
      <c r="C273" t="s">
        <v>8</v>
      </c>
      <c r="D273">
        <v>0</v>
      </c>
      <c r="E273" t="s">
        <v>9</v>
      </c>
      <c r="F273" t="s">
        <v>10</v>
      </c>
    </row>
    <row r="274" spans="1:6" hidden="1" x14ac:dyDescent="0.35">
      <c r="A274" t="s">
        <v>18</v>
      </c>
      <c r="B274" t="s">
        <v>33</v>
      </c>
      <c r="C274" t="s">
        <v>8</v>
      </c>
      <c r="D274">
        <v>0</v>
      </c>
      <c r="E274" t="s">
        <v>9</v>
      </c>
      <c r="F274" t="s">
        <v>10</v>
      </c>
    </row>
    <row r="275" spans="1:6" hidden="1" x14ac:dyDescent="0.35">
      <c r="A275" t="s">
        <v>19</v>
      </c>
      <c r="B275" t="s">
        <v>33</v>
      </c>
      <c r="C275" t="s">
        <v>8</v>
      </c>
      <c r="D275">
        <v>139681</v>
      </c>
      <c r="E275" t="s">
        <v>9</v>
      </c>
      <c r="F275" t="s">
        <v>10</v>
      </c>
    </row>
    <row r="276" spans="1:6" hidden="1" x14ac:dyDescent="0.35">
      <c r="A276" t="s">
        <v>20</v>
      </c>
      <c r="B276" t="s">
        <v>33</v>
      </c>
      <c r="C276" t="s">
        <v>8</v>
      </c>
      <c r="D276">
        <v>0</v>
      </c>
      <c r="E276" t="s">
        <v>9</v>
      </c>
      <c r="F276" t="s">
        <v>10</v>
      </c>
    </row>
    <row r="277" spans="1:6" hidden="1" x14ac:dyDescent="0.35">
      <c r="A277" t="s">
        <v>21</v>
      </c>
      <c r="B277" t="s">
        <v>33</v>
      </c>
      <c r="C277" t="s">
        <v>8</v>
      </c>
      <c r="D277">
        <v>229438</v>
      </c>
      <c r="E277" t="s">
        <v>9</v>
      </c>
      <c r="F277" t="s">
        <v>10</v>
      </c>
    </row>
    <row r="278" spans="1:6" hidden="1" x14ac:dyDescent="0.35">
      <c r="A278" t="s">
        <v>6</v>
      </c>
      <c r="B278" t="s">
        <v>33</v>
      </c>
      <c r="C278" t="s">
        <v>22</v>
      </c>
      <c r="D278">
        <v>0</v>
      </c>
      <c r="E278" t="s">
        <v>9</v>
      </c>
      <c r="F278" t="s">
        <v>10</v>
      </c>
    </row>
    <row r="279" spans="1:6" hidden="1" x14ac:dyDescent="0.35">
      <c r="A279" t="s">
        <v>11</v>
      </c>
      <c r="B279" t="s">
        <v>33</v>
      </c>
      <c r="C279" t="s">
        <v>22</v>
      </c>
      <c r="D279">
        <v>0</v>
      </c>
      <c r="E279" t="s">
        <v>9</v>
      </c>
      <c r="F279" t="s">
        <v>10</v>
      </c>
    </row>
    <row r="280" spans="1:6" hidden="1" x14ac:dyDescent="0.35">
      <c r="A280" t="s">
        <v>12</v>
      </c>
      <c r="B280" t="s">
        <v>33</v>
      </c>
      <c r="C280" t="s">
        <v>22</v>
      </c>
      <c r="D280">
        <v>0</v>
      </c>
      <c r="E280" t="s">
        <v>9</v>
      </c>
      <c r="F280" t="s">
        <v>10</v>
      </c>
    </row>
    <row r="281" spans="1:6" hidden="1" x14ac:dyDescent="0.35">
      <c r="A281" t="s">
        <v>13</v>
      </c>
      <c r="B281" t="s">
        <v>33</v>
      </c>
      <c r="C281" t="s">
        <v>22</v>
      </c>
      <c r="D281">
        <v>0</v>
      </c>
      <c r="E281" t="s">
        <v>9</v>
      </c>
      <c r="F281" t="s">
        <v>10</v>
      </c>
    </row>
    <row r="282" spans="1:6" hidden="1" x14ac:dyDescent="0.35">
      <c r="A282" t="s">
        <v>14</v>
      </c>
      <c r="B282" t="s">
        <v>33</v>
      </c>
      <c r="C282" t="s">
        <v>22</v>
      </c>
      <c r="D282">
        <v>0</v>
      </c>
      <c r="E282" t="s">
        <v>9</v>
      </c>
      <c r="F282" t="s">
        <v>10</v>
      </c>
    </row>
    <row r="283" spans="1:6" hidden="1" x14ac:dyDescent="0.35">
      <c r="A283" t="s">
        <v>15</v>
      </c>
      <c r="B283" t="s">
        <v>33</v>
      </c>
      <c r="C283" t="s">
        <v>22</v>
      </c>
      <c r="D283">
        <v>0</v>
      </c>
      <c r="E283" t="s">
        <v>9</v>
      </c>
      <c r="F283" t="s">
        <v>10</v>
      </c>
    </row>
    <row r="284" spans="1:6" hidden="1" x14ac:dyDescent="0.35">
      <c r="A284" t="s">
        <v>16</v>
      </c>
      <c r="B284" t="s">
        <v>33</v>
      </c>
      <c r="C284" t="s">
        <v>22</v>
      </c>
      <c r="D284">
        <v>0</v>
      </c>
      <c r="E284" t="s">
        <v>9</v>
      </c>
      <c r="F284" t="s">
        <v>10</v>
      </c>
    </row>
    <row r="285" spans="1:6" hidden="1" x14ac:dyDescent="0.35">
      <c r="A285" t="s">
        <v>17</v>
      </c>
      <c r="B285" t="s">
        <v>33</v>
      </c>
      <c r="C285" t="s">
        <v>22</v>
      </c>
      <c r="D285">
        <v>0</v>
      </c>
      <c r="E285" t="s">
        <v>9</v>
      </c>
      <c r="F285" t="s">
        <v>10</v>
      </c>
    </row>
    <row r="286" spans="1:6" hidden="1" x14ac:dyDescent="0.35">
      <c r="A286" t="s">
        <v>18</v>
      </c>
      <c r="B286" t="s">
        <v>33</v>
      </c>
      <c r="C286" t="s">
        <v>22</v>
      </c>
      <c r="D286">
        <v>0</v>
      </c>
      <c r="E286" t="s">
        <v>9</v>
      </c>
      <c r="F286" t="s">
        <v>10</v>
      </c>
    </row>
    <row r="287" spans="1:6" hidden="1" x14ac:dyDescent="0.35">
      <c r="A287" t="s">
        <v>19</v>
      </c>
      <c r="B287" t="s">
        <v>33</v>
      </c>
      <c r="C287" t="s">
        <v>22</v>
      </c>
      <c r="D287">
        <v>0</v>
      </c>
      <c r="E287" t="s">
        <v>9</v>
      </c>
      <c r="F287" t="s">
        <v>10</v>
      </c>
    </row>
    <row r="288" spans="1:6" hidden="1" x14ac:dyDescent="0.35">
      <c r="A288" t="s">
        <v>20</v>
      </c>
      <c r="B288" t="s">
        <v>33</v>
      </c>
      <c r="C288" t="s">
        <v>22</v>
      </c>
      <c r="D288">
        <v>0</v>
      </c>
      <c r="E288" t="s">
        <v>9</v>
      </c>
      <c r="F288" t="s">
        <v>10</v>
      </c>
    </row>
    <row r="289" spans="1:6" hidden="1" x14ac:dyDescent="0.35">
      <c r="A289" t="s">
        <v>21</v>
      </c>
      <c r="B289" t="s">
        <v>33</v>
      </c>
      <c r="C289" t="s">
        <v>22</v>
      </c>
      <c r="D289">
        <v>0</v>
      </c>
      <c r="E289" t="s">
        <v>9</v>
      </c>
      <c r="F289" t="s">
        <v>10</v>
      </c>
    </row>
    <row r="290" spans="1:6" hidden="1" x14ac:dyDescent="0.35">
      <c r="A290" t="s">
        <v>6</v>
      </c>
      <c r="B290" t="s">
        <v>33</v>
      </c>
      <c r="C290" t="s">
        <v>23</v>
      </c>
      <c r="D290">
        <v>2223555</v>
      </c>
      <c r="E290" t="s">
        <v>9</v>
      </c>
      <c r="F290" t="s">
        <v>10</v>
      </c>
    </row>
    <row r="291" spans="1:6" hidden="1" x14ac:dyDescent="0.35">
      <c r="A291" t="s">
        <v>11</v>
      </c>
      <c r="B291" t="s">
        <v>33</v>
      </c>
      <c r="C291" t="s">
        <v>23</v>
      </c>
      <c r="D291">
        <v>1871907</v>
      </c>
      <c r="E291" t="s">
        <v>9</v>
      </c>
      <c r="F291" t="s">
        <v>10</v>
      </c>
    </row>
    <row r="292" spans="1:6" hidden="1" x14ac:dyDescent="0.35">
      <c r="A292" t="s">
        <v>12</v>
      </c>
      <c r="B292" t="s">
        <v>33</v>
      </c>
      <c r="C292" t="s">
        <v>23</v>
      </c>
      <c r="D292">
        <v>1118740</v>
      </c>
      <c r="E292" t="s">
        <v>9</v>
      </c>
      <c r="F292" t="s">
        <v>10</v>
      </c>
    </row>
    <row r="293" spans="1:6" hidden="1" x14ac:dyDescent="0.35">
      <c r="A293" t="s">
        <v>13</v>
      </c>
      <c r="B293" t="s">
        <v>33</v>
      </c>
      <c r="C293" t="s">
        <v>23</v>
      </c>
      <c r="D293">
        <v>762255</v>
      </c>
      <c r="E293" t="s">
        <v>9</v>
      </c>
      <c r="F293" t="s">
        <v>10</v>
      </c>
    </row>
    <row r="294" spans="1:6" hidden="1" x14ac:dyDescent="0.35">
      <c r="A294" t="s">
        <v>14</v>
      </c>
      <c r="B294" t="s">
        <v>33</v>
      </c>
      <c r="C294" t="s">
        <v>23</v>
      </c>
      <c r="D294">
        <v>2104250</v>
      </c>
      <c r="E294" t="s">
        <v>9</v>
      </c>
      <c r="F294" t="s">
        <v>10</v>
      </c>
    </row>
    <row r="295" spans="1:6" hidden="1" x14ac:dyDescent="0.35">
      <c r="A295" t="s">
        <v>15</v>
      </c>
      <c r="B295" t="s">
        <v>33</v>
      </c>
      <c r="C295" t="s">
        <v>23</v>
      </c>
      <c r="D295">
        <v>1424260</v>
      </c>
      <c r="E295" t="s">
        <v>9</v>
      </c>
      <c r="F295" t="s">
        <v>10</v>
      </c>
    </row>
    <row r="296" spans="1:6" hidden="1" x14ac:dyDescent="0.35">
      <c r="A296" t="s">
        <v>16</v>
      </c>
      <c r="B296" t="s">
        <v>33</v>
      </c>
      <c r="C296" t="s">
        <v>23</v>
      </c>
      <c r="D296">
        <v>204621</v>
      </c>
      <c r="E296" t="s">
        <v>9</v>
      </c>
      <c r="F296" t="s">
        <v>10</v>
      </c>
    </row>
    <row r="297" spans="1:6" hidden="1" x14ac:dyDescent="0.35">
      <c r="A297" t="s">
        <v>17</v>
      </c>
      <c r="B297" t="s">
        <v>33</v>
      </c>
      <c r="C297" t="s">
        <v>23</v>
      </c>
      <c r="D297">
        <v>0</v>
      </c>
      <c r="E297" t="s">
        <v>9</v>
      </c>
      <c r="F297" t="s">
        <v>10</v>
      </c>
    </row>
    <row r="298" spans="1:6" hidden="1" x14ac:dyDescent="0.35">
      <c r="A298" t="s">
        <v>18</v>
      </c>
      <c r="B298" t="s">
        <v>33</v>
      </c>
      <c r="C298" t="s">
        <v>23</v>
      </c>
      <c r="D298">
        <v>0</v>
      </c>
      <c r="E298" t="s">
        <v>9</v>
      </c>
      <c r="F298" t="s">
        <v>10</v>
      </c>
    </row>
    <row r="299" spans="1:6" hidden="1" x14ac:dyDescent="0.35">
      <c r="A299" t="s">
        <v>19</v>
      </c>
      <c r="B299" t="s">
        <v>33</v>
      </c>
      <c r="C299" t="s">
        <v>23</v>
      </c>
      <c r="D299">
        <v>116595</v>
      </c>
      <c r="E299" t="s">
        <v>9</v>
      </c>
      <c r="F299" t="s">
        <v>10</v>
      </c>
    </row>
    <row r="300" spans="1:6" hidden="1" x14ac:dyDescent="0.35">
      <c r="A300" t="s">
        <v>20</v>
      </c>
      <c r="B300" t="s">
        <v>33</v>
      </c>
      <c r="C300" t="s">
        <v>23</v>
      </c>
      <c r="D300">
        <v>0</v>
      </c>
      <c r="E300" t="s">
        <v>9</v>
      </c>
      <c r="F300" t="s">
        <v>10</v>
      </c>
    </row>
    <row r="301" spans="1:6" hidden="1" x14ac:dyDescent="0.35">
      <c r="A301" t="s">
        <v>21</v>
      </c>
      <c r="B301" t="s">
        <v>33</v>
      </c>
      <c r="C301" t="s">
        <v>23</v>
      </c>
      <c r="D301">
        <v>99634</v>
      </c>
      <c r="E301" t="s">
        <v>9</v>
      </c>
      <c r="F301" t="s">
        <v>10</v>
      </c>
    </row>
    <row r="302" spans="1:6" hidden="1" x14ac:dyDescent="0.35">
      <c r="A302" t="s">
        <v>6</v>
      </c>
      <c r="B302" t="s">
        <v>33</v>
      </c>
      <c r="C302" t="s">
        <v>24</v>
      </c>
      <c r="D302">
        <v>0</v>
      </c>
      <c r="E302" t="s">
        <v>9</v>
      </c>
      <c r="F302" t="s">
        <v>10</v>
      </c>
    </row>
    <row r="303" spans="1:6" hidden="1" x14ac:dyDescent="0.35">
      <c r="A303" t="s">
        <v>11</v>
      </c>
      <c r="B303" t="s">
        <v>33</v>
      </c>
      <c r="C303" t="s">
        <v>24</v>
      </c>
      <c r="D303">
        <v>0</v>
      </c>
      <c r="E303" t="s">
        <v>9</v>
      </c>
      <c r="F303" t="s">
        <v>10</v>
      </c>
    </row>
    <row r="304" spans="1:6" hidden="1" x14ac:dyDescent="0.35">
      <c r="A304" t="s">
        <v>12</v>
      </c>
      <c r="B304" t="s">
        <v>33</v>
      </c>
      <c r="C304" t="s">
        <v>24</v>
      </c>
      <c r="D304">
        <v>0</v>
      </c>
      <c r="E304" t="s">
        <v>9</v>
      </c>
      <c r="F304" t="s">
        <v>10</v>
      </c>
    </row>
    <row r="305" spans="1:6" hidden="1" x14ac:dyDescent="0.35">
      <c r="A305" t="s">
        <v>13</v>
      </c>
      <c r="B305" t="s">
        <v>33</v>
      </c>
      <c r="C305" t="s">
        <v>24</v>
      </c>
      <c r="D305">
        <v>0</v>
      </c>
      <c r="E305" t="s">
        <v>9</v>
      </c>
      <c r="F305" t="s">
        <v>10</v>
      </c>
    </row>
    <row r="306" spans="1:6" hidden="1" x14ac:dyDescent="0.35">
      <c r="A306" t="s">
        <v>14</v>
      </c>
      <c r="B306" t="s">
        <v>33</v>
      </c>
      <c r="C306" t="s">
        <v>24</v>
      </c>
      <c r="D306">
        <v>0</v>
      </c>
      <c r="E306" t="s">
        <v>9</v>
      </c>
      <c r="F306" t="s">
        <v>10</v>
      </c>
    </row>
    <row r="307" spans="1:6" hidden="1" x14ac:dyDescent="0.35">
      <c r="A307" t="s">
        <v>15</v>
      </c>
      <c r="B307" t="s">
        <v>33</v>
      </c>
      <c r="C307" t="s">
        <v>24</v>
      </c>
      <c r="D307">
        <v>0</v>
      </c>
      <c r="E307" t="s">
        <v>9</v>
      </c>
      <c r="F307" t="s">
        <v>10</v>
      </c>
    </row>
    <row r="308" spans="1:6" hidden="1" x14ac:dyDescent="0.35">
      <c r="A308" t="s">
        <v>16</v>
      </c>
      <c r="B308" t="s">
        <v>33</v>
      </c>
      <c r="C308" t="s">
        <v>24</v>
      </c>
      <c r="D308">
        <v>0</v>
      </c>
      <c r="E308" t="s">
        <v>9</v>
      </c>
      <c r="F308" t="s">
        <v>10</v>
      </c>
    </row>
    <row r="309" spans="1:6" hidden="1" x14ac:dyDescent="0.35">
      <c r="A309" t="s">
        <v>17</v>
      </c>
      <c r="B309" t="s">
        <v>33</v>
      </c>
      <c r="C309" t="s">
        <v>24</v>
      </c>
      <c r="D309">
        <v>0</v>
      </c>
      <c r="E309" t="s">
        <v>9</v>
      </c>
      <c r="F309" t="s">
        <v>10</v>
      </c>
    </row>
    <row r="310" spans="1:6" hidden="1" x14ac:dyDescent="0.35">
      <c r="A310" t="s">
        <v>18</v>
      </c>
      <c r="B310" t="s">
        <v>33</v>
      </c>
      <c r="C310" t="s">
        <v>24</v>
      </c>
      <c r="D310">
        <v>0</v>
      </c>
      <c r="E310" t="s">
        <v>9</v>
      </c>
      <c r="F310" t="s">
        <v>10</v>
      </c>
    </row>
    <row r="311" spans="1:6" hidden="1" x14ac:dyDescent="0.35">
      <c r="A311" t="s">
        <v>19</v>
      </c>
      <c r="B311" t="s">
        <v>33</v>
      </c>
      <c r="C311" t="s">
        <v>24</v>
      </c>
      <c r="D311">
        <v>0</v>
      </c>
      <c r="E311" t="s">
        <v>9</v>
      </c>
      <c r="F311" t="s">
        <v>10</v>
      </c>
    </row>
    <row r="312" spans="1:6" hidden="1" x14ac:dyDescent="0.35">
      <c r="A312" t="s">
        <v>20</v>
      </c>
      <c r="B312" t="s">
        <v>33</v>
      </c>
      <c r="C312" t="s">
        <v>24</v>
      </c>
      <c r="D312">
        <v>0</v>
      </c>
      <c r="E312" t="s">
        <v>9</v>
      </c>
      <c r="F312" t="s">
        <v>10</v>
      </c>
    </row>
    <row r="313" spans="1:6" hidden="1" x14ac:dyDescent="0.35">
      <c r="A313" t="s">
        <v>21</v>
      </c>
      <c r="B313" t="s">
        <v>33</v>
      </c>
      <c r="C313" t="s">
        <v>24</v>
      </c>
      <c r="D313">
        <v>0</v>
      </c>
      <c r="E313" t="s">
        <v>9</v>
      </c>
      <c r="F313" t="s">
        <v>10</v>
      </c>
    </row>
    <row r="314" spans="1:6" hidden="1" x14ac:dyDescent="0.35">
      <c r="A314" t="s">
        <v>6</v>
      </c>
      <c r="B314" t="s">
        <v>33</v>
      </c>
      <c r="C314" t="s">
        <v>25</v>
      </c>
      <c r="D314">
        <v>13735</v>
      </c>
      <c r="E314" t="s">
        <v>9</v>
      </c>
      <c r="F314" t="s">
        <v>10</v>
      </c>
    </row>
    <row r="315" spans="1:6" hidden="1" x14ac:dyDescent="0.35">
      <c r="A315" t="s">
        <v>11</v>
      </c>
      <c r="B315" t="s">
        <v>33</v>
      </c>
      <c r="C315" t="s">
        <v>25</v>
      </c>
      <c r="D315">
        <v>64392</v>
      </c>
      <c r="E315" t="s">
        <v>9</v>
      </c>
      <c r="F315" t="s">
        <v>10</v>
      </c>
    </row>
    <row r="316" spans="1:6" hidden="1" x14ac:dyDescent="0.35">
      <c r="A316" t="s">
        <v>12</v>
      </c>
      <c r="B316" t="s">
        <v>33</v>
      </c>
      <c r="C316" t="s">
        <v>25</v>
      </c>
      <c r="D316">
        <v>0</v>
      </c>
      <c r="E316" t="s">
        <v>9</v>
      </c>
      <c r="F316" t="s">
        <v>10</v>
      </c>
    </row>
    <row r="317" spans="1:6" hidden="1" x14ac:dyDescent="0.35">
      <c r="A317" t="s">
        <v>13</v>
      </c>
      <c r="B317" t="s">
        <v>33</v>
      </c>
      <c r="C317" t="s">
        <v>25</v>
      </c>
      <c r="D317">
        <v>2010</v>
      </c>
      <c r="E317" t="s">
        <v>9</v>
      </c>
      <c r="F317" t="s">
        <v>10</v>
      </c>
    </row>
    <row r="318" spans="1:6" hidden="1" x14ac:dyDescent="0.35">
      <c r="A318" t="s">
        <v>14</v>
      </c>
      <c r="B318" t="s">
        <v>33</v>
      </c>
      <c r="C318" t="s">
        <v>25</v>
      </c>
      <c r="D318">
        <v>5111</v>
      </c>
      <c r="E318" t="s">
        <v>9</v>
      </c>
      <c r="F318" t="s">
        <v>10</v>
      </c>
    </row>
    <row r="319" spans="1:6" hidden="1" x14ac:dyDescent="0.35">
      <c r="A319" t="s">
        <v>15</v>
      </c>
      <c r="B319" t="s">
        <v>33</v>
      </c>
      <c r="C319" t="s">
        <v>25</v>
      </c>
      <c r="D319">
        <v>67306</v>
      </c>
      <c r="E319" t="s">
        <v>9</v>
      </c>
      <c r="F319" t="s">
        <v>10</v>
      </c>
    </row>
    <row r="320" spans="1:6" hidden="1" x14ac:dyDescent="0.35">
      <c r="A320" t="s">
        <v>16</v>
      </c>
      <c r="B320" t="s">
        <v>33</v>
      </c>
      <c r="C320" t="s">
        <v>25</v>
      </c>
      <c r="D320">
        <v>254278</v>
      </c>
      <c r="E320" t="s">
        <v>9</v>
      </c>
      <c r="F320" t="s">
        <v>10</v>
      </c>
    </row>
    <row r="321" spans="1:6" hidden="1" x14ac:dyDescent="0.35">
      <c r="A321" t="s">
        <v>17</v>
      </c>
      <c r="B321" t="s">
        <v>33</v>
      </c>
      <c r="C321" t="s">
        <v>25</v>
      </c>
      <c r="D321">
        <v>81239</v>
      </c>
      <c r="E321" t="s">
        <v>9</v>
      </c>
      <c r="F321" t="s">
        <v>10</v>
      </c>
    </row>
    <row r="322" spans="1:6" hidden="1" x14ac:dyDescent="0.35">
      <c r="A322" t="s">
        <v>18</v>
      </c>
      <c r="B322" t="s">
        <v>33</v>
      </c>
      <c r="C322" t="s">
        <v>25</v>
      </c>
      <c r="D322">
        <v>166489</v>
      </c>
      <c r="E322" t="s">
        <v>9</v>
      </c>
      <c r="F322" t="s">
        <v>10</v>
      </c>
    </row>
    <row r="323" spans="1:6" hidden="1" x14ac:dyDescent="0.35">
      <c r="A323" t="s">
        <v>19</v>
      </c>
      <c r="B323" t="s">
        <v>33</v>
      </c>
      <c r="C323" t="s">
        <v>25</v>
      </c>
      <c r="D323">
        <v>17490</v>
      </c>
      <c r="E323" t="s">
        <v>9</v>
      </c>
      <c r="F323" t="s">
        <v>10</v>
      </c>
    </row>
    <row r="324" spans="1:6" hidden="1" x14ac:dyDescent="0.35">
      <c r="A324" t="s">
        <v>20</v>
      </c>
      <c r="B324" t="s">
        <v>33</v>
      </c>
      <c r="C324" t="s">
        <v>25</v>
      </c>
      <c r="D324">
        <v>0</v>
      </c>
      <c r="E324" t="s">
        <v>9</v>
      </c>
      <c r="F324" t="s">
        <v>10</v>
      </c>
    </row>
    <row r="325" spans="1:6" hidden="1" x14ac:dyDescent="0.35">
      <c r="A325" t="s">
        <v>21</v>
      </c>
      <c r="B325" t="s">
        <v>33</v>
      </c>
      <c r="C325" t="s">
        <v>25</v>
      </c>
      <c r="D325">
        <v>67878</v>
      </c>
      <c r="E325" t="s">
        <v>9</v>
      </c>
      <c r="F325" t="s">
        <v>10</v>
      </c>
    </row>
    <row r="326" spans="1:6" hidden="1" x14ac:dyDescent="0.35">
      <c r="A326" t="s">
        <v>6</v>
      </c>
      <c r="B326" t="s">
        <v>33</v>
      </c>
      <c r="C326" t="s">
        <v>26</v>
      </c>
      <c r="D326">
        <v>0</v>
      </c>
      <c r="E326" t="s">
        <v>9</v>
      </c>
      <c r="F326" t="s">
        <v>10</v>
      </c>
    </row>
    <row r="327" spans="1:6" hidden="1" x14ac:dyDescent="0.35">
      <c r="A327" t="s">
        <v>11</v>
      </c>
      <c r="B327" t="s">
        <v>33</v>
      </c>
      <c r="C327" t="s">
        <v>26</v>
      </c>
      <c r="E327" t="s">
        <v>9</v>
      </c>
      <c r="F327" t="s">
        <v>10</v>
      </c>
    </row>
    <row r="328" spans="1:6" hidden="1" x14ac:dyDescent="0.35">
      <c r="A328" t="s">
        <v>12</v>
      </c>
      <c r="B328" t="s">
        <v>33</v>
      </c>
      <c r="C328" t="s">
        <v>26</v>
      </c>
      <c r="E328" t="s">
        <v>9</v>
      </c>
      <c r="F328" t="s">
        <v>10</v>
      </c>
    </row>
    <row r="329" spans="1:6" hidden="1" x14ac:dyDescent="0.35">
      <c r="A329" t="s">
        <v>13</v>
      </c>
      <c r="B329" t="s">
        <v>33</v>
      </c>
      <c r="C329" t="s">
        <v>26</v>
      </c>
      <c r="E329" t="s">
        <v>9</v>
      </c>
      <c r="F329" t="s">
        <v>10</v>
      </c>
    </row>
    <row r="330" spans="1:6" hidden="1" x14ac:dyDescent="0.35">
      <c r="A330" t="s">
        <v>14</v>
      </c>
      <c r="B330" t="s">
        <v>33</v>
      </c>
      <c r="C330" t="s">
        <v>26</v>
      </c>
      <c r="E330" t="s">
        <v>9</v>
      </c>
      <c r="F330" t="s">
        <v>10</v>
      </c>
    </row>
    <row r="331" spans="1:6" hidden="1" x14ac:dyDescent="0.35">
      <c r="A331" t="s">
        <v>15</v>
      </c>
      <c r="B331" t="s">
        <v>33</v>
      </c>
      <c r="C331" t="s">
        <v>26</v>
      </c>
      <c r="E331" t="s">
        <v>9</v>
      </c>
      <c r="F331" t="s">
        <v>10</v>
      </c>
    </row>
    <row r="332" spans="1:6" hidden="1" x14ac:dyDescent="0.35">
      <c r="A332" t="s">
        <v>16</v>
      </c>
      <c r="B332" t="s">
        <v>33</v>
      </c>
      <c r="C332" t="s">
        <v>26</v>
      </c>
      <c r="E332" t="s">
        <v>9</v>
      </c>
      <c r="F332" t="s">
        <v>10</v>
      </c>
    </row>
    <row r="333" spans="1:6" hidden="1" x14ac:dyDescent="0.35">
      <c r="A333" t="s">
        <v>17</v>
      </c>
      <c r="B333" t="s">
        <v>33</v>
      </c>
      <c r="C333" t="s">
        <v>26</v>
      </c>
      <c r="E333" t="s">
        <v>9</v>
      </c>
      <c r="F333" t="s">
        <v>10</v>
      </c>
    </row>
    <row r="334" spans="1:6" hidden="1" x14ac:dyDescent="0.35">
      <c r="A334" t="s">
        <v>18</v>
      </c>
      <c r="B334" t="s">
        <v>33</v>
      </c>
      <c r="C334" t="s">
        <v>26</v>
      </c>
      <c r="E334" t="s">
        <v>9</v>
      </c>
      <c r="F334" t="s">
        <v>10</v>
      </c>
    </row>
    <row r="335" spans="1:6" hidden="1" x14ac:dyDescent="0.35">
      <c r="A335" t="s">
        <v>19</v>
      </c>
      <c r="B335" t="s">
        <v>33</v>
      </c>
      <c r="C335" t="s">
        <v>26</v>
      </c>
      <c r="E335" t="s">
        <v>9</v>
      </c>
      <c r="F335" t="s">
        <v>10</v>
      </c>
    </row>
    <row r="336" spans="1:6" hidden="1" x14ac:dyDescent="0.35">
      <c r="A336" t="s">
        <v>20</v>
      </c>
      <c r="B336" t="s">
        <v>33</v>
      </c>
      <c r="C336" t="s">
        <v>26</v>
      </c>
      <c r="E336" t="s">
        <v>9</v>
      </c>
      <c r="F336" t="s">
        <v>10</v>
      </c>
    </row>
    <row r="337" spans="1:6" hidden="1" x14ac:dyDescent="0.35">
      <c r="A337" t="s">
        <v>21</v>
      </c>
      <c r="B337" t="s">
        <v>33</v>
      </c>
      <c r="C337" t="s">
        <v>26</v>
      </c>
      <c r="E337" t="s">
        <v>9</v>
      </c>
      <c r="F337" t="s">
        <v>10</v>
      </c>
    </row>
    <row r="338" spans="1:6" hidden="1" x14ac:dyDescent="0.35">
      <c r="A338" t="s">
        <v>6</v>
      </c>
      <c r="B338" t="s">
        <v>33</v>
      </c>
      <c r="C338" t="s">
        <v>27</v>
      </c>
      <c r="D338">
        <v>534142</v>
      </c>
      <c r="E338" t="s">
        <v>9</v>
      </c>
      <c r="F338" t="s">
        <v>10</v>
      </c>
    </row>
    <row r="339" spans="1:6" hidden="1" x14ac:dyDescent="0.35">
      <c r="A339" t="s">
        <v>11</v>
      </c>
      <c r="B339" t="s">
        <v>33</v>
      </c>
      <c r="C339" t="s">
        <v>27</v>
      </c>
      <c r="D339">
        <v>346491</v>
      </c>
      <c r="E339" t="s">
        <v>9</v>
      </c>
      <c r="F339" t="s">
        <v>10</v>
      </c>
    </row>
    <row r="340" spans="1:6" hidden="1" x14ac:dyDescent="0.35">
      <c r="A340" t="s">
        <v>12</v>
      </c>
      <c r="B340" t="s">
        <v>33</v>
      </c>
      <c r="C340" t="s">
        <v>27</v>
      </c>
      <c r="D340">
        <v>303370</v>
      </c>
      <c r="E340" t="s">
        <v>9</v>
      </c>
      <c r="F340" t="s">
        <v>10</v>
      </c>
    </row>
    <row r="341" spans="1:6" hidden="1" x14ac:dyDescent="0.35">
      <c r="A341" t="s">
        <v>13</v>
      </c>
      <c r="B341" t="s">
        <v>33</v>
      </c>
      <c r="C341" t="s">
        <v>27</v>
      </c>
      <c r="D341">
        <v>628881</v>
      </c>
      <c r="E341" t="s">
        <v>9</v>
      </c>
      <c r="F341" t="s">
        <v>10</v>
      </c>
    </row>
    <row r="342" spans="1:6" hidden="1" x14ac:dyDescent="0.35">
      <c r="A342" t="s">
        <v>14</v>
      </c>
      <c r="B342" t="s">
        <v>33</v>
      </c>
      <c r="C342" t="s">
        <v>27</v>
      </c>
      <c r="D342">
        <v>526983</v>
      </c>
      <c r="E342" t="s">
        <v>9</v>
      </c>
      <c r="F342" t="s">
        <v>10</v>
      </c>
    </row>
    <row r="343" spans="1:6" hidden="1" x14ac:dyDescent="0.35">
      <c r="A343" t="s">
        <v>15</v>
      </c>
      <c r="B343" t="s">
        <v>33</v>
      </c>
      <c r="C343" t="s">
        <v>27</v>
      </c>
      <c r="D343">
        <v>234208</v>
      </c>
      <c r="E343" t="s">
        <v>9</v>
      </c>
      <c r="F343" t="s">
        <v>10</v>
      </c>
    </row>
    <row r="344" spans="1:6" hidden="1" x14ac:dyDescent="0.35">
      <c r="A344" t="s">
        <v>16</v>
      </c>
      <c r="B344" t="s">
        <v>33</v>
      </c>
      <c r="C344" t="s">
        <v>27</v>
      </c>
      <c r="D344">
        <v>176396</v>
      </c>
      <c r="E344" t="s">
        <v>9</v>
      </c>
      <c r="F344" t="s">
        <v>10</v>
      </c>
    </row>
    <row r="345" spans="1:6" hidden="1" x14ac:dyDescent="0.35">
      <c r="A345" t="s">
        <v>17</v>
      </c>
      <c r="B345" t="s">
        <v>33</v>
      </c>
      <c r="C345" t="s">
        <v>27</v>
      </c>
      <c r="D345">
        <v>2163200</v>
      </c>
      <c r="E345" t="s">
        <v>9</v>
      </c>
      <c r="F345" t="s">
        <v>10</v>
      </c>
    </row>
    <row r="346" spans="1:6" hidden="1" x14ac:dyDescent="0.35">
      <c r="A346" t="s">
        <v>18</v>
      </c>
      <c r="B346" t="s">
        <v>33</v>
      </c>
      <c r="C346" t="s">
        <v>27</v>
      </c>
      <c r="D346">
        <v>1403972</v>
      </c>
      <c r="E346" t="s">
        <v>9</v>
      </c>
      <c r="F346" t="s">
        <v>10</v>
      </c>
    </row>
    <row r="347" spans="1:6" hidden="1" x14ac:dyDescent="0.35">
      <c r="A347" t="s">
        <v>19</v>
      </c>
      <c r="B347" t="s">
        <v>33</v>
      </c>
      <c r="C347" t="s">
        <v>27</v>
      </c>
      <c r="D347">
        <v>1882795</v>
      </c>
      <c r="E347" t="s">
        <v>9</v>
      </c>
      <c r="F347" t="s">
        <v>10</v>
      </c>
    </row>
    <row r="348" spans="1:6" hidden="1" x14ac:dyDescent="0.35">
      <c r="A348" t="s">
        <v>20</v>
      </c>
      <c r="B348" t="s">
        <v>33</v>
      </c>
      <c r="C348" t="s">
        <v>27</v>
      </c>
      <c r="D348">
        <v>407124</v>
      </c>
      <c r="E348" t="s">
        <v>9</v>
      </c>
      <c r="F348" t="s">
        <v>10</v>
      </c>
    </row>
    <row r="349" spans="1:6" hidden="1" x14ac:dyDescent="0.35">
      <c r="A349" t="s">
        <v>21</v>
      </c>
      <c r="B349" t="s">
        <v>33</v>
      </c>
      <c r="C349" t="s">
        <v>27</v>
      </c>
      <c r="D349">
        <v>2512024</v>
      </c>
      <c r="E349" t="s">
        <v>9</v>
      </c>
      <c r="F349" t="s">
        <v>10</v>
      </c>
    </row>
    <row r="350" spans="1:6" hidden="1" x14ac:dyDescent="0.35">
      <c r="A350" t="s">
        <v>6</v>
      </c>
      <c r="B350" t="s">
        <v>33</v>
      </c>
      <c r="C350" t="s">
        <v>28</v>
      </c>
      <c r="D350">
        <v>6531693</v>
      </c>
      <c r="E350" t="s">
        <v>9</v>
      </c>
      <c r="F350" t="s">
        <v>10</v>
      </c>
    </row>
    <row r="351" spans="1:6" hidden="1" x14ac:dyDescent="0.35">
      <c r="A351" t="s">
        <v>11</v>
      </c>
      <c r="B351" t="s">
        <v>33</v>
      </c>
      <c r="C351" t="s">
        <v>28</v>
      </c>
      <c r="D351">
        <v>6864637</v>
      </c>
      <c r="E351" t="s">
        <v>9</v>
      </c>
      <c r="F351" t="s">
        <v>10</v>
      </c>
    </row>
    <row r="352" spans="1:6" hidden="1" x14ac:dyDescent="0.35">
      <c r="A352" t="s">
        <v>12</v>
      </c>
      <c r="B352" t="s">
        <v>33</v>
      </c>
      <c r="C352" t="s">
        <v>28</v>
      </c>
      <c r="D352">
        <v>3513135</v>
      </c>
      <c r="E352" t="s">
        <v>9</v>
      </c>
      <c r="F352" t="s">
        <v>10</v>
      </c>
    </row>
    <row r="353" spans="1:6" hidden="1" x14ac:dyDescent="0.35">
      <c r="A353" t="s">
        <v>13</v>
      </c>
      <c r="B353" t="s">
        <v>33</v>
      </c>
      <c r="C353" t="s">
        <v>28</v>
      </c>
      <c r="D353">
        <v>3086775</v>
      </c>
      <c r="E353" t="s">
        <v>9</v>
      </c>
      <c r="F353" t="s">
        <v>10</v>
      </c>
    </row>
    <row r="354" spans="1:6" hidden="1" x14ac:dyDescent="0.35">
      <c r="A354" t="s">
        <v>14</v>
      </c>
      <c r="B354" t="s">
        <v>33</v>
      </c>
      <c r="C354" t="s">
        <v>28</v>
      </c>
      <c r="D354">
        <v>4931686</v>
      </c>
      <c r="E354" t="s">
        <v>9</v>
      </c>
      <c r="F354" t="s">
        <v>10</v>
      </c>
    </row>
    <row r="355" spans="1:6" hidden="1" x14ac:dyDescent="0.35">
      <c r="A355" t="s">
        <v>15</v>
      </c>
      <c r="B355" t="s">
        <v>33</v>
      </c>
      <c r="C355" t="s">
        <v>28</v>
      </c>
      <c r="D355">
        <v>3055556</v>
      </c>
      <c r="E355" t="s">
        <v>9</v>
      </c>
      <c r="F355" t="s">
        <v>10</v>
      </c>
    </row>
    <row r="356" spans="1:6" hidden="1" x14ac:dyDescent="0.35">
      <c r="A356" t="s">
        <v>16</v>
      </c>
      <c r="B356" t="s">
        <v>33</v>
      </c>
      <c r="C356" t="s">
        <v>28</v>
      </c>
      <c r="D356">
        <v>1063838</v>
      </c>
      <c r="E356" t="s">
        <v>9</v>
      </c>
      <c r="F356" t="s">
        <v>10</v>
      </c>
    </row>
    <row r="357" spans="1:6" hidden="1" x14ac:dyDescent="0.35">
      <c r="A357" t="s">
        <v>17</v>
      </c>
      <c r="B357" t="s">
        <v>33</v>
      </c>
      <c r="C357" t="s">
        <v>28</v>
      </c>
      <c r="D357">
        <v>0</v>
      </c>
      <c r="E357" t="s">
        <v>9</v>
      </c>
      <c r="F357" t="s">
        <v>10</v>
      </c>
    </row>
    <row r="358" spans="1:6" hidden="1" x14ac:dyDescent="0.35">
      <c r="A358" t="s">
        <v>18</v>
      </c>
      <c r="B358" t="s">
        <v>33</v>
      </c>
      <c r="C358" t="s">
        <v>28</v>
      </c>
      <c r="D358">
        <v>0</v>
      </c>
      <c r="E358" t="s">
        <v>9</v>
      </c>
      <c r="F358" t="s">
        <v>10</v>
      </c>
    </row>
    <row r="359" spans="1:6" hidden="1" x14ac:dyDescent="0.35">
      <c r="A359" t="s">
        <v>19</v>
      </c>
      <c r="B359" t="s">
        <v>33</v>
      </c>
      <c r="C359" t="s">
        <v>28</v>
      </c>
      <c r="D359">
        <v>395958</v>
      </c>
      <c r="E359" t="s">
        <v>9</v>
      </c>
      <c r="F359" t="s">
        <v>10</v>
      </c>
    </row>
    <row r="360" spans="1:6" hidden="1" x14ac:dyDescent="0.35">
      <c r="A360" t="s">
        <v>20</v>
      </c>
      <c r="B360" t="s">
        <v>33</v>
      </c>
      <c r="C360" t="s">
        <v>28</v>
      </c>
      <c r="D360">
        <v>0</v>
      </c>
      <c r="E360" t="s">
        <v>9</v>
      </c>
      <c r="F360" t="s">
        <v>10</v>
      </c>
    </row>
    <row r="361" spans="1:6" hidden="1" x14ac:dyDescent="0.35">
      <c r="A361" t="s">
        <v>21</v>
      </c>
      <c r="B361" t="s">
        <v>33</v>
      </c>
      <c r="C361" t="s">
        <v>28</v>
      </c>
      <c r="D361">
        <v>777296</v>
      </c>
      <c r="E361" t="s">
        <v>9</v>
      </c>
      <c r="F361" t="s">
        <v>10</v>
      </c>
    </row>
    <row r="362" spans="1:6" hidden="1" x14ac:dyDescent="0.35">
      <c r="A362" t="s">
        <v>6</v>
      </c>
      <c r="B362" t="s">
        <v>33</v>
      </c>
      <c r="C362" t="s">
        <v>29</v>
      </c>
      <c r="D362">
        <v>30</v>
      </c>
      <c r="E362" t="s">
        <v>9</v>
      </c>
      <c r="F362" t="s">
        <v>10</v>
      </c>
    </row>
    <row r="363" spans="1:6" hidden="1" x14ac:dyDescent="0.35">
      <c r="A363" t="s">
        <v>11</v>
      </c>
      <c r="B363" t="s">
        <v>33</v>
      </c>
      <c r="C363" t="s">
        <v>29</v>
      </c>
      <c r="D363">
        <v>29</v>
      </c>
      <c r="E363" t="s">
        <v>9</v>
      </c>
      <c r="F363" t="s">
        <v>10</v>
      </c>
    </row>
    <row r="364" spans="1:6" hidden="1" x14ac:dyDescent="0.35">
      <c r="A364" t="s">
        <v>12</v>
      </c>
      <c r="B364" t="s">
        <v>33</v>
      </c>
      <c r="C364" t="s">
        <v>29</v>
      </c>
      <c r="D364">
        <v>37</v>
      </c>
      <c r="E364" t="s">
        <v>9</v>
      </c>
      <c r="F364" t="s">
        <v>10</v>
      </c>
    </row>
    <row r="365" spans="1:6" hidden="1" x14ac:dyDescent="0.35">
      <c r="A365" t="s">
        <v>13</v>
      </c>
      <c r="B365" t="s">
        <v>33</v>
      </c>
      <c r="C365" t="s">
        <v>29</v>
      </c>
      <c r="D365">
        <v>32</v>
      </c>
      <c r="E365" t="s">
        <v>9</v>
      </c>
      <c r="F365" t="s">
        <v>10</v>
      </c>
    </row>
    <row r="366" spans="1:6" hidden="1" x14ac:dyDescent="0.35">
      <c r="A366" t="s">
        <v>14</v>
      </c>
      <c r="B366" t="s">
        <v>33</v>
      </c>
      <c r="C366" t="s">
        <v>29</v>
      </c>
      <c r="D366">
        <v>42</v>
      </c>
      <c r="E366" t="s">
        <v>9</v>
      </c>
      <c r="F366" t="s">
        <v>10</v>
      </c>
    </row>
    <row r="367" spans="1:6" hidden="1" x14ac:dyDescent="0.35">
      <c r="A367" t="s">
        <v>15</v>
      </c>
      <c r="B367" t="s">
        <v>33</v>
      </c>
      <c r="C367" t="s">
        <v>29</v>
      </c>
      <c r="D367">
        <v>30</v>
      </c>
      <c r="E367" t="s">
        <v>9</v>
      </c>
      <c r="F367" t="s">
        <v>10</v>
      </c>
    </row>
    <row r="368" spans="1:6" hidden="1" x14ac:dyDescent="0.35">
      <c r="A368" t="s">
        <v>16</v>
      </c>
      <c r="B368" t="s">
        <v>33</v>
      </c>
      <c r="C368" t="s">
        <v>29</v>
      </c>
      <c r="D368">
        <v>29</v>
      </c>
      <c r="E368" t="s">
        <v>9</v>
      </c>
      <c r="F368" t="s">
        <v>10</v>
      </c>
    </row>
    <row r="369" spans="1:6" hidden="1" x14ac:dyDescent="0.35">
      <c r="A369" t="s">
        <v>17</v>
      </c>
      <c r="B369" t="s">
        <v>33</v>
      </c>
      <c r="C369" t="s">
        <v>29</v>
      </c>
      <c r="D369">
        <v>30</v>
      </c>
      <c r="E369" t="s">
        <v>9</v>
      </c>
      <c r="F369" t="s">
        <v>10</v>
      </c>
    </row>
    <row r="370" spans="1:6" hidden="1" x14ac:dyDescent="0.35">
      <c r="A370" t="s">
        <v>18</v>
      </c>
      <c r="B370" t="s">
        <v>33</v>
      </c>
      <c r="C370" t="s">
        <v>29</v>
      </c>
      <c r="D370">
        <v>22</v>
      </c>
      <c r="E370" t="s">
        <v>9</v>
      </c>
      <c r="F370" t="s">
        <v>10</v>
      </c>
    </row>
    <row r="371" spans="1:6" hidden="1" x14ac:dyDescent="0.35">
      <c r="A371" t="s">
        <v>19</v>
      </c>
      <c r="B371" t="s">
        <v>33</v>
      </c>
      <c r="C371" t="s">
        <v>29</v>
      </c>
      <c r="D371">
        <v>36</v>
      </c>
      <c r="E371" t="s">
        <v>9</v>
      </c>
      <c r="F371" t="s">
        <v>10</v>
      </c>
    </row>
    <row r="372" spans="1:6" hidden="1" x14ac:dyDescent="0.35">
      <c r="A372" t="s">
        <v>20</v>
      </c>
      <c r="B372" t="s">
        <v>33</v>
      </c>
      <c r="C372" t="s">
        <v>29</v>
      </c>
      <c r="D372">
        <v>23</v>
      </c>
      <c r="E372" t="s">
        <v>9</v>
      </c>
      <c r="F372" t="s">
        <v>10</v>
      </c>
    </row>
    <row r="373" spans="1:6" hidden="1" x14ac:dyDescent="0.35">
      <c r="A373" t="s">
        <v>21</v>
      </c>
      <c r="B373" t="s">
        <v>33</v>
      </c>
      <c r="C373" t="s">
        <v>29</v>
      </c>
      <c r="D373">
        <v>25</v>
      </c>
      <c r="E373" t="s">
        <v>9</v>
      </c>
      <c r="F373" t="s">
        <v>10</v>
      </c>
    </row>
    <row r="374" spans="1:6" hidden="1" x14ac:dyDescent="0.35">
      <c r="A374" t="s">
        <v>6</v>
      </c>
      <c r="B374" t="s">
        <v>33</v>
      </c>
      <c r="C374" t="s">
        <v>30</v>
      </c>
      <c r="D374">
        <v>20</v>
      </c>
      <c r="E374" t="s">
        <v>9</v>
      </c>
      <c r="F374" t="s">
        <v>10</v>
      </c>
    </row>
    <row r="375" spans="1:6" hidden="1" x14ac:dyDescent="0.35">
      <c r="A375" t="s">
        <v>11</v>
      </c>
      <c r="B375" t="s">
        <v>33</v>
      </c>
      <c r="C375" t="s">
        <v>30</v>
      </c>
      <c r="D375">
        <v>19</v>
      </c>
      <c r="E375" t="s">
        <v>9</v>
      </c>
      <c r="F375" t="s">
        <v>10</v>
      </c>
    </row>
    <row r="376" spans="1:6" hidden="1" x14ac:dyDescent="0.35">
      <c r="A376" t="s">
        <v>12</v>
      </c>
      <c r="B376" t="s">
        <v>33</v>
      </c>
      <c r="C376" t="s">
        <v>30</v>
      </c>
      <c r="D376">
        <v>23</v>
      </c>
      <c r="E376" t="s">
        <v>9</v>
      </c>
      <c r="F376" t="s">
        <v>10</v>
      </c>
    </row>
    <row r="377" spans="1:6" hidden="1" x14ac:dyDescent="0.35">
      <c r="A377" t="s">
        <v>13</v>
      </c>
      <c r="B377" t="s">
        <v>33</v>
      </c>
      <c r="C377" t="s">
        <v>30</v>
      </c>
      <c r="D377">
        <v>25</v>
      </c>
      <c r="E377" t="s">
        <v>9</v>
      </c>
      <c r="F377" t="s">
        <v>10</v>
      </c>
    </row>
    <row r="378" spans="1:6" hidden="1" x14ac:dyDescent="0.35">
      <c r="A378" t="s">
        <v>14</v>
      </c>
      <c r="B378" t="s">
        <v>33</v>
      </c>
      <c r="C378" t="s">
        <v>30</v>
      </c>
      <c r="D378">
        <v>21</v>
      </c>
      <c r="E378" t="s">
        <v>9</v>
      </c>
      <c r="F378" t="s">
        <v>10</v>
      </c>
    </row>
    <row r="379" spans="1:6" hidden="1" x14ac:dyDescent="0.35">
      <c r="A379" t="s">
        <v>15</v>
      </c>
      <c r="B379" t="s">
        <v>33</v>
      </c>
      <c r="C379" t="s">
        <v>30</v>
      </c>
      <c r="D379">
        <v>19</v>
      </c>
      <c r="E379" t="s">
        <v>9</v>
      </c>
      <c r="F379" t="s">
        <v>10</v>
      </c>
    </row>
    <row r="380" spans="1:6" hidden="1" x14ac:dyDescent="0.35">
      <c r="A380" t="s">
        <v>16</v>
      </c>
      <c r="B380" t="s">
        <v>33</v>
      </c>
      <c r="C380" t="s">
        <v>30</v>
      </c>
      <c r="D380">
        <v>17</v>
      </c>
      <c r="E380" t="s">
        <v>9</v>
      </c>
      <c r="F380" t="s">
        <v>10</v>
      </c>
    </row>
    <row r="381" spans="1:6" hidden="1" x14ac:dyDescent="0.35">
      <c r="A381" t="s">
        <v>17</v>
      </c>
      <c r="B381" t="s">
        <v>33</v>
      </c>
      <c r="C381" t="s">
        <v>30</v>
      </c>
      <c r="D381">
        <v>23</v>
      </c>
      <c r="E381" t="s">
        <v>9</v>
      </c>
      <c r="F381" t="s">
        <v>10</v>
      </c>
    </row>
    <row r="382" spans="1:6" hidden="1" x14ac:dyDescent="0.35">
      <c r="A382" t="s">
        <v>18</v>
      </c>
      <c r="B382" t="s">
        <v>33</v>
      </c>
      <c r="C382" t="s">
        <v>30</v>
      </c>
      <c r="D382">
        <v>23</v>
      </c>
      <c r="E382" t="s">
        <v>9</v>
      </c>
      <c r="F382" t="s">
        <v>10</v>
      </c>
    </row>
    <row r="383" spans="1:6" hidden="1" x14ac:dyDescent="0.35">
      <c r="A383" t="s">
        <v>19</v>
      </c>
      <c r="B383" t="s">
        <v>33</v>
      </c>
      <c r="C383" t="s">
        <v>30</v>
      </c>
      <c r="D383">
        <v>32</v>
      </c>
      <c r="E383" t="s">
        <v>9</v>
      </c>
      <c r="F383" t="s">
        <v>10</v>
      </c>
    </row>
    <row r="384" spans="1:6" hidden="1" x14ac:dyDescent="0.35">
      <c r="A384" t="s">
        <v>20</v>
      </c>
      <c r="B384" t="s">
        <v>33</v>
      </c>
      <c r="C384" t="s">
        <v>30</v>
      </c>
      <c r="D384">
        <v>25</v>
      </c>
      <c r="E384" t="s">
        <v>9</v>
      </c>
      <c r="F384" t="s">
        <v>10</v>
      </c>
    </row>
    <row r="385" spans="1:6" hidden="1" x14ac:dyDescent="0.35">
      <c r="A385" t="s">
        <v>21</v>
      </c>
      <c r="B385" t="s">
        <v>33</v>
      </c>
      <c r="C385" t="s">
        <v>30</v>
      </c>
      <c r="D385">
        <v>23</v>
      </c>
      <c r="E385" t="s">
        <v>9</v>
      </c>
      <c r="F385" t="s">
        <v>10</v>
      </c>
    </row>
    <row r="386" spans="1:6" hidden="1" x14ac:dyDescent="0.35">
      <c r="A386" t="s">
        <v>6</v>
      </c>
      <c r="B386" t="s">
        <v>33</v>
      </c>
      <c r="C386" t="s">
        <v>31</v>
      </c>
      <c r="D386">
        <v>9</v>
      </c>
      <c r="E386" t="s">
        <v>9</v>
      </c>
      <c r="F386" t="s">
        <v>10</v>
      </c>
    </row>
    <row r="387" spans="1:6" hidden="1" x14ac:dyDescent="0.35">
      <c r="A387" t="s">
        <v>11</v>
      </c>
      <c r="B387" t="s">
        <v>33</v>
      </c>
      <c r="C387" t="s">
        <v>31</v>
      </c>
      <c r="D387">
        <v>9</v>
      </c>
      <c r="E387" t="s">
        <v>9</v>
      </c>
      <c r="F387" t="s">
        <v>10</v>
      </c>
    </row>
    <row r="388" spans="1:6" hidden="1" x14ac:dyDescent="0.35">
      <c r="A388" t="s">
        <v>12</v>
      </c>
      <c r="B388" t="s">
        <v>33</v>
      </c>
      <c r="C388" t="s">
        <v>31</v>
      </c>
      <c r="D388">
        <v>18</v>
      </c>
      <c r="E388" t="s">
        <v>9</v>
      </c>
      <c r="F388" t="s">
        <v>10</v>
      </c>
    </row>
    <row r="389" spans="1:6" hidden="1" x14ac:dyDescent="0.35">
      <c r="A389" t="s">
        <v>13</v>
      </c>
      <c r="B389" t="s">
        <v>33</v>
      </c>
      <c r="C389" t="s">
        <v>31</v>
      </c>
      <c r="D389">
        <v>16</v>
      </c>
      <c r="E389" t="s">
        <v>9</v>
      </c>
      <c r="F389" t="s">
        <v>10</v>
      </c>
    </row>
    <row r="390" spans="1:6" hidden="1" x14ac:dyDescent="0.35">
      <c r="A390" t="s">
        <v>14</v>
      </c>
      <c r="B390" t="s">
        <v>33</v>
      </c>
      <c r="C390" t="s">
        <v>31</v>
      </c>
      <c r="D390">
        <v>16</v>
      </c>
      <c r="E390" t="s">
        <v>9</v>
      </c>
      <c r="F390" t="s">
        <v>10</v>
      </c>
    </row>
    <row r="391" spans="1:6" hidden="1" x14ac:dyDescent="0.35">
      <c r="A391" t="s">
        <v>15</v>
      </c>
      <c r="B391" t="s">
        <v>33</v>
      </c>
      <c r="C391" t="s">
        <v>31</v>
      </c>
      <c r="D391">
        <v>8</v>
      </c>
      <c r="E391" t="s">
        <v>9</v>
      </c>
      <c r="F391" t="s">
        <v>10</v>
      </c>
    </row>
    <row r="392" spans="1:6" hidden="1" x14ac:dyDescent="0.35">
      <c r="A392" t="s">
        <v>16</v>
      </c>
      <c r="B392" t="s">
        <v>33</v>
      </c>
      <c r="C392" t="s">
        <v>31</v>
      </c>
      <c r="D392">
        <v>7</v>
      </c>
      <c r="E392" t="s">
        <v>9</v>
      </c>
      <c r="F392" t="s">
        <v>10</v>
      </c>
    </row>
    <row r="393" spans="1:6" hidden="1" x14ac:dyDescent="0.35">
      <c r="A393" t="s">
        <v>17</v>
      </c>
      <c r="B393" t="s">
        <v>33</v>
      </c>
      <c r="C393" t="s">
        <v>31</v>
      </c>
      <c r="D393">
        <v>13</v>
      </c>
      <c r="E393" t="s">
        <v>9</v>
      </c>
      <c r="F393" t="s">
        <v>10</v>
      </c>
    </row>
    <row r="394" spans="1:6" hidden="1" x14ac:dyDescent="0.35">
      <c r="A394" t="s">
        <v>18</v>
      </c>
      <c r="B394" t="s">
        <v>33</v>
      </c>
      <c r="C394" t="s">
        <v>31</v>
      </c>
      <c r="D394">
        <v>9</v>
      </c>
      <c r="E394" t="s">
        <v>9</v>
      </c>
      <c r="F394" t="s">
        <v>10</v>
      </c>
    </row>
    <row r="395" spans="1:6" hidden="1" x14ac:dyDescent="0.35">
      <c r="A395" t="s">
        <v>19</v>
      </c>
      <c r="B395" t="s">
        <v>33</v>
      </c>
      <c r="C395" t="s">
        <v>31</v>
      </c>
      <c r="D395">
        <v>14</v>
      </c>
      <c r="E395" t="s">
        <v>9</v>
      </c>
      <c r="F395" t="s">
        <v>10</v>
      </c>
    </row>
    <row r="396" spans="1:6" hidden="1" x14ac:dyDescent="0.35">
      <c r="A396" t="s">
        <v>20</v>
      </c>
      <c r="B396" t="s">
        <v>33</v>
      </c>
      <c r="C396" t="s">
        <v>31</v>
      </c>
      <c r="D396">
        <v>7</v>
      </c>
      <c r="E396" t="s">
        <v>9</v>
      </c>
      <c r="F396" t="s">
        <v>10</v>
      </c>
    </row>
    <row r="397" spans="1:6" hidden="1" x14ac:dyDescent="0.35">
      <c r="A397" t="s">
        <v>21</v>
      </c>
      <c r="B397" t="s">
        <v>33</v>
      </c>
      <c r="C397" t="s">
        <v>31</v>
      </c>
      <c r="D397">
        <v>8</v>
      </c>
      <c r="E397" t="s">
        <v>9</v>
      </c>
      <c r="F397" t="s">
        <v>10</v>
      </c>
    </row>
    <row r="398" spans="1:6" hidden="1" x14ac:dyDescent="0.35">
      <c r="A398" t="s">
        <v>6</v>
      </c>
      <c r="B398" t="s">
        <v>34</v>
      </c>
      <c r="C398" t="s">
        <v>8</v>
      </c>
      <c r="D398">
        <v>0</v>
      </c>
      <c r="E398" t="s">
        <v>9</v>
      </c>
      <c r="F398" t="s">
        <v>10</v>
      </c>
    </row>
    <row r="399" spans="1:6" hidden="1" x14ac:dyDescent="0.35">
      <c r="A399" t="s">
        <v>11</v>
      </c>
      <c r="B399" t="s">
        <v>34</v>
      </c>
      <c r="C399" t="s">
        <v>8</v>
      </c>
      <c r="D399">
        <v>0</v>
      </c>
      <c r="E399" t="s">
        <v>9</v>
      </c>
      <c r="F399" t="s">
        <v>10</v>
      </c>
    </row>
    <row r="400" spans="1:6" hidden="1" x14ac:dyDescent="0.35">
      <c r="A400" t="s">
        <v>12</v>
      </c>
      <c r="B400" t="s">
        <v>34</v>
      </c>
      <c r="C400" t="s">
        <v>8</v>
      </c>
      <c r="D400">
        <v>86196</v>
      </c>
      <c r="E400" t="s">
        <v>9</v>
      </c>
      <c r="F400" t="s">
        <v>10</v>
      </c>
    </row>
    <row r="401" spans="1:6" hidden="1" x14ac:dyDescent="0.35">
      <c r="A401" t="s">
        <v>13</v>
      </c>
      <c r="B401" t="s">
        <v>34</v>
      </c>
      <c r="C401" t="s">
        <v>8</v>
      </c>
      <c r="D401">
        <v>0</v>
      </c>
      <c r="E401" t="s">
        <v>9</v>
      </c>
      <c r="F401" t="s">
        <v>10</v>
      </c>
    </row>
    <row r="402" spans="1:6" hidden="1" x14ac:dyDescent="0.35">
      <c r="A402" t="s">
        <v>14</v>
      </c>
      <c r="B402" t="s">
        <v>34</v>
      </c>
      <c r="C402" t="s">
        <v>8</v>
      </c>
      <c r="D402">
        <v>0</v>
      </c>
      <c r="E402" t="s">
        <v>9</v>
      </c>
      <c r="F402" t="s">
        <v>10</v>
      </c>
    </row>
    <row r="403" spans="1:6" hidden="1" x14ac:dyDescent="0.35">
      <c r="A403" t="s">
        <v>15</v>
      </c>
      <c r="B403" t="s">
        <v>34</v>
      </c>
      <c r="C403" t="s">
        <v>8</v>
      </c>
      <c r="D403">
        <v>34582</v>
      </c>
      <c r="E403" t="s">
        <v>9</v>
      </c>
      <c r="F403" t="s">
        <v>10</v>
      </c>
    </row>
    <row r="404" spans="1:6" hidden="1" x14ac:dyDescent="0.35">
      <c r="A404" t="s">
        <v>16</v>
      </c>
      <c r="B404" t="s">
        <v>34</v>
      </c>
      <c r="C404" t="s">
        <v>8</v>
      </c>
      <c r="D404">
        <v>0</v>
      </c>
      <c r="E404" t="s">
        <v>9</v>
      </c>
      <c r="F404" t="s">
        <v>10</v>
      </c>
    </row>
    <row r="405" spans="1:6" hidden="1" x14ac:dyDescent="0.35">
      <c r="A405" t="s">
        <v>17</v>
      </c>
      <c r="B405" t="s">
        <v>34</v>
      </c>
      <c r="C405" t="s">
        <v>8</v>
      </c>
      <c r="D405">
        <v>156305</v>
      </c>
      <c r="E405" t="s">
        <v>9</v>
      </c>
      <c r="F405" t="s">
        <v>10</v>
      </c>
    </row>
    <row r="406" spans="1:6" hidden="1" x14ac:dyDescent="0.35">
      <c r="A406" t="s">
        <v>18</v>
      </c>
      <c r="B406" t="s">
        <v>34</v>
      </c>
      <c r="C406" t="s">
        <v>8</v>
      </c>
      <c r="D406">
        <v>0</v>
      </c>
      <c r="E406" t="s">
        <v>9</v>
      </c>
      <c r="F406" t="s">
        <v>10</v>
      </c>
    </row>
    <row r="407" spans="1:6" hidden="1" x14ac:dyDescent="0.35">
      <c r="A407" t="s">
        <v>19</v>
      </c>
      <c r="B407" t="s">
        <v>34</v>
      </c>
      <c r="C407" t="s">
        <v>8</v>
      </c>
      <c r="D407">
        <v>0</v>
      </c>
      <c r="E407" t="s">
        <v>9</v>
      </c>
      <c r="F407" t="s">
        <v>10</v>
      </c>
    </row>
    <row r="408" spans="1:6" hidden="1" x14ac:dyDescent="0.35">
      <c r="A408" t="s">
        <v>20</v>
      </c>
      <c r="B408" t="s">
        <v>34</v>
      </c>
      <c r="C408" t="s">
        <v>8</v>
      </c>
      <c r="D408">
        <v>0</v>
      </c>
      <c r="E408" t="s">
        <v>9</v>
      </c>
      <c r="F408" t="s">
        <v>10</v>
      </c>
    </row>
    <row r="409" spans="1:6" hidden="1" x14ac:dyDescent="0.35">
      <c r="A409" t="s">
        <v>21</v>
      </c>
      <c r="B409" t="s">
        <v>34</v>
      </c>
      <c r="C409" t="s">
        <v>8</v>
      </c>
      <c r="D409">
        <v>0</v>
      </c>
      <c r="E409" t="s">
        <v>9</v>
      </c>
      <c r="F409" t="s">
        <v>10</v>
      </c>
    </row>
    <row r="410" spans="1:6" hidden="1" x14ac:dyDescent="0.35">
      <c r="A410" t="s">
        <v>6</v>
      </c>
      <c r="B410" t="s">
        <v>34</v>
      </c>
      <c r="C410" t="s">
        <v>22</v>
      </c>
      <c r="D410">
        <v>0</v>
      </c>
      <c r="E410" t="s">
        <v>9</v>
      </c>
      <c r="F410" t="s">
        <v>10</v>
      </c>
    </row>
    <row r="411" spans="1:6" hidden="1" x14ac:dyDescent="0.35">
      <c r="A411" t="s">
        <v>11</v>
      </c>
      <c r="B411" t="s">
        <v>34</v>
      </c>
      <c r="C411" t="s">
        <v>22</v>
      </c>
      <c r="D411">
        <v>0</v>
      </c>
      <c r="E411" t="s">
        <v>9</v>
      </c>
      <c r="F411" t="s">
        <v>10</v>
      </c>
    </row>
    <row r="412" spans="1:6" hidden="1" x14ac:dyDescent="0.35">
      <c r="A412" t="s">
        <v>12</v>
      </c>
      <c r="B412" t="s">
        <v>34</v>
      </c>
      <c r="C412" t="s">
        <v>22</v>
      </c>
      <c r="D412">
        <v>0</v>
      </c>
      <c r="E412" t="s">
        <v>9</v>
      </c>
      <c r="F412" t="s">
        <v>10</v>
      </c>
    </row>
    <row r="413" spans="1:6" hidden="1" x14ac:dyDescent="0.35">
      <c r="A413" t="s">
        <v>13</v>
      </c>
      <c r="B413" t="s">
        <v>34</v>
      </c>
      <c r="C413" t="s">
        <v>22</v>
      </c>
      <c r="D413">
        <v>0</v>
      </c>
      <c r="E413" t="s">
        <v>9</v>
      </c>
      <c r="F413" t="s">
        <v>10</v>
      </c>
    </row>
    <row r="414" spans="1:6" hidden="1" x14ac:dyDescent="0.35">
      <c r="A414" t="s">
        <v>14</v>
      </c>
      <c r="B414" t="s">
        <v>34</v>
      </c>
      <c r="C414" t="s">
        <v>22</v>
      </c>
      <c r="D414">
        <v>0</v>
      </c>
      <c r="E414" t="s">
        <v>9</v>
      </c>
      <c r="F414" t="s">
        <v>10</v>
      </c>
    </row>
    <row r="415" spans="1:6" hidden="1" x14ac:dyDescent="0.35">
      <c r="A415" t="s">
        <v>15</v>
      </c>
      <c r="B415" t="s">
        <v>34</v>
      </c>
      <c r="C415" t="s">
        <v>22</v>
      </c>
      <c r="D415">
        <v>0</v>
      </c>
      <c r="E415" t="s">
        <v>9</v>
      </c>
      <c r="F415" t="s">
        <v>10</v>
      </c>
    </row>
    <row r="416" spans="1:6" hidden="1" x14ac:dyDescent="0.35">
      <c r="A416" t="s">
        <v>16</v>
      </c>
      <c r="B416" t="s">
        <v>34</v>
      </c>
      <c r="C416" t="s">
        <v>22</v>
      </c>
      <c r="D416">
        <v>0</v>
      </c>
      <c r="E416" t="s">
        <v>9</v>
      </c>
      <c r="F416" t="s">
        <v>10</v>
      </c>
    </row>
    <row r="417" spans="1:6" hidden="1" x14ac:dyDescent="0.35">
      <c r="A417" t="s">
        <v>17</v>
      </c>
      <c r="B417" t="s">
        <v>34</v>
      </c>
      <c r="C417" t="s">
        <v>22</v>
      </c>
      <c r="D417">
        <v>0</v>
      </c>
      <c r="E417" t="s">
        <v>9</v>
      </c>
      <c r="F417" t="s">
        <v>10</v>
      </c>
    </row>
    <row r="418" spans="1:6" hidden="1" x14ac:dyDescent="0.35">
      <c r="A418" t="s">
        <v>18</v>
      </c>
      <c r="B418" t="s">
        <v>34</v>
      </c>
      <c r="C418" t="s">
        <v>22</v>
      </c>
      <c r="D418">
        <v>0</v>
      </c>
      <c r="E418" t="s">
        <v>9</v>
      </c>
      <c r="F418" t="s">
        <v>10</v>
      </c>
    </row>
    <row r="419" spans="1:6" hidden="1" x14ac:dyDescent="0.35">
      <c r="A419" t="s">
        <v>19</v>
      </c>
      <c r="B419" t="s">
        <v>34</v>
      </c>
      <c r="C419" t="s">
        <v>22</v>
      </c>
      <c r="D419">
        <v>0</v>
      </c>
      <c r="E419" t="s">
        <v>9</v>
      </c>
      <c r="F419" t="s">
        <v>10</v>
      </c>
    </row>
    <row r="420" spans="1:6" hidden="1" x14ac:dyDescent="0.35">
      <c r="A420" t="s">
        <v>20</v>
      </c>
      <c r="B420" t="s">
        <v>34</v>
      </c>
      <c r="C420" t="s">
        <v>22</v>
      </c>
      <c r="D420">
        <v>0</v>
      </c>
      <c r="E420" t="s">
        <v>9</v>
      </c>
      <c r="F420" t="s">
        <v>10</v>
      </c>
    </row>
    <row r="421" spans="1:6" hidden="1" x14ac:dyDescent="0.35">
      <c r="A421" t="s">
        <v>21</v>
      </c>
      <c r="B421" t="s">
        <v>34</v>
      </c>
      <c r="C421" t="s">
        <v>22</v>
      </c>
      <c r="D421">
        <v>0</v>
      </c>
      <c r="E421" t="s">
        <v>9</v>
      </c>
      <c r="F421" t="s">
        <v>10</v>
      </c>
    </row>
    <row r="422" spans="1:6" hidden="1" x14ac:dyDescent="0.35">
      <c r="A422" t="s">
        <v>6</v>
      </c>
      <c r="B422" t="s">
        <v>34</v>
      </c>
      <c r="C422" t="s">
        <v>23</v>
      </c>
      <c r="D422">
        <v>0</v>
      </c>
      <c r="E422" t="s">
        <v>9</v>
      </c>
      <c r="F422" t="s">
        <v>10</v>
      </c>
    </row>
    <row r="423" spans="1:6" hidden="1" x14ac:dyDescent="0.35">
      <c r="A423" t="s">
        <v>11</v>
      </c>
      <c r="B423" t="s">
        <v>34</v>
      </c>
      <c r="C423" t="s">
        <v>23</v>
      </c>
      <c r="D423">
        <v>301918</v>
      </c>
      <c r="E423" t="s">
        <v>9</v>
      </c>
      <c r="F423" t="s">
        <v>10</v>
      </c>
    </row>
    <row r="424" spans="1:6" hidden="1" x14ac:dyDescent="0.35">
      <c r="A424" t="s">
        <v>12</v>
      </c>
      <c r="B424" t="s">
        <v>34</v>
      </c>
      <c r="C424" t="s">
        <v>23</v>
      </c>
      <c r="D424">
        <v>46448</v>
      </c>
      <c r="E424" t="s">
        <v>9</v>
      </c>
      <c r="F424" t="s">
        <v>10</v>
      </c>
    </row>
    <row r="425" spans="1:6" hidden="1" x14ac:dyDescent="0.35">
      <c r="A425" t="s">
        <v>13</v>
      </c>
      <c r="B425" t="s">
        <v>34</v>
      </c>
      <c r="C425" t="s">
        <v>23</v>
      </c>
      <c r="D425">
        <v>0</v>
      </c>
      <c r="E425" t="s">
        <v>9</v>
      </c>
      <c r="F425" t="s">
        <v>10</v>
      </c>
    </row>
    <row r="426" spans="1:6" hidden="1" x14ac:dyDescent="0.35">
      <c r="A426" t="s">
        <v>14</v>
      </c>
      <c r="B426" t="s">
        <v>34</v>
      </c>
      <c r="C426" t="s">
        <v>23</v>
      </c>
      <c r="D426">
        <v>0</v>
      </c>
      <c r="E426" t="s">
        <v>9</v>
      </c>
      <c r="F426" t="s">
        <v>10</v>
      </c>
    </row>
    <row r="427" spans="1:6" hidden="1" x14ac:dyDescent="0.35">
      <c r="A427" t="s">
        <v>15</v>
      </c>
      <c r="B427" t="s">
        <v>34</v>
      </c>
      <c r="C427" t="s">
        <v>23</v>
      </c>
      <c r="D427">
        <v>42502</v>
      </c>
      <c r="E427" t="s">
        <v>9</v>
      </c>
      <c r="F427" t="s">
        <v>10</v>
      </c>
    </row>
    <row r="428" spans="1:6" hidden="1" x14ac:dyDescent="0.35">
      <c r="A428" t="s">
        <v>16</v>
      </c>
      <c r="B428" t="s">
        <v>34</v>
      </c>
      <c r="C428" t="s">
        <v>23</v>
      </c>
      <c r="D428">
        <v>0</v>
      </c>
      <c r="E428" t="s">
        <v>9</v>
      </c>
      <c r="F428" t="s">
        <v>10</v>
      </c>
    </row>
    <row r="429" spans="1:6" hidden="1" x14ac:dyDescent="0.35">
      <c r="A429" t="s">
        <v>17</v>
      </c>
      <c r="B429" t="s">
        <v>34</v>
      </c>
      <c r="C429" t="s">
        <v>23</v>
      </c>
      <c r="D429">
        <v>2130</v>
      </c>
      <c r="E429" t="s">
        <v>9</v>
      </c>
      <c r="F429" t="s">
        <v>10</v>
      </c>
    </row>
    <row r="430" spans="1:6" hidden="1" x14ac:dyDescent="0.35">
      <c r="A430" t="s">
        <v>18</v>
      </c>
      <c r="B430" t="s">
        <v>34</v>
      </c>
      <c r="C430" t="s">
        <v>23</v>
      </c>
      <c r="D430">
        <v>0</v>
      </c>
      <c r="E430" t="s">
        <v>9</v>
      </c>
      <c r="F430" t="s">
        <v>10</v>
      </c>
    </row>
    <row r="431" spans="1:6" hidden="1" x14ac:dyDescent="0.35">
      <c r="A431" t="s">
        <v>19</v>
      </c>
      <c r="B431" t="s">
        <v>34</v>
      </c>
      <c r="C431" t="s">
        <v>23</v>
      </c>
      <c r="D431">
        <v>0</v>
      </c>
      <c r="E431" t="s">
        <v>9</v>
      </c>
      <c r="F431" t="s">
        <v>10</v>
      </c>
    </row>
    <row r="432" spans="1:6" hidden="1" x14ac:dyDescent="0.35">
      <c r="A432" t="s">
        <v>20</v>
      </c>
      <c r="B432" t="s">
        <v>34</v>
      </c>
      <c r="C432" t="s">
        <v>23</v>
      </c>
      <c r="D432">
        <v>0</v>
      </c>
      <c r="E432" t="s">
        <v>9</v>
      </c>
      <c r="F432" t="s">
        <v>10</v>
      </c>
    </row>
    <row r="433" spans="1:6" hidden="1" x14ac:dyDescent="0.35">
      <c r="A433" t="s">
        <v>21</v>
      </c>
      <c r="B433" t="s">
        <v>34</v>
      </c>
      <c r="C433" t="s">
        <v>23</v>
      </c>
      <c r="D433">
        <v>0</v>
      </c>
      <c r="E433" t="s">
        <v>9</v>
      </c>
      <c r="F433" t="s">
        <v>10</v>
      </c>
    </row>
    <row r="434" spans="1:6" hidden="1" x14ac:dyDescent="0.35">
      <c r="A434" t="s">
        <v>6</v>
      </c>
      <c r="B434" t="s">
        <v>34</v>
      </c>
      <c r="C434" t="s">
        <v>24</v>
      </c>
      <c r="D434">
        <v>0</v>
      </c>
      <c r="E434" t="s">
        <v>9</v>
      </c>
      <c r="F434" t="s">
        <v>10</v>
      </c>
    </row>
    <row r="435" spans="1:6" hidden="1" x14ac:dyDescent="0.35">
      <c r="A435" t="s">
        <v>11</v>
      </c>
      <c r="B435" t="s">
        <v>34</v>
      </c>
      <c r="C435" t="s">
        <v>24</v>
      </c>
      <c r="D435">
        <v>0</v>
      </c>
      <c r="E435" t="s">
        <v>9</v>
      </c>
      <c r="F435" t="s">
        <v>10</v>
      </c>
    </row>
    <row r="436" spans="1:6" hidden="1" x14ac:dyDescent="0.35">
      <c r="A436" t="s">
        <v>12</v>
      </c>
      <c r="B436" t="s">
        <v>34</v>
      </c>
      <c r="C436" t="s">
        <v>24</v>
      </c>
      <c r="D436">
        <v>0</v>
      </c>
      <c r="E436" t="s">
        <v>9</v>
      </c>
      <c r="F436" t="s">
        <v>10</v>
      </c>
    </row>
    <row r="437" spans="1:6" hidden="1" x14ac:dyDescent="0.35">
      <c r="A437" t="s">
        <v>13</v>
      </c>
      <c r="B437" t="s">
        <v>34</v>
      </c>
      <c r="C437" t="s">
        <v>24</v>
      </c>
      <c r="D437">
        <v>0</v>
      </c>
      <c r="E437" t="s">
        <v>9</v>
      </c>
      <c r="F437" t="s">
        <v>10</v>
      </c>
    </row>
    <row r="438" spans="1:6" hidden="1" x14ac:dyDescent="0.35">
      <c r="A438" t="s">
        <v>14</v>
      </c>
      <c r="B438" t="s">
        <v>34</v>
      </c>
      <c r="C438" t="s">
        <v>24</v>
      </c>
      <c r="D438">
        <v>0</v>
      </c>
      <c r="E438" t="s">
        <v>9</v>
      </c>
      <c r="F438" t="s">
        <v>10</v>
      </c>
    </row>
    <row r="439" spans="1:6" hidden="1" x14ac:dyDescent="0.35">
      <c r="A439" t="s">
        <v>15</v>
      </c>
      <c r="B439" t="s">
        <v>34</v>
      </c>
      <c r="C439" t="s">
        <v>24</v>
      </c>
      <c r="D439">
        <v>0</v>
      </c>
      <c r="E439" t="s">
        <v>9</v>
      </c>
      <c r="F439" t="s">
        <v>10</v>
      </c>
    </row>
    <row r="440" spans="1:6" hidden="1" x14ac:dyDescent="0.35">
      <c r="A440" t="s">
        <v>16</v>
      </c>
      <c r="B440" t="s">
        <v>34</v>
      </c>
      <c r="C440" t="s">
        <v>24</v>
      </c>
      <c r="D440">
        <v>0</v>
      </c>
      <c r="E440" t="s">
        <v>9</v>
      </c>
      <c r="F440" t="s">
        <v>10</v>
      </c>
    </row>
    <row r="441" spans="1:6" hidden="1" x14ac:dyDescent="0.35">
      <c r="A441" t="s">
        <v>17</v>
      </c>
      <c r="B441" t="s">
        <v>34</v>
      </c>
      <c r="C441" t="s">
        <v>24</v>
      </c>
      <c r="D441">
        <v>0</v>
      </c>
      <c r="E441" t="s">
        <v>9</v>
      </c>
      <c r="F441" t="s">
        <v>10</v>
      </c>
    </row>
    <row r="442" spans="1:6" hidden="1" x14ac:dyDescent="0.35">
      <c r="A442" t="s">
        <v>18</v>
      </c>
      <c r="B442" t="s">
        <v>34</v>
      </c>
      <c r="C442" t="s">
        <v>24</v>
      </c>
      <c r="D442">
        <v>0</v>
      </c>
      <c r="E442" t="s">
        <v>9</v>
      </c>
      <c r="F442" t="s">
        <v>10</v>
      </c>
    </row>
    <row r="443" spans="1:6" hidden="1" x14ac:dyDescent="0.35">
      <c r="A443" t="s">
        <v>19</v>
      </c>
      <c r="B443" t="s">
        <v>34</v>
      </c>
      <c r="C443" t="s">
        <v>24</v>
      </c>
      <c r="D443">
        <v>0</v>
      </c>
      <c r="E443" t="s">
        <v>9</v>
      </c>
      <c r="F443" t="s">
        <v>10</v>
      </c>
    </row>
    <row r="444" spans="1:6" hidden="1" x14ac:dyDescent="0.35">
      <c r="A444" t="s">
        <v>20</v>
      </c>
      <c r="B444" t="s">
        <v>34</v>
      </c>
      <c r="C444" t="s">
        <v>24</v>
      </c>
      <c r="D444">
        <v>0</v>
      </c>
      <c r="E444" t="s">
        <v>9</v>
      </c>
      <c r="F444" t="s">
        <v>10</v>
      </c>
    </row>
    <row r="445" spans="1:6" hidden="1" x14ac:dyDescent="0.35">
      <c r="A445" t="s">
        <v>21</v>
      </c>
      <c r="B445" t="s">
        <v>34</v>
      </c>
      <c r="C445" t="s">
        <v>24</v>
      </c>
      <c r="D445">
        <v>0</v>
      </c>
      <c r="E445" t="s">
        <v>9</v>
      </c>
      <c r="F445" t="s">
        <v>10</v>
      </c>
    </row>
    <row r="446" spans="1:6" hidden="1" x14ac:dyDescent="0.35">
      <c r="A446" t="s">
        <v>6</v>
      </c>
      <c r="B446" t="s">
        <v>34</v>
      </c>
      <c r="C446" t="s">
        <v>25</v>
      </c>
      <c r="D446">
        <v>0</v>
      </c>
      <c r="E446" t="s">
        <v>9</v>
      </c>
      <c r="F446" t="s">
        <v>10</v>
      </c>
    </row>
    <row r="447" spans="1:6" hidden="1" x14ac:dyDescent="0.35">
      <c r="A447" t="s">
        <v>11</v>
      </c>
      <c r="B447" t="s">
        <v>34</v>
      </c>
      <c r="C447" t="s">
        <v>25</v>
      </c>
      <c r="D447">
        <v>0</v>
      </c>
      <c r="E447" t="s">
        <v>9</v>
      </c>
      <c r="F447" t="s">
        <v>10</v>
      </c>
    </row>
    <row r="448" spans="1:6" hidden="1" x14ac:dyDescent="0.35">
      <c r="A448" t="s">
        <v>12</v>
      </c>
      <c r="B448" t="s">
        <v>34</v>
      </c>
      <c r="C448" t="s">
        <v>25</v>
      </c>
      <c r="D448">
        <v>0</v>
      </c>
      <c r="E448" t="s">
        <v>9</v>
      </c>
      <c r="F448" t="s">
        <v>10</v>
      </c>
    </row>
    <row r="449" spans="1:6" hidden="1" x14ac:dyDescent="0.35">
      <c r="A449" t="s">
        <v>13</v>
      </c>
      <c r="B449" t="s">
        <v>34</v>
      </c>
      <c r="C449" t="s">
        <v>25</v>
      </c>
      <c r="D449">
        <v>0</v>
      </c>
      <c r="E449" t="s">
        <v>9</v>
      </c>
      <c r="F449" t="s">
        <v>10</v>
      </c>
    </row>
    <row r="450" spans="1:6" hidden="1" x14ac:dyDescent="0.35">
      <c r="A450" t="s">
        <v>14</v>
      </c>
      <c r="B450" t="s">
        <v>34</v>
      </c>
      <c r="C450" t="s">
        <v>25</v>
      </c>
      <c r="D450">
        <v>0</v>
      </c>
      <c r="E450" t="s">
        <v>9</v>
      </c>
      <c r="F450" t="s">
        <v>10</v>
      </c>
    </row>
    <row r="451" spans="1:6" hidden="1" x14ac:dyDescent="0.35">
      <c r="A451" t="s">
        <v>15</v>
      </c>
      <c r="B451" t="s">
        <v>34</v>
      </c>
      <c r="C451" t="s">
        <v>25</v>
      </c>
      <c r="D451">
        <v>0</v>
      </c>
      <c r="E451" t="s">
        <v>9</v>
      </c>
      <c r="F451" t="s">
        <v>10</v>
      </c>
    </row>
    <row r="452" spans="1:6" hidden="1" x14ac:dyDescent="0.35">
      <c r="A452" t="s">
        <v>16</v>
      </c>
      <c r="B452" t="s">
        <v>34</v>
      </c>
      <c r="C452" t="s">
        <v>25</v>
      </c>
      <c r="D452">
        <v>0</v>
      </c>
      <c r="E452" t="s">
        <v>9</v>
      </c>
      <c r="F452" t="s">
        <v>10</v>
      </c>
    </row>
    <row r="453" spans="1:6" hidden="1" x14ac:dyDescent="0.35">
      <c r="A453" t="s">
        <v>17</v>
      </c>
      <c r="B453" t="s">
        <v>34</v>
      </c>
      <c r="C453" t="s">
        <v>25</v>
      </c>
      <c r="D453">
        <v>0</v>
      </c>
      <c r="E453" t="s">
        <v>9</v>
      </c>
      <c r="F453" t="s">
        <v>10</v>
      </c>
    </row>
    <row r="454" spans="1:6" hidden="1" x14ac:dyDescent="0.35">
      <c r="A454" t="s">
        <v>18</v>
      </c>
      <c r="B454" t="s">
        <v>34</v>
      </c>
      <c r="C454" t="s">
        <v>25</v>
      </c>
      <c r="D454">
        <v>0</v>
      </c>
      <c r="E454" t="s">
        <v>9</v>
      </c>
      <c r="F454" t="s">
        <v>10</v>
      </c>
    </row>
    <row r="455" spans="1:6" hidden="1" x14ac:dyDescent="0.35">
      <c r="A455" t="s">
        <v>19</v>
      </c>
      <c r="B455" t="s">
        <v>34</v>
      </c>
      <c r="C455" t="s">
        <v>25</v>
      </c>
      <c r="D455">
        <v>0</v>
      </c>
      <c r="E455" t="s">
        <v>9</v>
      </c>
      <c r="F455" t="s">
        <v>10</v>
      </c>
    </row>
    <row r="456" spans="1:6" hidden="1" x14ac:dyDescent="0.35">
      <c r="A456" t="s">
        <v>20</v>
      </c>
      <c r="B456" t="s">
        <v>34</v>
      </c>
      <c r="C456" t="s">
        <v>25</v>
      </c>
      <c r="D456">
        <v>0</v>
      </c>
      <c r="E456" t="s">
        <v>9</v>
      </c>
      <c r="F456" t="s">
        <v>10</v>
      </c>
    </row>
    <row r="457" spans="1:6" hidden="1" x14ac:dyDescent="0.35">
      <c r="A457" t="s">
        <v>21</v>
      </c>
      <c r="B457" t="s">
        <v>34</v>
      </c>
      <c r="C457" t="s">
        <v>25</v>
      </c>
      <c r="D457">
        <v>0</v>
      </c>
      <c r="E457" t="s">
        <v>9</v>
      </c>
      <c r="F457" t="s">
        <v>10</v>
      </c>
    </row>
    <row r="458" spans="1:6" hidden="1" x14ac:dyDescent="0.35">
      <c r="A458" t="s">
        <v>6</v>
      </c>
      <c r="B458" t="s">
        <v>34</v>
      </c>
      <c r="C458" t="s">
        <v>26</v>
      </c>
      <c r="D458">
        <v>0</v>
      </c>
      <c r="E458" t="s">
        <v>9</v>
      </c>
      <c r="F458" t="s">
        <v>10</v>
      </c>
    </row>
    <row r="459" spans="1:6" hidden="1" x14ac:dyDescent="0.35">
      <c r="A459" t="s">
        <v>11</v>
      </c>
      <c r="B459" t="s">
        <v>34</v>
      </c>
      <c r="C459" t="s">
        <v>26</v>
      </c>
      <c r="E459" t="s">
        <v>9</v>
      </c>
      <c r="F459" t="s">
        <v>10</v>
      </c>
    </row>
    <row r="460" spans="1:6" hidden="1" x14ac:dyDescent="0.35">
      <c r="A460" t="s">
        <v>12</v>
      </c>
      <c r="B460" t="s">
        <v>34</v>
      </c>
      <c r="C460" t="s">
        <v>26</v>
      </c>
      <c r="E460" t="s">
        <v>9</v>
      </c>
      <c r="F460" t="s">
        <v>10</v>
      </c>
    </row>
    <row r="461" spans="1:6" hidden="1" x14ac:dyDescent="0.35">
      <c r="A461" t="s">
        <v>13</v>
      </c>
      <c r="B461" t="s">
        <v>34</v>
      </c>
      <c r="C461" t="s">
        <v>26</v>
      </c>
      <c r="E461" t="s">
        <v>9</v>
      </c>
      <c r="F461" t="s">
        <v>10</v>
      </c>
    </row>
    <row r="462" spans="1:6" hidden="1" x14ac:dyDescent="0.35">
      <c r="A462" t="s">
        <v>14</v>
      </c>
      <c r="B462" t="s">
        <v>34</v>
      </c>
      <c r="C462" t="s">
        <v>26</v>
      </c>
      <c r="E462" t="s">
        <v>9</v>
      </c>
      <c r="F462" t="s">
        <v>10</v>
      </c>
    </row>
    <row r="463" spans="1:6" hidden="1" x14ac:dyDescent="0.35">
      <c r="A463" t="s">
        <v>15</v>
      </c>
      <c r="B463" t="s">
        <v>34</v>
      </c>
      <c r="C463" t="s">
        <v>26</v>
      </c>
      <c r="E463" t="s">
        <v>9</v>
      </c>
      <c r="F463" t="s">
        <v>10</v>
      </c>
    </row>
    <row r="464" spans="1:6" hidden="1" x14ac:dyDescent="0.35">
      <c r="A464" t="s">
        <v>16</v>
      </c>
      <c r="B464" t="s">
        <v>34</v>
      </c>
      <c r="C464" t="s">
        <v>26</v>
      </c>
      <c r="E464" t="s">
        <v>9</v>
      </c>
      <c r="F464" t="s">
        <v>10</v>
      </c>
    </row>
    <row r="465" spans="1:6" hidden="1" x14ac:dyDescent="0.35">
      <c r="A465" t="s">
        <v>17</v>
      </c>
      <c r="B465" t="s">
        <v>34</v>
      </c>
      <c r="C465" t="s">
        <v>26</v>
      </c>
      <c r="E465" t="s">
        <v>9</v>
      </c>
      <c r="F465" t="s">
        <v>10</v>
      </c>
    </row>
    <row r="466" spans="1:6" hidden="1" x14ac:dyDescent="0.35">
      <c r="A466" t="s">
        <v>18</v>
      </c>
      <c r="B466" t="s">
        <v>34</v>
      </c>
      <c r="C466" t="s">
        <v>26</v>
      </c>
      <c r="E466" t="s">
        <v>9</v>
      </c>
      <c r="F466" t="s">
        <v>10</v>
      </c>
    </row>
    <row r="467" spans="1:6" hidden="1" x14ac:dyDescent="0.35">
      <c r="A467" t="s">
        <v>19</v>
      </c>
      <c r="B467" t="s">
        <v>34</v>
      </c>
      <c r="C467" t="s">
        <v>26</v>
      </c>
      <c r="E467" t="s">
        <v>9</v>
      </c>
      <c r="F467" t="s">
        <v>10</v>
      </c>
    </row>
    <row r="468" spans="1:6" hidden="1" x14ac:dyDescent="0.35">
      <c r="A468" t="s">
        <v>20</v>
      </c>
      <c r="B468" t="s">
        <v>34</v>
      </c>
      <c r="C468" t="s">
        <v>26</v>
      </c>
      <c r="E468" t="s">
        <v>9</v>
      </c>
      <c r="F468" t="s">
        <v>10</v>
      </c>
    </row>
    <row r="469" spans="1:6" hidden="1" x14ac:dyDescent="0.35">
      <c r="A469" t="s">
        <v>21</v>
      </c>
      <c r="B469" t="s">
        <v>34</v>
      </c>
      <c r="C469" t="s">
        <v>26</v>
      </c>
      <c r="E469" t="s">
        <v>9</v>
      </c>
      <c r="F469" t="s">
        <v>10</v>
      </c>
    </row>
    <row r="470" spans="1:6" hidden="1" x14ac:dyDescent="0.35">
      <c r="A470" t="s">
        <v>6</v>
      </c>
      <c r="B470" t="s">
        <v>34</v>
      </c>
      <c r="C470" t="s">
        <v>27</v>
      </c>
      <c r="D470">
        <v>0</v>
      </c>
      <c r="E470" t="s">
        <v>9</v>
      </c>
      <c r="F470" t="s">
        <v>10</v>
      </c>
    </row>
    <row r="471" spans="1:6" hidden="1" x14ac:dyDescent="0.35">
      <c r="A471" t="s">
        <v>11</v>
      </c>
      <c r="B471" t="s">
        <v>34</v>
      </c>
      <c r="C471" t="s">
        <v>27</v>
      </c>
      <c r="D471">
        <v>6843</v>
      </c>
      <c r="E471" t="s">
        <v>9</v>
      </c>
      <c r="F471" t="s">
        <v>10</v>
      </c>
    </row>
    <row r="472" spans="1:6" hidden="1" x14ac:dyDescent="0.35">
      <c r="A472" t="s">
        <v>12</v>
      </c>
      <c r="B472" t="s">
        <v>34</v>
      </c>
      <c r="C472" t="s">
        <v>27</v>
      </c>
      <c r="D472">
        <v>26380</v>
      </c>
      <c r="E472" t="s">
        <v>9</v>
      </c>
      <c r="F472" t="s">
        <v>10</v>
      </c>
    </row>
    <row r="473" spans="1:6" hidden="1" x14ac:dyDescent="0.35">
      <c r="A473" t="s">
        <v>13</v>
      </c>
      <c r="B473" t="s">
        <v>34</v>
      </c>
      <c r="C473" t="s">
        <v>27</v>
      </c>
      <c r="D473">
        <v>0</v>
      </c>
      <c r="E473" t="s">
        <v>9</v>
      </c>
      <c r="F473" t="s">
        <v>10</v>
      </c>
    </row>
    <row r="474" spans="1:6" hidden="1" x14ac:dyDescent="0.35">
      <c r="A474" t="s">
        <v>14</v>
      </c>
      <c r="B474" t="s">
        <v>34</v>
      </c>
      <c r="C474" t="s">
        <v>27</v>
      </c>
      <c r="D474">
        <v>0</v>
      </c>
      <c r="E474" t="s">
        <v>9</v>
      </c>
      <c r="F474" t="s">
        <v>10</v>
      </c>
    </row>
    <row r="475" spans="1:6" hidden="1" x14ac:dyDescent="0.35">
      <c r="A475" t="s">
        <v>15</v>
      </c>
      <c r="B475" t="s">
        <v>34</v>
      </c>
      <c r="C475" t="s">
        <v>27</v>
      </c>
      <c r="D475">
        <v>2947</v>
      </c>
      <c r="E475" t="s">
        <v>9</v>
      </c>
      <c r="F475" t="s">
        <v>10</v>
      </c>
    </row>
    <row r="476" spans="1:6" hidden="1" x14ac:dyDescent="0.35">
      <c r="A476" t="s">
        <v>16</v>
      </c>
      <c r="B476" t="s">
        <v>34</v>
      </c>
      <c r="C476" t="s">
        <v>27</v>
      </c>
      <c r="D476">
        <v>0</v>
      </c>
      <c r="E476" t="s">
        <v>9</v>
      </c>
      <c r="F476" t="s">
        <v>10</v>
      </c>
    </row>
    <row r="477" spans="1:6" hidden="1" x14ac:dyDescent="0.35">
      <c r="A477" t="s">
        <v>17</v>
      </c>
      <c r="B477" t="s">
        <v>34</v>
      </c>
      <c r="C477" t="s">
        <v>27</v>
      </c>
      <c r="D477">
        <v>35686</v>
      </c>
      <c r="E477" t="s">
        <v>9</v>
      </c>
      <c r="F477" t="s">
        <v>10</v>
      </c>
    </row>
    <row r="478" spans="1:6" hidden="1" x14ac:dyDescent="0.35">
      <c r="A478" t="s">
        <v>18</v>
      </c>
      <c r="B478" t="s">
        <v>34</v>
      </c>
      <c r="C478" t="s">
        <v>27</v>
      </c>
      <c r="D478">
        <v>0</v>
      </c>
      <c r="E478" t="s">
        <v>9</v>
      </c>
      <c r="F478" t="s">
        <v>10</v>
      </c>
    </row>
    <row r="479" spans="1:6" hidden="1" x14ac:dyDescent="0.35">
      <c r="A479" t="s">
        <v>19</v>
      </c>
      <c r="B479" t="s">
        <v>34</v>
      </c>
      <c r="C479" t="s">
        <v>27</v>
      </c>
      <c r="D479">
        <v>13881</v>
      </c>
      <c r="E479" t="s">
        <v>9</v>
      </c>
      <c r="F479" t="s">
        <v>10</v>
      </c>
    </row>
    <row r="480" spans="1:6" hidden="1" x14ac:dyDescent="0.35">
      <c r="A480" t="s">
        <v>20</v>
      </c>
      <c r="B480" t="s">
        <v>34</v>
      </c>
      <c r="C480" t="s">
        <v>27</v>
      </c>
      <c r="D480">
        <v>68031</v>
      </c>
      <c r="E480" t="s">
        <v>9</v>
      </c>
      <c r="F480" t="s">
        <v>10</v>
      </c>
    </row>
    <row r="481" spans="1:6" hidden="1" x14ac:dyDescent="0.35">
      <c r="A481" t="s">
        <v>21</v>
      </c>
      <c r="B481" t="s">
        <v>34</v>
      </c>
      <c r="C481" t="s">
        <v>27</v>
      </c>
      <c r="D481">
        <v>0</v>
      </c>
      <c r="E481" t="s">
        <v>9</v>
      </c>
      <c r="F481" t="s">
        <v>10</v>
      </c>
    </row>
    <row r="482" spans="1:6" hidden="1" x14ac:dyDescent="0.35">
      <c r="A482" t="s">
        <v>6</v>
      </c>
      <c r="B482" t="s">
        <v>34</v>
      </c>
      <c r="C482" t="s">
        <v>28</v>
      </c>
      <c r="D482">
        <v>0</v>
      </c>
      <c r="E482" t="s">
        <v>9</v>
      </c>
      <c r="F482" t="s">
        <v>10</v>
      </c>
    </row>
    <row r="483" spans="1:6" hidden="1" x14ac:dyDescent="0.35">
      <c r="A483" t="s">
        <v>11</v>
      </c>
      <c r="B483" t="s">
        <v>34</v>
      </c>
      <c r="C483" t="s">
        <v>28</v>
      </c>
      <c r="D483">
        <v>301918</v>
      </c>
      <c r="E483" t="s">
        <v>9</v>
      </c>
      <c r="F483" t="s">
        <v>10</v>
      </c>
    </row>
    <row r="484" spans="1:6" hidden="1" x14ac:dyDescent="0.35">
      <c r="A484" t="s">
        <v>12</v>
      </c>
      <c r="B484" t="s">
        <v>34</v>
      </c>
      <c r="C484" t="s">
        <v>28</v>
      </c>
      <c r="D484">
        <v>218839</v>
      </c>
      <c r="E484" t="s">
        <v>9</v>
      </c>
      <c r="F484" t="s">
        <v>10</v>
      </c>
    </row>
    <row r="485" spans="1:6" hidden="1" x14ac:dyDescent="0.35">
      <c r="A485" t="s">
        <v>13</v>
      </c>
      <c r="B485" t="s">
        <v>34</v>
      </c>
      <c r="C485" t="s">
        <v>28</v>
      </c>
      <c r="D485">
        <v>0</v>
      </c>
      <c r="E485" t="s">
        <v>9</v>
      </c>
      <c r="F485" t="s">
        <v>10</v>
      </c>
    </row>
    <row r="486" spans="1:6" hidden="1" x14ac:dyDescent="0.35">
      <c r="A486" t="s">
        <v>14</v>
      </c>
      <c r="B486" t="s">
        <v>34</v>
      </c>
      <c r="C486" t="s">
        <v>28</v>
      </c>
      <c r="D486">
        <v>0</v>
      </c>
      <c r="E486" t="s">
        <v>9</v>
      </c>
      <c r="F486" t="s">
        <v>10</v>
      </c>
    </row>
    <row r="487" spans="1:6" hidden="1" x14ac:dyDescent="0.35">
      <c r="A487" t="s">
        <v>15</v>
      </c>
      <c r="B487" t="s">
        <v>34</v>
      </c>
      <c r="C487" t="s">
        <v>28</v>
      </c>
      <c r="D487">
        <v>111666</v>
      </c>
      <c r="E487" t="s">
        <v>9</v>
      </c>
      <c r="F487" t="s">
        <v>10</v>
      </c>
    </row>
    <row r="488" spans="1:6" hidden="1" x14ac:dyDescent="0.35">
      <c r="A488" t="s">
        <v>16</v>
      </c>
      <c r="B488" t="s">
        <v>34</v>
      </c>
      <c r="C488" t="s">
        <v>28</v>
      </c>
      <c r="D488">
        <v>0</v>
      </c>
      <c r="E488" t="s">
        <v>9</v>
      </c>
      <c r="F488" t="s">
        <v>10</v>
      </c>
    </row>
    <row r="489" spans="1:6" hidden="1" x14ac:dyDescent="0.35">
      <c r="A489" t="s">
        <v>17</v>
      </c>
      <c r="B489" t="s">
        <v>34</v>
      </c>
      <c r="C489" t="s">
        <v>28</v>
      </c>
      <c r="D489">
        <v>314740</v>
      </c>
      <c r="E489" t="s">
        <v>9</v>
      </c>
      <c r="F489" t="s">
        <v>10</v>
      </c>
    </row>
    <row r="490" spans="1:6" hidden="1" x14ac:dyDescent="0.35">
      <c r="A490" t="s">
        <v>18</v>
      </c>
      <c r="B490" t="s">
        <v>34</v>
      </c>
      <c r="C490" t="s">
        <v>28</v>
      </c>
      <c r="D490">
        <v>0</v>
      </c>
      <c r="E490" t="s">
        <v>9</v>
      </c>
      <c r="F490" t="s">
        <v>10</v>
      </c>
    </row>
    <row r="491" spans="1:6" hidden="1" x14ac:dyDescent="0.35">
      <c r="A491" t="s">
        <v>19</v>
      </c>
      <c r="B491" t="s">
        <v>34</v>
      </c>
      <c r="C491" t="s">
        <v>28</v>
      </c>
      <c r="D491">
        <v>0</v>
      </c>
      <c r="E491" t="s">
        <v>9</v>
      </c>
      <c r="F491" t="s">
        <v>10</v>
      </c>
    </row>
    <row r="492" spans="1:6" hidden="1" x14ac:dyDescent="0.35">
      <c r="A492" t="s">
        <v>20</v>
      </c>
      <c r="B492" t="s">
        <v>34</v>
      </c>
      <c r="C492" t="s">
        <v>28</v>
      </c>
      <c r="D492">
        <v>0</v>
      </c>
      <c r="E492" t="s">
        <v>9</v>
      </c>
      <c r="F492" t="s">
        <v>10</v>
      </c>
    </row>
    <row r="493" spans="1:6" hidden="1" x14ac:dyDescent="0.35">
      <c r="A493" t="s">
        <v>21</v>
      </c>
      <c r="B493" t="s">
        <v>34</v>
      </c>
      <c r="C493" t="s">
        <v>28</v>
      </c>
      <c r="D493">
        <v>0</v>
      </c>
      <c r="E493" t="s">
        <v>9</v>
      </c>
      <c r="F493" t="s">
        <v>10</v>
      </c>
    </row>
    <row r="494" spans="1:6" hidden="1" x14ac:dyDescent="0.35">
      <c r="A494" t="s">
        <v>6</v>
      </c>
      <c r="B494" t="s">
        <v>34</v>
      </c>
      <c r="C494" t="s">
        <v>29</v>
      </c>
      <c r="D494">
        <v>6</v>
      </c>
      <c r="E494" t="s">
        <v>9</v>
      </c>
      <c r="F494" t="s">
        <v>10</v>
      </c>
    </row>
    <row r="495" spans="1:6" hidden="1" x14ac:dyDescent="0.35">
      <c r="A495" t="s">
        <v>11</v>
      </c>
      <c r="B495" t="s">
        <v>34</v>
      </c>
      <c r="C495" t="s">
        <v>29</v>
      </c>
      <c r="D495">
        <v>2</v>
      </c>
      <c r="E495" t="s">
        <v>9</v>
      </c>
      <c r="F495" t="s">
        <v>10</v>
      </c>
    </row>
    <row r="496" spans="1:6" hidden="1" x14ac:dyDescent="0.35">
      <c r="A496" t="s">
        <v>12</v>
      </c>
      <c r="B496" t="s">
        <v>34</v>
      </c>
      <c r="C496" t="s">
        <v>29</v>
      </c>
      <c r="D496">
        <v>3</v>
      </c>
      <c r="E496" t="s">
        <v>9</v>
      </c>
      <c r="F496" t="s">
        <v>10</v>
      </c>
    </row>
    <row r="497" spans="1:6" hidden="1" x14ac:dyDescent="0.35">
      <c r="A497" t="s">
        <v>13</v>
      </c>
      <c r="B497" t="s">
        <v>34</v>
      </c>
      <c r="C497" t="s">
        <v>29</v>
      </c>
      <c r="D497">
        <v>1</v>
      </c>
      <c r="E497" t="s">
        <v>9</v>
      </c>
      <c r="F497" t="s">
        <v>10</v>
      </c>
    </row>
    <row r="498" spans="1:6" hidden="1" x14ac:dyDescent="0.35">
      <c r="A498" t="s">
        <v>14</v>
      </c>
      <c r="B498" t="s">
        <v>34</v>
      </c>
      <c r="C498" t="s">
        <v>29</v>
      </c>
      <c r="E498" t="s">
        <v>9</v>
      </c>
      <c r="F498" t="s">
        <v>10</v>
      </c>
    </row>
    <row r="499" spans="1:6" hidden="1" x14ac:dyDescent="0.35">
      <c r="A499" t="s">
        <v>15</v>
      </c>
      <c r="B499" t="s">
        <v>34</v>
      </c>
      <c r="C499" t="s">
        <v>29</v>
      </c>
      <c r="D499">
        <v>3</v>
      </c>
      <c r="E499" t="s">
        <v>9</v>
      </c>
      <c r="F499" t="s">
        <v>10</v>
      </c>
    </row>
    <row r="500" spans="1:6" hidden="1" x14ac:dyDescent="0.35">
      <c r="A500" t="s">
        <v>16</v>
      </c>
      <c r="B500" t="s">
        <v>34</v>
      </c>
      <c r="C500" t="s">
        <v>29</v>
      </c>
      <c r="D500">
        <v>3</v>
      </c>
      <c r="E500" t="s">
        <v>9</v>
      </c>
      <c r="F500" t="s">
        <v>10</v>
      </c>
    </row>
    <row r="501" spans="1:6" hidden="1" x14ac:dyDescent="0.35">
      <c r="A501" t="s">
        <v>17</v>
      </c>
      <c r="B501" t="s">
        <v>34</v>
      </c>
      <c r="C501" t="s">
        <v>29</v>
      </c>
      <c r="E501" t="s">
        <v>9</v>
      </c>
      <c r="F501" t="s">
        <v>10</v>
      </c>
    </row>
    <row r="502" spans="1:6" hidden="1" x14ac:dyDescent="0.35">
      <c r="A502" t="s">
        <v>18</v>
      </c>
      <c r="B502" t="s">
        <v>34</v>
      </c>
      <c r="C502" t="s">
        <v>29</v>
      </c>
      <c r="D502">
        <v>1</v>
      </c>
      <c r="E502" t="s">
        <v>9</v>
      </c>
      <c r="F502" t="s">
        <v>10</v>
      </c>
    </row>
    <row r="503" spans="1:6" hidden="1" x14ac:dyDescent="0.35">
      <c r="A503" t="s">
        <v>19</v>
      </c>
      <c r="B503" t="s">
        <v>34</v>
      </c>
      <c r="C503" t="s">
        <v>29</v>
      </c>
      <c r="D503">
        <v>1</v>
      </c>
      <c r="E503" t="s">
        <v>9</v>
      </c>
      <c r="F503" t="s">
        <v>10</v>
      </c>
    </row>
    <row r="504" spans="1:6" hidden="1" x14ac:dyDescent="0.35">
      <c r="A504" t="s">
        <v>20</v>
      </c>
      <c r="B504" t="s">
        <v>34</v>
      </c>
      <c r="C504" t="s">
        <v>29</v>
      </c>
      <c r="D504">
        <v>2</v>
      </c>
      <c r="E504" t="s">
        <v>9</v>
      </c>
      <c r="F504" t="s">
        <v>10</v>
      </c>
    </row>
    <row r="505" spans="1:6" hidden="1" x14ac:dyDescent="0.35">
      <c r="A505" t="s">
        <v>21</v>
      </c>
      <c r="B505" t="s">
        <v>34</v>
      </c>
      <c r="C505" t="s">
        <v>29</v>
      </c>
      <c r="D505">
        <v>1</v>
      </c>
      <c r="E505" t="s">
        <v>9</v>
      </c>
      <c r="F505" t="s">
        <v>10</v>
      </c>
    </row>
    <row r="506" spans="1:6" hidden="1" x14ac:dyDescent="0.35">
      <c r="A506" t="s">
        <v>6</v>
      </c>
      <c r="B506" t="s">
        <v>34</v>
      </c>
      <c r="C506" t="s">
        <v>30</v>
      </c>
      <c r="D506">
        <v>1</v>
      </c>
      <c r="E506" t="s">
        <v>9</v>
      </c>
      <c r="F506" t="s">
        <v>10</v>
      </c>
    </row>
    <row r="507" spans="1:6" hidden="1" x14ac:dyDescent="0.35">
      <c r="A507" t="s">
        <v>11</v>
      </c>
      <c r="B507" t="s">
        <v>34</v>
      </c>
      <c r="C507" t="s">
        <v>30</v>
      </c>
      <c r="E507" t="s">
        <v>9</v>
      </c>
      <c r="F507" t="s">
        <v>10</v>
      </c>
    </row>
    <row r="508" spans="1:6" hidden="1" x14ac:dyDescent="0.35">
      <c r="A508" t="s">
        <v>12</v>
      </c>
      <c r="B508" t="s">
        <v>34</v>
      </c>
      <c r="C508" t="s">
        <v>30</v>
      </c>
      <c r="E508" t="s">
        <v>9</v>
      </c>
      <c r="F508" t="s">
        <v>10</v>
      </c>
    </row>
    <row r="509" spans="1:6" hidden="1" x14ac:dyDescent="0.35">
      <c r="A509" t="s">
        <v>13</v>
      </c>
      <c r="B509" t="s">
        <v>34</v>
      </c>
      <c r="C509" t="s">
        <v>30</v>
      </c>
      <c r="E509" t="s">
        <v>9</v>
      </c>
      <c r="F509" t="s">
        <v>10</v>
      </c>
    </row>
    <row r="510" spans="1:6" hidden="1" x14ac:dyDescent="0.35">
      <c r="A510" t="s">
        <v>14</v>
      </c>
      <c r="B510" t="s">
        <v>34</v>
      </c>
      <c r="C510" t="s">
        <v>30</v>
      </c>
      <c r="D510">
        <v>2</v>
      </c>
      <c r="E510" t="s">
        <v>9</v>
      </c>
      <c r="F510" t="s">
        <v>10</v>
      </c>
    </row>
    <row r="511" spans="1:6" hidden="1" x14ac:dyDescent="0.35">
      <c r="A511" t="s">
        <v>15</v>
      </c>
      <c r="B511" t="s">
        <v>34</v>
      </c>
      <c r="C511" t="s">
        <v>30</v>
      </c>
      <c r="D511">
        <v>1</v>
      </c>
      <c r="E511" t="s">
        <v>9</v>
      </c>
      <c r="F511" t="s">
        <v>10</v>
      </c>
    </row>
    <row r="512" spans="1:6" hidden="1" x14ac:dyDescent="0.35">
      <c r="A512" t="s">
        <v>16</v>
      </c>
      <c r="B512" t="s">
        <v>34</v>
      </c>
      <c r="C512" t="s">
        <v>30</v>
      </c>
      <c r="E512" t="s">
        <v>9</v>
      </c>
      <c r="F512" t="s">
        <v>10</v>
      </c>
    </row>
    <row r="513" spans="1:6" hidden="1" x14ac:dyDescent="0.35">
      <c r="A513" t="s">
        <v>17</v>
      </c>
      <c r="B513" t="s">
        <v>34</v>
      </c>
      <c r="C513" t="s">
        <v>30</v>
      </c>
      <c r="E513" t="s">
        <v>9</v>
      </c>
      <c r="F513" t="s">
        <v>10</v>
      </c>
    </row>
    <row r="514" spans="1:6" hidden="1" x14ac:dyDescent="0.35">
      <c r="A514" t="s">
        <v>18</v>
      </c>
      <c r="B514" t="s">
        <v>34</v>
      </c>
      <c r="C514" t="s">
        <v>30</v>
      </c>
      <c r="D514">
        <v>1</v>
      </c>
      <c r="E514" t="s">
        <v>9</v>
      </c>
      <c r="F514" t="s">
        <v>10</v>
      </c>
    </row>
    <row r="515" spans="1:6" hidden="1" x14ac:dyDescent="0.35">
      <c r="A515" t="s">
        <v>19</v>
      </c>
      <c r="B515" t="s">
        <v>34</v>
      </c>
      <c r="C515" t="s">
        <v>30</v>
      </c>
      <c r="D515">
        <v>2</v>
      </c>
      <c r="E515" t="s">
        <v>9</v>
      </c>
      <c r="F515" t="s">
        <v>10</v>
      </c>
    </row>
    <row r="516" spans="1:6" hidden="1" x14ac:dyDescent="0.35">
      <c r="A516" t="s">
        <v>20</v>
      </c>
      <c r="B516" t="s">
        <v>34</v>
      </c>
      <c r="C516" t="s">
        <v>30</v>
      </c>
      <c r="E516" t="s">
        <v>9</v>
      </c>
      <c r="F516" t="s">
        <v>10</v>
      </c>
    </row>
    <row r="517" spans="1:6" hidden="1" x14ac:dyDescent="0.35">
      <c r="A517" t="s">
        <v>21</v>
      </c>
      <c r="B517" t="s">
        <v>34</v>
      </c>
      <c r="C517" t="s">
        <v>30</v>
      </c>
      <c r="E517" t="s">
        <v>9</v>
      </c>
      <c r="F517" t="s">
        <v>10</v>
      </c>
    </row>
    <row r="518" spans="1:6" hidden="1" x14ac:dyDescent="0.35">
      <c r="A518" t="s">
        <v>6</v>
      </c>
      <c r="B518" t="s">
        <v>34</v>
      </c>
      <c r="C518" t="s">
        <v>31</v>
      </c>
      <c r="D518">
        <v>2</v>
      </c>
      <c r="E518" t="s">
        <v>9</v>
      </c>
      <c r="F518" t="s">
        <v>10</v>
      </c>
    </row>
    <row r="519" spans="1:6" hidden="1" x14ac:dyDescent="0.35">
      <c r="A519" t="s">
        <v>11</v>
      </c>
      <c r="B519" t="s">
        <v>34</v>
      </c>
      <c r="C519" t="s">
        <v>31</v>
      </c>
      <c r="D519">
        <v>2</v>
      </c>
      <c r="E519" t="s">
        <v>9</v>
      </c>
      <c r="F519" t="s">
        <v>10</v>
      </c>
    </row>
    <row r="520" spans="1:6" hidden="1" x14ac:dyDescent="0.35">
      <c r="A520" t="s">
        <v>12</v>
      </c>
      <c r="B520" t="s">
        <v>34</v>
      </c>
      <c r="C520" t="s">
        <v>31</v>
      </c>
      <c r="D520">
        <v>1</v>
      </c>
      <c r="E520" t="s">
        <v>9</v>
      </c>
      <c r="F520" t="s">
        <v>10</v>
      </c>
    </row>
    <row r="521" spans="1:6" hidden="1" x14ac:dyDescent="0.35">
      <c r="A521" t="s">
        <v>13</v>
      </c>
      <c r="B521" t="s">
        <v>34</v>
      </c>
      <c r="C521" t="s">
        <v>31</v>
      </c>
      <c r="D521">
        <v>1</v>
      </c>
      <c r="E521" t="s">
        <v>9</v>
      </c>
      <c r="F521" t="s">
        <v>10</v>
      </c>
    </row>
    <row r="522" spans="1:6" hidden="1" x14ac:dyDescent="0.35">
      <c r="A522" t="s">
        <v>14</v>
      </c>
      <c r="B522" t="s">
        <v>34</v>
      </c>
      <c r="C522" t="s">
        <v>31</v>
      </c>
      <c r="E522" t="s">
        <v>9</v>
      </c>
      <c r="F522" t="s">
        <v>10</v>
      </c>
    </row>
    <row r="523" spans="1:6" hidden="1" x14ac:dyDescent="0.35">
      <c r="A523" t="s">
        <v>15</v>
      </c>
      <c r="B523" t="s">
        <v>34</v>
      </c>
      <c r="C523" t="s">
        <v>31</v>
      </c>
      <c r="D523">
        <v>3</v>
      </c>
      <c r="E523" t="s">
        <v>9</v>
      </c>
      <c r="F523" t="s">
        <v>10</v>
      </c>
    </row>
    <row r="524" spans="1:6" hidden="1" x14ac:dyDescent="0.35">
      <c r="A524" t="s">
        <v>16</v>
      </c>
      <c r="B524" t="s">
        <v>34</v>
      </c>
      <c r="C524" t="s">
        <v>31</v>
      </c>
      <c r="E524" t="s">
        <v>9</v>
      </c>
      <c r="F524" t="s">
        <v>10</v>
      </c>
    </row>
    <row r="525" spans="1:6" hidden="1" x14ac:dyDescent="0.35">
      <c r="A525" t="s">
        <v>17</v>
      </c>
      <c r="B525" t="s">
        <v>34</v>
      </c>
      <c r="C525" t="s">
        <v>31</v>
      </c>
      <c r="E525" t="s">
        <v>9</v>
      </c>
      <c r="F525" t="s">
        <v>10</v>
      </c>
    </row>
    <row r="526" spans="1:6" hidden="1" x14ac:dyDescent="0.35">
      <c r="A526" t="s">
        <v>18</v>
      </c>
      <c r="B526" t="s">
        <v>34</v>
      </c>
      <c r="C526" t="s">
        <v>31</v>
      </c>
      <c r="D526">
        <v>1</v>
      </c>
      <c r="E526" t="s">
        <v>9</v>
      </c>
      <c r="F526" t="s">
        <v>10</v>
      </c>
    </row>
    <row r="527" spans="1:6" hidden="1" x14ac:dyDescent="0.35">
      <c r="A527" t="s">
        <v>19</v>
      </c>
      <c r="B527" t="s">
        <v>34</v>
      </c>
      <c r="C527" t="s">
        <v>31</v>
      </c>
      <c r="D527">
        <v>1</v>
      </c>
      <c r="E527" t="s">
        <v>9</v>
      </c>
      <c r="F527" t="s">
        <v>10</v>
      </c>
    </row>
    <row r="528" spans="1:6" hidden="1" x14ac:dyDescent="0.35">
      <c r="A528" t="s">
        <v>20</v>
      </c>
      <c r="B528" t="s">
        <v>34</v>
      </c>
      <c r="C528" t="s">
        <v>31</v>
      </c>
      <c r="D528">
        <v>1</v>
      </c>
      <c r="E528" t="s">
        <v>9</v>
      </c>
      <c r="F528" t="s">
        <v>10</v>
      </c>
    </row>
    <row r="529" spans="1:6" hidden="1" x14ac:dyDescent="0.35">
      <c r="A529" t="s">
        <v>21</v>
      </c>
      <c r="B529" t="s">
        <v>34</v>
      </c>
      <c r="C529" t="s">
        <v>31</v>
      </c>
      <c r="E529" t="s">
        <v>9</v>
      </c>
      <c r="F529" t="s">
        <v>10</v>
      </c>
    </row>
    <row r="530" spans="1:6" hidden="1" x14ac:dyDescent="0.35">
      <c r="A530" t="s">
        <v>6</v>
      </c>
      <c r="B530" t="s">
        <v>35</v>
      </c>
      <c r="C530" t="s">
        <v>8</v>
      </c>
      <c r="D530">
        <v>65787</v>
      </c>
      <c r="E530" t="s">
        <v>9</v>
      </c>
      <c r="F530" t="s">
        <v>10</v>
      </c>
    </row>
    <row r="531" spans="1:6" hidden="1" x14ac:dyDescent="0.35">
      <c r="A531" t="s">
        <v>11</v>
      </c>
      <c r="B531" t="s">
        <v>35</v>
      </c>
      <c r="C531" t="s">
        <v>8</v>
      </c>
      <c r="D531">
        <v>71856</v>
      </c>
      <c r="E531" t="s">
        <v>9</v>
      </c>
      <c r="F531" t="s">
        <v>10</v>
      </c>
    </row>
    <row r="532" spans="1:6" hidden="1" x14ac:dyDescent="0.35">
      <c r="A532" t="s">
        <v>12</v>
      </c>
      <c r="B532" t="s">
        <v>35</v>
      </c>
      <c r="C532" t="s">
        <v>8</v>
      </c>
      <c r="D532">
        <v>0</v>
      </c>
      <c r="E532" t="s">
        <v>9</v>
      </c>
      <c r="F532" t="s">
        <v>10</v>
      </c>
    </row>
    <row r="533" spans="1:6" hidden="1" x14ac:dyDescent="0.35">
      <c r="A533" t="s">
        <v>13</v>
      </c>
      <c r="B533" t="s">
        <v>35</v>
      </c>
      <c r="C533" t="s">
        <v>8</v>
      </c>
      <c r="D533">
        <v>1335042</v>
      </c>
      <c r="E533" t="s">
        <v>9</v>
      </c>
      <c r="F533" t="s">
        <v>10</v>
      </c>
    </row>
    <row r="534" spans="1:6" hidden="1" x14ac:dyDescent="0.35">
      <c r="A534" t="s">
        <v>14</v>
      </c>
      <c r="B534" t="s">
        <v>35</v>
      </c>
      <c r="C534" t="s">
        <v>8</v>
      </c>
      <c r="D534">
        <v>0</v>
      </c>
      <c r="E534" t="s">
        <v>9</v>
      </c>
      <c r="F534" t="s">
        <v>10</v>
      </c>
    </row>
    <row r="535" spans="1:6" hidden="1" x14ac:dyDescent="0.35">
      <c r="A535" t="s">
        <v>15</v>
      </c>
      <c r="B535" t="s">
        <v>35</v>
      </c>
      <c r="C535" t="s">
        <v>8</v>
      </c>
      <c r="D535">
        <v>68517</v>
      </c>
      <c r="E535" t="s">
        <v>9</v>
      </c>
      <c r="F535" t="s">
        <v>10</v>
      </c>
    </row>
    <row r="536" spans="1:6" hidden="1" x14ac:dyDescent="0.35">
      <c r="A536" t="s">
        <v>16</v>
      </c>
      <c r="B536" t="s">
        <v>35</v>
      </c>
      <c r="C536" t="s">
        <v>8</v>
      </c>
      <c r="D536">
        <v>1407510</v>
      </c>
      <c r="E536" t="s">
        <v>9</v>
      </c>
      <c r="F536" t="s">
        <v>10</v>
      </c>
    </row>
    <row r="537" spans="1:6" hidden="1" x14ac:dyDescent="0.35">
      <c r="A537" t="s">
        <v>17</v>
      </c>
      <c r="B537" t="s">
        <v>35</v>
      </c>
      <c r="C537" t="s">
        <v>8</v>
      </c>
      <c r="D537">
        <v>83892</v>
      </c>
      <c r="E537" t="s">
        <v>9</v>
      </c>
      <c r="F537" t="s">
        <v>10</v>
      </c>
    </row>
    <row r="538" spans="1:6" hidden="1" x14ac:dyDescent="0.35">
      <c r="A538" t="s">
        <v>18</v>
      </c>
      <c r="B538" t="s">
        <v>35</v>
      </c>
      <c r="C538" t="s">
        <v>8</v>
      </c>
      <c r="D538">
        <v>0</v>
      </c>
      <c r="E538" t="s">
        <v>9</v>
      </c>
      <c r="F538" t="s">
        <v>10</v>
      </c>
    </row>
    <row r="539" spans="1:6" hidden="1" x14ac:dyDescent="0.35">
      <c r="A539" t="s">
        <v>19</v>
      </c>
      <c r="B539" t="s">
        <v>35</v>
      </c>
      <c r="C539" t="s">
        <v>8</v>
      </c>
      <c r="D539">
        <v>882859</v>
      </c>
      <c r="E539" t="s">
        <v>9</v>
      </c>
      <c r="F539" t="s">
        <v>10</v>
      </c>
    </row>
    <row r="540" spans="1:6" hidden="1" x14ac:dyDescent="0.35">
      <c r="A540" t="s">
        <v>20</v>
      </c>
      <c r="B540" t="s">
        <v>35</v>
      </c>
      <c r="C540" t="s">
        <v>8</v>
      </c>
      <c r="D540">
        <v>0</v>
      </c>
      <c r="E540" t="s">
        <v>9</v>
      </c>
      <c r="F540" t="s">
        <v>10</v>
      </c>
    </row>
    <row r="541" spans="1:6" hidden="1" x14ac:dyDescent="0.35">
      <c r="A541" t="s">
        <v>21</v>
      </c>
      <c r="B541" t="s">
        <v>35</v>
      </c>
      <c r="C541" t="s">
        <v>8</v>
      </c>
      <c r="D541">
        <v>0</v>
      </c>
      <c r="E541" t="s">
        <v>9</v>
      </c>
      <c r="F541" t="s">
        <v>10</v>
      </c>
    </row>
    <row r="542" spans="1:6" hidden="1" x14ac:dyDescent="0.35">
      <c r="A542" t="s">
        <v>6</v>
      </c>
      <c r="B542" t="s">
        <v>35</v>
      </c>
      <c r="C542" t="s">
        <v>22</v>
      </c>
      <c r="D542">
        <v>0</v>
      </c>
      <c r="E542" t="s">
        <v>9</v>
      </c>
      <c r="F542" t="s">
        <v>10</v>
      </c>
    </row>
    <row r="543" spans="1:6" hidden="1" x14ac:dyDescent="0.35">
      <c r="A543" t="s">
        <v>11</v>
      </c>
      <c r="B543" t="s">
        <v>35</v>
      </c>
      <c r="C543" t="s">
        <v>22</v>
      </c>
      <c r="D543">
        <v>0</v>
      </c>
      <c r="E543" t="s">
        <v>9</v>
      </c>
      <c r="F543" t="s">
        <v>10</v>
      </c>
    </row>
    <row r="544" spans="1:6" hidden="1" x14ac:dyDescent="0.35">
      <c r="A544" t="s">
        <v>12</v>
      </c>
      <c r="B544" t="s">
        <v>35</v>
      </c>
      <c r="C544" t="s">
        <v>22</v>
      </c>
      <c r="D544">
        <v>0</v>
      </c>
      <c r="E544" t="s">
        <v>9</v>
      </c>
      <c r="F544" t="s">
        <v>10</v>
      </c>
    </row>
    <row r="545" spans="1:6" hidden="1" x14ac:dyDescent="0.35">
      <c r="A545" t="s">
        <v>13</v>
      </c>
      <c r="B545" t="s">
        <v>35</v>
      </c>
      <c r="C545" t="s">
        <v>22</v>
      </c>
      <c r="D545">
        <v>0</v>
      </c>
      <c r="E545" t="s">
        <v>9</v>
      </c>
      <c r="F545" t="s">
        <v>10</v>
      </c>
    </row>
    <row r="546" spans="1:6" hidden="1" x14ac:dyDescent="0.35">
      <c r="A546" t="s">
        <v>14</v>
      </c>
      <c r="B546" t="s">
        <v>35</v>
      </c>
      <c r="C546" t="s">
        <v>22</v>
      </c>
      <c r="D546">
        <v>0</v>
      </c>
      <c r="E546" t="s">
        <v>9</v>
      </c>
      <c r="F546" t="s">
        <v>10</v>
      </c>
    </row>
    <row r="547" spans="1:6" hidden="1" x14ac:dyDescent="0.35">
      <c r="A547" t="s">
        <v>15</v>
      </c>
      <c r="B547" t="s">
        <v>35</v>
      </c>
      <c r="C547" t="s">
        <v>22</v>
      </c>
      <c r="D547">
        <v>0</v>
      </c>
      <c r="E547" t="s">
        <v>9</v>
      </c>
      <c r="F547" t="s">
        <v>10</v>
      </c>
    </row>
    <row r="548" spans="1:6" hidden="1" x14ac:dyDescent="0.35">
      <c r="A548" t="s">
        <v>16</v>
      </c>
      <c r="B548" t="s">
        <v>35</v>
      </c>
      <c r="C548" t="s">
        <v>22</v>
      </c>
      <c r="D548">
        <v>0</v>
      </c>
      <c r="E548" t="s">
        <v>9</v>
      </c>
      <c r="F548" t="s">
        <v>10</v>
      </c>
    </row>
    <row r="549" spans="1:6" hidden="1" x14ac:dyDescent="0.35">
      <c r="A549" t="s">
        <v>17</v>
      </c>
      <c r="B549" t="s">
        <v>35</v>
      </c>
      <c r="C549" t="s">
        <v>22</v>
      </c>
      <c r="D549">
        <v>0</v>
      </c>
      <c r="E549" t="s">
        <v>9</v>
      </c>
      <c r="F549" t="s">
        <v>10</v>
      </c>
    </row>
    <row r="550" spans="1:6" hidden="1" x14ac:dyDescent="0.35">
      <c r="A550" t="s">
        <v>18</v>
      </c>
      <c r="B550" t="s">
        <v>35</v>
      </c>
      <c r="C550" t="s">
        <v>22</v>
      </c>
      <c r="D550">
        <v>0</v>
      </c>
      <c r="E550" t="s">
        <v>9</v>
      </c>
      <c r="F550" t="s">
        <v>10</v>
      </c>
    </row>
    <row r="551" spans="1:6" hidden="1" x14ac:dyDescent="0.35">
      <c r="A551" t="s">
        <v>19</v>
      </c>
      <c r="B551" t="s">
        <v>35</v>
      </c>
      <c r="C551" t="s">
        <v>22</v>
      </c>
      <c r="D551">
        <v>0</v>
      </c>
      <c r="E551" t="s">
        <v>9</v>
      </c>
      <c r="F551" t="s">
        <v>10</v>
      </c>
    </row>
    <row r="552" spans="1:6" hidden="1" x14ac:dyDescent="0.35">
      <c r="A552" t="s">
        <v>20</v>
      </c>
      <c r="B552" t="s">
        <v>35</v>
      </c>
      <c r="C552" t="s">
        <v>22</v>
      </c>
      <c r="D552">
        <v>0</v>
      </c>
      <c r="E552" t="s">
        <v>9</v>
      </c>
      <c r="F552" t="s">
        <v>10</v>
      </c>
    </row>
    <row r="553" spans="1:6" hidden="1" x14ac:dyDescent="0.35">
      <c r="A553" t="s">
        <v>21</v>
      </c>
      <c r="B553" t="s">
        <v>35</v>
      </c>
      <c r="C553" t="s">
        <v>22</v>
      </c>
      <c r="D553">
        <v>0</v>
      </c>
      <c r="E553" t="s">
        <v>9</v>
      </c>
      <c r="F553" t="s">
        <v>10</v>
      </c>
    </row>
    <row r="554" spans="1:6" hidden="1" x14ac:dyDescent="0.35">
      <c r="A554" t="s">
        <v>6</v>
      </c>
      <c r="B554" t="s">
        <v>35</v>
      </c>
      <c r="C554" t="s">
        <v>23</v>
      </c>
      <c r="D554">
        <v>45715</v>
      </c>
      <c r="E554" t="s">
        <v>9</v>
      </c>
      <c r="F554" t="s">
        <v>10</v>
      </c>
    </row>
    <row r="555" spans="1:6" hidden="1" x14ac:dyDescent="0.35">
      <c r="A555" t="s">
        <v>11</v>
      </c>
      <c r="B555" t="s">
        <v>35</v>
      </c>
      <c r="C555" t="s">
        <v>23</v>
      </c>
      <c r="D555">
        <v>528537</v>
      </c>
      <c r="E555" t="s">
        <v>9</v>
      </c>
      <c r="F555" t="s">
        <v>10</v>
      </c>
    </row>
    <row r="556" spans="1:6" hidden="1" x14ac:dyDescent="0.35">
      <c r="A556" t="s">
        <v>12</v>
      </c>
      <c r="B556" t="s">
        <v>35</v>
      </c>
      <c r="C556" t="s">
        <v>23</v>
      </c>
      <c r="D556">
        <v>159042</v>
      </c>
      <c r="E556" t="s">
        <v>9</v>
      </c>
      <c r="F556" t="s">
        <v>10</v>
      </c>
    </row>
    <row r="557" spans="1:6" hidden="1" x14ac:dyDescent="0.35">
      <c r="A557" t="s">
        <v>13</v>
      </c>
      <c r="B557" t="s">
        <v>35</v>
      </c>
      <c r="C557" t="s">
        <v>23</v>
      </c>
      <c r="D557">
        <v>97529</v>
      </c>
      <c r="E557" t="s">
        <v>9</v>
      </c>
      <c r="F557" t="s">
        <v>10</v>
      </c>
    </row>
    <row r="558" spans="1:6" hidden="1" x14ac:dyDescent="0.35">
      <c r="A558" t="s">
        <v>14</v>
      </c>
      <c r="B558" t="s">
        <v>35</v>
      </c>
      <c r="C558" t="s">
        <v>23</v>
      </c>
      <c r="D558">
        <v>0</v>
      </c>
      <c r="E558" t="s">
        <v>9</v>
      </c>
      <c r="F558" t="s">
        <v>10</v>
      </c>
    </row>
    <row r="559" spans="1:6" hidden="1" x14ac:dyDescent="0.35">
      <c r="A559" t="s">
        <v>15</v>
      </c>
      <c r="B559" t="s">
        <v>35</v>
      </c>
      <c r="C559" t="s">
        <v>23</v>
      </c>
      <c r="D559">
        <v>529989</v>
      </c>
      <c r="E559" t="s">
        <v>9</v>
      </c>
      <c r="F559" t="s">
        <v>10</v>
      </c>
    </row>
    <row r="560" spans="1:6" hidden="1" x14ac:dyDescent="0.35">
      <c r="A560" t="s">
        <v>16</v>
      </c>
      <c r="B560" t="s">
        <v>35</v>
      </c>
      <c r="C560" t="s">
        <v>23</v>
      </c>
      <c r="D560">
        <v>128532</v>
      </c>
      <c r="E560" t="s">
        <v>9</v>
      </c>
      <c r="F560" t="s">
        <v>10</v>
      </c>
    </row>
    <row r="561" spans="1:6" hidden="1" x14ac:dyDescent="0.35">
      <c r="A561" t="s">
        <v>17</v>
      </c>
      <c r="B561" t="s">
        <v>35</v>
      </c>
      <c r="C561" t="s">
        <v>23</v>
      </c>
      <c r="D561">
        <v>147134</v>
      </c>
      <c r="E561" t="s">
        <v>9</v>
      </c>
      <c r="F561" t="s">
        <v>10</v>
      </c>
    </row>
    <row r="562" spans="1:6" hidden="1" x14ac:dyDescent="0.35">
      <c r="A562" t="s">
        <v>18</v>
      </c>
      <c r="B562" t="s">
        <v>35</v>
      </c>
      <c r="C562" t="s">
        <v>23</v>
      </c>
      <c r="D562">
        <v>0</v>
      </c>
      <c r="E562" t="s">
        <v>9</v>
      </c>
      <c r="F562" t="s">
        <v>10</v>
      </c>
    </row>
    <row r="563" spans="1:6" hidden="1" x14ac:dyDescent="0.35">
      <c r="A563" t="s">
        <v>19</v>
      </c>
      <c r="B563" t="s">
        <v>35</v>
      </c>
      <c r="C563" t="s">
        <v>23</v>
      </c>
      <c r="D563">
        <v>495906</v>
      </c>
      <c r="E563" t="s">
        <v>9</v>
      </c>
      <c r="F563" t="s">
        <v>10</v>
      </c>
    </row>
    <row r="564" spans="1:6" hidden="1" x14ac:dyDescent="0.35">
      <c r="A564" t="s">
        <v>20</v>
      </c>
      <c r="B564" t="s">
        <v>35</v>
      </c>
      <c r="C564" t="s">
        <v>23</v>
      </c>
      <c r="D564">
        <v>0</v>
      </c>
      <c r="E564" t="s">
        <v>9</v>
      </c>
      <c r="F564" t="s">
        <v>10</v>
      </c>
    </row>
    <row r="565" spans="1:6" hidden="1" x14ac:dyDescent="0.35">
      <c r="A565" t="s">
        <v>21</v>
      </c>
      <c r="B565" t="s">
        <v>35</v>
      </c>
      <c r="C565" t="s">
        <v>23</v>
      </c>
      <c r="D565">
        <v>0</v>
      </c>
      <c r="E565" t="s">
        <v>9</v>
      </c>
      <c r="F565" t="s">
        <v>10</v>
      </c>
    </row>
    <row r="566" spans="1:6" hidden="1" x14ac:dyDescent="0.35">
      <c r="A566" t="s">
        <v>6</v>
      </c>
      <c r="B566" t="s">
        <v>35</v>
      </c>
      <c r="C566" t="s">
        <v>24</v>
      </c>
      <c r="D566">
        <v>0</v>
      </c>
      <c r="E566" t="s">
        <v>9</v>
      </c>
      <c r="F566" t="s">
        <v>10</v>
      </c>
    </row>
    <row r="567" spans="1:6" hidden="1" x14ac:dyDescent="0.35">
      <c r="A567" t="s">
        <v>11</v>
      </c>
      <c r="B567" t="s">
        <v>35</v>
      </c>
      <c r="C567" t="s">
        <v>24</v>
      </c>
      <c r="D567">
        <v>0</v>
      </c>
      <c r="E567" t="s">
        <v>9</v>
      </c>
      <c r="F567" t="s">
        <v>10</v>
      </c>
    </row>
    <row r="568" spans="1:6" hidden="1" x14ac:dyDescent="0.35">
      <c r="A568" t="s">
        <v>12</v>
      </c>
      <c r="B568" t="s">
        <v>35</v>
      </c>
      <c r="C568" t="s">
        <v>24</v>
      </c>
      <c r="D568">
        <v>0</v>
      </c>
      <c r="E568" t="s">
        <v>9</v>
      </c>
      <c r="F568" t="s">
        <v>10</v>
      </c>
    </row>
    <row r="569" spans="1:6" hidden="1" x14ac:dyDescent="0.35">
      <c r="A569" t="s">
        <v>13</v>
      </c>
      <c r="B569" t="s">
        <v>35</v>
      </c>
      <c r="C569" t="s">
        <v>24</v>
      </c>
      <c r="D569">
        <v>0</v>
      </c>
      <c r="E569" t="s">
        <v>9</v>
      </c>
      <c r="F569" t="s">
        <v>10</v>
      </c>
    </row>
    <row r="570" spans="1:6" hidden="1" x14ac:dyDescent="0.35">
      <c r="A570" t="s">
        <v>14</v>
      </c>
      <c r="B570" t="s">
        <v>35</v>
      </c>
      <c r="C570" t="s">
        <v>24</v>
      </c>
      <c r="D570">
        <v>0</v>
      </c>
      <c r="E570" t="s">
        <v>9</v>
      </c>
      <c r="F570" t="s">
        <v>10</v>
      </c>
    </row>
    <row r="571" spans="1:6" hidden="1" x14ac:dyDescent="0.35">
      <c r="A571" t="s">
        <v>15</v>
      </c>
      <c r="B571" t="s">
        <v>35</v>
      </c>
      <c r="C571" t="s">
        <v>24</v>
      </c>
      <c r="D571">
        <v>0</v>
      </c>
      <c r="E571" t="s">
        <v>9</v>
      </c>
      <c r="F571" t="s">
        <v>10</v>
      </c>
    </row>
    <row r="572" spans="1:6" hidden="1" x14ac:dyDescent="0.35">
      <c r="A572" t="s">
        <v>16</v>
      </c>
      <c r="B572" t="s">
        <v>35</v>
      </c>
      <c r="C572" t="s">
        <v>24</v>
      </c>
      <c r="D572">
        <v>0</v>
      </c>
      <c r="E572" t="s">
        <v>9</v>
      </c>
      <c r="F572" t="s">
        <v>10</v>
      </c>
    </row>
    <row r="573" spans="1:6" hidden="1" x14ac:dyDescent="0.35">
      <c r="A573" t="s">
        <v>17</v>
      </c>
      <c r="B573" t="s">
        <v>35</v>
      </c>
      <c r="C573" t="s">
        <v>24</v>
      </c>
      <c r="D573">
        <v>0</v>
      </c>
      <c r="E573" t="s">
        <v>9</v>
      </c>
      <c r="F573" t="s">
        <v>10</v>
      </c>
    </row>
    <row r="574" spans="1:6" hidden="1" x14ac:dyDescent="0.35">
      <c r="A574" t="s">
        <v>18</v>
      </c>
      <c r="B574" t="s">
        <v>35</v>
      </c>
      <c r="C574" t="s">
        <v>24</v>
      </c>
      <c r="D574">
        <v>0</v>
      </c>
      <c r="E574" t="s">
        <v>9</v>
      </c>
      <c r="F574" t="s">
        <v>10</v>
      </c>
    </row>
    <row r="575" spans="1:6" hidden="1" x14ac:dyDescent="0.35">
      <c r="A575" t="s">
        <v>19</v>
      </c>
      <c r="B575" t="s">
        <v>35</v>
      </c>
      <c r="C575" t="s">
        <v>24</v>
      </c>
      <c r="D575">
        <v>0</v>
      </c>
      <c r="E575" t="s">
        <v>9</v>
      </c>
      <c r="F575" t="s">
        <v>10</v>
      </c>
    </row>
    <row r="576" spans="1:6" hidden="1" x14ac:dyDescent="0.35">
      <c r="A576" t="s">
        <v>20</v>
      </c>
      <c r="B576" t="s">
        <v>35</v>
      </c>
      <c r="C576" t="s">
        <v>24</v>
      </c>
      <c r="D576">
        <v>0</v>
      </c>
      <c r="E576" t="s">
        <v>9</v>
      </c>
      <c r="F576" t="s">
        <v>10</v>
      </c>
    </row>
    <row r="577" spans="1:6" hidden="1" x14ac:dyDescent="0.35">
      <c r="A577" t="s">
        <v>21</v>
      </c>
      <c r="B577" t="s">
        <v>35</v>
      </c>
      <c r="C577" t="s">
        <v>24</v>
      </c>
      <c r="D577">
        <v>0</v>
      </c>
      <c r="E577" t="s">
        <v>9</v>
      </c>
      <c r="F577" t="s">
        <v>10</v>
      </c>
    </row>
    <row r="578" spans="1:6" hidden="1" x14ac:dyDescent="0.35">
      <c r="A578" t="s">
        <v>6</v>
      </c>
      <c r="B578" t="s">
        <v>35</v>
      </c>
      <c r="C578" t="s">
        <v>25</v>
      </c>
      <c r="D578">
        <v>6532</v>
      </c>
      <c r="E578" t="s">
        <v>9</v>
      </c>
      <c r="F578" t="s">
        <v>10</v>
      </c>
    </row>
    <row r="579" spans="1:6" hidden="1" x14ac:dyDescent="0.35">
      <c r="A579" t="s">
        <v>11</v>
      </c>
      <c r="B579" t="s">
        <v>35</v>
      </c>
      <c r="C579" t="s">
        <v>25</v>
      </c>
      <c r="D579">
        <v>2411</v>
      </c>
      <c r="E579" t="s">
        <v>9</v>
      </c>
      <c r="F579" t="s">
        <v>10</v>
      </c>
    </row>
    <row r="580" spans="1:6" hidden="1" x14ac:dyDescent="0.35">
      <c r="A580" t="s">
        <v>12</v>
      </c>
      <c r="B580" t="s">
        <v>35</v>
      </c>
      <c r="C580" t="s">
        <v>25</v>
      </c>
      <c r="D580">
        <v>3204.09</v>
      </c>
      <c r="E580" t="s">
        <v>9</v>
      </c>
      <c r="F580" t="s">
        <v>10</v>
      </c>
    </row>
    <row r="581" spans="1:6" hidden="1" x14ac:dyDescent="0.35">
      <c r="A581" t="s">
        <v>13</v>
      </c>
      <c r="B581" t="s">
        <v>35</v>
      </c>
      <c r="C581" t="s">
        <v>25</v>
      </c>
      <c r="D581">
        <v>36135</v>
      </c>
      <c r="E581" t="s">
        <v>9</v>
      </c>
      <c r="F581" t="s">
        <v>10</v>
      </c>
    </row>
    <row r="582" spans="1:6" hidden="1" x14ac:dyDescent="0.35">
      <c r="A582" t="s">
        <v>14</v>
      </c>
      <c r="B582" t="s">
        <v>35</v>
      </c>
      <c r="C582" t="s">
        <v>25</v>
      </c>
      <c r="D582">
        <v>2141</v>
      </c>
      <c r="E582" t="s">
        <v>9</v>
      </c>
      <c r="F582" t="s">
        <v>10</v>
      </c>
    </row>
    <row r="583" spans="1:6" hidden="1" x14ac:dyDescent="0.35">
      <c r="A583" t="s">
        <v>15</v>
      </c>
      <c r="B583" t="s">
        <v>35</v>
      </c>
      <c r="C583" t="s">
        <v>25</v>
      </c>
      <c r="D583">
        <v>181219</v>
      </c>
      <c r="E583" t="s">
        <v>9</v>
      </c>
      <c r="F583" t="s">
        <v>10</v>
      </c>
    </row>
    <row r="584" spans="1:6" hidden="1" x14ac:dyDescent="0.35">
      <c r="A584" t="s">
        <v>16</v>
      </c>
      <c r="B584" t="s">
        <v>35</v>
      </c>
      <c r="C584" t="s">
        <v>25</v>
      </c>
      <c r="D584">
        <v>0</v>
      </c>
      <c r="E584" t="s">
        <v>9</v>
      </c>
      <c r="F584" t="s">
        <v>10</v>
      </c>
    </row>
    <row r="585" spans="1:6" hidden="1" x14ac:dyDescent="0.35">
      <c r="A585" t="s">
        <v>17</v>
      </c>
      <c r="B585" t="s">
        <v>35</v>
      </c>
      <c r="C585" t="s">
        <v>25</v>
      </c>
      <c r="D585">
        <v>178661</v>
      </c>
      <c r="E585" t="s">
        <v>9</v>
      </c>
      <c r="F585" t="s">
        <v>10</v>
      </c>
    </row>
    <row r="586" spans="1:6" hidden="1" x14ac:dyDescent="0.35">
      <c r="A586" t="s">
        <v>18</v>
      </c>
      <c r="B586" t="s">
        <v>35</v>
      </c>
      <c r="C586" t="s">
        <v>25</v>
      </c>
      <c r="D586">
        <v>0</v>
      </c>
      <c r="E586" t="s">
        <v>9</v>
      </c>
      <c r="F586" t="s">
        <v>10</v>
      </c>
    </row>
    <row r="587" spans="1:6" hidden="1" x14ac:dyDescent="0.35">
      <c r="A587" t="s">
        <v>19</v>
      </c>
      <c r="B587" t="s">
        <v>35</v>
      </c>
      <c r="C587" t="s">
        <v>25</v>
      </c>
      <c r="D587">
        <v>58811</v>
      </c>
      <c r="E587" t="s">
        <v>9</v>
      </c>
      <c r="F587" t="s">
        <v>10</v>
      </c>
    </row>
    <row r="588" spans="1:6" hidden="1" x14ac:dyDescent="0.35">
      <c r="A588" t="s">
        <v>20</v>
      </c>
      <c r="B588" t="s">
        <v>35</v>
      </c>
      <c r="C588" t="s">
        <v>25</v>
      </c>
      <c r="D588">
        <v>11739</v>
      </c>
      <c r="E588" t="s">
        <v>9</v>
      </c>
      <c r="F588" t="s">
        <v>10</v>
      </c>
    </row>
    <row r="589" spans="1:6" hidden="1" x14ac:dyDescent="0.35">
      <c r="A589" t="s">
        <v>21</v>
      </c>
      <c r="B589" t="s">
        <v>35</v>
      </c>
      <c r="C589" t="s">
        <v>25</v>
      </c>
      <c r="D589">
        <v>38898</v>
      </c>
      <c r="E589" t="s">
        <v>9</v>
      </c>
      <c r="F589" t="s">
        <v>10</v>
      </c>
    </row>
    <row r="590" spans="1:6" hidden="1" x14ac:dyDescent="0.35">
      <c r="A590" t="s">
        <v>6</v>
      </c>
      <c r="B590" t="s">
        <v>35</v>
      </c>
      <c r="C590" t="s">
        <v>26</v>
      </c>
      <c r="D590">
        <v>0</v>
      </c>
      <c r="E590" t="s">
        <v>9</v>
      </c>
      <c r="F590" t="s">
        <v>10</v>
      </c>
    </row>
    <row r="591" spans="1:6" hidden="1" x14ac:dyDescent="0.35">
      <c r="A591" t="s">
        <v>11</v>
      </c>
      <c r="B591" t="s">
        <v>35</v>
      </c>
      <c r="C591" t="s">
        <v>26</v>
      </c>
      <c r="E591" t="s">
        <v>9</v>
      </c>
      <c r="F591" t="s">
        <v>10</v>
      </c>
    </row>
    <row r="592" spans="1:6" hidden="1" x14ac:dyDescent="0.35">
      <c r="A592" t="s">
        <v>12</v>
      </c>
      <c r="B592" t="s">
        <v>35</v>
      </c>
      <c r="C592" t="s">
        <v>26</v>
      </c>
      <c r="E592" t="s">
        <v>9</v>
      </c>
      <c r="F592" t="s">
        <v>10</v>
      </c>
    </row>
    <row r="593" spans="1:6" hidden="1" x14ac:dyDescent="0.35">
      <c r="A593" t="s">
        <v>13</v>
      </c>
      <c r="B593" t="s">
        <v>35</v>
      </c>
      <c r="C593" t="s">
        <v>26</v>
      </c>
      <c r="E593" t="s">
        <v>9</v>
      </c>
      <c r="F593" t="s">
        <v>10</v>
      </c>
    </row>
    <row r="594" spans="1:6" hidden="1" x14ac:dyDescent="0.35">
      <c r="A594" t="s">
        <v>14</v>
      </c>
      <c r="B594" t="s">
        <v>35</v>
      </c>
      <c r="C594" t="s">
        <v>26</v>
      </c>
      <c r="E594" t="s">
        <v>9</v>
      </c>
      <c r="F594" t="s">
        <v>10</v>
      </c>
    </row>
    <row r="595" spans="1:6" hidden="1" x14ac:dyDescent="0.35">
      <c r="A595" t="s">
        <v>15</v>
      </c>
      <c r="B595" t="s">
        <v>35</v>
      </c>
      <c r="C595" t="s">
        <v>26</v>
      </c>
      <c r="E595" t="s">
        <v>9</v>
      </c>
      <c r="F595" t="s">
        <v>10</v>
      </c>
    </row>
    <row r="596" spans="1:6" hidden="1" x14ac:dyDescent="0.35">
      <c r="A596" t="s">
        <v>16</v>
      </c>
      <c r="B596" t="s">
        <v>35</v>
      </c>
      <c r="C596" t="s">
        <v>26</v>
      </c>
      <c r="E596" t="s">
        <v>9</v>
      </c>
      <c r="F596" t="s">
        <v>10</v>
      </c>
    </row>
    <row r="597" spans="1:6" hidden="1" x14ac:dyDescent="0.35">
      <c r="A597" t="s">
        <v>17</v>
      </c>
      <c r="B597" t="s">
        <v>35</v>
      </c>
      <c r="C597" t="s">
        <v>26</v>
      </c>
      <c r="E597" t="s">
        <v>9</v>
      </c>
      <c r="F597" t="s">
        <v>10</v>
      </c>
    </row>
    <row r="598" spans="1:6" hidden="1" x14ac:dyDescent="0.35">
      <c r="A598" t="s">
        <v>18</v>
      </c>
      <c r="B598" t="s">
        <v>35</v>
      </c>
      <c r="C598" t="s">
        <v>26</v>
      </c>
      <c r="E598" t="s">
        <v>9</v>
      </c>
      <c r="F598" t="s">
        <v>10</v>
      </c>
    </row>
    <row r="599" spans="1:6" hidden="1" x14ac:dyDescent="0.35">
      <c r="A599" t="s">
        <v>19</v>
      </c>
      <c r="B599" t="s">
        <v>35</v>
      </c>
      <c r="C599" t="s">
        <v>26</v>
      </c>
      <c r="E599" t="s">
        <v>9</v>
      </c>
      <c r="F599" t="s">
        <v>10</v>
      </c>
    </row>
    <row r="600" spans="1:6" hidden="1" x14ac:dyDescent="0.35">
      <c r="A600" t="s">
        <v>20</v>
      </c>
      <c r="B600" t="s">
        <v>35</v>
      </c>
      <c r="C600" t="s">
        <v>26</v>
      </c>
      <c r="E600" t="s">
        <v>9</v>
      </c>
      <c r="F600" t="s">
        <v>10</v>
      </c>
    </row>
    <row r="601" spans="1:6" hidden="1" x14ac:dyDescent="0.35">
      <c r="A601" t="s">
        <v>21</v>
      </c>
      <c r="B601" t="s">
        <v>35</v>
      </c>
      <c r="C601" t="s">
        <v>26</v>
      </c>
      <c r="E601" t="s">
        <v>9</v>
      </c>
      <c r="F601" t="s">
        <v>10</v>
      </c>
    </row>
    <row r="602" spans="1:6" hidden="1" x14ac:dyDescent="0.35">
      <c r="A602" t="s">
        <v>6</v>
      </c>
      <c r="B602" t="s">
        <v>35</v>
      </c>
      <c r="C602" t="s">
        <v>27</v>
      </c>
      <c r="D602">
        <v>22614</v>
      </c>
      <c r="E602" t="s">
        <v>9</v>
      </c>
      <c r="F602" t="s">
        <v>10</v>
      </c>
    </row>
    <row r="603" spans="1:6" hidden="1" x14ac:dyDescent="0.35">
      <c r="A603" t="s">
        <v>11</v>
      </c>
      <c r="B603" t="s">
        <v>35</v>
      </c>
      <c r="C603" t="s">
        <v>27</v>
      </c>
      <c r="D603">
        <v>68704</v>
      </c>
      <c r="E603" t="s">
        <v>9</v>
      </c>
      <c r="F603" t="s">
        <v>10</v>
      </c>
    </row>
    <row r="604" spans="1:6" hidden="1" x14ac:dyDescent="0.35">
      <c r="A604" t="s">
        <v>12</v>
      </c>
      <c r="B604" t="s">
        <v>35</v>
      </c>
      <c r="C604" t="s">
        <v>27</v>
      </c>
      <c r="D604">
        <v>22940</v>
      </c>
      <c r="E604" t="s">
        <v>9</v>
      </c>
      <c r="F604" t="s">
        <v>10</v>
      </c>
    </row>
    <row r="605" spans="1:6" hidden="1" x14ac:dyDescent="0.35">
      <c r="A605" t="s">
        <v>13</v>
      </c>
      <c r="B605" t="s">
        <v>35</v>
      </c>
      <c r="C605" t="s">
        <v>27</v>
      </c>
      <c r="D605">
        <v>123013</v>
      </c>
      <c r="E605" t="s">
        <v>9</v>
      </c>
      <c r="F605" t="s">
        <v>10</v>
      </c>
    </row>
    <row r="606" spans="1:6" hidden="1" x14ac:dyDescent="0.35">
      <c r="A606" t="s">
        <v>14</v>
      </c>
      <c r="B606" t="s">
        <v>35</v>
      </c>
      <c r="C606" t="s">
        <v>27</v>
      </c>
      <c r="D606">
        <v>0</v>
      </c>
      <c r="E606" t="s">
        <v>9</v>
      </c>
      <c r="F606" t="s">
        <v>10</v>
      </c>
    </row>
    <row r="607" spans="1:6" hidden="1" x14ac:dyDescent="0.35">
      <c r="A607" t="s">
        <v>15</v>
      </c>
      <c r="B607" t="s">
        <v>35</v>
      </c>
      <c r="C607" t="s">
        <v>27</v>
      </c>
      <c r="D607">
        <v>73226</v>
      </c>
      <c r="E607" t="s">
        <v>9</v>
      </c>
      <c r="F607" t="s">
        <v>10</v>
      </c>
    </row>
    <row r="608" spans="1:6" hidden="1" x14ac:dyDescent="0.35">
      <c r="A608" t="s">
        <v>16</v>
      </c>
      <c r="B608" t="s">
        <v>35</v>
      </c>
      <c r="C608" t="s">
        <v>27</v>
      </c>
      <c r="D608">
        <v>158148</v>
      </c>
      <c r="E608" t="s">
        <v>9</v>
      </c>
      <c r="F608" t="s">
        <v>10</v>
      </c>
    </row>
    <row r="609" spans="1:6" hidden="1" x14ac:dyDescent="0.35">
      <c r="A609" t="s">
        <v>17</v>
      </c>
      <c r="B609" t="s">
        <v>35</v>
      </c>
      <c r="C609" t="s">
        <v>27</v>
      </c>
      <c r="D609">
        <v>73358</v>
      </c>
      <c r="E609" t="s">
        <v>9</v>
      </c>
      <c r="F609" t="s">
        <v>10</v>
      </c>
    </row>
    <row r="610" spans="1:6" hidden="1" x14ac:dyDescent="0.35">
      <c r="A610" t="s">
        <v>18</v>
      </c>
      <c r="B610" t="s">
        <v>35</v>
      </c>
      <c r="C610" t="s">
        <v>27</v>
      </c>
      <c r="D610">
        <v>31472</v>
      </c>
      <c r="E610" t="s">
        <v>9</v>
      </c>
      <c r="F610" t="s">
        <v>10</v>
      </c>
    </row>
    <row r="611" spans="1:6" hidden="1" x14ac:dyDescent="0.35">
      <c r="A611" t="s">
        <v>19</v>
      </c>
      <c r="B611" t="s">
        <v>35</v>
      </c>
      <c r="C611" t="s">
        <v>27</v>
      </c>
      <c r="D611">
        <v>970820</v>
      </c>
      <c r="E611" t="s">
        <v>9</v>
      </c>
      <c r="F611" t="s">
        <v>10</v>
      </c>
    </row>
    <row r="612" spans="1:6" hidden="1" x14ac:dyDescent="0.35">
      <c r="A612" t="s">
        <v>20</v>
      </c>
      <c r="B612" t="s">
        <v>35</v>
      </c>
      <c r="C612" t="s">
        <v>27</v>
      </c>
      <c r="D612">
        <v>289808</v>
      </c>
      <c r="E612" t="s">
        <v>9</v>
      </c>
      <c r="F612" t="s">
        <v>10</v>
      </c>
    </row>
    <row r="613" spans="1:6" hidden="1" x14ac:dyDescent="0.35">
      <c r="A613" t="s">
        <v>21</v>
      </c>
      <c r="B613" t="s">
        <v>35</v>
      </c>
      <c r="C613" t="s">
        <v>27</v>
      </c>
      <c r="D613">
        <v>1061224</v>
      </c>
      <c r="E613" t="s">
        <v>9</v>
      </c>
      <c r="F613" t="s">
        <v>10</v>
      </c>
    </row>
    <row r="614" spans="1:6" hidden="1" x14ac:dyDescent="0.35">
      <c r="A614" t="s">
        <v>6</v>
      </c>
      <c r="B614" t="s">
        <v>35</v>
      </c>
      <c r="C614" t="s">
        <v>28</v>
      </c>
      <c r="D614">
        <v>177289</v>
      </c>
      <c r="E614" t="s">
        <v>9</v>
      </c>
      <c r="F614" t="s">
        <v>10</v>
      </c>
    </row>
    <row r="615" spans="1:6" hidden="1" x14ac:dyDescent="0.35">
      <c r="A615" t="s">
        <v>11</v>
      </c>
      <c r="B615" t="s">
        <v>35</v>
      </c>
      <c r="C615" t="s">
        <v>28</v>
      </c>
      <c r="D615">
        <v>672249</v>
      </c>
      <c r="E615" t="s">
        <v>9</v>
      </c>
      <c r="F615" t="s">
        <v>10</v>
      </c>
    </row>
    <row r="616" spans="1:6" hidden="1" x14ac:dyDescent="0.35">
      <c r="A616" t="s">
        <v>12</v>
      </c>
      <c r="B616" t="s">
        <v>35</v>
      </c>
      <c r="C616" t="s">
        <v>28</v>
      </c>
      <c r="D616">
        <v>159042</v>
      </c>
      <c r="E616" t="s">
        <v>9</v>
      </c>
      <c r="F616" t="s">
        <v>10</v>
      </c>
    </row>
    <row r="617" spans="1:6" hidden="1" x14ac:dyDescent="0.35">
      <c r="A617" t="s">
        <v>13</v>
      </c>
      <c r="B617" t="s">
        <v>35</v>
      </c>
      <c r="C617" t="s">
        <v>28</v>
      </c>
      <c r="D617">
        <v>2767613</v>
      </c>
      <c r="E617" t="s">
        <v>9</v>
      </c>
      <c r="F617" t="s">
        <v>10</v>
      </c>
    </row>
    <row r="618" spans="1:6" hidden="1" x14ac:dyDescent="0.35">
      <c r="A618" t="s">
        <v>14</v>
      </c>
      <c r="B618" t="s">
        <v>35</v>
      </c>
      <c r="C618" t="s">
        <v>28</v>
      </c>
      <c r="D618">
        <v>0</v>
      </c>
      <c r="E618" t="s">
        <v>9</v>
      </c>
      <c r="F618" t="s">
        <v>10</v>
      </c>
    </row>
    <row r="619" spans="1:6" hidden="1" x14ac:dyDescent="0.35">
      <c r="A619" t="s">
        <v>15</v>
      </c>
      <c r="B619" t="s">
        <v>35</v>
      </c>
      <c r="C619" t="s">
        <v>28</v>
      </c>
      <c r="D619">
        <v>667023</v>
      </c>
      <c r="E619" t="s">
        <v>9</v>
      </c>
      <c r="F619" t="s">
        <v>10</v>
      </c>
    </row>
    <row r="620" spans="1:6" hidden="1" x14ac:dyDescent="0.35">
      <c r="A620" t="s">
        <v>16</v>
      </c>
      <c r="B620" t="s">
        <v>35</v>
      </c>
      <c r="C620" t="s">
        <v>28</v>
      </c>
      <c r="D620">
        <v>2976333</v>
      </c>
      <c r="E620" t="s">
        <v>9</v>
      </c>
      <c r="F620" t="s">
        <v>10</v>
      </c>
    </row>
    <row r="621" spans="1:6" hidden="1" x14ac:dyDescent="0.35">
      <c r="A621" t="s">
        <v>17</v>
      </c>
      <c r="B621" t="s">
        <v>35</v>
      </c>
      <c r="C621" t="s">
        <v>28</v>
      </c>
      <c r="D621">
        <v>316088</v>
      </c>
      <c r="E621" t="s">
        <v>9</v>
      </c>
      <c r="F621" t="s">
        <v>10</v>
      </c>
    </row>
    <row r="622" spans="1:6" hidden="1" x14ac:dyDescent="0.35">
      <c r="A622" t="s">
        <v>18</v>
      </c>
      <c r="B622" t="s">
        <v>35</v>
      </c>
      <c r="C622" t="s">
        <v>28</v>
      </c>
      <c r="D622">
        <v>1980</v>
      </c>
      <c r="E622" t="s">
        <v>9</v>
      </c>
      <c r="F622" t="s">
        <v>10</v>
      </c>
    </row>
    <row r="623" spans="1:6" hidden="1" x14ac:dyDescent="0.35">
      <c r="A623" t="s">
        <v>19</v>
      </c>
      <c r="B623" t="s">
        <v>35</v>
      </c>
      <c r="C623" t="s">
        <v>28</v>
      </c>
      <c r="D623">
        <v>2261624</v>
      </c>
      <c r="E623" t="s">
        <v>9</v>
      </c>
      <c r="F623" t="s">
        <v>10</v>
      </c>
    </row>
    <row r="624" spans="1:6" hidden="1" x14ac:dyDescent="0.35">
      <c r="A624" t="s">
        <v>20</v>
      </c>
      <c r="B624" t="s">
        <v>35</v>
      </c>
      <c r="C624" t="s">
        <v>28</v>
      </c>
      <c r="D624">
        <v>75057</v>
      </c>
      <c r="E624" t="s">
        <v>9</v>
      </c>
      <c r="F624" t="s">
        <v>10</v>
      </c>
    </row>
    <row r="625" spans="1:6" hidden="1" x14ac:dyDescent="0.35">
      <c r="A625" t="s">
        <v>21</v>
      </c>
      <c r="B625" t="s">
        <v>35</v>
      </c>
      <c r="C625" t="s">
        <v>28</v>
      </c>
      <c r="D625">
        <v>172660</v>
      </c>
      <c r="E625" t="s">
        <v>9</v>
      </c>
      <c r="F625" t="s">
        <v>10</v>
      </c>
    </row>
    <row r="626" spans="1:6" hidden="1" x14ac:dyDescent="0.35">
      <c r="A626" t="s">
        <v>6</v>
      </c>
      <c r="B626" t="s">
        <v>35</v>
      </c>
      <c r="C626" t="s">
        <v>29</v>
      </c>
      <c r="D626">
        <v>3</v>
      </c>
      <c r="E626" t="s">
        <v>9</v>
      </c>
      <c r="F626" t="s">
        <v>10</v>
      </c>
    </row>
    <row r="627" spans="1:6" hidden="1" x14ac:dyDescent="0.35">
      <c r="A627" t="s">
        <v>11</v>
      </c>
      <c r="B627" t="s">
        <v>35</v>
      </c>
      <c r="C627" t="s">
        <v>29</v>
      </c>
      <c r="D627">
        <v>5</v>
      </c>
      <c r="E627" t="s">
        <v>9</v>
      </c>
      <c r="F627" t="s">
        <v>10</v>
      </c>
    </row>
    <row r="628" spans="1:6" hidden="1" x14ac:dyDescent="0.35">
      <c r="A628" t="s">
        <v>12</v>
      </c>
      <c r="B628" t="s">
        <v>35</v>
      </c>
      <c r="C628" t="s">
        <v>29</v>
      </c>
      <c r="D628">
        <v>2</v>
      </c>
      <c r="E628" t="s">
        <v>9</v>
      </c>
      <c r="F628" t="s">
        <v>10</v>
      </c>
    </row>
    <row r="629" spans="1:6" hidden="1" x14ac:dyDescent="0.35">
      <c r="A629" t="s">
        <v>13</v>
      </c>
      <c r="B629" t="s">
        <v>35</v>
      </c>
      <c r="C629" t="s">
        <v>29</v>
      </c>
      <c r="D629">
        <v>10</v>
      </c>
      <c r="E629" t="s">
        <v>9</v>
      </c>
      <c r="F629" t="s">
        <v>10</v>
      </c>
    </row>
    <row r="630" spans="1:6" hidden="1" x14ac:dyDescent="0.35">
      <c r="A630" t="s">
        <v>14</v>
      </c>
      <c r="B630" t="s">
        <v>35</v>
      </c>
      <c r="C630" t="s">
        <v>29</v>
      </c>
      <c r="D630">
        <v>8</v>
      </c>
      <c r="E630" t="s">
        <v>9</v>
      </c>
      <c r="F630" t="s">
        <v>10</v>
      </c>
    </row>
    <row r="631" spans="1:6" hidden="1" x14ac:dyDescent="0.35">
      <c r="A631" t="s">
        <v>15</v>
      </c>
      <c r="B631" t="s">
        <v>35</v>
      </c>
      <c r="C631" t="s">
        <v>29</v>
      </c>
      <c r="D631">
        <v>5</v>
      </c>
      <c r="E631" t="s">
        <v>9</v>
      </c>
      <c r="F631" t="s">
        <v>10</v>
      </c>
    </row>
    <row r="632" spans="1:6" hidden="1" x14ac:dyDescent="0.35">
      <c r="A632" t="s">
        <v>16</v>
      </c>
      <c r="B632" t="s">
        <v>35</v>
      </c>
      <c r="C632" t="s">
        <v>29</v>
      </c>
      <c r="D632">
        <v>12</v>
      </c>
      <c r="E632" t="s">
        <v>9</v>
      </c>
      <c r="F632" t="s">
        <v>10</v>
      </c>
    </row>
    <row r="633" spans="1:6" hidden="1" x14ac:dyDescent="0.35">
      <c r="A633" t="s">
        <v>17</v>
      </c>
      <c r="B633" t="s">
        <v>35</v>
      </c>
      <c r="C633" t="s">
        <v>29</v>
      </c>
      <c r="D633">
        <v>6</v>
      </c>
      <c r="E633" t="s">
        <v>9</v>
      </c>
      <c r="F633" t="s">
        <v>10</v>
      </c>
    </row>
    <row r="634" spans="1:6" hidden="1" x14ac:dyDescent="0.35">
      <c r="A634" t="s">
        <v>18</v>
      </c>
      <c r="B634" t="s">
        <v>35</v>
      </c>
      <c r="C634" t="s">
        <v>29</v>
      </c>
      <c r="D634">
        <v>7</v>
      </c>
      <c r="E634" t="s">
        <v>9</v>
      </c>
      <c r="F634" t="s">
        <v>10</v>
      </c>
    </row>
    <row r="635" spans="1:6" hidden="1" x14ac:dyDescent="0.35">
      <c r="A635" t="s">
        <v>19</v>
      </c>
      <c r="B635" t="s">
        <v>35</v>
      </c>
      <c r="C635" t="s">
        <v>29</v>
      </c>
      <c r="D635">
        <v>4</v>
      </c>
      <c r="E635" t="s">
        <v>9</v>
      </c>
      <c r="F635" t="s">
        <v>10</v>
      </c>
    </row>
    <row r="636" spans="1:6" hidden="1" x14ac:dyDescent="0.35">
      <c r="A636" t="s">
        <v>20</v>
      </c>
      <c r="B636" t="s">
        <v>35</v>
      </c>
      <c r="C636" t="s">
        <v>29</v>
      </c>
      <c r="D636">
        <v>4</v>
      </c>
      <c r="E636" t="s">
        <v>9</v>
      </c>
      <c r="F636" t="s">
        <v>10</v>
      </c>
    </row>
    <row r="637" spans="1:6" hidden="1" x14ac:dyDescent="0.35">
      <c r="A637" t="s">
        <v>21</v>
      </c>
      <c r="B637" t="s">
        <v>35</v>
      </c>
      <c r="C637" t="s">
        <v>29</v>
      </c>
      <c r="D637">
        <v>5</v>
      </c>
      <c r="E637" t="s">
        <v>9</v>
      </c>
      <c r="F637" t="s">
        <v>10</v>
      </c>
    </row>
    <row r="638" spans="1:6" hidden="1" x14ac:dyDescent="0.35">
      <c r="A638" t="s">
        <v>6</v>
      </c>
      <c r="B638" t="s">
        <v>35</v>
      </c>
      <c r="C638" t="s">
        <v>30</v>
      </c>
      <c r="D638">
        <v>3</v>
      </c>
      <c r="E638" t="s">
        <v>9</v>
      </c>
      <c r="F638" t="s">
        <v>10</v>
      </c>
    </row>
    <row r="639" spans="1:6" hidden="1" x14ac:dyDescent="0.35">
      <c r="A639" t="s">
        <v>11</v>
      </c>
      <c r="B639" t="s">
        <v>35</v>
      </c>
      <c r="C639" t="s">
        <v>30</v>
      </c>
      <c r="D639">
        <v>4</v>
      </c>
      <c r="E639" t="s">
        <v>9</v>
      </c>
      <c r="F639" t="s">
        <v>10</v>
      </c>
    </row>
    <row r="640" spans="1:6" hidden="1" x14ac:dyDescent="0.35">
      <c r="A640" t="s">
        <v>12</v>
      </c>
      <c r="B640" t="s">
        <v>35</v>
      </c>
      <c r="C640" t="s">
        <v>30</v>
      </c>
      <c r="D640">
        <v>2</v>
      </c>
      <c r="E640" t="s">
        <v>9</v>
      </c>
      <c r="F640" t="s">
        <v>10</v>
      </c>
    </row>
    <row r="641" spans="1:6" hidden="1" x14ac:dyDescent="0.35">
      <c r="A641" t="s">
        <v>13</v>
      </c>
      <c r="B641" t="s">
        <v>35</v>
      </c>
      <c r="C641" t="s">
        <v>30</v>
      </c>
      <c r="D641">
        <v>2</v>
      </c>
      <c r="E641" t="s">
        <v>9</v>
      </c>
      <c r="F641" t="s">
        <v>10</v>
      </c>
    </row>
    <row r="642" spans="1:6" hidden="1" x14ac:dyDescent="0.35">
      <c r="A642" t="s">
        <v>14</v>
      </c>
      <c r="B642" t="s">
        <v>35</v>
      </c>
      <c r="C642" t="s">
        <v>30</v>
      </c>
      <c r="D642">
        <v>8</v>
      </c>
      <c r="E642" t="s">
        <v>9</v>
      </c>
      <c r="F642" t="s">
        <v>10</v>
      </c>
    </row>
    <row r="643" spans="1:6" hidden="1" x14ac:dyDescent="0.35">
      <c r="A643" t="s">
        <v>15</v>
      </c>
      <c r="B643" t="s">
        <v>35</v>
      </c>
      <c r="C643" t="s">
        <v>30</v>
      </c>
      <c r="D643">
        <v>2</v>
      </c>
      <c r="E643" t="s">
        <v>9</v>
      </c>
      <c r="F643" t="s">
        <v>10</v>
      </c>
    </row>
    <row r="644" spans="1:6" hidden="1" x14ac:dyDescent="0.35">
      <c r="A644" t="s">
        <v>16</v>
      </c>
      <c r="B644" t="s">
        <v>35</v>
      </c>
      <c r="C644" t="s">
        <v>30</v>
      </c>
      <c r="D644">
        <v>1</v>
      </c>
      <c r="E644" t="s">
        <v>9</v>
      </c>
      <c r="F644" t="s">
        <v>10</v>
      </c>
    </row>
    <row r="645" spans="1:6" hidden="1" x14ac:dyDescent="0.35">
      <c r="A645" t="s">
        <v>17</v>
      </c>
      <c r="B645" t="s">
        <v>35</v>
      </c>
      <c r="C645" t="s">
        <v>30</v>
      </c>
      <c r="D645">
        <v>2</v>
      </c>
      <c r="E645" t="s">
        <v>9</v>
      </c>
      <c r="F645" t="s">
        <v>10</v>
      </c>
    </row>
    <row r="646" spans="1:6" hidden="1" x14ac:dyDescent="0.35">
      <c r="A646" t="s">
        <v>18</v>
      </c>
      <c r="B646" t="s">
        <v>35</v>
      </c>
      <c r="C646" t="s">
        <v>30</v>
      </c>
      <c r="D646">
        <v>4</v>
      </c>
      <c r="E646" t="s">
        <v>9</v>
      </c>
      <c r="F646" t="s">
        <v>10</v>
      </c>
    </row>
    <row r="647" spans="1:6" hidden="1" x14ac:dyDescent="0.35">
      <c r="A647" t="s">
        <v>19</v>
      </c>
      <c r="B647" t="s">
        <v>35</v>
      </c>
      <c r="C647" t="s">
        <v>30</v>
      </c>
      <c r="D647">
        <v>4</v>
      </c>
      <c r="E647" t="s">
        <v>9</v>
      </c>
      <c r="F647" t="s">
        <v>10</v>
      </c>
    </row>
    <row r="648" spans="1:6" hidden="1" x14ac:dyDescent="0.35">
      <c r="A648" t="s">
        <v>20</v>
      </c>
      <c r="B648" t="s">
        <v>35</v>
      </c>
      <c r="C648" t="s">
        <v>30</v>
      </c>
      <c r="D648">
        <v>2</v>
      </c>
      <c r="E648" t="s">
        <v>9</v>
      </c>
      <c r="F648" t="s">
        <v>10</v>
      </c>
    </row>
    <row r="649" spans="1:6" hidden="1" x14ac:dyDescent="0.35">
      <c r="A649" t="s">
        <v>21</v>
      </c>
      <c r="B649" t="s">
        <v>35</v>
      </c>
      <c r="C649" t="s">
        <v>30</v>
      </c>
      <c r="D649">
        <v>4</v>
      </c>
      <c r="E649" t="s">
        <v>9</v>
      </c>
      <c r="F649" t="s">
        <v>10</v>
      </c>
    </row>
    <row r="650" spans="1:6" hidden="1" x14ac:dyDescent="0.35">
      <c r="A650" t="s">
        <v>6</v>
      </c>
      <c r="B650" t="s">
        <v>35</v>
      </c>
      <c r="C650" t="s">
        <v>31</v>
      </c>
      <c r="D650">
        <v>1</v>
      </c>
      <c r="E650" t="s">
        <v>9</v>
      </c>
      <c r="F650" t="s">
        <v>10</v>
      </c>
    </row>
    <row r="651" spans="1:6" hidden="1" x14ac:dyDescent="0.35">
      <c r="A651" t="s">
        <v>11</v>
      </c>
      <c r="B651" t="s">
        <v>35</v>
      </c>
      <c r="C651" t="s">
        <v>31</v>
      </c>
      <c r="D651">
        <v>4</v>
      </c>
      <c r="E651" t="s">
        <v>9</v>
      </c>
      <c r="F651" t="s">
        <v>10</v>
      </c>
    </row>
    <row r="652" spans="1:6" hidden="1" x14ac:dyDescent="0.35">
      <c r="A652" t="s">
        <v>12</v>
      </c>
      <c r="B652" t="s">
        <v>35</v>
      </c>
      <c r="C652" t="s">
        <v>31</v>
      </c>
      <c r="D652">
        <v>1</v>
      </c>
      <c r="E652" t="s">
        <v>9</v>
      </c>
      <c r="F652" t="s">
        <v>10</v>
      </c>
    </row>
    <row r="653" spans="1:6" hidden="1" x14ac:dyDescent="0.35">
      <c r="A653" t="s">
        <v>13</v>
      </c>
      <c r="B653" t="s">
        <v>35</v>
      </c>
      <c r="C653" t="s">
        <v>31</v>
      </c>
      <c r="D653">
        <v>6</v>
      </c>
      <c r="E653" t="s">
        <v>9</v>
      </c>
      <c r="F653" t="s">
        <v>10</v>
      </c>
    </row>
    <row r="654" spans="1:6" hidden="1" x14ac:dyDescent="0.35">
      <c r="A654" t="s">
        <v>14</v>
      </c>
      <c r="B654" t="s">
        <v>35</v>
      </c>
      <c r="C654" t="s">
        <v>31</v>
      </c>
      <c r="D654">
        <v>4</v>
      </c>
      <c r="E654" t="s">
        <v>9</v>
      </c>
      <c r="F654" t="s">
        <v>10</v>
      </c>
    </row>
    <row r="655" spans="1:6" hidden="1" x14ac:dyDescent="0.35">
      <c r="A655" t="s">
        <v>15</v>
      </c>
      <c r="B655" t="s">
        <v>35</v>
      </c>
      <c r="C655" t="s">
        <v>31</v>
      </c>
      <c r="D655">
        <v>2</v>
      </c>
      <c r="E655" t="s">
        <v>9</v>
      </c>
      <c r="F655" t="s">
        <v>10</v>
      </c>
    </row>
    <row r="656" spans="1:6" hidden="1" x14ac:dyDescent="0.35">
      <c r="A656" t="s">
        <v>16</v>
      </c>
      <c r="B656" t="s">
        <v>35</v>
      </c>
      <c r="C656" t="s">
        <v>31</v>
      </c>
      <c r="D656">
        <v>6</v>
      </c>
      <c r="E656" t="s">
        <v>9</v>
      </c>
      <c r="F656" t="s">
        <v>10</v>
      </c>
    </row>
    <row r="657" spans="1:6" hidden="1" x14ac:dyDescent="0.35">
      <c r="A657" t="s">
        <v>17</v>
      </c>
      <c r="B657" t="s">
        <v>35</v>
      </c>
      <c r="C657" t="s">
        <v>31</v>
      </c>
      <c r="D657">
        <v>1</v>
      </c>
      <c r="E657" t="s">
        <v>9</v>
      </c>
      <c r="F657" t="s">
        <v>10</v>
      </c>
    </row>
    <row r="658" spans="1:6" hidden="1" x14ac:dyDescent="0.35">
      <c r="A658" t="s">
        <v>18</v>
      </c>
      <c r="B658" t="s">
        <v>35</v>
      </c>
      <c r="C658" t="s">
        <v>31</v>
      </c>
      <c r="D658">
        <v>3</v>
      </c>
      <c r="E658" t="s">
        <v>9</v>
      </c>
      <c r="F658" t="s">
        <v>10</v>
      </c>
    </row>
    <row r="659" spans="1:6" hidden="1" x14ac:dyDescent="0.35">
      <c r="A659" t="s">
        <v>19</v>
      </c>
      <c r="B659" t="s">
        <v>35</v>
      </c>
      <c r="C659" t="s">
        <v>31</v>
      </c>
      <c r="D659">
        <v>3</v>
      </c>
      <c r="E659" t="s">
        <v>9</v>
      </c>
      <c r="F659" t="s">
        <v>10</v>
      </c>
    </row>
    <row r="660" spans="1:6" hidden="1" x14ac:dyDescent="0.35">
      <c r="A660" t="s">
        <v>20</v>
      </c>
      <c r="B660" t="s">
        <v>35</v>
      </c>
      <c r="C660" t="s">
        <v>31</v>
      </c>
      <c r="D660">
        <v>1</v>
      </c>
      <c r="E660" t="s">
        <v>9</v>
      </c>
      <c r="F660" t="s">
        <v>10</v>
      </c>
    </row>
    <row r="661" spans="1:6" hidden="1" x14ac:dyDescent="0.35">
      <c r="A661" t="s">
        <v>21</v>
      </c>
      <c r="B661" t="s">
        <v>35</v>
      </c>
      <c r="C661" t="s">
        <v>31</v>
      </c>
      <c r="D661">
        <v>1</v>
      </c>
      <c r="E661" t="s">
        <v>9</v>
      </c>
      <c r="F661" t="s">
        <v>10</v>
      </c>
    </row>
    <row r="662" spans="1:6" hidden="1" x14ac:dyDescent="0.35">
      <c r="A662" t="s">
        <v>6</v>
      </c>
      <c r="B662" t="s">
        <v>36</v>
      </c>
      <c r="C662" t="s">
        <v>8</v>
      </c>
      <c r="D662">
        <v>6261218</v>
      </c>
      <c r="E662" t="s">
        <v>9</v>
      </c>
      <c r="F662" t="s">
        <v>10</v>
      </c>
    </row>
    <row r="663" spans="1:6" hidden="1" x14ac:dyDescent="0.35">
      <c r="A663" t="s">
        <v>11</v>
      </c>
      <c r="B663" t="s">
        <v>36</v>
      </c>
      <c r="C663" t="s">
        <v>8</v>
      </c>
      <c r="D663">
        <v>2968529</v>
      </c>
      <c r="E663" t="s">
        <v>9</v>
      </c>
      <c r="F663" t="s">
        <v>10</v>
      </c>
    </row>
    <row r="664" spans="1:6" hidden="1" x14ac:dyDescent="0.35">
      <c r="A664" t="s">
        <v>12</v>
      </c>
      <c r="B664" t="s">
        <v>36</v>
      </c>
      <c r="C664" t="s">
        <v>8</v>
      </c>
      <c r="D664">
        <v>7490314</v>
      </c>
      <c r="E664" t="s">
        <v>9</v>
      </c>
      <c r="F664" t="s">
        <v>10</v>
      </c>
    </row>
    <row r="665" spans="1:6" hidden="1" x14ac:dyDescent="0.35">
      <c r="A665" t="s">
        <v>13</v>
      </c>
      <c r="B665" t="s">
        <v>36</v>
      </c>
      <c r="C665" t="s">
        <v>8</v>
      </c>
      <c r="D665">
        <v>4428513</v>
      </c>
      <c r="E665" t="s">
        <v>9</v>
      </c>
      <c r="F665" t="s">
        <v>10</v>
      </c>
    </row>
    <row r="666" spans="1:6" hidden="1" x14ac:dyDescent="0.35">
      <c r="A666" t="s">
        <v>14</v>
      </c>
      <c r="B666" t="s">
        <v>36</v>
      </c>
      <c r="C666" t="s">
        <v>8</v>
      </c>
      <c r="D666">
        <v>2741869</v>
      </c>
      <c r="E666" t="s">
        <v>9</v>
      </c>
      <c r="F666" t="s">
        <v>10</v>
      </c>
    </row>
    <row r="667" spans="1:6" hidden="1" x14ac:dyDescent="0.35">
      <c r="A667" t="s">
        <v>15</v>
      </c>
      <c r="B667" t="s">
        <v>36</v>
      </c>
      <c r="C667" t="s">
        <v>8</v>
      </c>
      <c r="D667">
        <v>5679821</v>
      </c>
      <c r="E667" t="s">
        <v>9</v>
      </c>
      <c r="F667" t="s">
        <v>10</v>
      </c>
    </row>
    <row r="668" spans="1:6" hidden="1" x14ac:dyDescent="0.35">
      <c r="A668" t="s">
        <v>16</v>
      </c>
      <c r="B668" t="s">
        <v>36</v>
      </c>
      <c r="C668" t="s">
        <v>8</v>
      </c>
      <c r="D668">
        <v>5281884</v>
      </c>
      <c r="E668" t="s">
        <v>9</v>
      </c>
      <c r="F668" t="s">
        <v>10</v>
      </c>
    </row>
    <row r="669" spans="1:6" hidden="1" x14ac:dyDescent="0.35">
      <c r="A669" t="s">
        <v>17</v>
      </c>
      <c r="B669" t="s">
        <v>36</v>
      </c>
      <c r="C669" t="s">
        <v>8</v>
      </c>
      <c r="D669">
        <v>2116897</v>
      </c>
      <c r="E669" t="s">
        <v>9</v>
      </c>
      <c r="F669" t="s">
        <v>10</v>
      </c>
    </row>
    <row r="670" spans="1:6" hidden="1" x14ac:dyDescent="0.35">
      <c r="A670" t="s">
        <v>18</v>
      </c>
      <c r="B670" t="s">
        <v>36</v>
      </c>
      <c r="C670" t="s">
        <v>8</v>
      </c>
      <c r="D670">
        <v>571048</v>
      </c>
      <c r="E670" t="s">
        <v>9</v>
      </c>
      <c r="F670" t="s">
        <v>10</v>
      </c>
    </row>
    <row r="671" spans="1:6" hidden="1" x14ac:dyDescent="0.35">
      <c r="A671" t="s">
        <v>19</v>
      </c>
      <c r="B671" t="s">
        <v>36</v>
      </c>
      <c r="C671" t="s">
        <v>8</v>
      </c>
      <c r="D671">
        <v>216327</v>
      </c>
      <c r="E671" t="s">
        <v>9</v>
      </c>
      <c r="F671" t="s">
        <v>10</v>
      </c>
    </row>
    <row r="672" spans="1:6" hidden="1" x14ac:dyDescent="0.35">
      <c r="A672" t="s">
        <v>20</v>
      </c>
      <c r="B672" t="s">
        <v>36</v>
      </c>
      <c r="C672" t="s">
        <v>8</v>
      </c>
      <c r="D672">
        <v>78579</v>
      </c>
      <c r="E672" t="s">
        <v>9</v>
      </c>
      <c r="F672" t="s">
        <v>10</v>
      </c>
    </row>
    <row r="673" spans="1:6" hidden="1" x14ac:dyDescent="0.35">
      <c r="A673" t="s">
        <v>21</v>
      </c>
      <c r="B673" t="s">
        <v>36</v>
      </c>
      <c r="C673" t="s">
        <v>8</v>
      </c>
      <c r="D673">
        <v>1741127</v>
      </c>
      <c r="E673" t="s">
        <v>9</v>
      </c>
      <c r="F673" t="s">
        <v>10</v>
      </c>
    </row>
    <row r="674" spans="1:6" hidden="1" x14ac:dyDescent="0.35">
      <c r="A674" t="s">
        <v>6</v>
      </c>
      <c r="B674" t="s">
        <v>36</v>
      </c>
      <c r="C674" t="s">
        <v>22</v>
      </c>
      <c r="D674">
        <v>0</v>
      </c>
      <c r="E674" t="s">
        <v>9</v>
      </c>
      <c r="F674" t="s">
        <v>10</v>
      </c>
    </row>
    <row r="675" spans="1:6" hidden="1" x14ac:dyDescent="0.35">
      <c r="A675" t="s">
        <v>11</v>
      </c>
      <c r="B675" t="s">
        <v>36</v>
      </c>
      <c r="C675" t="s">
        <v>22</v>
      </c>
      <c r="D675">
        <v>0</v>
      </c>
      <c r="E675" t="s">
        <v>9</v>
      </c>
      <c r="F675" t="s">
        <v>10</v>
      </c>
    </row>
    <row r="676" spans="1:6" hidden="1" x14ac:dyDescent="0.35">
      <c r="A676" t="s">
        <v>12</v>
      </c>
      <c r="B676" t="s">
        <v>36</v>
      </c>
      <c r="C676" t="s">
        <v>22</v>
      </c>
      <c r="D676">
        <v>0</v>
      </c>
      <c r="E676" t="s">
        <v>9</v>
      </c>
      <c r="F676" t="s">
        <v>10</v>
      </c>
    </row>
    <row r="677" spans="1:6" hidden="1" x14ac:dyDescent="0.35">
      <c r="A677" t="s">
        <v>13</v>
      </c>
      <c r="B677" t="s">
        <v>36</v>
      </c>
      <c r="C677" t="s">
        <v>22</v>
      </c>
      <c r="D677">
        <v>0</v>
      </c>
      <c r="E677" t="s">
        <v>9</v>
      </c>
      <c r="F677" t="s">
        <v>10</v>
      </c>
    </row>
    <row r="678" spans="1:6" hidden="1" x14ac:dyDescent="0.35">
      <c r="A678" t="s">
        <v>14</v>
      </c>
      <c r="B678" t="s">
        <v>36</v>
      </c>
      <c r="C678" t="s">
        <v>22</v>
      </c>
      <c r="D678">
        <v>0</v>
      </c>
      <c r="E678" t="s">
        <v>9</v>
      </c>
      <c r="F678" t="s">
        <v>10</v>
      </c>
    </row>
    <row r="679" spans="1:6" hidden="1" x14ac:dyDescent="0.35">
      <c r="A679" t="s">
        <v>15</v>
      </c>
      <c r="B679" t="s">
        <v>36</v>
      </c>
      <c r="C679" t="s">
        <v>22</v>
      </c>
      <c r="D679">
        <v>0</v>
      </c>
      <c r="E679" t="s">
        <v>9</v>
      </c>
      <c r="F679" t="s">
        <v>10</v>
      </c>
    </row>
    <row r="680" spans="1:6" hidden="1" x14ac:dyDescent="0.35">
      <c r="A680" t="s">
        <v>16</v>
      </c>
      <c r="B680" t="s">
        <v>36</v>
      </c>
      <c r="C680" t="s">
        <v>22</v>
      </c>
      <c r="D680">
        <v>0</v>
      </c>
      <c r="E680" t="s">
        <v>9</v>
      </c>
      <c r="F680" t="s">
        <v>10</v>
      </c>
    </row>
    <row r="681" spans="1:6" hidden="1" x14ac:dyDescent="0.35">
      <c r="A681" t="s">
        <v>17</v>
      </c>
      <c r="B681" t="s">
        <v>36</v>
      </c>
      <c r="C681" t="s">
        <v>22</v>
      </c>
      <c r="D681">
        <v>0</v>
      </c>
      <c r="E681" t="s">
        <v>9</v>
      </c>
      <c r="F681" t="s">
        <v>10</v>
      </c>
    </row>
    <row r="682" spans="1:6" hidden="1" x14ac:dyDescent="0.35">
      <c r="A682" t="s">
        <v>18</v>
      </c>
      <c r="B682" t="s">
        <v>36</v>
      </c>
      <c r="C682" t="s">
        <v>22</v>
      </c>
      <c r="D682">
        <v>0</v>
      </c>
      <c r="E682" t="s">
        <v>9</v>
      </c>
      <c r="F682" t="s">
        <v>10</v>
      </c>
    </row>
    <row r="683" spans="1:6" hidden="1" x14ac:dyDescent="0.35">
      <c r="A683" t="s">
        <v>19</v>
      </c>
      <c r="B683" t="s">
        <v>36</v>
      </c>
      <c r="C683" t="s">
        <v>22</v>
      </c>
      <c r="D683">
        <v>0</v>
      </c>
      <c r="E683" t="s">
        <v>9</v>
      </c>
      <c r="F683" t="s">
        <v>10</v>
      </c>
    </row>
    <row r="684" spans="1:6" hidden="1" x14ac:dyDescent="0.35">
      <c r="A684" t="s">
        <v>20</v>
      </c>
      <c r="B684" t="s">
        <v>36</v>
      </c>
      <c r="C684" t="s">
        <v>22</v>
      </c>
      <c r="D684">
        <v>0</v>
      </c>
      <c r="E684" t="s">
        <v>9</v>
      </c>
      <c r="F684" t="s">
        <v>10</v>
      </c>
    </row>
    <row r="685" spans="1:6" hidden="1" x14ac:dyDescent="0.35">
      <c r="A685" t="s">
        <v>21</v>
      </c>
      <c r="B685" t="s">
        <v>36</v>
      </c>
      <c r="C685" t="s">
        <v>22</v>
      </c>
      <c r="D685">
        <v>0</v>
      </c>
      <c r="E685" t="s">
        <v>9</v>
      </c>
      <c r="F685" t="s">
        <v>10</v>
      </c>
    </row>
    <row r="686" spans="1:6" hidden="1" x14ac:dyDescent="0.35">
      <c r="A686" t="s">
        <v>6</v>
      </c>
      <c r="B686" t="s">
        <v>36</v>
      </c>
      <c r="C686" t="s">
        <v>23</v>
      </c>
      <c r="D686">
        <v>3839388</v>
      </c>
      <c r="E686" t="s">
        <v>9</v>
      </c>
      <c r="F686" t="s">
        <v>10</v>
      </c>
    </row>
    <row r="687" spans="1:6" hidden="1" x14ac:dyDescent="0.35">
      <c r="A687" t="s">
        <v>11</v>
      </c>
      <c r="B687" t="s">
        <v>36</v>
      </c>
      <c r="C687" t="s">
        <v>23</v>
      </c>
      <c r="D687">
        <v>1458026</v>
      </c>
      <c r="E687" t="s">
        <v>9</v>
      </c>
      <c r="F687" t="s">
        <v>10</v>
      </c>
    </row>
    <row r="688" spans="1:6" hidden="1" x14ac:dyDescent="0.35">
      <c r="A688" t="s">
        <v>12</v>
      </c>
      <c r="B688" t="s">
        <v>36</v>
      </c>
      <c r="C688" t="s">
        <v>23</v>
      </c>
      <c r="D688">
        <v>4481781</v>
      </c>
      <c r="E688" t="s">
        <v>9</v>
      </c>
      <c r="F688" t="s">
        <v>10</v>
      </c>
    </row>
    <row r="689" spans="1:6" hidden="1" x14ac:dyDescent="0.35">
      <c r="A689" t="s">
        <v>13</v>
      </c>
      <c r="B689" t="s">
        <v>36</v>
      </c>
      <c r="C689" t="s">
        <v>23</v>
      </c>
      <c r="D689">
        <v>3097870</v>
      </c>
      <c r="E689" t="s">
        <v>9</v>
      </c>
      <c r="F689" t="s">
        <v>10</v>
      </c>
    </row>
    <row r="690" spans="1:6" hidden="1" x14ac:dyDescent="0.35">
      <c r="A690" t="s">
        <v>14</v>
      </c>
      <c r="B690" t="s">
        <v>36</v>
      </c>
      <c r="C690" t="s">
        <v>23</v>
      </c>
      <c r="D690">
        <v>2592531</v>
      </c>
      <c r="E690" t="s">
        <v>9</v>
      </c>
      <c r="F690" t="s">
        <v>10</v>
      </c>
    </row>
    <row r="691" spans="1:6" hidden="1" x14ac:dyDescent="0.35">
      <c r="A691" t="s">
        <v>15</v>
      </c>
      <c r="B691" t="s">
        <v>36</v>
      </c>
      <c r="C691" t="s">
        <v>23</v>
      </c>
      <c r="D691">
        <v>3362373</v>
      </c>
      <c r="E691" t="s">
        <v>9</v>
      </c>
      <c r="F691" t="s">
        <v>10</v>
      </c>
    </row>
    <row r="692" spans="1:6" hidden="1" x14ac:dyDescent="0.35">
      <c r="A692" t="s">
        <v>16</v>
      </c>
      <c r="B692" t="s">
        <v>36</v>
      </c>
      <c r="C692" t="s">
        <v>23</v>
      </c>
      <c r="D692">
        <v>3193516</v>
      </c>
      <c r="E692" t="s">
        <v>9</v>
      </c>
      <c r="F692" t="s">
        <v>10</v>
      </c>
    </row>
    <row r="693" spans="1:6" hidden="1" x14ac:dyDescent="0.35">
      <c r="A693" t="s">
        <v>17</v>
      </c>
      <c r="B693" t="s">
        <v>36</v>
      </c>
      <c r="C693" t="s">
        <v>23</v>
      </c>
      <c r="D693">
        <v>1138478</v>
      </c>
      <c r="E693" t="s">
        <v>9</v>
      </c>
      <c r="F693" t="s">
        <v>10</v>
      </c>
    </row>
    <row r="694" spans="1:6" hidden="1" x14ac:dyDescent="0.35">
      <c r="A694" t="s">
        <v>18</v>
      </c>
      <c r="B694" t="s">
        <v>36</v>
      </c>
      <c r="C694" t="s">
        <v>23</v>
      </c>
      <c r="D694">
        <v>200685</v>
      </c>
      <c r="E694" t="s">
        <v>9</v>
      </c>
      <c r="F694" t="s">
        <v>10</v>
      </c>
    </row>
    <row r="695" spans="1:6" hidden="1" x14ac:dyDescent="0.35">
      <c r="A695" t="s">
        <v>19</v>
      </c>
      <c r="B695" t="s">
        <v>36</v>
      </c>
      <c r="C695" t="s">
        <v>23</v>
      </c>
      <c r="D695">
        <v>89007</v>
      </c>
      <c r="E695" t="s">
        <v>9</v>
      </c>
      <c r="F695" t="s">
        <v>10</v>
      </c>
    </row>
    <row r="696" spans="1:6" hidden="1" x14ac:dyDescent="0.35">
      <c r="A696" t="s">
        <v>20</v>
      </c>
      <c r="B696" t="s">
        <v>36</v>
      </c>
      <c r="C696" t="s">
        <v>23</v>
      </c>
      <c r="D696">
        <v>29457</v>
      </c>
      <c r="E696" t="s">
        <v>9</v>
      </c>
      <c r="F696" t="s">
        <v>10</v>
      </c>
    </row>
    <row r="697" spans="1:6" hidden="1" x14ac:dyDescent="0.35">
      <c r="A697" t="s">
        <v>21</v>
      </c>
      <c r="B697" t="s">
        <v>36</v>
      </c>
      <c r="C697" t="s">
        <v>23</v>
      </c>
      <c r="D697">
        <v>535989</v>
      </c>
      <c r="E697" t="s">
        <v>9</v>
      </c>
      <c r="F697" t="s">
        <v>10</v>
      </c>
    </row>
    <row r="698" spans="1:6" hidden="1" x14ac:dyDescent="0.35">
      <c r="A698" t="s">
        <v>6</v>
      </c>
      <c r="B698" t="s">
        <v>36</v>
      </c>
      <c r="C698" t="s">
        <v>24</v>
      </c>
      <c r="D698">
        <v>0</v>
      </c>
      <c r="E698" t="s">
        <v>9</v>
      </c>
      <c r="F698" t="s">
        <v>10</v>
      </c>
    </row>
    <row r="699" spans="1:6" hidden="1" x14ac:dyDescent="0.35">
      <c r="A699" t="s">
        <v>11</v>
      </c>
      <c r="B699" t="s">
        <v>36</v>
      </c>
      <c r="C699" t="s">
        <v>24</v>
      </c>
      <c r="D699">
        <v>0</v>
      </c>
      <c r="E699" t="s">
        <v>9</v>
      </c>
      <c r="F699" t="s">
        <v>10</v>
      </c>
    </row>
    <row r="700" spans="1:6" hidden="1" x14ac:dyDescent="0.35">
      <c r="A700" t="s">
        <v>12</v>
      </c>
      <c r="B700" t="s">
        <v>36</v>
      </c>
      <c r="C700" t="s">
        <v>24</v>
      </c>
      <c r="D700">
        <v>0</v>
      </c>
      <c r="E700" t="s">
        <v>9</v>
      </c>
      <c r="F700" t="s">
        <v>10</v>
      </c>
    </row>
    <row r="701" spans="1:6" hidden="1" x14ac:dyDescent="0.35">
      <c r="A701" t="s">
        <v>13</v>
      </c>
      <c r="B701" t="s">
        <v>36</v>
      </c>
      <c r="C701" t="s">
        <v>24</v>
      </c>
      <c r="D701">
        <v>0</v>
      </c>
      <c r="E701" t="s">
        <v>9</v>
      </c>
      <c r="F701" t="s">
        <v>10</v>
      </c>
    </row>
    <row r="702" spans="1:6" hidden="1" x14ac:dyDescent="0.35">
      <c r="A702" t="s">
        <v>14</v>
      </c>
      <c r="B702" t="s">
        <v>36</v>
      </c>
      <c r="C702" t="s">
        <v>24</v>
      </c>
      <c r="D702">
        <v>0</v>
      </c>
      <c r="E702" t="s">
        <v>9</v>
      </c>
      <c r="F702" t="s">
        <v>10</v>
      </c>
    </row>
    <row r="703" spans="1:6" hidden="1" x14ac:dyDescent="0.35">
      <c r="A703" t="s">
        <v>15</v>
      </c>
      <c r="B703" t="s">
        <v>36</v>
      </c>
      <c r="C703" t="s">
        <v>24</v>
      </c>
      <c r="D703">
        <v>0</v>
      </c>
      <c r="E703" t="s">
        <v>9</v>
      </c>
      <c r="F703" t="s">
        <v>10</v>
      </c>
    </row>
    <row r="704" spans="1:6" hidden="1" x14ac:dyDescent="0.35">
      <c r="A704" t="s">
        <v>16</v>
      </c>
      <c r="B704" t="s">
        <v>36</v>
      </c>
      <c r="C704" t="s">
        <v>24</v>
      </c>
      <c r="D704">
        <v>0</v>
      </c>
      <c r="E704" t="s">
        <v>9</v>
      </c>
      <c r="F704" t="s">
        <v>10</v>
      </c>
    </row>
    <row r="705" spans="1:6" hidden="1" x14ac:dyDescent="0.35">
      <c r="A705" t="s">
        <v>17</v>
      </c>
      <c r="B705" t="s">
        <v>36</v>
      </c>
      <c r="C705" t="s">
        <v>24</v>
      </c>
      <c r="D705">
        <v>0</v>
      </c>
      <c r="E705" t="s">
        <v>9</v>
      </c>
      <c r="F705" t="s">
        <v>10</v>
      </c>
    </row>
    <row r="706" spans="1:6" hidden="1" x14ac:dyDescent="0.35">
      <c r="A706" t="s">
        <v>18</v>
      </c>
      <c r="B706" t="s">
        <v>36</v>
      </c>
      <c r="C706" t="s">
        <v>24</v>
      </c>
      <c r="D706">
        <v>0</v>
      </c>
      <c r="E706" t="s">
        <v>9</v>
      </c>
      <c r="F706" t="s">
        <v>10</v>
      </c>
    </row>
    <row r="707" spans="1:6" hidden="1" x14ac:dyDescent="0.35">
      <c r="A707" t="s">
        <v>19</v>
      </c>
      <c r="B707" t="s">
        <v>36</v>
      </c>
      <c r="C707" t="s">
        <v>24</v>
      </c>
      <c r="D707">
        <v>0</v>
      </c>
      <c r="E707" t="s">
        <v>9</v>
      </c>
      <c r="F707" t="s">
        <v>10</v>
      </c>
    </row>
    <row r="708" spans="1:6" hidden="1" x14ac:dyDescent="0.35">
      <c r="A708" t="s">
        <v>20</v>
      </c>
      <c r="B708" t="s">
        <v>36</v>
      </c>
      <c r="C708" t="s">
        <v>24</v>
      </c>
      <c r="D708">
        <v>0</v>
      </c>
      <c r="E708" t="s">
        <v>9</v>
      </c>
      <c r="F708" t="s">
        <v>10</v>
      </c>
    </row>
    <row r="709" spans="1:6" hidden="1" x14ac:dyDescent="0.35">
      <c r="A709" t="s">
        <v>21</v>
      </c>
      <c r="B709" t="s">
        <v>36</v>
      </c>
      <c r="C709" t="s">
        <v>24</v>
      </c>
      <c r="D709">
        <v>0</v>
      </c>
      <c r="E709" t="s">
        <v>9</v>
      </c>
      <c r="F709" t="s">
        <v>10</v>
      </c>
    </row>
    <row r="710" spans="1:6" hidden="1" x14ac:dyDescent="0.35">
      <c r="A710" t="s">
        <v>6</v>
      </c>
      <c r="B710" t="s">
        <v>36</v>
      </c>
      <c r="C710" t="s">
        <v>25</v>
      </c>
      <c r="D710">
        <v>49132</v>
      </c>
      <c r="E710" t="s">
        <v>9</v>
      </c>
      <c r="F710" t="s">
        <v>10</v>
      </c>
    </row>
    <row r="711" spans="1:6" hidden="1" x14ac:dyDescent="0.35">
      <c r="A711" t="s">
        <v>11</v>
      </c>
      <c r="B711" t="s">
        <v>36</v>
      </c>
      <c r="C711" t="s">
        <v>25</v>
      </c>
      <c r="D711">
        <v>371659</v>
      </c>
      <c r="E711" t="s">
        <v>9</v>
      </c>
      <c r="F711" t="s">
        <v>10</v>
      </c>
    </row>
    <row r="712" spans="1:6" hidden="1" x14ac:dyDescent="0.35">
      <c r="A712" t="s">
        <v>12</v>
      </c>
      <c r="B712" t="s">
        <v>36</v>
      </c>
      <c r="C712" t="s">
        <v>25</v>
      </c>
      <c r="D712">
        <v>223345</v>
      </c>
      <c r="E712" t="s">
        <v>9</v>
      </c>
      <c r="F712" t="s">
        <v>10</v>
      </c>
    </row>
    <row r="713" spans="1:6" hidden="1" x14ac:dyDescent="0.35">
      <c r="A713" t="s">
        <v>13</v>
      </c>
      <c r="B713" t="s">
        <v>36</v>
      </c>
      <c r="C713" t="s">
        <v>25</v>
      </c>
      <c r="D713">
        <v>101343</v>
      </c>
      <c r="E713" t="s">
        <v>9</v>
      </c>
      <c r="F713" t="s">
        <v>10</v>
      </c>
    </row>
    <row r="714" spans="1:6" hidden="1" x14ac:dyDescent="0.35">
      <c r="A714" t="s">
        <v>14</v>
      </c>
      <c r="B714" t="s">
        <v>36</v>
      </c>
      <c r="C714" t="s">
        <v>25</v>
      </c>
      <c r="D714">
        <v>161504</v>
      </c>
      <c r="E714" t="s">
        <v>9</v>
      </c>
      <c r="F714" t="s">
        <v>10</v>
      </c>
    </row>
    <row r="715" spans="1:6" hidden="1" x14ac:dyDescent="0.35">
      <c r="A715" t="s">
        <v>15</v>
      </c>
      <c r="B715" t="s">
        <v>36</v>
      </c>
      <c r="C715" t="s">
        <v>25</v>
      </c>
      <c r="D715">
        <v>135207</v>
      </c>
      <c r="E715" t="s">
        <v>9</v>
      </c>
      <c r="F715" t="s">
        <v>10</v>
      </c>
    </row>
    <row r="716" spans="1:6" hidden="1" x14ac:dyDescent="0.35">
      <c r="A716" t="s">
        <v>16</v>
      </c>
      <c r="B716" t="s">
        <v>36</v>
      </c>
      <c r="C716" t="s">
        <v>25</v>
      </c>
      <c r="D716">
        <v>412262</v>
      </c>
      <c r="E716" t="s">
        <v>9</v>
      </c>
      <c r="F716" t="s">
        <v>10</v>
      </c>
    </row>
    <row r="717" spans="1:6" hidden="1" x14ac:dyDescent="0.35">
      <c r="A717" t="s">
        <v>17</v>
      </c>
      <c r="B717" t="s">
        <v>36</v>
      </c>
      <c r="C717" t="s">
        <v>25</v>
      </c>
      <c r="D717">
        <v>1070615</v>
      </c>
      <c r="E717" t="s">
        <v>9</v>
      </c>
      <c r="F717" t="s">
        <v>10</v>
      </c>
    </row>
    <row r="718" spans="1:6" hidden="1" x14ac:dyDescent="0.35">
      <c r="A718" t="s">
        <v>18</v>
      </c>
      <c r="B718" t="s">
        <v>36</v>
      </c>
      <c r="C718" t="s">
        <v>25</v>
      </c>
      <c r="D718">
        <v>251058</v>
      </c>
      <c r="E718" t="s">
        <v>9</v>
      </c>
      <c r="F718" t="s">
        <v>10</v>
      </c>
    </row>
    <row r="719" spans="1:6" hidden="1" x14ac:dyDescent="0.35">
      <c r="A719" t="s">
        <v>19</v>
      </c>
      <c r="B719" t="s">
        <v>36</v>
      </c>
      <c r="C719" t="s">
        <v>25</v>
      </c>
      <c r="D719">
        <v>467180</v>
      </c>
      <c r="E719" t="s">
        <v>9</v>
      </c>
      <c r="F719" t="s">
        <v>10</v>
      </c>
    </row>
    <row r="720" spans="1:6" hidden="1" x14ac:dyDescent="0.35">
      <c r="A720" t="s">
        <v>20</v>
      </c>
      <c r="B720" t="s">
        <v>36</v>
      </c>
      <c r="C720" t="s">
        <v>25</v>
      </c>
      <c r="D720">
        <v>169215</v>
      </c>
      <c r="E720" t="s">
        <v>9</v>
      </c>
      <c r="F720" t="s">
        <v>10</v>
      </c>
    </row>
    <row r="721" spans="1:6" hidden="1" x14ac:dyDescent="0.35">
      <c r="A721" t="s">
        <v>21</v>
      </c>
      <c r="B721" t="s">
        <v>36</v>
      </c>
      <c r="C721" t="s">
        <v>25</v>
      </c>
      <c r="D721">
        <v>670217</v>
      </c>
      <c r="E721" t="s">
        <v>9</v>
      </c>
      <c r="F721" t="s">
        <v>10</v>
      </c>
    </row>
    <row r="722" spans="1:6" hidden="1" x14ac:dyDescent="0.35">
      <c r="A722" t="s">
        <v>6</v>
      </c>
      <c r="B722" t="s">
        <v>36</v>
      </c>
      <c r="C722" t="s">
        <v>26</v>
      </c>
      <c r="D722">
        <v>0</v>
      </c>
      <c r="E722" t="s">
        <v>9</v>
      </c>
      <c r="F722" t="s">
        <v>10</v>
      </c>
    </row>
    <row r="723" spans="1:6" hidden="1" x14ac:dyDescent="0.35">
      <c r="A723" t="s">
        <v>11</v>
      </c>
      <c r="B723" t="s">
        <v>36</v>
      </c>
      <c r="C723" t="s">
        <v>26</v>
      </c>
      <c r="E723" t="s">
        <v>9</v>
      </c>
      <c r="F723" t="s">
        <v>10</v>
      </c>
    </row>
    <row r="724" spans="1:6" hidden="1" x14ac:dyDescent="0.35">
      <c r="A724" t="s">
        <v>12</v>
      </c>
      <c r="B724" t="s">
        <v>36</v>
      </c>
      <c r="C724" t="s">
        <v>26</v>
      </c>
      <c r="E724" t="s">
        <v>9</v>
      </c>
      <c r="F724" t="s">
        <v>10</v>
      </c>
    </row>
    <row r="725" spans="1:6" hidden="1" x14ac:dyDescent="0.35">
      <c r="A725" t="s">
        <v>13</v>
      </c>
      <c r="B725" t="s">
        <v>36</v>
      </c>
      <c r="C725" t="s">
        <v>26</v>
      </c>
      <c r="E725" t="s">
        <v>9</v>
      </c>
      <c r="F725" t="s">
        <v>10</v>
      </c>
    </row>
    <row r="726" spans="1:6" hidden="1" x14ac:dyDescent="0.35">
      <c r="A726" t="s">
        <v>14</v>
      </c>
      <c r="B726" t="s">
        <v>36</v>
      </c>
      <c r="C726" t="s">
        <v>26</v>
      </c>
      <c r="E726" t="s">
        <v>9</v>
      </c>
      <c r="F726" t="s">
        <v>10</v>
      </c>
    </row>
    <row r="727" spans="1:6" hidden="1" x14ac:dyDescent="0.35">
      <c r="A727" t="s">
        <v>15</v>
      </c>
      <c r="B727" t="s">
        <v>36</v>
      </c>
      <c r="C727" t="s">
        <v>26</v>
      </c>
      <c r="E727" t="s">
        <v>9</v>
      </c>
      <c r="F727" t="s">
        <v>10</v>
      </c>
    </row>
    <row r="728" spans="1:6" hidden="1" x14ac:dyDescent="0.35">
      <c r="A728" t="s">
        <v>16</v>
      </c>
      <c r="B728" t="s">
        <v>36</v>
      </c>
      <c r="C728" t="s">
        <v>26</v>
      </c>
      <c r="E728" t="s">
        <v>9</v>
      </c>
      <c r="F728" t="s">
        <v>10</v>
      </c>
    </row>
    <row r="729" spans="1:6" hidden="1" x14ac:dyDescent="0.35">
      <c r="A729" t="s">
        <v>17</v>
      </c>
      <c r="B729" t="s">
        <v>36</v>
      </c>
      <c r="C729" t="s">
        <v>26</v>
      </c>
      <c r="E729" t="s">
        <v>9</v>
      </c>
      <c r="F729" t="s">
        <v>10</v>
      </c>
    </row>
    <row r="730" spans="1:6" hidden="1" x14ac:dyDescent="0.35">
      <c r="A730" t="s">
        <v>18</v>
      </c>
      <c r="B730" t="s">
        <v>36</v>
      </c>
      <c r="C730" t="s">
        <v>26</v>
      </c>
      <c r="E730" t="s">
        <v>9</v>
      </c>
      <c r="F730" t="s">
        <v>10</v>
      </c>
    </row>
    <row r="731" spans="1:6" hidden="1" x14ac:dyDescent="0.35">
      <c r="A731" t="s">
        <v>19</v>
      </c>
      <c r="B731" t="s">
        <v>36</v>
      </c>
      <c r="C731" t="s">
        <v>26</v>
      </c>
      <c r="E731" t="s">
        <v>9</v>
      </c>
      <c r="F731" t="s">
        <v>10</v>
      </c>
    </row>
    <row r="732" spans="1:6" hidden="1" x14ac:dyDescent="0.35">
      <c r="A732" t="s">
        <v>20</v>
      </c>
      <c r="B732" t="s">
        <v>36</v>
      </c>
      <c r="C732" t="s">
        <v>26</v>
      </c>
      <c r="E732" t="s">
        <v>9</v>
      </c>
      <c r="F732" t="s">
        <v>10</v>
      </c>
    </row>
    <row r="733" spans="1:6" hidden="1" x14ac:dyDescent="0.35">
      <c r="A733" t="s">
        <v>21</v>
      </c>
      <c r="B733" t="s">
        <v>36</v>
      </c>
      <c r="C733" t="s">
        <v>26</v>
      </c>
      <c r="E733" t="s">
        <v>9</v>
      </c>
      <c r="F733" t="s">
        <v>10</v>
      </c>
    </row>
    <row r="734" spans="1:6" hidden="1" x14ac:dyDescent="0.35">
      <c r="A734" t="s">
        <v>6</v>
      </c>
      <c r="B734" t="s">
        <v>36</v>
      </c>
      <c r="C734" t="s">
        <v>27</v>
      </c>
      <c r="D734">
        <v>2935514</v>
      </c>
      <c r="E734" t="s">
        <v>9</v>
      </c>
      <c r="F734" t="s">
        <v>10</v>
      </c>
    </row>
    <row r="735" spans="1:6" hidden="1" x14ac:dyDescent="0.35">
      <c r="A735" t="s">
        <v>11</v>
      </c>
      <c r="B735" t="s">
        <v>36</v>
      </c>
      <c r="C735" t="s">
        <v>27</v>
      </c>
      <c r="D735">
        <v>2189194</v>
      </c>
      <c r="E735" t="s">
        <v>9</v>
      </c>
      <c r="F735" t="s">
        <v>10</v>
      </c>
    </row>
    <row r="736" spans="1:6" hidden="1" x14ac:dyDescent="0.35">
      <c r="A736" t="s">
        <v>12</v>
      </c>
      <c r="B736" t="s">
        <v>36</v>
      </c>
      <c r="C736" t="s">
        <v>27</v>
      </c>
      <c r="D736">
        <v>3509612</v>
      </c>
      <c r="E736" t="s">
        <v>9</v>
      </c>
      <c r="F736" t="s">
        <v>10</v>
      </c>
    </row>
    <row r="737" spans="1:6" hidden="1" x14ac:dyDescent="0.35">
      <c r="A737" t="s">
        <v>13</v>
      </c>
      <c r="B737" t="s">
        <v>36</v>
      </c>
      <c r="C737" t="s">
        <v>27</v>
      </c>
      <c r="D737">
        <v>2447432</v>
      </c>
      <c r="E737" t="s">
        <v>9</v>
      </c>
      <c r="F737" t="s">
        <v>10</v>
      </c>
    </row>
    <row r="738" spans="1:6" hidden="1" x14ac:dyDescent="0.35">
      <c r="A738" t="s">
        <v>14</v>
      </c>
      <c r="B738" t="s">
        <v>36</v>
      </c>
      <c r="C738" t="s">
        <v>27</v>
      </c>
      <c r="D738">
        <v>2096924</v>
      </c>
      <c r="E738" t="s">
        <v>9</v>
      </c>
      <c r="F738" t="s">
        <v>10</v>
      </c>
    </row>
    <row r="739" spans="1:6" hidden="1" x14ac:dyDescent="0.35">
      <c r="A739" t="s">
        <v>15</v>
      </c>
      <c r="B739" t="s">
        <v>36</v>
      </c>
      <c r="C739" t="s">
        <v>27</v>
      </c>
      <c r="D739">
        <v>3930366</v>
      </c>
      <c r="E739" t="s">
        <v>9</v>
      </c>
      <c r="F739" t="s">
        <v>10</v>
      </c>
    </row>
    <row r="740" spans="1:6" hidden="1" x14ac:dyDescent="0.35">
      <c r="A740" t="s">
        <v>16</v>
      </c>
      <c r="B740" t="s">
        <v>36</v>
      </c>
      <c r="C740" t="s">
        <v>27</v>
      </c>
      <c r="D740">
        <v>2947357</v>
      </c>
      <c r="E740" t="s">
        <v>9</v>
      </c>
      <c r="F740" t="s">
        <v>10</v>
      </c>
    </row>
    <row r="741" spans="1:6" hidden="1" x14ac:dyDescent="0.35">
      <c r="A741" t="s">
        <v>17</v>
      </c>
      <c r="B741" t="s">
        <v>36</v>
      </c>
      <c r="C741" t="s">
        <v>27</v>
      </c>
      <c r="D741">
        <v>4419111</v>
      </c>
      <c r="E741" t="s">
        <v>9</v>
      </c>
      <c r="F741" t="s">
        <v>10</v>
      </c>
    </row>
    <row r="742" spans="1:6" hidden="1" x14ac:dyDescent="0.35">
      <c r="A742" t="s">
        <v>18</v>
      </c>
      <c r="B742" t="s">
        <v>36</v>
      </c>
      <c r="C742" t="s">
        <v>27</v>
      </c>
      <c r="D742">
        <v>1967769</v>
      </c>
      <c r="E742" t="s">
        <v>9</v>
      </c>
      <c r="F742" t="s">
        <v>10</v>
      </c>
    </row>
    <row r="743" spans="1:6" hidden="1" x14ac:dyDescent="0.35">
      <c r="A743" t="s">
        <v>19</v>
      </c>
      <c r="B743" t="s">
        <v>36</v>
      </c>
      <c r="C743" t="s">
        <v>27</v>
      </c>
      <c r="D743">
        <v>4432264</v>
      </c>
      <c r="E743" t="s">
        <v>9</v>
      </c>
      <c r="F743" t="s">
        <v>10</v>
      </c>
    </row>
    <row r="744" spans="1:6" hidden="1" x14ac:dyDescent="0.35">
      <c r="A744" t="s">
        <v>20</v>
      </c>
      <c r="B744" t="s">
        <v>36</v>
      </c>
      <c r="C744" t="s">
        <v>27</v>
      </c>
      <c r="D744">
        <v>5215438</v>
      </c>
      <c r="E744" t="s">
        <v>9</v>
      </c>
      <c r="F744" t="s">
        <v>10</v>
      </c>
    </row>
    <row r="745" spans="1:6" hidden="1" x14ac:dyDescent="0.35">
      <c r="A745" t="s">
        <v>21</v>
      </c>
      <c r="B745" t="s">
        <v>36</v>
      </c>
      <c r="C745" t="s">
        <v>27</v>
      </c>
      <c r="D745">
        <v>3317344</v>
      </c>
      <c r="E745" t="s">
        <v>9</v>
      </c>
      <c r="F745" t="s">
        <v>10</v>
      </c>
    </row>
    <row r="746" spans="1:6" hidden="1" x14ac:dyDescent="0.35">
      <c r="A746" t="s">
        <v>6</v>
      </c>
      <c r="B746" t="s">
        <v>36</v>
      </c>
      <c r="C746" t="s">
        <v>28</v>
      </c>
      <c r="D746">
        <v>16685228</v>
      </c>
      <c r="E746" t="s">
        <v>9</v>
      </c>
      <c r="F746" t="s">
        <v>10</v>
      </c>
    </row>
    <row r="747" spans="1:6" hidden="1" x14ac:dyDescent="0.35">
      <c r="A747" t="s">
        <v>11</v>
      </c>
      <c r="B747" t="s">
        <v>36</v>
      </c>
      <c r="C747" t="s">
        <v>28</v>
      </c>
      <c r="D747">
        <v>7912520</v>
      </c>
      <c r="E747" t="s">
        <v>9</v>
      </c>
      <c r="F747" t="s">
        <v>10</v>
      </c>
    </row>
    <row r="748" spans="1:6" hidden="1" x14ac:dyDescent="0.35">
      <c r="A748" t="s">
        <v>12</v>
      </c>
      <c r="B748" t="s">
        <v>36</v>
      </c>
      <c r="C748" t="s">
        <v>28</v>
      </c>
      <c r="D748">
        <v>19741962</v>
      </c>
      <c r="E748" t="s">
        <v>9</v>
      </c>
      <c r="F748" t="s">
        <v>10</v>
      </c>
    </row>
    <row r="749" spans="1:6" hidden="1" x14ac:dyDescent="0.35">
      <c r="A749" t="s">
        <v>13</v>
      </c>
      <c r="B749" t="s">
        <v>36</v>
      </c>
      <c r="C749" t="s">
        <v>28</v>
      </c>
      <c r="D749">
        <v>12340557</v>
      </c>
      <c r="E749" t="s">
        <v>9</v>
      </c>
      <c r="F749" t="s">
        <v>10</v>
      </c>
    </row>
    <row r="750" spans="1:6" hidden="1" x14ac:dyDescent="0.35">
      <c r="A750" t="s">
        <v>14</v>
      </c>
      <c r="B750" t="s">
        <v>36</v>
      </c>
      <c r="C750" t="s">
        <v>28</v>
      </c>
      <c r="D750">
        <v>8434201</v>
      </c>
      <c r="E750" t="s">
        <v>9</v>
      </c>
      <c r="F750" t="s">
        <v>10</v>
      </c>
    </row>
    <row r="751" spans="1:6" hidden="1" x14ac:dyDescent="0.35">
      <c r="A751" t="s">
        <v>15</v>
      </c>
      <c r="B751" t="s">
        <v>36</v>
      </c>
      <c r="C751" t="s">
        <v>28</v>
      </c>
      <c r="D751">
        <v>14945807</v>
      </c>
      <c r="E751" t="s">
        <v>9</v>
      </c>
      <c r="F751" t="s">
        <v>10</v>
      </c>
    </row>
    <row r="752" spans="1:6" hidden="1" x14ac:dyDescent="0.35">
      <c r="A752" t="s">
        <v>16</v>
      </c>
      <c r="B752" t="s">
        <v>36</v>
      </c>
      <c r="C752" t="s">
        <v>28</v>
      </c>
      <c r="D752">
        <v>14017832</v>
      </c>
      <c r="E752" t="s">
        <v>9</v>
      </c>
      <c r="F752" t="s">
        <v>10</v>
      </c>
    </row>
    <row r="753" spans="1:6" hidden="1" x14ac:dyDescent="0.35">
      <c r="A753" t="s">
        <v>17</v>
      </c>
      <c r="B753" t="s">
        <v>36</v>
      </c>
      <c r="C753" t="s">
        <v>28</v>
      </c>
      <c r="D753">
        <v>6363702</v>
      </c>
      <c r="E753" t="s">
        <v>9</v>
      </c>
      <c r="F753" t="s">
        <v>10</v>
      </c>
    </row>
    <row r="754" spans="1:6" hidden="1" x14ac:dyDescent="0.35">
      <c r="A754" t="s">
        <v>18</v>
      </c>
      <c r="B754" t="s">
        <v>36</v>
      </c>
      <c r="C754" t="s">
        <v>28</v>
      </c>
      <c r="D754">
        <v>1896171</v>
      </c>
      <c r="E754" t="s">
        <v>9</v>
      </c>
      <c r="F754" t="s">
        <v>10</v>
      </c>
    </row>
    <row r="755" spans="1:6" hidden="1" x14ac:dyDescent="0.35">
      <c r="A755" t="s">
        <v>19</v>
      </c>
      <c r="B755" t="s">
        <v>36</v>
      </c>
      <c r="C755" t="s">
        <v>28</v>
      </c>
      <c r="D755">
        <v>1671784</v>
      </c>
      <c r="E755" t="s">
        <v>9</v>
      </c>
      <c r="F755" t="s">
        <v>10</v>
      </c>
    </row>
    <row r="756" spans="1:6" hidden="1" x14ac:dyDescent="0.35">
      <c r="A756" t="s">
        <v>20</v>
      </c>
      <c r="B756" t="s">
        <v>36</v>
      </c>
      <c r="C756" t="s">
        <v>28</v>
      </c>
      <c r="D756">
        <v>979220</v>
      </c>
      <c r="E756" t="s">
        <v>9</v>
      </c>
      <c r="F756" t="s">
        <v>10</v>
      </c>
    </row>
    <row r="757" spans="1:6" hidden="1" x14ac:dyDescent="0.35">
      <c r="A757" t="s">
        <v>21</v>
      </c>
      <c r="B757" t="s">
        <v>36</v>
      </c>
      <c r="C757" t="s">
        <v>28</v>
      </c>
      <c r="D757">
        <v>4962393</v>
      </c>
      <c r="E757" t="s">
        <v>9</v>
      </c>
      <c r="F757" t="s">
        <v>10</v>
      </c>
    </row>
    <row r="758" spans="1:6" x14ac:dyDescent="0.35">
      <c r="A758" t="s">
        <v>6</v>
      </c>
      <c r="B758" t="s">
        <v>36</v>
      </c>
      <c r="C758" t="s">
        <v>29</v>
      </c>
      <c r="D758">
        <v>218</v>
      </c>
      <c r="E758" t="s">
        <v>9</v>
      </c>
      <c r="F758" t="s">
        <v>10</v>
      </c>
    </row>
    <row r="759" spans="1:6" x14ac:dyDescent="0.35">
      <c r="A759" t="s">
        <v>11</v>
      </c>
      <c r="B759" t="s">
        <v>36</v>
      </c>
      <c r="C759" t="s">
        <v>29</v>
      </c>
      <c r="D759">
        <v>211</v>
      </c>
      <c r="E759" t="s">
        <v>9</v>
      </c>
      <c r="F759" t="s">
        <v>10</v>
      </c>
    </row>
    <row r="760" spans="1:6" x14ac:dyDescent="0.35">
      <c r="A760" t="s">
        <v>12</v>
      </c>
      <c r="B760" t="s">
        <v>36</v>
      </c>
      <c r="C760" t="s">
        <v>29</v>
      </c>
      <c r="D760">
        <v>221</v>
      </c>
      <c r="E760" t="s">
        <v>9</v>
      </c>
      <c r="F760" t="s">
        <v>10</v>
      </c>
    </row>
    <row r="761" spans="1:6" x14ac:dyDescent="0.35">
      <c r="A761" t="s">
        <v>13</v>
      </c>
      <c r="B761" t="s">
        <v>36</v>
      </c>
      <c r="C761" t="s">
        <v>29</v>
      </c>
      <c r="D761">
        <v>215</v>
      </c>
      <c r="E761" t="s">
        <v>9</v>
      </c>
      <c r="F761" t="s">
        <v>10</v>
      </c>
    </row>
    <row r="762" spans="1:6" x14ac:dyDescent="0.35">
      <c r="A762" t="s">
        <v>14</v>
      </c>
      <c r="B762" t="s">
        <v>36</v>
      </c>
      <c r="C762" t="s">
        <v>29</v>
      </c>
      <c r="D762">
        <v>194</v>
      </c>
      <c r="E762" t="s">
        <v>9</v>
      </c>
      <c r="F762" t="s">
        <v>10</v>
      </c>
    </row>
    <row r="763" spans="1:6" x14ac:dyDescent="0.35">
      <c r="A763" t="s">
        <v>15</v>
      </c>
      <c r="B763" t="s">
        <v>36</v>
      </c>
      <c r="C763" t="s">
        <v>29</v>
      </c>
      <c r="D763">
        <v>190</v>
      </c>
      <c r="E763" t="s">
        <v>9</v>
      </c>
      <c r="F763" t="s">
        <v>10</v>
      </c>
    </row>
    <row r="764" spans="1:6" x14ac:dyDescent="0.35">
      <c r="A764" t="s">
        <v>16</v>
      </c>
      <c r="B764" t="s">
        <v>36</v>
      </c>
      <c r="C764" t="s">
        <v>29</v>
      </c>
      <c r="D764">
        <v>235</v>
      </c>
      <c r="E764" t="s">
        <v>9</v>
      </c>
      <c r="F764" t="s">
        <v>10</v>
      </c>
    </row>
    <row r="765" spans="1:6" x14ac:dyDescent="0.35">
      <c r="A765" t="s">
        <v>17</v>
      </c>
      <c r="B765" t="s">
        <v>36</v>
      </c>
      <c r="C765" t="s">
        <v>29</v>
      </c>
      <c r="D765">
        <v>231</v>
      </c>
      <c r="E765" t="s">
        <v>9</v>
      </c>
      <c r="F765" t="s">
        <v>10</v>
      </c>
    </row>
    <row r="766" spans="1:6" x14ac:dyDescent="0.35">
      <c r="A766" t="s">
        <v>18</v>
      </c>
      <c r="B766" t="s">
        <v>36</v>
      </c>
      <c r="C766" t="s">
        <v>29</v>
      </c>
      <c r="D766">
        <v>224</v>
      </c>
      <c r="E766" t="s">
        <v>9</v>
      </c>
      <c r="F766" t="s">
        <v>10</v>
      </c>
    </row>
    <row r="767" spans="1:6" x14ac:dyDescent="0.35">
      <c r="A767" t="s">
        <v>19</v>
      </c>
      <c r="B767" t="s">
        <v>36</v>
      </c>
      <c r="C767" t="s">
        <v>29</v>
      </c>
      <c r="D767">
        <v>284</v>
      </c>
      <c r="E767" t="s">
        <v>9</v>
      </c>
      <c r="F767" t="s">
        <v>10</v>
      </c>
    </row>
    <row r="768" spans="1:6" x14ac:dyDescent="0.35">
      <c r="A768" t="s">
        <v>20</v>
      </c>
      <c r="B768" t="s">
        <v>36</v>
      </c>
      <c r="C768" t="s">
        <v>29</v>
      </c>
      <c r="D768">
        <v>209</v>
      </c>
      <c r="E768" t="s">
        <v>9</v>
      </c>
      <c r="F768" t="s">
        <v>10</v>
      </c>
    </row>
    <row r="769" spans="1:6" x14ac:dyDescent="0.35">
      <c r="A769" t="s">
        <v>21</v>
      </c>
      <c r="B769" t="s">
        <v>36</v>
      </c>
      <c r="C769" t="s">
        <v>29</v>
      </c>
      <c r="D769">
        <v>198</v>
      </c>
      <c r="E769" t="s">
        <v>9</v>
      </c>
      <c r="F769" t="s">
        <v>10</v>
      </c>
    </row>
    <row r="770" spans="1:6" hidden="1" x14ac:dyDescent="0.35">
      <c r="A770" t="s">
        <v>6</v>
      </c>
      <c r="B770" t="s">
        <v>36</v>
      </c>
      <c r="C770" t="s">
        <v>30</v>
      </c>
      <c r="D770">
        <v>86</v>
      </c>
      <c r="E770" t="s">
        <v>9</v>
      </c>
      <c r="F770" t="s">
        <v>10</v>
      </c>
    </row>
    <row r="771" spans="1:6" hidden="1" x14ac:dyDescent="0.35">
      <c r="A771" t="s">
        <v>11</v>
      </c>
      <c r="B771" t="s">
        <v>36</v>
      </c>
      <c r="C771" t="s">
        <v>30</v>
      </c>
      <c r="D771">
        <v>78</v>
      </c>
      <c r="E771" t="s">
        <v>9</v>
      </c>
      <c r="F771" t="s">
        <v>10</v>
      </c>
    </row>
    <row r="772" spans="1:6" hidden="1" x14ac:dyDescent="0.35">
      <c r="A772" t="s">
        <v>12</v>
      </c>
      <c r="B772" t="s">
        <v>36</v>
      </c>
      <c r="C772" t="s">
        <v>30</v>
      </c>
      <c r="D772">
        <v>101</v>
      </c>
      <c r="E772" t="s">
        <v>9</v>
      </c>
      <c r="F772" t="s">
        <v>10</v>
      </c>
    </row>
    <row r="773" spans="1:6" hidden="1" x14ac:dyDescent="0.35">
      <c r="A773" t="s">
        <v>13</v>
      </c>
      <c r="B773" t="s">
        <v>36</v>
      </c>
      <c r="C773" t="s">
        <v>30</v>
      </c>
      <c r="D773">
        <v>90</v>
      </c>
      <c r="E773" t="s">
        <v>9</v>
      </c>
      <c r="F773" t="s">
        <v>10</v>
      </c>
    </row>
    <row r="774" spans="1:6" hidden="1" x14ac:dyDescent="0.35">
      <c r="A774" t="s">
        <v>14</v>
      </c>
      <c r="B774" t="s">
        <v>36</v>
      </c>
      <c r="C774" t="s">
        <v>30</v>
      </c>
      <c r="D774">
        <v>97</v>
      </c>
      <c r="E774" t="s">
        <v>9</v>
      </c>
      <c r="F774" t="s">
        <v>10</v>
      </c>
    </row>
    <row r="775" spans="1:6" hidden="1" x14ac:dyDescent="0.35">
      <c r="A775" t="s">
        <v>15</v>
      </c>
      <c r="B775" t="s">
        <v>36</v>
      </c>
      <c r="C775" t="s">
        <v>30</v>
      </c>
      <c r="D775">
        <v>95</v>
      </c>
      <c r="E775" t="s">
        <v>9</v>
      </c>
      <c r="F775" t="s">
        <v>10</v>
      </c>
    </row>
    <row r="776" spans="1:6" hidden="1" x14ac:dyDescent="0.35">
      <c r="A776" t="s">
        <v>16</v>
      </c>
      <c r="B776" t="s">
        <v>36</v>
      </c>
      <c r="C776" t="s">
        <v>30</v>
      </c>
      <c r="D776">
        <v>99</v>
      </c>
      <c r="E776" t="s">
        <v>9</v>
      </c>
      <c r="F776" t="s">
        <v>10</v>
      </c>
    </row>
    <row r="777" spans="1:6" hidden="1" x14ac:dyDescent="0.35">
      <c r="A777" t="s">
        <v>17</v>
      </c>
      <c r="B777" t="s">
        <v>36</v>
      </c>
      <c r="C777" t="s">
        <v>30</v>
      </c>
      <c r="D777">
        <v>113</v>
      </c>
      <c r="E777" t="s">
        <v>9</v>
      </c>
      <c r="F777" t="s">
        <v>10</v>
      </c>
    </row>
    <row r="778" spans="1:6" hidden="1" x14ac:dyDescent="0.35">
      <c r="A778" t="s">
        <v>18</v>
      </c>
      <c r="B778" t="s">
        <v>36</v>
      </c>
      <c r="C778" t="s">
        <v>30</v>
      </c>
      <c r="D778">
        <v>90</v>
      </c>
      <c r="E778" t="s">
        <v>9</v>
      </c>
      <c r="F778" t="s">
        <v>10</v>
      </c>
    </row>
    <row r="779" spans="1:6" hidden="1" x14ac:dyDescent="0.35">
      <c r="A779" t="s">
        <v>19</v>
      </c>
      <c r="B779" t="s">
        <v>36</v>
      </c>
      <c r="C779" t="s">
        <v>30</v>
      </c>
      <c r="D779">
        <v>116</v>
      </c>
      <c r="E779" t="s">
        <v>9</v>
      </c>
      <c r="F779" t="s">
        <v>10</v>
      </c>
    </row>
    <row r="780" spans="1:6" hidden="1" x14ac:dyDescent="0.35">
      <c r="A780" t="s">
        <v>20</v>
      </c>
      <c r="B780" t="s">
        <v>36</v>
      </c>
      <c r="C780" t="s">
        <v>30</v>
      </c>
      <c r="D780">
        <v>84</v>
      </c>
      <c r="E780" t="s">
        <v>9</v>
      </c>
      <c r="F780" t="s">
        <v>10</v>
      </c>
    </row>
    <row r="781" spans="1:6" hidden="1" x14ac:dyDescent="0.35">
      <c r="A781" t="s">
        <v>21</v>
      </c>
      <c r="B781" t="s">
        <v>36</v>
      </c>
      <c r="C781" t="s">
        <v>30</v>
      </c>
      <c r="D781">
        <v>104</v>
      </c>
      <c r="E781" t="s">
        <v>9</v>
      </c>
      <c r="F781" t="s">
        <v>10</v>
      </c>
    </row>
    <row r="782" spans="1:6" x14ac:dyDescent="0.35">
      <c r="A782" t="s">
        <v>6</v>
      </c>
      <c r="B782" t="s">
        <v>36</v>
      </c>
      <c r="C782" t="s">
        <v>31</v>
      </c>
      <c r="D782">
        <v>49</v>
      </c>
      <c r="E782" t="s">
        <v>9</v>
      </c>
      <c r="F782" t="s">
        <v>10</v>
      </c>
    </row>
    <row r="783" spans="1:6" x14ac:dyDescent="0.35">
      <c r="A783" t="s">
        <v>11</v>
      </c>
      <c r="B783" t="s">
        <v>36</v>
      </c>
      <c r="C783" t="s">
        <v>31</v>
      </c>
      <c r="D783">
        <v>35</v>
      </c>
      <c r="E783" t="s">
        <v>9</v>
      </c>
      <c r="F783" t="s">
        <v>10</v>
      </c>
    </row>
    <row r="784" spans="1:6" x14ac:dyDescent="0.35">
      <c r="A784" t="s">
        <v>12</v>
      </c>
      <c r="B784" t="s">
        <v>36</v>
      </c>
      <c r="C784" t="s">
        <v>31</v>
      </c>
      <c r="D784">
        <v>51</v>
      </c>
      <c r="E784" t="s">
        <v>9</v>
      </c>
      <c r="F784" t="s">
        <v>10</v>
      </c>
    </row>
    <row r="785" spans="1:6" x14ac:dyDescent="0.35">
      <c r="A785" t="s">
        <v>13</v>
      </c>
      <c r="B785" t="s">
        <v>36</v>
      </c>
      <c r="C785" t="s">
        <v>31</v>
      </c>
      <c r="D785">
        <v>41</v>
      </c>
      <c r="E785" t="s">
        <v>9</v>
      </c>
      <c r="F785" t="s">
        <v>10</v>
      </c>
    </row>
    <row r="786" spans="1:6" x14ac:dyDescent="0.35">
      <c r="A786" t="s">
        <v>14</v>
      </c>
      <c r="B786" t="s">
        <v>36</v>
      </c>
      <c r="C786" t="s">
        <v>31</v>
      </c>
      <c r="D786">
        <v>47</v>
      </c>
      <c r="E786" t="s">
        <v>9</v>
      </c>
      <c r="F786" t="s">
        <v>10</v>
      </c>
    </row>
    <row r="787" spans="1:6" x14ac:dyDescent="0.35">
      <c r="A787" t="s">
        <v>15</v>
      </c>
      <c r="B787" t="s">
        <v>36</v>
      </c>
      <c r="C787" t="s">
        <v>31</v>
      </c>
      <c r="D787">
        <v>44</v>
      </c>
      <c r="E787" t="s">
        <v>9</v>
      </c>
      <c r="F787" t="s">
        <v>10</v>
      </c>
    </row>
    <row r="788" spans="1:6" x14ac:dyDescent="0.35">
      <c r="A788" t="s">
        <v>16</v>
      </c>
      <c r="B788" t="s">
        <v>36</v>
      </c>
      <c r="C788" t="s">
        <v>31</v>
      </c>
      <c r="D788">
        <v>57</v>
      </c>
      <c r="E788" t="s">
        <v>9</v>
      </c>
      <c r="F788" t="s">
        <v>10</v>
      </c>
    </row>
    <row r="789" spans="1:6" x14ac:dyDescent="0.35">
      <c r="A789" t="s">
        <v>17</v>
      </c>
      <c r="B789" t="s">
        <v>36</v>
      </c>
      <c r="C789" t="s">
        <v>31</v>
      </c>
      <c r="D789">
        <v>40</v>
      </c>
      <c r="E789" t="s">
        <v>9</v>
      </c>
      <c r="F789" t="s">
        <v>10</v>
      </c>
    </row>
    <row r="790" spans="1:6" x14ac:dyDescent="0.35">
      <c r="A790" t="s">
        <v>18</v>
      </c>
      <c r="B790" t="s">
        <v>36</v>
      </c>
      <c r="C790" t="s">
        <v>31</v>
      </c>
      <c r="D790">
        <v>41</v>
      </c>
      <c r="E790" t="s">
        <v>9</v>
      </c>
      <c r="F790" t="s">
        <v>10</v>
      </c>
    </row>
    <row r="791" spans="1:6" x14ac:dyDescent="0.35">
      <c r="A791" t="s">
        <v>19</v>
      </c>
      <c r="B791" t="s">
        <v>36</v>
      </c>
      <c r="C791" t="s">
        <v>31</v>
      </c>
      <c r="D791">
        <v>64</v>
      </c>
      <c r="E791" t="s">
        <v>9</v>
      </c>
      <c r="F791" t="s">
        <v>10</v>
      </c>
    </row>
    <row r="792" spans="1:6" x14ac:dyDescent="0.35">
      <c r="A792" t="s">
        <v>20</v>
      </c>
      <c r="B792" t="s">
        <v>36</v>
      </c>
      <c r="C792" t="s">
        <v>31</v>
      </c>
      <c r="D792">
        <v>49</v>
      </c>
      <c r="E792" t="s">
        <v>9</v>
      </c>
      <c r="F792" t="s">
        <v>10</v>
      </c>
    </row>
    <row r="793" spans="1:6" x14ac:dyDescent="0.35">
      <c r="A793" t="s">
        <v>21</v>
      </c>
      <c r="B793" t="s">
        <v>36</v>
      </c>
      <c r="C793" t="s">
        <v>31</v>
      </c>
      <c r="D793">
        <v>54</v>
      </c>
      <c r="E793" t="s">
        <v>9</v>
      </c>
      <c r="F793" t="s">
        <v>10</v>
      </c>
    </row>
    <row r="794" spans="1:6" hidden="1" x14ac:dyDescent="0.35">
      <c r="A794" t="s">
        <v>6</v>
      </c>
      <c r="B794" t="s">
        <v>37</v>
      </c>
      <c r="C794" t="s">
        <v>8</v>
      </c>
      <c r="D794">
        <v>0</v>
      </c>
      <c r="E794" t="s">
        <v>9</v>
      </c>
      <c r="F794" t="s">
        <v>10</v>
      </c>
    </row>
    <row r="795" spans="1:6" hidden="1" x14ac:dyDescent="0.35">
      <c r="A795" t="s">
        <v>11</v>
      </c>
      <c r="B795" t="s">
        <v>37</v>
      </c>
      <c r="C795" t="s">
        <v>8</v>
      </c>
      <c r="D795">
        <v>0</v>
      </c>
      <c r="E795" t="s">
        <v>9</v>
      </c>
      <c r="F795" t="s">
        <v>10</v>
      </c>
    </row>
    <row r="796" spans="1:6" hidden="1" x14ac:dyDescent="0.35">
      <c r="A796" t="s">
        <v>12</v>
      </c>
      <c r="B796" t="s">
        <v>37</v>
      </c>
      <c r="C796" t="s">
        <v>8</v>
      </c>
      <c r="D796">
        <v>0</v>
      </c>
      <c r="E796" t="s">
        <v>9</v>
      </c>
      <c r="F796" t="s">
        <v>10</v>
      </c>
    </row>
    <row r="797" spans="1:6" hidden="1" x14ac:dyDescent="0.35">
      <c r="A797" t="s">
        <v>13</v>
      </c>
      <c r="B797" t="s">
        <v>37</v>
      </c>
      <c r="C797" t="s">
        <v>8</v>
      </c>
      <c r="D797">
        <v>0</v>
      </c>
      <c r="E797" t="s">
        <v>9</v>
      </c>
      <c r="F797" t="s">
        <v>10</v>
      </c>
    </row>
    <row r="798" spans="1:6" hidden="1" x14ac:dyDescent="0.35">
      <c r="A798" t="s">
        <v>14</v>
      </c>
      <c r="B798" t="s">
        <v>37</v>
      </c>
      <c r="C798" t="s">
        <v>8</v>
      </c>
      <c r="D798">
        <v>0</v>
      </c>
      <c r="E798" t="s">
        <v>9</v>
      </c>
      <c r="F798" t="s">
        <v>10</v>
      </c>
    </row>
    <row r="799" spans="1:6" hidden="1" x14ac:dyDescent="0.35">
      <c r="A799" t="s">
        <v>15</v>
      </c>
      <c r="B799" t="s">
        <v>37</v>
      </c>
      <c r="C799" t="s">
        <v>8</v>
      </c>
      <c r="D799">
        <v>0</v>
      </c>
      <c r="E799" t="s">
        <v>9</v>
      </c>
      <c r="F799" t="s">
        <v>10</v>
      </c>
    </row>
    <row r="800" spans="1:6" hidden="1" x14ac:dyDescent="0.35">
      <c r="A800" t="s">
        <v>16</v>
      </c>
      <c r="B800" t="s">
        <v>37</v>
      </c>
      <c r="C800" t="s">
        <v>8</v>
      </c>
      <c r="D800">
        <v>0</v>
      </c>
      <c r="E800" t="s">
        <v>9</v>
      </c>
      <c r="F800" t="s">
        <v>10</v>
      </c>
    </row>
    <row r="801" spans="1:6" hidden="1" x14ac:dyDescent="0.35">
      <c r="A801" t="s">
        <v>17</v>
      </c>
      <c r="B801" t="s">
        <v>37</v>
      </c>
      <c r="C801" t="s">
        <v>8</v>
      </c>
      <c r="D801">
        <v>0</v>
      </c>
      <c r="E801" t="s">
        <v>9</v>
      </c>
      <c r="F801" t="s">
        <v>10</v>
      </c>
    </row>
    <row r="802" spans="1:6" hidden="1" x14ac:dyDescent="0.35">
      <c r="A802" t="s">
        <v>18</v>
      </c>
      <c r="B802" t="s">
        <v>37</v>
      </c>
      <c r="C802" t="s">
        <v>8</v>
      </c>
      <c r="D802">
        <v>0</v>
      </c>
      <c r="E802" t="s">
        <v>9</v>
      </c>
      <c r="F802" t="s">
        <v>10</v>
      </c>
    </row>
    <row r="803" spans="1:6" hidden="1" x14ac:dyDescent="0.35">
      <c r="A803" t="s">
        <v>19</v>
      </c>
      <c r="B803" t="s">
        <v>37</v>
      </c>
      <c r="C803" t="s">
        <v>8</v>
      </c>
      <c r="D803">
        <v>0</v>
      </c>
      <c r="E803" t="s">
        <v>9</v>
      </c>
      <c r="F803" t="s">
        <v>10</v>
      </c>
    </row>
    <row r="804" spans="1:6" hidden="1" x14ac:dyDescent="0.35">
      <c r="A804" t="s">
        <v>20</v>
      </c>
      <c r="B804" t="s">
        <v>37</v>
      </c>
      <c r="C804" t="s">
        <v>8</v>
      </c>
      <c r="D804">
        <v>0</v>
      </c>
      <c r="E804" t="s">
        <v>9</v>
      </c>
      <c r="F804" t="s">
        <v>10</v>
      </c>
    </row>
    <row r="805" spans="1:6" hidden="1" x14ac:dyDescent="0.35">
      <c r="A805" t="s">
        <v>21</v>
      </c>
      <c r="B805" t="s">
        <v>37</v>
      </c>
      <c r="C805" t="s">
        <v>8</v>
      </c>
      <c r="D805">
        <v>0</v>
      </c>
      <c r="E805" t="s">
        <v>9</v>
      </c>
      <c r="F805" t="s">
        <v>10</v>
      </c>
    </row>
    <row r="806" spans="1:6" hidden="1" x14ac:dyDescent="0.35">
      <c r="A806" t="s">
        <v>6</v>
      </c>
      <c r="B806" t="s">
        <v>37</v>
      </c>
      <c r="C806" t="s">
        <v>22</v>
      </c>
      <c r="D806">
        <v>0</v>
      </c>
      <c r="E806" t="s">
        <v>9</v>
      </c>
      <c r="F806" t="s">
        <v>10</v>
      </c>
    </row>
    <row r="807" spans="1:6" hidden="1" x14ac:dyDescent="0.35">
      <c r="A807" t="s">
        <v>11</v>
      </c>
      <c r="B807" t="s">
        <v>37</v>
      </c>
      <c r="C807" t="s">
        <v>22</v>
      </c>
      <c r="D807">
        <v>0</v>
      </c>
      <c r="E807" t="s">
        <v>9</v>
      </c>
      <c r="F807" t="s">
        <v>10</v>
      </c>
    </row>
    <row r="808" spans="1:6" hidden="1" x14ac:dyDescent="0.35">
      <c r="A808" t="s">
        <v>12</v>
      </c>
      <c r="B808" t="s">
        <v>37</v>
      </c>
      <c r="C808" t="s">
        <v>22</v>
      </c>
      <c r="D808">
        <v>0</v>
      </c>
      <c r="E808" t="s">
        <v>9</v>
      </c>
      <c r="F808" t="s">
        <v>10</v>
      </c>
    </row>
    <row r="809" spans="1:6" hidden="1" x14ac:dyDescent="0.35">
      <c r="A809" t="s">
        <v>13</v>
      </c>
      <c r="B809" t="s">
        <v>37</v>
      </c>
      <c r="C809" t="s">
        <v>22</v>
      </c>
      <c r="D809">
        <v>0</v>
      </c>
      <c r="E809" t="s">
        <v>9</v>
      </c>
      <c r="F809" t="s">
        <v>10</v>
      </c>
    </row>
    <row r="810" spans="1:6" hidden="1" x14ac:dyDescent="0.35">
      <c r="A810" t="s">
        <v>14</v>
      </c>
      <c r="B810" t="s">
        <v>37</v>
      </c>
      <c r="C810" t="s">
        <v>22</v>
      </c>
      <c r="D810">
        <v>0</v>
      </c>
      <c r="E810" t="s">
        <v>9</v>
      </c>
      <c r="F810" t="s">
        <v>10</v>
      </c>
    </row>
    <row r="811" spans="1:6" hidden="1" x14ac:dyDescent="0.35">
      <c r="A811" t="s">
        <v>15</v>
      </c>
      <c r="B811" t="s">
        <v>37</v>
      </c>
      <c r="C811" t="s">
        <v>22</v>
      </c>
      <c r="D811">
        <v>0</v>
      </c>
      <c r="E811" t="s">
        <v>9</v>
      </c>
      <c r="F811" t="s">
        <v>10</v>
      </c>
    </row>
    <row r="812" spans="1:6" hidden="1" x14ac:dyDescent="0.35">
      <c r="A812" t="s">
        <v>16</v>
      </c>
      <c r="B812" t="s">
        <v>37</v>
      </c>
      <c r="C812" t="s">
        <v>22</v>
      </c>
      <c r="D812">
        <v>0</v>
      </c>
      <c r="E812" t="s">
        <v>9</v>
      </c>
      <c r="F812" t="s">
        <v>10</v>
      </c>
    </row>
    <row r="813" spans="1:6" hidden="1" x14ac:dyDescent="0.35">
      <c r="A813" t="s">
        <v>17</v>
      </c>
      <c r="B813" t="s">
        <v>37</v>
      </c>
      <c r="C813" t="s">
        <v>22</v>
      </c>
      <c r="D813">
        <v>0</v>
      </c>
      <c r="E813" t="s">
        <v>9</v>
      </c>
      <c r="F813" t="s">
        <v>10</v>
      </c>
    </row>
    <row r="814" spans="1:6" hidden="1" x14ac:dyDescent="0.35">
      <c r="A814" t="s">
        <v>18</v>
      </c>
      <c r="B814" t="s">
        <v>37</v>
      </c>
      <c r="C814" t="s">
        <v>22</v>
      </c>
      <c r="D814">
        <v>0</v>
      </c>
      <c r="E814" t="s">
        <v>9</v>
      </c>
      <c r="F814" t="s">
        <v>10</v>
      </c>
    </row>
    <row r="815" spans="1:6" hidden="1" x14ac:dyDescent="0.35">
      <c r="A815" t="s">
        <v>19</v>
      </c>
      <c r="B815" t="s">
        <v>37</v>
      </c>
      <c r="C815" t="s">
        <v>22</v>
      </c>
      <c r="D815">
        <v>0</v>
      </c>
      <c r="E815" t="s">
        <v>9</v>
      </c>
      <c r="F815" t="s">
        <v>10</v>
      </c>
    </row>
    <row r="816" spans="1:6" hidden="1" x14ac:dyDescent="0.35">
      <c r="A816" t="s">
        <v>20</v>
      </c>
      <c r="B816" t="s">
        <v>37</v>
      </c>
      <c r="C816" t="s">
        <v>22</v>
      </c>
      <c r="D816">
        <v>0</v>
      </c>
      <c r="E816" t="s">
        <v>9</v>
      </c>
      <c r="F816" t="s">
        <v>10</v>
      </c>
    </row>
    <row r="817" spans="1:6" hidden="1" x14ac:dyDescent="0.35">
      <c r="A817" t="s">
        <v>21</v>
      </c>
      <c r="B817" t="s">
        <v>37</v>
      </c>
      <c r="C817" t="s">
        <v>22</v>
      </c>
      <c r="D817">
        <v>0</v>
      </c>
      <c r="E817" t="s">
        <v>9</v>
      </c>
      <c r="F817" t="s">
        <v>10</v>
      </c>
    </row>
    <row r="818" spans="1:6" hidden="1" x14ac:dyDescent="0.35">
      <c r="A818" t="s">
        <v>6</v>
      </c>
      <c r="B818" t="s">
        <v>37</v>
      </c>
      <c r="C818" t="s">
        <v>23</v>
      </c>
      <c r="D818">
        <v>0</v>
      </c>
      <c r="E818" t="s">
        <v>9</v>
      </c>
      <c r="F818" t="s">
        <v>10</v>
      </c>
    </row>
    <row r="819" spans="1:6" hidden="1" x14ac:dyDescent="0.35">
      <c r="A819" t="s">
        <v>11</v>
      </c>
      <c r="B819" t="s">
        <v>37</v>
      </c>
      <c r="C819" t="s">
        <v>23</v>
      </c>
      <c r="D819">
        <v>0</v>
      </c>
      <c r="E819" t="s">
        <v>9</v>
      </c>
      <c r="F819" t="s">
        <v>10</v>
      </c>
    </row>
    <row r="820" spans="1:6" hidden="1" x14ac:dyDescent="0.35">
      <c r="A820" t="s">
        <v>12</v>
      </c>
      <c r="B820" t="s">
        <v>37</v>
      </c>
      <c r="C820" t="s">
        <v>23</v>
      </c>
      <c r="D820">
        <v>0</v>
      </c>
      <c r="E820" t="s">
        <v>9</v>
      </c>
      <c r="F820" t="s">
        <v>10</v>
      </c>
    </row>
    <row r="821" spans="1:6" hidden="1" x14ac:dyDescent="0.35">
      <c r="A821" t="s">
        <v>13</v>
      </c>
      <c r="B821" t="s">
        <v>37</v>
      </c>
      <c r="C821" t="s">
        <v>23</v>
      </c>
      <c r="D821">
        <v>0</v>
      </c>
      <c r="E821" t="s">
        <v>9</v>
      </c>
      <c r="F821" t="s">
        <v>10</v>
      </c>
    </row>
    <row r="822" spans="1:6" hidden="1" x14ac:dyDescent="0.35">
      <c r="A822" t="s">
        <v>14</v>
      </c>
      <c r="B822" t="s">
        <v>37</v>
      </c>
      <c r="C822" t="s">
        <v>23</v>
      </c>
      <c r="D822">
        <v>0</v>
      </c>
      <c r="E822" t="s">
        <v>9</v>
      </c>
      <c r="F822" t="s">
        <v>10</v>
      </c>
    </row>
    <row r="823" spans="1:6" hidden="1" x14ac:dyDescent="0.35">
      <c r="A823" t="s">
        <v>15</v>
      </c>
      <c r="B823" t="s">
        <v>37</v>
      </c>
      <c r="C823" t="s">
        <v>23</v>
      </c>
      <c r="D823">
        <v>0</v>
      </c>
      <c r="E823" t="s">
        <v>9</v>
      </c>
      <c r="F823" t="s">
        <v>10</v>
      </c>
    </row>
    <row r="824" spans="1:6" hidden="1" x14ac:dyDescent="0.35">
      <c r="A824" t="s">
        <v>16</v>
      </c>
      <c r="B824" t="s">
        <v>37</v>
      </c>
      <c r="C824" t="s">
        <v>23</v>
      </c>
      <c r="D824">
        <v>0</v>
      </c>
      <c r="E824" t="s">
        <v>9</v>
      </c>
      <c r="F824" t="s">
        <v>10</v>
      </c>
    </row>
    <row r="825" spans="1:6" hidden="1" x14ac:dyDescent="0.35">
      <c r="A825" t="s">
        <v>17</v>
      </c>
      <c r="B825" t="s">
        <v>37</v>
      </c>
      <c r="C825" t="s">
        <v>23</v>
      </c>
      <c r="D825">
        <v>0</v>
      </c>
      <c r="E825" t="s">
        <v>9</v>
      </c>
      <c r="F825" t="s">
        <v>10</v>
      </c>
    </row>
    <row r="826" spans="1:6" hidden="1" x14ac:dyDescent="0.35">
      <c r="A826" t="s">
        <v>18</v>
      </c>
      <c r="B826" t="s">
        <v>37</v>
      </c>
      <c r="C826" t="s">
        <v>23</v>
      </c>
      <c r="D826">
        <v>0</v>
      </c>
      <c r="E826" t="s">
        <v>9</v>
      </c>
      <c r="F826" t="s">
        <v>10</v>
      </c>
    </row>
    <row r="827" spans="1:6" hidden="1" x14ac:dyDescent="0.35">
      <c r="A827" t="s">
        <v>19</v>
      </c>
      <c r="B827" t="s">
        <v>37</v>
      </c>
      <c r="C827" t="s">
        <v>23</v>
      </c>
      <c r="D827">
        <v>0</v>
      </c>
      <c r="E827" t="s">
        <v>9</v>
      </c>
      <c r="F827" t="s">
        <v>10</v>
      </c>
    </row>
    <row r="828" spans="1:6" hidden="1" x14ac:dyDescent="0.35">
      <c r="A828" t="s">
        <v>20</v>
      </c>
      <c r="B828" t="s">
        <v>37</v>
      </c>
      <c r="C828" t="s">
        <v>23</v>
      </c>
      <c r="D828">
        <v>0</v>
      </c>
      <c r="E828" t="s">
        <v>9</v>
      </c>
      <c r="F828" t="s">
        <v>10</v>
      </c>
    </row>
    <row r="829" spans="1:6" hidden="1" x14ac:dyDescent="0.35">
      <c r="A829" t="s">
        <v>21</v>
      </c>
      <c r="B829" t="s">
        <v>37</v>
      </c>
      <c r="C829" t="s">
        <v>23</v>
      </c>
      <c r="D829">
        <v>0</v>
      </c>
      <c r="E829" t="s">
        <v>9</v>
      </c>
      <c r="F829" t="s">
        <v>10</v>
      </c>
    </row>
    <row r="830" spans="1:6" hidden="1" x14ac:dyDescent="0.35">
      <c r="A830" t="s">
        <v>6</v>
      </c>
      <c r="B830" t="s">
        <v>37</v>
      </c>
      <c r="C830" t="s">
        <v>24</v>
      </c>
      <c r="D830">
        <v>0</v>
      </c>
      <c r="E830" t="s">
        <v>9</v>
      </c>
      <c r="F830" t="s">
        <v>10</v>
      </c>
    </row>
    <row r="831" spans="1:6" hidden="1" x14ac:dyDescent="0.35">
      <c r="A831" t="s">
        <v>11</v>
      </c>
      <c r="B831" t="s">
        <v>37</v>
      </c>
      <c r="C831" t="s">
        <v>24</v>
      </c>
      <c r="D831">
        <v>0</v>
      </c>
      <c r="E831" t="s">
        <v>9</v>
      </c>
      <c r="F831" t="s">
        <v>10</v>
      </c>
    </row>
    <row r="832" spans="1:6" hidden="1" x14ac:dyDescent="0.35">
      <c r="A832" t="s">
        <v>12</v>
      </c>
      <c r="B832" t="s">
        <v>37</v>
      </c>
      <c r="C832" t="s">
        <v>24</v>
      </c>
      <c r="D832">
        <v>0</v>
      </c>
      <c r="E832" t="s">
        <v>9</v>
      </c>
      <c r="F832" t="s">
        <v>10</v>
      </c>
    </row>
    <row r="833" spans="1:6" hidden="1" x14ac:dyDescent="0.35">
      <c r="A833" t="s">
        <v>13</v>
      </c>
      <c r="B833" t="s">
        <v>37</v>
      </c>
      <c r="C833" t="s">
        <v>24</v>
      </c>
      <c r="D833">
        <v>0</v>
      </c>
      <c r="E833" t="s">
        <v>9</v>
      </c>
      <c r="F833" t="s">
        <v>10</v>
      </c>
    </row>
    <row r="834" spans="1:6" hidden="1" x14ac:dyDescent="0.35">
      <c r="A834" t="s">
        <v>14</v>
      </c>
      <c r="B834" t="s">
        <v>37</v>
      </c>
      <c r="C834" t="s">
        <v>24</v>
      </c>
      <c r="D834">
        <v>0</v>
      </c>
      <c r="E834" t="s">
        <v>9</v>
      </c>
      <c r="F834" t="s">
        <v>10</v>
      </c>
    </row>
    <row r="835" spans="1:6" hidden="1" x14ac:dyDescent="0.35">
      <c r="A835" t="s">
        <v>15</v>
      </c>
      <c r="B835" t="s">
        <v>37</v>
      </c>
      <c r="C835" t="s">
        <v>24</v>
      </c>
      <c r="D835">
        <v>0</v>
      </c>
      <c r="E835" t="s">
        <v>9</v>
      </c>
      <c r="F835" t="s">
        <v>10</v>
      </c>
    </row>
    <row r="836" spans="1:6" hidden="1" x14ac:dyDescent="0.35">
      <c r="A836" t="s">
        <v>16</v>
      </c>
      <c r="B836" t="s">
        <v>37</v>
      </c>
      <c r="C836" t="s">
        <v>24</v>
      </c>
      <c r="D836">
        <v>0</v>
      </c>
      <c r="E836" t="s">
        <v>9</v>
      </c>
      <c r="F836" t="s">
        <v>10</v>
      </c>
    </row>
    <row r="837" spans="1:6" hidden="1" x14ac:dyDescent="0.35">
      <c r="A837" t="s">
        <v>17</v>
      </c>
      <c r="B837" t="s">
        <v>37</v>
      </c>
      <c r="C837" t="s">
        <v>24</v>
      </c>
      <c r="D837">
        <v>0</v>
      </c>
      <c r="E837" t="s">
        <v>9</v>
      </c>
      <c r="F837" t="s">
        <v>10</v>
      </c>
    </row>
    <row r="838" spans="1:6" hidden="1" x14ac:dyDescent="0.35">
      <c r="A838" t="s">
        <v>18</v>
      </c>
      <c r="B838" t="s">
        <v>37</v>
      </c>
      <c r="C838" t="s">
        <v>24</v>
      </c>
      <c r="D838">
        <v>0</v>
      </c>
      <c r="E838" t="s">
        <v>9</v>
      </c>
      <c r="F838" t="s">
        <v>10</v>
      </c>
    </row>
    <row r="839" spans="1:6" hidden="1" x14ac:dyDescent="0.35">
      <c r="A839" t="s">
        <v>19</v>
      </c>
      <c r="B839" t="s">
        <v>37</v>
      </c>
      <c r="C839" t="s">
        <v>24</v>
      </c>
      <c r="D839">
        <v>0</v>
      </c>
      <c r="E839" t="s">
        <v>9</v>
      </c>
      <c r="F839" t="s">
        <v>10</v>
      </c>
    </row>
    <row r="840" spans="1:6" hidden="1" x14ac:dyDescent="0.35">
      <c r="A840" t="s">
        <v>20</v>
      </c>
      <c r="B840" t="s">
        <v>37</v>
      </c>
      <c r="C840" t="s">
        <v>24</v>
      </c>
      <c r="D840">
        <v>0</v>
      </c>
      <c r="E840" t="s">
        <v>9</v>
      </c>
      <c r="F840" t="s">
        <v>10</v>
      </c>
    </row>
    <row r="841" spans="1:6" hidden="1" x14ac:dyDescent="0.35">
      <c r="A841" t="s">
        <v>21</v>
      </c>
      <c r="B841" t="s">
        <v>37</v>
      </c>
      <c r="C841" t="s">
        <v>24</v>
      </c>
      <c r="D841">
        <v>0</v>
      </c>
      <c r="E841" t="s">
        <v>9</v>
      </c>
      <c r="F841" t="s">
        <v>10</v>
      </c>
    </row>
    <row r="842" spans="1:6" hidden="1" x14ac:dyDescent="0.35">
      <c r="A842" t="s">
        <v>6</v>
      </c>
      <c r="B842" t="s">
        <v>37</v>
      </c>
      <c r="C842" t="s">
        <v>25</v>
      </c>
      <c r="D842">
        <v>0</v>
      </c>
      <c r="E842" t="s">
        <v>9</v>
      </c>
      <c r="F842" t="s">
        <v>10</v>
      </c>
    </row>
    <row r="843" spans="1:6" hidden="1" x14ac:dyDescent="0.35">
      <c r="A843" t="s">
        <v>11</v>
      </c>
      <c r="B843" t="s">
        <v>37</v>
      </c>
      <c r="C843" t="s">
        <v>25</v>
      </c>
      <c r="D843">
        <v>0</v>
      </c>
      <c r="E843" t="s">
        <v>9</v>
      </c>
      <c r="F843" t="s">
        <v>10</v>
      </c>
    </row>
    <row r="844" spans="1:6" hidden="1" x14ac:dyDescent="0.35">
      <c r="A844" t="s">
        <v>12</v>
      </c>
      <c r="B844" t="s">
        <v>37</v>
      </c>
      <c r="C844" t="s">
        <v>25</v>
      </c>
      <c r="D844">
        <v>0</v>
      </c>
      <c r="E844" t="s">
        <v>9</v>
      </c>
      <c r="F844" t="s">
        <v>10</v>
      </c>
    </row>
    <row r="845" spans="1:6" hidden="1" x14ac:dyDescent="0.35">
      <c r="A845" t="s">
        <v>13</v>
      </c>
      <c r="B845" t="s">
        <v>37</v>
      </c>
      <c r="C845" t="s">
        <v>25</v>
      </c>
      <c r="D845">
        <v>0</v>
      </c>
      <c r="E845" t="s">
        <v>9</v>
      </c>
      <c r="F845" t="s">
        <v>10</v>
      </c>
    </row>
    <row r="846" spans="1:6" hidden="1" x14ac:dyDescent="0.35">
      <c r="A846" t="s">
        <v>14</v>
      </c>
      <c r="B846" t="s">
        <v>37</v>
      </c>
      <c r="C846" t="s">
        <v>25</v>
      </c>
      <c r="D846">
        <v>0</v>
      </c>
      <c r="E846" t="s">
        <v>9</v>
      </c>
      <c r="F846" t="s">
        <v>10</v>
      </c>
    </row>
    <row r="847" spans="1:6" hidden="1" x14ac:dyDescent="0.35">
      <c r="A847" t="s">
        <v>15</v>
      </c>
      <c r="B847" t="s">
        <v>37</v>
      </c>
      <c r="C847" t="s">
        <v>25</v>
      </c>
      <c r="D847">
        <v>0</v>
      </c>
      <c r="E847" t="s">
        <v>9</v>
      </c>
      <c r="F847" t="s">
        <v>10</v>
      </c>
    </row>
    <row r="848" spans="1:6" hidden="1" x14ac:dyDescent="0.35">
      <c r="A848" t="s">
        <v>16</v>
      </c>
      <c r="B848" t="s">
        <v>37</v>
      </c>
      <c r="C848" t="s">
        <v>25</v>
      </c>
      <c r="D848">
        <v>0</v>
      </c>
      <c r="E848" t="s">
        <v>9</v>
      </c>
      <c r="F848" t="s">
        <v>10</v>
      </c>
    </row>
    <row r="849" spans="1:6" hidden="1" x14ac:dyDescent="0.35">
      <c r="A849" t="s">
        <v>17</v>
      </c>
      <c r="B849" t="s">
        <v>37</v>
      </c>
      <c r="C849" t="s">
        <v>25</v>
      </c>
      <c r="D849">
        <v>0</v>
      </c>
      <c r="E849" t="s">
        <v>9</v>
      </c>
      <c r="F849" t="s">
        <v>10</v>
      </c>
    </row>
    <row r="850" spans="1:6" hidden="1" x14ac:dyDescent="0.35">
      <c r="A850" t="s">
        <v>18</v>
      </c>
      <c r="B850" t="s">
        <v>37</v>
      </c>
      <c r="C850" t="s">
        <v>25</v>
      </c>
      <c r="D850">
        <v>0</v>
      </c>
      <c r="E850" t="s">
        <v>9</v>
      </c>
      <c r="F850" t="s">
        <v>10</v>
      </c>
    </row>
    <row r="851" spans="1:6" hidden="1" x14ac:dyDescent="0.35">
      <c r="A851" t="s">
        <v>19</v>
      </c>
      <c r="B851" t="s">
        <v>37</v>
      </c>
      <c r="C851" t="s">
        <v>25</v>
      </c>
      <c r="D851">
        <v>0</v>
      </c>
      <c r="E851" t="s">
        <v>9</v>
      </c>
      <c r="F851" t="s">
        <v>10</v>
      </c>
    </row>
    <row r="852" spans="1:6" hidden="1" x14ac:dyDescent="0.35">
      <c r="A852" t="s">
        <v>20</v>
      </c>
      <c r="B852" t="s">
        <v>37</v>
      </c>
      <c r="C852" t="s">
        <v>25</v>
      </c>
      <c r="D852">
        <v>0</v>
      </c>
      <c r="E852" t="s">
        <v>9</v>
      </c>
      <c r="F852" t="s">
        <v>10</v>
      </c>
    </row>
    <row r="853" spans="1:6" hidden="1" x14ac:dyDescent="0.35">
      <c r="A853" t="s">
        <v>21</v>
      </c>
      <c r="B853" t="s">
        <v>37</v>
      </c>
      <c r="C853" t="s">
        <v>25</v>
      </c>
      <c r="D853">
        <v>0</v>
      </c>
      <c r="E853" t="s">
        <v>9</v>
      </c>
      <c r="F853" t="s">
        <v>10</v>
      </c>
    </row>
    <row r="854" spans="1:6" hidden="1" x14ac:dyDescent="0.35">
      <c r="A854" t="s">
        <v>6</v>
      </c>
      <c r="B854" t="s">
        <v>37</v>
      </c>
      <c r="C854" t="s">
        <v>26</v>
      </c>
      <c r="D854">
        <v>0</v>
      </c>
      <c r="E854" t="s">
        <v>9</v>
      </c>
      <c r="F854" t="s">
        <v>10</v>
      </c>
    </row>
    <row r="855" spans="1:6" hidden="1" x14ac:dyDescent="0.35">
      <c r="A855" t="s">
        <v>11</v>
      </c>
      <c r="B855" t="s">
        <v>37</v>
      </c>
      <c r="C855" t="s">
        <v>26</v>
      </c>
      <c r="E855" t="s">
        <v>9</v>
      </c>
      <c r="F855" t="s">
        <v>10</v>
      </c>
    </row>
    <row r="856" spans="1:6" hidden="1" x14ac:dyDescent="0.35">
      <c r="A856" t="s">
        <v>12</v>
      </c>
      <c r="B856" t="s">
        <v>37</v>
      </c>
      <c r="C856" t="s">
        <v>26</v>
      </c>
      <c r="E856" t="s">
        <v>9</v>
      </c>
      <c r="F856" t="s">
        <v>10</v>
      </c>
    </row>
    <row r="857" spans="1:6" hidden="1" x14ac:dyDescent="0.35">
      <c r="A857" t="s">
        <v>13</v>
      </c>
      <c r="B857" t="s">
        <v>37</v>
      </c>
      <c r="C857" t="s">
        <v>26</v>
      </c>
      <c r="E857" t="s">
        <v>9</v>
      </c>
      <c r="F857" t="s">
        <v>10</v>
      </c>
    </row>
    <row r="858" spans="1:6" hidden="1" x14ac:dyDescent="0.35">
      <c r="A858" t="s">
        <v>14</v>
      </c>
      <c r="B858" t="s">
        <v>37</v>
      </c>
      <c r="C858" t="s">
        <v>26</v>
      </c>
      <c r="E858" t="s">
        <v>9</v>
      </c>
      <c r="F858" t="s">
        <v>10</v>
      </c>
    </row>
    <row r="859" spans="1:6" hidden="1" x14ac:dyDescent="0.35">
      <c r="A859" t="s">
        <v>15</v>
      </c>
      <c r="B859" t="s">
        <v>37</v>
      </c>
      <c r="C859" t="s">
        <v>26</v>
      </c>
      <c r="E859" t="s">
        <v>9</v>
      </c>
      <c r="F859" t="s">
        <v>10</v>
      </c>
    </row>
    <row r="860" spans="1:6" hidden="1" x14ac:dyDescent="0.35">
      <c r="A860" t="s">
        <v>16</v>
      </c>
      <c r="B860" t="s">
        <v>37</v>
      </c>
      <c r="C860" t="s">
        <v>26</v>
      </c>
      <c r="E860" t="s">
        <v>9</v>
      </c>
      <c r="F860" t="s">
        <v>10</v>
      </c>
    </row>
    <row r="861" spans="1:6" hidden="1" x14ac:dyDescent="0.35">
      <c r="A861" t="s">
        <v>17</v>
      </c>
      <c r="B861" t="s">
        <v>37</v>
      </c>
      <c r="C861" t="s">
        <v>26</v>
      </c>
      <c r="E861" t="s">
        <v>9</v>
      </c>
      <c r="F861" t="s">
        <v>10</v>
      </c>
    </row>
    <row r="862" spans="1:6" hidden="1" x14ac:dyDescent="0.35">
      <c r="A862" t="s">
        <v>18</v>
      </c>
      <c r="B862" t="s">
        <v>37</v>
      </c>
      <c r="C862" t="s">
        <v>26</v>
      </c>
      <c r="E862" t="s">
        <v>9</v>
      </c>
      <c r="F862" t="s">
        <v>10</v>
      </c>
    </row>
    <row r="863" spans="1:6" hidden="1" x14ac:dyDescent="0.35">
      <c r="A863" t="s">
        <v>19</v>
      </c>
      <c r="B863" t="s">
        <v>37</v>
      </c>
      <c r="C863" t="s">
        <v>26</v>
      </c>
      <c r="E863" t="s">
        <v>9</v>
      </c>
      <c r="F863" t="s">
        <v>10</v>
      </c>
    </row>
    <row r="864" spans="1:6" hidden="1" x14ac:dyDescent="0.35">
      <c r="A864" t="s">
        <v>20</v>
      </c>
      <c r="B864" t="s">
        <v>37</v>
      </c>
      <c r="C864" t="s">
        <v>26</v>
      </c>
      <c r="E864" t="s">
        <v>9</v>
      </c>
      <c r="F864" t="s">
        <v>10</v>
      </c>
    </row>
    <row r="865" spans="1:6" hidden="1" x14ac:dyDescent="0.35">
      <c r="A865" t="s">
        <v>21</v>
      </c>
      <c r="B865" t="s">
        <v>37</v>
      </c>
      <c r="C865" t="s">
        <v>26</v>
      </c>
      <c r="E865" t="s">
        <v>9</v>
      </c>
      <c r="F865" t="s">
        <v>10</v>
      </c>
    </row>
    <row r="866" spans="1:6" hidden="1" x14ac:dyDescent="0.35">
      <c r="A866" t="s">
        <v>6</v>
      </c>
      <c r="B866" t="s">
        <v>37</v>
      </c>
      <c r="C866" t="s">
        <v>27</v>
      </c>
      <c r="D866">
        <v>0</v>
      </c>
      <c r="E866" t="s">
        <v>9</v>
      </c>
      <c r="F866" t="s">
        <v>10</v>
      </c>
    </row>
    <row r="867" spans="1:6" hidden="1" x14ac:dyDescent="0.35">
      <c r="A867" t="s">
        <v>11</v>
      </c>
      <c r="B867" t="s">
        <v>37</v>
      </c>
      <c r="C867" t="s">
        <v>27</v>
      </c>
      <c r="D867">
        <v>0</v>
      </c>
      <c r="E867" t="s">
        <v>9</v>
      </c>
      <c r="F867" t="s">
        <v>10</v>
      </c>
    </row>
    <row r="868" spans="1:6" hidden="1" x14ac:dyDescent="0.35">
      <c r="A868" t="s">
        <v>12</v>
      </c>
      <c r="B868" t="s">
        <v>37</v>
      </c>
      <c r="C868" t="s">
        <v>27</v>
      </c>
      <c r="D868">
        <v>0</v>
      </c>
      <c r="E868" t="s">
        <v>9</v>
      </c>
      <c r="F868" t="s">
        <v>10</v>
      </c>
    </row>
    <row r="869" spans="1:6" hidden="1" x14ac:dyDescent="0.35">
      <c r="A869" t="s">
        <v>13</v>
      </c>
      <c r="B869" t="s">
        <v>37</v>
      </c>
      <c r="C869" t="s">
        <v>27</v>
      </c>
      <c r="D869">
        <v>0</v>
      </c>
      <c r="E869" t="s">
        <v>9</v>
      </c>
      <c r="F869" t="s">
        <v>10</v>
      </c>
    </row>
    <row r="870" spans="1:6" hidden="1" x14ac:dyDescent="0.35">
      <c r="A870" t="s">
        <v>14</v>
      </c>
      <c r="B870" t="s">
        <v>37</v>
      </c>
      <c r="C870" t="s">
        <v>27</v>
      </c>
      <c r="D870">
        <v>0</v>
      </c>
      <c r="E870" t="s">
        <v>9</v>
      </c>
      <c r="F870" t="s">
        <v>10</v>
      </c>
    </row>
    <row r="871" spans="1:6" hidden="1" x14ac:dyDescent="0.35">
      <c r="A871" t="s">
        <v>15</v>
      </c>
      <c r="B871" t="s">
        <v>37</v>
      </c>
      <c r="C871" t="s">
        <v>27</v>
      </c>
      <c r="D871">
        <v>0</v>
      </c>
      <c r="E871" t="s">
        <v>9</v>
      </c>
      <c r="F871" t="s">
        <v>10</v>
      </c>
    </row>
    <row r="872" spans="1:6" hidden="1" x14ac:dyDescent="0.35">
      <c r="A872" t="s">
        <v>16</v>
      </c>
      <c r="B872" t="s">
        <v>37</v>
      </c>
      <c r="C872" t="s">
        <v>27</v>
      </c>
      <c r="D872">
        <v>0</v>
      </c>
      <c r="E872" t="s">
        <v>9</v>
      </c>
      <c r="F872" t="s">
        <v>10</v>
      </c>
    </row>
    <row r="873" spans="1:6" hidden="1" x14ac:dyDescent="0.35">
      <c r="A873" t="s">
        <v>17</v>
      </c>
      <c r="B873" t="s">
        <v>37</v>
      </c>
      <c r="C873" t="s">
        <v>27</v>
      </c>
      <c r="D873">
        <v>0</v>
      </c>
      <c r="E873" t="s">
        <v>9</v>
      </c>
      <c r="F873" t="s">
        <v>10</v>
      </c>
    </row>
    <row r="874" spans="1:6" hidden="1" x14ac:dyDescent="0.35">
      <c r="A874" t="s">
        <v>18</v>
      </c>
      <c r="B874" t="s">
        <v>37</v>
      </c>
      <c r="C874" t="s">
        <v>27</v>
      </c>
      <c r="D874">
        <v>0</v>
      </c>
      <c r="E874" t="s">
        <v>9</v>
      </c>
      <c r="F874" t="s">
        <v>10</v>
      </c>
    </row>
    <row r="875" spans="1:6" hidden="1" x14ac:dyDescent="0.35">
      <c r="A875" t="s">
        <v>19</v>
      </c>
      <c r="B875" t="s">
        <v>37</v>
      </c>
      <c r="C875" t="s">
        <v>27</v>
      </c>
      <c r="D875">
        <v>0</v>
      </c>
      <c r="E875" t="s">
        <v>9</v>
      </c>
      <c r="F875" t="s">
        <v>10</v>
      </c>
    </row>
    <row r="876" spans="1:6" hidden="1" x14ac:dyDescent="0.35">
      <c r="A876" t="s">
        <v>20</v>
      </c>
      <c r="B876" t="s">
        <v>37</v>
      </c>
      <c r="C876" t="s">
        <v>27</v>
      </c>
      <c r="D876">
        <v>0</v>
      </c>
      <c r="E876" t="s">
        <v>9</v>
      </c>
      <c r="F876" t="s">
        <v>10</v>
      </c>
    </row>
    <row r="877" spans="1:6" hidden="1" x14ac:dyDescent="0.35">
      <c r="A877" t="s">
        <v>21</v>
      </c>
      <c r="B877" t="s">
        <v>37</v>
      </c>
      <c r="C877" t="s">
        <v>27</v>
      </c>
      <c r="D877">
        <v>0</v>
      </c>
      <c r="E877" t="s">
        <v>9</v>
      </c>
      <c r="F877" t="s">
        <v>10</v>
      </c>
    </row>
    <row r="878" spans="1:6" hidden="1" x14ac:dyDescent="0.35">
      <c r="A878" t="s">
        <v>6</v>
      </c>
      <c r="B878" t="s">
        <v>37</v>
      </c>
      <c r="C878" t="s">
        <v>28</v>
      </c>
      <c r="D878">
        <v>0</v>
      </c>
      <c r="E878" t="s">
        <v>9</v>
      </c>
      <c r="F878" t="s">
        <v>10</v>
      </c>
    </row>
    <row r="879" spans="1:6" hidden="1" x14ac:dyDescent="0.35">
      <c r="A879" t="s">
        <v>11</v>
      </c>
      <c r="B879" t="s">
        <v>37</v>
      </c>
      <c r="C879" t="s">
        <v>28</v>
      </c>
      <c r="D879">
        <v>0</v>
      </c>
      <c r="E879" t="s">
        <v>9</v>
      </c>
      <c r="F879" t="s">
        <v>10</v>
      </c>
    </row>
    <row r="880" spans="1:6" hidden="1" x14ac:dyDescent="0.35">
      <c r="A880" t="s">
        <v>12</v>
      </c>
      <c r="B880" t="s">
        <v>37</v>
      </c>
      <c r="C880" t="s">
        <v>28</v>
      </c>
      <c r="D880">
        <v>0</v>
      </c>
      <c r="E880" t="s">
        <v>9</v>
      </c>
      <c r="F880" t="s">
        <v>10</v>
      </c>
    </row>
    <row r="881" spans="1:6" hidden="1" x14ac:dyDescent="0.35">
      <c r="A881" t="s">
        <v>13</v>
      </c>
      <c r="B881" t="s">
        <v>37</v>
      </c>
      <c r="C881" t="s">
        <v>28</v>
      </c>
      <c r="D881">
        <v>0</v>
      </c>
      <c r="E881" t="s">
        <v>9</v>
      </c>
      <c r="F881" t="s">
        <v>10</v>
      </c>
    </row>
    <row r="882" spans="1:6" hidden="1" x14ac:dyDescent="0.35">
      <c r="A882" t="s">
        <v>14</v>
      </c>
      <c r="B882" t="s">
        <v>37</v>
      </c>
      <c r="C882" t="s">
        <v>28</v>
      </c>
      <c r="D882">
        <v>0</v>
      </c>
      <c r="E882" t="s">
        <v>9</v>
      </c>
      <c r="F882" t="s">
        <v>10</v>
      </c>
    </row>
    <row r="883" spans="1:6" hidden="1" x14ac:dyDescent="0.35">
      <c r="A883" t="s">
        <v>15</v>
      </c>
      <c r="B883" t="s">
        <v>37</v>
      </c>
      <c r="C883" t="s">
        <v>28</v>
      </c>
      <c r="D883">
        <v>0</v>
      </c>
      <c r="E883" t="s">
        <v>9</v>
      </c>
      <c r="F883" t="s">
        <v>10</v>
      </c>
    </row>
    <row r="884" spans="1:6" hidden="1" x14ac:dyDescent="0.35">
      <c r="A884" t="s">
        <v>16</v>
      </c>
      <c r="B884" t="s">
        <v>37</v>
      </c>
      <c r="C884" t="s">
        <v>28</v>
      </c>
      <c r="D884">
        <v>0</v>
      </c>
      <c r="E884" t="s">
        <v>9</v>
      </c>
      <c r="F884" t="s">
        <v>10</v>
      </c>
    </row>
    <row r="885" spans="1:6" hidden="1" x14ac:dyDescent="0.35">
      <c r="A885" t="s">
        <v>17</v>
      </c>
      <c r="B885" t="s">
        <v>37</v>
      </c>
      <c r="C885" t="s">
        <v>28</v>
      </c>
      <c r="D885">
        <v>0</v>
      </c>
      <c r="E885" t="s">
        <v>9</v>
      </c>
      <c r="F885" t="s">
        <v>10</v>
      </c>
    </row>
    <row r="886" spans="1:6" hidden="1" x14ac:dyDescent="0.35">
      <c r="A886" t="s">
        <v>18</v>
      </c>
      <c r="B886" t="s">
        <v>37</v>
      </c>
      <c r="C886" t="s">
        <v>28</v>
      </c>
      <c r="D886">
        <v>0</v>
      </c>
      <c r="E886" t="s">
        <v>9</v>
      </c>
      <c r="F886" t="s">
        <v>10</v>
      </c>
    </row>
    <row r="887" spans="1:6" hidden="1" x14ac:dyDescent="0.35">
      <c r="A887" t="s">
        <v>19</v>
      </c>
      <c r="B887" t="s">
        <v>37</v>
      </c>
      <c r="C887" t="s">
        <v>28</v>
      </c>
      <c r="D887">
        <v>0</v>
      </c>
      <c r="E887" t="s">
        <v>9</v>
      </c>
      <c r="F887" t="s">
        <v>10</v>
      </c>
    </row>
    <row r="888" spans="1:6" hidden="1" x14ac:dyDescent="0.35">
      <c r="A888" t="s">
        <v>20</v>
      </c>
      <c r="B888" t="s">
        <v>37</v>
      </c>
      <c r="C888" t="s">
        <v>28</v>
      </c>
      <c r="D888">
        <v>0</v>
      </c>
      <c r="E888" t="s">
        <v>9</v>
      </c>
      <c r="F888" t="s">
        <v>10</v>
      </c>
    </row>
    <row r="889" spans="1:6" hidden="1" x14ac:dyDescent="0.35">
      <c r="A889" t="s">
        <v>21</v>
      </c>
      <c r="B889" t="s">
        <v>37</v>
      </c>
      <c r="C889" t="s">
        <v>28</v>
      </c>
      <c r="D889">
        <v>0</v>
      </c>
      <c r="E889" t="s">
        <v>9</v>
      </c>
      <c r="F889" t="s">
        <v>10</v>
      </c>
    </row>
    <row r="890" spans="1:6" hidden="1" x14ac:dyDescent="0.35">
      <c r="A890" t="s">
        <v>6</v>
      </c>
      <c r="B890" t="s">
        <v>37</v>
      </c>
      <c r="C890" t="s">
        <v>29</v>
      </c>
      <c r="E890" t="s">
        <v>9</v>
      </c>
      <c r="F890" t="s">
        <v>10</v>
      </c>
    </row>
    <row r="891" spans="1:6" hidden="1" x14ac:dyDescent="0.35">
      <c r="A891" t="s">
        <v>11</v>
      </c>
      <c r="B891" t="s">
        <v>37</v>
      </c>
      <c r="C891" t="s">
        <v>29</v>
      </c>
      <c r="E891" t="s">
        <v>9</v>
      </c>
      <c r="F891" t="s">
        <v>10</v>
      </c>
    </row>
    <row r="892" spans="1:6" hidden="1" x14ac:dyDescent="0.35">
      <c r="A892" t="s">
        <v>12</v>
      </c>
      <c r="B892" t="s">
        <v>37</v>
      </c>
      <c r="C892" t="s">
        <v>29</v>
      </c>
      <c r="E892" t="s">
        <v>9</v>
      </c>
      <c r="F892" t="s">
        <v>10</v>
      </c>
    </row>
    <row r="893" spans="1:6" hidden="1" x14ac:dyDescent="0.35">
      <c r="A893" t="s">
        <v>13</v>
      </c>
      <c r="B893" t="s">
        <v>37</v>
      </c>
      <c r="C893" t="s">
        <v>29</v>
      </c>
      <c r="E893" t="s">
        <v>9</v>
      </c>
      <c r="F893" t="s">
        <v>10</v>
      </c>
    </row>
    <row r="894" spans="1:6" hidden="1" x14ac:dyDescent="0.35">
      <c r="A894" t="s">
        <v>14</v>
      </c>
      <c r="B894" t="s">
        <v>37</v>
      </c>
      <c r="C894" t="s">
        <v>29</v>
      </c>
      <c r="E894" t="s">
        <v>9</v>
      </c>
      <c r="F894" t="s">
        <v>10</v>
      </c>
    </row>
    <row r="895" spans="1:6" hidden="1" x14ac:dyDescent="0.35">
      <c r="A895" t="s">
        <v>15</v>
      </c>
      <c r="B895" t="s">
        <v>37</v>
      </c>
      <c r="C895" t="s">
        <v>29</v>
      </c>
      <c r="E895" t="s">
        <v>9</v>
      </c>
      <c r="F895" t="s">
        <v>10</v>
      </c>
    </row>
    <row r="896" spans="1:6" hidden="1" x14ac:dyDescent="0.35">
      <c r="A896" t="s">
        <v>16</v>
      </c>
      <c r="B896" t="s">
        <v>37</v>
      </c>
      <c r="C896" t="s">
        <v>29</v>
      </c>
      <c r="E896" t="s">
        <v>9</v>
      </c>
      <c r="F896" t="s">
        <v>10</v>
      </c>
    </row>
    <row r="897" spans="1:6" hidden="1" x14ac:dyDescent="0.35">
      <c r="A897" t="s">
        <v>17</v>
      </c>
      <c r="B897" t="s">
        <v>37</v>
      </c>
      <c r="C897" t="s">
        <v>29</v>
      </c>
      <c r="E897" t="s">
        <v>9</v>
      </c>
      <c r="F897" t="s">
        <v>10</v>
      </c>
    </row>
    <row r="898" spans="1:6" hidden="1" x14ac:dyDescent="0.35">
      <c r="A898" t="s">
        <v>18</v>
      </c>
      <c r="B898" t="s">
        <v>37</v>
      </c>
      <c r="C898" t="s">
        <v>29</v>
      </c>
      <c r="E898" t="s">
        <v>9</v>
      </c>
      <c r="F898" t="s">
        <v>10</v>
      </c>
    </row>
    <row r="899" spans="1:6" hidden="1" x14ac:dyDescent="0.35">
      <c r="A899" t="s">
        <v>19</v>
      </c>
      <c r="B899" t="s">
        <v>37</v>
      </c>
      <c r="C899" t="s">
        <v>29</v>
      </c>
      <c r="E899" t="s">
        <v>9</v>
      </c>
      <c r="F899" t="s">
        <v>10</v>
      </c>
    </row>
    <row r="900" spans="1:6" hidden="1" x14ac:dyDescent="0.35">
      <c r="A900" t="s">
        <v>20</v>
      </c>
      <c r="B900" t="s">
        <v>37</v>
      </c>
      <c r="C900" t="s">
        <v>29</v>
      </c>
      <c r="E900" t="s">
        <v>9</v>
      </c>
      <c r="F900" t="s">
        <v>10</v>
      </c>
    </row>
    <row r="901" spans="1:6" hidden="1" x14ac:dyDescent="0.35">
      <c r="A901" t="s">
        <v>21</v>
      </c>
      <c r="B901" t="s">
        <v>37</v>
      </c>
      <c r="C901" t="s">
        <v>29</v>
      </c>
      <c r="E901" t="s">
        <v>9</v>
      </c>
      <c r="F901" t="s">
        <v>10</v>
      </c>
    </row>
    <row r="902" spans="1:6" hidden="1" x14ac:dyDescent="0.35">
      <c r="A902" t="s">
        <v>6</v>
      </c>
      <c r="B902" t="s">
        <v>37</v>
      </c>
      <c r="C902" t="s">
        <v>30</v>
      </c>
      <c r="E902" t="s">
        <v>9</v>
      </c>
      <c r="F902" t="s">
        <v>10</v>
      </c>
    </row>
    <row r="903" spans="1:6" hidden="1" x14ac:dyDescent="0.35">
      <c r="A903" t="s">
        <v>11</v>
      </c>
      <c r="B903" t="s">
        <v>37</v>
      </c>
      <c r="C903" t="s">
        <v>30</v>
      </c>
      <c r="E903" t="s">
        <v>9</v>
      </c>
      <c r="F903" t="s">
        <v>10</v>
      </c>
    </row>
    <row r="904" spans="1:6" hidden="1" x14ac:dyDescent="0.35">
      <c r="A904" t="s">
        <v>12</v>
      </c>
      <c r="B904" t="s">
        <v>37</v>
      </c>
      <c r="C904" t="s">
        <v>30</v>
      </c>
      <c r="E904" t="s">
        <v>9</v>
      </c>
      <c r="F904" t="s">
        <v>10</v>
      </c>
    </row>
    <row r="905" spans="1:6" hidden="1" x14ac:dyDescent="0.35">
      <c r="A905" t="s">
        <v>13</v>
      </c>
      <c r="B905" t="s">
        <v>37</v>
      </c>
      <c r="C905" t="s">
        <v>30</v>
      </c>
      <c r="E905" t="s">
        <v>9</v>
      </c>
      <c r="F905" t="s">
        <v>10</v>
      </c>
    </row>
    <row r="906" spans="1:6" hidden="1" x14ac:dyDescent="0.35">
      <c r="A906" t="s">
        <v>14</v>
      </c>
      <c r="B906" t="s">
        <v>37</v>
      </c>
      <c r="C906" t="s">
        <v>30</v>
      </c>
      <c r="E906" t="s">
        <v>9</v>
      </c>
      <c r="F906" t="s">
        <v>10</v>
      </c>
    </row>
    <row r="907" spans="1:6" hidden="1" x14ac:dyDescent="0.35">
      <c r="A907" t="s">
        <v>15</v>
      </c>
      <c r="B907" t="s">
        <v>37</v>
      </c>
      <c r="C907" t="s">
        <v>30</v>
      </c>
      <c r="E907" t="s">
        <v>9</v>
      </c>
      <c r="F907" t="s">
        <v>10</v>
      </c>
    </row>
    <row r="908" spans="1:6" hidden="1" x14ac:dyDescent="0.35">
      <c r="A908" t="s">
        <v>16</v>
      </c>
      <c r="B908" t="s">
        <v>37</v>
      </c>
      <c r="C908" t="s">
        <v>30</v>
      </c>
      <c r="E908" t="s">
        <v>9</v>
      </c>
      <c r="F908" t="s">
        <v>10</v>
      </c>
    </row>
    <row r="909" spans="1:6" hidden="1" x14ac:dyDescent="0.35">
      <c r="A909" t="s">
        <v>17</v>
      </c>
      <c r="B909" t="s">
        <v>37</v>
      </c>
      <c r="C909" t="s">
        <v>30</v>
      </c>
      <c r="E909" t="s">
        <v>9</v>
      </c>
      <c r="F909" t="s">
        <v>10</v>
      </c>
    </row>
    <row r="910" spans="1:6" hidden="1" x14ac:dyDescent="0.35">
      <c r="A910" t="s">
        <v>18</v>
      </c>
      <c r="B910" t="s">
        <v>37</v>
      </c>
      <c r="C910" t="s">
        <v>30</v>
      </c>
      <c r="E910" t="s">
        <v>9</v>
      </c>
      <c r="F910" t="s">
        <v>10</v>
      </c>
    </row>
    <row r="911" spans="1:6" hidden="1" x14ac:dyDescent="0.35">
      <c r="A911" t="s">
        <v>19</v>
      </c>
      <c r="B911" t="s">
        <v>37</v>
      </c>
      <c r="C911" t="s">
        <v>30</v>
      </c>
      <c r="E911" t="s">
        <v>9</v>
      </c>
      <c r="F911" t="s">
        <v>10</v>
      </c>
    </row>
    <row r="912" spans="1:6" hidden="1" x14ac:dyDescent="0.35">
      <c r="A912" t="s">
        <v>20</v>
      </c>
      <c r="B912" t="s">
        <v>37</v>
      </c>
      <c r="C912" t="s">
        <v>30</v>
      </c>
      <c r="E912" t="s">
        <v>9</v>
      </c>
      <c r="F912" t="s">
        <v>10</v>
      </c>
    </row>
    <row r="913" spans="1:6" hidden="1" x14ac:dyDescent="0.35">
      <c r="A913" t="s">
        <v>21</v>
      </c>
      <c r="B913" t="s">
        <v>37</v>
      </c>
      <c r="C913" t="s">
        <v>30</v>
      </c>
      <c r="E913" t="s">
        <v>9</v>
      </c>
      <c r="F913" t="s">
        <v>10</v>
      </c>
    </row>
    <row r="914" spans="1:6" hidden="1" x14ac:dyDescent="0.35">
      <c r="A914" t="s">
        <v>6</v>
      </c>
      <c r="B914" t="s">
        <v>37</v>
      </c>
      <c r="C914" t="s">
        <v>31</v>
      </c>
      <c r="E914" t="s">
        <v>9</v>
      </c>
      <c r="F914" t="s">
        <v>10</v>
      </c>
    </row>
    <row r="915" spans="1:6" hidden="1" x14ac:dyDescent="0.35">
      <c r="A915" t="s">
        <v>11</v>
      </c>
      <c r="B915" t="s">
        <v>37</v>
      </c>
      <c r="C915" t="s">
        <v>31</v>
      </c>
      <c r="E915" t="s">
        <v>9</v>
      </c>
      <c r="F915" t="s">
        <v>10</v>
      </c>
    </row>
    <row r="916" spans="1:6" hidden="1" x14ac:dyDescent="0.35">
      <c r="A916" t="s">
        <v>12</v>
      </c>
      <c r="B916" t="s">
        <v>37</v>
      </c>
      <c r="C916" t="s">
        <v>31</v>
      </c>
      <c r="E916" t="s">
        <v>9</v>
      </c>
      <c r="F916" t="s">
        <v>10</v>
      </c>
    </row>
    <row r="917" spans="1:6" hidden="1" x14ac:dyDescent="0.35">
      <c r="A917" t="s">
        <v>13</v>
      </c>
      <c r="B917" t="s">
        <v>37</v>
      </c>
      <c r="C917" t="s">
        <v>31</v>
      </c>
      <c r="E917" t="s">
        <v>9</v>
      </c>
      <c r="F917" t="s">
        <v>10</v>
      </c>
    </row>
    <row r="918" spans="1:6" hidden="1" x14ac:dyDescent="0.35">
      <c r="A918" t="s">
        <v>14</v>
      </c>
      <c r="B918" t="s">
        <v>37</v>
      </c>
      <c r="C918" t="s">
        <v>31</v>
      </c>
      <c r="E918" t="s">
        <v>9</v>
      </c>
      <c r="F918" t="s">
        <v>10</v>
      </c>
    </row>
    <row r="919" spans="1:6" hidden="1" x14ac:dyDescent="0.35">
      <c r="A919" t="s">
        <v>15</v>
      </c>
      <c r="B919" t="s">
        <v>37</v>
      </c>
      <c r="C919" t="s">
        <v>31</v>
      </c>
      <c r="E919" t="s">
        <v>9</v>
      </c>
      <c r="F919" t="s">
        <v>10</v>
      </c>
    </row>
    <row r="920" spans="1:6" hidden="1" x14ac:dyDescent="0.35">
      <c r="A920" t="s">
        <v>16</v>
      </c>
      <c r="B920" t="s">
        <v>37</v>
      </c>
      <c r="C920" t="s">
        <v>31</v>
      </c>
      <c r="E920" t="s">
        <v>9</v>
      </c>
      <c r="F920" t="s">
        <v>10</v>
      </c>
    </row>
    <row r="921" spans="1:6" hidden="1" x14ac:dyDescent="0.35">
      <c r="A921" t="s">
        <v>17</v>
      </c>
      <c r="B921" t="s">
        <v>37</v>
      </c>
      <c r="C921" t="s">
        <v>31</v>
      </c>
      <c r="E921" t="s">
        <v>9</v>
      </c>
      <c r="F921" t="s">
        <v>10</v>
      </c>
    </row>
    <row r="922" spans="1:6" hidden="1" x14ac:dyDescent="0.35">
      <c r="A922" t="s">
        <v>18</v>
      </c>
      <c r="B922" t="s">
        <v>37</v>
      </c>
      <c r="C922" t="s">
        <v>31</v>
      </c>
      <c r="E922" t="s">
        <v>9</v>
      </c>
      <c r="F922" t="s">
        <v>10</v>
      </c>
    </row>
    <row r="923" spans="1:6" hidden="1" x14ac:dyDescent="0.35">
      <c r="A923" t="s">
        <v>19</v>
      </c>
      <c r="B923" t="s">
        <v>37</v>
      </c>
      <c r="C923" t="s">
        <v>31</v>
      </c>
      <c r="E923" t="s">
        <v>9</v>
      </c>
      <c r="F923" t="s">
        <v>10</v>
      </c>
    </row>
    <row r="924" spans="1:6" hidden="1" x14ac:dyDescent="0.35">
      <c r="A924" t="s">
        <v>20</v>
      </c>
      <c r="B924" t="s">
        <v>37</v>
      </c>
      <c r="C924" t="s">
        <v>31</v>
      </c>
      <c r="E924" t="s">
        <v>9</v>
      </c>
      <c r="F924" t="s">
        <v>10</v>
      </c>
    </row>
    <row r="925" spans="1:6" hidden="1" x14ac:dyDescent="0.35">
      <c r="A925" t="s">
        <v>21</v>
      </c>
      <c r="B925" t="s">
        <v>37</v>
      </c>
      <c r="C925" t="s">
        <v>31</v>
      </c>
      <c r="E925" t="s">
        <v>9</v>
      </c>
      <c r="F925" t="s">
        <v>10</v>
      </c>
    </row>
    <row r="926" spans="1:6" hidden="1" x14ac:dyDescent="0.35">
      <c r="A926" t="s">
        <v>6</v>
      </c>
      <c r="B926" t="s">
        <v>38</v>
      </c>
      <c r="C926" t="s">
        <v>8</v>
      </c>
      <c r="D926">
        <v>0</v>
      </c>
      <c r="E926" t="s">
        <v>9</v>
      </c>
      <c r="F926" t="s">
        <v>10</v>
      </c>
    </row>
    <row r="927" spans="1:6" hidden="1" x14ac:dyDescent="0.35">
      <c r="A927" t="s">
        <v>11</v>
      </c>
      <c r="B927" t="s">
        <v>38</v>
      </c>
      <c r="C927" t="s">
        <v>8</v>
      </c>
      <c r="D927">
        <v>0</v>
      </c>
      <c r="E927" t="s">
        <v>9</v>
      </c>
      <c r="F927" t="s">
        <v>10</v>
      </c>
    </row>
    <row r="928" spans="1:6" hidden="1" x14ac:dyDescent="0.35">
      <c r="A928" t="s">
        <v>12</v>
      </c>
      <c r="B928" t="s">
        <v>38</v>
      </c>
      <c r="C928" t="s">
        <v>8</v>
      </c>
      <c r="D928">
        <v>0</v>
      </c>
      <c r="E928" t="s">
        <v>9</v>
      </c>
      <c r="F928" t="s">
        <v>10</v>
      </c>
    </row>
    <row r="929" spans="1:6" hidden="1" x14ac:dyDescent="0.35">
      <c r="A929" t="s">
        <v>13</v>
      </c>
      <c r="B929" t="s">
        <v>38</v>
      </c>
      <c r="C929" t="s">
        <v>8</v>
      </c>
      <c r="D929">
        <v>0</v>
      </c>
      <c r="E929" t="s">
        <v>9</v>
      </c>
      <c r="F929" t="s">
        <v>10</v>
      </c>
    </row>
    <row r="930" spans="1:6" hidden="1" x14ac:dyDescent="0.35">
      <c r="A930" t="s">
        <v>14</v>
      </c>
      <c r="B930" t="s">
        <v>38</v>
      </c>
      <c r="C930" t="s">
        <v>8</v>
      </c>
      <c r="D930">
        <v>0</v>
      </c>
      <c r="E930" t="s">
        <v>9</v>
      </c>
      <c r="F930" t="s">
        <v>10</v>
      </c>
    </row>
    <row r="931" spans="1:6" hidden="1" x14ac:dyDescent="0.35">
      <c r="A931" t="s">
        <v>15</v>
      </c>
      <c r="B931" t="s">
        <v>38</v>
      </c>
      <c r="C931" t="s">
        <v>8</v>
      </c>
      <c r="D931">
        <v>0</v>
      </c>
      <c r="E931" t="s">
        <v>9</v>
      </c>
      <c r="F931" t="s">
        <v>10</v>
      </c>
    </row>
    <row r="932" spans="1:6" hidden="1" x14ac:dyDescent="0.35">
      <c r="A932" t="s">
        <v>16</v>
      </c>
      <c r="B932" t="s">
        <v>38</v>
      </c>
      <c r="C932" t="s">
        <v>8</v>
      </c>
      <c r="D932">
        <v>0</v>
      </c>
      <c r="E932" t="s">
        <v>9</v>
      </c>
      <c r="F932" t="s">
        <v>10</v>
      </c>
    </row>
    <row r="933" spans="1:6" hidden="1" x14ac:dyDescent="0.35">
      <c r="A933" t="s">
        <v>17</v>
      </c>
      <c r="B933" t="s">
        <v>38</v>
      </c>
      <c r="C933" t="s">
        <v>8</v>
      </c>
      <c r="D933">
        <v>0</v>
      </c>
      <c r="E933" t="s">
        <v>9</v>
      </c>
      <c r="F933" t="s">
        <v>10</v>
      </c>
    </row>
    <row r="934" spans="1:6" hidden="1" x14ac:dyDescent="0.35">
      <c r="A934" t="s">
        <v>18</v>
      </c>
      <c r="B934" t="s">
        <v>38</v>
      </c>
      <c r="C934" t="s">
        <v>8</v>
      </c>
      <c r="D934">
        <v>0</v>
      </c>
      <c r="E934" t="s">
        <v>9</v>
      </c>
      <c r="F934" t="s">
        <v>10</v>
      </c>
    </row>
    <row r="935" spans="1:6" hidden="1" x14ac:dyDescent="0.35">
      <c r="A935" t="s">
        <v>19</v>
      </c>
      <c r="B935" t="s">
        <v>38</v>
      </c>
      <c r="C935" t="s">
        <v>8</v>
      </c>
      <c r="D935">
        <v>0</v>
      </c>
      <c r="E935" t="s">
        <v>9</v>
      </c>
      <c r="F935" t="s">
        <v>10</v>
      </c>
    </row>
    <row r="936" spans="1:6" hidden="1" x14ac:dyDescent="0.35">
      <c r="A936" t="s">
        <v>20</v>
      </c>
      <c r="B936" t="s">
        <v>38</v>
      </c>
      <c r="C936" t="s">
        <v>8</v>
      </c>
      <c r="D936">
        <v>0</v>
      </c>
      <c r="E936" t="s">
        <v>9</v>
      </c>
      <c r="F936" t="s">
        <v>10</v>
      </c>
    </row>
    <row r="937" spans="1:6" hidden="1" x14ac:dyDescent="0.35">
      <c r="A937" t="s">
        <v>21</v>
      </c>
      <c r="B937" t="s">
        <v>38</v>
      </c>
      <c r="C937" t="s">
        <v>8</v>
      </c>
      <c r="D937">
        <v>0</v>
      </c>
      <c r="E937" t="s">
        <v>9</v>
      </c>
      <c r="F937" t="s">
        <v>10</v>
      </c>
    </row>
    <row r="938" spans="1:6" hidden="1" x14ac:dyDescent="0.35">
      <c r="A938" t="s">
        <v>6</v>
      </c>
      <c r="B938" t="s">
        <v>38</v>
      </c>
      <c r="C938" t="s">
        <v>22</v>
      </c>
      <c r="D938">
        <v>0</v>
      </c>
      <c r="E938" t="s">
        <v>9</v>
      </c>
      <c r="F938" t="s">
        <v>10</v>
      </c>
    </row>
    <row r="939" spans="1:6" hidden="1" x14ac:dyDescent="0.35">
      <c r="A939" t="s">
        <v>11</v>
      </c>
      <c r="B939" t="s">
        <v>38</v>
      </c>
      <c r="C939" t="s">
        <v>22</v>
      </c>
      <c r="D939">
        <v>0</v>
      </c>
      <c r="E939" t="s">
        <v>9</v>
      </c>
      <c r="F939" t="s">
        <v>10</v>
      </c>
    </row>
    <row r="940" spans="1:6" hidden="1" x14ac:dyDescent="0.35">
      <c r="A940" t="s">
        <v>12</v>
      </c>
      <c r="B940" t="s">
        <v>38</v>
      </c>
      <c r="C940" t="s">
        <v>22</v>
      </c>
      <c r="D940">
        <v>0</v>
      </c>
      <c r="E940" t="s">
        <v>9</v>
      </c>
      <c r="F940" t="s">
        <v>10</v>
      </c>
    </row>
    <row r="941" spans="1:6" hidden="1" x14ac:dyDescent="0.35">
      <c r="A941" t="s">
        <v>13</v>
      </c>
      <c r="B941" t="s">
        <v>38</v>
      </c>
      <c r="C941" t="s">
        <v>22</v>
      </c>
      <c r="D941">
        <v>0</v>
      </c>
      <c r="E941" t="s">
        <v>9</v>
      </c>
      <c r="F941" t="s">
        <v>10</v>
      </c>
    </row>
    <row r="942" spans="1:6" hidden="1" x14ac:dyDescent="0.35">
      <c r="A942" t="s">
        <v>14</v>
      </c>
      <c r="B942" t="s">
        <v>38</v>
      </c>
      <c r="C942" t="s">
        <v>22</v>
      </c>
      <c r="D942">
        <v>0</v>
      </c>
      <c r="E942" t="s">
        <v>9</v>
      </c>
      <c r="F942" t="s">
        <v>10</v>
      </c>
    </row>
    <row r="943" spans="1:6" hidden="1" x14ac:dyDescent="0.35">
      <c r="A943" t="s">
        <v>15</v>
      </c>
      <c r="B943" t="s">
        <v>38</v>
      </c>
      <c r="C943" t="s">
        <v>22</v>
      </c>
      <c r="D943">
        <v>0</v>
      </c>
      <c r="E943" t="s">
        <v>9</v>
      </c>
      <c r="F943" t="s">
        <v>10</v>
      </c>
    </row>
    <row r="944" spans="1:6" hidden="1" x14ac:dyDescent="0.35">
      <c r="A944" t="s">
        <v>16</v>
      </c>
      <c r="B944" t="s">
        <v>38</v>
      </c>
      <c r="C944" t="s">
        <v>22</v>
      </c>
      <c r="D944">
        <v>0</v>
      </c>
      <c r="E944" t="s">
        <v>9</v>
      </c>
      <c r="F944" t="s">
        <v>10</v>
      </c>
    </row>
    <row r="945" spans="1:6" hidden="1" x14ac:dyDescent="0.35">
      <c r="A945" t="s">
        <v>17</v>
      </c>
      <c r="B945" t="s">
        <v>38</v>
      </c>
      <c r="C945" t="s">
        <v>22</v>
      </c>
      <c r="D945">
        <v>0</v>
      </c>
      <c r="E945" t="s">
        <v>9</v>
      </c>
      <c r="F945" t="s">
        <v>10</v>
      </c>
    </row>
    <row r="946" spans="1:6" hidden="1" x14ac:dyDescent="0.35">
      <c r="A946" t="s">
        <v>18</v>
      </c>
      <c r="B946" t="s">
        <v>38</v>
      </c>
      <c r="C946" t="s">
        <v>22</v>
      </c>
      <c r="D946">
        <v>0</v>
      </c>
      <c r="E946" t="s">
        <v>9</v>
      </c>
      <c r="F946" t="s">
        <v>10</v>
      </c>
    </row>
    <row r="947" spans="1:6" hidden="1" x14ac:dyDescent="0.35">
      <c r="A947" t="s">
        <v>19</v>
      </c>
      <c r="B947" t="s">
        <v>38</v>
      </c>
      <c r="C947" t="s">
        <v>22</v>
      </c>
      <c r="D947">
        <v>0</v>
      </c>
      <c r="E947" t="s">
        <v>9</v>
      </c>
      <c r="F947" t="s">
        <v>10</v>
      </c>
    </row>
    <row r="948" spans="1:6" hidden="1" x14ac:dyDescent="0.35">
      <c r="A948" t="s">
        <v>20</v>
      </c>
      <c r="B948" t="s">
        <v>38</v>
      </c>
      <c r="C948" t="s">
        <v>22</v>
      </c>
      <c r="D948">
        <v>0</v>
      </c>
      <c r="E948" t="s">
        <v>9</v>
      </c>
      <c r="F948" t="s">
        <v>10</v>
      </c>
    </row>
    <row r="949" spans="1:6" hidden="1" x14ac:dyDescent="0.35">
      <c r="A949" t="s">
        <v>21</v>
      </c>
      <c r="B949" t="s">
        <v>38</v>
      </c>
      <c r="C949" t="s">
        <v>22</v>
      </c>
      <c r="D949">
        <v>0</v>
      </c>
      <c r="E949" t="s">
        <v>9</v>
      </c>
      <c r="F949" t="s">
        <v>10</v>
      </c>
    </row>
    <row r="950" spans="1:6" hidden="1" x14ac:dyDescent="0.35">
      <c r="A950" t="s">
        <v>6</v>
      </c>
      <c r="B950" t="s">
        <v>38</v>
      </c>
      <c r="C950" t="s">
        <v>23</v>
      </c>
      <c r="D950">
        <v>0</v>
      </c>
      <c r="E950" t="s">
        <v>9</v>
      </c>
      <c r="F950" t="s">
        <v>10</v>
      </c>
    </row>
    <row r="951" spans="1:6" hidden="1" x14ac:dyDescent="0.35">
      <c r="A951" t="s">
        <v>11</v>
      </c>
      <c r="B951" t="s">
        <v>38</v>
      </c>
      <c r="C951" t="s">
        <v>23</v>
      </c>
      <c r="D951">
        <v>0</v>
      </c>
      <c r="E951" t="s">
        <v>9</v>
      </c>
      <c r="F951" t="s">
        <v>10</v>
      </c>
    </row>
    <row r="952" spans="1:6" hidden="1" x14ac:dyDescent="0.35">
      <c r="A952" t="s">
        <v>12</v>
      </c>
      <c r="B952" t="s">
        <v>38</v>
      </c>
      <c r="C952" t="s">
        <v>23</v>
      </c>
      <c r="D952">
        <v>0</v>
      </c>
      <c r="E952" t="s">
        <v>9</v>
      </c>
      <c r="F952" t="s">
        <v>10</v>
      </c>
    </row>
    <row r="953" spans="1:6" hidden="1" x14ac:dyDescent="0.35">
      <c r="A953" t="s">
        <v>13</v>
      </c>
      <c r="B953" t="s">
        <v>38</v>
      </c>
      <c r="C953" t="s">
        <v>23</v>
      </c>
      <c r="D953">
        <v>0</v>
      </c>
      <c r="E953" t="s">
        <v>9</v>
      </c>
      <c r="F953" t="s">
        <v>10</v>
      </c>
    </row>
    <row r="954" spans="1:6" hidden="1" x14ac:dyDescent="0.35">
      <c r="A954" t="s">
        <v>14</v>
      </c>
      <c r="B954" t="s">
        <v>38</v>
      </c>
      <c r="C954" t="s">
        <v>23</v>
      </c>
      <c r="D954">
        <v>0</v>
      </c>
      <c r="E954" t="s">
        <v>9</v>
      </c>
      <c r="F954" t="s">
        <v>10</v>
      </c>
    </row>
    <row r="955" spans="1:6" hidden="1" x14ac:dyDescent="0.35">
      <c r="A955" t="s">
        <v>15</v>
      </c>
      <c r="B955" t="s">
        <v>38</v>
      </c>
      <c r="C955" t="s">
        <v>23</v>
      </c>
      <c r="D955">
        <v>0</v>
      </c>
      <c r="E955" t="s">
        <v>9</v>
      </c>
      <c r="F955" t="s">
        <v>10</v>
      </c>
    </row>
    <row r="956" spans="1:6" hidden="1" x14ac:dyDescent="0.35">
      <c r="A956" t="s">
        <v>16</v>
      </c>
      <c r="B956" t="s">
        <v>38</v>
      </c>
      <c r="C956" t="s">
        <v>23</v>
      </c>
      <c r="D956">
        <v>0</v>
      </c>
      <c r="E956" t="s">
        <v>9</v>
      </c>
      <c r="F956" t="s">
        <v>10</v>
      </c>
    </row>
    <row r="957" spans="1:6" hidden="1" x14ac:dyDescent="0.35">
      <c r="A957" t="s">
        <v>17</v>
      </c>
      <c r="B957" t="s">
        <v>38</v>
      </c>
      <c r="C957" t="s">
        <v>23</v>
      </c>
      <c r="D957">
        <v>0</v>
      </c>
      <c r="E957" t="s">
        <v>9</v>
      </c>
      <c r="F957" t="s">
        <v>10</v>
      </c>
    </row>
    <row r="958" spans="1:6" hidden="1" x14ac:dyDescent="0.35">
      <c r="A958" t="s">
        <v>18</v>
      </c>
      <c r="B958" t="s">
        <v>38</v>
      </c>
      <c r="C958" t="s">
        <v>23</v>
      </c>
      <c r="D958">
        <v>0</v>
      </c>
      <c r="E958" t="s">
        <v>9</v>
      </c>
      <c r="F958" t="s">
        <v>10</v>
      </c>
    </row>
    <row r="959" spans="1:6" hidden="1" x14ac:dyDescent="0.35">
      <c r="A959" t="s">
        <v>19</v>
      </c>
      <c r="B959" t="s">
        <v>38</v>
      </c>
      <c r="C959" t="s">
        <v>23</v>
      </c>
      <c r="D959">
        <v>0</v>
      </c>
      <c r="E959" t="s">
        <v>9</v>
      </c>
      <c r="F959" t="s">
        <v>10</v>
      </c>
    </row>
    <row r="960" spans="1:6" hidden="1" x14ac:dyDescent="0.35">
      <c r="A960" t="s">
        <v>20</v>
      </c>
      <c r="B960" t="s">
        <v>38</v>
      </c>
      <c r="C960" t="s">
        <v>23</v>
      </c>
      <c r="D960">
        <v>0</v>
      </c>
      <c r="E960" t="s">
        <v>9</v>
      </c>
      <c r="F960" t="s">
        <v>10</v>
      </c>
    </row>
    <row r="961" spans="1:6" hidden="1" x14ac:dyDescent="0.35">
      <c r="A961" t="s">
        <v>21</v>
      </c>
      <c r="B961" t="s">
        <v>38</v>
      </c>
      <c r="C961" t="s">
        <v>23</v>
      </c>
      <c r="D961">
        <v>0</v>
      </c>
      <c r="E961" t="s">
        <v>9</v>
      </c>
      <c r="F961" t="s">
        <v>10</v>
      </c>
    </row>
    <row r="962" spans="1:6" hidden="1" x14ac:dyDescent="0.35">
      <c r="A962" t="s">
        <v>6</v>
      </c>
      <c r="B962" t="s">
        <v>38</v>
      </c>
      <c r="C962" t="s">
        <v>24</v>
      </c>
      <c r="D962">
        <v>0</v>
      </c>
      <c r="E962" t="s">
        <v>9</v>
      </c>
      <c r="F962" t="s">
        <v>10</v>
      </c>
    </row>
    <row r="963" spans="1:6" hidden="1" x14ac:dyDescent="0.35">
      <c r="A963" t="s">
        <v>11</v>
      </c>
      <c r="B963" t="s">
        <v>38</v>
      </c>
      <c r="C963" t="s">
        <v>24</v>
      </c>
      <c r="D963">
        <v>0</v>
      </c>
      <c r="E963" t="s">
        <v>9</v>
      </c>
      <c r="F963" t="s">
        <v>10</v>
      </c>
    </row>
    <row r="964" spans="1:6" hidden="1" x14ac:dyDescent="0.35">
      <c r="A964" t="s">
        <v>12</v>
      </c>
      <c r="B964" t="s">
        <v>38</v>
      </c>
      <c r="C964" t="s">
        <v>24</v>
      </c>
      <c r="D964">
        <v>0</v>
      </c>
      <c r="E964" t="s">
        <v>9</v>
      </c>
      <c r="F964" t="s">
        <v>10</v>
      </c>
    </row>
    <row r="965" spans="1:6" hidden="1" x14ac:dyDescent="0.35">
      <c r="A965" t="s">
        <v>13</v>
      </c>
      <c r="B965" t="s">
        <v>38</v>
      </c>
      <c r="C965" t="s">
        <v>24</v>
      </c>
      <c r="D965">
        <v>0</v>
      </c>
      <c r="E965" t="s">
        <v>9</v>
      </c>
      <c r="F965" t="s">
        <v>10</v>
      </c>
    </row>
    <row r="966" spans="1:6" hidden="1" x14ac:dyDescent="0.35">
      <c r="A966" t="s">
        <v>14</v>
      </c>
      <c r="B966" t="s">
        <v>38</v>
      </c>
      <c r="C966" t="s">
        <v>24</v>
      </c>
      <c r="D966">
        <v>0</v>
      </c>
      <c r="E966" t="s">
        <v>9</v>
      </c>
      <c r="F966" t="s">
        <v>10</v>
      </c>
    </row>
    <row r="967" spans="1:6" hidden="1" x14ac:dyDescent="0.35">
      <c r="A967" t="s">
        <v>15</v>
      </c>
      <c r="B967" t="s">
        <v>38</v>
      </c>
      <c r="C967" t="s">
        <v>24</v>
      </c>
      <c r="D967">
        <v>0</v>
      </c>
      <c r="E967" t="s">
        <v>9</v>
      </c>
      <c r="F967" t="s">
        <v>10</v>
      </c>
    </row>
    <row r="968" spans="1:6" hidden="1" x14ac:dyDescent="0.35">
      <c r="A968" t="s">
        <v>16</v>
      </c>
      <c r="B968" t="s">
        <v>38</v>
      </c>
      <c r="C968" t="s">
        <v>24</v>
      </c>
      <c r="D968">
        <v>0</v>
      </c>
      <c r="E968" t="s">
        <v>9</v>
      </c>
      <c r="F968" t="s">
        <v>10</v>
      </c>
    </row>
    <row r="969" spans="1:6" hidden="1" x14ac:dyDescent="0.35">
      <c r="A969" t="s">
        <v>17</v>
      </c>
      <c r="B969" t="s">
        <v>38</v>
      </c>
      <c r="C969" t="s">
        <v>24</v>
      </c>
      <c r="D969">
        <v>0</v>
      </c>
      <c r="E969" t="s">
        <v>9</v>
      </c>
      <c r="F969" t="s">
        <v>10</v>
      </c>
    </row>
    <row r="970" spans="1:6" hidden="1" x14ac:dyDescent="0.35">
      <c r="A970" t="s">
        <v>18</v>
      </c>
      <c r="B970" t="s">
        <v>38</v>
      </c>
      <c r="C970" t="s">
        <v>24</v>
      </c>
      <c r="D970">
        <v>0</v>
      </c>
      <c r="E970" t="s">
        <v>9</v>
      </c>
      <c r="F970" t="s">
        <v>10</v>
      </c>
    </row>
    <row r="971" spans="1:6" hidden="1" x14ac:dyDescent="0.35">
      <c r="A971" t="s">
        <v>19</v>
      </c>
      <c r="B971" t="s">
        <v>38</v>
      </c>
      <c r="C971" t="s">
        <v>24</v>
      </c>
      <c r="D971">
        <v>0</v>
      </c>
      <c r="E971" t="s">
        <v>9</v>
      </c>
      <c r="F971" t="s">
        <v>10</v>
      </c>
    </row>
    <row r="972" spans="1:6" hidden="1" x14ac:dyDescent="0.35">
      <c r="A972" t="s">
        <v>20</v>
      </c>
      <c r="B972" t="s">
        <v>38</v>
      </c>
      <c r="C972" t="s">
        <v>24</v>
      </c>
      <c r="D972">
        <v>0</v>
      </c>
      <c r="E972" t="s">
        <v>9</v>
      </c>
      <c r="F972" t="s">
        <v>10</v>
      </c>
    </row>
    <row r="973" spans="1:6" hidden="1" x14ac:dyDescent="0.35">
      <c r="A973" t="s">
        <v>21</v>
      </c>
      <c r="B973" t="s">
        <v>38</v>
      </c>
      <c r="C973" t="s">
        <v>24</v>
      </c>
      <c r="D973">
        <v>0</v>
      </c>
      <c r="E973" t="s">
        <v>9</v>
      </c>
      <c r="F973" t="s">
        <v>10</v>
      </c>
    </row>
    <row r="974" spans="1:6" hidden="1" x14ac:dyDescent="0.35">
      <c r="A974" t="s">
        <v>6</v>
      </c>
      <c r="B974" t="s">
        <v>38</v>
      </c>
      <c r="C974" t="s">
        <v>25</v>
      </c>
      <c r="D974">
        <v>0</v>
      </c>
      <c r="E974" t="s">
        <v>9</v>
      </c>
      <c r="F974" t="s">
        <v>10</v>
      </c>
    </row>
    <row r="975" spans="1:6" hidden="1" x14ac:dyDescent="0.35">
      <c r="A975" t="s">
        <v>11</v>
      </c>
      <c r="B975" t="s">
        <v>38</v>
      </c>
      <c r="C975" t="s">
        <v>25</v>
      </c>
      <c r="D975">
        <v>0</v>
      </c>
      <c r="E975" t="s">
        <v>9</v>
      </c>
      <c r="F975" t="s">
        <v>10</v>
      </c>
    </row>
    <row r="976" spans="1:6" hidden="1" x14ac:dyDescent="0.35">
      <c r="A976" t="s">
        <v>12</v>
      </c>
      <c r="B976" t="s">
        <v>38</v>
      </c>
      <c r="C976" t="s">
        <v>25</v>
      </c>
      <c r="D976">
        <v>0</v>
      </c>
      <c r="E976" t="s">
        <v>9</v>
      </c>
      <c r="F976" t="s">
        <v>10</v>
      </c>
    </row>
    <row r="977" spans="1:6" hidden="1" x14ac:dyDescent="0.35">
      <c r="A977" t="s">
        <v>13</v>
      </c>
      <c r="B977" t="s">
        <v>38</v>
      </c>
      <c r="C977" t="s">
        <v>25</v>
      </c>
      <c r="D977">
        <v>0</v>
      </c>
      <c r="E977" t="s">
        <v>9</v>
      </c>
      <c r="F977" t="s">
        <v>10</v>
      </c>
    </row>
    <row r="978" spans="1:6" hidden="1" x14ac:dyDescent="0.35">
      <c r="A978" t="s">
        <v>14</v>
      </c>
      <c r="B978" t="s">
        <v>38</v>
      </c>
      <c r="C978" t="s">
        <v>25</v>
      </c>
      <c r="D978">
        <v>0</v>
      </c>
      <c r="E978" t="s">
        <v>9</v>
      </c>
      <c r="F978" t="s">
        <v>10</v>
      </c>
    </row>
    <row r="979" spans="1:6" hidden="1" x14ac:dyDescent="0.35">
      <c r="A979" t="s">
        <v>15</v>
      </c>
      <c r="B979" t="s">
        <v>38</v>
      </c>
      <c r="C979" t="s">
        <v>25</v>
      </c>
      <c r="D979">
        <v>0</v>
      </c>
      <c r="E979" t="s">
        <v>9</v>
      </c>
      <c r="F979" t="s">
        <v>10</v>
      </c>
    </row>
    <row r="980" spans="1:6" hidden="1" x14ac:dyDescent="0.35">
      <c r="A980" t="s">
        <v>16</v>
      </c>
      <c r="B980" t="s">
        <v>38</v>
      </c>
      <c r="C980" t="s">
        <v>25</v>
      </c>
      <c r="D980">
        <v>0</v>
      </c>
      <c r="E980" t="s">
        <v>9</v>
      </c>
      <c r="F980" t="s">
        <v>10</v>
      </c>
    </row>
    <row r="981" spans="1:6" hidden="1" x14ac:dyDescent="0.35">
      <c r="A981" t="s">
        <v>17</v>
      </c>
      <c r="B981" t="s">
        <v>38</v>
      </c>
      <c r="C981" t="s">
        <v>25</v>
      </c>
      <c r="D981">
        <v>0</v>
      </c>
      <c r="E981" t="s">
        <v>9</v>
      </c>
      <c r="F981" t="s">
        <v>10</v>
      </c>
    </row>
    <row r="982" spans="1:6" hidden="1" x14ac:dyDescent="0.35">
      <c r="A982" t="s">
        <v>18</v>
      </c>
      <c r="B982" t="s">
        <v>38</v>
      </c>
      <c r="C982" t="s">
        <v>25</v>
      </c>
      <c r="D982">
        <v>0</v>
      </c>
      <c r="E982" t="s">
        <v>9</v>
      </c>
      <c r="F982" t="s">
        <v>10</v>
      </c>
    </row>
    <row r="983" spans="1:6" hidden="1" x14ac:dyDescent="0.35">
      <c r="A983" t="s">
        <v>19</v>
      </c>
      <c r="B983" t="s">
        <v>38</v>
      </c>
      <c r="C983" t="s">
        <v>25</v>
      </c>
      <c r="D983">
        <v>0</v>
      </c>
      <c r="E983" t="s">
        <v>9</v>
      </c>
      <c r="F983" t="s">
        <v>10</v>
      </c>
    </row>
    <row r="984" spans="1:6" hidden="1" x14ac:dyDescent="0.35">
      <c r="A984" t="s">
        <v>20</v>
      </c>
      <c r="B984" t="s">
        <v>38</v>
      </c>
      <c r="C984" t="s">
        <v>25</v>
      </c>
      <c r="D984">
        <v>0</v>
      </c>
      <c r="E984" t="s">
        <v>9</v>
      </c>
      <c r="F984" t="s">
        <v>10</v>
      </c>
    </row>
    <row r="985" spans="1:6" hidden="1" x14ac:dyDescent="0.35">
      <c r="A985" t="s">
        <v>21</v>
      </c>
      <c r="B985" t="s">
        <v>38</v>
      </c>
      <c r="C985" t="s">
        <v>25</v>
      </c>
      <c r="D985">
        <v>0</v>
      </c>
      <c r="E985" t="s">
        <v>9</v>
      </c>
      <c r="F985" t="s">
        <v>10</v>
      </c>
    </row>
    <row r="986" spans="1:6" hidden="1" x14ac:dyDescent="0.35">
      <c r="A986" t="s">
        <v>6</v>
      </c>
      <c r="B986" t="s">
        <v>38</v>
      </c>
      <c r="C986" t="s">
        <v>26</v>
      </c>
      <c r="D986">
        <v>0</v>
      </c>
      <c r="E986" t="s">
        <v>9</v>
      </c>
      <c r="F986" t="s">
        <v>10</v>
      </c>
    </row>
    <row r="987" spans="1:6" hidden="1" x14ac:dyDescent="0.35">
      <c r="A987" t="s">
        <v>11</v>
      </c>
      <c r="B987" t="s">
        <v>38</v>
      </c>
      <c r="C987" t="s">
        <v>26</v>
      </c>
      <c r="E987" t="s">
        <v>9</v>
      </c>
      <c r="F987" t="s">
        <v>10</v>
      </c>
    </row>
    <row r="988" spans="1:6" hidden="1" x14ac:dyDescent="0.35">
      <c r="A988" t="s">
        <v>12</v>
      </c>
      <c r="B988" t="s">
        <v>38</v>
      </c>
      <c r="C988" t="s">
        <v>26</v>
      </c>
      <c r="E988" t="s">
        <v>9</v>
      </c>
      <c r="F988" t="s">
        <v>10</v>
      </c>
    </row>
    <row r="989" spans="1:6" hidden="1" x14ac:dyDescent="0.35">
      <c r="A989" t="s">
        <v>13</v>
      </c>
      <c r="B989" t="s">
        <v>38</v>
      </c>
      <c r="C989" t="s">
        <v>26</v>
      </c>
      <c r="E989" t="s">
        <v>9</v>
      </c>
      <c r="F989" t="s">
        <v>10</v>
      </c>
    </row>
    <row r="990" spans="1:6" hidden="1" x14ac:dyDescent="0.35">
      <c r="A990" t="s">
        <v>14</v>
      </c>
      <c r="B990" t="s">
        <v>38</v>
      </c>
      <c r="C990" t="s">
        <v>26</v>
      </c>
      <c r="E990" t="s">
        <v>9</v>
      </c>
      <c r="F990" t="s">
        <v>10</v>
      </c>
    </row>
    <row r="991" spans="1:6" hidden="1" x14ac:dyDescent="0.35">
      <c r="A991" t="s">
        <v>15</v>
      </c>
      <c r="B991" t="s">
        <v>38</v>
      </c>
      <c r="C991" t="s">
        <v>26</v>
      </c>
      <c r="E991" t="s">
        <v>9</v>
      </c>
      <c r="F991" t="s">
        <v>10</v>
      </c>
    </row>
    <row r="992" spans="1:6" hidden="1" x14ac:dyDescent="0.35">
      <c r="A992" t="s">
        <v>16</v>
      </c>
      <c r="B992" t="s">
        <v>38</v>
      </c>
      <c r="C992" t="s">
        <v>26</v>
      </c>
      <c r="E992" t="s">
        <v>9</v>
      </c>
      <c r="F992" t="s">
        <v>10</v>
      </c>
    </row>
    <row r="993" spans="1:6" hidden="1" x14ac:dyDescent="0.35">
      <c r="A993" t="s">
        <v>17</v>
      </c>
      <c r="B993" t="s">
        <v>38</v>
      </c>
      <c r="C993" t="s">
        <v>26</v>
      </c>
      <c r="E993" t="s">
        <v>9</v>
      </c>
      <c r="F993" t="s">
        <v>10</v>
      </c>
    </row>
    <row r="994" spans="1:6" hidden="1" x14ac:dyDescent="0.35">
      <c r="A994" t="s">
        <v>18</v>
      </c>
      <c r="B994" t="s">
        <v>38</v>
      </c>
      <c r="C994" t="s">
        <v>26</v>
      </c>
      <c r="E994" t="s">
        <v>9</v>
      </c>
      <c r="F994" t="s">
        <v>10</v>
      </c>
    </row>
    <row r="995" spans="1:6" hidden="1" x14ac:dyDescent="0.35">
      <c r="A995" t="s">
        <v>19</v>
      </c>
      <c r="B995" t="s">
        <v>38</v>
      </c>
      <c r="C995" t="s">
        <v>26</v>
      </c>
      <c r="E995" t="s">
        <v>9</v>
      </c>
      <c r="F995" t="s">
        <v>10</v>
      </c>
    </row>
    <row r="996" spans="1:6" hidden="1" x14ac:dyDescent="0.35">
      <c r="A996" t="s">
        <v>20</v>
      </c>
      <c r="B996" t="s">
        <v>38</v>
      </c>
      <c r="C996" t="s">
        <v>26</v>
      </c>
      <c r="E996" t="s">
        <v>9</v>
      </c>
      <c r="F996" t="s">
        <v>10</v>
      </c>
    </row>
    <row r="997" spans="1:6" hidden="1" x14ac:dyDescent="0.35">
      <c r="A997" t="s">
        <v>21</v>
      </c>
      <c r="B997" t="s">
        <v>38</v>
      </c>
      <c r="C997" t="s">
        <v>26</v>
      </c>
      <c r="E997" t="s">
        <v>9</v>
      </c>
      <c r="F997" t="s">
        <v>10</v>
      </c>
    </row>
    <row r="998" spans="1:6" hidden="1" x14ac:dyDescent="0.35">
      <c r="A998" t="s">
        <v>6</v>
      </c>
      <c r="B998" t="s">
        <v>38</v>
      </c>
      <c r="C998" t="s">
        <v>27</v>
      </c>
      <c r="D998">
        <v>0</v>
      </c>
      <c r="E998" t="s">
        <v>9</v>
      </c>
      <c r="F998" t="s">
        <v>10</v>
      </c>
    </row>
    <row r="999" spans="1:6" hidden="1" x14ac:dyDescent="0.35">
      <c r="A999" t="s">
        <v>11</v>
      </c>
      <c r="B999" t="s">
        <v>38</v>
      </c>
      <c r="C999" t="s">
        <v>27</v>
      </c>
      <c r="D999">
        <v>0</v>
      </c>
      <c r="E999" t="s">
        <v>9</v>
      </c>
      <c r="F999" t="s">
        <v>10</v>
      </c>
    </row>
    <row r="1000" spans="1:6" hidden="1" x14ac:dyDescent="0.35">
      <c r="A1000" t="s">
        <v>12</v>
      </c>
      <c r="B1000" t="s">
        <v>38</v>
      </c>
      <c r="C1000" t="s">
        <v>27</v>
      </c>
      <c r="D1000">
        <v>0</v>
      </c>
      <c r="E1000" t="s">
        <v>9</v>
      </c>
      <c r="F1000" t="s">
        <v>10</v>
      </c>
    </row>
    <row r="1001" spans="1:6" hidden="1" x14ac:dyDescent="0.35">
      <c r="A1001" t="s">
        <v>13</v>
      </c>
      <c r="B1001" t="s">
        <v>38</v>
      </c>
      <c r="C1001" t="s">
        <v>27</v>
      </c>
      <c r="D1001">
        <v>0</v>
      </c>
      <c r="E1001" t="s">
        <v>9</v>
      </c>
      <c r="F1001" t="s">
        <v>10</v>
      </c>
    </row>
    <row r="1002" spans="1:6" hidden="1" x14ac:dyDescent="0.35">
      <c r="A1002" t="s">
        <v>14</v>
      </c>
      <c r="B1002" t="s">
        <v>38</v>
      </c>
      <c r="C1002" t="s">
        <v>27</v>
      </c>
      <c r="D1002">
        <v>0</v>
      </c>
      <c r="E1002" t="s">
        <v>9</v>
      </c>
      <c r="F1002" t="s">
        <v>10</v>
      </c>
    </row>
    <row r="1003" spans="1:6" hidden="1" x14ac:dyDescent="0.35">
      <c r="A1003" t="s">
        <v>15</v>
      </c>
      <c r="B1003" t="s">
        <v>38</v>
      </c>
      <c r="C1003" t="s">
        <v>27</v>
      </c>
      <c r="D1003">
        <v>0</v>
      </c>
      <c r="E1003" t="s">
        <v>9</v>
      </c>
      <c r="F1003" t="s">
        <v>10</v>
      </c>
    </row>
    <row r="1004" spans="1:6" hidden="1" x14ac:dyDescent="0.35">
      <c r="A1004" t="s">
        <v>16</v>
      </c>
      <c r="B1004" t="s">
        <v>38</v>
      </c>
      <c r="C1004" t="s">
        <v>27</v>
      </c>
      <c r="D1004">
        <v>0</v>
      </c>
      <c r="E1004" t="s">
        <v>9</v>
      </c>
      <c r="F1004" t="s">
        <v>10</v>
      </c>
    </row>
    <row r="1005" spans="1:6" hidden="1" x14ac:dyDescent="0.35">
      <c r="A1005" t="s">
        <v>17</v>
      </c>
      <c r="B1005" t="s">
        <v>38</v>
      </c>
      <c r="C1005" t="s">
        <v>27</v>
      </c>
      <c r="D1005">
        <v>0</v>
      </c>
      <c r="E1005" t="s">
        <v>9</v>
      </c>
      <c r="F1005" t="s">
        <v>10</v>
      </c>
    </row>
    <row r="1006" spans="1:6" hidden="1" x14ac:dyDescent="0.35">
      <c r="A1006" t="s">
        <v>18</v>
      </c>
      <c r="B1006" t="s">
        <v>38</v>
      </c>
      <c r="C1006" t="s">
        <v>27</v>
      </c>
      <c r="D1006">
        <v>0</v>
      </c>
      <c r="E1006" t="s">
        <v>9</v>
      </c>
      <c r="F1006" t="s">
        <v>10</v>
      </c>
    </row>
    <row r="1007" spans="1:6" hidden="1" x14ac:dyDescent="0.35">
      <c r="A1007" t="s">
        <v>19</v>
      </c>
      <c r="B1007" t="s">
        <v>38</v>
      </c>
      <c r="C1007" t="s">
        <v>27</v>
      </c>
      <c r="D1007">
        <v>0</v>
      </c>
      <c r="E1007" t="s">
        <v>9</v>
      </c>
      <c r="F1007" t="s">
        <v>10</v>
      </c>
    </row>
    <row r="1008" spans="1:6" hidden="1" x14ac:dyDescent="0.35">
      <c r="A1008" t="s">
        <v>20</v>
      </c>
      <c r="B1008" t="s">
        <v>38</v>
      </c>
      <c r="C1008" t="s">
        <v>27</v>
      </c>
      <c r="D1008">
        <v>0</v>
      </c>
      <c r="E1008" t="s">
        <v>9</v>
      </c>
      <c r="F1008" t="s">
        <v>10</v>
      </c>
    </row>
    <row r="1009" spans="1:6" hidden="1" x14ac:dyDescent="0.35">
      <c r="A1009" t="s">
        <v>21</v>
      </c>
      <c r="B1009" t="s">
        <v>38</v>
      </c>
      <c r="C1009" t="s">
        <v>27</v>
      </c>
      <c r="D1009">
        <v>0</v>
      </c>
      <c r="E1009" t="s">
        <v>9</v>
      </c>
      <c r="F1009" t="s">
        <v>10</v>
      </c>
    </row>
    <row r="1010" spans="1:6" hidden="1" x14ac:dyDescent="0.35">
      <c r="A1010" t="s">
        <v>6</v>
      </c>
      <c r="B1010" t="s">
        <v>38</v>
      </c>
      <c r="C1010" t="s">
        <v>28</v>
      </c>
      <c r="D1010">
        <v>0</v>
      </c>
      <c r="E1010" t="s">
        <v>9</v>
      </c>
      <c r="F1010" t="s">
        <v>10</v>
      </c>
    </row>
    <row r="1011" spans="1:6" hidden="1" x14ac:dyDescent="0.35">
      <c r="A1011" t="s">
        <v>11</v>
      </c>
      <c r="B1011" t="s">
        <v>38</v>
      </c>
      <c r="C1011" t="s">
        <v>28</v>
      </c>
      <c r="D1011">
        <v>0</v>
      </c>
      <c r="E1011" t="s">
        <v>9</v>
      </c>
      <c r="F1011" t="s">
        <v>10</v>
      </c>
    </row>
    <row r="1012" spans="1:6" hidden="1" x14ac:dyDescent="0.35">
      <c r="A1012" t="s">
        <v>12</v>
      </c>
      <c r="B1012" t="s">
        <v>38</v>
      </c>
      <c r="C1012" t="s">
        <v>28</v>
      </c>
      <c r="D1012">
        <v>0</v>
      </c>
      <c r="E1012" t="s">
        <v>9</v>
      </c>
      <c r="F1012" t="s">
        <v>10</v>
      </c>
    </row>
    <row r="1013" spans="1:6" hidden="1" x14ac:dyDescent="0.35">
      <c r="A1013" t="s">
        <v>13</v>
      </c>
      <c r="B1013" t="s">
        <v>38</v>
      </c>
      <c r="C1013" t="s">
        <v>28</v>
      </c>
      <c r="D1013">
        <v>0</v>
      </c>
      <c r="E1013" t="s">
        <v>9</v>
      </c>
      <c r="F1013" t="s">
        <v>10</v>
      </c>
    </row>
    <row r="1014" spans="1:6" hidden="1" x14ac:dyDescent="0.35">
      <c r="A1014" t="s">
        <v>14</v>
      </c>
      <c r="B1014" t="s">
        <v>38</v>
      </c>
      <c r="C1014" t="s">
        <v>28</v>
      </c>
      <c r="D1014">
        <v>0</v>
      </c>
      <c r="E1014" t="s">
        <v>9</v>
      </c>
      <c r="F1014" t="s">
        <v>10</v>
      </c>
    </row>
    <row r="1015" spans="1:6" hidden="1" x14ac:dyDescent="0.35">
      <c r="A1015" t="s">
        <v>15</v>
      </c>
      <c r="B1015" t="s">
        <v>38</v>
      </c>
      <c r="C1015" t="s">
        <v>28</v>
      </c>
      <c r="D1015">
        <v>0</v>
      </c>
      <c r="E1015" t="s">
        <v>9</v>
      </c>
      <c r="F1015" t="s">
        <v>10</v>
      </c>
    </row>
    <row r="1016" spans="1:6" hidden="1" x14ac:dyDescent="0.35">
      <c r="A1016" t="s">
        <v>16</v>
      </c>
      <c r="B1016" t="s">
        <v>38</v>
      </c>
      <c r="C1016" t="s">
        <v>28</v>
      </c>
      <c r="D1016">
        <v>0</v>
      </c>
      <c r="E1016" t="s">
        <v>9</v>
      </c>
      <c r="F1016" t="s">
        <v>10</v>
      </c>
    </row>
    <row r="1017" spans="1:6" hidden="1" x14ac:dyDescent="0.35">
      <c r="A1017" t="s">
        <v>17</v>
      </c>
      <c r="B1017" t="s">
        <v>38</v>
      </c>
      <c r="C1017" t="s">
        <v>28</v>
      </c>
      <c r="D1017">
        <v>0</v>
      </c>
      <c r="E1017" t="s">
        <v>9</v>
      </c>
      <c r="F1017" t="s">
        <v>10</v>
      </c>
    </row>
    <row r="1018" spans="1:6" hidden="1" x14ac:dyDescent="0.35">
      <c r="A1018" t="s">
        <v>18</v>
      </c>
      <c r="B1018" t="s">
        <v>38</v>
      </c>
      <c r="C1018" t="s">
        <v>28</v>
      </c>
      <c r="D1018">
        <v>0</v>
      </c>
      <c r="E1018" t="s">
        <v>9</v>
      </c>
      <c r="F1018" t="s">
        <v>10</v>
      </c>
    </row>
    <row r="1019" spans="1:6" hidden="1" x14ac:dyDescent="0.35">
      <c r="A1019" t="s">
        <v>19</v>
      </c>
      <c r="B1019" t="s">
        <v>38</v>
      </c>
      <c r="C1019" t="s">
        <v>28</v>
      </c>
      <c r="D1019">
        <v>0</v>
      </c>
      <c r="E1019" t="s">
        <v>9</v>
      </c>
      <c r="F1019" t="s">
        <v>10</v>
      </c>
    </row>
    <row r="1020" spans="1:6" hidden="1" x14ac:dyDescent="0.35">
      <c r="A1020" t="s">
        <v>20</v>
      </c>
      <c r="B1020" t="s">
        <v>38</v>
      </c>
      <c r="C1020" t="s">
        <v>28</v>
      </c>
      <c r="D1020">
        <v>0</v>
      </c>
      <c r="E1020" t="s">
        <v>9</v>
      </c>
      <c r="F1020" t="s">
        <v>10</v>
      </c>
    </row>
    <row r="1021" spans="1:6" hidden="1" x14ac:dyDescent="0.35">
      <c r="A1021" t="s">
        <v>21</v>
      </c>
      <c r="B1021" t="s">
        <v>38</v>
      </c>
      <c r="C1021" t="s">
        <v>28</v>
      </c>
      <c r="D1021">
        <v>0</v>
      </c>
      <c r="E1021" t="s">
        <v>9</v>
      </c>
      <c r="F1021" t="s">
        <v>10</v>
      </c>
    </row>
    <row r="1022" spans="1:6" hidden="1" x14ac:dyDescent="0.35">
      <c r="A1022" t="s">
        <v>6</v>
      </c>
      <c r="B1022" t="s">
        <v>38</v>
      </c>
      <c r="C1022" t="s">
        <v>29</v>
      </c>
      <c r="E1022" t="s">
        <v>9</v>
      </c>
      <c r="F1022" t="s">
        <v>10</v>
      </c>
    </row>
    <row r="1023" spans="1:6" hidden="1" x14ac:dyDescent="0.35">
      <c r="A1023" t="s">
        <v>11</v>
      </c>
      <c r="B1023" t="s">
        <v>38</v>
      </c>
      <c r="C1023" t="s">
        <v>29</v>
      </c>
      <c r="E1023" t="s">
        <v>9</v>
      </c>
      <c r="F1023" t="s">
        <v>10</v>
      </c>
    </row>
    <row r="1024" spans="1:6" hidden="1" x14ac:dyDescent="0.35">
      <c r="A1024" t="s">
        <v>12</v>
      </c>
      <c r="B1024" t="s">
        <v>38</v>
      </c>
      <c r="C1024" t="s">
        <v>29</v>
      </c>
      <c r="E1024" t="s">
        <v>9</v>
      </c>
      <c r="F1024" t="s">
        <v>10</v>
      </c>
    </row>
    <row r="1025" spans="1:6" hidden="1" x14ac:dyDescent="0.35">
      <c r="A1025" t="s">
        <v>13</v>
      </c>
      <c r="B1025" t="s">
        <v>38</v>
      </c>
      <c r="C1025" t="s">
        <v>29</v>
      </c>
      <c r="E1025" t="s">
        <v>9</v>
      </c>
      <c r="F1025" t="s">
        <v>10</v>
      </c>
    </row>
    <row r="1026" spans="1:6" hidden="1" x14ac:dyDescent="0.35">
      <c r="A1026" t="s">
        <v>14</v>
      </c>
      <c r="B1026" t="s">
        <v>38</v>
      </c>
      <c r="C1026" t="s">
        <v>29</v>
      </c>
      <c r="E1026" t="s">
        <v>9</v>
      </c>
      <c r="F1026" t="s">
        <v>10</v>
      </c>
    </row>
    <row r="1027" spans="1:6" hidden="1" x14ac:dyDescent="0.35">
      <c r="A1027" t="s">
        <v>15</v>
      </c>
      <c r="B1027" t="s">
        <v>38</v>
      </c>
      <c r="C1027" t="s">
        <v>29</v>
      </c>
      <c r="E1027" t="s">
        <v>9</v>
      </c>
      <c r="F1027" t="s">
        <v>10</v>
      </c>
    </row>
    <row r="1028" spans="1:6" hidden="1" x14ac:dyDescent="0.35">
      <c r="A1028" t="s">
        <v>16</v>
      </c>
      <c r="B1028" t="s">
        <v>38</v>
      </c>
      <c r="C1028" t="s">
        <v>29</v>
      </c>
      <c r="E1028" t="s">
        <v>9</v>
      </c>
      <c r="F1028" t="s">
        <v>10</v>
      </c>
    </row>
    <row r="1029" spans="1:6" hidden="1" x14ac:dyDescent="0.35">
      <c r="A1029" t="s">
        <v>17</v>
      </c>
      <c r="B1029" t="s">
        <v>38</v>
      </c>
      <c r="C1029" t="s">
        <v>29</v>
      </c>
      <c r="E1029" t="s">
        <v>9</v>
      </c>
      <c r="F1029" t="s">
        <v>10</v>
      </c>
    </row>
    <row r="1030" spans="1:6" hidden="1" x14ac:dyDescent="0.35">
      <c r="A1030" t="s">
        <v>18</v>
      </c>
      <c r="B1030" t="s">
        <v>38</v>
      </c>
      <c r="C1030" t="s">
        <v>29</v>
      </c>
      <c r="E1030" t="s">
        <v>9</v>
      </c>
      <c r="F1030" t="s">
        <v>10</v>
      </c>
    </row>
    <row r="1031" spans="1:6" hidden="1" x14ac:dyDescent="0.35">
      <c r="A1031" t="s">
        <v>19</v>
      </c>
      <c r="B1031" t="s">
        <v>38</v>
      </c>
      <c r="C1031" t="s">
        <v>29</v>
      </c>
      <c r="E1031" t="s">
        <v>9</v>
      </c>
      <c r="F1031" t="s">
        <v>10</v>
      </c>
    </row>
    <row r="1032" spans="1:6" hidden="1" x14ac:dyDescent="0.35">
      <c r="A1032" t="s">
        <v>20</v>
      </c>
      <c r="B1032" t="s">
        <v>38</v>
      </c>
      <c r="C1032" t="s">
        <v>29</v>
      </c>
      <c r="E1032" t="s">
        <v>9</v>
      </c>
      <c r="F1032" t="s">
        <v>10</v>
      </c>
    </row>
    <row r="1033" spans="1:6" hidden="1" x14ac:dyDescent="0.35">
      <c r="A1033" t="s">
        <v>21</v>
      </c>
      <c r="B1033" t="s">
        <v>38</v>
      </c>
      <c r="C1033" t="s">
        <v>29</v>
      </c>
      <c r="E1033" t="s">
        <v>9</v>
      </c>
      <c r="F1033" t="s">
        <v>10</v>
      </c>
    </row>
    <row r="1034" spans="1:6" hidden="1" x14ac:dyDescent="0.35">
      <c r="A1034" t="s">
        <v>6</v>
      </c>
      <c r="B1034" t="s">
        <v>38</v>
      </c>
      <c r="C1034" t="s">
        <v>30</v>
      </c>
      <c r="E1034" t="s">
        <v>9</v>
      </c>
      <c r="F1034" t="s">
        <v>10</v>
      </c>
    </row>
    <row r="1035" spans="1:6" hidden="1" x14ac:dyDescent="0.35">
      <c r="A1035" t="s">
        <v>11</v>
      </c>
      <c r="B1035" t="s">
        <v>38</v>
      </c>
      <c r="C1035" t="s">
        <v>30</v>
      </c>
      <c r="E1035" t="s">
        <v>9</v>
      </c>
      <c r="F1035" t="s">
        <v>10</v>
      </c>
    </row>
    <row r="1036" spans="1:6" hidden="1" x14ac:dyDescent="0.35">
      <c r="A1036" t="s">
        <v>12</v>
      </c>
      <c r="B1036" t="s">
        <v>38</v>
      </c>
      <c r="C1036" t="s">
        <v>30</v>
      </c>
      <c r="E1036" t="s">
        <v>9</v>
      </c>
      <c r="F1036" t="s">
        <v>10</v>
      </c>
    </row>
    <row r="1037" spans="1:6" hidden="1" x14ac:dyDescent="0.35">
      <c r="A1037" t="s">
        <v>13</v>
      </c>
      <c r="B1037" t="s">
        <v>38</v>
      </c>
      <c r="C1037" t="s">
        <v>30</v>
      </c>
      <c r="E1037" t="s">
        <v>9</v>
      </c>
      <c r="F1037" t="s">
        <v>10</v>
      </c>
    </row>
    <row r="1038" spans="1:6" hidden="1" x14ac:dyDescent="0.35">
      <c r="A1038" t="s">
        <v>14</v>
      </c>
      <c r="B1038" t="s">
        <v>38</v>
      </c>
      <c r="C1038" t="s">
        <v>30</v>
      </c>
      <c r="E1038" t="s">
        <v>9</v>
      </c>
      <c r="F1038" t="s">
        <v>10</v>
      </c>
    </row>
    <row r="1039" spans="1:6" hidden="1" x14ac:dyDescent="0.35">
      <c r="A1039" t="s">
        <v>15</v>
      </c>
      <c r="B1039" t="s">
        <v>38</v>
      </c>
      <c r="C1039" t="s">
        <v>30</v>
      </c>
      <c r="E1039" t="s">
        <v>9</v>
      </c>
      <c r="F1039" t="s">
        <v>10</v>
      </c>
    </row>
    <row r="1040" spans="1:6" hidden="1" x14ac:dyDescent="0.35">
      <c r="A1040" t="s">
        <v>16</v>
      </c>
      <c r="B1040" t="s">
        <v>38</v>
      </c>
      <c r="C1040" t="s">
        <v>30</v>
      </c>
      <c r="E1040" t="s">
        <v>9</v>
      </c>
      <c r="F1040" t="s">
        <v>10</v>
      </c>
    </row>
    <row r="1041" spans="1:6" hidden="1" x14ac:dyDescent="0.35">
      <c r="A1041" t="s">
        <v>17</v>
      </c>
      <c r="B1041" t="s">
        <v>38</v>
      </c>
      <c r="C1041" t="s">
        <v>30</v>
      </c>
      <c r="E1041" t="s">
        <v>9</v>
      </c>
      <c r="F1041" t="s">
        <v>10</v>
      </c>
    </row>
    <row r="1042" spans="1:6" hidden="1" x14ac:dyDescent="0.35">
      <c r="A1042" t="s">
        <v>18</v>
      </c>
      <c r="B1042" t="s">
        <v>38</v>
      </c>
      <c r="C1042" t="s">
        <v>30</v>
      </c>
      <c r="E1042" t="s">
        <v>9</v>
      </c>
      <c r="F1042" t="s">
        <v>10</v>
      </c>
    </row>
    <row r="1043" spans="1:6" hidden="1" x14ac:dyDescent="0.35">
      <c r="A1043" t="s">
        <v>19</v>
      </c>
      <c r="B1043" t="s">
        <v>38</v>
      </c>
      <c r="C1043" t="s">
        <v>30</v>
      </c>
      <c r="E1043" t="s">
        <v>9</v>
      </c>
      <c r="F1043" t="s">
        <v>10</v>
      </c>
    </row>
    <row r="1044" spans="1:6" hidden="1" x14ac:dyDescent="0.35">
      <c r="A1044" t="s">
        <v>20</v>
      </c>
      <c r="B1044" t="s">
        <v>38</v>
      </c>
      <c r="C1044" t="s">
        <v>30</v>
      </c>
      <c r="E1044" t="s">
        <v>9</v>
      </c>
      <c r="F1044" t="s">
        <v>10</v>
      </c>
    </row>
    <row r="1045" spans="1:6" hidden="1" x14ac:dyDescent="0.35">
      <c r="A1045" t="s">
        <v>21</v>
      </c>
      <c r="B1045" t="s">
        <v>38</v>
      </c>
      <c r="C1045" t="s">
        <v>30</v>
      </c>
      <c r="E1045" t="s">
        <v>9</v>
      </c>
      <c r="F1045" t="s">
        <v>10</v>
      </c>
    </row>
    <row r="1046" spans="1:6" hidden="1" x14ac:dyDescent="0.35">
      <c r="A1046" t="s">
        <v>6</v>
      </c>
      <c r="B1046" t="s">
        <v>38</v>
      </c>
      <c r="C1046" t="s">
        <v>31</v>
      </c>
      <c r="E1046" t="s">
        <v>9</v>
      </c>
      <c r="F1046" t="s">
        <v>10</v>
      </c>
    </row>
    <row r="1047" spans="1:6" hidden="1" x14ac:dyDescent="0.35">
      <c r="A1047" t="s">
        <v>11</v>
      </c>
      <c r="B1047" t="s">
        <v>38</v>
      </c>
      <c r="C1047" t="s">
        <v>31</v>
      </c>
      <c r="E1047" t="s">
        <v>9</v>
      </c>
      <c r="F1047" t="s">
        <v>10</v>
      </c>
    </row>
    <row r="1048" spans="1:6" hidden="1" x14ac:dyDescent="0.35">
      <c r="A1048" t="s">
        <v>12</v>
      </c>
      <c r="B1048" t="s">
        <v>38</v>
      </c>
      <c r="C1048" t="s">
        <v>31</v>
      </c>
      <c r="E1048" t="s">
        <v>9</v>
      </c>
      <c r="F1048" t="s">
        <v>10</v>
      </c>
    </row>
    <row r="1049" spans="1:6" hidden="1" x14ac:dyDescent="0.35">
      <c r="A1049" t="s">
        <v>13</v>
      </c>
      <c r="B1049" t="s">
        <v>38</v>
      </c>
      <c r="C1049" t="s">
        <v>31</v>
      </c>
      <c r="E1049" t="s">
        <v>9</v>
      </c>
      <c r="F1049" t="s">
        <v>10</v>
      </c>
    </row>
    <row r="1050" spans="1:6" hidden="1" x14ac:dyDescent="0.35">
      <c r="A1050" t="s">
        <v>14</v>
      </c>
      <c r="B1050" t="s">
        <v>38</v>
      </c>
      <c r="C1050" t="s">
        <v>31</v>
      </c>
      <c r="E1050" t="s">
        <v>9</v>
      </c>
      <c r="F1050" t="s">
        <v>10</v>
      </c>
    </row>
    <row r="1051" spans="1:6" hidden="1" x14ac:dyDescent="0.35">
      <c r="A1051" t="s">
        <v>15</v>
      </c>
      <c r="B1051" t="s">
        <v>38</v>
      </c>
      <c r="C1051" t="s">
        <v>31</v>
      </c>
      <c r="E1051" t="s">
        <v>9</v>
      </c>
      <c r="F1051" t="s">
        <v>10</v>
      </c>
    </row>
    <row r="1052" spans="1:6" hidden="1" x14ac:dyDescent="0.35">
      <c r="A1052" t="s">
        <v>16</v>
      </c>
      <c r="B1052" t="s">
        <v>38</v>
      </c>
      <c r="C1052" t="s">
        <v>31</v>
      </c>
      <c r="E1052" t="s">
        <v>9</v>
      </c>
      <c r="F1052" t="s">
        <v>10</v>
      </c>
    </row>
    <row r="1053" spans="1:6" hidden="1" x14ac:dyDescent="0.35">
      <c r="A1053" t="s">
        <v>17</v>
      </c>
      <c r="B1053" t="s">
        <v>38</v>
      </c>
      <c r="C1053" t="s">
        <v>31</v>
      </c>
      <c r="E1053" t="s">
        <v>9</v>
      </c>
      <c r="F1053" t="s">
        <v>10</v>
      </c>
    </row>
    <row r="1054" spans="1:6" hidden="1" x14ac:dyDescent="0.35">
      <c r="A1054" t="s">
        <v>18</v>
      </c>
      <c r="B1054" t="s">
        <v>38</v>
      </c>
      <c r="C1054" t="s">
        <v>31</v>
      </c>
      <c r="E1054" t="s">
        <v>9</v>
      </c>
      <c r="F1054" t="s">
        <v>10</v>
      </c>
    </row>
    <row r="1055" spans="1:6" hidden="1" x14ac:dyDescent="0.35">
      <c r="A1055" t="s">
        <v>19</v>
      </c>
      <c r="B1055" t="s">
        <v>38</v>
      </c>
      <c r="C1055" t="s">
        <v>31</v>
      </c>
      <c r="E1055" t="s">
        <v>9</v>
      </c>
      <c r="F1055" t="s">
        <v>10</v>
      </c>
    </row>
    <row r="1056" spans="1:6" hidden="1" x14ac:dyDescent="0.35">
      <c r="A1056" t="s">
        <v>20</v>
      </c>
      <c r="B1056" t="s">
        <v>38</v>
      </c>
      <c r="C1056" t="s">
        <v>31</v>
      </c>
      <c r="E1056" t="s">
        <v>9</v>
      </c>
      <c r="F1056" t="s">
        <v>10</v>
      </c>
    </row>
    <row r="1057" spans="1:6" hidden="1" x14ac:dyDescent="0.35">
      <c r="A1057" t="s">
        <v>21</v>
      </c>
      <c r="B1057" t="s">
        <v>38</v>
      </c>
      <c r="C1057" t="s">
        <v>31</v>
      </c>
      <c r="E1057" t="s">
        <v>9</v>
      </c>
      <c r="F1057" t="s">
        <v>10</v>
      </c>
    </row>
    <row r="1058" spans="1:6" hidden="1" x14ac:dyDescent="0.35">
      <c r="A1058" t="s">
        <v>6</v>
      </c>
      <c r="B1058" t="s">
        <v>39</v>
      </c>
      <c r="C1058" t="s">
        <v>8</v>
      </c>
      <c r="D1058">
        <v>0</v>
      </c>
      <c r="E1058" t="s">
        <v>9</v>
      </c>
      <c r="F1058" t="s">
        <v>10</v>
      </c>
    </row>
    <row r="1059" spans="1:6" hidden="1" x14ac:dyDescent="0.35">
      <c r="A1059" t="s">
        <v>11</v>
      </c>
      <c r="B1059" t="s">
        <v>39</v>
      </c>
      <c r="C1059" t="s">
        <v>8</v>
      </c>
      <c r="D1059">
        <v>0</v>
      </c>
      <c r="E1059" t="s">
        <v>9</v>
      </c>
      <c r="F1059" t="s">
        <v>10</v>
      </c>
    </row>
    <row r="1060" spans="1:6" hidden="1" x14ac:dyDescent="0.35">
      <c r="A1060" t="s">
        <v>12</v>
      </c>
      <c r="B1060" t="s">
        <v>39</v>
      </c>
      <c r="C1060" t="s">
        <v>8</v>
      </c>
      <c r="D1060">
        <v>0</v>
      </c>
      <c r="E1060" t="s">
        <v>9</v>
      </c>
      <c r="F1060" t="s">
        <v>10</v>
      </c>
    </row>
    <row r="1061" spans="1:6" hidden="1" x14ac:dyDescent="0.35">
      <c r="A1061" t="s">
        <v>13</v>
      </c>
      <c r="B1061" t="s">
        <v>39</v>
      </c>
      <c r="C1061" t="s">
        <v>8</v>
      </c>
      <c r="D1061">
        <v>0</v>
      </c>
      <c r="E1061" t="s">
        <v>9</v>
      </c>
      <c r="F1061" t="s">
        <v>10</v>
      </c>
    </row>
    <row r="1062" spans="1:6" hidden="1" x14ac:dyDescent="0.35">
      <c r="A1062" t="s">
        <v>14</v>
      </c>
      <c r="B1062" t="s">
        <v>39</v>
      </c>
      <c r="C1062" t="s">
        <v>8</v>
      </c>
      <c r="D1062">
        <v>0</v>
      </c>
      <c r="E1062" t="s">
        <v>9</v>
      </c>
      <c r="F1062" t="s">
        <v>10</v>
      </c>
    </row>
    <row r="1063" spans="1:6" hidden="1" x14ac:dyDescent="0.35">
      <c r="A1063" t="s">
        <v>15</v>
      </c>
      <c r="B1063" t="s">
        <v>39</v>
      </c>
      <c r="C1063" t="s">
        <v>8</v>
      </c>
      <c r="D1063">
        <v>42143</v>
      </c>
      <c r="E1063" t="s">
        <v>9</v>
      </c>
      <c r="F1063" t="s">
        <v>10</v>
      </c>
    </row>
    <row r="1064" spans="1:6" hidden="1" x14ac:dyDescent="0.35">
      <c r="A1064" t="s">
        <v>16</v>
      </c>
      <c r="B1064" t="s">
        <v>39</v>
      </c>
      <c r="C1064" t="s">
        <v>8</v>
      </c>
      <c r="D1064">
        <v>0</v>
      </c>
      <c r="E1064" t="s">
        <v>9</v>
      </c>
      <c r="F1064" t="s">
        <v>10</v>
      </c>
    </row>
    <row r="1065" spans="1:6" hidden="1" x14ac:dyDescent="0.35">
      <c r="A1065" t="s">
        <v>17</v>
      </c>
      <c r="B1065" t="s">
        <v>39</v>
      </c>
      <c r="C1065" t="s">
        <v>8</v>
      </c>
      <c r="D1065">
        <v>0</v>
      </c>
      <c r="E1065" t="s">
        <v>9</v>
      </c>
      <c r="F1065" t="s">
        <v>10</v>
      </c>
    </row>
    <row r="1066" spans="1:6" hidden="1" x14ac:dyDescent="0.35">
      <c r="A1066" t="s">
        <v>18</v>
      </c>
      <c r="B1066" t="s">
        <v>39</v>
      </c>
      <c r="C1066" t="s">
        <v>8</v>
      </c>
      <c r="D1066">
        <v>0</v>
      </c>
      <c r="E1066" t="s">
        <v>9</v>
      </c>
      <c r="F1066" t="s">
        <v>10</v>
      </c>
    </row>
    <row r="1067" spans="1:6" hidden="1" x14ac:dyDescent="0.35">
      <c r="A1067" t="s">
        <v>19</v>
      </c>
      <c r="B1067" t="s">
        <v>39</v>
      </c>
      <c r="C1067" t="s">
        <v>8</v>
      </c>
      <c r="D1067">
        <v>0</v>
      </c>
      <c r="E1067" t="s">
        <v>9</v>
      </c>
      <c r="F1067" t="s">
        <v>10</v>
      </c>
    </row>
    <row r="1068" spans="1:6" hidden="1" x14ac:dyDescent="0.35">
      <c r="A1068" t="s">
        <v>20</v>
      </c>
      <c r="B1068" t="s">
        <v>39</v>
      </c>
      <c r="C1068" t="s">
        <v>8</v>
      </c>
      <c r="D1068">
        <v>0</v>
      </c>
      <c r="E1068" t="s">
        <v>9</v>
      </c>
      <c r="F1068" t="s">
        <v>10</v>
      </c>
    </row>
    <row r="1069" spans="1:6" hidden="1" x14ac:dyDescent="0.35">
      <c r="A1069" t="s">
        <v>21</v>
      </c>
      <c r="B1069" t="s">
        <v>39</v>
      </c>
      <c r="C1069" t="s">
        <v>8</v>
      </c>
      <c r="D1069">
        <v>0</v>
      </c>
      <c r="E1069" t="s">
        <v>9</v>
      </c>
      <c r="F1069" t="s">
        <v>10</v>
      </c>
    </row>
    <row r="1070" spans="1:6" hidden="1" x14ac:dyDescent="0.35">
      <c r="A1070" t="s">
        <v>6</v>
      </c>
      <c r="B1070" t="s">
        <v>39</v>
      </c>
      <c r="C1070" t="s">
        <v>22</v>
      </c>
      <c r="D1070">
        <v>0</v>
      </c>
      <c r="E1070" t="s">
        <v>9</v>
      </c>
      <c r="F1070" t="s">
        <v>10</v>
      </c>
    </row>
    <row r="1071" spans="1:6" hidden="1" x14ac:dyDescent="0.35">
      <c r="A1071" t="s">
        <v>11</v>
      </c>
      <c r="B1071" t="s">
        <v>39</v>
      </c>
      <c r="C1071" t="s">
        <v>22</v>
      </c>
      <c r="D1071">
        <v>0</v>
      </c>
      <c r="E1071" t="s">
        <v>9</v>
      </c>
      <c r="F1071" t="s">
        <v>10</v>
      </c>
    </row>
    <row r="1072" spans="1:6" hidden="1" x14ac:dyDescent="0.35">
      <c r="A1072" t="s">
        <v>12</v>
      </c>
      <c r="B1072" t="s">
        <v>39</v>
      </c>
      <c r="C1072" t="s">
        <v>22</v>
      </c>
      <c r="D1072">
        <v>0</v>
      </c>
      <c r="E1072" t="s">
        <v>9</v>
      </c>
      <c r="F1072" t="s">
        <v>10</v>
      </c>
    </row>
    <row r="1073" spans="1:6" hidden="1" x14ac:dyDescent="0.35">
      <c r="A1073" t="s">
        <v>13</v>
      </c>
      <c r="B1073" t="s">
        <v>39</v>
      </c>
      <c r="C1073" t="s">
        <v>22</v>
      </c>
      <c r="D1073">
        <v>0</v>
      </c>
      <c r="E1073" t="s">
        <v>9</v>
      </c>
      <c r="F1073" t="s">
        <v>10</v>
      </c>
    </row>
    <row r="1074" spans="1:6" hidden="1" x14ac:dyDescent="0.35">
      <c r="A1074" t="s">
        <v>14</v>
      </c>
      <c r="B1074" t="s">
        <v>39</v>
      </c>
      <c r="C1074" t="s">
        <v>22</v>
      </c>
      <c r="D1074">
        <v>0</v>
      </c>
      <c r="E1074" t="s">
        <v>9</v>
      </c>
      <c r="F1074" t="s">
        <v>10</v>
      </c>
    </row>
    <row r="1075" spans="1:6" hidden="1" x14ac:dyDescent="0.35">
      <c r="A1075" t="s">
        <v>15</v>
      </c>
      <c r="B1075" t="s">
        <v>39</v>
      </c>
      <c r="C1075" t="s">
        <v>22</v>
      </c>
      <c r="D1075">
        <v>0</v>
      </c>
      <c r="E1075" t="s">
        <v>9</v>
      </c>
      <c r="F1075" t="s">
        <v>10</v>
      </c>
    </row>
    <row r="1076" spans="1:6" hidden="1" x14ac:dyDescent="0.35">
      <c r="A1076" t="s">
        <v>16</v>
      </c>
      <c r="B1076" t="s">
        <v>39</v>
      </c>
      <c r="C1076" t="s">
        <v>22</v>
      </c>
      <c r="D1076">
        <v>0</v>
      </c>
      <c r="E1076" t="s">
        <v>9</v>
      </c>
      <c r="F1076" t="s">
        <v>10</v>
      </c>
    </row>
    <row r="1077" spans="1:6" hidden="1" x14ac:dyDescent="0.35">
      <c r="A1077" t="s">
        <v>17</v>
      </c>
      <c r="B1077" t="s">
        <v>39</v>
      </c>
      <c r="C1077" t="s">
        <v>22</v>
      </c>
      <c r="D1077">
        <v>0</v>
      </c>
      <c r="E1077" t="s">
        <v>9</v>
      </c>
      <c r="F1077" t="s">
        <v>10</v>
      </c>
    </row>
    <row r="1078" spans="1:6" hidden="1" x14ac:dyDescent="0.35">
      <c r="A1078" t="s">
        <v>18</v>
      </c>
      <c r="B1078" t="s">
        <v>39</v>
      </c>
      <c r="C1078" t="s">
        <v>22</v>
      </c>
      <c r="D1078">
        <v>0</v>
      </c>
      <c r="E1078" t="s">
        <v>9</v>
      </c>
      <c r="F1078" t="s">
        <v>10</v>
      </c>
    </row>
    <row r="1079" spans="1:6" hidden="1" x14ac:dyDescent="0.35">
      <c r="A1079" t="s">
        <v>19</v>
      </c>
      <c r="B1079" t="s">
        <v>39</v>
      </c>
      <c r="C1079" t="s">
        <v>22</v>
      </c>
      <c r="D1079">
        <v>0</v>
      </c>
      <c r="E1079" t="s">
        <v>9</v>
      </c>
      <c r="F1079" t="s">
        <v>10</v>
      </c>
    </row>
    <row r="1080" spans="1:6" hidden="1" x14ac:dyDescent="0.35">
      <c r="A1080" t="s">
        <v>20</v>
      </c>
      <c r="B1080" t="s">
        <v>39</v>
      </c>
      <c r="C1080" t="s">
        <v>22</v>
      </c>
      <c r="D1080">
        <v>0</v>
      </c>
      <c r="E1080" t="s">
        <v>9</v>
      </c>
      <c r="F1080" t="s">
        <v>10</v>
      </c>
    </row>
    <row r="1081" spans="1:6" hidden="1" x14ac:dyDescent="0.35">
      <c r="A1081" t="s">
        <v>21</v>
      </c>
      <c r="B1081" t="s">
        <v>39</v>
      </c>
      <c r="C1081" t="s">
        <v>22</v>
      </c>
      <c r="D1081">
        <v>0</v>
      </c>
      <c r="E1081" t="s">
        <v>9</v>
      </c>
      <c r="F1081" t="s">
        <v>10</v>
      </c>
    </row>
    <row r="1082" spans="1:6" hidden="1" x14ac:dyDescent="0.35">
      <c r="A1082" t="s">
        <v>6</v>
      </c>
      <c r="B1082" t="s">
        <v>39</v>
      </c>
      <c r="C1082" t="s">
        <v>23</v>
      </c>
      <c r="D1082">
        <v>0</v>
      </c>
      <c r="E1082" t="s">
        <v>9</v>
      </c>
      <c r="F1082" t="s">
        <v>10</v>
      </c>
    </row>
    <row r="1083" spans="1:6" hidden="1" x14ac:dyDescent="0.35">
      <c r="A1083" t="s">
        <v>11</v>
      </c>
      <c r="B1083" t="s">
        <v>39</v>
      </c>
      <c r="C1083" t="s">
        <v>23</v>
      </c>
      <c r="D1083">
        <v>0</v>
      </c>
      <c r="E1083" t="s">
        <v>9</v>
      </c>
      <c r="F1083" t="s">
        <v>10</v>
      </c>
    </row>
    <row r="1084" spans="1:6" hidden="1" x14ac:dyDescent="0.35">
      <c r="A1084" t="s">
        <v>12</v>
      </c>
      <c r="B1084" t="s">
        <v>39</v>
      </c>
      <c r="C1084" t="s">
        <v>23</v>
      </c>
      <c r="D1084">
        <v>0</v>
      </c>
      <c r="E1084" t="s">
        <v>9</v>
      </c>
      <c r="F1084" t="s">
        <v>10</v>
      </c>
    </row>
    <row r="1085" spans="1:6" hidden="1" x14ac:dyDescent="0.35">
      <c r="A1085" t="s">
        <v>13</v>
      </c>
      <c r="B1085" t="s">
        <v>39</v>
      </c>
      <c r="C1085" t="s">
        <v>23</v>
      </c>
      <c r="D1085">
        <v>0</v>
      </c>
      <c r="E1085" t="s">
        <v>9</v>
      </c>
      <c r="F1085" t="s">
        <v>10</v>
      </c>
    </row>
    <row r="1086" spans="1:6" hidden="1" x14ac:dyDescent="0.35">
      <c r="A1086" t="s">
        <v>14</v>
      </c>
      <c r="B1086" t="s">
        <v>39</v>
      </c>
      <c r="C1086" t="s">
        <v>23</v>
      </c>
      <c r="D1086">
        <v>0</v>
      </c>
      <c r="E1086" t="s">
        <v>9</v>
      </c>
      <c r="F1086" t="s">
        <v>10</v>
      </c>
    </row>
    <row r="1087" spans="1:6" hidden="1" x14ac:dyDescent="0.35">
      <c r="A1087" t="s">
        <v>15</v>
      </c>
      <c r="B1087" t="s">
        <v>39</v>
      </c>
      <c r="C1087" t="s">
        <v>23</v>
      </c>
      <c r="D1087">
        <v>0</v>
      </c>
      <c r="E1087" t="s">
        <v>9</v>
      </c>
      <c r="F1087" t="s">
        <v>10</v>
      </c>
    </row>
    <row r="1088" spans="1:6" hidden="1" x14ac:dyDescent="0.35">
      <c r="A1088" t="s">
        <v>16</v>
      </c>
      <c r="B1088" t="s">
        <v>39</v>
      </c>
      <c r="C1088" t="s">
        <v>23</v>
      </c>
      <c r="D1088">
        <v>0</v>
      </c>
      <c r="E1088" t="s">
        <v>9</v>
      </c>
      <c r="F1088" t="s">
        <v>10</v>
      </c>
    </row>
    <row r="1089" spans="1:6" hidden="1" x14ac:dyDescent="0.35">
      <c r="A1089" t="s">
        <v>17</v>
      </c>
      <c r="B1089" t="s">
        <v>39</v>
      </c>
      <c r="C1089" t="s">
        <v>23</v>
      </c>
      <c r="D1089">
        <v>0</v>
      </c>
      <c r="E1089" t="s">
        <v>9</v>
      </c>
      <c r="F1089" t="s">
        <v>10</v>
      </c>
    </row>
    <row r="1090" spans="1:6" hidden="1" x14ac:dyDescent="0.35">
      <c r="A1090" t="s">
        <v>18</v>
      </c>
      <c r="B1090" t="s">
        <v>39</v>
      </c>
      <c r="C1090" t="s">
        <v>23</v>
      </c>
      <c r="D1090">
        <v>0</v>
      </c>
      <c r="E1090" t="s">
        <v>9</v>
      </c>
      <c r="F1090" t="s">
        <v>10</v>
      </c>
    </row>
    <row r="1091" spans="1:6" hidden="1" x14ac:dyDescent="0.35">
      <c r="A1091" t="s">
        <v>19</v>
      </c>
      <c r="B1091" t="s">
        <v>39</v>
      </c>
      <c r="C1091" t="s">
        <v>23</v>
      </c>
      <c r="D1091">
        <v>0</v>
      </c>
      <c r="E1091" t="s">
        <v>9</v>
      </c>
      <c r="F1091" t="s">
        <v>10</v>
      </c>
    </row>
    <row r="1092" spans="1:6" hidden="1" x14ac:dyDescent="0.35">
      <c r="A1092" t="s">
        <v>20</v>
      </c>
      <c r="B1092" t="s">
        <v>39</v>
      </c>
      <c r="C1092" t="s">
        <v>23</v>
      </c>
      <c r="D1092">
        <v>0</v>
      </c>
      <c r="E1092" t="s">
        <v>9</v>
      </c>
      <c r="F1092" t="s">
        <v>10</v>
      </c>
    </row>
    <row r="1093" spans="1:6" hidden="1" x14ac:dyDescent="0.35">
      <c r="A1093" t="s">
        <v>21</v>
      </c>
      <c r="B1093" t="s">
        <v>39</v>
      </c>
      <c r="C1093" t="s">
        <v>23</v>
      </c>
      <c r="D1093">
        <v>0</v>
      </c>
      <c r="E1093" t="s">
        <v>9</v>
      </c>
      <c r="F1093" t="s">
        <v>10</v>
      </c>
    </row>
    <row r="1094" spans="1:6" hidden="1" x14ac:dyDescent="0.35">
      <c r="A1094" t="s">
        <v>6</v>
      </c>
      <c r="B1094" t="s">
        <v>39</v>
      </c>
      <c r="C1094" t="s">
        <v>24</v>
      </c>
      <c r="D1094">
        <v>0</v>
      </c>
      <c r="E1094" t="s">
        <v>9</v>
      </c>
      <c r="F1094" t="s">
        <v>10</v>
      </c>
    </row>
    <row r="1095" spans="1:6" hidden="1" x14ac:dyDescent="0.35">
      <c r="A1095" t="s">
        <v>11</v>
      </c>
      <c r="B1095" t="s">
        <v>39</v>
      </c>
      <c r="C1095" t="s">
        <v>24</v>
      </c>
      <c r="D1095">
        <v>0</v>
      </c>
      <c r="E1095" t="s">
        <v>9</v>
      </c>
      <c r="F1095" t="s">
        <v>10</v>
      </c>
    </row>
    <row r="1096" spans="1:6" hidden="1" x14ac:dyDescent="0.35">
      <c r="A1096" t="s">
        <v>12</v>
      </c>
      <c r="B1096" t="s">
        <v>39</v>
      </c>
      <c r="C1096" t="s">
        <v>24</v>
      </c>
      <c r="D1096">
        <v>0</v>
      </c>
      <c r="E1096" t="s">
        <v>9</v>
      </c>
      <c r="F1096" t="s">
        <v>10</v>
      </c>
    </row>
    <row r="1097" spans="1:6" hidden="1" x14ac:dyDescent="0.35">
      <c r="A1097" t="s">
        <v>13</v>
      </c>
      <c r="B1097" t="s">
        <v>39</v>
      </c>
      <c r="C1097" t="s">
        <v>24</v>
      </c>
      <c r="D1097">
        <v>0</v>
      </c>
      <c r="E1097" t="s">
        <v>9</v>
      </c>
      <c r="F1097" t="s">
        <v>10</v>
      </c>
    </row>
    <row r="1098" spans="1:6" hidden="1" x14ac:dyDescent="0.35">
      <c r="A1098" t="s">
        <v>14</v>
      </c>
      <c r="B1098" t="s">
        <v>39</v>
      </c>
      <c r="C1098" t="s">
        <v>24</v>
      </c>
      <c r="D1098">
        <v>0</v>
      </c>
      <c r="E1098" t="s">
        <v>9</v>
      </c>
      <c r="F1098" t="s">
        <v>10</v>
      </c>
    </row>
    <row r="1099" spans="1:6" hidden="1" x14ac:dyDescent="0.35">
      <c r="A1099" t="s">
        <v>15</v>
      </c>
      <c r="B1099" t="s">
        <v>39</v>
      </c>
      <c r="C1099" t="s">
        <v>24</v>
      </c>
      <c r="D1099">
        <v>0</v>
      </c>
      <c r="E1099" t="s">
        <v>9</v>
      </c>
      <c r="F1099" t="s">
        <v>10</v>
      </c>
    </row>
    <row r="1100" spans="1:6" hidden="1" x14ac:dyDescent="0.35">
      <c r="A1100" t="s">
        <v>16</v>
      </c>
      <c r="B1100" t="s">
        <v>39</v>
      </c>
      <c r="C1100" t="s">
        <v>24</v>
      </c>
      <c r="D1100">
        <v>0</v>
      </c>
      <c r="E1100" t="s">
        <v>9</v>
      </c>
      <c r="F1100" t="s">
        <v>10</v>
      </c>
    </row>
    <row r="1101" spans="1:6" hidden="1" x14ac:dyDescent="0.35">
      <c r="A1101" t="s">
        <v>17</v>
      </c>
      <c r="B1101" t="s">
        <v>39</v>
      </c>
      <c r="C1101" t="s">
        <v>24</v>
      </c>
      <c r="D1101">
        <v>0</v>
      </c>
      <c r="E1101" t="s">
        <v>9</v>
      </c>
      <c r="F1101" t="s">
        <v>10</v>
      </c>
    </row>
    <row r="1102" spans="1:6" hidden="1" x14ac:dyDescent="0.35">
      <c r="A1102" t="s">
        <v>18</v>
      </c>
      <c r="B1102" t="s">
        <v>39</v>
      </c>
      <c r="C1102" t="s">
        <v>24</v>
      </c>
      <c r="D1102">
        <v>0</v>
      </c>
      <c r="E1102" t="s">
        <v>9</v>
      </c>
      <c r="F1102" t="s">
        <v>10</v>
      </c>
    </row>
    <row r="1103" spans="1:6" hidden="1" x14ac:dyDescent="0.35">
      <c r="A1103" t="s">
        <v>19</v>
      </c>
      <c r="B1103" t="s">
        <v>39</v>
      </c>
      <c r="C1103" t="s">
        <v>24</v>
      </c>
      <c r="D1103">
        <v>0</v>
      </c>
      <c r="E1103" t="s">
        <v>9</v>
      </c>
      <c r="F1103" t="s">
        <v>10</v>
      </c>
    </row>
    <row r="1104" spans="1:6" hidden="1" x14ac:dyDescent="0.35">
      <c r="A1104" t="s">
        <v>20</v>
      </c>
      <c r="B1104" t="s">
        <v>39</v>
      </c>
      <c r="C1104" t="s">
        <v>24</v>
      </c>
      <c r="D1104">
        <v>0</v>
      </c>
      <c r="E1104" t="s">
        <v>9</v>
      </c>
      <c r="F1104" t="s">
        <v>10</v>
      </c>
    </row>
    <row r="1105" spans="1:6" hidden="1" x14ac:dyDescent="0.35">
      <c r="A1105" t="s">
        <v>21</v>
      </c>
      <c r="B1105" t="s">
        <v>39</v>
      </c>
      <c r="C1105" t="s">
        <v>24</v>
      </c>
      <c r="D1105">
        <v>0</v>
      </c>
      <c r="E1105" t="s">
        <v>9</v>
      </c>
      <c r="F1105" t="s">
        <v>10</v>
      </c>
    </row>
    <row r="1106" spans="1:6" hidden="1" x14ac:dyDescent="0.35">
      <c r="A1106" t="s">
        <v>6</v>
      </c>
      <c r="B1106" t="s">
        <v>39</v>
      </c>
      <c r="C1106" t="s">
        <v>25</v>
      </c>
      <c r="D1106">
        <v>0</v>
      </c>
      <c r="E1106" t="s">
        <v>9</v>
      </c>
      <c r="F1106" t="s">
        <v>10</v>
      </c>
    </row>
    <row r="1107" spans="1:6" hidden="1" x14ac:dyDescent="0.35">
      <c r="A1107" t="s">
        <v>11</v>
      </c>
      <c r="B1107" t="s">
        <v>39</v>
      </c>
      <c r="C1107" t="s">
        <v>25</v>
      </c>
      <c r="D1107">
        <v>0</v>
      </c>
      <c r="E1107" t="s">
        <v>9</v>
      </c>
      <c r="F1107" t="s">
        <v>10</v>
      </c>
    </row>
    <row r="1108" spans="1:6" hidden="1" x14ac:dyDescent="0.35">
      <c r="A1108" t="s">
        <v>12</v>
      </c>
      <c r="B1108" t="s">
        <v>39</v>
      </c>
      <c r="C1108" t="s">
        <v>25</v>
      </c>
      <c r="D1108">
        <v>0</v>
      </c>
      <c r="E1108" t="s">
        <v>9</v>
      </c>
      <c r="F1108" t="s">
        <v>10</v>
      </c>
    </row>
    <row r="1109" spans="1:6" hidden="1" x14ac:dyDescent="0.35">
      <c r="A1109" t="s">
        <v>13</v>
      </c>
      <c r="B1109" t="s">
        <v>39</v>
      </c>
      <c r="C1109" t="s">
        <v>25</v>
      </c>
      <c r="D1109">
        <v>0</v>
      </c>
      <c r="E1109" t="s">
        <v>9</v>
      </c>
      <c r="F1109" t="s">
        <v>10</v>
      </c>
    </row>
    <row r="1110" spans="1:6" hidden="1" x14ac:dyDescent="0.35">
      <c r="A1110" t="s">
        <v>14</v>
      </c>
      <c r="B1110" t="s">
        <v>39</v>
      </c>
      <c r="C1110" t="s">
        <v>25</v>
      </c>
      <c r="D1110">
        <v>0</v>
      </c>
      <c r="E1110" t="s">
        <v>9</v>
      </c>
      <c r="F1110" t="s">
        <v>10</v>
      </c>
    </row>
    <row r="1111" spans="1:6" hidden="1" x14ac:dyDescent="0.35">
      <c r="A1111" t="s">
        <v>15</v>
      </c>
      <c r="B1111" t="s">
        <v>39</v>
      </c>
      <c r="C1111" t="s">
        <v>25</v>
      </c>
      <c r="D1111">
        <v>0</v>
      </c>
      <c r="E1111" t="s">
        <v>9</v>
      </c>
      <c r="F1111" t="s">
        <v>10</v>
      </c>
    </row>
    <row r="1112" spans="1:6" hidden="1" x14ac:dyDescent="0.35">
      <c r="A1112" t="s">
        <v>16</v>
      </c>
      <c r="B1112" t="s">
        <v>39</v>
      </c>
      <c r="C1112" t="s">
        <v>25</v>
      </c>
      <c r="D1112">
        <v>0</v>
      </c>
      <c r="E1112" t="s">
        <v>9</v>
      </c>
      <c r="F1112" t="s">
        <v>10</v>
      </c>
    </row>
    <row r="1113" spans="1:6" hidden="1" x14ac:dyDescent="0.35">
      <c r="A1113" t="s">
        <v>17</v>
      </c>
      <c r="B1113" t="s">
        <v>39</v>
      </c>
      <c r="C1113" t="s">
        <v>25</v>
      </c>
      <c r="D1113">
        <v>0</v>
      </c>
      <c r="E1113" t="s">
        <v>9</v>
      </c>
      <c r="F1113" t="s">
        <v>10</v>
      </c>
    </row>
    <row r="1114" spans="1:6" hidden="1" x14ac:dyDescent="0.35">
      <c r="A1114" t="s">
        <v>18</v>
      </c>
      <c r="B1114" t="s">
        <v>39</v>
      </c>
      <c r="C1114" t="s">
        <v>25</v>
      </c>
      <c r="D1114">
        <v>0</v>
      </c>
      <c r="E1114" t="s">
        <v>9</v>
      </c>
      <c r="F1114" t="s">
        <v>10</v>
      </c>
    </row>
    <row r="1115" spans="1:6" hidden="1" x14ac:dyDescent="0.35">
      <c r="A1115" t="s">
        <v>19</v>
      </c>
      <c r="B1115" t="s">
        <v>39</v>
      </c>
      <c r="C1115" t="s">
        <v>25</v>
      </c>
      <c r="D1115">
        <v>0</v>
      </c>
      <c r="E1115" t="s">
        <v>9</v>
      </c>
      <c r="F1115" t="s">
        <v>10</v>
      </c>
    </row>
    <row r="1116" spans="1:6" hidden="1" x14ac:dyDescent="0.35">
      <c r="A1116" t="s">
        <v>20</v>
      </c>
      <c r="B1116" t="s">
        <v>39</v>
      </c>
      <c r="C1116" t="s">
        <v>25</v>
      </c>
      <c r="D1116">
        <v>0</v>
      </c>
      <c r="E1116" t="s">
        <v>9</v>
      </c>
      <c r="F1116" t="s">
        <v>10</v>
      </c>
    </row>
    <row r="1117" spans="1:6" hidden="1" x14ac:dyDescent="0.35">
      <c r="A1117" t="s">
        <v>21</v>
      </c>
      <c r="B1117" t="s">
        <v>39</v>
      </c>
      <c r="C1117" t="s">
        <v>25</v>
      </c>
      <c r="D1117">
        <v>0</v>
      </c>
      <c r="E1117" t="s">
        <v>9</v>
      </c>
      <c r="F1117" t="s">
        <v>10</v>
      </c>
    </row>
    <row r="1118" spans="1:6" hidden="1" x14ac:dyDescent="0.35">
      <c r="A1118" t="s">
        <v>6</v>
      </c>
      <c r="B1118" t="s">
        <v>39</v>
      </c>
      <c r="C1118" t="s">
        <v>26</v>
      </c>
      <c r="D1118">
        <v>0</v>
      </c>
      <c r="E1118" t="s">
        <v>9</v>
      </c>
      <c r="F1118" t="s">
        <v>10</v>
      </c>
    </row>
    <row r="1119" spans="1:6" hidden="1" x14ac:dyDescent="0.35">
      <c r="A1119" t="s">
        <v>11</v>
      </c>
      <c r="B1119" t="s">
        <v>39</v>
      </c>
      <c r="C1119" t="s">
        <v>26</v>
      </c>
      <c r="E1119" t="s">
        <v>9</v>
      </c>
      <c r="F1119" t="s">
        <v>10</v>
      </c>
    </row>
    <row r="1120" spans="1:6" hidden="1" x14ac:dyDescent="0.35">
      <c r="A1120" t="s">
        <v>12</v>
      </c>
      <c r="B1120" t="s">
        <v>39</v>
      </c>
      <c r="C1120" t="s">
        <v>26</v>
      </c>
      <c r="E1120" t="s">
        <v>9</v>
      </c>
      <c r="F1120" t="s">
        <v>10</v>
      </c>
    </row>
    <row r="1121" spans="1:6" hidden="1" x14ac:dyDescent="0.35">
      <c r="A1121" t="s">
        <v>13</v>
      </c>
      <c r="B1121" t="s">
        <v>39</v>
      </c>
      <c r="C1121" t="s">
        <v>26</v>
      </c>
      <c r="E1121" t="s">
        <v>9</v>
      </c>
      <c r="F1121" t="s">
        <v>10</v>
      </c>
    </row>
    <row r="1122" spans="1:6" hidden="1" x14ac:dyDescent="0.35">
      <c r="A1122" t="s">
        <v>14</v>
      </c>
      <c r="B1122" t="s">
        <v>39</v>
      </c>
      <c r="C1122" t="s">
        <v>26</v>
      </c>
      <c r="E1122" t="s">
        <v>9</v>
      </c>
      <c r="F1122" t="s">
        <v>10</v>
      </c>
    </row>
    <row r="1123" spans="1:6" hidden="1" x14ac:dyDescent="0.35">
      <c r="A1123" t="s">
        <v>15</v>
      </c>
      <c r="B1123" t="s">
        <v>39</v>
      </c>
      <c r="C1123" t="s">
        <v>26</v>
      </c>
      <c r="E1123" t="s">
        <v>9</v>
      </c>
      <c r="F1123" t="s">
        <v>10</v>
      </c>
    </row>
    <row r="1124" spans="1:6" hidden="1" x14ac:dyDescent="0.35">
      <c r="A1124" t="s">
        <v>16</v>
      </c>
      <c r="B1124" t="s">
        <v>39</v>
      </c>
      <c r="C1124" t="s">
        <v>26</v>
      </c>
      <c r="E1124" t="s">
        <v>9</v>
      </c>
      <c r="F1124" t="s">
        <v>10</v>
      </c>
    </row>
    <row r="1125" spans="1:6" hidden="1" x14ac:dyDescent="0.35">
      <c r="A1125" t="s">
        <v>17</v>
      </c>
      <c r="B1125" t="s">
        <v>39</v>
      </c>
      <c r="C1125" t="s">
        <v>26</v>
      </c>
      <c r="E1125" t="s">
        <v>9</v>
      </c>
      <c r="F1125" t="s">
        <v>10</v>
      </c>
    </row>
    <row r="1126" spans="1:6" hidden="1" x14ac:dyDescent="0.35">
      <c r="A1126" t="s">
        <v>18</v>
      </c>
      <c r="B1126" t="s">
        <v>39</v>
      </c>
      <c r="C1126" t="s">
        <v>26</v>
      </c>
      <c r="E1126" t="s">
        <v>9</v>
      </c>
      <c r="F1126" t="s">
        <v>10</v>
      </c>
    </row>
    <row r="1127" spans="1:6" hidden="1" x14ac:dyDescent="0.35">
      <c r="A1127" t="s">
        <v>19</v>
      </c>
      <c r="B1127" t="s">
        <v>39</v>
      </c>
      <c r="C1127" t="s">
        <v>26</v>
      </c>
      <c r="E1127" t="s">
        <v>9</v>
      </c>
      <c r="F1127" t="s">
        <v>10</v>
      </c>
    </row>
    <row r="1128" spans="1:6" hidden="1" x14ac:dyDescent="0.35">
      <c r="A1128" t="s">
        <v>20</v>
      </c>
      <c r="B1128" t="s">
        <v>39</v>
      </c>
      <c r="C1128" t="s">
        <v>26</v>
      </c>
      <c r="E1128" t="s">
        <v>9</v>
      </c>
      <c r="F1128" t="s">
        <v>10</v>
      </c>
    </row>
    <row r="1129" spans="1:6" hidden="1" x14ac:dyDescent="0.35">
      <c r="A1129" t="s">
        <v>21</v>
      </c>
      <c r="B1129" t="s">
        <v>39</v>
      </c>
      <c r="C1129" t="s">
        <v>26</v>
      </c>
      <c r="E1129" t="s">
        <v>9</v>
      </c>
      <c r="F1129" t="s">
        <v>10</v>
      </c>
    </row>
    <row r="1130" spans="1:6" hidden="1" x14ac:dyDescent="0.35">
      <c r="A1130" t="s">
        <v>6</v>
      </c>
      <c r="B1130" t="s">
        <v>39</v>
      </c>
      <c r="C1130" t="s">
        <v>27</v>
      </c>
      <c r="D1130">
        <v>0</v>
      </c>
      <c r="E1130" t="s">
        <v>9</v>
      </c>
      <c r="F1130" t="s">
        <v>10</v>
      </c>
    </row>
    <row r="1131" spans="1:6" hidden="1" x14ac:dyDescent="0.35">
      <c r="A1131" t="s">
        <v>11</v>
      </c>
      <c r="B1131" t="s">
        <v>39</v>
      </c>
      <c r="C1131" t="s">
        <v>27</v>
      </c>
      <c r="D1131">
        <v>0</v>
      </c>
      <c r="E1131" t="s">
        <v>9</v>
      </c>
      <c r="F1131" t="s">
        <v>10</v>
      </c>
    </row>
    <row r="1132" spans="1:6" hidden="1" x14ac:dyDescent="0.35">
      <c r="A1132" t="s">
        <v>12</v>
      </c>
      <c r="B1132" t="s">
        <v>39</v>
      </c>
      <c r="C1132" t="s">
        <v>27</v>
      </c>
      <c r="D1132">
        <v>0</v>
      </c>
      <c r="E1132" t="s">
        <v>9</v>
      </c>
      <c r="F1132" t="s">
        <v>10</v>
      </c>
    </row>
    <row r="1133" spans="1:6" hidden="1" x14ac:dyDescent="0.35">
      <c r="A1133" t="s">
        <v>13</v>
      </c>
      <c r="B1133" t="s">
        <v>39</v>
      </c>
      <c r="C1133" t="s">
        <v>27</v>
      </c>
      <c r="D1133">
        <v>0</v>
      </c>
      <c r="E1133" t="s">
        <v>9</v>
      </c>
      <c r="F1133" t="s">
        <v>10</v>
      </c>
    </row>
    <row r="1134" spans="1:6" hidden="1" x14ac:dyDescent="0.35">
      <c r="A1134" t="s">
        <v>14</v>
      </c>
      <c r="B1134" t="s">
        <v>39</v>
      </c>
      <c r="C1134" t="s">
        <v>27</v>
      </c>
      <c r="D1134">
        <v>0</v>
      </c>
      <c r="E1134" t="s">
        <v>9</v>
      </c>
      <c r="F1134" t="s">
        <v>10</v>
      </c>
    </row>
    <row r="1135" spans="1:6" hidden="1" x14ac:dyDescent="0.35">
      <c r="A1135" t="s">
        <v>15</v>
      </c>
      <c r="B1135" t="s">
        <v>39</v>
      </c>
      <c r="C1135" t="s">
        <v>27</v>
      </c>
      <c r="D1135">
        <v>4771</v>
      </c>
      <c r="E1135" t="s">
        <v>9</v>
      </c>
      <c r="F1135" t="s">
        <v>10</v>
      </c>
    </row>
    <row r="1136" spans="1:6" hidden="1" x14ac:dyDescent="0.35">
      <c r="A1136" t="s">
        <v>16</v>
      </c>
      <c r="B1136" t="s">
        <v>39</v>
      </c>
      <c r="C1136" t="s">
        <v>27</v>
      </c>
      <c r="D1136">
        <v>0</v>
      </c>
      <c r="E1136" t="s">
        <v>9</v>
      </c>
      <c r="F1136" t="s">
        <v>10</v>
      </c>
    </row>
    <row r="1137" spans="1:6" hidden="1" x14ac:dyDescent="0.35">
      <c r="A1137" t="s">
        <v>17</v>
      </c>
      <c r="B1137" t="s">
        <v>39</v>
      </c>
      <c r="C1137" t="s">
        <v>27</v>
      </c>
      <c r="D1137">
        <v>0</v>
      </c>
      <c r="E1137" t="s">
        <v>9</v>
      </c>
      <c r="F1137" t="s">
        <v>10</v>
      </c>
    </row>
    <row r="1138" spans="1:6" hidden="1" x14ac:dyDescent="0.35">
      <c r="A1138" t="s">
        <v>18</v>
      </c>
      <c r="B1138" t="s">
        <v>39</v>
      </c>
      <c r="C1138" t="s">
        <v>27</v>
      </c>
      <c r="D1138">
        <v>0</v>
      </c>
      <c r="E1138" t="s">
        <v>9</v>
      </c>
      <c r="F1138" t="s">
        <v>10</v>
      </c>
    </row>
    <row r="1139" spans="1:6" hidden="1" x14ac:dyDescent="0.35">
      <c r="A1139" t="s">
        <v>19</v>
      </c>
      <c r="B1139" t="s">
        <v>39</v>
      </c>
      <c r="C1139" t="s">
        <v>27</v>
      </c>
      <c r="D1139">
        <v>0</v>
      </c>
      <c r="E1139" t="s">
        <v>9</v>
      </c>
      <c r="F1139" t="s">
        <v>10</v>
      </c>
    </row>
    <row r="1140" spans="1:6" hidden="1" x14ac:dyDescent="0.35">
      <c r="A1140" t="s">
        <v>20</v>
      </c>
      <c r="B1140" t="s">
        <v>39</v>
      </c>
      <c r="C1140" t="s">
        <v>27</v>
      </c>
      <c r="D1140">
        <v>0</v>
      </c>
      <c r="E1140" t="s">
        <v>9</v>
      </c>
      <c r="F1140" t="s">
        <v>10</v>
      </c>
    </row>
    <row r="1141" spans="1:6" hidden="1" x14ac:dyDescent="0.35">
      <c r="A1141" t="s">
        <v>21</v>
      </c>
      <c r="B1141" t="s">
        <v>39</v>
      </c>
      <c r="C1141" t="s">
        <v>27</v>
      </c>
      <c r="D1141">
        <v>0</v>
      </c>
      <c r="E1141" t="s">
        <v>9</v>
      </c>
      <c r="F1141" t="s">
        <v>10</v>
      </c>
    </row>
    <row r="1142" spans="1:6" hidden="1" x14ac:dyDescent="0.35">
      <c r="A1142" t="s">
        <v>6</v>
      </c>
      <c r="B1142" t="s">
        <v>39</v>
      </c>
      <c r="C1142" t="s">
        <v>28</v>
      </c>
      <c r="D1142">
        <v>0</v>
      </c>
      <c r="E1142" t="s">
        <v>9</v>
      </c>
      <c r="F1142" t="s">
        <v>10</v>
      </c>
    </row>
    <row r="1143" spans="1:6" hidden="1" x14ac:dyDescent="0.35">
      <c r="A1143" t="s">
        <v>11</v>
      </c>
      <c r="B1143" t="s">
        <v>39</v>
      </c>
      <c r="C1143" t="s">
        <v>28</v>
      </c>
      <c r="D1143">
        <v>0</v>
      </c>
      <c r="E1143" t="s">
        <v>9</v>
      </c>
      <c r="F1143" t="s">
        <v>10</v>
      </c>
    </row>
    <row r="1144" spans="1:6" hidden="1" x14ac:dyDescent="0.35">
      <c r="A1144" t="s">
        <v>12</v>
      </c>
      <c r="B1144" t="s">
        <v>39</v>
      </c>
      <c r="C1144" t="s">
        <v>28</v>
      </c>
      <c r="D1144">
        <v>0</v>
      </c>
      <c r="E1144" t="s">
        <v>9</v>
      </c>
      <c r="F1144" t="s">
        <v>10</v>
      </c>
    </row>
    <row r="1145" spans="1:6" hidden="1" x14ac:dyDescent="0.35">
      <c r="A1145" t="s">
        <v>13</v>
      </c>
      <c r="B1145" t="s">
        <v>39</v>
      </c>
      <c r="C1145" t="s">
        <v>28</v>
      </c>
      <c r="D1145">
        <v>0</v>
      </c>
      <c r="E1145" t="s">
        <v>9</v>
      </c>
      <c r="F1145" t="s">
        <v>10</v>
      </c>
    </row>
    <row r="1146" spans="1:6" hidden="1" x14ac:dyDescent="0.35">
      <c r="A1146" t="s">
        <v>14</v>
      </c>
      <c r="B1146" t="s">
        <v>39</v>
      </c>
      <c r="C1146" t="s">
        <v>28</v>
      </c>
      <c r="D1146">
        <v>0</v>
      </c>
      <c r="E1146" t="s">
        <v>9</v>
      </c>
      <c r="F1146" t="s">
        <v>10</v>
      </c>
    </row>
    <row r="1147" spans="1:6" hidden="1" x14ac:dyDescent="0.35">
      <c r="A1147" t="s">
        <v>15</v>
      </c>
      <c r="B1147" t="s">
        <v>39</v>
      </c>
      <c r="C1147" t="s">
        <v>28</v>
      </c>
      <c r="D1147">
        <v>84287</v>
      </c>
      <c r="E1147" t="s">
        <v>9</v>
      </c>
      <c r="F1147" t="s">
        <v>10</v>
      </c>
    </row>
    <row r="1148" spans="1:6" hidden="1" x14ac:dyDescent="0.35">
      <c r="A1148" t="s">
        <v>16</v>
      </c>
      <c r="B1148" t="s">
        <v>39</v>
      </c>
      <c r="C1148" t="s">
        <v>28</v>
      </c>
      <c r="D1148">
        <v>0</v>
      </c>
      <c r="E1148" t="s">
        <v>9</v>
      </c>
      <c r="F1148" t="s">
        <v>10</v>
      </c>
    </row>
    <row r="1149" spans="1:6" hidden="1" x14ac:dyDescent="0.35">
      <c r="A1149" t="s">
        <v>17</v>
      </c>
      <c r="B1149" t="s">
        <v>39</v>
      </c>
      <c r="C1149" t="s">
        <v>28</v>
      </c>
      <c r="D1149">
        <v>0</v>
      </c>
      <c r="E1149" t="s">
        <v>9</v>
      </c>
      <c r="F1149" t="s">
        <v>10</v>
      </c>
    </row>
    <row r="1150" spans="1:6" hidden="1" x14ac:dyDescent="0.35">
      <c r="A1150" t="s">
        <v>18</v>
      </c>
      <c r="B1150" t="s">
        <v>39</v>
      </c>
      <c r="C1150" t="s">
        <v>28</v>
      </c>
      <c r="D1150">
        <v>0</v>
      </c>
      <c r="E1150" t="s">
        <v>9</v>
      </c>
      <c r="F1150" t="s">
        <v>10</v>
      </c>
    </row>
    <row r="1151" spans="1:6" hidden="1" x14ac:dyDescent="0.35">
      <c r="A1151" t="s">
        <v>19</v>
      </c>
      <c r="B1151" t="s">
        <v>39</v>
      </c>
      <c r="C1151" t="s">
        <v>28</v>
      </c>
      <c r="D1151">
        <v>0</v>
      </c>
      <c r="E1151" t="s">
        <v>9</v>
      </c>
      <c r="F1151" t="s">
        <v>10</v>
      </c>
    </row>
    <row r="1152" spans="1:6" hidden="1" x14ac:dyDescent="0.35">
      <c r="A1152" t="s">
        <v>20</v>
      </c>
      <c r="B1152" t="s">
        <v>39</v>
      </c>
      <c r="C1152" t="s">
        <v>28</v>
      </c>
      <c r="D1152">
        <v>0</v>
      </c>
      <c r="E1152" t="s">
        <v>9</v>
      </c>
      <c r="F1152" t="s">
        <v>10</v>
      </c>
    </row>
    <row r="1153" spans="1:6" hidden="1" x14ac:dyDescent="0.35">
      <c r="A1153" t="s">
        <v>21</v>
      </c>
      <c r="B1153" t="s">
        <v>39</v>
      </c>
      <c r="C1153" t="s">
        <v>28</v>
      </c>
      <c r="D1153">
        <v>0</v>
      </c>
      <c r="E1153" t="s">
        <v>9</v>
      </c>
      <c r="F1153" t="s">
        <v>10</v>
      </c>
    </row>
    <row r="1154" spans="1:6" hidden="1" x14ac:dyDescent="0.35">
      <c r="A1154" t="s">
        <v>6</v>
      </c>
      <c r="B1154" t="s">
        <v>39</v>
      </c>
      <c r="C1154" t="s">
        <v>29</v>
      </c>
      <c r="E1154" t="s">
        <v>9</v>
      </c>
      <c r="F1154" t="s">
        <v>10</v>
      </c>
    </row>
    <row r="1155" spans="1:6" hidden="1" x14ac:dyDescent="0.35">
      <c r="A1155" t="s">
        <v>11</v>
      </c>
      <c r="B1155" t="s">
        <v>39</v>
      </c>
      <c r="C1155" t="s">
        <v>29</v>
      </c>
      <c r="E1155" t="s">
        <v>9</v>
      </c>
      <c r="F1155" t="s">
        <v>10</v>
      </c>
    </row>
    <row r="1156" spans="1:6" hidden="1" x14ac:dyDescent="0.35">
      <c r="A1156" t="s">
        <v>12</v>
      </c>
      <c r="B1156" t="s">
        <v>39</v>
      </c>
      <c r="C1156" t="s">
        <v>29</v>
      </c>
      <c r="E1156" t="s">
        <v>9</v>
      </c>
      <c r="F1156" t="s">
        <v>10</v>
      </c>
    </row>
    <row r="1157" spans="1:6" hidden="1" x14ac:dyDescent="0.35">
      <c r="A1157" t="s">
        <v>13</v>
      </c>
      <c r="B1157" t="s">
        <v>39</v>
      </c>
      <c r="C1157" t="s">
        <v>29</v>
      </c>
      <c r="E1157" t="s">
        <v>9</v>
      </c>
      <c r="F1157" t="s">
        <v>10</v>
      </c>
    </row>
    <row r="1158" spans="1:6" hidden="1" x14ac:dyDescent="0.35">
      <c r="A1158" t="s">
        <v>14</v>
      </c>
      <c r="B1158" t="s">
        <v>39</v>
      </c>
      <c r="C1158" t="s">
        <v>29</v>
      </c>
      <c r="E1158" t="s">
        <v>9</v>
      </c>
      <c r="F1158" t="s">
        <v>10</v>
      </c>
    </row>
    <row r="1159" spans="1:6" hidden="1" x14ac:dyDescent="0.35">
      <c r="A1159" t="s">
        <v>15</v>
      </c>
      <c r="B1159" t="s">
        <v>39</v>
      </c>
      <c r="C1159" t="s">
        <v>29</v>
      </c>
      <c r="E1159" t="s">
        <v>9</v>
      </c>
      <c r="F1159" t="s">
        <v>10</v>
      </c>
    </row>
    <row r="1160" spans="1:6" hidden="1" x14ac:dyDescent="0.35">
      <c r="A1160" t="s">
        <v>16</v>
      </c>
      <c r="B1160" t="s">
        <v>39</v>
      </c>
      <c r="C1160" t="s">
        <v>29</v>
      </c>
      <c r="E1160" t="s">
        <v>9</v>
      </c>
      <c r="F1160" t="s">
        <v>10</v>
      </c>
    </row>
    <row r="1161" spans="1:6" hidden="1" x14ac:dyDescent="0.35">
      <c r="A1161" t="s">
        <v>17</v>
      </c>
      <c r="B1161" t="s">
        <v>39</v>
      </c>
      <c r="C1161" t="s">
        <v>29</v>
      </c>
      <c r="E1161" t="s">
        <v>9</v>
      </c>
      <c r="F1161" t="s">
        <v>10</v>
      </c>
    </row>
    <row r="1162" spans="1:6" hidden="1" x14ac:dyDescent="0.35">
      <c r="A1162" t="s">
        <v>18</v>
      </c>
      <c r="B1162" t="s">
        <v>39</v>
      </c>
      <c r="C1162" t="s">
        <v>29</v>
      </c>
      <c r="E1162" t="s">
        <v>9</v>
      </c>
      <c r="F1162" t="s">
        <v>10</v>
      </c>
    </row>
    <row r="1163" spans="1:6" hidden="1" x14ac:dyDescent="0.35">
      <c r="A1163" t="s">
        <v>19</v>
      </c>
      <c r="B1163" t="s">
        <v>39</v>
      </c>
      <c r="C1163" t="s">
        <v>29</v>
      </c>
      <c r="E1163" t="s">
        <v>9</v>
      </c>
      <c r="F1163" t="s">
        <v>10</v>
      </c>
    </row>
    <row r="1164" spans="1:6" hidden="1" x14ac:dyDescent="0.35">
      <c r="A1164" t="s">
        <v>20</v>
      </c>
      <c r="B1164" t="s">
        <v>39</v>
      </c>
      <c r="C1164" t="s">
        <v>29</v>
      </c>
      <c r="E1164" t="s">
        <v>9</v>
      </c>
      <c r="F1164" t="s">
        <v>10</v>
      </c>
    </row>
    <row r="1165" spans="1:6" hidden="1" x14ac:dyDescent="0.35">
      <c r="A1165" t="s">
        <v>21</v>
      </c>
      <c r="B1165" t="s">
        <v>39</v>
      </c>
      <c r="C1165" t="s">
        <v>29</v>
      </c>
      <c r="E1165" t="s">
        <v>9</v>
      </c>
      <c r="F1165" t="s">
        <v>10</v>
      </c>
    </row>
    <row r="1166" spans="1:6" hidden="1" x14ac:dyDescent="0.35">
      <c r="A1166" t="s">
        <v>6</v>
      </c>
      <c r="B1166" t="s">
        <v>39</v>
      </c>
      <c r="C1166" t="s">
        <v>30</v>
      </c>
      <c r="E1166" t="s">
        <v>9</v>
      </c>
      <c r="F1166" t="s">
        <v>10</v>
      </c>
    </row>
    <row r="1167" spans="1:6" hidden="1" x14ac:dyDescent="0.35">
      <c r="A1167" t="s">
        <v>11</v>
      </c>
      <c r="B1167" t="s">
        <v>39</v>
      </c>
      <c r="C1167" t="s">
        <v>30</v>
      </c>
      <c r="E1167" t="s">
        <v>9</v>
      </c>
      <c r="F1167" t="s">
        <v>10</v>
      </c>
    </row>
    <row r="1168" spans="1:6" hidden="1" x14ac:dyDescent="0.35">
      <c r="A1168" t="s">
        <v>12</v>
      </c>
      <c r="B1168" t="s">
        <v>39</v>
      </c>
      <c r="C1168" t="s">
        <v>30</v>
      </c>
      <c r="E1168" t="s">
        <v>9</v>
      </c>
      <c r="F1168" t="s">
        <v>10</v>
      </c>
    </row>
    <row r="1169" spans="1:6" hidden="1" x14ac:dyDescent="0.35">
      <c r="A1169" t="s">
        <v>13</v>
      </c>
      <c r="B1169" t="s">
        <v>39</v>
      </c>
      <c r="C1169" t="s">
        <v>30</v>
      </c>
      <c r="E1169" t="s">
        <v>9</v>
      </c>
      <c r="F1169" t="s">
        <v>10</v>
      </c>
    </row>
    <row r="1170" spans="1:6" hidden="1" x14ac:dyDescent="0.35">
      <c r="A1170" t="s">
        <v>14</v>
      </c>
      <c r="B1170" t="s">
        <v>39</v>
      </c>
      <c r="C1170" t="s">
        <v>30</v>
      </c>
      <c r="E1170" t="s">
        <v>9</v>
      </c>
      <c r="F1170" t="s">
        <v>10</v>
      </c>
    </row>
    <row r="1171" spans="1:6" hidden="1" x14ac:dyDescent="0.35">
      <c r="A1171" t="s">
        <v>15</v>
      </c>
      <c r="B1171" t="s">
        <v>39</v>
      </c>
      <c r="C1171" t="s">
        <v>30</v>
      </c>
      <c r="E1171" t="s">
        <v>9</v>
      </c>
      <c r="F1171" t="s">
        <v>10</v>
      </c>
    </row>
    <row r="1172" spans="1:6" hidden="1" x14ac:dyDescent="0.35">
      <c r="A1172" t="s">
        <v>16</v>
      </c>
      <c r="B1172" t="s">
        <v>39</v>
      </c>
      <c r="C1172" t="s">
        <v>30</v>
      </c>
      <c r="D1172">
        <v>2</v>
      </c>
      <c r="E1172" t="s">
        <v>9</v>
      </c>
      <c r="F1172" t="s">
        <v>10</v>
      </c>
    </row>
    <row r="1173" spans="1:6" hidden="1" x14ac:dyDescent="0.35">
      <c r="A1173" t="s">
        <v>17</v>
      </c>
      <c r="B1173" t="s">
        <v>39</v>
      </c>
      <c r="C1173" t="s">
        <v>30</v>
      </c>
      <c r="E1173" t="s">
        <v>9</v>
      </c>
      <c r="F1173" t="s">
        <v>10</v>
      </c>
    </row>
    <row r="1174" spans="1:6" hidden="1" x14ac:dyDescent="0.35">
      <c r="A1174" t="s">
        <v>18</v>
      </c>
      <c r="B1174" t="s">
        <v>39</v>
      </c>
      <c r="C1174" t="s">
        <v>30</v>
      </c>
      <c r="E1174" t="s">
        <v>9</v>
      </c>
      <c r="F1174" t="s">
        <v>10</v>
      </c>
    </row>
    <row r="1175" spans="1:6" hidden="1" x14ac:dyDescent="0.35">
      <c r="A1175" t="s">
        <v>19</v>
      </c>
      <c r="B1175" t="s">
        <v>39</v>
      </c>
      <c r="C1175" t="s">
        <v>30</v>
      </c>
      <c r="E1175" t="s">
        <v>9</v>
      </c>
      <c r="F1175" t="s">
        <v>10</v>
      </c>
    </row>
    <row r="1176" spans="1:6" hidden="1" x14ac:dyDescent="0.35">
      <c r="A1176" t="s">
        <v>20</v>
      </c>
      <c r="B1176" t="s">
        <v>39</v>
      </c>
      <c r="C1176" t="s">
        <v>30</v>
      </c>
      <c r="E1176" t="s">
        <v>9</v>
      </c>
      <c r="F1176" t="s">
        <v>10</v>
      </c>
    </row>
    <row r="1177" spans="1:6" hidden="1" x14ac:dyDescent="0.35">
      <c r="A1177" t="s">
        <v>21</v>
      </c>
      <c r="B1177" t="s">
        <v>39</v>
      </c>
      <c r="C1177" t="s">
        <v>30</v>
      </c>
      <c r="E1177" t="s">
        <v>9</v>
      </c>
      <c r="F1177" t="s">
        <v>10</v>
      </c>
    </row>
    <row r="1178" spans="1:6" hidden="1" x14ac:dyDescent="0.35">
      <c r="A1178" t="s">
        <v>6</v>
      </c>
      <c r="B1178" t="s">
        <v>39</v>
      </c>
      <c r="C1178" t="s">
        <v>31</v>
      </c>
      <c r="E1178" t="s">
        <v>9</v>
      </c>
      <c r="F1178" t="s">
        <v>10</v>
      </c>
    </row>
    <row r="1179" spans="1:6" hidden="1" x14ac:dyDescent="0.35">
      <c r="A1179" t="s">
        <v>11</v>
      </c>
      <c r="B1179" t="s">
        <v>39</v>
      </c>
      <c r="C1179" t="s">
        <v>31</v>
      </c>
      <c r="E1179" t="s">
        <v>9</v>
      </c>
      <c r="F1179" t="s">
        <v>10</v>
      </c>
    </row>
    <row r="1180" spans="1:6" hidden="1" x14ac:dyDescent="0.35">
      <c r="A1180" t="s">
        <v>12</v>
      </c>
      <c r="B1180" t="s">
        <v>39</v>
      </c>
      <c r="C1180" t="s">
        <v>31</v>
      </c>
      <c r="E1180" t="s">
        <v>9</v>
      </c>
      <c r="F1180" t="s">
        <v>10</v>
      </c>
    </row>
    <row r="1181" spans="1:6" hidden="1" x14ac:dyDescent="0.35">
      <c r="A1181" t="s">
        <v>13</v>
      </c>
      <c r="B1181" t="s">
        <v>39</v>
      </c>
      <c r="C1181" t="s">
        <v>31</v>
      </c>
      <c r="E1181" t="s">
        <v>9</v>
      </c>
      <c r="F1181" t="s">
        <v>10</v>
      </c>
    </row>
    <row r="1182" spans="1:6" hidden="1" x14ac:dyDescent="0.35">
      <c r="A1182" t="s">
        <v>14</v>
      </c>
      <c r="B1182" t="s">
        <v>39</v>
      </c>
      <c r="C1182" t="s">
        <v>31</v>
      </c>
      <c r="E1182" t="s">
        <v>9</v>
      </c>
      <c r="F1182" t="s">
        <v>10</v>
      </c>
    </row>
    <row r="1183" spans="1:6" hidden="1" x14ac:dyDescent="0.35">
      <c r="A1183" t="s">
        <v>15</v>
      </c>
      <c r="B1183" t="s">
        <v>39</v>
      </c>
      <c r="C1183" t="s">
        <v>31</v>
      </c>
      <c r="E1183" t="s">
        <v>9</v>
      </c>
      <c r="F1183" t="s">
        <v>10</v>
      </c>
    </row>
    <row r="1184" spans="1:6" hidden="1" x14ac:dyDescent="0.35">
      <c r="A1184" t="s">
        <v>16</v>
      </c>
      <c r="B1184" t="s">
        <v>39</v>
      </c>
      <c r="C1184" t="s">
        <v>31</v>
      </c>
      <c r="E1184" t="s">
        <v>9</v>
      </c>
      <c r="F1184" t="s">
        <v>10</v>
      </c>
    </row>
    <row r="1185" spans="1:6" hidden="1" x14ac:dyDescent="0.35">
      <c r="A1185" t="s">
        <v>17</v>
      </c>
      <c r="B1185" t="s">
        <v>39</v>
      </c>
      <c r="C1185" t="s">
        <v>31</v>
      </c>
      <c r="E1185" t="s">
        <v>9</v>
      </c>
      <c r="F1185" t="s">
        <v>10</v>
      </c>
    </row>
    <row r="1186" spans="1:6" hidden="1" x14ac:dyDescent="0.35">
      <c r="A1186" t="s">
        <v>18</v>
      </c>
      <c r="B1186" t="s">
        <v>39</v>
      </c>
      <c r="C1186" t="s">
        <v>31</v>
      </c>
      <c r="E1186" t="s">
        <v>9</v>
      </c>
      <c r="F1186" t="s">
        <v>10</v>
      </c>
    </row>
    <row r="1187" spans="1:6" hidden="1" x14ac:dyDescent="0.35">
      <c r="A1187" t="s">
        <v>19</v>
      </c>
      <c r="B1187" t="s">
        <v>39</v>
      </c>
      <c r="C1187" t="s">
        <v>31</v>
      </c>
      <c r="E1187" t="s">
        <v>9</v>
      </c>
      <c r="F1187" t="s">
        <v>10</v>
      </c>
    </row>
    <row r="1188" spans="1:6" hidden="1" x14ac:dyDescent="0.35">
      <c r="A1188" t="s">
        <v>20</v>
      </c>
      <c r="B1188" t="s">
        <v>39</v>
      </c>
      <c r="C1188" t="s">
        <v>31</v>
      </c>
      <c r="E1188" t="s">
        <v>9</v>
      </c>
      <c r="F1188" t="s">
        <v>10</v>
      </c>
    </row>
    <row r="1189" spans="1:6" hidden="1" x14ac:dyDescent="0.35">
      <c r="A1189" t="s">
        <v>21</v>
      </c>
      <c r="B1189" t="s">
        <v>39</v>
      </c>
      <c r="C1189" t="s">
        <v>31</v>
      </c>
      <c r="E1189" t="s">
        <v>9</v>
      </c>
      <c r="F1189" t="s">
        <v>10</v>
      </c>
    </row>
    <row r="1190" spans="1:6" hidden="1" x14ac:dyDescent="0.35">
      <c r="A1190" t="s">
        <v>6</v>
      </c>
      <c r="B1190" t="s">
        <v>7</v>
      </c>
      <c r="C1190" t="s">
        <v>8</v>
      </c>
      <c r="D1190">
        <v>287172</v>
      </c>
      <c r="E1190" t="s">
        <v>40</v>
      </c>
      <c r="F1190" t="s">
        <v>10</v>
      </c>
    </row>
    <row r="1191" spans="1:6" hidden="1" x14ac:dyDescent="0.35">
      <c r="A1191" t="s">
        <v>11</v>
      </c>
      <c r="B1191" t="s">
        <v>7</v>
      </c>
      <c r="C1191" t="s">
        <v>8</v>
      </c>
      <c r="D1191">
        <v>194311</v>
      </c>
      <c r="E1191" t="s">
        <v>40</v>
      </c>
      <c r="F1191" t="s">
        <v>10</v>
      </c>
    </row>
    <row r="1192" spans="1:6" hidden="1" x14ac:dyDescent="0.35">
      <c r="A1192" t="s">
        <v>12</v>
      </c>
      <c r="B1192" t="s">
        <v>7</v>
      </c>
      <c r="C1192" t="s">
        <v>8</v>
      </c>
      <c r="D1192">
        <v>270820</v>
      </c>
      <c r="E1192" t="s">
        <v>40</v>
      </c>
      <c r="F1192" t="s">
        <v>10</v>
      </c>
    </row>
    <row r="1193" spans="1:6" hidden="1" x14ac:dyDescent="0.35">
      <c r="A1193" t="s">
        <v>13</v>
      </c>
      <c r="B1193" t="s">
        <v>7</v>
      </c>
      <c r="C1193" t="s">
        <v>8</v>
      </c>
      <c r="D1193">
        <v>368795</v>
      </c>
      <c r="E1193" t="s">
        <v>40</v>
      </c>
      <c r="F1193" t="s">
        <v>10</v>
      </c>
    </row>
    <row r="1194" spans="1:6" hidden="1" x14ac:dyDescent="0.35">
      <c r="A1194" t="s">
        <v>14</v>
      </c>
      <c r="B1194" t="s">
        <v>7</v>
      </c>
      <c r="C1194" t="s">
        <v>8</v>
      </c>
      <c r="D1194">
        <v>88708</v>
      </c>
      <c r="E1194" t="s">
        <v>40</v>
      </c>
      <c r="F1194" t="s">
        <v>10</v>
      </c>
    </row>
    <row r="1195" spans="1:6" hidden="1" x14ac:dyDescent="0.35">
      <c r="A1195" t="s">
        <v>15</v>
      </c>
      <c r="B1195" t="s">
        <v>7</v>
      </c>
      <c r="C1195" t="s">
        <v>8</v>
      </c>
      <c r="D1195">
        <v>122199</v>
      </c>
      <c r="E1195" t="s">
        <v>40</v>
      </c>
      <c r="F1195" t="s">
        <v>10</v>
      </c>
    </row>
    <row r="1196" spans="1:6" hidden="1" x14ac:dyDescent="0.35">
      <c r="A1196" t="s">
        <v>16</v>
      </c>
      <c r="B1196" t="s">
        <v>7</v>
      </c>
      <c r="C1196" t="s">
        <v>8</v>
      </c>
      <c r="D1196">
        <v>295728</v>
      </c>
      <c r="E1196" t="s">
        <v>40</v>
      </c>
      <c r="F1196" t="s">
        <v>10</v>
      </c>
    </row>
    <row r="1197" spans="1:6" hidden="1" x14ac:dyDescent="0.35">
      <c r="A1197" t="s">
        <v>17</v>
      </c>
      <c r="B1197" t="s">
        <v>7</v>
      </c>
      <c r="C1197" t="s">
        <v>8</v>
      </c>
      <c r="D1197">
        <v>543772</v>
      </c>
      <c r="E1197" t="s">
        <v>40</v>
      </c>
      <c r="F1197" t="s">
        <v>10</v>
      </c>
    </row>
    <row r="1198" spans="1:6" hidden="1" x14ac:dyDescent="0.35">
      <c r="A1198" t="s">
        <v>18</v>
      </c>
      <c r="B1198" t="s">
        <v>7</v>
      </c>
      <c r="C1198" t="s">
        <v>8</v>
      </c>
      <c r="D1198">
        <v>135330</v>
      </c>
      <c r="E1198" t="s">
        <v>40</v>
      </c>
      <c r="F1198" t="s">
        <v>10</v>
      </c>
    </row>
    <row r="1199" spans="1:6" hidden="1" x14ac:dyDescent="0.35">
      <c r="A1199" t="s">
        <v>19</v>
      </c>
      <c r="B1199" t="s">
        <v>7</v>
      </c>
      <c r="C1199" t="s">
        <v>8</v>
      </c>
      <c r="D1199">
        <v>189639</v>
      </c>
      <c r="E1199" t="s">
        <v>40</v>
      </c>
      <c r="F1199" t="s">
        <v>10</v>
      </c>
    </row>
    <row r="1200" spans="1:6" hidden="1" x14ac:dyDescent="0.35">
      <c r="A1200" t="s">
        <v>20</v>
      </c>
      <c r="B1200" t="s">
        <v>7</v>
      </c>
      <c r="C1200" t="s">
        <v>8</v>
      </c>
      <c r="D1200">
        <v>621974</v>
      </c>
      <c r="E1200" t="s">
        <v>40</v>
      </c>
      <c r="F1200" t="s">
        <v>10</v>
      </c>
    </row>
    <row r="1201" spans="1:6" hidden="1" x14ac:dyDescent="0.35">
      <c r="A1201" t="s">
        <v>21</v>
      </c>
      <c r="B1201" t="s">
        <v>7</v>
      </c>
      <c r="C1201" t="s">
        <v>8</v>
      </c>
      <c r="D1201">
        <v>597540</v>
      </c>
      <c r="E1201" t="s">
        <v>40</v>
      </c>
      <c r="F1201" t="s">
        <v>10</v>
      </c>
    </row>
    <row r="1202" spans="1:6" hidden="1" x14ac:dyDescent="0.35">
      <c r="A1202" t="s">
        <v>6</v>
      </c>
      <c r="B1202" t="s">
        <v>7</v>
      </c>
      <c r="C1202" t="s">
        <v>22</v>
      </c>
      <c r="D1202">
        <v>0</v>
      </c>
      <c r="E1202" t="s">
        <v>40</v>
      </c>
      <c r="F1202" t="s">
        <v>10</v>
      </c>
    </row>
    <row r="1203" spans="1:6" hidden="1" x14ac:dyDescent="0.35">
      <c r="A1203" t="s">
        <v>11</v>
      </c>
      <c r="B1203" t="s">
        <v>7</v>
      </c>
      <c r="C1203" t="s">
        <v>22</v>
      </c>
      <c r="D1203">
        <v>0</v>
      </c>
      <c r="E1203" t="s">
        <v>40</v>
      </c>
      <c r="F1203" t="s">
        <v>10</v>
      </c>
    </row>
    <row r="1204" spans="1:6" hidden="1" x14ac:dyDescent="0.35">
      <c r="A1204" t="s">
        <v>12</v>
      </c>
      <c r="B1204" t="s">
        <v>7</v>
      </c>
      <c r="C1204" t="s">
        <v>22</v>
      </c>
      <c r="D1204">
        <v>0</v>
      </c>
      <c r="E1204" t="s">
        <v>40</v>
      </c>
      <c r="F1204" t="s">
        <v>10</v>
      </c>
    </row>
    <row r="1205" spans="1:6" hidden="1" x14ac:dyDescent="0.35">
      <c r="A1205" t="s">
        <v>13</v>
      </c>
      <c r="B1205" t="s">
        <v>7</v>
      </c>
      <c r="C1205" t="s">
        <v>22</v>
      </c>
      <c r="D1205">
        <v>0</v>
      </c>
      <c r="E1205" t="s">
        <v>40</v>
      </c>
      <c r="F1205" t="s">
        <v>10</v>
      </c>
    </row>
    <row r="1206" spans="1:6" hidden="1" x14ac:dyDescent="0.35">
      <c r="A1206" t="s">
        <v>14</v>
      </c>
      <c r="B1206" t="s">
        <v>7</v>
      </c>
      <c r="C1206" t="s">
        <v>22</v>
      </c>
      <c r="D1206">
        <v>0</v>
      </c>
      <c r="E1206" t="s">
        <v>40</v>
      </c>
      <c r="F1206" t="s">
        <v>10</v>
      </c>
    </row>
    <row r="1207" spans="1:6" hidden="1" x14ac:dyDescent="0.35">
      <c r="A1207" t="s">
        <v>15</v>
      </c>
      <c r="B1207" t="s">
        <v>7</v>
      </c>
      <c r="C1207" t="s">
        <v>22</v>
      </c>
      <c r="D1207">
        <v>0</v>
      </c>
      <c r="E1207" t="s">
        <v>40</v>
      </c>
      <c r="F1207" t="s">
        <v>10</v>
      </c>
    </row>
    <row r="1208" spans="1:6" hidden="1" x14ac:dyDescent="0.35">
      <c r="A1208" t="s">
        <v>16</v>
      </c>
      <c r="B1208" t="s">
        <v>7</v>
      </c>
      <c r="C1208" t="s">
        <v>22</v>
      </c>
      <c r="D1208">
        <v>0</v>
      </c>
      <c r="E1208" t="s">
        <v>40</v>
      </c>
      <c r="F1208" t="s">
        <v>10</v>
      </c>
    </row>
    <row r="1209" spans="1:6" hidden="1" x14ac:dyDescent="0.35">
      <c r="A1209" t="s">
        <v>17</v>
      </c>
      <c r="B1209" t="s">
        <v>7</v>
      </c>
      <c r="C1209" t="s">
        <v>22</v>
      </c>
      <c r="D1209">
        <v>0</v>
      </c>
      <c r="E1209" t="s">
        <v>40</v>
      </c>
      <c r="F1209" t="s">
        <v>10</v>
      </c>
    </row>
    <row r="1210" spans="1:6" hidden="1" x14ac:dyDescent="0.35">
      <c r="A1210" t="s">
        <v>18</v>
      </c>
      <c r="B1210" t="s">
        <v>7</v>
      </c>
      <c r="C1210" t="s">
        <v>22</v>
      </c>
      <c r="D1210">
        <v>0</v>
      </c>
      <c r="E1210" t="s">
        <v>40</v>
      </c>
      <c r="F1210" t="s">
        <v>10</v>
      </c>
    </row>
    <row r="1211" spans="1:6" hidden="1" x14ac:dyDescent="0.35">
      <c r="A1211" t="s">
        <v>19</v>
      </c>
      <c r="B1211" t="s">
        <v>7</v>
      </c>
      <c r="C1211" t="s">
        <v>22</v>
      </c>
      <c r="D1211">
        <v>0</v>
      </c>
      <c r="E1211" t="s">
        <v>40</v>
      </c>
      <c r="F1211" t="s">
        <v>10</v>
      </c>
    </row>
    <row r="1212" spans="1:6" hidden="1" x14ac:dyDescent="0.35">
      <c r="A1212" t="s">
        <v>20</v>
      </c>
      <c r="B1212" t="s">
        <v>7</v>
      </c>
      <c r="C1212" t="s">
        <v>22</v>
      </c>
      <c r="D1212">
        <v>0</v>
      </c>
      <c r="E1212" t="s">
        <v>40</v>
      </c>
      <c r="F1212" t="s">
        <v>10</v>
      </c>
    </row>
    <row r="1213" spans="1:6" hidden="1" x14ac:dyDescent="0.35">
      <c r="A1213" t="s">
        <v>21</v>
      </c>
      <c r="B1213" t="s">
        <v>7</v>
      </c>
      <c r="C1213" t="s">
        <v>22</v>
      </c>
      <c r="D1213">
        <v>0</v>
      </c>
      <c r="E1213" t="s">
        <v>40</v>
      </c>
      <c r="F1213" t="s">
        <v>10</v>
      </c>
    </row>
    <row r="1214" spans="1:6" hidden="1" x14ac:dyDescent="0.35">
      <c r="A1214" t="s">
        <v>6</v>
      </c>
      <c r="B1214" t="s">
        <v>7</v>
      </c>
      <c r="C1214" t="s">
        <v>23</v>
      </c>
      <c r="D1214">
        <v>633714</v>
      </c>
      <c r="E1214" t="s">
        <v>40</v>
      </c>
      <c r="F1214" t="s">
        <v>10</v>
      </c>
    </row>
    <row r="1215" spans="1:6" hidden="1" x14ac:dyDescent="0.35">
      <c r="A1215" t="s">
        <v>11</v>
      </c>
      <c r="B1215" t="s">
        <v>7</v>
      </c>
      <c r="C1215" t="s">
        <v>23</v>
      </c>
      <c r="D1215">
        <v>209992</v>
      </c>
      <c r="E1215" t="s">
        <v>40</v>
      </c>
      <c r="F1215" t="s">
        <v>10</v>
      </c>
    </row>
    <row r="1216" spans="1:6" hidden="1" x14ac:dyDescent="0.35">
      <c r="A1216" t="s">
        <v>12</v>
      </c>
      <c r="B1216" t="s">
        <v>7</v>
      </c>
      <c r="C1216" t="s">
        <v>23</v>
      </c>
      <c r="D1216">
        <v>447549</v>
      </c>
      <c r="E1216" t="s">
        <v>40</v>
      </c>
      <c r="F1216" t="s">
        <v>10</v>
      </c>
    </row>
    <row r="1217" spans="1:6" hidden="1" x14ac:dyDescent="0.35">
      <c r="A1217" t="s">
        <v>13</v>
      </c>
      <c r="B1217" t="s">
        <v>7</v>
      </c>
      <c r="C1217" t="s">
        <v>23</v>
      </c>
      <c r="D1217">
        <v>236497</v>
      </c>
      <c r="E1217" t="s">
        <v>40</v>
      </c>
      <c r="F1217" t="s">
        <v>10</v>
      </c>
    </row>
    <row r="1218" spans="1:6" hidden="1" x14ac:dyDescent="0.35">
      <c r="A1218" t="s">
        <v>14</v>
      </c>
      <c r="B1218" t="s">
        <v>7</v>
      </c>
      <c r="C1218" t="s">
        <v>23</v>
      </c>
      <c r="D1218">
        <v>163930</v>
      </c>
      <c r="E1218" t="s">
        <v>40</v>
      </c>
      <c r="F1218" t="s">
        <v>10</v>
      </c>
    </row>
    <row r="1219" spans="1:6" hidden="1" x14ac:dyDescent="0.35">
      <c r="A1219" t="s">
        <v>15</v>
      </c>
      <c r="B1219" t="s">
        <v>7</v>
      </c>
      <c r="C1219" t="s">
        <v>23</v>
      </c>
      <c r="D1219">
        <v>52988</v>
      </c>
      <c r="E1219" t="s">
        <v>40</v>
      </c>
      <c r="F1219" t="s">
        <v>10</v>
      </c>
    </row>
    <row r="1220" spans="1:6" hidden="1" x14ac:dyDescent="0.35">
      <c r="A1220" t="s">
        <v>16</v>
      </c>
      <c r="B1220" t="s">
        <v>7</v>
      </c>
      <c r="C1220" t="s">
        <v>23</v>
      </c>
      <c r="D1220">
        <v>145584</v>
      </c>
      <c r="E1220" t="s">
        <v>40</v>
      </c>
      <c r="F1220" t="s">
        <v>10</v>
      </c>
    </row>
    <row r="1221" spans="1:6" hidden="1" x14ac:dyDescent="0.35">
      <c r="A1221" t="s">
        <v>17</v>
      </c>
      <c r="B1221" t="s">
        <v>7</v>
      </c>
      <c r="C1221" t="s">
        <v>23</v>
      </c>
      <c r="D1221">
        <v>257616</v>
      </c>
      <c r="E1221" t="s">
        <v>40</v>
      </c>
      <c r="F1221" t="s">
        <v>10</v>
      </c>
    </row>
    <row r="1222" spans="1:6" hidden="1" x14ac:dyDescent="0.35">
      <c r="A1222" t="s">
        <v>18</v>
      </c>
      <c r="B1222" t="s">
        <v>7</v>
      </c>
      <c r="C1222" t="s">
        <v>23</v>
      </c>
      <c r="D1222">
        <v>248503</v>
      </c>
      <c r="E1222" t="s">
        <v>40</v>
      </c>
      <c r="F1222" t="s">
        <v>10</v>
      </c>
    </row>
    <row r="1223" spans="1:6" hidden="1" x14ac:dyDescent="0.35">
      <c r="A1223" t="s">
        <v>19</v>
      </c>
      <c r="B1223" t="s">
        <v>7</v>
      </c>
      <c r="C1223" t="s">
        <v>23</v>
      </c>
      <c r="D1223">
        <v>573891</v>
      </c>
      <c r="E1223" t="s">
        <v>40</v>
      </c>
      <c r="F1223" t="s">
        <v>10</v>
      </c>
    </row>
    <row r="1224" spans="1:6" hidden="1" x14ac:dyDescent="0.35">
      <c r="A1224" t="s">
        <v>20</v>
      </c>
      <c r="B1224" t="s">
        <v>7</v>
      </c>
      <c r="C1224" t="s">
        <v>23</v>
      </c>
      <c r="D1224">
        <v>440909</v>
      </c>
      <c r="E1224" t="s">
        <v>40</v>
      </c>
      <c r="F1224" t="s">
        <v>10</v>
      </c>
    </row>
    <row r="1225" spans="1:6" hidden="1" x14ac:dyDescent="0.35">
      <c r="A1225" t="s">
        <v>21</v>
      </c>
      <c r="B1225" t="s">
        <v>7</v>
      </c>
      <c r="C1225" t="s">
        <v>23</v>
      </c>
      <c r="D1225">
        <v>133728</v>
      </c>
      <c r="E1225" t="s">
        <v>40</v>
      </c>
      <c r="F1225" t="s">
        <v>10</v>
      </c>
    </row>
    <row r="1226" spans="1:6" hidden="1" x14ac:dyDescent="0.35">
      <c r="A1226" t="s">
        <v>6</v>
      </c>
      <c r="B1226" t="s">
        <v>7</v>
      </c>
      <c r="C1226" t="s">
        <v>24</v>
      </c>
      <c r="D1226">
        <v>0</v>
      </c>
      <c r="E1226" t="s">
        <v>40</v>
      </c>
      <c r="F1226" t="s">
        <v>10</v>
      </c>
    </row>
    <row r="1227" spans="1:6" hidden="1" x14ac:dyDescent="0.35">
      <c r="A1227" t="s">
        <v>11</v>
      </c>
      <c r="B1227" t="s">
        <v>7</v>
      </c>
      <c r="C1227" t="s">
        <v>24</v>
      </c>
      <c r="D1227">
        <v>0</v>
      </c>
      <c r="E1227" t="s">
        <v>40</v>
      </c>
      <c r="F1227" t="s">
        <v>10</v>
      </c>
    </row>
    <row r="1228" spans="1:6" hidden="1" x14ac:dyDescent="0.35">
      <c r="A1228" t="s">
        <v>12</v>
      </c>
      <c r="B1228" t="s">
        <v>7</v>
      </c>
      <c r="C1228" t="s">
        <v>24</v>
      </c>
      <c r="D1228">
        <v>0</v>
      </c>
      <c r="E1228" t="s">
        <v>40</v>
      </c>
      <c r="F1228" t="s">
        <v>10</v>
      </c>
    </row>
    <row r="1229" spans="1:6" hidden="1" x14ac:dyDescent="0.35">
      <c r="A1229" t="s">
        <v>13</v>
      </c>
      <c r="B1229" t="s">
        <v>7</v>
      </c>
      <c r="C1229" t="s">
        <v>24</v>
      </c>
      <c r="D1229">
        <v>0</v>
      </c>
      <c r="E1229" t="s">
        <v>40</v>
      </c>
      <c r="F1229" t="s">
        <v>10</v>
      </c>
    </row>
    <row r="1230" spans="1:6" hidden="1" x14ac:dyDescent="0.35">
      <c r="A1230" t="s">
        <v>14</v>
      </c>
      <c r="B1230" t="s">
        <v>7</v>
      </c>
      <c r="C1230" t="s">
        <v>24</v>
      </c>
      <c r="D1230">
        <v>0</v>
      </c>
      <c r="E1230" t="s">
        <v>40</v>
      </c>
      <c r="F1230" t="s">
        <v>10</v>
      </c>
    </row>
    <row r="1231" spans="1:6" hidden="1" x14ac:dyDescent="0.35">
      <c r="A1231" t="s">
        <v>15</v>
      </c>
      <c r="B1231" t="s">
        <v>7</v>
      </c>
      <c r="C1231" t="s">
        <v>24</v>
      </c>
      <c r="D1231">
        <v>0</v>
      </c>
      <c r="E1231" t="s">
        <v>40</v>
      </c>
      <c r="F1231" t="s">
        <v>10</v>
      </c>
    </row>
    <row r="1232" spans="1:6" hidden="1" x14ac:dyDescent="0.35">
      <c r="A1232" t="s">
        <v>16</v>
      </c>
      <c r="B1232" t="s">
        <v>7</v>
      </c>
      <c r="C1232" t="s">
        <v>24</v>
      </c>
      <c r="D1232">
        <v>0</v>
      </c>
      <c r="E1232" t="s">
        <v>40</v>
      </c>
      <c r="F1232" t="s">
        <v>10</v>
      </c>
    </row>
    <row r="1233" spans="1:6" hidden="1" x14ac:dyDescent="0.35">
      <c r="A1233" t="s">
        <v>17</v>
      </c>
      <c r="B1233" t="s">
        <v>7</v>
      </c>
      <c r="C1233" t="s">
        <v>24</v>
      </c>
      <c r="D1233">
        <v>0</v>
      </c>
      <c r="E1233" t="s">
        <v>40</v>
      </c>
      <c r="F1233" t="s">
        <v>10</v>
      </c>
    </row>
    <row r="1234" spans="1:6" hidden="1" x14ac:dyDescent="0.35">
      <c r="A1234" t="s">
        <v>18</v>
      </c>
      <c r="B1234" t="s">
        <v>7</v>
      </c>
      <c r="C1234" t="s">
        <v>24</v>
      </c>
      <c r="D1234">
        <v>0</v>
      </c>
      <c r="E1234" t="s">
        <v>40</v>
      </c>
      <c r="F1234" t="s">
        <v>10</v>
      </c>
    </row>
    <row r="1235" spans="1:6" hidden="1" x14ac:dyDescent="0.35">
      <c r="A1235" t="s">
        <v>19</v>
      </c>
      <c r="B1235" t="s">
        <v>7</v>
      </c>
      <c r="C1235" t="s">
        <v>24</v>
      </c>
      <c r="D1235">
        <v>0</v>
      </c>
      <c r="E1235" t="s">
        <v>40</v>
      </c>
      <c r="F1235" t="s">
        <v>10</v>
      </c>
    </row>
    <row r="1236" spans="1:6" hidden="1" x14ac:dyDescent="0.35">
      <c r="A1236" t="s">
        <v>20</v>
      </c>
      <c r="B1236" t="s">
        <v>7</v>
      </c>
      <c r="C1236" t="s">
        <v>24</v>
      </c>
      <c r="D1236">
        <v>0</v>
      </c>
      <c r="E1236" t="s">
        <v>40</v>
      </c>
      <c r="F1236" t="s">
        <v>10</v>
      </c>
    </row>
    <row r="1237" spans="1:6" hidden="1" x14ac:dyDescent="0.35">
      <c r="A1237" t="s">
        <v>21</v>
      </c>
      <c r="B1237" t="s">
        <v>7</v>
      </c>
      <c r="C1237" t="s">
        <v>24</v>
      </c>
      <c r="D1237">
        <v>0</v>
      </c>
      <c r="E1237" t="s">
        <v>40</v>
      </c>
      <c r="F1237" t="s">
        <v>10</v>
      </c>
    </row>
    <row r="1238" spans="1:6" hidden="1" x14ac:dyDescent="0.35">
      <c r="A1238" t="s">
        <v>6</v>
      </c>
      <c r="B1238" t="s">
        <v>7</v>
      </c>
      <c r="C1238" t="s">
        <v>25</v>
      </c>
      <c r="D1238">
        <v>2503</v>
      </c>
      <c r="E1238" t="s">
        <v>40</v>
      </c>
      <c r="F1238" t="s">
        <v>10</v>
      </c>
    </row>
    <row r="1239" spans="1:6" hidden="1" x14ac:dyDescent="0.35">
      <c r="A1239" t="s">
        <v>11</v>
      </c>
      <c r="B1239" t="s">
        <v>7</v>
      </c>
      <c r="C1239" t="s">
        <v>25</v>
      </c>
      <c r="D1239">
        <v>0</v>
      </c>
      <c r="E1239" t="s">
        <v>40</v>
      </c>
      <c r="F1239" t="s">
        <v>10</v>
      </c>
    </row>
    <row r="1240" spans="1:6" hidden="1" x14ac:dyDescent="0.35">
      <c r="A1240" t="s">
        <v>12</v>
      </c>
      <c r="B1240" t="s">
        <v>7</v>
      </c>
      <c r="C1240" t="s">
        <v>25</v>
      </c>
      <c r="D1240">
        <v>0</v>
      </c>
      <c r="E1240" t="s">
        <v>40</v>
      </c>
      <c r="F1240" t="s">
        <v>10</v>
      </c>
    </row>
    <row r="1241" spans="1:6" hidden="1" x14ac:dyDescent="0.35">
      <c r="A1241" t="s">
        <v>13</v>
      </c>
      <c r="B1241" t="s">
        <v>7</v>
      </c>
      <c r="C1241" t="s">
        <v>25</v>
      </c>
      <c r="D1241">
        <v>0</v>
      </c>
      <c r="E1241" t="s">
        <v>40</v>
      </c>
      <c r="F1241" t="s">
        <v>10</v>
      </c>
    </row>
    <row r="1242" spans="1:6" hidden="1" x14ac:dyDescent="0.35">
      <c r="A1242" t="s">
        <v>14</v>
      </c>
      <c r="B1242" t="s">
        <v>7</v>
      </c>
      <c r="C1242" t="s">
        <v>25</v>
      </c>
      <c r="D1242">
        <v>0</v>
      </c>
      <c r="E1242" t="s">
        <v>40</v>
      </c>
      <c r="F1242" t="s">
        <v>10</v>
      </c>
    </row>
    <row r="1243" spans="1:6" hidden="1" x14ac:dyDescent="0.35">
      <c r="A1243" t="s">
        <v>15</v>
      </c>
      <c r="B1243" t="s">
        <v>7</v>
      </c>
      <c r="C1243" t="s">
        <v>25</v>
      </c>
      <c r="D1243">
        <v>0</v>
      </c>
      <c r="E1243" t="s">
        <v>40</v>
      </c>
      <c r="F1243" t="s">
        <v>10</v>
      </c>
    </row>
    <row r="1244" spans="1:6" hidden="1" x14ac:dyDescent="0.35">
      <c r="A1244" t="s">
        <v>16</v>
      </c>
      <c r="B1244" t="s">
        <v>7</v>
      </c>
      <c r="C1244" t="s">
        <v>25</v>
      </c>
      <c r="D1244">
        <v>0</v>
      </c>
      <c r="E1244" t="s">
        <v>40</v>
      </c>
      <c r="F1244" t="s">
        <v>10</v>
      </c>
    </row>
    <row r="1245" spans="1:6" hidden="1" x14ac:dyDescent="0.35">
      <c r="A1245" t="s">
        <v>17</v>
      </c>
      <c r="B1245" t="s">
        <v>7</v>
      </c>
      <c r="C1245" t="s">
        <v>25</v>
      </c>
      <c r="D1245">
        <v>0</v>
      </c>
      <c r="E1245" t="s">
        <v>40</v>
      </c>
      <c r="F1245" t="s">
        <v>10</v>
      </c>
    </row>
    <row r="1246" spans="1:6" hidden="1" x14ac:dyDescent="0.35">
      <c r="A1246" t="s">
        <v>18</v>
      </c>
      <c r="B1246" t="s">
        <v>7</v>
      </c>
      <c r="C1246" t="s">
        <v>25</v>
      </c>
      <c r="D1246">
        <v>0</v>
      </c>
      <c r="E1246" t="s">
        <v>40</v>
      </c>
      <c r="F1246" t="s">
        <v>10</v>
      </c>
    </row>
    <row r="1247" spans="1:6" hidden="1" x14ac:dyDescent="0.35">
      <c r="A1247" t="s">
        <v>19</v>
      </c>
      <c r="B1247" t="s">
        <v>7</v>
      </c>
      <c r="C1247" t="s">
        <v>25</v>
      </c>
      <c r="D1247">
        <v>0</v>
      </c>
      <c r="E1247" t="s">
        <v>40</v>
      </c>
      <c r="F1247" t="s">
        <v>10</v>
      </c>
    </row>
    <row r="1248" spans="1:6" hidden="1" x14ac:dyDescent="0.35">
      <c r="A1248" t="s">
        <v>20</v>
      </c>
      <c r="B1248" t="s">
        <v>7</v>
      </c>
      <c r="C1248" t="s">
        <v>25</v>
      </c>
      <c r="D1248">
        <v>0</v>
      </c>
      <c r="E1248" t="s">
        <v>40</v>
      </c>
      <c r="F1248" t="s">
        <v>10</v>
      </c>
    </row>
    <row r="1249" spans="1:6" hidden="1" x14ac:dyDescent="0.35">
      <c r="A1249" t="s">
        <v>21</v>
      </c>
      <c r="B1249" t="s">
        <v>7</v>
      </c>
      <c r="C1249" t="s">
        <v>25</v>
      </c>
      <c r="D1249">
        <v>0</v>
      </c>
      <c r="E1249" t="s">
        <v>40</v>
      </c>
      <c r="F1249" t="s">
        <v>10</v>
      </c>
    </row>
    <row r="1250" spans="1:6" hidden="1" x14ac:dyDescent="0.35">
      <c r="A1250" t="s">
        <v>6</v>
      </c>
      <c r="B1250" t="s">
        <v>7</v>
      </c>
      <c r="C1250" t="s">
        <v>26</v>
      </c>
      <c r="D1250">
        <v>0</v>
      </c>
      <c r="E1250" t="s">
        <v>40</v>
      </c>
      <c r="F1250" t="s">
        <v>10</v>
      </c>
    </row>
    <row r="1251" spans="1:6" hidden="1" x14ac:dyDescent="0.35">
      <c r="A1251" t="s">
        <v>11</v>
      </c>
      <c r="B1251" t="s">
        <v>7</v>
      </c>
      <c r="C1251" t="s">
        <v>26</v>
      </c>
      <c r="E1251" t="s">
        <v>40</v>
      </c>
      <c r="F1251" t="s">
        <v>10</v>
      </c>
    </row>
    <row r="1252" spans="1:6" hidden="1" x14ac:dyDescent="0.35">
      <c r="A1252" t="s">
        <v>12</v>
      </c>
      <c r="B1252" t="s">
        <v>7</v>
      </c>
      <c r="C1252" t="s">
        <v>26</v>
      </c>
      <c r="E1252" t="s">
        <v>40</v>
      </c>
      <c r="F1252" t="s">
        <v>10</v>
      </c>
    </row>
    <row r="1253" spans="1:6" hidden="1" x14ac:dyDescent="0.35">
      <c r="A1253" t="s">
        <v>13</v>
      </c>
      <c r="B1253" t="s">
        <v>7</v>
      </c>
      <c r="C1253" t="s">
        <v>26</v>
      </c>
      <c r="E1253" t="s">
        <v>40</v>
      </c>
      <c r="F1253" t="s">
        <v>10</v>
      </c>
    </row>
    <row r="1254" spans="1:6" hidden="1" x14ac:dyDescent="0.35">
      <c r="A1254" t="s">
        <v>14</v>
      </c>
      <c r="B1254" t="s">
        <v>7</v>
      </c>
      <c r="C1254" t="s">
        <v>26</v>
      </c>
      <c r="E1254" t="s">
        <v>40</v>
      </c>
      <c r="F1254" t="s">
        <v>10</v>
      </c>
    </row>
    <row r="1255" spans="1:6" hidden="1" x14ac:dyDescent="0.35">
      <c r="A1255" t="s">
        <v>15</v>
      </c>
      <c r="B1255" t="s">
        <v>7</v>
      </c>
      <c r="C1255" t="s">
        <v>26</v>
      </c>
      <c r="E1255" t="s">
        <v>40</v>
      </c>
      <c r="F1255" t="s">
        <v>10</v>
      </c>
    </row>
    <row r="1256" spans="1:6" hidden="1" x14ac:dyDescent="0.35">
      <c r="A1256" t="s">
        <v>16</v>
      </c>
      <c r="B1256" t="s">
        <v>7</v>
      </c>
      <c r="C1256" t="s">
        <v>26</v>
      </c>
      <c r="E1256" t="s">
        <v>40</v>
      </c>
      <c r="F1256" t="s">
        <v>10</v>
      </c>
    </row>
    <row r="1257" spans="1:6" hidden="1" x14ac:dyDescent="0.35">
      <c r="A1257" t="s">
        <v>17</v>
      </c>
      <c r="B1257" t="s">
        <v>7</v>
      </c>
      <c r="C1257" t="s">
        <v>26</v>
      </c>
      <c r="E1257" t="s">
        <v>40</v>
      </c>
      <c r="F1257" t="s">
        <v>10</v>
      </c>
    </row>
    <row r="1258" spans="1:6" hidden="1" x14ac:dyDescent="0.35">
      <c r="A1258" t="s">
        <v>18</v>
      </c>
      <c r="B1258" t="s">
        <v>7</v>
      </c>
      <c r="C1258" t="s">
        <v>26</v>
      </c>
      <c r="E1258" t="s">
        <v>40</v>
      </c>
      <c r="F1258" t="s">
        <v>10</v>
      </c>
    </row>
    <row r="1259" spans="1:6" hidden="1" x14ac:dyDescent="0.35">
      <c r="A1259" t="s">
        <v>19</v>
      </c>
      <c r="B1259" t="s">
        <v>7</v>
      </c>
      <c r="C1259" t="s">
        <v>26</v>
      </c>
      <c r="E1259" t="s">
        <v>40</v>
      </c>
      <c r="F1259" t="s">
        <v>10</v>
      </c>
    </row>
    <row r="1260" spans="1:6" hidden="1" x14ac:dyDescent="0.35">
      <c r="A1260" t="s">
        <v>20</v>
      </c>
      <c r="B1260" t="s">
        <v>7</v>
      </c>
      <c r="C1260" t="s">
        <v>26</v>
      </c>
      <c r="E1260" t="s">
        <v>40</v>
      </c>
      <c r="F1260" t="s">
        <v>10</v>
      </c>
    </row>
    <row r="1261" spans="1:6" hidden="1" x14ac:dyDescent="0.35">
      <c r="A1261" t="s">
        <v>21</v>
      </c>
      <c r="B1261" t="s">
        <v>7</v>
      </c>
      <c r="C1261" t="s">
        <v>26</v>
      </c>
      <c r="E1261" t="s">
        <v>40</v>
      </c>
      <c r="F1261" t="s">
        <v>10</v>
      </c>
    </row>
    <row r="1262" spans="1:6" hidden="1" x14ac:dyDescent="0.35">
      <c r="A1262" t="s">
        <v>6</v>
      </c>
      <c r="B1262" t="s">
        <v>7</v>
      </c>
      <c r="C1262" t="s">
        <v>27</v>
      </c>
      <c r="D1262">
        <v>163070</v>
      </c>
      <c r="E1262" t="s">
        <v>40</v>
      </c>
      <c r="F1262" t="s">
        <v>10</v>
      </c>
    </row>
    <row r="1263" spans="1:6" hidden="1" x14ac:dyDescent="0.35">
      <c r="A1263" t="s">
        <v>11</v>
      </c>
      <c r="B1263" t="s">
        <v>7</v>
      </c>
      <c r="C1263" t="s">
        <v>27</v>
      </c>
      <c r="D1263">
        <v>253166</v>
      </c>
      <c r="E1263" t="s">
        <v>40</v>
      </c>
      <c r="F1263" t="s">
        <v>10</v>
      </c>
    </row>
    <row r="1264" spans="1:6" hidden="1" x14ac:dyDescent="0.35">
      <c r="A1264" t="s">
        <v>12</v>
      </c>
      <c r="B1264" t="s">
        <v>7</v>
      </c>
      <c r="C1264" t="s">
        <v>27</v>
      </c>
      <c r="D1264">
        <v>166398</v>
      </c>
      <c r="E1264" t="s">
        <v>40</v>
      </c>
      <c r="F1264" t="s">
        <v>10</v>
      </c>
    </row>
    <row r="1265" spans="1:6" hidden="1" x14ac:dyDescent="0.35">
      <c r="A1265" t="s">
        <v>13</v>
      </c>
      <c r="B1265" t="s">
        <v>7</v>
      </c>
      <c r="C1265" t="s">
        <v>27</v>
      </c>
      <c r="D1265">
        <v>147401</v>
      </c>
      <c r="E1265" t="s">
        <v>40</v>
      </c>
      <c r="F1265" t="s">
        <v>10</v>
      </c>
    </row>
    <row r="1266" spans="1:6" hidden="1" x14ac:dyDescent="0.35">
      <c r="A1266" t="s">
        <v>14</v>
      </c>
      <c r="B1266" t="s">
        <v>7</v>
      </c>
      <c r="C1266" t="s">
        <v>27</v>
      </c>
      <c r="D1266">
        <v>82562</v>
      </c>
      <c r="E1266" t="s">
        <v>40</v>
      </c>
      <c r="F1266" t="s">
        <v>10</v>
      </c>
    </row>
    <row r="1267" spans="1:6" hidden="1" x14ac:dyDescent="0.35">
      <c r="A1267" t="s">
        <v>15</v>
      </c>
      <c r="B1267" t="s">
        <v>7</v>
      </c>
      <c r="C1267" t="s">
        <v>27</v>
      </c>
      <c r="D1267">
        <v>151023</v>
      </c>
      <c r="E1267" t="s">
        <v>40</v>
      </c>
      <c r="F1267" t="s">
        <v>10</v>
      </c>
    </row>
    <row r="1268" spans="1:6" hidden="1" x14ac:dyDescent="0.35">
      <c r="A1268" t="s">
        <v>16</v>
      </c>
      <c r="B1268" t="s">
        <v>7</v>
      </c>
      <c r="C1268" t="s">
        <v>27</v>
      </c>
      <c r="D1268">
        <v>306529</v>
      </c>
      <c r="E1268" t="s">
        <v>40</v>
      </c>
      <c r="F1268" t="s">
        <v>10</v>
      </c>
    </row>
    <row r="1269" spans="1:6" hidden="1" x14ac:dyDescent="0.35">
      <c r="A1269" t="s">
        <v>17</v>
      </c>
      <c r="B1269" t="s">
        <v>7</v>
      </c>
      <c r="C1269" t="s">
        <v>27</v>
      </c>
      <c r="D1269">
        <v>876652</v>
      </c>
      <c r="E1269" t="s">
        <v>40</v>
      </c>
      <c r="F1269" t="s">
        <v>10</v>
      </c>
    </row>
    <row r="1270" spans="1:6" hidden="1" x14ac:dyDescent="0.35">
      <c r="A1270" t="s">
        <v>18</v>
      </c>
      <c r="B1270" t="s">
        <v>7</v>
      </c>
      <c r="C1270" t="s">
        <v>27</v>
      </c>
      <c r="D1270">
        <v>135859</v>
      </c>
      <c r="E1270" t="s">
        <v>40</v>
      </c>
      <c r="F1270" t="s">
        <v>10</v>
      </c>
    </row>
    <row r="1271" spans="1:6" hidden="1" x14ac:dyDescent="0.35">
      <c r="A1271" t="s">
        <v>19</v>
      </c>
      <c r="B1271" t="s">
        <v>7</v>
      </c>
      <c r="C1271" t="s">
        <v>27</v>
      </c>
      <c r="D1271">
        <v>235540</v>
      </c>
      <c r="E1271" t="s">
        <v>40</v>
      </c>
      <c r="F1271" t="s">
        <v>10</v>
      </c>
    </row>
    <row r="1272" spans="1:6" hidden="1" x14ac:dyDescent="0.35">
      <c r="A1272" t="s">
        <v>20</v>
      </c>
      <c r="B1272" t="s">
        <v>7</v>
      </c>
      <c r="C1272" t="s">
        <v>27</v>
      </c>
      <c r="D1272">
        <v>725933</v>
      </c>
      <c r="E1272" t="s">
        <v>40</v>
      </c>
      <c r="F1272" t="s">
        <v>10</v>
      </c>
    </row>
    <row r="1273" spans="1:6" hidden="1" x14ac:dyDescent="0.35">
      <c r="A1273" t="s">
        <v>21</v>
      </c>
      <c r="B1273" t="s">
        <v>7</v>
      </c>
      <c r="C1273" t="s">
        <v>27</v>
      </c>
      <c r="D1273">
        <v>315515</v>
      </c>
      <c r="E1273" t="s">
        <v>40</v>
      </c>
      <c r="F1273" t="s">
        <v>10</v>
      </c>
    </row>
    <row r="1274" spans="1:6" hidden="1" x14ac:dyDescent="0.35">
      <c r="A1274" t="s">
        <v>6</v>
      </c>
      <c r="B1274" t="s">
        <v>7</v>
      </c>
      <c r="C1274" t="s">
        <v>28</v>
      </c>
      <c r="D1274">
        <v>1208057</v>
      </c>
      <c r="E1274" t="s">
        <v>40</v>
      </c>
      <c r="F1274" t="s">
        <v>10</v>
      </c>
    </row>
    <row r="1275" spans="1:6" hidden="1" x14ac:dyDescent="0.35">
      <c r="A1275" t="s">
        <v>11</v>
      </c>
      <c r="B1275" t="s">
        <v>7</v>
      </c>
      <c r="C1275" t="s">
        <v>28</v>
      </c>
      <c r="D1275">
        <v>598615</v>
      </c>
      <c r="E1275" t="s">
        <v>40</v>
      </c>
      <c r="F1275" t="s">
        <v>10</v>
      </c>
    </row>
    <row r="1276" spans="1:6" hidden="1" x14ac:dyDescent="0.35">
      <c r="A1276" t="s">
        <v>12</v>
      </c>
      <c r="B1276" t="s">
        <v>7</v>
      </c>
      <c r="C1276" t="s">
        <v>28</v>
      </c>
      <c r="D1276">
        <v>989188</v>
      </c>
      <c r="E1276" t="s">
        <v>40</v>
      </c>
      <c r="F1276" t="s">
        <v>10</v>
      </c>
    </row>
    <row r="1277" spans="1:6" hidden="1" x14ac:dyDescent="0.35">
      <c r="A1277" t="s">
        <v>13</v>
      </c>
      <c r="B1277" t="s">
        <v>7</v>
      </c>
      <c r="C1277" t="s">
        <v>28</v>
      </c>
      <c r="D1277">
        <v>974088</v>
      </c>
      <c r="E1277" t="s">
        <v>40</v>
      </c>
      <c r="F1277" t="s">
        <v>10</v>
      </c>
    </row>
    <row r="1278" spans="1:6" hidden="1" x14ac:dyDescent="0.35">
      <c r="A1278" t="s">
        <v>14</v>
      </c>
      <c r="B1278" t="s">
        <v>7</v>
      </c>
      <c r="C1278" t="s">
        <v>28</v>
      </c>
      <c r="D1278">
        <v>341346</v>
      </c>
      <c r="E1278" t="s">
        <v>40</v>
      </c>
      <c r="F1278" t="s">
        <v>10</v>
      </c>
    </row>
    <row r="1279" spans="1:6" hidden="1" x14ac:dyDescent="0.35">
      <c r="A1279" t="s">
        <v>15</v>
      </c>
      <c r="B1279" t="s">
        <v>7</v>
      </c>
      <c r="C1279" t="s">
        <v>28</v>
      </c>
      <c r="D1279">
        <v>297387</v>
      </c>
      <c r="E1279" t="s">
        <v>40</v>
      </c>
      <c r="F1279" t="s">
        <v>10</v>
      </c>
    </row>
    <row r="1280" spans="1:6" hidden="1" x14ac:dyDescent="0.35">
      <c r="A1280" t="s">
        <v>16</v>
      </c>
      <c r="B1280" t="s">
        <v>7</v>
      </c>
      <c r="C1280" t="s">
        <v>28</v>
      </c>
      <c r="D1280">
        <v>737040</v>
      </c>
      <c r="E1280" t="s">
        <v>40</v>
      </c>
      <c r="F1280" t="s">
        <v>10</v>
      </c>
    </row>
    <row r="1281" spans="1:6" hidden="1" x14ac:dyDescent="0.35">
      <c r="A1281" t="s">
        <v>17</v>
      </c>
      <c r="B1281" t="s">
        <v>7</v>
      </c>
      <c r="C1281" t="s">
        <v>28</v>
      </c>
      <c r="D1281">
        <v>1345160</v>
      </c>
      <c r="E1281" t="s">
        <v>40</v>
      </c>
      <c r="F1281" t="s">
        <v>10</v>
      </c>
    </row>
    <row r="1282" spans="1:6" hidden="1" x14ac:dyDescent="0.35">
      <c r="A1282" t="s">
        <v>18</v>
      </c>
      <c r="B1282" t="s">
        <v>7</v>
      </c>
      <c r="C1282" t="s">
        <v>28</v>
      </c>
      <c r="D1282">
        <v>519163</v>
      </c>
      <c r="E1282" t="s">
        <v>40</v>
      </c>
      <c r="F1282" t="s">
        <v>10</v>
      </c>
    </row>
    <row r="1283" spans="1:6" hidden="1" x14ac:dyDescent="0.35">
      <c r="A1283" t="s">
        <v>19</v>
      </c>
      <c r="B1283" t="s">
        <v>7</v>
      </c>
      <c r="C1283" t="s">
        <v>28</v>
      </c>
      <c r="D1283">
        <v>953170</v>
      </c>
      <c r="E1283" t="s">
        <v>40</v>
      </c>
      <c r="F1283" t="s">
        <v>10</v>
      </c>
    </row>
    <row r="1284" spans="1:6" hidden="1" x14ac:dyDescent="0.35">
      <c r="A1284" t="s">
        <v>20</v>
      </c>
      <c r="B1284" t="s">
        <v>7</v>
      </c>
      <c r="C1284" t="s">
        <v>28</v>
      </c>
      <c r="D1284">
        <v>1684856</v>
      </c>
      <c r="E1284" t="s">
        <v>40</v>
      </c>
      <c r="F1284" t="s">
        <v>10</v>
      </c>
    </row>
    <row r="1285" spans="1:6" hidden="1" x14ac:dyDescent="0.35">
      <c r="A1285" t="s">
        <v>21</v>
      </c>
      <c r="B1285" t="s">
        <v>7</v>
      </c>
      <c r="C1285" t="s">
        <v>28</v>
      </c>
      <c r="D1285">
        <v>1332762</v>
      </c>
      <c r="E1285" t="s">
        <v>40</v>
      </c>
      <c r="F1285" t="s">
        <v>10</v>
      </c>
    </row>
    <row r="1286" spans="1:6" hidden="1" x14ac:dyDescent="0.35">
      <c r="A1286" t="s">
        <v>6</v>
      </c>
      <c r="B1286" t="s">
        <v>7</v>
      </c>
      <c r="C1286" t="s">
        <v>29</v>
      </c>
      <c r="D1286">
        <v>84</v>
      </c>
      <c r="E1286" t="s">
        <v>40</v>
      </c>
      <c r="F1286" t="s">
        <v>10</v>
      </c>
    </row>
    <row r="1287" spans="1:6" hidden="1" x14ac:dyDescent="0.35">
      <c r="A1287" t="s">
        <v>11</v>
      </c>
      <c r="B1287" t="s">
        <v>7</v>
      </c>
      <c r="C1287" t="s">
        <v>29</v>
      </c>
      <c r="D1287">
        <v>80</v>
      </c>
      <c r="E1287" t="s">
        <v>40</v>
      </c>
      <c r="F1287" t="s">
        <v>10</v>
      </c>
    </row>
    <row r="1288" spans="1:6" hidden="1" x14ac:dyDescent="0.35">
      <c r="A1288" t="s">
        <v>12</v>
      </c>
      <c r="B1288" t="s">
        <v>7</v>
      </c>
      <c r="C1288" t="s">
        <v>29</v>
      </c>
      <c r="D1288">
        <v>94</v>
      </c>
      <c r="E1288" t="s">
        <v>40</v>
      </c>
      <c r="F1288" t="s">
        <v>10</v>
      </c>
    </row>
    <row r="1289" spans="1:6" hidden="1" x14ac:dyDescent="0.35">
      <c r="A1289" t="s">
        <v>13</v>
      </c>
      <c r="B1289" t="s">
        <v>7</v>
      </c>
      <c r="C1289" t="s">
        <v>29</v>
      </c>
      <c r="D1289">
        <v>55</v>
      </c>
      <c r="E1289" t="s">
        <v>40</v>
      </c>
      <c r="F1289" t="s">
        <v>10</v>
      </c>
    </row>
    <row r="1290" spans="1:6" hidden="1" x14ac:dyDescent="0.35">
      <c r="A1290" t="s">
        <v>14</v>
      </c>
      <c r="B1290" t="s">
        <v>7</v>
      </c>
      <c r="C1290" t="s">
        <v>29</v>
      </c>
      <c r="D1290">
        <v>46</v>
      </c>
      <c r="E1290" t="s">
        <v>40</v>
      </c>
      <c r="F1290" t="s">
        <v>10</v>
      </c>
    </row>
    <row r="1291" spans="1:6" hidden="1" x14ac:dyDescent="0.35">
      <c r="A1291" t="s">
        <v>15</v>
      </c>
      <c r="B1291" t="s">
        <v>7</v>
      </c>
      <c r="C1291" t="s">
        <v>29</v>
      </c>
      <c r="D1291">
        <v>58</v>
      </c>
      <c r="E1291" t="s">
        <v>40</v>
      </c>
      <c r="F1291" t="s">
        <v>10</v>
      </c>
    </row>
    <row r="1292" spans="1:6" hidden="1" x14ac:dyDescent="0.35">
      <c r="A1292" t="s">
        <v>16</v>
      </c>
      <c r="B1292" t="s">
        <v>7</v>
      </c>
      <c r="C1292" t="s">
        <v>29</v>
      </c>
      <c r="D1292">
        <v>56</v>
      </c>
      <c r="E1292" t="s">
        <v>40</v>
      </c>
      <c r="F1292" t="s">
        <v>10</v>
      </c>
    </row>
    <row r="1293" spans="1:6" hidden="1" x14ac:dyDescent="0.35">
      <c r="A1293" t="s">
        <v>17</v>
      </c>
      <c r="B1293" t="s">
        <v>7</v>
      </c>
      <c r="C1293" t="s">
        <v>29</v>
      </c>
      <c r="D1293">
        <v>85</v>
      </c>
      <c r="E1293" t="s">
        <v>40</v>
      </c>
      <c r="F1293" t="s">
        <v>10</v>
      </c>
    </row>
    <row r="1294" spans="1:6" hidden="1" x14ac:dyDescent="0.35">
      <c r="A1294" t="s">
        <v>18</v>
      </c>
      <c r="B1294" t="s">
        <v>7</v>
      </c>
      <c r="C1294" t="s">
        <v>29</v>
      </c>
      <c r="D1294">
        <v>83</v>
      </c>
      <c r="E1294" t="s">
        <v>40</v>
      </c>
      <c r="F1294" t="s">
        <v>10</v>
      </c>
    </row>
    <row r="1295" spans="1:6" hidden="1" x14ac:dyDescent="0.35">
      <c r="A1295" t="s">
        <v>19</v>
      </c>
      <c r="B1295" t="s">
        <v>7</v>
      </c>
      <c r="C1295" t="s">
        <v>29</v>
      </c>
      <c r="D1295">
        <v>80</v>
      </c>
      <c r="E1295" t="s">
        <v>40</v>
      </c>
      <c r="F1295" t="s">
        <v>10</v>
      </c>
    </row>
    <row r="1296" spans="1:6" hidden="1" x14ac:dyDescent="0.35">
      <c r="A1296" t="s">
        <v>20</v>
      </c>
      <c r="B1296" t="s">
        <v>7</v>
      </c>
      <c r="C1296" t="s">
        <v>29</v>
      </c>
      <c r="D1296">
        <v>50</v>
      </c>
      <c r="E1296" t="s">
        <v>40</v>
      </c>
      <c r="F1296" t="s">
        <v>10</v>
      </c>
    </row>
    <row r="1297" spans="1:6" hidden="1" x14ac:dyDescent="0.35">
      <c r="A1297" t="s">
        <v>21</v>
      </c>
      <c r="B1297" t="s">
        <v>7</v>
      </c>
      <c r="C1297" t="s">
        <v>29</v>
      </c>
      <c r="D1297">
        <v>45</v>
      </c>
      <c r="E1297" t="s">
        <v>40</v>
      </c>
      <c r="F1297" t="s">
        <v>10</v>
      </c>
    </row>
    <row r="1298" spans="1:6" hidden="1" x14ac:dyDescent="0.35">
      <c r="A1298" t="s">
        <v>6</v>
      </c>
      <c r="B1298" t="s">
        <v>7</v>
      </c>
      <c r="C1298" t="s">
        <v>30</v>
      </c>
      <c r="D1298">
        <v>6</v>
      </c>
      <c r="E1298" t="s">
        <v>40</v>
      </c>
      <c r="F1298" t="s">
        <v>10</v>
      </c>
    </row>
    <row r="1299" spans="1:6" hidden="1" x14ac:dyDescent="0.35">
      <c r="A1299" t="s">
        <v>11</v>
      </c>
      <c r="B1299" t="s">
        <v>7</v>
      </c>
      <c r="C1299" t="s">
        <v>30</v>
      </c>
      <c r="D1299">
        <v>3</v>
      </c>
      <c r="E1299" t="s">
        <v>40</v>
      </c>
      <c r="F1299" t="s">
        <v>10</v>
      </c>
    </row>
    <row r="1300" spans="1:6" hidden="1" x14ac:dyDescent="0.35">
      <c r="A1300" t="s">
        <v>12</v>
      </c>
      <c r="B1300" t="s">
        <v>7</v>
      </c>
      <c r="C1300" t="s">
        <v>30</v>
      </c>
      <c r="D1300">
        <v>6</v>
      </c>
      <c r="E1300" t="s">
        <v>40</v>
      </c>
      <c r="F1300" t="s">
        <v>10</v>
      </c>
    </row>
    <row r="1301" spans="1:6" hidden="1" x14ac:dyDescent="0.35">
      <c r="A1301" t="s">
        <v>13</v>
      </c>
      <c r="B1301" t="s">
        <v>7</v>
      </c>
      <c r="C1301" t="s">
        <v>30</v>
      </c>
      <c r="D1301">
        <v>9</v>
      </c>
      <c r="E1301" t="s">
        <v>40</v>
      </c>
      <c r="F1301" t="s">
        <v>10</v>
      </c>
    </row>
    <row r="1302" spans="1:6" hidden="1" x14ac:dyDescent="0.35">
      <c r="A1302" t="s">
        <v>14</v>
      </c>
      <c r="B1302" t="s">
        <v>7</v>
      </c>
      <c r="C1302" t="s">
        <v>30</v>
      </c>
      <c r="D1302">
        <v>5</v>
      </c>
      <c r="E1302" t="s">
        <v>40</v>
      </c>
      <c r="F1302" t="s">
        <v>10</v>
      </c>
    </row>
    <row r="1303" spans="1:6" hidden="1" x14ac:dyDescent="0.35">
      <c r="A1303" t="s">
        <v>15</v>
      </c>
      <c r="B1303" t="s">
        <v>7</v>
      </c>
      <c r="C1303" t="s">
        <v>30</v>
      </c>
      <c r="D1303">
        <v>8</v>
      </c>
      <c r="E1303" t="s">
        <v>40</v>
      </c>
      <c r="F1303" t="s">
        <v>10</v>
      </c>
    </row>
    <row r="1304" spans="1:6" hidden="1" x14ac:dyDescent="0.35">
      <c r="A1304" t="s">
        <v>16</v>
      </c>
      <c r="B1304" t="s">
        <v>7</v>
      </c>
      <c r="C1304" t="s">
        <v>30</v>
      </c>
      <c r="D1304">
        <v>14</v>
      </c>
      <c r="E1304" t="s">
        <v>40</v>
      </c>
      <c r="F1304" t="s">
        <v>10</v>
      </c>
    </row>
    <row r="1305" spans="1:6" hidden="1" x14ac:dyDescent="0.35">
      <c r="A1305" t="s">
        <v>17</v>
      </c>
      <c r="B1305" t="s">
        <v>7</v>
      </c>
      <c r="C1305" t="s">
        <v>30</v>
      </c>
      <c r="D1305">
        <v>11</v>
      </c>
      <c r="E1305" t="s">
        <v>40</v>
      </c>
      <c r="F1305" t="s">
        <v>10</v>
      </c>
    </row>
    <row r="1306" spans="1:6" hidden="1" x14ac:dyDescent="0.35">
      <c r="A1306" t="s">
        <v>18</v>
      </c>
      <c r="B1306" t="s">
        <v>7</v>
      </c>
      <c r="C1306" t="s">
        <v>30</v>
      </c>
      <c r="D1306">
        <v>8</v>
      </c>
      <c r="E1306" t="s">
        <v>40</v>
      </c>
      <c r="F1306" t="s">
        <v>10</v>
      </c>
    </row>
    <row r="1307" spans="1:6" hidden="1" x14ac:dyDescent="0.35">
      <c r="A1307" t="s">
        <v>19</v>
      </c>
      <c r="B1307" t="s">
        <v>7</v>
      </c>
      <c r="C1307" t="s">
        <v>30</v>
      </c>
      <c r="D1307">
        <v>18</v>
      </c>
      <c r="E1307" t="s">
        <v>40</v>
      </c>
      <c r="F1307" t="s">
        <v>10</v>
      </c>
    </row>
    <row r="1308" spans="1:6" hidden="1" x14ac:dyDescent="0.35">
      <c r="A1308" t="s">
        <v>20</v>
      </c>
      <c r="B1308" t="s">
        <v>7</v>
      </c>
      <c r="C1308" t="s">
        <v>30</v>
      </c>
      <c r="D1308">
        <v>11</v>
      </c>
      <c r="E1308" t="s">
        <v>40</v>
      </c>
      <c r="F1308" t="s">
        <v>10</v>
      </c>
    </row>
    <row r="1309" spans="1:6" hidden="1" x14ac:dyDescent="0.35">
      <c r="A1309" t="s">
        <v>21</v>
      </c>
      <c r="B1309" t="s">
        <v>7</v>
      </c>
      <c r="C1309" t="s">
        <v>30</v>
      </c>
      <c r="D1309">
        <v>10</v>
      </c>
      <c r="E1309" t="s">
        <v>40</v>
      </c>
      <c r="F1309" t="s">
        <v>10</v>
      </c>
    </row>
    <row r="1310" spans="1:6" hidden="1" x14ac:dyDescent="0.35">
      <c r="A1310" t="s">
        <v>6</v>
      </c>
      <c r="B1310" t="s">
        <v>7</v>
      </c>
      <c r="C1310" t="s">
        <v>31</v>
      </c>
      <c r="D1310">
        <v>16</v>
      </c>
      <c r="E1310" t="s">
        <v>40</v>
      </c>
      <c r="F1310" t="s">
        <v>10</v>
      </c>
    </row>
    <row r="1311" spans="1:6" hidden="1" x14ac:dyDescent="0.35">
      <c r="A1311" t="s">
        <v>11</v>
      </c>
      <c r="B1311" t="s">
        <v>7</v>
      </c>
      <c r="C1311" t="s">
        <v>31</v>
      </c>
      <c r="D1311">
        <v>26</v>
      </c>
      <c r="E1311" t="s">
        <v>40</v>
      </c>
      <c r="F1311" t="s">
        <v>10</v>
      </c>
    </row>
    <row r="1312" spans="1:6" hidden="1" x14ac:dyDescent="0.35">
      <c r="A1312" t="s">
        <v>12</v>
      </c>
      <c r="B1312" t="s">
        <v>7</v>
      </c>
      <c r="C1312" t="s">
        <v>31</v>
      </c>
      <c r="D1312">
        <v>18</v>
      </c>
      <c r="E1312" t="s">
        <v>40</v>
      </c>
      <c r="F1312" t="s">
        <v>10</v>
      </c>
    </row>
    <row r="1313" spans="1:6" hidden="1" x14ac:dyDescent="0.35">
      <c r="A1313" t="s">
        <v>13</v>
      </c>
      <c r="B1313" t="s">
        <v>7</v>
      </c>
      <c r="C1313" t="s">
        <v>31</v>
      </c>
      <c r="D1313">
        <v>17</v>
      </c>
      <c r="E1313" t="s">
        <v>40</v>
      </c>
      <c r="F1313" t="s">
        <v>10</v>
      </c>
    </row>
    <row r="1314" spans="1:6" hidden="1" x14ac:dyDescent="0.35">
      <c r="A1314" t="s">
        <v>14</v>
      </c>
      <c r="B1314" t="s">
        <v>7</v>
      </c>
      <c r="C1314" t="s">
        <v>31</v>
      </c>
      <c r="D1314">
        <v>13</v>
      </c>
      <c r="E1314" t="s">
        <v>40</v>
      </c>
      <c r="F1314" t="s">
        <v>10</v>
      </c>
    </row>
    <row r="1315" spans="1:6" hidden="1" x14ac:dyDescent="0.35">
      <c r="A1315" t="s">
        <v>15</v>
      </c>
      <c r="B1315" t="s">
        <v>7</v>
      </c>
      <c r="C1315" t="s">
        <v>31</v>
      </c>
      <c r="D1315">
        <v>17</v>
      </c>
      <c r="E1315" t="s">
        <v>40</v>
      </c>
      <c r="F1315" t="s">
        <v>10</v>
      </c>
    </row>
    <row r="1316" spans="1:6" hidden="1" x14ac:dyDescent="0.35">
      <c r="A1316" t="s">
        <v>16</v>
      </c>
      <c r="B1316" t="s">
        <v>7</v>
      </c>
      <c r="C1316" t="s">
        <v>31</v>
      </c>
      <c r="D1316">
        <v>11</v>
      </c>
      <c r="E1316" t="s">
        <v>40</v>
      </c>
      <c r="F1316" t="s">
        <v>10</v>
      </c>
    </row>
    <row r="1317" spans="1:6" hidden="1" x14ac:dyDescent="0.35">
      <c r="A1317" t="s">
        <v>17</v>
      </c>
      <c r="B1317" t="s">
        <v>7</v>
      </c>
      <c r="C1317" t="s">
        <v>31</v>
      </c>
      <c r="D1317">
        <v>23</v>
      </c>
      <c r="E1317" t="s">
        <v>40</v>
      </c>
      <c r="F1317" t="s">
        <v>10</v>
      </c>
    </row>
    <row r="1318" spans="1:6" hidden="1" x14ac:dyDescent="0.35">
      <c r="A1318" t="s">
        <v>18</v>
      </c>
      <c r="B1318" t="s">
        <v>7</v>
      </c>
      <c r="C1318" t="s">
        <v>31</v>
      </c>
      <c r="D1318">
        <v>27</v>
      </c>
      <c r="E1318" t="s">
        <v>40</v>
      </c>
      <c r="F1318" t="s">
        <v>10</v>
      </c>
    </row>
    <row r="1319" spans="1:6" hidden="1" x14ac:dyDescent="0.35">
      <c r="A1319" t="s">
        <v>19</v>
      </c>
      <c r="B1319" t="s">
        <v>7</v>
      </c>
      <c r="C1319" t="s">
        <v>31</v>
      </c>
      <c r="D1319">
        <v>27</v>
      </c>
      <c r="E1319" t="s">
        <v>40</v>
      </c>
      <c r="F1319" t="s">
        <v>10</v>
      </c>
    </row>
    <row r="1320" spans="1:6" hidden="1" x14ac:dyDescent="0.35">
      <c r="A1320" t="s">
        <v>20</v>
      </c>
      <c r="B1320" t="s">
        <v>7</v>
      </c>
      <c r="C1320" t="s">
        <v>31</v>
      </c>
      <c r="D1320">
        <v>13</v>
      </c>
      <c r="E1320" t="s">
        <v>40</v>
      </c>
      <c r="F1320" t="s">
        <v>10</v>
      </c>
    </row>
    <row r="1321" spans="1:6" hidden="1" x14ac:dyDescent="0.35">
      <c r="A1321" t="s">
        <v>21</v>
      </c>
      <c r="B1321" t="s">
        <v>7</v>
      </c>
      <c r="C1321" t="s">
        <v>31</v>
      </c>
      <c r="D1321">
        <v>17</v>
      </c>
      <c r="E1321" t="s">
        <v>40</v>
      </c>
      <c r="F1321" t="s">
        <v>10</v>
      </c>
    </row>
    <row r="1322" spans="1:6" hidden="1" x14ac:dyDescent="0.35">
      <c r="A1322" t="s">
        <v>6</v>
      </c>
      <c r="B1322" t="s">
        <v>32</v>
      </c>
      <c r="C1322" t="s">
        <v>8</v>
      </c>
      <c r="D1322">
        <v>314150</v>
      </c>
      <c r="E1322" t="s">
        <v>40</v>
      </c>
      <c r="F1322" t="s">
        <v>10</v>
      </c>
    </row>
    <row r="1323" spans="1:6" hidden="1" x14ac:dyDescent="0.35">
      <c r="A1323" t="s">
        <v>11</v>
      </c>
      <c r="B1323" t="s">
        <v>32</v>
      </c>
      <c r="C1323" t="s">
        <v>8</v>
      </c>
      <c r="D1323">
        <v>639402</v>
      </c>
      <c r="E1323" t="s">
        <v>40</v>
      </c>
      <c r="F1323" t="s">
        <v>10</v>
      </c>
    </row>
    <row r="1324" spans="1:6" hidden="1" x14ac:dyDescent="0.35">
      <c r="A1324" t="s">
        <v>12</v>
      </c>
      <c r="B1324" t="s">
        <v>32</v>
      </c>
      <c r="C1324" t="s">
        <v>8</v>
      </c>
      <c r="D1324">
        <v>536193</v>
      </c>
      <c r="E1324" t="s">
        <v>40</v>
      </c>
      <c r="F1324" t="s">
        <v>10</v>
      </c>
    </row>
    <row r="1325" spans="1:6" hidden="1" x14ac:dyDescent="0.35">
      <c r="A1325" t="s">
        <v>13</v>
      </c>
      <c r="B1325" t="s">
        <v>32</v>
      </c>
      <c r="C1325" t="s">
        <v>8</v>
      </c>
      <c r="D1325">
        <v>461866</v>
      </c>
      <c r="E1325" t="s">
        <v>40</v>
      </c>
      <c r="F1325" t="s">
        <v>10</v>
      </c>
    </row>
    <row r="1326" spans="1:6" hidden="1" x14ac:dyDescent="0.35">
      <c r="A1326" t="s">
        <v>14</v>
      </c>
      <c r="B1326" t="s">
        <v>32</v>
      </c>
      <c r="C1326" t="s">
        <v>8</v>
      </c>
      <c r="D1326">
        <v>205670</v>
      </c>
      <c r="E1326" t="s">
        <v>40</v>
      </c>
      <c r="F1326" t="s">
        <v>10</v>
      </c>
    </row>
    <row r="1327" spans="1:6" hidden="1" x14ac:dyDescent="0.35">
      <c r="A1327" t="s">
        <v>15</v>
      </c>
      <c r="B1327" t="s">
        <v>32</v>
      </c>
      <c r="C1327" t="s">
        <v>8</v>
      </c>
      <c r="D1327">
        <v>478148</v>
      </c>
      <c r="E1327" t="s">
        <v>40</v>
      </c>
      <c r="F1327" t="s">
        <v>10</v>
      </c>
    </row>
    <row r="1328" spans="1:6" hidden="1" x14ac:dyDescent="0.35">
      <c r="A1328" t="s">
        <v>16</v>
      </c>
      <c r="B1328" t="s">
        <v>32</v>
      </c>
      <c r="C1328" t="s">
        <v>8</v>
      </c>
      <c r="D1328">
        <v>971086</v>
      </c>
      <c r="E1328" t="s">
        <v>40</v>
      </c>
      <c r="F1328" t="s">
        <v>10</v>
      </c>
    </row>
    <row r="1329" spans="1:6" hidden="1" x14ac:dyDescent="0.35">
      <c r="A1329" t="s">
        <v>17</v>
      </c>
      <c r="B1329" t="s">
        <v>32</v>
      </c>
      <c r="C1329" t="s">
        <v>8</v>
      </c>
      <c r="D1329">
        <v>285364</v>
      </c>
      <c r="E1329" t="s">
        <v>40</v>
      </c>
      <c r="F1329" t="s">
        <v>10</v>
      </c>
    </row>
    <row r="1330" spans="1:6" hidden="1" x14ac:dyDescent="0.35">
      <c r="A1330" t="s">
        <v>18</v>
      </c>
      <c r="B1330" t="s">
        <v>32</v>
      </c>
      <c r="C1330" t="s">
        <v>8</v>
      </c>
      <c r="D1330">
        <v>297194</v>
      </c>
      <c r="E1330" t="s">
        <v>40</v>
      </c>
      <c r="F1330" t="s">
        <v>10</v>
      </c>
    </row>
    <row r="1331" spans="1:6" hidden="1" x14ac:dyDescent="0.35">
      <c r="A1331" t="s">
        <v>19</v>
      </c>
      <c r="B1331" t="s">
        <v>32</v>
      </c>
      <c r="C1331" t="s">
        <v>8</v>
      </c>
      <c r="D1331">
        <v>416073</v>
      </c>
      <c r="E1331" t="s">
        <v>40</v>
      </c>
      <c r="F1331" t="s">
        <v>10</v>
      </c>
    </row>
    <row r="1332" spans="1:6" hidden="1" x14ac:dyDescent="0.35">
      <c r="A1332" t="s">
        <v>20</v>
      </c>
      <c r="B1332" t="s">
        <v>32</v>
      </c>
      <c r="C1332" t="s">
        <v>8</v>
      </c>
      <c r="D1332">
        <v>475086</v>
      </c>
      <c r="E1332" t="s">
        <v>40</v>
      </c>
      <c r="F1332" t="s">
        <v>10</v>
      </c>
    </row>
    <row r="1333" spans="1:6" hidden="1" x14ac:dyDescent="0.35">
      <c r="A1333" t="s">
        <v>21</v>
      </c>
      <c r="B1333" t="s">
        <v>32</v>
      </c>
      <c r="C1333" t="s">
        <v>8</v>
      </c>
      <c r="D1333">
        <v>282478</v>
      </c>
      <c r="E1333" t="s">
        <v>40</v>
      </c>
      <c r="F1333" t="s">
        <v>10</v>
      </c>
    </row>
    <row r="1334" spans="1:6" hidden="1" x14ac:dyDescent="0.35">
      <c r="A1334" t="s">
        <v>6</v>
      </c>
      <c r="B1334" t="s">
        <v>32</v>
      </c>
      <c r="C1334" t="s">
        <v>22</v>
      </c>
      <c r="D1334">
        <v>0</v>
      </c>
      <c r="E1334" t="s">
        <v>40</v>
      </c>
      <c r="F1334" t="s">
        <v>10</v>
      </c>
    </row>
    <row r="1335" spans="1:6" hidden="1" x14ac:dyDescent="0.35">
      <c r="A1335" t="s">
        <v>11</v>
      </c>
      <c r="B1335" t="s">
        <v>32</v>
      </c>
      <c r="C1335" t="s">
        <v>22</v>
      </c>
      <c r="D1335">
        <v>0</v>
      </c>
      <c r="E1335" t="s">
        <v>40</v>
      </c>
      <c r="F1335" t="s">
        <v>10</v>
      </c>
    </row>
    <row r="1336" spans="1:6" hidden="1" x14ac:dyDescent="0.35">
      <c r="A1336" t="s">
        <v>12</v>
      </c>
      <c r="B1336" t="s">
        <v>32</v>
      </c>
      <c r="C1336" t="s">
        <v>22</v>
      </c>
      <c r="D1336">
        <v>0</v>
      </c>
      <c r="E1336" t="s">
        <v>40</v>
      </c>
      <c r="F1336" t="s">
        <v>10</v>
      </c>
    </row>
    <row r="1337" spans="1:6" hidden="1" x14ac:dyDescent="0.35">
      <c r="A1337" t="s">
        <v>13</v>
      </c>
      <c r="B1337" t="s">
        <v>32</v>
      </c>
      <c r="C1337" t="s">
        <v>22</v>
      </c>
      <c r="D1337">
        <v>0</v>
      </c>
      <c r="E1337" t="s">
        <v>40</v>
      </c>
      <c r="F1337" t="s">
        <v>10</v>
      </c>
    </row>
    <row r="1338" spans="1:6" hidden="1" x14ac:dyDescent="0.35">
      <c r="A1338" t="s">
        <v>14</v>
      </c>
      <c r="B1338" t="s">
        <v>32</v>
      </c>
      <c r="C1338" t="s">
        <v>22</v>
      </c>
      <c r="D1338">
        <v>0</v>
      </c>
      <c r="E1338" t="s">
        <v>40</v>
      </c>
      <c r="F1338" t="s">
        <v>10</v>
      </c>
    </row>
    <row r="1339" spans="1:6" hidden="1" x14ac:dyDescent="0.35">
      <c r="A1339" t="s">
        <v>15</v>
      </c>
      <c r="B1339" t="s">
        <v>32</v>
      </c>
      <c r="C1339" t="s">
        <v>22</v>
      </c>
      <c r="D1339">
        <v>0</v>
      </c>
      <c r="E1339" t="s">
        <v>40</v>
      </c>
      <c r="F1339" t="s">
        <v>10</v>
      </c>
    </row>
    <row r="1340" spans="1:6" hidden="1" x14ac:dyDescent="0.35">
      <c r="A1340" t="s">
        <v>16</v>
      </c>
      <c r="B1340" t="s">
        <v>32</v>
      </c>
      <c r="C1340" t="s">
        <v>22</v>
      </c>
      <c r="D1340">
        <v>0</v>
      </c>
      <c r="E1340" t="s">
        <v>40</v>
      </c>
      <c r="F1340" t="s">
        <v>10</v>
      </c>
    </row>
    <row r="1341" spans="1:6" hidden="1" x14ac:dyDescent="0.35">
      <c r="A1341" t="s">
        <v>17</v>
      </c>
      <c r="B1341" t="s">
        <v>32</v>
      </c>
      <c r="C1341" t="s">
        <v>22</v>
      </c>
      <c r="D1341">
        <v>0</v>
      </c>
      <c r="E1341" t="s">
        <v>40</v>
      </c>
      <c r="F1341" t="s">
        <v>10</v>
      </c>
    </row>
    <row r="1342" spans="1:6" hidden="1" x14ac:dyDescent="0.35">
      <c r="A1342" t="s">
        <v>18</v>
      </c>
      <c r="B1342" t="s">
        <v>32</v>
      </c>
      <c r="C1342" t="s">
        <v>22</v>
      </c>
      <c r="D1342">
        <v>0</v>
      </c>
      <c r="E1342" t="s">
        <v>40</v>
      </c>
      <c r="F1342" t="s">
        <v>10</v>
      </c>
    </row>
    <row r="1343" spans="1:6" hidden="1" x14ac:dyDescent="0.35">
      <c r="A1343" t="s">
        <v>19</v>
      </c>
      <c r="B1343" t="s">
        <v>32</v>
      </c>
      <c r="C1343" t="s">
        <v>22</v>
      </c>
      <c r="D1343">
        <v>0</v>
      </c>
      <c r="E1343" t="s">
        <v>40</v>
      </c>
      <c r="F1343" t="s">
        <v>10</v>
      </c>
    </row>
    <row r="1344" spans="1:6" hidden="1" x14ac:dyDescent="0.35">
      <c r="A1344" t="s">
        <v>20</v>
      </c>
      <c r="B1344" t="s">
        <v>32</v>
      </c>
      <c r="C1344" t="s">
        <v>22</v>
      </c>
      <c r="D1344">
        <v>0</v>
      </c>
      <c r="E1344" t="s">
        <v>40</v>
      </c>
      <c r="F1344" t="s">
        <v>10</v>
      </c>
    </row>
    <row r="1345" spans="1:6" hidden="1" x14ac:dyDescent="0.35">
      <c r="A1345" t="s">
        <v>21</v>
      </c>
      <c r="B1345" t="s">
        <v>32</v>
      </c>
      <c r="C1345" t="s">
        <v>22</v>
      </c>
      <c r="D1345">
        <v>0</v>
      </c>
      <c r="E1345" t="s">
        <v>40</v>
      </c>
      <c r="F1345" t="s">
        <v>10</v>
      </c>
    </row>
    <row r="1346" spans="1:6" hidden="1" x14ac:dyDescent="0.35">
      <c r="A1346" t="s">
        <v>6</v>
      </c>
      <c r="B1346" t="s">
        <v>32</v>
      </c>
      <c r="C1346" t="s">
        <v>23</v>
      </c>
      <c r="D1346">
        <v>1247500</v>
      </c>
      <c r="E1346" t="s">
        <v>40</v>
      </c>
      <c r="F1346" t="s">
        <v>10</v>
      </c>
    </row>
    <row r="1347" spans="1:6" hidden="1" x14ac:dyDescent="0.35">
      <c r="A1347" t="s">
        <v>11</v>
      </c>
      <c r="B1347" t="s">
        <v>32</v>
      </c>
      <c r="C1347" t="s">
        <v>23</v>
      </c>
      <c r="D1347">
        <v>1956086</v>
      </c>
      <c r="E1347" t="s">
        <v>40</v>
      </c>
      <c r="F1347" t="s">
        <v>10</v>
      </c>
    </row>
    <row r="1348" spans="1:6" hidden="1" x14ac:dyDescent="0.35">
      <c r="A1348" t="s">
        <v>12</v>
      </c>
      <c r="B1348" t="s">
        <v>32</v>
      </c>
      <c r="C1348" t="s">
        <v>23</v>
      </c>
      <c r="D1348">
        <v>1320369</v>
      </c>
      <c r="E1348" t="s">
        <v>40</v>
      </c>
      <c r="F1348" t="s">
        <v>10</v>
      </c>
    </row>
    <row r="1349" spans="1:6" hidden="1" x14ac:dyDescent="0.35">
      <c r="A1349" t="s">
        <v>13</v>
      </c>
      <c r="B1349" t="s">
        <v>32</v>
      </c>
      <c r="C1349" t="s">
        <v>23</v>
      </c>
      <c r="D1349">
        <v>1261543</v>
      </c>
      <c r="E1349" t="s">
        <v>40</v>
      </c>
      <c r="F1349" t="s">
        <v>10</v>
      </c>
    </row>
    <row r="1350" spans="1:6" hidden="1" x14ac:dyDescent="0.35">
      <c r="A1350" t="s">
        <v>14</v>
      </c>
      <c r="B1350" t="s">
        <v>32</v>
      </c>
      <c r="C1350" t="s">
        <v>23</v>
      </c>
      <c r="D1350">
        <v>1238737</v>
      </c>
      <c r="E1350" t="s">
        <v>40</v>
      </c>
      <c r="F1350" t="s">
        <v>10</v>
      </c>
    </row>
    <row r="1351" spans="1:6" hidden="1" x14ac:dyDescent="0.35">
      <c r="A1351" t="s">
        <v>15</v>
      </c>
      <c r="B1351" t="s">
        <v>32</v>
      </c>
      <c r="C1351" t="s">
        <v>23</v>
      </c>
      <c r="D1351">
        <v>2254282</v>
      </c>
      <c r="E1351" t="s">
        <v>40</v>
      </c>
      <c r="F1351" t="s">
        <v>10</v>
      </c>
    </row>
    <row r="1352" spans="1:6" hidden="1" x14ac:dyDescent="0.35">
      <c r="A1352" t="s">
        <v>16</v>
      </c>
      <c r="B1352" t="s">
        <v>32</v>
      </c>
      <c r="C1352" t="s">
        <v>23</v>
      </c>
      <c r="D1352">
        <v>2993749</v>
      </c>
      <c r="E1352" t="s">
        <v>40</v>
      </c>
      <c r="F1352" t="s">
        <v>10</v>
      </c>
    </row>
    <row r="1353" spans="1:6" hidden="1" x14ac:dyDescent="0.35">
      <c r="A1353" t="s">
        <v>17</v>
      </c>
      <c r="B1353" t="s">
        <v>32</v>
      </c>
      <c r="C1353" t="s">
        <v>23</v>
      </c>
      <c r="D1353">
        <v>1452021</v>
      </c>
      <c r="E1353" t="s">
        <v>40</v>
      </c>
      <c r="F1353" t="s">
        <v>10</v>
      </c>
    </row>
    <row r="1354" spans="1:6" hidden="1" x14ac:dyDescent="0.35">
      <c r="A1354" t="s">
        <v>18</v>
      </c>
      <c r="B1354" t="s">
        <v>32</v>
      </c>
      <c r="C1354" t="s">
        <v>23</v>
      </c>
      <c r="D1354">
        <v>1277983</v>
      </c>
      <c r="E1354" t="s">
        <v>40</v>
      </c>
      <c r="F1354" t="s">
        <v>10</v>
      </c>
    </row>
    <row r="1355" spans="1:6" hidden="1" x14ac:dyDescent="0.35">
      <c r="A1355" t="s">
        <v>19</v>
      </c>
      <c r="B1355" t="s">
        <v>32</v>
      </c>
      <c r="C1355" t="s">
        <v>23</v>
      </c>
      <c r="D1355">
        <v>1544732</v>
      </c>
      <c r="E1355" t="s">
        <v>40</v>
      </c>
      <c r="F1355" t="s">
        <v>10</v>
      </c>
    </row>
    <row r="1356" spans="1:6" hidden="1" x14ac:dyDescent="0.35">
      <c r="A1356" t="s">
        <v>20</v>
      </c>
      <c r="B1356" t="s">
        <v>32</v>
      </c>
      <c r="C1356" t="s">
        <v>23</v>
      </c>
      <c r="D1356">
        <v>1284619</v>
      </c>
      <c r="E1356" t="s">
        <v>40</v>
      </c>
      <c r="F1356" t="s">
        <v>10</v>
      </c>
    </row>
    <row r="1357" spans="1:6" hidden="1" x14ac:dyDescent="0.35">
      <c r="A1357" t="s">
        <v>21</v>
      </c>
      <c r="B1357" t="s">
        <v>32</v>
      </c>
      <c r="C1357" t="s">
        <v>23</v>
      </c>
      <c r="D1357">
        <v>1448202</v>
      </c>
      <c r="E1357" t="s">
        <v>40</v>
      </c>
      <c r="F1357" t="s">
        <v>10</v>
      </c>
    </row>
    <row r="1358" spans="1:6" hidden="1" x14ac:dyDescent="0.35">
      <c r="A1358" t="s">
        <v>6</v>
      </c>
      <c r="B1358" t="s">
        <v>32</v>
      </c>
      <c r="C1358" t="s">
        <v>24</v>
      </c>
      <c r="D1358">
        <v>0</v>
      </c>
      <c r="E1358" t="s">
        <v>40</v>
      </c>
      <c r="F1358" t="s">
        <v>10</v>
      </c>
    </row>
    <row r="1359" spans="1:6" hidden="1" x14ac:dyDescent="0.35">
      <c r="A1359" t="s">
        <v>11</v>
      </c>
      <c r="B1359" t="s">
        <v>32</v>
      </c>
      <c r="C1359" t="s">
        <v>24</v>
      </c>
      <c r="D1359">
        <v>0</v>
      </c>
      <c r="E1359" t="s">
        <v>40</v>
      </c>
      <c r="F1359" t="s">
        <v>10</v>
      </c>
    </row>
    <row r="1360" spans="1:6" hidden="1" x14ac:dyDescent="0.35">
      <c r="A1360" t="s">
        <v>12</v>
      </c>
      <c r="B1360" t="s">
        <v>32</v>
      </c>
      <c r="C1360" t="s">
        <v>24</v>
      </c>
      <c r="D1360">
        <v>0</v>
      </c>
      <c r="E1360" t="s">
        <v>40</v>
      </c>
      <c r="F1360" t="s">
        <v>10</v>
      </c>
    </row>
    <row r="1361" spans="1:6" hidden="1" x14ac:dyDescent="0.35">
      <c r="A1361" t="s">
        <v>13</v>
      </c>
      <c r="B1361" t="s">
        <v>32</v>
      </c>
      <c r="C1361" t="s">
        <v>24</v>
      </c>
      <c r="D1361">
        <v>0</v>
      </c>
      <c r="E1361" t="s">
        <v>40</v>
      </c>
      <c r="F1361" t="s">
        <v>10</v>
      </c>
    </row>
    <row r="1362" spans="1:6" hidden="1" x14ac:dyDescent="0.35">
      <c r="A1362" t="s">
        <v>14</v>
      </c>
      <c r="B1362" t="s">
        <v>32</v>
      </c>
      <c r="C1362" t="s">
        <v>24</v>
      </c>
      <c r="D1362">
        <v>0</v>
      </c>
      <c r="E1362" t="s">
        <v>40</v>
      </c>
      <c r="F1362" t="s">
        <v>10</v>
      </c>
    </row>
    <row r="1363" spans="1:6" hidden="1" x14ac:dyDescent="0.35">
      <c r="A1363" t="s">
        <v>15</v>
      </c>
      <c r="B1363" t="s">
        <v>32</v>
      </c>
      <c r="C1363" t="s">
        <v>24</v>
      </c>
      <c r="D1363">
        <v>0</v>
      </c>
      <c r="E1363" t="s">
        <v>40</v>
      </c>
      <c r="F1363" t="s">
        <v>10</v>
      </c>
    </row>
    <row r="1364" spans="1:6" hidden="1" x14ac:dyDescent="0.35">
      <c r="A1364" t="s">
        <v>16</v>
      </c>
      <c r="B1364" t="s">
        <v>32</v>
      </c>
      <c r="C1364" t="s">
        <v>24</v>
      </c>
      <c r="D1364">
        <v>0</v>
      </c>
      <c r="E1364" t="s">
        <v>40</v>
      </c>
      <c r="F1364" t="s">
        <v>10</v>
      </c>
    </row>
    <row r="1365" spans="1:6" hidden="1" x14ac:dyDescent="0.35">
      <c r="A1365" t="s">
        <v>17</v>
      </c>
      <c r="B1365" t="s">
        <v>32</v>
      </c>
      <c r="C1365" t="s">
        <v>24</v>
      </c>
      <c r="D1365">
        <v>0</v>
      </c>
      <c r="E1365" t="s">
        <v>40</v>
      </c>
      <c r="F1365" t="s">
        <v>10</v>
      </c>
    </row>
    <row r="1366" spans="1:6" hidden="1" x14ac:dyDescent="0.35">
      <c r="A1366" t="s">
        <v>18</v>
      </c>
      <c r="B1366" t="s">
        <v>32</v>
      </c>
      <c r="C1366" t="s">
        <v>24</v>
      </c>
      <c r="D1366">
        <v>0</v>
      </c>
      <c r="E1366" t="s">
        <v>40</v>
      </c>
      <c r="F1366" t="s">
        <v>10</v>
      </c>
    </row>
    <row r="1367" spans="1:6" hidden="1" x14ac:dyDescent="0.35">
      <c r="A1367" t="s">
        <v>19</v>
      </c>
      <c r="B1367" t="s">
        <v>32</v>
      </c>
      <c r="C1367" t="s">
        <v>24</v>
      </c>
      <c r="D1367">
        <v>0</v>
      </c>
      <c r="E1367" t="s">
        <v>40</v>
      </c>
      <c r="F1367" t="s">
        <v>10</v>
      </c>
    </row>
    <row r="1368" spans="1:6" hidden="1" x14ac:dyDescent="0.35">
      <c r="A1368" t="s">
        <v>20</v>
      </c>
      <c r="B1368" t="s">
        <v>32</v>
      </c>
      <c r="C1368" t="s">
        <v>24</v>
      </c>
      <c r="D1368">
        <v>0</v>
      </c>
      <c r="E1368" t="s">
        <v>40</v>
      </c>
      <c r="F1368" t="s">
        <v>10</v>
      </c>
    </row>
    <row r="1369" spans="1:6" hidden="1" x14ac:dyDescent="0.35">
      <c r="A1369" t="s">
        <v>21</v>
      </c>
      <c r="B1369" t="s">
        <v>32</v>
      </c>
      <c r="C1369" t="s">
        <v>24</v>
      </c>
      <c r="D1369">
        <v>0</v>
      </c>
      <c r="E1369" t="s">
        <v>40</v>
      </c>
      <c r="F1369" t="s">
        <v>10</v>
      </c>
    </row>
    <row r="1370" spans="1:6" hidden="1" x14ac:dyDescent="0.35">
      <c r="A1370" t="s">
        <v>6</v>
      </c>
      <c r="B1370" t="s">
        <v>32</v>
      </c>
      <c r="C1370" t="s">
        <v>25</v>
      </c>
      <c r="D1370">
        <v>11837</v>
      </c>
      <c r="E1370" t="s">
        <v>40</v>
      </c>
      <c r="F1370" t="s">
        <v>10</v>
      </c>
    </row>
    <row r="1371" spans="1:6" hidden="1" x14ac:dyDescent="0.35">
      <c r="A1371" t="s">
        <v>11</v>
      </c>
      <c r="B1371" t="s">
        <v>32</v>
      </c>
      <c r="C1371" t="s">
        <v>25</v>
      </c>
      <c r="D1371">
        <v>18255</v>
      </c>
      <c r="E1371" t="s">
        <v>40</v>
      </c>
      <c r="F1371" t="s">
        <v>10</v>
      </c>
    </row>
    <row r="1372" spans="1:6" hidden="1" x14ac:dyDescent="0.35">
      <c r="A1372" t="s">
        <v>12</v>
      </c>
      <c r="B1372" t="s">
        <v>32</v>
      </c>
      <c r="C1372" t="s">
        <v>25</v>
      </c>
      <c r="D1372">
        <v>12613</v>
      </c>
      <c r="E1372" t="s">
        <v>40</v>
      </c>
      <c r="F1372" t="s">
        <v>10</v>
      </c>
    </row>
    <row r="1373" spans="1:6" hidden="1" x14ac:dyDescent="0.35">
      <c r="A1373" t="s">
        <v>13</v>
      </c>
      <c r="B1373" t="s">
        <v>32</v>
      </c>
      <c r="C1373" t="s">
        <v>25</v>
      </c>
      <c r="D1373">
        <v>23898</v>
      </c>
      <c r="E1373" t="s">
        <v>40</v>
      </c>
      <c r="F1373" t="s">
        <v>10</v>
      </c>
    </row>
    <row r="1374" spans="1:6" hidden="1" x14ac:dyDescent="0.35">
      <c r="A1374" t="s">
        <v>14</v>
      </c>
      <c r="B1374" t="s">
        <v>32</v>
      </c>
      <c r="C1374" t="s">
        <v>25</v>
      </c>
      <c r="D1374">
        <v>296</v>
      </c>
      <c r="E1374" t="s">
        <v>40</v>
      </c>
      <c r="F1374" t="s">
        <v>10</v>
      </c>
    </row>
    <row r="1375" spans="1:6" hidden="1" x14ac:dyDescent="0.35">
      <c r="A1375" t="s">
        <v>15</v>
      </c>
      <c r="B1375" t="s">
        <v>32</v>
      </c>
      <c r="C1375" t="s">
        <v>25</v>
      </c>
      <c r="D1375">
        <v>7956</v>
      </c>
      <c r="E1375" t="s">
        <v>40</v>
      </c>
      <c r="F1375" t="s">
        <v>10</v>
      </c>
    </row>
    <row r="1376" spans="1:6" hidden="1" x14ac:dyDescent="0.35">
      <c r="A1376" t="s">
        <v>16</v>
      </c>
      <c r="B1376" t="s">
        <v>32</v>
      </c>
      <c r="C1376" t="s">
        <v>25</v>
      </c>
      <c r="D1376">
        <v>1513</v>
      </c>
      <c r="E1376" t="s">
        <v>40</v>
      </c>
      <c r="F1376" t="s">
        <v>10</v>
      </c>
    </row>
    <row r="1377" spans="1:6" hidden="1" x14ac:dyDescent="0.35">
      <c r="A1377" t="s">
        <v>17</v>
      </c>
      <c r="B1377" t="s">
        <v>32</v>
      </c>
      <c r="C1377" t="s">
        <v>25</v>
      </c>
      <c r="D1377">
        <v>45746</v>
      </c>
      <c r="E1377" t="s">
        <v>40</v>
      </c>
      <c r="F1377" t="s">
        <v>10</v>
      </c>
    </row>
    <row r="1378" spans="1:6" hidden="1" x14ac:dyDescent="0.35">
      <c r="A1378" t="s">
        <v>18</v>
      </c>
      <c r="B1378" t="s">
        <v>32</v>
      </c>
      <c r="C1378" t="s">
        <v>25</v>
      </c>
      <c r="D1378">
        <v>146528</v>
      </c>
      <c r="E1378" t="s">
        <v>40</v>
      </c>
      <c r="F1378" t="s">
        <v>10</v>
      </c>
    </row>
    <row r="1379" spans="1:6" hidden="1" x14ac:dyDescent="0.35">
      <c r="A1379" t="s">
        <v>19</v>
      </c>
      <c r="B1379" t="s">
        <v>32</v>
      </c>
      <c r="C1379" t="s">
        <v>25</v>
      </c>
      <c r="D1379">
        <v>19236</v>
      </c>
      <c r="E1379" t="s">
        <v>40</v>
      </c>
      <c r="F1379" t="s">
        <v>10</v>
      </c>
    </row>
    <row r="1380" spans="1:6" hidden="1" x14ac:dyDescent="0.35">
      <c r="A1380" t="s">
        <v>20</v>
      </c>
      <c r="B1380" t="s">
        <v>32</v>
      </c>
      <c r="C1380" t="s">
        <v>25</v>
      </c>
      <c r="D1380">
        <v>31999</v>
      </c>
      <c r="E1380" t="s">
        <v>40</v>
      </c>
      <c r="F1380" t="s">
        <v>10</v>
      </c>
    </row>
    <row r="1381" spans="1:6" hidden="1" x14ac:dyDescent="0.35">
      <c r="A1381" t="s">
        <v>21</v>
      </c>
      <c r="B1381" t="s">
        <v>32</v>
      </c>
      <c r="C1381" t="s">
        <v>25</v>
      </c>
      <c r="D1381">
        <v>44266</v>
      </c>
      <c r="E1381" t="s">
        <v>40</v>
      </c>
      <c r="F1381" t="s">
        <v>10</v>
      </c>
    </row>
    <row r="1382" spans="1:6" hidden="1" x14ac:dyDescent="0.35">
      <c r="A1382" t="s">
        <v>6</v>
      </c>
      <c r="B1382" t="s">
        <v>32</v>
      </c>
      <c r="C1382" t="s">
        <v>26</v>
      </c>
      <c r="D1382">
        <v>0</v>
      </c>
      <c r="E1382" t="s">
        <v>40</v>
      </c>
      <c r="F1382" t="s">
        <v>10</v>
      </c>
    </row>
    <row r="1383" spans="1:6" hidden="1" x14ac:dyDescent="0.35">
      <c r="A1383" t="s">
        <v>11</v>
      </c>
      <c r="B1383" t="s">
        <v>32</v>
      </c>
      <c r="C1383" t="s">
        <v>26</v>
      </c>
      <c r="E1383" t="s">
        <v>40</v>
      </c>
      <c r="F1383" t="s">
        <v>10</v>
      </c>
    </row>
    <row r="1384" spans="1:6" hidden="1" x14ac:dyDescent="0.35">
      <c r="A1384" t="s">
        <v>12</v>
      </c>
      <c r="B1384" t="s">
        <v>32</v>
      </c>
      <c r="C1384" t="s">
        <v>26</v>
      </c>
      <c r="E1384" t="s">
        <v>40</v>
      </c>
      <c r="F1384" t="s">
        <v>10</v>
      </c>
    </row>
    <row r="1385" spans="1:6" hidden="1" x14ac:dyDescent="0.35">
      <c r="A1385" t="s">
        <v>13</v>
      </c>
      <c r="B1385" t="s">
        <v>32</v>
      </c>
      <c r="C1385" t="s">
        <v>26</v>
      </c>
      <c r="E1385" t="s">
        <v>40</v>
      </c>
      <c r="F1385" t="s">
        <v>10</v>
      </c>
    </row>
    <row r="1386" spans="1:6" hidden="1" x14ac:dyDescent="0.35">
      <c r="A1386" t="s">
        <v>14</v>
      </c>
      <c r="B1386" t="s">
        <v>32</v>
      </c>
      <c r="C1386" t="s">
        <v>26</v>
      </c>
      <c r="E1386" t="s">
        <v>40</v>
      </c>
      <c r="F1386" t="s">
        <v>10</v>
      </c>
    </row>
    <row r="1387" spans="1:6" hidden="1" x14ac:dyDescent="0.35">
      <c r="A1387" t="s">
        <v>15</v>
      </c>
      <c r="B1387" t="s">
        <v>32</v>
      </c>
      <c r="C1387" t="s">
        <v>26</v>
      </c>
      <c r="E1387" t="s">
        <v>40</v>
      </c>
      <c r="F1387" t="s">
        <v>10</v>
      </c>
    </row>
    <row r="1388" spans="1:6" hidden="1" x14ac:dyDescent="0.35">
      <c r="A1388" t="s">
        <v>16</v>
      </c>
      <c r="B1388" t="s">
        <v>32</v>
      </c>
      <c r="C1388" t="s">
        <v>26</v>
      </c>
      <c r="E1388" t="s">
        <v>40</v>
      </c>
      <c r="F1388" t="s">
        <v>10</v>
      </c>
    </row>
    <row r="1389" spans="1:6" hidden="1" x14ac:dyDescent="0.35">
      <c r="A1389" t="s">
        <v>17</v>
      </c>
      <c r="B1389" t="s">
        <v>32</v>
      </c>
      <c r="C1389" t="s">
        <v>26</v>
      </c>
      <c r="E1389" t="s">
        <v>40</v>
      </c>
      <c r="F1389" t="s">
        <v>10</v>
      </c>
    </row>
    <row r="1390" spans="1:6" hidden="1" x14ac:dyDescent="0.35">
      <c r="A1390" t="s">
        <v>18</v>
      </c>
      <c r="B1390" t="s">
        <v>32</v>
      </c>
      <c r="C1390" t="s">
        <v>26</v>
      </c>
      <c r="E1390" t="s">
        <v>40</v>
      </c>
      <c r="F1390" t="s">
        <v>10</v>
      </c>
    </row>
    <row r="1391" spans="1:6" hidden="1" x14ac:dyDescent="0.35">
      <c r="A1391" t="s">
        <v>19</v>
      </c>
      <c r="B1391" t="s">
        <v>32</v>
      </c>
      <c r="C1391" t="s">
        <v>26</v>
      </c>
      <c r="E1391" t="s">
        <v>40</v>
      </c>
      <c r="F1391" t="s">
        <v>10</v>
      </c>
    </row>
    <row r="1392" spans="1:6" hidden="1" x14ac:dyDescent="0.35">
      <c r="A1392" t="s">
        <v>20</v>
      </c>
      <c r="B1392" t="s">
        <v>32</v>
      </c>
      <c r="C1392" t="s">
        <v>26</v>
      </c>
      <c r="E1392" t="s">
        <v>40</v>
      </c>
      <c r="F1392" t="s">
        <v>10</v>
      </c>
    </row>
    <row r="1393" spans="1:6" hidden="1" x14ac:dyDescent="0.35">
      <c r="A1393" t="s">
        <v>21</v>
      </c>
      <c r="B1393" t="s">
        <v>32</v>
      </c>
      <c r="C1393" t="s">
        <v>26</v>
      </c>
      <c r="E1393" t="s">
        <v>40</v>
      </c>
      <c r="F1393" t="s">
        <v>10</v>
      </c>
    </row>
    <row r="1394" spans="1:6" hidden="1" x14ac:dyDescent="0.35">
      <c r="A1394" t="s">
        <v>6</v>
      </c>
      <c r="B1394" t="s">
        <v>32</v>
      </c>
      <c r="C1394" t="s">
        <v>27</v>
      </c>
      <c r="D1394">
        <v>72729</v>
      </c>
      <c r="E1394" t="s">
        <v>40</v>
      </c>
      <c r="F1394" t="s">
        <v>10</v>
      </c>
    </row>
    <row r="1395" spans="1:6" hidden="1" x14ac:dyDescent="0.35">
      <c r="A1395" t="s">
        <v>11</v>
      </c>
      <c r="B1395" t="s">
        <v>32</v>
      </c>
      <c r="C1395" t="s">
        <v>27</v>
      </c>
      <c r="D1395">
        <v>156096</v>
      </c>
      <c r="E1395" t="s">
        <v>40</v>
      </c>
      <c r="F1395" t="s">
        <v>10</v>
      </c>
    </row>
    <row r="1396" spans="1:6" hidden="1" x14ac:dyDescent="0.35">
      <c r="A1396" t="s">
        <v>12</v>
      </c>
      <c r="B1396" t="s">
        <v>32</v>
      </c>
      <c r="C1396" t="s">
        <v>27</v>
      </c>
      <c r="D1396">
        <v>137796</v>
      </c>
      <c r="E1396" t="s">
        <v>40</v>
      </c>
      <c r="F1396" t="s">
        <v>10</v>
      </c>
    </row>
    <row r="1397" spans="1:6" hidden="1" x14ac:dyDescent="0.35">
      <c r="A1397" t="s">
        <v>13</v>
      </c>
      <c r="B1397" t="s">
        <v>32</v>
      </c>
      <c r="C1397" t="s">
        <v>27</v>
      </c>
      <c r="D1397">
        <v>91111</v>
      </c>
      <c r="E1397" t="s">
        <v>40</v>
      </c>
      <c r="F1397" t="s">
        <v>10</v>
      </c>
    </row>
    <row r="1398" spans="1:6" hidden="1" x14ac:dyDescent="0.35">
      <c r="A1398" t="s">
        <v>14</v>
      </c>
      <c r="B1398" t="s">
        <v>32</v>
      </c>
      <c r="C1398" t="s">
        <v>27</v>
      </c>
      <c r="D1398">
        <v>68373</v>
      </c>
      <c r="E1398" t="s">
        <v>40</v>
      </c>
      <c r="F1398" t="s">
        <v>10</v>
      </c>
    </row>
    <row r="1399" spans="1:6" hidden="1" x14ac:dyDescent="0.35">
      <c r="A1399" t="s">
        <v>15</v>
      </c>
      <c r="B1399" t="s">
        <v>32</v>
      </c>
      <c r="C1399" t="s">
        <v>27</v>
      </c>
      <c r="D1399">
        <v>175199</v>
      </c>
      <c r="E1399" t="s">
        <v>40</v>
      </c>
      <c r="F1399" t="s">
        <v>10</v>
      </c>
    </row>
    <row r="1400" spans="1:6" hidden="1" x14ac:dyDescent="0.35">
      <c r="A1400" t="s">
        <v>16</v>
      </c>
      <c r="B1400" t="s">
        <v>32</v>
      </c>
      <c r="C1400" t="s">
        <v>27</v>
      </c>
      <c r="D1400">
        <v>123543</v>
      </c>
      <c r="E1400" t="s">
        <v>40</v>
      </c>
      <c r="F1400" t="s">
        <v>10</v>
      </c>
    </row>
    <row r="1401" spans="1:6" hidden="1" x14ac:dyDescent="0.35">
      <c r="A1401" t="s">
        <v>17</v>
      </c>
      <c r="B1401" t="s">
        <v>32</v>
      </c>
      <c r="C1401" t="s">
        <v>27</v>
      </c>
      <c r="D1401">
        <v>152893</v>
      </c>
      <c r="E1401" t="s">
        <v>40</v>
      </c>
      <c r="F1401" t="s">
        <v>10</v>
      </c>
    </row>
    <row r="1402" spans="1:6" hidden="1" x14ac:dyDescent="0.35">
      <c r="A1402" t="s">
        <v>18</v>
      </c>
      <c r="B1402" t="s">
        <v>32</v>
      </c>
      <c r="C1402" t="s">
        <v>27</v>
      </c>
      <c r="D1402">
        <v>125171</v>
      </c>
      <c r="E1402" t="s">
        <v>40</v>
      </c>
      <c r="F1402" t="s">
        <v>10</v>
      </c>
    </row>
    <row r="1403" spans="1:6" hidden="1" x14ac:dyDescent="0.35">
      <c r="A1403" t="s">
        <v>19</v>
      </c>
      <c r="B1403" t="s">
        <v>32</v>
      </c>
      <c r="C1403" t="s">
        <v>27</v>
      </c>
      <c r="D1403">
        <v>136442</v>
      </c>
      <c r="E1403" t="s">
        <v>40</v>
      </c>
      <c r="F1403" t="s">
        <v>10</v>
      </c>
    </row>
    <row r="1404" spans="1:6" hidden="1" x14ac:dyDescent="0.35">
      <c r="A1404" t="s">
        <v>20</v>
      </c>
      <c r="B1404" t="s">
        <v>32</v>
      </c>
      <c r="C1404" t="s">
        <v>27</v>
      </c>
      <c r="D1404">
        <v>192331</v>
      </c>
      <c r="E1404" t="s">
        <v>40</v>
      </c>
      <c r="F1404" t="s">
        <v>10</v>
      </c>
    </row>
    <row r="1405" spans="1:6" hidden="1" x14ac:dyDescent="0.35">
      <c r="A1405" t="s">
        <v>21</v>
      </c>
      <c r="B1405" t="s">
        <v>32</v>
      </c>
      <c r="C1405" t="s">
        <v>27</v>
      </c>
      <c r="D1405">
        <v>97449</v>
      </c>
      <c r="E1405" t="s">
        <v>40</v>
      </c>
      <c r="F1405" t="s">
        <v>10</v>
      </c>
    </row>
    <row r="1406" spans="1:6" hidden="1" x14ac:dyDescent="0.35">
      <c r="A1406" t="s">
        <v>6</v>
      </c>
      <c r="B1406" t="s">
        <v>32</v>
      </c>
      <c r="C1406" t="s">
        <v>28</v>
      </c>
      <c r="D1406">
        <v>1875800</v>
      </c>
      <c r="E1406" t="s">
        <v>40</v>
      </c>
      <c r="F1406" t="s">
        <v>10</v>
      </c>
    </row>
    <row r="1407" spans="1:6" hidden="1" x14ac:dyDescent="0.35">
      <c r="A1407" t="s">
        <v>11</v>
      </c>
      <c r="B1407" t="s">
        <v>32</v>
      </c>
      <c r="C1407" t="s">
        <v>28</v>
      </c>
      <c r="D1407">
        <v>3264299</v>
      </c>
      <c r="E1407" t="s">
        <v>40</v>
      </c>
      <c r="F1407" t="s">
        <v>10</v>
      </c>
    </row>
    <row r="1408" spans="1:6" hidden="1" x14ac:dyDescent="0.35">
      <c r="A1408" t="s">
        <v>12</v>
      </c>
      <c r="B1408" t="s">
        <v>32</v>
      </c>
      <c r="C1408" t="s">
        <v>28</v>
      </c>
      <c r="D1408">
        <v>2422469</v>
      </c>
      <c r="E1408" t="s">
        <v>40</v>
      </c>
      <c r="F1408" t="s">
        <v>10</v>
      </c>
    </row>
    <row r="1409" spans="1:6" hidden="1" x14ac:dyDescent="0.35">
      <c r="A1409" t="s">
        <v>13</v>
      </c>
      <c r="B1409" t="s">
        <v>32</v>
      </c>
      <c r="C1409" t="s">
        <v>28</v>
      </c>
      <c r="D1409">
        <v>2185275</v>
      </c>
      <c r="E1409" t="s">
        <v>40</v>
      </c>
      <c r="F1409" t="s">
        <v>10</v>
      </c>
    </row>
    <row r="1410" spans="1:6" hidden="1" x14ac:dyDescent="0.35">
      <c r="A1410" t="s">
        <v>14</v>
      </c>
      <c r="B1410" t="s">
        <v>32</v>
      </c>
      <c r="C1410" t="s">
        <v>28</v>
      </c>
      <c r="D1410">
        <v>1650076</v>
      </c>
      <c r="E1410" t="s">
        <v>40</v>
      </c>
      <c r="F1410" t="s">
        <v>10</v>
      </c>
    </row>
    <row r="1411" spans="1:6" hidden="1" x14ac:dyDescent="0.35">
      <c r="A1411" t="s">
        <v>15</v>
      </c>
      <c r="B1411" t="s">
        <v>32</v>
      </c>
      <c r="C1411" t="s">
        <v>28</v>
      </c>
      <c r="D1411">
        <v>3200053</v>
      </c>
      <c r="E1411" t="s">
        <v>40</v>
      </c>
      <c r="F1411" t="s">
        <v>10</v>
      </c>
    </row>
    <row r="1412" spans="1:6" hidden="1" x14ac:dyDescent="0.35">
      <c r="A1412" t="s">
        <v>16</v>
      </c>
      <c r="B1412" t="s">
        <v>32</v>
      </c>
      <c r="C1412" t="s">
        <v>28</v>
      </c>
      <c r="D1412">
        <v>4940587</v>
      </c>
      <c r="E1412" t="s">
        <v>40</v>
      </c>
      <c r="F1412" t="s">
        <v>10</v>
      </c>
    </row>
    <row r="1413" spans="1:6" hidden="1" x14ac:dyDescent="0.35">
      <c r="A1413" t="s">
        <v>17</v>
      </c>
      <c r="B1413" t="s">
        <v>32</v>
      </c>
      <c r="C1413" t="s">
        <v>28</v>
      </c>
      <c r="D1413">
        <v>2057962</v>
      </c>
      <c r="E1413" t="s">
        <v>40</v>
      </c>
      <c r="F1413" t="s">
        <v>10</v>
      </c>
    </row>
    <row r="1414" spans="1:6" hidden="1" x14ac:dyDescent="0.35">
      <c r="A1414" t="s">
        <v>18</v>
      </c>
      <c r="B1414" t="s">
        <v>32</v>
      </c>
      <c r="C1414" t="s">
        <v>28</v>
      </c>
      <c r="D1414">
        <v>1899462</v>
      </c>
      <c r="E1414" t="s">
        <v>40</v>
      </c>
      <c r="F1414" t="s">
        <v>10</v>
      </c>
    </row>
    <row r="1415" spans="1:6" hidden="1" x14ac:dyDescent="0.35">
      <c r="A1415" t="s">
        <v>19</v>
      </c>
      <c r="B1415" t="s">
        <v>32</v>
      </c>
      <c r="C1415" t="s">
        <v>28</v>
      </c>
      <c r="D1415">
        <v>2387450</v>
      </c>
      <c r="E1415" t="s">
        <v>40</v>
      </c>
      <c r="F1415" t="s">
        <v>10</v>
      </c>
    </row>
    <row r="1416" spans="1:6" hidden="1" x14ac:dyDescent="0.35">
      <c r="A1416" t="s">
        <v>20</v>
      </c>
      <c r="B1416" t="s">
        <v>32</v>
      </c>
      <c r="C1416" t="s">
        <v>28</v>
      </c>
      <c r="D1416">
        <v>2263052</v>
      </c>
      <c r="E1416" t="s">
        <v>40</v>
      </c>
      <c r="F1416" t="s">
        <v>10</v>
      </c>
    </row>
    <row r="1417" spans="1:6" hidden="1" x14ac:dyDescent="0.35">
      <c r="A1417" t="s">
        <v>21</v>
      </c>
      <c r="B1417" t="s">
        <v>32</v>
      </c>
      <c r="C1417" t="s">
        <v>28</v>
      </c>
      <c r="D1417">
        <v>2013157</v>
      </c>
      <c r="E1417" t="s">
        <v>40</v>
      </c>
      <c r="F1417" t="s">
        <v>10</v>
      </c>
    </row>
    <row r="1418" spans="1:6" hidden="1" x14ac:dyDescent="0.35">
      <c r="A1418" t="s">
        <v>6</v>
      </c>
      <c r="B1418" t="s">
        <v>32</v>
      </c>
      <c r="C1418" t="s">
        <v>29</v>
      </c>
      <c r="D1418">
        <v>80</v>
      </c>
      <c r="E1418" t="s">
        <v>40</v>
      </c>
      <c r="F1418" t="s">
        <v>10</v>
      </c>
    </row>
    <row r="1419" spans="1:6" hidden="1" x14ac:dyDescent="0.35">
      <c r="A1419" t="s">
        <v>11</v>
      </c>
      <c r="B1419" t="s">
        <v>32</v>
      </c>
      <c r="C1419" t="s">
        <v>29</v>
      </c>
      <c r="D1419">
        <v>93</v>
      </c>
      <c r="E1419" t="s">
        <v>40</v>
      </c>
      <c r="F1419" t="s">
        <v>10</v>
      </c>
    </row>
    <row r="1420" spans="1:6" hidden="1" x14ac:dyDescent="0.35">
      <c r="A1420" t="s">
        <v>12</v>
      </c>
      <c r="B1420" t="s">
        <v>32</v>
      </c>
      <c r="C1420" t="s">
        <v>29</v>
      </c>
      <c r="D1420">
        <v>104</v>
      </c>
      <c r="E1420" t="s">
        <v>40</v>
      </c>
      <c r="F1420" t="s">
        <v>10</v>
      </c>
    </row>
    <row r="1421" spans="1:6" hidden="1" x14ac:dyDescent="0.35">
      <c r="A1421" t="s">
        <v>13</v>
      </c>
      <c r="B1421" t="s">
        <v>32</v>
      </c>
      <c r="C1421" t="s">
        <v>29</v>
      </c>
      <c r="D1421">
        <v>109</v>
      </c>
      <c r="E1421" t="s">
        <v>40</v>
      </c>
      <c r="F1421" t="s">
        <v>10</v>
      </c>
    </row>
    <row r="1422" spans="1:6" hidden="1" x14ac:dyDescent="0.35">
      <c r="A1422" t="s">
        <v>14</v>
      </c>
      <c r="B1422" t="s">
        <v>32</v>
      </c>
      <c r="C1422" t="s">
        <v>29</v>
      </c>
      <c r="D1422">
        <v>75</v>
      </c>
      <c r="E1422" t="s">
        <v>40</v>
      </c>
      <c r="F1422" t="s">
        <v>10</v>
      </c>
    </row>
    <row r="1423" spans="1:6" hidden="1" x14ac:dyDescent="0.35">
      <c r="A1423" t="s">
        <v>15</v>
      </c>
      <c r="B1423" t="s">
        <v>32</v>
      </c>
      <c r="C1423" t="s">
        <v>29</v>
      </c>
      <c r="D1423">
        <v>69</v>
      </c>
      <c r="E1423" t="s">
        <v>40</v>
      </c>
      <c r="F1423" t="s">
        <v>10</v>
      </c>
    </row>
    <row r="1424" spans="1:6" hidden="1" x14ac:dyDescent="0.35">
      <c r="A1424" t="s">
        <v>16</v>
      </c>
      <c r="B1424" t="s">
        <v>32</v>
      </c>
      <c r="C1424" t="s">
        <v>29</v>
      </c>
      <c r="D1424">
        <v>103</v>
      </c>
      <c r="E1424" t="s">
        <v>40</v>
      </c>
      <c r="F1424" t="s">
        <v>10</v>
      </c>
    </row>
    <row r="1425" spans="1:6" hidden="1" x14ac:dyDescent="0.35">
      <c r="A1425" t="s">
        <v>17</v>
      </c>
      <c r="B1425" t="s">
        <v>32</v>
      </c>
      <c r="C1425" t="s">
        <v>29</v>
      </c>
      <c r="D1425">
        <v>77</v>
      </c>
      <c r="E1425" t="s">
        <v>40</v>
      </c>
      <c r="F1425" t="s">
        <v>10</v>
      </c>
    </row>
    <row r="1426" spans="1:6" hidden="1" x14ac:dyDescent="0.35">
      <c r="A1426" t="s">
        <v>18</v>
      </c>
      <c r="B1426" t="s">
        <v>32</v>
      </c>
      <c r="C1426" t="s">
        <v>29</v>
      </c>
      <c r="D1426">
        <v>83</v>
      </c>
      <c r="E1426" t="s">
        <v>40</v>
      </c>
      <c r="F1426" t="s">
        <v>10</v>
      </c>
    </row>
    <row r="1427" spans="1:6" hidden="1" x14ac:dyDescent="0.35">
      <c r="A1427" t="s">
        <v>19</v>
      </c>
      <c r="B1427" t="s">
        <v>32</v>
      </c>
      <c r="C1427" t="s">
        <v>29</v>
      </c>
      <c r="D1427">
        <v>101</v>
      </c>
      <c r="E1427" t="s">
        <v>40</v>
      </c>
      <c r="F1427" t="s">
        <v>10</v>
      </c>
    </row>
    <row r="1428" spans="1:6" hidden="1" x14ac:dyDescent="0.35">
      <c r="A1428" t="s">
        <v>20</v>
      </c>
      <c r="B1428" t="s">
        <v>32</v>
      </c>
      <c r="C1428" t="s">
        <v>29</v>
      </c>
      <c r="D1428">
        <v>82</v>
      </c>
      <c r="E1428" t="s">
        <v>40</v>
      </c>
      <c r="F1428" t="s">
        <v>10</v>
      </c>
    </row>
    <row r="1429" spans="1:6" hidden="1" x14ac:dyDescent="0.35">
      <c r="A1429" t="s">
        <v>21</v>
      </c>
      <c r="B1429" t="s">
        <v>32</v>
      </c>
      <c r="C1429" t="s">
        <v>29</v>
      </c>
      <c r="D1429">
        <v>87</v>
      </c>
      <c r="E1429" t="s">
        <v>40</v>
      </c>
      <c r="F1429" t="s">
        <v>10</v>
      </c>
    </row>
    <row r="1430" spans="1:6" hidden="1" x14ac:dyDescent="0.35">
      <c r="A1430" t="s">
        <v>6</v>
      </c>
      <c r="B1430" t="s">
        <v>32</v>
      </c>
      <c r="C1430" t="s">
        <v>30</v>
      </c>
      <c r="D1430">
        <v>56</v>
      </c>
      <c r="E1430" t="s">
        <v>40</v>
      </c>
      <c r="F1430" t="s">
        <v>10</v>
      </c>
    </row>
    <row r="1431" spans="1:6" hidden="1" x14ac:dyDescent="0.35">
      <c r="A1431" t="s">
        <v>11</v>
      </c>
      <c r="B1431" t="s">
        <v>32</v>
      </c>
      <c r="C1431" t="s">
        <v>30</v>
      </c>
      <c r="D1431">
        <v>49</v>
      </c>
      <c r="E1431" t="s">
        <v>40</v>
      </c>
      <c r="F1431" t="s">
        <v>10</v>
      </c>
    </row>
    <row r="1432" spans="1:6" hidden="1" x14ac:dyDescent="0.35">
      <c r="A1432" t="s">
        <v>12</v>
      </c>
      <c r="B1432" t="s">
        <v>32</v>
      </c>
      <c r="C1432" t="s">
        <v>30</v>
      </c>
      <c r="D1432">
        <v>60</v>
      </c>
      <c r="E1432" t="s">
        <v>40</v>
      </c>
      <c r="F1432" t="s">
        <v>10</v>
      </c>
    </row>
    <row r="1433" spans="1:6" hidden="1" x14ac:dyDescent="0.35">
      <c r="A1433" t="s">
        <v>13</v>
      </c>
      <c r="B1433" t="s">
        <v>32</v>
      </c>
      <c r="C1433" t="s">
        <v>30</v>
      </c>
      <c r="D1433">
        <v>62</v>
      </c>
      <c r="E1433" t="s">
        <v>40</v>
      </c>
      <c r="F1433" t="s">
        <v>10</v>
      </c>
    </row>
    <row r="1434" spans="1:6" hidden="1" x14ac:dyDescent="0.35">
      <c r="A1434" t="s">
        <v>14</v>
      </c>
      <c r="B1434" t="s">
        <v>32</v>
      </c>
      <c r="C1434" t="s">
        <v>30</v>
      </c>
      <c r="D1434">
        <v>71</v>
      </c>
      <c r="E1434" t="s">
        <v>40</v>
      </c>
      <c r="F1434" t="s">
        <v>10</v>
      </c>
    </row>
    <row r="1435" spans="1:6" hidden="1" x14ac:dyDescent="0.35">
      <c r="A1435" t="s">
        <v>15</v>
      </c>
      <c r="B1435" t="s">
        <v>32</v>
      </c>
      <c r="C1435" t="s">
        <v>30</v>
      </c>
      <c r="D1435">
        <v>52</v>
      </c>
      <c r="E1435" t="s">
        <v>40</v>
      </c>
      <c r="F1435" t="s">
        <v>10</v>
      </c>
    </row>
    <row r="1436" spans="1:6" hidden="1" x14ac:dyDescent="0.35">
      <c r="A1436" t="s">
        <v>16</v>
      </c>
      <c r="B1436" t="s">
        <v>32</v>
      </c>
      <c r="C1436" t="s">
        <v>30</v>
      </c>
      <c r="D1436">
        <v>44</v>
      </c>
      <c r="E1436" t="s">
        <v>40</v>
      </c>
      <c r="F1436" t="s">
        <v>10</v>
      </c>
    </row>
    <row r="1437" spans="1:6" hidden="1" x14ac:dyDescent="0.35">
      <c r="A1437" t="s">
        <v>17</v>
      </c>
      <c r="B1437" t="s">
        <v>32</v>
      </c>
      <c r="C1437" t="s">
        <v>30</v>
      </c>
      <c r="D1437">
        <v>50</v>
      </c>
      <c r="E1437" t="s">
        <v>40</v>
      </c>
      <c r="F1437" t="s">
        <v>10</v>
      </c>
    </row>
    <row r="1438" spans="1:6" hidden="1" x14ac:dyDescent="0.35">
      <c r="A1438" t="s">
        <v>18</v>
      </c>
      <c r="B1438" t="s">
        <v>32</v>
      </c>
      <c r="C1438" t="s">
        <v>30</v>
      </c>
      <c r="D1438">
        <v>46</v>
      </c>
      <c r="E1438" t="s">
        <v>40</v>
      </c>
      <c r="F1438" t="s">
        <v>10</v>
      </c>
    </row>
    <row r="1439" spans="1:6" hidden="1" x14ac:dyDescent="0.35">
      <c r="A1439" t="s">
        <v>19</v>
      </c>
      <c r="B1439" t="s">
        <v>32</v>
      </c>
      <c r="C1439" t="s">
        <v>30</v>
      </c>
      <c r="D1439">
        <v>96</v>
      </c>
      <c r="E1439" t="s">
        <v>40</v>
      </c>
      <c r="F1439" t="s">
        <v>10</v>
      </c>
    </row>
    <row r="1440" spans="1:6" hidden="1" x14ac:dyDescent="0.35">
      <c r="A1440" t="s">
        <v>20</v>
      </c>
      <c r="B1440" t="s">
        <v>32</v>
      </c>
      <c r="C1440" t="s">
        <v>30</v>
      </c>
      <c r="D1440">
        <v>50</v>
      </c>
      <c r="E1440" t="s">
        <v>40</v>
      </c>
      <c r="F1440" t="s">
        <v>10</v>
      </c>
    </row>
    <row r="1441" spans="1:6" hidden="1" x14ac:dyDescent="0.35">
      <c r="A1441" t="s">
        <v>21</v>
      </c>
      <c r="B1441" t="s">
        <v>32</v>
      </c>
      <c r="C1441" t="s">
        <v>30</v>
      </c>
      <c r="D1441">
        <v>49</v>
      </c>
      <c r="E1441" t="s">
        <v>40</v>
      </c>
      <c r="F1441" t="s">
        <v>10</v>
      </c>
    </row>
    <row r="1442" spans="1:6" hidden="1" x14ac:dyDescent="0.35">
      <c r="A1442" t="s">
        <v>6</v>
      </c>
      <c r="B1442" t="s">
        <v>32</v>
      </c>
      <c r="C1442" t="s">
        <v>31</v>
      </c>
      <c r="D1442">
        <v>10</v>
      </c>
      <c r="E1442" t="s">
        <v>40</v>
      </c>
      <c r="F1442" t="s">
        <v>10</v>
      </c>
    </row>
    <row r="1443" spans="1:6" hidden="1" x14ac:dyDescent="0.35">
      <c r="A1443" t="s">
        <v>11</v>
      </c>
      <c r="B1443" t="s">
        <v>32</v>
      </c>
      <c r="C1443" t="s">
        <v>31</v>
      </c>
      <c r="D1443">
        <v>14</v>
      </c>
      <c r="E1443" t="s">
        <v>40</v>
      </c>
      <c r="F1443" t="s">
        <v>10</v>
      </c>
    </row>
    <row r="1444" spans="1:6" hidden="1" x14ac:dyDescent="0.35">
      <c r="A1444" t="s">
        <v>12</v>
      </c>
      <c r="B1444" t="s">
        <v>32</v>
      </c>
      <c r="C1444" t="s">
        <v>31</v>
      </c>
      <c r="D1444">
        <v>20</v>
      </c>
      <c r="E1444" t="s">
        <v>40</v>
      </c>
      <c r="F1444" t="s">
        <v>10</v>
      </c>
    </row>
    <row r="1445" spans="1:6" hidden="1" x14ac:dyDescent="0.35">
      <c r="A1445" t="s">
        <v>13</v>
      </c>
      <c r="B1445" t="s">
        <v>32</v>
      </c>
      <c r="C1445" t="s">
        <v>31</v>
      </c>
      <c r="D1445">
        <v>13</v>
      </c>
      <c r="E1445" t="s">
        <v>40</v>
      </c>
      <c r="F1445" t="s">
        <v>10</v>
      </c>
    </row>
    <row r="1446" spans="1:6" hidden="1" x14ac:dyDescent="0.35">
      <c r="A1446" t="s">
        <v>14</v>
      </c>
      <c r="B1446" t="s">
        <v>32</v>
      </c>
      <c r="C1446" t="s">
        <v>31</v>
      </c>
      <c r="D1446">
        <v>9</v>
      </c>
      <c r="E1446" t="s">
        <v>40</v>
      </c>
      <c r="F1446" t="s">
        <v>10</v>
      </c>
    </row>
    <row r="1447" spans="1:6" hidden="1" x14ac:dyDescent="0.35">
      <c r="A1447" t="s">
        <v>15</v>
      </c>
      <c r="B1447" t="s">
        <v>32</v>
      </c>
      <c r="C1447" t="s">
        <v>31</v>
      </c>
      <c r="D1447">
        <v>11</v>
      </c>
      <c r="E1447" t="s">
        <v>40</v>
      </c>
      <c r="F1447" t="s">
        <v>10</v>
      </c>
    </row>
    <row r="1448" spans="1:6" hidden="1" x14ac:dyDescent="0.35">
      <c r="A1448" t="s">
        <v>16</v>
      </c>
      <c r="B1448" t="s">
        <v>32</v>
      </c>
      <c r="C1448" t="s">
        <v>31</v>
      </c>
      <c r="D1448">
        <v>9</v>
      </c>
      <c r="E1448" t="s">
        <v>40</v>
      </c>
      <c r="F1448" t="s">
        <v>10</v>
      </c>
    </row>
    <row r="1449" spans="1:6" hidden="1" x14ac:dyDescent="0.35">
      <c r="A1449" t="s">
        <v>17</v>
      </c>
      <c r="B1449" t="s">
        <v>32</v>
      </c>
      <c r="C1449" t="s">
        <v>31</v>
      </c>
      <c r="D1449">
        <v>8</v>
      </c>
      <c r="E1449" t="s">
        <v>40</v>
      </c>
      <c r="F1449" t="s">
        <v>10</v>
      </c>
    </row>
    <row r="1450" spans="1:6" hidden="1" x14ac:dyDescent="0.35">
      <c r="A1450" t="s">
        <v>18</v>
      </c>
      <c r="B1450" t="s">
        <v>32</v>
      </c>
      <c r="C1450" t="s">
        <v>31</v>
      </c>
      <c r="D1450">
        <v>8</v>
      </c>
      <c r="E1450" t="s">
        <v>40</v>
      </c>
      <c r="F1450" t="s">
        <v>10</v>
      </c>
    </row>
    <row r="1451" spans="1:6" hidden="1" x14ac:dyDescent="0.35">
      <c r="A1451" t="s">
        <v>19</v>
      </c>
      <c r="B1451" t="s">
        <v>32</v>
      </c>
      <c r="C1451" t="s">
        <v>31</v>
      </c>
      <c r="D1451">
        <v>16</v>
      </c>
      <c r="E1451" t="s">
        <v>40</v>
      </c>
      <c r="F1451" t="s">
        <v>10</v>
      </c>
    </row>
    <row r="1452" spans="1:6" hidden="1" x14ac:dyDescent="0.35">
      <c r="A1452" t="s">
        <v>20</v>
      </c>
      <c r="B1452" t="s">
        <v>32</v>
      </c>
      <c r="C1452" t="s">
        <v>31</v>
      </c>
      <c r="D1452">
        <v>13</v>
      </c>
      <c r="E1452" t="s">
        <v>40</v>
      </c>
      <c r="F1452" t="s">
        <v>10</v>
      </c>
    </row>
    <row r="1453" spans="1:6" hidden="1" x14ac:dyDescent="0.35">
      <c r="A1453" t="s">
        <v>21</v>
      </c>
      <c r="B1453" t="s">
        <v>32</v>
      </c>
      <c r="C1453" t="s">
        <v>31</v>
      </c>
      <c r="D1453">
        <v>7</v>
      </c>
      <c r="E1453" t="s">
        <v>40</v>
      </c>
      <c r="F1453" t="s">
        <v>10</v>
      </c>
    </row>
    <row r="1454" spans="1:6" hidden="1" x14ac:dyDescent="0.35">
      <c r="A1454" t="s">
        <v>6</v>
      </c>
      <c r="B1454" t="s">
        <v>33</v>
      </c>
      <c r="C1454" t="s">
        <v>8</v>
      </c>
      <c r="D1454">
        <v>974229</v>
      </c>
      <c r="E1454" t="s">
        <v>40</v>
      </c>
      <c r="F1454" t="s">
        <v>10</v>
      </c>
    </row>
    <row r="1455" spans="1:6" hidden="1" x14ac:dyDescent="0.35">
      <c r="A1455" t="s">
        <v>11</v>
      </c>
      <c r="B1455" t="s">
        <v>33</v>
      </c>
      <c r="C1455" t="s">
        <v>8</v>
      </c>
      <c r="D1455">
        <v>1433541</v>
      </c>
      <c r="E1455" t="s">
        <v>40</v>
      </c>
      <c r="F1455" t="s">
        <v>10</v>
      </c>
    </row>
    <row r="1456" spans="1:6" hidden="1" x14ac:dyDescent="0.35">
      <c r="A1456" t="s">
        <v>12</v>
      </c>
      <c r="B1456" t="s">
        <v>33</v>
      </c>
      <c r="C1456" t="s">
        <v>8</v>
      </c>
      <c r="D1456">
        <v>1527717</v>
      </c>
      <c r="E1456" t="s">
        <v>40</v>
      </c>
      <c r="F1456" t="s">
        <v>10</v>
      </c>
    </row>
    <row r="1457" spans="1:6" hidden="1" x14ac:dyDescent="0.35">
      <c r="A1457" t="s">
        <v>13</v>
      </c>
      <c r="B1457" t="s">
        <v>33</v>
      </c>
      <c r="C1457" t="s">
        <v>8</v>
      </c>
      <c r="D1457">
        <v>1480608</v>
      </c>
      <c r="E1457" t="s">
        <v>40</v>
      </c>
      <c r="F1457" t="s">
        <v>10</v>
      </c>
    </row>
    <row r="1458" spans="1:6" hidden="1" x14ac:dyDescent="0.35">
      <c r="A1458" t="s">
        <v>14</v>
      </c>
      <c r="B1458" t="s">
        <v>33</v>
      </c>
      <c r="C1458" t="s">
        <v>8</v>
      </c>
      <c r="D1458">
        <v>1569544</v>
      </c>
      <c r="E1458" t="s">
        <v>40</v>
      </c>
      <c r="F1458" t="s">
        <v>10</v>
      </c>
    </row>
    <row r="1459" spans="1:6" hidden="1" x14ac:dyDescent="0.35">
      <c r="A1459" t="s">
        <v>15</v>
      </c>
      <c r="B1459" t="s">
        <v>33</v>
      </c>
      <c r="C1459" t="s">
        <v>8</v>
      </c>
      <c r="D1459">
        <v>849833</v>
      </c>
      <c r="E1459" t="s">
        <v>40</v>
      </c>
      <c r="F1459" t="s">
        <v>10</v>
      </c>
    </row>
    <row r="1460" spans="1:6" hidden="1" x14ac:dyDescent="0.35">
      <c r="A1460" t="s">
        <v>16</v>
      </c>
      <c r="B1460" t="s">
        <v>33</v>
      </c>
      <c r="C1460" t="s">
        <v>8</v>
      </c>
      <c r="D1460">
        <v>1358391</v>
      </c>
      <c r="E1460" t="s">
        <v>40</v>
      </c>
      <c r="F1460" t="s">
        <v>10</v>
      </c>
    </row>
    <row r="1461" spans="1:6" hidden="1" x14ac:dyDescent="0.35">
      <c r="A1461" t="s">
        <v>17</v>
      </c>
      <c r="B1461" t="s">
        <v>33</v>
      </c>
      <c r="C1461" t="s">
        <v>8</v>
      </c>
      <c r="D1461">
        <v>1873243</v>
      </c>
      <c r="E1461" t="s">
        <v>40</v>
      </c>
      <c r="F1461" t="s">
        <v>10</v>
      </c>
    </row>
    <row r="1462" spans="1:6" hidden="1" x14ac:dyDescent="0.35">
      <c r="A1462" t="s">
        <v>18</v>
      </c>
      <c r="B1462" t="s">
        <v>33</v>
      </c>
      <c r="C1462" t="s">
        <v>8</v>
      </c>
      <c r="D1462">
        <v>926237</v>
      </c>
      <c r="E1462" t="s">
        <v>40</v>
      </c>
      <c r="F1462" t="s">
        <v>10</v>
      </c>
    </row>
    <row r="1463" spans="1:6" hidden="1" x14ac:dyDescent="0.35">
      <c r="A1463" t="s">
        <v>19</v>
      </c>
      <c r="B1463" t="s">
        <v>33</v>
      </c>
      <c r="C1463" t="s">
        <v>8</v>
      </c>
      <c r="D1463">
        <v>2624263</v>
      </c>
      <c r="E1463" t="s">
        <v>40</v>
      </c>
      <c r="F1463" t="s">
        <v>10</v>
      </c>
    </row>
    <row r="1464" spans="1:6" hidden="1" x14ac:dyDescent="0.35">
      <c r="A1464" t="s">
        <v>20</v>
      </c>
      <c r="B1464" t="s">
        <v>33</v>
      </c>
      <c r="C1464" t="s">
        <v>8</v>
      </c>
      <c r="D1464">
        <v>1210994</v>
      </c>
      <c r="E1464" t="s">
        <v>40</v>
      </c>
      <c r="F1464" t="s">
        <v>10</v>
      </c>
    </row>
    <row r="1465" spans="1:6" hidden="1" x14ac:dyDescent="0.35">
      <c r="A1465" t="s">
        <v>21</v>
      </c>
      <c r="B1465" t="s">
        <v>33</v>
      </c>
      <c r="C1465" t="s">
        <v>8</v>
      </c>
      <c r="D1465">
        <v>912145</v>
      </c>
      <c r="E1465" t="s">
        <v>40</v>
      </c>
      <c r="F1465" t="s">
        <v>10</v>
      </c>
    </row>
    <row r="1466" spans="1:6" hidden="1" x14ac:dyDescent="0.35">
      <c r="A1466" t="s">
        <v>6</v>
      </c>
      <c r="B1466" t="s">
        <v>33</v>
      </c>
      <c r="C1466" t="s">
        <v>22</v>
      </c>
      <c r="D1466">
        <v>0</v>
      </c>
      <c r="E1466" t="s">
        <v>40</v>
      </c>
      <c r="F1466" t="s">
        <v>10</v>
      </c>
    </row>
    <row r="1467" spans="1:6" hidden="1" x14ac:dyDescent="0.35">
      <c r="A1467" t="s">
        <v>11</v>
      </c>
      <c r="B1467" t="s">
        <v>33</v>
      </c>
      <c r="C1467" t="s">
        <v>22</v>
      </c>
      <c r="D1467">
        <v>0</v>
      </c>
      <c r="E1467" t="s">
        <v>40</v>
      </c>
      <c r="F1467" t="s">
        <v>10</v>
      </c>
    </row>
    <row r="1468" spans="1:6" hidden="1" x14ac:dyDescent="0.35">
      <c r="A1468" t="s">
        <v>12</v>
      </c>
      <c r="B1468" t="s">
        <v>33</v>
      </c>
      <c r="C1468" t="s">
        <v>22</v>
      </c>
      <c r="D1468">
        <v>0</v>
      </c>
      <c r="E1468" t="s">
        <v>40</v>
      </c>
      <c r="F1468" t="s">
        <v>10</v>
      </c>
    </row>
    <row r="1469" spans="1:6" hidden="1" x14ac:dyDescent="0.35">
      <c r="A1469" t="s">
        <v>13</v>
      </c>
      <c r="B1469" t="s">
        <v>33</v>
      </c>
      <c r="C1469" t="s">
        <v>22</v>
      </c>
      <c r="D1469">
        <v>0</v>
      </c>
      <c r="E1469" t="s">
        <v>40</v>
      </c>
      <c r="F1469" t="s">
        <v>10</v>
      </c>
    </row>
    <row r="1470" spans="1:6" hidden="1" x14ac:dyDescent="0.35">
      <c r="A1470" t="s">
        <v>14</v>
      </c>
      <c r="B1470" t="s">
        <v>33</v>
      </c>
      <c r="C1470" t="s">
        <v>22</v>
      </c>
      <c r="D1470">
        <v>0</v>
      </c>
      <c r="E1470" t="s">
        <v>40</v>
      </c>
      <c r="F1470" t="s">
        <v>10</v>
      </c>
    </row>
    <row r="1471" spans="1:6" hidden="1" x14ac:dyDescent="0.35">
      <c r="A1471" t="s">
        <v>15</v>
      </c>
      <c r="B1471" t="s">
        <v>33</v>
      </c>
      <c r="C1471" t="s">
        <v>22</v>
      </c>
      <c r="D1471">
        <v>0</v>
      </c>
      <c r="E1471" t="s">
        <v>40</v>
      </c>
      <c r="F1471" t="s">
        <v>10</v>
      </c>
    </row>
    <row r="1472" spans="1:6" hidden="1" x14ac:dyDescent="0.35">
      <c r="A1472" t="s">
        <v>16</v>
      </c>
      <c r="B1472" t="s">
        <v>33</v>
      </c>
      <c r="C1472" t="s">
        <v>22</v>
      </c>
      <c r="D1472">
        <v>0</v>
      </c>
      <c r="E1472" t="s">
        <v>40</v>
      </c>
      <c r="F1472" t="s">
        <v>10</v>
      </c>
    </row>
    <row r="1473" spans="1:6" hidden="1" x14ac:dyDescent="0.35">
      <c r="A1473" t="s">
        <v>17</v>
      </c>
      <c r="B1473" t="s">
        <v>33</v>
      </c>
      <c r="C1473" t="s">
        <v>22</v>
      </c>
      <c r="D1473">
        <v>0</v>
      </c>
      <c r="E1473" t="s">
        <v>40</v>
      </c>
      <c r="F1473" t="s">
        <v>10</v>
      </c>
    </row>
    <row r="1474" spans="1:6" hidden="1" x14ac:dyDescent="0.35">
      <c r="A1474" t="s">
        <v>18</v>
      </c>
      <c r="B1474" t="s">
        <v>33</v>
      </c>
      <c r="C1474" t="s">
        <v>22</v>
      </c>
      <c r="D1474">
        <v>0</v>
      </c>
      <c r="E1474" t="s">
        <v>40</v>
      </c>
      <c r="F1474" t="s">
        <v>10</v>
      </c>
    </row>
    <row r="1475" spans="1:6" hidden="1" x14ac:dyDescent="0.35">
      <c r="A1475" t="s">
        <v>19</v>
      </c>
      <c r="B1475" t="s">
        <v>33</v>
      </c>
      <c r="C1475" t="s">
        <v>22</v>
      </c>
      <c r="D1475">
        <v>0</v>
      </c>
      <c r="E1475" t="s">
        <v>40</v>
      </c>
      <c r="F1475" t="s">
        <v>10</v>
      </c>
    </row>
    <row r="1476" spans="1:6" hidden="1" x14ac:dyDescent="0.35">
      <c r="A1476" t="s">
        <v>20</v>
      </c>
      <c r="B1476" t="s">
        <v>33</v>
      </c>
      <c r="C1476" t="s">
        <v>22</v>
      </c>
      <c r="D1476">
        <v>0</v>
      </c>
      <c r="E1476" t="s">
        <v>40</v>
      </c>
      <c r="F1476" t="s">
        <v>10</v>
      </c>
    </row>
    <row r="1477" spans="1:6" hidden="1" x14ac:dyDescent="0.35">
      <c r="A1477" t="s">
        <v>21</v>
      </c>
      <c r="B1477" t="s">
        <v>33</v>
      </c>
      <c r="C1477" t="s">
        <v>22</v>
      </c>
      <c r="D1477">
        <v>0</v>
      </c>
      <c r="E1477" t="s">
        <v>40</v>
      </c>
      <c r="F1477" t="s">
        <v>10</v>
      </c>
    </row>
    <row r="1478" spans="1:6" hidden="1" x14ac:dyDescent="0.35">
      <c r="A1478" t="s">
        <v>6</v>
      </c>
      <c r="B1478" t="s">
        <v>33</v>
      </c>
      <c r="C1478" t="s">
        <v>23</v>
      </c>
      <c r="D1478">
        <v>1278131</v>
      </c>
      <c r="E1478" t="s">
        <v>40</v>
      </c>
      <c r="F1478" t="s">
        <v>10</v>
      </c>
    </row>
    <row r="1479" spans="1:6" hidden="1" x14ac:dyDescent="0.35">
      <c r="A1479" t="s">
        <v>11</v>
      </c>
      <c r="B1479" t="s">
        <v>33</v>
      </c>
      <c r="C1479" t="s">
        <v>23</v>
      </c>
      <c r="D1479">
        <v>3001937</v>
      </c>
      <c r="E1479" t="s">
        <v>40</v>
      </c>
      <c r="F1479" t="s">
        <v>10</v>
      </c>
    </row>
    <row r="1480" spans="1:6" hidden="1" x14ac:dyDescent="0.35">
      <c r="A1480" t="s">
        <v>12</v>
      </c>
      <c r="B1480" t="s">
        <v>33</v>
      </c>
      <c r="C1480" t="s">
        <v>23</v>
      </c>
      <c r="D1480">
        <v>1269921</v>
      </c>
      <c r="E1480" t="s">
        <v>40</v>
      </c>
      <c r="F1480" t="s">
        <v>10</v>
      </c>
    </row>
    <row r="1481" spans="1:6" hidden="1" x14ac:dyDescent="0.35">
      <c r="A1481" t="s">
        <v>13</v>
      </c>
      <c r="B1481" t="s">
        <v>33</v>
      </c>
      <c r="C1481" t="s">
        <v>23</v>
      </c>
      <c r="D1481">
        <v>2868715</v>
      </c>
      <c r="E1481" t="s">
        <v>40</v>
      </c>
      <c r="F1481" t="s">
        <v>10</v>
      </c>
    </row>
    <row r="1482" spans="1:6" hidden="1" x14ac:dyDescent="0.35">
      <c r="A1482" t="s">
        <v>14</v>
      </c>
      <c r="B1482" t="s">
        <v>33</v>
      </c>
      <c r="C1482" t="s">
        <v>23</v>
      </c>
      <c r="D1482">
        <v>1813309</v>
      </c>
      <c r="E1482" t="s">
        <v>40</v>
      </c>
      <c r="F1482" t="s">
        <v>10</v>
      </c>
    </row>
    <row r="1483" spans="1:6" hidden="1" x14ac:dyDescent="0.35">
      <c r="A1483" t="s">
        <v>15</v>
      </c>
      <c r="B1483" t="s">
        <v>33</v>
      </c>
      <c r="C1483" t="s">
        <v>23</v>
      </c>
      <c r="D1483">
        <v>2076825</v>
      </c>
      <c r="E1483" t="s">
        <v>40</v>
      </c>
      <c r="F1483" t="s">
        <v>10</v>
      </c>
    </row>
    <row r="1484" spans="1:6" hidden="1" x14ac:dyDescent="0.35">
      <c r="A1484" t="s">
        <v>16</v>
      </c>
      <c r="B1484" t="s">
        <v>33</v>
      </c>
      <c r="C1484" t="s">
        <v>23</v>
      </c>
      <c r="D1484">
        <v>2076806</v>
      </c>
      <c r="E1484" t="s">
        <v>40</v>
      </c>
      <c r="F1484" t="s">
        <v>10</v>
      </c>
    </row>
    <row r="1485" spans="1:6" hidden="1" x14ac:dyDescent="0.35">
      <c r="A1485" t="s">
        <v>17</v>
      </c>
      <c r="B1485" t="s">
        <v>33</v>
      </c>
      <c r="C1485" t="s">
        <v>23</v>
      </c>
      <c r="D1485">
        <v>2856323</v>
      </c>
      <c r="E1485" t="s">
        <v>40</v>
      </c>
      <c r="F1485" t="s">
        <v>10</v>
      </c>
    </row>
    <row r="1486" spans="1:6" hidden="1" x14ac:dyDescent="0.35">
      <c r="A1486" t="s">
        <v>18</v>
      </c>
      <c r="B1486" t="s">
        <v>33</v>
      </c>
      <c r="C1486" t="s">
        <v>23</v>
      </c>
      <c r="D1486">
        <v>1695223</v>
      </c>
      <c r="E1486" t="s">
        <v>40</v>
      </c>
      <c r="F1486" t="s">
        <v>10</v>
      </c>
    </row>
    <row r="1487" spans="1:6" hidden="1" x14ac:dyDescent="0.35">
      <c r="A1487" t="s">
        <v>19</v>
      </c>
      <c r="B1487" t="s">
        <v>33</v>
      </c>
      <c r="C1487" t="s">
        <v>23</v>
      </c>
      <c r="D1487">
        <v>3942713</v>
      </c>
      <c r="E1487" t="s">
        <v>40</v>
      </c>
      <c r="F1487" t="s">
        <v>10</v>
      </c>
    </row>
    <row r="1488" spans="1:6" hidden="1" x14ac:dyDescent="0.35">
      <c r="A1488" t="s">
        <v>20</v>
      </c>
      <c r="B1488" t="s">
        <v>33</v>
      </c>
      <c r="C1488" t="s">
        <v>23</v>
      </c>
      <c r="D1488">
        <v>3549730</v>
      </c>
      <c r="E1488" t="s">
        <v>40</v>
      </c>
      <c r="F1488" t="s">
        <v>10</v>
      </c>
    </row>
    <row r="1489" spans="1:6" hidden="1" x14ac:dyDescent="0.35">
      <c r="A1489" t="s">
        <v>21</v>
      </c>
      <c r="B1489" t="s">
        <v>33</v>
      </c>
      <c r="C1489" t="s">
        <v>23</v>
      </c>
      <c r="D1489">
        <v>2467543</v>
      </c>
      <c r="E1489" t="s">
        <v>40</v>
      </c>
      <c r="F1489" t="s">
        <v>10</v>
      </c>
    </row>
    <row r="1490" spans="1:6" hidden="1" x14ac:dyDescent="0.35">
      <c r="A1490" t="s">
        <v>6</v>
      </c>
      <c r="B1490" t="s">
        <v>33</v>
      </c>
      <c r="C1490" t="s">
        <v>24</v>
      </c>
      <c r="D1490">
        <v>0</v>
      </c>
      <c r="E1490" t="s">
        <v>40</v>
      </c>
      <c r="F1490" t="s">
        <v>10</v>
      </c>
    </row>
    <row r="1491" spans="1:6" hidden="1" x14ac:dyDescent="0.35">
      <c r="A1491" t="s">
        <v>11</v>
      </c>
      <c r="B1491" t="s">
        <v>33</v>
      </c>
      <c r="C1491" t="s">
        <v>24</v>
      </c>
      <c r="D1491">
        <v>0</v>
      </c>
      <c r="E1491" t="s">
        <v>40</v>
      </c>
      <c r="F1491" t="s">
        <v>10</v>
      </c>
    </row>
    <row r="1492" spans="1:6" hidden="1" x14ac:dyDescent="0.35">
      <c r="A1492" t="s">
        <v>12</v>
      </c>
      <c r="B1492" t="s">
        <v>33</v>
      </c>
      <c r="C1492" t="s">
        <v>24</v>
      </c>
      <c r="D1492">
        <v>0</v>
      </c>
      <c r="E1492" t="s">
        <v>40</v>
      </c>
      <c r="F1492" t="s">
        <v>10</v>
      </c>
    </row>
    <row r="1493" spans="1:6" hidden="1" x14ac:dyDescent="0.35">
      <c r="A1493" t="s">
        <v>13</v>
      </c>
      <c r="B1493" t="s">
        <v>33</v>
      </c>
      <c r="C1493" t="s">
        <v>24</v>
      </c>
      <c r="D1493">
        <v>0</v>
      </c>
      <c r="E1493" t="s">
        <v>40</v>
      </c>
      <c r="F1493" t="s">
        <v>10</v>
      </c>
    </row>
    <row r="1494" spans="1:6" hidden="1" x14ac:dyDescent="0.35">
      <c r="A1494" t="s">
        <v>14</v>
      </c>
      <c r="B1494" t="s">
        <v>33</v>
      </c>
      <c r="C1494" t="s">
        <v>24</v>
      </c>
      <c r="D1494">
        <v>0</v>
      </c>
      <c r="E1494" t="s">
        <v>40</v>
      </c>
      <c r="F1494" t="s">
        <v>10</v>
      </c>
    </row>
    <row r="1495" spans="1:6" hidden="1" x14ac:dyDescent="0.35">
      <c r="A1495" t="s">
        <v>15</v>
      </c>
      <c r="B1495" t="s">
        <v>33</v>
      </c>
      <c r="C1495" t="s">
        <v>24</v>
      </c>
      <c r="D1495">
        <v>0</v>
      </c>
      <c r="E1495" t="s">
        <v>40</v>
      </c>
      <c r="F1495" t="s">
        <v>10</v>
      </c>
    </row>
    <row r="1496" spans="1:6" hidden="1" x14ac:dyDescent="0.35">
      <c r="A1496" t="s">
        <v>16</v>
      </c>
      <c r="B1496" t="s">
        <v>33</v>
      </c>
      <c r="C1496" t="s">
        <v>24</v>
      </c>
      <c r="D1496">
        <v>0</v>
      </c>
      <c r="E1496" t="s">
        <v>40</v>
      </c>
      <c r="F1496" t="s">
        <v>10</v>
      </c>
    </row>
    <row r="1497" spans="1:6" hidden="1" x14ac:dyDescent="0.35">
      <c r="A1497" t="s">
        <v>17</v>
      </c>
      <c r="B1497" t="s">
        <v>33</v>
      </c>
      <c r="C1497" t="s">
        <v>24</v>
      </c>
      <c r="D1497">
        <v>0</v>
      </c>
      <c r="E1497" t="s">
        <v>40</v>
      </c>
      <c r="F1497" t="s">
        <v>10</v>
      </c>
    </row>
    <row r="1498" spans="1:6" hidden="1" x14ac:dyDescent="0.35">
      <c r="A1498" t="s">
        <v>18</v>
      </c>
      <c r="B1498" t="s">
        <v>33</v>
      </c>
      <c r="C1498" t="s">
        <v>24</v>
      </c>
      <c r="D1498">
        <v>0</v>
      </c>
      <c r="E1498" t="s">
        <v>40</v>
      </c>
      <c r="F1498" t="s">
        <v>10</v>
      </c>
    </row>
    <row r="1499" spans="1:6" hidden="1" x14ac:dyDescent="0.35">
      <c r="A1499" t="s">
        <v>19</v>
      </c>
      <c r="B1499" t="s">
        <v>33</v>
      </c>
      <c r="C1499" t="s">
        <v>24</v>
      </c>
      <c r="D1499">
        <v>0</v>
      </c>
      <c r="E1499" t="s">
        <v>40</v>
      </c>
      <c r="F1499" t="s">
        <v>10</v>
      </c>
    </row>
    <row r="1500" spans="1:6" hidden="1" x14ac:dyDescent="0.35">
      <c r="A1500" t="s">
        <v>20</v>
      </c>
      <c r="B1500" t="s">
        <v>33</v>
      </c>
      <c r="C1500" t="s">
        <v>24</v>
      </c>
      <c r="D1500">
        <v>0</v>
      </c>
      <c r="E1500" t="s">
        <v>40</v>
      </c>
      <c r="F1500" t="s">
        <v>10</v>
      </c>
    </row>
    <row r="1501" spans="1:6" hidden="1" x14ac:dyDescent="0.35">
      <c r="A1501" t="s">
        <v>21</v>
      </c>
      <c r="B1501" t="s">
        <v>33</v>
      </c>
      <c r="C1501" t="s">
        <v>24</v>
      </c>
      <c r="D1501">
        <v>0</v>
      </c>
      <c r="E1501" t="s">
        <v>40</v>
      </c>
      <c r="F1501" t="s">
        <v>10</v>
      </c>
    </row>
    <row r="1502" spans="1:6" hidden="1" x14ac:dyDescent="0.35">
      <c r="A1502" t="s">
        <v>6</v>
      </c>
      <c r="B1502" t="s">
        <v>33</v>
      </c>
      <c r="C1502" t="s">
        <v>25</v>
      </c>
      <c r="D1502">
        <v>250023</v>
      </c>
      <c r="E1502" t="s">
        <v>40</v>
      </c>
      <c r="F1502" t="s">
        <v>10</v>
      </c>
    </row>
    <row r="1503" spans="1:6" hidden="1" x14ac:dyDescent="0.35">
      <c r="A1503" t="s">
        <v>11</v>
      </c>
      <c r="B1503" t="s">
        <v>33</v>
      </c>
      <c r="C1503" t="s">
        <v>25</v>
      </c>
      <c r="D1503">
        <v>41310</v>
      </c>
      <c r="E1503" t="s">
        <v>40</v>
      </c>
      <c r="F1503" t="s">
        <v>10</v>
      </c>
    </row>
    <row r="1504" spans="1:6" hidden="1" x14ac:dyDescent="0.35">
      <c r="A1504" t="s">
        <v>12</v>
      </c>
      <c r="B1504" t="s">
        <v>33</v>
      </c>
      <c r="C1504" t="s">
        <v>25</v>
      </c>
      <c r="D1504">
        <v>21300</v>
      </c>
      <c r="E1504" t="s">
        <v>40</v>
      </c>
      <c r="F1504" t="s">
        <v>10</v>
      </c>
    </row>
    <row r="1505" spans="1:6" hidden="1" x14ac:dyDescent="0.35">
      <c r="A1505" t="s">
        <v>13</v>
      </c>
      <c r="B1505" t="s">
        <v>33</v>
      </c>
      <c r="C1505" t="s">
        <v>25</v>
      </c>
      <c r="D1505">
        <v>1466</v>
      </c>
      <c r="E1505" t="s">
        <v>40</v>
      </c>
      <c r="F1505" t="s">
        <v>10</v>
      </c>
    </row>
    <row r="1506" spans="1:6" hidden="1" x14ac:dyDescent="0.35">
      <c r="A1506" t="s">
        <v>14</v>
      </c>
      <c r="B1506" t="s">
        <v>33</v>
      </c>
      <c r="C1506" t="s">
        <v>25</v>
      </c>
      <c r="D1506">
        <v>3424</v>
      </c>
      <c r="E1506" t="s">
        <v>40</v>
      </c>
      <c r="F1506" t="s">
        <v>10</v>
      </c>
    </row>
    <row r="1507" spans="1:6" hidden="1" x14ac:dyDescent="0.35">
      <c r="A1507" t="s">
        <v>15</v>
      </c>
      <c r="B1507" t="s">
        <v>33</v>
      </c>
      <c r="C1507" t="s">
        <v>25</v>
      </c>
      <c r="D1507">
        <v>61391</v>
      </c>
      <c r="E1507" t="s">
        <v>40</v>
      </c>
      <c r="F1507" t="s">
        <v>10</v>
      </c>
    </row>
    <row r="1508" spans="1:6" hidden="1" x14ac:dyDescent="0.35">
      <c r="A1508" t="s">
        <v>16</v>
      </c>
      <c r="B1508" t="s">
        <v>33</v>
      </c>
      <c r="C1508" t="s">
        <v>25</v>
      </c>
      <c r="D1508">
        <v>1007846</v>
      </c>
      <c r="E1508" t="s">
        <v>40</v>
      </c>
      <c r="F1508" t="s">
        <v>10</v>
      </c>
    </row>
    <row r="1509" spans="1:6" hidden="1" x14ac:dyDescent="0.35">
      <c r="A1509" t="s">
        <v>17</v>
      </c>
      <c r="B1509" t="s">
        <v>33</v>
      </c>
      <c r="C1509" t="s">
        <v>25</v>
      </c>
      <c r="D1509">
        <v>34922</v>
      </c>
      <c r="E1509" t="s">
        <v>40</v>
      </c>
      <c r="F1509" t="s">
        <v>10</v>
      </c>
    </row>
    <row r="1510" spans="1:6" hidden="1" x14ac:dyDescent="0.35">
      <c r="A1510" t="s">
        <v>18</v>
      </c>
      <c r="B1510" t="s">
        <v>33</v>
      </c>
      <c r="C1510" t="s">
        <v>25</v>
      </c>
      <c r="D1510">
        <v>74351</v>
      </c>
      <c r="E1510" t="s">
        <v>40</v>
      </c>
      <c r="F1510" t="s">
        <v>10</v>
      </c>
    </row>
    <row r="1511" spans="1:6" hidden="1" x14ac:dyDescent="0.35">
      <c r="A1511" t="s">
        <v>19</v>
      </c>
      <c r="B1511" t="s">
        <v>33</v>
      </c>
      <c r="C1511" t="s">
        <v>25</v>
      </c>
      <c r="D1511">
        <v>142266</v>
      </c>
      <c r="E1511" t="s">
        <v>40</v>
      </c>
      <c r="F1511" t="s">
        <v>10</v>
      </c>
    </row>
    <row r="1512" spans="1:6" hidden="1" x14ac:dyDescent="0.35">
      <c r="A1512" t="s">
        <v>20</v>
      </c>
      <c r="B1512" t="s">
        <v>33</v>
      </c>
      <c r="C1512" t="s">
        <v>25</v>
      </c>
      <c r="D1512">
        <v>57253</v>
      </c>
      <c r="E1512" t="s">
        <v>40</v>
      </c>
      <c r="F1512" t="s">
        <v>10</v>
      </c>
    </row>
    <row r="1513" spans="1:6" hidden="1" x14ac:dyDescent="0.35">
      <c r="A1513" t="s">
        <v>21</v>
      </c>
      <c r="B1513" t="s">
        <v>33</v>
      </c>
      <c r="C1513" t="s">
        <v>25</v>
      </c>
      <c r="D1513">
        <v>211990</v>
      </c>
      <c r="E1513" t="s">
        <v>40</v>
      </c>
      <c r="F1513" t="s">
        <v>10</v>
      </c>
    </row>
    <row r="1514" spans="1:6" hidden="1" x14ac:dyDescent="0.35">
      <c r="A1514" t="s">
        <v>6</v>
      </c>
      <c r="B1514" t="s">
        <v>33</v>
      </c>
      <c r="C1514" t="s">
        <v>26</v>
      </c>
      <c r="D1514">
        <v>0</v>
      </c>
      <c r="E1514" t="s">
        <v>40</v>
      </c>
      <c r="F1514" t="s">
        <v>10</v>
      </c>
    </row>
    <row r="1515" spans="1:6" hidden="1" x14ac:dyDescent="0.35">
      <c r="A1515" t="s">
        <v>11</v>
      </c>
      <c r="B1515" t="s">
        <v>33</v>
      </c>
      <c r="C1515" t="s">
        <v>26</v>
      </c>
      <c r="E1515" t="s">
        <v>40</v>
      </c>
      <c r="F1515" t="s">
        <v>10</v>
      </c>
    </row>
    <row r="1516" spans="1:6" hidden="1" x14ac:dyDescent="0.35">
      <c r="A1516" t="s">
        <v>12</v>
      </c>
      <c r="B1516" t="s">
        <v>33</v>
      </c>
      <c r="C1516" t="s">
        <v>26</v>
      </c>
      <c r="E1516" t="s">
        <v>40</v>
      </c>
      <c r="F1516" t="s">
        <v>10</v>
      </c>
    </row>
    <row r="1517" spans="1:6" hidden="1" x14ac:dyDescent="0.35">
      <c r="A1517" t="s">
        <v>13</v>
      </c>
      <c r="B1517" t="s">
        <v>33</v>
      </c>
      <c r="C1517" t="s">
        <v>26</v>
      </c>
      <c r="E1517" t="s">
        <v>40</v>
      </c>
      <c r="F1517" t="s">
        <v>10</v>
      </c>
    </row>
    <row r="1518" spans="1:6" hidden="1" x14ac:dyDescent="0.35">
      <c r="A1518" t="s">
        <v>14</v>
      </c>
      <c r="B1518" t="s">
        <v>33</v>
      </c>
      <c r="C1518" t="s">
        <v>26</v>
      </c>
      <c r="E1518" t="s">
        <v>40</v>
      </c>
      <c r="F1518" t="s">
        <v>10</v>
      </c>
    </row>
    <row r="1519" spans="1:6" hidden="1" x14ac:dyDescent="0.35">
      <c r="A1519" t="s">
        <v>15</v>
      </c>
      <c r="B1519" t="s">
        <v>33</v>
      </c>
      <c r="C1519" t="s">
        <v>26</v>
      </c>
      <c r="E1519" t="s">
        <v>40</v>
      </c>
      <c r="F1519" t="s">
        <v>10</v>
      </c>
    </row>
    <row r="1520" spans="1:6" hidden="1" x14ac:dyDescent="0.35">
      <c r="A1520" t="s">
        <v>16</v>
      </c>
      <c r="B1520" t="s">
        <v>33</v>
      </c>
      <c r="C1520" t="s">
        <v>26</v>
      </c>
      <c r="E1520" t="s">
        <v>40</v>
      </c>
      <c r="F1520" t="s">
        <v>10</v>
      </c>
    </row>
    <row r="1521" spans="1:6" hidden="1" x14ac:dyDescent="0.35">
      <c r="A1521" t="s">
        <v>17</v>
      </c>
      <c r="B1521" t="s">
        <v>33</v>
      </c>
      <c r="C1521" t="s">
        <v>26</v>
      </c>
      <c r="E1521" t="s">
        <v>40</v>
      </c>
      <c r="F1521" t="s">
        <v>10</v>
      </c>
    </row>
    <row r="1522" spans="1:6" hidden="1" x14ac:dyDescent="0.35">
      <c r="A1522" t="s">
        <v>18</v>
      </c>
      <c r="B1522" t="s">
        <v>33</v>
      </c>
      <c r="C1522" t="s">
        <v>26</v>
      </c>
      <c r="E1522" t="s">
        <v>40</v>
      </c>
      <c r="F1522" t="s">
        <v>10</v>
      </c>
    </row>
    <row r="1523" spans="1:6" hidden="1" x14ac:dyDescent="0.35">
      <c r="A1523" t="s">
        <v>19</v>
      </c>
      <c r="B1523" t="s">
        <v>33</v>
      </c>
      <c r="C1523" t="s">
        <v>26</v>
      </c>
      <c r="E1523" t="s">
        <v>40</v>
      </c>
      <c r="F1523" t="s">
        <v>10</v>
      </c>
    </row>
    <row r="1524" spans="1:6" hidden="1" x14ac:dyDescent="0.35">
      <c r="A1524" t="s">
        <v>20</v>
      </c>
      <c r="B1524" t="s">
        <v>33</v>
      </c>
      <c r="C1524" t="s">
        <v>26</v>
      </c>
      <c r="E1524" t="s">
        <v>40</v>
      </c>
      <c r="F1524" t="s">
        <v>10</v>
      </c>
    </row>
    <row r="1525" spans="1:6" hidden="1" x14ac:dyDescent="0.35">
      <c r="A1525" t="s">
        <v>21</v>
      </c>
      <c r="B1525" t="s">
        <v>33</v>
      </c>
      <c r="C1525" t="s">
        <v>26</v>
      </c>
      <c r="E1525" t="s">
        <v>40</v>
      </c>
      <c r="F1525" t="s">
        <v>10</v>
      </c>
    </row>
    <row r="1526" spans="1:6" hidden="1" x14ac:dyDescent="0.35">
      <c r="A1526" t="s">
        <v>6</v>
      </c>
      <c r="B1526" t="s">
        <v>33</v>
      </c>
      <c r="C1526" t="s">
        <v>27</v>
      </c>
      <c r="D1526">
        <v>471820</v>
      </c>
      <c r="E1526" t="s">
        <v>40</v>
      </c>
      <c r="F1526" t="s">
        <v>10</v>
      </c>
    </row>
    <row r="1527" spans="1:6" hidden="1" x14ac:dyDescent="0.35">
      <c r="A1527" t="s">
        <v>11</v>
      </c>
      <c r="B1527" t="s">
        <v>33</v>
      </c>
      <c r="C1527" t="s">
        <v>27</v>
      </c>
      <c r="D1527">
        <v>576324</v>
      </c>
      <c r="E1527" t="s">
        <v>40</v>
      </c>
      <c r="F1527" t="s">
        <v>10</v>
      </c>
    </row>
    <row r="1528" spans="1:6" hidden="1" x14ac:dyDescent="0.35">
      <c r="A1528" t="s">
        <v>12</v>
      </c>
      <c r="B1528" t="s">
        <v>33</v>
      </c>
      <c r="C1528" t="s">
        <v>27</v>
      </c>
      <c r="D1528">
        <v>413380</v>
      </c>
      <c r="E1528" t="s">
        <v>40</v>
      </c>
      <c r="F1528" t="s">
        <v>10</v>
      </c>
    </row>
    <row r="1529" spans="1:6" hidden="1" x14ac:dyDescent="0.35">
      <c r="A1529" t="s">
        <v>13</v>
      </c>
      <c r="B1529" t="s">
        <v>33</v>
      </c>
      <c r="C1529" t="s">
        <v>27</v>
      </c>
      <c r="D1529">
        <v>490231</v>
      </c>
      <c r="E1529" t="s">
        <v>40</v>
      </c>
      <c r="F1529" t="s">
        <v>10</v>
      </c>
    </row>
    <row r="1530" spans="1:6" hidden="1" x14ac:dyDescent="0.35">
      <c r="A1530" t="s">
        <v>14</v>
      </c>
      <c r="B1530" t="s">
        <v>33</v>
      </c>
      <c r="C1530" t="s">
        <v>27</v>
      </c>
      <c r="D1530">
        <v>514950</v>
      </c>
      <c r="E1530" t="s">
        <v>40</v>
      </c>
      <c r="F1530" t="s">
        <v>10</v>
      </c>
    </row>
    <row r="1531" spans="1:6" hidden="1" x14ac:dyDescent="0.35">
      <c r="A1531" t="s">
        <v>15</v>
      </c>
      <c r="B1531" t="s">
        <v>33</v>
      </c>
      <c r="C1531" t="s">
        <v>27</v>
      </c>
      <c r="D1531">
        <v>543175</v>
      </c>
      <c r="E1531" t="s">
        <v>40</v>
      </c>
      <c r="F1531" t="s">
        <v>10</v>
      </c>
    </row>
    <row r="1532" spans="1:6" hidden="1" x14ac:dyDescent="0.35">
      <c r="A1532" t="s">
        <v>16</v>
      </c>
      <c r="B1532" t="s">
        <v>33</v>
      </c>
      <c r="C1532" t="s">
        <v>27</v>
      </c>
      <c r="D1532">
        <v>488320</v>
      </c>
      <c r="E1532" t="s">
        <v>40</v>
      </c>
      <c r="F1532" t="s">
        <v>10</v>
      </c>
    </row>
    <row r="1533" spans="1:6" hidden="1" x14ac:dyDescent="0.35">
      <c r="A1533" t="s">
        <v>17</v>
      </c>
      <c r="B1533" t="s">
        <v>33</v>
      </c>
      <c r="C1533" t="s">
        <v>27</v>
      </c>
      <c r="D1533">
        <v>667689</v>
      </c>
      <c r="E1533" t="s">
        <v>40</v>
      </c>
      <c r="F1533" t="s">
        <v>10</v>
      </c>
    </row>
    <row r="1534" spans="1:6" hidden="1" x14ac:dyDescent="0.35">
      <c r="A1534" t="s">
        <v>18</v>
      </c>
      <c r="B1534" t="s">
        <v>33</v>
      </c>
      <c r="C1534" t="s">
        <v>27</v>
      </c>
      <c r="D1534">
        <v>285425</v>
      </c>
      <c r="E1534" t="s">
        <v>40</v>
      </c>
      <c r="F1534" t="s">
        <v>10</v>
      </c>
    </row>
    <row r="1535" spans="1:6" hidden="1" x14ac:dyDescent="0.35">
      <c r="A1535" t="s">
        <v>19</v>
      </c>
      <c r="B1535" t="s">
        <v>33</v>
      </c>
      <c r="C1535" t="s">
        <v>27</v>
      </c>
      <c r="D1535">
        <v>733944</v>
      </c>
      <c r="E1535" t="s">
        <v>40</v>
      </c>
      <c r="F1535" t="s">
        <v>10</v>
      </c>
    </row>
    <row r="1536" spans="1:6" hidden="1" x14ac:dyDescent="0.35">
      <c r="A1536" t="s">
        <v>20</v>
      </c>
      <c r="B1536" t="s">
        <v>33</v>
      </c>
      <c r="C1536" t="s">
        <v>27</v>
      </c>
      <c r="D1536">
        <v>966304</v>
      </c>
      <c r="E1536" t="s">
        <v>40</v>
      </c>
      <c r="F1536" t="s">
        <v>10</v>
      </c>
    </row>
    <row r="1537" spans="1:6" hidden="1" x14ac:dyDescent="0.35">
      <c r="A1537" t="s">
        <v>21</v>
      </c>
      <c r="B1537" t="s">
        <v>33</v>
      </c>
      <c r="C1537" t="s">
        <v>27</v>
      </c>
      <c r="D1537">
        <v>239507</v>
      </c>
      <c r="E1537" t="s">
        <v>40</v>
      </c>
      <c r="F1537" t="s">
        <v>10</v>
      </c>
    </row>
    <row r="1538" spans="1:6" hidden="1" x14ac:dyDescent="0.35">
      <c r="A1538" t="s">
        <v>6</v>
      </c>
      <c r="B1538" t="s">
        <v>33</v>
      </c>
      <c r="C1538" t="s">
        <v>28</v>
      </c>
      <c r="D1538">
        <v>3226589</v>
      </c>
      <c r="E1538" t="s">
        <v>40</v>
      </c>
      <c r="F1538" t="s">
        <v>10</v>
      </c>
    </row>
    <row r="1539" spans="1:6" hidden="1" x14ac:dyDescent="0.35">
      <c r="A1539" t="s">
        <v>11</v>
      </c>
      <c r="B1539" t="s">
        <v>33</v>
      </c>
      <c r="C1539" t="s">
        <v>28</v>
      </c>
      <c r="D1539">
        <v>5869019</v>
      </c>
      <c r="E1539" t="s">
        <v>40</v>
      </c>
      <c r="F1539" t="s">
        <v>10</v>
      </c>
    </row>
    <row r="1540" spans="1:6" hidden="1" x14ac:dyDescent="0.35">
      <c r="A1540" t="s">
        <v>12</v>
      </c>
      <c r="B1540" t="s">
        <v>33</v>
      </c>
      <c r="C1540" t="s">
        <v>28</v>
      </c>
      <c r="D1540">
        <v>4325356</v>
      </c>
      <c r="E1540" t="s">
        <v>40</v>
      </c>
      <c r="F1540" t="s">
        <v>10</v>
      </c>
    </row>
    <row r="1541" spans="1:6" hidden="1" x14ac:dyDescent="0.35">
      <c r="A1541" t="s">
        <v>13</v>
      </c>
      <c r="B1541" t="s">
        <v>33</v>
      </c>
      <c r="C1541" t="s">
        <v>28</v>
      </c>
      <c r="D1541">
        <v>5829931</v>
      </c>
      <c r="E1541" t="s">
        <v>40</v>
      </c>
      <c r="F1541" t="s">
        <v>10</v>
      </c>
    </row>
    <row r="1542" spans="1:6" hidden="1" x14ac:dyDescent="0.35">
      <c r="A1542" t="s">
        <v>14</v>
      </c>
      <c r="B1542" t="s">
        <v>33</v>
      </c>
      <c r="C1542" t="s">
        <v>28</v>
      </c>
      <c r="D1542">
        <v>4965813</v>
      </c>
      <c r="E1542" t="s">
        <v>40</v>
      </c>
      <c r="F1542" t="s">
        <v>10</v>
      </c>
    </row>
    <row r="1543" spans="1:6" hidden="1" x14ac:dyDescent="0.35">
      <c r="A1543" t="s">
        <v>15</v>
      </c>
      <c r="B1543" t="s">
        <v>33</v>
      </c>
      <c r="C1543" t="s">
        <v>28</v>
      </c>
      <c r="D1543">
        <v>3773335</v>
      </c>
      <c r="E1543" t="s">
        <v>40</v>
      </c>
      <c r="F1543" t="s">
        <v>10</v>
      </c>
    </row>
    <row r="1544" spans="1:6" hidden="1" x14ac:dyDescent="0.35">
      <c r="A1544" t="s">
        <v>16</v>
      </c>
      <c r="B1544" t="s">
        <v>33</v>
      </c>
      <c r="C1544" t="s">
        <v>28</v>
      </c>
      <c r="D1544">
        <v>4793588</v>
      </c>
      <c r="E1544" t="s">
        <v>40</v>
      </c>
      <c r="F1544" t="s">
        <v>10</v>
      </c>
    </row>
    <row r="1545" spans="1:6" hidden="1" x14ac:dyDescent="0.35">
      <c r="A1545" t="s">
        <v>17</v>
      </c>
      <c r="B1545" t="s">
        <v>33</v>
      </c>
      <c r="C1545" t="s">
        <v>28</v>
      </c>
      <c r="D1545">
        <v>6602810</v>
      </c>
      <c r="E1545" t="s">
        <v>40</v>
      </c>
      <c r="F1545" t="s">
        <v>10</v>
      </c>
    </row>
    <row r="1546" spans="1:6" hidden="1" x14ac:dyDescent="0.35">
      <c r="A1546" t="s">
        <v>18</v>
      </c>
      <c r="B1546" t="s">
        <v>33</v>
      </c>
      <c r="C1546" t="s">
        <v>28</v>
      </c>
      <c r="D1546">
        <v>3547696</v>
      </c>
      <c r="E1546" t="s">
        <v>40</v>
      </c>
      <c r="F1546" t="s">
        <v>10</v>
      </c>
    </row>
    <row r="1547" spans="1:6" hidden="1" x14ac:dyDescent="0.35">
      <c r="A1547" t="s">
        <v>19</v>
      </c>
      <c r="B1547" t="s">
        <v>33</v>
      </c>
      <c r="C1547" t="s">
        <v>28</v>
      </c>
      <c r="D1547">
        <v>9206103</v>
      </c>
      <c r="E1547" t="s">
        <v>40</v>
      </c>
      <c r="F1547" t="s">
        <v>10</v>
      </c>
    </row>
    <row r="1548" spans="1:6" hidden="1" x14ac:dyDescent="0.35">
      <c r="A1548" t="s">
        <v>20</v>
      </c>
      <c r="B1548" t="s">
        <v>33</v>
      </c>
      <c r="C1548" t="s">
        <v>28</v>
      </c>
      <c r="D1548">
        <v>5971717</v>
      </c>
      <c r="E1548" t="s">
        <v>40</v>
      </c>
      <c r="F1548" t="s">
        <v>10</v>
      </c>
    </row>
    <row r="1549" spans="1:6" hidden="1" x14ac:dyDescent="0.35">
      <c r="A1549" t="s">
        <v>21</v>
      </c>
      <c r="B1549" t="s">
        <v>33</v>
      </c>
      <c r="C1549" t="s">
        <v>28</v>
      </c>
      <c r="D1549">
        <v>4291833</v>
      </c>
      <c r="E1549" t="s">
        <v>40</v>
      </c>
      <c r="F1549" t="s">
        <v>10</v>
      </c>
    </row>
    <row r="1550" spans="1:6" hidden="1" x14ac:dyDescent="0.35">
      <c r="A1550" t="s">
        <v>6</v>
      </c>
      <c r="B1550" t="s">
        <v>33</v>
      </c>
      <c r="C1550" t="s">
        <v>29</v>
      </c>
      <c r="D1550">
        <v>181</v>
      </c>
      <c r="E1550" t="s">
        <v>40</v>
      </c>
      <c r="F1550" t="s">
        <v>10</v>
      </c>
    </row>
    <row r="1551" spans="1:6" hidden="1" x14ac:dyDescent="0.35">
      <c r="A1551" t="s">
        <v>11</v>
      </c>
      <c r="B1551" t="s">
        <v>33</v>
      </c>
      <c r="C1551" t="s">
        <v>29</v>
      </c>
      <c r="D1551">
        <v>156</v>
      </c>
      <c r="E1551" t="s">
        <v>40</v>
      </c>
      <c r="F1551" t="s">
        <v>10</v>
      </c>
    </row>
    <row r="1552" spans="1:6" hidden="1" x14ac:dyDescent="0.35">
      <c r="A1552" t="s">
        <v>12</v>
      </c>
      <c r="B1552" t="s">
        <v>33</v>
      </c>
      <c r="C1552" t="s">
        <v>29</v>
      </c>
      <c r="D1552">
        <v>209</v>
      </c>
      <c r="E1552" t="s">
        <v>40</v>
      </c>
      <c r="F1552" t="s">
        <v>10</v>
      </c>
    </row>
    <row r="1553" spans="1:6" hidden="1" x14ac:dyDescent="0.35">
      <c r="A1553" t="s">
        <v>13</v>
      </c>
      <c r="B1553" t="s">
        <v>33</v>
      </c>
      <c r="C1553" t="s">
        <v>29</v>
      </c>
      <c r="D1553">
        <v>213</v>
      </c>
      <c r="E1553" t="s">
        <v>40</v>
      </c>
      <c r="F1553" t="s">
        <v>10</v>
      </c>
    </row>
    <row r="1554" spans="1:6" hidden="1" x14ac:dyDescent="0.35">
      <c r="A1554" t="s">
        <v>14</v>
      </c>
      <c r="B1554" t="s">
        <v>33</v>
      </c>
      <c r="C1554" t="s">
        <v>29</v>
      </c>
      <c r="D1554">
        <v>160</v>
      </c>
      <c r="E1554" t="s">
        <v>40</v>
      </c>
      <c r="F1554" t="s">
        <v>10</v>
      </c>
    </row>
    <row r="1555" spans="1:6" hidden="1" x14ac:dyDescent="0.35">
      <c r="A1555" t="s">
        <v>15</v>
      </c>
      <c r="B1555" t="s">
        <v>33</v>
      </c>
      <c r="C1555" t="s">
        <v>29</v>
      </c>
      <c r="D1555">
        <v>144</v>
      </c>
      <c r="E1555" t="s">
        <v>40</v>
      </c>
      <c r="F1555" t="s">
        <v>10</v>
      </c>
    </row>
    <row r="1556" spans="1:6" hidden="1" x14ac:dyDescent="0.35">
      <c r="A1556" t="s">
        <v>16</v>
      </c>
      <c r="B1556" t="s">
        <v>33</v>
      </c>
      <c r="C1556" t="s">
        <v>29</v>
      </c>
      <c r="D1556">
        <v>164</v>
      </c>
      <c r="E1556" t="s">
        <v>40</v>
      </c>
      <c r="F1556" t="s">
        <v>10</v>
      </c>
    </row>
    <row r="1557" spans="1:6" hidden="1" x14ac:dyDescent="0.35">
      <c r="A1557" t="s">
        <v>17</v>
      </c>
      <c r="B1557" t="s">
        <v>33</v>
      </c>
      <c r="C1557" t="s">
        <v>29</v>
      </c>
      <c r="D1557">
        <v>132</v>
      </c>
      <c r="E1557" t="s">
        <v>40</v>
      </c>
      <c r="F1557" t="s">
        <v>10</v>
      </c>
    </row>
    <row r="1558" spans="1:6" hidden="1" x14ac:dyDescent="0.35">
      <c r="A1558" t="s">
        <v>18</v>
      </c>
      <c r="B1558" t="s">
        <v>33</v>
      </c>
      <c r="C1558" t="s">
        <v>29</v>
      </c>
      <c r="D1558">
        <v>165</v>
      </c>
      <c r="E1558" t="s">
        <v>40</v>
      </c>
      <c r="F1558" t="s">
        <v>10</v>
      </c>
    </row>
    <row r="1559" spans="1:6" hidden="1" x14ac:dyDescent="0.35">
      <c r="A1559" t="s">
        <v>19</v>
      </c>
      <c r="B1559" t="s">
        <v>33</v>
      </c>
      <c r="C1559" t="s">
        <v>29</v>
      </c>
      <c r="D1559">
        <v>158</v>
      </c>
      <c r="E1559" t="s">
        <v>40</v>
      </c>
      <c r="F1559" t="s">
        <v>10</v>
      </c>
    </row>
    <row r="1560" spans="1:6" hidden="1" x14ac:dyDescent="0.35">
      <c r="A1560" t="s">
        <v>20</v>
      </c>
      <c r="B1560" t="s">
        <v>33</v>
      </c>
      <c r="C1560" t="s">
        <v>29</v>
      </c>
      <c r="D1560">
        <v>153</v>
      </c>
      <c r="E1560" t="s">
        <v>40</v>
      </c>
      <c r="F1560" t="s">
        <v>10</v>
      </c>
    </row>
    <row r="1561" spans="1:6" hidden="1" x14ac:dyDescent="0.35">
      <c r="A1561" t="s">
        <v>21</v>
      </c>
      <c r="B1561" t="s">
        <v>33</v>
      </c>
      <c r="C1561" t="s">
        <v>29</v>
      </c>
      <c r="D1561">
        <v>142</v>
      </c>
      <c r="E1561" t="s">
        <v>40</v>
      </c>
      <c r="F1561" t="s">
        <v>10</v>
      </c>
    </row>
    <row r="1562" spans="1:6" hidden="1" x14ac:dyDescent="0.35">
      <c r="A1562" t="s">
        <v>6</v>
      </c>
      <c r="B1562" t="s">
        <v>33</v>
      </c>
      <c r="C1562" t="s">
        <v>30</v>
      </c>
      <c r="D1562">
        <v>47</v>
      </c>
      <c r="E1562" t="s">
        <v>40</v>
      </c>
      <c r="F1562" t="s">
        <v>10</v>
      </c>
    </row>
    <row r="1563" spans="1:6" hidden="1" x14ac:dyDescent="0.35">
      <c r="A1563" t="s">
        <v>11</v>
      </c>
      <c r="B1563" t="s">
        <v>33</v>
      </c>
      <c r="C1563" t="s">
        <v>30</v>
      </c>
      <c r="D1563">
        <v>57</v>
      </c>
      <c r="E1563" t="s">
        <v>40</v>
      </c>
      <c r="F1563" t="s">
        <v>10</v>
      </c>
    </row>
    <row r="1564" spans="1:6" hidden="1" x14ac:dyDescent="0.35">
      <c r="A1564" t="s">
        <v>12</v>
      </c>
      <c r="B1564" t="s">
        <v>33</v>
      </c>
      <c r="C1564" t="s">
        <v>30</v>
      </c>
      <c r="D1564">
        <v>66</v>
      </c>
      <c r="E1564" t="s">
        <v>40</v>
      </c>
      <c r="F1564" t="s">
        <v>10</v>
      </c>
    </row>
    <row r="1565" spans="1:6" hidden="1" x14ac:dyDescent="0.35">
      <c r="A1565" t="s">
        <v>13</v>
      </c>
      <c r="B1565" t="s">
        <v>33</v>
      </c>
      <c r="C1565" t="s">
        <v>30</v>
      </c>
      <c r="D1565">
        <v>78</v>
      </c>
      <c r="E1565" t="s">
        <v>40</v>
      </c>
      <c r="F1565" t="s">
        <v>10</v>
      </c>
    </row>
    <row r="1566" spans="1:6" hidden="1" x14ac:dyDescent="0.35">
      <c r="A1566" t="s">
        <v>14</v>
      </c>
      <c r="B1566" t="s">
        <v>33</v>
      </c>
      <c r="C1566" t="s">
        <v>30</v>
      </c>
      <c r="D1566">
        <v>68</v>
      </c>
      <c r="E1566" t="s">
        <v>40</v>
      </c>
      <c r="F1566" t="s">
        <v>10</v>
      </c>
    </row>
    <row r="1567" spans="1:6" hidden="1" x14ac:dyDescent="0.35">
      <c r="A1567" t="s">
        <v>15</v>
      </c>
      <c r="B1567" t="s">
        <v>33</v>
      </c>
      <c r="C1567" t="s">
        <v>30</v>
      </c>
      <c r="D1567">
        <v>61</v>
      </c>
      <c r="E1567" t="s">
        <v>40</v>
      </c>
      <c r="F1567" t="s">
        <v>10</v>
      </c>
    </row>
    <row r="1568" spans="1:6" hidden="1" x14ac:dyDescent="0.35">
      <c r="A1568" t="s">
        <v>16</v>
      </c>
      <c r="B1568" t="s">
        <v>33</v>
      </c>
      <c r="C1568" t="s">
        <v>30</v>
      </c>
      <c r="D1568">
        <v>56</v>
      </c>
      <c r="E1568" t="s">
        <v>40</v>
      </c>
      <c r="F1568" t="s">
        <v>10</v>
      </c>
    </row>
    <row r="1569" spans="1:6" hidden="1" x14ac:dyDescent="0.35">
      <c r="A1569" t="s">
        <v>17</v>
      </c>
      <c r="B1569" t="s">
        <v>33</v>
      </c>
      <c r="C1569" t="s">
        <v>30</v>
      </c>
      <c r="D1569">
        <v>72</v>
      </c>
      <c r="E1569" t="s">
        <v>40</v>
      </c>
      <c r="F1569" t="s">
        <v>10</v>
      </c>
    </row>
    <row r="1570" spans="1:6" hidden="1" x14ac:dyDescent="0.35">
      <c r="A1570" t="s">
        <v>18</v>
      </c>
      <c r="B1570" t="s">
        <v>33</v>
      </c>
      <c r="C1570" t="s">
        <v>30</v>
      </c>
      <c r="D1570">
        <v>75</v>
      </c>
      <c r="E1570" t="s">
        <v>40</v>
      </c>
      <c r="F1570" t="s">
        <v>10</v>
      </c>
    </row>
    <row r="1571" spans="1:6" hidden="1" x14ac:dyDescent="0.35">
      <c r="A1571" t="s">
        <v>19</v>
      </c>
      <c r="B1571" t="s">
        <v>33</v>
      </c>
      <c r="C1571" t="s">
        <v>30</v>
      </c>
      <c r="D1571">
        <v>82</v>
      </c>
      <c r="E1571" t="s">
        <v>40</v>
      </c>
      <c r="F1571" t="s">
        <v>10</v>
      </c>
    </row>
    <row r="1572" spans="1:6" hidden="1" x14ac:dyDescent="0.35">
      <c r="A1572" t="s">
        <v>20</v>
      </c>
      <c r="B1572" t="s">
        <v>33</v>
      </c>
      <c r="C1572" t="s">
        <v>30</v>
      </c>
      <c r="D1572">
        <v>57</v>
      </c>
      <c r="E1572" t="s">
        <v>40</v>
      </c>
      <c r="F1572" t="s">
        <v>10</v>
      </c>
    </row>
    <row r="1573" spans="1:6" hidden="1" x14ac:dyDescent="0.35">
      <c r="A1573" t="s">
        <v>21</v>
      </c>
      <c r="B1573" t="s">
        <v>33</v>
      </c>
      <c r="C1573" t="s">
        <v>30</v>
      </c>
      <c r="D1573">
        <v>67</v>
      </c>
      <c r="E1573" t="s">
        <v>40</v>
      </c>
      <c r="F1573" t="s">
        <v>10</v>
      </c>
    </row>
    <row r="1574" spans="1:6" hidden="1" x14ac:dyDescent="0.35">
      <c r="A1574" t="s">
        <v>6</v>
      </c>
      <c r="B1574" t="s">
        <v>33</v>
      </c>
      <c r="C1574" t="s">
        <v>31</v>
      </c>
      <c r="D1574">
        <v>39</v>
      </c>
      <c r="E1574" t="s">
        <v>40</v>
      </c>
      <c r="F1574" t="s">
        <v>10</v>
      </c>
    </row>
    <row r="1575" spans="1:6" hidden="1" x14ac:dyDescent="0.35">
      <c r="A1575" t="s">
        <v>11</v>
      </c>
      <c r="B1575" t="s">
        <v>33</v>
      </c>
      <c r="C1575" t="s">
        <v>31</v>
      </c>
      <c r="D1575">
        <v>33</v>
      </c>
      <c r="E1575" t="s">
        <v>40</v>
      </c>
      <c r="F1575" t="s">
        <v>10</v>
      </c>
    </row>
    <row r="1576" spans="1:6" hidden="1" x14ac:dyDescent="0.35">
      <c r="A1576" t="s">
        <v>12</v>
      </c>
      <c r="B1576" t="s">
        <v>33</v>
      </c>
      <c r="C1576" t="s">
        <v>31</v>
      </c>
      <c r="D1576">
        <v>51</v>
      </c>
      <c r="E1576" t="s">
        <v>40</v>
      </c>
      <c r="F1576" t="s">
        <v>10</v>
      </c>
    </row>
    <row r="1577" spans="1:6" hidden="1" x14ac:dyDescent="0.35">
      <c r="A1577" t="s">
        <v>13</v>
      </c>
      <c r="B1577" t="s">
        <v>33</v>
      </c>
      <c r="C1577" t="s">
        <v>31</v>
      </c>
      <c r="D1577">
        <v>55</v>
      </c>
      <c r="E1577" t="s">
        <v>40</v>
      </c>
      <c r="F1577" t="s">
        <v>10</v>
      </c>
    </row>
    <row r="1578" spans="1:6" hidden="1" x14ac:dyDescent="0.35">
      <c r="A1578" t="s">
        <v>14</v>
      </c>
      <c r="B1578" t="s">
        <v>33</v>
      </c>
      <c r="C1578" t="s">
        <v>31</v>
      </c>
      <c r="D1578">
        <v>51</v>
      </c>
      <c r="E1578" t="s">
        <v>40</v>
      </c>
      <c r="F1578" t="s">
        <v>10</v>
      </c>
    </row>
    <row r="1579" spans="1:6" hidden="1" x14ac:dyDescent="0.35">
      <c r="A1579" t="s">
        <v>15</v>
      </c>
      <c r="B1579" t="s">
        <v>33</v>
      </c>
      <c r="C1579" t="s">
        <v>31</v>
      </c>
      <c r="D1579">
        <v>30</v>
      </c>
      <c r="E1579" t="s">
        <v>40</v>
      </c>
      <c r="F1579" t="s">
        <v>10</v>
      </c>
    </row>
    <row r="1580" spans="1:6" hidden="1" x14ac:dyDescent="0.35">
      <c r="A1580" t="s">
        <v>16</v>
      </c>
      <c r="B1580" t="s">
        <v>33</v>
      </c>
      <c r="C1580" t="s">
        <v>31</v>
      </c>
      <c r="D1580">
        <v>42</v>
      </c>
      <c r="E1580" t="s">
        <v>40</v>
      </c>
      <c r="F1580" t="s">
        <v>10</v>
      </c>
    </row>
    <row r="1581" spans="1:6" hidden="1" x14ac:dyDescent="0.35">
      <c r="A1581" t="s">
        <v>17</v>
      </c>
      <c r="B1581" t="s">
        <v>33</v>
      </c>
      <c r="C1581" t="s">
        <v>31</v>
      </c>
      <c r="D1581">
        <v>37</v>
      </c>
      <c r="E1581" t="s">
        <v>40</v>
      </c>
      <c r="F1581" t="s">
        <v>10</v>
      </c>
    </row>
    <row r="1582" spans="1:6" hidden="1" x14ac:dyDescent="0.35">
      <c r="A1582" t="s">
        <v>18</v>
      </c>
      <c r="B1582" t="s">
        <v>33</v>
      </c>
      <c r="C1582" t="s">
        <v>31</v>
      </c>
      <c r="D1582">
        <v>43</v>
      </c>
      <c r="E1582" t="s">
        <v>40</v>
      </c>
      <c r="F1582" t="s">
        <v>10</v>
      </c>
    </row>
    <row r="1583" spans="1:6" hidden="1" x14ac:dyDescent="0.35">
      <c r="A1583" t="s">
        <v>19</v>
      </c>
      <c r="B1583" t="s">
        <v>33</v>
      </c>
      <c r="C1583" t="s">
        <v>31</v>
      </c>
      <c r="D1583">
        <v>33</v>
      </c>
      <c r="E1583" t="s">
        <v>40</v>
      </c>
      <c r="F1583" t="s">
        <v>10</v>
      </c>
    </row>
    <row r="1584" spans="1:6" hidden="1" x14ac:dyDescent="0.35">
      <c r="A1584" t="s">
        <v>20</v>
      </c>
      <c r="B1584" t="s">
        <v>33</v>
      </c>
      <c r="C1584" t="s">
        <v>31</v>
      </c>
      <c r="D1584">
        <v>41</v>
      </c>
      <c r="E1584" t="s">
        <v>40</v>
      </c>
      <c r="F1584" t="s">
        <v>10</v>
      </c>
    </row>
    <row r="1585" spans="1:6" hidden="1" x14ac:dyDescent="0.35">
      <c r="A1585" t="s">
        <v>21</v>
      </c>
      <c r="B1585" t="s">
        <v>33</v>
      </c>
      <c r="C1585" t="s">
        <v>31</v>
      </c>
      <c r="D1585">
        <v>36</v>
      </c>
      <c r="E1585" t="s">
        <v>40</v>
      </c>
      <c r="F1585" t="s">
        <v>10</v>
      </c>
    </row>
    <row r="1586" spans="1:6" hidden="1" x14ac:dyDescent="0.35">
      <c r="A1586" t="s">
        <v>6</v>
      </c>
      <c r="B1586" t="s">
        <v>34</v>
      </c>
      <c r="C1586" t="s">
        <v>8</v>
      </c>
      <c r="D1586">
        <v>141264</v>
      </c>
      <c r="E1586" t="s">
        <v>40</v>
      </c>
      <c r="F1586" t="s">
        <v>10</v>
      </c>
    </row>
    <row r="1587" spans="1:6" hidden="1" x14ac:dyDescent="0.35">
      <c r="A1587" t="s">
        <v>11</v>
      </c>
      <c r="B1587" t="s">
        <v>34</v>
      </c>
      <c r="C1587" t="s">
        <v>8</v>
      </c>
      <c r="D1587">
        <v>6097</v>
      </c>
      <c r="E1587" t="s">
        <v>40</v>
      </c>
      <c r="F1587" t="s">
        <v>10</v>
      </c>
    </row>
    <row r="1588" spans="1:6" hidden="1" x14ac:dyDescent="0.35">
      <c r="A1588" t="s">
        <v>12</v>
      </c>
      <c r="B1588" t="s">
        <v>34</v>
      </c>
      <c r="C1588" t="s">
        <v>8</v>
      </c>
      <c r="D1588">
        <v>81939</v>
      </c>
      <c r="E1588" t="s">
        <v>40</v>
      </c>
      <c r="F1588" t="s">
        <v>10</v>
      </c>
    </row>
    <row r="1589" spans="1:6" hidden="1" x14ac:dyDescent="0.35">
      <c r="A1589" t="s">
        <v>13</v>
      </c>
      <c r="B1589" t="s">
        <v>34</v>
      </c>
      <c r="C1589" t="s">
        <v>8</v>
      </c>
      <c r="D1589">
        <v>23098</v>
      </c>
      <c r="E1589" t="s">
        <v>40</v>
      </c>
      <c r="F1589" t="s">
        <v>10</v>
      </c>
    </row>
    <row r="1590" spans="1:6" hidden="1" x14ac:dyDescent="0.35">
      <c r="A1590" t="s">
        <v>14</v>
      </c>
      <c r="B1590" t="s">
        <v>34</v>
      </c>
      <c r="C1590" t="s">
        <v>8</v>
      </c>
      <c r="D1590">
        <v>350554</v>
      </c>
      <c r="E1590" t="s">
        <v>40</v>
      </c>
      <c r="F1590" t="s">
        <v>10</v>
      </c>
    </row>
    <row r="1591" spans="1:6" hidden="1" x14ac:dyDescent="0.35">
      <c r="A1591" t="s">
        <v>15</v>
      </c>
      <c r="B1591" t="s">
        <v>34</v>
      </c>
      <c r="C1591" t="s">
        <v>8</v>
      </c>
      <c r="D1591">
        <v>272385</v>
      </c>
      <c r="E1591" t="s">
        <v>40</v>
      </c>
      <c r="F1591" t="s">
        <v>10</v>
      </c>
    </row>
    <row r="1592" spans="1:6" hidden="1" x14ac:dyDescent="0.35">
      <c r="A1592" t="s">
        <v>16</v>
      </c>
      <c r="B1592" t="s">
        <v>34</v>
      </c>
      <c r="C1592" t="s">
        <v>8</v>
      </c>
      <c r="D1592">
        <v>270238</v>
      </c>
      <c r="E1592" t="s">
        <v>40</v>
      </c>
      <c r="F1592" t="s">
        <v>10</v>
      </c>
    </row>
    <row r="1593" spans="1:6" hidden="1" x14ac:dyDescent="0.35">
      <c r="A1593" t="s">
        <v>17</v>
      </c>
      <c r="B1593" t="s">
        <v>34</v>
      </c>
      <c r="C1593" t="s">
        <v>8</v>
      </c>
      <c r="D1593">
        <v>434574</v>
      </c>
      <c r="E1593" t="s">
        <v>40</v>
      </c>
      <c r="F1593" t="s">
        <v>10</v>
      </c>
    </row>
    <row r="1594" spans="1:6" hidden="1" x14ac:dyDescent="0.35">
      <c r="A1594" t="s">
        <v>18</v>
      </c>
      <c r="B1594" t="s">
        <v>34</v>
      </c>
      <c r="C1594" t="s">
        <v>8</v>
      </c>
      <c r="D1594">
        <v>173939</v>
      </c>
      <c r="E1594" t="s">
        <v>40</v>
      </c>
      <c r="F1594" t="s">
        <v>10</v>
      </c>
    </row>
    <row r="1595" spans="1:6" hidden="1" x14ac:dyDescent="0.35">
      <c r="A1595" t="s">
        <v>19</v>
      </c>
      <c r="B1595" t="s">
        <v>34</v>
      </c>
      <c r="C1595" t="s">
        <v>8</v>
      </c>
      <c r="D1595">
        <v>243250</v>
      </c>
      <c r="E1595" t="s">
        <v>40</v>
      </c>
      <c r="F1595" t="s">
        <v>10</v>
      </c>
    </row>
    <row r="1596" spans="1:6" hidden="1" x14ac:dyDescent="0.35">
      <c r="A1596" t="s">
        <v>20</v>
      </c>
      <c r="B1596" t="s">
        <v>34</v>
      </c>
      <c r="C1596" t="s">
        <v>8</v>
      </c>
      <c r="D1596">
        <v>227149</v>
      </c>
      <c r="E1596" t="s">
        <v>40</v>
      </c>
      <c r="F1596" t="s">
        <v>10</v>
      </c>
    </row>
    <row r="1597" spans="1:6" hidden="1" x14ac:dyDescent="0.35">
      <c r="A1597" t="s">
        <v>21</v>
      </c>
      <c r="B1597" t="s">
        <v>34</v>
      </c>
      <c r="C1597" t="s">
        <v>8</v>
      </c>
      <c r="D1597">
        <v>60474</v>
      </c>
      <c r="E1597" t="s">
        <v>40</v>
      </c>
      <c r="F1597" t="s">
        <v>10</v>
      </c>
    </row>
    <row r="1598" spans="1:6" hidden="1" x14ac:dyDescent="0.35">
      <c r="A1598" t="s">
        <v>6</v>
      </c>
      <c r="B1598" t="s">
        <v>34</v>
      </c>
      <c r="C1598" t="s">
        <v>22</v>
      </c>
      <c r="D1598">
        <v>0</v>
      </c>
      <c r="E1598" t="s">
        <v>40</v>
      </c>
      <c r="F1598" t="s">
        <v>10</v>
      </c>
    </row>
    <row r="1599" spans="1:6" hidden="1" x14ac:dyDescent="0.35">
      <c r="A1599" t="s">
        <v>11</v>
      </c>
      <c r="B1599" t="s">
        <v>34</v>
      </c>
      <c r="C1599" t="s">
        <v>22</v>
      </c>
      <c r="D1599">
        <v>0</v>
      </c>
      <c r="E1599" t="s">
        <v>40</v>
      </c>
      <c r="F1599" t="s">
        <v>10</v>
      </c>
    </row>
    <row r="1600" spans="1:6" hidden="1" x14ac:dyDescent="0.35">
      <c r="A1600" t="s">
        <v>12</v>
      </c>
      <c r="B1600" t="s">
        <v>34</v>
      </c>
      <c r="C1600" t="s">
        <v>22</v>
      </c>
      <c r="D1600">
        <v>0</v>
      </c>
      <c r="E1600" t="s">
        <v>40</v>
      </c>
      <c r="F1600" t="s">
        <v>10</v>
      </c>
    </row>
    <row r="1601" spans="1:6" hidden="1" x14ac:dyDescent="0.35">
      <c r="A1601" t="s">
        <v>13</v>
      </c>
      <c r="B1601" t="s">
        <v>34</v>
      </c>
      <c r="C1601" t="s">
        <v>22</v>
      </c>
      <c r="D1601">
        <v>0</v>
      </c>
      <c r="E1601" t="s">
        <v>40</v>
      </c>
      <c r="F1601" t="s">
        <v>10</v>
      </c>
    </row>
    <row r="1602" spans="1:6" hidden="1" x14ac:dyDescent="0.35">
      <c r="A1602" t="s">
        <v>14</v>
      </c>
      <c r="B1602" t="s">
        <v>34</v>
      </c>
      <c r="C1602" t="s">
        <v>22</v>
      </c>
      <c r="D1602">
        <v>0</v>
      </c>
      <c r="E1602" t="s">
        <v>40</v>
      </c>
      <c r="F1602" t="s">
        <v>10</v>
      </c>
    </row>
    <row r="1603" spans="1:6" hidden="1" x14ac:dyDescent="0.35">
      <c r="A1603" t="s">
        <v>15</v>
      </c>
      <c r="B1603" t="s">
        <v>34</v>
      </c>
      <c r="C1603" t="s">
        <v>22</v>
      </c>
      <c r="D1603">
        <v>0</v>
      </c>
      <c r="E1603" t="s">
        <v>40</v>
      </c>
      <c r="F1603" t="s">
        <v>10</v>
      </c>
    </row>
    <row r="1604" spans="1:6" hidden="1" x14ac:dyDescent="0.35">
      <c r="A1604" t="s">
        <v>16</v>
      </c>
      <c r="B1604" t="s">
        <v>34</v>
      </c>
      <c r="C1604" t="s">
        <v>22</v>
      </c>
      <c r="D1604">
        <v>0</v>
      </c>
      <c r="E1604" t="s">
        <v>40</v>
      </c>
      <c r="F1604" t="s">
        <v>10</v>
      </c>
    </row>
    <row r="1605" spans="1:6" hidden="1" x14ac:dyDescent="0.35">
      <c r="A1605" t="s">
        <v>17</v>
      </c>
      <c r="B1605" t="s">
        <v>34</v>
      </c>
      <c r="C1605" t="s">
        <v>22</v>
      </c>
      <c r="D1605">
        <v>0</v>
      </c>
      <c r="E1605" t="s">
        <v>40</v>
      </c>
      <c r="F1605" t="s">
        <v>10</v>
      </c>
    </row>
    <row r="1606" spans="1:6" hidden="1" x14ac:dyDescent="0.35">
      <c r="A1606" t="s">
        <v>18</v>
      </c>
      <c r="B1606" t="s">
        <v>34</v>
      </c>
      <c r="C1606" t="s">
        <v>22</v>
      </c>
      <c r="D1606">
        <v>0</v>
      </c>
      <c r="E1606" t="s">
        <v>40</v>
      </c>
      <c r="F1606" t="s">
        <v>10</v>
      </c>
    </row>
    <row r="1607" spans="1:6" hidden="1" x14ac:dyDescent="0.35">
      <c r="A1607" t="s">
        <v>19</v>
      </c>
      <c r="B1607" t="s">
        <v>34</v>
      </c>
      <c r="C1607" t="s">
        <v>22</v>
      </c>
      <c r="D1607">
        <v>0</v>
      </c>
      <c r="E1607" t="s">
        <v>40</v>
      </c>
      <c r="F1607" t="s">
        <v>10</v>
      </c>
    </row>
    <row r="1608" spans="1:6" hidden="1" x14ac:dyDescent="0.35">
      <c r="A1608" t="s">
        <v>20</v>
      </c>
      <c r="B1608" t="s">
        <v>34</v>
      </c>
      <c r="C1608" t="s">
        <v>22</v>
      </c>
      <c r="D1608">
        <v>0</v>
      </c>
      <c r="E1608" t="s">
        <v>40</v>
      </c>
      <c r="F1608" t="s">
        <v>10</v>
      </c>
    </row>
    <row r="1609" spans="1:6" hidden="1" x14ac:dyDescent="0.35">
      <c r="A1609" t="s">
        <v>21</v>
      </c>
      <c r="B1609" t="s">
        <v>34</v>
      </c>
      <c r="C1609" t="s">
        <v>22</v>
      </c>
      <c r="D1609">
        <v>0</v>
      </c>
      <c r="E1609" t="s">
        <v>40</v>
      </c>
      <c r="F1609" t="s">
        <v>10</v>
      </c>
    </row>
    <row r="1610" spans="1:6" hidden="1" x14ac:dyDescent="0.35">
      <c r="A1610" t="s">
        <v>6</v>
      </c>
      <c r="B1610" t="s">
        <v>34</v>
      </c>
      <c r="C1610" t="s">
        <v>23</v>
      </c>
      <c r="D1610">
        <v>436684</v>
      </c>
      <c r="E1610" t="s">
        <v>40</v>
      </c>
      <c r="F1610" t="s">
        <v>10</v>
      </c>
    </row>
    <row r="1611" spans="1:6" hidden="1" x14ac:dyDescent="0.35">
      <c r="A1611" t="s">
        <v>11</v>
      </c>
      <c r="B1611" t="s">
        <v>34</v>
      </c>
      <c r="C1611" t="s">
        <v>23</v>
      </c>
      <c r="D1611">
        <v>825075</v>
      </c>
      <c r="E1611" t="s">
        <v>40</v>
      </c>
      <c r="F1611" t="s">
        <v>10</v>
      </c>
    </row>
    <row r="1612" spans="1:6" hidden="1" x14ac:dyDescent="0.35">
      <c r="A1612" t="s">
        <v>12</v>
      </c>
      <c r="B1612" t="s">
        <v>34</v>
      </c>
      <c r="C1612" t="s">
        <v>23</v>
      </c>
      <c r="D1612">
        <v>271247</v>
      </c>
      <c r="E1612" t="s">
        <v>40</v>
      </c>
      <c r="F1612" t="s">
        <v>10</v>
      </c>
    </row>
    <row r="1613" spans="1:6" hidden="1" x14ac:dyDescent="0.35">
      <c r="A1613" t="s">
        <v>13</v>
      </c>
      <c r="B1613" t="s">
        <v>34</v>
      </c>
      <c r="C1613" t="s">
        <v>23</v>
      </c>
      <c r="D1613">
        <v>7816</v>
      </c>
      <c r="E1613" t="s">
        <v>40</v>
      </c>
      <c r="F1613" t="s">
        <v>10</v>
      </c>
    </row>
    <row r="1614" spans="1:6" hidden="1" x14ac:dyDescent="0.35">
      <c r="A1614" t="s">
        <v>14</v>
      </c>
      <c r="B1614" t="s">
        <v>34</v>
      </c>
      <c r="C1614" t="s">
        <v>23</v>
      </c>
      <c r="D1614">
        <v>344754</v>
      </c>
      <c r="E1614" t="s">
        <v>40</v>
      </c>
      <c r="F1614" t="s">
        <v>10</v>
      </c>
    </row>
    <row r="1615" spans="1:6" hidden="1" x14ac:dyDescent="0.35">
      <c r="A1615" t="s">
        <v>15</v>
      </c>
      <c r="B1615" t="s">
        <v>34</v>
      </c>
      <c r="C1615" t="s">
        <v>23</v>
      </c>
      <c r="D1615">
        <v>36738</v>
      </c>
      <c r="E1615" t="s">
        <v>40</v>
      </c>
      <c r="F1615" t="s">
        <v>10</v>
      </c>
    </row>
    <row r="1616" spans="1:6" hidden="1" x14ac:dyDescent="0.35">
      <c r="A1616" t="s">
        <v>16</v>
      </c>
      <c r="B1616" t="s">
        <v>34</v>
      </c>
      <c r="C1616" t="s">
        <v>23</v>
      </c>
      <c r="D1616">
        <v>199562</v>
      </c>
      <c r="E1616" t="s">
        <v>40</v>
      </c>
      <c r="F1616" t="s">
        <v>10</v>
      </c>
    </row>
    <row r="1617" spans="1:6" hidden="1" x14ac:dyDescent="0.35">
      <c r="A1617" t="s">
        <v>17</v>
      </c>
      <c r="B1617" t="s">
        <v>34</v>
      </c>
      <c r="C1617" t="s">
        <v>23</v>
      </c>
      <c r="D1617">
        <v>341888</v>
      </c>
      <c r="E1617" t="s">
        <v>40</v>
      </c>
      <c r="F1617" t="s">
        <v>10</v>
      </c>
    </row>
    <row r="1618" spans="1:6" hidden="1" x14ac:dyDescent="0.35">
      <c r="A1618" t="s">
        <v>18</v>
      </c>
      <c r="B1618" t="s">
        <v>34</v>
      </c>
      <c r="C1618" t="s">
        <v>23</v>
      </c>
      <c r="D1618">
        <v>70339</v>
      </c>
      <c r="E1618" t="s">
        <v>40</v>
      </c>
      <c r="F1618" t="s">
        <v>10</v>
      </c>
    </row>
    <row r="1619" spans="1:6" hidden="1" x14ac:dyDescent="0.35">
      <c r="A1619" t="s">
        <v>19</v>
      </c>
      <c r="B1619" t="s">
        <v>34</v>
      </c>
      <c r="C1619" t="s">
        <v>23</v>
      </c>
      <c r="D1619">
        <v>179623</v>
      </c>
      <c r="E1619" t="s">
        <v>40</v>
      </c>
      <c r="F1619" t="s">
        <v>10</v>
      </c>
    </row>
    <row r="1620" spans="1:6" hidden="1" x14ac:dyDescent="0.35">
      <c r="A1620" t="s">
        <v>20</v>
      </c>
      <c r="B1620" t="s">
        <v>34</v>
      </c>
      <c r="C1620" t="s">
        <v>23</v>
      </c>
      <c r="D1620">
        <v>680062</v>
      </c>
      <c r="E1620" t="s">
        <v>40</v>
      </c>
      <c r="F1620" t="s">
        <v>10</v>
      </c>
    </row>
    <row r="1621" spans="1:6" hidden="1" x14ac:dyDescent="0.35">
      <c r="A1621" t="s">
        <v>21</v>
      </c>
      <c r="B1621" t="s">
        <v>34</v>
      </c>
      <c r="C1621" t="s">
        <v>23</v>
      </c>
      <c r="D1621">
        <v>213612</v>
      </c>
      <c r="E1621" t="s">
        <v>40</v>
      </c>
      <c r="F1621" t="s">
        <v>10</v>
      </c>
    </row>
    <row r="1622" spans="1:6" hidden="1" x14ac:dyDescent="0.35">
      <c r="A1622" t="s">
        <v>6</v>
      </c>
      <c r="B1622" t="s">
        <v>34</v>
      </c>
      <c r="C1622" t="s">
        <v>24</v>
      </c>
      <c r="D1622">
        <v>0</v>
      </c>
      <c r="E1622" t="s">
        <v>40</v>
      </c>
      <c r="F1622" t="s">
        <v>10</v>
      </c>
    </row>
    <row r="1623" spans="1:6" hidden="1" x14ac:dyDescent="0.35">
      <c r="A1623" t="s">
        <v>11</v>
      </c>
      <c r="B1623" t="s">
        <v>34</v>
      </c>
      <c r="C1623" t="s">
        <v>24</v>
      </c>
      <c r="D1623">
        <v>0</v>
      </c>
      <c r="E1623" t="s">
        <v>40</v>
      </c>
      <c r="F1623" t="s">
        <v>10</v>
      </c>
    </row>
    <row r="1624" spans="1:6" hidden="1" x14ac:dyDescent="0.35">
      <c r="A1624" t="s">
        <v>12</v>
      </c>
      <c r="B1624" t="s">
        <v>34</v>
      </c>
      <c r="C1624" t="s">
        <v>24</v>
      </c>
      <c r="D1624">
        <v>0</v>
      </c>
      <c r="E1624" t="s">
        <v>40</v>
      </c>
      <c r="F1624" t="s">
        <v>10</v>
      </c>
    </row>
    <row r="1625" spans="1:6" hidden="1" x14ac:dyDescent="0.35">
      <c r="A1625" t="s">
        <v>13</v>
      </c>
      <c r="B1625" t="s">
        <v>34</v>
      </c>
      <c r="C1625" t="s">
        <v>24</v>
      </c>
      <c r="D1625">
        <v>0</v>
      </c>
      <c r="E1625" t="s">
        <v>40</v>
      </c>
      <c r="F1625" t="s">
        <v>10</v>
      </c>
    </row>
    <row r="1626" spans="1:6" hidden="1" x14ac:dyDescent="0.35">
      <c r="A1626" t="s">
        <v>14</v>
      </c>
      <c r="B1626" t="s">
        <v>34</v>
      </c>
      <c r="C1626" t="s">
        <v>24</v>
      </c>
      <c r="D1626">
        <v>0</v>
      </c>
      <c r="E1626" t="s">
        <v>40</v>
      </c>
      <c r="F1626" t="s">
        <v>10</v>
      </c>
    </row>
    <row r="1627" spans="1:6" hidden="1" x14ac:dyDescent="0.35">
      <c r="A1627" t="s">
        <v>15</v>
      </c>
      <c r="B1627" t="s">
        <v>34</v>
      </c>
      <c r="C1627" t="s">
        <v>24</v>
      </c>
      <c r="D1627">
        <v>0</v>
      </c>
      <c r="E1627" t="s">
        <v>40</v>
      </c>
      <c r="F1627" t="s">
        <v>10</v>
      </c>
    </row>
    <row r="1628" spans="1:6" hidden="1" x14ac:dyDescent="0.35">
      <c r="A1628" t="s">
        <v>16</v>
      </c>
      <c r="B1628" t="s">
        <v>34</v>
      </c>
      <c r="C1628" t="s">
        <v>24</v>
      </c>
      <c r="D1628">
        <v>0</v>
      </c>
      <c r="E1628" t="s">
        <v>40</v>
      </c>
      <c r="F1628" t="s">
        <v>10</v>
      </c>
    </row>
    <row r="1629" spans="1:6" hidden="1" x14ac:dyDescent="0.35">
      <c r="A1629" t="s">
        <v>17</v>
      </c>
      <c r="B1629" t="s">
        <v>34</v>
      </c>
      <c r="C1629" t="s">
        <v>24</v>
      </c>
      <c r="D1629">
        <v>0</v>
      </c>
      <c r="E1629" t="s">
        <v>40</v>
      </c>
      <c r="F1629" t="s">
        <v>10</v>
      </c>
    </row>
    <row r="1630" spans="1:6" hidden="1" x14ac:dyDescent="0.35">
      <c r="A1630" t="s">
        <v>18</v>
      </c>
      <c r="B1630" t="s">
        <v>34</v>
      </c>
      <c r="C1630" t="s">
        <v>24</v>
      </c>
      <c r="D1630">
        <v>0</v>
      </c>
      <c r="E1630" t="s">
        <v>40</v>
      </c>
      <c r="F1630" t="s">
        <v>10</v>
      </c>
    </row>
    <row r="1631" spans="1:6" hidden="1" x14ac:dyDescent="0.35">
      <c r="A1631" t="s">
        <v>19</v>
      </c>
      <c r="B1631" t="s">
        <v>34</v>
      </c>
      <c r="C1631" t="s">
        <v>24</v>
      </c>
      <c r="D1631">
        <v>0</v>
      </c>
      <c r="E1631" t="s">
        <v>40</v>
      </c>
      <c r="F1631" t="s">
        <v>10</v>
      </c>
    </row>
    <row r="1632" spans="1:6" hidden="1" x14ac:dyDescent="0.35">
      <c r="A1632" t="s">
        <v>20</v>
      </c>
      <c r="B1632" t="s">
        <v>34</v>
      </c>
      <c r="C1632" t="s">
        <v>24</v>
      </c>
      <c r="D1632">
        <v>0</v>
      </c>
      <c r="E1632" t="s">
        <v>40</v>
      </c>
      <c r="F1632" t="s">
        <v>10</v>
      </c>
    </row>
    <row r="1633" spans="1:6" hidden="1" x14ac:dyDescent="0.35">
      <c r="A1633" t="s">
        <v>21</v>
      </c>
      <c r="B1633" t="s">
        <v>34</v>
      </c>
      <c r="C1633" t="s">
        <v>24</v>
      </c>
      <c r="D1633">
        <v>0</v>
      </c>
      <c r="E1633" t="s">
        <v>40</v>
      </c>
      <c r="F1633" t="s">
        <v>10</v>
      </c>
    </row>
    <row r="1634" spans="1:6" hidden="1" x14ac:dyDescent="0.35">
      <c r="A1634" t="s">
        <v>6</v>
      </c>
      <c r="B1634" t="s">
        <v>34</v>
      </c>
      <c r="C1634" t="s">
        <v>25</v>
      </c>
      <c r="D1634">
        <v>0</v>
      </c>
      <c r="E1634" t="s">
        <v>40</v>
      </c>
      <c r="F1634" t="s">
        <v>10</v>
      </c>
    </row>
    <row r="1635" spans="1:6" hidden="1" x14ac:dyDescent="0.35">
      <c r="A1635" t="s">
        <v>11</v>
      </c>
      <c r="B1635" t="s">
        <v>34</v>
      </c>
      <c r="C1635" t="s">
        <v>25</v>
      </c>
      <c r="D1635">
        <v>31717</v>
      </c>
      <c r="E1635" t="s">
        <v>40</v>
      </c>
      <c r="F1635" t="s">
        <v>10</v>
      </c>
    </row>
    <row r="1636" spans="1:6" hidden="1" x14ac:dyDescent="0.35">
      <c r="A1636" t="s">
        <v>12</v>
      </c>
      <c r="B1636" t="s">
        <v>34</v>
      </c>
      <c r="C1636" t="s">
        <v>25</v>
      </c>
      <c r="D1636">
        <v>0</v>
      </c>
      <c r="E1636" t="s">
        <v>40</v>
      </c>
      <c r="F1636" t="s">
        <v>10</v>
      </c>
    </row>
    <row r="1637" spans="1:6" hidden="1" x14ac:dyDescent="0.35">
      <c r="A1637" t="s">
        <v>13</v>
      </c>
      <c r="B1637" t="s">
        <v>34</v>
      </c>
      <c r="C1637" t="s">
        <v>25</v>
      </c>
      <c r="D1637">
        <v>0</v>
      </c>
      <c r="E1637" t="s">
        <v>40</v>
      </c>
      <c r="F1637" t="s">
        <v>10</v>
      </c>
    </row>
    <row r="1638" spans="1:6" hidden="1" x14ac:dyDescent="0.35">
      <c r="A1638" t="s">
        <v>14</v>
      </c>
      <c r="B1638" t="s">
        <v>34</v>
      </c>
      <c r="C1638" t="s">
        <v>25</v>
      </c>
      <c r="D1638">
        <v>0</v>
      </c>
      <c r="E1638" t="s">
        <v>40</v>
      </c>
      <c r="F1638" t="s">
        <v>10</v>
      </c>
    </row>
    <row r="1639" spans="1:6" hidden="1" x14ac:dyDescent="0.35">
      <c r="A1639" t="s">
        <v>15</v>
      </c>
      <c r="B1639" t="s">
        <v>34</v>
      </c>
      <c r="C1639" t="s">
        <v>25</v>
      </c>
      <c r="D1639">
        <v>0</v>
      </c>
      <c r="E1639" t="s">
        <v>40</v>
      </c>
      <c r="F1639" t="s">
        <v>10</v>
      </c>
    </row>
    <row r="1640" spans="1:6" hidden="1" x14ac:dyDescent="0.35">
      <c r="A1640" t="s">
        <v>16</v>
      </c>
      <c r="B1640" t="s">
        <v>34</v>
      </c>
      <c r="C1640" t="s">
        <v>25</v>
      </c>
      <c r="D1640">
        <v>0</v>
      </c>
      <c r="E1640" t="s">
        <v>40</v>
      </c>
      <c r="F1640" t="s">
        <v>10</v>
      </c>
    </row>
    <row r="1641" spans="1:6" hidden="1" x14ac:dyDescent="0.35">
      <c r="A1641" t="s">
        <v>17</v>
      </c>
      <c r="B1641" t="s">
        <v>34</v>
      </c>
      <c r="C1641" t="s">
        <v>25</v>
      </c>
      <c r="D1641">
        <v>0</v>
      </c>
      <c r="E1641" t="s">
        <v>40</v>
      </c>
      <c r="F1641" t="s">
        <v>10</v>
      </c>
    </row>
    <row r="1642" spans="1:6" hidden="1" x14ac:dyDescent="0.35">
      <c r="A1642" t="s">
        <v>18</v>
      </c>
      <c r="B1642" t="s">
        <v>34</v>
      </c>
      <c r="C1642" t="s">
        <v>25</v>
      </c>
      <c r="D1642">
        <v>125704</v>
      </c>
      <c r="E1642" t="s">
        <v>40</v>
      </c>
      <c r="F1642" t="s">
        <v>10</v>
      </c>
    </row>
    <row r="1643" spans="1:6" hidden="1" x14ac:dyDescent="0.35">
      <c r="A1643" t="s">
        <v>19</v>
      </c>
      <c r="B1643" t="s">
        <v>34</v>
      </c>
      <c r="C1643" t="s">
        <v>25</v>
      </c>
      <c r="D1643">
        <v>0</v>
      </c>
      <c r="E1643" t="s">
        <v>40</v>
      </c>
      <c r="F1643" t="s">
        <v>10</v>
      </c>
    </row>
    <row r="1644" spans="1:6" hidden="1" x14ac:dyDescent="0.35">
      <c r="A1644" t="s">
        <v>20</v>
      </c>
      <c r="B1644" t="s">
        <v>34</v>
      </c>
      <c r="C1644" t="s">
        <v>25</v>
      </c>
      <c r="D1644">
        <v>25114</v>
      </c>
      <c r="E1644" t="s">
        <v>40</v>
      </c>
      <c r="F1644" t="s">
        <v>10</v>
      </c>
    </row>
    <row r="1645" spans="1:6" hidden="1" x14ac:dyDescent="0.35">
      <c r="A1645" t="s">
        <v>21</v>
      </c>
      <c r="B1645" t="s">
        <v>34</v>
      </c>
      <c r="C1645" t="s">
        <v>25</v>
      </c>
      <c r="D1645">
        <v>0</v>
      </c>
      <c r="E1645" t="s">
        <v>40</v>
      </c>
      <c r="F1645" t="s">
        <v>10</v>
      </c>
    </row>
    <row r="1646" spans="1:6" hidden="1" x14ac:dyDescent="0.35">
      <c r="A1646" t="s">
        <v>6</v>
      </c>
      <c r="B1646" t="s">
        <v>34</v>
      </c>
      <c r="C1646" t="s">
        <v>26</v>
      </c>
      <c r="D1646">
        <v>0</v>
      </c>
      <c r="E1646" t="s">
        <v>40</v>
      </c>
      <c r="F1646" t="s">
        <v>10</v>
      </c>
    </row>
    <row r="1647" spans="1:6" hidden="1" x14ac:dyDescent="0.35">
      <c r="A1647" t="s">
        <v>11</v>
      </c>
      <c r="B1647" t="s">
        <v>34</v>
      </c>
      <c r="C1647" t="s">
        <v>26</v>
      </c>
      <c r="E1647" t="s">
        <v>40</v>
      </c>
      <c r="F1647" t="s">
        <v>10</v>
      </c>
    </row>
    <row r="1648" spans="1:6" hidden="1" x14ac:dyDescent="0.35">
      <c r="A1648" t="s">
        <v>12</v>
      </c>
      <c r="B1648" t="s">
        <v>34</v>
      </c>
      <c r="C1648" t="s">
        <v>26</v>
      </c>
      <c r="E1648" t="s">
        <v>40</v>
      </c>
      <c r="F1648" t="s">
        <v>10</v>
      </c>
    </row>
    <row r="1649" spans="1:6" hidden="1" x14ac:dyDescent="0.35">
      <c r="A1649" t="s">
        <v>13</v>
      </c>
      <c r="B1649" t="s">
        <v>34</v>
      </c>
      <c r="C1649" t="s">
        <v>26</v>
      </c>
      <c r="E1649" t="s">
        <v>40</v>
      </c>
      <c r="F1649" t="s">
        <v>10</v>
      </c>
    </row>
    <row r="1650" spans="1:6" hidden="1" x14ac:dyDescent="0.35">
      <c r="A1650" t="s">
        <v>14</v>
      </c>
      <c r="B1650" t="s">
        <v>34</v>
      </c>
      <c r="C1650" t="s">
        <v>26</v>
      </c>
      <c r="E1650" t="s">
        <v>40</v>
      </c>
      <c r="F1650" t="s">
        <v>10</v>
      </c>
    </row>
    <row r="1651" spans="1:6" hidden="1" x14ac:dyDescent="0.35">
      <c r="A1651" t="s">
        <v>15</v>
      </c>
      <c r="B1651" t="s">
        <v>34</v>
      </c>
      <c r="C1651" t="s">
        <v>26</v>
      </c>
      <c r="E1651" t="s">
        <v>40</v>
      </c>
      <c r="F1651" t="s">
        <v>10</v>
      </c>
    </row>
    <row r="1652" spans="1:6" hidden="1" x14ac:dyDescent="0.35">
      <c r="A1652" t="s">
        <v>16</v>
      </c>
      <c r="B1652" t="s">
        <v>34</v>
      </c>
      <c r="C1652" t="s">
        <v>26</v>
      </c>
      <c r="E1652" t="s">
        <v>40</v>
      </c>
      <c r="F1652" t="s">
        <v>10</v>
      </c>
    </row>
    <row r="1653" spans="1:6" hidden="1" x14ac:dyDescent="0.35">
      <c r="A1653" t="s">
        <v>17</v>
      </c>
      <c r="B1653" t="s">
        <v>34</v>
      </c>
      <c r="C1653" t="s">
        <v>26</v>
      </c>
      <c r="E1653" t="s">
        <v>40</v>
      </c>
      <c r="F1653" t="s">
        <v>10</v>
      </c>
    </row>
    <row r="1654" spans="1:6" hidden="1" x14ac:dyDescent="0.35">
      <c r="A1654" t="s">
        <v>18</v>
      </c>
      <c r="B1654" t="s">
        <v>34</v>
      </c>
      <c r="C1654" t="s">
        <v>26</v>
      </c>
      <c r="E1654" t="s">
        <v>40</v>
      </c>
      <c r="F1654" t="s">
        <v>10</v>
      </c>
    </row>
    <row r="1655" spans="1:6" hidden="1" x14ac:dyDescent="0.35">
      <c r="A1655" t="s">
        <v>19</v>
      </c>
      <c r="B1655" t="s">
        <v>34</v>
      </c>
      <c r="C1655" t="s">
        <v>26</v>
      </c>
      <c r="E1655" t="s">
        <v>40</v>
      </c>
      <c r="F1655" t="s">
        <v>10</v>
      </c>
    </row>
    <row r="1656" spans="1:6" hidden="1" x14ac:dyDescent="0.35">
      <c r="A1656" t="s">
        <v>20</v>
      </c>
      <c r="B1656" t="s">
        <v>34</v>
      </c>
      <c r="C1656" t="s">
        <v>26</v>
      </c>
      <c r="E1656" t="s">
        <v>40</v>
      </c>
      <c r="F1656" t="s">
        <v>10</v>
      </c>
    </row>
    <row r="1657" spans="1:6" hidden="1" x14ac:dyDescent="0.35">
      <c r="A1657" t="s">
        <v>21</v>
      </c>
      <c r="B1657" t="s">
        <v>34</v>
      </c>
      <c r="C1657" t="s">
        <v>26</v>
      </c>
      <c r="E1657" t="s">
        <v>40</v>
      </c>
      <c r="F1657" t="s">
        <v>10</v>
      </c>
    </row>
    <row r="1658" spans="1:6" hidden="1" x14ac:dyDescent="0.35">
      <c r="A1658" t="s">
        <v>6</v>
      </c>
      <c r="B1658" t="s">
        <v>34</v>
      </c>
      <c r="C1658" t="s">
        <v>27</v>
      </c>
      <c r="D1658">
        <v>25454</v>
      </c>
      <c r="E1658" t="s">
        <v>40</v>
      </c>
      <c r="F1658" t="s">
        <v>10</v>
      </c>
    </row>
    <row r="1659" spans="1:6" hidden="1" x14ac:dyDescent="0.35">
      <c r="A1659" t="s">
        <v>11</v>
      </c>
      <c r="B1659" t="s">
        <v>34</v>
      </c>
      <c r="C1659" t="s">
        <v>27</v>
      </c>
      <c r="D1659">
        <v>35521</v>
      </c>
      <c r="E1659" t="s">
        <v>40</v>
      </c>
      <c r="F1659" t="s">
        <v>10</v>
      </c>
    </row>
    <row r="1660" spans="1:6" hidden="1" x14ac:dyDescent="0.35">
      <c r="A1660" t="s">
        <v>12</v>
      </c>
      <c r="B1660" t="s">
        <v>34</v>
      </c>
      <c r="C1660" t="s">
        <v>27</v>
      </c>
      <c r="D1660">
        <v>25105</v>
      </c>
      <c r="E1660" t="s">
        <v>40</v>
      </c>
      <c r="F1660" t="s">
        <v>10</v>
      </c>
    </row>
    <row r="1661" spans="1:6" hidden="1" x14ac:dyDescent="0.35">
      <c r="A1661" t="s">
        <v>13</v>
      </c>
      <c r="B1661" t="s">
        <v>34</v>
      </c>
      <c r="C1661" t="s">
        <v>27</v>
      </c>
      <c r="D1661">
        <v>866</v>
      </c>
      <c r="E1661" t="s">
        <v>40</v>
      </c>
      <c r="F1661" t="s">
        <v>10</v>
      </c>
    </row>
    <row r="1662" spans="1:6" hidden="1" x14ac:dyDescent="0.35">
      <c r="A1662" t="s">
        <v>14</v>
      </c>
      <c r="B1662" t="s">
        <v>34</v>
      </c>
      <c r="C1662" t="s">
        <v>27</v>
      </c>
      <c r="D1662">
        <v>22893</v>
      </c>
      <c r="E1662" t="s">
        <v>40</v>
      </c>
      <c r="F1662" t="s">
        <v>10</v>
      </c>
    </row>
    <row r="1663" spans="1:6" hidden="1" x14ac:dyDescent="0.35">
      <c r="A1663" t="s">
        <v>15</v>
      </c>
      <c r="B1663" t="s">
        <v>34</v>
      </c>
      <c r="C1663" t="s">
        <v>27</v>
      </c>
      <c r="D1663">
        <v>35912</v>
      </c>
      <c r="E1663" t="s">
        <v>40</v>
      </c>
      <c r="F1663" t="s">
        <v>10</v>
      </c>
    </row>
    <row r="1664" spans="1:6" hidden="1" x14ac:dyDescent="0.35">
      <c r="A1664" t="s">
        <v>16</v>
      </c>
      <c r="B1664" t="s">
        <v>34</v>
      </c>
      <c r="C1664" t="s">
        <v>27</v>
      </c>
      <c r="D1664">
        <v>58027</v>
      </c>
      <c r="E1664" t="s">
        <v>40</v>
      </c>
      <c r="F1664" t="s">
        <v>10</v>
      </c>
    </row>
    <row r="1665" spans="1:6" hidden="1" x14ac:dyDescent="0.35">
      <c r="A1665" t="s">
        <v>17</v>
      </c>
      <c r="B1665" t="s">
        <v>34</v>
      </c>
      <c r="C1665" t="s">
        <v>27</v>
      </c>
      <c r="D1665">
        <v>55794</v>
      </c>
      <c r="E1665" t="s">
        <v>40</v>
      </c>
      <c r="F1665" t="s">
        <v>10</v>
      </c>
    </row>
    <row r="1666" spans="1:6" hidden="1" x14ac:dyDescent="0.35">
      <c r="A1666" t="s">
        <v>18</v>
      </c>
      <c r="B1666" t="s">
        <v>34</v>
      </c>
      <c r="C1666" t="s">
        <v>27</v>
      </c>
      <c r="D1666">
        <v>25925</v>
      </c>
      <c r="E1666" t="s">
        <v>40</v>
      </c>
      <c r="F1666" t="s">
        <v>10</v>
      </c>
    </row>
    <row r="1667" spans="1:6" hidden="1" x14ac:dyDescent="0.35">
      <c r="A1667" t="s">
        <v>19</v>
      </c>
      <c r="B1667" t="s">
        <v>34</v>
      </c>
      <c r="C1667" t="s">
        <v>27</v>
      </c>
      <c r="D1667">
        <v>22382</v>
      </c>
      <c r="E1667" t="s">
        <v>40</v>
      </c>
      <c r="F1667" t="s">
        <v>10</v>
      </c>
    </row>
    <row r="1668" spans="1:6" hidden="1" x14ac:dyDescent="0.35">
      <c r="A1668" t="s">
        <v>20</v>
      </c>
      <c r="B1668" t="s">
        <v>34</v>
      </c>
      <c r="C1668" t="s">
        <v>27</v>
      </c>
      <c r="D1668">
        <v>33837</v>
      </c>
      <c r="E1668" t="s">
        <v>40</v>
      </c>
      <c r="F1668" t="s">
        <v>10</v>
      </c>
    </row>
    <row r="1669" spans="1:6" hidden="1" x14ac:dyDescent="0.35">
      <c r="A1669" t="s">
        <v>21</v>
      </c>
      <c r="B1669" t="s">
        <v>34</v>
      </c>
      <c r="C1669" t="s">
        <v>27</v>
      </c>
      <c r="D1669">
        <v>23507</v>
      </c>
      <c r="E1669" t="s">
        <v>40</v>
      </c>
      <c r="F1669" t="s">
        <v>10</v>
      </c>
    </row>
    <row r="1670" spans="1:6" hidden="1" x14ac:dyDescent="0.35">
      <c r="A1670" t="s">
        <v>6</v>
      </c>
      <c r="B1670" t="s">
        <v>34</v>
      </c>
      <c r="C1670" t="s">
        <v>28</v>
      </c>
      <c r="D1670">
        <v>719211</v>
      </c>
      <c r="E1670" t="s">
        <v>40</v>
      </c>
      <c r="F1670" t="s">
        <v>10</v>
      </c>
    </row>
    <row r="1671" spans="1:6" hidden="1" x14ac:dyDescent="0.35">
      <c r="A1671" t="s">
        <v>11</v>
      </c>
      <c r="B1671" t="s">
        <v>34</v>
      </c>
      <c r="C1671" t="s">
        <v>28</v>
      </c>
      <c r="D1671">
        <v>837270</v>
      </c>
      <c r="E1671" t="s">
        <v>40</v>
      </c>
      <c r="F1671" t="s">
        <v>10</v>
      </c>
    </row>
    <row r="1672" spans="1:6" hidden="1" x14ac:dyDescent="0.35">
      <c r="A1672" t="s">
        <v>12</v>
      </c>
      <c r="B1672" t="s">
        <v>34</v>
      </c>
      <c r="C1672" t="s">
        <v>28</v>
      </c>
      <c r="D1672">
        <v>435125</v>
      </c>
      <c r="E1672" t="s">
        <v>40</v>
      </c>
      <c r="F1672" t="s">
        <v>10</v>
      </c>
    </row>
    <row r="1673" spans="1:6" hidden="1" x14ac:dyDescent="0.35">
      <c r="A1673" t="s">
        <v>13</v>
      </c>
      <c r="B1673" t="s">
        <v>34</v>
      </c>
      <c r="C1673" t="s">
        <v>28</v>
      </c>
      <c r="D1673">
        <v>54012</v>
      </c>
      <c r="E1673" t="s">
        <v>40</v>
      </c>
      <c r="F1673" t="s">
        <v>10</v>
      </c>
    </row>
    <row r="1674" spans="1:6" hidden="1" x14ac:dyDescent="0.35">
      <c r="A1674" t="s">
        <v>14</v>
      </c>
      <c r="B1674" t="s">
        <v>34</v>
      </c>
      <c r="C1674" t="s">
        <v>28</v>
      </c>
      <c r="D1674">
        <v>1045863</v>
      </c>
      <c r="E1674" t="s">
        <v>40</v>
      </c>
      <c r="F1674" t="s">
        <v>10</v>
      </c>
    </row>
    <row r="1675" spans="1:6" hidden="1" x14ac:dyDescent="0.35">
      <c r="A1675" t="s">
        <v>15</v>
      </c>
      <c r="B1675" t="s">
        <v>34</v>
      </c>
      <c r="C1675" t="s">
        <v>28</v>
      </c>
      <c r="D1675">
        <v>581509</v>
      </c>
      <c r="E1675" t="s">
        <v>40</v>
      </c>
      <c r="F1675" t="s">
        <v>10</v>
      </c>
    </row>
    <row r="1676" spans="1:6" hidden="1" x14ac:dyDescent="0.35">
      <c r="A1676" t="s">
        <v>16</v>
      </c>
      <c r="B1676" t="s">
        <v>34</v>
      </c>
      <c r="C1676" t="s">
        <v>28</v>
      </c>
      <c r="D1676">
        <v>740293</v>
      </c>
      <c r="E1676" t="s">
        <v>40</v>
      </c>
      <c r="F1676" t="s">
        <v>10</v>
      </c>
    </row>
    <row r="1677" spans="1:6" hidden="1" x14ac:dyDescent="0.35">
      <c r="A1677" t="s">
        <v>17</v>
      </c>
      <c r="B1677" t="s">
        <v>34</v>
      </c>
      <c r="C1677" t="s">
        <v>28</v>
      </c>
      <c r="D1677">
        <v>1211036</v>
      </c>
      <c r="E1677" t="s">
        <v>40</v>
      </c>
      <c r="F1677" t="s">
        <v>10</v>
      </c>
    </row>
    <row r="1678" spans="1:6" hidden="1" x14ac:dyDescent="0.35">
      <c r="A1678" t="s">
        <v>18</v>
      </c>
      <c r="B1678" t="s">
        <v>34</v>
      </c>
      <c r="C1678" t="s">
        <v>28</v>
      </c>
      <c r="D1678">
        <v>418217</v>
      </c>
      <c r="E1678" t="s">
        <v>40</v>
      </c>
      <c r="F1678" t="s">
        <v>10</v>
      </c>
    </row>
    <row r="1679" spans="1:6" hidden="1" x14ac:dyDescent="0.35">
      <c r="A1679" t="s">
        <v>19</v>
      </c>
      <c r="B1679" t="s">
        <v>34</v>
      </c>
      <c r="C1679" t="s">
        <v>28</v>
      </c>
      <c r="D1679">
        <v>666123</v>
      </c>
      <c r="E1679" t="s">
        <v>40</v>
      </c>
      <c r="F1679" t="s">
        <v>10</v>
      </c>
    </row>
    <row r="1680" spans="1:6" hidden="1" x14ac:dyDescent="0.35">
      <c r="A1680" t="s">
        <v>20</v>
      </c>
      <c r="B1680" t="s">
        <v>34</v>
      </c>
      <c r="C1680" t="s">
        <v>28</v>
      </c>
      <c r="D1680">
        <v>1134359</v>
      </c>
      <c r="E1680" t="s">
        <v>40</v>
      </c>
      <c r="F1680" t="s">
        <v>10</v>
      </c>
    </row>
    <row r="1681" spans="1:6" hidden="1" x14ac:dyDescent="0.35">
      <c r="A1681" t="s">
        <v>21</v>
      </c>
      <c r="B1681" t="s">
        <v>34</v>
      </c>
      <c r="C1681" t="s">
        <v>28</v>
      </c>
      <c r="D1681">
        <v>334561</v>
      </c>
      <c r="E1681" t="s">
        <v>40</v>
      </c>
      <c r="F1681" t="s">
        <v>10</v>
      </c>
    </row>
    <row r="1682" spans="1:6" hidden="1" x14ac:dyDescent="0.35">
      <c r="A1682" t="s">
        <v>6</v>
      </c>
      <c r="B1682" t="s">
        <v>34</v>
      </c>
      <c r="C1682" t="s">
        <v>29</v>
      </c>
      <c r="D1682">
        <v>18</v>
      </c>
      <c r="E1682" t="s">
        <v>40</v>
      </c>
      <c r="F1682" t="s">
        <v>10</v>
      </c>
    </row>
    <row r="1683" spans="1:6" hidden="1" x14ac:dyDescent="0.35">
      <c r="A1683" t="s">
        <v>11</v>
      </c>
      <c r="B1683" t="s">
        <v>34</v>
      </c>
      <c r="C1683" t="s">
        <v>29</v>
      </c>
      <c r="D1683">
        <v>26</v>
      </c>
      <c r="E1683" t="s">
        <v>40</v>
      </c>
      <c r="F1683" t="s">
        <v>10</v>
      </c>
    </row>
    <row r="1684" spans="1:6" hidden="1" x14ac:dyDescent="0.35">
      <c r="A1684" t="s">
        <v>12</v>
      </c>
      <c r="B1684" t="s">
        <v>34</v>
      </c>
      <c r="C1684" t="s">
        <v>29</v>
      </c>
      <c r="D1684">
        <v>27</v>
      </c>
      <c r="E1684" t="s">
        <v>40</v>
      </c>
      <c r="F1684" t="s">
        <v>10</v>
      </c>
    </row>
    <row r="1685" spans="1:6" hidden="1" x14ac:dyDescent="0.35">
      <c r="A1685" t="s">
        <v>13</v>
      </c>
      <c r="B1685" t="s">
        <v>34</v>
      </c>
      <c r="C1685" t="s">
        <v>29</v>
      </c>
      <c r="D1685">
        <v>14</v>
      </c>
      <c r="E1685" t="s">
        <v>40</v>
      </c>
      <c r="F1685" t="s">
        <v>10</v>
      </c>
    </row>
    <row r="1686" spans="1:6" hidden="1" x14ac:dyDescent="0.35">
      <c r="A1686" t="s">
        <v>14</v>
      </c>
      <c r="B1686" t="s">
        <v>34</v>
      </c>
      <c r="C1686" t="s">
        <v>29</v>
      </c>
      <c r="D1686">
        <v>20</v>
      </c>
      <c r="E1686" t="s">
        <v>40</v>
      </c>
      <c r="F1686" t="s">
        <v>10</v>
      </c>
    </row>
    <row r="1687" spans="1:6" hidden="1" x14ac:dyDescent="0.35">
      <c r="A1687" t="s">
        <v>15</v>
      </c>
      <c r="B1687" t="s">
        <v>34</v>
      </c>
      <c r="C1687" t="s">
        <v>29</v>
      </c>
      <c r="D1687">
        <v>16</v>
      </c>
      <c r="E1687" t="s">
        <v>40</v>
      </c>
      <c r="F1687" t="s">
        <v>10</v>
      </c>
    </row>
    <row r="1688" spans="1:6" hidden="1" x14ac:dyDescent="0.35">
      <c r="A1688" t="s">
        <v>16</v>
      </c>
      <c r="B1688" t="s">
        <v>34</v>
      </c>
      <c r="C1688" t="s">
        <v>29</v>
      </c>
      <c r="D1688">
        <v>20</v>
      </c>
      <c r="E1688" t="s">
        <v>40</v>
      </c>
      <c r="F1688" t="s">
        <v>10</v>
      </c>
    </row>
    <row r="1689" spans="1:6" hidden="1" x14ac:dyDescent="0.35">
      <c r="A1689" t="s">
        <v>17</v>
      </c>
      <c r="B1689" t="s">
        <v>34</v>
      </c>
      <c r="C1689" t="s">
        <v>29</v>
      </c>
      <c r="D1689">
        <v>24</v>
      </c>
      <c r="E1689" t="s">
        <v>40</v>
      </c>
      <c r="F1689" t="s">
        <v>10</v>
      </c>
    </row>
    <row r="1690" spans="1:6" hidden="1" x14ac:dyDescent="0.35">
      <c r="A1690" t="s">
        <v>18</v>
      </c>
      <c r="B1690" t="s">
        <v>34</v>
      </c>
      <c r="C1690" t="s">
        <v>29</v>
      </c>
      <c r="D1690">
        <v>20</v>
      </c>
      <c r="E1690" t="s">
        <v>40</v>
      </c>
      <c r="F1690" t="s">
        <v>10</v>
      </c>
    </row>
    <row r="1691" spans="1:6" hidden="1" x14ac:dyDescent="0.35">
      <c r="A1691" t="s">
        <v>19</v>
      </c>
      <c r="B1691" t="s">
        <v>34</v>
      </c>
      <c r="C1691" t="s">
        <v>29</v>
      </c>
      <c r="D1691">
        <v>17</v>
      </c>
      <c r="E1691" t="s">
        <v>40</v>
      </c>
      <c r="F1691" t="s">
        <v>10</v>
      </c>
    </row>
    <row r="1692" spans="1:6" hidden="1" x14ac:dyDescent="0.35">
      <c r="A1692" t="s">
        <v>20</v>
      </c>
      <c r="B1692" t="s">
        <v>34</v>
      </c>
      <c r="C1692" t="s">
        <v>29</v>
      </c>
      <c r="D1692">
        <v>22</v>
      </c>
      <c r="E1692" t="s">
        <v>40</v>
      </c>
      <c r="F1692" t="s">
        <v>10</v>
      </c>
    </row>
    <row r="1693" spans="1:6" hidden="1" x14ac:dyDescent="0.35">
      <c r="A1693" t="s">
        <v>21</v>
      </c>
      <c r="B1693" t="s">
        <v>34</v>
      </c>
      <c r="C1693" t="s">
        <v>29</v>
      </c>
      <c r="D1693">
        <v>16</v>
      </c>
      <c r="E1693" t="s">
        <v>40</v>
      </c>
      <c r="F1693" t="s">
        <v>10</v>
      </c>
    </row>
    <row r="1694" spans="1:6" hidden="1" x14ac:dyDescent="0.35">
      <c r="A1694" t="s">
        <v>6</v>
      </c>
      <c r="B1694" t="s">
        <v>34</v>
      </c>
      <c r="C1694" t="s">
        <v>30</v>
      </c>
      <c r="D1694">
        <v>6</v>
      </c>
      <c r="E1694" t="s">
        <v>40</v>
      </c>
      <c r="F1694" t="s">
        <v>10</v>
      </c>
    </row>
    <row r="1695" spans="1:6" hidden="1" x14ac:dyDescent="0.35">
      <c r="A1695" t="s">
        <v>11</v>
      </c>
      <c r="B1695" t="s">
        <v>34</v>
      </c>
      <c r="C1695" t="s">
        <v>30</v>
      </c>
      <c r="D1695">
        <v>1</v>
      </c>
      <c r="E1695" t="s">
        <v>40</v>
      </c>
      <c r="F1695" t="s">
        <v>10</v>
      </c>
    </row>
    <row r="1696" spans="1:6" hidden="1" x14ac:dyDescent="0.35">
      <c r="A1696" t="s">
        <v>12</v>
      </c>
      <c r="B1696" t="s">
        <v>34</v>
      </c>
      <c r="C1696" t="s">
        <v>30</v>
      </c>
      <c r="D1696">
        <v>4</v>
      </c>
      <c r="E1696" t="s">
        <v>40</v>
      </c>
      <c r="F1696" t="s">
        <v>10</v>
      </c>
    </row>
    <row r="1697" spans="1:6" hidden="1" x14ac:dyDescent="0.35">
      <c r="A1697" t="s">
        <v>13</v>
      </c>
      <c r="B1697" t="s">
        <v>34</v>
      </c>
      <c r="C1697" t="s">
        <v>30</v>
      </c>
      <c r="D1697">
        <v>5</v>
      </c>
      <c r="E1697" t="s">
        <v>40</v>
      </c>
      <c r="F1697" t="s">
        <v>10</v>
      </c>
    </row>
    <row r="1698" spans="1:6" hidden="1" x14ac:dyDescent="0.35">
      <c r="A1698" t="s">
        <v>14</v>
      </c>
      <c r="B1698" t="s">
        <v>34</v>
      </c>
      <c r="C1698" t="s">
        <v>30</v>
      </c>
      <c r="D1698">
        <v>6</v>
      </c>
      <c r="E1698" t="s">
        <v>40</v>
      </c>
      <c r="F1698" t="s">
        <v>10</v>
      </c>
    </row>
    <row r="1699" spans="1:6" hidden="1" x14ac:dyDescent="0.35">
      <c r="A1699" t="s">
        <v>15</v>
      </c>
      <c r="B1699" t="s">
        <v>34</v>
      </c>
      <c r="C1699" t="s">
        <v>30</v>
      </c>
      <c r="D1699">
        <v>5</v>
      </c>
      <c r="E1699" t="s">
        <v>40</v>
      </c>
      <c r="F1699" t="s">
        <v>10</v>
      </c>
    </row>
    <row r="1700" spans="1:6" hidden="1" x14ac:dyDescent="0.35">
      <c r="A1700" t="s">
        <v>16</v>
      </c>
      <c r="B1700" t="s">
        <v>34</v>
      </c>
      <c r="C1700" t="s">
        <v>30</v>
      </c>
      <c r="D1700">
        <v>6</v>
      </c>
      <c r="E1700" t="s">
        <v>40</v>
      </c>
      <c r="F1700" t="s">
        <v>10</v>
      </c>
    </row>
    <row r="1701" spans="1:6" hidden="1" x14ac:dyDescent="0.35">
      <c r="A1701" t="s">
        <v>17</v>
      </c>
      <c r="B1701" t="s">
        <v>34</v>
      </c>
      <c r="C1701" t="s">
        <v>30</v>
      </c>
      <c r="D1701">
        <v>2</v>
      </c>
      <c r="E1701" t="s">
        <v>40</v>
      </c>
      <c r="F1701" t="s">
        <v>10</v>
      </c>
    </row>
    <row r="1702" spans="1:6" hidden="1" x14ac:dyDescent="0.35">
      <c r="A1702" t="s">
        <v>18</v>
      </c>
      <c r="B1702" t="s">
        <v>34</v>
      </c>
      <c r="C1702" t="s">
        <v>30</v>
      </c>
      <c r="D1702">
        <v>6</v>
      </c>
      <c r="E1702" t="s">
        <v>40</v>
      </c>
      <c r="F1702" t="s">
        <v>10</v>
      </c>
    </row>
    <row r="1703" spans="1:6" hidden="1" x14ac:dyDescent="0.35">
      <c r="A1703" t="s">
        <v>19</v>
      </c>
      <c r="B1703" t="s">
        <v>34</v>
      </c>
      <c r="C1703" t="s">
        <v>30</v>
      </c>
      <c r="D1703">
        <v>3</v>
      </c>
      <c r="E1703" t="s">
        <v>40</v>
      </c>
      <c r="F1703" t="s">
        <v>10</v>
      </c>
    </row>
    <row r="1704" spans="1:6" hidden="1" x14ac:dyDescent="0.35">
      <c r="A1704" t="s">
        <v>20</v>
      </c>
      <c r="B1704" t="s">
        <v>34</v>
      </c>
      <c r="C1704" t="s">
        <v>30</v>
      </c>
      <c r="D1704">
        <v>4</v>
      </c>
      <c r="E1704" t="s">
        <v>40</v>
      </c>
      <c r="F1704" t="s">
        <v>10</v>
      </c>
    </row>
    <row r="1705" spans="1:6" hidden="1" x14ac:dyDescent="0.35">
      <c r="A1705" t="s">
        <v>21</v>
      </c>
      <c r="B1705" t="s">
        <v>34</v>
      </c>
      <c r="C1705" t="s">
        <v>30</v>
      </c>
      <c r="D1705">
        <v>3</v>
      </c>
      <c r="E1705" t="s">
        <v>40</v>
      </c>
      <c r="F1705" t="s">
        <v>10</v>
      </c>
    </row>
    <row r="1706" spans="1:6" hidden="1" x14ac:dyDescent="0.35">
      <c r="A1706" t="s">
        <v>6</v>
      </c>
      <c r="B1706" t="s">
        <v>34</v>
      </c>
      <c r="C1706" t="s">
        <v>31</v>
      </c>
      <c r="D1706">
        <v>4</v>
      </c>
      <c r="E1706" t="s">
        <v>40</v>
      </c>
      <c r="F1706" t="s">
        <v>10</v>
      </c>
    </row>
    <row r="1707" spans="1:6" hidden="1" x14ac:dyDescent="0.35">
      <c r="A1707" t="s">
        <v>11</v>
      </c>
      <c r="B1707" t="s">
        <v>34</v>
      </c>
      <c r="C1707" t="s">
        <v>31</v>
      </c>
      <c r="D1707">
        <v>8</v>
      </c>
      <c r="E1707" t="s">
        <v>40</v>
      </c>
      <c r="F1707" t="s">
        <v>10</v>
      </c>
    </row>
    <row r="1708" spans="1:6" hidden="1" x14ac:dyDescent="0.35">
      <c r="A1708" t="s">
        <v>12</v>
      </c>
      <c r="B1708" t="s">
        <v>34</v>
      </c>
      <c r="C1708" t="s">
        <v>31</v>
      </c>
      <c r="D1708">
        <v>12</v>
      </c>
      <c r="E1708" t="s">
        <v>40</v>
      </c>
      <c r="F1708" t="s">
        <v>10</v>
      </c>
    </row>
    <row r="1709" spans="1:6" hidden="1" x14ac:dyDescent="0.35">
      <c r="A1709" t="s">
        <v>13</v>
      </c>
      <c r="B1709" t="s">
        <v>34</v>
      </c>
      <c r="C1709" t="s">
        <v>31</v>
      </c>
      <c r="D1709">
        <v>2</v>
      </c>
      <c r="E1709" t="s">
        <v>40</v>
      </c>
      <c r="F1709" t="s">
        <v>10</v>
      </c>
    </row>
    <row r="1710" spans="1:6" hidden="1" x14ac:dyDescent="0.35">
      <c r="A1710" t="s">
        <v>14</v>
      </c>
      <c r="B1710" t="s">
        <v>34</v>
      </c>
      <c r="C1710" t="s">
        <v>31</v>
      </c>
      <c r="D1710">
        <v>5</v>
      </c>
      <c r="E1710" t="s">
        <v>40</v>
      </c>
      <c r="F1710" t="s">
        <v>10</v>
      </c>
    </row>
    <row r="1711" spans="1:6" hidden="1" x14ac:dyDescent="0.35">
      <c r="A1711" t="s">
        <v>15</v>
      </c>
      <c r="B1711" t="s">
        <v>34</v>
      </c>
      <c r="C1711" t="s">
        <v>31</v>
      </c>
      <c r="D1711">
        <v>4</v>
      </c>
      <c r="E1711" t="s">
        <v>40</v>
      </c>
      <c r="F1711" t="s">
        <v>10</v>
      </c>
    </row>
    <row r="1712" spans="1:6" hidden="1" x14ac:dyDescent="0.35">
      <c r="A1712" t="s">
        <v>16</v>
      </c>
      <c r="B1712" t="s">
        <v>34</v>
      </c>
      <c r="C1712" t="s">
        <v>31</v>
      </c>
      <c r="D1712">
        <v>6</v>
      </c>
      <c r="E1712" t="s">
        <v>40</v>
      </c>
      <c r="F1712" t="s">
        <v>10</v>
      </c>
    </row>
    <row r="1713" spans="1:6" hidden="1" x14ac:dyDescent="0.35">
      <c r="A1713" t="s">
        <v>17</v>
      </c>
      <c r="B1713" t="s">
        <v>34</v>
      </c>
      <c r="C1713" t="s">
        <v>31</v>
      </c>
      <c r="D1713">
        <v>1</v>
      </c>
      <c r="E1713" t="s">
        <v>40</v>
      </c>
      <c r="F1713" t="s">
        <v>10</v>
      </c>
    </row>
    <row r="1714" spans="1:6" hidden="1" x14ac:dyDescent="0.35">
      <c r="A1714" t="s">
        <v>18</v>
      </c>
      <c r="B1714" t="s">
        <v>34</v>
      </c>
      <c r="C1714" t="s">
        <v>31</v>
      </c>
      <c r="D1714">
        <v>4</v>
      </c>
      <c r="E1714" t="s">
        <v>40</v>
      </c>
      <c r="F1714" t="s">
        <v>10</v>
      </c>
    </row>
    <row r="1715" spans="1:6" hidden="1" x14ac:dyDescent="0.35">
      <c r="A1715" t="s">
        <v>19</v>
      </c>
      <c r="B1715" t="s">
        <v>34</v>
      </c>
      <c r="C1715" t="s">
        <v>31</v>
      </c>
      <c r="D1715">
        <v>1</v>
      </c>
      <c r="E1715" t="s">
        <v>40</v>
      </c>
      <c r="F1715" t="s">
        <v>10</v>
      </c>
    </row>
    <row r="1716" spans="1:6" hidden="1" x14ac:dyDescent="0.35">
      <c r="A1716" t="s">
        <v>20</v>
      </c>
      <c r="B1716" t="s">
        <v>34</v>
      </c>
      <c r="C1716" t="s">
        <v>31</v>
      </c>
      <c r="D1716">
        <v>2</v>
      </c>
      <c r="E1716" t="s">
        <v>40</v>
      </c>
      <c r="F1716" t="s">
        <v>10</v>
      </c>
    </row>
    <row r="1717" spans="1:6" hidden="1" x14ac:dyDescent="0.35">
      <c r="A1717" t="s">
        <v>21</v>
      </c>
      <c r="B1717" t="s">
        <v>34</v>
      </c>
      <c r="C1717" t="s">
        <v>31</v>
      </c>
      <c r="D1717">
        <v>2</v>
      </c>
      <c r="E1717" t="s">
        <v>40</v>
      </c>
      <c r="F1717" t="s">
        <v>10</v>
      </c>
    </row>
    <row r="1718" spans="1:6" hidden="1" x14ac:dyDescent="0.35">
      <c r="A1718" t="s">
        <v>6</v>
      </c>
      <c r="B1718" t="s">
        <v>35</v>
      </c>
      <c r="C1718" t="s">
        <v>8</v>
      </c>
      <c r="D1718">
        <v>56423</v>
      </c>
      <c r="E1718" t="s">
        <v>40</v>
      </c>
      <c r="F1718" t="s">
        <v>10</v>
      </c>
    </row>
    <row r="1719" spans="1:6" hidden="1" x14ac:dyDescent="0.35">
      <c r="A1719" t="s">
        <v>11</v>
      </c>
      <c r="B1719" t="s">
        <v>35</v>
      </c>
      <c r="C1719" t="s">
        <v>8</v>
      </c>
      <c r="D1719">
        <v>37956</v>
      </c>
      <c r="E1719" t="s">
        <v>40</v>
      </c>
      <c r="F1719" t="s">
        <v>10</v>
      </c>
    </row>
    <row r="1720" spans="1:6" hidden="1" x14ac:dyDescent="0.35">
      <c r="A1720" t="s">
        <v>12</v>
      </c>
      <c r="B1720" t="s">
        <v>35</v>
      </c>
      <c r="C1720" t="s">
        <v>8</v>
      </c>
      <c r="D1720">
        <v>88084</v>
      </c>
      <c r="E1720" t="s">
        <v>40</v>
      </c>
      <c r="F1720" t="s">
        <v>10</v>
      </c>
    </row>
    <row r="1721" spans="1:6" hidden="1" x14ac:dyDescent="0.35">
      <c r="A1721" t="s">
        <v>13</v>
      </c>
      <c r="B1721" t="s">
        <v>35</v>
      </c>
      <c r="C1721" t="s">
        <v>8</v>
      </c>
      <c r="D1721">
        <v>270179</v>
      </c>
      <c r="E1721" t="s">
        <v>40</v>
      </c>
      <c r="F1721" t="s">
        <v>10</v>
      </c>
    </row>
    <row r="1722" spans="1:6" hidden="1" x14ac:dyDescent="0.35">
      <c r="A1722" t="s">
        <v>14</v>
      </c>
      <c r="B1722" t="s">
        <v>35</v>
      </c>
      <c r="C1722" t="s">
        <v>8</v>
      </c>
      <c r="D1722">
        <v>979566</v>
      </c>
      <c r="E1722" t="s">
        <v>40</v>
      </c>
      <c r="F1722" t="s">
        <v>10</v>
      </c>
    </row>
    <row r="1723" spans="1:6" hidden="1" x14ac:dyDescent="0.35">
      <c r="A1723" t="s">
        <v>15</v>
      </c>
      <c r="B1723" t="s">
        <v>35</v>
      </c>
      <c r="C1723" t="s">
        <v>8</v>
      </c>
      <c r="D1723">
        <v>1207637</v>
      </c>
      <c r="E1723" t="s">
        <v>40</v>
      </c>
      <c r="F1723" t="s">
        <v>10</v>
      </c>
    </row>
    <row r="1724" spans="1:6" hidden="1" x14ac:dyDescent="0.35">
      <c r="A1724" t="s">
        <v>16</v>
      </c>
      <c r="B1724" t="s">
        <v>35</v>
      </c>
      <c r="C1724" t="s">
        <v>8</v>
      </c>
      <c r="D1724">
        <v>418098</v>
      </c>
      <c r="E1724" t="s">
        <v>40</v>
      </c>
      <c r="F1724" t="s">
        <v>10</v>
      </c>
    </row>
    <row r="1725" spans="1:6" hidden="1" x14ac:dyDescent="0.35">
      <c r="A1725" t="s">
        <v>17</v>
      </c>
      <c r="B1725" t="s">
        <v>35</v>
      </c>
      <c r="C1725" t="s">
        <v>8</v>
      </c>
      <c r="D1725">
        <v>821579</v>
      </c>
      <c r="E1725" t="s">
        <v>40</v>
      </c>
      <c r="F1725" t="s">
        <v>10</v>
      </c>
    </row>
    <row r="1726" spans="1:6" hidden="1" x14ac:dyDescent="0.35">
      <c r="A1726" t="s">
        <v>18</v>
      </c>
      <c r="B1726" t="s">
        <v>35</v>
      </c>
      <c r="C1726" t="s">
        <v>8</v>
      </c>
      <c r="D1726">
        <v>71179</v>
      </c>
      <c r="E1726" t="s">
        <v>40</v>
      </c>
      <c r="F1726" t="s">
        <v>10</v>
      </c>
    </row>
    <row r="1727" spans="1:6" hidden="1" x14ac:dyDescent="0.35">
      <c r="A1727" t="s">
        <v>19</v>
      </c>
      <c r="B1727" t="s">
        <v>35</v>
      </c>
      <c r="C1727" t="s">
        <v>8</v>
      </c>
      <c r="D1727">
        <v>32444</v>
      </c>
      <c r="E1727" t="s">
        <v>40</v>
      </c>
      <c r="F1727" t="s">
        <v>10</v>
      </c>
    </row>
    <row r="1728" spans="1:6" hidden="1" x14ac:dyDescent="0.35">
      <c r="A1728" t="s">
        <v>20</v>
      </c>
      <c r="B1728" t="s">
        <v>35</v>
      </c>
      <c r="C1728" t="s">
        <v>8</v>
      </c>
      <c r="D1728">
        <v>57482</v>
      </c>
      <c r="E1728" t="s">
        <v>40</v>
      </c>
      <c r="F1728" t="s">
        <v>10</v>
      </c>
    </row>
    <row r="1729" spans="1:6" hidden="1" x14ac:dyDescent="0.35">
      <c r="A1729" t="s">
        <v>21</v>
      </c>
      <c r="B1729" t="s">
        <v>35</v>
      </c>
      <c r="C1729" t="s">
        <v>8</v>
      </c>
      <c r="D1729">
        <v>550504</v>
      </c>
      <c r="E1729" t="s">
        <v>40</v>
      </c>
      <c r="F1729" t="s">
        <v>10</v>
      </c>
    </row>
    <row r="1730" spans="1:6" hidden="1" x14ac:dyDescent="0.35">
      <c r="A1730" t="s">
        <v>6</v>
      </c>
      <c r="B1730" t="s">
        <v>35</v>
      </c>
      <c r="C1730" t="s">
        <v>22</v>
      </c>
      <c r="D1730">
        <v>0</v>
      </c>
      <c r="E1730" t="s">
        <v>40</v>
      </c>
      <c r="F1730" t="s">
        <v>10</v>
      </c>
    </row>
    <row r="1731" spans="1:6" hidden="1" x14ac:dyDescent="0.35">
      <c r="A1731" t="s">
        <v>11</v>
      </c>
      <c r="B1731" t="s">
        <v>35</v>
      </c>
      <c r="C1731" t="s">
        <v>22</v>
      </c>
      <c r="D1731">
        <v>0</v>
      </c>
      <c r="E1731" t="s">
        <v>40</v>
      </c>
      <c r="F1731" t="s">
        <v>10</v>
      </c>
    </row>
    <row r="1732" spans="1:6" hidden="1" x14ac:dyDescent="0.35">
      <c r="A1732" t="s">
        <v>12</v>
      </c>
      <c r="B1732" t="s">
        <v>35</v>
      </c>
      <c r="C1732" t="s">
        <v>22</v>
      </c>
      <c r="D1732">
        <v>0</v>
      </c>
      <c r="E1732" t="s">
        <v>40</v>
      </c>
      <c r="F1732" t="s">
        <v>10</v>
      </c>
    </row>
    <row r="1733" spans="1:6" hidden="1" x14ac:dyDescent="0.35">
      <c r="A1733" t="s">
        <v>13</v>
      </c>
      <c r="B1733" t="s">
        <v>35</v>
      </c>
      <c r="C1733" t="s">
        <v>22</v>
      </c>
      <c r="D1733">
        <v>0</v>
      </c>
      <c r="E1733" t="s">
        <v>40</v>
      </c>
      <c r="F1733" t="s">
        <v>10</v>
      </c>
    </row>
    <row r="1734" spans="1:6" hidden="1" x14ac:dyDescent="0.35">
      <c r="A1734" t="s">
        <v>14</v>
      </c>
      <c r="B1734" t="s">
        <v>35</v>
      </c>
      <c r="C1734" t="s">
        <v>22</v>
      </c>
      <c r="D1734">
        <v>0</v>
      </c>
      <c r="E1734" t="s">
        <v>40</v>
      </c>
      <c r="F1734" t="s">
        <v>10</v>
      </c>
    </row>
    <row r="1735" spans="1:6" hidden="1" x14ac:dyDescent="0.35">
      <c r="A1735" t="s">
        <v>15</v>
      </c>
      <c r="B1735" t="s">
        <v>35</v>
      </c>
      <c r="C1735" t="s">
        <v>22</v>
      </c>
      <c r="D1735">
        <v>0</v>
      </c>
      <c r="E1735" t="s">
        <v>40</v>
      </c>
      <c r="F1735" t="s">
        <v>10</v>
      </c>
    </row>
    <row r="1736" spans="1:6" hidden="1" x14ac:dyDescent="0.35">
      <c r="A1736" t="s">
        <v>16</v>
      </c>
      <c r="B1736" t="s">
        <v>35</v>
      </c>
      <c r="C1736" t="s">
        <v>22</v>
      </c>
      <c r="D1736">
        <v>0</v>
      </c>
      <c r="E1736" t="s">
        <v>40</v>
      </c>
      <c r="F1736" t="s">
        <v>10</v>
      </c>
    </row>
    <row r="1737" spans="1:6" hidden="1" x14ac:dyDescent="0.35">
      <c r="A1737" t="s">
        <v>17</v>
      </c>
      <c r="B1737" t="s">
        <v>35</v>
      </c>
      <c r="C1737" t="s">
        <v>22</v>
      </c>
      <c r="D1737">
        <v>0</v>
      </c>
      <c r="E1737" t="s">
        <v>40</v>
      </c>
      <c r="F1737" t="s">
        <v>10</v>
      </c>
    </row>
    <row r="1738" spans="1:6" hidden="1" x14ac:dyDescent="0.35">
      <c r="A1738" t="s">
        <v>18</v>
      </c>
      <c r="B1738" t="s">
        <v>35</v>
      </c>
      <c r="C1738" t="s">
        <v>22</v>
      </c>
      <c r="D1738">
        <v>0</v>
      </c>
      <c r="E1738" t="s">
        <v>40</v>
      </c>
      <c r="F1738" t="s">
        <v>10</v>
      </c>
    </row>
    <row r="1739" spans="1:6" hidden="1" x14ac:dyDescent="0.35">
      <c r="A1739" t="s">
        <v>19</v>
      </c>
      <c r="B1739" t="s">
        <v>35</v>
      </c>
      <c r="C1739" t="s">
        <v>22</v>
      </c>
      <c r="D1739">
        <v>0</v>
      </c>
      <c r="E1739" t="s">
        <v>40</v>
      </c>
      <c r="F1739" t="s">
        <v>10</v>
      </c>
    </row>
    <row r="1740" spans="1:6" hidden="1" x14ac:dyDescent="0.35">
      <c r="A1740" t="s">
        <v>20</v>
      </c>
      <c r="B1740" t="s">
        <v>35</v>
      </c>
      <c r="C1740" t="s">
        <v>22</v>
      </c>
      <c r="D1740">
        <v>0</v>
      </c>
      <c r="E1740" t="s">
        <v>40</v>
      </c>
      <c r="F1740" t="s">
        <v>10</v>
      </c>
    </row>
    <row r="1741" spans="1:6" hidden="1" x14ac:dyDescent="0.35">
      <c r="A1741" t="s">
        <v>21</v>
      </c>
      <c r="B1741" t="s">
        <v>35</v>
      </c>
      <c r="C1741" t="s">
        <v>22</v>
      </c>
      <c r="D1741">
        <v>0</v>
      </c>
      <c r="E1741" t="s">
        <v>40</v>
      </c>
      <c r="F1741" t="s">
        <v>10</v>
      </c>
    </row>
    <row r="1742" spans="1:6" hidden="1" x14ac:dyDescent="0.35">
      <c r="A1742" t="s">
        <v>6</v>
      </c>
      <c r="B1742" t="s">
        <v>35</v>
      </c>
      <c r="C1742" t="s">
        <v>23</v>
      </c>
      <c r="D1742">
        <v>363650</v>
      </c>
      <c r="E1742" t="s">
        <v>40</v>
      </c>
      <c r="F1742" t="s">
        <v>10</v>
      </c>
    </row>
    <row r="1743" spans="1:6" hidden="1" x14ac:dyDescent="0.35">
      <c r="A1743" t="s">
        <v>11</v>
      </c>
      <c r="B1743" t="s">
        <v>35</v>
      </c>
      <c r="C1743" t="s">
        <v>23</v>
      </c>
      <c r="D1743">
        <v>434091</v>
      </c>
      <c r="E1743" t="s">
        <v>40</v>
      </c>
      <c r="F1743" t="s">
        <v>10</v>
      </c>
    </row>
    <row r="1744" spans="1:6" hidden="1" x14ac:dyDescent="0.35">
      <c r="A1744" t="s">
        <v>12</v>
      </c>
      <c r="B1744" t="s">
        <v>35</v>
      </c>
      <c r="C1744" t="s">
        <v>23</v>
      </c>
      <c r="D1744">
        <v>618320</v>
      </c>
      <c r="E1744" t="s">
        <v>40</v>
      </c>
      <c r="F1744" t="s">
        <v>10</v>
      </c>
    </row>
    <row r="1745" spans="1:6" hidden="1" x14ac:dyDescent="0.35">
      <c r="A1745" t="s">
        <v>13</v>
      </c>
      <c r="B1745" t="s">
        <v>35</v>
      </c>
      <c r="C1745" t="s">
        <v>23</v>
      </c>
      <c r="D1745">
        <v>812337</v>
      </c>
      <c r="E1745" t="s">
        <v>40</v>
      </c>
      <c r="F1745" t="s">
        <v>10</v>
      </c>
    </row>
    <row r="1746" spans="1:6" hidden="1" x14ac:dyDescent="0.35">
      <c r="A1746" t="s">
        <v>14</v>
      </c>
      <c r="B1746" t="s">
        <v>35</v>
      </c>
      <c r="C1746" t="s">
        <v>23</v>
      </c>
      <c r="D1746">
        <v>909264</v>
      </c>
      <c r="E1746" t="s">
        <v>40</v>
      </c>
      <c r="F1746" t="s">
        <v>10</v>
      </c>
    </row>
    <row r="1747" spans="1:6" hidden="1" x14ac:dyDescent="0.35">
      <c r="A1747" t="s">
        <v>15</v>
      </c>
      <c r="B1747" t="s">
        <v>35</v>
      </c>
      <c r="C1747" t="s">
        <v>23</v>
      </c>
      <c r="D1747">
        <v>983472</v>
      </c>
      <c r="E1747" t="s">
        <v>40</v>
      </c>
      <c r="F1747" t="s">
        <v>10</v>
      </c>
    </row>
    <row r="1748" spans="1:6" hidden="1" x14ac:dyDescent="0.35">
      <c r="A1748" t="s">
        <v>16</v>
      </c>
      <c r="B1748" t="s">
        <v>35</v>
      </c>
      <c r="C1748" t="s">
        <v>23</v>
      </c>
      <c r="D1748">
        <v>421575</v>
      </c>
      <c r="E1748" t="s">
        <v>40</v>
      </c>
      <c r="F1748" t="s">
        <v>10</v>
      </c>
    </row>
    <row r="1749" spans="1:6" hidden="1" x14ac:dyDescent="0.35">
      <c r="A1749" t="s">
        <v>17</v>
      </c>
      <c r="B1749" t="s">
        <v>35</v>
      </c>
      <c r="C1749" t="s">
        <v>23</v>
      </c>
      <c r="D1749">
        <v>52823</v>
      </c>
      <c r="E1749" t="s">
        <v>40</v>
      </c>
      <c r="F1749" t="s">
        <v>10</v>
      </c>
    </row>
    <row r="1750" spans="1:6" hidden="1" x14ac:dyDescent="0.35">
      <c r="A1750" t="s">
        <v>18</v>
      </c>
      <c r="B1750" t="s">
        <v>35</v>
      </c>
      <c r="C1750" t="s">
        <v>23</v>
      </c>
      <c r="D1750">
        <v>679499</v>
      </c>
      <c r="E1750" t="s">
        <v>40</v>
      </c>
      <c r="F1750" t="s">
        <v>10</v>
      </c>
    </row>
    <row r="1751" spans="1:6" hidden="1" x14ac:dyDescent="0.35">
      <c r="A1751" t="s">
        <v>19</v>
      </c>
      <c r="B1751" t="s">
        <v>35</v>
      </c>
      <c r="C1751" t="s">
        <v>23</v>
      </c>
      <c r="D1751">
        <v>276523</v>
      </c>
      <c r="E1751" t="s">
        <v>40</v>
      </c>
      <c r="F1751" t="s">
        <v>10</v>
      </c>
    </row>
    <row r="1752" spans="1:6" hidden="1" x14ac:dyDescent="0.35">
      <c r="A1752" t="s">
        <v>20</v>
      </c>
      <c r="B1752" t="s">
        <v>35</v>
      </c>
      <c r="C1752" t="s">
        <v>23</v>
      </c>
      <c r="D1752">
        <v>786078</v>
      </c>
      <c r="E1752" t="s">
        <v>40</v>
      </c>
      <c r="F1752" t="s">
        <v>10</v>
      </c>
    </row>
    <row r="1753" spans="1:6" hidden="1" x14ac:dyDescent="0.35">
      <c r="A1753" t="s">
        <v>21</v>
      </c>
      <c r="B1753" t="s">
        <v>35</v>
      </c>
      <c r="C1753" t="s">
        <v>23</v>
      </c>
      <c r="D1753">
        <v>1005291</v>
      </c>
      <c r="E1753" t="s">
        <v>40</v>
      </c>
      <c r="F1753" t="s">
        <v>10</v>
      </c>
    </row>
    <row r="1754" spans="1:6" hidden="1" x14ac:dyDescent="0.35">
      <c r="A1754" t="s">
        <v>6</v>
      </c>
      <c r="B1754" t="s">
        <v>35</v>
      </c>
      <c r="C1754" t="s">
        <v>24</v>
      </c>
      <c r="D1754">
        <v>0</v>
      </c>
      <c r="E1754" t="s">
        <v>40</v>
      </c>
      <c r="F1754" t="s">
        <v>10</v>
      </c>
    </row>
    <row r="1755" spans="1:6" hidden="1" x14ac:dyDescent="0.35">
      <c r="A1755" t="s">
        <v>11</v>
      </c>
      <c r="B1755" t="s">
        <v>35</v>
      </c>
      <c r="C1755" t="s">
        <v>24</v>
      </c>
      <c r="D1755">
        <v>0</v>
      </c>
      <c r="E1755" t="s">
        <v>40</v>
      </c>
      <c r="F1755" t="s">
        <v>10</v>
      </c>
    </row>
    <row r="1756" spans="1:6" hidden="1" x14ac:dyDescent="0.35">
      <c r="A1756" t="s">
        <v>12</v>
      </c>
      <c r="B1756" t="s">
        <v>35</v>
      </c>
      <c r="C1756" t="s">
        <v>24</v>
      </c>
      <c r="D1756">
        <v>0</v>
      </c>
      <c r="E1756" t="s">
        <v>40</v>
      </c>
      <c r="F1756" t="s">
        <v>10</v>
      </c>
    </row>
    <row r="1757" spans="1:6" hidden="1" x14ac:dyDescent="0.35">
      <c r="A1757" t="s">
        <v>13</v>
      </c>
      <c r="B1757" t="s">
        <v>35</v>
      </c>
      <c r="C1757" t="s">
        <v>24</v>
      </c>
      <c r="D1757">
        <v>0</v>
      </c>
      <c r="E1757" t="s">
        <v>40</v>
      </c>
      <c r="F1757" t="s">
        <v>10</v>
      </c>
    </row>
    <row r="1758" spans="1:6" hidden="1" x14ac:dyDescent="0.35">
      <c r="A1758" t="s">
        <v>14</v>
      </c>
      <c r="B1758" t="s">
        <v>35</v>
      </c>
      <c r="C1758" t="s">
        <v>24</v>
      </c>
      <c r="D1758">
        <v>0</v>
      </c>
      <c r="E1758" t="s">
        <v>40</v>
      </c>
      <c r="F1758" t="s">
        <v>10</v>
      </c>
    </row>
    <row r="1759" spans="1:6" hidden="1" x14ac:dyDescent="0.35">
      <c r="A1759" t="s">
        <v>15</v>
      </c>
      <c r="B1759" t="s">
        <v>35</v>
      </c>
      <c r="C1759" t="s">
        <v>24</v>
      </c>
      <c r="D1759">
        <v>0</v>
      </c>
      <c r="E1759" t="s">
        <v>40</v>
      </c>
      <c r="F1759" t="s">
        <v>10</v>
      </c>
    </row>
    <row r="1760" spans="1:6" hidden="1" x14ac:dyDescent="0.35">
      <c r="A1760" t="s">
        <v>16</v>
      </c>
      <c r="B1760" t="s">
        <v>35</v>
      </c>
      <c r="C1760" t="s">
        <v>24</v>
      </c>
      <c r="D1760">
        <v>0</v>
      </c>
      <c r="E1760" t="s">
        <v>40</v>
      </c>
      <c r="F1760" t="s">
        <v>10</v>
      </c>
    </row>
    <row r="1761" spans="1:6" hidden="1" x14ac:dyDescent="0.35">
      <c r="A1761" t="s">
        <v>17</v>
      </c>
      <c r="B1761" t="s">
        <v>35</v>
      </c>
      <c r="C1761" t="s">
        <v>24</v>
      </c>
      <c r="D1761">
        <v>0</v>
      </c>
      <c r="E1761" t="s">
        <v>40</v>
      </c>
      <c r="F1761" t="s">
        <v>10</v>
      </c>
    </row>
    <row r="1762" spans="1:6" hidden="1" x14ac:dyDescent="0.35">
      <c r="A1762" t="s">
        <v>18</v>
      </c>
      <c r="B1762" t="s">
        <v>35</v>
      </c>
      <c r="C1762" t="s">
        <v>24</v>
      </c>
      <c r="D1762">
        <v>0</v>
      </c>
      <c r="E1762" t="s">
        <v>40</v>
      </c>
      <c r="F1762" t="s">
        <v>10</v>
      </c>
    </row>
    <row r="1763" spans="1:6" hidden="1" x14ac:dyDescent="0.35">
      <c r="A1763" t="s">
        <v>19</v>
      </c>
      <c r="B1763" t="s">
        <v>35</v>
      </c>
      <c r="C1763" t="s">
        <v>24</v>
      </c>
      <c r="D1763">
        <v>0</v>
      </c>
      <c r="E1763" t="s">
        <v>40</v>
      </c>
      <c r="F1763" t="s">
        <v>10</v>
      </c>
    </row>
    <row r="1764" spans="1:6" hidden="1" x14ac:dyDescent="0.35">
      <c r="A1764" t="s">
        <v>20</v>
      </c>
      <c r="B1764" t="s">
        <v>35</v>
      </c>
      <c r="C1764" t="s">
        <v>24</v>
      </c>
      <c r="D1764">
        <v>0</v>
      </c>
      <c r="E1764" t="s">
        <v>40</v>
      </c>
      <c r="F1764" t="s">
        <v>10</v>
      </c>
    </row>
    <row r="1765" spans="1:6" hidden="1" x14ac:dyDescent="0.35">
      <c r="A1765" t="s">
        <v>21</v>
      </c>
      <c r="B1765" t="s">
        <v>35</v>
      </c>
      <c r="C1765" t="s">
        <v>24</v>
      </c>
      <c r="D1765">
        <v>0</v>
      </c>
      <c r="E1765" t="s">
        <v>40</v>
      </c>
      <c r="F1765" t="s">
        <v>10</v>
      </c>
    </row>
    <row r="1766" spans="1:6" hidden="1" x14ac:dyDescent="0.35">
      <c r="A1766" t="s">
        <v>6</v>
      </c>
      <c r="B1766" t="s">
        <v>35</v>
      </c>
      <c r="C1766" t="s">
        <v>25</v>
      </c>
      <c r="D1766">
        <v>34723</v>
      </c>
      <c r="E1766" t="s">
        <v>40</v>
      </c>
      <c r="F1766" t="s">
        <v>10</v>
      </c>
    </row>
    <row r="1767" spans="1:6" hidden="1" x14ac:dyDescent="0.35">
      <c r="A1767" t="s">
        <v>11</v>
      </c>
      <c r="B1767" t="s">
        <v>35</v>
      </c>
      <c r="C1767" t="s">
        <v>25</v>
      </c>
      <c r="D1767">
        <v>0</v>
      </c>
      <c r="E1767" t="s">
        <v>40</v>
      </c>
      <c r="F1767" t="s">
        <v>10</v>
      </c>
    </row>
    <row r="1768" spans="1:6" hidden="1" x14ac:dyDescent="0.35">
      <c r="A1768" t="s">
        <v>12</v>
      </c>
      <c r="B1768" t="s">
        <v>35</v>
      </c>
      <c r="C1768" t="s">
        <v>25</v>
      </c>
      <c r="D1768">
        <v>0</v>
      </c>
      <c r="E1768" t="s">
        <v>40</v>
      </c>
      <c r="F1768" t="s">
        <v>10</v>
      </c>
    </row>
    <row r="1769" spans="1:6" hidden="1" x14ac:dyDescent="0.35">
      <c r="A1769" t="s">
        <v>13</v>
      </c>
      <c r="B1769" t="s">
        <v>35</v>
      </c>
      <c r="C1769" t="s">
        <v>25</v>
      </c>
      <c r="D1769">
        <v>0</v>
      </c>
      <c r="E1769" t="s">
        <v>40</v>
      </c>
      <c r="F1769" t="s">
        <v>10</v>
      </c>
    </row>
    <row r="1770" spans="1:6" hidden="1" x14ac:dyDescent="0.35">
      <c r="A1770" t="s">
        <v>14</v>
      </c>
      <c r="B1770" t="s">
        <v>35</v>
      </c>
      <c r="C1770" t="s">
        <v>25</v>
      </c>
      <c r="D1770">
        <v>1167</v>
      </c>
      <c r="E1770" t="s">
        <v>40</v>
      </c>
      <c r="F1770" t="s">
        <v>10</v>
      </c>
    </row>
    <row r="1771" spans="1:6" hidden="1" x14ac:dyDescent="0.35">
      <c r="A1771" t="s">
        <v>15</v>
      </c>
      <c r="B1771" t="s">
        <v>35</v>
      </c>
      <c r="C1771" t="s">
        <v>25</v>
      </c>
      <c r="D1771">
        <v>0</v>
      </c>
      <c r="E1771" t="s">
        <v>40</v>
      </c>
      <c r="F1771" t="s">
        <v>10</v>
      </c>
    </row>
    <row r="1772" spans="1:6" hidden="1" x14ac:dyDescent="0.35">
      <c r="A1772" t="s">
        <v>16</v>
      </c>
      <c r="B1772" t="s">
        <v>35</v>
      </c>
      <c r="C1772" t="s">
        <v>25</v>
      </c>
      <c r="D1772">
        <v>86813</v>
      </c>
      <c r="E1772" t="s">
        <v>40</v>
      </c>
      <c r="F1772" t="s">
        <v>10</v>
      </c>
    </row>
    <row r="1773" spans="1:6" hidden="1" x14ac:dyDescent="0.35">
      <c r="A1773" t="s">
        <v>17</v>
      </c>
      <c r="B1773" t="s">
        <v>35</v>
      </c>
      <c r="C1773" t="s">
        <v>25</v>
      </c>
      <c r="D1773">
        <v>1683</v>
      </c>
      <c r="E1773" t="s">
        <v>40</v>
      </c>
      <c r="F1773" t="s">
        <v>10</v>
      </c>
    </row>
    <row r="1774" spans="1:6" hidden="1" x14ac:dyDescent="0.35">
      <c r="A1774" t="s">
        <v>18</v>
      </c>
      <c r="B1774" t="s">
        <v>35</v>
      </c>
      <c r="C1774" t="s">
        <v>25</v>
      </c>
      <c r="D1774">
        <v>17817</v>
      </c>
      <c r="E1774" t="s">
        <v>40</v>
      </c>
      <c r="F1774" t="s">
        <v>10</v>
      </c>
    </row>
    <row r="1775" spans="1:6" hidden="1" x14ac:dyDescent="0.35">
      <c r="A1775" t="s">
        <v>19</v>
      </c>
      <c r="B1775" t="s">
        <v>35</v>
      </c>
      <c r="C1775" t="s">
        <v>25</v>
      </c>
      <c r="D1775">
        <v>0</v>
      </c>
      <c r="E1775" t="s">
        <v>40</v>
      </c>
      <c r="F1775" t="s">
        <v>10</v>
      </c>
    </row>
    <row r="1776" spans="1:6" hidden="1" x14ac:dyDescent="0.35">
      <c r="A1776" t="s">
        <v>20</v>
      </c>
      <c r="B1776" t="s">
        <v>35</v>
      </c>
      <c r="C1776" t="s">
        <v>25</v>
      </c>
      <c r="D1776">
        <v>0</v>
      </c>
      <c r="E1776" t="s">
        <v>40</v>
      </c>
      <c r="F1776" t="s">
        <v>10</v>
      </c>
    </row>
    <row r="1777" spans="1:6" hidden="1" x14ac:dyDescent="0.35">
      <c r="A1777" t="s">
        <v>21</v>
      </c>
      <c r="B1777" t="s">
        <v>35</v>
      </c>
      <c r="C1777" t="s">
        <v>25</v>
      </c>
      <c r="D1777">
        <v>21042</v>
      </c>
      <c r="E1777" t="s">
        <v>40</v>
      </c>
      <c r="F1777" t="s">
        <v>10</v>
      </c>
    </row>
    <row r="1778" spans="1:6" hidden="1" x14ac:dyDescent="0.35">
      <c r="A1778" t="s">
        <v>6</v>
      </c>
      <c r="B1778" t="s">
        <v>35</v>
      </c>
      <c r="C1778" t="s">
        <v>26</v>
      </c>
      <c r="D1778">
        <v>0</v>
      </c>
      <c r="E1778" t="s">
        <v>40</v>
      </c>
      <c r="F1778" t="s">
        <v>10</v>
      </c>
    </row>
    <row r="1779" spans="1:6" hidden="1" x14ac:dyDescent="0.35">
      <c r="A1779" t="s">
        <v>11</v>
      </c>
      <c r="B1779" t="s">
        <v>35</v>
      </c>
      <c r="C1779" t="s">
        <v>26</v>
      </c>
      <c r="E1779" t="s">
        <v>40</v>
      </c>
      <c r="F1779" t="s">
        <v>10</v>
      </c>
    </row>
    <row r="1780" spans="1:6" hidden="1" x14ac:dyDescent="0.35">
      <c r="A1780" t="s">
        <v>12</v>
      </c>
      <c r="B1780" t="s">
        <v>35</v>
      </c>
      <c r="C1780" t="s">
        <v>26</v>
      </c>
      <c r="E1780" t="s">
        <v>40</v>
      </c>
      <c r="F1780" t="s">
        <v>10</v>
      </c>
    </row>
    <row r="1781" spans="1:6" hidden="1" x14ac:dyDescent="0.35">
      <c r="A1781" t="s">
        <v>13</v>
      </c>
      <c r="B1781" t="s">
        <v>35</v>
      </c>
      <c r="C1781" t="s">
        <v>26</v>
      </c>
      <c r="E1781" t="s">
        <v>40</v>
      </c>
      <c r="F1781" t="s">
        <v>10</v>
      </c>
    </row>
    <row r="1782" spans="1:6" hidden="1" x14ac:dyDescent="0.35">
      <c r="A1782" t="s">
        <v>14</v>
      </c>
      <c r="B1782" t="s">
        <v>35</v>
      </c>
      <c r="C1782" t="s">
        <v>26</v>
      </c>
      <c r="E1782" t="s">
        <v>40</v>
      </c>
      <c r="F1782" t="s">
        <v>10</v>
      </c>
    </row>
    <row r="1783" spans="1:6" hidden="1" x14ac:dyDescent="0.35">
      <c r="A1783" t="s">
        <v>15</v>
      </c>
      <c r="B1783" t="s">
        <v>35</v>
      </c>
      <c r="C1783" t="s">
        <v>26</v>
      </c>
      <c r="E1783" t="s">
        <v>40</v>
      </c>
      <c r="F1783" t="s">
        <v>10</v>
      </c>
    </row>
    <row r="1784" spans="1:6" hidden="1" x14ac:dyDescent="0.35">
      <c r="A1784" t="s">
        <v>16</v>
      </c>
      <c r="B1784" t="s">
        <v>35</v>
      </c>
      <c r="C1784" t="s">
        <v>26</v>
      </c>
      <c r="E1784" t="s">
        <v>40</v>
      </c>
      <c r="F1784" t="s">
        <v>10</v>
      </c>
    </row>
    <row r="1785" spans="1:6" hidden="1" x14ac:dyDescent="0.35">
      <c r="A1785" t="s">
        <v>17</v>
      </c>
      <c r="B1785" t="s">
        <v>35</v>
      </c>
      <c r="C1785" t="s">
        <v>26</v>
      </c>
      <c r="E1785" t="s">
        <v>40</v>
      </c>
      <c r="F1785" t="s">
        <v>10</v>
      </c>
    </row>
    <row r="1786" spans="1:6" hidden="1" x14ac:dyDescent="0.35">
      <c r="A1786" t="s">
        <v>18</v>
      </c>
      <c r="B1786" t="s">
        <v>35</v>
      </c>
      <c r="C1786" t="s">
        <v>26</v>
      </c>
      <c r="E1786" t="s">
        <v>40</v>
      </c>
      <c r="F1786" t="s">
        <v>10</v>
      </c>
    </row>
    <row r="1787" spans="1:6" hidden="1" x14ac:dyDescent="0.35">
      <c r="A1787" t="s">
        <v>19</v>
      </c>
      <c r="B1787" t="s">
        <v>35</v>
      </c>
      <c r="C1787" t="s">
        <v>26</v>
      </c>
      <c r="E1787" t="s">
        <v>40</v>
      </c>
      <c r="F1787" t="s">
        <v>10</v>
      </c>
    </row>
    <row r="1788" spans="1:6" hidden="1" x14ac:dyDescent="0.35">
      <c r="A1788" t="s">
        <v>20</v>
      </c>
      <c r="B1788" t="s">
        <v>35</v>
      </c>
      <c r="C1788" t="s">
        <v>26</v>
      </c>
      <c r="E1788" t="s">
        <v>40</v>
      </c>
      <c r="F1788" t="s">
        <v>10</v>
      </c>
    </row>
    <row r="1789" spans="1:6" hidden="1" x14ac:dyDescent="0.35">
      <c r="A1789" t="s">
        <v>21</v>
      </c>
      <c r="B1789" t="s">
        <v>35</v>
      </c>
      <c r="C1789" t="s">
        <v>26</v>
      </c>
      <c r="E1789" t="s">
        <v>40</v>
      </c>
      <c r="F1789" t="s">
        <v>10</v>
      </c>
    </row>
    <row r="1790" spans="1:6" hidden="1" x14ac:dyDescent="0.35">
      <c r="A1790" t="s">
        <v>6</v>
      </c>
      <c r="B1790" t="s">
        <v>35</v>
      </c>
      <c r="C1790" t="s">
        <v>27</v>
      </c>
      <c r="D1790">
        <v>75721</v>
      </c>
      <c r="E1790" t="s">
        <v>40</v>
      </c>
      <c r="F1790" t="s">
        <v>10</v>
      </c>
    </row>
    <row r="1791" spans="1:6" hidden="1" x14ac:dyDescent="0.35">
      <c r="A1791" t="s">
        <v>11</v>
      </c>
      <c r="B1791" t="s">
        <v>35</v>
      </c>
      <c r="C1791" t="s">
        <v>27</v>
      </c>
      <c r="D1791">
        <v>141740</v>
      </c>
      <c r="E1791" t="s">
        <v>40</v>
      </c>
      <c r="F1791" t="s">
        <v>10</v>
      </c>
    </row>
    <row r="1792" spans="1:6" hidden="1" x14ac:dyDescent="0.35">
      <c r="A1792" t="s">
        <v>12</v>
      </c>
      <c r="B1792" t="s">
        <v>35</v>
      </c>
      <c r="C1792" t="s">
        <v>27</v>
      </c>
      <c r="D1792">
        <v>107219</v>
      </c>
      <c r="E1792" t="s">
        <v>40</v>
      </c>
      <c r="F1792" t="s">
        <v>10</v>
      </c>
    </row>
    <row r="1793" spans="1:6" hidden="1" x14ac:dyDescent="0.35">
      <c r="A1793" t="s">
        <v>13</v>
      </c>
      <c r="B1793" t="s">
        <v>35</v>
      </c>
      <c r="C1793" t="s">
        <v>27</v>
      </c>
      <c r="D1793">
        <v>289426</v>
      </c>
      <c r="E1793" t="s">
        <v>40</v>
      </c>
      <c r="F1793" t="s">
        <v>10</v>
      </c>
    </row>
    <row r="1794" spans="1:6" hidden="1" x14ac:dyDescent="0.35">
      <c r="A1794" t="s">
        <v>14</v>
      </c>
      <c r="B1794" t="s">
        <v>35</v>
      </c>
      <c r="C1794" t="s">
        <v>27</v>
      </c>
      <c r="D1794">
        <v>194088</v>
      </c>
      <c r="E1794" t="s">
        <v>40</v>
      </c>
      <c r="F1794" t="s">
        <v>10</v>
      </c>
    </row>
    <row r="1795" spans="1:6" hidden="1" x14ac:dyDescent="0.35">
      <c r="A1795" t="s">
        <v>15</v>
      </c>
      <c r="B1795" t="s">
        <v>35</v>
      </c>
      <c r="C1795" t="s">
        <v>27</v>
      </c>
      <c r="D1795">
        <v>566106</v>
      </c>
      <c r="E1795" t="s">
        <v>40</v>
      </c>
      <c r="F1795" t="s">
        <v>10</v>
      </c>
    </row>
    <row r="1796" spans="1:6" hidden="1" x14ac:dyDescent="0.35">
      <c r="A1796" t="s">
        <v>16</v>
      </c>
      <c r="B1796" t="s">
        <v>35</v>
      </c>
      <c r="C1796" t="s">
        <v>27</v>
      </c>
      <c r="D1796">
        <v>134156</v>
      </c>
      <c r="E1796" t="s">
        <v>40</v>
      </c>
      <c r="F1796" t="s">
        <v>10</v>
      </c>
    </row>
    <row r="1797" spans="1:6" hidden="1" x14ac:dyDescent="0.35">
      <c r="A1797" t="s">
        <v>17</v>
      </c>
      <c r="B1797" t="s">
        <v>35</v>
      </c>
      <c r="C1797" t="s">
        <v>27</v>
      </c>
      <c r="D1797">
        <v>233445</v>
      </c>
      <c r="E1797" t="s">
        <v>40</v>
      </c>
      <c r="F1797" t="s">
        <v>10</v>
      </c>
    </row>
    <row r="1798" spans="1:6" hidden="1" x14ac:dyDescent="0.35">
      <c r="A1798" t="s">
        <v>18</v>
      </c>
      <c r="B1798" t="s">
        <v>35</v>
      </c>
      <c r="C1798" t="s">
        <v>27</v>
      </c>
      <c r="D1798">
        <v>82156</v>
      </c>
      <c r="E1798" t="s">
        <v>40</v>
      </c>
      <c r="F1798" t="s">
        <v>10</v>
      </c>
    </row>
    <row r="1799" spans="1:6" hidden="1" x14ac:dyDescent="0.35">
      <c r="A1799" t="s">
        <v>19</v>
      </c>
      <c r="B1799" t="s">
        <v>35</v>
      </c>
      <c r="C1799" t="s">
        <v>27</v>
      </c>
      <c r="D1799">
        <v>112331</v>
      </c>
      <c r="E1799" t="s">
        <v>40</v>
      </c>
      <c r="F1799" t="s">
        <v>10</v>
      </c>
    </row>
    <row r="1800" spans="1:6" hidden="1" x14ac:dyDescent="0.35">
      <c r="A1800" t="s">
        <v>20</v>
      </c>
      <c r="B1800" t="s">
        <v>35</v>
      </c>
      <c r="C1800" t="s">
        <v>27</v>
      </c>
      <c r="D1800">
        <v>141539</v>
      </c>
      <c r="E1800" t="s">
        <v>40</v>
      </c>
      <c r="F1800" t="s">
        <v>10</v>
      </c>
    </row>
    <row r="1801" spans="1:6" hidden="1" x14ac:dyDescent="0.35">
      <c r="A1801" t="s">
        <v>21</v>
      </c>
      <c r="B1801" t="s">
        <v>35</v>
      </c>
      <c r="C1801" t="s">
        <v>27</v>
      </c>
      <c r="D1801">
        <v>203461</v>
      </c>
      <c r="E1801" t="s">
        <v>40</v>
      </c>
      <c r="F1801" t="s">
        <v>10</v>
      </c>
    </row>
    <row r="1802" spans="1:6" hidden="1" x14ac:dyDescent="0.35">
      <c r="A1802" t="s">
        <v>6</v>
      </c>
      <c r="B1802" t="s">
        <v>35</v>
      </c>
      <c r="C1802" t="s">
        <v>28</v>
      </c>
      <c r="D1802">
        <v>476496</v>
      </c>
      <c r="E1802" t="s">
        <v>40</v>
      </c>
      <c r="F1802" t="s">
        <v>10</v>
      </c>
    </row>
    <row r="1803" spans="1:6" hidden="1" x14ac:dyDescent="0.35">
      <c r="A1803" t="s">
        <v>11</v>
      </c>
      <c r="B1803" t="s">
        <v>35</v>
      </c>
      <c r="C1803" t="s">
        <v>28</v>
      </c>
      <c r="D1803">
        <v>582255</v>
      </c>
      <c r="E1803" t="s">
        <v>40</v>
      </c>
      <c r="F1803" t="s">
        <v>10</v>
      </c>
    </row>
    <row r="1804" spans="1:6" hidden="1" x14ac:dyDescent="0.35">
      <c r="A1804" t="s">
        <v>12</v>
      </c>
      <c r="B1804" t="s">
        <v>35</v>
      </c>
      <c r="C1804" t="s">
        <v>28</v>
      </c>
      <c r="D1804">
        <v>971809</v>
      </c>
      <c r="E1804" t="s">
        <v>40</v>
      </c>
      <c r="F1804" t="s">
        <v>10</v>
      </c>
    </row>
    <row r="1805" spans="1:6" hidden="1" x14ac:dyDescent="0.35">
      <c r="A1805" t="s">
        <v>13</v>
      </c>
      <c r="B1805" t="s">
        <v>35</v>
      </c>
      <c r="C1805" t="s">
        <v>28</v>
      </c>
      <c r="D1805">
        <v>1352696</v>
      </c>
      <c r="E1805" t="s">
        <v>40</v>
      </c>
      <c r="F1805" t="s">
        <v>10</v>
      </c>
    </row>
    <row r="1806" spans="1:6" hidden="1" x14ac:dyDescent="0.35">
      <c r="A1806" t="s">
        <v>14</v>
      </c>
      <c r="B1806" t="s">
        <v>35</v>
      </c>
      <c r="C1806" t="s">
        <v>28</v>
      </c>
      <c r="D1806">
        <v>2868396</v>
      </c>
      <c r="E1806" t="s">
        <v>40</v>
      </c>
      <c r="F1806" t="s">
        <v>10</v>
      </c>
    </row>
    <row r="1807" spans="1:6" hidden="1" x14ac:dyDescent="0.35">
      <c r="A1807" t="s">
        <v>15</v>
      </c>
      <c r="B1807" t="s">
        <v>35</v>
      </c>
      <c r="C1807" t="s">
        <v>28</v>
      </c>
      <c r="D1807">
        <v>3102229</v>
      </c>
      <c r="E1807" t="s">
        <v>40</v>
      </c>
      <c r="F1807" t="s">
        <v>10</v>
      </c>
    </row>
    <row r="1808" spans="1:6" hidden="1" x14ac:dyDescent="0.35">
      <c r="A1808" t="s">
        <v>16</v>
      </c>
      <c r="B1808" t="s">
        <v>35</v>
      </c>
      <c r="C1808" t="s">
        <v>28</v>
      </c>
      <c r="D1808">
        <v>1300170</v>
      </c>
      <c r="E1808" t="s">
        <v>40</v>
      </c>
      <c r="F1808" t="s">
        <v>10</v>
      </c>
    </row>
    <row r="1809" spans="1:6" hidden="1" x14ac:dyDescent="0.35">
      <c r="A1809" t="s">
        <v>17</v>
      </c>
      <c r="B1809" t="s">
        <v>35</v>
      </c>
      <c r="C1809" t="s">
        <v>28</v>
      </c>
      <c r="D1809">
        <v>1695981</v>
      </c>
      <c r="E1809" t="s">
        <v>40</v>
      </c>
      <c r="F1809" t="s">
        <v>10</v>
      </c>
    </row>
    <row r="1810" spans="1:6" hidden="1" x14ac:dyDescent="0.35">
      <c r="A1810" t="s">
        <v>18</v>
      </c>
      <c r="B1810" t="s">
        <v>35</v>
      </c>
      <c r="C1810" t="s">
        <v>28</v>
      </c>
      <c r="D1810">
        <v>826413</v>
      </c>
      <c r="E1810" t="s">
        <v>40</v>
      </c>
      <c r="F1810" t="s">
        <v>10</v>
      </c>
    </row>
    <row r="1811" spans="1:6" hidden="1" x14ac:dyDescent="0.35">
      <c r="A1811" t="s">
        <v>19</v>
      </c>
      <c r="B1811" t="s">
        <v>35</v>
      </c>
      <c r="C1811" t="s">
        <v>28</v>
      </c>
      <c r="D1811">
        <v>386771</v>
      </c>
      <c r="E1811" t="s">
        <v>40</v>
      </c>
      <c r="F1811" t="s">
        <v>10</v>
      </c>
    </row>
    <row r="1812" spans="1:6" hidden="1" x14ac:dyDescent="0.35">
      <c r="A1812" t="s">
        <v>20</v>
      </c>
      <c r="B1812" t="s">
        <v>35</v>
      </c>
      <c r="C1812" t="s">
        <v>28</v>
      </c>
      <c r="D1812">
        <v>910732</v>
      </c>
      <c r="E1812" t="s">
        <v>40</v>
      </c>
      <c r="F1812" t="s">
        <v>10</v>
      </c>
    </row>
    <row r="1813" spans="1:6" hidden="1" x14ac:dyDescent="0.35">
      <c r="A1813" t="s">
        <v>21</v>
      </c>
      <c r="B1813" t="s">
        <v>35</v>
      </c>
      <c r="C1813" t="s">
        <v>28</v>
      </c>
      <c r="D1813">
        <v>2112693</v>
      </c>
      <c r="E1813" t="s">
        <v>40</v>
      </c>
      <c r="F1813" t="s">
        <v>10</v>
      </c>
    </row>
    <row r="1814" spans="1:6" hidden="1" x14ac:dyDescent="0.35">
      <c r="A1814" t="s">
        <v>6</v>
      </c>
      <c r="B1814" t="s">
        <v>35</v>
      </c>
      <c r="C1814" t="s">
        <v>29</v>
      </c>
      <c r="D1814">
        <v>26</v>
      </c>
      <c r="E1814" t="s">
        <v>40</v>
      </c>
      <c r="F1814" t="s">
        <v>10</v>
      </c>
    </row>
    <row r="1815" spans="1:6" hidden="1" x14ac:dyDescent="0.35">
      <c r="A1815" t="s">
        <v>11</v>
      </c>
      <c r="B1815" t="s">
        <v>35</v>
      </c>
      <c r="C1815" t="s">
        <v>29</v>
      </c>
      <c r="D1815">
        <v>20</v>
      </c>
      <c r="E1815" t="s">
        <v>40</v>
      </c>
      <c r="F1815" t="s">
        <v>10</v>
      </c>
    </row>
    <row r="1816" spans="1:6" hidden="1" x14ac:dyDescent="0.35">
      <c r="A1816" t="s">
        <v>12</v>
      </c>
      <c r="B1816" t="s">
        <v>35</v>
      </c>
      <c r="C1816" t="s">
        <v>29</v>
      </c>
      <c r="D1816">
        <v>36</v>
      </c>
      <c r="E1816" t="s">
        <v>40</v>
      </c>
      <c r="F1816" t="s">
        <v>10</v>
      </c>
    </row>
    <row r="1817" spans="1:6" hidden="1" x14ac:dyDescent="0.35">
      <c r="A1817" t="s">
        <v>13</v>
      </c>
      <c r="B1817" t="s">
        <v>35</v>
      </c>
      <c r="C1817" t="s">
        <v>29</v>
      </c>
      <c r="D1817">
        <v>25</v>
      </c>
      <c r="E1817" t="s">
        <v>40</v>
      </c>
      <c r="F1817" t="s">
        <v>10</v>
      </c>
    </row>
    <row r="1818" spans="1:6" hidden="1" x14ac:dyDescent="0.35">
      <c r="A1818" t="s">
        <v>14</v>
      </c>
      <c r="B1818" t="s">
        <v>35</v>
      </c>
      <c r="C1818" t="s">
        <v>29</v>
      </c>
      <c r="D1818">
        <v>22</v>
      </c>
      <c r="E1818" t="s">
        <v>40</v>
      </c>
      <c r="F1818" t="s">
        <v>10</v>
      </c>
    </row>
    <row r="1819" spans="1:6" hidden="1" x14ac:dyDescent="0.35">
      <c r="A1819" t="s">
        <v>15</v>
      </c>
      <c r="B1819" t="s">
        <v>35</v>
      </c>
      <c r="C1819" t="s">
        <v>29</v>
      </c>
      <c r="D1819">
        <v>15</v>
      </c>
      <c r="E1819" t="s">
        <v>40</v>
      </c>
      <c r="F1819" t="s">
        <v>10</v>
      </c>
    </row>
    <row r="1820" spans="1:6" hidden="1" x14ac:dyDescent="0.35">
      <c r="A1820" t="s">
        <v>16</v>
      </c>
      <c r="B1820" t="s">
        <v>35</v>
      </c>
      <c r="C1820" t="s">
        <v>29</v>
      </c>
      <c r="D1820">
        <v>22</v>
      </c>
      <c r="E1820" t="s">
        <v>40</v>
      </c>
      <c r="F1820" t="s">
        <v>10</v>
      </c>
    </row>
    <row r="1821" spans="1:6" hidden="1" x14ac:dyDescent="0.35">
      <c r="A1821" t="s">
        <v>17</v>
      </c>
      <c r="B1821" t="s">
        <v>35</v>
      </c>
      <c r="C1821" t="s">
        <v>29</v>
      </c>
      <c r="D1821">
        <v>18</v>
      </c>
      <c r="E1821" t="s">
        <v>40</v>
      </c>
      <c r="F1821" t="s">
        <v>10</v>
      </c>
    </row>
    <row r="1822" spans="1:6" hidden="1" x14ac:dyDescent="0.35">
      <c r="A1822" t="s">
        <v>18</v>
      </c>
      <c r="B1822" t="s">
        <v>35</v>
      </c>
      <c r="C1822" t="s">
        <v>29</v>
      </c>
      <c r="D1822">
        <v>20</v>
      </c>
      <c r="E1822" t="s">
        <v>40</v>
      </c>
      <c r="F1822" t="s">
        <v>10</v>
      </c>
    </row>
    <row r="1823" spans="1:6" hidden="1" x14ac:dyDescent="0.35">
      <c r="A1823" t="s">
        <v>19</v>
      </c>
      <c r="B1823" t="s">
        <v>35</v>
      </c>
      <c r="C1823" t="s">
        <v>29</v>
      </c>
      <c r="D1823">
        <v>28</v>
      </c>
      <c r="E1823" t="s">
        <v>40</v>
      </c>
      <c r="F1823" t="s">
        <v>10</v>
      </c>
    </row>
    <row r="1824" spans="1:6" hidden="1" x14ac:dyDescent="0.35">
      <c r="A1824" t="s">
        <v>20</v>
      </c>
      <c r="B1824" t="s">
        <v>35</v>
      </c>
      <c r="C1824" t="s">
        <v>29</v>
      </c>
      <c r="D1824">
        <v>27</v>
      </c>
      <c r="E1824" t="s">
        <v>40</v>
      </c>
      <c r="F1824" t="s">
        <v>10</v>
      </c>
    </row>
    <row r="1825" spans="1:6" hidden="1" x14ac:dyDescent="0.35">
      <c r="A1825" t="s">
        <v>21</v>
      </c>
      <c r="B1825" t="s">
        <v>35</v>
      </c>
      <c r="C1825" t="s">
        <v>29</v>
      </c>
      <c r="D1825">
        <v>18</v>
      </c>
      <c r="E1825" t="s">
        <v>40</v>
      </c>
      <c r="F1825" t="s">
        <v>10</v>
      </c>
    </row>
    <row r="1826" spans="1:6" hidden="1" x14ac:dyDescent="0.35">
      <c r="A1826" t="s">
        <v>6</v>
      </c>
      <c r="B1826" t="s">
        <v>35</v>
      </c>
      <c r="C1826" t="s">
        <v>30</v>
      </c>
      <c r="D1826">
        <v>7</v>
      </c>
      <c r="E1826" t="s">
        <v>40</v>
      </c>
      <c r="F1826" t="s">
        <v>10</v>
      </c>
    </row>
    <row r="1827" spans="1:6" hidden="1" x14ac:dyDescent="0.35">
      <c r="A1827" t="s">
        <v>11</v>
      </c>
      <c r="B1827" t="s">
        <v>35</v>
      </c>
      <c r="C1827" t="s">
        <v>30</v>
      </c>
      <c r="D1827">
        <v>5</v>
      </c>
      <c r="E1827" t="s">
        <v>40</v>
      </c>
      <c r="F1827" t="s">
        <v>10</v>
      </c>
    </row>
    <row r="1828" spans="1:6" hidden="1" x14ac:dyDescent="0.35">
      <c r="A1828" t="s">
        <v>12</v>
      </c>
      <c r="B1828" t="s">
        <v>35</v>
      </c>
      <c r="C1828" t="s">
        <v>30</v>
      </c>
      <c r="D1828">
        <v>8</v>
      </c>
      <c r="E1828" t="s">
        <v>40</v>
      </c>
      <c r="F1828" t="s">
        <v>10</v>
      </c>
    </row>
    <row r="1829" spans="1:6" hidden="1" x14ac:dyDescent="0.35">
      <c r="A1829" t="s">
        <v>13</v>
      </c>
      <c r="B1829" t="s">
        <v>35</v>
      </c>
      <c r="C1829" t="s">
        <v>30</v>
      </c>
      <c r="D1829">
        <v>7</v>
      </c>
      <c r="E1829" t="s">
        <v>40</v>
      </c>
      <c r="F1829" t="s">
        <v>10</v>
      </c>
    </row>
    <row r="1830" spans="1:6" hidden="1" x14ac:dyDescent="0.35">
      <c r="A1830" t="s">
        <v>14</v>
      </c>
      <c r="B1830" t="s">
        <v>35</v>
      </c>
      <c r="C1830" t="s">
        <v>30</v>
      </c>
      <c r="D1830">
        <v>3</v>
      </c>
      <c r="E1830" t="s">
        <v>40</v>
      </c>
      <c r="F1830" t="s">
        <v>10</v>
      </c>
    </row>
    <row r="1831" spans="1:6" hidden="1" x14ac:dyDescent="0.35">
      <c r="A1831" t="s">
        <v>15</v>
      </c>
      <c r="B1831" t="s">
        <v>35</v>
      </c>
      <c r="C1831" t="s">
        <v>30</v>
      </c>
      <c r="D1831">
        <v>4</v>
      </c>
      <c r="E1831" t="s">
        <v>40</v>
      </c>
      <c r="F1831" t="s">
        <v>10</v>
      </c>
    </row>
    <row r="1832" spans="1:6" hidden="1" x14ac:dyDescent="0.35">
      <c r="A1832" t="s">
        <v>16</v>
      </c>
      <c r="B1832" t="s">
        <v>35</v>
      </c>
      <c r="C1832" t="s">
        <v>30</v>
      </c>
      <c r="D1832">
        <v>2</v>
      </c>
      <c r="E1832" t="s">
        <v>40</v>
      </c>
      <c r="F1832" t="s">
        <v>10</v>
      </c>
    </row>
    <row r="1833" spans="1:6" hidden="1" x14ac:dyDescent="0.35">
      <c r="A1833" t="s">
        <v>17</v>
      </c>
      <c r="B1833" t="s">
        <v>35</v>
      </c>
      <c r="C1833" t="s">
        <v>30</v>
      </c>
      <c r="D1833">
        <v>9</v>
      </c>
      <c r="E1833" t="s">
        <v>40</v>
      </c>
      <c r="F1833" t="s">
        <v>10</v>
      </c>
    </row>
    <row r="1834" spans="1:6" hidden="1" x14ac:dyDescent="0.35">
      <c r="A1834" t="s">
        <v>18</v>
      </c>
      <c r="B1834" t="s">
        <v>35</v>
      </c>
      <c r="C1834" t="s">
        <v>30</v>
      </c>
      <c r="D1834">
        <v>6</v>
      </c>
      <c r="E1834" t="s">
        <v>40</v>
      </c>
      <c r="F1834" t="s">
        <v>10</v>
      </c>
    </row>
    <row r="1835" spans="1:6" hidden="1" x14ac:dyDescent="0.35">
      <c r="A1835" t="s">
        <v>19</v>
      </c>
      <c r="B1835" t="s">
        <v>35</v>
      </c>
      <c r="C1835" t="s">
        <v>30</v>
      </c>
      <c r="D1835">
        <v>15</v>
      </c>
      <c r="E1835" t="s">
        <v>40</v>
      </c>
      <c r="F1835" t="s">
        <v>10</v>
      </c>
    </row>
    <row r="1836" spans="1:6" hidden="1" x14ac:dyDescent="0.35">
      <c r="A1836" t="s">
        <v>20</v>
      </c>
      <c r="B1836" t="s">
        <v>35</v>
      </c>
      <c r="C1836" t="s">
        <v>30</v>
      </c>
      <c r="D1836">
        <v>9</v>
      </c>
      <c r="E1836" t="s">
        <v>40</v>
      </c>
      <c r="F1836" t="s">
        <v>10</v>
      </c>
    </row>
    <row r="1837" spans="1:6" hidden="1" x14ac:dyDescent="0.35">
      <c r="A1837" t="s">
        <v>21</v>
      </c>
      <c r="B1837" t="s">
        <v>35</v>
      </c>
      <c r="C1837" t="s">
        <v>30</v>
      </c>
      <c r="D1837">
        <v>6</v>
      </c>
      <c r="E1837" t="s">
        <v>40</v>
      </c>
      <c r="F1837" t="s">
        <v>10</v>
      </c>
    </row>
    <row r="1838" spans="1:6" hidden="1" x14ac:dyDescent="0.35">
      <c r="A1838" t="s">
        <v>6</v>
      </c>
      <c r="B1838" t="s">
        <v>35</v>
      </c>
      <c r="C1838" t="s">
        <v>31</v>
      </c>
      <c r="D1838">
        <v>11</v>
      </c>
      <c r="E1838" t="s">
        <v>40</v>
      </c>
      <c r="F1838" t="s">
        <v>10</v>
      </c>
    </row>
    <row r="1839" spans="1:6" hidden="1" x14ac:dyDescent="0.35">
      <c r="A1839" t="s">
        <v>11</v>
      </c>
      <c r="B1839" t="s">
        <v>35</v>
      </c>
      <c r="C1839" t="s">
        <v>31</v>
      </c>
      <c r="D1839">
        <v>10</v>
      </c>
      <c r="E1839" t="s">
        <v>40</v>
      </c>
      <c r="F1839" t="s">
        <v>10</v>
      </c>
    </row>
    <row r="1840" spans="1:6" hidden="1" x14ac:dyDescent="0.35">
      <c r="A1840" t="s">
        <v>12</v>
      </c>
      <c r="B1840" t="s">
        <v>35</v>
      </c>
      <c r="C1840" t="s">
        <v>31</v>
      </c>
      <c r="D1840">
        <v>13</v>
      </c>
      <c r="E1840" t="s">
        <v>40</v>
      </c>
      <c r="F1840" t="s">
        <v>10</v>
      </c>
    </row>
    <row r="1841" spans="1:6" hidden="1" x14ac:dyDescent="0.35">
      <c r="A1841" t="s">
        <v>13</v>
      </c>
      <c r="B1841" t="s">
        <v>35</v>
      </c>
      <c r="C1841" t="s">
        <v>31</v>
      </c>
      <c r="D1841">
        <v>13</v>
      </c>
      <c r="E1841" t="s">
        <v>40</v>
      </c>
      <c r="F1841" t="s">
        <v>10</v>
      </c>
    </row>
    <row r="1842" spans="1:6" hidden="1" x14ac:dyDescent="0.35">
      <c r="A1842" t="s">
        <v>14</v>
      </c>
      <c r="B1842" t="s">
        <v>35</v>
      </c>
      <c r="C1842" t="s">
        <v>31</v>
      </c>
      <c r="D1842">
        <v>11</v>
      </c>
      <c r="E1842" t="s">
        <v>40</v>
      </c>
      <c r="F1842" t="s">
        <v>10</v>
      </c>
    </row>
    <row r="1843" spans="1:6" hidden="1" x14ac:dyDescent="0.35">
      <c r="A1843" t="s">
        <v>15</v>
      </c>
      <c r="B1843" t="s">
        <v>35</v>
      </c>
      <c r="C1843" t="s">
        <v>31</v>
      </c>
      <c r="D1843">
        <v>8</v>
      </c>
      <c r="E1843" t="s">
        <v>40</v>
      </c>
      <c r="F1843" t="s">
        <v>10</v>
      </c>
    </row>
    <row r="1844" spans="1:6" hidden="1" x14ac:dyDescent="0.35">
      <c r="A1844" t="s">
        <v>16</v>
      </c>
      <c r="B1844" t="s">
        <v>35</v>
      </c>
      <c r="C1844" t="s">
        <v>31</v>
      </c>
      <c r="D1844">
        <v>10</v>
      </c>
      <c r="E1844" t="s">
        <v>40</v>
      </c>
      <c r="F1844" t="s">
        <v>10</v>
      </c>
    </row>
    <row r="1845" spans="1:6" hidden="1" x14ac:dyDescent="0.35">
      <c r="A1845" t="s">
        <v>17</v>
      </c>
      <c r="B1845" t="s">
        <v>35</v>
      </c>
      <c r="C1845" t="s">
        <v>31</v>
      </c>
      <c r="D1845">
        <v>8</v>
      </c>
      <c r="E1845" t="s">
        <v>40</v>
      </c>
      <c r="F1845" t="s">
        <v>10</v>
      </c>
    </row>
    <row r="1846" spans="1:6" hidden="1" x14ac:dyDescent="0.35">
      <c r="A1846" t="s">
        <v>18</v>
      </c>
      <c r="B1846" t="s">
        <v>35</v>
      </c>
      <c r="C1846" t="s">
        <v>31</v>
      </c>
      <c r="D1846">
        <v>12</v>
      </c>
      <c r="E1846" t="s">
        <v>40</v>
      </c>
      <c r="F1846" t="s">
        <v>10</v>
      </c>
    </row>
    <row r="1847" spans="1:6" hidden="1" x14ac:dyDescent="0.35">
      <c r="A1847" t="s">
        <v>19</v>
      </c>
      <c r="B1847" t="s">
        <v>35</v>
      </c>
      <c r="C1847" t="s">
        <v>31</v>
      </c>
      <c r="D1847">
        <v>7</v>
      </c>
      <c r="E1847" t="s">
        <v>40</v>
      </c>
      <c r="F1847" t="s">
        <v>10</v>
      </c>
    </row>
    <row r="1848" spans="1:6" hidden="1" x14ac:dyDescent="0.35">
      <c r="A1848" t="s">
        <v>20</v>
      </c>
      <c r="B1848" t="s">
        <v>35</v>
      </c>
      <c r="C1848" t="s">
        <v>31</v>
      </c>
      <c r="D1848">
        <v>10</v>
      </c>
      <c r="E1848" t="s">
        <v>40</v>
      </c>
      <c r="F1848" t="s">
        <v>10</v>
      </c>
    </row>
    <row r="1849" spans="1:6" hidden="1" x14ac:dyDescent="0.35">
      <c r="A1849" t="s">
        <v>21</v>
      </c>
      <c r="B1849" t="s">
        <v>35</v>
      </c>
      <c r="C1849" t="s">
        <v>31</v>
      </c>
      <c r="D1849">
        <v>7</v>
      </c>
      <c r="E1849" t="s">
        <v>40</v>
      </c>
      <c r="F1849" t="s">
        <v>10</v>
      </c>
    </row>
    <row r="1850" spans="1:6" hidden="1" x14ac:dyDescent="0.35">
      <c r="A1850" t="s">
        <v>6</v>
      </c>
      <c r="B1850" t="s">
        <v>36</v>
      </c>
      <c r="C1850" t="s">
        <v>8</v>
      </c>
      <c r="D1850">
        <v>967478</v>
      </c>
      <c r="E1850" t="s">
        <v>40</v>
      </c>
      <c r="F1850" t="s">
        <v>10</v>
      </c>
    </row>
    <row r="1851" spans="1:6" hidden="1" x14ac:dyDescent="0.35">
      <c r="A1851" t="s">
        <v>11</v>
      </c>
      <c r="B1851" t="s">
        <v>36</v>
      </c>
      <c r="C1851" t="s">
        <v>8</v>
      </c>
      <c r="D1851">
        <v>2857329</v>
      </c>
      <c r="E1851" t="s">
        <v>40</v>
      </c>
      <c r="F1851" t="s">
        <v>10</v>
      </c>
    </row>
    <row r="1852" spans="1:6" hidden="1" x14ac:dyDescent="0.35">
      <c r="A1852" t="s">
        <v>12</v>
      </c>
      <c r="B1852" t="s">
        <v>36</v>
      </c>
      <c r="C1852" t="s">
        <v>8</v>
      </c>
      <c r="D1852">
        <v>1498601</v>
      </c>
      <c r="E1852" t="s">
        <v>40</v>
      </c>
      <c r="F1852" t="s">
        <v>10</v>
      </c>
    </row>
    <row r="1853" spans="1:6" hidden="1" x14ac:dyDescent="0.35">
      <c r="A1853" t="s">
        <v>13</v>
      </c>
      <c r="B1853" t="s">
        <v>36</v>
      </c>
      <c r="C1853" t="s">
        <v>8</v>
      </c>
      <c r="D1853">
        <v>3673591</v>
      </c>
      <c r="E1853" t="s">
        <v>40</v>
      </c>
      <c r="F1853" t="s">
        <v>10</v>
      </c>
    </row>
    <row r="1854" spans="1:6" hidden="1" x14ac:dyDescent="0.35">
      <c r="A1854" t="s">
        <v>14</v>
      </c>
      <c r="B1854" t="s">
        <v>36</v>
      </c>
      <c r="C1854" t="s">
        <v>8</v>
      </c>
      <c r="D1854">
        <v>2660980</v>
      </c>
      <c r="E1854" t="s">
        <v>40</v>
      </c>
      <c r="F1854" t="s">
        <v>10</v>
      </c>
    </row>
    <row r="1855" spans="1:6" hidden="1" x14ac:dyDescent="0.35">
      <c r="A1855" t="s">
        <v>15</v>
      </c>
      <c r="B1855" t="s">
        <v>36</v>
      </c>
      <c r="C1855" t="s">
        <v>8</v>
      </c>
      <c r="D1855">
        <v>1951066</v>
      </c>
      <c r="E1855" t="s">
        <v>40</v>
      </c>
      <c r="F1855" t="s">
        <v>10</v>
      </c>
    </row>
    <row r="1856" spans="1:6" hidden="1" x14ac:dyDescent="0.35">
      <c r="A1856" t="s">
        <v>16</v>
      </c>
      <c r="B1856" t="s">
        <v>36</v>
      </c>
      <c r="C1856" t="s">
        <v>8</v>
      </c>
      <c r="D1856">
        <v>4997722</v>
      </c>
      <c r="E1856" t="s">
        <v>40</v>
      </c>
      <c r="F1856" t="s">
        <v>10</v>
      </c>
    </row>
    <row r="1857" spans="1:6" hidden="1" x14ac:dyDescent="0.35">
      <c r="A1857" t="s">
        <v>17</v>
      </c>
      <c r="B1857" t="s">
        <v>36</v>
      </c>
      <c r="C1857" t="s">
        <v>8</v>
      </c>
      <c r="D1857">
        <v>2569558</v>
      </c>
      <c r="E1857" t="s">
        <v>40</v>
      </c>
      <c r="F1857" t="s">
        <v>10</v>
      </c>
    </row>
    <row r="1858" spans="1:6" hidden="1" x14ac:dyDescent="0.35">
      <c r="A1858" t="s">
        <v>18</v>
      </c>
      <c r="B1858" t="s">
        <v>36</v>
      </c>
      <c r="C1858" t="s">
        <v>8</v>
      </c>
      <c r="D1858">
        <v>3051516</v>
      </c>
      <c r="E1858" t="s">
        <v>40</v>
      </c>
      <c r="F1858" t="s">
        <v>10</v>
      </c>
    </row>
    <row r="1859" spans="1:6" hidden="1" x14ac:dyDescent="0.35">
      <c r="A1859" t="s">
        <v>19</v>
      </c>
      <c r="B1859" t="s">
        <v>36</v>
      </c>
      <c r="C1859" t="s">
        <v>8</v>
      </c>
      <c r="D1859">
        <v>4140630</v>
      </c>
      <c r="E1859" t="s">
        <v>40</v>
      </c>
      <c r="F1859" t="s">
        <v>10</v>
      </c>
    </row>
    <row r="1860" spans="1:6" hidden="1" x14ac:dyDescent="0.35">
      <c r="A1860" t="s">
        <v>20</v>
      </c>
      <c r="B1860" t="s">
        <v>36</v>
      </c>
      <c r="C1860" t="s">
        <v>8</v>
      </c>
      <c r="D1860">
        <v>5049762</v>
      </c>
      <c r="E1860" t="s">
        <v>40</v>
      </c>
      <c r="F1860" t="s">
        <v>10</v>
      </c>
    </row>
    <row r="1861" spans="1:6" hidden="1" x14ac:dyDescent="0.35">
      <c r="A1861" t="s">
        <v>21</v>
      </c>
      <c r="B1861" t="s">
        <v>36</v>
      </c>
      <c r="C1861" t="s">
        <v>8</v>
      </c>
      <c r="D1861">
        <v>3610321</v>
      </c>
      <c r="E1861" t="s">
        <v>40</v>
      </c>
      <c r="F1861" t="s">
        <v>10</v>
      </c>
    </row>
    <row r="1862" spans="1:6" hidden="1" x14ac:dyDescent="0.35">
      <c r="A1862" t="s">
        <v>6</v>
      </c>
      <c r="B1862" t="s">
        <v>36</v>
      </c>
      <c r="C1862" t="s">
        <v>22</v>
      </c>
      <c r="D1862">
        <v>0</v>
      </c>
      <c r="E1862" t="s">
        <v>40</v>
      </c>
      <c r="F1862" t="s">
        <v>10</v>
      </c>
    </row>
    <row r="1863" spans="1:6" hidden="1" x14ac:dyDescent="0.35">
      <c r="A1863" t="s">
        <v>11</v>
      </c>
      <c r="B1863" t="s">
        <v>36</v>
      </c>
      <c r="C1863" t="s">
        <v>22</v>
      </c>
      <c r="D1863">
        <v>0</v>
      </c>
      <c r="E1863" t="s">
        <v>40</v>
      </c>
      <c r="F1863" t="s">
        <v>10</v>
      </c>
    </row>
    <row r="1864" spans="1:6" hidden="1" x14ac:dyDescent="0.35">
      <c r="A1864" t="s">
        <v>12</v>
      </c>
      <c r="B1864" t="s">
        <v>36</v>
      </c>
      <c r="C1864" t="s">
        <v>22</v>
      </c>
      <c r="D1864">
        <v>0</v>
      </c>
      <c r="E1864" t="s">
        <v>40</v>
      </c>
      <c r="F1864" t="s">
        <v>10</v>
      </c>
    </row>
    <row r="1865" spans="1:6" hidden="1" x14ac:dyDescent="0.35">
      <c r="A1865" t="s">
        <v>13</v>
      </c>
      <c r="B1865" t="s">
        <v>36</v>
      </c>
      <c r="C1865" t="s">
        <v>22</v>
      </c>
      <c r="D1865">
        <v>0</v>
      </c>
      <c r="E1865" t="s">
        <v>40</v>
      </c>
      <c r="F1865" t="s">
        <v>10</v>
      </c>
    </row>
    <row r="1866" spans="1:6" hidden="1" x14ac:dyDescent="0.35">
      <c r="A1866" t="s">
        <v>14</v>
      </c>
      <c r="B1866" t="s">
        <v>36</v>
      </c>
      <c r="C1866" t="s">
        <v>22</v>
      </c>
      <c r="D1866">
        <v>0</v>
      </c>
      <c r="E1866" t="s">
        <v>40</v>
      </c>
      <c r="F1866" t="s">
        <v>10</v>
      </c>
    </row>
    <row r="1867" spans="1:6" hidden="1" x14ac:dyDescent="0.35">
      <c r="A1867" t="s">
        <v>15</v>
      </c>
      <c r="B1867" t="s">
        <v>36</v>
      </c>
      <c r="C1867" t="s">
        <v>22</v>
      </c>
      <c r="D1867">
        <v>0</v>
      </c>
      <c r="E1867" t="s">
        <v>40</v>
      </c>
      <c r="F1867" t="s">
        <v>10</v>
      </c>
    </row>
    <row r="1868" spans="1:6" hidden="1" x14ac:dyDescent="0.35">
      <c r="A1868" t="s">
        <v>16</v>
      </c>
      <c r="B1868" t="s">
        <v>36</v>
      </c>
      <c r="C1868" t="s">
        <v>22</v>
      </c>
      <c r="D1868">
        <v>0</v>
      </c>
      <c r="E1868" t="s">
        <v>40</v>
      </c>
      <c r="F1868" t="s">
        <v>10</v>
      </c>
    </row>
    <row r="1869" spans="1:6" hidden="1" x14ac:dyDescent="0.35">
      <c r="A1869" t="s">
        <v>17</v>
      </c>
      <c r="B1869" t="s">
        <v>36</v>
      </c>
      <c r="C1869" t="s">
        <v>22</v>
      </c>
      <c r="D1869">
        <v>0</v>
      </c>
      <c r="E1869" t="s">
        <v>40</v>
      </c>
      <c r="F1869" t="s">
        <v>10</v>
      </c>
    </row>
    <row r="1870" spans="1:6" hidden="1" x14ac:dyDescent="0.35">
      <c r="A1870" t="s">
        <v>18</v>
      </c>
      <c r="B1870" t="s">
        <v>36</v>
      </c>
      <c r="C1870" t="s">
        <v>22</v>
      </c>
      <c r="D1870">
        <v>0</v>
      </c>
      <c r="E1870" t="s">
        <v>40</v>
      </c>
      <c r="F1870" t="s">
        <v>10</v>
      </c>
    </row>
    <row r="1871" spans="1:6" hidden="1" x14ac:dyDescent="0.35">
      <c r="A1871" t="s">
        <v>19</v>
      </c>
      <c r="B1871" t="s">
        <v>36</v>
      </c>
      <c r="C1871" t="s">
        <v>22</v>
      </c>
      <c r="D1871">
        <v>0</v>
      </c>
      <c r="E1871" t="s">
        <v>40</v>
      </c>
      <c r="F1871" t="s">
        <v>10</v>
      </c>
    </row>
    <row r="1872" spans="1:6" hidden="1" x14ac:dyDescent="0.35">
      <c r="A1872" t="s">
        <v>20</v>
      </c>
      <c r="B1872" t="s">
        <v>36</v>
      </c>
      <c r="C1872" t="s">
        <v>22</v>
      </c>
      <c r="D1872">
        <v>0</v>
      </c>
      <c r="E1872" t="s">
        <v>40</v>
      </c>
      <c r="F1872" t="s">
        <v>10</v>
      </c>
    </row>
    <row r="1873" spans="1:6" hidden="1" x14ac:dyDescent="0.35">
      <c r="A1873" t="s">
        <v>21</v>
      </c>
      <c r="B1873" t="s">
        <v>36</v>
      </c>
      <c r="C1873" t="s">
        <v>22</v>
      </c>
      <c r="D1873">
        <v>0</v>
      </c>
      <c r="E1873" t="s">
        <v>40</v>
      </c>
      <c r="F1873" t="s">
        <v>10</v>
      </c>
    </row>
    <row r="1874" spans="1:6" hidden="1" x14ac:dyDescent="0.35">
      <c r="A1874" t="s">
        <v>6</v>
      </c>
      <c r="B1874" t="s">
        <v>36</v>
      </c>
      <c r="C1874" t="s">
        <v>23</v>
      </c>
      <c r="D1874">
        <v>2835081</v>
      </c>
      <c r="E1874" t="s">
        <v>40</v>
      </c>
      <c r="F1874" t="s">
        <v>10</v>
      </c>
    </row>
    <row r="1875" spans="1:6" hidden="1" x14ac:dyDescent="0.35">
      <c r="A1875" t="s">
        <v>11</v>
      </c>
      <c r="B1875" t="s">
        <v>36</v>
      </c>
      <c r="C1875" t="s">
        <v>23</v>
      </c>
      <c r="D1875">
        <v>3014333</v>
      </c>
      <c r="E1875" t="s">
        <v>40</v>
      </c>
      <c r="F1875" t="s">
        <v>10</v>
      </c>
    </row>
    <row r="1876" spans="1:6" hidden="1" x14ac:dyDescent="0.35">
      <c r="A1876" t="s">
        <v>12</v>
      </c>
      <c r="B1876" t="s">
        <v>36</v>
      </c>
      <c r="C1876" t="s">
        <v>23</v>
      </c>
      <c r="D1876">
        <v>940587</v>
      </c>
      <c r="E1876" t="s">
        <v>40</v>
      </c>
      <c r="F1876" t="s">
        <v>10</v>
      </c>
    </row>
    <row r="1877" spans="1:6" hidden="1" x14ac:dyDescent="0.35">
      <c r="A1877" t="s">
        <v>13</v>
      </c>
      <c r="B1877" t="s">
        <v>36</v>
      </c>
      <c r="C1877" t="s">
        <v>23</v>
      </c>
      <c r="D1877">
        <v>4075013</v>
      </c>
      <c r="E1877" t="s">
        <v>40</v>
      </c>
      <c r="F1877" t="s">
        <v>10</v>
      </c>
    </row>
    <row r="1878" spans="1:6" hidden="1" x14ac:dyDescent="0.35">
      <c r="A1878" t="s">
        <v>14</v>
      </c>
      <c r="B1878" t="s">
        <v>36</v>
      </c>
      <c r="C1878" t="s">
        <v>23</v>
      </c>
      <c r="D1878">
        <v>3426002</v>
      </c>
      <c r="E1878" t="s">
        <v>40</v>
      </c>
      <c r="F1878" t="s">
        <v>10</v>
      </c>
    </row>
    <row r="1879" spans="1:6" hidden="1" x14ac:dyDescent="0.35">
      <c r="A1879" t="s">
        <v>15</v>
      </c>
      <c r="B1879" t="s">
        <v>36</v>
      </c>
      <c r="C1879" t="s">
        <v>23</v>
      </c>
      <c r="D1879">
        <v>2460373</v>
      </c>
      <c r="E1879" t="s">
        <v>40</v>
      </c>
      <c r="F1879" t="s">
        <v>10</v>
      </c>
    </row>
    <row r="1880" spans="1:6" hidden="1" x14ac:dyDescent="0.35">
      <c r="A1880" t="s">
        <v>16</v>
      </c>
      <c r="B1880" t="s">
        <v>36</v>
      </c>
      <c r="C1880" t="s">
        <v>23</v>
      </c>
      <c r="D1880">
        <v>3949746</v>
      </c>
      <c r="E1880" t="s">
        <v>40</v>
      </c>
      <c r="F1880" t="s">
        <v>10</v>
      </c>
    </row>
    <row r="1881" spans="1:6" hidden="1" x14ac:dyDescent="0.35">
      <c r="A1881" t="s">
        <v>17</v>
      </c>
      <c r="B1881" t="s">
        <v>36</v>
      </c>
      <c r="C1881" t="s">
        <v>23</v>
      </c>
      <c r="D1881">
        <v>2427032</v>
      </c>
      <c r="E1881" t="s">
        <v>40</v>
      </c>
      <c r="F1881" t="s">
        <v>10</v>
      </c>
    </row>
    <row r="1882" spans="1:6" hidden="1" x14ac:dyDescent="0.35">
      <c r="A1882" t="s">
        <v>18</v>
      </c>
      <c r="B1882" t="s">
        <v>36</v>
      </c>
      <c r="C1882" t="s">
        <v>23</v>
      </c>
      <c r="D1882">
        <v>3841154</v>
      </c>
      <c r="E1882" t="s">
        <v>40</v>
      </c>
      <c r="F1882" t="s">
        <v>10</v>
      </c>
    </row>
    <row r="1883" spans="1:6" hidden="1" x14ac:dyDescent="0.35">
      <c r="A1883" t="s">
        <v>19</v>
      </c>
      <c r="B1883" t="s">
        <v>36</v>
      </c>
      <c r="C1883" t="s">
        <v>23</v>
      </c>
      <c r="D1883">
        <v>3633306</v>
      </c>
      <c r="E1883" t="s">
        <v>40</v>
      </c>
      <c r="F1883" t="s">
        <v>10</v>
      </c>
    </row>
    <row r="1884" spans="1:6" hidden="1" x14ac:dyDescent="0.35">
      <c r="A1884" t="s">
        <v>20</v>
      </c>
      <c r="B1884" t="s">
        <v>36</v>
      </c>
      <c r="C1884" t="s">
        <v>23</v>
      </c>
      <c r="D1884">
        <v>3255381</v>
      </c>
      <c r="E1884" t="s">
        <v>40</v>
      </c>
      <c r="F1884" t="s">
        <v>10</v>
      </c>
    </row>
    <row r="1885" spans="1:6" hidden="1" x14ac:dyDescent="0.35">
      <c r="A1885" t="s">
        <v>21</v>
      </c>
      <c r="B1885" t="s">
        <v>36</v>
      </c>
      <c r="C1885" t="s">
        <v>23</v>
      </c>
      <c r="D1885">
        <v>3250209</v>
      </c>
      <c r="E1885" t="s">
        <v>40</v>
      </c>
      <c r="F1885" t="s">
        <v>10</v>
      </c>
    </row>
    <row r="1886" spans="1:6" hidden="1" x14ac:dyDescent="0.35">
      <c r="A1886" t="s">
        <v>6</v>
      </c>
      <c r="B1886" t="s">
        <v>36</v>
      </c>
      <c r="C1886" t="s">
        <v>24</v>
      </c>
      <c r="D1886">
        <v>0</v>
      </c>
      <c r="E1886" t="s">
        <v>40</v>
      </c>
      <c r="F1886" t="s">
        <v>10</v>
      </c>
    </row>
    <row r="1887" spans="1:6" hidden="1" x14ac:dyDescent="0.35">
      <c r="A1887" t="s">
        <v>11</v>
      </c>
      <c r="B1887" t="s">
        <v>36</v>
      </c>
      <c r="C1887" t="s">
        <v>24</v>
      </c>
      <c r="D1887">
        <v>0</v>
      </c>
      <c r="E1887" t="s">
        <v>40</v>
      </c>
      <c r="F1887" t="s">
        <v>10</v>
      </c>
    </row>
    <row r="1888" spans="1:6" hidden="1" x14ac:dyDescent="0.35">
      <c r="A1888" t="s">
        <v>12</v>
      </c>
      <c r="B1888" t="s">
        <v>36</v>
      </c>
      <c r="C1888" t="s">
        <v>24</v>
      </c>
      <c r="D1888">
        <v>0</v>
      </c>
      <c r="E1888" t="s">
        <v>40</v>
      </c>
      <c r="F1888" t="s">
        <v>10</v>
      </c>
    </row>
    <row r="1889" spans="1:6" hidden="1" x14ac:dyDescent="0.35">
      <c r="A1889" t="s">
        <v>13</v>
      </c>
      <c r="B1889" t="s">
        <v>36</v>
      </c>
      <c r="C1889" t="s">
        <v>24</v>
      </c>
      <c r="D1889">
        <v>0</v>
      </c>
      <c r="E1889" t="s">
        <v>40</v>
      </c>
      <c r="F1889" t="s">
        <v>10</v>
      </c>
    </row>
    <row r="1890" spans="1:6" hidden="1" x14ac:dyDescent="0.35">
      <c r="A1890" t="s">
        <v>14</v>
      </c>
      <c r="B1890" t="s">
        <v>36</v>
      </c>
      <c r="C1890" t="s">
        <v>24</v>
      </c>
      <c r="D1890">
        <v>0</v>
      </c>
      <c r="E1890" t="s">
        <v>40</v>
      </c>
      <c r="F1890" t="s">
        <v>10</v>
      </c>
    </row>
    <row r="1891" spans="1:6" hidden="1" x14ac:dyDescent="0.35">
      <c r="A1891" t="s">
        <v>15</v>
      </c>
      <c r="B1891" t="s">
        <v>36</v>
      </c>
      <c r="C1891" t="s">
        <v>24</v>
      </c>
      <c r="D1891">
        <v>0</v>
      </c>
      <c r="E1891" t="s">
        <v>40</v>
      </c>
      <c r="F1891" t="s">
        <v>10</v>
      </c>
    </row>
    <row r="1892" spans="1:6" hidden="1" x14ac:dyDescent="0.35">
      <c r="A1892" t="s">
        <v>16</v>
      </c>
      <c r="B1892" t="s">
        <v>36</v>
      </c>
      <c r="C1892" t="s">
        <v>24</v>
      </c>
      <c r="D1892">
        <v>0</v>
      </c>
      <c r="E1892" t="s">
        <v>40</v>
      </c>
      <c r="F1892" t="s">
        <v>10</v>
      </c>
    </row>
    <row r="1893" spans="1:6" hidden="1" x14ac:dyDescent="0.35">
      <c r="A1893" t="s">
        <v>17</v>
      </c>
      <c r="B1893" t="s">
        <v>36</v>
      </c>
      <c r="C1893" t="s">
        <v>24</v>
      </c>
      <c r="D1893">
        <v>0</v>
      </c>
      <c r="E1893" t="s">
        <v>40</v>
      </c>
      <c r="F1893" t="s">
        <v>10</v>
      </c>
    </row>
    <row r="1894" spans="1:6" hidden="1" x14ac:dyDescent="0.35">
      <c r="A1894" t="s">
        <v>18</v>
      </c>
      <c r="B1894" t="s">
        <v>36</v>
      </c>
      <c r="C1894" t="s">
        <v>24</v>
      </c>
      <c r="D1894">
        <v>0</v>
      </c>
      <c r="E1894" t="s">
        <v>40</v>
      </c>
      <c r="F1894" t="s">
        <v>10</v>
      </c>
    </row>
    <row r="1895" spans="1:6" hidden="1" x14ac:dyDescent="0.35">
      <c r="A1895" t="s">
        <v>19</v>
      </c>
      <c r="B1895" t="s">
        <v>36</v>
      </c>
      <c r="C1895" t="s">
        <v>24</v>
      </c>
      <c r="D1895">
        <v>0</v>
      </c>
      <c r="E1895" t="s">
        <v>40</v>
      </c>
      <c r="F1895" t="s">
        <v>10</v>
      </c>
    </row>
    <row r="1896" spans="1:6" hidden="1" x14ac:dyDescent="0.35">
      <c r="A1896" t="s">
        <v>20</v>
      </c>
      <c r="B1896" t="s">
        <v>36</v>
      </c>
      <c r="C1896" t="s">
        <v>24</v>
      </c>
      <c r="D1896">
        <v>0</v>
      </c>
      <c r="E1896" t="s">
        <v>40</v>
      </c>
      <c r="F1896" t="s">
        <v>10</v>
      </c>
    </row>
    <row r="1897" spans="1:6" hidden="1" x14ac:dyDescent="0.35">
      <c r="A1897" t="s">
        <v>21</v>
      </c>
      <c r="B1897" t="s">
        <v>36</v>
      </c>
      <c r="C1897" t="s">
        <v>24</v>
      </c>
      <c r="D1897">
        <v>0</v>
      </c>
      <c r="E1897" t="s">
        <v>40</v>
      </c>
      <c r="F1897" t="s">
        <v>10</v>
      </c>
    </row>
    <row r="1898" spans="1:6" hidden="1" x14ac:dyDescent="0.35">
      <c r="A1898" t="s">
        <v>6</v>
      </c>
      <c r="B1898" t="s">
        <v>36</v>
      </c>
      <c r="C1898" t="s">
        <v>25</v>
      </c>
      <c r="D1898">
        <v>0</v>
      </c>
      <c r="E1898" t="s">
        <v>40</v>
      </c>
      <c r="F1898" t="s">
        <v>10</v>
      </c>
    </row>
    <row r="1899" spans="1:6" hidden="1" x14ac:dyDescent="0.35">
      <c r="A1899" t="s">
        <v>11</v>
      </c>
      <c r="B1899" t="s">
        <v>36</v>
      </c>
      <c r="C1899" t="s">
        <v>25</v>
      </c>
      <c r="D1899">
        <v>6064</v>
      </c>
      <c r="E1899" t="s">
        <v>40</v>
      </c>
      <c r="F1899" t="s">
        <v>10</v>
      </c>
    </row>
    <row r="1900" spans="1:6" hidden="1" x14ac:dyDescent="0.35">
      <c r="A1900" t="s">
        <v>12</v>
      </c>
      <c r="B1900" t="s">
        <v>36</v>
      </c>
      <c r="C1900" t="s">
        <v>25</v>
      </c>
      <c r="D1900">
        <v>9860</v>
      </c>
      <c r="E1900" t="s">
        <v>40</v>
      </c>
      <c r="F1900" t="s">
        <v>10</v>
      </c>
    </row>
    <row r="1901" spans="1:6" hidden="1" x14ac:dyDescent="0.35">
      <c r="A1901" t="s">
        <v>13</v>
      </c>
      <c r="B1901" t="s">
        <v>36</v>
      </c>
      <c r="C1901" t="s">
        <v>25</v>
      </c>
      <c r="D1901">
        <v>0</v>
      </c>
      <c r="E1901" t="s">
        <v>40</v>
      </c>
      <c r="F1901" t="s">
        <v>10</v>
      </c>
    </row>
    <row r="1902" spans="1:6" hidden="1" x14ac:dyDescent="0.35">
      <c r="A1902" t="s">
        <v>14</v>
      </c>
      <c r="B1902" t="s">
        <v>36</v>
      </c>
      <c r="C1902" t="s">
        <v>25</v>
      </c>
      <c r="D1902">
        <v>3825</v>
      </c>
      <c r="E1902" t="s">
        <v>40</v>
      </c>
      <c r="F1902" t="s">
        <v>10</v>
      </c>
    </row>
    <row r="1903" spans="1:6" hidden="1" x14ac:dyDescent="0.35">
      <c r="A1903" t="s">
        <v>15</v>
      </c>
      <c r="B1903" t="s">
        <v>36</v>
      </c>
      <c r="C1903" t="s">
        <v>25</v>
      </c>
      <c r="D1903">
        <v>342230</v>
      </c>
      <c r="E1903" t="s">
        <v>40</v>
      </c>
      <c r="F1903" t="s">
        <v>10</v>
      </c>
    </row>
    <row r="1904" spans="1:6" hidden="1" x14ac:dyDescent="0.35">
      <c r="A1904" t="s">
        <v>16</v>
      </c>
      <c r="B1904" t="s">
        <v>36</v>
      </c>
      <c r="C1904" t="s">
        <v>25</v>
      </c>
      <c r="D1904">
        <v>0</v>
      </c>
      <c r="E1904" t="s">
        <v>40</v>
      </c>
      <c r="F1904" t="s">
        <v>10</v>
      </c>
    </row>
    <row r="1905" spans="1:6" hidden="1" x14ac:dyDescent="0.35">
      <c r="A1905" t="s">
        <v>17</v>
      </c>
      <c r="B1905" t="s">
        <v>36</v>
      </c>
      <c r="C1905" t="s">
        <v>25</v>
      </c>
      <c r="D1905">
        <v>0</v>
      </c>
      <c r="E1905" t="s">
        <v>40</v>
      </c>
      <c r="F1905" t="s">
        <v>10</v>
      </c>
    </row>
    <row r="1906" spans="1:6" hidden="1" x14ac:dyDescent="0.35">
      <c r="A1906" t="s">
        <v>18</v>
      </c>
      <c r="B1906" t="s">
        <v>36</v>
      </c>
      <c r="C1906" t="s">
        <v>25</v>
      </c>
      <c r="D1906">
        <v>129</v>
      </c>
      <c r="E1906" t="s">
        <v>40</v>
      </c>
      <c r="F1906" t="s">
        <v>10</v>
      </c>
    </row>
    <row r="1907" spans="1:6" hidden="1" x14ac:dyDescent="0.35">
      <c r="A1907" t="s">
        <v>19</v>
      </c>
      <c r="B1907" t="s">
        <v>36</v>
      </c>
      <c r="C1907" t="s">
        <v>25</v>
      </c>
      <c r="D1907">
        <v>222602</v>
      </c>
      <c r="E1907" t="s">
        <v>40</v>
      </c>
      <c r="F1907" t="s">
        <v>10</v>
      </c>
    </row>
    <row r="1908" spans="1:6" hidden="1" x14ac:dyDescent="0.35">
      <c r="A1908" t="s">
        <v>20</v>
      </c>
      <c r="B1908" t="s">
        <v>36</v>
      </c>
      <c r="C1908" t="s">
        <v>25</v>
      </c>
      <c r="D1908">
        <v>0</v>
      </c>
      <c r="E1908" t="s">
        <v>40</v>
      </c>
      <c r="F1908" t="s">
        <v>10</v>
      </c>
    </row>
    <row r="1909" spans="1:6" hidden="1" x14ac:dyDescent="0.35">
      <c r="A1909" t="s">
        <v>21</v>
      </c>
      <c r="B1909" t="s">
        <v>36</v>
      </c>
      <c r="C1909" t="s">
        <v>25</v>
      </c>
      <c r="D1909">
        <v>1106853</v>
      </c>
      <c r="E1909" t="s">
        <v>40</v>
      </c>
      <c r="F1909" t="s">
        <v>10</v>
      </c>
    </row>
    <row r="1910" spans="1:6" hidden="1" x14ac:dyDescent="0.35">
      <c r="A1910" t="s">
        <v>6</v>
      </c>
      <c r="B1910" t="s">
        <v>36</v>
      </c>
      <c r="C1910" t="s">
        <v>26</v>
      </c>
      <c r="D1910">
        <v>0</v>
      </c>
      <c r="E1910" t="s">
        <v>40</v>
      </c>
      <c r="F1910" t="s">
        <v>10</v>
      </c>
    </row>
    <row r="1911" spans="1:6" hidden="1" x14ac:dyDescent="0.35">
      <c r="A1911" t="s">
        <v>11</v>
      </c>
      <c r="B1911" t="s">
        <v>36</v>
      </c>
      <c r="C1911" t="s">
        <v>26</v>
      </c>
      <c r="E1911" t="s">
        <v>40</v>
      </c>
      <c r="F1911" t="s">
        <v>10</v>
      </c>
    </row>
    <row r="1912" spans="1:6" hidden="1" x14ac:dyDescent="0.35">
      <c r="A1912" t="s">
        <v>12</v>
      </c>
      <c r="B1912" t="s">
        <v>36</v>
      </c>
      <c r="C1912" t="s">
        <v>26</v>
      </c>
      <c r="E1912" t="s">
        <v>40</v>
      </c>
      <c r="F1912" t="s">
        <v>10</v>
      </c>
    </row>
    <row r="1913" spans="1:6" hidden="1" x14ac:dyDescent="0.35">
      <c r="A1913" t="s">
        <v>13</v>
      </c>
      <c r="B1913" t="s">
        <v>36</v>
      </c>
      <c r="C1913" t="s">
        <v>26</v>
      </c>
      <c r="E1913" t="s">
        <v>40</v>
      </c>
      <c r="F1913" t="s">
        <v>10</v>
      </c>
    </row>
    <row r="1914" spans="1:6" hidden="1" x14ac:dyDescent="0.35">
      <c r="A1914" t="s">
        <v>14</v>
      </c>
      <c r="B1914" t="s">
        <v>36</v>
      </c>
      <c r="C1914" t="s">
        <v>26</v>
      </c>
      <c r="E1914" t="s">
        <v>40</v>
      </c>
      <c r="F1914" t="s">
        <v>10</v>
      </c>
    </row>
    <row r="1915" spans="1:6" hidden="1" x14ac:dyDescent="0.35">
      <c r="A1915" t="s">
        <v>15</v>
      </c>
      <c r="B1915" t="s">
        <v>36</v>
      </c>
      <c r="C1915" t="s">
        <v>26</v>
      </c>
      <c r="E1915" t="s">
        <v>40</v>
      </c>
      <c r="F1915" t="s">
        <v>10</v>
      </c>
    </row>
    <row r="1916" spans="1:6" hidden="1" x14ac:dyDescent="0.35">
      <c r="A1916" t="s">
        <v>16</v>
      </c>
      <c r="B1916" t="s">
        <v>36</v>
      </c>
      <c r="C1916" t="s">
        <v>26</v>
      </c>
      <c r="E1916" t="s">
        <v>40</v>
      </c>
      <c r="F1916" t="s">
        <v>10</v>
      </c>
    </row>
    <row r="1917" spans="1:6" hidden="1" x14ac:dyDescent="0.35">
      <c r="A1917" t="s">
        <v>17</v>
      </c>
      <c r="B1917" t="s">
        <v>36</v>
      </c>
      <c r="C1917" t="s">
        <v>26</v>
      </c>
      <c r="E1917" t="s">
        <v>40</v>
      </c>
      <c r="F1917" t="s">
        <v>10</v>
      </c>
    </row>
    <row r="1918" spans="1:6" hidden="1" x14ac:dyDescent="0.35">
      <c r="A1918" t="s">
        <v>18</v>
      </c>
      <c r="B1918" t="s">
        <v>36</v>
      </c>
      <c r="C1918" t="s">
        <v>26</v>
      </c>
      <c r="E1918" t="s">
        <v>40</v>
      </c>
      <c r="F1918" t="s">
        <v>10</v>
      </c>
    </row>
    <row r="1919" spans="1:6" hidden="1" x14ac:dyDescent="0.35">
      <c r="A1919" t="s">
        <v>19</v>
      </c>
      <c r="B1919" t="s">
        <v>36</v>
      </c>
      <c r="C1919" t="s">
        <v>26</v>
      </c>
      <c r="E1919" t="s">
        <v>40</v>
      </c>
      <c r="F1919" t="s">
        <v>10</v>
      </c>
    </row>
    <row r="1920" spans="1:6" hidden="1" x14ac:dyDescent="0.35">
      <c r="A1920" t="s">
        <v>20</v>
      </c>
      <c r="B1920" t="s">
        <v>36</v>
      </c>
      <c r="C1920" t="s">
        <v>26</v>
      </c>
      <c r="E1920" t="s">
        <v>40</v>
      </c>
      <c r="F1920" t="s">
        <v>10</v>
      </c>
    </row>
    <row r="1921" spans="1:6" hidden="1" x14ac:dyDescent="0.35">
      <c r="A1921" t="s">
        <v>21</v>
      </c>
      <c r="B1921" t="s">
        <v>36</v>
      </c>
      <c r="C1921" t="s">
        <v>26</v>
      </c>
      <c r="E1921" t="s">
        <v>40</v>
      </c>
      <c r="F1921" t="s">
        <v>10</v>
      </c>
    </row>
    <row r="1922" spans="1:6" hidden="1" x14ac:dyDescent="0.35">
      <c r="A1922" t="s">
        <v>6</v>
      </c>
      <c r="B1922" t="s">
        <v>36</v>
      </c>
      <c r="C1922" t="s">
        <v>27</v>
      </c>
      <c r="D1922">
        <v>2268398</v>
      </c>
      <c r="E1922" t="s">
        <v>40</v>
      </c>
      <c r="F1922" t="s">
        <v>10</v>
      </c>
    </row>
    <row r="1923" spans="1:6" hidden="1" x14ac:dyDescent="0.35">
      <c r="A1923" t="s">
        <v>11</v>
      </c>
      <c r="B1923" t="s">
        <v>36</v>
      </c>
      <c r="C1923" t="s">
        <v>27</v>
      </c>
      <c r="D1923">
        <v>2613049</v>
      </c>
      <c r="E1923" t="s">
        <v>40</v>
      </c>
      <c r="F1923" t="s">
        <v>10</v>
      </c>
    </row>
    <row r="1924" spans="1:6" hidden="1" x14ac:dyDescent="0.35">
      <c r="A1924" t="s">
        <v>12</v>
      </c>
      <c r="B1924" t="s">
        <v>36</v>
      </c>
      <c r="C1924" t="s">
        <v>27</v>
      </c>
      <c r="D1924">
        <v>1668810</v>
      </c>
      <c r="E1924" t="s">
        <v>40</v>
      </c>
      <c r="F1924" t="s">
        <v>10</v>
      </c>
    </row>
    <row r="1925" spans="1:6" hidden="1" x14ac:dyDescent="0.35">
      <c r="A1925" t="s">
        <v>13</v>
      </c>
      <c r="B1925" t="s">
        <v>36</v>
      </c>
      <c r="C1925" t="s">
        <v>27</v>
      </c>
      <c r="D1925">
        <v>3483521</v>
      </c>
      <c r="E1925" t="s">
        <v>40</v>
      </c>
      <c r="F1925" t="s">
        <v>10</v>
      </c>
    </row>
    <row r="1926" spans="1:6" hidden="1" x14ac:dyDescent="0.35">
      <c r="A1926" t="s">
        <v>14</v>
      </c>
      <c r="B1926" t="s">
        <v>36</v>
      </c>
      <c r="C1926" t="s">
        <v>27</v>
      </c>
      <c r="D1926">
        <v>2907186</v>
      </c>
      <c r="E1926" t="s">
        <v>40</v>
      </c>
      <c r="F1926" t="s">
        <v>10</v>
      </c>
    </row>
    <row r="1927" spans="1:6" hidden="1" x14ac:dyDescent="0.35">
      <c r="A1927" t="s">
        <v>15</v>
      </c>
      <c r="B1927" t="s">
        <v>36</v>
      </c>
      <c r="C1927" t="s">
        <v>27</v>
      </c>
      <c r="D1927">
        <v>2118688</v>
      </c>
      <c r="E1927" t="s">
        <v>40</v>
      </c>
      <c r="F1927" t="s">
        <v>10</v>
      </c>
    </row>
    <row r="1928" spans="1:6" hidden="1" x14ac:dyDescent="0.35">
      <c r="A1928" t="s">
        <v>16</v>
      </c>
      <c r="B1928" t="s">
        <v>36</v>
      </c>
      <c r="C1928" t="s">
        <v>27</v>
      </c>
      <c r="D1928">
        <v>3366405</v>
      </c>
      <c r="E1928" t="s">
        <v>40</v>
      </c>
      <c r="F1928" t="s">
        <v>10</v>
      </c>
    </row>
    <row r="1929" spans="1:6" hidden="1" x14ac:dyDescent="0.35">
      <c r="A1929" t="s">
        <v>17</v>
      </c>
      <c r="B1929" t="s">
        <v>36</v>
      </c>
      <c r="C1929" t="s">
        <v>27</v>
      </c>
      <c r="D1929">
        <v>2274167</v>
      </c>
      <c r="E1929" t="s">
        <v>40</v>
      </c>
      <c r="F1929" t="s">
        <v>10</v>
      </c>
    </row>
    <row r="1930" spans="1:6" hidden="1" x14ac:dyDescent="0.35">
      <c r="A1930" t="s">
        <v>18</v>
      </c>
      <c r="B1930" t="s">
        <v>36</v>
      </c>
      <c r="C1930" t="s">
        <v>27</v>
      </c>
      <c r="D1930">
        <v>2495723</v>
      </c>
      <c r="E1930" t="s">
        <v>40</v>
      </c>
      <c r="F1930" t="s">
        <v>10</v>
      </c>
    </row>
    <row r="1931" spans="1:6" hidden="1" x14ac:dyDescent="0.35">
      <c r="A1931" t="s">
        <v>19</v>
      </c>
      <c r="B1931" t="s">
        <v>36</v>
      </c>
      <c r="C1931" t="s">
        <v>27</v>
      </c>
      <c r="D1931">
        <v>2920157</v>
      </c>
      <c r="E1931" t="s">
        <v>40</v>
      </c>
      <c r="F1931" t="s">
        <v>10</v>
      </c>
    </row>
    <row r="1932" spans="1:6" hidden="1" x14ac:dyDescent="0.35">
      <c r="A1932" t="s">
        <v>20</v>
      </c>
      <c r="B1932" t="s">
        <v>36</v>
      </c>
      <c r="C1932" t="s">
        <v>27</v>
      </c>
      <c r="D1932">
        <v>2888855</v>
      </c>
      <c r="E1932" t="s">
        <v>40</v>
      </c>
      <c r="F1932" t="s">
        <v>10</v>
      </c>
    </row>
    <row r="1933" spans="1:6" hidden="1" x14ac:dyDescent="0.35">
      <c r="A1933" t="s">
        <v>21</v>
      </c>
      <c r="B1933" t="s">
        <v>36</v>
      </c>
      <c r="C1933" t="s">
        <v>27</v>
      </c>
      <c r="D1933">
        <v>3164357</v>
      </c>
      <c r="E1933" t="s">
        <v>40</v>
      </c>
      <c r="F1933" t="s">
        <v>10</v>
      </c>
    </row>
    <row r="1934" spans="1:6" hidden="1" x14ac:dyDescent="0.35">
      <c r="A1934" t="s">
        <v>6</v>
      </c>
      <c r="B1934" t="s">
        <v>36</v>
      </c>
      <c r="C1934" t="s">
        <v>28</v>
      </c>
      <c r="D1934">
        <v>5853932</v>
      </c>
      <c r="E1934" t="s">
        <v>40</v>
      </c>
      <c r="F1934" t="s">
        <v>10</v>
      </c>
    </row>
    <row r="1935" spans="1:6" hidden="1" x14ac:dyDescent="0.35">
      <c r="A1935" t="s">
        <v>11</v>
      </c>
      <c r="B1935" t="s">
        <v>36</v>
      </c>
      <c r="C1935" t="s">
        <v>28</v>
      </c>
      <c r="D1935">
        <v>9404082</v>
      </c>
      <c r="E1935" t="s">
        <v>40</v>
      </c>
      <c r="F1935" t="s">
        <v>10</v>
      </c>
    </row>
    <row r="1936" spans="1:6" hidden="1" x14ac:dyDescent="0.35">
      <c r="A1936" t="s">
        <v>12</v>
      </c>
      <c r="B1936" t="s">
        <v>36</v>
      </c>
      <c r="C1936" t="s">
        <v>28</v>
      </c>
      <c r="D1936">
        <v>5797957</v>
      </c>
      <c r="E1936" t="s">
        <v>40</v>
      </c>
      <c r="F1936" t="s">
        <v>10</v>
      </c>
    </row>
    <row r="1937" spans="1:6" hidden="1" x14ac:dyDescent="0.35">
      <c r="A1937" t="s">
        <v>13</v>
      </c>
      <c r="B1937" t="s">
        <v>36</v>
      </c>
      <c r="C1937" t="s">
        <v>28</v>
      </c>
      <c r="D1937">
        <v>12146071</v>
      </c>
      <c r="E1937" t="s">
        <v>40</v>
      </c>
      <c r="F1937" t="s">
        <v>10</v>
      </c>
    </row>
    <row r="1938" spans="1:6" hidden="1" x14ac:dyDescent="0.35">
      <c r="A1938" t="s">
        <v>14</v>
      </c>
      <c r="B1938" t="s">
        <v>36</v>
      </c>
      <c r="C1938" t="s">
        <v>28</v>
      </c>
      <c r="D1938">
        <v>9515553</v>
      </c>
      <c r="E1938" t="s">
        <v>40</v>
      </c>
      <c r="F1938" t="s">
        <v>10</v>
      </c>
    </row>
    <row r="1939" spans="1:6" hidden="1" x14ac:dyDescent="0.35">
      <c r="A1939" t="s">
        <v>15</v>
      </c>
      <c r="B1939" t="s">
        <v>36</v>
      </c>
      <c r="C1939" t="s">
        <v>28</v>
      </c>
      <c r="D1939">
        <v>4950343</v>
      </c>
      <c r="E1939" t="s">
        <v>40</v>
      </c>
      <c r="F1939" t="s">
        <v>10</v>
      </c>
    </row>
    <row r="1940" spans="1:6" hidden="1" x14ac:dyDescent="0.35">
      <c r="A1940" t="s">
        <v>16</v>
      </c>
      <c r="B1940" t="s">
        <v>36</v>
      </c>
      <c r="C1940" t="s">
        <v>28</v>
      </c>
      <c r="D1940">
        <v>14759192</v>
      </c>
      <c r="E1940" t="s">
        <v>40</v>
      </c>
      <c r="F1940" t="s">
        <v>10</v>
      </c>
    </row>
    <row r="1941" spans="1:6" hidden="1" x14ac:dyDescent="0.35">
      <c r="A1941" t="s">
        <v>17</v>
      </c>
      <c r="B1941" t="s">
        <v>36</v>
      </c>
      <c r="C1941" t="s">
        <v>28</v>
      </c>
      <c r="D1941">
        <v>8221989</v>
      </c>
      <c r="E1941" t="s">
        <v>40</v>
      </c>
      <c r="F1941" t="s">
        <v>10</v>
      </c>
    </row>
    <row r="1942" spans="1:6" hidden="1" x14ac:dyDescent="0.35">
      <c r="A1942" t="s">
        <v>18</v>
      </c>
      <c r="B1942" t="s">
        <v>36</v>
      </c>
      <c r="C1942" t="s">
        <v>28</v>
      </c>
      <c r="D1942">
        <v>10397063</v>
      </c>
      <c r="E1942" t="s">
        <v>40</v>
      </c>
      <c r="F1942" t="s">
        <v>10</v>
      </c>
    </row>
    <row r="1943" spans="1:6" hidden="1" x14ac:dyDescent="0.35">
      <c r="A1943" t="s">
        <v>19</v>
      </c>
      <c r="B1943" t="s">
        <v>36</v>
      </c>
      <c r="C1943" t="s">
        <v>28</v>
      </c>
      <c r="D1943">
        <v>12558535</v>
      </c>
      <c r="E1943" t="s">
        <v>40</v>
      </c>
      <c r="F1943" t="s">
        <v>10</v>
      </c>
    </row>
    <row r="1944" spans="1:6" hidden="1" x14ac:dyDescent="0.35">
      <c r="A1944" t="s">
        <v>20</v>
      </c>
      <c r="B1944" t="s">
        <v>36</v>
      </c>
      <c r="C1944" t="s">
        <v>28</v>
      </c>
      <c r="D1944">
        <v>13791876</v>
      </c>
      <c r="E1944" t="s">
        <v>40</v>
      </c>
      <c r="F1944" t="s">
        <v>10</v>
      </c>
    </row>
    <row r="1945" spans="1:6" hidden="1" x14ac:dyDescent="0.35">
      <c r="A1945" t="s">
        <v>21</v>
      </c>
      <c r="B1945" t="s">
        <v>36</v>
      </c>
      <c r="C1945" t="s">
        <v>28</v>
      </c>
      <c r="D1945">
        <v>11399407</v>
      </c>
      <c r="E1945" t="s">
        <v>40</v>
      </c>
      <c r="F1945" t="s">
        <v>10</v>
      </c>
    </row>
    <row r="1946" spans="1:6" x14ac:dyDescent="0.35">
      <c r="A1946" t="s">
        <v>6</v>
      </c>
      <c r="B1946" t="s">
        <v>36</v>
      </c>
      <c r="C1946" t="s">
        <v>29</v>
      </c>
      <c r="D1946">
        <v>582</v>
      </c>
      <c r="E1946" t="s">
        <v>40</v>
      </c>
      <c r="F1946" t="s">
        <v>10</v>
      </c>
    </row>
    <row r="1947" spans="1:6" x14ac:dyDescent="0.35">
      <c r="A1947" t="s">
        <v>11</v>
      </c>
      <c r="B1947" t="s">
        <v>36</v>
      </c>
      <c r="C1947" t="s">
        <v>29</v>
      </c>
      <c r="D1947">
        <v>529</v>
      </c>
      <c r="E1947" t="s">
        <v>40</v>
      </c>
      <c r="F1947" t="s">
        <v>10</v>
      </c>
    </row>
    <row r="1948" spans="1:6" x14ac:dyDescent="0.35">
      <c r="A1948" t="s">
        <v>12</v>
      </c>
      <c r="B1948" t="s">
        <v>36</v>
      </c>
      <c r="C1948" t="s">
        <v>29</v>
      </c>
      <c r="D1948">
        <v>662</v>
      </c>
      <c r="E1948" t="s">
        <v>40</v>
      </c>
      <c r="F1948" t="s">
        <v>10</v>
      </c>
    </row>
    <row r="1949" spans="1:6" x14ac:dyDescent="0.35">
      <c r="A1949" t="s">
        <v>13</v>
      </c>
      <c r="B1949" t="s">
        <v>36</v>
      </c>
      <c r="C1949" t="s">
        <v>29</v>
      </c>
      <c r="D1949">
        <v>589</v>
      </c>
      <c r="E1949" t="s">
        <v>40</v>
      </c>
      <c r="F1949" t="s">
        <v>10</v>
      </c>
    </row>
    <row r="1950" spans="1:6" x14ac:dyDescent="0.35">
      <c r="A1950" t="s">
        <v>14</v>
      </c>
      <c r="B1950" t="s">
        <v>36</v>
      </c>
      <c r="C1950" t="s">
        <v>29</v>
      </c>
      <c r="D1950">
        <v>654</v>
      </c>
      <c r="E1950" t="s">
        <v>40</v>
      </c>
      <c r="F1950" t="s">
        <v>10</v>
      </c>
    </row>
    <row r="1951" spans="1:6" x14ac:dyDescent="0.35">
      <c r="A1951" t="s">
        <v>15</v>
      </c>
      <c r="B1951" t="s">
        <v>36</v>
      </c>
      <c r="C1951" t="s">
        <v>29</v>
      </c>
      <c r="D1951">
        <v>584</v>
      </c>
      <c r="E1951" t="s">
        <v>40</v>
      </c>
      <c r="F1951" t="s">
        <v>10</v>
      </c>
    </row>
    <row r="1952" spans="1:6" x14ac:dyDescent="0.35">
      <c r="A1952" t="s">
        <v>16</v>
      </c>
      <c r="B1952" t="s">
        <v>36</v>
      </c>
      <c r="C1952" t="s">
        <v>29</v>
      </c>
      <c r="D1952">
        <v>745</v>
      </c>
      <c r="E1952" t="s">
        <v>40</v>
      </c>
      <c r="F1952" t="s">
        <v>10</v>
      </c>
    </row>
    <row r="1953" spans="1:6" x14ac:dyDescent="0.35">
      <c r="A1953" t="s">
        <v>17</v>
      </c>
      <c r="B1953" t="s">
        <v>36</v>
      </c>
      <c r="C1953" t="s">
        <v>29</v>
      </c>
      <c r="D1953">
        <v>715</v>
      </c>
      <c r="E1953" t="s">
        <v>40</v>
      </c>
      <c r="F1953" t="s">
        <v>10</v>
      </c>
    </row>
    <row r="1954" spans="1:6" x14ac:dyDescent="0.35">
      <c r="A1954" t="s">
        <v>18</v>
      </c>
      <c r="B1954" t="s">
        <v>36</v>
      </c>
      <c r="C1954" t="s">
        <v>29</v>
      </c>
      <c r="D1954">
        <v>693</v>
      </c>
      <c r="E1954" t="s">
        <v>40</v>
      </c>
      <c r="F1954" t="s">
        <v>10</v>
      </c>
    </row>
    <row r="1955" spans="1:6" x14ac:dyDescent="0.35">
      <c r="A1955" t="s">
        <v>19</v>
      </c>
      <c r="B1955" t="s">
        <v>36</v>
      </c>
      <c r="C1955" t="s">
        <v>29</v>
      </c>
      <c r="D1955">
        <v>703</v>
      </c>
      <c r="E1955" t="s">
        <v>40</v>
      </c>
      <c r="F1955" t="s">
        <v>10</v>
      </c>
    </row>
    <row r="1956" spans="1:6" x14ac:dyDescent="0.35">
      <c r="A1956" t="s">
        <v>20</v>
      </c>
      <c r="B1956" t="s">
        <v>36</v>
      </c>
      <c r="C1956" t="s">
        <v>29</v>
      </c>
      <c r="D1956">
        <v>594</v>
      </c>
      <c r="E1956" t="s">
        <v>40</v>
      </c>
      <c r="F1956" t="s">
        <v>10</v>
      </c>
    </row>
    <row r="1957" spans="1:6" x14ac:dyDescent="0.35">
      <c r="A1957" t="s">
        <v>21</v>
      </c>
      <c r="B1957" t="s">
        <v>36</v>
      </c>
      <c r="C1957" t="s">
        <v>29</v>
      </c>
      <c r="D1957">
        <v>611</v>
      </c>
      <c r="E1957" t="s">
        <v>40</v>
      </c>
      <c r="F1957" t="s">
        <v>10</v>
      </c>
    </row>
    <row r="1958" spans="1:6" hidden="1" x14ac:dyDescent="0.35">
      <c r="A1958" t="s">
        <v>6</v>
      </c>
      <c r="B1958" t="s">
        <v>36</v>
      </c>
      <c r="C1958" t="s">
        <v>30</v>
      </c>
      <c r="D1958">
        <v>216</v>
      </c>
      <c r="E1958" t="s">
        <v>40</v>
      </c>
      <c r="F1958" t="s">
        <v>10</v>
      </c>
    </row>
    <row r="1959" spans="1:6" hidden="1" x14ac:dyDescent="0.35">
      <c r="A1959" t="s">
        <v>11</v>
      </c>
      <c r="B1959" t="s">
        <v>36</v>
      </c>
      <c r="C1959" t="s">
        <v>30</v>
      </c>
      <c r="D1959">
        <v>145</v>
      </c>
      <c r="E1959" t="s">
        <v>40</v>
      </c>
      <c r="F1959" t="s">
        <v>10</v>
      </c>
    </row>
    <row r="1960" spans="1:6" hidden="1" x14ac:dyDescent="0.35">
      <c r="A1960" t="s">
        <v>12</v>
      </c>
      <c r="B1960" t="s">
        <v>36</v>
      </c>
      <c r="C1960" t="s">
        <v>30</v>
      </c>
      <c r="D1960">
        <v>165</v>
      </c>
      <c r="E1960" t="s">
        <v>40</v>
      </c>
      <c r="F1960" t="s">
        <v>10</v>
      </c>
    </row>
    <row r="1961" spans="1:6" hidden="1" x14ac:dyDescent="0.35">
      <c r="A1961" t="s">
        <v>13</v>
      </c>
      <c r="B1961" t="s">
        <v>36</v>
      </c>
      <c r="C1961" t="s">
        <v>30</v>
      </c>
      <c r="D1961">
        <v>182</v>
      </c>
      <c r="E1961" t="s">
        <v>40</v>
      </c>
      <c r="F1961" t="s">
        <v>10</v>
      </c>
    </row>
    <row r="1962" spans="1:6" hidden="1" x14ac:dyDescent="0.35">
      <c r="A1962" t="s">
        <v>14</v>
      </c>
      <c r="B1962" t="s">
        <v>36</v>
      </c>
      <c r="C1962" t="s">
        <v>30</v>
      </c>
      <c r="D1962">
        <v>190</v>
      </c>
      <c r="E1962" t="s">
        <v>40</v>
      </c>
      <c r="F1962" t="s">
        <v>10</v>
      </c>
    </row>
    <row r="1963" spans="1:6" hidden="1" x14ac:dyDescent="0.35">
      <c r="A1963" t="s">
        <v>15</v>
      </c>
      <c r="B1963" t="s">
        <v>36</v>
      </c>
      <c r="C1963" t="s">
        <v>30</v>
      </c>
      <c r="D1963">
        <v>187</v>
      </c>
      <c r="E1963" t="s">
        <v>40</v>
      </c>
      <c r="F1963" t="s">
        <v>10</v>
      </c>
    </row>
    <row r="1964" spans="1:6" hidden="1" x14ac:dyDescent="0.35">
      <c r="A1964" t="s">
        <v>16</v>
      </c>
      <c r="B1964" t="s">
        <v>36</v>
      </c>
      <c r="C1964" t="s">
        <v>30</v>
      </c>
      <c r="D1964">
        <v>177</v>
      </c>
      <c r="E1964" t="s">
        <v>40</v>
      </c>
      <c r="F1964" t="s">
        <v>10</v>
      </c>
    </row>
    <row r="1965" spans="1:6" hidden="1" x14ac:dyDescent="0.35">
      <c r="A1965" t="s">
        <v>17</v>
      </c>
      <c r="B1965" t="s">
        <v>36</v>
      </c>
      <c r="C1965" t="s">
        <v>30</v>
      </c>
      <c r="D1965">
        <v>231</v>
      </c>
      <c r="E1965" t="s">
        <v>40</v>
      </c>
      <c r="F1965" t="s">
        <v>10</v>
      </c>
    </row>
    <row r="1966" spans="1:6" hidden="1" x14ac:dyDescent="0.35">
      <c r="A1966" t="s">
        <v>18</v>
      </c>
      <c r="B1966" t="s">
        <v>36</v>
      </c>
      <c r="C1966" t="s">
        <v>30</v>
      </c>
      <c r="D1966">
        <v>232</v>
      </c>
      <c r="E1966" t="s">
        <v>40</v>
      </c>
      <c r="F1966" t="s">
        <v>10</v>
      </c>
    </row>
    <row r="1967" spans="1:6" hidden="1" x14ac:dyDescent="0.35">
      <c r="A1967" t="s">
        <v>19</v>
      </c>
      <c r="B1967" t="s">
        <v>36</v>
      </c>
      <c r="C1967" t="s">
        <v>30</v>
      </c>
      <c r="D1967">
        <v>305</v>
      </c>
      <c r="E1967" t="s">
        <v>40</v>
      </c>
      <c r="F1967" t="s">
        <v>10</v>
      </c>
    </row>
    <row r="1968" spans="1:6" hidden="1" x14ac:dyDescent="0.35">
      <c r="A1968" t="s">
        <v>20</v>
      </c>
      <c r="B1968" t="s">
        <v>36</v>
      </c>
      <c r="C1968" t="s">
        <v>30</v>
      </c>
      <c r="D1968">
        <v>210</v>
      </c>
      <c r="E1968" t="s">
        <v>40</v>
      </c>
      <c r="F1968" t="s">
        <v>10</v>
      </c>
    </row>
    <row r="1969" spans="1:6" hidden="1" x14ac:dyDescent="0.35">
      <c r="A1969" t="s">
        <v>21</v>
      </c>
      <c r="B1969" t="s">
        <v>36</v>
      </c>
      <c r="C1969" t="s">
        <v>30</v>
      </c>
      <c r="D1969">
        <v>270</v>
      </c>
      <c r="E1969" t="s">
        <v>40</v>
      </c>
      <c r="F1969" t="s">
        <v>10</v>
      </c>
    </row>
    <row r="1970" spans="1:6" x14ac:dyDescent="0.35">
      <c r="A1970" t="s">
        <v>6</v>
      </c>
      <c r="B1970" t="s">
        <v>36</v>
      </c>
      <c r="C1970" t="s">
        <v>31</v>
      </c>
      <c r="D1970">
        <v>128</v>
      </c>
      <c r="E1970" t="s">
        <v>40</v>
      </c>
      <c r="F1970" t="s">
        <v>10</v>
      </c>
    </row>
    <row r="1971" spans="1:6" x14ac:dyDescent="0.35">
      <c r="A1971" t="s">
        <v>11</v>
      </c>
      <c r="B1971" t="s">
        <v>36</v>
      </c>
      <c r="C1971" t="s">
        <v>31</v>
      </c>
      <c r="D1971">
        <v>106</v>
      </c>
      <c r="E1971" t="s">
        <v>40</v>
      </c>
      <c r="F1971" t="s">
        <v>10</v>
      </c>
    </row>
    <row r="1972" spans="1:6" x14ac:dyDescent="0.35">
      <c r="A1972" t="s">
        <v>12</v>
      </c>
      <c r="B1972" t="s">
        <v>36</v>
      </c>
      <c r="C1972" t="s">
        <v>31</v>
      </c>
      <c r="D1972">
        <v>148</v>
      </c>
      <c r="E1972" t="s">
        <v>40</v>
      </c>
      <c r="F1972" t="s">
        <v>10</v>
      </c>
    </row>
    <row r="1973" spans="1:6" x14ac:dyDescent="0.35">
      <c r="A1973" t="s">
        <v>13</v>
      </c>
      <c r="B1973" t="s">
        <v>36</v>
      </c>
      <c r="C1973" t="s">
        <v>31</v>
      </c>
      <c r="D1973">
        <v>122</v>
      </c>
      <c r="E1973" t="s">
        <v>40</v>
      </c>
      <c r="F1973" t="s">
        <v>10</v>
      </c>
    </row>
    <row r="1974" spans="1:6" x14ac:dyDescent="0.35">
      <c r="A1974" t="s">
        <v>14</v>
      </c>
      <c r="B1974" t="s">
        <v>36</v>
      </c>
      <c r="C1974" t="s">
        <v>31</v>
      </c>
      <c r="D1974">
        <v>152</v>
      </c>
      <c r="E1974" t="s">
        <v>40</v>
      </c>
      <c r="F1974" t="s">
        <v>10</v>
      </c>
    </row>
    <row r="1975" spans="1:6" x14ac:dyDescent="0.35">
      <c r="A1975" t="s">
        <v>15</v>
      </c>
      <c r="B1975" t="s">
        <v>36</v>
      </c>
      <c r="C1975" t="s">
        <v>31</v>
      </c>
      <c r="D1975">
        <v>133</v>
      </c>
      <c r="E1975" t="s">
        <v>40</v>
      </c>
      <c r="F1975" t="s">
        <v>10</v>
      </c>
    </row>
    <row r="1976" spans="1:6" x14ac:dyDescent="0.35">
      <c r="A1976" t="s">
        <v>16</v>
      </c>
      <c r="B1976" t="s">
        <v>36</v>
      </c>
      <c r="C1976" t="s">
        <v>31</v>
      </c>
      <c r="D1976">
        <v>163</v>
      </c>
      <c r="E1976" t="s">
        <v>40</v>
      </c>
      <c r="F1976" t="s">
        <v>10</v>
      </c>
    </row>
    <row r="1977" spans="1:6" x14ac:dyDescent="0.35">
      <c r="A1977" t="s">
        <v>17</v>
      </c>
      <c r="B1977" t="s">
        <v>36</v>
      </c>
      <c r="C1977" t="s">
        <v>31</v>
      </c>
      <c r="D1977">
        <v>163</v>
      </c>
      <c r="E1977" t="s">
        <v>40</v>
      </c>
      <c r="F1977" t="s">
        <v>10</v>
      </c>
    </row>
    <row r="1978" spans="1:6" x14ac:dyDescent="0.35">
      <c r="A1978" t="s">
        <v>18</v>
      </c>
      <c r="B1978" t="s">
        <v>36</v>
      </c>
      <c r="C1978" t="s">
        <v>31</v>
      </c>
      <c r="D1978">
        <v>135</v>
      </c>
      <c r="E1978" t="s">
        <v>40</v>
      </c>
      <c r="F1978" t="s">
        <v>10</v>
      </c>
    </row>
    <row r="1979" spans="1:6" x14ac:dyDescent="0.35">
      <c r="A1979" t="s">
        <v>19</v>
      </c>
      <c r="B1979" t="s">
        <v>36</v>
      </c>
      <c r="C1979" t="s">
        <v>31</v>
      </c>
      <c r="D1979">
        <v>176</v>
      </c>
      <c r="E1979" t="s">
        <v>40</v>
      </c>
      <c r="F1979" t="s">
        <v>10</v>
      </c>
    </row>
    <row r="1980" spans="1:6" x14ac:dyDescent="0.35">
      <c r="A1980" t="s">
        <v>20</v>
      </c>
      <c r="B1980" t="s">
        <v>36</v>
      </c>
      <c r="C1980" t="s">
        <v>31</v>
      </c>
      <c r="D1980">
        <v>139</v>
      </c>
      <c r="E1980" t="s">
        <v>40</v>
      </c>
      <c r="F1980" t="s">
        <v>10</v>
      </c>
    </row>
    <row r="1981" spans="1:6" x14ac:dyDescent="0.35">
      <c r="A1981" t="s">
        <v>21</v>
      </c>
      <c r="B1981" t="s">
        <v>36</v>
      </c>
      <c r="C1981" t="s">
        <v>31</v>
      </c>
      <c r="D1981">
        <v>150</v>
      </c>
      <c r="E1981" t="s">
        <v>40</v>
      </c>
      <c r="F1981" t="s">
        <v>10</v>
      </c>
    </row>
    <row r="1982" spans="1:6" hidden="1" x14ac:dyDescent="0.35">
      <c r="A1982" t="s">
        <v>6</v>
      </c>
      <c r="B1982" t="s">
        <v>37</v>
      </c>
      <c r="C1982" t="s">
        <v>8</v>
      </c>
      <c r="D1982">
        <v>0</v>
      </c>
      <c r="E1982" t="s">
        <v>40</v>
      </c>
      <c r="F1982" t="s">
        <v>10</v>
      </c>
    </row>
    <row r="1983" spans="1:6" hidden="1" x14ac:dyDescent="0.35">
      <c r="A1983" t="s">
        <v>11</v>
      </c>
      <c r="B1983" t="s">
        <v>37</v>
      </c>
      <c r="C1983" t="s">
        <v>8</v>
      </c>
      <c r="D1983">
        <v>6531</v>
      </c>
      <c r="E1983" t="s">
        <v>40</v>
      </c>
      <c r="F1983" t="s">
        <v>10</v>
      </c>
    </row>
    <row r="1984" spans="1:6" hidden="1" x14ac:dyDescent="0.35">
      <c r="A1984" t="s">
        <v>12</v>
      </c>
      <c r="B1984" t="s">
        <v>37</v>
      </c>
      <c r="C1984" t="s">
        <v>8</v>
      </c>
      <c r="D1984">
        <v>1626</v>
      </c>
      <c r="E1984" t="s">
        <v>40</v>
      </c>
      <c r="F1984" t="s">
        <v>10</v>
      </c>
    </row>
    <row r="1985" spans="1:6" hidden="1" x14ac:dyDescent="0.35">
      <c r="A1985" t="s">
        <v>13</v>
      </c>
      <c r="B1985" t="s">
        <v>37</v>
      </c>
      <c r="C1985" t="s">
        <v>8</v>
      </c>
      <c r="D1985">
        <v>24160</v>
      </c>
      <c r="E1985" t="s">
        <v>40</v>
      </c>
      <c r="F1985" t="s">
        <v>10</v>
      </c>
    </row>
    <row r="1986" spans="1:6" hidden="1" x14ac:dyDescent="0.35">
      <c r="A1986" t="s">
        <v>14</v>
      </c>
      <c r="B1986" t="s">
        <v>37</v>
      </c>
      <c r="C1986" t="s">
        <v>8</v>
      </c>
      <c r="D1986">
        <v>13351</v>
      </c>
      <c r="E1986" t="s">
        <v>40</v>
      </c>
      <c r="F1986" t="s">
        <v>10</v>
      </c>
    </row>
    <row r="1987" spans="1:6" hidden="1" x14ac:dyDescent="0.35">
      <c r="A1987" t="s">
        <v>15</v>
      </c>
      <c r="B1987" t="s">
        <v>37</v>
      </c>
      <c r="C1987" t="s">
        <v>8</v>
      </c>
      <c r="D1987">
        <v>30235</v>
      </c>
      <c r="E1987" t="s">
        <v>40</v>
      </c>
      <c r="F1987" t="s">
        <v>10</v>
      </c>
    </row>
    <row r="1988" spans="1:6" hidden="1" x14ac:dyDescent="0.35">
      <c r="A1988" t="s">
        <v>16</v>
      </c>
      <c r="B1988" t="s">
        <v>37</v>
      </c>
      <c r="C1988" t="s">
        <v>8</v>
      </c>
      <c r="D1988">
        <v>15842</v>
      </c>
      <c r="E1988" t="s">
        <v>40</v>
      </c>
      <c r="F1988" t="s">
        <v>10</v>
      </c>
    </row>
    <row r="1989" spans="1:6" hidden="1" x14ac:dyDescent="0.35">
      <c r="A1989" t="s">
        <v>17</v>
      </c>
      <c r="B1989" t="s">
        <v>37</v>
      </c>
      <c r="C1989" t="s">
        <v>8</v>
      </c>
      <c r="D1989">
        <v>13925</v>
      </c>
      <c r="E1989" t="s">
        <v>40</v>
      </c>
      <c r="F1989" t="s">
        <v>10</v>
      </c>
    </row>
    <row r="1990" spans="1:6" hidden="1" x14ac:dyDescent="0.35">
      <c r="A1990" t="s">
        <v>18</v>
      </c>
      <c r="B1990" t="s">
        <v>37</v>
      </c>
      <c r="C1990" t="s">
        <v>8</v>
      </c>
      <c r="D1990">
        <v>6040</v>
      </c>
      <c r="E1990" t="s">
        <v>40</v>
      </c>
      <c r="F1990" t="s">
        <v>10</v>
      </c>
    </row>
    <row r="1991" spans="1:6" hidden="1" x14ac:dyDescent="0.35">
      <c r="A1991" t="s">
        <v>19</v>
      </c>
      <c r="B1991" t="s">
        <v>37</v>
      </c>
      <c r="C1991" t="s">
        <v>8</v>
      </c>
      <c r="D1991">
        <v>32926</v>
      </c>
      <c r="E1991" t="s">
        <v>40</v>
      </c>
      <c r="F1991" t="s">
        <v>10</v>
      </c>
    </row>
    <row r="1992" spans="1:6" hidden="1" x14ac:dyDescent="0.35">
      <c r="A1992" t="s">
        <v>20</v>
      </c>
      <c r="B1992" t="s">
        <v>37</v>
      </c>
      <c r="C1992" t="s">
        <v>8</v>
      </c>
      <c r="D1992">
        <v>56482</v>
      </c>
      <c r="E1992" t="s">
        <v>40</v>
      </c>
      <c r="F1992" t="s">
        <v>10</v>
      </c>
    </row>
    <row r="1993" spans="1:6" hidden="1" x14ac:dyDescent="0.35">
      <c r="A1993" t="s">
        <v>21</v>
      </c>
      <c r="B1993" t="s">
        <v>37</v>
      </c>
      <c r="C1993" t="s">
        <v>8</v>
      </c>
      <c r="D1993">
        <v>18273</v>
      </c>
      <c r="E1993" t="s">
        <v>40</v>
      </c>
      <c r="F1993" t="s">
        <v>10</v>
      </c>
    </row>
    <row r="1994" spans="1:6" hidden="1" x14ac:dyDescent="0.35">
      <c r="A1994" t="s">
        <v>6</v>
      </c>
      <c r="B1994" t="s">
        <v>37</v>
      </c>
      <c r="C1994" t="s">
        <v>22</v>
      </c>
      <c r="D1994">
        <v>0</v>
      </c>
      <c r="E1994" t="s">
        <v>40</v>
      </c>
      <c r="F1994" t="s">
        <v>10</v>
      </c>
    </row>
    <row r="1995" spans="1:6" hidden="1" x14ac:dyDescent="0.35">
      <c r="A1995" t="s">
        <v>11</v>
      </c>
      <c r="B1995" t="s">
        <v>37</v>
      </c>
      <c r="C1995" t="s">
        <v>22</v>
      </c>
      <c r="D1995">
        <v>0</v>
      </c>
      <c r="E1995" t="s">
        <v>40</v>
      </c>
      <c r="F1995" t="s">
        <v>10</v>
      </c>
    </row>
    <row r="1996" spans="1:6" hidden="1" x14ac:dyDescent="0.35">
      <c r="A1996" t="s">
        <v>12</v>
      </c>
      <c r="B1996" t="s">
        <v>37</v>
      </c>
      <c r="C1996" t="s">
        <v>22</v>
      </c>
      <c r="D1996">
        <v>0</v>
      </c>
      <c r="E1996" t="s">
        <v>40</v>
      </c>
      <c r="F1996" t="s">
        <v>10</v>
      </c>
    </row>
    <row r="1997" spans="1:6" hidden="1" x14ac:dyDescent="0.35">
      <c r="A1997" t="s">
        <v>13</v>
      </c>
      <c r="B1997" t="s">
        <v>37</v>
      </c>
      <c r="C1997" t="s">
        <v>22</v>
      </c>
      <c r="D1997">
        <v>0</v>
      </c>
      <c r="E1997" t="s">
        <v>40</v>
      </c>
      <c r="F1997" t="s">
        <v>10</v>
      </c>
    </row>
    <row r="1998" spans="1:6" hidden="1" x14ac:dyDescent="0.35">
      <c r="A1998" t="s">
        <v>14</v>
      </c>
      <c r="B1998" t="s">
        <v>37</v>
      </c>
      <c r="C1998" t="s">
        <v>22</v>
      </c>
      <c r="D1998">
        <v>0</v>
      </c>
      <c r="E1998" t="s">
        <v>40</v>
      </c>
      <c r="F1998" t="s">
        <v>10</v>
      </c>
    </row>
    <row r="1999" spans="1:6" hidden="1" x14ac:dyDescent="0.35">
      <c r="A1999" t="s">
        <v>15</v>
      </c>
      <c r="B1999" t="s">
        <v>37</v>
      </c>
      <c r="C1999" t="s">
        <v>22</v>
      </c>
      <c r="D1999">
        <v>0</v>
      </c>
      <c r="E1999" t="s">
        <v>40</v>
      </c>
      <c r="F1999" t="s">
        <v>10</v>
      </c>
    </row>
    <row r="2000" spans="1:6" hidden="1" x14ac:dyDescent="0.35">
      <c r="A2000" t="s">
        <v>16</v>
      </c>
      <c r="B2000" t="s">
        <v>37</v>
      </c>
      <c r="C2000" t="s">
        <v>22</v>
      </c>
      <c r="D2000">
        <v>0</v>
      </c>
      <c r="E2000" t="s">
        <v>40</v>
      </c>
      <c r="F2000" t="s">
        <v>10</v>
      </c>
    </row>
    <row r="2001" spans="1:6" hidden="1" x14ac:dyDescent="0.35">
      <c r="A2001" t="s">
        <v>17</v>
      </c>
      <c r="B2001" t="s">
        <v>37</v>
      </c>
      <c r="C2001" t="s">
        <v>22</v>
      </c>
      <c r="D2001">
        <v>0</v>
      </c>
      <c r="E2001" t="s">
        <v>40</v>
      </c>
      <c r="F2001" t="s">
        <v>10</v>
      </c>
    </row>
    <row r="2002" spans="1:6" hidden="1" x14ac:dyDescent="0.35">
      <c r="A2002" t="s">
        <v>18</v>
      </c>
      <c r="B2002" t="s">
        <v>37</v>
      </c>
      <c r="C2002" t="s">
        <v>22</v>
      </c>
      <c r="D2002">
        <v>0</v>
      </c>
      <c r="E2002" t="s">
        <v>40</v>
      </c>
      <c r="F2002" t="s">
        <v>10</v>
      </c>
    </row>
    <row r="2003" spans="1:6" hidden="1" x14ac:dyDescent="0.35">
      <c r="A2003" t="s">
        <v>19</v>
      </c>
      <c r="B2003" t="s">
        <v>37</v>
      </c>
      <c r="C2003" t="s">
        <v>22</v>
      </c>
      <c r="D2003">
        <v>0</v>
      </c>
      <c r="E2003" t="s">
        <v>40</v>
      </c>
      <c r="F2003" t="s">
        <v>10</v>
      </c>
    </row>
    <row r="2004" spans="1:6" hidden="1" x14ac:dyDescent="0.35">
      <c r="A2004" t="s">
        <v>20</v>
      </c>
      <c r="B2004" t="s">
        <v>37</v>
      </c>
      <c r="C2004" t="s">
        <v>22</v>
      </c>
      <c r="D2004">
        <v>0</v>
      </c>
      <c r="E2004" t="s">
        <v>40</v>
      </c>
      <c r="F2004" t="s">
        <v>10</v>
      </c>
    </row>
    <row r="2005" spans="1:6" hidden="1" x14ac:dyDescent="0.35">
      <c r="A2005" t="s">
        <v>21</v>
      </c>
      <c r="B2005" t="s">
        <v>37</v>
      </c>
      <c r="C2005" t="s">
        <v>22</v>
      </c>
      <c r="D2005">
        <v>0</v>
      </c>
      <c r="E2005" t="s">
        <v>40</v>
      </c>
      <c r="F2005" t="s">
        <v>10</v>
      </c>
    </row>
    <row r="2006" spans="1:6" hidden="1" x14ac:dyDescent="0.35">
      <c r="A2006" t="s">
        <v>6</v>
      </c>
      <c r="B2006" t="s">
        <v>37</v>
      </c>
      <c r="C2006" t="s">
        <v>23</v>
      </c>
      <c r="D2006">
        <v>8502</v>
      </c>
      <c r="E2006" t="s">
        <v>40</v>
      </c>
      <c r="F2006" t="s">
        <v>10</v>
      </c>
    </row>
    <row r="2007" spans="1:6" hidden="1" x14ac:dyDescent="0.35">
      <c r="A2007" t="s">
        <v>11</v>
      </c>
      <c r="B2007" t="s">
        <v>37</v>
      </c>
      <c r="C2007" t="s">
        <v>23</v>
      </c>
      <c r="D2007">
        <v>1425</v>
      </c>
      <c r="E2007" t="s">
        <v>40</v>
      </c>
      <c r="F2007" t="s">
        <v>10</v>
      </c>
    </row>
    <row r="2008" spans="1:6" hidden="1" x14ac:dyDescent="0.35">
      <c r="A2008" t="s">
        <v>12</v>
      </c>
      <c r="B2008" t="s">
        <v>37</v>
      </c>
      <c r="C2008" t="s">
        <v>23</v>
      </c>
      <c r="D2008">
        <v>713</v>
      </c>
      <c r="E2008" t="s">
        <v>40</v>
      </c>
      <c r="F2008" t="s">
        <v>10</v>
      </c>
    </row>
    <row r="2009" spans="1:6" hidden="1" x14ac:dyDescent="0.35">
      <c r="A2009" t="s">
        <v>13</v>
      </c>
      <c r="B2009" t="s">
        <v>37</v>
      </c>
      <c r="C2009" t="s">
        <v>23</v>
      </c>
      <c r="D2009">
        <v>2851</v>
      </c>
      <c r="E2009" t="s">
        <v>40</v>
      </c>
      <c r="F2009" t="s">
        <v>10</v>
      </c>
    </row>
    <row r="2010" spans="1:6" hidden="1" x14ac:dyDescent="0.35">
      <c r="A2010" t="s">
        <v>14</v>
      </c>
      <c r="B2010" t="s">
        <v>37</v>
      </c>
      <c r="C2010" t="s">
        <v>23</v>
      </c>
      <c r="D2010">
        <v>706</v>
      </c>
      <c r="E2010" t="s">
        <v>40</v>
      </c>
      <c r="F2010" t="s">
        <v>10</v>
      </c>
    </row>
    <row r="2011" spans="1:6" hidden="1" x14ac:dyDescent="0.35">
      <c r="A2011" t="s">
        <v>15</v>
      </c>
      <c r="B2011" t="s">
        <v>37</v>
      </c>
      <c r="C2011" t="s">
        <v>23</v>
      </c>
      <c r="D2011">
        <v>10751</v>
      </c>
      <c r="E2011" t="s">
        <v>40</v>
      </c>
      <c r="F2011" t="s">
        <v>10</v>
      </c>
    </row>
    <row r="2012" spans="1:6" hidden="1" x14ac:dyDescent="0.35">
      <c r="A2012" t="s">
        <v>16</v>
      </c>
      <c r="B2012" t="s">
        <v>37</v>
      </c>
      <c r="C2012" t="s">
        <v>23</v>
      </c>
      <c r="D2012">
        <v>0</v>
      </c>
      <c r="E2012" t="s">
        <v>40</v>
      </c>
      <c r="F2012" t="s">
        <v>10</v>
      </c>
    </row>
    <row r="2013" spans="1:6" hidden="1" x14ac:dyDescent="0.35">
      <c r="A2013" t="s">
        <v>17</v>
      </c>
      <c r="B2013" t="s">
        <v>37</v>
      </c>
      <c r="C2013" t="s">
        <v>23</v>
      </c>
      <c r="D2013">
        <v>0</v>
      </c>
      <c r="E2013" t="s">
        <v>40</v>
      </c>
      <c r="F2013" t="s">
        <v>10</v>
      </c>
    </row>
    <row r="2014" spans="1:6" hidden="1" x14ac:dyDescent="0.35">
      <c r="A2014" t="s">
        <v>18</v>
      </c>
      <c r="B2014" t="s">
        <v>37</v>
      </c>
      <c r="C2014" t="s">
        <v>23</v>
      </c>
      <c r="D2014">
        <v>4268</v>
      </c>
      <c r="E2014" t="s">
        <v>40</v>
      </c>
      <c r="F2014" t="s">
        <v>10</v>
      </c>
    </row>
    <row r="2015" spans="1:6" hidden="1" x14ac:dyDescent="0.35">
      <c r="A2015" t="s">
        <v>19</v>
      </c>
      <c r="B2015" t="s">
        <v>37</v>
      </c>
      <c r="C2015" t="s">
        <v>23</v>
      </c>
      <c r="D2015">
        <v>1425</v>
      </c>
      <c r="E2015" t="s">
        <v>40</v>
      </c>
      <c r="F2015" t="s">
        <v>10</v>
      </c>
    </row>
    <row r="2016" spans="1:6" hidden="1" x14ac:dyDescent="0.35">
      <c r="A2016" t="s">
        <v>20</v>
      </c>
      <c r="B2016" t="s">
        <v>37</v>
      </c>
      <c r="C2016" t="s">
        <v>23</v>
      </c>
      <c r="D2016">
        <v>2138</v>
      </c>
      <c r="E2016" t="s">
        <v>40</v>
      </c>
      <c r="F2016" t="s">
        <v>10</v>
      </c>
    </row>
    <row r="2017" spans="1:6" hidden="1" x14ac:dyDescent="0.35">
      <c r="A2017" t="s">
        <v>21</v>
      </c>
      <c r="B2017" t="s">
        <v>37</v>
      </c>
      <c r="C2017" t="s">
        <v>23</v>
      </c>
      <c r="D2017">
        <v>3594</v>
      </c>
      <c r="E2017" t="s">
        <v>40</v>
      </c>
      <c r="F2017" t="s">
        <v>10</v>
      </c>
    </row>
    <row r="2018" spans="1:6" hidden="1" x14ac:dyDescent="0.35">
      <c r="A2018" t="s">
        <v>6</v>
      </c>
      <c r="B2018" t="s">
        <v>37</v>
      </c>
      <c r="C2018" t="s">
        <v>24</v>
      </c>
      <c r="D2018">
        <v>0</v>
      </c>
      <c r="E2018" t="s">
        <v>40</v>
      </c>
      <c r="F2018" t="s">
        <v>10</v>
      </c>
    </row>
    <row r="2019" spans="1:6" hidden="1" x14ac:dyDescent="0.35">
      <c r="A2019" t="s">
        <v>11</v>
      </c>
      <c r="B2019" t="s">
        <v>37</v>
      </c>
      <c r="C2019" t="s">
        <v>24</v>
      </c>
      <c r="D2019">
        <v>0</v>
      </c>
      <c r="E2019" t="s">
        <v>40</v>
      </c>
      <c r="F2019" t="s">
        <v>10</v>
      </c>
    </row>
    <row r="2020" spans="1:6" hidden="1" x14ac:dyDescent="0.35">
      <c r="A2020" t="s">
        <v>12</v>
      </c>
      <c r="B2020" t="s">
        <v>37</v>
      </c>
      <c r="C2020" t="s">
        <v>24</v>
      </c>
      <c r="D2020">
        <v>0</v>
      </c>
      <c r="E2020" t="s">
        <v>40</v>
      </c>
      <c r="F2020" t="s">
        <v>10</v>
      </c>
    </row>
    <row r="2021" spans="1:6" hidden="1" x14ac:dyDescent="0.35">
      <c r="A2021" t="s">
        <v>13</v>
      </c>
      <c r="B2021" t="s">
        <v>37</v>
      </c>
      <c r="C2021" t="s">
        <v>24</v>
      </c>
      <c r="D2021">
        <v>0</v>
      </c>
      <c r="E2021" t="s">
        <v>40</v>
      </c>
      <c r="F2021" t="s">
        <v>10</v>
      </c>
    </row>
    <row r="2022" spans="1:6" hidden="1" x14ac:dyDescent="0.35">
      <c r="A2022" t="s">
        <v>14</v>
      </c>
      <c r="B2022" t="s">
        <v>37</v>
      </c>
      <c r="C2022" t="s">
        <v>24</v>
      </c>
      <c r="D2022">
        <v>0</v>
      </c>
      <c r="E2022" t="s">
        <v>40</v>
      </c>
      <c r="F2022" t="s">
        <v>10</v>
      </c>
    </row>
    <row r="2023" spans="1:6" hidden="1" x14ac:dyDescent="0.35">
      <c r="A2023" t="s">
        <v>15</v>
      </c>
      <c r="B2023" t="s">
        <v>37</v>
      </c>
      <c r="C2023" t="s">
        <v>24</v>
      </c>
      <c r="D2023">
        <v>0</v>
      </c>
      <c r="E2023" t="s">
        <v>40</v>
      </c>
      <c r="F2023" t="s">
        <v>10</v>
      </c>
    </row>
    <row r="2024" spans="1:6" hidden="1" x14ac:dyDescent="0.35">
      <c r="A2024" t="s">
        <v>16</v>
      </c>
      <c r="B2024" t="s">
        <v>37</v>
      </c>
      <c r="C2024" t="s">
        <v>24</v>
      </c>
      <c r="D2024">
        <v>0</v>
      </c>
      <c r="E2024" t="s">
        <v>40</v>
      </c>
      <c r="F2024" t="s">
        <v>10</v>
      </c>
    </row>
    <row r="2025" spans="1:6" hidden="1" x14ac:dyDescent="0.35">
      <c r="A2025" t="s">
        <v>17</v>
      </c>
      <c r="B2025" t="s">
        <v>37</v>
      </c>
      <c r="C2025" t="s">
        <v>24</v>
      </c>
      <c r="D2025">
        <v>0</v>
      </c>
      <c r="E2025" t="s">
        <v>40</v>
      </c>
      <c r="F2025" t="s">
        <v>10</v>
      </c>
    </row>
    <row r="2026" spans="1:6" hidden="1" x14ac:dyDescent="0.35">
      <c r="A2026" t="s">
        <v>18</v>
      </c>
      <c r="B2026" t="s">
        <v>37</v>
      </c>
      <c r="C2026" t="s">
        <v>24</v>
      </c>
      <c r="D2026">
        <v>0</v>
      </c>
      <c r="E2026" t="s">
        <v>40</v>
      </c>
      <c r="F2026" t="s">
        <v>10</v>
      </c>
    </row>
    <row r="2027" spans="1:6" hidden="1" x14ac:dyDescent="0.35">
      <c r="A2027" t="s">
        <v>19</v>
      </c>
      <c r="B2027" t="s">
        <v>37</v>
      </c>
      <c r="C2027" t="s">
        <v>24</v>
      </c>
      <c r="D2027">
        <v>0</v>
      </c>
      <c r="E2027" t="s">
        <v>40</v>
      </c>
      <c r="F2027" t="s">
        <v>10</v>
      </c>
    </row>
    <row r="2028" spans="1:6" hidden="1" x14ac:dyDescent="0.35">
      <c r="A2028" t="s">
        <v>20</v>
      </c>
      <c r="B2028" t="s">
        <v>37</v>
      </c>
      <c r="C2028" t="s">
        <v>24</v>
      </c>
      <c r="D2028">
        <v>0</v>
      </c>
      <c r="E2028" t="s">
        <v>40</v>
      </c>
      <c r="F2028" t="s">
        <v>10</v>
      </c>
    </row>
    <row r="2029" spans="1:6" hidden="1" x14ac:dyDescent="0.35">
      <c r="A2029" t="s">
        <v>21</v>
      </c>
      <c r="B2029" t="s">
        <v>37</v>
      </c>
      <c r="C2029" t="s">
        <v>24</v>
      </c>
      <c r="D2029">
        <v>0</v>
      </c>
      <c r="E2029" t="s">
        <v>40</v>
      </c>
      <c r="F2029" t="s">
        <v>10</v>
      </c>
    </row>
    <row r="2030" spans="1:6" hidden="1" x14ac:dyDescent="0.35">
      <c r="A2030" t="s">
        <v>6</v>
      </c>
      <c r="B2030" t="s">
        <v>37</v>
      </c>
      <c r="C2030" t="s">
        <v>25</v>
      </c>
      <c r="D2030">
        <v>0</v>
      </c>
      <c r="E2030" t="s">
        <v>40</v>
      </c>
      <c r="F2030" t="s">
        <v>10</v>
      </c>
    </row>
    <row r="2031" spans="1:6" hidden="1" x14ac:dyDescent="0.35">
      <c r="A2031" t="s">
        <v>11</v>
      </c>
      <c r="B2031" t="s">
        <v>37</v>
      </c>
      <c r="C2031" t="s">
        <v>25</v>
      </c>
      <c r="D2031">
        <v>0</v>
      </c>
      <c r="E2031" t="s">
        <v>40</v>
      </c>
      <c r="F2031" t="s">
        <v>10</v>
      </c>
    </row>
    <row r="2032" spans="1:6" hidden="1" x14ac:dyDescent="0.35">
      <c r="A2032" t="s">
        <v>12</v>
      </c>
      <c r="B2032" t="s">
        <v>37</v>
      </c>
      <c r="C2032" t="s">
        <v>25</v>
      </c>
      <c r="D2032">
        <v>0</v>
      </c>
      <c r="E2032" t="s">
        <v>40</v>
      </c>
      <c r="F2032" t="s">
        <v>10</v>
      </c>
    </row>
    <row r="2033" spans="1:6" hidden="1" x14ac:dyDescent="0.35">
      <c r="A2033" t="s">
        <v>13</v>
      </c>
      <c r="B2033" t="s">
        <v>37</v>
      </c>
      <c r="C2033" t="s">
        <v>25</v>
      </c>
      <c r="D2033">
        <v>0</v>
      </c>
      <c r="E2033" t="s">
        <v>40</v>
      </c>
      <c r="F2033" t="s">
        <v>10</v>
      </c>
    </row>
    <row r="2034" spans="1:6" hidden="1" x14ac:dyDescent="0.35">
      <c r="A2034" t="s">
        <v>14</v>
      </c>
      <c r="B2034" t="s">
        <v>37</v>
      </c>
      <c r="C2034" t="s">
        <v>25</v>
      </c>
      <c r="D2034">
        <v>3862</v>
      </c>
      <c r="E2034" t="s">
        <v>40</v>
      </c>
      <c r="F2034" t="s">
        <v>10</v>
      </c>
    </row>
    <row r="2035" spans="1:6" hidden="1" x14ac:dyDescent="0.35">
      <c r="A2035" t="s">
        <v>15</v>
      </c>
      <c r="B2035" t="s">
        <v>37</v>
      </c>
      <c r="C2035" t="s">
        <v>25</v>
      </c>
      <c r="D2035">
        <v>0</v>
      </c>
      <c r="E2035" t="s">
        <v>40</v>
      </c>
      <c r="F2035" t="s">
        <v>10</v>
      </c>
    </row>
    <row r="2036" spans="1:6" hidden="1" x14ac:dyDescent="0.35">
      <c r="A2036" t="s">
        <v>16</v>
      </c>
      <c r="B2036" t="s">
        <v>37</v>
      </c>
      <c r="C2036" t="s">
        <v>25</v>
      </c>
      <c r="D2036">
        <v>0</v>
      </c>
      <c r="E2036" t="s">
        <v>40</v>
      </c>
      <c r="F2036" t="s">
        <v>10</v>
      </c>
    </row>
    <row r="2037" spans="1:6" hidden="1" x14ac:dyDescent="0.35">
      <c r="A2037" t="s">
        <v>17</v>
      </c>
      <c r="B2037" t="s">
        <v>37</v>
      </c>
      <c r="C2037" t="s">
        <v>25</v>
      </c>
      <c r="D2037">
        <v>0</v>
      </c>
      <c r="E2037" t="s">
        <v>40</v>
      </c>
      <c r="F2037" t="s">
        <v>10</v>
      </c>
    </row>
    <row r="2038" spans="1:6" hidden="1" x14ac:dyDescent="0.35">
      <c r="A2038" t="s">
        <v>18</v>
      </c>
      <c r="B2038" t="s">
        <v>37</v>
      </c>
      <c r="C2038" t="s">
        <v>25</v>
      </c>
      <c r="D2038">
        <v>0</v>
      </c>
      <c r="E2038" t="s">
        <v>40</v>
      </c>
      <c r="F2038" t="s">
        <v>10</v>
      </c>
    </row>
    <row r="2039" spans="1:6" hidden="1" x14ac:dyDescent="0.35">
      <c r="A2039" t="s">
        <v>19</v>
      </c>
      <c r="B2039" t="s">
        <v>37</v>
      </c>
      <c r="C2039" t="s">
        <v>25</v>
      </c>
      <c r="D2039">
        <v>0</v>
      </c>
      <c r="E2039" t="s">
        <v>40</v>
      </c>
      <c r="F2039" t="s">
        <v>10</v>
      </c>
    </row>
    <row r="2040" spans="1:6" hidden="1" x14ac:dyDescent="0.35">
      <c r="A2040" t="s">
        <v>20</v>
      </c>
      <c r="B2040" t="s">
        <v>37</v>
      </c>
      <c r="C2040" t="s">
        <v>25</v>
      </c>
      <c r="D2040">
        <v>0</v>
      </c>
      <c r="E2040" t="s">
        <v>40</v>
      </c>
      <c r="F2040" t="s">
        <v>10</v>
      </c>
    </row>
    <row r="2041" spans="1:6" hidden="1" x14ac:dyDescent="0.35">
      <c r="A2041" t="s">
        <v>21</v>
      </c>
      <c r="B2041" t="s">
        <v>37</v>
      </c>
      <c r="C2041" t="s">
        <v>25</v>
      </c>
      <c r="D2041">
        <v>0</v>
      </c>
      <c r="E2041" t="s">
        <v>40</v>
      </c>
      <c r="F2041" t="s">
        <v>10</v>
      </c>
    </row>
    <row r="2042" spans="1:6" hidden="1" x14ac:dyDescent="0.35">
      <c r="A2042" t="s">
        <v>6</v>
      </c>
      <c r="B2042" t="s">
        <v>37</v>
      </c>
      <c r="C2042" t="s">
        <v>26</v>
      </c>
      <c r="D2042">
        <v>0</v>
      </c>
      <c r="E2042" t="s">
        <v>40</v>
      </c>
      <c r="F2042" t="s">
        <v>10</v>
      </c>
    </row>
    <row r="2043" spans="1:6" hidden="1" x14ac:dyDescent="0.35">
      <c r="A2043" t="s">
        <v>11</v>
      </c>
      <c r="B2043" t="s">
        <v>37</v>
      </c>
      <c r="C2043" t="s">
        <v>26</v>
      </c>
      <c r="E2043" t="s">
        <v>40</v>
      </c>
      <c r="F2043" t="s">
        <v>10</v>
      </c>
    </row>
    <row r="2044" spans="1:6" hidden="1" x14ac:dyDescent="0.35">
      <c r="A2044" t="s">
        <v>12</v>
      </c>
      <c r="B2044" t="s">
        <v>37</v>
      </c>
      <c r="C2044" t="s">
        <v>26</v>
      </c>
      <c r="E2044" t="s">
        <v>40</v>
      </c>
      <c r="F2044" t="s">
        <v>10</v>
      </c>
    </row>
    <row r="2045" spans="1:6" hidden="1" x14ac:dyDescent="0.35">
      <c r="A2045" t="s">
        <v>13</v>
      </c>
      <c r="B2045" t="s">
        <v>37</v>
      </c>
      <c r="C2045" t="s">
        <v>26</v>
      </c>
      <c r="E2045" t="s">
        <v>40</v>
      </c>
      <c r="F2045" t="s">
        <v>10</v>
      </c>
    </row>
    <row r="2046" spans="1:6" hidden="1" x14ac:dyDescent="0.35">
      <c r="A2046" t="s">
        <v>14</v>
      </c>
      <c r="B2046" t="s">
        <v>37</v>
      </c>
      <c r="C2046" t="s">
        <v>26</v>
      </c>
      <c r="E2046" t="s">
        <v>40</v>
      </c>
      <c r="F2046" t="s">
        <v>10</v>
      </c>
    </row>
    <row r="2047" spans="1:6" hidden="1" x14ac:dyDescent="0.35">
      <c r="A2047" t="s">
        <v>15</v>
      </c>
      <c r="B2047" t="s">
        <v>37</v>
      </c>
      <c r="C2047" t="s">
        <v>26</v>
      </c>
      <c r="E2047" t="s">
        <v>40</v>
      </c>
      <c r="F2047" t="s">
        <v>10</v>
      </c>
    </row>
    <row r="2048" spans="1:6" hidden="1" x14ac:dyDescent="0.35">
      <c r="A2048" t="s">
        <v>16</v>
      </c>
      <c r="B2048" t="s">
        <v>37</v>
      </c>
      <c r="C2048" t="s">
        <v>26</v>
      </c>
      <c r="E2048" t="s">
        <v>40</v>
      </c>
      <c r="F2048" t="s">
        <v>10</v>
      </c>
    </row>
    <row r="2049" spans="1:6" hidden="1" x14ac:dyDescent="0.35">
      <c r="A2049" t="s">
        <v>17</v>
      </c>
      <c r="B2049" t="s">
        <v>37</v>
      </c>
      <c r="C2049" t="s">
        <v>26</v>
      </c>
      <c r="E2049" t="s">
        <v>40</v>
      </c>
      <c r="F2049" t="s">
        <v>10</v>
      </c>
    </row>
    <row r="2050" spans="1:6" hidden="1" x14ac:dyDescent="0.35">
      <c r="A2050" t="s">
        <v>18</v>
      </c>
      <c r="B2050" t="s">
        <v>37</v>
      </c>
      <c r="C2050" t="s">
        <v>26</v>
      </c>
      <c r="E2050" t="s">
        <v>40</v>
      </c>
      <c r="F2050" t="s">
        <v>10</v>
      </c>
    </row>
    <row r="2051" spans="1:6" hidden="1" x14ac:dyDescent="0.35">
      <c r="A2051" t="s">
        <v>19</v>
      </c>
      <c r="B2051" t="s">
        <v>37</v>
      </c>
      <c r="C2051" t="s">
        <v>26</v>
      </c>
      <c r="E2051" t="s">
        <v>40</v>
      </c>
      <c r="F2051" t="s">
        <v>10</v>
      </c>
    </row>
    <row r="2052" spans="1:6" hidden="1" x14ac:dyDescent="0.35">
      <c r="A2052" t="s">
        <v>20</v>
      </c>
      <c r="B2052" t="s">
        <v>37</v>
      </c>
      <c r="C2052" t="s">
        <v>26</v>
      </c>
      <c r="E2052" t="s">
        <v>40</v>
      </c>
      <c r="F2052" t="s">
        <v>10</v>
      </c>
    </row>
    <row r="2053" spans="1:6" hidden="1" x14ac:dyDescent="0.35">
      <c r="A2053" t="s">
        <v>21</v>
      </c>
      <c r="B2053" t="s">
        <v>37</v>
      </c>
      <c r="C2053" t="s">
        <v>26</v>
      </c>
      <c r="E2053" t="s">
        <v>40</v>
      </c>
      <c r="F2053" t="s">
        <v>10</v>
      </c>
    </row>
    <row r="2054" spans="1:6" hidden="1" x14ac:dyDescent="0.35">
      <c r="A2054" t="s">
        <v>6</v>
      </c>
      <c r="B2054" t="s">
        <v>37</v>
      </c>
      <c r="C2054" t="s">
        <v>27</v>
      </c>
      <c r="D2054">
        <v>255200</v>
      </c>
      <c r="E2054" t="s">
        <v>40</v>
      </c>
      <c r="F2054" t="s">
        <v>10</v>
      </c>
    </row>
    <row r="2055" spans="1:6" hidden="1" x14ac:dyDescent="0.35">
      <c r="A2055" t="s">
        <v>11</v>
      </c>
      <c r="B2055" t="s">
        <v>37</v>
      </c>
      <c r="C2055" t="s">
        <v>27</v>
      </c>
      <c r="D2055">
        <v>43972</v>
      </c>
      <c r="E2055" t="s">
        <v>40</v>
      </c>
      <c r="F2055" t="s">
        <v>10</v>
      </c>
    </row>
    <row r="2056" spans="1:6" hidden="1" x14ac:dyDescent="0.35">
      <c r="A2056" t="s">
        <v>12</v>
      </c>
      <c r="B2056" t="s">
        <v>37</v>
      </c>
      <c r="C2056" t="s">
        <v>27</v>
      </c>
      <c r="D2056">
        <v>69316</v>
      </c>
      <c r="E2056" t="s">
        <v>40</v>
      </c>
      <c r="F2056" t="s">
        <v>10</v>
      </c>
    </row>
    <row r="2057" spans="1:6" hidden="1" x14ac:dyDescent="0.35">
      <c r="A2057" t="s">
        <v>13</v>
      </c>
      <c r="B2057" t="s">
        <v>37</v>
      </c>
      <c r="C2057" t="s">
        <v>27</v>
      </c>
      <c r="D2057">
        <v>86978</v>
      </c>
      <c r="E2057" t="s">
        <v>40</v>
      </c>
      <c r="F2057" t="s">
        <v>10</v>
      </c>
    </row>
    <row r="2058" spans="1:6" hidden="1" x14ac:dyDescent="0.35">
      <c r="A2058" t="s">
        <v>14</v>
      </c>
      <c r="B2058" t="s">
        <v>37</v>
      </c>
      <c r="C2058" t="s">
        <v>27</v>
      </c>
      <c r="D2058">
        <v>51794</v>
      </c>
      <c r="E2058" t="s">
        <v>40</v>
      </c>
      <c r="F2058" t="s">
        <v>10</v>
      </c>
    </row>
    <row r="2059" spans="1:6" hidden="1" x14ac:dyDescent="0.35">
      <c r="A2059" t="s">
        <v>15</v>
      </c>
      <c r="B2059" t="s">
        <v>37</v>
      </c>
      <c r="C2059" t="s">
        <v>27</v>
      </c>
      <c r="D2059">
        <v>275863</v>
      </c>
      <c r="E2059" t="s">
        <v>40</v>
      </c>
      <c r="F2059" t="s">
        <v>10</v>
      </c>
    </row>
    <row r="2060" spans="1:6" hidden="1" x14ac:dyDescent="0.35">
      <c r="A2060" t="s">
        <v>16</v>
      </c>
      <c r="B2060" t="s">
        <v>37</v>
      </c>
      <c r="C2060" t="s">
        <v>27</v>
      </c>
      <c r="D2060">
        <v>226503</v>
      </c>
      <c r="E2060" t="s">
        <v>40</v>
      </c>
      <c r="F2060" t="s">
        <v>10</v>
      </c>
    </row>
    <row r="2061" spans="1:6" hidden="1" x14ac:dyDescent="0.35">
      <c r="A2061" t="s">
        <v>17</v>
      </c>
      <c r="B2061" t="s">
        <v>37</v>
      </c>
      <c r="C2061" t="s">
        <v>27</v>
      </c>
      <c r="D2061">
        <v>218953</v>
      </c>
      <c r="E2061" t="s">
        <v>40</v>
      </c>
      <c r="F2061" t="s">
        <v>10</v>
      </c>
    </row>
    <row r="2062" spans="1:6" hidden="1" x14ac:dyDescent="0.35">
      <c r="A2062" t="s">
        <v>18</v>
      </c>
      <c r="B2062" t="s">
        <v>37</v>
      </c>
      <c r="C2062" t="s">
        <v>27</v>
      </c>
      <c r="D2062">
        <v>71603</v>
      </c>
      <c r="E2062" t="s">
        <v>40</v>
      </c>
      <c r="F2062" t="s">
        <v>10</v>
      </c>
    </row>
    <row r="2063" spans="1:6" hidden="1" x14ac:dyDescent="0.35">
      <c r="A2063" t="s">
        <v>19</v>
      </c>
      <c r="B2063" t="s">
        <v>37</v>
      </c>
      <c r="C2063" t="s">
        <v>27</v>
      </c>
      <c r="D2063">
        <v>143883</v>
      </c>
      <c r="E2063" t="s">
        <v>40</v>
      </c>
      <c r="F2063" t="s">
        <v>10</v>
      </c>
    </row>
    <row r="2064" spans="1:6" hidden="1" x14ac:dyDescent="0.35">
      <c r="A2064" t="s">
        <v>20</v>
      </c>
      <c r="B2064" t="s">
        <v>37</v>
      </c>
      <c r="C2064" t="s">
        <v>27</v>
      </c>
      <c r="D2064">
        <v>116418</v>
      </c>
      <c r="E2064" t="s">
        <v>40</v>
      </c>
      <c r="F2064" t="s">
        <v>10</v>
      </c>
    </row>
    <row r="2065" spans="1:6" hidden="1" x14ac:dyDescent="0.35">
      <c r="A2065" t="s">
        <v>21</v>
      </c>
      <c r="B2065" t="s">
        <v>37</v>
      </c>
      <c r="C2065" t="s">
        <v>27</v>
      </c>
      <c r="D2065">
        <v>89982</v>
      </c>
      <c r="E2065" t="s">
        <v>40</v>
      </c>
      <c r="F2065" t="s">
        <v>10</v>
      </c>
    </row>
    <row r="2066" spans="1:6" hidden="1" x14ac:dyDescent="0.35">
      <c r="A2066" t="s">
        <v>6</v>
      </c>
      <c r="B2066" t="s">
        <v>37</v>
      </c>
      <c r="C2066" t="s">
        <v>28</v>
      </c>
      <c r="D2066">
        <v>8502</v>
      </c>
      <c r="E2066" t="s">
        <v>40</v>
      </c>
      <c r="F2066" t="s">
        <v>10</v>
      </c>
    </row>
    <row r="2067" spans="1:6" hidden="1" x14ac:dyDescent="0.35">
      <c r="A2067" t="s">
        <v>11</v>
      </c>
      <c r="B2067" t="s">
        <v>37</v>
      </c>
      <c r="C2067" t="s">
        <v>28</v>
      </c>
      <c r="D2067">
        <v>14488</v>
      </c>
      <c r="E2067" t="s">
        <v>40</v>
      </c>
      <c r="F2067" t="s">
        <v>10</v>
      </c>
    </row>
    <row r="2068" spans="1:6" hidden="1" x14ac:dyDescent="0.35">
      <c r="A2068" t="s">
        <v>12</v>
      </c>
      <c r="B2068" t="s">
        <v>37</v>
      </c>
      <c r="C2068" t="s">
        <v>28</v>
      </c>
      <c r="D2068">
        <v>3964</v>
      </c>
      <c r="E2068" t="s">
        <v>40</v>
      </c>
      <c r="F2068" t="s">
        <v>10</v>
      </c>
    </row>
    <row r="2069" spans="1:6" hidden="1" x14ac:dyDescent="0.35">
      <c r="A2069" t="s">
        <v>13</v>
      </c>
      <c r="B2069" t="s">
        <v>37</v>
      </c>
      <c r="C2069" t="s">
        <v>28</v>
      </c>
      <c r="D2069">
        <v>51170</v>
      </c>
      <c r="E2069" t="s">
        <v>40</v>
      </c>
      <c r="F2069" t="s">
        <v>10</v>
      </c>
    </row>
    <row r="2070" spans="1:6" hidden="1" x14ac:dyDescent="0.35">
      <c r="A2070" t="s">
        <v>14</v>
      </c>
      <c r="B2070" t="s">
        <v>37</v>
      </c>
      <c r="C2070" t="s">
        <v>28</v>
      </c>
      <c r="D2070">
        <v>27409</v>
      </c>
      <c r="E2070" t="s">
        <v>40</v>
      </c>
      <c r="F2070" t="s">
        <v>10</v>
      </c>
    </row>
    <row r="2071" spans="1:6" hidden="1" x14ac:dyDescent="0.35">
      <c r="A2071" t="s">
        <v>15</v>
      </c>
      <c r="B2071" t="s">
        <v>37</v>
      </c>
      <c r="C2071" t="s">
        <v>28</v>
      </c>
      <c r="D2071">
        <v>71211</v>
      </c>
      <c r="E2071" t="s">
        <v>40</v>
      </c>
      <c r="F2071" t="s">
        <v>10</v>
      </c>
    </row>
    <row r="2072" spans="1:6" hidden="1" x14ac:dyDescent="0.35">
      <c r="A2072" t="s">
        <v>16</v>
      </c>
      <c r="B2072" t="s">
        <v>37</v>
      </c>
      <c r="C2072" t="s">
        <v>28</v>
      </c>
      <c r="D2072">
        <v>31684</v>
      </c>
      <c r="E2072" t="s">
        <v>40</v>
      </c>
      <c r="F2072" t="s">
        <v>10</v>
      </c>
    </row>
    <row r="2073" spans="1:6" hidden="1" x14ac:dyDescent="0.35">
      <c r="A2073" t="s">
        <v>17</v>
      </c>
      <c r="B2073" t="s">
        <v>37</v>
      </c>
      <c r="C2073" t="s">
        <v>28</v>
      </c>
      <c r="D2073">
        <v>27851</v>
      </c>
      <c r="E2073" t="s">
        <v>40</v>
      </c>
      <c r="F2073" t="s">
        <v>10</v>
      </c>
    </row>
    <row r="2074" spans="1:6" hidden="1" x14ac:dyDescent="0.35">
      <c r="A2074" t="s">
        <v>18</v>
      </c>
      <c r="B2074" t="s">
        <v>37</v>
      </c>
      <c r="C2074" t="s">
        <v>28</v>
      </c>
      <c r="D2074">
        <v>16348</v>
      </c>
      <c r="E2074" t="s">
        <v>40</v>
      </c>
      <c r="F2074" t="s">
        <v>10</v>
      </c>
    </row>
    <row r="2075" spans="1:6" hidden="1" x14ac:dyDescent="0.35">
      <c r="A2075" t="s">
        <v>19</v>
      </c>
      <c r="B2075" t="s">
        <v>37</v>
      </c>
      <c r="C2075" t="s">
        <v>28</v>
      </c>
      <c r="D2075">
        <v>67278</v>
      </c>
      <c r="E2075" t="s">
        <v>40</v>
      </c>
      <c r="F2075" t="s">
        <v>10</v>
      </c>
    </row>
    <row r="2076" spans="1:6" hidden="1" x14ac:dyDescent="0.35">
      <c r="A2076" t="s">
        <v>20</v>
      </c>
      <c r="B2076" t="s">
        <v>37</v>
      </c>
      <c r="C2076" t="s">
        <v>28</v>
      </c>
      <c r="D2076">
        <v>115101</v>
      </c>
      <c r="E2076" t="s">
        <v>40</v>
      </c>
      <c r="F2076" t="s">
        <v>10</v>
      </c>
    </row>
    <row r="2077" spans="1:6" hidden="1" x14ac:dyDescent="0.35">
      <c r="A2077" t="s">
        <v>21</v>
      </c>
      <c r="B2077" t="s">
        <v>37</v>
      </c>
      <c r="C2077" t="s">
        <v>28</v>
      </c>
      <c r="D2077">
        <v>40139</v>
      </c>
      <c r="E2077" t="s">
        <v>40</v>
      </c>
      <c r="F2077" t="s">
        <v>10</v>
      </c>
    </row>
    <row r="2078" spans="1:6" hidden="1" x14ac:dyDescent="0.35">
      <c r="A2078" t="s">
        <v>6</v>
      </c>
      <c r="B2078" t="s">
        <v>37</v>
      </c>
      <c r="C2078" t="s">
        <v>29</v>
      </c>
      <c r="D2078">
        <v>32</v>
      </c>
      <c r="E2078" t="s">
        <v>40</v>
      </c>
      <c r="F2078" t="s">
        <v>10</v>
      </c>
    </row>
    <row r="2079" spans="1:6" hidden="1" x14ac:dyDescent="0.35">
      <c r="A2079" t="s">
        <v>11</v>
      </c>
      <c r="B2079" t="s">
        <v>37</v>
      </c>
      <c r="C2079" t="s">
        <v>29</v>
      </c>
      <c r="D2079">
        <v>14</v>
      </c>
      <c r="E2079" t="s">
        <v>40</v>
      </c>
      <c r="F2079" t="s">
        <v>10</v>
      </c>
    </row>
    <row r="2080" spans="1:6" hidden="1" x14ac:dyDescent="0.35">
      <c r="A2080" t="s">
        <v>12</v>
      </c>
      <c r="B2080" t="s">
        <v>37</v>
      </c>
      <c r="C2080" t="s">
        <v>29</v>
      </c>
      <c r="D2080">
        <v>14</v>
      </c>
      <c r="E2080" t="s">
        <v>40</v>
      </c>
      <c r="F2080" t="s">
        <v>10</v>
      </c>
    </row>
    <row r="2081" spans="1:6" hidden="1" x14ac:dyDescent="0.35">
      <c r="A2081" t="s">
        <v>13</v>
      </c>
      <c r="B2081" t="s">
        <v>37</v>
      </c>
      <c r="C2081" t="s">
        <v>29</v>
      </c>
      <c r="D2081">
        <v>20</v>
      </c>
      <c r="E2081" t="s">
        <v>40</v>
      </c>
      <c r="F2081" t="s">
        <v>10</v>
      </c>
    </row>
    <row r="2082" spans="1:6" hidden="1" x14ac:dyDescent="0.35">
      <c r="A2082" t="s">
        <v>14</v>
      </c>
      <c r="B2082" t="s">
        <v>37</v>
      </c>
      <c r="C2082" t="s">
        <v>29</v>
      </c>
      <c r="D2082">
        <v>13</v>
      </c>
      <c r="E2082" t="s">
        <v>40</v>
      </c>
      <c r="F2082" t="s">
        <v>10</v>
      </c>
    </row>
    <row r="2083" spans="1:6" hidden="1" x14ac:dyDescent="0.35">
      <c r="A2083" t="s">
        <v>15</v>
      </c>
      <c r="B2083" t="s">
        <v>37</v>
      </c>
      <c r="C2083" t="s">
        <v>29</v>
      </c>
      <c r="D2083">
        <v>16</v>
      </c>
      <c r="E2083" t="s">
        <v>40</v>
      </c>
      <c r="F2083" t="s">
        <v>10</v>
      </c>
    </row>
    <row r="2084" spans="1:6" hidden="1" x14ac:dyDescent="0.35">
      <c r="A2084" t="s">
        <v>16</v>
      </c>
      <c r="B2084" t="s">
        <v>37</v>
      </c>
      <c r="C2084" t="s">
        <v>29</v>
      </c>
      <c r="D2084">
        <v>22</v>
      </c>
      <c r="E2084" t="s">
        <v>40</v>
      </c>
      <c r="F2084" t="s">
        <v>10</v>
      </c>
    </row>
    <row r="2085" spans="1:6" hidden="1" x14ac:dyDescent="0.35">
      <c r="A2085" t="s">
        <v>17</v>
      </c>
      <c r="B2085" t="s">
        <v>37</v>
      </c>
      <c r="C2085" t="s">
        <v>29</v>
      </c>
      <c r="D2085">
        <v>27</v>
      </c>
      <c r="E2085" t="s">
        <v>40</v>
      </c>
      <c r="F2085" t="s">
        <v>10</v>
      </c>
    </row>
    <row r="2086" spans="1:6" hidden="1" x14ac:dyDescent="0.35">
      <c r="A2086" t="s">
        <v>18</v>
      </c>
      <c r="B2086" t="s">
        <v>37</v>
      </c>
      <c r="C2086" t="s">
        <v>29</v>
      </c>
      <c r="D2086">
        <v>36</v>
      </c>
      <c r="E2086" t="s">
        <v>40</v>
      </c>
      <c r="F2086" t="s">
        <v>10</v>
      </c>
    </row>
    <row r="2087" spans="1:6" hidden="1" x14ac:dyDescent="0.35">
      <c r="A2087" t="s">
        <v>19</v>
      </c>
      <c r="B2087" t="s">
        <v>37</v>
      </c>
      <c r="C2087" t="s">
        <v>29</v>
      </c>
      <c r="D2087">
        <v>48</v>
      </c>
      <c r="E2087" t="s">
        <v>40</v>
      </c>
      <c r="F2087" t="s">
        <v>10</v>
      </c>
    </row>
    <row r="2088" spans="1:6" hidden="1" x14ac:dyDescent="0.35">
      <c r="A2088" t="s">
        <v>20</v>
      </c>
      <c r="B2088" t="s">
        <v>37</v>
      </c>
      <c r="C2088" t="s">
        <v>29</v>
      </c>
      <c r="D2088">
        <v>14</v>
      </c>
      <c r="E2088" t="s">
        <v>40</v>
      </c>
      <c r="F2088" t="s">
        <v>10</v>
      </c>
    </row>
    <row r="2089" spans="1:6" hidden="1" x14ac:dyDescent="0.35">
      <c r="A2089" t="s">
        <v>21</v>
      </c>
      <c r="B2089" t="s">
        <v>37</v>
      </c>
      <c r="C2089" t="s">
        <v>29</v>
      </c>
      <c r="D2089">
        <v>14</v>
      </c>
      <c r="E2089" t="s">
        <v>40</v>
      </c>
      <c r="F2089" t="s">
        <v>10</v>
      </c>
    </row>
    <row r="2090" spans="1:6" hidden="1" x14ac:dyDescent="0.35">
      <c r="A2090" t="s">
        <v>6</v>
      </c>
      <c r="B2090" t="s">
        <v>37</v>
      </c>
      <c r="C2090" t="s">
        <v>30</v>
      </c>
      <c r="D2090">
        <v>3</v>
      </c>
      <c r="E2090" t="s">
        <v>40</v>
      </c>
      <c r="F2090" t="s">
        <v>10</v>
      </c>
    </row>
    <row r="2091" spans="1:6" hidden="1" x14ac:dyDescent="0.35">
      <c r="A2091" t="s">
        <v>11</v>
      </c>
      <c r="B2091" t="s">
        <v>37</v>
      </c>
      <c r="C2091" t="s">
        <v>30</v>
      </c>
      <c r="D2091">
        <v>4</v>
      </c>
      <c r="E2091" t="s">
        <v>40</v>
      </c>
      <c r="F2091" t="s">
        <v>10</v>
      </c>
    </row>
    <row r="2092" spans="1:6" hidden="1" x14ac:dyDescent="0.35">
      <c r="A2092" t="s">
        <v>12</v>
      </c>
      <c r="B2092" t="s">
        <v>37</v>
      </c>
      <c r="C2092" t="s">
        <v>30</v>
      </c>
      <c r="D2092">
        <v>10</v>
      </c>
      <c r="E2092" t="s">
        <v>40</v>
      </c>
      <c r="F2092" t="s">
        <v>10</v>
      </c>
    </row>
    <row r="2093" spans="1:6" hidden="1" x14ac:dyDescent="0.35">
      <c r="A2093" t="s">
        <v>13</v>
      </c>
      <c r="B2093" t="s">
        <v>37</v>
      </c>
      <c r="C2093" t="s">
        <v>30</v>
      </c>
      <c r="D2093">
        <v>8</v>
      </c>
      <c r="E2093" t="s">
        <v>40</v>
      </c>
      <c r="F2093" t="s">
        <v>10</v>
      </c>
    </row>
    <row r="2094" spans="1:6" hidden="1" x14ac:dyDescent="0.35">
      <c r="A2094" t="s">
        <v>14</v>
      </c>
      <c r="B2094" t="s">
        <v>37</v>
      </c>
      <c r="C2094" t="s">
        <v>30</v>
      </c>
      <c r="D2094">
        <v>6</v>
      </c>
      <c r="E2094" t="s">
        <v>40</v>
      </c>
      <c r="F2094" t="s">
        <v>10</v>
      </c>
    </row>
    <row r="2095" spans="1:6" hidden="1" x14ac:dyDescent="0.35">
      <c r="A2095" t="s">
        <v>15</v>
      </c>
      <c r="B2095" t="s">
        <v>37</v>
      </c>
      <c r="C2095" t="s">
        <v>30</v>
      </c>
      <c r="D2095">
        <v>5</v>
      </c>
      <c r="E2095" t="s">
        <v>40</v>
      </c>
      <c r="F2095" t="s">
        <v>10</v>
      </c>
    </row>
    <row r="2096" spans="1:6" hidden="1" x14ac:dyDescent="0.35">
      <c r="A2096" t="s">
        <v>16</v>
      </c>
      <c r="B2096" t="s">
        <v>37</v>
      </c>
      <c r="C2096" t="s">
        <v>30</v>
      </c>
      <c r="D2096">
        <v>7</v>
      </c>
      <c r="E2096" t="s">
        <v>40</v>
      </c>
      <c r="F2096" t="s">
        <v>10</v>
      </c>
    </row>
    <row r="2097" spans="1:6" hidden="1" x14ac:dyDescent="0.35">
      <c r="A2097" t="s">
        <v>17</v>
      </c>
      <c r="B2097" t="s">
        <v>37</v>
      </c>
      <c r="C2097" t="s">
        <v>30</v>
      </c>
      <c r="D2097">
        <v>4</v>
      </c>
      <c r="E2097" t="s">
        <v>40</v>
      </c>
      <c r="F2097" t="s">
        <v>10</v>
      </c>
    </row>
    <row r="2098" spans="1:6" hidden="1" x14ac:dyDescent="0.35">
      <c r="A2098" t="s">
        <v>18</v>
      </c>
      <c r="B2098" t="s">
        <v>37</v>
      </c>
      <c r="C2098" t="s">
        <v>30</v>
      </c>
      <c r="D2098">
        <v>4</v>
      </c>
      <c r="E2098" t="s">
        <v>40</v>
      </c>
      <c r="F2098" t="s">
        <v>10</v>
      </c>
    </row>
    <row r="2099" spans="1:6" hidden="1" x14ac:dyDescent="0.35">
      <c r="A2099" t="s">
        <v>19</v>
      </c>
      <c r="B2099" t="s">
        <v>37</v>
      </c>
      <c r="C2099" t="s">
        <v>30</v>
      </c>
      <c r="D2099">
        <v>11</v>
      </c>
      <c r="E2099" t="s">
        <v>40</v>
      </c>
      <c r="F2099" t="s">
        <v>10</v>
      </c>
    </row>
    <row r="2100" spans="1:6" hidden="1" x14ac:dyDescent="0.35">
      <c r="A2100" t="s">
        <v>20</v>
      </c>
      <c r="B2100" t="s">
        <v>37</v>
      </c>
      <c r="C2100" t="s">
        <v>30</v>
      </c>
      <c r="D2100">
        <v>13</v>
      </c>
      <c r="E2100" t="s">
        <v>40</v>
      </c>
      <c r="F2100" t="s">
        <v>10</v>
      </c>
    </row>
    <row r="2101" spans="1:6" hidden="1" x14ac:dyDescent="0.35">
      <c r="A2101" t="s">
        <v>21</v>
      </c>
      <c r="B2101" t="s">
        <v>37</v>
      </c>
      <c r="C2101" t="s">
        <v>30</v>
      </c>
      <c r="D2101">
        <v>17</v>
      </c>
      <c r="E2101" t="s">
        <v>40</v>
      </c>
      <c r="F2101" t="s">
        <v>10</v>
      </c>
    </row>
    <row r="2102" spans="1:6" hidden="1" x14ac:dyDescent="0.35">
      <c r="A2102" t="s">
        <v>6</v>
      </c>
      <c r="B2102" t="s">
        <v>37</v>
      </c>
      <c r="C2102" t="s">
        <v>31</v>
      </c>
      <c r="D2102">
        <v>20</v>
      </c>
      <c r="E2102" t="s">
        <v>40</v>
      </c>
      <c r="F2102" t="s">
        <v>10</v>
      </c>
    </row>
    <row r="2103" spans="1:6" hidden="1" x14ac:dyDescent="0.35">
      <c r="A2103" t="s">
        <v>11</v>
      </c>
      <c r="B2103" t="s">
        <v>37</v>
      </c>
      <c r="C2103" t="s">
        <v>31</v>
      </c>
      <c r="D2103">
        <v>8</v>
      </c>
      <c r="E2103" t="s">
        <v>40</v>
      </c>
      <c r="F2103" t="s">
        <v>10</v>
      </c>
    </row>
    <row r="2104" spans="1:6" hidden="1" x14ac:dyDescent="0.35">
      <c r="A2104" t="s">
        <v>12</v>
      </c>
      <c r="B2104" t="s">
        <v>37</v>
      </c>
      <c r="C2104" t="s">
        <v>31</v>
      </c>
      <c r="D2104">
        <v>2</v>
      </c>
      <c r="E2104" t="s">
        <v>40</v>
      </c>
      <c r="F2104" t="s">
        <v>10</v>
      </c>
    </row>
    <row r="2105" spans="1:6" hidden="1" x14ac:dyDescent="0.35">
      <c r="A2105" t="s">
        <v>13</v>
      </c>
      <c r="B2105" t="s">
        <v>37</v>
      </c>
      <c r="C2105" t="s">
        <v>31</v>
      </c>
      <c r="D2105">
        <v>9</v>
      </c>
      <c r="E2105" t="s">
        <v>40</v>
      </c>
      <c r="F2105" t="s">
        <v>10</v>
      </c>
    </row>
    <row r="2106" spans="1:6" hidden="1" x14ac:dyDescent="0.35">
      <c r="A2106" t="s">
        <v>14</v>
      </c>
      <c r="B2106" t="s">
        <v>37</v>
      </c>
      <c r="C2106" t="s">
        <v>31</v>
      </c>
      <c r="D2106">
        <v>5</v>
      </c>
      <c r="E2106" t="s">
        <v>40</v>
      </c>
      <c r="F2106" t="s">
        <v>10</v>
      </c>
    </row>
    <row r="2107" spans="1:6" hidden="1" x14ac:dyDescent="0.35">
      <c r="A2107" t="s">
        <v>15</v>
      </c>
      <c r="B2107" t="s">
        <v>37</v>
      </c>
      <c r="C2107" t="s">
        <v>31</v>
      </c>
      <c r="D2107">
        <v>4</v>
      </c>
      <c r="E2107" t="s">
        <v>40</v>
      </c>
      <c r="F2107" t="s">
        <v>10</v>
      </c>
    </row>
    <row r="2108" spans="1:6" hidden="1" x14ac:dyDescent="0.35">
      <c r="A2108" t="s">
        <v>16</v>
      </c>
      <c r="B2108" t="s">
        <v>37</v>
      </c>
      <c r="C2108" t="s">
        <v>31</v>
      </c>
      <c r="D2108">
        <v>3</v>
      </c>
      <c r="E2108" t="s">
        <v>40</v>
      </c>
      <c r="F2108" t="s">
        <v>10</v>
      </c>
    </row>
    <row r="2109" spans="1:6" hidden="1" x14ac:dyDescent="0.35">
      <c r="A2109" t="s">
        <v>17</v>
      </c>
      <c r="B2109" t="s">
        <v>37</v>
      </c>
      <c r="C2109" t="s">
        <v>31</v>
      </c>
      <c r="D2109">
        <v>5</v>
      </c>
      <c r="E2109" t="s">
        <v>40</v>
      </c>
      <c r="F2109" t="s">
        <v>10</v>
      </c>
    </row>
    <row r="2110" spans="1:6" hidden="1" x14ac:dyDescent="0.35">
      <c r="A2110" t="s">
        <v>18</v>
      </c>
      <c r="B2110" t="s">
        <v>37</v>
      </c>
      <c r="C2110" t="s">
        <v>31</v>
      </c>
      <c r="D2110">
        <v>4</v>
      </c>
      <c r="E2110" t="s">
        <v>40</v>
      </c>
      <c r="F2110" t="s">
        <v>10</v>
      </c>
    </row>
    <row r="2111" spans="1:6" hidden="1" x14ac:dyDescent="0.35">
      <c r="A2111" t="s">
        <v>19</v>
      </c>
      <c r="B2111" t="s">
        <v>37</v>
      </c>
      <c r="C2111" t="s">
        <v>31</v>
      </c>
      <c r="D2111">
        <v>4</v>
      </c>
      <c r="E2111" t="s">
        <v>40</v>
      </c>
      <c r="F2111" t="s">
        <v>10</v>
      </c>
    </row>
    <row r="2112" spans="1:6" hidden="1" x14ac:dyDescent="0.35">
      <c r="A2112" t="s">
        <v>20</v>
      </c>
      <c r="B2112" t="s">
        <v>37</v>
      </c>
      <c r="C2112" t="s">
        <v>31</v>
      </c>
      <c r="D2112">
        <v>5</v>
      </c>
      <c r="E2112" t="s">
        <v>40</v>
      </c>
      <c r="F2112" t="s">
        <v>10</v>
      </c>
    </row>
    <row r="2113" spans="1:6" hidden="1" x14ac:dyDescent="0.35">
      <c r="A2113" t="s">
        <v>21</v>
      </c>
      <c r="B2113" t="s">
        <v>37</v>
      </c>
      <c r="C2113" t="s">
        <v>31</v>
      </c>
      <c r="D2113">
        <v>3</v>
      </c>
      <c r="E2113" t="s">
        <v>40</v>
      </c>
      <c r="F2113" t="s">
        <v>10</v>
      </c>
    </row>
    <row r="2114" spans="1:6" hidden="1" x14ac:dyDescent="0.35">
      <c r="A2114" t="s">
        <v>6</v>
      </c>
      <c r="B2114" t="s">
        <v>38</v>
      </c>
      <c r="C2114" t="s">
        <v>8</v>
      </c>
      <c r="D2114">
        <v>1085982</v>
      </c>
      <c r="E2114" t="s">
        <v>40</v>
      </c>
      <c r="F2114" t="s">
        <v>10</v>
      </c>
    </row>
    <row r="2115" spans="1:6" hidden="1" x14ac:dyDescent="0.35">
      <c r="A2115" t="s">
        <v>11</v>
      </c>
      <c r="B2115" t="s">
        <v>38</v>
      </c>
      <c r="C2115" t="s">
        <v>8</v>
      </c>
      <c r="D2115">
        <v>1460219</v>
      </c>
      <c r="E2115" t="s">
        <v>40</v>
      </c>
      <c r="F2115" t="s">
        <v>10</v>
      </c>
    </row>
    <row r="2116" spans="1:6" hidden="1" x14ac:dyDescent="0.35">
      <c r="A2116" t="s">
        <v>12</v>
      </c>
      <c r="B2116" t="s">
        <v>38</v>
      </c>
      <c r="C2116" t="s">
        <v>8</v>
      </c>
      <c r="D2116">
        <v>616778</v>
      </c>
      <c r="E2116" t="s">
        <v>40</v>
      </c>
      <c r="F2116" t="s">
        <v>10</v>
      </c>
    </row>
    <row r="2117" spans="1:6" hidden="1" x14ac:dyDescent="0.35">
      <c r="A2117" t="s">
        <v>13</v>
      </c>
      <c r="B2117" t="s">
        <v>38</v>
      </c>
      <c r="C2117" t="s">
        <v>8</v>
      </c>
      <c r="D2117">
        <v>1006498</v>
      </c>
      <c r="E2117" t="s">
        <v>40</v>
      </c>
      <c r="F2117" t="s">
        <v>10</v>
      </c>
    </row>
    <row r="2118" spans="1:6" hidden="1" x14ac:dyDescent="0.35">
      <c r="A2118" t="s">
        <v>14</v>
      </c>
      <c r="B2118" t="s">
        <v>38</v>
      </c>
      <c r="C2118" t="s">
        <v>8</v>
      </c>
      <c r="D2118">
        <v>1212833</v>
      </c>
      <c r="E2118" t="s">
        <v>40</v>
      </c>
      <c r="F2118" t="s">
        <v>10</v>
      </c>
    </row>
    <row r="2119" spans="1:6" hidden="1" x14ac:dyDescent="0.35">
      <c r="A2119" t="s">
        <v>15</v>
      </c>
      <c r="B2119" t="s">
        <v>38</v>
      </c>
      <c r="C2119" t="s">
        <v>8</v>
      </c>
      <c r="D2119">
        <v>814828</v>
      </c>
      <c r="E2119" t="s">
        <v>40</v>
      </c>
      <c r="F2119" t="s">
        <v>10</v>
      </c>
    </row>
    <row r="2120" spans="1:6" hidden="1" x14ac:dyDescent="0.35">
      <c r="A2120" t="s">
        <v>16</v>
      </c>
      <c r="B2120" t="s">
        <v>38</v>
      </c>
      <c r="C2120" t="s">
        <v>8</v>
      </c>
      <c r="D2120">
        <v>711595</v>
      </c>
      <c r="E2120" t="s">
        <v>40</v>
      </c>
      <c r="F2120" t="s">
        <v>10</v>
      </c>
    </row>
    <row r="2121" spans="1:6" hidden="1" x14ac:dyDescent="0.35">
      <c r="A2121" t="s">
        <v>17</v>
      </c>
      <c r="B2121" t="s">
        <v>38</v>
      </c>
      <c r="C2121" t="s">
        <v>8</v>
      </c>
      <c r="D2121">
        <v>979037</v>
      </c>
      <c r="E2121" t="s">
        <v>40</v>
      </c>
      <c r="F2121" t="s">
        <v>10</v>
      </c>
    </row>
    <row r="2122" spans="1:6" hidden="1" x14ac:dyDescent="0.35">
      <c r="A2122" t="s">
        <v>18</v>
      </c>
      <c r="B2122" t="s">
        <v>38</v>
      </c>
      <c r="C2122" t="s">
        <v>8</v>
      </c>
      <c r="D2122">
        <v>412291</v>
      </c>
      <c r="E2122" t="s">
        <v>40</v>
      </c>
      <c r="F2122" t="s">
        <v>10</v>
      </c>
    </row>
    <row r="2123" spans="1:6" hidden="1" x14ac:dyDescent="0.35">
      <c r="A2123" t="s">
        <v>19</v>
      </c>
      <c r="B2123" t="s">
        <v>38</v>
      </c>
      <c r="C2123" t="s">
        <v>8</v>
      </c>
      <c r="D2123">
        <v>754609</v>
      </c>
      <c r="E2123" t="s">
        <v>40</v>
      </c>
      <c r="F2123" t="s">
        <v>10</v>
      </c>
    </row>
    <row r="2124" spans="1:6" hidden="1" x14ac:dyDescent="0.35">
      <c r="A2124" t="s">
        <v>20</v>
      </c>
      <c r="B2124" t="s">
        <v>38</v>
      </c>
      <c r="C2124" t="s">
        <v>8</v>
      </c>
      <c r="D2124">
        <v>815863</v>
      </c>
      <c r="E2124" t="s">
        <v>40</v>
      </c>
      <c r="F2124" t="s">
        <v>10</v>
      </c>
    </row>
    <row r="2125" spans="1:6" hidden="1" x14ac:dyDescent="0.35">
      <c r="A2125" t="s">
        <v>21</v>
      </c>
      <c r="B2125" t="s">
        <v>38</v>
      </c>
      <c r="C2125" t="s">
        <v>8</v>
      </c>
      <c r="D2125">
        <v>476698</v>
      </c>
      <c r="E2125" t="s">
        <v>40</v>
      </c>
      <c r="F2125" t="s">
        <v>10</v>
      </c>
    </row>
    <row r="2126" spans="1:6" hidden="1" x14ac:dyDescent="0.35">
      <c r="A2126" t="s">
        <v>6</v>
      </c>
      <c r="B2126" t="s">
        <v>38</v>
      </c>
      <c r="C2126" t="s">
        <v>22</v>
      </c>
      <c r="D2126">
        <v>0</v>
      </c>
      <c r="E2126" t="s">
        <v>40</v>
      </c>
      <c r="F2126" t="s">
        <v>10</v>
      </c>
    </row>
    <row r="2127" spans="1:6" hidden="1" x14ac:dyDescent="0.35">
      <c r="A2127" t="s">
        <v>11</v>
      </c>
      <c r="B2127" t="s">
        <v>38</v>
      </c>
      <c r="C2127" t="s">
        <v>22</v>
      </c>
      <c r="D2127">
        <v>0</v>
      </c>
      <c r="E2127" t="s">
        <v>40</v>
      </c>
      <c r="F2127" t="s">
        <v>10</v>
      </c>
    </row>
    <row r="2128" spans="1:6" hidden="1" x14ac:dyDescent="0.35">
      <c r="A2128" t="s">
        <v>12</v>
      </c>
      <c r="B2128" t="s">
        <v>38</v>
      </c>
      <c r="C2128" t="s">
        <v>22</v>
      </c>
      <c r="D2128">
        <v>0</v>
      </c>
      <c r="E2128" t="s">
        <v>40</v>
      </c>
      <c r="F2128" t="s">
        <v>10</v>
      </c>
    </row>
    <row r="2129" spans="1:6" hidden="1" x14ac:dyDescent="0.35">
      <c r="A2129" t="s">
        <v>13</v>
      </c>
      <c r="B2129" t="s">
        <v>38</v>
      </c>
      <c r="C2129" t="s">
        <v>22</v>
      </c>
      <c r="D2129">
        <v>0</v>
      </c>
      <c r="E2129" t="s">
        <v>40</v>
      </c>
      <c r="F2129" t="s">
        <v>10</v>
      </c>
    </row>
    <row r="2130" spans="1:6" hidden="1" x14ac:dyDescent="0.35">
      <c r="A2130" t="s">
        <v>14</v>
      </c>
      <c r="B2130" t="s">
        <v>38</v>
      </c>
      <c r="C2130" t="s">
        <v>22</v>
      </c>
      <c r="D2130">
        <v>0</v>
      </c>
      <c r="E2130" t="s">
        <v>40</v>
      </c>
      <c r="F2130" t="s">
        <v>10</v>
      </c>
    </row>
    <row r="2131" spans="1:6" hidden="1" x14ac:dyDescent="0.35">
      <c r="A2131" t="s">
        <v>15</v>
      </c>
      <c r="B2131" t="s">
        <v>38</v>
      </c>
      <c r="C2131" t="s">
        <v>22</v>
      </c>
      <c r="D2131">
        <v>0</v>
      </c>
      <c r="E2131" t="s">
        <v>40</v>
      </c>
      <c r="F2131" t="s">
        <v>10</v>
      </c>
    </row>
    <row r="2132" spans="1:6" hidden="1" x14ac:dyDescent="0.35">
      <c r="A2132" t="s">
        <v>16</v>
      </c>
      <c r="B2132" t="s">
        <v>38</v>
      </c>
      <c r="C2132" t="s">
        <v>22</v>
      </c>
      <c r="D2132">
        <v>0</v>
      </c>
      <c r="E2132" t="s">
        <v>40</v>
      </c>
      <c r="F2132" t="s">
        <v>10</v>
      </c>
    </row>
    <row r="2133" spans="1:6" hidden="1" x14ac:dyDescent="0.35">
      <c r="A2133" t="s">
        <v>17</v>
      </c>
      <c r="B2133" t="s">
        <v>38</v>
      </c>
      <c r="C2133" t="s">
        <v>22</v>
      </c>
      <c r="D2133">
        <v>0</v>
      </c>
      <c r="E2133" t="s">
        <v>40</v>
      </c>
      <c r="F2133" t="s">
        <v>10</v>
      </c>
    </row>
    <row r="2134" spans="1:6" hidden="1" x14ac:dyDescent="0.35">
      <c r="A2134" t="s">
        <v>18</v>
      </c>
      <c r="B2134" t="s">
        <v>38</v>
      </c>
      <c r="C2134" t="s">
        <v>22</v>
      </c>
      <c r="D2134">
        <v>0</v>
      </c>
      <c r="E2134" t="s">
        <v>40</v>
      </c>
      <c r="F2134" t="s">
        <v>10</v>
      </c>
    </row>
    <row r="2135" spans="1:6" hidden="1" x14ac:dyDescent="0.35">
      <c r="A2135" t="s">
        <v>19</v>
      </c>
      <c r="B2135" t="s">
        <v>38</v>
      </c>
      <c r="C2135" t="s">
        <v>22</v>
      </c>
      <c r="D2135">
        <v>0</v>
      </c>
      <c r="E2135" t="s">
        <v>40</v>
      </c>
      <c r="F2135" t="s">
        <v>10</v>
      </c>
    </row>
    <row r="2136" spans="1:6" hidden="1" x14ac:dyDescent="0.35">
      <c r="A2136" t="s">
        <v>20</v>
      </c>
      <c r="B2136" t="s">
        <v>38</v>
      </c>
      <c r="C2136" t="s">
        <v>22</v>
      </c>
      <c r="D2136">
        <v>0</v>
      </c>
      <c r="E2136" t="s">
        <v>40</v>
      </c>
      <c r="F2136" t="s">
        <v>10</v>
      </c>
    </row>
    <row r="2137" spans="1:6" hidden="1" x14ac:dyDescent="0.35">
      <c r="A2137" t="s">
        <v>21</v>
      </c>
      <c r="B2137" t="s">
        <v>38</v>
      </c>
      <c r="C2137" t="s">
        <v>22</v>
      </c>
      <c r="D2137">
        <v>0</v>
      </c>
      <c r="E2137" t="s">
        <v>40</v>
      </c>
      <c r="F2137" t="s">
        <v>10</v>
      </c>
    </row>
    <row r="2138" spans="1:6" hidden="1" x14ac:dyDescent="0.35">
      <c r="A2138" t="s">
        <v>6</v>
      </c>
      <c r="B2138" t="s">
        <v>38</v>
      </c>
      <c r="C2138" t="s">
        <v>23</v>
      </c>
      <c r="D2138">
        <v>62009</v>
      </c>
      <c r="E2138" t="s">
        <v>40</v>
      </c>
      <c r="F2138" t="s">
        <v>10</v>
      </c>
    </row>
    <row r="2139" spans="1:6" hidden="1" x14ac:dyDescent="0.35">
      <c r="A2139" t="s">
        <v>11</v>
      </c>
      <c r="B2139" t="s">
        <v>38</v>
      </c>
      <c r="C2139" t="s">
        <v>23</v>
      </c>
      <c r="D2139">
        <v>48892</v>
      </c>
      <c r="E2139" t="s">
        <v>40</v>
      </c>
      <c r="F2139" t="s">
        <v>10</v>
      </c>
    </row>
    <row r="2140" spans="1:6" hidden="1" x14ac:dyDescent="0.35">
      <c r="A2140" t="s">
        <v>12</v>
      </c>
      <c r="B2140" t="s">
        <v>38</v>
      </c>
      <c r="C2140" t="s">
        <v>23</v>
      </c>
      <c r="D2140">
        <v>21382</v>
      </c>
      <c r="E2140" t="s">
        <v>40</v>
      </c>
      <c r="F2140" t="s">
        <v>10</v>
      </c>
    </row>
    <row r="2141" spans="1:6" hidden="1" x14ac:dyDescent="0.35">
      <c r="A2141" t="s">
        <v>13</v>
      </c>
      <c r="B2141" t="s">
        <v>38</v>
      </c>
      <c r="C2141" t="s">
        <v>23</v>
      </c>
      <c r="D2141">
        <v>39201</v>
      </c>
      <c r="E2141" t="s">
        <v>40</v>
      </c>
      <c r="F2141" t="s">
        <v>10</v>
      </c>
    </row>
    <row r="2142" spans="1:6" hidden="1" x14ac:dyDescent="0.35">
      <c r="A2142" t="s">
        <v>14</v>
      </c>
      <c r="B2142" t="s">
        <v>38</v>
      </c>
      <c r="C2142" t="s">
        <v>23</v>
      </c>
      <c r="D2142">
        <v>49180</v>
      </c>
      <c r="E2142" t="s">
        <v>40</v>
      </c>
      <c r="F2142" t="s">
        <v>10</v>
      </c>
    </row>
    <row r="2143" spans="1:6" hidden="1" x14ac:dyDescent="0.35">
      <c r="A2143" t="s">
        <v>15</v>
      </c>
      <c r="B2143" t="s">
        <v>38</v>
      </c>
      <c r="C2143" t="s">
        <v>23</v>
      </c>
      <c r="D2143">
        <v>42044</v>
      </c>
      <c r="E2143" t="s">
        <v>40</v>
      </c>
      <c r="F2143" t="s">
        <v>10</v>
      </c>
    </row>
    <row r="2144" spans="1:6" hidden="1" x14ac:dyDescent="0.35">
      <c r="A2144" t="s">
        <v>16</v>
      </c>
      <c r="B2144" t="s">
        <v>38</v>
      </c>
      <c r="C2144" t="s">
        <v>23</v>
      </c>
      <c r="D2144">
        <v>105092</v>
      </c>
      <c r="E2144" t="s">
        <v>40</v>
      </c>
      <c r="F2144" t="s">
        <v>10</v>
      </c>
    </row>
    <row r="2145" spans="1:6" hidden="1" x14ac:dyDescent="0.35">
      <c r="A2145" t="s">
        <v>17</v>
      </c>
      <c r="B2145" t="s">
        <v>38</v>
      </c>
      <c r="C2145" t="s">
        <v>23</v>
      </c>
      <c r="D2145">
        <v>75840</v>
      </c>
      <c r="E2145" t="s">
        <v>40</v>
      </c>
      <c r="F2145" t="s">
        <v>10</v>
      </c>
    </row>
    <row r="2146" spans="1:6" hidden="1" x14ac:dyDescent="0.35">
      <c r="A2146" t="s">
        <v>18</v>
      </c>
      <c r="B2146" t="s">
        <v>38</v>
      </c>
      <c r="C2146" t="s">
        <v>23</v>
      </c>
      <c r="D2146">
        <v>83456</v>
      </c>
      <c r="E2146" t="s">
        <v>40</v>
      </c>
      <c r="F2146" t="s">
        <v>10</v>
      </c>
    </row>
    <row r="2147" spans="1:6" hidden="1" x14ac:dyDescent="0.35">
      <c r="A2147" t="s">
        <v>19</v>
      </c>
      <c r="B2147" t="s">
        <v>38</v>
      </c>
      <c r="C2147" t="s">
        <v>23</v>
      </c>
      <c r="D2147">
        <v>125713</v>
      </c>
      <c r="E2147" t="s">
        <v>40</v>
      </c>
      <c r="F2147" t="s">
        <v>10</v>
      </c>
    </row>
    <row r="2148" spans="1:6" hidden="1" x14ac:dyDescent="0.35">
      <c r="A2148" t="s">
        <v>20</v>
      </c>
      <c r="B2148" t="s">
        <v>38</v>
      </c>
      <c r="C2148" t="s">
        <v>23</v>
      </c>
      <c r="D2148">
        <v>98115</v>
      </c>
      <c r="E2148" t="s">
        <v>40</v>
      </c>
      <c r="F2148" t="s">
        <v>10</v>
      </c>
    </row>
    <row r="2149" spans="1:6" hidden="1" x14ac:dyDescent="0.35">
      <c r="A2149" t="s">
        <v>21</v>
      </c>
      <c r="B2149" t="s">
        <v>38</v>
      </c>
      <c r="C2149" t="s">
        <v>23</v>
      </c>
      <c r="D2149">
        <v>73843</v>
      </c>
      <c r="E2149" t="s">
        <v>40</v>
      </c>
      <c r="F2149" t="s">
        <v>10</v>
      </c>
    </row>
    <row r="2150" spans="1:6" hidden="1" x14ac:dyDescent="0.35">
      <c r="A2150" t="s">
        <v>6</v>
      </c>
      <c r="B2150" t="s">
        <v>38</v>
      </c>
      <c r="C2150" t="s">
        <v>24</v>
      </c>
      <c r="D2150">
        <v>0</v>
      </c>
      <c r="E2150" t="s">
        <v>40</v>
      </c>
      <c r="F2150" t="s">
        <v>10</v>
      </c>
    </row>
    <row r="2151" spans="1:6" hidden="1" x14ac:dyDescent="0.35">
      <c r="A2151" t="s">
        <v>11</v>
      </c>
      <c r="B2151" t="s">
        <v>38</v>
      </c>
      <c r="C2151" t="s">
        <v>24</v>
      </c>
      <c r="D2151">
        <v>0</v>
      </c>
      <c r="E2151" t="s">
        <v>40</v>
      </c>
      <c r="F2151" t="s">
        <v>10</v>
      </c>
    </row>
    <row r="2152" spans="1:6" hidden="1" x14ac:dyDescent="0.35">
      <c r="A2152" t="s">
        <v>12</v>
      </c>
      <c r="B2152" t="s">
        <v>38</v>
      </c>
      <c r="C2152" t="s">
        <v>24</v>
      </c>
      <c r="D2152">
        <v>0</v>
      </c>
      <c r="E2152" t="s">
        <v>40</v>
      </c>
      <c r="F2152" t="s">
        <v>10</v>
      </c>
    </row>
    <row r="2153" spans="1:6" hidden="1" x14ac:dyDescent="0.35">
      <c r="A2153" t="s">
        <v>13</v>
      </c>
      <c r="B2153" t="s">
        <v>38</v>
      </c>
      <c r="C2153" t="s">
        <v>24</v>
      </c>
      <c r="D2153">
        <v>0</v>
      </c>
      <c r="E2153" t="s">
        <v>40</v>
      </c>
      <c r="F2153" t="s">
        <v>10</v>
      </c>
    </row>
    <row r="2154" spans="1:6" hidden="1" x14ac:dyDescent="0.35">
      <c r="A2154" t="s">
        <v>14</v>
      </c>
      <c r="B2154" t="s">
        <v>38</v>
      </c>
      <c r="C2154" t="s">
        <v>24</v>
      </c>
      <c r="D2154">
        <v>0</v>
      </c>
      <c r="E2154" t="s">
        <v>40</v>
      </c>
      <c r="F2154" t="s">
        <v>10</v>
      </c>
    </row>
    <row r="2155" spans="1:6" hidden="1" x14ac:dyDescent="0.35">
      <c r="A2155" t="s">
        <v>15</v>
      </c>
      <c r="B2155" t="s">
        <v>38</v>
      </c>
      <c r="C2155" t="s">
        <v>24</v>
      </c>
      <c r="D2155">
        <v>0</v>
      </c>
      <c r="E2155" t="s">
        <v>40</v>
      </c>
      <c r="F2155" t="s">
        <v>10</v>
      </c>
    </row>
    <row r="2156" spans="1:6" hidden="1" x14ac:dyDescent="0.35">
      <c r="A2156" t="s">
        <v>16</v>
      </c>
      <c r="B2156" t="s">
        <v>38</v>
      </c>
      <c r="C2156" t="s">
        <v>24</v>
      </c>
      <c r="D2156">
        <v>0</v>
      </c>
      <c r="E2156" t="s">
        <v>40</v>
      </c>
      <c r="F2156" t="s">
        <v>10</v>
      </c>
    </row>
    <row r="2157" spans="1:6" hidden="1" x14ac:dyDescent="0.35">
      <c r="A2157" t="s">
        <v>17</v>
      </c>
      <c r="B2157" t="s">
        <v>38</v>
      </c>
      <c r="C2157" t="s">
        <v>24</v>
      </c>
      <c r="D2157">
        <v>0</v>
      </c>
      <c r="E2157" t="s">
        <v>40</v>
      </c>
      <c r="F2157" t="s">
        <v>10</v>
      </c>
    </row>
    <row r="2158" spans="1:6" hidden="1" x14ac:dyDescent="0.35">
      <c r="A2158" t="s">
        <v>18</v>
      </c>
      <c r="B2158" t="s">
        <v>38</v>
      </c>
      <c r="C2158" t="s">
        <v>24</v>
      </c>
      <c r="D2158">
        <v>0</v>
      </c>
      <c r="E2158" t="s">
        <v>40</v>
      </c>
      <c r="F2158" t="s">
        <v>10</v>
      </c>
    </row>
    <row r="2159" spans="1:6" hidden="1" x14ac:dyDescent="0.35">
      <c r="A2159" t="s">
        <v>19</v>
      </c>
      <c r="B2159" t="s">
        <v>38</v>
      </c>
      <c r="C2159" t="s">
        <v>24</v>
      </c>
      <c r="D2159">
        <v>0</v>
      </c>
      <c r="E2159" t="s">
        <v>40</v>
      </c>
      <c r="F2159" t="s">
        <v>10</v>
      </c>
    </row>
    <row r="2160" spans="1:6" hidden="1" x14ac:dyDescent="0.35">
      <c r="A2160" t="s">
        <v>20</v>
      </c>
      <c r="B2160" t="s">
        <v>38</v>
      </c>
      <c r="C2160" t="s">
        <v>24</v>
      </c>
      <c r="D2160">
        <v>0</v>
      </c>
      <c r="E2160" t="s">
        <v>40</v>
      </c>
      <c r="F2160" t="s">
        <v>10</v>
      </c>
    </row>
    <row r="2161" spans="1:6" hidden="1" x14ac:dyDescent="0.35">
      <c r="A2161" t="s">
        <v>21</v>
      </c>
      <c r="B2161" t="s">
        <v>38</v>
      </c>
      <c r="C2161" t="s">
        <v>24</v>
      </c>
      <c r="D2161">
        <v>0</v>
      </c>
      <c r="E2161" t="s">
        <v>40</v>
      </c>
      <c r="F2161" t="s">
        <v>10</v>
      </c>
    </row>
    <row r="2162" spans="1:6" hidden="1" x14ac:dyDescent="0.35">
      <c r="A2162" t="s">
        <v>6</v>
      </c>
      <c r="B2162" t="s">
        <v>38</v>
      </c>
      <c r="C2162" t="s">
        <v>25</v>
      </c>
      <c r="D2162">
        <v>0</v>
      </c>
      <c r="E2162" t="s">
        <v>40</v>
      </c>
      <c r="F2162" t="s">
        <v>10</v>
      </c>
    </row>
    <row r="2163" spans="1:6" hidden="1" x14ac:dyDescent="0.35">
      <c r="A2163" t="s">
        <v>11</v>
      </c>
      <c r="B2163" t="s">
        <v>38</v>
      </c>
      <c r="C2163" t="s">
        <v>25</v>
      </c>
      <c r="D2163">
        <v>0</v>
      </c>
      <c r="E2163" t="s">
        <v>40</v>
      </c>
      <c r="F2163" t="s">
        <v>10</v>
      </c>
    </row>
    <row r="2164" spans="1:6" hidden="1" x14ac:dyDescent="0.35">
      <c r="A2164" t="s">
        <v>12</v>
      </c>
      <c r="B2164" t="s">
        <v>38</v>
      </c>
      <c r="C2164" t="s">
        <v>25</v>
      </c>
      <c r="D2164">
        <v>0</v>
      </c>
      <c r="E2164" t="s">
        <v>40</v>
      </c>
      <c r="F2164" t="s">
        <v>10</v>
      </c>
    </row>
    <row r="2165" spans="1:6" hidden="1" x14ac:dyDescent="0.35">
      <c r="A2165" t="s">
        <v>13</v>
      </c>
      <c r="B2165" t="s">
        <v>38</v>
      </c>
      <c r="C2165" t="s">
        <v>25</v>
      </c>
      <c r="D2165">
        <v>0</v>
      </c>
      <c r="E2165" t="s">
        <v>40</v>
      </c>
      <c r="F2165" t="s">
        <v>10</v>
      </c>
    </row>
    <row r="2166" spans="1:6" hidden="1" x14ac:dyDescent="0.35">
      <c r="A2166" t="s">
        <v>14</v>
      </c>
      <c r="B2166" t="s">
        <v>38</v>
      </c>
      <c r="C2166" t="s">
        <v>25</v>
      </c>
      <c r="D2166">
        <v>0</v>
      </c>
      <c r="E2166" t="s">
        <v>40</v>
      </c>
      <c r="F2166" t="s">
        <v>10</v>
      </c>
    </row>
    <row r="2167" spans="1:6" hidden="1" x14ac:dyDescent="0.35">
      <c r="A2167" t="s">
        <v>15</v>
      </c>
      <c r="B2167" t="s">
        <v>38</v>
      </c>
      <c r="C2167" t="s">
        <v>25</v>
      </c>
      <c r="D2167">
        <v>0</v>
      </c>
      <c r="E2167" t="s">
        <v>40</v>
      </c>
      <c r="F2167" t="s">
        <v>10</v>
      </c>
    </row>
    <row r="2168" spans="1:6" hidden="1" x14ac:dyDescent="0.35">
      <c r="A2168" t="s">
        <v>16</v>
      </c>
      <c r="B2168" t="s">
        <v>38</v>
      </c>
      <c r="C2168" t="s">
        <v>25</v>
      </c>
      <c r="D2168">
        <v>0</v>
      </c>
      <c r="E2168" t="s">
        <v>40</v>
      </c>
      <c r="F2168" t="s">
        <v>10</v>
      </c>
    </row>
    <row r="2169" spans="1:6" hidden="1" x14ac:dyDescent="0.35">
      <c r="A2169" t="s">
        <v>17</v>
      </c>
      <c r="B2169" t="s">
        <v>38</v>
      </c>
      <c r="C2169" t="s">
        <v>25</v>
      </c>
      <c r="D2169">
        <v>0</v>
      </c>
      <c r="E2169" t="s">
        <v>40</v>
      </c>
      <c r="F2169" t="s">
        <v>10</v>
      </c>
    </row>
    <row r="2170" spans="1:6" hidden="1" x14ac:dyDescent="0.35">
      <c r="A2170" t="s">
        <v>18</v>
      </c>
      <c r="B2170" t="s">
        <v>38</v>
      </c>
      <c r="C2170" t="s">
        <v>25</v>
      </c>
      <c r="D2170">
        <v>0</v>
      </c>
      <c r="E2170" t="s">
        <v>40</v>
      </c>
      <c r="F2170" t="s">
        <v>10</v>
      </c>
    </row>
    <row r="2171" spans="1:6" hidden="1" x14ac:dyDescent="0.35">
      <c r="A2171" t="s">
        <v>19</v>
      </c>
      <c r="B2171" t="s">
        <v>38</v>
      </c>
      <c r="C2171" t="s">
        <v>25</v>
      </c>
      <c r="D2171">
        <v>0</v>
      </c>
      <c r="E2171" t="s">
        <v>40</v>
      </c>
      <c r="F2171" t="s">
        <v>10</v>
      </c>
    </row>
    <row r="2172" spans="1:6" hidden="1" x14ac:dyDescent="0.35">
      <c r="A2172" t="s">
        <v>20</v>
      </c>
      <c r="B2172" t="s">
        <v>38</v>
      </c>
      <c r="C2172" t="s">
        <v>25</v>
      </c>
      <c r="D2172">
        <v>0</v>
      </c>
      <c r="E2172" t="s">
        <v>40</v>
      </c>
      <c r="F2172" t="s">
        <v>10</v>
      </c>
    </row>
    <row r="2173" spans="1:6" hidden="1" x14ac:dyDescent="0.35">
      <c r="A2173" t="s">
        <v>21</v>
      </c>
      <c r="B2173" t="s">
        <v>38</v>
      </c>
      <c r="C2173" t="s">
        <v>25</v>
      </c>
      <c r="D2173">
        <v>0</v>
      </c>
      <c r="E2173" t="s">
        <v>40</v>
      </c>
      <c r="F2173" t="s">
        <v>10</v>
      </c>
    </row>
    <row r="2174" spans="1:6" hidden="1" x14ac:dyDescent="0.35">
      <c r="A2174" t="s">
        <v>6</v>
      </c>
      <c r="B2174" t="s">
        <v>38</v>
      </c>
      <c r="C2174" t="s">
        <v>26</v>
      </c>
      <c r="D2174">
        <v>0</v>
      </c>
      <c r="E2174" t="s">
        <v>40</v>
      </c>
      <c r="F2174" t="s">
        <v>10</v>
      </c>
    </row>
    <row r="2175" spans="1:6" hidden="1" x14ac:dyDescent="0.35">
      <c r="A2175" t="s">
        <v>11</v>
      </c>
      <c r="B2175" t="s">
        <v>38</v>
      </c>
      <c r="C2175" t="s">
        <v>26</v>
      </c>
      <c r="E2175" t="s">
        <v>40</v>
      </c>
      <c r="F2175" t="s">
        <v>10</v>
      </c>
    </row>
    <row r="2176" spans="1:6" hidden="1" x14ac:dyDescent="0.35">
      <c r="A2176" t="s">
        <v>12</v>
      </c>
      <c r="B2176" t="s">
        <v>38</v>
      </c>
      <c r="C2176" t="s">
        <v>26</v>
      </c>
      <c r="E2176" t="s">
        <v>40</v>
      </c>
      <c r="F2176" t="s">
        <v>10</v>
      </c>
    </row>
    <row r="2177" spans="1:6" hidden="1" x14ac:dyDescent="0.35">
      <c r="A2177" t="s">
        <v>13</v>
      </c>
      <c r="B2177" t="s">
        <v>38</v>
      </c>
      <c r="C2177" t="s">
        <v>26</v>
      </c>
      <c r="E2177" t="s">
        <v>40</v>
      </c>
      <c r="F2177" t="s">
        <v>10</v>
      </c>
    </row>
    <row r="2178" spans="1:6" hidden="1" x14ac:dyDescent="0.35">
      <c r="A2178" t="s">
        <v>14</v>
      </c>
      <c r="B2178" t="s">
        <v>38</v>
      </c>
      <c r="C2178" t="s">
        <v>26</v>
      </c>
      <c r="E2178" t="s">
        <v>40</v>
      </c>
      <c r="F2178" t="s">
        <v>10</v>
      </c>
    </row>
    <row r="2179" spans="1:6" hidden="1" x14ac:dyDescent="0.35">
      <c r="A2179" t="s">
        <v>15</v>
      </c>
      <c r="B2179" t="s">
        <v>38</v>
      </c>
      <c r="C2179" t="s">
        <v>26</v>
      </c>
      <c r="E2179" t="s">
        <v>40</v>
      </c>
      <c r="F2179" t="s">
        <v>10</v>
      </c>
    </row>
    <row r="2180" spans="1:6" hidden="1" x14ac:dyDescent="0.35">
      <c r="A2180" t="s">
        <v>16</v>
      </c>
      <c r="B2180" t="s">
        <v>38</v>
      </c>
      <c r="C2180" t="s">
        <v>26</v>
      </c>
      <c r="E2180" t="s">
        <v>40</v>
      </c>
      <c r="F2180" t="s">
        <v>10</v>
      </c>
    </row>
    <row r="2181" spans="1:6" hidden="1" x14ac:dyDescent="0.35">
      <c r="A2181" t="s">
        <v>17</v>
      </c>
      <c r="B2181" t="s">
        <v>38</v>
      </c>
      <c r="C2181" t="s">
        <v>26</v>
      </c>
      <c r="E2181" t="s">
        <v>40</v>
      </c>
      <c r="F2181" t="s">
        <v>10</v>
      </c>
    </row>
    <row r="2182" spans="1:6" hidden="1" x14ac:dyDescent="0.35">
      <c r="A2182" t="s">
        <v>18</v>
      </c>
      <c r="B2182" t="s">
        <v>38</v>
      </c>
      <c r="C2182" t="s">
        <v>26</v>
      </c>
      <c r="E2182" t="s">
        <v>40</v>
      </c>
      <c r="F2182" t="s">
        <v>10</v>
      </c>
    </row>
    <row r="2183" spans="1:6" hidden="1" x14ac:dyDescent="0.35">
      <c r="A2183" t="s">
        <v>19</v>
      </c>
      <c r="B2183" t="s">
        <v>38</v>
      </c>
      <c r="C2183" t="s">
        <v>26</v>
      </c>
      <c r="E2183" t="s">
        <v>40</v>
      </c>
      <c r="F2183" t="s">
        <v>10</v>
      </c>
    </row>
    <row r="2184" spans="1:6" hidden="1" x14ac:dyDescent="0.35">
      <c r="A2184" t="s">
        <v>20</v>
      </c>
      <c r="B2184" t="s">
        <v>38</v>
      </c>
      <c r="C2184" t="s">
        <v>26</v>
      </c>
      <c r="E2184" t="s">
        <v>40</v>
      </c>
      <c r="F2184" t="s">
        <v>10</v>
      </c>
    </row>
    <row r="2185" spans="1:6" hidden="1" x14ac:dyDescent="0.35">
      <c r="A2185" t="s">
        <v>21</v>
      </c>
      <c r="B2185" t="s">
        <v>38</v>
      </c>
      <c r="C2185" t="s">
        <v>26</v>
      </c>
      <c r="E2185" t="s">
        <v>40</v>
      </c>
      <c r="F2185" t="s">
        <v>10</v>
      </c>
    </row>
    <row r="2186" spans="1:6" hidden="1" x14ac:dyDescent="0.35">
      <c r="A2186" t="s">
        <v>6</v>
      </c>
      <c r="B2186" t="s">
        <v>38</v>
      </c>
      <c r="C2186" t="s">
        <v>27</v>
      </c>
      <c r="D2186">
        <v>394012</v>
      </c>
      <c r="E2186" t="s">
        <v>40</v>
      </c>
      <c r="F2186" t="s">
        <v>10</v>
      </c>
    </row>
    <row r="2187" spans="1:6" hidden="1" x14ac:dyDescent="0.35">
      <c r="A2187" t="s">
        <v>11</v>
      </c>
      <c r="B2187" t="s">
        <v>38</v>
      </c>
      <c r="C2187" t="s">
        <v>27</v>
      </c>
      <c r="D2187">
        <v>553196</v>
      </c>
      <c r="E2187" t="s">
        <v>40</v>
      </c>
      <c r="F2187" t="s">
        <v>10</v>
      </c>
    </row>
    <row r="2188" spans="1:6" hidden="1" x14ac:dyDescent="0.35">
      <c r="A2188" t="s">
        <v>12</v>
      </c>
      <c r="B2188" t="s">
        <v>38</v>
      </c>
      <c r="C2188" t="s">
        <v>27</v>
      </c>
      <c r="D2188">
        <v>253386</v>
      </c>
      <c r="E2188" t="s">
        <v>40</v>
      </c>
      <c r="F2188" t="s">
        <v>10</v>
      </c>
    </row>
    <row r="2189" spans="1:6" hidden="1" x14ac:dyDescent="0.35">
      <c r="A2189" t="s">
        <v>13</v>
      </c>
      <c r="B2189" t="s">
        <v>38</v>
      </c>
      <c r="C2189" t="s">
        <v>27</v>
      </c>
      <c r="D2189">
        <v>448451</v>
      </c>
      <c r="E2189" t="s">
        <v>40</v>
      </c>
      <c r="F2189" t="s">
        <v>10</v>
      </c>
    </row>
    <row r="2190" spans="1:6" hidden="1" x14ac:dyDescent="0.35">
      <c r="A2190" t="s">
        <v>14</v>
      </c>
      <c r="B2190" t="s">
        <v>38</v>
      </c>
      <c r="C2190" t="s">
        <v>27</v>
      </c>
      <c r="D2190">
        <v>566190</v>
      </c>
      <c r="E2190" t="s">
        <v>40</v>
      </c>
      <c r="F2190" t="s">
        <v>10</v>
      </c>
    </row>
    <row r="2191" spans="1:6" hidden="1" x14ac:dyDescent="0.35">
      <c r="A2191" t="s">
        <v>15</v>
      </c>
      <c r="B2191" t="s">
        <v>38</v>
      </c>
      <c r="C2191" t="s">
        <v>27</v>
      </c>
      <c r="D2191">
        <v>432875</v>
      </c>
      <c r="E2191" t="s">
        <v>40</v>
      </c>
      <c r="F2191" t="s">
        <v>10</v>
      </c>
    </row>
    <row r="2192" spans="1:6" hidden="1" x14ac:dyDescent="0.35">
      <c r="A2192" t="s">
        <v>16</v>
      </c>
      <c r="B2192" t="s">
        <v>38</v>
      </c>
      <c r="C2192" t="s">
        <v>27</v>
      </c>
      <c r="D2192">
        <v>422132</v>
      </c>
      <c r="E2192" t="s">
        <v>40</v>
      </c>
      <c r="F2192" t="s">
        <v>10</v>
      </c>
    </row>
    <row r="2193" spans="1:6" hidden="1" x14ac:dyDescent="0.35">
      <c r="A2193" t="s">
        <v>17</v>
      </c>
      <c r="B2193" t="s">
        <v>38</v>
      </c>
      <c r="C2193" t="s">
        <v>27</v>
      </c>
      <c r="D2193">
        <v>490220</v>
      </c>
      <c r="E2193" t="s">
        <v>40</v>
      </c>
      <c r="F2193" t="s">
        <v>10</v>
      </c>
    </row>
    <row r="2194" spans="1:6" hidden="1" x14ac:dyDescent="0.35">
      <c r="A2194" t="s">
        <v>18</v>
      </c>
      <c r="B2194" t="s">
        <v>38</v>
      </c>
      <c r="C2194" t="s">
        <v>27</v>
      </c>
      <c r="D2194">
        <v>270507</v>
      </c>
      <c r="E2194" t="s">
        <v>40</v>
      </c>
      <c r="F2194" t="s">
        <v>10</v>
      </c>
    </row>
    <row r="2195" spans="1:6" hidden="1" x14ac:dyDescent="0.35">
      <c r="A2195" t="s">
        <v>19</v>
      </c>
      <c r="B2195" t="s">
        <v>38</v>
      </c>
      <c r="C2195" t="s">
        <v>27</v>
      </c>
      <c r="D2195">
        <v>509475</v>
      </c>
      <c r="E2195" t="s">
        <v>40</v>
      </c>
      <c r="F2195" t="s">
        <v>10</v>
      </c>
    </row>
    <row r="2196" spans="1:6" hidden="1" x14ac:dyDescent="0.35">
      <c r="A2196" t="s">
        <v>20</v>
      </c>
      <c r="B2196" t="s">
        <v>38</v>
      </c>
      <c r="C2196" t="s">
        <v>27</v>
      </c>
      <c r="D2196">
        <v>413489</v>
      </c>
      <c r="E2196" t="s">
        <v>40</v>
      </c>
      <c r="F2196" t="s">
        <v>10</v>
      </c>
    </row>
    <row r="2197" spans="1:6" hidden="1" x14ac:dyDescent="0.35">
      <c r="A2197" t="s">
        <v>21</v>
      </c>
      <c r="B2197" t="s">
        <v>38</v>
      </c>
      <c r="C2197" t="s">
        <v>27</v>
      </c>
      <c r="D2197">
        <v>318535</v>
      </c>
      <c r="E2197" t="s">
        <v>40</v>
      </c>
      <c r="F2197" t="s">
        <v>10</v>
      </c>
    </row>
    <row r="2198" spans="1:6" hidden="1" x14ac:dyDescent="0.35">
      <c r="A2198" t="s">
        <v>6</v>
      </c>
      <c r="B2198" t="s">
        <v>38</v>
      </c>
      <c r="C2198" t="s">
        <v>28</v>
      </c>
      <c r="D2198">
        <v>2233974</v>
      </c>
      <c r="E2198" t="s">
        <v>40</v>
      </c>
      <c r="F2198" t="s">
        <v>10</v>
      </c>
    </row>
    <row r="2199" spans="1:6" hidden="1" x14ac:dyDescent="0.35">
      <c r="A2199" t="s">
        <v>11</v>
      </c>
      <c r="B2199" t="s">
        <v>38</v>
      </c>
      <c r="C2199" t="s">
        <v>28</v>
      </c>
      <c r="D2199">
        <v>2970330</v>
      </c>
      <c r="E2199" t="s">
        <v>40</v>
      </c>
      <c r="F2199" t="s">
        <v>10</v>
      </c>
    </row>
    <row r="2200" spans="1:6" hidden="1" x14ac:dyDescent="0.35">
      <c r="A2200" t="s">
        <v>12</v>
      </c>
      <c r="B2200" t="s">
        <v>38</v>
      </c>
      <c r="C2200" t="s">
        <v>28</v>
      </c>
      <c r="D2200">
        <v>1254939</v>
      </c>
      <c r="E2200" t="s">
        <v>40</v>
      </c>
      <c r="F2200" t="s">
        <v>10</v>
      </c>
    </row>
    <row r="2201" spans="1:6" hidden="1" x14ac:dyDescent="0.35">
      <c r="A2201" t="s">
        <v>13</v>
      </c>
      <c r="B2201" t="s">
        <v>38</v>
      </c>
      <c r="C2201" t="s">
        <v>28</v>
      </c>
      <c r="D2201">
        <v>2052197</v>
      </c>
      <c r="E2201" t="s">
        <v>40</v>
      </c>
      <c r="F2201" t="s">
        <v>10</v>
      </c>
    </row>
    <row r="2202" spans="1:6" hidden="1" x14ac:dyDescent="0.35">
      <c r="A2202" t="s">
        <v>14</v>
      </c>
      <c r="B2202" t="s">
        <v>38</v>
      </c>
      <c r="C2202" t="s">
        <v>28</v>
      </c>
      <c r="D2202">
        <v>2474845</v>
      </c>
      <c r="E2202" t="s">
        <v>40</v>
      </c>
      <c r="F2202" t="s">
        <v>10</v>
      </c>
    </row>
    <row r="2203" spans="1:6" hidden="1" x14ac:dyDescent="0.35">
      <c r="A2203" t="s">
        <v>15</v>
      </c>
      <c r="B2203" t="s">
        <v>38</v>
      </c>
      <c r="C2203" t="s">
        <v>28</v>
      </c>
      <c r="D2203">
        <v>1671700</v>
      </c>
      <c r="E2203" t="s">
        <v>40</v>
      </c>
      <c r="F2203" t="s">
        <v>10</v>
      </c>
    </row>
    <row r="2204" spans="1:6" hidden="1" x14ac:dyDescent="0.35">
      <c r="A2204" t="s">
        <v>16</v>
      </c>
      <c r="B2204" t="s">
        <v>38</v>
      </c>
      <c r="C2204" t="s">
        <v>28</v>
      </c>
      <c r="D2204">
        <v>1528281</v>
      </c>
      <c r="E2204" t="s">
        <v>40</v>
      </c>
      <c r="F2204" t="s">
        <v>10</v>
      </c>
    </row>
    <row r="2205" spans="1:6" hidden="1" x14ac:dyDescent="0.35">
      <c r="A2205" t="s">
        <v>17</v>
      </c>
      <c r="B2205" t="s">
        <v>38</v>
      </c>
      <c r="C2205" t="s">
        <v>28</v>
      </c>
      <c r="D2205">
        <v>2033913</v>
      </c>
      <c r="E2205" t="s">
        <v>40</v>
      </c>
      <c r="F2205" t="s">
        <v>10</v>
      </c>
    </row>
    <row r="2206" spans="1:6" hidden="1" x14ac:dyDescent="0.35">
      <c r="A2206" t="s">
        <v>18</v>
      </c>
      <c r="B2206" t="s">
        <v>38</v>
      </c>
      <c r="C2206" t="s">
        <v>28</v>
      </c>
      <c r="D2206">
        <v>908037</v>
      </c>
      <c r="E2206" t="s">
        <v>40</v>
      </c>
      <c r="F2206" t="s">
        <v>10</v>
      </c>
    </row>
    <row r="2207" spans="1:6" hidden="1" x14ac:dyDescent="0.35">
      <c r="A2207" t="s">
        <v>19</v>
      </c>
      <c r="B2207" t="s">
        <v>38</v>
      </c>
      <c r="C2207" t="s">
        <v>28</v>
      </c>
      <c r="D2207">
        <v>1634932</v>
      </c>
      <c r="E2207" t="s">
        <v>40</v>
      </c>
      <c r="F2207" t="s">
        <v>10</v>
      </c>
    </row>
    <row r="2208" spans="1:6" hidden="1" x14ac:dyDescent="0.35">
      <c r="A2208" t="s">
        <v>20</v>
      </c>
      <c r="B2208" t="s">
        <v>38</v>
      </c>
      <c r="C2208" t="s">
        <v>28</v>
      </c>
      <c r="D2208">
        <v>1729841</v>
      </c>
      <c r="E2208" t="s">
        <v>40</v>
      </c>
      <c r="F2208" t="s">
        <v>10</v>
      </c>
    </row>
    <row r="2209" spans="1:6" hidden="1" x14ac:dyDescent="0.35">
      <c r="A2209" t="s">
        <v>21</v>
      </c>
      <c r="B2209" t="s">
        <v>38</v>
      </c>
      <c r="C2209" t="s">
        <v>28</v>
      </c>
      <c r="D2209">
        <v>1027240</v>
      </c>
      <c r="E2209" t="s">
        <v>40</v>
      </c>
      <c r="F2209" t="s">
        <v>10</v>
      </c>
    </row>
    <row r="2210" spans="1:6" hidden="1" x14ac:dyDescent="0.35">
      <c r="A2210" t="s">
        <v>6</v>
      </c>
      <c r="B2210" t="s">
        <v>38</v>
      </c>
      <c r="C2210" t="s">
        <v>29</v>
      </c>
      <c r="D2210">
        <v>101</v>
      </c>
      <c r="E2210" t="s">
        <v>40</v>
      </c>
      <c r="F2210" t="s">
        <v>10</v>
      </c>
    </row>
    <row r="2211" spans="1:6" hidden="1" x14ac:dyDescent="0.35">
      <c r="A2211" t="s">
        <v>11</v>
      </c>
      <c r="B2211" t="s">
        <v>38</v>
      </c>
      <c r="C2211" t="s">
        <v>29</v>
      </c>
      <c r="D2211">
        <v>112</v>
      </c>
      <c r="E2211" t="s">
        <v>40</v>
      </c>
      <c r="F2211" t="s">
        <v>10</v>
      </c>
    </row>
    <row r="2212" spans="1:6" hidden="1" x14ac:dyDescent="0.35">
      <c r="A2212" t="s">
        <v>12</v>
      </c>
      <c r="B2212" t="s">
        <v>38</v>
      </c>
      <c r="C2212" t="s">
        <v>29</v>
      </c>
      <c r="D2212">
        <v>110</v>
      </c>
      <c r="E2212" t="s">
        <v>40</v>
      </c>
      <c r="F2212" t="s">
        <v>10</v>
      </c>
    </row>
    <row r="2213" spans="1:6" hidden="1" x14ac:dyDescent="0.35">
      <c r="A2213" t="s">
        <v>13</v>
      </c>
      <c r="B2213" t="s">
        <v>38</v>
      </c>
      <c r="C2213" t="s">
        <v>29</v>
      </c>
      <c r="D2213">
        <v>100</v>
      </c>
      <c r="E2213" t="s">
        <v>40</v>
      </c>
      <c r="F2213" t="s">
        <v>10</v>
      </c>
    </row>
    <row r="2214" spans="1:6" hidden="1" x14ac:dyDescent="0.35">
      <c r="A2214" t="s">
        <v>14</v>
      </c>
      <c r="B2214" t="s">
        <v>38</v>
      </c>
      <c r="C2214" t="s">
        <v>29</v>
      </c>
      <c r="D2214">
        <v>105</v>
      </c>
      <c r="E2214" t="s">
        <v>40</v>
      </c>
      <c r="F2214" t="s">
        <v>10</v>
      </c>
    </row>
    <row r="2215" spans="1:6" hidden="1" x14ac:dyDescent="0.35">
      <c r="A2215" t="s">
        <v>15</v>
      </c>
      <c r="B2215" t="s">
        <v>38</v>
      </c>
      <c r="C2215" t="s">
        <v>29</v>
      </c>
      <c r="D2215">
        <v>77</v>
      </c>
      <c r="E2215" t="s">
        <v>40</v>
      </c>
      <c r="F2215" t="s">
        <v>10</v>
      </c>
    </row>
    <row r="2216" spans="1:6" hidden="1" x14ac:dyDescent="0.35">
      <c r="A2216" t="s">
        <v>16</v>
      </c>
      <c r="B2216" t="s">
        <v>38</v>
      </c>
      <c r="C2216" t="s">
        <v>29</v>
      </c>
      <c r="D2216">
        <v>76</v>
      </c>
      <c r="E2216" t="s">
        <v>40</v>
      </c>
      <c r="F2216" t="s">
        <v>10</v>
      </c>
    </row>
    <row r="2217" spans="1:6" hidden="1" x14ac:dyDescent="0.35">
      <c r="A2217" t="s">
        <v>17</v>
      </c>
      <c r="B2217" t="s">
        <v>38</v>
      </c>
      <c r="C2217" t="s">
        <v>29</v>
      </c>
      <c r="D2217">
        <v>82</v>
      </c>
      <c r="E2217" t="s">
        <v>40</v>
      </c>
      <c r="F2217" t="s">
        <v>10</v>
      </c>
    </row>
    <row r="2218" spans="1:6" hidden="1" x14ac:dyDescent="0.35">
      <c r="A2218" t="s">
        <v>18</v>
      </c>
      <c r="B2218" t="s">
        <v>38</v>
      </c>
      <c r="C2218" t="s">
        <v>29</v>
      </c>
      <c r="D2218">
        <v>68</v>
      </c>
      <c r="E2218" t="s">
        <v>40</v>
      </c>
      <c r="F2218" t="s">
        <v>10</v>
      </c>
    </row>
    <row r="2219" spans="1:6" hidden="1" x14ac:dyDescent="0.35">
      <c r="A2219" t="s">
        <v>19</v>
      </c>
      <c r="B2219" t="s">
        <v>38</v>
      </c>
      <c r="C2219" t="s">
        <v>29</v>
      </c>
      <c r="D2219">
        <v>89</v>
      </c>
      <c r="E2219" t="s">
        <v>40</v>
      </c>
      <c r="F2219" t="s">
        <v>10</v>
      </c>
    </row>
    <row r="2220" spans="1:6" hidden="1" x14ac:dyDescent="0.35">
      <c r="A2220" t="s">
        <v>20</v>
      </c>
      <c r="B2220" t="s">
        <v>38</v>
      </c>
      <c r="C2220" t="s">
        <v>29</v>
      </c>
      <c r="D2220">
        <v>62</v>
      </c>
      <c r="E2220" t="s">
        <v>40</v>
      </c>
      <c r="F2220" t="s">
        <v>10</v>
      </c>
    </row>
    <row r="2221" spans="1:6" hidden="1" x14ac:dyDescent="0.35">
      <c r="A2221" t="s">
        <v>21</v>
      </c>
      <c r="B2221" t="s">
        <v>38</v>
      </c>
      <c r="C2221" t="s">
        <v>29</v>
      </c>
      <c r="D2221">
        <v>68</v>
      </c>
      <c r="E2221" t="s">
        <v>40</v>
      </c>
      <c r="F2221" t="s">
        <v>10</v>
      </c>
    </row>
    <row r="2222" spans="1:6" hidden="1" x14ac:dyDescent="0.35">
      <c r="A2222" t="s">
        <v>6</v>
      </c>
      <c r="B2222" t="s">
        <v>38</v>
      </c>
      <c r="C2222" t="s">
        <v>30</v>
      </c>
      <c r="D2222">
        <v>10</v>
      </c>
      <c r="E2222" t="s">
        <v>40</v>
      </c>
      <c r="F2222" t="s">
        <v>10</v>
      </c>
    </row>
    <row r="2223" spans="1:6" hidden="1" x14ac:dyDescent="0.35">
      <c r="A2223" t="s">
        <v>11</v>
      </c>
      <c r="B2223" t="s">
        <v>38</v>
      </c>
      <c r="C2223" t="s">
        <v>30</v>
      </c>
      <c r="D2223">
        <v>7</v>
      </c>
      <c r="E2223" t="s">
        <v>40</v>
      </c>
      <c r="F2223" t="s">
        <v>10</v>
      </c>
    </row>
    <row r="2224" spans="1:6" hidden="1" x14ac:dyDescent="0.35">
      <c r="A2224" t="s">
        <v>12</v>
      </c>
      <c r="B2224" t="s">
        <v>38</v>
      </c>
      <c r="C2224" t="s">
        <v>30</v>
      </c>
      <c r="D2224">
        <v>7</v>
      </c>
      <c r="E2224" t="s">
        <v>40</v>
      </c>
      <c r="F2224" t="s">
        <v>10</v>
      </c>
    </row>
    <row r="2225" spans="1:6" hidden="1" x14ac:dyDescent="0.35">
      <c r="A2225" t="s">
        <v>13</v>
      </c>
      <c r="B2225" t="s">
        <v>38</v>
      </c>
      <c r="C2225" t="s">
        <v>30</v>
      </c>
      <c r="D2225">
        <v>17</v>
      </c>
      <c r="E2225" t="s">
        <v>40</v>
      </c>
      <c r="F2225" t="s">
        <v>10</v>
      </c>
    </row>
    <row r="2226" spans="1:6" hidden="1" x14ac:dyDescent="0.35">
      <c r="A2226" t="s">
        <v>14</v>
      </c>
      <c r="B2226" t="s">
        <v>38</v>
      </c>
      <c r="C2226" t="s">
        <v>30</v>
      </c>
      <c r="D2226">
        <v>15</v>
      </c>
      <c r="E2226" t="s">
        <v>40</v>
      </c>
      <c r="F2226" t="s">
        <v>10</v>
      </c>
    </row>
    <row r="2227" spans="1:6" hidden="1" x14ac:dyDescent="0.35">
      <c r="A2227" t="s">
        <v>15</v>
      </c>
      <c r="B2227" t="s">
        <v>38</v>
      </c>
      <c r="C2227" t="s">
        <v>30</v>
      </c>
      <c r="D2227">
        <v>11</v>
      </c>
      <c r="E2227" t="s">
        <v>40</v>
      </c>
      <c r="F2227" t="s">
        <v>10</v>
      </c>
    </row>
    <row r="2228" spans="1:6" hidden="1" x14ac:dyDescent="0.35">
      <c r="A2228" t="s">
        <v>16</v>
      </c>
      <c r="B2228" t="s">
        <v>38</v>
      </c>
      <c r="C2228" t="s">
        <v>30</v>
      </c>
      <c r="D2228">
        <v>19</v>
      </c>
      <c r="E2228" t="s">
        <v>40</v>
      </c>
      <c r="F2228" t="s">
        <v>10</v>
      </c>
    </row>
    <row r="2229" spans="1:6" hidden="1" x14ac:dyDescent="0.35">
      <c r="A2229" t="s">
        <v>17</v>
      </c>
      <c r="B2229" t="s">
        <v>38</v>
      </c>
      <c r="C2229" t="s">
        <v>30</v>
      </c>
      <c r="D2229">
        <v>20</v>
      </c>
      <c r="E2229" t="s">
        <v>40</v>
      </c>
      <c r="F2229" t="s">
        <v>10</v>
      </c>
    </row>
    <row r="2230" spans="1:6" hidden="1" x14ac:dyDescent="0.35">
      <c r="A2230" t="s">
        <v>18</v>
      </c>
      <c r="B2230" t="s">
        <v>38</v>
      </c>
      <c r="C2230" t="s">
        <v>30</v>
      </c>
      <c r="D2230">
        <v>13</v>
      </c>
      <c r="E2230" t="s">
        <v>40</v>
      </c>
      <c r="F2230" t="s">
        <v>10</v>
      </c>
    </row>
    <row r="2231" spans="1:6" hidden="1" x14ac:dyDescent="0.35">
      <c r="A2231" t="s">
        <v>19</v>
      </c>
      <c r="B2231" t="s">
        <v>38</v>
      </c>
      <c r="C2231" t="s">
        <v>30</v>
      </c>
      <c r="D2231">
        <v>45</v>
      </c>
      <c r="E2231" t="s">
        <v>40</v>
      </c>
      <c r="F2231" t="s">
        <v>10</v>
      </c>
    </row>
    <row r="2232" spans="1:6" hidden="1" x14ac:dyDescent="0.35">
      <c r="A2232" t="s">
        <v>20</v>
      </c>
      <c r="B2232" t="s">
        <v>38</v>
      </c>
      <c r="C2232" t="s">
        <v>30</v>
      </c>
      <c r="D2232">
        <v>23</v>
      </c>
      <c r="E2232" t="s">
        <v>40</v>
      </c>
      <c r="F2232" t="s">
        <v>10</v>
      </c>
    </row>
    <row r="2233" spans="1:6" hidden="1" x14ac:dyDescent="0.35">
      <c r="A2233" t="s">
        <v>21</v>
      </c>
      <c r="B2233" t="s">
        <v>38</v>
      </c>
      <c r="C2233" t="s">
        <v>30</v>
      </c>
      <c r="D2233">
        <v>37</v>
      </c>
      <c r="E2233" t="s">
        <v>40</v>
      </c>
      <c r="F2233" t="s">
        <v>10</v>
      </c>
    </row>
    <row r="2234" spans="1:6" hidden="1" x14ac:dyDescent="0.35">
      <c r="A2234" t="s">
        <v>6</v>
      </c>
      <c r="B2234" t="s">
        <v>38</v>
      </c>
      <c r="C2234" t="s">
        <v>31</v>
      </c>
      <c r="D2234">
        <v>25</v>
      </c>
      <c r="E2234" t="s">
        <v>40</v>
      </c>
      <c r="F2234" t="s">
        <v>10</v>
      </c>
    </row>
    <row r="2235" spans="1:6" hidden="1" x14ac:dyDescent="0.35">
      <c r="A2235" t="s">
        <v>11</v>
      </c>
      <c r="B2235" t="s">
        <v>38</v>
      </c>
      <c r="C2235" t="s">
        <v>31</v>
      </c>
      <c r="D2235">
        <v>10</v>
      </c>
      <c r="E2235" t="s">
        <v>40</v>
      </c>
      <c r="F2235" t="s">
        <v>10</v>
      </c>
    </row>
    <row r="2236" spans="1:6" hidden="1" x14ac:dyDescent="0.35">
      <c r="A2236" t="s">
        <v>12</v>
      </c>
      <c r="B2236" t="s">
        <v>38</v>
      </c>
      <c r="C2236" t="s">
        <v>31</v>
      </c>
      <c r="D2236">
        <v>22</v>
      </c>
      <c r="E2236" t="s">
        <v>40</v>
      </c>
      <c r="F2236" t="s">
        <v>10</v>
      </c>
    </row>
    <row r="2237" spans="1:6" hidden="1" x14ac:dyDescent="0.35">
      <c r="A2237" t="s">
        <v>13</v>
      </c>
      <c r="B2237" t="s">
        <v>38</v>
      </c>
      <c r="C2237" t="s">
        <v>31</v>
      </c>
      <c r="D2237">
        <v>22</v>
      </c>
      <c r="E2237" t="s">
        <v>40</v>
      </c>
      <c r="F2237" t="s">
        <v>10</v>
      </c>
    </row>
    <row r="2238" spans="1:6" hidden="1" x14ac:dyDescent="0.35">
      <c r="A2238" t="s">
        <v>14</v>
      </c>
      <c r="B2238" t="s">
        <v>38</v>
      </c>
      <c r="C2238" t="s">
        <v>31</v>
      </c>
      <c r="D2238">
        <v>15</v>
      </c>
      <c r="E2238" t="s">
        <v>40</v>
      </c>
      <c r="F2238" t="s">
        <v>10</v>
      </c>
    </row>
    <row r="2239" spans="1:6" hidden="1" x14ac:dyDescent="0.35">
      <c r="A2239" t="s">
        <v>15</v>
      </c>
      <c r="B2239" t="s">
        <v>38</v>
      </c>
      <c r="C2239" t="s">
        <v>31</v>
      </c>
      <c r="D2239">
        <v>6</v>
      </c>
      <c r="E2239" t="s">
        <v>40</v>
      </c>
      <c r="F2239" t="s">
        <v>10</v>
      </c>
    </row>
    <row r="2240" spans="1:6" hidden="1" x14ac:dyDescent="0.35">
      <c r="A2240" t="s">
        <v>16</v>
      </c>
      <c r="B2240" t="s">
        <v>38</v>
      </c>
      <c r="C2240" t="s">
        <v>31</v>
      </c>
      <c r="D2240">
        <v>12</v>
      </c>
      <c r="E2240" t="s">
        <v>40</v>
      </c>
      <c r="F2240" t="s">
        <v>10</v>
      </c>
    </row>
    <row r="2241" spans="1:6" hidden="1" x14ac:dyDescent="0.35">
      <c r="A2241" t="s">
        <v>17</v>
      </c>
      <c r="B2241" t="s">
        <v>38</v>
      </c>
      <c r="C2241" t="s">
        <v>31</v>
      </c>
      <c r="D2241">
        <v>15</v>
      </c>
      <c r="E2241" t="s">
        <v>40</v>
      </c>
      <c r="F2241" t="s">
        <v>10</v>
      </c>
    </row>
    <row r="2242" spans="1:6" hidden="1" x14ac:dyDescent="0.35">
      <c r="A2242" t="s">
        <v>18</v>
      </c>
      <c r="B2242" t="s">
        <v>38</v>
      </c>
      <c r="C2242" t="s">
        <v>31</v>
      </c>
      <c r="D2242">
        <v>15</v>
      </c>
      <c r="E2242" t="s">
        <v>40</v>
      </c>
      <c r="F2242" t="s">
        <v>10</v>
      </c>
    </row>
    <row r="2243" spans="1:6" hidden="1" x14ac:dyDescent="0.35">
      <c r="A2243" t="s">
        <v>19</v>
      </c>
      <c r="B2243" t="s">
        <v>38</v>
      </c>
      <c r="C2243" t="s">
        <v>31</v>
      </c>
      <c r="D2243">
        <v>17</v>
      </c>
      <c r="E2243" t="s">
        <v>40</v>
      </c>
      <c r="F2243" t="s">
        <v>10</v>
      </c>
    </row>
    <row r="2244" spans="1:6" hidden="1" x14ac:dyDescent="0.35">
      <c r="A2244" t="s">
        <v>20</v>
      </c>
      <c r="B2244" t="s">
        <v>38</v>
      </c>
      <c r="C2244" t="s">
        <v>31</v>
      </c>
      <c r="D2244">
        <v>12</v>
      </c>
      <c r="E2244" t="s">
        <v>40</v>
      </c>
      <c r="F2244" t="s">
        <v>10</v>
      </c>
    </row>
    <row r="2245" spans="1:6" hidden="1" x14ac:dyDescent="0.35">
      <c r="A2245" t="s">
        <v>21</v>
      </c>
      <c r="B2245" t="s">
        <v>38</v>
      </c>
      <c r="C2245" t="s">
        <v>31</v>
      </c>
      <c r="D2245">
        <v>10</v>
      </c>
      <c r="E2245" t="s">
        <v>40</v>
      </c>
      <c r="F2245" t="s">
        <v>10</v>
      </c>
    </row>
    <row r="2246" spans="1:6" hidden="1" x14ac:dyDescent="0.35">
      <c r="A2246" t="s">
        <v>6</v>
      </c>
      <c r="B2246" t="s">
        <v>39</v>
      </c>
      <c r="C2246" t="s">
        <v>8</v>
      </c>
      <c r="D2246">
        <v>58239</v>
      </c>
      <c r="E2246" t="s">
        <v>40</v>
      </c>
      <c r="F2246" t="s">
        <v>10</v>
      </c>
    </row>
    <row r="2247" spans="1:6" hidden="1" x14ac:dyDescent="0.35">
      <c r="A2247" t="s">
        <v>11</v>
      </c>
      <c r="B2247" t="s">
        <v>39</v>
      </c>
      <c r="C2247" t="s">
        <v>8</v>
      </c>
      <c r="D2247">
        <v>1069</v>
      </c>
      <c r="E2247" t="s">
        <v>40</v>
      </c>
      <c r="F2247" t="s">
        <v>10</v>
      </c>
    </row>
    <row r="2248" spans="1:6" hidden="1" x14ac:dyDescent="0.35">
      <c r="A2248" t="s">
        <v>12</v>
      </c>
      <c r="B2248" t="s">
        <v>39</v>
      </c>
      <c r="C2248" t="s">
        <v>8</v>
      </c>
      <c r="D2248">
        <v>125205</v>
      </c>
      <c r="E2248" t="s">
        <v>40</v>
      </c>
      <c r="F2248" t="s">
        <v>10</v>
      </c>
    </row>
    <row r="2249" spans="1:6" hidden="1" x14ac:dyDescent="0.35">
      <c r="A2249" t="s">
        <v>13</v>
      </c>
      <c r="B2249" t="s">
        <v>39</v>
      </c>
      <c r="C2249" t="s">
        <v>8</v>
      </c>
      <c r="D2249">
        <v>12040</v>
      </c>
      <c r="E2249" t="s">
        <v>40</v>
      </c>
      <c r="F2249" t="s">
        <v>10</v>
      </c>
    </row>
    <row r="2250" spans="1:6" hidden="1" x14ac:dyDescent="0.35">
      <c r="A2250" t="s">
        <v>14</v>
      </c>
      <c r="B2250" t="s">
        <v>39</v>
      </c>
      <c r="C2250" t="s">
        <v>8</v>
      </c>
      <c r="D2250">
        <v>11752</v>
      </c>
      <c r="E2250" t="s">
        <v>40</v>
      </c>
      <c r="F2250" t="s">
        <v>10</v>
      </c>
    </row>
    <row r="2251" spans="1:6" hidden="1" x14ac:dyDescent="0.35">
      <c r="A2251" t="s">
        <v>15</v>
      </c>
      <c r="B2251" t="s">
        <v>39</v>
      </c>
      <c r="C2251" t="s">
        <v>8</v>
      </c>
      <c r="D2251">
        <v>43826</v>
      </c>
      <c r="E2251" t="s">
        <v>40</v>
      </c>
      <c r="F2251" t="s">
        <v>10</v>
      </c>
    </row>
    <row r="2252" spans="1:6" hidden="1" x14ac:dyDescent="0.35">
      <c r="A2252" t="s">
        <v>16</v>
      </c>
      <c r="B2252" t="s">
        <v>39</v>
      </c>
      <c r="C2252" t="s">
        <v>8</v>
      </c>
      <c r="D2252">
        <v>17306</v>
      </c>
      <c r="E2252" t="s">
        <v>40</v>
      </c>
      <c r="F2252" t="s">
        <v>10</v>
      </c>
    </row>
    <row r="2253" spans="1:6" hidden="1" x14ac:dyDescent="0.35">
      <c r="A2253" t="s">
        <v>17</v>
      </c>
      <c r="B2253" t="s">
        <v>39</v>
      </c>
      <c r="C2253" t="s">
        <v>8</v>
      </c>
      <c r="D2253">
        <v>125602</v>
      </c>
      <c r="E2253" t="s">
        <v>40</v>
      </c>
      <c r="F2253" t="s">
        <v>10</v>
      </c>
    </row>
    <row r="2254" spans="1:6" hidden="1" x14ac:dyDescent="0.35">
      <c r="A2254" t="s">
        <v>18</v>
      </c>
      <c r="B2254" t="s">
        <v>39</v>
      </c>
      <c r="C2254" t="s">
        <v>8</v>
      </c>
      <c r="D2254">
        <v>5594</v>
      </c>
      <c r="E2254" t="s">
        <v>40</v>
      </c>
      <c r="F2254" t="s">
        <v>10</v>
      </c>
    </row>
    <row r="2255" spans="1:6" hidden="1" x14ac:dyDescent="0.35">
      <c r="A2255" t="s">
        <v>19</v>
      </c>
      <c r="B2255" t="s">
        <v>39</v>
      </c>
      <c r="C2255" t="s">
        <v>8</v>
      </c>
      <c r="D2255">
        <v>20227</v>
      </c>
      <c r="E2255" t="s">
        <v>40</v>
      </c>
      <c r="F2255" t="s">
        <v>10</v>
      </c>
    </row>
    <row r="2256" spans="1:6" hidden="1" x14ac:dyDescent="0.35">
      <c r="A2256" t="s">
        <v>20</v>
      </c>
      <c r="B2256" t="s">
        <v>39</v>
      </c>
      <c r="C2256" t="s">
        <v>8</v>
      </c>
      <c r="D2256">
        <v>238078</v>
      </c>
      <c r="E2256" t="s">
        <v>40</v>
      </c>
      <c r="F2256" t="s">
        <v>10</v>
      </c>
    </row>
    <row r="2257" spans="1:6" hidden="1" x14ac:dyDescent="0.35">
      <c r="A2257" t="s">
        <v>21</v>
      </c>
      <c r="B2257" t="s">
        <v>39</v>
      </c>
      <c r="C2257" t="s">
        <v>8</v>
      </c>
      <c r="D2257">
        <v>0</v>
      </c>
      <c r="E2257" t="s">
        <v>40</v>
      </c>
      <c r="F2257" t="s">
        <v>10</v>
      </c>
    </row>
    <row r="2258" spans="1:6" hidden="1" x14ac:dyDescent="0.35">
      <c r="A2258" t="s">
        <v>6</v>
      </c>
      <c r="B2258" t="s">
        <v>39</v>
      </c>
      <c r="C2258" t="s">
        <v>22</v>
      </c>
      <c r="D2258">
        <v>0</v>
      </c>
      <c r="E2258" t="s">
        <v>40</v>
      </c>
      <c r="F2258" t="s">
        <v>10</v>
      </c>
    </row>
    <row r="2259" spans="1:6" hidden="1" x14ac:dyDescent="0.35">
      <c r="A2259" t="s">
        <v>11</v>
      </c>
      <c r="B2259" t="s">
        <v>39</v>
      </c>
      <c r="C2259" t="s">
        <v>22</v>
      </c>
      <c r="D2259">
        <v>0</v>
      </c>
      <c r="E2259" t="s">
        <v>40</v>
      </c>
      <c r="F2259" t="s">
        <v>10</v>
      </c>
    </row>
    <row r="2260" spans="1:6" hidden="1" x14ac:dyDescent="0.35">
      <c r="A2260" t="s">
        <v>12</v>
      </c>
      <c r="B2260" t="s">
        <v>39</v>
      </c>
      <c r="C2260" t="s">
        <v>22</v>
      </c>
      <c r="D2260">
        <v>0</v>
      </c>
      <c r="E2260" t="s">
        <v>40</v>
      </c>
      <c r="F2260" t="s">
        <v>10</v>
      </c>
    </row>
    <row r="2261" spans="1:6" hidden="1" x14ac:dyDescent="0.35">
      <c r="A2261" t="s">
        <v>13</v>
      </c>
      <c r="B2261" t="s">
        <v>39</v>
      </c>
      <c r="C2261" t="s">
        <v>22</v>
      </c>
      <c r="D2261">
        <v>0</v>
      </c>
      <c r="E2261" t="s">
        <v>40</v>
      </c>
      <c r="F2261" t="s">
        <v>10</v>
      </c>
    </row>
    <row r="2262" spans="1:6" hidden="1" x14ac:dyDescent="0.35">
      <c r="A2262" t="s">
        <v>14</v>
      </c>
      <c r="B2262" t="s">
        <v>39</v>
      </c>
      <c r="C2262" t="s">
        <v>22</v>
      </c>
      <c r="D2262">
        <v>0</v>
      </c>
      <c r="E2262" t="s">
        <v>40</v>
      </c>
      <c r="F2262" t="s">
        <v>10</v>
      </c>
    </row>
    <row r="2263" spans="1:6" hidden="1" x14ac:dyDescent="0.35">
      <c r="A2263" t="s">
        <v>15</v>
      </c>
      <c r="B2263" t="s">
        <v>39</v>
      </c>
      <c r="C2263" t="s">
        <v>22</v>
      </c>
      <c r="D2263">
        <v>0</v>
      </c>
      <c r="E2263" t="s">
        <v>40</v>
      </c>
      <c r="F2263" t="s">
        <v>10</v>
      </c>
    </row>
    <row r="2264" spans="1:6" hidden="1" x14ac:dyDescent="0.35">
      <c r="A2264" t="s">
        <v>16</v>
      </c>
      <c r="B2264" t="s">
        <v>39</v>
      </c>
      <c r="C2264" t="s">
        <v>22</v>
      </c>
      <c r="D2264">
        <v>0</v>
      </c>
      <c r="E2264" t="s">
        <v>40</v>
      </c>
      <c r="F2264" t="s">
        <v>10</v>
      </c>
    </row>
    <row r="2265" spans="1:6" hidden="1" x14ac:dyDescent="0.35">
      <c r="A2265" t="s">
        <v>17</v>
      </c>
      <c r="B2265" t="s">
        <v>39</v>
      </c>
      <c r="C2265" t="s">
        <v>22</v>
      </c>
      <c r="D2265">
        <v>0</v>
      </c>
      <c r="E2265" t="s">
        <v>40</v>
      </c>
      <c r="F2265" t="s">
        <v>10</v>
      </c>
    </row>
    <row r="2266" spans="1:6" hidden="1" x14ac:dyDescent="0.35">
      <c r="A2266" t="s">
        <v>18</v>
      </c>
      <c r="B2266" t="s">
        <v>39</v>
      </c>
      <c r="C2266" t="s">
        <v>22</v>
      </c>
      <c r="D2266">
        <v>0</v>
      </c>
      <c r="E2266" t="s">
        <v>40</v>
      </c>
      <c r="F2266" t="s">
        <v>10</v>
      </c>
    </row>
    <row r="2267" spans="1:6" hidden="1" x14ac:dyDescent="0.35">
      <c r="A2267" t="s">
        <v>19</v>
      </c>
      <c r="B2267" t="s">
        <v>39</v>
      </c>
      <c r="C2267" t="s">
        <v>22</v>
      </c>
      <c r="D2267">
        <v>0</v>
      </c>
      <c r="E2267" t="s">
        <v>40</v>
      </c>
      <c r="F2267" t="s">
        <v>10</v>
      </c>
    </row>
    <row r="2268" spans="1:6" hidden="1" x14ac:dyDescent="0.35">
      <c r="A2268" t="s">
        <v>20</v>
      </c>
      <c r="B2268" t="s">
        <v>39</v>
      </c>
      <c r="C2268" t="s">
        <v>22</v>
      </c>
      <c r="D2268">
        <v>0</v>
      </c>
      <c r="E2268" t="s">
        <v>40</v>
      </c>
      <c r="F2268" t="s">
        <v>10</v>
      </c>
    </row>
    <row r="2269" spans="1:6" hidden="1" x14ac:dyDescent="0.35">
      <c r="A2269" t="s">
        <v>21</v>
      </c>
      <c r="B2269" t="s">
        <v>39</v>
      </c>
      <c r="C2269" t="s">
        <v>22</v>
      </c>
      <c r="D2269">
        <v>0</v>
      </c>
      <c r="E2269" t="s">
        <v>40</v>
      </c>
      <c r="F2269" t="s">
        <v>10</v>
      </c>
    </row>
    <row r="2270" spans="1:6" hidden="1" x14ac:dyDescent="0.35">
      <c r="A2270" t="s">
        <v>6</v>
      </c>
      <c r="B2270" t="s">
        <v>39</v>
      </c>
      <c r="C2270" t="s">
        <v>23</v>
      </c>
      <c r="D2270">
        <v>21501</v>
      </c>
      <c r="E2270" t="s">
        <v>40</v>
      </c>
      <c r="F2270" t="s">
        <v>10</v>
      </c>
    </row>
    <row r="2271" spans="1:6" hidden="1" x14ac:dyDescent="0.35">
      <c r="A2271" t="s">
        <v>11</v>
      </c>
      <c r="B2271" t="s">
        <v>39</v>
      </c>
      <c r="C2271" t="s">
        <v>23</v>
      </c>
      <c r="D2271">
        <v>22137</v>
      </c>
      <c r="E2271" t="s">
        <v>40</v>
      </c>
      <c r="F2271" t="s">
        <v>10</v>
      </c>
    </row>
    <row r="2272" spans="1:6" hidden="1" x14ac:dyDescent="0.35">
      <c r="A2272" t="s">
        <v>12</v>
      </c>
      <c r="B2272" t="s">
        <v>39</v>
      </c>
      <c r="C2272" t="s">
        <v>23</v>
      </c>
      <c r="D2272">
        <v>317962</v>
      </c>
      <c r="E2272" t="s">
        <v>40</v>
      </c>
      <c r="F2272" t="s">
        <v>10</v>
      </c>
    </row>
    <row r="2273" spans="1:6" hidden="1" x14ac:dyDescent="0.35">
      <c r="A2273" t="s">
        <v>13</v>
      </c>
      <c r="B2273" t="s">
        <v>39</v>
      </c>
      <c r="C2273" t="s">
        <v>23</v>
      </c>
      <c r="D2273">
        <v>49873</v>
      </c>
      <c r="E2273" t="s">
        <v>40</v>
      </c>
      <c r="F2273" t="s">
        <v>10</v>
      </c>
    </row>
    <row r="2274" spans="1:6" hidden="1" x14ac:dyDescent="0.35">
      <c r="A2274" t="s">
        <v>14</v>
      </c>
      <c r="B2274" t="s">
        <v>39</v>
      </c>
      <c r="C2274" t="s">
        <v>23</v>
      </c>
      <c r="D2274">
        <v>55815</v>
      </c>
      <c r="E2274" t="s">
        <v>40</v>
      </c>
      <c r="F2274" t="s">
        <v>10</v>
      </c>
    </row>
    <row r="2275" spans="1:6" hidden="1" x14ac:dyDescent="0.35">
      <c r="A2275" t="s">
        <v>15</v>
      </c>
      <c r="B2275" t="s">
        <v>39</v>
      </c>
      <c r="C2275" t="s">
        <v>23</v>
      </c>
      <c r="D2275">
        <v>279601</v>
      </c>
      <c r="E2275" t="s">
        <v>40</v>
      </c>
      <c r="F2275" t="s">
        <v>10</v>
      </c>
    </row>
    <row r="2276" spans="1:6" hidden="1" x14ac:dyDescent="0.35">
      <c r="A2276" t="s">
        <v>16</v>
      </c>
      <c r="B2276" t="s">
        <v>39</v>
      </c>
      <c r="C2276" t="s">
        <v>23</v>
      </c>
      <c r="D2276">
        <v>24297</v>
      </c>
      <c r="E2276" t="s">
        <v>40</v>
      </c>
      <c r="F2276" t="s">
        <v>10</v>
      </c>
    </row>
    <row r="2277" spans="1:6" hidden="1" x14ac:dyDescent="0.35">
      <c r="A2277" t="s">
        <v>17</v>
      </c>
      <c r="B2277" t="s">
        <v>39</v>
      </c>
      <c r="C2277" t="s">
        <v>23</v>
      </c>
      <c r="D2277">
        <v>378639</v>
      </c>
      <c r="E2277" t="s">
        <v>40</v>
      </c>
      <c r="F2277" t="s">
        <v>10</v>
      </c>
    </row>
    <row r="2278" spans="1:6" hidden="1" x14ac:dyDescent="0.35">
      <c r="A2278" t="s">
        <v>18</v>
      </c>
      <c r="B2278" t="s">
        <v>39</v>
      </c>
      <c r="C2278" t="s">
        <v>23</v>
      </c>
      <c r="D2278">
        <v>27262</v>
      </c>
      <c r="E2278" t="s">
        <v>40</v>
      </c>
      <c r="F2278" t="s">
        <v>10</v>
      </c>
    </row>
    <row r="2279" spans="1:6" hidden="1" x14ac:dyDescent="0.35">
      <c r="A2279" t="s">
        <v>19</v>
      </c>
      <c r="B2279" t="s">
        <v>39</v>
      </c>
      <c r="C2279" t="s">
        <v>23</v>
      </c>
      <c r="D2279">
        <v>26938</v>
      </c>
      <c r="E2279" t="s">
        <v>40</v>
      </c>
      <c r="F2279" t="s">
        <v>10</v>
      </c>
    </row>
    <row r="2280" spans="1:6" hidden="1" x14ac:dyDescent="0.35">
      <c r="A2280" t="s">
        <v>20</v>
      </c>
      <c r="B2280" t="s">
        <v>39</v>
      </c>
      <c r="C2280" t="s">
        <v>23</v>
      </c>
      <c r="D2280">
        <v>122593</v>
      </c>
      <c r="E2280" t="s">
        <v>40</v>
      </c>
      <c r="F2280" t="s">
        <v>10</v>
      </c>
    </row>
    <row r="2281" spans="1:6" hidden="1" x14ac:dyDescent="0.35">
      <c r="A2281" t="s">
        <v>21</v>
      </c>
      <c r="B2281" t="s">
        <v>39</v>
      </c>
      <c r="C2281" t="s">
        <v>23</v>
      </c>
      <c r="D2281">
        <v>0</v>
      </c>
      <c r="E2281" t="s">
        <v>40</v>
      </c>
      <c r="F2281" t="s">
        <v>10</v>
      </c>
    </row>
    <row r="2282" spans="1:6" hidden="1" x14ac:dyDescent="0.35">
      <c r="A2282" t="s">
        <v>6</v>
      </c>
      <c r="B2282" t="s">
        <v>39</v>
      </c>
      <c r="C2282" t="s">
        <v>24</v>
      </c>
      <c r="D2282">
        <v>0</v>
      </c>
      <c r="E2282" t="s">
        <v>40</v>
      </c>
      <c r="F2282" t="s">
        <v>10</v>
      </c>
    </row>
    <row r="2283" spans="1:6" hidden="1" x14ac:dyDescent="0.35">
      <c r="A2283" t="s">
        <v>11</v>
      </c>
      <c r="B2283" t="s">
        <v>39</v>
      </c>
      <c r="C2283" t="s">
        <v>24</v>
      </c>
      <c r="D2283">
        <v>0</v>
      </c>
      <c r="E2283" t="s">
        <v>40</v>
      </c>
      <c r="F2283" t="s">
        <v>10</v>
      </c>
    </row>
    <row r="2284" spans="1:6" hidden="1" x14ac:dyDescent="0.35">
      <c r="A2284" t="s">
        <v>12</v>
      </c>
      <c r="B2284" t="s">
        <v>39</v>
      </c>
      <c r="C2284" t="s">
        <v>24</v>
      </c>
      <c r="D2284">
        <v>0</v>
      </c>
      <c r="E2284" t="s">
        <v>40</v>
      </c>
      <c r="F2284" t="s">
        <v>10</v>
      </c>
    </row>
    <row r="2285" spans="1:6" hidden="1" x14ac:dyDescent="0.35">
      <c r="A2285" t="s">
        <v>13</v>
      </c>
      <c r="B2285" t="s">
        <v>39</v>
      </c>
      <c r="C2285" t="s">
        <v>24</v>
      </c>
      <c r="D2285">
        <v>0</v>
      </c>
      <c r="E2285" t="s">
        <v>40</v>
      </c>
      <c r="F2285" t="s">
        <v>10</v>
      </c>
    </row>
    <row r="2286" spans="1:6" hidden="1" x14ac:dyDescent="0.35">
      <c r="A2286" t="s">
        <v>14</v>
      </c>
      <c r="B2286" t="s">
        <v>39</v>
      </c>
      <c r="C2286" t="s">
        <v>24</v>
      </c>
      <c r="D2286">
        <v>0</v>
      </c>
      <c r="E2286" t="s">
        <v>40</v>
      </c>
      <c r="F2286" t="s">
        <v>10</v>
      </c>
    </row>
    <row r="2287" spans="1:6" hidden="1" x14ac:dyDescent="0.35">
      <c r="A2287" t="s">
        <v>15</v>
      </c>
      <c r="B2287" t="s">
        <v>39</v>
      </c>
      <c r="C2287" t="s">
        <v>24</v>
      </c>
      <c r="D2287">
        <v>0</v>
      </c>
      <c r="E2287" t="s">
        <v>40</v>
      </c>
      <c r="F2287" t="s">
        <v>10</v>
      </c>
    </row>
    <row r="2288" spans="1:6" hidden="1" x14ac:dyDescent="0.35">
      <c r="A2288" t="s">
        <v>16</v>
      </c>
      <c r="B2288" t="s">
        <v>39</v>
      </c>
      <c r="C2288" t="s">
        <v>24</v>
      </c>
      <c r="D2288">
        <v>0</v>
      </c>
      <c r="E2288" t="s">
        <v>40</v>
      </c>
      <c r="F2288" t="s">
        <v>10</v>
      </c>
    </row>
    <row r="2289" spans="1:6" hidden="1" x14ac:dyDescent="0.35">
      <c r="A2289" t="s">
        <v>17</v>
      </c>
      <c r="B2289" t="s">
        <v>39</v>
      </c>
      <c r="C2289" t="s">
        <v>24</v>
      </c>
      <c r="D2289">
        <v>0</v>
      </c>
      <c r="E2289" t="s">
        <v>40</v>
      </c>
      <c r="F2289" t="s">
        <v>10</v>
      </c>
    </row>
    <row r="2290" spans="1:6" hidden="1" x14ac:dyDescent="0.35">
      <c r="A2290" t="s">
        <v>18</v>
      </c>
      <c r="B2290" t="s">
        <v>39</v>
      </c>
      <c r="C2290" t="s">
        <v>24</v>
      </c>
      <c r="D2290">
        <v>0</v>
      </c>
      <c r="E2290" t="s">
        <v>40</v>
      </c>
      <c r="F2290" t="s">
        <v>10</v>
      </c>
    </row>
    <row r="2291" spans="1:6" hidden="1" x14ac:dyDescent="0.35">
      <c r="A2291" t="s">
        <v>19</v>
      </c>
      <c r="B2291" t="s">
        <v>39</v>
      </c>
      <c r="C2291" t="s">
        <v>24</v>
      </c>
      <c r="D2291">
        <v>0</v>
      </c>
      <c r="E2291" t="s">
        <v>40</v>
      </c>
      <c r="F2291" t="s">
        <v>10</v>
      </c>
    </row>
    <row r="2292" spans="1:6" hidden="1" x14ac:dyDescent="0.35">
      <c r="A2292" t="s">
        <v>20</v>
      </c>
      <c r="B2292" t="s">
        <v>39</v>
      </c>
      <c r="C2292" t="s">
        <v>24</v>
      </c>
      <c r="D2292">
        <v>0</v>
      </c>
      <c r="E2292" t="s">
        <v>40</v>
      </c>
      <c r="F2292" t="s">
        <v>10</v>
      </c>
    </row>
    <row r="2293" spans="1:6" hidden="1" x14ac:dyDescent="0.35">
      <c r="A2293" t="s">
        <v>21</v>
      </c>
      <c r="B2293" t="s">
        <v>39</v>
      </c>
      <c r="C2293" t="s">
        <v>24</v>
      </c>
      <c r="D2293">
        <v>0</v>
      </c>
      <c r="E2293" t="s">
        <v>40</v>
      </c>
      <c r="F2293" t="s">
        <v>10</v>
      </c>
    </row>
    <row r="2294" spans="1:6" hidden="1" x14ac:dyDescent="0.35">
      <c r="A2294" t="s">
        <v>6</v>
      </c>
      <c r="B2294" t="s">
        <v>39</v>
      </c>
      <c r="C2294" t="s">
        <v>25</v>
      </c>
      <c r="D2294">
        <v>0</v>
      </c>
      <c r="E2294" t="s">
        <v>40</v>
      </c>
      <c r="F2294" t="s">
        <v>10</v>
      </c>
    </row>
    <row r="2295" spans="1:6" hidden="1" x14ac:dyDescent="0.35">
      <c r="A2295" t="s">
        <v>11</v>
      </c>
      <c r="B2295" t="s">
        <v>39</v>
      </c>
      <c r="C2295" t="s">
        <v>25</v>
      </c>
      <c r="D2295">
        <v>0</v>
      </c>
      <c r="E2295" t="s">
        <v>40</v>
      </c>
      <c r="F2295" t="s">
        <v>10</v>
      </c>
    </row>
    <row r="2296" spans="1:6" hidden="1" x14ac:dyDescent="0.35">
      <c r="A2296" t="s">
        <v>12</v>
      </c>
      <c r="B2296" t="s">
        <v>39</v>
      </c>
      <c r="C2296" t="s">
        <v>25</v>
      </c>
      <c r="D2296">
        <v>0</v>
      </c>
      <c r="E2296" t="s">
        <v>40</v>
      </c>
      <c r="F2296" t="s">
        <v>10</v>
      </c>
    </row>
    <row r="2297" spans="1:6" hidden="1" x14ac:dyDescent="0.35">
      <c r="A2297" t="s">
        <v>13</v>
      </c>
      <c r="B2297" t="s">
        <v>39</v>
      </c>
      <c r="C2297" t="s">
        <v>25</v>
      </c>
      <c r="D2297">
        <v>23721</v>
      </c>
      <c r="E2297" t="s">
        <v>40</v>
      </c>
      <c r="F2297" t="s">
        <v>10</v>
      </c>
    </row>
    <row r="2298" spans="1:6" hidden="1" x14ac:dyDescent="0.35">
      <c r="A2298" t="s">
        <v>14</v>
      </c>
      <c r="B2298" t="s">
        <v>39</v>
      </c>
      <c r="C2298" t="s">
        <v>25</v>
      </c>
      <c r="D2298">
        <v>0</v>
      </c>
      <c r="E2298" t="s">
        <v>40</v>
      </c>
      <c r="F2298" t="s">
        <v>10</v>
      </c>
    </row>
    <row r="2299" spans="1:6" hidden="1" x14ac:dyDescent="0.35">
      <c r="A2299" t="s">
        <v>15</v>
      </c>
      <c r="B2299" t="s">
        <v>39</v>
      </c>
      <c r="C2299" t="s">
        <v>25</v>
      </c>
      <c r="D2299">
        <v>0</v>
      </c>
      <c r="E2299" t="s">
        <v>40</v>
      </c>
      <c r="F2299" t="s">
        <v>10</v>
      </c>
    </row>
    <row r="2300" spans="1:6" hidden="1" x14ac:dyDescent="0.35">
      <c r="A2300" t="s">
        <v>16</v>
      </c>
      <c r="B2300" t="s">
        <v>39</v>
      </c>
      <c r="C2300" t="s">
        <v>25</v>
      </c>
      <c r="D2300">
        <v>0</v>
      </c>
      <c r="E2300" t="s">
        <v>40</v>
      </c>
      <c r="F2300" t="s">
        <v>10</v>
      </c>
    </row>
    <row r="2301" spans="1:6" hidden="1" x14ac:dyDescent="0.35">
      <c r="A2301" t="s">
        <v>17</v>
      </c>
      <c r="B2301" t="s">
        <v>39</v>
      </c>
      <c r="C2301" t="s">
        <v>25</v>
      </c>
      <c r="D2301">
        <v>0</v>
      </c>
      <c r="E2301" t="s">
        <v>40</v>
      </c>
      <c r="F2301" t="s">
        <v>10</v>
      </c>
    </row>
    <row r="2302" spans="1:6" hidden="1" x14ac:dyDescent="0.35">
      <c r="A2302" t="s">
        <v>18</v>
      </c>
      <c r="B2302" t="s">
        <v>39</v>
      </c>
      <c r="C2302" t="s">
        <v>25</v>
      </c>
      <c r="D2302">
        <v>0</v>
      </c>
      <c r="E2302" t="s">
        <v>40</v>
      </c>
      <c r="F2302" t="s">
        <v>10</v>
      </c>
    </row>
    <row r="2303" spans="1:6" hidden="1" x14ac:dyDescent="0.35">
      <c r="A2303" t="s">
        <v>19</v>
      </c>
      <c r="B2303" t="s">
        <v>39</v>
      </c>
      <c r="C2303" t="s">
        <v>25</v>
      </c>
      <c r="D2303">
        <v>0</v>
      </c>
      <c r="E2303" t="s">
        <v>40</v>
      </c>
      <c r="F2303" t="s">
        <v>10</v>
      </c>
    </row>
    <row r="2304" spans="1:6" hidden="1" x14ac:dyDescent="0.35">
      <c r="A2304" t="s">
        <v>20</v>
      </c>
      <c r="B2304" t="s">
        <v>39</v>
      </c>
      <c r="C2304" t="s">
        <v>25</v>
      </c>
      <c r="D2304">
        <v>0</v>
      </c>
      <c r="E2304" t="s">
        <v>40</v>
      </c>
      <c r="F2304" t="s">
        <v>10</v>
      </c>
    </row>
    <row r="2305" spans="1:6" hidden="1" x14ac:dyDescent="0.35">
      <c r="A2305" t="s">
        <v>21</v>
      </c>
      <c r="B2305" t="s">
        <v>39</v>
      </c>
      <c r="C2305" t="s">
        <v>25</v>
      </c>
      <c r="D2305">
        <v>0</v>
      </c>
      <c r="E2305" t="s">
        <v>40</v>
      </c>
      <c r="F2305" t="s">
        <v>10</v>
      </c>
    </row>
    <row r="2306" spans="1:6" hidden="1" x14ac:dyDescent="0.35">
      <c r="A2306" t="s">
        <v>6</v>
      </c>
      <c r="B2306" t="s">
        <v>39</v>
      </c>
      <c r="C2306" t="s">
        <v>26</v>
      </c>
      <c r="D2306">
        <v>0</v>
      </c>
      <c r="E2306" t="s">
        <v>40</v>
      </c>
      <c r="F2306" t="s">
        <v>10</v>
      </c>
    </row>
    <row r="2307" spans="1:6" hidden="1" x14ac:dyDescent="0.35">
      <c r="A2307" t="s">
        <v>11</v>
      </c>
      <c r="B2307" t="s">
        <v>39</v>
      </c>
      <c r="C2307" t="s">
        <v>26</v>
      </c>
      <c r="E2307" t="s">
        <v>40</v>
      </c>
      <c r="F2307" t="s">
        <v>10</v>
      </c>
    </row>
    <row r="2308" spans="1:6" hidden="1" x14ac:dyDescent="0.35">
      <c r="A2308" t="s">
        <v>12</v>
      </c>
      <c r="B2308" t="s">
        <v>39</v>
      </c>
      <c r="C2308" t="s">
        <v>26</v>
      </c>
      <c r="E2308" t="s">
        <v>40</v>
      </c>
      <c r="F2308" t="s">
        <v>10</v>
      </c>
    </row>
    <row r="2309" spans="1:6" hidden="1" x14ac:dyDescent="0.35">
      <c r="A2309" t="s">
        <v>13</v>
      </c>
      <c r="B2309" t="s">
        <v>39</v>
      </c>
      <c r="C2309" t="s">
        <v>26</v>
      </c>
      <c r="E2309" t="s">
        <v>40</v>
      </c>
      <c r="F2309" t="s">
        <v>10</v>
      </c>
    </row>
    <row r="2310" spans="1:6" hidden="1" x14ac:dyDescent="0.35">
      <c r="A2310" t="s">
        <v>14</v>
      </c>
      <c r="B2310" t="s">
        <v>39</v>
      </c>
      <c r="C2310" t="s">
        <v>26</v>
      </c>
      <c r="E2310" t="s">
        <v>40</v>
      </c>
      <c r="F2310" t="s">
        <v>10</v>
      </c>
    </row>
    <row r="2311" spans="1:6" hidden="1" x14ac:dyDescent="0.35">
      <c r="A2311" t="s">
        <v>15</v>
      </c>
      <c r="B2311" t="s">
        <v>39</v>
      </c>
      <c r="C2311" t="s">
        <v>26</v>
      </c>
      <c r="E2311" t="s">
        <v>40</v>
      </c>
      <c r="F2311" t="s">
        <v>10</v>
      </c>
    </row>
    <row r="2312" spans="1:6" hidden="1" x14ac:dyDescent="0.35">
      <c r="A2312" t="s">
        <v>16</v>
      </c>
      <c r="B2312" t="s">
        <v>39</v>
      </c>
      <c r="C2312" t="s">
        <v>26</v>
      </c>
      <c r="E2312" t="s">
        <v>40</v>
      </c>
      <c r="F2312" t="s">
        <v>10</v>
      </c>
    </row>
    <row r="2313" spans="1:6" hidden="1" x14ac:dyDescent="0.35">
      <c r="A2313" t="s">
        <v>17</v>
      </c>
      <c r="B2313" t="s">
        <v>39</v>
      </c>
      <c r="C2313" t="s">
        <v>26</v>
      </c>
      <c r="E2313" t="s">
        <v>40</v>
      </c>
      <c r="F2313" t="s">
        <v>10</v>
      </c>
    </row>
    <row r="2314" spans="1:6" hidden="1" x14ac:dyDescent="0.35">
      <c r="A2314" t="s">
        <v>18</v>
      </c>
      <c r="B2314" t="s">
        <v>39</v>
      </c>
      <c r="C2314" t="s">
        <v>26</v>
      </c>
      <c r="E2314" t="s">
        <v>40</v>
      </c>
      <c r="F2314" t="s">
        <v>10</v>
      </c>
    </row>
    <row r="2315" spans="1:6" hidden="1" x14ac:dyDescent="0.35">
      <c r="A2315" t="s">
        <v>19</v>
      </c>
      <c r="B2315" t="s">
        <v>39</v>
      </c>
      <c r="C2315" t="s">
        <v>26</v>
      </c>
      <c r="E2315" t="s">
        <v>40</v>
      </c>
      <c r="F2315" t="s">
        <v>10</v>
      </c>
    </row>
    <row r="2316" spans="1:6" hidden="1" x14ac:dyDescent="0.35">
      <c r="A2316" t="s">
        <v>20</v>
      </c>
      <c r="B2316" t="s">
        <v>39</v>
      </c>
      <c r="C2316" t="s">
        <v>26</v>
      </c>
      <c r="E2316" t="s">
        <v>40</v>
      </c>
      <c r="F2316" t="s">
        <v>10</v>
      </c>
    </row>
    <row r="2317" spans="1:6" hidden="1" x14ac:dyDescent="0.35">
      <c r="A2317" t="s">
        <v>21</v>
      </c>
      <c r="B2317" t="s">
        <v>39</v>
      </c>
      <c r="C2317" t="s">
        <v>26</v>
      </c>
      <c r="E2317" t="s">
        <v>40</v>
      </c>
      <c r="F2317" t="s">
        <v>10</v>
      </c>
    </row>
    <row r="2318" spans="1:6" hidden="1" x14ac:dyDescent="0.35">
      <c r="A2318" t="s">
        <v>6</v>
      </c>
      <c r="B2318" t="s">
        <v>39</v>
      </c>
      <c r="C2318" t="s">
        <v>27</v>
      </c>
      <c r="D2318">
        <v>47416</v>
      </c>
      <c r="E2318" t="s">
        <v>40</v>
      </c>
      <c r="F2318" t="s">
        <v>10</v>
      </c>
    </row>
    <row r="2319" spans="1:6" hidden="1" x14ac:dyDescent="0.35">
      <c r="A2319" t="s">
        <v>11</v>
      </c>
      <c r="B2319" t="s">
        <v>39</v>
      </c>
      <c r="C2319" t="s">
        <v>27</v>
      </c>
      <c r="D2319">
        <v>78435</v>
      </c>
      <c r="E2319" t="s">
        <v>40</v>
      </c>
      <c r="F2319" t="s">
        <v>10</v>
      </c>
    </row>
    <row r="2320" spans="1:6" hidden="1" x14ac:dyDescent="0.35">
      <c r="A2320" t="s">
        <v>12</v>
      </c>
      <c r="B2320" t="s">
        <v>39</v>
      </c>
      <c r="C2320" t="s">
        <v>27</v>
      </c>
      <c r="D2320">
        <v>39694</v>
      </c>
      <c r="E2320" t="s">
        <v>40</v>
      </c>
      <c r="F2320" t="s">
        <v>10</v>
      </c>
    </row>
    <row r="2321" spans="1:6" hidden="1" x14ac:dyDescent="0.35">
      <c r="A2321" t="s">
        <v>13</v>
      </c>
      <c r="B2321" t="s">
        <v>39</v>
      </c>
      <c r="C2321" t="s">
        <v>27</v>
      </c>
      <c r="D2321">
        <v>29822</v>
      </c>
      <c r="E2321" t="s">
        <v>40</v>
      </c>
      <c r="F2321" t="s">
        <v>10</v>
      </c>
    </row>
    <row r="2322" spans="1:6" hidden="1" x14ac:dyDescent="0.35">
      <c r="A2322" t="s">
        <v>14</v>
      </c>
      <c r="B2322" t="s">
        <v>39</v>
      </c>
      <c r="C2322" t="s">
        <v>27</v>
      </c>
      <c r="D2322">
        <v>30477</v>
      </c>
      <c r="E2322" t="s">
        <v>40</v>
      </c>
      <c r="F2322" t="s">
        <v>10</v>
      </c>
    </row>
    <row r="2323" spans="1:6" hidden="1" x14ac:dyDescent="0.35">
      <c r="A2323" t="s">
        <v>15</v>
      </c>
      <c r="B2323" t="s">
        <v>39</v>
      </c>
      <c r="C2323" t="s">
        <v>27</v>
      </c>
      <c r="D2323">
        <v>66551</v>
      </c>
      <c r="E2323" t="s">
        <v>40</v>
      </c>
      <c r="F2323" t="s">
        <v>10</v>
      </c>
    </row>
    <row r="2324" spans="1:6" hidden="1" x14ac:dyDescent="0.35">
      <c r="A2324" t="s">
        <v>16</v>
      </c>
      <c r="B2324" t="s">
        <v>39</v>
      </c>
      <c r="C2324" t="s">
        <v>27</v>
      </c>
      <c r="D2324">
        <v>73647</v>
      </c>
      <c r="E2324" t="s">
        <v>40</v>
      </c>
      <c r="F2324" t="s">
        <v>10</v>
      </c>
    </row>
    <row r="2325" spans="1:6" hidden="1" x14ac:dyDescent="0.35">
      <c r="A2325" t="s">
        <v>17</v>
      </c>
      <c r="B2325" t="s">
        <v>39</v>
      </c>
      <c r="C2325" t="s">
        <v>27</v>
      </c>
      <c r="D2325">
        <v>83814</v>
      </c>
      <c r="E2325" t="s">
        <v>40</v>
      </c>
      <c r="F2325" t="s">
        <v>10</v>
      </c>
    </row>
    <row r="2326" spans="1:6" hidden="1" x14ac:dyDescent="0.35">
      <c r="A2326" t="s">
        <v>18</v>
      </c>
      <c r="B2326" t="s">
        <v>39</v>
      </c>
      <c r="C2326" t="s">
        <v>27</v>
      </c>
      <c r="D2326">
        <v>9458</v>
      </c>
      <c r="E2326" t="s">
        <v>40</v>
      </c>
      <c r="F2326" t="s">
        <v>10</v>
      </c>
    </row>
    <row r="2327" spans="1:6" hidden="1" x14ac:dyDescent="0.35">
      <c r="A2327" t="s">
        <v>19</v>
      </c>
      <c r="B2327" t="s">
        <v>39</v>
      </c>
      <c r="C2327" t="s">
        <v>27</v>
      </c>
      <c r="D2327">
        <v>71452</v>
      </c>
      <c r="E2327" t="s">
        <v>40</v>
      </c>
      <c r="F2327" t="s">
        <v>10</v>
      </c>
    </row>
    <row r="2328" spans="1:6" hidden="1" x14ac:dyDescent="0.35">
      <c r="A2328" t="s">
        <v>20</v>
      </c>
      <c r="B2328" t="s">
        <v>39</v>
      </c>
      <c r="C2328" t="s">
        <v>27</v>
      </c>
      <c r="D2328">
        <v>79610</v>
      </c>
      <c r="E2328" t="s">
        <v>40</v>
      </c>
      <c r="F2328" t="s">
        <v>10</v>
      </c>
    </row>
    <row r="2329" spans="1:6" hidden="1" x14ac:dyDescent="0.35">
      <c r="A2329" t="s">
        <v>21</v>
      </c>
      <c r="B2329" t="s">
        <v>39</v>
      </c>
      <c r="C2329" t="s">
        <v>27</v>
      </c>
      <c r="D2329">
        <v>25567</v>
      </c>
      <c r="E2329" t="s">
        <v>40</v>
      </c>
      <c r="F2329" t="s">
        <v>10</v>
      </c>
    </row>
    <row r="2330" spans="1:6" hidden="1" x14ac:dyDescent="0.35">
      <c r="A2330" t="s">
        <v>6</v>
      </c>
      <c r="B2330" t="s">
        <v>39</v>
      </c>
      <c r="C2330" t="s">
        <v>28</v>
      </c>
      <c r="D2330">
        <v>154982</v>
      </c>
      <c r="E2330" t="s">
        <v>40</v>
      </c>
      <c r="F2330" t="s">
        <v>10</v>
      </c>
    </row>
    <row r="2331" spans="1:6" hidden="1" x14ac:dyDescent="0.35">
      <c r="A2331" t="s">
        <v>11</v>
      </c>
      <c r="B2331" t="s">
        <v>39</v>
      </c>
      <c r="C2331" t="s">
        <v>28</v>
      </c>
      <c r="D2331">
        <v>77248</v>
      </c>
      <c r="E2331" t="s">
        <v>40</v>
      </c>
      <c r="F2331" t="s">
        <v>10</v>
      </c>
    </row>
    <row r="2332" spans="1:6" hidden="1" x14ac:dyDescent="0.35">
      <c r="A2332" t="s">
        <v>12</v>
      </c>
      <c r="B2332" t="s">
        <v>39</v>
      </c>
      <c r="C2332" t="s">
        <v>28</v>
      </c>
      <c r="D2332">
        <v>593652</v>
      </c>
      <c r="E2332" t="s">
        <v>40</v>
      </c>
      <c r="F2332" t="s">
        <v>10</v>
      </c>
    </row>
    <row r="2333" spans="1:6" hidden="1" x14ac:dyDescent="0.35">
      <c r="A2333" t="s">
        <v>13</v>
      </c>
      <c r="B2333" t="s">
        <v>39</v>
      </c>
      <c r="C2333" t="s">
        <v>28</v>
      </c>
      <c r="D2333">
        <v>88106</v>
      </c>
      <c r="E2333" t="s">
        <v>40</v>
      </c>
      <c r="F2333" t="s">
        <v>10</v>
      </c>
    </row>
    <row r="2334" spans="1:6" hidden="1" x14ac:dyDescent="0.35">
      <c r="A2334" t="s">
        <v>14</v>
      </c>
      <c r="B2334" t="s">
        <v>39</v>
      </c>
      <c r="C2334" t="s">
        <v>28</v>
      </c>
      <c r="D2334">
        <v>92096</v>
      </c>
      <c r="E2334" t="s">
        <v>40</v>
      </c>
      <c r="F2334" t="s">
        <v>10</v>
      </c>
    </row>
    <row r="2335" spans="1:6" hidden="1" x14ac:dyDescent="0.35">
      <c r="A2335" t="s">
        <v>15</v>
      </c>
      <c r="B2335" t="s">
        <v>39</v>
      </c>
      <c r="C2335" t="s">
        <v>28</v>
      </c>
      <c r="D2335">
        <v>353238</v>
      </c>
      <c r="E2335" t="s">
        <v>40</v>
      </c>
      <c r="F2335" t="s">
        <v>10</v>
      </c>
    </row>
    <row r="2336" spans="1:6" hidden="1" x14ac:dyDescent="0.35">
      <c r="A2336" t="s">
        <v>16</v>
      </c>
      <c r="B2336" t="s">
        <v>39</v>
      </c>
      <c r="C2336" t="s">
        <v>28</v>
      </c>
      <c r="D2336">
        <v>94861</v>
      </c>
      <c r="E2336" t="s">
        <v>40</v>
      </c>
      <c r="F2336" t="s">
        <v>10</v>
      </c>
    </row>
    <row r="2337" spans="1:6" hidden="1" x14ac:dyDescent="0.35">
      <c r="A2337" t="s">
        <v>17</v>
      </c>
      <c r="B2337" t="s">
        <v>39</v>
      </c>
      <c r="C2337" t="s">
        <v>28</v>
      </c>
      <c r="D2337">
        <v>634426</v>
      </c>
      <c r="E2337" t="s">
        <v>40</v>
      </c>
      <c r="F2337" t="s">
        <v>10</v>
      </c>
    </row>
    <row r="2338" spans="1:6" hidden="1" x14ac:dyDescent="0.35">
      <c r="A2338" t="s">
        <v>18</v>
      </c>
      <c r="B2338" t="s">
        <v>39</v>
      </c>
      <c r="C2338" t="s">
        <v>28</v>
      </c>
      <c r="D2338">
        <v>38450</v>
      </c>
      <c r="E2338" t="s">
        <v>40</v>
      </c>
      <c r="F2338" t="s">
        <v>10</v>
      </c>
    </row>
    <row r="2339" spans="1:6" hidden="1" x14ac:dyDescent="0.35">
      <c r="A2339" t="s">
        <v>19</v>
      </c>
      <c r="B2339" t="s">
        <v>39</v>
      </c>
      <c r="C2339" t="s">
        <v>28</v>
      </c>
      <c r="D2339">
        <v>85713</v>
      </c>
      <c r="E2339" t="s">
        <v>40</v>
      </c>
      <c r="F2339" t="s">
        <v>10</v>
      </c>
    </row>
    <row r="2340" spans="1:6" hidden="1" x14ac:dyDescent="0.35">
      <c r="A2340" t="s">
        <v>20</v>
      </c>
      <c r="B2340" t="s">
        <v>39</v>
      </c>
      <c r="C2340" t="s">
        <v>28</v>
      </c>
      <c r="D2340">
        <v>615777</v>
      </c>
      <c r="E2340" t="s">
        <v>40</v>
      </c>
      <c r="F2340" t="s">
        <v>10</v>
      </c>
    </row>
    <row r="2341" spans="1:6" hidden="1" x14ac:dyDescent="0.35">
      <c r="A2341" t="s">
        <v>21</v>
      </c>
      <c r="B2341" t="s">
        <v>39</v>
      </c>
      <c r="C2341" t="s">
        <v>28</v>
      </c>
      <c r="D2341">
        <v>27160</v>
      </c>
      <c r="E2341" t="s">
        <v>40</v>
      </c>
      <c r="F2341" t="s">
        <v>10</v>
      </c>
    </row>
    <row r="2342" spans="1:6" hidden="1" x14ac:dyDescent="0.35">
      <c r="A2342" t="s">
        <v>6</v>
      </c>
      <c r="B2342" t="s">
        <v>39</v>
      </c>
      <c r="C2342" t="s">
        <v>29</v>
      </c>
      <c r="E2342" t="s">
        <v>40</v>
      </c>
      <c r="F2342" t="s">
        <v>10</v>
      </c>
    </row>
    <row r="2343" spans="1:6" hidden="1" x14ac:dyDescent="0.35">
      <c r="A2343" t="s">
        <v>11</v>
      </c>
      <c r="B2343" t="s">
        <v>39</v>
      </c>
      <c r="C2343" t="s">
        <v>29</v>
      </c>
      <c r="E2343" t="s">
        <v>40</v>
      </c>
      <c r="F2343" t="s">
        <v>10</v>
      </c>
    </row>
    <row r="2344" spans="1:6" hidden="1" x14ac:dyDescent="0.35">
      <c r="A2344" t="s">
        <v>12</v>
      </c>
      <c r="B2344" t="s">
        <v>39</v>
      </c>
      <c r="C2344" t="s">
        <v>29</v>
      </c>
      <c r="E2344" t="s">
        <v>40</v>
      </c>
      <c r="F2344" t="s">
        <v>10</v>
      </c>
    </row>
    <row r="2345" spans="1:6" hidden="1" x14ac:dyDescent="0.35">
      <c r="A2345" t="s">
        <v>13</v>
      </c>
      <c r="B2345" t="s">
        <v>39</v>
      </c>
      <c r="C2345" t="s">
        <v>29</v>
      </c>
      <c r="E2345" t="s">
        <v>40</v>
      </c>
      <c r="F2345" t="s">
        <v>10</v>
      </c>
    </row>
    <row r="2346" spans="1:6" hidden="1" x14ac:dyDescent="0.35">
      <c r="A2346" t="s">
        <v>14</v>
      </c>
      <c r="B2346" t="s">
        <v>39</v>
      </c>
      <c r="C2346" t="s">
        <v>29</v>
      </c>
      <c r="E2346" t="s">
        <v>40</v>
      </c>
      <c r="F2346" t="s">
        <v>10</v>
      </c>
    </row>
    <row r="2347" spans="1:6" hidden="1" x14ac:dyDescent="0.35">
      <c r="A2347" t="s">
        <v>15</v>
      </c>
      <c r="B2347" t="s">
        <v>39</v>
      </c>
      <c r="C2347" t="s">
        <v>29</v>
      </c>
      <c r="E2347" t="s">
        <v>40</v>
      </c>
      <c r="F2347" t="s">
        <v>10</v>
      </c>
    </row>
    <row r="2348" spans="1:6" hidden="1" x14ac:dyDescent="0.35">
      <c r="A2348" t="s">
        <v>16</v>
      </c>
      <c r="B2348" t="s">
        <v>39</v>
      </c>
      <c r="C2348" t="s">
        <v>29</v>
      </c>
      <c r="E2348" t="s">
        <v>40</v>
      </c>
      <c r="F2348" t="s">
        <v>10</v>
      </c>
    </row>
    <row r="2349" spans="1:6" hidden="1" x14ac:dyDescent="0.35">
      <c r="A2349" t="s">
        <v>17</v>
      </c>
      <c r="B2349" t="s">
        <v>39</v>
      </c>
      <c r="C2349" t="s">
        <v>29</v>
      </c>
      <c r="E2349" t="s">
        <v>40</v>
      </c>
      <c r="F2349" t="s">
        <v>10</v>
      </c>
    </row>
    <row r="2350" spans="1:6" hidden="1" x14ac:dyDescent="0.35">
      <c r="A2350" t="s">
        <v>18</v>
      </c>
      <c r="B2350" t="s">
        <v>39</v>
      </c>
      <c r="C2350" t="s">
        <v>29</v>
      </c>
      <c r="E2350" t="s">
        <v>40</v>
      </c>
      <c r="F2350" t="s">
        <v>10</v>
      </c>
    </row>
    <row r="2351" spans="1:6" hidden="1" x14ac:dyDescent="0.35">
      <c r="A2351" t="s">
        <v>19</v>
      </c>
      <c r="B2351" t="s">
        <v>39</v>
      </c>
      <c r="C2351" t="s">
        <v>29</v>
      </c>
      <c r="E2351" t="s">
        <v>40</v>
      </c>
      <c r="F2351" t="s">
        <v>10</v>
      </c>
    </row>
    <row r="2352" spans="1:6" hidden="1" x14ac:dyDescent="0.35">
      <c r="A2352" t="s">
        <v>20</v>
      </c>
      <c r="B2352" t="s">
        <v>39</v>
      </c>
      <c r="C2352" t="s">
        <v>29</v>
      </c>
      <c r="E2352" t="s">
        <v>40</v>
      </c>
      <c r="F2352" t="s">
        <v>10</v>
      </c>
    </row>
    <row r="2353" spans="1:6" hidden="1" x14ac:dyDescent="0.35">
      <c r="A2353" t="s">
        <v>21</v>
      </c>
      <c r="B2353" t="s">
        <v>39</v>
      </c>
      <c r="C2353" t="s">
        <v>29</v>
      </c>
      <c r="E2353" t="s">
        <v>40</v>
      </c>
      <c r="F2353" t="s">
        <v>10</v>
      </c>
    </row>
    <row r="2354" spans="1:6" hidden="1" x14ac:dyDescent="0.35">
      <c r="A2354" t="s">
        <v>6</v>
      </c>
      <c r="B2354" t="s">
        <v>39</v>
      </c>
      <c r="C2354" t="s">
        <v>30</v>
      </c>
      <c r="D2354">
        <v>7</v>
      </c>
      <c r="E2354" t="s">
        <v>40</v>
      </c>
      <c r="F2354" t="s">
        <v>10</v>
      </c>
    </row>
    <row r="2355" spans="1:6" hidden="1" x14ac:dyDescent="0.35">
      <c r="A2355" t="s">
        <v>11</v>
      </c>
      <c r="B2355" t="s">
        <v>39</v>
      </c>
      <c r="C2355" t="s">
        <v>30</v>
      </c>
      <c r="D2355">
        <v>3</v>
      </c>
      <c r="E2355" t="s">
        <v>40</v>
      </c>
      <c r="F2355" t="s">
        <v>10</v>
      </c>
    </row>
    <row r="2356" spans="1:6" hidden="1" x14ac:dyDescent="0.35">
      <c r="A2356" t="s">
        <v>12</v>
      </c>
      <c r="B2356" t="s">
        <v>39</v>
      </c>
      <c r="C2356" t="s">
        <v>30</v>
      </c>
      <c r="D2356">
        <v>8</v>
      </c>
      <c r="E2356" t="s">
        <v>40</v>
      </c>
      <c r="F2356" t="s">
        <v>10</v>
      </c>
    </row>
    <row r="2357" spans="1:6" hidden="1" x14ac:dyDescent="0.35">
      <c r="A2357" t="s">
        <v>13</v>
      </c>
      <c r="B2357" t="s">
        <v>39</v>
      </c>
      <c r="C2357" t="s">
        <v>30</v>
      </c>
      <c r="D2357">
        <v>8</v>
      </c>
      <c r="E2357" t="s">
        <v>40</v>
      </c>
      <c r="F2357" t="s">
        <v>10</v>
      </c>
    </row>
    <row r="2358" spans="1:6" hidden="1" x14ac:dyDescent="0.35">
      <c r="A2358" t="s">
        <v>14</v>
      </c>
      <c r="B2358" t="s">
        <v>39</v>
      </c>
      <c r="C2358" t="s">
        <v>30</v>
      </c>
      <c r="D2358">
        <v>12</v>
      </c>
      <c r="E2358" t="s">
        <v>40</v>
      </c>
      <c r="F2358" t="s">
        <v>10</v>
      </c>
    </row>
    <row r="2359" spans="1:6" hidden="1" x14ac:dyDescent="0.35">
      <c r="A2359" t="s">
        <v>15</v>
      </c>
      <c r="B2359" t="s">
        <v>39</v>
      </c>
      <c r="C2359" t="s">
        <v>30</v>
      </c>
      <c r="D2359">
        <v>3</v>
      </c>
      <c r="E2359" t="s">
        <v>40</v>
      </c>
      <c r="F2359" t="s">
        <v>10</v>
      </c>
    </row>
    <row r="2360" spans="1:6" hidden="1" x14ac:dyDescent="0.35">
      <c r="A2360" t="s">
        <v>16</v>
      </c>
      <c r="B2360" t="s">
        <v>39</v>
      </c>
      <c r="C2360" t="s">
        <v>30</v>
      </c>
      <c r="D2360">
        <v>9</v>
      </c>
      <c r="E2360" t="s">
        <v>40</v>
      </c>
      <c r="F2360" t="s">
        <v>10</v>
      </c>
    </row>
    <row r="2361" spans="1:6" hidden="1" x14ac:dyDescent="0.35">
      <c r="A2361" t="s">
        <v>17</v>
      </c>
      <c r="B2361" t="s">
        <v>39</v>
      </c>
      <c r="C2361" t="s">
        <v>30</v>
      </c>
      <c r="D2361">
        <v>7</v>
      </c>
      <c r="E2361" t="s">
        <v>40</v>
      </c>
      <c r="F2361" t="s">
        <v>10</v>
      </c>
    </row>
    <row r="2362" spans="1:6" hidden="1" x14ac:dyDescent="0.35">
      <c r="A2362" t="s">
        <v>18</v>
      </c>
      <c r="B2362" t="s">
        <v>39</v>
      </c>
      <c r="C2362" t="s">
        <v>30</v>
      </c>
      <c r="D2362">
        <v>9</v>
      </c>
      <c r="E2362" t="s">
        <v>40</v>
      </c>
      <c r="F2362" t="s">
        <v>10</v>
      </c>
    </row>
    <row r="2363" spans="1:6" hidden="1" x14ac:dyDescent="0.35">
      <c r="A2363" t="s">
        <v>19</v>
      </c>
      <c r="B2363" t="s">
        <v>39</v>
      </c>
      <c r="C2363" t="s">
        <v>30</v>
      </c>
      <c r="D2363">
        <v>16</v>
      </c>
      <c r="E2363" t="s">
        <v>40</v>
      </c>
      <c r="F2363" t="s">
        <v>10</v>
      </c>
    </row>
    <row r="2364" spans="1:6" hidden="1" x14ac:dyDescent="0.35">
      <c r="A2364" t="s">
        <v>20</v>
      </c>
      <c r="B2364" t="s">
        <v>39</v>
      </c>
      <c r="C2364" t="s">
        <v>30</v>
      </c>
      <c r="D2364">
        <v>8</v>
      </c>
      <c r="E2364" t="s">
        <v>40</v>
      </c>
      <c r="F2364" t="s">
        <v>10</v>
      </c>
    </row>
    <row r="2365" spans="1:6" hidden="1" x14ac:dyDescent="0.35">
      <c r="A2365" t="s">
        <v>21</v>
      </c>
      <c r="B2365" t="s">
        <v>39</v>
      </c>
      <c r="C2365" t="s">
        <v>30</v>
      </c>
      <c r="D2365">
        <v>8</v>
      </c>
      <c r="E2365" t="s">
        <v>40</v>
      </c>
      <c r="F2365" t="s">
        <v>10</v>
      </c>
    </row>
    <row r="2366" spans="1:6" hidden="1" x14ac:dyDescent="0.35">
      <c r="A2366" t="s">
        <v>6</v>
      </c>
      <c r="B2366" t="s">
        <v>39</v>
      </c>
      <c r="C2366" t="s">
        <v>31</v>
      </c>
      <c r="E2366" t="s">
        <v>40</v>
      </c>
      <c r="F2366" t="s">
        <v>10</v>
      </c>
    </row>
    <row r="2367" spans="1:6" hidden="1" x14ac:dyDescent="0.35">
      <c r="A2367" t="s">
        <v>11</v>
      </c>
      <c r="B2367" t="s">
        <v>39</v>
      </c>
      <c r="C2367" t="s">
        <v>31</v>
      </c>
      <c r="E2367" t="s">
        <v>40</v>
      </c>
      <c r="F2367" t="s">
        <v>10</v>
      </c>
    </row>
    <row r="2368" spans="1:6" hidden="1" x14ac:dyDescent="0.35">
      <c r="A2368" t="s">
        <v>12</v>
      </c>
      <c r="B2368" t="s">
        <v>39</v>
      </c>
      <c r="C2368" t="s">
        <v>31</v>
      </c>
      <c r="E2368" t="s">
        <v>40</v>
      </c>
      <c r="F2368" t="s">
        <v>10</v>
      </c>
    </row>
    <row r="2369" spans="1:6" hidden="1" x14ac:dyDescent="0.35">
      <c r="A2369" t="s">
        <v>13</v>
      </c>
      <c r="B2369" t="s">
        <v>39</v>
      </c>
      <c r="C2369" t="s">
        <v>31</v>
      </c>
      <c r="E2369" t="s">
        <v>40</v>
      </c>
      <c r="F2369" t="s">
        <v>10</v>
      </c>
    </row>
    <row r="2370" spans="1:6" hidden="1" x14ac:dyDescent="0.35">
      <c r="A2370" t="s">
        <v>14</v>
      </c>
      <c r="B2370" t="s">
        <v>39</v>
      </c>
      <c r="C2370" t="s">
        <v>31</v>
      </c>
      <c r="E2370" t="s">
        <v>40</v>
      </c>
      <c r="F2370" t="s">
        <v>10</v>
      </c>
    </row>
    <row r="2371" spans="1:6" hidden="1" x14ac:dyDescent="0.35">
      <c r="A2371" t="s">
        <v>15</v>
      </c>
      <c r="B2371" t="s">
        <v>39</v>
      </c>
      <c r="C2371" t="s">
        <v>31</v>
      </c>
      <c r="E2371" t="s">
        <v>40</v>
      </c>
      <c r="F2371" t="s">
        <v>10</v>
      </c>
    </row>
    <row r="2372" spans="1:6" hidden="1" x14ac:dyDescent="0.35">
      <c r="A2372" t="s">
        <v>16</v>
      </c>
      <c r="B2372" t="s">
        <v>39</v>
      </c>
      <c r="C2372" t="s">
        <v>31</v>
      </c>
      <c r="E2372" t="s">
        <v>40</v>
      </c>
      <c r="F2372" t="s">
        <v>10</v>
      </c>
    </row>
    <row r="2373" spans="1:6" hidden="1" x14ac:dyDescent="0.35">
      <c r="A2373" t="s">
        <v>17</v>
      </c>
      <c r="B2373" t="s">
        <v>39</v>
      </c>
      <c r="C2373" t="s">
        <v>31</v>
      </c>
      <c r="E2373" t="s">
        <v>40</v>
      </c>
      <c r="F2373" t="s">
        <v>10</v>
      </c>
    </row>
    <row r="2374" spans="1:6" hidden="1" x14ac:dyDescent="0.35">
      <c r="A2374" t="s">
        <v>18</v>
      </c>
      <c r="B2374" t="s">
        <v>39</v>
      </c>
      <c r="C2374" t="s">
        <v>31</v>
      </c>
      <c r="E2374" t="s">
        <v>40</v>
      </c>
      <c r="F2374" t="s">
        <v>10</v>
      </c>
    </row>
    <row r="2375" spans="1:6" hidden="1" x14ac:dyDescent="0.35">
      <c r="A2375" t="s">
        <v>19</v>
      </c>
      <c r="B2375" t="s">
        <v>39</v>
      </c>
      <c r="C2375" t="s">
        <v>31</v>
      </c>
      <c r="E2375" t="s">
        <v>40</v>
      </c>
      <c r="F2375" t="s">
        <v>10</v>
      </c>
    </row>
    <row r="2376" spans="1:6" hidden="1" x14ac:dyDescent="0.35">
      <c r="A2376" t="s">
        <v>20</v>
      </c>
      <c r="B2376" t="s">
        <v>39</v>
      </c>
      <c r="C2376" t="s">
        <v>31</v>
      </c>
      <c r="E2376" t="s">
        <v>40</v>
      </c>
      <c r="F2376" t="s">
        <v>10</v>
      </c>
    </row>
    <row r="2377" spans="1:6" hidden="1" x14ac:dyDescent="0.35">
      <c r="A2377" t="s">
        <v>21</v>
      </c>
      <c r="B2377" t="s">
        <v>39</v>
      </c>
      <c r="C2377" t="s">
        <v>31</v>
      </c>
      <c r="E2377" t="s">
        <v>40</v>
      </c>
      <c r="F2377" t="s">
        <v>10</v>
      </c>
    </row>
    <row r="2378" spans="1:6" hidden="1" x14ac:dyDescent="0.35">
      <c r="A2378" t="s">
        <v>6</v>
      </c>
      <c r="B2378" t="s">
        <v>7</v>
      </c>
      <c r="C2378" t="s">
        <v>8</v>
      </c>
      <c r="D2378">
        <v>0</v>
      </c>
      <c r="E2378" t="s">
        <v>41</v>
      </c>
      <c r="F2378" t="s">
        <v>10</v>
      </c>
    </row>
    <row r="2379" spans="1:6" hidden="1" x14ac:dyDescent="0.35">
      <c r="A2379" t="s">
        <v>11</v>
      </c>
      <c r="B2379" t="s">
        <v>7</v>
      </c>
      <c r="C2379" t="s">
        <v>8</v>
      </c>
      <c r="D2379">
        <v>0</v>
      </c>
      <c r="E2379" t="s">
        <v>41</v>
      </c>
      <c r="F2379" t="s">
        <v>10</v>
      </c>
    </row>
    <row r="2380" spans="1:6" hidden="1" x14ac:dyDescent="0.35">
      <c r="A2380" t="s">
        <v>12</v>
      </c>
      <c r="B2380" t="s">
        <v>7</v>
      </c>
      <c r="C2380" t="s">
        <v>8</v>
      </c>
      <c r="D2380">
        <v>0</v>
      </c>
      <c r="E2380" t="s">
        <v>41</v>
      </c>
      <c r="F2380" t="s">
        <v>10</v>
      </c>
    </row>
    <row r="2381" spans="1:6" hidden="1" x14ac:dyDescent="0.35">
      <c r="A2381" t="s">
        <v>13</v>
      </c>
      <c r="B2381" t="s">
        <v>7</v>
      </c>
      <c r="C2381" t="s">
        <v>8</v>
      </c>
      <c r="D2381">
        <v>0</v>
      </c>
      <c r="E2381" t="s">
        <v>41</v>
      </c>
      <c r="F2381" t="s">
        <v>10</v>
      </c>
    </row>
    <row r="2382" spans="1:6" hidden="1" x14ac:dyDescent="0.35">
      <c r="A2382" t="s">
        <v>14</v>
      </c>
      <c r="B2382" t="s">
        <v>7</v>
      </c>
      <c r="C2382" t="s">
        <v>8</v>
      </c>
      <c r="D2382">
        <v>0</v>
      </c>
      <c r="E2382" t="s">
        <v>41</v>
      </c>
      <c r="F2382" t="s">
        <v>10</v>
      </c>
    </row>
    <row r="2383" spans="1:6" hidden="1" x14ac:dyDescent="0.35">
      <c r="A2383" t="s">
        <v>15</v>
      </c>
      <c r="B2383" t="s">
        <v>7</v>
      </c>
      <c r="C2383" t="s">
        <v>8</v>
      </c>
      <c r="D2383">
        <v>0</v>
      </c>
      <c r="E2383" t="s">
        <v>41</v>
      </c>
      <c r="F2383" t="s">
        <v>10</v>
      </c>
    </row>
    <row r="2384" spans="1:6" hidden="1" x14ac:dyDescent="0.35">
      <c r="A2384" t="s">
        <v>16</v>
      </c>
      <c r="B2384" t="s">
        <v>7</v>
      </c>
      <c r="C2384" t="s">
        <v>8</v>
      </c>
      <c r="D2384">
        <v>0</v>
      </c>
      <c r="E2384" t="s">
        <v>41</v>
      </c>
      <c r="F2384" t="s">
        <v>10</v>
      </c>
    </row>
    <row r="2385" spans="1:6" hidden="1" x14ac:dyDescent="0.35">
      <c r="A2385" t="s">
        <v>17</v>
      </c>
      <c r="B2385" t="s">
        <v>7</v>
      </c>
      <c r="C2385" t="s">
        <v>8</v>
      </c>
      <c r="D2385">
        <v>0</v>
      </c>
      <c r="E2385" t="s">
        <v>41</v>
      </c>
      <c r="F2385" t="s">
        <v>10</v>
      </c>
    </row>
    <row r="2386" spans="1:6" hidden="1" x14ac:dyDescent="0.35">
      <c r="A2386" t="s">
        <v>18</v>
      </c>
      <c r="B2386" t="s">
        <v>7</v>
      </c>
      <c r="C2386" t="s">
        <v>8</v>
      </c>
      <c r="D2386">
        <v>0</v>
      </c>
      <c r="E2386" t="s">
        <v>41</v>
      </c>
      <c r="F2386" t="s">
        <v>10</v>
      </c>
    </row>
    <row r="2387" spans="1:6" hidden="1" x14ac:dyDescent="0.35">
      <c r="A2387" t="s">
        <v>19</v>
      </c>
      <c r="B2387" t="s">
        <v>7</v>
      </c>
      <c r="C2387" t="s">
        <v>8</v>
      </c>
      <c r="D2387">
        <v>8019</v>
      </c>
      <c r="E2387" t="s">
        <v>41</v>
      </c>
      <c r="F2387" t="s">
        <v>10</v>
      </c>
    </row>
    <row r="2388" spans="1:6" hidden="1" x14ac:dyDescent="0.35">
      <c r="A2388" t="s">
        <v>20</v>
      </c>
      <c r="B2388" t="s">
        <v>7</v>
      </c>
      <c r="C2388" t="s">
        <v>8</v>
      </c>
      <c r="D2388">
        <v>0</v>
      </c>
      <c r="E2388" t="s">
        <v>41</v>
      </c>
      <c r="F2388" t="s">
        <v>10</v>
      </c>
    </row>
    <row r="2389" spans="1:6" hidden="1" x14ac:dyDescent="0.35">
      <c r="A2389" t="s">
        <v>21</v>
      </c>
      <c r="B2389" t="s">
        <v>7</v>
      </c>
      <c r="C2389" t="s">
        <v>8</v>
      </c>
      <c r="D2389">
        <v>0</v>
      </c>
      <c r="E2389" t="s">
        <v>41</v>
      </c>
      <c r="F2389" t="s">
        <v>10</v>
      </c>
    </row>
    <row r="2390" spans="1:6" hidden="1" x14ac:dyDescent="0.35">
      <c r="A2390" t="s">
        <v>6</v>
      </c>
      <c r="B2390" t="s">
        <v>7</v>
      </c>
      <c r="C2390" t="s">
        <v>22</v>
      </c>
      <c r="D2390">
        <v>0</v>
      </c>
      <c r="E2390" t="s">
        <v>41</v>
      </c>
      <c r="F2390" t="s">
        <v>10</v>
      </c>
    </row>
    <row r="2391" spans="1:6" hidden="1" x14ac:dyDescent="0.35">
      <c r="A2391" t="s">
        <v>11</v>
      </c>
      <c r="B2391" t="s">
        <v>7</v>
      </c>
      <c r="C2391" t="s">
        <v>22</v>
      </c>
      <c r="D2391">
        <v>0</v>
      </c>
      <c r="E2391" t="s">
        <v>41</v>
      </c>
      <c r="F2391" t="s">
        <v>10</v>
      </c>
    </row>
    <row r="2392" spans="1:6" hidden="1" x14ac:dyDescent="0.35">
      <c r="A2392" t="s">
        <v>12</v>
      </c>
      <c r="B2392" t="s">
        <v>7</v>
      </c>
      <c r="C2392" t="s">
        <v>22</v>
      </c>
      <c r="D2392">
        <v>0</v>
      </c>
      <c r="E2392" t="s">
        <v>41</v>
      </c>
      <c r="F2392" t="s">
        <v>10</v>
      </c>
    </row>
    <row r="2393" spans="1:6" hidden="1" x14ac:dyDescent="0.35">
      <c r="A2393" t="s">
        <v>13</v>
      </c>
      <c r="B2393" t="s">
        <v>7</v>
      </c>
      <c r="C2393" t="s">
        <v>22</v>
      </c>
      <c r="D2393">
        <v>0</v>
      </c>
      <c r="E2393" t="s">
        <v>41</v>
      </c>
      <c r="F2393" t="s">
        <v>10</v>
      </c>
    </row>
    <row r="2394" spans="1:6" hidden="1" x14ac:dyDescent="0.35">
      <c r="A2394" t="s">
        <v>14</v>
      </c>
      <c r="B2394" t="s">
        <v>7</v>
      </c>
      <c r="C2394" t="s">
        <v>22</v>
      </c>
      <c r="D2394">
        <v>0</v>
      </c>
      <c r="E2394" t="s">
        <v>41</v>
      </c>
      <c r="F2394" t="s">
        <v>10</v>
      </c>
    </row>
    <row r="2395" spans="1:6" hidden="1" x14ac:dyDescent="0.35">
      <c r="A2395" t="s">
        <v>15</v>
      </c>
      <c r="B2395" t="s">
        <v>7</v>
      </c>
      <c r="C2395" t="s">
        <v>22</v>
      </c>
      <c r="D2395">
        <v>0</v>
      </c>
      <c r="E2395" t="s">
        <v>41</v>
      </c>
      <c r="F2395" t="s">
        <v>10</v>
      </c>
    </row>
    <row r="2396" spans="1:6" hidden="1" x14ac:dyDescent="0.35">
      <c r="A2396" t="s">
        <v>16</v>
      </c>
      <c r="B2396" t="s">
        <v>7</v>
      </c>
      <c r="C2396" t="s">
        <v>22</v>
      </c>
      <c r="D2396">
        <v>0</v>
      </c>
      <c r="E2396" t="s">
        <v>41</v>
      </c>
      <c r="F2396" t="s">
        <v>10</v>
      </c>
    </row>
    <row r="2397" spans="1:6" hidden="1" x14ac:dyDescent="0.35">
      <c r="A2397" t="s">
        <v>17</v>
      </c>
      <c r="B2397" t="s">
        <v>7</v>
      </c>
      <c r="C2397" t="s">
        <v>22</v>
      </c>
      <c r="D2397">
        <v>0</v>
      </c>
      <c r="E2397" t="s">
        <v>41</v>
      </c>
      <c r="F2397" t="s">
        <v>10</v>
      </c>
    </row>
    <row r="2398" spans="1:6" hidden="1" x14ac:dyDescent="0.35">
      <c r="A2398" t="s">
        <v>18</v>
      </c>
      <c r="B2398" t="s">
        <v>7</v>
      </c>
      <c r="C2398" t="s">
        <v>22</v>
      </c>
      <c r="D2398">
        <v>0</v>
      </c>
      <c r="E2398" t="s">
        <v>41</v>
      </c>
      <c r="F2398" t="s">
        <v>10</v>
      </c>
    </row>
    <row r="2399" spans="1:6" hidden="1" x14ac:dyDescent="0.35">
      <c r="A2399" t="s">
        <v>19</v>
      </c>
      <c r="B2399" t="s">
        <v>7</v>
      </c>
      <c r="C2399" t="s">
        <v>22</v>
      </c>
      <c r="D2399">
        <v>0</v>
      </c>
      <c r="E2399" t="s">
        <v>41</v>
      </c>
      <c r="F2399" t="s">
        <v>10</v>
      </c>
    </row>
    <row r="2400" spans="1:6" hidden="1" x14ac:dyDescent="0.35">
      <c r="A2400" t="s">
        <v>20</v>
      </c>
      <c r="B2400" t="s">
        <v>7</v>
      </c>
      <c r="C2400" t="s">
        <v>22</v>
      </c>
      <c r="D2400">
        <v>0</v>
      </c>
      <c r="E2400" t="s">
        <v>41</v>
      </c>
      <c r="F2400" t="s">
        <v>10</v>
      </c>
    </row>
    <row r="2401" spans="1:6" hidden="1" x14ac:dyDescent="0.35">
      <c r="A2401" t="s">
        <v>21</v>
      </c>
      <c r="B2401" t="s">
        <v>7</v>
      </c>
      <c r="C2401" t="s">
        <v>22</v>
      </c>
      <c r="D2401">
        <v>0</v>
      </c>
      <c r="E2401" t="s">
        <v>41</v>
      </c>
      <c r="F2401" t="s">
        <v>10</v>
      </c>
    </row>
    <row r="2402" spans="1:6" hidden="1" x14ac:dyDescent="0.35">
      <c r="A2402" t="s">
        <v>6</v>
      </c>
      <c r="B2402" t="s">
        <v>7</v>
      </c>
      <c r="C2402" t="s">
        <v>23</v>
      </c>
      <c r="D2402">
        <v>0</v>
      </c>
      <c r="E2402" t="s">
        <v>41</v>
      </c>
      <c r="F2402" t="s">
        <v>10</v>
      </c>
    </row>
    <row r="2403" spans="1:6" hidden="1" x14ac:dyDescent="0.35">
      <c r="A2403" t="s">
        <v>11</v>
      </c>
      <c r="B2403" t="s">
        <v>7</v>
      </c>
      <c r="C2403" t="s">
        <v>23</v>
      </c>
      <c r="D2403">
        <v>0</v>
      </c>
      <c r="E2403" t="s">
        <v>41</v>
      </c>
      <c r="F2403" t="s">
        <v>10</v>
      </c>
    </row>
    <row r="2404" spans="1:6" hidden="1" x14ac:dyDescent="0.35">
      <c r="A2404" t="s">
        <v>12</v>
      </c>
      <c r="B2404" t="s">
        <v>7</v>
      </c>
      <c r="C2404" t="s">
        <v>23</v>
      </c>
      <c r="D2404">
        <v>0</v>
      </c>
      <c r="E2404" t="s">
        <v>41</v>
      </c>
      <c r="F2404" t="s">
        <v>10</v>
      </c>
    </row>
    <row r="2405" spans="1:6" hidden="1" x14ac:dyDescent="0.35">
      <c r="A2405" t="s">
        <v>13</v>
      </c>
      <c r="B2405" t="s">
        <v>7</v>
      </c>
      <c r="C2405" t="s">
        <v>23</v>
      </c>
      <c r="D2405">
        <v>0</v>
      </c>
      <c r="E2405" t="s">
        <v>41</v>
      </c>
      <c r="F2405" t="s">
        <v>10</v>
      </c>
    </row>
    <row r="2406" spans="1:6" hidden="1" x14ac:dyDescent="0.35">
      <c r="A2406" t="s">
        <v>14</v>
      </c>
      <c r="B2406" t="s">
        <v>7</v>
      </c>
      <c r="C2406" t="s">
        <v>23</v>
      </c>
      <c r="D2406">
        <v>0</v>
      </c>
      <c r="E2406" t="s">
        <v>41</v>
      </c>
      <c r="F2406" t="s">
        <v>10</v>
      </c>
    </row>
    <row r="2407" spans="1:6" hidden="1" x14ac:dyDescent="0.35">
      <c r="A2407" t="s">
        <v>15</v>
      </c>
      <c r="B2407" t="s">
        <v>7</v>
      </c>
      <c r="C2407" t="s">
        <v>23</v>
      </c>
      <c r="D2407">
        <v>0</v>
      </c>
      <c r="E2407" t="s">
        <v>41</v>
      </c>
      <c r="F2407" t="s">
        <v>10</v>
      </c>
    </row>
    <row r="2408" spans="1:6" hidden="1" x14ac:dyDescent="0.35">
      <c r="A2408" t="s">
        <v>16</v>
      </c>
      <c r="B2408" t="s">
        <v>7</v>
      </c>
      <c r="C2408" t="s">
        <v>23</v>
      </c>
      <c r="D2408">
        <v>0</v>
      </c>
      <c r="E2408" t="s">
        <v>41</v>
      </c>
      <c r="F2408" t="s">
        <v>10</v>
      </c>
    </row>
    <row r="2409" spans="1:6" hidden="1" x14ac:dyDescent="0.35">
      <c r="A2409" t="s">
        <v>17</v>
      </c>
      <c r="B2409" t="s">
        <v>7</v>
      </c>
      <c r="C2409" t="s">
        <v>23</v>
      </c>
      <c r="D2409">
        <v>0</v>
      </c>
      <c r="E2409" t="s">
        <v>41</v>
      </c>
      <c r="F2409" t="s">
        <v>10</v>
      </c>
    </row>
    <row r="2410" spans="1:6" hidden="1" x14ac:dyDescent="0.35">
      <c r="A2410" t="s">
        <v>18</v>
      </c>
      <c r="B2410" t="s">
        <v>7</v>
      </c>
      <c r="C2410" t="s">
        <v>23</v>
      </c>
      <c r="D2410">
        <v>0</v>
      </c>
      <c r="E2410" t="s">
        <v>41</v>
      </c>
      <c r="F2410" t="s">
        <v>10</v>
      </c>
    </row>
    <row r="2411" spans="1:6" hidden="1" x14ac:dyDescent="0.35">
      <c r="A2411" t="s">
        <v>19</v>
      </c>
      <c r="B2411" t="s">
        <v>7</v>
      </c>
      <c r="C2411" t="s">
        <v>23</v>
      </c>
      <c r="D2411">
        <v>12253</v>
      </c>
      <c r="E2411" t="s">
        <v>41</v>
      </c>
      <c r="F2411" t="s">
        <v>10</v>
      </c>
    </row>
    <row r="2412" spans="1:6" hidden="1" x14ac:dyDescent="0.35">
      <c r="A2412" t="s">
        <v>20</v>
      </c>
      <c r="B2412" t="s">
        <v>7</v>
      </c>
      <c r="C2412" t="s">
        <v>23</v>
      </c>
      <c r="D2412">
        <v>0</v>
      </c>
      <c r="E2412" t="s">
        <v>41</v>
      </c>
      <c r="F2412" t="s">
        <v>10</v>
      </c>
    </row>
    <row r="2413" spans="1:6" hidden="1" x14ac:dyDescent="0.35">
      <c r="A2413" t="s">
        <v>21</v>
      </c>
      <c r="B2413" t="s">
        <v>7</v>
      </c>
      <c r="C2413" t="s">
        <v>23</v>
      </c>
      <c r="D2413">
        <v>0</v>
      </c>
      <c r="E2413" t="s">
        <v>41</v>
      </c>
      <c r="F2413" t="s">
        <v>10</v>
      </c>
    </row>
    <row r="2414" spans="1:6" hidden="1" x14ac:dyDescent="0.35">
      <c r="A2414" t="s">
        <v>6</v>
      </c>
      <c r="B2414" t="s">
        <v>7</v>
      </c>
      <c r="C2414" t="s">
        <v>24</v>
      </c>
      <c r="D2414">
        <v>0</v>
      </c>
      <c r="E2414" t="s">
        <v>41</v>
      </c>
      <c r="F2414" t="s">
        <v>10</v>
      </c>
    </row>
    <row r="2415" spans="1:6" hidden="1" x14ac:dyDescent="0.35">
      <c r="A2415" t="s">
        <v>11</v>
      </c>
      <c r="B2415" t="s">
        <v>7</v>
      </c>
      <c r="C2415" t="s">
        <v>24</v>
      </c>
      <c r="D2415">
        <v>0</v>
      </c>
      <c r="E2415" t="s">
        <v>41</v>
      </c>
      <c r="F2415" t="s">
        <v>10</v>
      </c>
    </row>
    <row r="2416" spans="1:6" hidden="1" x14ac:dyDescent="0.35">
      <c r="A2416" t="s">
        <v>12</v>
      </c>
      <c r="B2416" t="s">
        <v>7</v>
      </c>
      <c r="C2416" t="s">
        <v>24</v>
      </c>
      <c r="D2416">
        <v>0</v>
      </c>
      <c r="E2416" t="s">
        <v>41</v>
      </c>
      <c r="F2416" t="s">
        <v>10</v>
      </c>
    </row>
    <row r="2417" spans="1:6" hidden="1" x14ac:dyDescent="0.35">
      <c r="A2417" t="s">
        <v>13</v>
      </c>
      <c r="B2417" t="s">
        <v>7</v>
      </c>
      <c r="C2417" t="s">
        <v>24</v>
      </c>
      <c r="D2417">
        <v>0</v>
      </c>
      <c r="E2417" t="s">
        <v>41</v>
      </c>
      <c r="F2417" t="s">
        <v>10</v>
      </c>
    </row>
    <row r="2418" spans="1:6" hidden="1" x14ac:dyDescent="0.35">
      <c r="A2418" t="s">
        <v>14</v>
      </c>
      <c r="B2418" t="s">
        <v>7</v>
      </c>
      <c r="C2418" t="s">
        <v>24</v>
      </c>
      <c r="D2418">
        <v>0</v>
      </c>
      <c r="E2418" t="s">
        <v>41</v>
      </c>
      <c r="F2418" t="s">
        <v>10</v>
      </c>
    </row>
    <row r="2419" spans="1:6" hidden="1" x14ac:dyDescent="0.35">
      <c r="A2419" t="s">
        <v>15</v>
      </c>
      <c r="B2419" t="s">
        <v>7</v>
      </c>
      <c r="C2419" t="s">
        <v>24</v>
      </c>
      <c r="D2419">
        <v>0</v>
      </c>
      <c r="E2419" t="s">
        <v>41</v>
      </c>
      <c r="F2419" t="s">
        <v>10</v>
      </c>
    </row>
    <row r="2420" spans="1:6" hidden="1" x14ac:dyDescent="0.35">
      <c r="A2420" t="s">
        <v>16</v>
      </c>
      <c r="B2420" t="s">
        <v>7</v>
      </c>
      <c r="C2420" t="s">
        <v>24</v>
      </c>
      <c r="D2420">
        <v>0</v>
      </c>
      <c r="E2420" t="s">
        <v>41</v>
      </c>
      <c r="F2420" t="s">
        <v>10</v>
      </c>
    </row>
    <row r="2421" spans="1:6" hidden="1" x14ac:dyDescent="0.35">
      <c r="A2421" t="s">
        <v>17</v>
      </c>
      <c r="B2421" t="s">
        <v>7</v>
      </c>
      <c r="C2421" t="s">
        <v>24</v>
      </c>
      <c r="D2421">
        <v>0</v>
      </c>
      <c r="E2421" t="s">
        <v>41</v>
      </c>
      <c r="F2421" t="s">
        <v>10</v>
      </c>
    </row>
    <row r="2422" spans="1:6" hidden="1" x14ac:dyDescent="0.35">
      <c r="A2422" t="s">
        <v>18</v>
      </c>
      <c r="B2422" t="s">
        <v>7</v>
      </c>
      <c r="C2422" t="s">
        <v>24</v>
      </c>
      <c r="D2422">
        <v>0</v>
      </c>
      <c r="E2422" t="s">
        <v>41</v>
      </c>
      <c r="F2422" t="s">
        <v>10</v>
      </c>
    </row>
    <row r="2423" spans="1:6" hidden="1" x14ac:dyDescent="0.35">
      <c r="A2423" t="s">
        <v>19</v>
      </c>
      <c r="B2423" t="s">
        <v>7</v>
      </c>
      <c r="C2423" t="s">
        <v>24</v>
      </c>
      <c r="D2423">
        <v>0</v>
      </c>
      <c r="E2423" t="s">
        <v>41</v>
      </c>
      <c r="F2423" t="s">
        <v>10</v>
      </c>
    </row>
    <row r="2424" spans="1:6" hidden="1" x14ac:dyDescent="0.35">
      <c r="A2424" t="s">
        <v>20</v>
      </c>
      <c r="B2424" t="s">
        <v>7</v>
      </c>
      <c r="C2424" t="s">
        <v>24</v>
      </c>
      <c r="D2424">
        <v>0</v>
      </c>
      <c r="E2424" t="s">
        <v>41</v>
      </c>
      <c r="F2424" t="s">
        <v>10</v>
      </c>
    </row>
    <row r="2425" spans="1:6" hidden="1" x14ac:dyDescent="0.35">
      <c r="A2425" t="s">
        <v>21</v>
      </c>
      <c r="B2425" t="s">
        <v>7</v>
      </c>
      <c r="C2425" t="s">
        <v>24</v>
      </c>
      <c r="D2425">
        <v>0</v>
      </c>
      <c r="E2425" t="s">
        <v>41</v>
      </c>
      <c r="F2425" t="s">
        <v>10</v>
      </c>
    </row>
    <row r="2426" spans="1:6" hidden="1" x14ac:dyDescent="0.35">
      <c r="A2426" t="s">
        <v>6</v>
      </c>
      <c r="B2426" t="s">
        <v>7</v>
      </c>
      <c r="C2426" t="s">
        <v>25</v>
      </c>
      <c r="D2426">
        <v>0</v>
      </c>
      <c r="E2426" t="s">
        <v>41</v>
      </c>
      <c r="F2426" t="s">
        <v>10</v>
      </c>
    </row>
    <row r="2427" spans="1:6" hidden="1" x14ac:dyDescent="0.35">
      <c r="A2427" t="s">
        <v>11</v>
      </c>
      <c r="B2427" t="s">
        <v>7</v>
      </c>
      <c r="C2427" t="s">
        <v>25</v>
      </c>
      <c r="D2427">
        <v>0</v>
      </c>
      <c r="E2427" t="s">
        <v>41</v>
      </c>
      <c r="F2427" t="s">
        <v>10</v>
      </c>
    </row>
    <row r="2428" spans="1:6" hidden="1" x14ac:dyDescent="0.35">
      <c r="A2428" t="s">
        <v>12</v>
      </c>
      <c r="B2428" t="s">
        <v>7</v>
      </c>
      <c r="C2428" t="s">
        <v>25</v>
      </c>
      <c r="D2428">
        <v>0</v>
      </c>
      <c r="E2428" t="s">
        <v>41</v>
      </c>
      <c r="F2428" t="s">
        <v>10</v>
      </c>
    </row>
    <row r="2429" spans="1:6" hidden="1" x14ac:dyDescent="0.35">
      <c r="A2429" t="s">
        <v>13</v>
      </c>
      <c r="B2429" t="s">
        <v>7</v>
      </c>
      <c r="C2429" t="s">
        <v>25</v>
      </c>
      <c r="D2429">
        <v>0</v>
      </c>
      <c r="E2429" t="s">
        <v>41</v>
      </c>
      <c r="F2429" t="s">
        <v>10</v>
      </c>
    </row>
    <row r="2430" spans="1:6" hidden="1" x14ac:dyDescent="0.35">
      <c r="A2430" t="s">
        <v>14</v>
      </c>
      <c r="B2430" t="s">
        <v>7</v>
      </c>
      <c r="C2430" t="s">
        <v>25</v>
      </c>
      <c r="D2430">
        <v>0</v>
      </c>
      <c r="E2430" t="s">
        <v>41</v>
      </c>
      <c r="F2430" t="s">
        <v>10</v>
      </c>
    </row>
    <row r="2431" spans="1:6" hidden="1" x14ac:dyDescent="0.35">
      <c r="A2431" t="s">
        <v>15</v>
      </c>
      <c r="B2431" t="s">
        <v>7</v>
      </c>
      <c r="C2431" t="s">
        <v>25</v>
      </c>
      <c r="D2431">
        <v>0</v>
      </c>
      <c r="E2431" t="s">
        <v>41</v>
      </c>
      <c r="F2431" t="s">
        <v>10</v>
      </c>
    </row>
    <row r="2432" spans="1:6" hidden="1" x14ac:dyDescent="0.35">
      <c r="A2432" t="s">
        <v>16</v>
      </c>
      <c r="B2432" t="s">
        <v>7</v>
      </c>
      <c r="C2432" t="s">
        <v>25</v>
      </c>
      <c r="D2432">
        <v>0</v>
      </c>
      <c r="E2432" t="s">
        <v>41</v>
      </c>
      <c r="F2432" t="s">
        <v>10</v>
      </c>
    </row>
    <row r="2433" spans="1:6" hidden="1" x14ac:dyDescent="0.35">
      <c r="A2433" t="s">
        <v>17</v>
      </c>
      <c r="B2433" t="s">
        <v>7</v>
      </c>
      <c r="C2433" t="s">
        <v>25</v>
      </c>
      <c r="D2433">
        <v>19840</v>
      </c>
      <c r="E2433" t="s">
        <v>41</v>
      </c>
      <c r="F2433" t="s">
        <v>10</v>
      </c>
    </row>
    <row r="2434" spans="1:6" hidden="1" x14ac:dyDescent="0.35">
      <c r="A2434" t="s">
        <v>18</v>
      </c>
      <c r="B2434" t="s">
        <v>7</v>
      </c>
      <c r="C2434" t="s">
        <v>25</v>
      </c>
      <c r="D2434">
        <v>0</v>
      </c>
      <c r="E2434" t="s">
        <v>41</v>
      </c>
      <c r="F2434" t="s">
        <v>10</v>
      </c>
    </row>
    <row r="2435" spans="1:6" hidden="1" x14ac:dyDescent="0.35">
      <c r="A2435" t="s">
        <v>19</v>
      </c>
      <c r="B2435" t="s">
        <v>7</v>
      </c>
      <c r="C2435" t="s">
        <v>25</v>
      </c>
      <c r="D2435">
        <v>10930</v>
      </c>
      <c r="E2435" t="s">
        <v>41</v>
      </c>
      <c r="F2435" t="s">
        <v>10</v>
      </c>
    </row>
    <row r="2436" spans="1:6" hidden="1" x14ac:dyDescent="0.35">
      <c r="A2436" t="s">
        <v>20</v>
      </c>
      <c r="B2436" t="s">
        <v>7</v>
      </c>
      <c r="C2436" t="s">
        <v>25</v>
      </c>
      <c r="D2436">
        <v>0</v>
      </c>
      <c r="E2436" t="s">
        <v>41</v>
      </c>
      <c r="F2436" t="s">
        <v>10</v>
      </c>
    </row>
    <row r="2437" spans="1:6" hidden="1" x14ac:dyDescent="0.35">
      <c r="A2437" t="s">
        <v>21</v>
      </c>
      <c r="B2437" t="s">
        <v>7</v>
      </c>
      <c r="C2437" t="s">
        <v>25</v>
      </c>
      <c r="D2437">
        <v>0</v>
      </c>
      <c r="E2437" t="s">
        <v>41</v>
      </c>
      <c r="F2437" t="s">
        <v>10</v>
      </c>
    </row>
    <row r="2438" spans="1:6" hidden="1" x14ac:dyDescent="0.35">
      <c r="A2438" t="s">
        <v>6</v>
      </c>
      <c r="B2438" t="s">
        <v>7</v>
      </c>
      <c r="C2438" t="s">
        <v>26</v>
      </c>
      <c r="D2438">
        <v>0</v>
      </c>
      <c r="E2438" t="s">
        <v>41</v>
      </c>
      <c r="F2438" t="s">
        <v>10</v>
      </c>
    </row>
    <row r="2439" spans="1:6" hidden="1" x14ac:dyDescent="0.35">
      <c r="A2439" t="s">
        <v>11</v>
      </c>
      <c r="B2439" t="s">
        <v>7</v>
      </c>
      <c r="C2439" t="s">
        <v>26</v>
      </c>
      <c r="E2439" t="s">
        <v>41</v>
      </c>
      <c r="F2439" t="s">
        <v>10</v>
      </c>
    </row>
    <row r="2440" spans="1:6" hidden="1" x14ac:dyDescent="0.35">
      <c r="A2440" t="s">
        <v>12</v>
      </c>
      <c r="B2440" t="s">
        <v>7</v>
      </c>
      <c r="C2440" t="s">
        <v>26</v>
      </c>
      <c r="E2440" t="s">
        <v>41</v>
      </c>
      <c r="F2440" t="s">
        <v>10</v>
      </c>
    </row>
    <row r="2441" spans="1:6" hidden="1" x14ac:dyDescent="0.35">
      <c r="A2441" t="s">
        <v>13</v>
      </c>
      <c r="B2441" t="s">
        <v>7</v>
      </c>
      <c r="C2441" t="s">
        <v>26</v>
      </c>
      <c r="E2441" t="s">
        <v>41</v>
      </c>
      <c r="F2441" t="s">
        <v>10</v>
      </c>
    </row>
    <row r="2442" spans="1:6" hidden="1" x14ac:dyDescent="0.35">
      <c r="A2442" t="s">
        <v>14</v>
      </c>
      <c r="B2442" t="s">
        <v>7</v>
      </c>
      <c r="C2442" t="s">
        <v>26</v>
      </c>
      <c r="E2442" t="s">
        <v>41</v>
      </c>
      <c r="F2442" t="s">
        <v>10</v>
      </c>
    </row>
    <row r="2443" spans="1:6" hidden="1" x14ac:dyDescent="0.35">
      <c r="A2443" t="s">
        <v>15</v>
      </c>
      <c r="B2443" t="s">
        <v>7</v>
      </c>
      <c r="C2443" t="s">
        <v>26</v>
      </c>
      <c r="E2443" t="s">
        <v>41</v>
      </c>
      <c r="F2443" t="s">
        <v>10</v>
      </c>
    </row>
    <row r="2444" spans="1:6" hidden="1" x14ac:dyDescent="0.35">
      <c r="A2444" t="s">
        <v>16</v>
      </c>
      <c r="B2444" t="s">
        <v>7</v>
      </c>
      <c r="C2444" t="s">
        <v>26</v>
      </c>
      <c r="E2444" t="s">
        <v>41</v>
      </c>
      <c r="F2444" t="s">
        <v>10</v>
      </c>
    </row>
    <row r="2445" spans="1:6" hidden="1" x14ac:dyDescent="0.35">
      <c r="A2445" t="s">
        <v>17</v>
      </c>
      <c r="B2445" t="s">
        <v>7</v>
      </c>
      <c r="C2445" t="s">
        <v>26</v>
      </c>
      <c r="E2445" t="s">
        <v>41</v>
      </c>
      <c r="F2445" t="s">
        <v>10</v>
      </c>
    </row>
    <row r="2446" spans="1:6" hidden="1" x14ac:dyDescent="0.35">
      <c r="A2446" t="s">
        <v>18</v>
      </c>
      <c r="B2446" t="s">
        <v>7</v>
      </c>
      <c r="C2446" t="s">
        <v>26</v>
      </c>
      <c r="E2446" t="s">
        <v>41</v>
      </c>
      <c r="F2446" t="s">
        <v>10</v>
      </c>
    </row>
    <row r="2447" spans="1:6" hidden="1" x14ac:dyDescent="0.35">
      <c r="A2447" t="s">
        <v>19</v>
      </c>
      <c r="B2447" t="s">
        <v>7</v>
      </c>
      <c r="C2447" t="s">
        <v>26</v>
      </c>
      <c r="E2447" t="s">
        <v>41</v>
      </c>
      <c r="F2447" t="s">
        <v>10</v>
      </c>
    </row>
    <row r="2448" spans="1:6" hidden="1" x14ac:dyDescent="0.35">
      <c r="A2448" t="s">
        <v>20</v>
      </c>
      <c r="B2448" t="s">
        <v>7</v>
      </c>
      <c r="C2448" t="s">
        <v>26</v>
      </c>
      <c r="E2448" t="s">
        <v>41</v>
      </c>
      <c r="F2448" t="s">
        <v>10</v>
      </c>
    </row>
    <row r="2449" spans="1:6" hidden="1" x14ac:dyDescent="0.35">
      <c r="A2449" t="s">
        <v>21</v>
      </c>
      <c r="B2449" t="s">
        <v>7</v>
      </c>
      <c r="C2449" t="s">
        <v>26</v>
      </c>
      <c r="E2449" t="s">
        <v>41</v>
      </c>
      <c r="F2449" t="s">
        <v>10</v>
      </c>
    </row>
    <row r="2450" spans="1:6" hidden="1" x14ac:dyDescent="0.35">
      <c r="A2450" t="s">
        <v>6</v>
      </c>
      <c r="B2450" t="s">
        <v>7</v>
      </c>
      <c r="C2450" t="s">
        <v>27</v>
      </c>
      <c r="D2450">
        <v>0</v>
      </c>
      <c r="E2450" t="s">
        <v>41</v>
      </c>
      <c r="F2450" t="s">
        <v>10</v>
      </c>
    </row>
    <row r="2451" spans="1:6" hidden="1" x14ac:dyDescent="0.35">
      <c r="A2451" t="s">
        <v>11</v>
      </c>
      <c r="B2451" t="s">
        <v>7</v>
      </c>
      <c r="C2451" t="s">
        <v>27</v>
      </c>
      <c r="D2451">
        <v>0</v>
      </c>
      <c r="E2451" t="s">
        <v>41</v>
      </c>
      <c r="F2451" t="s">
        <v>10</v>
      </c>
    </row>
    <row r="2452" spans="1:6" hidden="1" x14ac:dyDescent="0.35">
      <c r="A2452" t="s">
        <v>12</v>
      </c>
      <c r="B2452" t="s">
        <v>7</v>
      </c>
      <c r="C2452" t="s">
        <v>27</v>
      </c>
      <c r="D2452">
        <v>0</v>
      </c>
      <c r="E2452" t="s">
        <v>41</v>
      </c>
      <c r="F2452" t="s">
        <v>10</v>
      </c>
    </row>
    <row r="2453" spans="1:6" hidden="1" x14ac:dyDescent="0.35">
      <c r="A2453" t="s">
        <v>13</v>
      </c>
      <c r="B2453" t="s">
        <v>7</v>
      </c>
      <c r="C2453" t="s">
        <v>27</v>
      </c>
      <c r="D2453">
        <v>0</v>
      </c>
      <c r="E2453" t="s">
        <v>41</v>
      </c>
      <c r="F2453" t="s">
        <v>10</v>
      </c>
    </row>
    <row r="2454" spans="1:6" hidden="1" x14ac:dyDescent="0.35">
      <c r="A2454" t="s">
        <v>14</v>
      </c>
      <c r="B2454" t="s">
        <v>7</v>
      </c>
      <c r="C2454" t="s">
        <v>27</v>
      </c>
      <c r="D2454">
        <v>0</v>
      </c>
      <c r="E2454" t="s">
        <v>41</v>
      </c>
      <c r="F2454" t="s">
        <v>10</v>
      </c>
    </row>
    <row r="2455" spans="1:6" hidden="1" x14ac:dyDescent="0.35">
      <c r="A2455" t="s">
        <v>15</v>
      </c>
      <c r="B2455" t="s">
        <v>7</v>
      </c>
      <c r="C2455" t="s">
        <v>27</v>
      </c>
      <c r="D2455">
        <v>0</v>
      </c>
      <c r="E2455" t="s">
        <v>41</v>
      </c>
      <c r="F2455" t="s">
        <v>10</v>
      </c>
    </row>
    <row r="2456" spans="1:6" hidden="1" x14ac:dyDescent="0.35">
      <c r="A2456" t="s">
        <v>16</v>
      </c>
      <c r="B2456" t="s">
        <v>7</v>
      </c>
      <c r="C2456" t="s">
        <v>27</v>
      </c>
      <c r="D2456">
        <v>0</v>
      </c>
      <c r="E2456" t="s">
        <v>41</v>
      </c>
      <c r="F2456" t="s">
        <v>10</v>
      </c>
    </row>
    <row r="2457" spans="1:6" hidden="1" x14ac:dyDescent="0.35">
      <c r="A2457" t="s">
        <v>17</v>
      </c>
      <c r="B2457" t="s">
        <v>7</v>
      </c>
      <c r="C2457" t="s">
        <v>27</v>
      </c>
      <c r="D2457">
        <v>0</v>
      </c>
      <c r="E2457" t="s">
        <v>41</v>
      </c>
      <c r="F2457" t="s">
        <v>10</v>
      </c>
    </row>
    <row r="2458" spans="1:6" hidden="1" x14ac:dyDescent="0.35">
      <c r="A2458" t="s">
        <v>18</v>
      </c>
      <c r="B2458" t="s">
        <v>7</v>
      </c>
      <c r="C2458" t="s">
        <v>27</v>
      </c>
      <c r="D2458">
        <v>0</v>
      </c>
      <c r="E2458" t="s">
        <v>41</v>
      </c>
      <c r="F2458" t="s">
        <v>10</v>
      </c>
    </row>
    <row r="2459" spans="1:6" hidden="1" x14ac:dyDescent="0.35">
      <c r="A2459" t="s">
        <v>19</v>
      </c>
      <c r="B2459" t="s">
        <v>7</v>
      </c>
      <c r="C2459" t="s">
        <v>27</v>
      </c>
      <c r="D2459">
        <v>17351</v>
      </c>
      <c r="E2459" t="s">
        <v>41</v>
      </c>
      <c r="F2459" t="s">
        <v>10</v>
      </c>
    </row>
    <row r="2460" spans="1:6" hidden="1" x14ac:dyDescent="0.35">
      <c r="A2460" t="s">
        <v>20</v>
      </c>
      <c r="B2460" t="s">
        <v>7</v>
      </c>
      <c r="C2460" t="s">
        <v>27</v>
      </c>
      <c r="D2460">
        <v>0</v>
      </c>
      <c r="E2460" t="s">
        <v>41</v>
      </c>
      <c r="F2460" t="s">
        <v>10</v>
      </c>
    </row>
    <row r="2461" spans="1:6" hidden="1" x14ac:dyDescent="0.35">
      <c r="A2461" t="s">
        <v>21</v>
      </c>
      <c r="B2461" t="s">
        <v>7</v>
      </c>
      <c r="C2461" t="s">
        <v>27</v>
      </c>
      <c r="D2461">
        <v>0</v>
      </c>
      <c r="E2461" t="s">
        <v>41</v>
      </c>
      <c r="F2461" t="s">
        <v>10</v>
      </c>
    </row>
    <row r="2462" spans="1:6" hidden="1" x14ac:dyDescent="0.35">
      <c r="A2462" t="s">
        <v>6</v>
      </c>
      <c r="B2462" t="s">
        <v>7</v>
      </c>
      <c r="C2462" t="s">
        <v>28</v>
      </c>
      <c r="D2462">
        <v>0</v>
      </c>
      <c r="E2462" t="s">
        <v>41</v>
      </c>
      <c r="F2462" t="s">
        <v>10</v>
      </c>
    </row>
    <row r="2463" spans="1:6" hidden="1" x14ac:dyDescent="0.35">
      <c r="A2463" t="s">
        <v>11</v>
      </c>
      <c r="B2463" t="s">
        <v>7</v>
      </c>
      <c r="C2463" t="s">
        <v>28</v>
      </c>
      <c r="D2463">
        <v>0</v>
      </c>
      <c r="E2463" t="s">
        <v>41</v>
      </c>
      <c r="F2463" t="s">
        <v>10</v>
      </c>
    </row>
    <row r="2464" spans="1:6" hidden="1" x14ac:dyDescent="0.35">
      <c r="A2464" t="s">
        <v>12</v>
      </c>
      <c r="B2464" t="s">
        <v>7</v>
      </c>
      <c r="C2464" t="s">
        <v>28</v>
      </c>
      <c r="D2464">
        <v>0</v>
      </c>
      <c r="E2464" t="s">
        <v>41</v>
      </c>
      <c r="F2464" t="s">
        <v>10</v>
      </c>
    </row>
    <row r="2465" spans="1:6" hidden="1" x14ac:dyDescent="0.35">
      <c r="A2465" t="s">
        <v>13</v>
      </c>
      <c r="B2465" t="s">
        <v>7</v>
      </c>
      <c r="C2465" t="s">
        <v>28</v>
      </c>
      <c r="D2465">
        <v>0</v>
      </c>
      <c r="E2465" t="s">
        <v>41</v>
      </c>
      <c r="F2465" t="s">
        <v>10</v>
      </c>
    </row>
    <row r="2466" spans="1:6" hidden="1" x14ac:dyDescent="0.35">
      <c r="A2466" t="s">
        <v>14</v>
      </c>
      <c r="B2466" t="s">
        <v>7</v>
      </c>
      <c r="C2466" t="s">
        <v>28</v>
      </c>
      <c r="D2466">
        <v>0</v>
      </c>
      <c r="E2466" t="s">
        <v>41</v>
      </c>
      <c r="F2466" t="s">
        <v>10</v>
      </c>
    </row>
    <row r="2467" spans="1:6" hidden="1" x14ac:dyDescent="0.35">
      <c r="A2467" t="s">
        <v>15</v>
      </c>
      <c r="B2467" t="s">
        <v>7</v>
      </c>
      <c r="C2467" t="s">
        <v>28</v>
      </c>
      <c r="D2467">
        <v>0</v>
      </c>
      <c r="E2467" t="s">
        <v>41</v>
      </c>
      <c r="F2467" t="s">
        <v>10</v>
      </c>
    </row>
    <row r="2468" spans="1:6" hidden="1" x14ac:dyDescent="0.35">
      <c r="A2468" t="s">
        <v>16</v>
      </c>
      <c r="B2468" t="s">
        <v>7</v>
      </c>
      <c r="C2468" t="s">
        <v>28</v>
      </c>
      <c r="D2468">
        <v>0</v>
      </c>
      <c r="E2468" t="s">
        <v>41</v>
      </c>
      <c r="F2468" t="s">
        <v>10</v>
      </c>
    </row>
    <row r="2469" spans="1:6" hidden="1" x14ac:dyDescent="0.35">
      <c r="A2469" t="s">
        <v>17</v>
      </c>
      <c r="B2469" t="s">
        <v>7</v>
      </c>
      <c r="C2469" t="s">
        <v>28</v>
      </c>
      <c r="D2469">
        <v>0</v>
      </c>
      <c r="E2469" t="s">
        <v>41</v>
      </c>
      <c r="F2469" t="s">
        <v>10</v>
      </c>
    </row>
    <row r="2470" spans="1:6" hidden="1" x14ac:dyDescent="0.35">
      <c r="A2470" t="s">
        <v>18</v>
      </c>
      <c r="B2470" t="s">
        <v>7</v>
      </c>
      <c r="C2470" t="s">
        <v>28</v>
      </c>
      <c r="D2470">
        <v>0</v>
      </c>
      <c r="E2470" t="s">
        <v>41</v>
      </c>
      <c r="F2470" t="s">
        <v>10</v>
      </c>
    </row>
    <row r="2471" spans="1:6" hidden="1" x14ac:dyDescent="0.35">
      <c r="A2471" t="s">
        <v>19</v>
      </c>
      <c r="B2471" t="s">
        <v>7</v>
      </c>
      <c r="C2471" t="s">
        <v>28</v>
      </c>
      <c r="D2471">
        <v>28291</v>
      </c>
      <c r="E2471" t="s">
        <v>41</v>
      </c>
      <c r="F2471" t="s">
        <v>10</v>
      </c>
    </row>
    <row r="2472" spans="1:6" hidden="1" x14ac:dyDescent="0.35">
      <c r="A2472" t="s">
        <v>20</v>
      </c>
      <c r="B2472" t="s">
        <v>7</v>
      </c>
      <c r="C2472" t="s">
        <v>28</v>
      </c>
      <c r="D2472">
        <v>0</v>
      </c>
      <c r="E2472" t="s">
        <v>41</v>
      </c>
      <c r="F2472" t="s">
        <v>10</v>
      </c>
    </row>
    <row r="2473" spans="1:6" hidden="1" x14ac:dyDescent="0.35">
      <c r="A2473" t="s">
        <v>21</v>
      </c>
      <c r="B2473" t="s">
        <v>7</v>
      </c>
      <c r="C2473" t="s">
        <v>28</v>
      </c>
      <c r="D2473">
        <v>0</v>
      </c>
      <c r="E2473" t="s">
        <v>41</v>
      </c>
      <c r="F2473" t="s">
        <v>10</v>
      </c>
    </row>
    <row r="2474" spans="1:6" hidden="1" x14ac:dyDescent="0.35">
      <c r="A2474" t="s">
        <v>6</v>
      </c>
      <c r="B2474" t="s">
        <v>7</v>
      </c>
      <c r="C2474" t="s">
        <v>29</v>
      </c>
      <c r="E2474" t="s">
        <v>41</v>
      </c>
      <c r="F2474" t="s">
        <v>10</v>
      </c>
    </row>
    <row r="2475" spans="1:6" hidden="1" x14ac:dyDescent="0.35">
      <c r="A2475" t="s">
        <v>11</v>
      </c>
      <c r="B2475" t="s">
        <v>7</v>
      </c>
      <c r="C2475" t="s">
        <v>29</v>
      </c>
      <c r="E2475" t="s">
        <v>41</v>
      </c>
      <c r="F2475" t="s">
        <v>10</v>
      </c>
    </row>
    <row r="2476" spans="1:6" hidden="1" x14ac:dyDescent="0.35">
      <c r="A2476" t="s">
        <v>12</v>
      </c>
      <c r="B2476" t="s">
        <v>7</v>
      </c>
      <c r="C2476" t="s">
        <v>29</v>
      </c>
      <c r="E2476" t="s">
        <v>41</v>
      </c>
      <c r="F2476" t="s">
        <v>10</v>
      </c>
    </row>
    <row r="2477" spans="1:6" hidden="1" x14ac:dyDescent="0.35">
      <c r="A2477" t="s">
        <v>13</v>
      </c>
      <c r="B2477" t="s">
        <v>7</v>
      </c>
      <c r="C2477" t="s">
        <v>29</v>
      </c>
      <c r="E2477" t="s">
        <v>41</v>
      </c>
      <c r="F2477" t="s">
        <v>10</v>
      </c>
    </row>
    <row r="2478" spans="1:6" hidden="1" x14ac:dyDescent="0.35">
      <c r="A2478" t="s">
        <v>14</v>
      </c>
      <c r="B2478" t="s">
        <v>7</v>
      </c>
      <c r="C2478" t="s">
        <v>29</v>
      </c>
      <c r="E2478" t="s">
        <v>41</v>
      </c>
      <c r="F2478" t="s">
        <v>10</v>
      </c>
    </row>
    <row r="2479" spans="1:6" hidden="1" x14ac:dyDescent="0.35">
      <c r="A2479" t="s">
        <v>15</v>
      </c>
      <c r="B2479" t="s">
        <v>7</v>
      </c>
      <c r="C2479" t="s">
        <v>29</v>
      </c>
      <c r="E2479" t="s">
        <v>41</v>
      </c>
      <c r="F2479" t="s">
        <v>10</v>
      </c>
    </row>
    <row r="2480" spans="1:6" hidden="1" x14ac:dyDescent="0.35">
      <c r="A2480" t="s">
        <v>16</v>
      </c>
      <c r="B2480" t="s">
        <v>7</v>
      </c>
      <c r="C2480" t="s">
        <v>29</v>
      </c>
      <c r="E2480" t="s">
        <v>41</v>
      </c>
      <c r="F2480" t="s">
        <v>10</v>
      </c>
    </row>
    <row r="2481" spans="1:6" hidden="1" x14ac:dyDescent="0.35">
      <c r="A2481" t="s">
        <v>17</v>
      </c>
      <c r="B2481" t="s">
        <v>7</v>
      </c>
      <c r="C2481" t="s">
        <v>29</v>
      </c>
      <c r="E2481" t="s">
        <v>41</v>
      </c>
      <c r="F2481" t="s">
        <v>10</v>
      </c>
    </row>
    <row r="2482" spans="1:6" hidden="1" x14ac:dyDescent="0.35">
      <c r="A2482" t="s">
        <v>18</v>
      </c>
      <c r="B2482" t="s">
        <v>7</v>
      </c>
      <c r="C2482" t="s">
        <v>29</v>
      </c>
      <c r="E2482" t="s">
        <v>41</v>
      </c>
      <c r="F2482" t="s">
        <v>10</v>
      </c>
    </row>
    <row r="2483" spans="1:6" hidden="1" x14ac:dyDescent="0.35">
      <c r="A2483" t="s">
        <v>19</v>
      </c>
      <c r="B2483" t="s">
        <v>7</v>
      </c>
      <c r="C2483" t="s">
        <v>29</v>
      </c>
      <c r="E2483" t="s">
        <v>41</v>
      </c>
      <c r="F2483" t="s">
        <v>10</v>
      </c>
    </row>
    <row r="2484" spans="1:6" hidden="1" x14ac:dyDescent="0.35">
      <c r="A2484" t="s">
        <v>20</v>
      </c>
      <c r="B2484" t="s">
        <v>7</v>
      </c>
      <c r="C2484" t="s">
        <v>29</v>
      </c>
      <c r="E2484" t="s">
        <v>41</v>
      </c>
      <c r="F2484" t="s">
        <v>10</v>
      </c>
    </row>
    <row r="2485" spans="1:6" hidden="1" x14ac:dyDescent="0.35">
      <c r="A2485" t="s">
        <v>21</v>
      </c>
      <c r="B2485" t="s">
        <v>7</v>
      </c>
      <c r="C2485" t="s">
        <v>29</v>
      </c>
      <c r="E2485" t="s">
        <v>41</v>
      </c>
      <c r="F2485" t="s">
        <v>10</v>
      </c>
    </row>
    <row r="2486" spans="1:6" hidden="1" x14ac:dyDescent="0.35">
      <c r="A2486" t="s">
        <v>6</v>
      </c>
      <c r="B2486" t="s">
        <v>7</v>
      </c>
      <c r="C2486" t="s">
        <v>30</v>
      </c>
      <c r="E2486" t="s">
        <v>41</v>
      </c>
      <c r="F2486" t="s">
        <v>10</v>
      </c>
    </row>
    <row r="2487" spans="1:6" hidden="1" x14ac:dyDescent="0.35">
      <c r="A2487" t="s">
        <v>11</v>
      </c>
      <c r="B2487" t="s">
        <v>7</v>
      </c>
      <c r="C2487" t="s">
        <v>30</v>
      </c>
      <c r="E2487" t="s">
        <v>41</v>
      </c>
      <c r="F2487" t="s">
        <v>10</v>
      </c>
    </row>
    <row r="2488" spans="1:6" hidden="1" x14ac:dyDescent="0.35">
      <c r="A2488" t="s">
        <v>12</v>
      </c>
      <c r="B2488" t="s">
        <v>7</v>
      </c>
      <c r="C2488" t="s">
        <v>30</v>
      </c>
      <c r="E2488" t="s">
        <v>41</v>
      </c>
      <c r="F2488" t="s">
        <v>10</v>
      </c>
    </row>
    <row r="2489" spans="1:6" hidden="1" x14ac:dyDescent="0.35">
      <c r="A2489" t="s">
        <v>13</v>
      </c>
      <c r="B2489" t="s">
        <v>7</v>
      </c>
      <c r="C2489" t="s">
        <v>30</v>
      </c>
      <c r="E2489" t="s">
        <v>41</v>
      </c>
      <c r="F2489" t="s">
        <v>10</v>
      </c>
    </row>
    <row r="2490" spans="1:6" hidden="1" x14ac:dyDescent="0.35">
      <c r="A2490" t="s">
        <v>14</v>
      </c>
      <c r="B2490" t="s">
        <v>7</v>
      </c>
      <c r="C2490" t="s">
        <v>30</v>
      </c>
      <c r="E2490" t="s">
        <v>41</v>
      </c>
      <c r="F2490" t="s">
        <v>10</v>
      </c>
    </row>
    <row r="2491" spans="1:6" hidden="1" x14ac:dyDescent="0.35">
      <c r="A2491" t="s">
        <v>15</v>
      </c>
      <c r="B2491" t="s">
        <v>7</v>
      </c>
      <c r="C2491" t="s">
        <v>30</v>
      </c>
      <c r="E2491" t="s">
        <v>41</v>
      </c>
      <c r="F2491" t="s">
        <v>10</v>
      </c>
    </row>
    <row r="2492" spans="1:6" hidden="1" x14ac:dyDescent="0.35">
      <c r="A2492" t="s">
        <v>16</v>
      </c>
      <c r="B2492" t="s">
        <v>7</v>
      </c>
      <c r="C2492" t="s">
        <v>30</v>
      </c>
      <c r="E2492" t="s">
        <v>41</v>
      </c>
      <c r="F2492" t="s">
        <v>10</v>
      </c>
    </row>
    <row r="2493" spans="1:6" hidden="1" x14ac:dyDescent="0.35">
      <c r="A2493" t="s">
        <v>17</v>
      </c>
      <c r="B2493" t="s">
        <v>7</v>
      </c>
      <c r="C2493" t="s">
        <v>30</v>
      </c>
      <c r="E2493" t="s">
        <v>41</v>
      </c>
      <c r="F2493" t="s">
        <v>10</v>
      </c>
    </row>
    <row r="2494" spans="1:6" hidden="1" x14ac:dyDescent="0.35">
      <c r="A2494" t="s">
        <v>18</v>
      </c>
      <c r="B2494" t="s">
        <v>7</v>
      </c>
      <c r="C2494" t="s">
        <v>30</v>
      </c>
      <c r="E2494" t="s">
        <v>41</v>
      </c>
      <c r="F2494" t="s">
        <v>10</v>
      </c>
    </row>
    <row r="2495" spans="1:6" hidden="1" x14ac:dyDescent="0.35">
      <c r="A2495" t="s">
        <v>19</v>
      </c>
      <c r="B2495" t="s">
        <v>7</v>
      </c>
      <c r="C2495" t="s">
        <v>30</v>
      </c>
      <c r="E2495" t="s">
        <v>41</v>
      </c>
      <c r="F2495" t="s">
        <v>10</v>
      </c>
    </row>
    <row r="2496" spans="1:6" hidden="1" x14ac:dyDescent="0.35">
      <c r="A2496" t="s">
        <v>20</v>
      </c>
      <c r="B2496" t="s">
        <v>7</v>
      </c>
      <c r="C2496" t="s">
        <v>30</v>
      </c>
      <c r="E2496" t="s">
        <v>41</v>
      </c>
      <c r="F2496" t="s">
        <v>10</v>
      </c>
    </row>
    <row r="2497" spans="1:6" hidden="1" x14ac:dyDescent="0.35">
      <c r="A2497" t="s">
        <v>21</v>
      </c>
      <c r="B2497" t="s">
        <v>7</v>
      </c>
      <c r="C2497" t="s">
        <v>30</v>
      </c>
      <c r="E2497" t="s">
        <v>41</v>
      </c>
      <c r="F2497" t="s">
        <v>10</v>
      </c>
    </row>
    <row r="2498" spans="1:6" hidden="1" x14ac:dyDescent="0.35">
      <c r="A2498" t="s">
        <v>6</v>
      </c>
      <c r="B2498" t="s">
        <v>7</v>
      </c>
      <c r="C2498" t="s">
        <v>31</v>
      </c>
      <c r="E2498" t="s">
        <v>41</v>
      </c>
      <c r="F2498" t="s">
        <v>10</v>
      </c>
    </row>
    <row r="2499" spans="1:6" hidden="1" x14ac:dyDescent="0.35">
      <c r="A2499" t="s">
        <v>11</v>
      </c>
      <c r="B2499" t="s">
        <v>7</v>
      </c>
      <c r="C2499" t="s">
        <v>31</v>
      </c>
      <c r="E2499" t="s">
        <v>41</v>
      </c>
      <c r="F2499" t="s">
        <v>10</v>
      </c>
    </row>
    <row r="2500" spans="1:6" hidden="1" x14ac:dyDescent="0.35">
      <c r="A2500" t="s">
        <v>12</v>
      </c>
      <c r="B2500" t="s">
        <v>7</v>
      </c>
      <c r="C2500" t="s">
        <v>31</v>
      </c>
      <c r="E2500" t="s">
        <v>41</v>
      </c>
      <c r="F2500" t="s">
        <v>10</v>
      </c>
    </row>
    <row r="2501" spans="1:6" hidden="1" x14ac:dyDescent="0.35">
      <c r="A2501" t="s">
        <v>13</v>
      </c>
      <c r="B2501" t="s">
        <v>7</v>
      </c>
      <c r="C2501" t="s">
        <v>31</v>
      </c>
      <c r="E2501" t="s">
        <v>41</v>
      </c>
      <c r="F2501" t="s">
        <v>10</v>
      </c>
    </row>
    <row r="2502" spans="1:6" hidden="1" x14ac:dyDescent="0.35">
      <c r="A2502" t="s">
        <v>14</v>
      </c>
      <c r="B2502" t="s">
        <v>7</v>
      </c>
      <c r="C2502" t="s">
        <v>31</v>
      </c>
      <c r="E2502" t="s">
        <v>41</v>
      </c>
      <c r="F2502" t="s">
        <v>10</v>
      </c>
    </row>
    <row r="2503" spans="1:6" hidden="1" x14ac:dyDescent="0.35">
      <c r="A2503" t="s">
        <v>15</v>
      </c>
      <c r="B2503" t="s">
        <v>7</v>
      </c>
      <c r="C2503" t="s">
        <v>31</v>
      </c>
      <c r="E2503" t="s">
        <v>41</v>
      </c>
      <c r="F2503" t="s">
        <v>10</v>
      </c>
    </row>
    <row r="2504" spans="1:6" hidden="1" x14ac:dyDescent="0.35">
      <c r="A2504" t="s">
        <v>16</v>
      </c>
      <c r="B2504" t="s">
        <v>7</v>
      </c>
      <c r="C2504" t="s">
        <v>31</v>
      </c>
      <c r="E2504" t="s">
        <v>41</v>
      </c>
      <c r="F2504" t="s">
        <v>10</v>
      </c>
    </row>
    <row r="2505" spans="1:6" hidden="1" x14ac:dyDescent="0.35">
      <c r="A2505" t="s">
        <v>17</v>
      </c>
      <c r="B2505" t="s">
        <v>7</v>
      </c>
      <c r="C2505" t="s">
        <v>31</v>
      </c>
      <c r="E2505" t="s">
        <v>41</v>
      </c>
      <c r="F2505" t="s">
        <v>10</v>
      </c>
    </row>
    <row r="2506" spans="1:6" hidden="1" x14ac:dyDescent="0.35">
      <c r="A2506" t="s">
        <v>18</v>
      </c>
      <c r="B2506" t="s">
        <v>7</v>
      </c>
      <c r="C2506" t="s">
        <v>31</v>
      </c>
      <c r="E2506" t="s">
        <v>41</v>
      </c>
      <c r="F2506" t="s">
        <v>10</v>
      </c>
    </row>
    <row r="2507" spans="1:6" hidden="1" x14ac:dyDescent="0.35">
      <c r="A2507" t="s">
        <v>19</v>
      </c>
      <c r="B2507" t="s">
        <v>7</v>
      </c>
      <c r="C2507" t="s">
        <v>31</v>
      </c>
      <c r="E2507" t="s">
        <v>41</v>
      </c>
      <c r="F2507" t="s">
        <v>10</v>
      </c>
    </row>
    <row r="2508" spans="1:6" hidden="1" x14ac:dyDescent="0.35">
      <c r="A2508" t="s">
        <v>20</v>
      </c>
      <c r="B2508" t="s">
        <v>7</v>
      </c>
      <c r="C2508" t="s">
        <v>31</v>
      </c>
      <c r="E2508" t="s">
        <v>41</v>
      </c>
      <c r="F2508" t="s">
        <v>10</v>
      </c>
    </row>
    <row r="2509" spans="1:6" hidden="1" x14ac:dyDescent="0.35">
      <c r="A2509" t="s">
        <v>21</v>
      </c>
      <c r="B2509" t="s">
        <v>7</v>
      </c>
      <c r="C2509" t="s">
        <v>31</v>
      </c>
      <c r="E2509" t="s">
        <v>41</v>
      </c>
      <c r="F2509" t="s">
        <v>10</v>
      </c>
    </row>
    <row r="2510" spans="1:6" hidden="1" x14ac:dyDescent="0.35">
      <c r="A2510" t="s">
        <v>6</v>
      </c>
      <c r="B2510" t="s">
        <v>32</v>
      </c>
      <c r="C2510" t="s">
        <v>8</v>
      </c>
      <c r="D2510">
        <v>0</v>
      </c>
      <c r="E2510" t="s">
        <v>41</v>
      </c>
      <c r="F2510" t="s">
        <v>10</v>
      </c>
    </row>
    <row r="2511" spans="1:6" hidden="1" x14ac:dyDescent="0.35">
      <c r="A2511" t="s">
        <v>11</v>
      </c>
      <c r="B2511" t="s">
        <v>32</v>
      </c>
      <c r="C2511" t="s">
        <v>8</v>
      </c>
      <c r="D2511">
        <v>0</v>
      </c>
      <c r="E2511" t="s">
        <v>41</v>
      </c>
      <c r="F2511" t="s">
        <v>10</v>
      </c>
    </row>
    <row r="2512" spans="1:6" hidden="1" x14ac:dyDescent="0.35">
      <c r="A2512" t="s">
        <v>12</v>
      </c>
      <c r="B2512" t="s">
        <v>32</v>
      </c>
      <c r="C2512" t="s">
        <v>8</v>
      </c>
      <c r="D2512">
        <v>0</v>
      </c>
      <c r="E2512" t="s">
        <v>41</v>
      </c>
      <c r="F2512" t="s">
        <v>10</v>
      </c>
    </row>
    <row r="2513" spans="1:6" hidden="1" x14ac:dyDescent="0.35">
      <c r="A2513" t="s">
        <v>13</v>
      </c>
      <c r="B2513" t="s">
        <v>32</v>
      </c>
      <c r="C2513" t="s">
        <v>8</v>
      </c>
      <c r="D2513">
        <v>0</v>
      </c>
      <c r="E2513" t="s">
        <v>41</v>
      </c>
      <c r="F2513" t="s">
        <v>10</v>
      </c>
    </row>
    <row r="2514" spans="1:6" hidden="1" x14ac:dyDescent="0.35">
      <c r="A2514" t="s">
        <v>14</v>
      </c>
      <c r="B2514" t="s">
        <v>32</v>
      </c>
      <c r="C2514" t="s">
        <v>8</v>
      </c>
      <c r="D2514">
        <v>0</v>
      </c>
      <c r="E2514" t="s">
        <v>41</v>
      </c>
      <c r="F2514" t="s">
        <v>10</v>
      </c>
    </row>
    <row r="2515" spans="1:6" hidden="1" x14ac:dyDescent="0.35">
      <c r="A2515" t="s">
        <v>15</v>
      </c>
      <c r="B2515" t="s">
        <v>32</v>
      </c>
      <c r="C2515" t="s">
        <v>8</v>
      </c>
      <c r="D2515">
        <v>0</v>
      </c>
      <c r="E2515" t="s">
        <v>41</v>
      </c>
      <c r="F2515" t="s">
        <v>10</v>
      </c>
    </row>
    <row r="2516" spans="1:6" hidden="1" x14ac:dyDescent="0.35">
      <c r="A2516" t="s">
        <v>16</v>
      </c>
      <c r="B2516" t="s">
        <v>32</v>
      </c>
      <c r="C2516" t="s">
        <v>8</v>
      </c>
      <c r="D2516">
        <v>0</v>
      </c>
      <c r="E2516" t="s">
        <v>41</v>
      </c>
      <c r="F2516" t="s">
        <v>10</v>
      </c>
    </row>
    <row r="2517" spans="1:6" hidden="1" x14ac:dyDescent="0.35">
      <c r="A2517" t="s">
        <v>17</v>
      </c>
      <c r="B2517" t="s">
        <v>32</v>
      </c>
      <c r="C2517" t="s">
        <v>8</v>
      </c>
      <c r="D2517">
        <v>0</v>
      </c>
      <c r="E2517" t="s">
        <v>41</v>
      </c>
      <c r="F2517" t="s">
        <v>10</v>
      </c>
    </row>
    <row r="2518" spans="1:6" hidden="1" x14ac:dyDescent="0.35">
      <c r="A2518" t="s">
        <v>18</v>
      </c>
      <c r="B2518" t="s">
        <v>32</v>
      </c>
      <c r="C2518" t="s">
        <v>8</v>
      </c>
      <c r="D2518">
        <v>0</v>
      </c>
      <c r="E2518" t="s">
        <v>41</v>
      </c>
      <c r="F2518" t="s">
        <v>10</v>
      </c>
    </row>
    <row r="2519" spans="1:6" hidden="1" x14ac:dyDescent="0.35">
      <c r="A2519" t="s">
        <v>19</v>
      </c>
      <c r="B2519" t="s">
        <v>32</v>
      </c>
      <c r="C2519" t="s">
        <v>8</v>
      </c>
      <c r="D2519">
        <v>0</v>
      </c>
      <c r="E2519" t="s">
        <v>41</v>
      </c>
      <c r="F2519" t="s">
        <v>10</v>
      </c>
    </row>
    <row r="2520" spans="1:6" hidden="1" x14ac:dyDescent="0.35">
      <c r="A2520" t="s">
        <v>20</v>
      </c>
      <c r="B2520" t="s">
        <v>32</v>
      </c>
      <c r="C2520" t="s">
        <v>8</v>
      </c>
      <c r="D2520">
        <v>0</v>
      </c>
      <c r="E2520" t="s">
        <v>41</v>
      </c>
      <c r="F2520" t="s">
        <v>10</v>
      </c>
    </row>
    <row r="2521" spans="1:6" hidden="1" x14ac:dyDescent="0.35">
      <c r="A2521" t="s">
        <v>21</v>
      </c>
      <c r="B2521" t="s">
        <v>32</v>
      </c>
      <c r="C2521" t="s">
        <v>8</v>
      </c>
      <c r="D2521">
        <v>0</v>
      </c>
      <c r="E2521" t="s">
        <v>41</v>
      </c>
      <c r="F2521" t="s">
        <v>10</v>
      </c>
    </row>
    <row r="2522" spans="1:6" hidden="1" x14ac:dyDescent="0.35">
      <c r="A2522" t="s">
        <v>6</v>
      </c>
      <c r="B2522" t="s">
        <v>32</v>
      </c>
      <c r="C2522" t="s">
        <v>22</v>
      </c>
      <c r="D2522">
        <v>0</v>
      </c>
      <c r="E2522" t="s">
        <v>41</v>
      </c>
      <c r="F2522" t="s">
        <v>10</v>
      </c>
    </row>
    <row r="2523" spans="1:6" hidden="1" x14ac:dyDescent="0.35">
      <c r="A2523" t="s">
        <v>11</v>
      </c>
      <c r="B2523" t="s">
        <v>32</v>
      </c>
      <c r="C2523" t="s">
        <v>22</v>
      </c>
      <c r="D2523">
        <v>0</v>
      </c>
      <c r="E2523" t="s">
        <v>41</v>
      </c>
      <c r="F2523" t="s">
        <v>10</v>
      </c>
    </row>
    <row r="2524" spans="1:6" hidden="1" x14ac:dyDescent="0.35">
      <c r="A2524" t="s">
        <v>12</v>
      </c>
      <c r="B2524" t="s">
        <v>32</v>
      </c>
      <c r="C2524" t="s">
        <v>22</v>
      </c>
      <c r="D2524">
        <v>0</v>
      </c>
      <c r="E2524" t="s">
        <v>41</v>
      </c>
      <c r="F2524" t="s">
        <v>10</v>
      </c>
    </row>
    <row r="2525" spans="1:6" hidden="1" x14ac:dyDescent="0.35">
      <c r="A2525" t="s">
        <v>13</v>
      </c>
      <c r="B2525" t="s">
        <v>32</v>
      </c>
      <c r="C2525" t="s">
        <v>22</v>
      </c>
      <c r="D2525">
        <v>0</v>
      </c>
      <c r="E2525" t="s">
        <v>41</v>
      </c>
      <c r="F2525" t="s">
        <v>10</v>
      </c>
    </row>
    <row r="2526" spans="1:6" hidden="1" x14ac:dyDescent="0.35">
      <c r="A2526" t="s">
        <v>14</v>
      </c>
      <c r="B2526" t="s">
        <v>32</v>
      </c>
      <c r="C2526" t="s">
        <v>22</v>
      </c>
      <c r="D2526">
        <v>0</v>
      </c>
      <c r="E2526" t="s">
        <v>41</v>
      </c>
      <c r="F2526" t="s">
        <v>10</v>
      </c>
    </row>
    <row r="2527" spans="1:6" hidden="1" x14ac:dyDescent="0.35">
      <c r="A2527" t="s">
        <v>15</v>
      </c>
      <c r="B2527" t="s">
        <v>32</v>
      </c>
      <c r="C2527" t="s">
        <v>22</v>
      </c>
      <c r="D2527">
        <v>0</v>
      </c>
      <c r="E2527" t="s">
        <v>41</v>
      </c>
      <c r="F2527" t="s">
        <v>10</v>
      </c>
    </row>
    <row r="2528" spans="1:6" hidden="1" x14ac:dyDescent="0.35">
      <c r="A2528" t="s">
        <v>16</v>
      </c>
      <c r="B2528" t="s">
        <v>32</v>
      </c>
      <c r="C2528" t="s">
        <v>22</v>
      </c>
      <c r="D2528">
        <v>0</v>
      </c>
      <c r="E2528" t="s">
        <v>41</v>
      </c>
      <c r="F2528" t="s">
        <v>10</v>
      </c>
    </row>
    <row r="2529" spans="1:6" hidden="1" x14ac:dyDescent="0.35">
      <c r="A2529" t="s">
        <v>17</v>
      </c>
      <c r="B2529" t="s">
        <v>32</v>
      </c>
      <c r="C2529" t="s">
        <v>22</v>
      </c>
      <c r="D2529">
        <v>0</v>
      </c>
      <c r="E2529" t="s">
        <v>41</v>
      </c>
      <c r="F2529" t="s">
        <v>10</v>
      </c>
    </row>
    <row r="2530" spans="1:6" hidden="1" x14ac:dyDescent="0.35">
      <c r="A2530" t="s">
        <v>18</v>
      </c>
      <c r="B2530" t="s">
        <v>32</v>
      </c>
      <c r="C2530" t="s">
        <v>22</v>
      </c>
      <c r="D2530">
        <v>0</v>
      </c>
      <c r="E2530" t="s">
        <v>41</v>
      </c>
      <c r="F2530" t="s">
        <v>10</v>
      </c>
    </row>
    <row r="2531" spans="1:6" hidden="1" x14ac:dyDescent="0.35">
      <c r="A2531" t="s">
        <v>19</v>
      </c>
      <c r="B2531" t="s">
        <v>32</v>
      </c>
      <c r="C2531" t="s">
        <v>22</v>
      </c>
      <c r="D2531">
        <v>0</v>
      </c>
      <c r="E2531" t="s">
        <v>41</v>
      </c>
      <c r="F2531" t="s">
        <v>10</v>
      </c>
    </row>
    <row r="2532" spans="1:6" hidden="1" x14ac:dyDescent="0.35">
      <c r="A2532" t="s">
        <v>20</v>
      </c>
      <c r="B2532" t="s">
        <v>32</v>
      </c>
      <c r="C2532" t="s">
        <v>22</v>
      </c>
      <c r="D2532">
        <v>0</v>
      </c>
      <c r="E2532" t="s">
        <v>41</v>
      </c>
      <c r="F2532" t="s">
        <v>10</v>
      </c>
    </row>
    <row r="2533" spans="1:6" hidden="1" x14ac:dyDescent="0.35">
      <c r="A2533" t="s">
        <v>21</v>
      </c>
      <c r="B2533" t="s">
        <v>32</v>
      </c>
      <c r="C2533" t="s">
        <v>22</v>
      </c>
      <c r="D2533">
        <v>0</v>
      </c>
      <c r="E2533" t="s">
        <v>41</v>
      </c>
      <c r="F2533" t="s">
        <v>10</v>
      </c>
    </row>
    <row r="2534" spans="1:6" hidden="1" x14ac:dyDescent="0.35">
      <c r="A2534" t="s">
        <v>6</v>
      </c>
      <c r="B2534" t="s">
        <v>32</v>
      </c>
      <c r="C2534" t="s">
        <v>23</v>
      </c>
      <c r="D2534">
        <v>0</v>
      </c>
      <c r="E2534" t="s">
        <v>41</v>
      </c>
      <c r="F2534" t="s">
        <v>10</v>
      </c>
    </row>
    <row r="2535" spans="1:6" hidden="1" x14ac:dyDescent="0.35">
      <c r="A2535" t="s">
        <v>11</v>
      </c>
      <c r="B2535" t="s">
        <v>32</v>
      </c>
      <c r="C2535" t="s">
        <v>23</v>
      </c>
      <c r="D2535">
        <v>0</v>
      </c>
      <c r="E2535" t="s">
        <v>41</v>
      </c>
      <c r="F2535" t="s">
        <v>10</v>
      </c>
    </row>
    <row r="2536" spans="1:6" hidden="1" x14ac:dyDescent="0.35">
      <c r="A2536" t="s">
        <v>12</v>
      </c>
      <c r="B2536" t="s">
        <v>32</v>
      </c>
      <c r="C2536" t="s">
        <v>23</v>
      </c>
      <c r="D2536">
        <v>0</v>
      </c>
      <c r="E2536" t="s">
        <v>41</v>
      </c>
      <c r="F2536" t="s">
        <v>10</v>
      </c>
    </row>
    <row r="2537" spans="1:6" hidden="1" x14ac:dyDescent="0.35">
      <c r="A2537" t="s">
        <v>13</v>
      </c>
      <c r="B2537" t="s">
        <v>32</v>
      </c>
      <c r="C2537" t="s">
        <v>23</v>
      </c>
      <c r="D2537">
        <v>0</v>
      </c>
      <c r="E2537" t="s">
        <v>41</v>
      </c>
      <c r="F2537" t="s">
        <v>10</v>
      </c>
    </row>
    <row r="2538" spans="1:6" hidden="1" x14ac:dyDescent="0.35">
      <c r="A2538" t="s">
        <v>14</v>
      </c>
      <c r="B2538" t="s">
        <v>32</v>
      </c>
      <c r="C2538" t="s">
        <v>23</v>
      </c>
      <c r="D2538">
        <v>0</v>
      </c>
      <c r="E2538" t="s">
        <v>41</v>
      </c>
      <c r="F2538" t="s">
        <v>10</v>
      </c>
    </row>
    <row r="2539" spans="1:6" hidden="1" x14ac:dyDescent="0.35">
      <c r="A2539" t="s">
        <v>15</v>
      </c>
      <c r="B2539" t="s">
        <v>32</v>
      </c>
      <c r="C2539" t="s">
        <v>23</v>
      </c>
      <c r="D2539">
        <v>0</v>
      </c>
      <c r="E2539" t="s">
        <v>41</v>
      </c>
      <c r="F2539" t="s">
        <v>10</v>
      </c>
    </row>
    <row r="2540" spans="1:6" hidden="1" x14ac:dyDescent="0.35">
      <c r="A2540" t="s">
        <v>16</v>
      </c>
      <c r="B2540" t="s">
        <v>32</v>
      </c>
      <c r="C2540" t="s">
        <v>23</v>
      </c>
      <c r="D2540">
        <v>0</v>
      </c>
      <c r="E2540" t="s">
        <v>41</v>
      </c>
      <c r="F2540" t="s">
        <v>10</v>
      </c>
    </row>
    <row r="2541" spans="1:6" hidden="1" x14ac:dyDescent="0.35">
      <c r="A2541" t="s">
        <v>17</v>
      </c>
      <c r="B2541" t="s">
        <v>32</v>
      </c>
      <c r="C2541" t="s">
        <v>23</v>
      </c>
      <c r="D2541">
        <v>0</v>
      </c>
      <c r="E2541" t="s">
        <v>41</v>
      </c>
      <c r="F2541" t="s">
        <v>10</v>
      </c>
    </row>
    <row r="2542" spans="1:6" hidden="1" x14ac:dyDescent="0.35">
      <c r="A2542" t="s">
        <v>18</v>
      </c>
      <c r="B2542" t="s">
        <v>32</v>
      </c>
      <c r="C2542" t="s">
        <v>23</v>
      </c>
      <c r="D2542">
        <v>0</v>
      </c>
      <c r="E2542" t="s">
        <v>41</v>
      </c>
      <c r="F2542" t="s">
        <v>10</v>
      </c>
    </row>
    <row r="2543" spans="1:6" hidden="1" x14ac:dyDescent="0.35">
      <c r="A2543" t="s">
        <v>19</v>
      </c>
      <c r="B2543" t="s">
        <v>32</v>
      </c>
      <c r="C2543" t="s">
        <v>23</v>
      </c>
      <c r="D2543">
        <v>0</v>
      </c>
      <c r="E2543" t="s">
        <v>41</v>
      </c>
      <c r="F2543" t="s">
        <v>10</v>
      </c>
    </row>
    <row r="2544" spans="1:6" hidden="1" x14ac:dyDescent="0.35">
      <c r="A2544" t="s">
        <v>20</v>
      </c>
      <c r="B2544" t="s">
        <v>32</v>
      </c>
      <c r="C2544" t="s">
        <v>23</v>
      </c>
      <c r="D2544">
        <v>0</v>
      </c>
      <c r="E2544" t="s">
        <v>41</v>
      </c>
      <c r="F2544" t="s">
        <v>10</v>
      </c>
    </row>
    <row r="2545" spans="1:6" hidden="1" x14ac:dyDescent="0.35">
      <c r="A2545" t="s">
        <v>21</v>
      </c>
      <c r="B2545" t="s">
        <v>32</v>
      </c>
      <c r="C2545" t="s">
        <v>23</v>
      </c>
      <c r="D2545">
        <v>0</v>
      </c>
      <c r="E2545" t="s">
        <v>41</v>
      </c>
      <c r="F2545" t="s">
        <v>10</v>
      </c>
    </row>
    <row r="2546" spans="1:6" hidden="1" x14ac:dyDescent="0.35">
      <c r="A2546" t="s">
        <v>6</v>
      </c>
      <c r="B2546" t="s">
        <v>32</v>
      </c>
      <c r="C2546" t="s">
        <v>24</v>
      </c>
      <c r="D2546">
        <v>0</v>
      </c>
      <c r="E2546" t="s">
        <v>41</v>
      </c>
      <c r="F2546" t="s">
        <v>10</v>
      </c>
    </row>
    <row r="2547" spans="1:6" hidden="1" x14ac:dyDescent="0.35">
      <c r="A2547" t="s">
        <v>11</v>
      </c>
      <c r="B2547" t="s">
        <v>32</v>
      </c>
      <c r="C2547" t="s">
        <v>24</v>
      </c>
      <c r="D2547">
        <v>0</v>
      </c>
      <c r="E2547" t="s">
        <v>41</v>
      </c>
      <c r="F2547" t="s">
        <v>10</v>
      </c>
    </row>
    <row r="2548" spans="1:6" hidden="1" x14ac:dyDescent="0.35">
      <c r="A2548" t="s">
        <v>12</v>
      </c>
      <c r="B2548" t="s">
        <v>32</v>
      </c>
      <c r="C2548" t="s">
        <v>24</v>
      </c>
      <c r="D2548">
        <v>0</v>
      </c>
      <c r="E2548" t="s">
        <v>41</v>
      </c>
      <c r="F2548" t="s">
        <v>10</v>
      </c>
    </row>
    <row r="2549" spans="1:6" hidden="1" x14ac:dyDescent="0.35">
      <c r="A2549" t="s">
        <v>13</v>
      </c>
      <c r="B2549" t="s">
        <v>32</v>
      </c>
      <c r="C2549" t="s">
        <v>24</v>
      </c>
      <c r="D2549">
        <v>0</v>
      </c>
      <c r="E2549" t="s">
        <v>41</v>
      </c>
      <c r="F2549" t="s">
        <v>10</v>
      </c>
    </row>
    <row r="2550" spans="1:6" hidden="1" x14ac:dyDescent="0.35">
      <c r="A2550" t="s">
        <v>14</v>
      </c>
      <c r="B2550" t="s">
        <v>32</v>
      </c>
      <c r="C2550" t="s">
        <v>24</v>
      </c>
      <c r="D2550">
        <v>0</v>
      </c>
      <c r="E2550" t="s">
        <v>41</v>
      </c>
      <c r="F2550" t="s">
        <v>10</v>
      </c>
    </row>
    <row r="2551" spans="1:6" hidden="1" x14ac:dyDescent="0.35">
      <c r="A2551" t="s">
        <v>15</v>
      </c>
      <c r="B2551" t="s">
        <v>32</v>
      </c>
      <c r="C2551" t="s">
        <v>24</v>
      </c>
      <c r="D2551">
        <v>0</v>
      </c>
      <c r="E2551" t="s">
        <v>41</v>
      </c>
      <c r="F2551" t="s">
        <v>10</v>
      </c>
    </row>
    <row r="2552" spans="1:6" hidden="1" x14ac:dyDescent="0.35">
      <c r="A2552" t="s">
        <v>16</v>
      </c>
      <c r="B2552" t="s">
        <v>32</v>
      </c>
      <c r="C2552" t="s">
        <v>24</v>
      </c>
      <c r="D2552">
        <v>0</v>
      </c>
      <c r="E2552" t="s">
        <v>41</v>
      </c>
      <c r="F2552" t="s">
        <v>10</v>
      </c>
    </row>
    <row r="2553" spans="1:6" hidden="1" x14ac:dyDescent="0.35">
      <c r="A2553" t="s">
        <v>17</v>
      </c>
      <c r="B2553" t="s">
        <v>32</v>
      </c>
      <c r="C2553" t="s">
        <v>24</v>
      </c>
      <c r="D2553">
        <v>0</v>
      </c>
      <c r="E2553" t="s">
        <v>41</v>
      </c>
      <c r="F2553" t="s">
        <v>10</v>
      </c>
    </row>
    <row r="2554" spans="1:6" hidden="1" x14ac:dyDescent="0.35">
      <c r="A2554" t="s">
        <v>18</v>
      </c>
      <c r="B2554" t="s">
        <v>32</v>
      </c>
      <c r="C2554" t="s">
        <v>24</v>
      </c>
      <c r="D2554">
        <v>0</v>
      </c>
      <c r="E2554" t="s">
        <v>41</v>
      </c>
      <c r="F2554" t="s">
        <v>10</v>
      </c>
    </row>
    <row r="2555" spans="1:6" hidden="1" x14ac:dyDescent="0.35">
      <c r="A2555" t="s">
        <v>19</v>
      </c>
      <c r="B2555" t="s">
        <v>32</v>
      </c>
      <c r="C2555" t="s">
        <v>24</v>
      </c>
      <c r="D2555">
        <v>0</v>
      </c>
      <c r="E2555" t="s">
        <v>41</v>
      </c>
      <c r="F2555" t="s">
        <v>10</v>
      </c>
    </row>
    <row r="2556" spans="1:6" hidden="1" x14ac:dyDescent="0.35">
      <c r="A2556" t="s">
        <v>20</v>
      </c>
      <c r="B2556" t="s">
        <v>32</v>
      </c>
      <c r="C2556" t="s">
        <v>24</v>
      </c>
      <c r="D2556">
        <v>0</v>
      </c>
      <c r="E2556" t="s">
        <v>41</v>
      </c>
      <c r="F2556" t="s">
        <v>10</v>
      </c>
    </row>
    <row r="2557" spans="1:6" hidden="1" x14ac:dyDescent="0.35">
      <c r="A2557" t="s">
        <v>21</v>
      </c>
      <c r="B2557" t="s">
        <v>32</v>
      </c>
      <c r="C2557" t="s">
        <v>24</v>
      </c>
      <c r="D2557">
        <v>0</v>
      </c>
      <c r="E2557" t="s">
        <v>41</v>
      </c>
      <c r="F2557" t="s">
        <v>10</v>
      </c>
    </row>
    <row r="2558" spans="1:6" hidden="1" x14ac:dyDescent="0.35">
      <c r="A2558" t="s">
        <v>6</v>
      </c>
      <c r="B2558" t="s">
        <v>32</v>
      </c>
      <c r="C2558" t="s">
        <v>25</v>
      </c>
      <c r="D2558">
        <v>0</v>
      </c>
      <c r="E2558" t="s">
        <v>41</v>
      </c>
      <c r="F2558" t="s">
        <v>10</v>
      </c>
    </row>
    <row r="2559" spans="1:6" hidden="1" x14ac:dyDescent="0.35">
      <c r="A2559" t="s">
        <v>11</v>
      </c>
      <c r="B2559" t="s">
        <v>32</v>
      </c>
      <c r="C2559" t="s">
        <v>25</v>
      </c>
      <c r="D2559">
        <v>0</v>
      </c>
      <c r="E2559" t="s">
        <v>41</v>
      </c>
      <c r="F2559" t="s">
        <v>10</v>
      </c>
    </row>
    <row r="2560" spans="1:6" hidden="1" x14ac:dyDescent="0.35">
      <c r="A2560" t="s">
        <v>12</v>
      </c>
      <c r="B2560" t="s">
        <v>32</v>
      </c>
      <c r="C2560" t="s">
        <v>25</v>
      </c>
      <c r="D2560">
        <v>0</v>
      </c>
      <c r="E2560" t="s">
        <v>41</v>
      </c>
      <c r="F2560" t="s">
        <v>10</v>
      </c>
    </row>
    <row r="2561" spans="1:6" hidden="1" x14ac:dyDescent="0.35">
      <c r="A2561" t="s">
        <v>13</v>
      </c>
      <c r="B2561" t="s">
        <v>32</v>
      </c>
      <c r="C2561" t="s">
        <v>25</v>
      </c>
      <c r="D2561">
        <v>0</v>
      </c>
      <c r="E2561" t="s">
        <v>41</v>
      </c>
      <c r="F2561" t="s">
        <v>10</v>
      </c>
    </row>
    <row r="2562" spans="1:6" hidden="1" x14ac:dyDescent="0.35">
      <c r="A2562" t="s">
        <v>14</v>
      </c>
      <c r="B2562" t="s">
        <v>32</v>
      </c>
      <c r="C2562" t="s">
        <v>25</v>
      </c>
      <c r="D2562">
        <v>0</v>
      </c>
      <c r="E2562" t="s">
        <v>41</v>
      </c>
      <c r="F2562" t="s">
        <v>10</v>
      </c>
    </row>
    <row r="2563" spans="1:6" hidden="1" x14ac:dyDescent="0.35">
      <c r="A2563" t="s">
        <v>15</v>
      </c>
      <c r="B2563" t="s">
        <v>32</v>
      </c>
      <c r="C2563" t="s">
        <v>25</v>
      </c>
      <c r="D2563">
        <v>0</v>
      </c>
      <c r="E2563" t="s">
        <v>41</v>
      </c>
      <c r="F2563" t="s">
        <v>10</v>
      </c>
    </row>
    <row r="2564" spans="1:6" hidden="1" x14ac:dyDescent="0.35">
      <c r="A2564" t="s">
        <v>16</v>
      </c>
      <c r="B2564" t="s">
        <v>32</v>
      </c>
      <c r="C2564" t="s">
        <v>25</v>
      </c>
      <c r="D2564">
        <v>0</v>
      </c>
      <c r="E2564" t="s">
        <v>41</v>
      </c>
      <c r="F2564" t="s">
        <v>10</v>
      </c>
    </row>
    <row r="2565" spans="1:6" hidden="1" x14ac:dyDescent="0.35">
      <c r="A2565" t="s">
        <v>17</v>
      </c>
      <c r="B2565" t="s">
        <v>32</v>
      </c>
      <c r="C2565" t="s">
        <v>25</v>
      </c>
      <c r="D2565">
        <v>0</v>
      </c>
      <c r="E2565" t="s">
        <v>41</v>
      </c>
      <c r="F2565" t="s">
        <v>10</v>
      </c>
    </row>
    <row r="2566" spans="1:6" hidden="1" x14ac:dyDescent="0.35">
      <c r="A2566" t="s">
        <v>18</v>
      </c>
      <c r="B2566" t="s">
        <v>32</v>
      </c>
      <c r="C2566" t="s">
        <v>25</v>
      </c>
      <c r="D2566">
        <v>0</v>
      </c>
      <c r="E2566" t="s">
        <v>41</v>
      </c>
      <c r="F2566" t="s">
        <v>10</v>
      </c>
    </row>
    <row r="2567" spans="1:6" hidden="1" x14ac:dyDescent="0.35">
      <c r="A2567" t="s">
        <v>19</v>
      </c>
      <c r="B2567" t="s">
        <v>32</v>
      </c>
      <c r="C2567" t="s">
        <v>25</v>
      </c>
      <c r="D2567">
        <v>0</v>
      </c>
      <c r="E2567" t="s">
        <v>41</v>
      </c>
      <c r="F2567" t="s">
        <v>10</v>
      </c>
    </row>
    <row r="2568" spans="1:6" hidden="1" x14ac:dyDescent="0.35">
      <c r="A2568" t="s">
        <v>20</v>
      </c>
      <c r="B2568" t="s">
        <v>32</v>
      </c>
      <c r="C2568" t="s">
        <v>25</v>
      </c>
      <c r="D2568">
        <v>0</v>
      </c>
      <c r="E2568" t="s">
        <v>41</v>
      </c>
      <c r="F2568" t="s">
        <v>10</v>
      </c>
    </row>
    <row r="2569" spans="1:6" hidden="1" x14ac:dyDescent="0.35">
      <c r="A2569" t="s">
        <v>21</v>
      </c>
      <c r="B2569" t="s">
        <v>32</v>
      </c>
      <c r="C2569" t="s">
        <v>25</v>
      </c>
      <c r="D2569">
        <v>0</v>
      </c>
      <c r="E2569" t="s">
        <v>41</v>
      </c>
      <c r="F2569" t="s">
        <v>10</v>
      </c>
    </row>
    <row r="2570" spans="1:6" hidden="1" x14ac:dyDescent="0.35">
      <c r="A2570" t="s">
        <v>6</v>
      </c>
      <c r="B2570" t="s">
        <v>32</v>
      </c>
      <c r="C2570" t="s">
        <v>26</v>
      </c>
      <c r="D2570">
        <v>0</v>
      </c>
      <c r="E2570" t="s">
        <v>41</v>
      </c>
      <c r="F2570" t="s">
        <v>10</v>
      </c>
    </row>
    <row r="2571" spans="1:6" hidden="1" x14ac:dyDescent="0.35">
      <c r="A2571" t="s">
        <v>11</v>
      </c>
      <c r="B2571" t="s">
        <v>32</v>
      </c>
      <c r="C2571" t="s">
        <v>26</v>
      </c>
      <c r="E2571" t="s">
        <v>41</v>
      </c>
      <c r="F2571" t="s">
        <v>10</v>
      </c>
    </row>
    <row r="2572" spans="1:6" hidden="1" x14ac:dyDescent="0.35">
      <c r="A2572" t="s">
        <v>12</v>
      </c>
      <c r="B2572" t="s">
        <v>32</v>
      </c>
      <c r="C2572" t="s">
        <v>26</v>
      </c>
      <c r="E2572" t="s">
        <v>41</v>
      </c>
      <c r="F2572" t="s">
        <v>10</v>
      </c>
    </row>
    <row r="2573" spans="1:6" hidden="1" x14ac:dyDescent="0.35">
      <c r="A2573" t="s">
        <v>13</v>
      </c>
      <c r="B2573" t="s">
        <v>32</v>
      </c>
      <c r="C2573" t="s">
        <v>26</v>
      </c>
      <c r="E2573" t="s">
        <v>41</v>
      </c>
      <c r="F2573" t="s">
        <v>10</v>
      </c>
    </row>
    <row r="2574" spans="1:6" hidden="1" x14ac:dyDescent="0.35">
      <c r="A2574" t="s">
        <v>14</v>
      </c>
      <c r="B2574" t="s">
        <v>32</v>
      </c>
      <c r="C2574" t="s">
        <v>26</v>
      </c>
      <c r="E2574" t="s">
        <v>41</v>
      </c>
      <c r="F2574" t="s">
        <v>10</v>
      </c>
    </row>
    <row r="2575" spans="1:6" hidden="1" x14ac:dyDescent="0.35">
      <c r="A2575" t="s">
        <v>15</v>
      </c>
      <c r="B2575" t="s">
        <v>32</v>
      </c>
      <c r="C2575" t="s">
        <v>26</v>
      </c>
      <c r="E2575" t="s">
        <v>41</v>
      </c>
      <c r="F2575" t="s">
        <v>10</v>
      </c>
    </row>
    <row r="2576" spans="1:6" hidden="1" x14ac:dyDescent="0.35">
      <c r="A2576" t="s">
        <v>16</v>
      </c>
      <c r="B2576" t="s">
        <v>32</v>
      </c>
      <c r="C2576" t="s">
        <v>26</v>
      </c>
      <c r="E2576" t="s">
        <v>41</v>
      </c>
      <c r="F2576" t="s">
        <v>10</v>
      </c>
    </row>
    <row r="2577" spans="1:6" hidden="1" x14ac:dyDescent="0.35">
      <c r="A2577" t="s">
        <v>17</v>
      </c>
      <c r="B2577" t="s">
        <v>32</v>
      </c>
      <c r="C2577" t="s">
        <v>26</v>
      </c>
      <c r="E2577" t="s">
        <v>41</v>
      </c>
      <c r="F2577" t="s">
        <v>10</v>
      </c>
    </row>
    <row r="2578" spans="1:6" hidden="1" x14ac:dyDescent="0.35">
      <c r="A2578" t="s">
        <v>18</v>
      </c>
      <c r="B2578" t="s">
        <v>32</v>
      </c>
      <c r="C2578" t="s">
        <v>26</v>
      </c>
      <c r="E2578" t="s">
        <v>41</v>
      </c>
      <c r="F2578" t="s">
        <v>10</v>
      </c>
    </row>
    <row r="2579" spans="1:6" hidden="1" x14ac:dyDescent="0.35">
      <c r="A2579" t="s">
        <v>19</v>
      </c>
      <c r="B2579" t="s">
        <v>32</v>
      </c>
      <c r="C2579" t="s">
        <v>26</v>
      </c>
      <c r="E2579" t="s">
        <v>41</v>
      </c>
      <c r="F2579" t="s">
        <v>10</v>
      </c>
    </row>
    <row r="2580" spans="1:6" hidden="1" x14ac:dyDescent="0.35">
      <c r="A2580" t="s">
        <v>20</v>
      </c>
      <c r="B2580" t="s">
        <v>32</v>
      </c>
      <c r="C2580" t="s">
        <v>26</v>
      </c>
      <c r="E2580" t="s">
        <v>41</v>
      </c>
      <c r="F2580" t="s">
        <v>10</v>
      </c>
    </row>
    <row r="2581" spans="1:6" hidden="1" x14ac:dyDescent="0.35">
      <c r="A2581" t="s">
        <v>21</v>
      </c>
      <c r="B2581" t="s">
        <v>32</v>
      </c>
      <c r="C2581" t="s">
        <v>26</v>
      </c>
      <c r="E2581" t="s">
        <v>41</v>
      </c>
      <c r="F2581" t="s">
        <v>10</v>
      </c>
    </row>
    <row r="2582" spans="1:6" hidden="1" x14ac:dyDescent="0.35">
      <c r="A2582" t="s">
        <v>6</v>
      </c>
      <c r="B2582" t="s">
        <v>32</v>
      </c>
      <c r="C2582" t="s">
        <v>27</v>
      </c>
      <c r="D2582">
        <v>0</v>
      </c>
      <c r="E2582" t="s">
        <v>41</v>
      </c>
      <c r="F2582" t="s">
        <v>10</v>
      </c>
    </row>
    <row r="2583" spans="1:6" hidden="1" x14ac:dyDescent="0.35">
      <c r="A2583" t="s">
        <v>11</v>
      </c>
      <c r="B2583" t="s">
        <v>32</v>
      </c>
      <c r="C2583" t="s">
        <v>27</v>
      </c>
      <c r="D2583">
        <v>0</v>
      </c>
      <c r="E2583" t="s">
        <v>41</v>
      </c>
      <c r="F2583" t="s">
        <v>10</v>
      </c>
    </row>
    <row r="2584" spans="1:6" hidden="1" x14ac:dyDescent="0.35">
      <c r="A2584" t="s">
        <v>12</v>
      </c>
      <c r="B2584" t="s">
        <v>32</v>
      </c>
      <c r="C2584" t="s">
        <v>27</v>
      </c>
      <c r="D2584">
        <v>0</v>
      </c>
      <c r="E2584" t="s">
        <v>41</v>
      </c>
      <c r="F2584" t="s">
        <v>10</v>
      </c>
    </row>
    <row r="2585" spans="1:6" hidden="1" x14ac:dyDescent="0.35">
      <c r="A2585" t="s">
        <v>13</v>
      </c>
      <c r="B2585" t="s">
        <v>32</v>
      </c>
      <c r="C2585" t="s">
        <v>27</v>
      </c>
      <c r="D2585">
        <v>0</v>
      </c>
      <c r="E2585" t="s">
        <v>41</v>
      </c>
      <c r="F2585" t="s">
        <v>10</v>
      </c>
    </row>
    <row r="2586" spans="1:6" hidden="1" x14ac:dyDescent="0.35">
      <c r="A2586" t="s">
        <v>14</v>
      </c>
      <c r="B2586" t="s">
        <v>32</v>
      </c>
      <c r="C2586" t="s">
        <v>27</v>
      </c>
      <c r="D2586">
        <v>0</v>
      </c>
      <c r="E2586" t="s">
        <v>41</v>
      </c>
      <c r="F2586" t="s">
        <v>10</v>
      </c>
    </row>
    <row r="2587" spans="1:6" hidden="1" x14ac:dyDescent="0.35">
      <c r="A2587" t="s">
        <v>15</v>
      </c>
      <c r="B2587" t="s">
        <v>32</v>
      </c>
      <c r="C2587" t="s">
        <v>27</v>
      </c>
      <c r="D2587">
        <v>0</v>
      </c>
      <c r="E2587" t="s">
        <v>41</v>
      </c>
      <c r="F2587" t="s">
        <v>10</v>
      </c>
    </row>
    <row r="2588" spans="1:6" hidden="1" x14ac:dyDescent="0.35">
      <c r="A2588" t="s">
        <v>16</v>
      </c>
      <c r="B2588" t="s">
        <v>32</v>
      </c>
      <c r="C2588" t="s">
        <v>27</v>
      </c>
      <c r="D2588">
        <v>0</v>
      </c>
      <c r="E2588" t="s">
        <v>41</v>
      </c>
      <c r="F2588" t="s">
        <v>10</v>
      </c>
    </row>
    <row r="2589" spans="1:6" hidden="1" x14ac:dyDescent="0.35">
      <c r="A2589" t="s">
        <v>17</v>
      </c>
      <c r="B2589" t="s">
        <v>32</v>
      </c>
      <c r="C2589" t="s">
        <v>27</v>
      </c>
      <c r="D2589">
        <v>0</v>
      </c>
      <c r="E2589" t="s">
        <v>41</v>
      </c>
      <c r="F2589" t="s">
        <v>10</v>
      </c>
    </row>
    <row r="2590" spans="1:6" hidden="1" x14ac:dyDescent="0.35">
      <c r="A2590" t="s">
        <v>18</v>
      </c>
      <c r="B2590" t="s">
        <v>32</v>
      </c>
      <c r="C2590" t="s">
        <v>27</v>
      </c>
      <c r="D2590">
        <v>0</v>
      </c>
      <c r="E2590" t="s">
        <v>41</v>
      </c>
      <c r="F2590" t="s">
        <v>10</v>
      </c>
    </row>
    <row r="2591" spans="1:6" hidden="1" x14ac:dyDescent="0.35">
      <c r="A2591" t="s">
        <v>19</v>
      </c>
      <c r="B2591" t="s">
        <v>32</v>
      </c>
      <c r="C2591" t="s">
        <v>27</v>
      </c>
      <c r="D2591">
        <v>0</v>
      </c>
      <c r="E2591" t="s">
        <v>41</v>
      </c>
      <c r="F2591" t="s">
        <v>10</v>
      </c>
    </row>
    <row r="2592" spans="1:6" hidden="1" x14ac:dyDescent="0.35">
      <c r="A2592" t="s">
        <v>20</v>
      </c>
      <c r="B2592" t="s">
        <v>32</v>
      </c>
      <c r="C2592" t="s">
        <v>27</v>
      </c>
      <c r="D2592">
        <v>0</v>
      </c>
      <c r="E2592" t="s">
        <v>41</v>
      </c>
      <c r="F2592" t="s">
        <v>10</v>
      </c>
    </row>
    <row r="2593" spans="1:6" hidden="1" x14ac:dyDescent="0.35">
      <c r="A2593" t="s">
        <v>21</v>
      </c>
      <c r="B2593" t="s">
        <v>32</v>
      </c>
      <c r="C2593" t="s">
        <v>27</v>
      </c>
      <c r="D2593">
        <v>0</v>
      </c>
      <c r="E2593" t="s">
        <v>41</v>
      </c>
      <c r="F2593" t="s">
        <v>10</v>
      </c>
    </row>
    <row r="2594" spans="1:6" hidden="1" x14ac:dyDescent="0.35">
      <c r="A2594" t="s">
        <v>6</v>
      </c>
      <c r="B2594" t="s">
        <v>32</v>
      </c>
      <c r="C2594" t="s">
        <v>28</v>
      </c>
      <c r="D2594">
        <v>0</v>
      </c>
      <c r="E2594" t="s">
        <v>41</v>
      </c>
      <c r="F2594" t="s">
        <v>10</v>
      </c>
    </row>
    <row r="2595" spans="1:6" hidden="1" x14ac:dyDescent="0.35">
      <c r="A2595" t="s">
        <v>11</v>
      </c>
      <c r="B2595" t="s">
        <v>32</v>
      </c>
      <c r="C2595" t="s">
        <v>28</v>
      </c>
      <c r="D2595">
        <v>0</v>
      </c>
      <c r="E2595" t="s">
        <v>41</v>
      </c>
      <c r="F2595" t="s">
        <v>10</v>
      </c>
    </row>
    <row r="2596" spans="1:6" hidden="1" x14ac:dyDescent="0.35">
      <c r="A2596" t="s">
        <v>12</v>
      </c>
      <c r="B2596" t="s">
        <v>32</v>
      </c>
      <c r="C2596" t="s">
        <v>28</v>
      </c>
      <c r="D2596">
        <v>0</v>
      </c>
      <c r="E2596" t="s">
        <v>41</v>
      </c>
      <c r="F2596" t="s">
        <v>10</v>
      </c>
    </row>
    <row r="2597" spans="1:6" hidden="1" x14ac:dyDescent="0.35">
      <c r="A2597" t="s">
        <v>13</v>
      </c>
      <c r="B2597" t="s">
        <v>32</v>
      </c>
      <c r="C2597" t="s">
        <v>28</v>
      </c>
      <c r="D2597">
        <v>0</v>
      </c>
      <c r="E2597" t="s">
        <v>41</v>
      </c>
      <c r="F2597" t="s">
        <v>10</v>
      </c>
    </row>
    <row r="2598" spans="1:6" hidden="1" x14ac:dyDescent="0.35">
      <c r="A2598" t="s">
        <v>14</v>
      </c>
      <c r="B2598" t="s">
        <v>32</v>
      </c>
      <c r="C2598" t="s">
        <v>28</v>
      </c>
      <c r="D2598">
        <v>0</v>
      </c>
      <c r="E2598" t="s">
        <v>41</v>
      </c>
      <c r="F2598" t="s">
        <v>10</v>
      </c>
    </row>
    <row r="2599" spans="1:6" hidden="1" x14ac:dyDescent="0.35">
      <c r="A2599" t="s">
        <v>15</v>
      </c>
      <c r="B2599" t="s">
        <v>32</v>
      </c>
      <c r="C2599" t="s">
        <v>28</v>
      </c>
      <c r="D2599">
        <v>0</v>
      </c>
      <c r="E2599" t="s">
        <v>41</v>
      </c>
      <c r="F2599" t="s">
        <v>10</v>
      </c>
    </row>
    <row r="2600" spans="1:6" hidden="1" x14ac:dyDescent="0.35">
      <c r="A2600" t="s">
        <v>16</v>
      </c>
      <c r="B2600" t="s">
        <v>32</v>
      </c>
      <c r="C2600" t="s">
        <v>28</v>
      </c>
      <c r="D2600">
        <v>0</v>
      </c>
      <c r="E2600" t="s">
        <v>41</v>
      </c>
      <c r="F2600" t="s">
        <v>10</v>
      </c>
    </row>
    <row r="2601" spans="1:6" hidden="1" x14ac:dyDescent="0.35">
      <c r="A2601" t="s">
        <v>17</v>
      </c>
      <c r="B2601" t="s">
        <v>32</v>
      </c>
      <c r="C2601" t="s">
        <v>28</v>
      </c>
      <c r="D2601">
        <v>0</v>
      </c>
      <c r="E2601" t="s">
        <v>41</v>
      </c>
      <c r="F2601" t="s">
        <v>10</v>
      </c>
    </row>
    <row r="2602" spans="1:6" hidden="1" x14ac:dyDescent="0.35">
      <c r="A2602" t="s">
        <v>18</v>
      </c>
      <c r="B2602" t="s">
        <v>32</v>
      </c>
      <c r="C2602" t="s">
        <v>28</v>
      </c>
      <c r="D2602">
        <v>0</v>
      </c>
      <c r="E2602" t="s">
        <v>41</v>
      </c>
      <c r="F2602" t="s">
        <v>10</v>
      </c>
    </row>
    <row r="2603" spans="1:6" hidden="1" x14ac:dyDescent="0.35">
      <c r="A2603" t="s">
        <v>19</v>
      </c>
      <c r="B2603" t="s">
        <v>32</v>
      </c>
      <c r="C2603" t="s">
        <v>28</v>
      </c>
      <c r="D2603">
        <v>0</v>
      </c>
      <c r="E2603" t="s">
        <v>41</v>
      </c>
      <c r="F2603" t="s">
        <v>10</v>
      </c>
    </row>
    <row r="2604" spans="1:6" hidden="1" x14ac:dyDescent="0.35">
      <c r="A2604" t="s">
        <v>20</v>
      </c>
      <c r="B2604" t="s">
        <v>32</v>
      </c>
      <c r="C2604" t="s">
        <v>28</v>
      </c>
      <c r="D2604">
        <v>0</v>
      </c>
      <c r="E2604" t="s">
        <v>41</v>
      </c>
      <c r="F2604" t="s">
        <v>10</v>
      </c>
    </row>
    <row r="2605" spans="1:6" hidden="1" x14ac:dyDescent="0.35">
      <c r="A2605" t="s">
        <v>21</v>
      </c>
      <c r="B2605" t="s">
        <v>32</v>
      </c>
      <c r="C2605" t="s">
        <v>28</v>
      </c>
      <c r="D2605">
        <v>0</v>
      </c>
      <c r="E2605" t="s">
        <v>41</v>
      </c>
      <c r="F2605" t="s">
        <v>10</v>
      </c>
    </row>
    <row r="2606" spans="1:6" hidden="1" x14ac:dyDescent="0.35">
      <c r="A2606" t="s">
        <v>6</v>
      </c>
      <c r="B2606" t="s">
        <v>32</v>
      </c>
      <c r="C2606" t="s">
        <v>29</v>
      </c>
      <c r="E2606" t="s">
        <v>41</v>
      </c>
      <c r="F2606" t="s">
        <v>10</v>
      </c>
    </row>
    <row r="2607" spans="1:6" hidden="1" x14ac:dyDescent="0.35">
      <c r="A2607" t="s">
        <v>11</v>
      </c>
      <c r="B2607" t="s">
        <v>32</v>
      </c>
      <c r="C2607" t="s">
        <v>29</v>
      </c>
      <c r="E2607" t="s">
        <v>41</v>
      </c>
      <c r="F2607" t="s">
        <v>10</v>
      </c>
    </row>
    <row r="2608" spans="1:6" hidden="1" x14ac:dyDescent="0.35">
      <c r="A2608" t="s">
        <v>12</v>
      </c>
      <c r="B2608" t="s">
        <v>32</v>
      </c>
      <c r="C2608" t="s">
        <v>29</v>
      </c>
      <c r="E2608" t="s">
        <v>41</v>
      </c>
      <c r="F2608" t="s">
        <v>10</v>
      </c>
    </row>
    <row r="2609" spans="1:6" hidden="1" x14ac:dyDescent="0.35">
      <c r="A2609" t="s">
        <v>13</v>
      </c>
      <c r="B2609" t="s">
        <v>32</v>
      </c>
      <c r="C2609" t="s">
        <v>29</v>
      </c>
      <c r="E2609" t="s">
        <v>41</v>
      </c>
      <c r="F2609" t="s">
        <v>10</v>
      </c>
    </row>
    <row r="2610" spans="1:6" hidden="1" x14ac:dyDescent="0.35">
      <c r="A2610" t="s">
        <v>14</v>
      </c>
      <c r="B2610" t="s">
        <v>32</v>
      </c>
      <c r="C2610" t="s">
        <v>29</v>
      </c>
      <c r="E2610" t="s">
        <v>41</v>
      </c>
      <c r="F2610" t="s">
        <v>10</v>
      </c>
    </row>
    <row r="2611" spans="1:6" hidden="1" x14ac:dyDescent="0.35">
      <c r="A2611" t="s">
        <v>15</v>
      </c>
      <c r="B2611" t="s">
        <v>32</v>
      </c>
      <c r="C2611" t="s">
        <v>29</v>
      </c>
      <c r="E2611" t="s">
        <v>41</v>
      </c>
      <c r="F2611" t="s">
        <v>10</v>
      </c>
    </row>
    <row r="2612" spans="1:6" hidden="1" x14ac:dyDescent="0.35">
      <c r="A2612" t="s">
        <v>16</v>
      </c>
      <c r="B2612" t="s">
        <v>32</v>
      </c>
      <c r="C2612" t="s">
        <v>29</v>
      </c>
      <c r="E2612" t="s">
        <v>41</v>
      </c>
      <c r="F2612" t="s">
        <v>10</v>
      </c>
    </row>
    <row r="2613" spans="1:6" hidden="1" x14ac:dyDescent="0.35">
      <c r="A2613" t="s">
        <v>17</v>
      </c>
      <c r="B2613" t="s">
        <v>32</v>
      </c>
      <c r="C2613" t="s">
        <v>29</v>
      </c>
      <c r="E2613" t="s">
        <v>41</v>
      </c>
      <c r="F2613" t="s">
        <v>10</v>
      </c>
    </row>
    <row r="2614" spans="1:6" hidden="1" x14ac:dyDescent="0.35">
      <c r="A2614" t="s">
        <v>18</v>
      </c>
      <c r="B2614" t="s">
        <v>32</v>
      </c>
      <c r="C2614" t="s">
        <v>29</v>
      </c>
      <c r="E2614" t="s">
        <v>41</v>
      </c>
      <c r="F2614" t="s">
        <v>10</v>
      </c>
    </row>
    <row r="2615" spans="1:6" hidden="1" x14ac:dyDescent="0.35">
      <c r="A2615" t="s">
        <v>19</v>
      </c>
      <c r="B2615" t="s">
        <v>32</v>
      </c>
      <c r="C2615" t="s">
        <v>29</v>
      </c>
      <c r="E2615" t="s">
        <v>41</v>
      </c>
      <c r="F2615" t="s">
        <v>10</v>
      </c>
    </row>
    <row r="2616" spans="1:6" hidden="1" x14ac:dyDescent="0.35">
      <c r="A2616" t="s">
        <v>20</v>
      </c>
      <c r="B2616" t="s">
        <v>32</v>
      </c>
      <c r="C2616" t="s">
        <v>29</v>
      </c>
      <c r="E2616" t="s">
        <v>41</v>
      </c>
      <c r="F2616" t="s">
        <v>10</v>
      </c>
    </row>
    <row r="2617" spans="1:6" hidden="1" x14ac:dyDescent="0.35">
      <c r="A2617" t="s">
        <v>21</v>
      </c>
      <c r="B2617" t="s">
        <v>32</v>
      </c>
      <c r="C2617" t="s">
        <v>29</v>
      </c>
      <c r="E2617" t="s">
        <v>41</v>
      </c>
      <c r="F2617" t="s">
        <v>10</v>
      </c>
    </row>
    <row r="2618" spans="1:6" hidden="1" x14ac:dyDescent="0.35">
      <c r="A2618" t="s">
        <v>6</v>
      </c>
      <c r="B2618" t="s">
        <v>32</v>
      </c>
      <c r="C2618" t="s">
        <v>30</v>
      </c>
      <c r="E2618" t="s">
        <v>41</v>
      </c>
      <c r="F2618" t="s">
        <v>10</v>
      </c>
    </row>
    <row r="2619" spans="1:6" hidden="1" x14ac:dyDescent="0.35">
      <c r="A2619" t="s">
        <v>11</v>
      </c>
      <c r="B2619" t="s">
        <v>32</v>
      </c>
      <c r="C2619" t="s">
        <v>30</v>
      </c>
      <c r="E2619" t="s">
        <v>41</v>
      </c>
      <c r="F2619" t="s">
        <v>10</v>
      </c>
    </row>
    <row r="2620" spans="1:6" hidden="1" x14ac:dyDescent="0.35">
      <c r="A2620" t="s">
        <v>12</v>
      </c>
      <c r="B2620" t="s">
        <v>32</v>
      </c>
      <c r="C2620" t="s">
        <v>30</v>
      </c>
      <c r="E2620" t="s">
        <v>41</v>
      </c>
      <c r="F2620" t="s">
        <v>10</v>
      </c>
    </row>
    <row r="2621" spans="1:6" hidden="1" x14ac:dyDescent="0.35">
      <c r="A2621" t="s">
        <v>13</v>
      </c>
      <c r="B2621" t="s">
        <v>32</v>
      </c>
      <c r="C2621" t="s">
        <v>30</v>
      </c>
      <c r="E2621" t="s">
        <v>41</v>
      </c>
      <c r="F2621" t="s">
        <v>10</v>
      </c>
    </row>
    <row r="2622" spans="1:6" hidden="1" x14ac:dyDescent="0.35">
      <c r="A2622" t="s">
        <v>14</v>
      </c>
      <c r="B2622" t="s">
        <v>32</v>
      </c>
      <c r="C2622" t="s">
        <v>30</v>
      </c>
      <c r="E2622" t="s">
        <v>41</v>
      </c>
      <c r="F2622" t="s">
        <v>10</v>
      </c>
    </row>
    <row r="2623" spans="1:6" hidden="1" x14ac:dyDescent="0.35">
      <c r="A2623" t="s">
        <v>15</v>
      </c>
      <c r="B2623" t="s">
        <v>32</v>
      </c>
      <c r="C2623" t="s">
        <v>30</v>
      </c>
      <c r="E2623" t="s">
        <v>41</v>
      </c>
      <c r="F2623" t="s">
        <v>10</v>
      </c>
    </row>
    <row r="2624" spans="1:6" hidden="1" x14ac:dyDescent="0.35">
      <c r="A2624" t="s">
        <v>16</v>
      </c>
      <c r="B2624" t="s">
        <v>32</v>
      </c>
      <c r="C2624" t="s">
        <v>30</v>
      </c>
      <c r="E2624" t="s">
        <v>41</v>
      </c>
      <c r="F2624" t="s">
        <v>10</v>
      </c>
    </row>
    <row r="2625" spans="1:6" hidden="1" x14ac:dyDescent="0.35">
      <c r="A2625" t="s">
        <v>17</v>
      </c>
      <c r="B2625" t="s">
        <v>32</v>
      </c>
      <c r="C2625" t="s">
        <v>30</v>
      </c>
      <c r="E2625" t="s">
        <v>41</v>
      </c>
      <c r="F2625" t="s">
        <v>10</v>
      </c>
    </row>
    <row r="2626" spans="1:6" hidden="1" x14ac:dyDescent="0.35">
      <c r="A2626" t="s">
        <v>18</v>
      </c>
      <c r="B2626" t="s">
        <v>32</v>
      </c>
      <c r="C2626" t="s">
        <v>30</v>
      </c>
      <c r="E2626" t="s">
        <v>41</v>
      </c>
      <c r="F2626" t="s">
        <v>10</v>
      </c>
    </row>
    <row r="2627" spans="1:6" hidden="1" x14ac:dyDescent="0.35">
      <c r="A2627" t="s">
        <v>19</v>
      </c>
      <c r="B2627" t="s">
        <v>32</v>
      </c>
      <c r="C2627" t="s">
        <v>30</v>
      </c>
      <c r="E2627" t="s">
        <v>41</v>
      </c>
      <c r="F2627" t="s">
        <v>10</v>
      </c>
    </row>
    <row r="2628" spans="1:6" hidden="1" x14ac:dyDescent="0.35">
      <c r="A2628" t="s">
        <v>20</v>
      </c>
      <c r="B2628" t="s">
        <v>32</v>
      </c>
      <c r="C2628" t="s">
        <v>30</v>
      </c>
      <c r="E2628" t="s">
        <v>41</v>
      </c>
      <c r="F2628" t="s">
        <v>10</v>
      </c>
    </row>
    <row r="2629" spans="1:6" hidden="1" x14ac:dyDescent="0.35">
      <c r="A2629" t="s">
        <v>21</v>
      </c>
      <c r="B2629" t="s">
        <v>32</v>
      </c>
      <c r="C2629" t="s">
        <v>30</v>
      </c>
      <c r="E2629" t="s">
        <v>41</v>
      </c>
      <c r="F2629" t="s">
        <v>10</v>
      </c>
    </row>
    <row r="2630" spans="1:6" hidden="1" x14ac:dyDescent="0.35">
      <c r="A2630" t="s">
        <v>6</v>
      </c>
      <c r="B2630" t="s">
        <v>32</v>
      </c>
      <c r="C2630" t="s">
        <v>31</v>
      </c>
      <c r="E2630" t="s">
        <v>41</v>
      </c>
      <c r="F2630" t="s">
        <v>10</v>
      </c>
    </row>
    <row r="2631" spans="1:6" hidden="1" x14ac:dyDescent="0.35">
      <c r="A2631" t="s">
        <v>11</v>
      </c>
      <c r="B2631" t="s">
        <v>32</v>
      </c>
      <c r="C2631" t="s">
        <v>31</v>
      </c>
      <c r="E2631" t="s">
        <v>41</v>
      </c>
      <c r="F2631" t="s">
        <v>10</v>
      </c>
    </row>
    <row r="2632" spans="1:6" hidden="1" x14ac:dyDescent="0.35">
      <c r="A2632" t="s">
        <v>12</v>
      </c>
      <c r="B2632" t="s">
        <v>32</v>
      </c>
      <c r="C2632" t="s">
        <v>31</v>
      </c>
      <c r="E2632" t="s">
        <v>41</v>
      </c>
      <c r="F2632" t="s">
        <v>10</v>
      </c>
    </row>
    <row r="2633" spans="1:6" hidden="1" x14ac:dyDescent="0.35">
      <c r="A2633" t="s">
        <v>13</v>
      </c>
      <c r="B2633" t="s">
        <v>32</v>
      </c>
      <c r="C2633" t="s">
        <v>31</v>
      </c>
      <c r="E2633" t="s">
        <v>41</v>
      </c>
      <c r="F2633" t="s">
        <v>10</v>
      </c>
    </row>
    <row r="2634" spans="1:6" hidden="1" x14ac:dyDescent="0.35">
      <c r="A2634" t="s">
        <v>14</v>
      </c>
      <c r="B2634" t="s">
        <v>32</v>
      </c>
      <c r="C2634" t="s">
        <v>31</v>
      </c>
      <c r="E2634" t="s">
        <v>41</v>
      </c>
      <c r="F2634" t="s">
        <v>10</v>
      </c>
    </row>
    <row r="2635" spans="1:6" hidden="1" x14ac:dyDescent="0.35">
      <c r="A2635" t="s">
        <v>15</v>
      </c>
      <c r="B2635" t="s">
        <v>32</v>
      </c>
      <c r="C2635" t="s">
        <v>31</v>
      </c>
      <c r="E2635" t="s">
        <v>41</v>
      </c>
      <c r="F2635" t="s">
        <v>10</v>
      </c>
    </row>
    <row r="2636" spans="1:6" hidden="1" x14ac:dyDescent="0.35">
      <c r="A2636" t="s">
        <v>16</v>
      </c>
      <c r="B2636" t="s">
        <v>32</v>
      </c>
      <c r="C2636" t="s">
        <v>31</v>
      </c>
      <c r="E2636" t="s">
        <v>41</v>
      </c>
      <c r="F2636" t="s">
        <v>10</v>
      </c>
    </row>
    <row r="2637" spans="1:6" hidden="1" x14ac:dyDescent="0.35">
      <c r="A2637" t="s">
        <v>17</v>
      </c>
      <c r="B2637" t="s">
        <v>32</v>
      </c>
      <c r="C2637" t="s">
        <v>31</v>
      </c>
      <c r="E2637" t="s">
        <v>41</v>
      </c>
      <c r="F2637" t="s">
        <v>10</v>
      </c>
    </row>
    <row r="2638" spans="1:6" hidden="1" x14ac:dyDescent="0.35">
      <c r="A2638" t="s">
        <v>18</v>
      </c>
      <c r="B2638" t="s">
        <v>32</v>
      </c>
      <c r="C2638" t="s">
        <v>31</v>
      </c>
      <c r="E2638" t="s">
        <v>41</v>
      </c>
      <c r="F2638" t="s">
        <v>10</v>
      </c>
    </row>
    <row r="2639" spans="1:6" hidden="1" x14ac:dyDescent="0.35">
      <c r="A2639" t="s">
        <v>19</v>
      </c>
      <c r="B2639" t="s">
        <v>32</v>
      </c>
      <c r="C2639" t="s">
        <v>31</v>
      </c>
      <c r="E2639" t="s">
        <v>41</v>
      </c>
      <c r="F2639" t="s">
        <v>10</v>
      </c>
    </row>
    <row r="2640" spans="1:6" hidden="1" x14ac:dyDescent="0.35">
      <c r="A2640" t="s">
        <v>20</v>
      </c>
      <c r="B2640" t="s">
        <v>32</v>
      </c>
      <c r="C2640" t="s">
        <v>31</v>
      </c>
      <c r="E2640" t="s">
        <v>41</v>
      </c>
      <c r="F2640" t="s">
        <v>10</v>
      </c>
    </row>
    <row r="2641" spans="1:6" hidden="1" x14ac:dyDescent="0.35">
      <c r="A2641" t="s">
        <v>21</v>
      </c>
      <c r="B2641" t="s">
        <v>32</v>
      </c>
      <c r="C2641" t="s">
        <v>31</v>
      </c>
      <c r="E2641" t="s">
        <v>41</v>
      </c>
      <c r="F2641" t="s">
        <v>10</v>
      </c>
    </row>
    <row r="2642" spans="1:6" hidden="1" x14ac:dyDescent="0.35">
      <c r="A2642" t="s">
        <v>6</v>
      </c>
      <c r="B2642" t="s">
        <v>33</v>
      </c>
      <c r="C2642" t="s">
        <v>8</v>
      </c>
      <c r="D2642">
        <v>40309</v>
      </c>
      <c r="E2642" t="s">
        <v>41</v>
      </c>
      <c r="F2642" t="s">
        <v>10</v>
      </c>
    </row>
    <row r="2643" spans="1:6" hidden="1" x14ac:dyDescent="0.35">
      <c r="A2643" t="s">
        <v>11</v>
      </c>
      <c r="B2643" t="s">
        <v>33</v>
      </c>
      <c r="C2643" t="s">
        <v>8</v>
      </c>
      <c r="D2643">
        <v>0</v>
      </c>
      <c r="E2643" t="s">
        <v>41</v>
      </c>
      <c r="F2643" t="s">
        <v>10</v>
      </c>
    </row>
    <row r="2644" spans="1:6" hidden="1" x14ac:dyDescent="0.35">
      <c r="A2644" t="s">
        <v>12</v>
      </c>
      <c r="B2644" t="s">
        <v>33</v>
      </c>
      <c r="C2644" t="s">
        <v>8</v>
      </c>
      <c r="D2644">
        <v>169933</v>
      </c>
      <c r="E2644" t="s">
        <v>41</v>
      </c>
      <c r="F2644" t="s">
        <v>10</v>
      </c>
    </row>
    <row r="2645" spans="1:6" hidden="1" x14ac:dyDescent="0.35">
      <c r="A2645" t="s">
        <v>13</v>
      </c>
      <c r="B2645" t="s">
        <v>33</v>
      </c>
      <c r="C2645" t="s">
        <v>8</v>
      </c>
      <c r="D2645">
        <v>55831</v>
      </c>
      <c r="E2645" t="s">
        <v>41</v>
      </c>
      <c r="F2645" t="s">
        <v>10</v>
      </c>
    </row>
    <row r="2646" spans="1:6" hidden="1" x14ac:dyDescent="0.35">
      <c r="A2646" t="s">
        <v>14</v>
      </c>
      <c r="B2646" t="s">
        <v>33</v>
      </c>
      <c r="C2646" t="s">
        <v>8</v>
      </c>
      <c r="D2646">
        <v>9424</v>
      </c>
      <c r="E2646" t="s">
        <v>41</v>
      </c>
      <c r="F2646" t="s">
        <v>10</v>
      </c>
    </row>
    <row r="2647" spans="1:6" hidden="1" x14ac:dyDescent="0.35">
      <c r="A2647" t="s">
        <v>15</v>
      </c>
      <c r="B2647" t="s">
        <v>33</v>
      </c>
      <c r="C2647" t="s">
        <v>8</v>
      </c>
      <c r="D2647">
        <v>39428</v>
      </c>
      <c r="E2647" t="s">
        <v>41</v>
      </c>
      <c r="F2647" t="s">
        <v>10</v>
      </c>
    </row>
    <row r="2648" spans="1:6" hidden="1" x14ac:dyDescent="0.35">
      <c r="A2648" t="s">
        <v>16</v>
      </c>
      <c r="B2648" t="s">
        <v>33</v>
      </c>
      <c r="C2648" t="s">
        <v>8</v>
      </c>
      <c r="D2648">
        <v>132020</v>
      </c>
      <c r="E2648" t="s">
        <v>41</v>
      </c>
      <c r="F2648" t="s">
        <v>10</v>
      </c>
    </row>
    <row r="2649" spans="1:6" hidden="1" x14ac:dyDescent="0.35">
      <c r="A2649" t="s">
        <v>17</v>
      </c>
      <c r="B2649" t="s">
        <v>33</v>
      </c>
      <c r="C2649" t="s">
        <v>8</v>
      </c>
      <c r="D2649">
        <v>1446</v>
      </c>
      <c r="E2649" t="s">
        <v>41</v>
      </c>
      <c r="F2649" t="s">
        <v>10</v>
      </c>
    </row>
    <row r="2650" spans="1:6" hidden="1" x14ac:dyDescent="0.35">
      <c r="A2650" t="s">
        <v>18</v>
      </c>
      <c r="B2650" t="s">
        <v>33</v>
      </c>
      <c r="C2650" t="s">
        <v>8</v>
      </c>
      <c r="D2650">
        <v>60285</v>
      </c>
      <c r="E2650" t="s">
        <v>41</v>
      </c>
      <c r="F2650" t="s">
        <v>10</v>
      </c>
    </row>
    <row r="2651" spans="1:6" hidden="1" x14ac:dyDescent="0.35">
      <c r="A2651" t="s">
        <v>19</v>
      </c>
      <c r="B2651" t="s">
        <v>33</v>
      </c>
      <c r="C2651" t="s">
        <v>8</v>
      </c>
      <c r="D2651">
        <v>0</v>
      </c>
      <c r="E2651" t="s">
        <v>41</v>
      </c>
      <c r="F2651" t="s">
        <v>10</v>
      </c>
    </row>
    <row r="2652" spans="1:6" hidden="1" x14ac:dyDescent="0.35">
      <c r="A2652" t="s">
        <v>20</v>
      </c>
      <c r="B2652" t="s">
        <v>33</v>
      </c>
      <c r="C2652" t="s">
        <v>8</v>
      </c>
      <c r="D2652">
        <v>159095</v>
      </c>
      <c r="E2652" t="s">
        <v>41</v>
      </c>
      <c r="F2652" t="s">
        <v>10</v>
      </c>
    </row>
    <row r="2653" spans="1:6" hidden="1" x14ac:dyDescent="0.35">
      <c r="A2653" t="s">
        <v>21</v>
      </c>
      <c r="B2653" t="s">
        <v>33</v>
      </c>
      <c r="C2653" t="s">
        <v>8</v>
      </c>
      <c r="D2653">
        <v>0</v>
      </c>
      <c r="E2653" t="s">
        <v>41</v>
      </c>
      <c r="F2653" t="s">
        <v>10</v>
      </c>
    </row>
    <row r="2654" spans="1:6" hidden="1" x14ac:dyDescent="0.35">
      <c r="A2654" t="s">
        <v>6</v>
      </c>
      <c r="B2654" t="s">
        <v>33</v>
      </c>
      <c r="C2654" t="s">
        <v>22</v>
      </c>
      <c r="D2654">
        <v>0</v>
      </c>
      <c r="E2654" t="s">
        <v>41</v>
      </c>
      <c r="F2654" t="s">
        <v>10</v>
      </c>
    </row>
    <row r="2655" spans="1:6" hidden="1" x14ac:dyDescent="0.35">
      <c r="A2655" t="s">
        <v>11</v>
      </c>
      <c r="B2655" t="s">
        <v>33</v>
      </c>
      <c r="C2655" t="s">
        <v>22</v>
      </c>
      <c r="D2655">
        <v>0</v>
      </c>
      <c r="E2655" t="s">
        <v>41</v>
      </c>
      <c r="F2655" t="s">
        <v>10</v>
      </c>
    </row>
    <row r="2656" spans="1:6" hidden="1" x14ac:dyDescent="0.35">
      <c r="A2656" t="s">
        <v>12</v>
      </c>
      <c r="B2656" t="s">
        <v>33</v>
      </c>
      <c r="C2656" t="s">
        <v>22</v>
      </c>
      <c r="D2656">
        <v>0</v>
      </c>
      <c r="E2656" t="s">
        <v>41</v>
      </c>
      <c r="F2656" t="s">
        <v>10</v>
      </c>
    </row>
    <row r="2657" spans="1:6" hidden="1" x14ac:dyDescent="0.35">
      <c r="A2657" t="s">
        <v>13</v>
      </c>
      <c r="B2657" t="s">
        <v>33</v>
      </c>
      <c r="C2657" t="s">
        <v>22</v>
      </c>
      <c r="D2657">
        <v>0</v>
      </c>
      <c r="E2657" t="s">
        <v>41</v>
      </c>
      <c r="F2657" t="s">
        <v>10</v>
      </c>
    </row>
    <row r="2658" spans="1:6" hidden="1" x14ac:dyDescent="0.35">
      <c r="A2658" t="s">
        <v>14</v>
      </c>
      <c r="B2658" t="s">
        <v>33</v>
      </c>
      <c r="C2658" t="s">
        <v>22</v>
      </c>
      <c r="D2658">
        <v>0</v>
      </c>
      <c r="E2658" t="s">
        <v>41</v>
      </c>
      <c r="F2658" t="s">
        <v>10</v>
      </c>
    </row>
    <row r="2659" spans="1:6" hidden="1" x14ac:dyDescent="0.35">
      <c r="A2659" t="s">
        <v>15</v>
      </c>
      <c r="B2659" t="s">
        <v>33</v>
      </c>
      <c r="C2659" t="s">
        <v>22</v>
      </c>
      <c r="D2659">
        <v>0</v>
      </c>
      <c r="E2659" t="s">
        <v>41</v>
      </c>
      <c r="F2659" t="s">
        <v>10</v>
      </c>
    </row>
    <row r="2660" spans="1:6" hidden="1" x14ac:dyDescent="0.35">
      <c r="A2660" t="s">
        <v>16</v>
      </c>
      <c r="B2660" t="s">
        <v>33</v>
      </c>
      <c r="C2660" t="s">
        <v>22</v>
      </c>
      <c r="D2660">
        <v>0</v>
      </c>
      <c r="E2660" t="s">
        <v>41</v>
      </c>
      <c r="F2660" t="s">
        <v>10</v>
      </c>
    </row>
    <row r="2661" spans="1:6" hidden="1" x14ac:dyDescent="0.35">
      <c r="A2661" t="s">
        <v>17</v>
      </c>
      <c r="B2661" t="s">
        <v>33</v>
      </c>
      <c r="C2661" t="s">
        <v>22</v>
      </c>
      <c r="D2661">
        <v>0</v>
      </c>
      <c r="E2661" t="s">
        <v>41</v>
      </c>
      <c r="F2661" t="s">
        <v>10</v>
      </c>
    </row>
    <row r="2662" spans="1:6" hidden="1" x14ac:dyDescent="0.35">
      <c r="A2662" t="s">
        <v>18</v>
      </c>
      <c r="B2662" t="s">
        <v>33</v>
      </c>
      <c r="C2662" t="s">
        <v>22</v>
      </c>
      <c r="D2662">
        <v>0</v>
      </c>
      <c r="E2662" t="s">
        <v>41</v>
      </c>
      <c r="F2662" t="s">
        <v>10</v>
      </c>
    </row>
    <row r="2663" spans="1:6" hidden="1" x14ac:dyDescent="0.35">
      <c r="A2663" t="s">
        <v>19</v>
      </c>
      <c r="B2663" t="s">
        <v>33</v>
      </c>
      <c r="C2663" t="s">
        <v>22</v>
      </c>
      <c r="D2663">
        <v>0</v>
      </c>
      <c r="E2663" t="s">
        <v>41</v>
      </c>
      <c r="F2663" t="s">
        <v>10</v>
      </c>
    </row>
    <row r="2664" spans="1:6" hidden="1" x14ac:dyDescent="0.35">
      <c r="A2664" t="s">
        <v>20</v>
      </c>
      <c r="B2664" t="s">
        <v>33</v>
      </c>
      <c r="C2664" t="s">
        <v>22</v>
      </c>
      <c r="D2664">
        <v>0</v>
      </c>
      <c r="E2664" t="s">
        <v>41</v>
      </c>
      <c r="F2664" t="s">
        <v>10</v>
      </c>
    </row>
    <row r="2665" spans="1:6" hidden="1" x14ac:dyDescent="0.35">
      <c r="A2665" t="s">
        <v>21</v>
      </c>
      <c r="B2665" t="s">
        <v>33</v>
      </c>
      <c r="C2665" t="s">
        <v>22</v>
      </c>
      <c r="D2665">
        <v>0</v>
      </c>
      <c r="E2665" t="s">
        <v>41</v>
      </c>
      <c r="F2665" t="s">
        <v>10</v>
      </c>
    </row>
    <row r="2666" spans="1:6" hidden="1" x14ac:dyDescent="0.35">
      <c r="A2666" t="s">
        <v>6</v>
      </c>
      <c r="B2666" t="s">
        <v>33</v>
      </c>
      <c r="C2666" t="s">
        <v>23</v>
      </c>
      <c r="D2666">
        <v>23854</v>
      </c>
      <c r="E2666" t="s">
        <v>41</v>
      </c>
      <c r="F2666" t="s">
        <v>10</v>
      </c>
    </row>
    <row r="2667" spans="1:6" hidden="1" x14ac:dyDescent="0.35">
      <c r="A2667" t="s">
        <v>11</v>
      </c>
      <c r="B2667" t="s">
        <v>33</v>
      </c>
      <c r="C2667" t="s">
        <v>23</v>
      </c>
      <c r="D2667">
        <v>4118</v>
      </c>
      <c r="E2667" t="s">
        <v>41</v>
      </c>
      <c r="F2667" t="s">
        <v>10</v>
      </c>
    </row>
    <row r="2668" spans="1:6" hidden="1" x14ac:dyDescent="0.35">
      <c r="A2668" t="s">
        <v>12</v>
      </c>
      <c r="B2668" t="s">
        <v>33</v>
      </c>
      <c r="C2668" t="s">
        <v>23</v>
      </c>
      <c r="D2668">
        <v>190759</v>
      </c>
      <c r="E2668" t="s">
        <v>41</v>
      </c>
      <c r="F2668" t="s">
        <v>10</v>
      </c>
    </row>
    <row r="2669" spans="1:6" hidden="1" x14ac:dyDescent="0.35">
      <c r="A2669" t="s">
        <v>13</v>
      </c>
      <c r="B2669" t="s">
        <v>33</v>
      </c>
      <c r="C2669" t="s">
        <v>23</v>
      </c>
      <c r="D2669">
        <v>157203</v>
      </c>
      <c r="E2669" t="s">
        <v>41</v>
      </c>
      <c r="F2669" t="s">
        <v>10</v>
      </c>
    </row>
    <row r="2670" spans="1:6" hidden="1" x14ac:dyDescent="0.35">
      <c r="A2670" t="s">
        <v>14</v>
      </c>
      <c r="B2670" t="s">
        <v>33</v>
      </c>
      <c r="C2670" t="s">
        <v>23</v>
      </c>
      <c r="D2670">
        <v>568203</v>
      </c>
      <c r="E2670" t="s">
        <v>41</v>
      </c>
      <c r="F2670" t="s">
        <v>10</v>
      </c>
    </row>
    <row r="2671" spans="1:6" hidden="1" x14ac:dyDescent="0.35">
      <c r="A2671" t="s">
        <v>15</v>
      </c>
      <c r="B2671" t="s">
        <v>33</v>
      </c>
      <c r="C2671" t="s">
        <v>23</v>
      </c>
      <c r="D2671">
        <v>67027</v>
      </c>
      <c r="E2671" t="s">
        <v>41</v>
      </c>
      <c r="F2671" t="s">
        <v>10</v>
      </c>
    </row>
    <row r="2672" spans="1:6" hidden="1" x14ac:dyDescent="0.35">
      <c r="A2672" t="s">
        <v>16</v>
      </c>
      <c r="B2672" t="s">
        <v>33</v>
      </c>
      <c r="C2672" t="s">
        <v>23</v>
      </c>
      <c r="D2672">
        <v>268764</v>
      </c>
      <c r="E2672" t="s">
        <v>41</v>
      </c>
      <c r="F2672" t="s">
        <v>10</v>
      </c>
    </row>
    <row r="2673" spans="1:6" hidden="1" x14ac:dyDescent="0.35">
      <c r="A2673" t="s">
        <v>17</v>
      </c>
      <c r="B2673" t="s">
        <v>33</v>
      </c>
      <c r="C2673" t="s">
        <v>23</v>
      </c>
      <c r="D2673">
        <v>5385</v>
      </c>
      <c r="E2673" t="s">
        <v>41</v>
      </c>
      <c r="F2673" t="s">
        <v>10</v>
      </c>
    </row>
    <row r="2674" spans="1:6" hidden="1" x14ac:dyDescent="0.35">
      <c r="A2674" t="s">
        <v>18</v>
      </c>
      <c r="B2674" t="s">
        <v>33</v>
      </c>
      <c r="C2674" t="s">
        <v>23</v>
      </c>
      <c r="D2674">
        <v>65059</v>
      </c>
      <c r="E2674" t="s">
        <v>41</v>
      </c>
      <c r="F2674" t="s">
        <v>10</v>
      </c>
    </row>
    <row r="2675" spans="1:6" hidden="1" x14ac:dyDescent="0.35">
      <c r="A2675" t="s">
        <v>19</v>
      </c>
      <c r="B2675" t="s">
        <v>33</v>
      </c>
      <c r="C2675" t="s">
        <v>23</v>
      </c>
      <c r="D2675">
        <v>0</v>
      </c>
      <c r="E2675" t="s">
        <v>41</v>
      </c>
      <c r="F2675" t="s">
        <v>10</v>
      </c>
    </row>
    <row r="2676" spans="1:6" hidden="1" x14ac:dyDescent="0.35">
      <c r="A2676" t="s">
        <v>20</v>
      </c>
      <c r="B2676" t="s">
        <v>33</v>
      </c>
      <c r="C2676" t="s">
        <v>23</v>
      </c>
      <c r="D2676">
        <v>135243</v>
      </c>
      <c r="E2676" t="s">
        <v>41</v>
      </c>
      <c r="F2676" t="s">
        <v>10</v>
      </c>
    </row>
    <row r="2677" spans="1:6" hidden="1" x14ac:dyDescent="0.35">
      <c r="A2677" t="s">
        <v>21</v>
      </c>
      <c r="B2677" t="s">
        <v>33</v>
      </c>
      <c r="C2677" t="s">
        <v>23</v>
      </c>
      <c r="D2677">
        <v>0</v>
      </c>
      <c r="E2677" t="s">
        <v>41</v>
      </c>
      <c r="F2677" t="s">
        <v>10</v>
      </c>
    </row>
    <row r="2678" spans="1:6" hidden="1" x14ac:dyDescent="0.35">
      <c r="A2678" t="s">
        <v>6</v>
      </c>
      <c r="B2678" t="s">
        <v>33</v>
      </c>
      <c r="C2678" t="s">
        <v>24</v>
      </c>
      <c r="D2678">
        <v>0</v>
      </c>
      <c r="E2678" t="s">
        <v>41</v>
      </c>
      <c r="F2678" t="s">
        <v>10</v>
      </c>
    </row>
    <row r="2679" spans="1:6" hidden="1" x14ac:dyDescent="0.35">
      <c r="A2679" t="s">
        <v>11</v>
      </c>
      <c r="B2679" t="s">
        <v>33</v>
      </c>
      <c r="C2679" t="s">
        <v>24</v>
      </c>
      <c r="D2679">
        <v>0</v>
      </c>
      <c r="E2679" t="s">
        <v>41</v>
      </c>
      <c r="F2679" t="s">
        <v>10</v>
      </c>
    </row>
    <row r="2680" spans="1:6" hidden="1" x14ac:dyDescent="0.35">
      <c r="A2680" t="s">
        <v>12</v>
      </c>
      <c r="B2680" t="s">
        <v>33</v>
      </c>
      <c r="C2680" t="s">
        <v>24</v>
      </c>
      <c r="D2680">
        <v>0</v>
      </c>
      <c r="E2680" t="s">
        <v>41</v>
      </c>
      <c r="F2680" t="s">
        <v>10</v>
      </c>
    </row>
    <row r="2681" spans="1:6" hidden="1" x14ac:dyDescent="0.35">
      <c r="A2681" t="s">
        <v>13</v>
      </c>
      <c r="B2681" t="s">
        <v>33</v>
      </c>
      <c r="C2681" t="s">
        <v>24</v>
      </c>
      <c r="D2681">
        <v>0</v>
      </c>
      <c r="E2681" t="s">
        <v>41</v>
      </c>
      <c r="F2681" t="s">
        <v>10</v>
      </c>
    </row>
    <row r="2682" spans="1:6" hidden="1" x14ac:dyDescent="0.35">
      <c r="A2682" t="s">
        <v>14</v>
      </c>
      <c r="B2682" t="s">
        <v>33</v>
      </c>
      <c r="C2682" t="s">
        <v>24</v>
      </c>
      <c r="D2682">
        <v>0</v>
      </c>
      <c r="E2682" t="s">
        <v>41</v>
      </c>
      <c r="F2682" t="s">
        <v>10</v>
      </c>
    </row>
    <row r="2683" spans="1:6" hidden="1" x14ac:dyDescent="0.35">
      <c r="A2683" t="s">
        <v>15</v>
      </c>
      <c r="B2683" t="s">
        <v>33</v>
      </c>
      <c r="C2683" t="s">
        <v>24</v>
      </c>
      <c r="D2683">
        <v>0</v>
      </c>
      <c r="E2683" t="s">
        <v>41</v>
      </c>
      <c r="F2683" t="s">
        <v>10</v>
      </c>
    </row>
    <row r="2684" spans="1:6" hidden="1" x14ac:dyDescent="0.35">
      <c r="A2684" t="s">
        <v>16</v>
      </c>
      <c r="B2684" t="s">
        <v>33</v>
      </c>
      <c r="C2684" t="s">
        <v>24</v>
      </c>
      <c r="D2684">
        <v>0</v>
      </c>
      <c r="E2684" t="s">
        <v>41</v>
      </c>
      <c r="F2684" t="s">
        <v>10</v>
      </c>
    </row>
    <row r="2685" spans="1:6" hidden="1" x14ac:dyDescent="0.35">
      <c r="A2685" t="s">
        <v>17</v>
      </c>
      <c r="B2685" t="s">
        <v>33</v>
      </c>
      <c r="C2685" t="s">
        <v>24</v>
      </c>
      <c r="D2685">
        <v>0</v>
      </c>
      <c r="E2685" t="s">
        <v>41</v>
      </c>
      <c r="F2685" t="s">
        <v>10</v>
      </c>
    </row>
    <row r="2686" spans="1:6" hidden="1" x14ac:dyDescent="0.35">
      <c r="A2686" t="s">
        <v>18</v>
      </c>
      <c r="B2686" t="s">
        <v>33</v>
      </c>
      <c r="C2686" t="s">
        <v>24</v>
      </c>
      <c r="D2686">
        <v>0</v>
      </c>
      <c r="E2686" t="s">
        <v>41</v>
      </c>
      <c r="F2686" t="s">
        <v>10</v>
      </c>
    </row>
    <row r="2687" spans="1:6" hidden="1" x14ac:dyDescent="0.35">
      <c r="A2687" t="s">
        <v>19</v>
      </c>
      <c r="B2687" t="s">
        <v>33</v>
      </c>
      <c r="C2687" t="s">
        <v>24</v>
      </c>
      <c r="D2687">
        <v>0</v>
      </c>
      <c r="E2687" t="s">
        <v>41</v>
      </c>
      <c r="F2687" t="s">
        <v>10</v>
      </c>
    </row>
    <row r="2688" spans="1:6" hidden="1" x14ac:dyDescent="0.35">
      <c r="A2688" t="s">
        <v>20</v>
      </c>
      <c r="B2688" t="s">
        <v>33</v>
      </c>
      <c r="C2688" t="s">
        <v>24</v>
      </c>
      <c r="D2688">
        <v>0</v>
      </c>
      <c r="E2688" t="s">
        <v>41</v>
      </c>
      <c r="F2688" t="s">
        <v>10</v>
      </c>
    </row>
    <row r="2689" spans="1:6" hidden="1" x14ac:dyDescent="0.35">
      <c r="A2689" t="s">
        <v>21</v>
      </c>
      <c r="B2689" t="s">
        <v>33</v>
      </c>
      <c r="C2689" t="s">
        <v>24</v>
      </c>
      <c r="D2689">
        <v>0</v>
      </c>
      <c r="E2689" t="s">
        <v>41</v>
      </c>
      <c r="F2689" t="s">
        <v>10</v>
      </c>
    </row>
    <row r="2690" spans="1:6" hidden="1" x14ac:dyDescent="0.35">
      <c r="A2690" t="s">
        <v>6</v>
      </c>
      <c r="B2690" t="s">
        <v>33</v>
      </c>
      <c r="C2690" t="s">
        <v>25</v>
      </c>
      <c r="D2690">
        <v>0</v>
      </c>
      <c r="E2690" t="s">
        <v>41</v>
      </c>
      <c r="F2690" t="s">
        <v>10</v>
      </c>
    </row>
    <row r="2691" spans="1:6" hidden="1" x14ac:dyDescent="0.35">
      <c r="A2691" t="s">
        <v>11</v>
      </c>
      <c r="B2691" t="s">
        <v>33</v>
      </c>
      <c r="C2691" t="s">
        <v>25</v>
      </c>
      <c r="D2691">
        <v>0</v>
      </c>
      <c r="E2691" t="s">
        <v>41</v>
      </c>
      <c r="F2691" t="s">
        <v>10</v>
      </c>
    </row>
    <row r="2692" spans="1:6" hidden="1" x14ac:dyDescent="0.35">
      <c r="A2692" t="s">
        <v>12</v>
      </c>
      <c r="B2692" t="s">
        <v>33</v>
      </c>
      <c r="C2692" t="s">
        <v>25</v>
      </c>
      <c r="D2692">
        <v>103</v>
      </c>
      <c r="E2692" t="s">
        <v>41</v>
      </c>
      <c r="F2692" t="s">
        <v>10</v>
      </c>
    </row>
    <row r="2693" spans="1:6" hidden="1" x14ac:dyDescent="0.35">
      <c r="A2693" t="s">
        <v>13</v>
      </c>
      <c r="B2693" t="s">
        <v>33</v>
      </c>
      <c r="C2693" t="s">
        <v>25</v>
      </c>
      <c r="D2693">
        <v>0</v>
      </c>
      <c r="E2693" t="s">
        <v>41</v>
      </c>
      <c r="F2693" t="s">
        <v>10</v>
      </c>
    </row>
    <row r="2694" spans="1:6" hidden="1" x14ac:dyDescent="0.35">
      <c r="A2694" t="s">
        <v>14</v>
      </c>
      <c r="B2694" t="s">
        <v>33</v>
      </c>
      <c r="C2694" t="s">
        <v>25</v>
      </c>
      <c r="D2694">
        <v>0</v>
      </c>
      <c r="E2694" t="s">
        <v>41</v>
      </c>
      <c r="F2694" t="s">
        <v>10</v>
      </c>
    </row>
    <row r="2695" spans="1:6" hidden="1" x14ac:dyDescent="0.35">
      <c r="A2695" t="s">
        <v>15</v>
      </c>
      <c r="B2695" t="s">
        <v>33</v>
      </c>
      <c r="C2695" t="s">
        <v>25</v>
      </c>
      <c r="D2695">
        <v>0</v>
      </c>
      <c r="E2695" t="s">
        <v>41</v>
      </c>
      <c r="F2695" t="s">
        <v>10</v>
      </c>
    </row>
    <row r="2696" spans="1:6" hidden="1" x14ac:dyDescent="0.35">
      <c r="A2696" t="s">
        <v>16</v>
      </c>
      <c r="B2696" t="s">
        <v>33</v>
      </c>
      <c r="C2696" t="s">
        <v>25</v>
      </c>
      <c r="D2696">
        <v>30888</v>
      </c>
      <c r="E2696" t="s">
        <v>41</v>
      </c>
      <c r="F2696" t="s">
        <v>10</v>
      </c>
    </row>
    <row r="2697" spans="1:6" hidden="1" x14ac:dyDescent="0.35">
      <c r="A2697" t="s">
        <v>17</v>
      </c>
      <c r="B2697" t="s">
        <v>33</v>
      </c>
      <c r="C2697" t="s">
        <v>25</v>
      </c>
      <c r="D2697">
        <v>0</v>
      </c>
      <c r="E2697" t="s">
        <v>41</v>
      </c>
      <c r="F2697" t="s">
        <v>10</v>
      </c>
    </row>
    <row r="2698" spans="1:6" hidden="1" x14ac:dyDescent="0.35">
      <c r="A2698" t="s">
        <v>18</v>
      </c>
      <c r="B2698" t="s">
        <v>33</v>
      </c>
      <c r="C2698" t="s">
        <v>25</v>
      </c>
      <c r="D2698">
        <v>0</v>
      </c>
      <c r="E2698" t="s">
        <v>41</v>
      </c>
      <c r="F2698" t="s">
        <v>10</v>
      </c>
    </row>
    <row r="2699" spans="1:6" hidden="1" x14ac:dyDescent="0.35">
      <c r="A2699" t="s">
        <v>19</v>
      </c>
      <c r="B2699" t="s">
        <v>33</v>
      </c>
      <c r="C2699" t="s">
        <v>25</v>
      </c>
      <c r="D2699">
        <v>0</v>
      </c>
      <c r="E2699" t="s">
        <v>41</v>
      </c>
      <c r="F2699" t="s">
        <v>10</v>
      </c>
    </row>
    <row r="2700" spans="1:6" hidden="1" x14ac:dyDescent="0.35">
      <c r="A2700" t="s">
        <v>20</v>
      </c>
      <c r="B2700" t="s">
        <v>33</v>
      </c>
      <c r="C2700" t="s">
        <v>25</v>
      </c>
      <c r="D2700">
        <v>0</v>
      </c>
      <c r="E2700" t="s">
        <v>41</v>
      </c>
      <c r="F2700" t="s">
        <v>10</v>
      </c>
    </row>
    <row r="2701" spans="1:6" hidden="1" x14ac:dyDescent="0.35">
      <c r="A2701" t="s">
        <v>21</v>
      </c>
      <c r="B2701" t="s">
        <v>33</v>
      </c>
      <c r="C2701" t="s">
        <v>25</v>
      </c>
      <c r="D2701">
        <v>0</v>
      </c>
      <c r="E2701" t="s">
        <v>41</v>
      </c>
      <c r="F2701" t="s">
        <v>10</v>
      </c>
    </row>
    <row r="2702" spans="1:6" hidden="1" x14ac:dyDescent="0.35">
      <c r="A2702" t="s">
        <v>6</v>
      </c>
      <c r="B2702" t="s">
        <v>33</v>
      </c>
      <c r="C2702" t="s">
        <v>26</v>
      </c>
      <c r="D2702">
        <v>0</v>
      </c>
      <c r="E2702" t="s">
        <v>41</v>
      </c>
      <c r="F2702" t="s">
        <v>10</v>
      </c>
    </row>
    <row r="2703" spans="1:6" hidden="1" x14ac:dyDescent="0.35">
      <c r="A2703" t="s">
        <v>11</v>
      </c>
      <c r="B2703" t="s">
        <v>33</v>
      </c>
      <c r="C2703" t="s">
        <v>26</v>
      </c>
      <c r="E2703" t="s">
        <v>41</v>
      </c>
      <c r="F2703" t="s">
        <v>10</v>
      </c>
    </row>
    <row r="2704" spans="1:6" hidden="1" x14ac:dyDescent="0.35">
      <c r="A2704" t="s">
        <v>12</v>
      </c>
      <c r="B2704" t="s">
        <v>33</v>
      </c>
      <c r="C2704" t="s">
        <v>26</v>
      </c>
      <c r="E2704" t="s">
        <v>41</v>
      </c>
      <c r="F2704" t="s">
        <v>10</v>
      </c>
    </row>
    <row r="2705" spans="1:6" hidden="1" x14ac:dyDescent="0.35">
      <c r="A2705" t="s">
        <v>13</v>
      </c>
      <c r="B2705" t="s">
        <v>33</v>
      </c>
      <c r="C2705" t="s">
        <v>26</v>
      </c>
      <c r="E2705" t="s">
        <v>41</v>
      </c>
      <c r="F2705" t="s">
        <v>10</v>
      </c>
    </row>
    <row r="2706" spans="1:6" hidden="1" x14ac:dyDescent="0.35">
      <c r="A2706" t="s">
        <v>14</v>
      </c>
      <c r="B2706" t="s">
        <v>33</v>
      </c>
      <c r="C2706" t="s">
        <v>26</v>
      </c>
      <c r="E2706" t="s">
        <v>41</v>
      </c>
      <c r="F2706" t="s">
        <v>10</v>
      </c>
    </row>
    <row r="2707" spans="1:6" hidden="1" x14ac:dyDescent="0.35">
      <c r="A2707" t="s">
        <v>15</v>
      </c>
      <c r="B2707" t="s">
        <v>33</v>
      </c>
      <c r="C2707" t="s">
        <v>26</v>
      </c>
      <c r="E2707" t="s">
        <v>41</v>
      </c>
      <c r="F2707" t="s">
        <v>10</v>
      </c>
    </row>
    <row r="2708" spans="1:6" hidden="1" x14ac:dyDescent="0.35">
      <c r="A2708" t="s">
        <v>16</v>
      </c>
      <c r="B2708" t="s">
        <v>33</v>
      </c>
      <c r="C2708" t="s">
        <v>26</v>
      </c>
      <c r="E2708" t="s">
        <v>41</v>
      </c>
      <c r="F2708" t="s">
        <v>10</v>
      </c>
    </row>
    <row r="2709" spans="1:6" hidden="1" x14ac:dyDescent="0.35">
      <c r="A2709" t="s">
        <v>17</v>
      </c>
      <c r="B2709" t="s">
        <v>33</v>
      </c>
      <c r="C2709" t="s">
        <v>26</v>
      </c>
      <c r="E2709" t="s">
        <v>41</v>
      </c>
      <c r="F2709" t="s">
        <v>10</v>
      </c>
    </row>
    <row r="2710" spans="1:6" hidden="1" x14ac:dyDescent="0.35">
      <c r="A2710" t="s">
        <v>18</v>
      </c>
      <c r="B2710" t="s">
        <v>33</v>
      </c>
      <c r="C2710" t="s">
        <v>26</v>
      </c>
      <c r="E2710" t="s">
        <v>41</v>
      </c>
      <c r="F2710" t="s">
        <v>10</v>
      </c>
    </row>
    <row r="2711" spans="1:6" hidden="1" x14ac:dyDescent="0.35">
      <c r="A2711" t="s">
        <v>19</v>
      </c>
      <c r="B2711" t="s">
        <v>33</v>
      </c>
      <c r="C2711" t="s">
        <v>26</v>
      </c>
      <c r="E2711" t="s">
        <v>41</v>
      </c>
      <c r="F2711" t="s">
        <v>10</v>
      </c>
    </row>
    <row r="2712" spans="1:6" hidden="1" x14ac:dyDescent="0.35">
      <c r="A2712" t="s">
        <v>20</v>
      </c>
      <c r="B2712" t="s">
        <v>33</v>
      </c>
      <c r="C2712" t="s">
        <v>26</v>
      </c>
      <c r="E2712" t="s">
        <v>41</v>
      </c>
      <c r="F2712" t="s">
        <v>10</v>
      </c>
    </row>
    <row r="2713" spans="1:6" hidden="1" x14ac:dyDescent="0.35">
      <c r="A2713" t="s">
        <v>21</v>
      </c>
      <c r="B2713" t="s">
        <v>33</v>
      </c>
      <c r="C2713" t="s">
        <v>26</v>
      </c>
      <c r="E2713" t="s">
        <v>41</v>
      </c>
      <c r="F2713" t="s">
        <v>10</v>
      </c>
    </row>
    <row r="2714" spans="1:6" hidden="1" x14ac:dyDescent="0.35">
      <c r="A2714" t="s">
        <v>6</v>
      </c>
      <c r="B2714" t="s">
        <v>33</v>
      </c>
      <c r="C2714" t="s">
        <v>27</v>
      </c>
      <c r="D2714">
        <v>6454</v>
      </c>
      <c r="E2714" t="s">
        <v>41</v>
      </c>
      <c r="F2714" t="s">
        <v>10</v>
      </c>
    </row>
    <row r="2715" spans="1:6" hidden="1" x14ac:dyDescent="0.35">
      <c r="A2715" t="s">
        <v>11</v>
      </c>
      <c r="B2715" t="s">
        <v>33</v>
      </c>
      <c r="C2715" t="s">
        <v>27</v>
      </c>
      <c r="D2715">
        <v>14133</v>
      </c>
      <c r="E2715" t="s">
        <v>41</v>
      </c>
      <c r="F2715" t="s">
        <v>10</v>
      </c>
    </row>
    <row r="2716" spans="1:6" hidden="1" x14ac:dyDescent="0.35">
      <c r="A2716" t="s">
        <v>12</v>
      </c>
      <c r="B2716" t="s">
        <v>33</v>
      </c>
      <c r="C2716" t="s">
        <v>27</v>
      </c>
      <c r="D2716">
        <v>73873</v>
      </c>
      <c r="E2716" t="s">
        <v>41</v>
      </c>
      <c r="F2716" t="s">
        <v>10</v>
      </c>
    </row>
    <row r="2717" spans="1:6" hidden="1" x14ac:dyDescent="0.35">
      <c r="A2717" t="s">
        <v>13</v>
      </c>
      <c r="B2717" t="s">
        <v>33</v>
      </c>
      <c r="C2717" t="s">
        <v>27</v>
      </c>
      <c r="D2717">
        <v>35893</v>
      </c>
      <c r="E2717" t="s">
        <v>41</v>
      </c>
      <c r="F2717" t="s">
        <v>10</v>
      </c>
    </row>
    <row r="2718" spans="1:6" hidden="1" x14ac:dyDescent="0.35">
      <c r="A2718" t="s">
        <v>14</v>
      </c>
      <c r="B2718" t="s">
        <v>33</v>
      </c>
      <c r="C2718" t="s">
        <v>27</v>
      </c>
      <c r="D2718">
        <v>37030</v>
      </c>
      <c r="E2718" t="s">
        <v>41</v>
      </c>
      <c r="F2718" t="s">
        <v>10</v>
      </c>
    </row>
    <row r="2719" spans="1:6" hidden="1" x14ac:dyDescent="0.35">
      <c r="A2719" t="s">
        <v>15</v>
      </c>
      <c r="B2719" t="s">
        <v>33</v>
      </c>
      <c r="C2719" t="s">
        <v>27</v>
      </c>
      <c r="D2719">
        <v>21159</v>
      </c>
      <c r="E2719" t="s">
        <v>41</v>
      </c>
      <c r="F2719" t="s">
        <v>10</v>
      </c>
    </row>
    <row r="2720" spans="1:6" hidden="1" x14ac:dyDescent="0.35">
      <c r="A2720" t="s">
        <v>16</v>
      </c>
      <c r="B2720" t="s">
        <v>33</v>
      </c>
      <c r="C2720" t="s">
        <v>27</v>
      </c>
      <c r="D2720">
        <v>33843</v>
      </c>
      <c r="E2720" t="s">
        <v>41</v>
      </c>
      <c r="F2720" t="s">
        <v>10</v>
      </c>
    </row>
    <row r="2721" spans="1:6" hidden="1" x14ac:dyDescent="0.35">
      <c r="A2721" t="s">
        <v>17</v>
      </c>
      <c r="B2721" t="s">
        <v>33</v>
      </c>
      <c r="C2721" t="s">
        <v>27</v>
      </c>
      <c r="D2721">
        <v>31336</v>
      </c>
      <c r="E2721" t="s">
        <v>41</v>
      </c>
      <c r="F2721" t="s">
        <v>10</v>
      </c>
    </row>
    <row r="2722" spans="1:6" hidden="1" x14ac:dyDescent="0.35">
      <c r="A2722" t="s">
        <v>18</v>
      </c>
      <c r="B2722" t="s">
        <v>33</v>
      </c>
      <c r="C2722" t="s">
        <v>27</v>
      </c>
      <c r="D2722">
        <v>15794</v>
      </c>
      <c r="E2722" t="s">
        <v>41</v>
      </c>
      <c r="F2722" t="s">
        <v>10</v>
      </c>
    </row>
    <row r="2723" spans="1:6" hidden="1" x14ac:dyDescent="0.35">
      <c r="A2723" t="s">
        <v>19</v>
      </c>
      <c r="B2723" t="s">
        <v>33</v>
      </c>
      <c r="C2723" t="s">
        <v>27</v>
      </c>
      <c r="D2723">
        <v>0</v>
      </c>
      <c r="E2723" t="s">
        <v>41</v>
      </c>
      <c r="F2723" t="s">
        <v>10</v>
      </c>
    </row>
    <row r="2724" spans="1:6" hidden="1" x14ac:dyDescent="0.35">
      <c r="A2724" t="s">
        <v>20</v>
      </c>
      <c r="B2724" t="s">
        <v>33</v>
      </c>
      <c r="C2724" t="s">
        <v>27</v>
      </c>
      <c r="D2724">
        <v>36841</v>
      </c>
      <c r="E2724" t="s">
        <v>41</v>
      </c>
      <c r="F2724" t="s">
        <v>10</v>
      </c>
    </row>
    <row r="2725" spans="1:6" hidden="1" x14ac:dyDescent="0.35">
      <c r="A2725" t="s">
        <v>21</v>
      </c>
      <c r="B2725" t="s">
        <v>33</v>
      </c>
      <c r="C2725" t="s">
        <v>27</v>
      </c>
      <c r="D2725">
        <v>0</v>
      </c>
      <c r="E2725" t="s">
        <v>41</v>
      </c>
      <c r="F2725" t="s">
        <v>10</v>
      </c>
    </row>
    <row r="2726" spans="1:6" hidden="1" x14ac:dyDescent="0.35">
      <c r="A2726" t="s">
        <v>6</v>
      </c>
      <c r="B2726" t="s">
        <v>33</v>
      </c>
      <c r="C2726" t="s">
        <v>28</v>
      </c>
      <c r="D2726">
        <v>104473</v>
      </c>
      <c r="E2726" t="s">
        <v>41</v>
      </c>
      <c r="F2726" t="s">
        <v>10</v>
      </c>
    </row>
    <row r="2727" spans="1:6" hidden="1" x14ac:dyDescent="0.35">
      <c r="A2727" t="s">
        <v>11</v>
      </c>
      <c r="B2727" t="s">
        <v>33</v>
      </c>
      <c r="C2727" t="s">
        <v>28</v>
      </c>
      <c r="D2727">
        <v>103277</v>
      </c>
      <c r="E2727" t="s">
        <v>41</v>
      </c>
      <c r="F2727" t="s">
        <v>10</v>
      </c>
    </row>
    <row r="2728" spans="1:6" hidden="1" x14ac:dyDescent="0.35">
      <c r="A2728" t="s">
        <v>12</v>
      </c>
      <c r="B2728" t="s">
        <v>33</v>
      </c>
      <c r="C2728" t="s">
        <v>28</v>
      </c>
      <c r="D2728">
        <v>530625</v>
      </c>
      <c r="E2728" t="s">
        <v>41</v>
      </c>
      <c r="F2728" t="s">
        <v>10</v>
      </c>
    </row>
    <row r="2729" spans="1:6" hidden="1" x14ac:dyDescent="0.35">
      <c r="A2729" t="s">
        <v>13</v>
      </c>
      <c r="B2729" t="s">
        <v>33</v>
      </c>
      <c r="C2729" t="s">
        <v>28</v>
      </c>
      <c r="D2729">
        <v>268864</v>
      </c>
      <c r="E2729" t="s">
        <v>41</v>
      </c>
      <c r="F2729" t="s">
        <v>10</v>
      </c>
    </row>
    <row r="2730" spans="1:6" hidden="1" x14ac:dyDescent="0.35">
      <c r="A2730" t="s">
        <v>14</v>
      </c>
      <c r="B2730" t="s">
        <v>33</v>
      </c>
      <c r="C2730" t="s">
        <v>28</v>
      </c>
      <c r="D2730">
        <v>587050</v>
      </c>
      <c r="E2730" t="s">
        <v>41</v>
      </c>
      <c r="F2730" t="s">
        <v>10</v>
      </c>
    </row>
    <row r="2731" spans="1:6" hidden="1" x14ac:dyDescent="0.35">
      <c r="A2731" t="s">
        <v>15</v>
      </c>
      <c r="B2731" t="s">
        <v>33</v>
      </c>
      <c r="C2731" t="s">
        <v>28</v>
      </c>
      <c r="D2731">
        <v>145883</v>
      </c>
      <c r="E2731" t="s">
        <v>41</v>
      </c>
      <c r="F2731" t="s">
        <v>10</v>
      </c>
    </row>
    <row r="2732" spans="1:6" hidden="1" x14ac:dyDescent="0.35">
      <c r="A2732" t="s">
        <v>16</v>
      </c>
      <c r="B2732" t="s">
        <v>33</v>
      </c>
      <c r="C2732" t="s">
        <v>28</v>
      </c>
      <c r="D2732">
        <v>532803</v>
      </c>
      <c r="E2732" t="s">
        <v>41</v>
      </c>
      <c r="F2732" t="s">
        <v>10</v>
      </c>
    </row>
    <row r="2733" spans="1:6" hidden="1" x14ac:dyDescent="0.35">
      <c r="A2733" t="s">
        <v>17</v>
      </c>
      <c r="B2733" t="s">
        <v>33</v>
      </c>
      <c r="C2733" t="s">
        <v>28</v>
      </c>
      <c r="D2733">
        <v>31852</v>
      </c>
      <c r="E2733" t="s">
        <v>41</v>
      </c>
      <c r="F2733" t="s">
        <v>10</v>
      </c>
    </row>
    <row r="2734" spans="1:6" hidden="1" x14ac:dyDescent="0.35">
      <c r="A2734" t="s">
        <v>18</v>
      </c>
      <c r="B2734" t="s">
        <v>33</v>
      </c>
      <c r="C2734" t="s">
        <v>28</v>
      </c>
      <c r="D2734">
        <v>185628</v>
      </c>
      <c r="E2734" t="s">
        <v>41</v>
      </c>
      <c r="F2734" t="s">
        <v>10</v>
      </c>
    </row>
    <row r="2735" spans="1:6" hidden="1" x14ac:dyDescent="0.35">
      <c r="A2735" t="s">
        <v>19</v>
      </c>
      <c r="B2735" t="s">
        <v>33</v>
      </c>
      <c r="C2735" t="s">
        <v>28</v>
      </c>
      <c r="D2735">
        <v>0</v>
      </c>
      <c r="E2735" t="s">
        <v>41</v>
      </c>
      <c r="F2735" t="s">
        <v>10</v>
      </c>
    </row>
    <row r="2736" spans="1:6" hidden="1" x14ac:dyDescent="0.35">
      <c r="A2736" t="s">
        <v>20</v>
      </c>
      <c r="B2736" t="s">
        <v>33</v>
      </c>
      <c r="C2736" t="s">
        <v>28</v>
      </c>
      <c r="D2736">
        <v>453433</v>
      </c>
      <c r="E2736" t="s">
        <v>41</v>
      </c>
      <c r="F2736" t="s">
        <v>10</v>
      </c>
    </row>
    <row r="2737" spans="1:6" hidden="1" x14ac:dyDescent="0.35">
      <c r="A2737" t="s">
        <v>21</v>
      </c>
      <c r="B2737" t="s">
        <v>33</v>
      </c>
      <c r="C2737" t="s">
        <v>28</v>
      </c>
      <c r="D2737">
        <v>0</v>
      </c>
      <c r="E2737" t="s">
        <v>41</v>
      </c>
      <c r="F2737" t="s">
        <v>10</v>
      </c>
    </row>
    <row r="2738" spans="1:6" hidden="1" x14ac:dyDescent="0.35">
      <c r="A2738" t="s">
        <v>6</v>
      </c>
      <c r="B2738" t="s">
        <v>33</v>
      </c>
      <c r="C2738" t="s">
        <v>29</v>
      </c>
      <c r="E2738" t="s">
        <v>41</v>
      </c>
      <c r="F2738" t="s">
        <v>10</v>
      </c>
    </row>
    <row r="2739" spans="1:6" hidden="1" x14ac:dyDescent="0.35">
      <c r="A2739" t="s">
        <v>11</v>
      </c>
      <c r="B2739" t="s">
        <v>33</v>
      </c>
      <c r="C2739" t="s">
        <v>29</v>
      </c>
      <c r="E2739" t="s">
        <v>41</v>
      </c>
      <c r="F2739" t="s">
        <v>10</v>
      </c>
    </row>
    <row r="2740" spans="1:6" hidden="1" x14ac:dyDescent="0.35">
      <c r="A2740" t="s">
        <v>12</v>
      </c>
      <c r="B2740" t="s">
        <v>33</v>
      </c>
      <c r="C2740" t="s">
        <v>29</v>
      </c>
      <c r="E2740" t="s">
        <v>41</v>
      </c>
      <c r="F2740" t="s">
        <v>10</v>
      </c>
    </row>
    <row r="2741" spans="1:6" hidden="1" x14ac:dyDescent="0.35">
      <c r="A2741" t="s">
        <v>13</v>
      </c>
      <c r="B2741" t="s">
        <v>33</v>
      </c>
      <c r="C2741" t="s">
        <v>29</v>
      </c>
      <c r="E2741" t="s">
        <v>41</v>
      </c>
      <c r="F2741" t="s">
        <v>10</v>
      </c>
    </row>
    <row r="2742" spans="1:6" hidden="1" x14ac:dyDescent="0.35">
      <c r="A2742" t="s">
        <v>14</v>
      </c>
      <c r="B2742" t="s">
        <v>33</v>
      </c>
      <c r="C2742" t="s">
        <v>29</v>
      </c>
      <c r="E2742" t="s">
        <v>41</v>
      </c>
      <c r="F2742" t="s">
        <v>10</v>
      </c>
    </row>
    <row r="2743" spans="1:6" hidden="1" x14ac:dyDescent="0.35">
      <c r="A2743" t="s">
        <v>15</v>
      </c>
      <c r="B2743" t="s">
        <v>33</v>
      </c>
      <c r="C2743" t="s">
        <v>29</v>
      </c>
      <c r="E2743" t="s">
        <v>41</v>
      </c>
      <c r="F2743" t="s">
        <v>10</v>
      </c>
    </row>
    <row r="2744" spans="1:6" hidden="1" x14ac:dyDescent="0.35">
      <c r="A2744" t="s">
        <v>16</v>
      </c>
      <c r="B2744" t="s">
        <v>33</v>
      </c>
      <c r="C2744" t="s">
        <v>29</v>
      </c>
      <c r="D2744">
        <v>1</v>
      </c>
      <c r="E2744" t="s">
        <v>41</v>
      </c>
      <c r="F2744" t="s">
        <v>10</v>
      </c>
    </row>
    <row r="2745" spans="1:6" hidden="1" x14ac:dyDescent="0.35">
      <c r="A2745" t="s">
        <v>17</v>
      </c>
      <c r="B2745" t="s">
        <v>33</v>
      </c>
      <c r="C2745" t="s">
        <v>29</v>
      </c>
      <c r="E2745" t="s">
        <v>41</v>
      </c>
      <c r="F2745" t="s">
        <v>10</v>
      </c>
    </row>
    <row r="2746" spans="1:6" hidden="1" x14ac:dyDescent="0.35">
      <c r="A2746" t="s">
        <v>18</v>
      </c>
      <c r="B2746" t="s">
        <v>33</v>
      </c>
      <c r="C2746" t="s">
        <v>29</v>
      </c>
      <c r="E2746" t="s">
        <v>41</v>
      </c>
      <c r="F2746" t="s">
        <v>10</v>
      </c>
    </row>
    <row r="2747" spans="1:6" hidden="1" x14ac:dyDescent="0.35">
      <c r="A2747" t="s">
        <v>19</v>
      </c>
      <c r="B2747" t="s">
        <v>33</v>
      </c>
      <c r="C2747" t="s">
        <v>29</v>
      </c>
      <c r="E2747" t="s">
        <v>41</v>
      </c>
      <c r="F2747" t="s">
        <v>10</v>
      </c>
    </row>
    <row r="2748" spans="1:6" hidden="1" x14ac:dyDescent="0.35">
      <c r="A2748" t="s">
        <v>20</v>
      </c>
      <c r="B2748" t="s">
        <v>33</v>
      </c>
      <c r="C2748" t="s">
        <v>29</v>
      </c>
      <c r="E2748" t="s">
        <v>41</v>
      </c>
      <c r="F2748" t="s">
        <v>10</v>
      </c>
    </row>
    <row r="2749" spans="1:6" hidden="1" x14ac:dyDescent="0.35">
      <c r="A2749" t="s">
        <v>21</v>
      </c>
      <c r="B2749" t="s">
        <v>33</v>
      </c>
      <c r="C2749" t="s">
        <v>29</v>
      </c>
      <c r="E2749" t="s">
        <v>41</v>
      </c>
      <c r="F2749" t="s">
        <v>10</v>
      </c>
    </row>
    <row r="2750" spans="1:6" hidden="1" x14ac:dyDescent="0.35">
      <c r="A2750" t="s">
        <v>6</v>
      </c>
      <c r="B2750" t="s">
        <v>33</v>
      </c>
      <c r="C2750" t="s">
        <v>30</v>
      </c>
      <c r="D2750">
        <v>2</v>
      </c>
      <c r="E2750" t="s">
        <v>41</v>
      </c>
      <c r="F2750" t="s">
        <v>10</v>
      </c>
    </row>
    <row r="2751" spans="1:6" hidden="1" x14ac:dyDescent="0.35">
      <c r="A2751" t="s">
        <v>11</v>
      </c>
      <c r="B2751" t="s">
        <v>33</v>
      </c>
      <c r="C2751" t="s">
        <v>30</v>
      </c>
      <c r="D2751">
        <v>1</v>
      </c>
      <c r="E2751" t="s">
        <v>41</v>
      </c>
      <c r="F2751" t="s">
        <v>10</v>
      </c>
    </row>
    <row r="2752" spans="1:6" hidden="1" x14ac:dyDescent="0.35">
      <c r="A2752" t="s">
        <v>12</v>
      </c>
      <c r="B2752" t="s">
        <v>33</v>
      </c>
      <c r="C2752" t="s">
        <v>30</v>
      </c>
      <c r="E2752" t="s">
        <v>41</v>
      </c>
      <c r="F2752" t="s">
        <v>10</v>
      </c>
    </row>
    <row r="2753" spans="1:6" hidden="1" x14ac:dyDescent="0.35">
      <c r="A2753" t="s">
        <v>13</v>
      </c>
      <c r="B2753" t="s">
        <v>33</v>
      </c>
      <c r="C2753" t="s">
        <v>30</v>
      </c>
      <c r="D2753">
        <v>2</v>
      </c>
      <c r="E2753" t="s">
        <v>41</v>
      </c>
      <c r="F2753" t="s">
        <v>10</v>
      </c>
    </row>
    <row r="2754" spans="1:6" hidden="1" x14ac:dyDescent="0.35">
      <c r="A2754" t="s">
        <v>14</v>
      </c>
      <c r="B2754" t="s">
        <v>33</v>
      </c>
      <c r="C2754" t="s">
        <v>30</v>
      </c>
      <c r="D2754">
        <v>3</v>
      </c>
      <c r="E2754" t="s">
        <v>41</v>
      </c>
      <c r="F2754" t="s">
        <v>10</v>
      </c>
    </row>
    <row r="2755" spans="1:6" hidden="1" x14ac:dyDescent="0.35">
      <c r="A2755" t="s">
        <v>15</v>
      </c>
      <c r="B2755" t="s">
        <v>33</v>
      </c>
      <c r="C2755" t="s">
        <v>30</v>
      </c>
      <c r="D2755">
        <v>1</v>
      </c>
      <c r="E2755" t="s">
        <v>41</v>
      </c>
      <c r="F2755" t="s">
        <v>10</v>
      </c>
    </row>
    <row r="2756" spans="1:6" hidden="1" x14ac:dyDescent="0.35">
      <c r="A2756" t="s">
        <v>16</v>
      </c>
      <c r="B2756" t="s">
        <v>33</v>
      </c>
      <c r="C2756" t="s">
        <v>30</v>
      </c>
      <c r="D2756">
        <v>3</v>
      </c>
      <c r="E2756" t="s">
        <v>41</v>
      </c>
      <c r="F2756" t="s">
        <v>10</v>
      </c>
    </row>
    <row r="2757" spans="1:6" hidden="1" x14ac:dyDescent="0.35">
      <c r="A2757" t="s">
        <v>17</v>
      </c>
      <c r="B2757" t="s">
        <v>33</v>
      </c>
      <c r="C2757" t="s">
        <v>30</v>
      </c>
      <c r="D2757">
        <v>4</v>
      </c>
      <c r="E2757" t="s">
        <v>41</v>
      </c>
      <c r="F2757" t="s">
        <v>10</v>
      </c>
    </row>
    <row r="2758" spans="1:6" hidden="1" x14ac:dyDescent="0.35">
      <c r="A2758" t="s">
        <v>18</v>
      </c>
      <c r="B2758" t="s">
        <v>33</v>
      </c>
      <c r="C2758" t="s">
        <v>30</v>
      </c>
      <c r="D2758">
        <v>2</v>
      </c>
      <c r="E2758" t="s">
        <v>41</v>
      </c>
      <c r="F2758" t="s">
        <v>10</v>
      </c>
    </row>
    <row r="2759" spans="1:6" hidden="1" x14ac:dyDescent="0.35">
      <c r="A2759" t="s">
        <v>19</v>
      </c>
      <c r="B2759" t="s">
        <v>33</v>
      </c>
      <c r="C2759" t="s">
        <v>30</v>
      </c>
      <c r="D2759">
        <v>2</v>
      </c>
      <c r="E2759" t="s">
        <v>41</v>
      </c>
      <c r="F2759" t="s">
        <v>10</v>
      </c>
    </row>
    <row r="2760" spans="1:6" hidden="1" x14ac:dyDescent="0.35">
      <c r="A2760" t="s">
        <v>20</v>
      </c>
      <c r="B2760" t="s">
        <v>33</v>
      </c>
      <c r="C2760" t="s">
        <v>30</v>
      </c>
      <c r="D2760">
        <v>3</v>
      </c>
      <c r="E2760" t="s">
        <v>41</v>
      </c>
      <c r="F2760" t="s">
        <v>10</v>
      </c>
    </row>
    <row r="2761" spans="1:6" hidden="1" x14ac:dyDescent="0.35">
      <c r="A2761" t="s">
        <v>21</v>
      </c>
      <c r="B2761" t="s">
        <v>33</v>
      </c>
      <c r="C2761" t="s">
        <v>30</v>
      </c>
      <c r="D2761">
        <v>4</v>
      </c>
      <c r="E2761" t="s">
        <v>41</v>
      </c>
      <c r="F2761" t="s">
        <v>10</v>
      </c>
    </row>
    <row r="2762" spans="1:6" hidden="1" x14ac:dyDescent="0.35">
      <c r="A2762" t="s">
        <v>6</v>
      </c>
      <c r="B2762" t="s">
        <v>33</v>
      </c>
      <c r="C2762" t="s">
        <v>31</v>
      </c>
      <c r="E2762" t="s">
        <v>41</v>
      </c>
      <c r="F2762" t="s">
        <v>10</v>
      </c>
    </row>
    <row r="2763" spans="1:6" hidden="1" x14ac:dyDescent="0.35">
      <c r="A2763" t="s">
        <v>11</v>
      </c>
      <c r="B2763" t="s">
        <v>33</v>
      </c>
      <c r="C2763" t="s">
        <v>31</v>
      </c>
      <c r="E2763" t="s">
        <v>41</v>
      </c>
      <c r="F2763" t="s">
        <v>10</v>
      </c>
    </row>
    <row r="2764" spans="1:6" hidden="1" x14ac:dyDescent="0.35">
      <c r="A2764" t="s">
        <v>12</v>
      </c>
      <c r="B2764" t="s">
        <v>33</v>
      </c>
      <c r="C2764" t="s">
        <v>31</v>
      </c>
      <c r="E2764" t="s">
        <v>41</v>
      </c>
      <c r="F2764" t="s">
        <v>10</v>
      </c>
    </row>
    <row r="2765" spans="1:6" hidden="1" x14ac:dyDescent="0.35">
      <c r="A2765" t="s">
        <v>13</v>
      </c>
      <c r="B2765" t="s">
        <v>33</v>
      </c>
      <c r="C2765" t="s">
        <v>31</v>
      </c>
      <c r="E2765" t="s">
        <v>41</v>
      </c>
      <c r="F2765" t="s">
        <v>10</v>
      </c>
    </row>
    <row r="2766" spans="1:6" hidden="1" x14ac:dyDescent="0.35">
      <c r="A2766" t="s">
        <v>14</v>
      </c>
      <c r="B2766" t="s">
        <v>33</v>
      </c>
      <c r="C2766" t="s">
        <v>31</v>
      </c>
      <c r="E2766" t="s">
        <v>41</v>
      </c>
      <c r="F2766" t="s">
        <v>10</v>
      </c>
    </row>
    <row r="2767" spans="1:6" hidden="1" x14ac:dyDescent="0.35">
      <c r="A2767" t="s">
        <v>15</v>
      </c>
      <c r="B2767" t="s">
        <v>33</v>
      </c>
      <c r="C2767" t="s">
        <v>31</v>
      </c>
      <c r="E2767" t="s">
        <v>41</v>
      </c>
      <c r="F2767" t="s">
        <v>10</v>
      </c>
    </row>
    <row r="2768" spans="1:6" hidden="1" x14ac:dyDescent="0.35">
      <c r="A2768" t="s">
        <v>16</v>
      </c>
      <c r="B2768" t="s">
        <v>33</v>
      </c>
      <c r="C2768" t="s">
        <v>31</v>
      </c>
      <c r="D2768">
        <v>1</v>
      </c>
      <c r="E2768" t="s">
        <v>41</v>
      </c>
      <c r="F2768" t="s">
        <v>10</v>
      </c>
    </row>
    <row r="2769" spans="1:6" hidden="1" x14ac:dyDescent="0.35">
      <c r="A2769" t="s">
        <v>17</v>
      </c>
      <c r="B2769" t="s">
        <v>33</v>
      </c>
      <c r="C2769" t="s">
        <v>31</v>
      </c>
      <c r="E2769" t="s">
        <v>41</v>
      </c>
      <c r="F2769" t="s">
        <v>10</v>
      </c>
    </row>
    <row r="2770" spans="1:6" hidden="1" x14ac:dyDescent="0.35">
      <c r="A2770" t="s">
        <v>18</v>
      </c>
      <c r="B2770" t="s">
        <v>33</v>
      </c>
      <c r="C2770" t="s">
        <v>31</v>
      </c>
      <c r="E2770" t="s">
        <v>41</v>
      </c>
      <c r="F2770" t="s">
        <v>10</v>
      </c>
    </row>
    <row r="2771" spans="1:6" hidden="1" x14ac:dyDescent="0.35">
      <c r="A2771" t="s">
        <v>19</v>
      </c>
      <c r="B2771" t="s">
        <v>33</v>
      </c>
      <c r="C2771" t="s">
        <v>31</v>
      </c>
      <c r="E2771" t="s">
        <v>41</v>
      </c>
      <c r="F2771" t="s">
        <v>10</v>
      </c>
    </row>
    <row r="2772" spans="1:6" hidden="1" x14ac:dyDescent="0.35">
      <c r="A2772" t="s">
        <v>20</v>
      </c>
      <c r="B2772" t="s">
        <v>33</v>
      </c>
      <c r="C2772" t="s">
        <v>31</v>
      </c>
      <c r="E2772" t="s">
        <v>41</v>
      </c>
      <c r="F2772" t="s">
        <v>10</v>
      </c>
    </row>
    <row r="2773" spans="1:6" hidden="1" x14ac:dyDescent="0.35">
      <c r="A2773" t="s">
        <v>21</v>
      </c>
      <c r="B2773" t="s">
        <v>33</v>
      </c>
      <c r="C2773" t="s">
        <v>31</v>
      </c>
      <c r="E2773" t="s">
        <v>41</v>
      </c>
      <c r="F2773" t="s">
        <v>10</v>
      </c>
    </row>
    <row r="2774" spans="1:6" hidden="1" x14ac:dyDescent="0.35">
      <c r="A2774" t="s">
        <v>6</v>
      </c>
      <c r="B2774" t="s">
        <v>34</v>
      </c>
      <c r="C2774" t="s">
        <v>8</v>
      </c>
      <c r="D2774">
        <v>0</v>
      </c>
      <c r="E2774" t="s">
        <v>41</v>
      </c>
      <c r="F2774" t="s">
        <v>10</v>
      </c>
    </row>
    <row r="2775" spans="1:6" hidden="1" x14ac:dyDescent="0.35">
      <c r="A2775" t="s">
        <v>11</v>
      </c>
      <c r="B2775" t="s">
        <v>34</v>
      </c>
      <c r="C2775" t="s">
        <v>8</v>
      </c>
      <c r="D2775">
        <v>0</v>
      </c>
      <c r="E2775" t="s">
        <v>41</v>
      </c>
      <c r="F2775" t="s">
        <v>10</v>
      </c>
    </row>
    <row r="2776" spans="1:6" hidden="1" x14ac:dyDescent="0.35">
      <c r="A2776" t="s">
        <v>12</v>
      </c>
      <c r="B2776" t="s">
        <v>34</v>
      </c>
      <c r="C2776" t="s">
        <v>8</v>
      </c>
      <c r="D2776">
        <v>0</v>
      </c>
      <c r="E2776" t="s">
        <v>41</v>
      </c>
      <c r="F2776" t="s">
        <v>10</v>
      </c>
    </row>
    <row r="2777" spans="1:6" hidden="1" x14ac:dyDescent="0.35">
      <c r="A2777" t="s">
        <v>13</v>
      </c>
      <c r="B2777" t="s">
        <v>34</v>
      </c>
      <c r="C2777" t="s">
        <v>8</v>
      </c>
      <c r="D2777">
        <v>0</v>
      </c>
      <c r="E2777" t="s">
        <v>41</v>
      </c>
      <c r="F2777" t="s">
        <v>10</v>
      </c>
    </row>
    <row r="2778" spans="1:6" hidden="1" x14ac:dyDescent="0.35">
      <c r="A2778" t="s">
        <v>14</v>
      </c>
      <c r="B2778" t="s">
        <v>34</v>
      </c>
      <c r="C2778" t="s">
        <v>8</v>
      </c>
      <c r="D2778">
        <v>0</v>
      </c>
      <c r="E2778" t="s">
        <v>41</v>
      </c>
      <c r="F2778" t="s">
        <v>10</v>
      </c>
    </row>
    <row r="2779" spans="1:6" hidden="1" x14ac:dyDescent="0.35">
      <c r="A2779" t="s">
        <v>15</v>
      </c>
      <c r="B2779" t="s">
        <v>34</v>
      </c>
      <c r="C2779" t="s">
        <v>8</v>
      </c>
      <c r="D2779">
        <v>0</v>
      </c>
      <c r="E2779" t="s">
        <v>41</v>
      </c>
      <c r="F2779" t="s">
        <v>10</v>
      </c>
    </row>
    <row r="2780" spans="1:6" hidden="1" x14ac:dyDescent="0.35">
      <c r="A2780" t="s">
        <v>16</v>
      </c>
      <c r="B2780" t="s">
        <v>34</v>
      </c>
      <c r="C2780" t="s">
        <v>8</v>
      </c>
      <c r="D2780">
        <v>0</v>
      </c>
      <c r="E2780" t="s">
        <v>41</v>
      </c>
      <c r="F2780" t="s">
        <v>10</v>
      </c>
    </row>
    <row r="2781" spans="1:6" hidden="1" x14ac:dyDescent="0.35">
      <c r="A2781" t="s">
        <v>17</v>
      </c>
      <c r="B2781" t="s">
        <v>34</v>
      </c>
      <c r="C2781" t="s">
        <v>8</v>
      </c>
      <c r="D2781">
        <v>0</v>
      </c>
      <c r="E2781" t="s">
        <v>41</v>
      </c>
      <c r="F2781" t="s">
        <v>10</v>
      </c>
    </row>
    <row r="2782" spans="1:6" hidden="1" x14ac:dyDescent="0.35">
      <c r="A2782" t="s">
        <v>18</v>
      </c>
      <c r="B2782" t="s">
        <v>34</v>
      </c>
      <c r="C2782" t="s">
        <v>8</v>
      </c>
      <c r="D2782">
        <v>0</v>
      </c>
      <c r="E2782" t="s">
        <v>41</v>
      </c>
      <c r="F2782" t="s">
        <v>10</v>
      </c>
    </row>
    <row r="2783" spans="1:6" hidden="1" x14ac:dyDescent="0.35">
      <c r="A2783" t="s">
        <v>19</v>
      </c>
      <c r="B2783" t="s">
        <v>34</v>
      </c>
      <c r="C2783" t="s">
        <v>8</v>
      </c>
      <c r="D2783">
        <v>0</v>
      </c>
      <c r="E2783" t="s">
        <v>41</v>
      </c>
      <c r="F2783" t="s">
        <v>10</v>
      </c>
    </row>
    <row r="2784" spans="1:6" hidden="1" x14ac:dyDescent="0.35">
      <c r="A2784" t="s">
        <v>20</v>
      </c>
      <c r="B2784" t="s">
        <v>34</v>
      </c>
      <c r="C2784" t="s">
        <v>8</v>
      </c>
      <c r="D2784">
        <v>0</v>
      </c>
      <c r="E2784" t="s">
        <v>41</v>
      </c>
      <c r="F2784" t="s">
        <v>10</v>
      </c>
    </row>
    <row r="2785" spans="1:6" hidden="1" x14ac:dyDescent="0.35">
      <c r="A2785" t="s">
        <v>21</v>
      </c>
      <c r="B2785" t="s">
        <v>34</v>
      </c>
      <c r="C2785" t="s">
        <v>8</v>
      </c>
      <c r="D2785">
        <v>0</v>
      </c>
      <c r="E2785" t="s">
        <v>41</v>
      </c>
      <c r="F2785" t="s">
        <v>10</v>
      </c>
    </row>
    <row r="2786" spans="1:6" hidden="1" x14ac:dyDescent="0.35">
      <c r="A2786" t="s">
        <v>6</v>
      </c>
      <c r="B2786" t="s">
        <v>34</v>
      </c>
      <c r="C2786" t="s">
        <v>22</v>
      </c>
      <c r="D2786">
        <v>0</v>
      </c>
      <c r="E2786" t="s">
        <v>41</v>
      </c>
      <c r="F2786" t="s">
        <v>10</v>
      </c>
    </row>
    <row r="2787" spans="1:6" hidden="1" x14ac:dyDescent="0.35">
      <c r="A2787" t="s">
        <v>11</v>
      </c>
      <c r="B2787" t="s">
        <v>34</v>
      </c>
      <c r="C2787" t="s">
        <v>22</v>
      </c>
      <c r="D2787">
        <v>0</v>
      </c>
      <c r="E2787" t="s">
        <v>41</v>
      </c>
      <c r="F2787" t="s">
        <v>10</v>
      </c>
    </row>
    <row r="2788" spans="1:6" hidden="1" x14ac:dyDescent="0.35">
      <c r="A2788" t="s">
        <v>12</v>
      </c>
      <c r="B2788" t="s">
        <v>34</v>
      </c>
      <c r="C2788" t="s">
        <v>22</v>
      </c>
      <c r="D2788">
        <v>0</v>
      </c>
      <c r="E2788" t="s">
        <v>41</v>
      </c>
      <c r="F2788" t="s">
        <v>10</v>
      </c>
    </row>
    <row r="2789" spans="1:6" hidden="1" x14ac:dyDescent="0.35">
      <c r="A2789" t="s">
        <v>13</v>
      </c>
      <c r="B2789" t="s">
        <v>34</v>
      </c>
      <c r="C2789" t="s">
        <v>22</v>
      </c>
      <c r="D2789">
        <v>0</v>
      </c>
      <c r="E2789" t="s">
        <v>41</v>
      </c>
      <c r="F2789" t="s">
        <v>10</v>
      </c>
    </row>
    <row r="2790" spans="1:6" hidden="1" x14ac:dyDescent="0.35">
      <c r="A2790" t="s">
        <v>14</v>
      </c>
      <c r="B2790" t="s">
        <v>34</v>
      </c>
      <c r="C2790" t="s">
        <v>22</v>
      </c>
      <c r="D2790">
        <v>0</v>
      </c>
      <c r="E2790" t="s">
        <v>41</v>
      </c>
      <c r="F2790" t="s">
        <v>10</v>
      </c>
    </row>
    <row r="2791" spans="1:6" hidden="1" x14ac:dyDescent="0.35">
      <c r="A2791" t="s">
        <v>15</v>
      </c>
      <c r="B2791" t="s">
        <v>34</v>
      </c>
      <c r="C2791" t="s">
        <v>22</v>
      </c>
      <c r="D2791">
        <v>0</v>
      </c>
      <c r="E2791" t="s">
        <v>41</v>
      </c>
      <c r="F2791" t="s">
        <v>10</v>
      </c>
    </row>
    <row r="2792" spans="1:6" hidden="1" x14ac:dyDescent="0.35">
      <c r="A2792" t="s">
        <v>16</v>
      </c>
      <c r="B2792" t="s">
        <v>34</v>
      </c>
      <c r="C2792" t="s">
        <v>22</v>
      </c>
      <c r="D2792">
        <v>0</v>
      </c>
      <c r="E2792" t="s">
        <v>41</v>
      </c>
      <c r="F2792" t="s">
        <v>10</v>
      </c>
    </row>
    <row r="2793" spans="1:6" hidden="1" x14ac:dyDescent="0.35">
      <c r="A2793" t="s">
        <v>17</v>
      </c>
      <c r="B2793" t="s">
        <v>34</v>
      </c>
      <c r="C2793" t="s">
        <v>22</v>
      </c>
      <c r="D2793">
        <v>0</v>
      </c>
      <c r="E2793" t="s">
        <v>41</v>
      </c>
      <c r="F2793" t="s">
        <v>10</v>
      </c>
    </row>
    <row r="2794" spans="1:6" hidden="1" x14ac:dyDescent="0.35">
      <c r="A2794" t="s">
        <v>18</v>
      </c>
      <c r="B2794" t="s">
        <v>34</v>
      </c>
      <c r="C2794" t="s">
        <v>22</v>
      </c>
      <c r="D2794">
        <v>0</v>
      </c>
      <c r="E2794" t="s">
        <v>41</v>
      </c>
      <c r="F2794" t="s">
        <v>10</v>
      </c>
    </row>
    <row r="2795" spans="1:6" hidden="1" x14ac:dyDescent="0.35">
      <c r="A2795" t="s">
        <v>19</v>
      </c>
      <c r="B2795" t="s">
        <v>34</v>
      </c>
      <c r="C2795" t="s">
        <v>22</v>
      </c>
      <c r="D2795">
        <v>0</v>
      </c>
      <c r="E2795" t="s">
        <v>41</v>
      </c>
      <c r="F2795" t="s">
        <v>10</v>
      </c>
    </row>
    <row r="2796" spans="1:6" hidden="1" x14ac:dyDescent="0.35">
      <c r="A2796" t="s">
        <v>20</v>
      </c>
      <c r="B2796" t="s">
        <v>34</v>
      </c>
      <c r="C2796" t="s">
        <v>22</v>
      </c>
      <c r="D2796">
        <v>0</v>
      </c>
      <c r="E2796" t="s">
        <v>41</v>
      </c>
      <c r="F2796" t="s">
        <v>10</v>
      </c>
    </row>
    <row r="2797" spans="1:6" hidden="1" x14ac:dyDescent="0.35">
      <c r="A2797" t="s">
        <v>21</v>
      </c>
      <c r="B2797" t="s">
        <v>34</v>
      </c>
      <c r="C2797" t="s">
        <v>22</v>
      </c>
      <c r="D2797">
        <v>0</v>
      </c>
      <c r="E2797" t="s">
        <v>41</v>
      </c>
      <c r="F2797" t="s">
        <v>10</v>
      </c>
    </row>
    <row r="2798" spans="1:6" hidden="1" x14ac:dyDescent="0.35">
      <c r="A2798" t="s">
        <v>6</v>
      </c>
      <c r="B2798" t="s">
        <v>34</v>
      </c>
      <c r="C2798" t="s">
        <v>23</v>
      </c>
      <c r="D2798">
        <v>0</v>
      </c>
      <c r="E2798" t="s">
        <v>41</v>
      </c>
      <c r="F2798" t="s">
        <v>10</v>
      </c>
    </row>
    <row r="2799" spans="1:6" hidden="1" x14ac:dyDescent="0.35">
      <c r="A2799" t="s">
        <v>11</v>
      </c>
      <c r="B2799" t="s">
        <v>34</v>
      </c>
      <c r="C2799" t="s">
        <v>23</v>
      </c>
      <c r="D2799">
        <v>0</v>
      </c>
      <c r="E2799" t="s">
        <v>41</v>
      </c>
      <c r="F2799" t="s">
        <v>10</v>
      </c>
    </row>
    <row r="2800" spans="1:6" hidden="1" x14ac:dyDescent="0.35">
      <c r="A2800" t="s">
        <v>12</v>
      </c>
      <c r="B2800" t="s">
        <v>34</v>
      </c>
      <c r="C2800" t="s">
        <v>23</v>
      </c>
      <c r="D2800">
        <v>0</v>
      </c>
      <c r="E2800" t="s">
        <v>41</v>
      </c>
      <c r="F2800" t="s">
        <v>10</v>
      </c>
    </row>
    <row r="2801" spans="1:6" hidden="1" x14ac:dyDescent="0.35">
      <c r="A2801" t="s">
        <v>13</v>
      </c>
      <c r="B2801" t="s">
        <v>34</v>
      </c>
      <c r="C2801" t="s">
        <v>23</v>
      </c>
      <c r="D2801">
        <v>0</v>
      </c>
      <c r="E2801" t="s">
        <v>41</v>
      </c>
      <c r="F2801" t="s">
        <v>10</v>
      </c>
    </row>
    <row r="2802" spans="1:6" hidden="1" x14ac:dyDescent="0.35">
      <c r="A2802" t="s">
        <v>14</v>
      </c>
      <c r="B2802" t="s">
        <v>34</v>
      </c>
      <c r="C2802" t="s">
        <v>23</v>
      </c>
      <c r="D2802">
        <v>0</v>
      </c>
      <c r="E2802" t="s">
        <v>41</v>
      </c>
      <c r="F2802" t="s">
        <v>10</v>
      </c>
    </row>
    <row r="2803" spans="1:6" hidden="1" x14ac:dyDescent="0.35">
      <c r="A2803" t="s">
        <v>15</v>
      </c>
      <c r="B2803" t="s">
        <v>34</v>
      </c>
      <c r="C2803" t="s">
        <v>23</v>
      </c>
      <c r="D2803">
        <v>0</v>
      </c>
      <c r="E2803" t="s">
        <v>41</v>
      </c>
      <c r="F2803" t="s">
        <v>10</v>
      </c>
    </row>
    <row r="2804" spans="1:6" hidden="1" x14ac:dyDescent="0.35">
      <c r="A2804" t="s">
        <v>16</v>
      </c>
      <c r="B2804" t="s">
        <v>34</v>
      </c>
      <c r="C2804" t="s">
        <v>23</v>
      </c>
      <c r="D2804">
        <v>0</v>
      </c>
      <c r="E2804" t="s">
        <v>41</v>
      </c>
      <c r="F2804" t="s">
        <v>10</v>
      </c>
    </row>
    <row r="2805" spans="1:6" hidden="1" x14ac:dyDescent="0.35">
      <c r="A2805" t="s">
        <v>17</v>
      </c>
      <c r="B2805" t="s">
        <v>34</v>
      </c>
      <c r="C2805" t="s">
        <v>23</v>
      </c>
      <c r="D2805">
        <v>0</v>
      </c>
      <c r="E2805" t="s">
        <v>41</v>
      </c>
      <c r="F2805" t="s">
        <v>10</v>
      </c>
    </row>
    <row r="2806" spans="1:6" hidden="1" x14ac:dyDescent="0.35">
      <c r="A2806" t="s">
        <v>18</v>
      </c>
      <c r="B2806" t="s">
        <v>34</v>
      </c>
      <c r="C2806" t="s">
        <v>23</v>
      </c>
      <c r="D2806">
        <v>0</v>
      </c>
      <c r="E2806" t="s">
        <v>41</v>
      </c>
      <c r="F2806" t="s">
        <v>10</v>
      </c>
    </row>
    <row r="2807" spans="1:6" hidden="1" x14ac:dyDescent="0.35">
      <c r="A2807" t="s">
        <v>19</v>
      </c>
      <c r="B2807" t="s">
        <v>34</v>
      </c>
      <c r="C2807" t="s">
        <v>23</v>
      </c>
      <c r="D2807">
        <v>0</v>
      </c>
      <c r="E2807" t="s">
        <v>41</v>
      </c>
      <c r="F2807" t="s">
        <v>10</v>
      </c>
    </row>
    <row r="2808" spans="1:6" hidden="1" x14ac:dyDescent="0.35">
      <c r="A2808" t="s">
        <v>20</v>
      </c>
      <c r="B2808" t="s">
        <v>34</v>
      </c>
      <c r="C2808" t="s">
        <v>23</v>
      </c>
      <c r="D2808">
        <v>0</v>
      </c>
      <c r="E2808" t="s">
        <v>41</v>
      </c>
      <c r="F2808" t="s">
        <v>10</v>
      </c>
    </row>
    <row r="2809" spans="1:6" hidden="1" x14ac:dyDescent="0.35">
      <c r="A2809" t="s">
        <v>21</v>
      </c>
      <c r="B2809" t="s">
        <v>34</v>
      </c>
      <c r="C2809" t="s">
        <v>23</v>
      </c>
      <c r="D2809">
        <v>0</v>
      </c>
      <c r="E2809" t="s">
        <v>41</v>
      </c>
      <c r="F2809" t="s">
        <v>10</v>
      </c>
    </row>
    <row r="2810" spans="1:6" hidden="1" x14ac:dyDescent="0.35">
      <c r="A2810" t="s">
        <v>6</v>
      </c>
      <c r="B2810" t="s">
        <v>34</v>
      </c>
      <c r="C2810" t="s">
        <v>24</v>
      </c>
      <c r="D2810">
        <v>0</v>
      </c>
      <c r="E2810" t="s">
        <v>41</v>
      </c>
      <c r="F2810" t="s">
        <v>10</v>
      </c>
    </row>
    <row r="2811" spans="1:6" hidden="1" x14ac:dyDescent="0.35">
      <c r="A2811" t="s">
        <v>11</v>
      </c>
      <c r="B2811" t="s">
        <v>34</v>
      </c>
      <c r="C2811" t="s">
        <v>24</v>
      </c>
      <c r="D2811">
        <v>0</v>
      </c>
      <c r="E2811" t="s">
        <v>41</v>
      </c>
      <c r="F2811" t="s">
        <v>10</v>
      </c>
    </row>
    <row r="2812" spans="1:6" hidden="1" x14ac:dyDescent="0.35">
      <c r="A2812" t="s">
        <v>12</v>
      </c>
      <c r="B2812" t="s">
        <v>34</v>
      </c>
      <c r="C2812" t="s">
        <v>24</v>
      </c>
      <c r="D2812">
        <v>0</v>
      </c>
      <c r="E2812" t="s">
        <v>41</v>
      </c>
      <c r="F2812" t="s">
        <v>10</v>
      </c>
    </row>
    <row r="2813" spans="1:6" hidden="1" x14ac:dyDescent="0.35">
      <c r="A2813" t="s">
        <v>13</v>
      </c>
      <c r="B2813" t="s">
        <v>34</v>
      </c>
      <c r="C2813" t="s">
        <v>24</v>
      </c>
      <c r="D2813">
        <v>0</v>
      </c>
      <c r="E2813" t="s">
        <v>41</v>
      </c>
      <c r="F2813" t="s">
        <v>10</v>
      </c>
    </row>
    <row r="2814" spans="1:6" hidden="1" x14ac:dyDescent="0.35">
      <c r="A2814" t="s">
        <v>14</v>
      </c>
      <c r="B2814" t="s">
        <v>34</v>
      </c>
      <c r="C2814" t="s">
        <v>24</v>
      </c>
      <c r="D2814">
        <v>0</v>
      </c>
      <c r="E2814" t="s">
        <v>41</v>
      </c>
      <c r="F2814" t="s">
        <v>10</v>
      </c>
    </row>
    <row r="2815" spans="1:6" hidden="1" x14ac:dyDescent="0.35">
      <c r="A2815" t="s">
        <v>15</v>
      </c>
      <c r="B2815" t="s">
        <v>34</v>
      </c>
      <c r="C2815" t="s">
        <v>24</v>
      </c>
      <c r="D2815">
        <v>0</v>
      </c>
      <c r="E2815" t="s">
        <v>41</v>
      </c>
      <c r="F2815" t="s">
        <v>10</v>
      </c>
    </row>
    <row r="2816" spans="1:6" hidden="1" x14ac:dyDescent="0.35">
      <c r="A2816" t="s">
        <v>16</v>
      </c>
      <c r="B2816" t="s">
        <v>34</v>
      </c>
      <c r="C2816" t="s">
        <v>24</v>
      </c>
      <c r="D2816">
        <v>0</v>
      </c>
      <c r="E2816" t="s">
        <v>41</v>
      </c>
      <c r="F2816" t="s">
        <v>10</v>
      </c>
    </row>
    <row r="2817" spans="1:6" hidden="1" x14ac:dyDescent="0.35">
      <c r="A2817" t="s">
        <v>17</v>
      </c>
      <c r="B2817" t="s">
        <v>34</v>
      </c>
      <c r="C2817" t="s">
        <v>24</v>
      </c>
      <c r="D2817">
        <v>0</v>
      </c>
      <c r="E2817" t="s">
        <v>41</v>
      </c>
      <c r="F2817" t="s">
        <v>10</v>
      </c>
    </row>
    <row r="2818" spans="1:6" hidden="1" x14ac:dyDescent="0.35">
      <c r="A2818" t="s">
        <v>18</v>
      </c>
      <c r="B2818" t="s">
        <v>34</v>
      </c>
      <c r="C2818" t="s">
        <v>24</v>
      </c>
      <c r="D2818">
        <v>0</v>
      </c>
      <c r="E2818" t="s">
        <v>41</v>
      </c>
      <c r="F2818" t="s">
        <v>10</v>
      </c>
    </row>
    <row r="2819" spans="1:6" hidden="1" x14ac:dyDescent="0.35">
      <c r="A2819" t="s">
        <v>19</v>
      </c>
      <c r="B2819" t="s">
        <v>34</v>
      </c>
      <c r="C2819" t="s">
        <v>24</v>
      </c>
      <c r="D2819">
        <v>0</v>
      </c>
      <c r="E2819" t="s">
        <v>41</v>
      </c>
      <c r="F2819" t="s">
        <v>10</v>
      </c>
    </row>
    <row r="2820" spans="1:6" hidden="1" x14ac:dyDescent="0.35">
      <c r="A2820" t="s">
        <v>20</v>
      </c>
      <c r="B2820" t="s">
        <v>34</v>
      </c>
      <c r="C2820" t="s">
        <v>24</v>
      </c>
      <c r="D2820">
        <v>0</v>
      </c>
      <c r="E2820" t="s">
        <v>41</v>
      </c>
      <c r="F2820" t="s">
        <v>10</v>
      </c>
    </row>
    <row r="2821" spans="1:6" hidden="1" x14ac:dyDescent="0.35">
      <c r="A2821" t="s">
        <v>21</v>
      </c>
      <c r="B2821" t="s">
        <v>34</v>
      </c>
      <c r="C2821" t="s">
        <v>24</v>
      </c>
      <c r="D2821">
        <v>0</v>
      </c>
      <c r="E2821" t="s">
        <v>41</v>
      </c>
      <c r="F2821" t="s">
        <v>10</v>
      </c>
    </row>
    <row r="2822" spans="1:6" hidden="1" x14ac:dyDescent="0.35">
      <c r="A2822" t="s">
        <v>6</v>
      </c>
      <c r="B2822" t="s">
        <v>34</v>
      </c>
      <c r="C2822" t="s">
        <v>25</v>
      </c>
      <c r="D2822">
        <v>0</v>
      </c>
      <c r="E2822" t="s">
        <v>41</v>
      </c>
      <c r="F2822" t="s">
        <v>10</v>
      </c>
    </row>
    <row r="2823" spans="1:6" hidden="1" x14ac:dyDescent="0.35">
      <c r="A2823" t="s">
        <v>11</v>
      </c>
      <c r="B2823" t="s">
        <v>34</v>
      </c>
      <c r="C2823" t="s">
        <v>25</v>
      </c>
      <c r="D2823">
        <v>0</v>
      </c>
      <c r="E2823" t="s">
        <v>41</v>
      </c>
      <c r="F2823" t="s">
        <v>10</v>
      </c>
    </row>
    <row r="2824" spans="1:6" hidden="1" x14ac:dyDescent="0.35">
      <c r="A2824" t="s">
        <v>12</v>
      </c>
      <c r="B2824" t="s">
        <v>34</v>
      </c>
      <c r="C2824" t="s">
        <v>25</v>
      </c>
      <c r="D2824">
        <v>0</v>
      </c>
      <c r="E2824" t="s">
        <v>41</v>
      </c>
      <c r="F2824" t="s">
        <v>10</v>
      </c>
    </row>
    <row r="2825" spans="1:6" hidden="1" x14ac:dyDescent="0.35">
      <c r="A2825" t="s">
        <v>13</v>
      </c>
      <c r="B2825" t="s">
        <v>34</v>
      </c>
      <c r="C2825" t="s">
        <v>25</v>
      </c>
      <c r="D2825">
        <v>0</v>
      </c>
      <c r="E2825" t="s">
        <v>41</v>
      </c>
      <c r="F2825" t="s">
        <v>10</v>
      </c>
    </row>
    <row r="2826" spans="1:6" hidden="1" x14ac:dyDescent="0.35">
      <c r="A2826" t="s">
        <v>14</v>
      </c>
      <c r="B2826" t="s">
        <v>34</v>
      </c>
      <c r="C2826" t="s">
        <v>25</v>
      </c>
      <c r="D2826">
        <v>0</v>
      </c>
      <c r="E2826" t="s">
        <v>41</v>
      </c>
      <c r="F2826" t="s">
        <v>10</v>
      </c>
    </row>
    <row r="2827" spans="1:6" hidden="1" x14ac:dyDescent="0.35">
      <c r="A2827" t="s">
        <v>15</v>
      </c>
      <c r="B2827" t="s">
        <v>34</v>
      </c>
      <c r="C2827" t="s">
        <v>25</v>
      </c>
      <c r="D2827">
        <v>0</v>
      </c>
      <c r="E2827" t="s">
        <v>41</v>
      </c>
      <c r="F2827" t="s">
        <v>10</v>
      </c>
    </row>
    <row r="2828" spans="1:6" hidden="1" x14ac:dyDescent="0.35">
      <c r="A2828" t="s">
        <v>16</v>
      </c>
      <c r="B2828" t="s">
        <v>34</v>
      </c>
      <c r="C2828" t="s">
        <v>25</v>
      </c>
      <c r="D2828">
        <v>0</v>
      </c>
      <c r="E2828" t="s">
        <v>41</v>
      </c>
      <c r="F2828" t="s">
        <v>10</v>
      </c>
    </row>
    <row r="2829" spans="1:6" hidden="1" x14ac:dyDescent="0.35">
      <c r="A2829" t="s">
        <v>17</v>
      </c>
      <c r="B2829" t="s">
        <v>34</v>
      </c>
      <c r="C2829" t="s">
        <v>25</v>
      </c>
      <c r="D2829">
        <v>0</v>
      </c>
      <c r="E2829" t="s">
        <v>41</v>
      </c>
      <c r="F2829" t="s">
        <v>10</v>
      </c>
    </row>
    <row r="2830" spans="1:6" hidden="1" x14ac:dyDescent="0.35">
      <c r="A2830" t="s">
        <v>18</v>
      </c>
      <c r="B2830" t="s">
        <v>34</v>
      </c>
      <c r="C2830" t="s">
        <v>25</v>
      </c>
      <c r="D2830">
        <v>0</v>
      </c>
      <c r="E2830" t="s">
        <v>41</v>
      </c>
      <c r="F2830" t="s">
        <v>10</v>
      </c>
    </row>
    <row r="2831" spans="1:6" hidden="1" x14ac:dyDescent="0.35">
      <c r="A2831" t="s">
        <v>19</v>
      </c>
      <c r="B2831" t="s">
        <v>34</v>
      </c>
      <c r="C2831" t="s">
        <v>25</v>
      </c>
      <c r="D2831">
        <v>0</v>
      </c>
      <c r="E2831" t="s">
        <v>41</v>
      </c>
      <c r="F2831" t="s">
        <v>10</v>
      </c>
    </row>
    <row r="2832" spans="1:6" hidden="1" x14ac:dyDescent="0.35">
      <c r="A2832" t="s">
        <v>20</v>
      </c>
      <c r="B2832" t="s">
        <v>34</v>
      </c>
      <c r="C2832" t="s">
        <v>25</v>
      </c>
      <c r="D2832">
        <v>0</v>
      </c>
      <c r="E2832" t="s">
        <v>41</v>
      </c>
      <c r="F2832" t="s">
        <v>10</v>
      </c>
    </row>
    <row r="2833" spans="1:6" hidden="1" x14ac:dyDescent="0.35">
      <c r="A2833" t="s">
        <v>21</v>
      </c>
      <c r="B2833" t="s">
        <v>34</v>
      </c>
      <c r="C2833" t="s">
        <v>25</v>
      </c>
      <c r="D2833">
        <v>0</v>
      </c>
      <c r="E2833" t="s">
        <v>41</v>
      </c>
      <c r="F2833" t="s">
        <v>10</v>
      </c>
    </row>
    <row r="2834" spans="1:6" hidden="1" x14ac:dyDescent="0.35">
      <c r="A2834" t="s">
        <v>6</v>
      </c>
      <c r="B2834" t="s">
        <v>34</v>
      </c>
      <c r="C2834" t="s">
        <v>26</v>
      </c>
      <c r="D2834">
        <v>0</v>
      </c>
      <c r="E2834" t="s">
        <v>41</v>
      </c>
      <c r="F2834" t="s">
        <v>10</v>
      </c>
    </row>
    <row r="2835" spans="1:6" hidden="1" x14ac:dyDescent="0.35">
      <c r="A2835" t="s">
        <v>11</v>
      </c>
      <c r="B2835" t="s">
        <v>34</v>
      </c>
      <c r="C2835" t="s">
        <v>26</v>
      </c>
      <c r="E2835" t="s">
        <v>41</v>
      </c>
      <c r="F2835" t="s">
        <v>10</v>
      </c>
    </row>
    <row r="2836" spans="1:6" hidden="1" x14ac:dyDescent="0.35">
      <c r="A2836" t="s">
        <v>12</v>
      </c>
      <c r="B2836" t="s">
        <v>34</v>
      </c>
      <c r="C2836" t="s">
        <v>26</v>
      </c>
      <c r="E2836" t="s">
        <v>41</v>
      </c>
      <c r="F2836" t="s">
        <v>10</v>
      </c>
    </row>
    <row r="2837" spans="1:6" hidden="1" x14ac:dyDescent="0.35">
      <c r="A2837" t="s">
        <v>13</v>
      </c>
      <c r="B2837" t="s">
        <v>34</v>
      </c>
      <c r="C2837" t="s">
        <v>26</v>
      </c>
      <c r="E2837" t="s">
        <v>41</v>
      </c>
      <c r="F2837" t="s">
        <v>10</v>
      </c>
    </row>
    <row r="2838" spans="1:6" hidden="1" x14ac:dyDescent="0.35">
      <c r="A2838" t="s">
        <v>14</v>
      </c>
      <c r="B2838" t="s">
        <v>34</v>
      </c>
      <c r="C2838" t="s">
        <v>26</v>
      </c>
      <c r="E2838" t="s">
        <v>41</v>
      </c>
      <c r="F2838" t="s">
        <v>10</v>
      </c>
    </row>
    <row r="2839" spans="1:6" hidden="1" x14ac:dyDescent="0.35">
      <c r="A2839" t="s">
        <v>15</v>
      </c>
      <c r="B2839" t="s">
        <v>34</v>
      </c>
      <c r="C2839" t="s">
        <v>26</v>
      </c>
      <c r="E2839" t="s">
        <v>41</v>
      </c>
      <c r="F2839" t="s">
        <v>10</v>
      </c>
    </row>
    <row r="2840" spans="1:6" hidden="1" x14ac:dyDescent="0.35">
      <c r="A2840" t="s">
        <v>16</v>
      </c>
      <c r="B2840" t="s">
        <v>34</v>
      </c>
      <c r="C2840" t="s">
        <v>26</v>
      </c>
      <c r="E2840" t="s">
        <v>41</v>
      </c>
      <c r="F2840" t="s">
        <v>10</v>
      </c>
    </row>
    <row r="2841" spans="1:6" hidden="1" x14ac:dyDescent="0.35">
      <c r="A2841" t="s">
        <v>17</v>
      </c>
      <c r="B2841" t="s">
        <v>34</v>
      </c>
      <c r="C2841" t="s">
        <v>26</v>
      </c>
      <c r="E2841" t="s">
        <v>41</v>
      </c>
      <c r="F2841" t="s">
        <v>10</v>
      </c>
    </row>
    <row r="2842" spans="1:6" hidden="1" x14ac:dyDescent="0.35">
      <c r="A2842" t="s">
        <v>18</v>
      </c>
      <c r="B2842" t="s">
        <v>34</v>
      </c>
      <c r="C2842" t="s">
        <v>26</v>
      </c>
      <c r="E2842" t="s">
        <v>41</v>
      </c>
      <c r="F2842" t="s">
        <v>10</v>
      </c>
    </row>
    <row r="2843" spans="1:6" hidden="1" x14ac:dyDescent="0.35">
      <c r="A2843" t="s">
        <v>19</v>
      </c>
      <c r="B2843" t="s">
        <v>34</v>
      </c>
      <c r="C2843" t="s">
        <v>26</v>
      </c>
      <c r="E2843" t="s">
        <v>41</v>
      </c>
      <c r="F2843" t="s">
        <v>10</v>
      </c>
    </row>
    <row r="2844" spans="1:6" hidden="1" x14ac:dyDescent="0.35">
      <c r="A2844" t="s">
        <v>20</v>
      </c>
      <c r="B2844" t="s">
        <v>34</v>
      </c>
      <c r="C2844" t="s">
        <v>26</v>
      </c>
      <c r="E2844" t="s">
        <v>41</v>
      </c>
      <c r="F2844" t="s">
        <v>10</v>
      </c>
    </row>
    <row r="2845" spans="1:6" hidden="1" x14ac:dyDescent="0.35">
      <c r="A2845" t="s">
        <v>21</v>
      </c>
      <c r="B2845" t="s">
        <v>34</v>
      </c>
      <c r="C2845" t="s">
        <v>26</v>
      </c>
      <c r="E2845" t="s">
        <v>41</v>
      </c>
      <c r="F2845" t="s">
        <v>10</v>
      </c>
    </row>
    <row r="2846" spans="1:6" hidden="1" x14ac:dyDescent="0.35">
      <c r="A2846" t="s">
        <v>6</v>
      </c>
      <c r="B2846" t="s">
        <v>34</v>
      </c>
      <c r="C2846" t="s">
        <v>27</v>
      </c>
      <c r="D2846">
        <v>0</v>
      </c>
      <c r="E2846" t="s">
        <v>41</v>
      </c>
      <c r="F2846" t="s">
        <v>10</v>
      </c>
    </row>
    <row r="2847" spans="1:6" hidden="1" x14ac:dyDescent="0.35">
      <c r="A2847" t="s">
        <v>11</v>
      </c>
      <c r="B2847" t="s">
        <v>34</v>
      </c>
      <c r="C2847" t="s">
        <v>27</v>
      </c>
      <c r="D2847">
        <v>0</v>
      </c>
      <c r="E2847" t="s">
        <v>41</v>
      </c>
      <c r="F2847" t="s">
        <v>10</v>
      </c>
    </row>
    <row r="2848" spans="1:6" hidden="1" x14ac:dyDescent="0.35">
      <c r="A2848" t="s">
        <v>12</v>
      </c>
      <c r="B2848" t="s">
        <v>34</v>
      </c>
      <c r="C2848" t="s">
        <v>27</v>
      </c>
      <c r="D2848">
        <v>0</v>
      </c>
      <c r="E2848" t="s">
        <v>41</v>
      </c>
      <c r="F2848" t="s">
        <v>10</v>
      </c>
    </row>
    <row r="2849" spans="1:6" hidden="1" x14ac:dyDescent="0.35">
      <c r="A2849" t="s">
        <v>13</v>
      </c>
      <c r="B2849" t="s">
        <v>34</v>
      </c>
      <c r="C2849" t="s">
        <v>27</v>
      </c>
      <c r="D2849">
        <v>0</v>
      </c>
      <c r="E2849" t="s">
        <v>41</v>
      </c>
      <c r="F2849" t="s">
        <v>10</v>
      </c>
    </row>
    <row r="2850" spans="1:6" hidden="1" x14ac:dyDescent="0.35">
      <c r="A2850" t="s">
        <v>14</v>
      </c>
      <c r="B2850" t="s">
        <v>34</v>
      </c>
      <c r="C2850" t="s">
        <v>27</v>
      </c>
      <c r="D2850">
        <v>0</v>
      </c>
      <c r="E2850" t="s">
        <v>41</v>
      </c>
      <c r="F2850" t="s">
        <v>10</v>
      </c>
    </row>
    <row r="2851" spans="1:6" hidden="1" x14ac:dyDescent="0.35">
      <c r="A2851" t="s">
        <v>15</v>
      </c>
      <c r="B2851" t="s">
        <v>34</v>
      </c>
      <c r="C2851" t="s">
        <v>27</v>
      </c>
      <c r="D2851">
        <v>0</v>
      </c>
      <c r="E2851" t="s">
        <v>41</v>
      </c>
      <c r="F2851" t="s">
        <v>10</v>
      </c>
    </row>
    <row r="2852" spans="1:6" hidden="1" x14ac:dyDescent="0.35">
      <c r="A2852" t="s">
        <v>16</v>
      </c>
      <c r="B2852" t="s">
        <v>34</v>
      </c>
      <c r="C2852" t="s">
        <v>27</v>
      </c>
      <c r="D2852">
        <v>0</v>
      </c>
      <c r="E2852" t="s">
        <v>41</v>
      </c>
      <c r="F2852" t="s">
        <v>10</v>
      </c>
    </row>
    <row r="2853" spans="1:6" hidden="1" x14ac:dyDescent="0.35">
      <c r="A2853" t="s">
        <v>17</v>
      </c>
      <c r="B2853" t="s">
        <v>34</v>
      </c>
      <c r="C2853" t="s">
        <v>27</v>
      </c>
      <c r="D2853">
        <v>0</v>
      </c>
      <c r="E2853" t="s">
        <v>41</v>
      </c>
      <c r="F2853" t="s">
        <v>10</v>
      </c>
    </row>
    <row r="2854" spans="1:6" hidden="1" x14ac:dyDescent="0.35">
      <c r="A2854" t="s">
        <v>18</v>
      </c>
      <c r="B2854" t="s">
        <v>34</v>
      </c>
      <c r="C2854" t="s">
        <v>27</v>
      </c>
      <c r="D2854">
        <v>0</v>
      </c>
      <c r="E2854" t="s">
        <v>41</v>
      </c>
      <c r="F2854" t="s">
        <v>10</v>
      </c>
    </row>
    <row r="2855" spans="1:6" hidden="1" x14ac:dyDescent="0.35">
      <c r="A2855" t="s">
        <v>19</v>
      </c>
      <c r="B2855" t="s">
        <v>34</v>
      </c>
      <c r="C2855" t="s">
        <v>27</v>
      </c>
      <c r="D2855">
        <v>0</v>
      </c>
      <c r="E2855" t="s">
        <v>41</v>
      </c>
      <c r="F2855" t="s">
        <v>10</v>
      </c>
    </row>
    <row r="2856" spans="1:6" hidden="1" x14ac:dyDescent="0.35">
      <c r="A2856" t="s">
        <v>20</v>
      </c>
      <c r="B2856" t="s">
        <v>34</v>
      </c>
      <c r="C2856" t="s">
        <v>27</v>
      </c>
      <c r="D2856">
        <v>0</v>
      </c>
      <c r="E2856" t="s">
        <v>41</v>
      </c>
      <c r="F2856" t="s">
        <v>10</v>
      </c>
    </row>
    <row r="2857" spans="1:6" hidden="1" x14ac:dyDescent="0.35">
      <c r="A2857" t="s">
        <v>21</v>
      </c>
      <c r="B2857" t="s">
        <v>34</v>
      </c>
      <c r="C2857" t="s">
        <v>27</v>
      </c>
      <c r="D2857">
        <v>0</v>
      </c>
      <c r="E2857" t="s">
        <v>41</v>
      </c>
      <c r="F2857" t="s">
        <v>10</v>
      </c>
    </row>
    <row r="2858" spans="1:6" hidden="1" x14ac:dyDescent="0.35">
      <c r="A2858" t="s">
        <v>6</v>
      </c>
      <c r="B2858" t="s">
        <v>34</v>
      </c>
      <c r="C2858" t="s">
        <v>28</v>
      </c>
      <c r="D2858">
        <v>0</v>
      </c>
      <c r="E2858" t="s">
        <v>41</v>
      </c>
      <c r="F2858" t="s">
        <v>10</v>
      </c>
    </row>
    <row r="2859" spans="1:6" hidden="1" x14ac:dyDescent="0.35">
      <c r="A2859" t="s">
        <v>11</v>
      </c>
      <c r="B2859" t="s">
        <v>34</v>
      </c>
      <c r="C2859" t="s">
        <v>28</v>
      </c>
      <c r="D2859">
        <v>0</v>
      </c>
      <c r="E2859" t="s">
        <v>41</v>
      </c>
      <c r="F2859" t="s">
        <v>10</v>
      </c>
    </row>
    <row r="2860" spans="1:6" hidden="1" x14ac:dyDescent="0.35">
      <c r="A2860" t="s">
        <v>12</v>
      </c>
      <c r="B2860" t="s">
        <v>34</v>
      </c>
      <c r="C2860" t="s">
        <v>28</v>
      </c>
      <c r="D2860">
        <v>0</v>
      </c>
      <c r="E2860" t="s">
        <v>41</v>
      </c>
      <c r="F2860" t="s">
        <v>10</v>
      </c>
    </row>
    <row r="2861" spans="1:6" hidden="1" x14ac:dyDescent="0.35">
      <c r="A2861" t="s">
        <v>13</v>
      </c>
      <c r="B2861" t="s">
        <v>34</v>
      </c>
      <c r="C2861" t="s">
        <v>28</v>
      </c>
      <c r="D2861">
        <v>0</v>
      </c>
      <c r="E2861" t="s">
        <v>41</v>
      </c>
      <c r="F2861" t="s">
        <v>10</v>
      </c>
    </row>
    <row r="2862" spans="1:6" hidden="1" x14ac:dyDescent="0.35">
      <c r="A2862" t="s">
        <v>14</v>
      </c>
      <c r="B2862" t="s">
        <v>34</v>
      </c>
      <c r="C2862" t="s">
        <v>28</v>
      </c>
      <c r="D2862">
        <v>0</v>
      </c>
      <c r="E2862" t="s">
        <v>41</v>
      </c>
      <c r="F2862" t="s">
        <v>10</v>
      </c>
    </row>
    <row r="2863" spans="1:6" hidden="1" x14ac:dyDescent="0.35">
      <c r="A2863" t="s">
        <v>15</v>
      </c>
      <c r="B2863" t="s">
        <v>34</v>
      </c>
      <c r="C2863" t="s">
        <v>28</v>
      </c>
      <c r="D2863">
        <v>0</v>
      </c>
      <c r="E2863" t="s">
        <v>41</v>
      </c>
      <c r="F2863" t="s">
        <v>10</v>
      </c>
    </row>
    <row r="2864" spans="1:6" hidden="1" x14ac:dyDescent="0.35">
      <c r="A2864" t="s">
        <v>16</v>
      </c>
      <c r="B2864" t="s">
        <v>34</v>
      </c>
      <c r="C2864" t="s">
        <v>28</v>
      </c>
      <c r="D2864">
        <v>0</v>
      </c>
      <c r="E2864" t="s">
        <v>41</v>
      </c>
      <c r="F2864" t="s">
        <v>10</v>
      </c>
    </row>
    <row r="2865" spans="1:6" hidden="1" x14ac:dyDescent="0.35">
      <c r="A2865" t="s">
        <v>17</v>
      </c>
      <c r="B2865" t="s">
        <v>34</v>
      </c>
      <c r="C2865" t="s">
        <v>28</v>
      </c>
      <c r="D2865">
        <v>0</v>
      </c>
      <c r="E2865" t="s">
        <v>41</v>
      </c>
      <c r="F2865" t="s">
        <v>10</v>
      </c>
    </row>
    <row r="2866" spans="1:6" hidden="1" x14ac:dyDescent="0.35">
      <c r="A2866" t="s">
        <v>18</v>
      </c>
      <c r="B2866" t="s">
        <v>34</v>
      </c>
      <c r="C2866" t="s">
        <v>28</v>
      </c>
      <c r="D2866">
        <v>0</v>
      </c>
      <c r="E2866" t="s">
        <v>41</v>
      </c>
      <c r="F2866" t="s">
        <v>10</v>
      </c>
    </row>
    <row r="2867" spans="1:6" hidden="1" x14ac:dyDescent="0.35">
      <c r="A2867" t="s">
        <v>19</v>
      </c>
      <c r="B2867" t="s">
        <v>34</v>
      </c>
      <c r="C2867" t="s">
        <v>28</v>
      </c>
      <c r="D2867">
        <v>0</v>
      </c>
      <c r="E2867" t="s">
        <v>41</v>
      </c>
      <c r="F2867" t="s">
        <v>10</v>
      </c>
    </row>
    <row r="2868" spans="1:6" hidden="1" x14ac:dyDescent="0.35">
      <c r="A2868" t="s">
        <v>20</v>
      </c>
      <c r="B2868" t="s">
        <v>34</v>
      </c>
      <c r="C2868" t="s">
        <v>28</v>
      </c>
      <c r="D2868">
        <v>0</v>
      </c>
      <c r="E2868" t="s">
        <v>41</v>
      </c>
      <c r="F2868" t="s">
        <v>10</v>
      </c>
    </row>
    <row r="2869" spans="1:6" hidden="1" x14ac:dyDescent="0.35">
      <c r="A2869" t="s">
        <v>21</v>
      </c>
      <c r="B2869" t="s">
        <v>34</v>
      </c>
      <c r="C2869" t="s">
        <v>28</v>
      </c>
      <c r="D2869">
        <v>0</v>
      </c>
      <c r="E2869" t="s">
        <v>41</v>
      </c>
      <c r="F2869" t="s">
        <v>10</v>
      </c>
    </row>
    <row r="2870" spans="1:6" hidden="1" x14ac:dyDescent="0.35">
      <c r="A2870" t="s">
        <v>6</v>
      </c>
      <c r="B2870" t="s">
        <v>34</v>
      </c>
      <c r="C2870" t="s">
        <v>29</v>
      </c>
      <c r="E2870" t="s">
        <v>41</v>
      </c>
      <c r="F2870" t="s">
        <v>10</v>
      </c>
    </row>
    <row r="2871" spans="1:6" hidden="1" x14ac:dyDescent="0.35">
      <c r="A2871" t="s">
        <v>11</v>
      </c>
      <c r="B2871" t="s">
        <v>34</v>
      </c>
      <c r="C2871" t="s">
        <v>29</v>
      </c>
      <c r="E2871" t="s">
        <v>41</v>
      </c>
      <c r="F2871" t="s">
        <v>10</v>
      </c>
    </row>
    <row r="2872" spans="1:6" hidden="1" x14ac:dyDescent="0.35">
      <c r="A2872" t="s">
        <v>12</v>
      </c>
      <c r="B2872" t="s">
        <v>34</v>
      </c>
      <c r="C2872" t="s">
        <v>29</v>
      </c>
      <c r="E2872" t="s">
        <v>41</v>
      </c>
      <c r="F2872" t="s">
        <v>10</v>
      </c>
    </row>
    <row r="2873" spans="1:6" hidden="1" x14ac:dyDescent="0.35">
      <c r="A2873" t="s">
        <v>13</v>
      </c>
      <c r="B2873" t="s">
        <v>34</v>
      </c>
      <c r="C2873" t="s">
        <v>29</v>
      </c>
      <c r="E2873" t="s">
        <v>41</v>
      </c>
      <c r="F2873" t="s">
        <v>10</v>
      </c>
    </row>
    <row r="2874" spans="1:6" hidden="1" x14ac:dyDescent="0.35">
      <c r="A2874" t="s">
        <v>14</v>
      </c>
      <c r="B2874" t="s">
        <v>34</v>
      </c>
      <c r="C2874" t="s">
        <v>29</v>
      </c>
      <c r="E2874" t="s">
        <v>41</v>
      </c>
      <c r="F2874" t="s">
        <v>10</v>
      </c>
    </row>
    <row r="2875" spans="1:6" hidden="1" x14ac:dyDescent="0.35">
      <c r="A2875" t="s">
        <v>15</v>
      </c>
      <c r="B2875" t="s">
        <v>34</v>
      </c>
      <c r="C2875" t="s">
        <v>29</v>
      </c>
      <c r="E2875" t="s">
        <v>41</v>
      </c>
      <c r="F2875" t="s">
        <v>10</v>
      </c>
    </row>
    <row r="2876" spans="1:6" hidden="1" x14ac:dyDescent="0.35">
      <c r="A2876" t="s">
        <v>16</v>
      </c>
      <c r="B2876" t="s">
        <v>34</v>
      </c>
      <c r="C2876" t="s">
        <v>29</v>
      </c>
      <c r="E2876" t="s">
        <v>41</v>
      </c>
      <c r="F2876" t="s">
        <v>10</v>
      </c>
    </row>
    <row r="2877" spans="1:6" hidden="1" x14ac:dyDescent="0.35">
      <c r="A2877" t="s">
        <v>17</v>
      </c>
      <c r="B2877" t="s">
        <v>34</v>
      </c>
      <c r="C2877" t="s">
        <v>29</v>
      </c>
      <c r="E2877" t="s">
        <v>41</v>
      </c>
      <c r="F2877" t="s">
        <v>10</v>
      </c>
    </row>
    <row r="2878" spans="1:6" hidden="1" x14ac:dyDescent="0.35">
      <c r="A2878" t="s">
        <v>18</v>
      </c>
      <c r="B2878" t="s">
        <v>34</v>
      </c>
      <c r="C2878" t="s">
        <v>29</v>
      </c>
      <c r="E2878" t="s">
        <v>41</v>
      </c>
      <c r="F2878" t="s">
        <v>10</v>
      </c>
    </row>
    <row r="2879" spans="1:6" hidden="1" x14ac:dyDescent="0.35">
      <c r="A2879" t="s">
        <v>19</v>
      </c>
      <c r="B2879" t="s">
        <v>34</v>
      </c>
      <c r="C2879" t="s">
        <v>29</v>
      </c>
      <c r="E2879" t="s">
        <v>41</v>
      </c>
      <c r="F2879" t="s">
        <v>10</v>
      </c>
    </row>
    <row r="2880" spans="1:6" hidden="1" x14ac:dyDescent="0.35">
      <c r="A2880" t="s">
        <v>20</v>
      </c>
      <c r="B2880" t="s">
        <v>34</v>
      </c>
      <c r="C2880" t="s">
        <v>29</v>
      </c>
      <c r="E2880" t="s">
        <v>41</v>
      </c>
      <c r="F2880" t="s">
        <v>10</v>
      </c>
    </row>
    <row r="2881" spans="1:6" hidden="1" x14ac:dyDescent="0.35">
      <c r="A2881" t="s">
        <v>21</v>
      </c>
      <c r="B2881" t="s">
        <v>34</v>
      </c>
      <c r="C2881" t="s">
        <v>29</v>
      </c>
      <c r="E2881" t="s">
        <v>41</v>
      </c>
      <c r="F2881" t="s">
        <v>10</v>
      </c>
    </row>
    <row r="2882" spans="1:6" hidden="1" x14ac:dyDescent="0.35">
      <c r="A2882" t="s">
        <v>6</v>
      </c>
      <c r="B2882" t="s">
        <v>34</v>
      </c>
      <c r="C2882" t="s">
        <v>30</v>
      </c>
      <c r="E2882" t="s">
        <v>41</v>
      </c>
      <c r="F2882" t="s">
        <v>10</v>
      </c>
    </row>
    <row r="2883" spans="1:6" hidden="1" x14ac:dyDescent="0.35">
      <c r="A2883" t="s">
        <v>11</v>
      </c>
      <c r="B2883" t="s">
        <v>34</v>
      </c>
      <c r="C2883" t="s">
        <v>30</v>
      </c>
      <c r="E2883" t="s">
        <v>41</v>
      </c>
      <c r="F2883" t="s">
        <v>10</v>
      </c>
    </row>
    <row r="2884" spans="1:6" hidden="1" x14ac:dyDescent="0.35">
      <c r="A2884" t="s">
        <v>12</v>
      </c>
      <c r="B2884" t="s">
        <v>34</v>
      </c>
      <c r="C2884" t="s">
        <v>30</v>
      </c>
      <c r="E2884" t="s">
        <v>41</v>
      </c>
      <c r="F2884" t="s">
        <v>10</v>
      </c>
    </row>
    <row r="2885" spans="1:6" hidden="1" x14ac:dyDescent="0.35">
      <c r="A2885" t="s">
        <v>13</v>
      </c>
      <c r="B2885" t="s">
        <v>34</v>
      </c>
      <c r="C2885" t="s">
        <v>30</v>
      </c>
      <c r="E2885" t="s">
        <v>41</v>
      </c>
      <c r="F2885" t="s">
        <v>10</v>
      </c>
    </row>
    <row r="2886" spans="1:6" hidden="1" x14ac:dyDescent="0.35">
      <c r="A2886" t="s">
        <v>14</v>
      </c>
      <c r="B2886" t="s">
        <v>34</v>
      </c>
      <c r="C2886" t="s">
        <v>30</v>
      </c>
      <c r="E2886" t="s">
        <v>41</v>
      </c>
      <c r="F2886" t="s">
        <v>10</v>
      </c>
    </row>
    <row r="2887" spans="1:6" hidden="1" x14ac:dyDescent="0.35">
      <c r="A2887" t="s">
        <v>15</v>
      </c>
      <c r="B2887" t="s">
        <v>34</v>
      </c>
      <c r="C2887" t="s">
        <v>30</v>
      </c>
      <c r="E2887" t="s">
        <v>41</v>
      </c>
      <c r="F2887" t="s">
        <v>10</v>
      </c>
    </row>
    <row r="2888" spans="1:6" hidden="1" x14ac:dyDescent="0.35">
      <c r="A2888" t="s">
        <v>16</v>
      </c>
      <c r="B2888" t="s">
        <v>34</v>
      </c>
      <c r="C2888" t="s">
        <v>30</v>
      </c>
      <c r="E2888" t="s">
        <v>41</v>
      </c>
      <c r="F2888" t="s">
        <v>10</v>
      </c>
    </row>
    <row r="2889" spans="1:6" hidden="1" x14ac:dyDescent="0.35">
      <c r="A2889" t="s">
        <v>17</v>
      </c>
      <c r="B2889" t="s">
        <v>34</v>
      </c>
      <c r="C2889" t="s">
        <v>30</v>
      </c>
      <c r="E2889" t="s">
        <v>41</v>
      </c>
      <c r="F2889" t="s">
        <v>10</v>
      </c>
    </row>
    <row r="2890" spans="1:6" hidden="1" x14ac:dyDescent="0.35">
      <c r="A2890" t="s">
        <v>18</v>
      </c>
      <c r="B2890" t="s">
        <v>34</v>
      </c>
      <c r="C2890" t="s">
        <v>30</v>
      </c>
      <c r="E2890" t="s">
        <v>41</v>
      </c>
      <c r="F2890" t="s">
        <v>10</v>
      </c>
    </row>
    <row r="2891" spans="1:6" hidden="1" x14ac:dyDescent="0.35">
      <c r="A2891" t="s">
        <v>19</v>
      </c>
      <c r="B2891" t="s">
        <v>34</v>
      </c>
      <c r="C2891" t="s">
        <v>30</v>
      </c>
      <c r="E2891" t="s">
        <v>41</v>
      </c>
      <c r="F2891" t="s">
        <v>10</v>
      </c>
    </row>
    <row r="2892" spans="1:6" hidden="1" x14ac:dyDescent="0.35">
      <c r="A2892" t="s">
        <v>20</v>
      </c>
      <c r="B2892" t="s">
        <v>34</v>
      </c>
      <c r="C2892" t="s">
        <v>30</v>
      </c>
      <c r="E2892" t="s">
        <v>41</v>
      </c>
      <c r="F2892" t="s">
        <v>10</v>
      </c>
    </row>
    <row r="2893" spans="1:6" hidden="1" x14ac:dyDescent="0.35">
      <c r="A2893" t="s">
        <v>21</v>
      </c>
      <c r="B2893" t="s">
        <v>34</v>
      </c>
      <c r="C2893" t="s">
        <v>30</v>
      </c>
      <c r="E2893" t="s">
        <v>41</v>
      </c>
      <c r="F2893" t="s">
        <v>10</v>
      </c>
    </row>
    <row r="2894" spans="1:6" hidden="1" x14ac:dyDescent="0.35">
      <c r="A2894" t="s">
        <v>6</v>
      </c>
      <c r="B2894" t="s">
        <v>34</v>
      </c>
      <c r="C2894" t="s">
        <v>31</v>
      </c>
      <c r="E2894" t="s">
        <v>41</v>
      </c>
      <c r="F2894" t="s">
        <v>10</v>
      </c>
    </row>
    <row r="2895" spans="1:6" hidden="1" x14ac:dyDescent="0.35">
      <c r="A2895" t="s">
        <v>11</v>
      </c>
      <c r="B2895" t="s">
        <v>34</v>
      </c>
      <c r="C2895" t="s">
        <v>31</v>
      </c>
      <c r="E2895" t="s">
        <v>41</v>
      </c>
      <c r="F2895" t="s">
        <v>10</v>
      </c>
    </row>
    <row r="2896" spans="1:6" hidden="1" x14ac:dyDescent="0.35">
      <c r="A2896" t="s">
        <v>12</v>
      </c>
      <c r="B2896" t="s">
        <v>34</v>
      </c>
      <c r="C2896" t="s">
        <v>31</v>
      </c>
      <c r="E2896" t="s">
        <v>41</v>
      </c>
      <c r="F2896" t="s">
        <v>10</v>
      </c>
    </row>
    <row r="2897" spans="1:6" hidden="1" x14ac:dyDescent="0.35">
      <c r="A2897" t="s">
        <v>13</v>
      </c>
      <c r="B2897" t="s">
        <v>34</v>
      </c>
      <c r="C2897" t="s">
        <v>31</v>
      </c>
      <c r="E2897" t="s">
        <v>41</v>
      </c>
      <c r="F2897" t="s">
        <v>10</v>
      </c>
    </row>
    <row r="2898" spans="1:6" hidden="1" x14ac:dyDescent="0.35">
      <c r="A2898" t="s">
        <v>14</v>
      </c>
      <c r="B2898" t="s">
        <v>34</v>
      </c>
      <c r="C2898" t="s">
        <v>31</v>
      </c>
      <c r="E2898" t="s">
        <v>41</v>
      </c>
      <c r="F2898" t="s">
        <v>10</v>
      </c>
    </row>
    <row r="2899" spans="1:6" hidden="1" x14ac:dyDescent="0.35">
      <c r="A2899" t="s">
        <v>15</v>
      </c>
      <c r="B2899" t="s">
        <v>34</v>
      </c>
      <c r="C2899" t="s">
        <v>31</v>
      </c>
      <c r="E2899" t="s">
        <v>41</v>
      </c>
      <c r="F2899" t="s">
        <v>10</v>
      </c>
    </row>
    <row r="2900" spans="1:6" hidden="1" x14ac:dyDescent="0.35">
      <c r="A2900" t="s">
        <v>16</v>
      </c>
      <c r="B2900" t="s">
        <v>34</v>
      </c>
      <c r="C2900" t="s">
        <v>31</v>
      </c>
      <c r="E2900" t="s">
        <v>41</v>
      </c>
      <c r="F2900" t="s">
        <v>10</v>
      </c>
    </row>
    <row r="2901" spans="1:6" hidden="1" x14ac:dyDescent="0.35">
      <c r="A2901" t="s">
        <v>17</v>
      </c>
      <c r="B2901" t="s">
        <v>34</v>
      </c>
      <c r="C2901" t="s">
        <v>31</v>
      </c>
      <c r="E2901" t="s">
        <v>41</v>
      </c>
      <c r="F2901" t="s">
        <v>10</v>
      </c>
    </row>
    <row r="2902" spans="1:6" hidden="1" x14ac:dyDescent="0.35">
      <c r="A2902" t="s">
        <v>18</v>
      </c>
      <c r="B2902" t="s">
        <v>34</v>
      </c>
      <c r="C2902" t="s">
        <v>31</v>
      </c>
      <c r="E2902" t="s">
        <v>41</v>
      </c>
      <c r="F2902" t="s">
        <v>10</v>
      </c>
    </row>
    <row r="2903" spans="1:6" hidden="1" x14ac:dyDescent="0.35">
      <c r="A2903" t="s">
        <v>19</v>
      </c>
      <c r="B2903" t="s">
        <v>34</v>
      </c>
      <c r="C2903" t="s">
        <v>31</v>
      </c>
      <c r="E2903" t="s">
        <v>41</v>
      </c>
      <c r="F2903" t="s">
        <v>10</v>
      </c>
    </row>
    <row r="2904" spans="1:6" hidden="1" x14ac:dyDescent="0.35">
      <c r="A2904" t="s">
        <v>20</v>
      </c>
      <c r="B2904" t="s">
        <v>34</v>
      </c>
      <c r="C2904" t="s">
        <v>31</v>
      </c>
      <c r="E2904" t="s">
        <v>41</v>
      </c>
      <c r="F2904" t="s">
        <v>10</v>
      </c>
    </row>
    <row r="2905" spans="1:6" hidden="1" x14ac:dyDescent="0.35">
      <c r="A2905" t="s">
        <v>21</v>
      </c>
      <c r="B2905" t="s">
        <v>34</v>
      </c>
      <c r="C2905" t="s">
        <v>31</v>
      </c>
      <c r="E2905" t="s">
        <v>41</v>
      </c>
      <c r="F2905" t="s">
        <v>10</v>
      </c>
    </row>
    <row r="2906" spans="1:6" hidden="1" x14ac:dyDescent="0.35">
      <c r="A2906" t="s">
        <v>6</v>
      </c>
      <c r="B2906" t="s">
        <v>35</v>
      </c>
      <c r="C2906" t="s">
        <v>8</v>
      </c>
      <c r="D2906">
        <v>0</v>
      </c>
      <c r="E2906" t="s">
        <v>41</v>
      </c>
      <c r="F2906" t="s">
        <v>10</v>
      </c>
    </row>
    <row r="2907" spans="1:6" hidden="1" x14ac:dyDescent="0.35">
      <c r="A2907" t="s">
        <v>11</v>
      </c>
      <c r="B2907" t="s">
        <v>35</v>
      </c>
      <c r="C2907" t="s">
        <v>8</v>
      </c>
      <c r="D2907">
        <v>0</v>
      </c>
      <c r="E2907" t="s">
        <v>41</v>
      </c>
      <c r="F2907" t="s">
        <v>10</v>
      </c>
    </row>
    <row r="2908" spans="1:6" hidden="1" x14ac:dyDescent="0.35">
      <c r="A2908" t="s">
        <v>12</v>
      </c>
      <c r="B2908" t="s">
        <v>35</v>
      </c>
      <c r="C2908" t="s">
        <v>8</v>
      </c>
      <c r="D2908">
        <v>0</v>
      </c>
      <c r="E2908" t="s">
        <v>41</v>
      </c>
      <c r="F2908" t="s">
        <v>10</v>
      </c>
    </row>
    <row r="2909" spans="1:6" hidden="1" x14ac:dyDescent="0.35">
      <c r="A2909" t="s">
        <v>13</v>
      </c>
      <c r="B2909" t="s">
        <v>35</v>
      </c>
      <c r="C2909" t="s">
        <v>8</v>
      </c>
      <c r="D2909">
        <v>0</v>
      </c>
      <c r="E2909" t="s">
        <v>41</v>
      </c>
      <c r="F2909" t="s">
        <v>10</v>
      </c>
    </row>
    <row r="2910" spans="1:6" hidden="1" x14ac:dyDescent="0.35">
      <c r="A2910" t="s">
        <v>14</v>
      </c>
      <c r="B2910" t="s">
        <v>35</v>
      </c>
      <c r="C2910" t="s">
        <v>8</v>
      </c>
      <c r="D2910">
        <v>0</v>
      </c>
      <c r="E2910" t="s">
        <v>41</v>
      </c>
      <c r="F2910" t="s">
        <v>10</v>
      </c>
    </row>
    <row r="2911" spans="1:6" hidden="1" x14ac:dyDescent="0.35">
      <c r="A2911" t="s">
        <v>15</v>
      </c>
      <c r="B2911" t="s">
        <v>35</v>
      </c>
      <c r="C2911" t="s">
        <v>8</v>
      </c>
      <c r="D2911">
        <v>0</v>
      </c>
      <c r="E2911" t="s">
        <v>41</v>
      </c>
      <c r="F2911" t="s">
        <v>10</v>
      </c>
    </row>
    <row r="2912" spans="1:6" hidden="1" x14ac:dyDescent="0.35">
      <c r="A2912" t="s">
        <v>16</v>
      </c>
      <c r="B2912" t="s">
        <v>35</v>
      </c>
      <c r="C2912" t="s">
        <v>8</v>
      </c>
      <c r="D2912">
        <v>0</v>
      </c>
      <c r="E2912" t="s">
        <v>41</v>
      </c>
      <c r="F2912" t="s">
        <v>10</v>
      </c>
    </row>
    <row r="2913" spans="1:6" hidden="1" x14ac:dyDescent="0.35">
      <c r="A2913" t="s">
        <v>17</v>
      </c>
      <c r="B2913" t="s">
        <v>35</v>
      </c>
      <c r="C2913" t="s">
        <v>8</v>
      </c>
      <c r="D2913">
        <v>0</v>
      </c>
      <c r="E2913" t="s">
        <v>41</v>
      </c>
      <c r="F2913" t="s">
        <v>10</v>
      </c>
    </row>
    <row r="2914" spans="1:6" hidden="1" x14ac:dyDescent="0.35">
      <c r="A2914" t="s">
        <v>18</v>
      </c>
      <c r="B2914" t="s">
        <v>35</v>
      </c>
      <c r="C2914" t="s">
        <v>8</v>
      </c>
      <c r="D2914">
        <v>0</v>
      </c>
      <c r="E2914" t="s">
        <v>41</v>
      </c>
      <c r="F2914" t="s">
        <v>10</v>
      </c>
    </row>
    <row r="2915" spans="1:6" hidden="1" x14ac:dyDescent="0.35">
      <c r="A2915" t="s">
        <v>19</v>
      </c>
      <c r="B2915" t="s">
        <v>35</v>
      </c>
      <c r="C2915" t="s">
        <v>8</v>
      </c>
      <c r="D2915">
        <v>0</v>
      </c>
      <c r="E2915" t="s">
        <v>41</v>
      </c>
      <c r="F2915" t="s">
        <v>10</v>
      </c>
    </row>
    <row r="2916" spans="1:6" hidden="1" x14ac:dyDescent="0.35">
      <c r="A2916" t="s">
        <v>20</v>
      </c>
      <c r="B2916" t="s">
        <v>35</v>
      </c>
      <c r="C2916" t="s">
        <v>8</v>
      </c>
      <c r="D2916">
        <v>0</v>
      </c>
      <c r="E2916" t="s">
        <v>41</v>
      </c>
      <c r="F2916" t="s">
        <v>10</v>
      </c>
    </row>
    <row r="2917" spans="1:6" hidden="1" x14ac:dyDescent="0.35">
      <c r="A2917" t="s">
        <v>21</v>
      </c>
      <c r="B2917" t="s">
        <v>35</v>
      </c>
      <c r="C2917" t="s">
        <v>8</v>
      </c>
      <c r="D2917">
        <v>0</v>
      </c>
      <c r="E2917" t="s">
        <v>41</v>
      </c>
      <c r="F2917" t="s">
        <v>10</v>
      </c>
    </row>
    <row r="2918" spans="1:6" hidden="1" x14ac:dyDescent="0.35">
      <c r="A2918" t="s">
        <v>6</v>
      </c>
      <c r="B2918" t="s">
        <v>35</v>
      </c>
      <c r="C2918" t="s">
        <v>22</v>
      </c>
      <c r="D2918">
        <v>0</v>
      </c>
      <c r="E2918" t="s">
        <v>41</v>
      </c>
      <c r="F2918" t="s">
        <v>10</v>
      </c>
    </row>
    <row r="2919" spans="1:6" hidden="1" x14ac:dyDescent="0.35">
      <c r="A2919" t="s">
        <v>11</v>
      </c>
      <c r="B2919" t="s">
        <v>35</v>
      </c>
      <c r="C2919" t="s">
        <v>22</v>
      </c>
      <c r="D2919">
        <v>0</v>
      </c>
      <c r="E2919" t="s">
        <v>41</v>
      </c>
      <c r="F2919" t="s">
        <v>10</v>
      </c>
    </row>
    <row r="2920" spans="1:6" hidden="1" x14ac:dyDescent="0.35">
      <c r="A2920" t="s">
        <v>12</v>
      </c>
      <c r="B2920" t="s">
        <v>35</v>
      </c>
      <c r="C2920" t="s">
        <v>22</v>
      </c>
      <c r="D2920">
        <v>0</v>
      </c>
      <c r="E2920" t="s">
        <v>41</v>
      </c>
      <c r="F2920" t="s">
        <v>10</v>
      </c>
    </row>
    <row r="2921" spans="1:6" hidden="1" x14ac:dyDescent="0.35">
      <c r="A2921" t="s">
        <v>13</v>
      </c>
      <c r="B2921" t="s">
        <v>35</v>
      </c>
      <c r="C2921" t="s">
        <v>22</v>
      </c>
      <c r="D2921">
        <v>0</v>
      </c>
      <c r="E2921" t="s">
        <v>41</v>
      </c>
      <c r="F2921" t="s">
        <v>10</v>
      </c>
    </row>
    <row r="2922" spans="1:6" hidden="1" x14ac:dyDescent="0.35">
      <c r="A2922" t="s">
        <v>14</v>
      </c>
      <c r="B2922" t="s">
        <v>35</v>
      </c>
      <c r="C2922" t="s">
        <v>22</v>
      </c>
      <c r="D2922">
        <v>0</v>
      </c>
      <c r="E2922" t="s">
        <v>41</v>
      </c>
      <c r="F2922" t="s">
        <v>10</v>
      </c>
    </row>
    <row r="2923" spans="1:6" hidden="1" x14ac:dyDescent="0.35">
      <c r="A2923" t="s">
        <v>15</v>
      </c>
      <c r="B2923" t="s">
        <v>35</v>
      </c>
      <c r="C2923" t="s">
        <v>22</v>
      </c>
      <c r="D2923">
        <v>0</v>
      </c>
      <c r="E2923" t="s">
        <v>41</v>
      </c>
      <c r="F2923" t="s">
        <v>10</v>
      </c>
    </row>
    <row r="2924" spans="1:6" hidden="1" x14ac:dyDescent="0.35">
      <c r="A2924" t="s">
        <v>16</v>
      </c>
      <c r="B2924" t="s">
        <v>35</v>
      </c>
      <c r="C2924" t="s">
        <v>22</v>
      </c>
      <c r="D2924">
        <v>0</v>
      </c>
      <c r="E2924" t="s">
        <v>41</v>
      </c>
      <c r="F2924" t="s">
        <v>10</v>
      </c>
    </row>
    <row r="2925" spans="1:6" hidden="1" x14ac:dyDescent="0.35">
      <c r="A2925" t="s">
        <v>17</v>
      </c>
      <c r="B2925" t="s">
        <v>35</v>
      </c>
      <c r="C2925" t="s">
        <v>22</v>
      </c>
      <c r="D2925">
        <v>0</v>
      </c>
      <c r="E2925" t="s">
        <v>41</v>
      </c>
      <c r="F2925" t="s">
        <v>10</v>
      </c>
    </row>
    <row r="2926" spans="1:6" hidden="1" x14ac:dyDescent="0.35">
      <c r="A2926" t="s">
        <v>18</v>
      </c>
      <c r="B2926" t="s">
        <v>35</v>
      </c>
      <c r="C2926" t="s">
        <v>22</v>
      </c>
      <c r="D2926">
        <v>0</v>
      </c>
      <c r="E2926" t="s">
        <v>41</v>
      </c>
      <c r="F2926" t="s">
        <v>10</v>
      </c>
    </row>
    <row r="2927" spans="1:6" hidden="1" x14ac:dyDescent="0.35">
      <c r="A2927" t="s">
        <v>19</v>
      </c>
      <c r="B2927" t="s">
        <v>35</v>
      </c>
      <c r="C2927" t="s">
        <v>22</v>
      </c>
      <c r="D2927">
        <v>0</v>
      </c>
      <c r="E2927" t="s">
        <v>41</v>
      </c>
      <c r="F2927" t="s">
        <v>10</v>
      </c>
    </row>
    <row r="2928" spans="1:6" hidden="1" x14ac:dyDescent="0.35">
      <c r="A2928" t="s">
        <v>20</v>
      </c>
      <c r="B2928" t="s">
        <v>35</v>
      </c>
      <c r="C2928" t="s">
        <v>22</v>
      </c>
      <c r="D2928">
        <v>0</v>
      </c>
      <c r="E2928" t="s">
        <v>41</v>
      </c>
      <c r="F2928" t="s">
        <v>10</v>
      </c>
    </row>
    <row r="2929" spans="1:6" hidden="1" x14ac:dyDescent="0.35">
      <c r="A2929" t="s">
        <v>21</v>
      </c>
      <c r="B2929" t="s">
        <v>35</v>
      </c>
      <c r="C2929" t="s">
        <v>22</v>
      </c>
      <c r="D2929">
        <v>0</v>
      </c>
      <c r="E2929" t="s">
        <v>41</v>
      </c>
      <c r="F2929" t="s">
        <v>10</v>
      </c>
    </row>
    <row r="2930" spans="1:6" hidden="1" x14ac:dyDescent="0.35">
      <c r="A2930" t="s">
        <v>6</v>
      </c>
      <c r="B2930" t="s">
        <v>35</v>
      </c>
      <c r="C2930" t="s">
        <v>23</v>
      </c>
      <c r="D2930">
        <v>0</v>
      </c>
      <c r="E2930" t="s">
        <v>41</v>
      </c>
      <c r="F2930" t="s">
        <v>10</v>
      </c>
    </row>
    <row r="2931" spans="1:6" hidden="1" x14ac:dyDescent="0.35">
      <c r="A2931" t="s">
        <v>11</v>
      </c>
      <c r="B2931" t="s">
        <v>35</v>
      </c>
      <c r="C2931" t="s">
        <v>23</v>
      </c>
      <c r="D2931">
        <v>0</v>
      </c>
      <c r="E2931" t="s">
        <v>41</v>
      </c>
      <c r="F2931" t="s">
        <v>10</v>
      </c>
    </row>
    <row r="2932" spans="1:6" hidden="1" x14ac:dyDescent="0.35">
      <c r="A2932" t="s">
        <v>12</v>
      </c>
      <c r="B2932" t="s">
        <v>35</v>
      </c>
      <c r="C2932" t="s">
        <v>23</v>
      </c>
      <c r="D2932">
        <v>0</v>
      </c>
      <c r="E2932" t="s">
        <v>41</v>
      </c>
      <c r="F2932" t="s">
        <v>10</v>
      </c>
    </row>
    <row r="2933" spans="1:6" hidden="1" x14ac:dyDescent="0.35">
      <c r="A2933" t="s">
        <v>13</v>
      </c>
      <c r="B2933" t="s">
        <v>35</v>
      </c>
      <c r="C2933" t="s">
        <v>23</v>
      </c>
      <c r="D2933">
        <v>0</v>
      </c>
      <c r="E2933" t="s">
        <v>41</v>
      </c>
      <c r="F2933" t="s">
        <v>10</v>
      </c>
    </row>
    <row r="2934" spans="1:6" hidden="1" x14ac:dyDescent="0.35">
      <c r="A2934" t="s">
        <v>14</v>
      </c>
      <c r="B2934" t="s">
        <v>35</v>
      </c>
      <c r="C2934" t="s">
        <v>23</v>
      </c>
      <c r="D2934">
        <v>0</v>
      </c>
      <c r="E2934" t="s">
        <v>41</v>
      </c>
      <c r="F2934" t="s">
        <v>10</v>
      </c>
    </row>
    <row r="2935" spans="1:6" hidden="1" x14ac:dyDescent="0.35">
      <c r="A2935" t="s">
        <v>15</v>
      </c>
      <c r="B2935" t="s">
        <v>35</v>
      </c>
      <c r="C2935" t="s">
        <v>23</v>
      </c>
      <c r="D2935">
        <v>0</v>
      </c>
      <c r="E2935" t="s">
        <v>41</v>
      </c>
      <c r="F2935" t="s">
        <v>10</v>
      </c>
    </row>
    <row r="2936" spans="1:6" hidden="1" x14ac:dyDescent="0.35">
      <c r="A2936" t="s">
        <v>16</v>
      </c>
      <c r="B2936" t="s">
        <v>35</v>
      </c>
      <c r="C2936" t="s">
        <v>23</v>
      </c>
      <c r="D2936">
        <v>0</v>
      </c>
      <c r="E2936" t="s">
        <v>41</v>
      </c>
      <c r="F2936" t="s">
        <v>10</v>
      </c>
    </row>
    <row r="2937" spans="1:6" hidden="1" x14ac:dyDescent="0.35">
      <c r="A2937" t="s">
        <v>17</v>
      </c>
      <c r="B2937" t="s">
        <v>35</v>
      </c>
      <c r="C2937" t="s">
        <v>23</v>
      </c>
      <c r="D2937">
        <v>88327</v>
      </c>
      <c r="E2937" t="s">
        <v>41</v>
      </c>
      <c r="F2937" t="s">
        <v>10</v>
      </c>
    </row>
    <row r="2938" spans="1:6" hidden="1" x14ac:dyDescent="0.35">
      <c r="A2938" t="s">
        <v>18</v>
      </c>
      <c r="B2938" t="s">
        <v>35</v>
      </c>
      <c r="C2938" t="s">
        <v>23</v>
      </c>
      <c r="D2938">
        <v>0</v>
      </c>
      <c r="E2938" t="s">
        <v>41</v>
      </c>
      <c r="F2938" t="s">
        <v>10</v>
      </c>
    </row>
    <row r="2939" spans="1:6" hidden="1" x14ac:dyDescent="0.35">
      <c r="A2939" t="s">
        <v>19</v>
      </c>
      <c r="B2939" t="s">
        <v>35</v>
      </c>
      <c r="C2939" t="s">
        <v>23</v>
      </c>
      <c r="D2939">
        <v>0</v>
      </c>
      <c r="E2939" t="s">
        <v>41</v>
      </c>
      <c r="F2939" t="s">
        <v>10</v>
      </c>
    </row>
    <row r="2940" spans="1:6" hidden="1" x14ac:dyDescent="0.35">
      <c r="A2940" t="s">
        <v>20</v>
      </c>
      <c r="B2940" t="s">
        <v>35</v>
      </c>
      <c r="C2940" t="s">
        <v>23</v>
      </c>
      <c r="D2940">
        <v>0</v>
      </c>
      <c r="E2940" t="s">
        <v>41</v>
      </c>
      <c r="F2940" t="s">
        <v>10</v>
      </c>
    </row>
    <row r="2941" spans="1:6" hidden="1" x14ac:dyDescent="0.35">
      <c r="A2941" t="s">
        <v>21</v>
      </c>
      <c r="B2941" t="s">
        <v>35</v>
      </c>
      <c r="C2941" t="s">
        <v>23</v>
      </c>
      <c r="D2941">
        <v>0</v>
      </c>
      <c r="E2941" t="s">
        <v>41</v>
      </c>
      <c r="F2941" t="s">
        <v>10</v>
      </c>
    </row>
    <row r="2942" spans="1:6" hidden="1" x14ac:dyDescent="0.35">
      <c r="A2942" t="s">
        <v>6</v>
      </c>
      <c r="B2942" t="s">
        <v>35</v>
      </c>
      <c r="C2942" t="s">
        <v>24</v>
      </c>
      <c r="D2942">
        <v>0</v>
      </c>
      <c r="E2942" t="s">
        <v>41</v>
      </c>
      <c r="F2942" t="s">
        <v>10</v>
      </c>
    </row>
    <row r="2943" spans="1:6" hidden="1" x14ac:dyDescent="0.35">
      <c r="A2943" t="s">
        <v>11</v>
      </c>
      <c r="B2943" t="s">
        <v>35</v>
      </c>
      <c r="C2943" t="s">
        <v>24</v>
      </c>
      <c r="D2943">
        <v>0</v>
      </c>
      <c r="E2943" t="s">
        <v>41</v>
      </c>
      <c r="F2943" t="s">
        <v>10</v>
      </c>
    </row>
    <row r="2944" spans="1:6" hidden="1" x14ac:dyDescent="0.35">
      <c r="A2944" t="s">
        <v>12</v>
      </c>
      <c r="B2944" t="s">
        <v>35</v>
      </c>
      <c r="C2944" t="s">
        <v>24</v>
      </c>
      <c r="D2944">
        <v>0</v>
      </c>
      <c r="E2944" t="s">
        <v>41</v>
      </c>
      <c r="F2944" t="s">
        <v>10</v>
      </c>
    </row>
    <row r="2945" spans="1:6" hidden="1" x14ac:dyDescent="0.35">
      <c r="A2945" t="s">
        <v>13</v>
      </c>
      <c r="B2945" t="s">
        <v>35</v>
      </c>
      <c r="C2945" t="s">
        <v>24</v>
      </c>
      <c r="D2945">
        <v>0</v>
      </c>
      <c r="E2945" t="s">
        <v>41</v>
      </c>
      <c r="F2945" t="s">
        <v>10</v>
      </c>
    </row>
    <row r="2946" spans="1:6" hidden="1" x14ac:dyDescent="0.35">
      <c r="A2946" t="s">
        <v>14</v>
      </c>
      <c r="B2946" t="s">
        <v>35</v>
      </c>
      <c r="C2946" t="s">
        <v>24</v>
      </c>
      <c r="D2946">
        <v>0</v>
      </c>
      <c r="E2946" t="s">
        <v>41</v>
      </c>
      <c r="F2946" t="s">
        <v>10</v>
      </c>
    </row>
    <row r="2947" spans="1:6" hidden="1" x14ac:dyDescent="0.35">
      <c r="A2947" t="s">
        <v>15</v>
      </c>
      <c r="B2947" t="s">
        <v>35</v>
      </c>
      <c r="C2947" t="s">
        <v>24</v>
      </c>
      <c r="D2947">
        <v>0</v>
      </c>
      <c r="E2947" t="s">
        <v>41</v>
      </c>
      <c r="F2947" t="s">
        <v>10</v>
      </c>
    </row>
    <row r="2948" spans="1:6" hidden="1" x14ac:dyDescent="0.35">
      <c r="A2948" t="s">
        <v>16</v>
      </c>
      <c r="B2948" t="s">
        <v>35</v>
      </c>
      <c r="C2948" t="s">
        <v>24</v>
      </c>
      <c r="D2948">
        <v>0</v>
      </c>
      <c r="E2948" t="s">
        <v>41</v>
      </c>
      <c r="F2948" t="s">
        <v>10</v>
      </c>
    </row>
    <row r="2949" spans="1:6" hidden="1" x14ac:dyDescent="0.35">
      <c r="A2949" t="s">
        <v>17</v>
      </c>
      <c r="B2949" t="s">
        <v>35</v>
      </c>
      <c r="C2949" t="s">
        <v>24</v>
      </c>
      <c r="D2949">
        <v>0</v>
      </c>
      <c r="E2949" t="s">
        <v>41</v>
      </c>
      <c r="F2949" t="s">
        <v>10</v>
      </c>
    </row>
    <row r="2950" spans="1:6" hidden="1" x14ac:dyDescent="0.35">
      <c r="A2950" t="s">
        <v>18</v>
      </c>
      <c r="B2950" t="s">
        <v>35</v>
      </c>
      <c r="C2950" t="s">
        <v>24</v>
      </c>
      <c r="D2950">
        <v>0</v>
      </c>
      <c r="E2950" t="s">
        <v>41</v>
      </c>
      <c r="F2950" t="s">
        <v>10</v>
      </c>
    </row>
    <row r="2951" spans="1:6" hidden="1" x14ac:dyDescent="0.35">
      <c r="A2951" t="s">
        <v>19</v>
      </c>
      <c r="B2951" t="s">
        <v>35</v>
      </c>
      <c r="C2951" t="s">
        <v>24</v>
      </c>
      <c r="D2951">
        <v>0</v>
      </c>
      <c r="E2951" t="s">
        <v>41</v>
      </c>
      <c r="F2951" t="s">
        <v>10</v>
      </c>
    </row>
    <row r="2952" spans="1:6" hidden="1" x14ac:dyDescent="0.35">
      <c r="A2952" t="s">
        <v>20</v>
      </c>
      <c r="B2952" t="s">
        <v>35</v>
      </c>
      <c r="C2952" t="s">
        <v>24</v>
      </c>
      <c r="D2952">
        <v>0</v>
      </c>
      <c r="E2952" t="s">
        <v>41</v>
      </c>
      <c r="F2952" t="s">
        <v>10</v>
      </c>
    </row>
    <row r="2953" spans="1:6" hidden="1" x14ac:dyDescent="0.35">
      <c r="A2953" t="s">
        <v>21</v>
      </c>
      <c r="B2953" t="s">
        <v>35</v>
      </c>
      <c r="C2953" t="s">
        <v>24</v>
      </c>
      <c r="D2953">
        <v>0</v>
      </c>
      <c r="E2953" t="s">
        <v>41</v>
      </c>
      <c r="F2953" t="s">
        <v>10</v>
      </c>
    </row>
    <row r="2954" spans="1:6" hidden="1" x14ac:dyDescent="0.35">
      <c r="A2954" t="s">
        <v>6</v>
      </c>
      <c r="B2954" t="s">
        <v>35</v>
      </c>
      <c r="C2954" t="s">
        <v>25</v>
      </c>
      <c r="D2954">
        <v>0</v>
      </c>
      <c r="E2954" t="s">
        <v>41</v>
      </c>
      <c r="F2954" t="s">
        <v>10</v>
      </c>
    </row>
    <row r="2955" spans="1:6" hidden="1" x14ac:dyDescent="0.35">
      <c r="A2955" t="s">
        <v>11</v>
      </c>
      <c r="B2955" t="s">
        <v>35</v>
      </c>
      <c r="C2955" t="s">
        <v>25</v>
      </c>
      <c r="D2955">
        <v>22</v>
      </c>
      <c r="E2955" t="s">
        <v>41</v>
      </c>
      <c r="F2955" t="s">
        <v>10</v>
      </c>
    </row>
    <row r="2956" spans="1:6" hidden="1" x14ac:dyDescent="0.35">
      <c r="A2956" t="s">
        <v>12</v>
      </c>
      <c r="B2956" t="s">
        <v>35</v>
      </c>
      <c r="C2956" t="s">
        <v>25</v>
      </c>
      <c r="D2956">
        <v>0</v>
      </c>
      <c r="E2956" t="s">
        <v>41</v>
      </c>
      <c r="F2956" t="s">
        <v>10</v>
      </c>
    </row>
    <row r="2957" spans="1:6" hidden="1" x14ac:dyDescent="0.35">
      <c r="A2957" t="s">
        <v>13</v>
      </c>
      <c r="B2957" t="s">
        <v>35</v>
      </c>
      <c r="C2957" t="s">
        <v>25</v>
      </c>
      <c r="D2957">
        <v>0</v>
      </c>
      <c r="E2957" t="s">
        <v>41</v>
      </c>
      <c r="F2957" t="s">
        <v>10</v>
      </c>
    </row>
    <row r="2958" spans="1:6" hidden="1" x14ac:dyDescent="0.35">
      <c r="A2958" t="s">
        <v>14</v>
      </c>
      <c r="B2958" t="s">
        <v>35</v>
      </c>
      <c r="C2958" t="s">
        <v>25</v>
      </c>
      <c r="D2958">
        <v>0</v>
      </c>
      <c r="E2958" t="s">
        <v>41</v>
      </c>
      <c r="F2958" t="s">
        <v>10</v>
      </c>
    </row>
    <row r="2959" spans="1:6" hidden="1" x14ac:dyDescent="0.35">
      <c r="A2959" t="s">
        <v>15</v>
      </c>
      <c r="B2959" t="s">
        <v>35</v>
      </c>
      <c r="C2959" t="s">
        <v>25</v>
      </c>
      <c r="D2959">
        <v>0</v>
      </c>
      <c r="E2959" t="s">
        <v>41</v>
      </c>
      <c r="F2959" t="s">
        <v>10</v>
      </c>
    </row>
    <row r="2960" spans="1:6" hidden="1" x14ac:dyDescent="0.35">
      <c r="A2960" t="s">
        <v>16</v>
      </c>
      <c r="B2960" t="s">
        <v>35</v>
      </c>
      <c r="C2960" t="s">
        <v>25</v>
      </c>
      <c r="D2960">
        <v>0</v>
      </c>
      <c r="E2960" t="s">
        <v>41</v>
      </c>
      <c r="F2960" t="s">
        <v>10</v>
      </c>
    </row>
    <row r="2961" spans="1:6" hidden="1" x14ac:dyDescent="0.35">
      <c r="A2961" t="s">
        <v>17</v>
      </c>
      <c r="B2961" t="s">
        <v>35</v>
      </c>
      <c r="C2961" t="s">
        <v>25</v>
      </c>
      <c r="D2961">
        <v>0</v>
      </c>
      <c r="E2961" t="s">
        <v>41</v>
      </c>
      <c r="F2961" t="s">
        <v>10</v>
      </c>
    </row>
    <row r="2962" spans="1:6" hidden="1" x14ac:dyDescent="0.35">
      <c r="A2962" t="s">
        <v>18</v>
      </c>
      <c r="B2962" t="s">
        <v>35</v>
      </c>
      <c r="C2962" t="s">
        <v>25</v>
      </c>
      <c r="D2962">
        <v>0</v>
      </c>
      <c r="E2962" t="s">
        <v>41</v>
      </c>
      <c r="F2962" t="s">
        <v>10</v>
      </c>
    </row>
    <row r="2963" spans="1:6" hidden="1" x14ac:dyDescent="0.35">
      <c r="A2963" t="s">
        <v>19</v>
      </c>
      <c r="B2963" t="s">
        <v>35</v>
      </c>
      <c r="C2963" t="s">
        <v>25</v>
      </c>
      <c r="D2963">
        <v>0</v>
      </c>
      <c r="E2963" t="s">
        <v>41</v>
      </c>
      <c r="F2963" t="s">
        <v>10</v>
      </c>
    </row>
    <row r="2964" spans="1:6" hidden="1" x14ac:dyDescent="0.35">
      <c r="A2964" t="s">
        <v>20</v>
      </c>
      <c r="B2964" t="s">
        <v>35</v>
      </c>
      <c r="C2964" t="s">
        <v>25</v>
      </c>
      <c r="D2964">
        <v>0</v>
      </c>
      <c r="E2964" t="s">
        <v>41</v>
      </c>
      <c r="F2964" t="s">
        <v>10</v>
      </c>
    </row>
    <row r="2965" spans="1:6" hidden="1" x14ac:dyDescent="0.35">
      <c r="A2965" t="s">
        <v>21</v>
      </c>
      <c r="B2965" t="s">
        <v>35</v>
      </c>
      <c r="C2965" t="s">
        <v>25</v>
      </c>
      <c r="D2965">
        <v>0</v>
      </c>
      <c r="E2965" t="s">
        <v>41</v>
      </c>
      <c r="F2965" t="s">
        <v>10</v>
      </c>
    </row>
    <row r="2966" spans="1:6" hidden="1" x14ac:dyDescent="0.35">
      <c r="A2966" t="s">
        <v>6</v>
      </c>
      <c r="B2966" t="s">
        <v>35</v>
      </c>
      <c r="C2966" t="s">
        <v>26</v>
      </c>
      <c r="D2966">
        <v>0</v>
      </c>
      <c r="E2966" t="s">
        <v>41</v>
      </c>
      <c r="F2966" t="s">
        <v>10</v>
      </c>
    </row>
    <row r="2967" spans="1:6" hidden="1" x14ac:dyDescent="0.35">
      <c r="A2967" t="s">
        <v>11</v>
      </c>
      <c r="B2967" t="s">
        <v>35</v>
      </c>
      <c r="C2967" t="s">
        <v>26</v>
      </c>
      <c r="E2967" t="s">
        <v>41</v>
      </c>
      <c r="F2967" t="s">
        <v>10</v>
      </c>
    </row>
    <row r="2968" spans="1:6" hidden="1" x14ac:dyDescent="0.35">
      <c r="A2968" t="s">
        <v>12</v>
      </c>
      <c r="B2968" t="s">
        <v>35</v>
      </c>
      <c r="C2968" t="s">
        <v>26</v>
      </c>
      <c r="E2968" t="s">
        <v>41</v>
      </c>
      <c r="F2968" t="s">
        <v>10</v>
      </c>
    </row>
    <row r="2969" spans="1:6" hidden="1" x14ac:dyDescent="0.35">
      <c r="A2969" t="s">
        <v>13</v>
      </c>
      <c r="B2969" t="s">
        <v>35</v>
      </c>
      <c r="C2969" t="s">
        <v>26</v>
      </c>
      <c r="E2969" t="s">
        <v>41</v>
      </c>
      <c r="F2969" t="s">
        <v>10</v>
      </c>
    </row>
    <row r="2970" spans="1:6" hidden="1" x14ac:dyDescent="0.35">
      <c r="A2970" t="s">
        <v>14</v>
      </c>
      <c r="B2970" t="s">
        <v>35</v>
      </c>
      <c r="C2970" t="s">
        <v>26</v>
      </c>
      <c r="E2970" t="s">
        <v>41</v>
      </c>
      <c r="F2970" t="s">
        <v>10</v>
      </c>
    </row>
    <row r="2971" spans="1:6" hidden="1" x14ac:dyDescent="0.35">
      <c r="A2971" t="s">
        <v>15</v>
      </c>
      <c r="B2971" t="s">
        <v>35</v>
      </c>
      <c r="C2971" t="s">
        <v>26</v>
      </c>
      <c r="E2971" t="s">
        <v>41</v>
      </c>
      <c r="F2971" t="s">
        <v>10</v>
      </c>
    </row>
    <row r="2972" spans="1:6" hidden="1" x14ac:dyDescent="0.35">
      <c r="A2972" t="s">
        <v>16</v>
      </c>
      <c r="B2972" t="s">
        <v>35</v>
      </c>
      <c r="C2972" t="s">
        <v>26</v>
      </c>
      <c r="E2972" t="s">
        <v>41</v>
      </c>
      <c r="F2972" t="s">
        <v>10</v>
      </c>
    </row>
    <row r="2973" spans="1:6" hidden="1" x14ac:dyDescent="0.35">
      <c r="A2973" t="s">
        <v>17</v>
      </c>
      <c r="B2973" t="s">
        <v>35</v>
      </c>
      <c r="C2973" t="s">
        <v>26</v>
      </c>
      <c r="E2973" t="s">
        <v>41</v>
      </c>
      <c r="F2973" t="s">
        <v>10</v>
      </c>
    </row>
    <row r="2974" spans="1:6" hidden="1" x14ac:dyDescent="0.35">
      <c r="A2974" t="s">
        <v>18</v>
      </c>
      <c r="B2974" t="s">
        <v>35</v>
      </c>
      <c r="C2974" t="s">
        <v>26</v>
      </c>
      <c r="E2974" t="s">
        <v>41</v>
      </c>
      <c r="F2974" t="s">
        <v>10</v>
      </c>
    </row>
    <row r="2975" spans="1:6" hidden="1" x14ac:dyDescent="0.35">
      <c r="A2975" t="s">
        <v>19</v>
      </c>
      <c r="B2975" t="s">
        <v>35</v>
      </c>
      <c r="C2975" t="s">
        <v>26</v>
      </c>
      <c r="E2975" t="s">
        <v>41</v>
      </c>
      <c r="F2975" t="s">
        <v>10</v>
      </c>
    </row>
    <row r="2976" spans="1:6" hidden="1" x14ac:dyDescent="0.35">
      <c r="A2976" t="s">
        <v>20</v>
      </c>
      <c r="B2976" t="s">
        <v>35</v>
      </c>
      <c r="C2976" t="s">
        <v>26</v>
      </c>
      <c r="E2976" t="s">
        <v>41</v>
      </c>
      <c r="F2976" t="s">
        <v>10</v>
      </c>
    </row>
    <row r="2977" spans="1:6" hidden="1" x14ac:dyDescent="0.35">
      <c r="A2977" t="s">
        <v>21</v>
      </c>
      <c r="B2977" t="s">
        <v>35</v>
      </c>
      <c r="C2977" t="s">
        <v>26</v>
      </c>
      <c r="E2977" t="s">
        <v>41</v>
      </c>
      <c r="F2977" t="s">
        <v>10</v>
      </c>
    </row>
    <row r="2978" spans="1:6" hidden="1" x14ac:dyDescent="0.35">
      <c r="A2978" t="s">
        <v>6</v>
      </c>
      <c r="B2978" t="s">
        <v>35</v>
      </c>
      <c r="C2978" t="s">
        <v>27</v>
      </c>
      <c r="D2978">
        <v>0</v>
      </c>
      <c r="E2978" t="s">
        <v>41</v>
      </c>
      <c r="F2978" t="s">
        <v>10</v>
      </c>
    </row>
    <row r="2979" spans="1:6" hidden="1" x14ac:dyDescent="0.35">
      <c r="A2979" t="s">
        <v>11</v>
      </c>
      <c r="B2979" t="s">
        <v>35</v>
      </c>
      <c r="C2979" t="s">
        <v>27</v>
      </c>
      <c r="D2979">
        <v>0</v>
      </c>
      <c r="E2979" t="s">
        <v>41</v>
      </c>
      <c r="F2979" t="s">
        <v>10</v>
      </c>
    </row>
    <row r="2980" spans="1:6" hidden="1" x14ac:dyDescent="0.35">
      <c r="A2980" t="s">
        <v>12</v>
      </c>
      <c r="B2980" t="s">
        <v>35</v>
      </c>
      <c r="C2980" t="s">
        <v>27</v>
      </c>
      <c r="D2980">
        <v>0</v>
      </c>
      <c r="E2980" t="s">
        <v>41</v>
      </c>
      <c r="F2980" t="s">
        <v>10</v>
      </c>
    </row>
    <row r="2981" spans="1:6" hidden="1" x14ac:dyDescent="0.35">
      <c r="A2981" t="s">
        <v>13</v>
      </c>
      <c r="B2981" t="s">
        <v>35</v>
      </c>
      <c r="C2981" t="s">
        <v>27</v>
      </c>
      <c r="D2981">
        <v>0</v>
      </c>
      <c r="E2981" t="s">
        <v>41</v>
      </c>
      <c r="F2981" t="s">
        <v>10</v>
      </c>
    </row>
    <row r="2982" spans="1:6" hidden="1" x14ac:dyDescent="0.35">
      <c r="A2982" t="s">
        <v>14</v>
      </c>
      <c r="B2982" t="s">
        <v>35</v>
      </c>
      <c r="C2982" t="s">
        <v>27</v>
      </c>
      <c r="D2982">
        <v>0</v>
      </c>
      <c r="E2982" t="s">
        <v>41</v>
      </c>
      <c r="F2982" t="s">
        <v>10</v>
      </c>
    </row>
    <row r="2983" spans="1:6" hidden="1" x14ac:dyDescent="0.35">
      <c r="A2983" t="s">
        <v>15</v>
      </c>
      <c r="B2983" t="s">
        <v>35</v>
      </c>
      <c r="C2983" t="s">
        <v>27</v>
      </c>
      <c r="D2983">
        <v>0</v>
      </c>
      <c r="E2983" t="s">
        <v>41</v>
      </c>
      <c r="F2983" t="s">
        <v>10</v>
      </c>
    </row>
    <row r="2984" spans="1:6" hidden="1" x14ac:dyDescent="0.35">
      <c r="A2984" t="s">
        <v>16</v>
      </c>
      <c r="B2984" t="s">
        <v>35</v>
      </c>
      <c r="C2984" t="s">
        <v>27</v>
      </c>
      <c r="D2984">
        <v>0</v>
      </c>
      <c r="E2984" t="s">
        <v>41</v>
      </c>
      <c r="F2984" t="s">
        <v>10</v>
      </c>
    </row>
    <row r="2985" spans="1:6" hidden="1" x14ac:dyDescent="0.35">
      <c r="A2985" t="s">
        <v>17</v>
      </c>
      <c r="B2985" t="s">
        <v>35</v>
      </c>
      <c r="C2985" t="s">
        <v>27</v>
      </c>
      <c r="D2985">
        <v>11687</v>
      </c>
      <c r="E2985" t="s">
        <v>41</v>
      </c>
      <c r="F2985" t="s">
        <v>10</v>
      </c>
    </row>
    <row r="2986" spans="1:6" hidden="1" x14ac:dyDescent="0.35">
      <c r="A2986" t="s">
        <v>18</v>
      </c>
      <c r="B2986" t="s">
        <v>35</v>
      </c>
      <c r="C2986" t="s">
        <v>27</v>
      </c>
      <c r="D2986">
        <v>0</v>
      </c>
      <c r="E2986" t="s">
        <v>41</v>
      </c>
      <c r="F2986" t="s">
        <v>10</v>
      </c>
    </row>
    <row r="2987" spans="1:6" hidden="1" x14ac:dyDescent="0.35">
      <c r="A2987" t="s">
        <v>19</v>
      </c>
      <c r="B2987" t="s">
        <v>35</v>
      </c>
      <c r="C2987" t="s">
        <v>27</v>
      </c>
      <c r="D2987">
        <v>0</v>
      </c>
      <c r="E2987" t="s">
        <v>41</v>
      </c>
      <c r="F2987" t="s">
        <v>10</v>
      </c>
    </row>
    <row r="2988" spans="1:6" hidden="1" x14ac:dyDescent="0.35">
      <c r="A2988" t="s">
        <v>20</v>
      </c>
      <c r="B2988" t="s">
        <v>35</v>
      </c>
      <c r="C2988" t="s">
        <v>27</v>
      </c>
      <c r="D2988">
        <v>0</v>
      </c>
      <c r="E2988" t="s">
        <v>41</v>
      </c>
      <c r="F2988" t="s">
        <v>10</v>
      </c>
    </row>
    <row r="2989" spans="1:6" hidden="1" x14ac:dyDescent="0.35">
      <c r="A2989" t="s">
        <v>21</v>
      </c>
      <c r="B2989" t="s">
        <v>35</v>
      </c>
      <c r="C2989" t="s">
        <v>27</v>
      </c>
      <c r="D2989">
        <v>0</v>
      </c>
      <c r="E2989" t="s">
        <v>41</v>
      </c>
      <c r="F2989" t="s">
        <v>10</v>
      </c>
    </row>
    <row r="2990" spans="1:6" hidden="1" x14ac:dyDescent="0.35">
      <c r="A2990" t="s">
        <v>6</v>
      </c>
      <c r="B2990" t="s">
        <v>35</v>
      </c>
      <c r="C2990" t="s">
        <v>28</v>
      </c>
      <c r="D2990">
        <v>0</v>
      </c>
      <c r="E2990" t="s">
        <v>41</v>
      </c>
      <c r="F2990" t="s">
        <v>10</v>
      </c>
    </row>
    <row r="2991" spans="1:6" hidden="1" x14ac:dyDescent="0.35">
      <c r="A2991" t="s">
        <v>11</v>
      </c>
      <c r="B2991" t="s">
        <v>35</v>
      </c>
      <c r="C2991" t="s">
        <v>28</v>
      </c>
      <c r="D2991">
        <v>0</v>
      </c>
      <c r="E2991" t="s">
        <v>41</v>
      </c>
      <c r="F2991" t="s">
        <v>10</v>
      </c>
    </row>
    <row r="2992" spans="1:6" hidden="1" x14ac:dyDescent="0.35">
      <c r="A2992" t="s">
        <v>12</v>
      </c>
      <c r="B2992" t="s">
        <v>35</v>
      </c>
      <c r="C2992" t="s">
        <v>28</v>
      </c>
      <c r="D2992">
        <v>0</v>
      </c>
      <c r="E2992" t="s">
        <v>41</v>
      </c>
      <c r="F2992" t="s">
        <v>10</v>
      </c>
    </row>
    <row r="2993" spans="1:6" hidden="1" x14ac:dyDescent="0.35">
      <c r="A2993" t="s">
        <v>13</v>
      </c>
      <c r="B2993" t="s">
        <v>35</v>
      </c>
      <c r="C2993" t="s">
        <v>28</v>
      </c>
      <c r="D2993">
        <v>0</v>
      </c>
      <c r="E2993" t="s">
        <v>41</v>
      </c>
      <c r="F2993" t="s">
        <v>10</v>
      </c>
    </row>
    <row r="2994" spans="1:6" hidden="1" x14ac:dyDescent="0.35">
      <c r="A2994" t="s">
        <v>14</v>
      </c>
      <c r="B2994" t="s">
        <v>35</v>
      </c>
      <c r="C2994" t="s">
        <v>28</v>
      </c>
      <c r="D2994">
        <v>0</v>
      </c>
      <c r="E2994" t="s">
        <v>41</v>
      </c>
      <c r="F2994" t="s">
        <v>10</v>
      </c>
    </row>
    <row r="2995" spans="1:6" hidden="1" x14ac:dyDescent="0.35">
      <c r="A2995" t="s">
        <v>15</v>
      </c>
      <c r="B2995" t="s">
        <v>35</v>
      </c>
      <c r="C2995" t="s">
        <v>28</v>
      </c>
      <c r="D2995">
        <v>0</v>
      </c>
      <c r="E2995" t="s">
        <v>41</v>
      </c>
      <c r="F2995" t="s">
        <v>10</v>
      </c>
    </row>
    <row r="2996" spans="1:6" hidden="1" x14ac:dyDescent="0.35">
      <c r="A2996" t="s">
        <v>16</v>
      </c>
      <c r="B2996" t="s">
        <v>35</v>
      </c>
      <c r="C2996" t="s">
        <v>28</v>
      </c>
      <c r="D2996">
        <v>0</v>
      </c>
      <c r="E2996" t="s">
        <v>41</v>
      </c>
      <c r="F2996" t="s">
        <v>10</v>
      </c>
    </row>
    <row r="2997" spans="1:6" hidden="1" x14ac:dyDescent="0.35">
      <c r="A2997" t="s">
        <v>17</v>
      </c>
      <c r="B2997" t="s">
        <v>35</v>
      </c>
      <c r="C2997" t="s">
        <v>28</v>
      </c>
      <c r="D2997">
        <v>88327</v>
      </c>
      <c r="E2997" t="s">
        <v>41</v>
      </c>
      <c r="F2997" t="s">
        <v>10</v>
      </c>
    </row>
    <row r="2998" spans="1:6" hidden="1" x14ac:dyDescent="0.35">
      <c r="A2998" t="s">
        <v>18</v>
      </c>
      <c r="B2998" t="s">
        <v>35</v>
      </c>
      <c r="C2998" t="s">
        <v>28</v>
      </c>
      <c r="D2998">
        <v>0</v>
      </c>
      <c r="E2998" t="s">
        <v>41</v>
      </c>
      <c r="F2998" t="s">
        <v>10</v>
      </c>
    </row>
    <row r="2999" spans="1:6" hidden="1" x14ac:dyDescent="0.35">
      <c r="A2999" t="s">
        <v>19</v>
      </c>
      <c r="B2999" t="s">
        <v>35</v>
      </c>
      <c r="C2999" t="s">
        <v>28</v>
      </c>
      <c r="D2999">
        <v>0</v>
      </c>
      <c r="E2999" t="s">
        <v>41</v>
      </c>
      <c r="F2999" t="s">
        <v>10</v>
      </c>
    </row>
    <row r="3000" spans="1:6" hidden="1" x14ac:dyDescent="0.35">
      <c r="A3000" t="s">
        <v>20</v>
      </c>
      <c r="B3000" t="s">
        <v>35</v>
      </c>
      <c r="C3000" t="s">
        <v>28</v>
      </c>
      <c r="D3000">
        <v>0</v>
      </c>
      <c r="E3000" t="s">
        <v>41</v>
      </c>
      <c r="F3000" t="s">
        <v>10</v>
      </c>
    </row>
    <row r="3001" spans="1:6" hidden="1" x14ac:dyDescent="0.35">
      <c r="A3001" t="s">
        <v>21</v>
      </c>
      <c r="B3001" t="s">
        <v>35</v>
      </c>
      <c r="C3001" t="s">
        <v>28</v>
      </c>
      <c r="D3001">
        <v>0</v>
      </c>
      <c r="E3001" t="s">
        <v>41</v>
      </c>
      <c r="F3001" t="s">
        <v>10</v>
      </c>
    </row>
    <row r="3002" spans="1:6" hidden="1" x14ac:dyDescent="0.35">
      <c r="A3002" t="s">
        <v>6</v>
      </c>
      <c r="B3002" t="s">
        <v>35</v>
      </c>
      <c r="C3002" t="s">
        <v>29</v>
      </c>
      <c r="E3002" t="s">
        <v>41</v>
      </c>
      <c r="F3002" t="s">
        <v>10</v>
      </c>
    </row>
    <row r="3003" spans="1:6" hidden="1" x14ac:dyDescent="0.35">
      <c r="A3003" t="s">
        <v>11</v>
      </c>
      <c r="B3003" t="s">
        <v>35</v>
      </c>
      <c r="C3003" t="s">
        <v>29</v>
      </c>
      <c r="E3003" t="s">
        <v>41</v>
      </c>
      <c r="F3003" t="s">
        <v>10</v>
      </c>
    </row>
    <row r="3004" spans="1:6" hidden="1" x14ac:dyDescent="0.35">
      <c r="A3004" t="s">
        <v>12</v>
      </c>
      <c r="B3004" t="s">
        <v>35</v>
      </c>
      <c r="C3004" t="s">
        <v>29</v>
      </c>
      <c r="E3004" t="s">
        <v>41</v>
      </c>
      <c r="F3004" t="s">
        <v>10</v>
      </c>
    </row>
    <row r="3005" spans="1:6" hidden="1" x14ac:dyDescent="0.35">
      <c r="A3005" t="s">
        <v>13</v>
      </c>
      <c r="B3005" t="s">
        <v>35</v>
      </c>
      <c r="C3005" t="s">
        <v>29</v>
      </c>
      <c r="E3005" t="s">
        <v>41</v>
      </c>
      <c r="F3005" t="s">
        <v>10</v>
      </c>
    </row>
    <row r="3006" spans="1:6" hidden="1" x14ac:dyDescent="0.35">
      <c r="A3006" t="s">
        <v>14</v>
      </c>
      <c r="B3006" t="s">
        <v>35</v>
      </c>
      <c r="C3006" t="s">
        <v>29</v>
      </c>
      <c r="E3006" t="s">
        <v>41</v>
      </c>
      <c r="F3006" t="s">
        <v>10</v>
      </c>
    </row>
    <row r="3007" spans="1:6" hidden="1" x14ac:dyDescent="0.35">
      <c r="A3007" t="s">
        <v>15</v>
      </c>
      <c r="B3007" t="s">
        <v>35</v>
      </c>
      <c r="C3007" t="s">
        <v>29</v>
      </c>
      <c r="E3007" t="s">
        <v>41</v>
      </c>
      <c r="F3007" t="s">
        <v>10</v>
      </c>
    </row>
    <row r="3008" spans="1:6" hidden="1" x14ac:dyDescent="0.35">
      <c r="A3008" t="s">
        <v>16</v>
      </c>
      <c r="B3008" t="s">
        <v>35</v>
      </c>
      <c r="C3008" t="s">
        <v>29</v>
      </c>
      <c r="E3008" t="s">
        <v>41</v>
      </c>
      <c r="F3008" t="s">
        <v>10</v>
      </c>
    </row>
    <row r="3009" spans="1:6" hidden="1" x14ac:dyDescent="0.35">
      <c r="A3009" t="s">
        <v>17</v>
      </c>
      <c r="B3009" t="s">
        <v>35</v>
      </c>
      <c r="C3009" t="s">
        <v>29</v>
      </c>
      <c r="E3009" t="s">
        <v>41</v>
      </c>
      <c r="F3009" t="s">
        <v>10</v>
      </c>
    </row>
    <row r="3010" spans="1:6" hidden="1" x14ac:dyDescent="0.35">
      <c r="A3010" t="s">
        <v>18</v>
      </c>
      <c r="B3010" t="s">
        <v>35</v>
      </c>
      <c r="C3010" t="s">
        <v>29</v>
      </c>
      <c r="E3010" t="s">
        <v>41</v>
      </c>
      <c r="F3010" t="s">
        <v>10</v>
      </c>
    </row>
    <row r="3011" spans="1:6" hidden="1" x14ac:dyDescent="0.35">
      <c r="A3011" t="s">
        <v>19</v>
      </c>
      <c r="B3011" t="s">
        <v>35</v>
      </c>
      <c r="C3011" t="s">
        <v>29</v>
      </c>
      <c r="E3011" t="s">
        <v>41</v>
      </c>
      <c r="F3011" t="s">
        <v>10</v>
      </c>
    </row>
    <row r="3012" spans="1:6" hidden="1" x14ac:dyDescent="0.35">
      <c r="A3012" t="s">
        <v>20</v>
      </c>
      <c r="B3012" t="s">
        <v>35</v>
      </c>
      <c r="C3012" t="s">
        <v>29</v>
      </c>
      <c r="E3012" t="s">
        <v>41</v>
      </c>
      <c r="F3012" t="s">
        <v>10</v>
      </c>
    </row>
    <row r="3013" spans="1:6" hidden="1" x14ac:dyDescent="0.35">
      <c r="A3013" t="s">
        <v>21</v>
      </c>
      <c r="B3013" t="s">
        <v>35</v>
      </c>
      <c r="C3013" t="s">
        <v>29</v>
      </c>
      <c r="E3013" t="s">
        <v>41</v>
      </c>
      <c r="F3013" t="s">
        <v>10</v>
      </c>
    </row>
    <row r="3014" spans="1:6" hidden="1" x14ac:dyDescent="0.35">
      <c r="A3014" t="s">
        <v>6</v>
      </c>
      <c r="B3014" t="s">
        <v>35</v>
      </c>
      <c r="C3014" t="s">
        <v>30</v>
      </c>
      <c r="E3014" t="s">
        <v>41</v>
      </c>
      <c r="F3014" t="s">
        <v>10</v>
      </c>
    </row>
    <row r="3015" spans="1:6" hidden="1" x14ac:dyDescent="0.35">
      <c r="A3015" t="s">
        <v>11</v>
      </c>
      <c r="B3015" t="s">
        <v>35</v>
      </c>
      <c r="C3015" t="s">
        <v>30</v>
      </c>
      <c r="E3015" t="s">
        <v>41</v>
      </c>
      <c r="F3015" t="s">
        <v>10</v>
      </c>
    </row>
    <row r="3016" spans="1:6" hidden="1" x14ac:dyDescent="0.35">
      <c r="A3016" t="s">
        <v>12</v>
      </c>
      <c r="B3016" t="s">
        <v>35</v>
      </c>
      <c r="C3016" t="s">
        <v>30</v>
      </c>
      <c r="E3016" t="s">
        <v>41</v>
      </c>
      <c r="F3016" t="s">
        <v>10</v>
      </c>
    </row>
    <row r="3017" spans="1:6" hidden="1" x14ac:dyDescent="0.35">
      <c r="A3017" t="s">
        <v>13</v>
      </c>
      <c r="B3017" t="s">
        <v>35</v>
      </c>
      <c r="C3017" t="s">
        <v>30</v>
      </c>
      <c r="D3017">
        <v>1</v>
      </c>
      <c r="E3017" t="s">
        <v>41</v>
      </c>
      <c r="F3017" t="s">
        <v>10</v>
      </c>
    </row>
    <row r="3018" spans="1:6" hidden="1" x14ac:dyDescent="0.35">
      <c r="A3018" t="s">
        <v>14</v>
      </c>
      <c r="B3018" t="s">
        <v>35</v>
      </c>
      <c r="C3018" t="s">
        <v>30</v>
      </c>
      <c r="E3018" t="s">
        <v>41</v>
      </c>
      <c r="F3018" t="s">
        <v>10</v>
      </c>
    </row>
    <row r="3019" spans="1:6" hidden="1" x14ac:dyDescent="0.35">
      <c r="A3019" t="s">
        <v>15</v>
      </c>
      <c r="B3019" t="s">
        <v>35</v>
      </c>
      <c r="C3019" t="s">
        <v>30</v>
      </c>
      <c r="E3019" t="s">
        <v>41</v>
      </c>
      <c r="F3019" t="s">
        <v>10</v>
      </c>
    </row>
    <row r="3020" spans="1:6" hidden="1" x14ac:dyDescent="0.35">
      <c r="A3020" t="s">
        <v>16</v>
      </c>
      <c r="B3020" t="s">
        <v>35</v>
      </c>
      <c r="C3020" t="s">
        <v>30</v>
      </c>
      <c r="E3020" t="s">
        <v>41</v>
      </c>
      <c r="F3020" t="s">
        <v>10</v>
      </c>
    </row>
    <row r="3021" spans="1:6" hidden="1" x14ac:dyDescent="0.35">
      <c r="A3021" t="s">
        <v>17</v>
      </c>
      <c r="B3021" t="s">
        <v>35</v>
      </c>
      <c r="C3021" t="s">
        <v>30</v>
      </c>
      <c r="E3021" t="s">
        <v>41</v>
      </c>
      <c r="F3021" t="s">
        <v>10</v>
      </c>
    </row>
    <row r="3022" spans="1:6" hidden="1" x14ac:dyDescent="0.35">
      <c r="A3022" t="s">
        <v>18</v>
      </c>
      <c r="B3022" t="s">
        <v>35</v>
      </c>
      <c r="C3022" t="s">
        <v>30</v>
      </c>
      <c r="E3022" t="s">
        <v>41</v>
      </c>
      <c r="F3022" t="s">
        <v>10</v>
      </c>
    </row>
    <row r="3023" spans="1:6" hidden="1" x14ac:dyDescent="0.35">
      <c r="A3023" t="s">
        <v>19</v>
      </c>
      <c r="B3023" t="s">
        <v>35</v>
      </c>
      <c r="C3023" t="s">
        <v>30</v>
      </c>
      <c r="E3023" t="s">
        <v>41</v>
      </c>
      <c r="F3023" t="s">
        <v>10</v>
      </c>
    </row>
    <row r="3024" spans="1:6" hidden="1" x14ac:dyDescent="0.35">
      <c r="A3024" t="s">
        <v>20</v>
      </c>
      <c r="B3024" t="s">
        <v>35</v>
      </c>
      <c r="C3024" t="s">
        <v>30</v>
      </c>
      <c r="E3024" t="s">
        <v>41</v>
      </c>
      <c r="F3024" t="s">
        <v>10</v>
      </c>
    </row>
    <row r="3025" spans="1:6" hidden="1" x14ac:dyDescent="0.35">
      <c r="A3025" t="s">
        <v>21</v>
      </c>
      <c r="B3025" t="s">
        <v>35</v>
      </c>
      <c r="C3025" t="s">
        <v>30</v>
      </c>
      <c r="E3025" t="s">
        <v>41</v>
      </c>
      <c r="F3025" t="s">
        <v>10</v>
      </c>
    </row>
    <row r="3026" spans="1:6" hidden="1" x14ac:dyDescent="0.35">
      <c r="A3026" t="s">
        <v>6</v>
      </c>
      <c r="B3026" t="s">
        <v>35</v>
      </c>
      <c r="C3026" t="s">
        <v>31</v>
      </c>
      <c r="E3026" t="s">
        <v>41</v>
      </c>
      <c r="F3026" t="s">
        <v>10</v>
      </c>
    </row>
    <row r="3027" spans="1:6" hidden="1" x14ac:dyDescent="0.35">
      <c r="A3027" t="s">
        <v>11</v>
      </c>
      <c r="B3027" t="s">
        <v>35</v>
      </c>
      <c r="C3027" t="s">
        <v>31</v>
      </c>
      <c r="E3027" t="s">
        <v>41</v>
      </c>
      <c r="F3027" t="s">
        <v>10</v>
      </c>
    </row>
    <row r="3028" spans="1:6" hidden="1" x14ac:dyDescent="0.35">
      <c r="A3028" t="s">
        <v>12</v>
      </c>
      <c r="B3028" t="s">
        <v>35</v>
      </c>
      <c r="C3028" t="s">
        <v>31</v>
      </c>
      <c r="E3028" t="s">
        <v>41</v>
      </c>
      <c r="F3028" t="s">
        <v>10</v>
      </c>
    </row>
    <row r="3029" spans="1:6" hidden="1" x14ac:dyDescent="0.35">
      <c r="A3029" t="s">
        <v>13</v>
      </c>
      <c r="B3029" t="s">
        <v>35</v>
      </c>
      <c r="C3029" t="s">
        <v>31</v>
      </c>
      <c r="E3029" t="s">
        <v>41</v>
      </c>
      <c r="F3029" t="s">
        <v>10</v>
      </c>
    </row>
    <row r="3030" spans="1:6" hidden="1" x14ac:dyDescent="0.35">
      <c r="A3030" t="s">
        <v>14</v>
      </c>
      <c r="B3030" t="s">
        <v>35</v>
      </c>
      <c r="C3030" t="s">
        <v>31</v>
      </c>
      <c r="E3030" t="s">
        <v>41</v>
      </c>
      <c r="F3030" t="s">
        <v>10</v>
      </c>
    </row>
    <row r="3031" spans="1:6" hidden="1" x14ac:dyDescent="0.35">
      <c r="A3031" t="s">
        <v>15</v>
      </c>
      <c r="B3031" t="s">
        <v>35</v>
      </c>
      <c r="C3031" t="s">
        <v>31</v>
      </c>
      <c r="E3031" t="s">
        <v>41</v>
      </c>
      <c r="F3031" t="s">
        <v>10</v>
      </c>
    </row>
    <row r="3032" spans="1:6" hidden="1" x14ac:dyDescent="0.35">
      <c r="A3032" t="s">
        <v>16</v>
      </c>
      <c r="B3032" t="s">
        <v>35</v>
      </c>
      <c r="C3032" t="s">
        <v>31</v>
      </c>
      <c r="E3032" t="s">
        <v>41</v>
      </c>
      <c r="F3032" t="s">
        <v>10</v>
      </c>
    </row>
    <row r="3033" spans="1:6" hidden="1" x14ac:dyDescent="0.35">
      <c r="A3033" t="s">
        <v>17</v>
      </c>
      <c r="B3033" t="s">
        <v>35</v>
      </c>
      <c r="C3033" t="s">
        <v>31</v>
      </c>
      <c r="E3033" t="s">
        <v>41</v>
      </c>
      <c r="F3033" t="s">
        <v>10</v>
      </c>
    </row>
    <row r="3034" spans="1:6" hidden="1" x14ac:dyDescent="0.35">
      <c r="A3034" t="s">
        <v>18</v>
      </c>
      <c r="B3034" t="s">
        <v>35</v>
      </c>
      <c r="C3034" t="s">
        <v>31</v>
      </c>
      <c r="E3034" t="s">
        <v>41</v>
      </c>
      <c r="F3034" t="s">
        <v>10</v>
      </c>
    </row>
    <row r="3035" spans="1:6" hidden="1" x14ac:dyDescent="0.35">
      <c r="A3035" t="s">
        <v>19</v>
      </c>
      <c r="B3035" t="s">
        <v>35</v>
      </c>
      <c r="C3035" t="s">
        <v>31</v>
      </c>
      <c r="E3035" t="s">
        <v>41</v>
      </c>
      <c r="F3035" t="s">
        <v>10</v>
      </c>
    </row>
    <row r="3036" spans="1:6" hidden="1" x14ac:dyDescent="0.35">
      <c r="A3036" t="s">
        <v>20</v>
      </c>
      <c r="B3036" t="s">
        <v>35</v>
      </c>
      <c r="C3036" t="s">
        <v>31</v>
      </c>
      <c r="E3036" t="s">
        <v>41</v>
      </c>
      <c r="F3036" t="s">
        <v>10</v>
      </c>
    </row>
    <row r="3037" spans="1:6" hidden="1" x14ac:dyDescent="0.35">
      <c r="A3037" t="s">
        <v>21</v>
      </c>
      <c r="B3037" t="s">
        <v>35</v>
      </c>
      <c r="C3037" t="s">
        <v>31</v>
      </c>
      <c r="E3037" t="s">
        <v>41</v>
      </c>
      <c r="F3037" t="s">
        <v>10</v>
      </c>
    </row>
    <row r="3038" spans="1:6" hidden="1" x14ac:dyDescent="0.35">
      <c r="A3038" t="s">
        <v>6</v>
      </c>
      <c r="B3038" t="s">
        <v>36</v>
      </c>
      <c r="C3038" t="s">
        <v>8</v>
      </c>
      <c r="D3038">
        <v>8540</v>
      </c>
      <c r="E3038" t="s">
        <v>41</v>
      </c>
      <c r="F3038" t="s">
        <v>10</v>
      </c>
    </row>
    <row r="3039" spans="1:6" hidden="1" x14ac:dyDescent="0.35">
      <c r="A3039" t="s">
        <v>11</v>
      </c>
      <c r="B3039" t="s">
        <v>36</v>
      </c>
      <c r="C3039" t="s">
        <v>8</v>
      </c>
      <c r="D3039">
        <v>34718</v>
      </c>
      <c r="E3039" t="s">
        <v>41</v>
      </c>
      <c r="F3039" t="s">
        <v>10</v>
      </c>
    </row>
    <row r="3040" spans="1:6" hidden="1" x14ac:dyDescent="0.35">
      <c r="A3040" t="s">
        <v>12</v>
      </c>
      <c r="B3040" t="s">
        <v>36</v>
      </c>
      <c r="C3040" t="s">
        <v>8</v>
      </c>
      <c r="D3040">
        <v>48928</v>
      </c>
      <c r="E3040" t="s">
        <v>41</v>
      </c>
      <c r="F3040" t="s">
        <v>10</v>
      </c>
    </row>
    <row r="3041" spans="1:6" hidden="1" x14ac:dyDescent="0.35">
      <c r="A3041" t="s">
        <v>13</v>
      </c>
      <c r="B3041" t="s">
        <v>36</v>
      </c>
      <c r="C3041" t="s">
        <v>8</v>
      </c>
      <c r="D3041">
        <v>4428513</v>
      </c>
      <c r="E3041" t="s">
        <v>41</v>
      </c>
      <c r="F3041" t="s">
        <v>10</v>
      </c>
    </row>
    <row r="3042" spans="1:6" hidden="1" x14ac:dyDescent="0.35">
      <c r="A3042" t="s">
        <v>14</v>
      </c>
      <c r="B3042" t="s">
        <v>36</v>
      </c>
      <c r="C3042" t="s">
        <v>8</v>
      </c>
      <c r="D3042">
        <v>3207</v>
      </c>
      <c r="E3042" t="s">
        <v>41</v>
      </c>
      <c r="F3042" t="s">
        <v>10</v>
      </c>
    </row>
    <row r="3043" spans="1:6" hidden="1" x14ac:dyDescent="0.35">
      <c r="A3043" t="s">
        <v>15</v>
      </c>
      <c r="B3043" t="s">
        <v>36</v>
      </c>
      <c r="C3043" t="s">
        <v>8</v>
      </c>
      <c r="D3043">
        <v>8135</v>
      </c>
      <c r="E3043" t="s">
        <v>41</v>
      </c>
      <c r="F3043" t="s">
        <v>10</v>
      </c>
    </row>
    <row r="3044" spans="1:6" hidden="1" x14ac:dyDescent="0.35">
      <c r="A3044" t="s">
        <v>16</v>
      </c>
      <c r="B3044" t="s">
        <v>36</v>
      </c>
      <c r="C3044" t="s">
        <v>8</v>
      </c>
      <c r="D3044">
        <v>3612</v>
      </c>
      <c r="E3044" t="s">
        <v>41</v>
      </c>
      <c r="F3044" t="s">
        <v>10</v>
      </c>
    </row>
    <row r="3045" spans="1:6" hidden="1" x14ac:dyDescent="0.35">
      <c r="A3045" t="s">
        <v>17</v>
      </c>
      <c r="B3045" t="s">
        <v>36</v>
      </c>
      <c r="C3045" t="s">
        <v>8</v>
      </c>
      <c r="D3045">
        <v>57215</v>
      </c>
      <c r="E3045" t="s">
        <v>41</v>
      </c>
      <c r="F3045" t="s">
        <v>10</v>
      </c>
    </row>
    <row r="3046" spans="1:6" hidden="1" x14ac:dyDescent="0.35">
      <c r="A3046" t="s">
        <v>18</v>
      </c>
      <c r="B3046" t="s">
        <v>36</v>
      </c>
      <c r="C3046" t="s">
        <v>8</v>
      </c>
      <c r="D3046">
        <v>8048</v>
      </c>
      <c r="E3046" t="s">
        <v>41</v>
      </c>
      <c r="F3046" t="s">
        <v>10</v>
      </c>
    </row>
    <row r="3047" spans="1:6" hidden="1" x14ac:dyDescent="0.35">
      <c r="A3047" t="s">
        <v>19</v>
      </c>
      <c r="B3047" t="s">
        <v>36</v>
      </c>
      <c r="C3047" t="s">
        <v>8</v>
      </c>
      <c r="D3047">
        <v>0</v>
      </c>
      <c r="E3047" t="s">
        <v>41</v>
      </c>
      <c r="F3047" t="s">
        <v>10</v>
      </c>
    </row>
    <row r="3048" spans="1:6" hidden="1" x14ac:dyDescent="0.35">
      <c r="A3048" t="s">
        <v>20</v>
      </c>
      <c r="B3048" t="s">
        <v>36</v>
      </c>
      <c r="C3048" t="s">
        <v>8</v>
      </c>
      <c r="D3048">
        <v>3871</v>
      </c>
      <c r="E3048" t="s">
        <v>41</v>
      </c>
      <c r="F3048" t="s">
        <v>10</v>
      </c>
    </row>
    <row r="3049" spans="1:6" hidden="1" x14ac:dyDescent="0.35">
      <c r="A3049" t="s">
        <v>21</v>
      </c>
      <c r="B3049" t="s">
        <v>36</v>
      </c>
      <c r="C3049" t="s">
        <v>8</v>
      </c>
      <c r="D3049">
        <v>0</v>
      </c>
      <c r="E3049" t="s">
        <v>41</v>
      </c>
      <c r="F3049" t="s">
        <v>10</v>
      </c>
    </row>
    <row r="3050" spans="1:6" hidden="1" x14ac:dyDescent="0.35">
      <c r="A3050" t="s">
        <v>6</v>
      </c>
      <c r="B3050" t="s">
        <v>36</v>
      </c>
      <c r="C3050" t="s">
        <v>22</v>
      </c>
      <c r="D3050">
        <v>0</v>
      </c>
      <c r="E3050" t="s">
        <v>41</v>
      </c>
      <c r="F3050" t="s">
        <v>10</v>
      </c>
    </row>
    <row r="3051" spans="1:6" hidden="1" x14ac:dyDescent="0.35">
      <c r="A3051" t="s">
        <v>11</v>
      </c>
      <c r="B3051" t="s">
        <v>36</v>
      </c>
      <c r="C3051" t="s">
        <v>22</v>
      </c>
      <c r="D3051">
        <v>0</v>
      </c>
      <c r="E3051" t="s">
        <v>41</v>
      </c>
      <c r="F3051" t="s">
        <v>10</v>
      </c>
    </row>
    <row r="3052" spans="1:6" hidden="1" x14ac:dyDescent="0.35">
      <c r="A3052" t="s">
        <v>12</v>
      </c>
      <c r="B3052" t="s">
        <v>36</v>
      </c>
      <c r="C3052" t="s">
        <v>22</v>
      </c>
      <c r="D3052">
        <v>0</v>
      </c>
      <c r="E3052" t="s">
        <v>41</v>
      </c>
      <c r="F3052" t="s">
        <v>10</v>
      </c>
    </row>
    <row r="3053" spans="1:6" hidden="1" x14ac:dyDescent="0.35">
      <c r="A3053" t="s">
        <v>13</v>
      </c>
      <c r="B3053" t="s">
        <v>36</v>
      </c>
      <c r="C3053" t="s">
        <v>22</v>
      </c>
      <c r="D3053">
        <v>0</v>
      </c>
      <c r="E3053" t="s">
        <v>41</v>
      </c>
      <c r="F3053" t="s">
        <v>10</v>
      </c>
    </row>
    <row r="3054" spans="1:6" hidden="1" x14ac:dyDescent="0.35">
      <c r="A3054" t="s">
        <v>14</v>
      </c>
      <c r="B3054" t="s">
        <v>36</v>
      </c>
      <c r="C3054" t="s">
        <v>22</v>
      </c>
      <c r="D3054">
        <v>0</v>
      </c>
      <c r="E3054" t="s">
        <v>41</v>
      </c>
      <c r="F3054" t="s">
        <v>10</v>
      </c>
    </row>
    <row r="3055" spans="1:6" hidden="1" x14ac:dyDescent="0.35">
      <c r="A3055" t="s">
        <v>15</v>
      </c>
      <c r="B3055" t="s">
        <v>36</v>
      </c>
      <c r="C3055" t="s">
        <v>22</v>
      </c>
      <c r="D3055">
        <v>0</v>
      </c>
      <c r="E3055" t="s">
        <v>41</v>
      </c>
      <c r="F3055" t="s">
        <v>10</v>
      </c>
    </row>
    <row r="3056" spans="1:6" hidden="1" x14ac:dyDescent="0.35">
      <c r="A3056" t="s">
        <v>16</v>
      </c>
      <c r="B3056" t="s">
        <v>36</v>
      </c>
      <c r="C3056" t="s">
        <v>22</v>
      </c>
      <c r="D3056">
        <v>0</v>
      </c>
      <c r="E3056" t="s">
        <v>41</v>
      </c>
      <c r="F3056" t="s">
        <v>10</v>
      </c>
    </row>
    <row r="3057" spans="1:6" hidden="1" x14ac:dyDescent="0.35">
      <c r="A3057" t="s">
        <v>17</v>
      </c>
      <c r="B3057" t="s">
        <v>36</v>
      </c>
      <c r="C3057" t="s">
        <v>22</v>
      </c>
      <c r="D3057">
        <v>0</v>
      </c>
      <c r="E3057" t="s">
        <v>41</v>
      </c>
      <c r="F3057" t="s">
        <v>10</v>
      </c>
    </row>
    <row r="3058" spans="1:6" hidden="1" x14ac:dyDescent="0.35">
      <c r="A3058" t="s">
        <v>18</v>
      </c>
      <c r="B3058" t="s">
        <v>36</v>
      </c>
      <c r="C3058" t="s">
        <v>22</v>
      </c>
      <c r="D3058">
        <v>0</v>
      </c>
      <c r="E3058" t="s">
        <v>41</v>
      </c>
      <c r="F3058" t="s">
        <v>10</v>
      </c>
    </row>
    <row r="3059" spans="1:6" hidden="1" x14ac:dyDescent="0.35">
      <c r="A3059" t="s">
        <v>19</v>
      </c>
      <c r="B3059" t="s">
        <v>36</v>
      </c>
      <c r="C3059" t="s">
        <v>22</v>
      </c>
      <c r="D3059">
        <v>0</v>
      </c>
      <c r="E3059" t="s">
        <v>41</v>
      </c>
      <c r="F3059" t="s">
        <v>10</v>
      </c>
    </row>
    <row r="3060" spans="1:6" hidden="1" x14ac:dyDescent="0.35">
      <c r="A3060" t="s">
        <v>20</v>
      </c>
      <c r="B3060" t="s">
        <v>36</v>
      </c>
      <c r="C3060" t="s">
        <v>22</v>
      </c>
      <c r="D3060">
        <v>0</v>
      </c>
      <c r="E3060" t="s">
        <v>41</v>
      </c>
      <c r="F3060" t="s">
        <v>10</v>
      </c>
    </row>
    <row r="3061" spans="1:6" hidden="1" x14ac:dyDescent="0.35">
      <c r="A3061" t="s">
        <v>21</v>
      </c>
      <c r="B3061" t="s">
        <v>36</v>
      </c>
      <c r="C3061" t="s">
        <v>22</v>
      </c>
      <c r="D3061">
        <v>0</v>
      </c>
      <c r="E3061" t="s">
        <v>41</v>
      </c>
      <c r="F3061" t="s">
        <v>10</v>
      </c>
    </row>
    <row r="3062" spans="1:6" hidden="1" x14ac:dyDescent="0.35">
      <c r="A3062" t="s">
        <v>6</v>
      </c>
      <c r="B3062" t="s">
        <v>36</v>
      </c>
      <c r="C3062" t="s">
        <v>23</v>
      </c>
      <c r="D3062">
        <v>91130</v>
      </c>
      <c r="E3062" t="s">
        <v>41</v>
      </c>
      <c r="F3062" t="s">
        <v>10</v>
      </c>
    </row>
    <row r="3063" spans="1:6" hidden="1" x14ac:dyDescent="0.35">
      <c r="A3063" t="s">
        <v>11</v>
      </c>
      <c r="B3063" t="s">
        <v>36</v>
      </c>
      <c r="C3063" t="s">
        <v>23</v>
      </c>
      <c r="D3063">
        <v>82833</v>
      </c>
      <c r="E3063" t="s">
        <v>41</v>
      </c>
      <c r="F3063" t="s">
        <v>10</v>
      </c>
    </row>
    <row r="3064" spans="1:6" hidden="1" x14ac:dyDescent="0.35">
      <c r="A3064" t="s">
        <v>12</v>
      </c>
      <c r="B3064" t="s">
        <v>36</v>
      </c>
      <c r="C3064" t="s">
        <v>23</v>
      </c>
      <c r="D3064">
        <v>167548</v>
      </c>
      <c r="E3064" t="s">
        <v>41</v>
      </c>
      <c r="F3064" t="s">
        <v>10</v>
      </c>
    </row>
    <row r="3065" spans="1:6" hidden="1" x14ac:dyDescent="0.35">
      <c r="A3065" t="s">
        <v>13</v>
      </c>
      <c r="B3065" t="s">
        <v>36</v>
      </c>
      <c r="C3065" t="s">
        <v>23</v>
      </c>
      <c r="D3065">
        <v>46424</v>
      </c>
      <c r="E3065" t="s">
        <v>41</v>
      </c>
      <c r="F3065" t="s">
        <v>10</v>
      </c>
    </row>
    <row r="3066" spans="1:6" hidden="1" x14ac:dyDescent="0.35">
      <c r="A3066" t="s">
        <v>14</v>
      </c>
      <c r="B3066" t="s">
        <v>36</v>
      </c>
      <c r="C3066" t="s">
        <v>23</v>
      </c>
      <c r="D3066">
        <v>63656</v>
      </c>
      <c r="E3066" t="s">
        <v>41</v>
      </c>
      <c r="F3066" t="s">
        <v>10</v>
      </c>
    </row>
    <row r="3067" spans="1:6" hidden="1" x14ac:dyDescent="0.35">
      <c r="A3067" t="s">
        <v>15</v>
      </c>
      <c r="B3067" t="s">
        <v>36</v>
      </c>
      <c r="C3067" t="s">
        <v>23</v>
      </c>
      <c r="D3067">
        <v>50678</v>
      </c>
      <c r="E3067" t="s">
        <v>41</v>
      </c>
      <c r="F3067" t="s">
        <v>10</v>
      </c>
    </row>
    <row r="3068" spans="1:6" hidden="1" x14ac:dyDescent="0.35">
      <c r="A3068" t="s">
        <v>16</v>
      </c>
      <c r="B3068" t="s">
        <v>36</v>
      </c>
      <c r="C3068" t="s">
        <v>23</v>
      </c>
      <c r="D3068">
        <v>84539</v>
      </c>
      <c r="E3068" t="s">
        <v>41</v>
      </c>
      <c r="F3068" t="s">
        <v>10</v>
      </c>
    </row>
    <row r="3069" spans="1:6" hidden="1" x14ac:dyDescent="0.35">
      <c r="A3069" t="s">
        <v>17</v>
      </c>
      <c r="B3069" t="s">
        <v>36</v>
      </c>
      <c r="C3069" t="s">
        <v>23</v>
      </c>
      <c r="D3069">
        <v>74116</v>
      </c>
      <c r="E3069" t="s">
        <v>41</v>
      </c>
      <c r="F3069" t="s">
        <v>10</v>
      </c>
    </row>
    <row r="3070" spans="1:6" hidden="1" x14ac:dyDescent="0.35">
      <c r="A3070" t="s">
        <v>18</v>
      </c>
      <c r="B3070" t="s">
        <v>36</v>
      </c>
      <c r="C3070" t="s">
        <v>23</v>
      </c>
      <c r="D3070">
        <v>62881</v>
      </c>
      <c r="E3070" t="s">
        <v>41</v>
      </c>
      <c r="F3070" t="s">
        <v>10</v>
      </c>
    </row>
    <row r="3071" spans="1:6" hidden="1" x14ac:dyDescent="0.35">
      <c r="A3071" t="s">
        <v>19</v>
      </c>
      <c r="B3071" t="s">
        <v>36</v>
      </c>
      <c r="C3071" t="s">
        <v>23</v>
      </c>
      <c r="D3071">
        <v>60671</v>
      </c>
      <c r="E3071" t="s">
        <v>41</v>
      </c>
      <c r="F3071" t="s">
        <v>10</v>
      </c>
    </row>
    <row r="3072" spans="1:6" hidden="1" x14ac:dyDescent="0.35">
      <c r="A3072" t="s">
        <v>20</v>
      </c>
      <c r="B3072" t="s">
        <v>36</v>
      </c>
      <c r="C3072" t="s">
        <v>23</v>
      </c>
      <c r="D3072">
        <v>52769</v>
      </c>
      <c r="E3072" t="s">
        <v>41</v>
      </c>
      <c r="F3072" t="s">
        <v>10</v>
      </c>
    </row>
    <row r="3073" spans="1:6" hidden="1" x14ac:dyDescent="0.35">
      <c r="A3073" t="s">
        <v>21</v>
      </c>
      <c r="B3073" t="s">
        <v>36</v>
      </c>
      <c r="C3073" t="s">
        <v>23</v>
      </c>
      <c r="D3073">
        <v>57753</v>
      </c>
      <c r="E3073" t="s">
        <v>41</v>
      </c>
      <c r="F3073" t="s">
        <v>10</v>
      </c>
    </row>
    <row r="3074" spans="1:6" hidden="1" x14ac:dyDescent="0.35">
      <c r="A3074" t="s">
        <v>6</v>
      </c>
      <c r="B3074" t="s">
        <v>36</v>
      </c>
      <c r="C3074" t="s">
        <v>24</v>
      </c>
      <c r="D3074">
        <v>0</v>
      </c>
      <c r="E3074" t="s">
        <v>41</v>
      </c>
      <c r="F3074" t="s">
        <v>10</v>
      </c>
    </row>
    <row r="3075" spans="1:6" hidden="1" x14ac:dyDescent="0.35">
      <c r="A3075" t="s">
        <v>11</v>
      </c>
      <c r="B3075" t="s">
        <v>36</v>
      </c>
      <c r="C3075" t="s">
        <v>24</v>
      </c>
      <c r="D3075">
        <v>0</v>
      </c>
      <c r="E3075" t="s">
        <v>41</v>
      </c>
      <c r="F3075" t="s">
        <v>10</v>
      </c>
    </row>
    <row r="3076" spans="1:6" hidden="1" x14ac:dyDescent="0.35">
      <c r="A3076" t="s">
        <v>12</v>
      </c>
      <c r="B3076" t="s">
        <v>36</v>
      </c>
      <c r="C3076" t="s">
        <v>24</v>
      </c>
      <c r="D3076">
        <v>0</v>
      </c>
      <c r="E3076" t="s">
        <v>41</v>
      </c>
      <c r="F3076" t="s">
        <v>10</v>
      </c>
    </row>
    <row r="3077" spans="1:6" hidden="1" x14ac:dyDescent="0.35">
      <c r="A3077" t="s">
        <v>13</v>
      </c>
      <c r="B3077" t="s">
        <v>36</v>
      </c>
      <c r="C3077" t="s">
        <v>24</v>
      </c>
      <c r="D3077">
        <v>0</v>
      </c>
      <c r="E3077" t="s">
        <v>41</v>
      </c>
      <c r="F3077" t="s">
        <v>10</v>
      </c>
    </row>
    <row r="3078" spans="1:6" hidden="1" x14ac:dyDescent="0.35">
      <c r="A3078" t="s">
        <v>14</v>
      </c>
      <c r="B3078" t="s">
        <v>36</v>
      </c>
      <c r="C3078" t="s">
        <v>24</v>
      </c>
      <c r="D3078">
        <v>0</v>
      </c>
      <c r="E3078" t="s">
        <v>41</v>
      </c>
      <c r="F3078" t="s">
        <v>10</v>
      </c>
    </row>
    <row r="3079" spans="1:6" hidden="1" x14ac:dyDescent="0.35">
      <c r="A3079" t="s">
        <v>15</v>
      </c>
      <c r="B3079" t="s">
        <v>36</v>
      </c>
      <c r="C3079" t="s">
        <v>24</v>
      </c>
      <c r="D3079">
        <v>0</v>
      </c>
      <c r="E3079" t="s">
        <v>41</v>
      </c>
      <c r="F3079" t="s">
        <v>10</v>
      </c>
    </row>
    <row r="3080" spans="1:6" hidden="1" x14ac:dyDescent="0.35">
      <c r="A3080" t="s">
        <v>16</v>
      </c>
      <c r="B3080" t="s">
        <v>36</v>
      </c>
      <c r="C3080" t="s">
        <v>24</v>
      </c>
      <c r="D3080">
        <v>0</v>
      </c>
      <c r="E3080" t="s">
        <v>41</v>
      </c>
      <c r="F3080" t="s">
        <v>10</v>
      </c>
    </row>
    <row r="3081" spans="1:6" hidden="1" x14ac:dyDescent="0.35">
      <c r="A3081" t="s">
        <v>17</v>
      </c>
      <c r="B3081" t="s">
        <v>36</v>
      </c>
      <c r="C3081" t="s">
        <v>24</v>
      </c>
      <c r="D3081">
        <v>0</v>
      </c>
      <c r="E3081" t="s">
        <v>41</v>
      </c>
      <c r="F3081" t="s">
        <v>10</v>
      </c>
    </row>
    <row r="3082" spans="1:6" hidden="1" x14ac:dyDescent="0.35">
      <c r="A3082" t="s">
        <v>18</v>
      </c>
      <c r="B3082" t="s">
        <v>36</v>
      </c>
      <c r="C3082" t="s">
        <v>24</v>
      </c>
      <c r="D3082">
        <v>0</v>
      </c>
      <c r="E3082" t="s">
        <v>41</v>
      </c>
      <c r="F3082" t="s">
        <v>10</v>
      </c>
    </row>
    <row r="3083" spans="1:6" hidden="1" x14ac:dyDescent="0.35">
      <c r="A3083" t="s">
        <v>19</v>
      </c>
      <c r="B3083" t="s">
        <v>36</v>
      </c>
      <c r="C3083" t="s">
        <v>24</v>
      </c>
      <c r="D3083">
        <v>0</v>
      </c>
      <c r="E3083" t="s">
        <v>41</v>
      </c>
      <c r="F3083" t="s">
        <v>10</v>
      </c>
    </row>
    <row r="3084" spans="1:6" hidden="1" x14ac:dyDescent="0.35">
      <c r="A3084" t="s">
        <v>20</v>
      </c>
      <c r="B3084" t="s">
        <v>36</v>
      </c>
      <c r="C3084" t="s">
        <v>24</v>
      </c>
      <c r="D3084">
        <v>0</v>
      </c>
      <c r="E3084" t="s">
        <v>41</v>
      </c>
      <c r="F3084" t="s">
        <v>10</v>
      </c>
    </row>
    <row r="3085" spans="1:6" hidden="1" x14ac:dyDescent="0.35">
      <c r="A3085" t="s">
        <v>21</v>
      </c>
      <c r="B3085" t="s">
        <v>36</v>
      </c>
      <c r="C3085" t="s">
        <v>24</v>
      </c>
      <c r="D3085">
        <v>0</v>
      </c>
      <c r="E3085" t="s">
        <v>41</v>
      </c>
      <c r="F3085" t="s">
        <v>10</v>
      </c>
    </row>
    <row r="3086" spans="1:6" hidden="1" x14ac:dyDescent="0.35">
      <c r="A3086" t="s">
        <v>6</v>
      </c>
      <c r="B3086" t="s">
        <v>36</v>
      </c>
      <c r="C3086" t="s">
        <v>25</v>
      </c>
      <c r="D3086">
        <v>0</v>
      </c>
      <c r="E3086" t="s">
        <v>41</v>
      </c>
      <c r="F3086" t="s">
        <v>10</v>
      </c>
    </row>
    <row r="3087" spans="1:6" hidden="1" x14ac:dyDescent="0.35">
      <c r="A3087" t="s">
        <v>11</v>
      </c>
      <c r="B3087" t="s">
        <v>36</v>
      </c>
      <c r="C3087" t="s">
        <v>25</v>
      </c>
      <c r="D3087">
        <v>0</v>
      </c>
      <c r="E3087" t="s">
        <v>41</v>
      </c>
      <c r="F3087" t="s">
        <v>10</v>
      </c>
    </row>
    <row r="3088" spans="1:6" hidden="1" x14ac:dyDescent="0.35">
      <c r="A3088" t="s">
        <v>12</v>
      </c>
      <c r="B3088" t="s">
        <v>36</v>
      </c>
      <c r="C3088" t="s">
        <v>25</v>
      </c>
      <c r="D3088">
        <v>0</v>
      </c>
      <c r="E3088" t="s">
        <v>41</v>
      </c>
      <c r="F3088" t="s">
        <v>10</v>
      </c>
    </row>
    <row r="3089" spans="1:6" hidden="1" x14ac:dyDescent="0.35">
      <c r="A3089" t="s">
        <v>13</v>
      </c>
      <c r="B3089" t="s">
        <v>36</v>
      </c>
      <c r="C3089" t="s">
        <v>25</v>
      </c>
      <c r="D3089">
        <v>0</v>
      </c>
      <c r="E3089" t="s">
        <v>41</v>
      </c>
      <c r="F3089" t="s">
        <v>10</v>
      </c>
    </row>
    <row r="3090" spans="1:6" hidden="1" x14ac:dyDescent="0.35">
      <c r="A3090" t="s">
        <v>14</v>
      </c>
      <c r="B3090" t="s">
        <v>36</v>
      </c>
      <c r="C3090" t="s">
        <v>25</v>
      </c>
      <c r="D3090">
        <v>0</v>
      </c>
      <c r="E3090" t="s">
        <v>41</v>
      </c>
      <c r="F3090" t="s">
        <v>10</v>
      </c>
    </row>
    <row r="3091" spans="1:6" hidden="1" x14ac:dyDescent="0.35">
      <c r="A3091" t="s">
        <v>15</v>
      </c>
      <c r="B3091" t="s">
        <v>36</v>
      </c>
      <c r="C3091" t="s">
        <v>25</v>
      </c>
      <c r="D3091">
        <v>0</v>
      </c>
      <c r="E3091" t="s">
        <v>41</v>
      </c>
      <c r="F3091" t="s">
        <v>10</v>
      </c>
    </row>
    <row r="3092" spans="1:6" hidden="1" x14ac:dyDescent="0.35">
      <c r="A3092" t="s">
        <v>16</v>
      </c>
      <c r="B3092" t="s">
        <v>36</v>
      </c>
      <c r="C3092" t="s">
        <v>25</v>
      </c>
      <c r="D3092">
        <v>0</v>
      </c>
      <c r="E3092" t="s">
        <v>41</v>
      </c>
      <c r="F3092" t="s">
        <v>10</v>
      </c>
    </row>
    <row r="3093" spans="1:6" hidden="1" x14ac:dyDescent="0.35">
      <c r="A3093" t="s">
        <v>17</v>
      </c>
      <c r="B3093" t="s">
        <v>36</v>
      </c>
      <c r="C3093" t="s">
        <v>25</v>
      </c>
      <c r="D3093">
        <v>0</v>
      </c>
      <c r="E3093" t="s">
        <v>41</v>
      </c>
      <c r="F3093" t="s">
        <v>10</v>
      </c>
    </row>
    <row r="3094" spans="1:6" hidden="1" x14ac:dyDescent="0.35">
      <c r="A3094" t="s">
        <v>18</v>
      </c>
      <c r="B3094" t="s">
        <v>36</v>
      </c>
      <c r="C3094" t="s">
        <v>25</v>
      </c>
      <c r="D3094">
        <v>0</v>
      </c>
      <c r="E3094" t="s">
        <v>41</v>
      </c>
      <c r="F3094" t="s">
        <v>10</v>
      </c>
    </row>
    <row r="3095" spans="1:6" hidden="1" x14ac:dyDescent="0.35">
      <c r="A3095" t="s">
        <v>19</v>
      </c>
      <c r="B3095" t="s">
        <v>36</v>
      </c>
      <c r="C3095" t="s">
        <v>25</v>
      </c>
      <c r="D3095">
        <v>0</v>
      </c>
      <c r="E3095" t="s">
        <v>41</v>
      </c>
      <c r="F3095" t="s">
        <v>10</v>
      </c>
    </row>
    <row r="3096" spans="1:6" hidden="1" x14ac:dyDescent="0.35">
      <c r="A3096" t="s">
        <v>20</v>
      </c>
      <c r="B3096" t="s">
        <v>36</v>
      </c>
      <c r="C3096" t="s">
        <v>25</v>
      </c>
      <c r="D3096">
        <v>0</v>
      </c>
      <c r="E3096" t="s">
        <v>41</v>
      </c>
      <c r="F3096" t="s">
        <v>10</v>
      </c>
    </row>
    <row r="3097" spans="1:6" hidden="1" x14ac:dyDescent="0.35">
      <c r="A3097" t="s">
        <v>21</v>
      </c>
      <c r="B3097" t="s">
        <v>36</v>
      </c>
      <c r="C3097" t="s">
        <v>25</v>
      </c>
      <c r="D3097">
        <v>0</v>
      </c>
      <c r="E3097" t="s">
        <v>41</v>
      </c>
      <c r="F3097" t="s">
        <v>10</v>
      </c>
    </row>
    <row r="3098" spans="1:6" hidden="1" x14ac:dyDescent="0.35">
      <c r="A3098" t="s">
        <v>6</v>
      </c>
      <c r="B3098" t="s">
        <v>36</v>
      </c>
      <c r="C3098" t="s">
        <v>26</v>
      </c>
      <c r="D3098">
        <v>0</v>
      </c>
      <c r="E3098" t="s">
        <v>41</v>
      </c>
      <c r="F3098" t="s">
        <v>10</v>
      </c>
    </row>
    <row r="3099" spans="1:6" hidden="1" x14ac:dyDescent="0.35">
      <c r="A3099" t="s">
        <v>11</v>
      </c>
      <c r="B3099" t="s">
        <v>36</v>
      </c>
      <c r="C3099" t="s">
        <v>26</v>
      </c>
      <c r="E3099" t="s">
        <v>41</v>
      </c>
      <c r="F3099" t="s">
        <v>10</v>
      </c>
    </row>
    <row r="3100" spans="1:6" hidden="1" x14ac:dyDescent="0.35">
      <c r="A3100" t="s">
        <v>12</v>
      </c>
      <c r="B3100" t="s">
        <v>36</v>
      </c>
      <c r="C3100" t="s">
        <v>26</v>
      </c>
      <c r="E3100" t="s">
        <v>41</v>
      </c>
      <c r="F3100" t="s">
        <v>10</v>
      </c>
    </row>
    <row r="3101" spans="1:6" hidden="1" x14ac:dyDescent="0.35">
      <c r="A3101" t="s">
        <v>13</v>
      </c>
      <c r="B3101" t="s">
        <v>36</v>
      </c>
      <c r="C3101" t="s">
        <v>26</v>
      </c>
      <c r="E3101" t="s">
        <v>41</v>
      </c>
      <c r="F3101" t="s">
        <v>10</v>
      </c>
    </row>
    <row r="3102" spans="1:6" hidden="1" x14ac:dyDescent="0.35">
      <c r="A3102" t="s">
        <v>14</v>
      </c>
      <c r="B3102" t="s">
        <v>36</v>
      </c>
      <c r="C3102" t="s">
        <v>26</v>
      </c>
      <c r="E3102" t="s">
        <v>41</v>
      </c>
      <c r="F3102" t="s">
        <v>10</v>
      </c>
    </row>
    <row r="3103" spans="1:6" hidden="1" x14ac:dyDescent="0.35">
      <c r="A3103" t="s">
        <v>15</v>
      </c>
      <c r="B3103" t="s">
        <v>36</v>
      </c>
      <c r="C3103" t="s">
        <v>26</v>
      </c>
      <c r="E3103" t="s">
        <v>41</v>
      </c>
      <c r="F3103" t="s">
        <v>10</v>
      </c>
    </row>
    <row r="3104" spans="1:6" hidden="1" x14ac:dyDescent="0.35">
      <c r="A3104" t="s">
        <v>16</v>
      </c>
      <c r="B3104" t="s">
        <v>36</v>
      </c>
      <c r="C3104" t="s">
        <v>26</v>
      </c>
      <c r="E3104" t="s">
        <v>41</v>
      </c>
      <c r="F3104" t="s">
        <v>10</v>
      </c>
    </row>
    <row r="3105" spans="1:6" hidden="1" x14ac:dyDescent="0.35">
      <c r="A3105" t="s">
        <v>17</v>
      </c>
      <c r="B3105" t="s">
        <v>36</v>
      </c>
      <c r="C3105" t="s">
        <v>26</v>
      </c>
      <c r="E3105" t="s">
        <v>41</v>
      </c>
      <c r="F3105" t="s">
        <v>10</v>
      </c>
    </row>
    <row r="3106" spans="1:6" hidden="1" x14ac:dyDescent="0.35">
      <c r="A3106" t="s">
        <v>18</v>
      </c>
      <c r="B3106" t="s">
        <v>36</v>
      </c>
      <c r="C3106" t="s">
        <v>26</v>
      </c>
      <c r="E3106" t="s">
        <v>41</v>
      </c>
      <c r="F3106" t="s">
        <v>10</v>
      </c>
    </row>
    <row r="3107" spans="1:6" hidden="1" x14ac:dyDescent="0.35">
      <c r="A3107" t="s">
        <v>19</v>
      </c>
      <c r="B3107" t="s">
        <v>36</v>
      </c>
      <c r="C3107" t="s">
        <v>26</v>
      </c>
      <c r="E3107" t="s">
        <v>41</v>
      </c>
      <c r="F3107" t="s">
        <v>10</v>
      </c>
    </row>
    <row r="3108" spans="1:6" hidden="1" x14ac:dyDescent="0.35">
      <c r="A3108" t="s">
        <v>20</v>
      </c>
      <c r="B3108" t="s">
        <v>36</v>
      </c>
      <c r="C3108" t="s">
        <v>26</v>
      </c>
      <c r="E3108" t="s">
        <v>41</v>
      </c>
      <c r="F3108" t="s">
        <v>10</v>
      </c>
    </row>
    <row r="3109" spans="1:6" hidden="1" x14ac:dyDescent="0.35">
      <c r="A3109" t="s">
        <v>21</v>
      </c>
      <c r="B3109" t="s">
        <v>36</v>
      </c>
      <c r="C3109" t="s">
        <v>26</v>
      </c>
      <c r="E3109" t="s">
        <v>41</v>
      </c>
      <c r="F3109" t="s">
        <v>10</v>
      </c>
    </row>
    <row r="3110" spans="1:6" hidden="1" x14ac:dyDescent="0.35">
      <c r="A3110" t="s">
        <v>6</v>
      </c>
      <c r="B3110" t="s">
        <v>36</v>
      </c>
      <c r="C3110" t="s">
        <v>27</v>
      </c>
      <c r="D3110">
        <v>132588</v>
      </c>
      <c r="E3110" t="s">
        <v>41</v>
      </c>
      <c r="F3110" t="s">
        <v>10</v>
      </c>
    </row>
    <row r="3111" spans="1:6" hidden="1" x14ac:dyDescent="0.35">
      <c r="A3111" t="s">
        <v>11</v>
      </c>
      <c r="B3111" t="s">
        <v>36</v>
      </c>
      <c r="C3111" t="s">
        <v>27</v>
      </c>
      <c r="D3111">
        <v>198163</v>
      </c>
      <c r="E3111" t="s">
        <v>41</v>
      </c>
      <c r="F3111" t="s">
        <v>10</v>
      </c>
    </row>
    <row r="3112" spans="1:6" hidden="1" x14ac:dyDescent="0.35">
      <c r="A3112" t="s">
        <v>12</v>
      </c>
      <c r="B3112" t="s">
        <v>36</v>
      </c>
      <c r="C3112" t="s">
        <v>27</v>
      </c>
      <c r="D3112">
        <v>116126</v>
      </c>
      <c r="E3112" t="s">
        <v>41</v>
      </c>
      <c r="F3112" t="s">
        <v>10</v>
      </c>
    </row>
    <row r="3113" spans="1:6" hidden="1" x14ac:dyDescent="0.35">
      <c r="A3113" t="s">
        <v>13</v>
      </c>
      <c r="B3113" t="s">
        <v>36</v>
      </c>
      <c r="C3113" t="s">
        <v>27</v>
      </c>
      <c r="D3113">
        <v>142580</v>
      </c>
      <c r="E3113" t="s">
        <v>41</v>
      </c>
      <c r="F3113" t="s">
        <v>10</v>
      </c>
    </row>
    <row r="3114" spans="1:6" hidden="1" x14ac:dyDescent="0.35">
      <c r="A3114" t="s">
        <v>14</v>
      </c>
      <c r="B3114" t="s">
        <v>36</v>
      </c>
      <c r="C3114" t="s">
        <v>27</v>
      </c>
      <c r="D3114">
        <v>95609</v>
      </c>
      <c r="E3114" t="s">
        <v>41</v>
      </c>
      <c r="F3114" t="s">
        <v>10</v>
      </c>
    </row>
    <row r="3115" spans="1:6" hidden="1" x14ac:dyDescent="0.35">
      <c r="A3115" t="s">
        <v>15</v>
      </c>
      <c r="B3115" t="s">
        <v>36</v>
      </c>
      <c r="C3115" t="s">
        <v>27</v>
      </c>
      <c r="D3115">
        <v>81059</v>
      </c>
      <c r="E3115" t="s">
        <v>41</v>
      </c>
      <c r="F3115" t="s">
        <v>10</v>
      </c>
    </row>
    <row r="3116" spans="1:6" hidden="1" x14ac:dyDescent="0.35">
      <c r="A3116" t="s">
        <v>16</v>
      </c>
      <c r="B3116" t="s">
        <v>36</v>
      </c>
      <c r="C3116" t="s">
        <v>27</v>
      </c>
      <c r="D3116">
        <v>170385</v>
      </c>
      <c r="E3116" t="s">
        <v>41</v>
      </c>
      <c r="F3116" t="s">
        <v>10</v>
      </c>
    </row>
    <row r="3117" spans="1:6" hidden="1" x14ac:dyDescent="0.35">
      <c r="A3117" t="s">
        <v>17</v>
      </c>
      <c r="B3117" t="s">
        <v>36</v>
      </c>
      <c r="C3117" t="s">
        <v>27</v>
      </c>
      <c r="D3117">
        <v>195942</v>
      </c>
      <c r="E3117" t="s">
        <v>41</v>
      </c>
      <c r="F3117" t="s">
        <v>10</v>
      </c>
    </row>
    <row r="3118" spans="1:6" hidden="1" x14ac:dyDescent="0.35">
      <c r="A3118" t="s">
        <v>18</v>
      </c>
      <c r="B3118" t="s">
        <v>36</v>
      </c>
      <c r="C3118" t="s">
        <v>27</v>
      </c>
      <c r="D3118">
        <v>83893</v>
      </c>
      <c r="E3118" t="s">
        <v>41</v>
      </c>
      <c r="F3118" t="s">
        <v>10</v>
      </c>
    </row>
    <row r="3119" spans="1:6" hidden="1" x14ac:dyDescent="0.35">
      <c r="A3119" t="s">
        <v>19</v>
      </c>
      <c r="B3119" t="s">
        <v>36</v>
      </c>
      <c r="C3119" t="s">
        <v>27</v>
      </c>
      <c r="D3119">
        <v>53578</v>
      </c>
      <c r="E3119" t="s">
        <v>41</v>
      </c>
      <c r="F3119" t="s">
        <v>10</v>
      </c>
    </row>
    <row r="3120" spans="1:6" hidden="1" x14ac:dyDescent="0.35">
      <c r="A3120" t="s">
        <v>20</v>
      </c>
      <c r="B3120" t="s">
        <v>36</v>
      </c>
      <c r="C3120" t="s">
        <v>27</v>
      </c>
      <c r="D3120">
        <v>61425</v>
      </c>
      <c r="E3120" t="s">
        <v>41</v>
      </c>
      <c r="F3120" t="s">
        <v>10</v>
      </c>
    </row>
    <row r="3121" spans="1:6" hidden="1" x14ac:dyDescent="0.35">
      <c r="A3121" t="s">
        <v>21</v>
      </c>
      <c r="B3121" t="s">
        <v>36</v>
      </c>
      <c r="C3121" t="s">
        <v>27</v>
      </c>
      <c r="D3121">
        <v>35398</v>
      </c>
      <c r="E3121" t="s">
        <v>41</v>
      </c>
      <c r="F3121" t="s">
        <v>10</v>
      </c>
    </row>
    <row r="3122" spans="1:6" hidden="1" x14ac:dyDescent="0.35">
      <c r="A3122" t="s">
        <v>6</v>
      </c>
      <c r="B3122" t="s">
        <v>36</v>
      </c>
      <c r="C3122" t="s">
        <v>28</v>
      </c>
      <c r="D3122">
        <v>145470</v>
      </c>
      <c r="E3122" t="s">
        <v>41</v>
      </c>
      <c r="F3122" t="s">
        <v>10</v>
      </c>
    </row>
    <row r="3123" spans="1:6" hidden="1" x14ac:dyDescent="0.35">
      <c r="A3123" t="s">
        <v>11</v>
      </c>
      <c r="B3123" t="s">
        <v>36</v>
      </c>
      <c r="C3123" t="s">
        <v>28</v>
      </c>
      <c r="D3123">
        <v>233412</v>
      </c>
      <c r="E3123" t="s">
        <v>41</v>
      </c>
      <c r="F3123" t="s">
        <v>10</v>
      </c>
    </row>
    <row r="3124" spans="1:6" hidden="1" x14ac:dyDescent="0.35">
      <c r="A3124" t="s">
        <v>12</v>
      </c>
      <c r="B3124" t="s">
        <v>36</v>
      </c>
      <c r="C3124" t="s">
        <v>28</v>
      </c>
      <c r="D3124">
        <v>291687</v>
      </c>
      <c r="E3124" t="s">
        <v>41</v>
      </c>
      <c r="F3124" t="s">
        <v>10</v>
      </c>
    </row>
    <row r="3125" spans="1:6" hidden="1" x14ac:dyDescent="0.35">
      <c r="A3125" t="s">
        <v>13</v>
      </c>
      <c r="B3125" t="s">
        <v>36</v>
      </c>
      <c r="C3125" t="s">
        <v>28</v>
      </c>
      <c r="D3125">
        <v>94807</v>
      </c>
      <c r="E3125" t="s">
        <v>41</v>
      </c>
      <c r="F3125" t="s">
        <v>10</v>
      </c>
    </row>
    <row r="3126" spans="1:6" hidden="1" x14ac:dyDescent="0.35">
      <c r="A3126" t="s">
        <v>14</v>
      </c>
      <c r="B3126" t="s">
        <v>36</v>
      </c>
      <c r="C3126" t="s">
        <v>28</v>
      </c>
      <c r="D3126">
        <v>102702</v>
      </c>
      <c r="E3126" t="s">
        <v>41</v>
      </c>
      <c r="F3126" t="s">
        <v>10</v>
      </c>
    </row>
    <row r="3127" spans="1:6" hidden="1" x14ac:dyDescent="0.35">
      <c r="A3127" t="s">
        <v>15</v>
      </c>
      <c r="B3127" t="s">
        <v>36</v>
      </c>
      <c r="C3127" t="s">
        <v>28</v>
      </c>
      <c r="D3127">
        <v>86359</v>
      </c>
      <c r="E3127" t="s">
        <v>41</v>
      </c>
      <c r="F3127" t="s">
        <v>10</v>
      </c>
    </row>
    <row r="3128" spans="1:6" hidden="1" x14ac:dyDescent="0.35">
      <c r="A3128" t="s">
        <v>16</v>
      </c>
      <c r="B3128" t="s">
        <v>36</v>
      </c>
      <c r="C3128" t="s">
        <v>28</v>
      </c>
      <c r="D3128">
        <v>207163</v>
      </c>
      <c r="E3128" t="s">
        <v>41</v>
      </c>
      <c r="F3128" t="s">
        <v>10</v>
      </c>
    </row>
    <row r="3129" spans="1:6" hidden="1" x14ac:dyDescent="0.35">
      <c r="A3129" t="s">
        <v>17</v>
      </c>
      <c r="B3129" t="s">
        <v>36</v>
      </c>
      <c r="C3129" t="s">
        <v>28</v>
      </c>
      <c r="D3129">
        <v>276589</v>
      </c>
      <c r="E3129" t="s">
        <v>41</v>
      </c>
      <c r="F3129" t="s">
        <v>10</v>
      </c>
    </row>
    <row r="3130" spans="1:6" hidden="1" x14ac:dyDescent="0.35">
      <c r="A3130" t="s">
        <v>18</v>
      </c>
      <c r="B3130" t="s">
        <v>36</v>
      </c>
      <c r="C3130" t="s">
        <v>28</v>
      </c>
      <c r="D3130">
        <v>118054</v>
      </c>
      <c r="E3130" t="s">
        <v>41</v>
      </c>
      <c r="F3130" t="s">
        <v>10</v>
      </c>
    </row>
    <row r="3131" spans="1:6" hidden="1" x14ac:dyDescent="0.35">
      <c r="A3131" t="s">
        <v>19</v>
      </c>
      <c r="B3131" t="s">
        <v>36</v>
      </c>
      <c r="C3131" t="s">
        <v>28</v>
      </c>
      <c r="D3131">
        <v>80526</v>
      </c>
      <c r="E3131" t="s">
        <v>41</v>
      </c>
      <c r="F3131" t="s">
        <v>10</v>
      </c>
    </row>
    <row r="3132" spans="1:6" hidden="1" x14ac:dyDescent="0.35">
      <c r="A3132" t="s">
        <v>20</v>
      </c>
      <c r="B3132" t="s">
        <v>36</v>
      </c>
      <c r="C3132" t="s">
        <v>28</v>
      </c>
      <c r="D3132">
        <v>79718</v>
      </c>
      <c r="E3132" t="s">
        <v>41</v>
      </c>
      <c r="F3132" t="s">
        <v>10</v>
      </c>
    </row>
    <row r="3133" spans="1:6" hidden="1" x14ac:dyDescent="0.35">
      <c r="A3133" t="s">
        <v>21</v>
      </c>
      <c r="B3133" t="s">
        <v>36</v>
      </c>
      <c r="C3133" t="s">
        <v>28</v>
      </c>
      <c r="D3133">
        <v>67803</v>
      </c>
      <c r="E3133" t="s">
        <v>41</v>
      </c>
      <c r="F3133" t="s">
        <v>10</v>
      </c>
    </row>
    <row r="3134" spans="1:6" x14ac:dyDescent="0.35">
      <c r="A3134" t="s">
        <v>6</v>
      </c>
      <c r="B3134" t="s">
        <v>36</v>
      </c>
      <c r="C3134" t="s">
        <v>29</v>
      </c>
      <c r="D3134">
        <v>1</v>
      </c>
      <c r="E3134" t="s">
        <v>41</v>
      </c>
      <c r="F3134" t="s">
        <v>10</v>
      </c>
    </row>
    <row r="3135" spans="1:6" x14ac:dyDescent="0.35">
      <c r="A3135" t="s">
        <v>11</v>
      </c>
      <c r="B3135" t="s">
        <v>36</v>
      </c>
      <c r="C3135" t="s">
        <v>29</v>
      </c>
      <c r="E3135" t="s">
        <v>41</v>
      </c>
      <c r="F3135" t="s">
        <v>10</v>
      </c>
    </row>
    <row r="3136" spans="1:6" x14ac:dyDescent="0.35">
      <c r="A3136" t="s">
        <v>12</v>
      </c>
      <c r="B3136" t="s">
        <v>36</v>
      </c>
      <c r="C3136" t="s">
        <v>29</v>
      </c>
      <c r="D3136">
        <v>1</v>
      </c>
      <c r="E3136" t="s">
        <v>41</v>
      </c>
      <c r="F3136" t="s">
        <v>10</v>
      </c>
    </row>
    <row r="3137" spans="1:6" x14ac:dyDescent="0.35">
      <c r="A3137" t="s">
        <v>13</v>
      </c>
      <c r="B3137" t="s">
        <v>36</v>
      </c>
      <c r="C3137" t="s">
        <v>29</v>
      </c>
      <c r="E3137" t="s">
        <v>41</v>
      </c>
      <c r="F3137" t="s">
        <v>10</v>
      </c>
    </row>
    <row r="3138" spans="1:6" x14ac:dyDescent="0.35">
      <c r="A3138" t="s">
        <v>14</v>
      </c>
      <c r="B3138" t="s">
        <v>36</v>
      </c>
      <c r="C3138" t="s">
        <v>29</v>
      </c>
      <c r="E3138" t="s">
        <v>41</v>
      </c>
      <c r="F3138" t="s">
        <v>10</v>
      </c>
    </row>
    <row r="3139" spans="1:6" x14ac:dyDescent="0.35">
      <c r="A3139" t="s">
        <v>15</v>
      </c>
      <c r="B3139" t="s">
        <v>36</v>
      </c>
      <c r="C3139" t="s">
        <v>29</v>
      </c>
      <c r="D3139">
        <v>1</v>
      </c>
      <c r="E3139" t="s">
        <v>41</v>
      </c>
      <c r="F3139" t="s">
        <v>10</v>
      </c>
    </row>
    <row r="3140" spans="1:6" x14ac:dyDescent="0.35">
      <c r="A3140" t="s">
        <v>16</v>
      </c>
      <c r="B3140" t="s">
        <v>36</v>
      </c>
      <c r="C3140" t="s">
        <v>29</v>
      </c>
      <c r="D3140">
        <v>2</v>
      </c>
      <c r="E3140" t="s">
        <v>41</v>
      </c>
      <c r="F3140" t="s">
        <v>10</v>
      </c>
    </row>
    <row r="3141" spans="1:6" x14ac:dyDescent="0.35">
      <c r="A3141" t="s">
        <v>17</v>
      </c>
      <c r="B3141" t="s">
        <v>36</v>
      </c>
      <c r="C3141" t="s">
        <v>29</v>
      </c>
      <c r="E3141" t="s">
        <v>41</v>
      </c>
      <c r="F3141" t="s">
        <v>10</v>
      </c>
    </row>
    <row r="3142" spans="1:6" x14ac:dyDescent="0.35">
      <c r="A3142" t="s">
        <v>18</v>
      </c>
      <c r="B3142" t="s">
        <v>36</v>
      </c>
      <c r="C3142" t="s">
        <v>29</v>
      </c>
      <c r="D3142">
        <v>2</v>
      </c>
      <c r="E3142" t="s">
        <v>41</v>
      </c>
      <c r="F3142" t="s">
        <v>10</v>
      </c>
    </row>
    <row r="3143" spans="1:6" x14ac:dyDescent="0.35">
      <c r="A3143" t="s">
        <v>19</v>
      </c>
      <c r="B3143" t="s">
        <v>36</v>
      </c>
      <c r="C3143" t="s">
        <v>29</v>
      </c>
      <c r="E3143" t="s">
        <v>41</v>
      </c>
      <c r="F3143" t="s">
        <v>10</v>
      </c>
    </row>
    <row r="3144" spans="1:6" x14ac:dyDescent="0.35">
      <c r="A3144" t="s">
        <v>20</v>
      </c>
      <c r="B3144" t="s">
        <v>36</v>
      </c>
      <c r="C3144" t="s">
        <v>29</v>
      </c>
      <c r="E3144" t="s">
        <v>41</v>
      </c>
      <c r="F3144" t="s">
        <v>10</v>
      </c>
    </row>
    <row r="3145" spans="1:6" x14ac:dyDescent="0.35">
      <c r="A3145" t="s">
        <v>21</v>
      </c>
      <c r="B3145" t="s">
        <v>36</v>
      </c>
      <c r="C3145" t="s">
        <v>29</v>
      </c>
      <c r="D3145">
        <v>1</v>
      </c>
      <c r="E3145" t="s">
        <v>41</v>
      </c>
      <c r="F3145" t="s">
        <v>10</v>
      </c>
    </row>
    <row r="3146" spans="1:6" hidden="1" x14ac:dyDescent="0.35">
      <c r="A3146" t="s">
        <v>6</v>
      </c>
      <c r="B3146" t="s">
        <v>36</v>
      </c>
      <c r="C3146" t="s">
        <v>30</v>
      </c>
      <c r="D3146">
        <v>19</v>
      </c>
      <c r="E3146" t="s">
        <v>41</v>
      </c>
      <c r="F3146" t="s">
        <v>10</v>
      </c>
    </row>
    <row r="3147" spans="1:6" hidden="1" x14ac:dyDescent="0.35">
      <c r="A3147" t="s">
        <v>11</v>
      </c>
      <c r="B3147" t="s">
        <v>36</v>
      </c>
      <c r="C3147" t="s">
        <v>30</v>
      </c>
      <c r="D3147">
        <v>22</v>
      </c>
      <c r="E3147" t="s">
        <v>41</v>
      </c>
      <c r="F3147" t="s">
        <v>10</v>
      </c>
    </row>
    <row r="3148" spans="1:6" hidden="1" x14ac:dyDescent="0.35">
      <c r="A3148" t="s">
        <v>12</v>
      </c>
      <c r="B3148" t="s">
        <v>36</v>
      </c>
      <c r="C3148" t="s">
        <v>30</v>
      </c>
      <c r="D3148">
        <v>14</v>
      </c>
      <c r="E3148" t="s">
        <v>41</v>
      </c>
      <c r="F3148" t="s">
        <v>10</v>
      </c>
    </row>
    <row r="3149" spans="1:6" hidden="1" x14ac:dyDescent="0.35">
      <c r="A3149" t="s">
        <v>13</v>
      </c>
      <c r="B3149" t="s">
        <v>36</v>
      </c>
      <c r="C3149" t="s">
        <v>30</v>
      </c>
      <c r="D3149">
        <v>26</v>
      </c>
      <c r="E3149" t="s">
        <v>41</v>
      </c>
      <c r="F3149" t="s">
        <v>10</v>
      </c>
    </row>
    <row r="3150" spans="1:6" hidden="1" x14ac:dyDescent="0.35">
      <c r="A3150" t="s">
        <v>14</v>
      </c>
      <c r="B3150" t="s">
        <v>36</v>
      </c>
      <c r="C3150" t="s">
        <v>30</v>
      </c>
      <c r="D3150">
        <v>25</v>
      </c>
      <c r="E3150" t="s">
        <v>41</v>
      </c>
      <c r="F3150" t="s">
        <v>10</v>
      </c>
    </row>
    <row r="3151" spans="1:6" hidden="1" x14ac:dyDescent="0.35">
      <c r="A3151" t="s">
        <v>15</v>
      </c>
      <c r="B3151" t="s">
        <v>36</v>
      </c>
      <c r="C3151" t="s">
        <v>30</v>
      </c>
      <c r="D3151">
        <v>14</v>
      </c>
      <c r="E3151" t="s">
        <v>41</v>
      </c>
      <c r="F3151" t="s">
        <v>10</v>
      </c>
    </row>
    <row r="3152" spans="1:6" hidden="1" x14ac:dyDescent="0.35">
      <c r="A3152" t="s">
        <v>16</v>
      </c>
      <c r="B3152" t="s">
        <v>36</v>
      </c>
      <c r="C3152" t="s">
        <v>30</v>
      </c>
      <c r="D3152">
        <v>15</v>
      </c>
      <c r="E3152" t="s">
        <v>41</v>
      </c>
      <c r="F3152" t="s">
        <v>10</v>
      </c>
    </row>
    <row r="3153" spans="1:6" hidden="1" x14ac:dyDescent="0.35">
      <c r="A3153" t="s">
        <v>17</v>
      </c>
      <c r="B3153" t="s">
        <v>36</v>
      </c>
      <c r="C3153" t="s">
        <v>30</v>
      </c>
      <c r="D3153">
        <v>19</v>
      </c>
      <c r="E3153" t="s">
        <v>41</v>
      </c>
      <c r="F3153" t="s">
        <v>10</v>
      </c>
    </row>
    <row r="3154" spans="1:6" hidden="1" x14ac:dyDescent="0.35">
      <c r="A3154" t="s">
        <v>18</v>
      </c>
      <c r="B3154" t="s">
        <v>36</v>
      </c>
      <c r="C3154" t="s">
        <v>30</v>
      </c>
      <c r="D3154">
        <v>20</v>
      </c>
      <c r="E3154" t="s">
        <v>41</v>
      </c>
      <c r="F3154" t="s">
        <v>10</v>
      </c>
    </row>
    <row r="3155" spans="1:6" hidden="1" x14ac:dyDescent="0.35">
      <c r="A3155" t="s">
        <v>19</v>
      </c>
      <c r="B3155" t="s">
        <v>36</v>
      </c>
      <c r="C3155" t="s">
        <v>30</v>
      </c>
      <c r="D3155">
        <v>24</v>
      </c>
      <c r="E3155" t="s">
        <v>41</v>
      </c>
      <c r="F3155" t="s">
        <v>10</v>
      </c>
    </row>
    <row r="3156" spans="1:6" hidden="1" x14ac:dyDescent="0.35">
      <c r="A3156" t="s">
        <v>20</v>
      </c>
      <c r="B3156" t="s">
        <v>36</v>
      </c>
      <c r="C3156" t="s">
        <v>30</v>
      </c>
      <c r="D3156">
        <v>22</v>
      </c>
      <c r="E3156" t="s">
        <v>41</v>
      </c>
      <c r="F3156" t="s">
        <v>10</v>
      </c>
    </row>
    <row r="3157" spans="1:6" hidden="1" x14ac:dyDescent="0.35">
      <c r="A3157" t="s">
        <v>21</v>
      </c>
      <c r="B3157" t="s">
        <v>36</v>
      </c>
      <c r="C3157" t="s">
        <v>30</v>
      </c>
      <c r="D3157">
        <v>28</v>
      </c>
      <c r="E3157" t="s">
        <v>41</v>
      </c>
      <c r="F3157" t="s">
        <v>10</v>
      </c>
    </row>
    <row r="3158" spans="1:6" x14ac:dyDescent="0.35">
      <c r="A3158" t="s">
        <v>6</v>
      </c>
      <c r="B3158" t="s">
        <v>36</v>
      </c>
      <c r="C3158" t="s">
        <v>31</v>
      </c>
      <c r="E3158" t="s">
        <v>41</v>
      </c>
      <c r="F3158" t="s">
        <v>10</v>
      </c>
    </row>
    <row r="3159" spans="1:6" x14ac:dyDescent="0.35">
      <c r="A3159" t="s">
        <v>11</v>
      </c>
      <c r="B3159" t="s">
        <v>36</v>
      </c>
      <c r="C3159" t="s">
        <v>31</v>
      </c>
      <c r="E3159" t="s">
        <v>41</v>
      </c>
      <c r="F3159" t="s">
        <v>10</v>
      </c>
    </row>
    <row r="3160" spans="1:6" x14ac:dyDescent="0.35">
      <c r="A3160" t="s">
        <v>12</v>
      </c>
      <c r="B3160" t="s">
        <v>36</v>
      </c>
      <c r="C3160" t="s">
        <v>31</v>
      </c>
      <c r="E3160" t="s">
        <v>41</v>
      </c>
      <c r="F3160" t="s">
        <v>10</v>
      </c>
    </row>
    <row r="3161" spans="1:6" x14ac:dyDescent="0.35">
      <c r="A3161" t="s">
        <v>13</v>
      </c>
      <c r="B3161" t="s">
        <v>36</v>
      </c>
      <c r="C3161" t="s">
        <v>31</v>
      </c>
      <c r="E3161" t="s">
        <v>41</v>
      </c>
      <c r="F3161" t="s">
        <v>10</v>
      </c>
    </row>
    <row r="3162" spans="1:6" x14ac:dyDescent="0.35">
      <c r="A3162" t="s">
        <v>14</v>
      </c>
      <c r="B3162" t="s">
        <v>36</v>
      </c>
      <c r="C3162" t="s">
        <v>31</v>
      </c>
      <c r="E3162" t="s">
        <v>41</v>
      </c>
      <c r="F3162" t="s">
        <v>10</v>
      </c>
    </row>
    <row r="3163" spans="1:6" x14ac:dyDescent="0.35">
      <c r="A3163" t="s">
        <v>15</v>
      </c>
      <c r="B3163" t="s">
        <v>36</v>
      </c>
      <c r="C3163" t="s">
        <v>31</v>
      </c>
      <c r="E3163" t="s">
        <v>41</v>
      </c>
      <c r="F3163" t="s">
        <v>10</v>
      </c>
    </row>
    <row r="3164" spans="1:6" x14ac:dyDescent="0.35">
      <c r="A3164" t="s">
        <v>16</v>
      </c>
      <c r="B3164" t="s">
        <v>36</v>
      </c>
      <c r="C3164" t="s">
        <v>31</v>
      </c>
      <c r="D3164">
        <v>2</v>
      </c>
      <c r="E3164" t="s">
        <v>41</v>
      </c>
      <c r="F3164" t="s">
        <v>10</v>
      </c>
    </row>
    <row r="3165" spans="1:6" x14ac:dyDescent="0.35">
      <c r="A3165" t="s">
        <v>17</v>
      </c>
      <c r="B3165" t="s">
        <v>36</v>
      </c>
      <c r="C3165" t="s">
        <v>31</v>
      </c>
      <c r="E3165" t="s">
        <v>41</v>
      </c>
      <c r="F3165" t="s">
        <v>10</v>
      </c>
    </row>
    <row r="3166" spans="1:6" x14ac:dyDescent="0.35">
      <c r="A3166" t="s">
        <v>18</v>
      </c>
      <c r="B3166" t="s">
        <v>36</v>
      </c>
      <c r="C3166" t="s">
        <v>31</v>
      </c>
      <c r="D3166">
        <v>1</v>
      </c>
      <c r="E3166" t="s">
        <v>41</v>
      </c>
      <c r="F3166" t="s">
        <v>10</v>
      </c>
    </row>
    <row r="3167" spans="1:6" x14ac:dyDescent="0.35">
      <c r="A3167" t="s">
        <v>19</v>
      </c>
      <c r="B3167" t="s">
        <v>36</v>
      </c>
      <c r="C3167" t="s">
        <v>31</v>
      </c>
      <c r="E3167" t="s">
        <v>41</v>
      </c>
      <c r="F3167" t="s">
        <v>10</v>
      </c>
    </row>
    <row r="3168" spans="1:6" x14ac:dyDescent="0.35">
      <c r="A3168" t="s">
        <v>20</v>
      </c>
      <c r="B3168" t="s">
        <v>36</v>
      </c>
      <c r="C3168" t="s">
        <v>31</v>
      </c>
      <c r="E3168" t="s">
        <v>41</v>
      </c>
      <c r="F3168" t="s">
        <v>10</v>
      </c>
    </row>
    <row r="3169" spans="1:6" x14ac:dyDescent="0.35">
      <c r="A3169" t="s">
        <v>21</v>
      </c>
      <c r="B3169" t="s">
        <v>36</v>
      </c>
      <c r="C3169" t="s">
        <v>31</v>
      </c>
      <c r="D3169">
        <v>1</v>
      </c>
      <c r="E3169" t="s">
        <v>41</v>
      </c>
      <c r="F3169" t="s">
        <v>10</v>
      </c>
    </row>
    <row r="3170" spans="1:6" hidden="1" x14ac:dyDescent="0.35">
      <c r="A3170" t="s">
        <v>6</v>
      </c>
      <c r="B3170" t="s">
        <v>37</v>
      </c>
      <c r="C3170" t="s">
        <v>8</v>
      </c>
      <c r="D3170">
        <v>0</v>
      </c>
      <c r="E3170" t="s">
        <v>41</v>
      </c>
      <c r="F3170" t="s">
        <v>10</v>
      </c>
    </row>
    <row r="3171" spans="1:6" hidden="1" x14ac:dyDescent="0.35">
      <c r="A3171" t="s">
        <v>11</v>
      </c>
      <c r="B3171" t="s">
        <v>37</v>
      </c>
      <c r="C3171" t="s">
        <v>8</v>
      </c>
      <c r="D3171">
        <v>0</v>
      </c>
      <c r="E3171" t="s">
        <v>41</v>
      </c>
      <c r="F3171" t="s">
        <v>10</v>
      </c>
    </row>
    <row r="3172" spans="1:6" hidden="1" x14ac:dyDescent="0.35">
      <c r="A3172" t="s">
        <v>12</v>
      </c>
      <c r="B3172" t="s">
        <v>37</v>
      </c>
      <c r="C3172" t="s">
        <v>8</v>
      </c>
      <c r="D3172">
        <v>0</v>
      </c>
      <c r="E3172" t="s">
        <v>41</v>
      </c>
      <c r="F3172" t="s">
        <v>10</v>
      </c>
    </row>
    <row r="3173" spans="1:6" hidden="1" x14ac:dyDescent="0.35">
      <c r="A3173" t="s">
        <v>13</v>
      </c>
      <c r="B3173" t="s">
        <v>37</v>
      </c>
      <c r="C3173" t="s">
        <v>8</v>
      </c>
      <c r="D3173">
        <v>0</v>
      </c>
      <c r="E3173" t="s">
        <v>41</v>
      </c>
      <c r="F3173" t="s">
        <v>10</v>
      </c>
    </row>
    <row r="3174" spans="1:6" hidden="1" x14ac:dyDescent="0.35">
      <c r="A3174" t="s">
        <v>14</v>
      </c>
      <c r="B3174" t="s">
        <v>37</v>
      </c>
      <c r="C3174" t="s">
        <v>8</v>
      </c>
      <c r="D3174">
        <v>0</v>
      </c>
      <c r="E3174" t="s">
        <v>41</v>
      </c>
      <c r="F3174" t="s">
        <v>10</v>
      </c>
    </row>
    <row r="3175" spans="1:6" hidden="1" x14ac:dyDescent="0.35">
      <c r="A3175" t="s">
        <v>15</v>
      </c>
      <c r="B3175" t="s">
        <v>37</v>
      </c>
      <c r="C3175" t="s">
        <v>8</v>
      </c>
      <c r="D3175">
        <v>0</v>
      </c>
      <c r="E3175" t="s">
        <v>41</v>
      </c>
      <c r="F3175" t="s">
        <v>10</v>
      </c>
    </row>
    <row r="3176" spans="1:6" hidden="1" x14ac:dyDescent="0.35">
      <c r="A3176" t="s">
        <v>16</v>
      </c>
      <c r="B3176" t="s">
        <v>37</v>
      </c>
      <c r="C3176" t="s">
        <v>8</v>
      </c>
      <c r="D3176">
        <v>0</v>
      </c>
      <c r="E3176" t="s">
        <v>41</v>
      </c>
      <c r="F3176" t="s">
        <v>10</v>
      </c>
    </row>
    <row r="3177" spans="1:6" hidden="1" x14ac:dyDescent="0.35">
      <c r="A3177" t="s">
        <v>17</v>
      </c>
      <c r="B3177" t="s">
        <v>37</v>
      </c>
      <c r="C3177" t="s">
        <v>8</v>
      </c>
      <c r="D3177">
        <v>0</v>
      </c>
      <c r="E3177" t="s">
        <v>41</v>
      </c>
      <c r="F3177" t="s">
        <v>10</v>
      </c>
    </row>
    <row r="3178" spans="1:6" hidden="1" x14ac:dyDescent="0.35">
      <c r="A3178" t="s">
        <v>18</v>
      </c>
      <c r="B3178" t="s">
        <v>37</v>
      </c>
      <c r="C3178" t="s">
        <v>8</v>
      </c>
      <c r="D3178">
        <v>0</v>
      </c>
      <c r="E3178" t="s">
        <v>41</v>
      </c>
      <c r="F3178" t="s">
        <v>10</v>
      </c>
    </row>
    <row r="3179" spans="1:6" hidden="1" x14ac:dyDescent="0.35">
      <c r="A3179" t="s">
        <v>19</v>
      </c>
      <c r="B3179" t="s">
        <v>37</v>
      </c>
      <c r="C3179" t="s">
        <v>8</v>
      </c>
      <c r="D3179">
        <v>0</v>
      </c>
      <c r="E3179" t="s">
        <v>41</v>
      </c>
      <c r="F3179" t="s">
        <v>10</v>
      </c>
    </row>
    <row r="3180" spans="1:6" hidden="1" x14ac:dyDescent="0.35">
      <c r="A3180" t="s">
        <v>20</v>
      </c>
      <c r="B3180" t="s">
        <v>37</v>
      </c>
      <c r="C3180" t="s">
        <v>8</v>
      </c>
      <c r="D3180">
        <v>0</v>
      </c>
      <c r="E3180" t="s">
        <v>41</v>
      </c>
      <c r="F3180" t="s">
        <v>10</v>
      </c>
    </row>
    <row r="3181" spans="1:6" hidden="1" x14ac:dyDescent="0.35">
      <c r="A3181" t="s">
        <v>21</v>
      </c>
      <c r="B3181" t="s">
        <v>37</v>
      </c>
      <c r="C3181" t="s">
        <v>8</v>
      </c>
      <c r="D3181">
        <v>0</v>
      </c>
      <c r="E3181" t="s">
        <v>41</v>
      </c>
      <c r="F3181" t="s">
        <v>10</v>
      </c>
    </row>
    <row r="3182" spans="1:6" hidden="1" x14ac:dyDescent="0.35">
      <c r="A3182" t="s">
        <v>6</v>
      </c>
      <c r="B3182" t="s">
        <v>37</v>
      </c>
      <c r="C3182" t="s">
        <v>22</v>
      </c>
      <c r="D3182">
        <v>0</v>
      </c>
      <c r="E3182" t="s">
        <v>41</v>
      </c>
      <c r="F3182" t="s">
        <v>10</v>
      </c>
    </row>
    <row r="3183" spans="1:6" hidden="1" x14ac:dyDescent="0.35">
      <c r="A3183" t="s">
        <v>11</v>
      </c>
      <c r="B3183" t="s">
        <v>37</v>
      </c>
      <c r="C3183" t="s">
        <v>22</v>
      </c>
      <c r="D3183">
        <v>0</v>
      </c>
      <c r="E3183" t="s">
        <v>41</v>
      </c>
      <c r="F3183" t="s">
        <v>10</v>
      </c>
    </row>
    <row r="3184" spans="1:6" hidden="1" x14ac:dyDescent="0.35">
      <c r="A3184" t="s">
        <v>12</v>
      </c>
      <c r="B3184" t="s">
        <v>37</v>
      </c>
      <c r="C3184" t="s">
        <v>22</v>
      </c>
      <c r="D3184">
        <v>0</v>
      </c>
      <c r="E3184" t="s">
        <v>41</v>
      </c>
      <c r="F3184" t="s">
        <v>10</v>
      </c>
    </row>
    <row r="3185" spans="1:6" hidden="1" x14ac:dyDescent="0.35">
      <c r="A3185" t="s">
        <v>13</v>
      </c>
      <c r="B3185" t="s">
        <v>37</v>
      </c>
      <c r="C3185" t="s">
        <v>22</v>
      </c>
      <c r="D3185">
        <v>0</v>
      </c>
      <c r="E3185" t="s">
        <v>41</v>
      </c>
      <c r="F3185" t="s">
        <v>10</v>
      </c>
    </row>
    <row r="3186" spans="1:6" hidden="1" x14ac:dyDescent="0.35">
      <c r="A3186" t="s">
        <v>14</v>
      </c>
      <c r="B3186" t="s">
        <v>37</v>
      </c>
      <c r="C3186" t="s">
        <v>22</v>
      </c>
      <c r="D3186">
        <v>0</v>
      </c>
      <c r="E3186" t="s">
        <v>41</v>
      </c>
      <c r="F3186" t="s">
        <v>10</v>
      </c>
    </row>
    <row r="3187" spans="1:6" hidden="1" x14ac:dyDescent="0.35">
      <c r="A3187" t="s">
        <v>15</v>
      </c>
      <c r="B3187" t="s">
        <v>37</v>
      </c>
      <c r="C3187" t="s">
        <v>22</v>
      </c>
      <c r="D3187">
        <v>0</v>
      </c>
      <c r="E3187" t="s">
        <v>41</v>
      </c>
      <c r="F3187" t="s">
        <v>10</v>
      </c>
    </row>
    <row r="3188" spans="1:6" hidden="1" x14ac:dyDescent="0.35">
      <c r="A3188" t="s">
        <v>16</v>
      </c>
      <c r="B3188" t="s">
        <v>37</v>
      </c>
      <c r="C3188" t="s">
        <v>22</v>
      </c>
      <c r="D3188">
        <v>0</v>
      </c>
      <c r="E3188" t="s">
        <v>41</v>
      </c>
      <c r="F3188" t="s">
        <v>10</v>
      </c>
    </row>
    <row r="3189" spans="1:6" hidden="1" x14ac:dyDescent="0.35">
      <c r="A3189" t="s">
        <v>17</v>
      </c>
      <c r="B3189" t="s">
        <v>37</v>
      </c>
      <c r="C3189" t="s">
        <v>22</v>
      </c>
      <c r="D3189">
        <v>0</v>
      </c>
      <c r="E3189" t="s">
        <v>41</v>
      </c>
      <c r="F3189" t="s">
        <v>10</v>
      </c>
    </row>
    <row r="3190" spans="1:6" hidden="1" x14ac:dyDescent="0.35">
      <c r="A3190" t="s">
        <v>18</v>
      </c>
      <c r="B3190" t="s">
        <v>37</v>
      </c>
      <c r="C3190" t="s">
        <v>22</v>
      </c>
      <c r="D3190">
        <v>0</v>
      </c>
      <c r="E3190" t="s">
        <v>41</v>
      </c>
      <c r="F3190" t="s">
        <v>10</v>
      </c>
    </row>
    <row r="3191" spans="1:6" hidden="1" x14ac:dyDescent="0.35">
      <c r="A3191" t="s">
        <v>19</v>
      </c>
      <c r="B3191" t="s">
        <v>37</v>
      </c>
      <c r="C3191" t="s">
        <v>22</v>
      </c>
      <c r="D3191">
        <v>0</v>
      </c>
      <c r="E3191" t="s">
        <v>41</v>
      </c>
      <c r="F3191" t="s">
        <v>10</v>
      </c>
    </row>
    <row r="3192" spans="1:6" hidden="1" x14ac:dyDescent="0.35">
      <c r="A3192" t="s">
        <v>20</v>
      </c>
      <c r="B3192" t="s">
        <v>37</v>
      </c>
      <c r="C3192" t="s">
        <v>22</v>
      </c>
      <c r="D3192">
        <v>0</v>
      </c>
      <c r="E3192" t="s">
        <v>41</v>
      </c>
      <c r="F3192" t="s">
        <v>10</v>
      </c>
    </row>
    <row r="3193" spans="1:6" hidden="1" x14ac:dyDescent="0.35">
      <c r="A3193" t="s">
        <v>21</v>
      </c>
      <c r="B3193" t="s">
        <v>37</v>
      </c>
      <c r="C3193" t="s">
        <v>22</v>
      </c>
      <c r="D3193">
        <v>0</v>
      </c>
      <c r="E3193" t="s">
        <v>41</v>
      </c>
      <c r="F3193" t="s">
        <v>10</v>
      </c>
    </row>
    <row r="3194" spans="1:6" hidden="1" x14ac:dyDescent="0.35">
      <c r="A3194" t="s">
        <v>6</v>
      </c>
      <c r="B3194" t="s">
        <v>37</v>
      </c>
      <c r="C3194" t="s">
        <v>23</v>
      </c>
      <c r="D3194">
        <v>0</v>
      </c>
      <c r="E3194" t="s">
        <v>41</v>
      </c>
      <c r="F3194" t="s">
        <v>10</v>
      </c>
    </row>
    <row r="3195" spans="1:6" hidden="1" x14ac:dyDescent="0.35">
      <c r="A3195" t="s">
        <v>11</v>
      </c>
      <c r="B3195" t="s">
        <v>37</v>
      </c>
      <c r="C3195" t="s">
        <v>23</v>
      </c>
      <c r="D3195">
        <v>0</v>
      </c>
      <c r="E3195" t="s">
        <v>41</v>
      </c>
      <c r="F3195" t="s">
        <v>10</v>
      </c>
    </row>
    <row r="3196" spans="1:6" hidden="1" x14ac:dyDescent="0.35">
      <c r="A3196" t="s">
        <v>12</v>
      </c>
      <c r="B3196" t="s">
        <v>37</v>
      </c>
      <c r="C3196" t="s">
        <v>23</v>
      </c>
      <c r="D3196">
        <v>0</v>
      </c>
      <c r="E3196" t="s">
        <v>41</v>
      </c>
      <c r="F3196" t="s">
        <v>10</v>
      </c>
    </row>
    <row r="3197" spans="1:6" hidden="1" x14ac:dyDescent="0.35">
      <c r="A3197" t="s">
        <v>13</v>
      </c>
      <c r="B3197" t="s">
        <v>37</v>
      </c>
      <c r="C3197" t="s">
        <v>23</v>
      </c>
      <c r="D3197">
        <v>0</v>
      </c>
      <c r="E3197" t="s">
        <v>41</v>
      </c>
      <c r="F3197" t="s">
        <v>10</v>
      </c>
    </row>
    <row r="3198" spans="1:6" hidden="1" x14ac:dyDescent="0.35">
      <c r="A3198" t="s">
        <v>14</v>
      </c>
      <c r="B3198" t="s">
        <v>37</v>
      </c>
      <c r="C3198" t="s">
        <v>23</v>
      </c>
      <c r="D3198">
        <v>0</v>
      </c>
      <c r="E3198" t="s">
        <v>41</v>
      </c>
      <c r="F3198" t="s">
        <v>10</v>
      </c>
    </row>
    <row r="3199" spans="1:6" hidden="1" x14ac:dyDescent="0.35">
      <c r="A3199" t="s">
        <v>15</v>
      </c>
      <c r="B3199" t="s">
        <v>37</v>
      </c>
      <c r="C3199" t="s">
        <v>23</v>
      </c>
      <c r="D3199">
        <v>0</v>
      </c>
      <c r="E3199" t="s">
        <v>41</v>
      </c>
      <c r="F3199" t="s">
        <v>10</v>
      </c>
    </row>
    <row r="3200" spans="1:6" hidden="1" x14ac:dyDescent="0.35">
      <c r="A3200" t="s">
        <v>16</v>
      </c>
      <c r="B3200" t="s">
        <v>37</v>
      </c>
      <c r="C3200" t="s">
        <v>23</v>
      </c>
      <c r="D3200">
        <v>0</v>
      </c>
      <c r="E3200" t="s">
        <v>41</v>
      </c>
      <c r="F3200" t="s">
        <v>10</v>
      </c>
    </row>
    <row r="3201" spans="1:6" hidden="1" x14ac:dyDescent="0.35">
      <c r="A3201" t="s">
        <v>17</v>
      </c>
      <c r="B3201" t="s">
        <v>37</v>
      </c>
      <c r="C3201" t="s">
        <v>23</v>
      </c>
      <c r="D3201">
        <v>0</v>
      </c>
      <c r="E3201" t="s">
        <v>41</v>
      </c>
      <c r="F3201" t="s">
        <v>10</v>
      </c>
    </row>
    <row r="3202" spans="1:6" hidden="1" x14ac:dyDescent="0.35">
      <c r="A3202" t="s">
        <v>18</v>
      </c>
      <c r="B3202" t="s">
        <v>37</v>
      </c>
      <c r="C3202" t="s">
        <v>23</v>
      </c>
      <c r="D3202">
        <v>0</v>
      </c>
      <c r="E3202" t="s">
        <v>41</v>
      </c>
      <c r="F3202" t="s">
        <v>10</v>
      </c>
    </row>
    <row r="3203" spans="1:6" hidden="1" x14ac:dyDescent="0.35">
      <c r="A3203" t="s">
        <v>19</v>
      </c>
      <c r="B3203" t="s">
        <v>37</v>
      </c>
      <c r="C3203" t="s">
        <v>23</v>
      </c>
      <c r="D3203">
        <v>0</v>
      </c>
      <c r="E3203" t="s">
        <v>41</v>
      </c>
      <c r="F3203" t="s">
        <v>10</v>
      </c>
    </row>
    <row r="3204" spans="1:6" hidden="1" x14ac:dyDescent="0.35">
      <c r="A3204" t="s">
        <v>20</v>
      </c>
      <c r="B3204" t="s">
        <v>37</v>
      </c>
      <c r="C3204" t="s">
        <v>23</v>
      </c>
      <c r="D3204">
        <v>0</v>
      </c>
      <c r="E3204" t="s">
        <v>41</v>
      </c>
      <c r="F3204" t="s">
        <v>10</v>
      </c>
    </row>
    <row r="3205" spans="1:6" hidden="1" x14ac:dyDescent="0.35">
      <c r="A3205" t="s">
        <v>21</v>
      </c>
      <c r="B3205" t="s">
        <v>37</v>
      </c>
      <c r="C3205" t="s">
        <v>23</v>
      </c>
      <c r="D3205">
        <v>0</v>
      </c>
      <c r="E3205" t="s">
        <v>41</v>
      </c>
      <c r="F3205" t="s">
        <v>10</v>
      </c>
    </row>
    <row r="3206" spans="1:6" hidden="1" x14ac:dyDescent="0.35">
      <c r="A3206" t="s">
        <v>6</v>
      </c>
      <c r="B3206" t="s">
        <v>37</v>
      </c>
      <c r="C3206" t="s">
        <v>24</v>
      </c>
      <c r="D3206">
        <v>0</v>
      </c>
      <c r="E3206" t="s">
        <v>41</v>
      </c>
      <c r="F3206" t="s">
        <v>10</v>
      </c>
    </row>
    <row r="3207" spans="1:6" hidden="1" x14ac:dyDescent="0.35">
      <c r="A3207" t="s">
        <v>11</v>
      </c>
      <c r="B3207" t="s">
        <v>37</v>
      </c>
      <c r="C3207" t="s">
        <v>24</v>
      </c>
      <c r="D3207">
        <v>0</v>
      </c>
      <c r="E3207" t="s">
        <v>41</v>
      </c>
      <c r="F3207" t="s">
        <v>10</v>
      </c>
    </row>
    <row r="3208" spans="1:6" hidden="1" x14ac:dyDescent="0.35">
      <c r="A3208" t="s">
        <v>12</v>
      </c>
      <c r="B3208" t="s">
        <v>37</v>
      </c>
      <c r="C3208" t="s">
        <v>24</v>
      </c>
      <c r="D3208">
        <v>0</v>
      </c>
      <c r="E3208" t="s">
        <v>41</v>
      </c>
      <c r="F3208" t="s">
        <v>10</v>
      </c>
    </row>
    <row r="3209" spans="1:6" hidden="1" x14ac:dyDescent="0.35">
      <c r="A3209" t="s">
        <v>13</v>
      </c>
      <c r="B3209" t="s">
        <v>37</v>
      </c>
      <c r="C3209" t="s">
        <v>24</v>
      </c>
      <c r="D3209">
        <v>0</v>
      </c>
      <c r="E3209" t="s">
        <v>41</v>
      </c>
      <c r="F3209" t="s">
        <v>10</v>
      </c>
    </row>
    <row r="3210" spans="1:6" hidden="1" x14ac:dyDescent="0.35">
      <c r="A3210" t="s">
        <v>14</v>
      </c>
      <c r="B3210" t="s">
        <v>37</v>
      </c>
      <c r="C3210" t="s">
        <v>24</v>
      </c>
      <c r="D3210">
        <v>0</v>
      </c>
      <c r="E3210" t="s">
        <v>41</v>
      </c>
      <c r="F3210" t="s">
        <v>10</v>
      </c>
    </row>
    <row r="3211" spans="1:6" hidden="1" x14ac:dyDescent="0.35">
      <c r="A3211" t="s">
        <v>15</v>
      </c>
      <c r="B3211" t="s">
        <v>37</v>
      </c>
      <c r="C3211" t="s">
        <v>24</v>
      </c>
      <c r="D3211">
        <v>0</v>
      </c>
      <c r="E3211" t="s">
        <v>41</v>
      </c>
      <c r="F3211" t="s">
        <v>10</v>
      </c>
    </row>
    <row r="3212" spans="1:6" hidden="1" x14ac:dyDescent="0.35">
      <c r="A3212" t="s">
        <v>16</v>
      </c>
      <c r="B3212" t="s">
        <v>37</v>
      </c>
      <c r="C3212" t="s">
        <v>24</v>
      </c>
      <c r="D3212">
        <v>0</v>
      </c>
      <c r="E3212" t="s">
        <v>41</v>
      </c>
      <c r="F3212" t="s">
        <v>10</v>
      </c>
    </row>
    <row r="3213" spans="1:6" hidden="1" x14ac:dyDescent="0.35">
      <c r="A3213" t="s">
        <v>17</v>
      </c>
      <c r="B3213" t="s">
        <v>37</v>
      </c>
      <c r="C3213" t="s">
        <v>24</v>
      </c>
      <c r="D3213">
        <v>0</v>
      </c>
      <c r="E3213" t="s">
        <v>41</v>
      </c>
      <c r="F3213" t="s">
        <v>10</v>
      </c>
    </row>
    <row r="3214" spans="1:6" hidden="1" x14ac:dyDescent="0.35">
      <c r="A3214" t="s">
        <v>18</v>
      </c>
      <c r="B3214" t="s">
        <v>37</v>
      </c>
      <c r="C3214" t="s">
        <v>24</v>
      </c>
      <c r="D3214">
        <v>0</v>
      </c>
      <c r="E3214" t="s">
        <v>41</v>
      </c>
      <c r="F3214" t="s">
        <v>10</v>
      </c>
    </row>
    <row r="3215" spans="1:6" hidden="1" x14ac:dyDescent="0.35">
      <c r="A3215" t="s">
        <v>19</v>
      </c>
      <c r="B3215" t="s">
        <v>37</v>
      </c>
      <c r="C3215" t="s">
        <v>24</v>
      </c>
      <c r="D3215">
        <v>0</v>
      </c>
      <c r="E3215" t="s">
        <v>41</v>
      </c>
      <c r="F3215" t="s">
        <v>10</v>
      </c>
    </row>
    <row r="3216" spans="1:6" hidden="1" x14ac:dyDescent="0.35">
      <c r="A3216" t="s">
        <v>20</v>
      </c>
      <c r="B3216" t="s">
        <v>37</v>
      </c>
      <c r="C3216" t="s">
        <v>24</v>
      </c>
      <c r="D3216">
        <v>0</v>
      </c>
      <c r="E3216" t="s">
        <v>41</v>
      </c>
      <c r="F3216" t="s">
        <v>10</v>
      </c>
    </row>
    <row r="3217" spans="1:6" hidden="1" x14ac:dyDescent="0.35">
      <c r="A3217" t="s">
        <v>21</v>
      </c>
      <c r="B3217" t="s">
        <v>37</v>
      </c>
      <c r="C3217" t="s">
        <v>24</v>
      </c>
      <c r="D3217">
        <v>0</v>
      </c>
      <c r="E3217" t="s">
        <v>41</v>
      </c>
      <c r="F3217" t="s">
        <v>10</v>
      </c>
    </row>
    <row r="3218" spans="1:6" hidden="1" x14ac:dyDescent="0.35">
      <c r="A3218" t="s">
        <v>6</v>
      </c>
      <c r="B3218" t="s">
        <v>37</v>
      </c>
      <c r="C3218" t="s">
        <v>25</v>
      </c>
      <c r="D3218">
        <v>0</v>
      </c>
      <c r="E3218" t="s">
        <v>41</v>
      </c>
      <c r="F3218" t="s">
        <v>10</v>
      </c>
    </row>
    <row r="3219" spans="1:6" hidden="1" x14ac:dyDescent="0.35">
      <c r="A3219" t="s">
        <v>11</v>
      </c>
      <c r="B3219" t="s">
        <v>37</v>
      </c>
      <c r="C3219" t="s">
        <v>25</v>
      </c>
      <c r="D3219">
        <v>0</v>
      </c>
      <c r="E3219" t="s">
        <v>41</v>
      </c>
      <c r="F3219" t="s">
        <v>10</v>
      </c>
    </row>
    <row r="3220" spans="1:6" hidden="1" x14ac:dyDescent="0.35">
      <c r="A3220" t="s">
        <v>12</v>
      </c>
      <c r="B3220" t="s">
        <v>37</v>
      </c>
      <c r="C3220" t="s">
        <v>25</v>
      </c>
      <c r="D3220">
        <v>0</v>
      </c>
      <c r="E3220" t="s">
        <v>41</v>
      </c>
      <c r="F3220" t="s">
        <v>10</v>
      </c>
    </row>
    <row r="3221" spans="1:6" hidden="1" x14ac:dyDescent="0.35">
      <c r="A3221" t="s">
        <v>13</v>
      </c>
      <c r="B3221" t="s">
        <v>37</v>
      </c>
      <c r="C3221" t="s">
        <v>25</v>
      </c>
      <c r="D3221">
        <v>0</v>
      </c>
      <c r="E3221" t="s">
        <v>41</v>
      </c>
      <c r="F3221" t="s">
        <v>10</v>
      </c>
    </row>
    <row r="3222" spans="1:6" hidden="1" x14ac:dyDescent="0.35">
      <c r="A3222" t="s">
        <v>14</v>
      </c>
      <c r="B3222" t="s">
        <v>37</v>
      </c>
      <c r="C3222" t="s">
        <v>25</v>
      </c>
      <c r="D3222">
        <v>0</v>
      </c>
      <c r="E3222" t="s">
        <v>41</v>
      </c>
      <c r="F3222" t="s">
        <v>10</v>
      </c>
    </row>
    <row r="3223" spans="1:6" hidden="1" x14ac:dyDescent="0.35">
      <c r="A3223" t="s">
        <v>15</v>
      </c>
      <c r="B3223" t="s">
        <v>37</v>
      </c>
      <c r="C3223" t="s">
        <v>25</v>
      </c>
      <c r="D3223">
        <v>0</v>
      </c>
      <c r="E3223" t="s">
        <v>41</v>
      </c>
      <c r="F3223" t="s">
        <v>10</v>
      </c>
    </row>
    <row r="3224" spans="1:6" hidden="1" x14ac:dyDescent="0.35">
      <c r="A3224" t="s">
        <v>16</v>
      </c>
      <c r="B3224" t="s">
        <v>37</v>
      </c>
      <c r="C3224" t="s">
        <v>25</v>
      </c>
      <c r="D3224">
        <v>0</v>
      </c>
      <c r="E3224" t="s">
        <v>41</v>
      </c>
      <c r="F3224" t="s">
        <v>10</v>
      </c>
    </row>
    <row r="3225" spans="1:6" hidden="1" x14ac:dyDescent="0.35">
      <c r="A3225" t="s">
        <v>17</v>
      </c>
      <c r="B3225" t="s">
        <v>37</v>
      </c>
      <c r="C3225" t="s">
        <v>25</v>
      </c>
      <c r="D3225">
        <v>0</v>
      </c>
      <c r="E3225" t="s">
        <v>41</v>
      </c>
      <c r="F3225" t="s">
        <v>10</v>
      </c>
    </row>
    <row r="3226" spans="1:6" hidden="1" x14ac:dyDescent="0.35">
      <c r="A3226" t="s">
        <v>18</v>
      </c>
      <c r="B3226" t="s">
        <v>37</v>
      </c>
      <c r="C3226" t="s">
        <v>25</v>
      </c>
      <c r="D3226">
        <v>0</v>
      </c>
      <c r="E3226" t="s">
        <v>41</v>
      </c>
      <c r="F3226" t="s">
        <v>10</v>
      </c>
    </row>
    <row r="3227" spans="1:6" hidden="1" x14ac:dyDescent="0.35">
      <c r="A3227" t="s">
        <v>19</v>
      </c>
      <c r="B3227" t="s">
        <v>37</v>
      </c>
      <c r="C3227" t="s">
        <v>25</v>
      </c>
      <c r="D3227">
        <v>0</v>
      </c>
      <c r="E3227" t="s">
        <v>41</v>
      </c>
      <c r="F3227" t="s">
        <v>10</v>
      </c>
    </row>
    <row r="3228" spans="1:6" hidden="1" x14ac:dyDescent="0.35">
      <c r="A3228" t="s">
        <v>20</v>
      </c>
      <c r="B3228" t="s">
        <v>37</v>
      </c>
      <c r="C3228" t="s">
        <v>25</v>
      </c>
      <c r="D3228">
        <v>0</v>
      </c>
      <c r="E3228" t="s">
        <v>41</v>
      </c>
      <c r="F3228" t="s">
        <v>10</v>
      </c>
    </row>
    <row r="3229" spans="1:6" hidden="1" x14ac:dyDescent="0.35">
      <c r="A3229" t="s">
        <v>21</v>
      </c>
      <c r="B3229" t="s">
        <v>37</v>
      </c>
      <c r="C3229" t="s">
        <v>25</v>
      </c>
      <c r="D3229">
        <v>0</v>
      </c>
      <c r="E3229" t="s">
        <v>41</v>
      </c>
      <c r="F3229" t="s">
        <v>10</v>
      </c>
    </row>
    <row r="3230" spans="1:6" hidden="1" x14ac:dyDescent="0.35">
      <c r="A3230" t="s">
        <v>6</v>
      </c>
      <c r="B3230" t="s">
        <v>37</v>
      </c>
      <c r="C3230" t="s">
        <v>26</v>
      </c>
      <c r="D3230">
        <v>0</v>
      </c>
      <c r="E3230" t="s">
        <v>41</v>
      </c>
      <c r="F3230" t="s">
        <v>10</v>
      </c>
    </row>
    <row r="3231" spans="1:6" hidden="1" x14ac:dyDescent="0.35">
      <c r="A3231" t="s">
        <v>11</v>
      </c>
      <c r="B3231" t="s">
        <v>37</v>
      </c>
      <c r="C3231" t="s">
        <v>26</v>
      </c>
      <c r="E3231" t="s">
        <v>41</v>
      </c>
      <c r="F3231" t="s">
        <v>10</v>
      </c>
    </row>
    <row r="3232" spans="1:6" hidden="1" x14ac:dyDescent="0.35">
      <c r="A3232" t="s">
        <v>12</v>
      </c>
      <c r="B3232" t="s">
        <v>37</v>
      </c>
      <c r="C3232" t="s">
        <v>26</v>
      </c>
      <c r="E3232" t="s">
        <v>41</v>
      </c>
      <c r="F3232" t="s">
        <v>10</v>
      </c>
    </row>
    <row r="3233" spans="1:6" hidden="1" x14ac:dyDescent="0.35">
      <c r="A3233" t="s">
        <v>13</v>
      </c>
      <c r="B3233" t="s">
        <v>37</v>
      </c>
      <c r="C3233" t="s">
        <v>26</v>
      </c>
      <c r="E3233" t="s">
        <v>41</v>
      </c>
      <c r="F3233" t="s">
        <v>10</v>
      </c>
    </row>
    <row r="3234" spans="1:6" hidden="1" x14ac:dyDescent="0.35">
      <c r="A3234" t="s">
        <v>14</v>
      </c>
      <c r="B3234" t="s">
        <v>37</v>
      </c>
      <c r="C3234" t="s">
        <v>26</v>
      </c>
      <c r="E3234" t="s">
        <v>41</v>
      </c>
      <c r="F3234" t="s">
        <v>10</v>
      </c>
    </row>
    <row r="3235" spans="1:6" hidden="1" x14ac:dyDescent="0.35">
      <c r="A3235" t="s">
        <v>15</v>
      </c>
      <c r="B3235" t="s">
        <v>37</v>
      </c>
      <c r="C3235" t="s">
        <v>26</v>
      </c>
      <c r="E3235" t="s">
        <v>41</v>
      </c>
      <c r="F3235" t="s">
        <v>10</v>
      </c>
    </row>
    <row r="3236" spans="1:6" hidden="1" x14ac:dyDescent="0.35">
      <c r="A3236" t="s">
        <v>16</v>
      </c>
      <c r="B3236" t="s">
        <v>37</v>
      </c>
      <c r="C3236" t="s">
        <v>26</v>
      </c>
      <c r="E3236" t="s">
        <v>41</v>
      </c>
      <c r="F3236" t="s">
        <v>10</v>
      </c>
    </row>
    <row r="3237" spans="1:6" hidden="1" x14ac:dyDescent="0.35">
      <c r="A3237" t="s">
        <v>17</v>
      </c>
      <c r="B3237" t="s">
        <v>37</v>
      </c>
      <c r="C3237" t="s">
        <v>26</v>
      </c>
      <c r="E3237" t="s">
        <v>41</v>
      </c>
      <c r="F3237" t="s">
        <v>10</v>
      </c>
    </row>
    <row r="3238" spans="1:6" hidden="1" x14ac:dyDescent="0.35">
      <c r="A3238" t="s">
        <v>18</v>
      </c>
      <c r="B3238" t="s">
        <v>37</v>
      </c>
      <c r="C3238" t="s">
        <v>26</v>
      </c>
      <c r="E3238" t="s">
        <v>41</v>
      </c>
      <c r="F3238" t="s">
        <v>10</v>
      </c>
    </row>
    <row r="3239" spans="1:6" hidden="1" x14ac:dyDescent="0.35">
      <c r="A3239" t="s">
        <v>19</v>
      </c>
      <c r="B3239" t="s">
        <v>37</v>
      </c>
      <c r="C3239" t="s">
        <v>26</v>
      </c>
      <c r="E3239" t="s">
        <v>41</v>
      </c>
      <c r="F3239" t="s">
        <v>10</v>
      </c>
    </row>
    <row r="3240" spans="1:6" hidden="1" x14ac:dyDescent="0.35">
      <c r="A3240" t="s">
        <v>20</v>
      </c>
      <c r="B3240" t="s">
        <v>37</v>
      </c>
      <c r="C3240" t="s">
        <v>26</v>
      </c>
      <c r="E3240" t="s">
        <v>41</v>
      </c>
      <c r="F3240" t="s">
        <v>10</v>
      </c>
    </row>
    <row r="3241" spans="1:6" hidden="1" x14ac:dyDescent="0.35">
      <c r="A3241" t="s">
        <v>21</v>
      </c>
      <c r="B3241" t="s">
        <v>37</v>
      </c>
      <c r="C3241" t="s">
        <v>26</v>
      </c>
      <c r="E3241" t="s">
        <v>41</v>
      </c>
      <c r="F3241" t="s">
        <v>10</v>
      </c>
    </row>
    <row r="3242" spans="1:6" hidden="1" x14ac:dyDescent="0.35">
      <c r="A3242" t="s">
        <v>6</v>
      </c>
      <c r="B3242" t="s">
        <v>37</v>
      </c>
      <c r="C3242" t="s">
        <v>27</v>
      </c>
      <c r="D3242">
        <v>0</v>
      </c>
      <c r="E3242" t="s">
        <v>41</v>
      </c>
      <c r="F3242" t="s">
        <v>10</v>
      </c>
    </row>
    <row r="3243" spans="1:6" hidden="1" x14ac:dyDescent="0.35">
      <c r="A3243" t="s">
        <v>11</v>
      </c>
      <c r="B3243" t="s">
        <v>37</v>
      </c>
      <c r="C3243" t="s">
        <v>27</v>
      </c>
      <c r="D3243">
        <v>0</v>
      </c>
      <c r="E3243" t="s">
        <v>41</v>
      </c>
      <c r="F3243" t="s">
        <v>10</v>
      </c>
    </row>
    <row r="3244" spans="1:6" hidden="1" x14ac:dyDescent="0.35">
      <c r="A3244" t="s">
        <v>12</v>
      </c>
      <c r="B3244" t="s">
        <v>37</v>
      </c>
      <c r="C3244" t="s">
        <v>27</v>
      </c>
      <c r="D3244">
        <v>0</v>
      </c>
      <c r="E3244" t="s">
        <v>41</v>
      </c>
      <c r="F3244" t="s">
        <v>10</v>
      </c>
    </row>
    <row r="3245" spans="1:6" hidden="1" x14ac:dyDescent="0.35">
      <c r="A3245" t="s">
        <v>13</v>
      </c>
      <c r="B3245" t="s">
        <v>37</v>
      </c>
      <c r="C3245" t="s">
        <v>27</v>
      </c>
      <c r="D3245">
        <v>0</v>
      </c>
      <c r="E3245" t="s">
        <v>41</v>
      </c>
      <c r="F3245" t="s">
        <v>10</v>
      </c>
    </row>
    <row r="3246" spans="1:6" hidden="1" x14ac:dyDescent="0.35">
      <c r="A3246" t="s">
        <v>14</v>
      </c>
      <c r="B3246" t="s">
        <v>37</v>
      </c>
      <c r="C3246" t="s">
        <v>27</v>
      </c>
      <c r="D3246">
        <v>0</v>
      </c>
      <c r="E3246" t="s">
        <v>41</v>
      </c>
      <c r="F3246" t="s">
        <v>10</v>
      </c>
    </row>
    <row r="3247" spans="1:6" hidden="1" x14ac:dyDescent="0.35">
      <c r="A3247" t="s">
        <v>15</v>
      </c>
      <c r="B3247" t="s">
        <v>37</v>
      </c>
      <c r="C3247" t="s">
        <v>27</v>
      </c>
      <c r="D3247">
        <v>0</v>
      </c>
      <c r="E3247" t="s">
        <v>41</v>
      </c>
      <c r="F3247" t="s">
        <v>10</v>
      </c>
    </row>
    <row r="3248" spans="1:6" hidden="1" x14ac:dyDescent="0.35">
      <c r="A3248" t="s">
        <v>16</v>
      </c>
      <c r="B3248" t="s">
        <v>37</v>
      </c>
      <c r="C3248" t="s">
        <v>27</v>
      </c>
      <c r="D3248">
        <v>0</v>
      </c>
      <c r="E3248" t="s">
        <v>41</v>
      </c>
      <c r="F3248" t="s">
        <v>10</v>
      </c>
    </row>
    <row r="3249" spans="1:6" hidden="1" x14ac:dyDescent="0.35">
      <c r="A3249" t="s">
        <v>17</v>
      </c>
      <c r="B3249" t="s">
        <v>37</v>
      </c>
      <c r="C3249" t="s">
        <v>27</v>
      </c>
      <c r="D3249">
        <v>0</v>
      </c>
      <c r="E3249" t="s">
        <v>41</v>
      </c>
      <c r="F3249" t="s">
        <v>10</v>
      </c>
    </row>
    <row r="3250" spans="1:6" hidden="1" x14ac:dyDescent="0.35">
      <c r="A3250" t="s">
        <v>18</v>
      </c>
      <c r="B3250" t="s">
        <v>37</v>
      </c>
      <c r="C3250" t="s">
        <v>27</v>
      </c>
      <c r="D3250">
        <v>0</v>
      </c>
      <c r="E3250" t="s">
        <v>41</v>
      </c>
      <c r="F3250" t="s">
        <v>10</v>
      </c>
    </row>
    <row r="3251" spans="1:6" hidden="1" x14ac:dyDescent="0.35">
      <c r="A3251" t="s">
        <v>19</v>
      </c>
      <c r="B3251" t="s">
        <v>37</v>
      </c>
      <c r="C3251" t="s">
        <v>27</v>
      </c>
      <c r="D3251">
        <v>0</v>
      </c>
      <c r="E3251" t="s">
        <v>41</v>
      </c>
      <c r="F3251" t="s">
        <v>10</v>
      </c>
    </row>
    <row r="3252" spans="1:6" hidden="1" x14ac:dyDescent="0.35">
      <c r="A3252" t="s">
        <v>20</v>
      </c>
      <c r="B3252" t="s">
        <v>37</v>
      </c>
      <c r="C3252" t="s">
        <v>27</v>
      </c>
      <c r="D3252">
        <v>0</v>
      </c>
      <c r="E3252" t="s">
        <v>41</v>
      </c>
      <c r="F3252" t="s">
        <v>10</v>
      </c>
    </row>
    <row r="3253" spans="1:6" hidden="1" x14ac:dyDescent="0.35">
      <c r="A3253" t="s">
        <v>21</v>
      </c>
      <c r="B3253" t="s">
        <v>37</v>
      </c>
      <c r="C3253" t="s">
        <v>27</v>
      </c>
      <c r="D3253">
        <v>0</v>
      </c>
      <c r="E3253" t="s">
        <v>41</v>
      </c>
      <c r="F3253" t="s">
        <v>10</v>
      </c>
    </row>
    <row r="3254" spans="1:6" hidden="1" x14ac:dyDescent="0.35">
      <c r="A3254" t="s">
        <v>6</v>
      </c>
      <c r="B3254" t="s">
        <v>37</v>
      </c>
      <c r="C3254" t="s">
        <v>28</v>
      </c>
      <c r="D3254">
        <v>0</v>
      </c>
      <c r="E3254" t="s">
        <v>41</v>
      </c>
      <c r="F3254" t="s">
        <v>10</v>
      </c>
    </row>
    <row r="3255" spans="1:6" hidden="1" x14ac:dyDescent="0.35">
      <c r="A3255" t="s">
        <v>11</v>
      </c>
      <c r="B3255" t="s">
        <v>37</v>
      </c>
      <c r="C3255" t="s">
        <v>28</v>
      </c>
      <c r="D3255">
        <v>0</v>
      </c>
      <c r="E3255" t="s">
        <v>41</v>
      </c>
      <c r="F3255" t="s">
        <v>10</v>
      </c>
    </row>
    <row r="3256" spans="1:6" hidden="1" x14ac:dyDescent="0.35">
      <c r="A3256" t="s">
        <v>12</v>
      </c>
      <c r="B3256" t="s">
        <v>37</v>
      </c>
      <c r="C3256" t="s">
        <v>28</v>
      </c>
      <c r="D3256">
        <v>0</v>
      </c>
      <c r="E3256" t="s">
        <v>41</v>
      </c>
      <c r="F3256" t="s">
        <v>10</v>
      </c>
    </row>
    <row r="3257" spans="1:6" hidden="1" x14ac:dyDescent="0.35">
      <c r="A3257" t="s">
        <v>13</v>
      </c>
      <c r="B3257" t="s">
        <v>37</v>
      </c>
      <c r="C3257" t="s">
        <v>28</v>
      </c>
      <c r="D3257">
        <v>0</v>
      </c>
      <c r="E3257" t="s">
        <v>41</v>
      </c>
      <c r="F3257" t="s">
        <v>10</v>
      </c>
    </row>
    <row r="3258" spans="1:6" hidden="1" x14ac:dyDescent="0.35">
      <c r="A3258" t="s">
        <v>14</v>
      </c>
      <c r="B3258" t="s">
        <v>37</v>
      </c>
      <c r="C3258" t="s">
        <v>28</v>
      </c>
      <c r="D3258">
        <v>0</v>
      </c>
      <c r="E3258" t="s">
        <v>41</v>
      </c>
      <c r="F3258" t="s">
        <v>10</v>
      </c>
    </row>
    <row r="3259" spans="1:6" hidden="1" x14ac:dyDescent="0.35">
      <c r="A3259" t="s">
        <v>15</v>
      </c>
      <c r="B3259" t="s">
        <v>37</v>
      </c>
      <c r="C3259" t="s">
        <v>28</v>
      </c>
      <c r="D3259">
        <v>0</v>
      </c>
      <c r="E3259" t="s">
        <v>41</v>
      </c>
      <c r="F3259" t="s">
        <v>10</v>
      </c>
    </row>
    <row r="3260" spans="1:6" hidden="1" x14ac:dyDescent="0.35">
      <c r="A3260" t="s">
        <v>16</v>
      </c>
      <c r="B3260" t="s">
        <v>37</v>
      </c>
      <c r="C3260" t="s">
        <v>28</v>
      </c>
      <c r="D3260">
        <v>0</v>
      </c>
      <c r="E3260" t="s">
        <v>41</v>
      </c>
      <c r="F3260" t="s">
        <v>10</v>
      </c>
    </row>
    <row r="3261" spans="1:6" hidden="1" x14ac:dyDescent="0.35">
      <c r="A3261" t="s">
        <v>17</v>
      </c>
      <c r="B3261" t="s">
        <v>37</v>
      </c>
      <c r="C3261" t="s">
        <v>28</v>
      </c>
      <c r="D3261">
        <v>0</v>
      </c>
      <c r="E3261" t="s">
        <v>41</v>
      </c>
      <c r="F3261" t="s">
        <v>10</v>
      </c>
    </row>
    <row r="3262" spans="1:6" hidden="1" x14ac:dyDescent="0.35">
      <c r="A3262" t="s">
        <v>18</v>
      </c>
      <c r="B3262" t="s">
        <v>37</v>
      </c>
      <c r="C3262" t="s">
        <v>28</v>
      </c>
      <c r="D3262">
        <v>0</v>
      </c>
      <c r="E3262" t="s">
        <v>41</v>
      </c>
      <c r="F3262" t="s">
        <v>10</v>
      </c>
    </row>
    <row r="3263" spans="1:6" hidden="1" x14ac:dyDescent="0.35">
      <c r="A3263" t="s">
        <v>19</v>
      </c>
      <c r="B3263" t="s">
        <v>37</v>
      </c>
      <c r="C3263" t="s">
        <v>28</v>
      </c>
      <c r="D3263">
        <v>0</v>
      </c>
      <c r="E3263" t="s">
        <v>41</v>
      </c>
      <c r="F3263" t="s">
        <v>10</v>
      </c>
    </row>
    <row r="3264" spans="1:6" hidden="1" x14ac:dyDescent="0.35">
      <c r="A3264" t="s">
        <v>20</v>
      </c>
      <c r="B3264" t="s">
        <v>37</v>
      </c>
      <c r="C3264" t="s">
        <v>28</v>
      </c>
      <c r="D3264">
        <v>0</v>
      </c>
      <c r="E3264" t="s">
        <v>41</v>
      </c>
      <c r="F3264" t="s">
        <v>10</v>
      </c>
    </row>
    <row r="3265" spans="1:6" hidden="1" x14ac:dyDescent="0.35">
      <c r="A3265" t="s">
        <v>21</v>
      </c>
      <c r="B3265" t="s">
        <v>37</v>
      </c>
      <c r="C3265" t="s">
        <v>28</v>
      </c>
      <c r="D3265">
        <v>0</v>
      </c>
      <c r="E3265" t="s">
        <v>41</v>
      </c>
      <c r="F3265" t="s">
        <v>10</v>
      </c>
    </row>
    <row r="3266" spans="1:6" hidden="1" x14ac:dyDescent="0.35">
      <c r="A3266" t="s">
        <v>6</v>
      </c>
      <c r="B3266" t="s">
        <v>37</v>
      </c>
      <c r="C3266" t="s">
        <v>29</v>
      </c>
      <c r="E3266" t="s">
        <v>41</v>
      </c>
      <c r="F3266" t="s">
        <v>10</v>
      </c>
    </row>
    <row r="3267" spans="1:6" hidden="1" x14ac:dyDescent="0.35">
      <c r="A3267" t="s">
        <v>11</v>
      </c>
      <c r="B3267" t="s">
        <v>37</v>
      </c>
      <c r="C3267" t="s">
        <v>29</v>
      </c>
      <c r="E3267" t="s">
        <v>41</v>
      </c>
      <c r="F3267" t="s">
        <v>10</v>
      </c>
    </row>
    <row r="3268" spans="1:6" hidden="1" x14ac:dyDescent="0.35">
      <c r="A3268" t="s">
        <v>12</v>
      </c>
      <c r="B3268" t="s">
        <v>37</v>
      </c>
      <c r="C3268" t="s">
        <v>29</v>
      </c>
      <c r="E3268" t="s">
        <v>41</v>
      </c>
      <c r="F3268" t="s">
        <v>10</v>
      </c>
    </row>
    <row r="3269" spans="1:6" hidden="1" x14ac:dyDescent="0.35">
      <c r="A3269" t="s">
        <v>13</v>
      </c>
      <c r="B3269" t="s">
        <v>37</v>
      </c>
      <c r="C3269" t="s">
        <v>29</v>
      </c>
      <c r="E3269" t="s">
        <v>41</v>
      </c>
      <c r="F3269" t="s">
        <v>10</v>
      </c>
    </row>
    <row r="3270" spans="1:6" hidden="1" x14ac:dyDescent="0.35">
      <c r="A3270" t="s">
        <v>14</v>
      </c>
      <c r="B3270" t="s">
        <v>37</v>
      </c>
      <c r="C3270" t="s">
        <v>29</v>
      </c>
      <c r="E3270" t="s">
        <v>41</v>
      </c>
      <c r="F3270" t="s">
        <v>10</v>
      </c>
    </row>
    <row r="3271" spans="1:6" hidden="1" x14ac:dyDescent="0.35">
      <c r="A3271" t="s">
        <v>15</v>
      </c>
      <c r="B3271" t="s">
        <v>37</v>
      </c>
      <c r="C3271" t="s">
        <v>29</v>
      </c>
      <c r="E3271" t="s">
        <v>41</v>
      </c>
      <c r="F3271" t="s">
        <v>10</v>
      </c>
    </row>
    <row r="3272" spans="1:6" hidden="1" x14ac:dyDescent="0.35">
      <c r="A3272" t="s">
        <v>16</v>
      </c>
      <c r="B3272" t="s">
        <v>37</v>
      </c>
      <c r="C3272" t="s">
        <v>29</v>
      </c>
      <c r="E3272" t="s">
        <v>41</v>
      </c>
      <c r="F3272" t="s">
        <v>10</v>
      </c>
    </row>
    <row r="3273" spans="1:6" hidden="1" x14ac:dyDescent="0.35">
      <c r="A3273" t="s">
        <v>17</v>
      </c>
      <c r="B3273" t="s">
        <v>37</v>
      </c>
      <c r="C3273" t="s">
        <v>29</v>
      </c>
      <c r="E3273" t="s">
        <v>41</v>
      </c>
      <c r="F3273" t="s">
        <v>10</v>
      </c>
    </row>
    <row r="3274" spans="1:6" hidden="1" x14ac:dyDescent="0.35">
      <c r="A3274" t="s">
        <v>18</v>
      </c>
      <c r="B3274" t="s">
        <v>37</v>
      </c>
      <c r="C3274" t="s">
        <v>29</v>
      </c>
      <c r="E3274" t="s">
        <v>41</v>
      </c>
      <c r="F3274" t="s">
        <v>10</v>
      </c>
    </row>
    <row r="3275" spans="1:6" hidden="1" x14ac:dyDescent="0.35">
      <c r="A3275" t="s">
        <v>19</v>
      </c>
      <c r="B3275" t="s">
        <v>37</v>
      </c>
      <c r="C3275" t="s">
        <v>29</v>
      </c>
      <c r="E3275" t="s">
        <v>41</v>
      </c>
      <c r="F3275" t="s">
        <v>10</v>
      </c>
    </row>
    <row r="3276" spans="1:6" hidden="1" x14ac:dyDescent="0.35">
      <c r="A3276" t="s">
        <v>20</v>
      </c>
      <c r="B3276" t="s">
        <v>37</v>
      </c>
      <c r="C3276" t="s">
        <v>29</v>
      </c>
      <c r="E3276" t="s">
        <v>41</v>
      </c>
      <c r="F3276" t="s">
        <v>10</v>
      </c>
    </row>
    <row r="3277" spans="1:6" hidden="1" x14ac:dyDescent="0.35">
      <c r="A3277" t="s">
        <v>21</v>
      </c>
      <c r="B3277" t="s">
        <v>37</v>
      </c>
      <c r="C3277" t="s">
        <v>29</v>
      </c>
      <c r="E3277" t="s">
        <v>41</v>
      </c>
      <c r="F3277" t="s">
        <v>10</v>
      </c>
    </row>
    <row r="3278" spans="1:6" hidden="1" x14ac:dyDescent="0.35">
      <c r="A3278" t="s">
        <v>6</v>
      </c>
      <c r="B3278" t="s">
        <v>37</v>
      </c>
      <c r="C3278" t="s">
        <v>30</v>
      </c>
      <c r="E3278" t="s">
        <v>41</v>
      </c>
      <c r="F3278" t="s">
        <v>10</v>
      </c>
    </row>
    <row r="3279" spans="1:6" hidden="1" x14ac:dyDescent="0.35">
      <c r="A3279" t="s">
        <v>11</v>
      </c>
      <c r="B3279" t="s">
        <v>37</v>
      </c>
      <c r="C3279" t="s">
        <v>30</v>
      </c>
      <c r="E3279" t="s">
        <v>41</v>
      </c>
      <c r="F3279" t="s">
        <v>10</v>
      </c>
    </row>
    <row r="3280" spans="1:6" hidden="1" x14ac:dyDescent="0.35">
      <c r="A3280" t="s">
        <v>12</v>
      </c>
      <c r="B3280" t="s">
        <v>37</v>
      </c>
      <c r="C3280" t="s">
        <v>30</v>
      </c>
      <c r="E3280" t="s">
        <v>41</v>
      </c>
      <c r="F3280" t="s">
        <v>10</v>
      </c>
    </row>
    <row r="3281" spans="1:6" hidden="1" x14ac:dyDescent="0.35">
      <c r="A3281" t="s">
        <v>13</v>
      </c>
      <c r="B3281" t="s">
        <v>37</v>
      </c>
      <c r="C3281" t="s">
        <v>30</v>
      </c>
      <c r="E3281" t="s">
        <v>41</v>
      </c>
      <c r="F3281" t="s">
        <v>10</v>
      </c>
    </row>
    <row r="3282" spans="1:6" hidden="1" x14ac:dyDescent="0.35">
      <c r="A3282" t="s">
        <v>14</v>
      </c>
      <c r="B3282" t="s">
        <v>37</v>
      </c>
      <c r="C3282" t="s">
        <v>30</v>
      </c>
      <c r="E3282" t="s">
        <v>41</v>
      </c>
      <c r="F3282" t="s">
        <v>10</v>
      </c>
    </row>
    <row r="3283" spans="1:6" hidden="1" x14ac:dyDescent="0.35">
      <c r="A3283" t="s">
        <v>15</v>
      </c>
      <c r="B3283" t="s">
        <v>37</v>
      </c>
      <c r="C3283" t="s">
        <v>30</v>
      </c>
      <c r="E3283" t="s">
        <v>41</v>
      </c>
      <c r="F3283" t="s">
        <v>10</v>
      </c>
    </row>
    <row r="3284" spans="1:6" hidden="1" x14ac:dyDescent="0.35">
      <c r="A3284" t="s">
        <v>16</v>
      </c>
      <c r="B3284" t="s">
        <v>37</v>
      </c>
      <c r="C3284" t="s">
        <v>30</v>
      </c>
      <c r="E3284" t="s">
        <v>41</v>
      </c>
      <c r="F3284" t="s">
        <v>10</v>
      </c>
    </row>
    <row r="3285" spans="1:6" hidden="1" x14ac:dyDescent="0.35">
      <c r="A3285" t="s">
        <v>17</v>
      </c>
      <c r="B3285" t="s">
        <v>37</v>
      </c>
      <c r="C3285" t="s">
        <v>30</v>
      </c>
      <c r="E3285" t="s">
        <v>41</v>
      </c>
      <c r="F3285" t="s">
        <v>10</v>
      </c>
    </row>
    <row r="3286" spans="1:6" hidden="1" x14ac:dyDescent="0.35">
      <c r="A3286" t="s">
        <v>18</v>
      </c>
      <c r="B3286" t="s">
        <v>37</v>
      </c>
      <c r="C3286" t="s">
        <v>30</v>
      </c>
      <c r="E3286" t="s">
        <v>41</v>
      </c>
      <c r="F3286" t="s">
        <v>10</v>
      </c>
    </row>
    <row r="3287" spans="1:6" hidden="1" x14ac:dyDescent="0.35">
      <c r="A3287" t="s">
        <v>19</v>
      </c>
      <c r="B3287" t="s">
        <v>37</v>
      </c>
      <c r="C3287" t="s">
        <v>30</v>
      </c>
      <c r="E3287" t="s">
        <v>41</v>
      </c>
      <c r="F3287" t="s">
        <v>10</v>
      </c>
    </row>
    <row r="3288" spans="1:6" hidden="1" x14ac:dyDescent="0.35">
      <c r="A3288" t="s">
        <v>20</v>
      </c>
      <c r="B3288" t="s">
        <v>37</v>
      </c>
      <c r="C3288" t="s">
        <v>30</v>
      </c>
      <c r="E3288" t="s">
        <v>41</v>
      </c>
      <c r="F3288" t="s">
        <v>10</v>
      </c>
    </row>
    <row r="3289" spans="1:6" hidden="1" x14ac:dyDescent="0.35">
      <c r="A3289" t="s">
        <v>21</v>
      </c>
      <c r="B3289" t="s">
        <v>37</v>
      </c>
      <c r="C3289" t="s">
        <v>30</v>
      </c>
      <c r="E3289" t="s">
        <v>41</v>
      </c>
      <c r="F3289" t="s">
        <v>10</v>
      </c>
    </row>
    <row r="3290" spans="1:6" hidden="1" x14ac:dyDescent="0.35">
      <c r="A3290" t="s">
        <v>6</v>
      </c>
      <c r="B3290" t="s">
        <v>37</v>
      </c>
      <c r="C3290" t="s">
        <v>31</v>
      </c>
      <c r="E3290" t="s">
        <v>41</v>
      </c>
      <c r="F3290" t="s">
        <v>10</v>
      </c>
    </row>
    <row r="3291" spans="1:6" hidden="1" x14ac:dyDescent="0.35">
      <c r="A3291" t="s">
        <v>11</v>
      </c>
      <c r="B3291" t="s">
        <v>37</v>
      </c>
      <c r="C3291" t="s">
        <v>31</v>
      </c>
      <c r="E3291" t="s">
        <v>41</v>
      </c>
      <c r="F3291" t="s">
        <v>10</v>
      </c>
    </row>
    <row r="3292" spans="1:6" hidden="1" x14ac:dyDescent="0.35">
      <c r="A3292" t="s">
        <v>12</v>
      </c>
      <c r="B3292" t="s">
        <v>37</v>
      </c>
      <c r="C3292" t="s">
        <v>31</v>
      </c>
      <c r="E3292" t="s">
        <v>41</v>
      </c>
      <c r="F3292" t="s">
        <v>10</v>
      </c>
    </row>
    <row r="3293" spans="1:6" hidden="1" x14ac:dyDescent="0.35">
      <c r="A3293" t="s">
        <v>13</v>
      </c>
      <c r="B3293" t="s">
        <v>37</v>
      </c>
      <c r="C3293" t="s">
        <v>31</v>
      </c>
      <c r="E3293" t="s">
        <v>41</v>
      </c>
      <c r="F3293" t="s">
        <v>10</v>
      </c>
    </row>
    <row r="3294" spans="1:6" hidden="1" x14ac:dyDescent="0.35">
      <c r="A3294" t="s">
        <v>14</v>
      </c>
      <c r="B3294" t="s">
        <v>37</v>
      </c>
      <c r="C3294" t="s">
        <v>31</v>
      </c>
      <c r="E3294" t="s">
        <v>41</v>
      </c>
      <c r="F3294" t="s">
        <v>10</v>
      </c>
    </row>
    <row r="3295" spans="1:6" hidden="1" x14ac:dyDescent="0.35">
      <c r="A3295" t="s">
        <v>15</v>
      </c>
      <c r="B3295" t="s">
        <v>37</v>
      </c>
      <c r="C3295" t="s">
        <v>31</v>
      </c>
      <c r="E3295" t="s">
        <v>41</v>
      </c>
      <c r="F3295" t="s">
        <v>10</v>
      </c>
    </row>
    <row r="3296" spans="1:6" hidden="1" x14ac:dyDescent="0.35">
      <c r="A3296" t="s">
        <v>16</v>
      </c>
      <c r="B3296" t="s">
        <v>37</v>
      </c>
      <c r="C3296" t="s">
        <v>31</v>
      </c>
      <c r="E3296" t="s">
        <v>41</v>
      </c>
      <c r="F3296" t="s">
        <v>10</v>
      </c>
    </row>
    <row r="3297" spans="1:6" hidden="1" x14ac:dyDescent="0.35">
      <c r="A3297" t="s">
        <v>17</v>
      </c>
      <c r="B3297" t="s">
        <v>37</v>
      </c>
      <c r="C3297" t="s">
        <v>31</v>
      </c>
      <c r="E3297" t="s">
        <v>41</v>
      </c>
      <c r="F3297" t="s">
        <v>10</v>
      </c>
    </row>
    <row r="3298" spans="1:6" hidden="1" x14ac:dyDescent="0.35">
      <c r="A3298" t="s">
        <v>18</v>
      </c>
      <c r="B3298" t="s">
        <v>37</v>
      </c>
      <c r="C3298" t="s">
        <v>31</v>
      </c>
      <c r="E3298" t="s">
        <v>41</v>
      </c>
      <c r="F3298" t="s">
        <v>10</v>
      </c>
    </row>
    <row r="3299" spans="1:6" hidden="1" x14ac:dyDescent="0.35">
      <c r="A3299" t="s">
        <v>19</v>
      </c>
      <c r="B3299" t="s">
        <v>37</v>
      </c>
      <c r="C3299" t="s">
        <v>31</v>
      </c>
      <c r="E3299" t="s">
        <v>41</v>
      </c>
      <c r="F3299" t="s">
        <v>10</v>
      </c>
    </row>
    <row r="3300" spans="1:6" hidden="1" x14ac:dyDescent="0.35">
      <c r="A3300" t="s">
        <v>20</v>
      </c>
      <c r="B3300" t="s">
        <v>37</v>
      </c>
      <c r="C3300" t="s">
        <v>31</v>
      </c>
      <c r="E3300" t="s">
        <v>41</v>
      </c>
      <c r="F3300" t="s">
        <v>10</v>
      </c>
    </row>
    <row r="3301" spans="1:6" hidden="1" x14ac:dyDescent="0.35">
      <c r="A3301" t="s">
        <v>21</v>
      </c>
      <c r="B3301" t="s">
        <v>37</v>
      </c>
      <c r="C3301" t="s">
        <v>31</v>
      </c>
      <c r="E3301" t="s">
        <v>41</v>
      </c>
      <c r="F3301" t="s">
        <v>10</v>
      </c>
    </row>
    <row r="3302" spans="1:6" hidden="1" x14ac:dyDescent="0.35">
      <c r="A3302" t="s">
        <v>6</v>
      </c>
      <c r="B3302" t="s">
        <v>38</v>
      </c>
      <c r="C3302" t="s">
        <v>8</v>
      </c>
      <c r="D3302">
        <v>0</v>
      </c>
      <c r="E3302" t="s">
        <v>41</v>
      </c>
      <c r="F3302" t="s">
        <v>10</v>
      </c>
    </row>
    <row r="3303" spans="1:6" hidden="1" x14ac:dyDescent="0.35">
      <c r="A3303" t="s">
        <v>11</v>
      </c>
      <c r="B3303" t="s">
        <v>38</v>
      </c>
      <c r="C3303" t="s">
        <v>8</v>
      </c>
      <c r="D3303">
        <v>0</v>
      </c>
      <c r="E3303" t="s">
        <v>41</v>
      </c>
      <c r="F3303" t="s">
        <v>10</v>
      </c>
    </row>
    <row r="3304" spans="1:6" hidden="1" x14ac:dyDescent="0.35">
      <c r="A3304" t="s">
        <v>12</v>
      </c>
      <c r="B3304" t="s">
        <v>38</v>
      </c>
      <c r="C3304" t="s">
        <v>8</v>
      </c>
      <c r="D3304">
        <v>0</v>
      </c>
      <c r="E3304" t="s">
        <v>41</v>
      </c>
      <c r="F3304" t="s">
        <v>10</v>
      </c>
    </row>
    <row r="3305" spans="1:6" hidden="1" x14ac:dyDescent="0.35">
      <c r="A3305" t="s">
        <v>13</v>
      </c>
      <c r="B3305" t="s">
        <v>38</v>
      </c>
      <c r="C3305" t="s">
        <v>8</v>
      </c>
      <c r="D3305">
        <v>0</v>
      </c>
      <c r="E3305" t="s">
        <v>41</v>
      </c>
      <c r="F3305" t="s">
        <v>10</v>
      </c>
    </row>
    <row r="3306" spans="1:6" hidden="1" x14ac:dyDescent="0.35">
      <c r="A3306" t="s">
        <v>14</v>
      </c>
      <c r="B3306" t="s">
        <v>38</v>
      </c>
      <c r="C3306" t="s">
        <v>8</v>
      </c>
      <c r="D3306">
        <v>0</v>
      </c>
      <c r="E3306" t="s">
        <v>41</v>
      </c>
      <c r="F3306" t="s">
        <v>10</v>
      </c>
    </row>
    <row r="3307" spans="1:6" hidden="1" x14ac:dyDescent="0.35">
      <c r="A3307" t="s">
        <v>15</v>
      </c>
      <c r="B3307" t="s">
        <v>38</v>
      </c>
      <c r="C3307" t="s">
        <v>8</v>
      </c>
      <c r="D3307">
        <v>0</v>
      </c>
      <c r="E3307" t="s">
        <v>41</v>
      </c>
      <c r="F3307" t="s">
        <v>10</v>
      </c>
    </row>
    <row r="3308" spans="1:6" hidden="1" x14ac:dyDescent="0.35">
      <c r="A3308" t="s">
        <v>16</v>
      </c>
      <c r="B3308" t="s">
        <v>38</v>
      </c>
      <c r="C3308" t="s">
        <v>8</v>
      </c>
      <c r="D3308">
        <v>0</v>
      </c>
      <c r="E3308" t="s">
        <v>41</v>
      </c>
      <c r="F3308" t="s">
        <v>10</v>
      </c>
    </row>
    <row r="3309" spans="1:6" hidden="1" x14ac:dyDescent="0.35">
      <c r="A3309" t="s">
        <v>17</v>
      </c>
      <c r="B3309" t="s">
        <v>38</v>
      </c>
      <c r="C3309" t="s">
        <v>8</v>
      </c>
      <c r="D3309">
        <v>0</v>
      </c>
      <c r="E3309" t="s">
        <v>41</v>
      </c>
      <c r="F3309" t="s">
        <v>10</v>
      </c>
    </row>
    <row r="3310" spans="1:6" hidden="1" x14ac:dyDescent="0.35">
      <c r="A3310" t="s">
        <v>18</v>
      </c>
      <c r="B3310" t="s">
        <v>38</v>
      </c>
      <c r="C3310" t="s">
        <v>8</v>
      </c>
      <c r="D3310">
        <v>59592</v>
      </c>
      <c r="E3310" t="s">
        <v>41</v>
      </c>
      <c r="F3310" t="s">
        <v>10</v>
      </c>
    </row>
    <row r="3311" spans="1:6" hidden="1" x14ac:dyDescent="0.35">
      <c r="A3311" t="s">
        <v>19</v>
      </c>
      <c r="B3311" t="s">
        <v>38</v>
      </c>
      <c r="C3311" t="s">
        <v>8</v>
      </c>
      <c r="D3311">
        <v>0</v>
      </c>
      <c r="E3311" t="s">
        <v>41</v>
      </c>
      <c r="F3311" t="s">
        <v>10</v>
      </c>
    </row>
    <row r="3312" spans="1:6" hidden="1" x14ac:dyDescent="0.35">
      <c r="A3312" t="s">
        <v>20</v>
      </c>
      <c r="B3312" t="s">
        <v>38</v>
      </c>
      <c r="C3312" t="s">
        <v>8</v>
      </c>
      <c r="D3312">
        <v>0</v>
      </c>
      <c r="E3312" t="s">
        <v>41</v>
      </c>
      <c r="F3312" t="s">
        <v>10</v>
      </c>
    </row>
    <row r="3313" spans="1:6" hidden="1" x14ac:dyDescent="0.35">
      <c r="A3313" t="s">
        <v>21</v>
      </c>
      <c r="B3313" t="s">
        <v>38</v>
      </c>
      <c r="C3313" t="s">
        <v>8</v>
      </c>
      <c r="D3313">
        <v>0</v>
      </c>
      <c r="E3313" t="s">
        <v>41</v>
      </c>
      <c r="F3313" t="s">
        <v>10</v>
      </c>
    </row>
    <row r="3314" spans="1:6" hidden="1" x14ac:dyDescent="0.35">
      <c r="A3314" t="s">
        <v>6</v>
      </c>
      <c r="B3314" t="s">
        <v>38</v>
      </c>
      <c r="C3314" t="s">
        <v>22</v>
      </c>
      <c r="D3314">
        <v>0</v>
      </c>
      <c r="E3314" t="s">
        <v>41</v>
      </c>
      <c r="F3314" t="s">
        <v>10</v>
      </c>
    </row>
    <row r="3315" spans="1:6" hidden="1" x14ac:dyDescent="0.35">
      <c r="A3315" t="s">
        <v>11</v>
      </c>
      <c r="B3315" t="s">
        <v>38</v>
      </c>
      <c r="C3315" t="s">
        <v>22</v>
      </c>
      <c r="D3315">
        <v>0</v>
      </c>
      <c r="E3315" t="s">
        <v>41</v>
      </c>
      <c r="F3315" t="s">
        <v>10</v>
      </c>
    </row>
    <row r="3316" spans="1:6" hidden="1" x14ac:dyDescent="0.35">
      <c r="A3316" t="s">
        <v>12</v>
      </c>
      <c r="B3316" t="s">
        <v>38</v>
      </c>
      <c r="C3316" t="s">
        <v>22</v>
      </c>
      <c r="D3316">
        <v>0</v>
      </c>
      <c r="E3316" t="s">
        <v>41</v>
      </c>
      <c r="F3316" t="s">
        <v>10</v>
      </c>
    </row>
    <row r="3317" spans="1:6" hidden="1" x14ac:dyDescent="0.35">
      <c r="A3317" t="s">
        <v>13</v>
      </c>
      <c r="B3317" t="s">
        <v>38</v>
      </c>
      <c r="C3317" t="s">
        <v>22</v>
      </c>
      <c r="D3317">
        <v>0</v>
      </c>
      <c r="E3317" t="s">
        <v>41</v>
      </c>
      <c r="F3317" t="s">
        <v>10</v>
      </c>
    </row>
    <row r="3318" spans="1:6" hidden="1" x14ac:dyDescent="0.35">
      <c r="A3318" t="s">
        <v>14</v>
      </c>
      <c r="B3318" t="s">
        <v>38</v>
      </c>
      <c r="C3318" t="s">
        <v>22</v>
      </c>
      <c r="D3318">
        <v>0</v>
      </c>
      <c r="E3318" t="s">
        <v>41</v>
      </c>
      <c r="F3318" t="s">
        <v>10</v>
      </c>
    </row>
    <row r="3319" spans="1:6" hidden="1" x14ac:dyDescent="0.35">
      <c r="A3319" t="s">
        <v>15</v>
      </c>
      <c r="B3319" t="s">
        <v>38</v>
      </c>
      <c r="C3319" t="s">
        <v>22</v>
      </c>
      <c r="D3319">
        <v>0</v>
      </c>
      <c r="E3319" t="s">
        <v>41</v>
      </c>
      <c r="F3319" t="s">
        <v>10</v>
      </c>
    </row>
    <row r="3320" spans="1:6" hidden="1" x14ac:dyDescent="0.35">
      <c r="A3320" t="s">
        <v>16</v>
      </c>
      <c r="B3320" t="s">
        <v>38</v>
      </c>
      <c r="C3320" t="s">
        <v>22</v>
      </c>
      <c r="D3320">
        <v>0</v>
      </c>
      <c r="E3320" t="s">
        <v>41</v>
      </c>
      <c r="F3320" t="s">
        <v>10</v>
      </c>
    </row>
    <row r="3321" spans="1:6" hidden="1" x14ac:dyDescent="0.35">
      <c r="A3321" t="s">
        <v>17</v>
      </c>
      <c r="B3321" t="s">
        <v>38</v>
      </c>
      <c r="C3321" t="s">
        <v>22</v>
      </c>
      <c r="D3321">
        <v>0</v>
      </c>
      <c r="E3321" t="s">
        <v>41</v>
      </c>
      <c r="F3321" t="s">
        <v>10</v>
      </c>
    </row>
    <row r="3322" spans="1:6" hidden="1" x14ac:dyDescent="0.35">
      <c r="A3322" t="s">
        <v>18</v>
      </c>
      <c r="B3322" t="s">
        <v>38</v>
      </c>
      <c r="C3322" t="s">
        <v>22</v>
      </c>
      <c r="D3322">
        <v>0</v>
      </c>
      <c r="E3322" t="s">
        <v>41</v>
      </c>
      <c r="F3322" t="s">
        <v>10</v>
      </c>
    </row>
    <row r="3323" spans="1:6" hidden="1" x14ac:dyDescent="0.35">
      <c r="A3323" t="s">
        <v>19</v>
      </c>
      <c r="B3323" t="s">
        <v>38</v>
      </c>
      <c r="C3323" t="s">
        <v>22</v>
      </c>
      <c r="D3323">
        <v>0</v>
      </c>
      <c r="E3323" t="s">
        <v>41</v>
      </c>
      <c r="F3323" t="s">
        <v>10</v>
      </c>
    </row>
    <row r="3324" spans="1:6" hidden="1" x14ac:dyDescent="0.35">
      <c r="A3324" t="s">
        <v>20</v>
      </c>
      <c r="B3324" t="s">
        <v>38</v>
      </c>
      <c r="C3324" t="s">
        <v>22</v>
      </c>
      <c r="D3324">
        <v>0</v>
      </c>
      <c r="E3324" t="s">
        <v>41</v>
      </c>
      <c r="F3324" t="s">
        <v>10</v>
      </c>
    </row>
    <row r="3325" spans="1:6" hidden="1" x14ac:dyDescent="0.35">
      <c r="A3325" t="s">
        <v>21</v>
      </c>
      <c r="B3325" t="s">
        <v>38</v>
      </c>
      <c r="C3325" t="s">
        <v>22</v>
      </c>
      <c r="D3325">
        <v>0</v>
      </c>
      <c r="E3325" t="s">
        <v>41</v>
      </c>
      <c r="F3325" t="s">
        <v>10</v>
      </c>
    </row>
    <row r="3326" spans="1:6" hidden="1" x14ac:dyDescent="0.35">
      <c r="A3326" t="s">
        <v>6</v>
      </c>
      <c r="B3326" t="s">
        <v>38</v>
      </c>
      <c r="C3326" t="s">
        <v>23</v>
      </c>
      <c r="D3326">
        <v>0</v>
      </c>
      <c r="E3326" t="s">
        <v>41</v>
      </c>
      <c r="F3326" t="s">
        <v>10</v>
      </c>
    </row>
    <row r="3327" spans="1:6" hidden="1" x14ac:dyDescent="0.35">
      <c r="A3327" t="s">
        <v>11</v>
      </c>
      <c r="B3327" t="s">
        <v>38</v>
      </c>
      <c r="C3327" t="s">
        <v>23</v>
      </c>
      <c r="D3327">
        <v>0</v>
      </c>
      <c r="E3327" t="s">
        <v>41</v>
      </c>
      <c r="F3327" t="s">
        <v>10</v>
      </c>
    </row>
    <row r="3328" spans="1:6" hidden="1" x14ac:dyDescent="0.35">
      <c r="A3328" t="s">
        <v>12</v>
      </c>
      <c r="B3328" t="s">
        <v>38</v>
      </c>
      <c r="C3328" t="s">
        <v>23</v>
      </c>
      <c r="D3328">
        <v>0</v>
      </c>
      <c r="E3328" t="s">
        <v>41</v>
      </c>
      <c r="F3328" t="s">
        <v>10</v>
      </c>
    </row>
    <row r="3329" spans="1:6" hidden="1" x14ac:dyDescent="0.35">
      <c r="A3329" t="s">
        <v>13</v>
      </c>
      <c r="B3329" t="s">
        <v>38</v>
      </c>
      <c r="C3329" t="s">
        <v>23</v>
      </c>
      <c r="D3329">
        <v>0</v>
      </c>
      <c r="E3329" t="s">
        <v>41</v>
      </c>
      <c r="F3329" t="s">
        <v>10</v>
      </c>
    </row>
    <row r="3330" spans="1:6" hidden="1" x14ac:dyDescent="0.35">
      <c r="A3330" t="s">
        <v>14</v>
      </c>
      <c r="B3330" t="s">
        <v>38</v>
      </c>
      <c r="C3330" t="s">
        <v>23</v>
      </c>
      <c r="D3330">
        <v>0</v>
      </c>
      <c r="E3330" t="s">
        <v>41</v>
      </c>
      <c r="F3330" t="s">
        <v>10</v>
      </c>
    </row>
    <row r="3331" spans="1:6" hidden="1" x14ac:dyDescent="0.35">
      <c r="A3331" t="s">
        <v>15</v>
      </c>
      <c r="B3331" t="s">
        <v>38</v>
      </c>
      <c r="C3331" t="s">
        <v>23</v>
      </c>
      <c r="D3331">
        <v>0</v>
      </c>
      <c r="E3331" t="s">
        <v>41</v>
      </c>
      <c r="F3331" t="s">
        <v>10</v>
      </c>
    </row>
    <row r="3332" spans="1:6" hidden="1" x14ac:dyDescent="0.35">
      <c r="A3332" t="s">
        <v>16</v>
      </c>
      <c r="B3332" t="s">
        <v>38</v>
      </c>
      <c r="C3332" t="s">
        <v>23</v>
      </c>
      <c r="D3332">
        <v>0</v>
      </c>
      <c r="E3332" t="s">
        <v>41</v>
      </c>
      <c r="F3332" t="s">
        <v>10</v>
      </c>
    </row>
    <row r="3333" spans="1:6" hidden="1" x14ac:dyDescent="0.35">
      <c r="A3333" t="s">
        <v>17</v>
      </c>
      <c r="B3333" t="s">
        <v>38</v>
      </c>
      <c r="C3333" t="s">
        <v>23</v>
      </c>
      <c r="D3333">
        <v>0</v>
      </c>
      <c r="E3333" t="s">
        <v>41</v>
      </c>
      <c r="F3333" t="s">
        <v>10</v>
      </c>
    </row>
    <row r="3334" spans="1:6" hidden="1" x14ac:dyDescent="0.35">
      <c r="A3334" t="s">
        <v>18</v>
      </c>
      <c r="B3334" t="s">
        <v>38</v>
      </c>
      <c r="C3334" t="s">
        <v>23</v>
      </c>
      <c r="D3334">
        <v>0</v>
      </c>
      <c r="E3334" t="s">
        <v>41</v>
      </c>
      <c r="F3334" t="s">
        <v>10</v>
      </c>
    </row>
    <row r="3335" spans="1:6" hidden="1" x14ac:dyDescent="0.35">
      <c r="A3335" t="s">
        <v>19</v>
      </c>
      <c r="B3335" t="s">
        <v>38</v>
      </c>
      <c r="C3335" t="s">
        <v>23</v>
      </c>
      <c r="D3335">
        <v>0</v>
      </c>
      <c r="E3335" t="s">
        <v>41</v>
      </c>
      <c r="F3335" t="s">
        <v>10</v>
      </c>
    </row>
    <row r="3336" spans="1:6" hidden="1" x14ac:dyDescent="0.35">
      <c r="A3336" t="s">
        <v>20</v>
      </c>
      <c r="B3336" t="s">
        <v>38</v>
      </c>
      <c r="C3336" t="s">
        <v>23</v>
      </c>
      <c r="D3336">
        <v>0</v>
      </c>
      <c r="E3336" t="s">
        <v>41</v>
      </c>
      <c r="F3336" t="s">
        <v>10</v>
      </c>
    </row>
    <row r="3337" spans="1:6" hidden="1" x14ac:dyDescent="0.35">
      <c r="A3337" t="s">
        <v>21</v>
      </c>
      <c r="B3337" t="s">
        <v>38</v>
      </c>
      <c r="C3337" t="s">
        <v>23</v>
      </c>
      <c r="D3337">
        <v>0</v>
      </c>
      <c r="E3337" t="s">
        <v>41</v>
      </c>
      <c r="F3337" t="s">
        <v>10</v>
      </c>
    </row>
    <row r="3338" spans="1:6" hidden="1" x14ac:dyDescent="0.35">
      <c r="A3338" t="s">
        <v>6</v>
      </c>
      <c r="B3338" t="s">
        <v>38</v>
      </c>
      <c r="C3338" t="s">
        <v>24</v>
      </c>
      <c r="D3338">
        <v>0</v>
      </c>
      <c r="E3338" t="s">
        <v>41</v>
      </c>
      <c r="F3338" t="s">
        <v>10</v>
      </c>
    </row>
    <row r="3339" spans="1:6" hidden="1" x14ac:dyDescent="0.35">
      <c r="A3339" t="s">
        <v>11</v>
      </c>
      <c r="B3339" t="s">
        <v>38</v>
      </c>
      <c r="C3339" t="s">
        <v>24</v>
      </c>
      <c r="D3339">
        <v>0</v>
      </c>
      <c r="E3339" t="s">
        <v>41</v>
      </c>
      <c r="F3339" t="s">
        <v>10</v>
      </c>
    </row>
    <row r="3340" spans="1:6" hidden="1" x14ac:dyDescent="0.35">
      <c r="A3340" t="s">
        <v>12</v>
      </c>
      <c r="B3340" t="s">
        <v>38</v>
      </c>
      <c r="C3340" t="s">
        <v>24</v>
      </c>
      <c r="D3340">
        <v>0</v>
      </c>
      <c r="E3340" t="s">
        <v>41</v>
      </c>
      <c r="F3340" t="s">
        <v>10</v>
      </c>
    </row>
    <row r="3341" spans="1:6" hidden="1" x14ac:dyDescent="0.35">
      <c r="A3341" t="s">
        <v>13</v>
      </c>
      <c r="B3341" t="s">
        <v>38</v>
      </c>
      <c r="C3341" t="s">
        <v>24</v>
      </c>
      <c r="D3341">
        <v>0</v>
      </c>
      <c r="E3341" t="s">
        <v>41</v>
      </c>
      <c r="F3341" t="s">
        <v>10</v>
      </c>
    </row>
    <row r="3342" spans="1:6" hidden="1" x14ac:dyDescent="0.35">
      <c r="A3342" t="s">
        <v>14</v>
      </c>
      <c r="B3342" t="s">
        <v>38</v>
      </c>
      <c r="C3342" t="s">
        <v>24</v>
      </c>
      <c r="D3342">
        <v>0</v>
      </c>
      <c r="E3342" t="s">
        <v>41</v>
      </c>
      <c r="F3342" t="s">
        <v>10</v>
      </c>
    </row>
    <row r="3343" spans="1:6" hidden="1" x14ac:dyDescent="0.35">
      <c r="A3343" t="s">
        <v>15</v>
      </c>
      <c r="B3343" t="s">
        <v>38</v>
      </c>
      <c r="C3343" t="s">
        <v>24</v>
      </c>
      <c r="D3343">
        <v>0</v>
      </c>
      <c r="E3343" t="s">
        <v>41</v>
      </c>
      <c r="F3343" t="s">
        <v>10</v>
      </c>
    </row>
    <row r="3344" spans="1:6" hidden="1" x14ac:dyDescent="0.35">
      <c r="A3344" t="s">
        <v>16</v>
      </c>
      <c r="B3344" t="s">
        <v>38</v>
      </c>
      <c r="C3344" t="s">
        <v>24</v>
      </c>
      <c r="D3344">
        <v>0</v>
      </c>
      <c r="E3344" t="s">
        <v>41</v>
      </c>
      <c r="F3344" t="s">
        <v>10</v>
      </c>
    </row>
    <row r="3345" spans="1:6" hidden="1" x14ac:dyDescent="0.35">
      <c r="A3345" t="s">
        <v>17</v>
      </c>
      <c r="B3345" t="s">
        <v>38</v>
      </c>
      <c r="C3345" t="s">
        <v>24</v>
      </c>
      <c r="D3345">
        <v>0</v>
      </c>
      <c r="E3345" t="s">
        <v>41</v>
      </c>
      <c r="F3345" t="s">
        <v>10</v>
      </c>
    </row>
    <row r="3346" spans="1:6" hidden="1" x14ac:dyDescent="0.35">
      <c r="A3346" t="s">
        <v>18</v>
      </c>
      <c r="B3346" t="s">
        <v>38</v>
      </c>
      <c r="C3346" t="s">
        <v>24</v>
      </c>
      <c r="D3346">
        <v>0</v>
      </c>
      <c r="E3346" t="s">
        <v>41</v>
      </c>
      <c r="F3346" t="s">
        <v>10</v>
      </c>
    </row>
    <row r="3347" spans="1:6" hidden="1" x14ac:dyDescent="0.35">
      <c r="A3347" t="s">
        <v>19</v>
      </c>
      <c r="B3347" t="s">
        <v>38</v>
      </c>
      <c r="C3347" t="s">
        <v>24</v>
      </c>
      <c r="D3347">
        <v>0</v>
      </c>
      <c r="E3347" t="s">
        <v>41</v>
      </c>
      <c r="F3347" t="s">
        <v>10</v>
      </c>
    </row>
    <row r="3348" spans="1:6" hidden="1" x14ac:dyDescent="0.35">
      <c r="A3348" t="s">
        <v>20</v>
      </c>
      <c r="B3348" t="s">
        <v>38</v>
      </c>
      <c r="C3348" t="s">
        <v>24</v>
      </c>
      <c r="D3348">
        <v>0</v>
      </c>
      <c r="E3348" t="s">
        <v>41</v>
      </c>
      <c r="F3348" t="s">
        <v>10</v>
      </c>
    </row>
    <row r="3349" spans="1:6" hidden="1" x14ac:dyDescent="0.35">
      <c r="A3349" t="s">
        <v>21</v>
      </c>
      <c r="B3349" t="s">
        <v>38</v>
      </c>
      <c r="C3349" t="s">
        <v>24</v>
      </c>
      <c r="D3349">
        <v>0</v>
      </c>
      <c r="E3349" t="s">
        <v>41</v>
      </c>
      <c r="F3349" t="s">
        <v>10</v>
      </c>
    </row>
    <row r="3350" spans="1:6" hidden="1" x14ac:dyDescent="0.35">
      <c r="A3350" t="s">
        <v>6</v>
      </c>
      <c r="B3350" t="s">
        <v>38</v>
      </c>
      <c r="C3350" t="s">
        <v>25</v>
      </c>
      <c r="D3350">
        <v>0</v>
      </c>
      <c r="E3350" t="s">
        <v>41</v>
      </c>
      <c r="F3350" t="s">
        <v>10</v>
      </c>
    </row>
    <row r="3351" spans="1:6" hidden="1" x14ac:dyDescent="0.35">
      <c r="A3351" t="s">
        <v>11</v>
      </c>
      <c r="B3351" t="s">
        <v>38</v>
      </c>
      <c r="C3351" t="s">
        <v>25</v>
      </c>
      <c r="D3351">
        <v>0</v>
      </c>
      <c r="E3351" t="s">
        <v>41</v>
      </c>
      <c r="F3351" t="s">
        <v>10</v>
      </c>
    </row>
    <row r="3352" spans="1:6" hidden="1" x14ac:dyDescent="0.35">
      <c r="A3352" t="s">
        <v>12</v>
      </c>
      <c r="B3352" t="s">
        <v>38</v>
      </c>
      <c r="C3352" t="s">
        <v>25</v>
      </c>
      <c r="D3352">
        <v>0</v>
      </c>
      <c r="E3352" t="s">
        <v>41</v>
      </c>
      <c r="F3352" t="s">
        <v>10</v>
      </c>
    </row>
    <row r="3353" spans="1:6" hidden="1" x14ac:dyDescent="0.35">
      <c r="A3353" t="s">
        <v>13</v>
      </c>
      <c r="B3353" t="s">
        <v>38</v>
      </c>
      <c r="C3353" t="s">
        <v>25</v>
      </c>
      <c r="D3353">
        <v>0</v>
      </c>
      <c r="E3353" t="s">
        <v>41</v>
      </c>
      <c r="F3353" t="s">
        <v>10</v>
      </c>
    </row>
    <row r="3354" spans="1:6" hidden="1" x14ac:dyDescent="0.35">
      <c r="A3354" t="s">
        <v>14</v>
      </c>
      <c r="B3354" t="s">
        <v>38</v>
      </c>
      <c r="C3354" t="s">
        <v>25</v>
      </c>
      <c r="D3354">
        <v>0</v>
      </c>
      <c r="E3354" t="s">
        <v>41</v>
      </c>
      <c r="F3354" t="s">
        <v>10</v>
      </c>
    </row>
    <row r="3355" spans="1:6" hidden="1" x14ac:dyDescent="0.35">
      <c r="A3355" t="s">
        <v>15</v>
      </c>
      <c r="B3355" t="s">
        <v>38</v>
      </c>
      <c r="C3355" t="s">
        <v>25</v>
      </c>
      <c r="D3355">
        <v>0</v>
      </c>
      <c r="E3355" t="s">
        <v>41</v>
      </c>
      <c r="F3355" t="s">
        <v>10</v>
      </c>
    </row>
    <row r="3356" spans="1:6" hidden="1" x14ac:dyDescent="0.35">
      <c r="A3356" t="s">
        <v>16</v>
      </c>
      <c r="B3356" t="s">
        <v>38</v>
      </c>
      <c r="C3356" t="s">
        <v>25</v>
      </c>
      <c r="D3356">
        <v>0</v>
      </c>
      <c r="E3356" t="s">
        <v>41</v>
      </c>
      <c r="F3356" t="s">
        <v>10</v>
      </c>
    </row>
    <row r="3357" spans="1:6" hidden="1" x14ac:dyDescent="0.35">
      <c r="A3357" t="s">
        <v>17</v>
      </c>
      <c r="B3357" t="s">
        <v>38</v>
      </c>
      <c r="C3357" t="s">
        <v>25</v>
      </c>
      <c r="D3357">
        <v>0</v>
      </c>
      <c r="E3357" t="s">
        <v>41</v>
      </c>
      <c r="F3357" t="s">
        <v>10</v>
      </c>
    </row>
    <row r="3358" spans="1:6" hidden="1" x14ac:dyDescent="0.35">
      <c r="A3358" t="s">
        <v>18</v>
      </c>
      <c r="B3358" t="s">
        <v>38</v>
      </c>
      <c r="C3358" t="s">
        <v>25</v>
      </c>
      <c r="D3358">
        <v>0</v>
      </c>
      <c r="E3358" t="s">
        <v>41</v>
      </c>
      <c r="F3358" t="s">
        <v>10</v>
      </c>
    </row>
    <row r="3359" spans="1:6" hidden="1" x14ac:dyDescent="0.35">
      <c r="A3359" t="s">
        <v>19</v>
      </c>
      <c r="B3359" t="s">
        <v>38</v>
      </c>
      <c r="C3359" t="s">
        <v>25</v>
      </c>
      <c r="D3359">
        <v>0</v>
      </c>
      <c r="E3359" t="s">
        <v>41</v>
      </c>
      <c r="F3359" t="s">
        <v>10</v>
      </c>
    </row>
    <row r="3360" spans="1:6" hidden="1" x14ac:dyDescent="0.35">
      <c r="A3360" t="s">
        <v>20</v>
      </c>
      <c r="B3360" t="s">
        <v>38</v>
      </c>
      <c r="C3360" t="s">
        <v>25</v>
      </c>
      <c r="D3360">
        <v>0</v>
      </c>
      <c r="E3360" t="s">
        <v>41</v>
      </c>
      <c r="F3360" t="s">
        <v>10</v>
      </c>
    </row>
    <row r="3361" spans="1:6" hidden="1" x14ac:dyDescent="0.35">
      <c r="A3361" t="s">
        <v>21</v>
      </c>
      <c r="B3361" t="s">
        <v>38</v>
      </c>
      <c r="C3361" t="s">
        <v>25</v>
      </c>
      <c r="D3361">
        <v>0</v>
      </c>
      <c r="E3361" t="s">
        <v>41</v>
      </c>
      <c r="F3361" t="s">
        <v>10</v>
      </c>
    </row>
    <row r="3362" spans="1:6" hidden="1" x14ac:dyDescent="0.35">
      <c r="A3362" t="s">
        <v>6</v>
      </c>
      <c r="B3362" t="s">
        <v>38</v>
      </c>
      <c r="C3362" t="s">
        <v>26</v>
      </c>
      <c r="D3362">
        <v>0</v>
      </c>
      <c r="E3362" t="s">
        <v>41</v>
      </c>
      <c r="F3362" t="s">
        <v>10</v>
      </c>
    </row>
    <row r="3363" spans="1:6" hidden="1" x14ac:dyDescent="0.35">
      <c r="A3363" t="s">
        <v>11</v>
      </c>
      <c r="B3363" t="s">
        <v>38</v>
      </c>
      <c r="C3363" t="s">
        <v>26</v>
      </c>
      <c r="E3363" t="s">
        <v>41</v>
      </c>
      <c r="F3363" t="s">
        <v>10</v>
      </c>
    </row>
    <row r="3364" spans="1:6" hidden="1" x14ac:dyDescent="0.35">
      <c r="A3364" t="s">
        <v>12</v>
      </c>
      <c r="B3364" t="s">
        <v>38</v>
      </c>
      <c r="C3364" t="s">
        <v>26</v>
      </c>
      <c r="E3364" t="s">
        <v>41</v>
      </c>
      <c r="F3364" t="s">
        <v>10</v>
      </c>
    </row>
    <row r="3365" spans="1:6" hidden="1" x14ac:dyDescent="0.35">
      <c r="A3365" t="s">
        <v>13</v>
      </c>
      <c r="B3365" t="s">
        <v>38</v>
      </c>
      <c r="C3365" t="s">
        <v>26</v>
      </c>
      <c r="E3365" t="s">
        <v>41</v>
      </c>
      <c r="F3365" t="s">
        <v>10</v>
      </c>
    </row>
    <row r="3366" spans="1:6" hidden="1" x14ac:dyDescent="0.35">
      <c r="A3366" t="s">
        <v>14</v>
      </c>
      <c r="B3366" t="s">
        <v>38</v>
      </c>
      <c r="C3366" t="s">
        <v>26</v>
      </c>
      <c r="E3366" t="s">
        <v>41</v>
      </c>
      <c r="F3366" t="s">
        <v>10</v>
      </c>
    </row>
    <row r="3367" spans="1:6" hidden="1" x14ac:dyDescent="0.35">
      <c r="A3367" t="s">
        <v>15</v>
      </c>
      <c r="B3367" t="s">
        <v>38</v>
      </c>
      <c r="C3367" t="s">
        <v>26</v>
      </c>
      <c r="E3367" t="s">
        <v>41</v>
      </c>
      <c r="F3367" t="s">
        <v>10</v>
      </c>
    </row>
    <row r="3368" spans="1:6" hidden="1" x14ac:dyDescent="0.35">
      <c r="A3368" t="s">
        <v>16</v>
      </c>
      <c r="B3368" t="s">
        <v>38</v>
      </c>
      <c r="C3368" t="s">
        <v>26</v>
      </c>
      <c r="E3368" t="s">
        <v>41</v>
      </c>
      <c r="F3368" t="s">
        <v>10</v>
      </c>
    </row>
    <row r="3369" spans="1:6" hidden="1" x14ac:dyDescent="0.35">
      <c r="A3369" t="s">
        <v>17</v>
      </c>
      <c r="B3369" t="s">
        <v>38</v>
      </c>
      <c r="C3369" t="s">
        <v>26</v>
      </c>
      <c r="E3369" t="s">
        <v>41</v>
      </c>
      <c r="F3369" t="s">
        <v>10</v>
      </c>
    </row>
    <row r="3370" spans="1:6" hidden="1" x14ac:dyDescent="0.35">
      <c r="A3370" t="s">
        <v>18</v>
      </c>
      <c r="B3370" t="s">
        <v>38</v>
      </c>
      <c r="C3370" t="s">
        <v>26</v>
      </c>
      <c r="E3370" t="s">
        <v>41</v>
      </c>
      <c r="F3370" t="s">
        <v>10</v>
      </c>
    </row>
    <row r="3371" spans="1:6" hidden="1" x14ac:dyDescent="0.35">
      <c r="A3371" t="s">
        <v>19</v>
      </c>
      <c r="B3371" t="s">
        <v>38</v>
      </c>
      <c r="C3371" t="s">
        <v>26</v>
      </c>
      <c r="E3371" t="s">
        <v>41</v>
      </c>
      <c r="F3371" t="s">
        <v>10</v>
      </c>
    </row>
    <row r="3372" spans="1:6" hidden="1" x14ac:dyDescent="0.35">
      <c r="A3372" t="s">
        <v>20</v>
      </c>
      <c r="B3372" t="s">
        <v>38</v>
      </c>
      <c r="C3372" t="s">
        <v>26</v>
      </c>
      <c r="E3372" t="s">
        <v>41</v>
      </c>
      <c r="F3372" t="s">
        <v>10</v>
      </c>
    </row>
    <row r="3373" spans="1:6" hidden="1" x14ac:dyDescent="0.35">
      <c r="A3373" t="s">
        <v>21</v>
      </c>
      <c r="B3373" t="s">
        <v>38</v>
      </c>
      <c r="C3373" t="s">
        <v>26</v>
      </c>
      <c r="E3373" t="s">
        <v>41</v>
      </c>
      <c r="F3373" t="s">
        <v>10</v>
      </c>
    </row>
    <row r="3374" spans="1:6" hidden="1" x14ac:dyDescent="0.35">
      <c r="A3374" t="s">
        <v>6</v>
      </c>
      <c r="B3374" t="s">
        <v>38</v>
      </c>
      <c r="C3374" t="s">
        <v>27</v>
      </c>
      <c r="D3374">
        <v>0</v>
      </c>
      <c r="E3374" t="s">
        <v>41</v>
      </c>
      <c r="F3374" t="s">
        <v>10</v>
      </c>
    </row>
    <row r="3375" spans="1:6" hidden="1" x14ac:dyDescent="0.35">
      <c r="A3375" t="s">
        <v>11</v>
      </c>
      <c r="B3375" t="s">
        <v>38</v>
      </c>
      <c r="C3375" t="s">
        <v>27</v>
      </c>
      <c r="D3375">
        <v>0</v>
      </c>
      <c r="E3375" t="s">
        <v>41</v>
      </c>
      <c r="F3375" t="s">
        <v>10</v>
      </c>
    </row>
    <row r="3376" spans="1:6" hidden="1" x14ac:dyDescent="0.35">
      <c r="A3376" t="s">
        <v>12</v>
      </c>
      <c r="B3376" t="s">
        <v>38</v>
      </c>
      <c r="C3376" t="s">
        <v>27</v>
      </c>
      <c r="D3376">
        <v>0</v>
      </c>
      <c r="E3376" t="s">
        <v>41</v>
      </c>
      <c r="F3376" t="s">
        <v>10</v>
      </c>
    </row>
    <row r="3377" spans="1:6" hidden="1" x14ac:dyDescent="0.35">
      <c r="A3377" t="s">
        <v>13</v>
      </c>
      <c r="B3377" t="s">
        <v>38</v>
      </c>
      <c r="C3377" t="s">
        <v>27</v>
      </c>
      <c r="D3377">
        <v>0</v>
      </c>
      <c r="E3377" t="s">
        <v>41</v>
      </c>
      <c r="F3377" t="s">
        <v>10</v>
      </c>
    </row>
    <row r="3378" spans="1:6" hidden="1" x14ac:dyDescent="0.35">
      <c r="A3378" t="s">
        <v>14</v>
      </c>
      <c r="B3378" t="s">
        <v>38</v>
      </c>
      <c r="C3378" t="s">
        <v>27</v>
      </c>
      <c r="D3378">
        <v>0</v>
      </c>
      <c r="E3378" t="s">
        <v>41</v>
      </c>
      <c r="F3378" t="s">
        <v>10</v>
      </c>
    </row>
    <row r="3379" spans="1:6" hidden="1" x14ac:dyDescent="0.35">
      <c r="A3379" t="s">
        <v>15</v>
      </c>
      <c r="B3379" t="s">
        <v>38</v>
      </c>
      <c r="C3379" t="s">
        <v>27</v>
      </c>
      <c r="D3379">
        <v>0</v>
      </c>
      <c r="E3379" t="s">
        <v>41</v>
      </c>
      <c r="F3379" t="s">
        <v>10</v>
      </c>
    </row>
    <row r="3380" spans="1:6" hidden="1" x14ac:dyDescent="0.35">
      <c r="A3380" t="s">
        <v>16</v>
      </c>
      <c r="B3380" t="s">
        <v>38</v>
      </c>
      <c r="C3380" t="s">
        <v>27</v>
      </c>
      <c r="D3380">
        <v>0</v>
      </c>
      <c r="E3380" t="s">
        <v>41</v>
      </c>
      <c r="F3380" t="s">
        <v>10</v>
      </c>
    </row>
    <row r="3381" spans="1:6" hidden="1" x14ac:dyDescent="0.35">
      <c r="A3381" t="s">
        <v>17</v>
      </c>
      <c r="B3381" t="s">
        <v>38</v>
      </c>
      <c r="C3381" t="s">
        <v>27</v>
      </c>
      <c r="D3381">
        <v>0</v>
      </c>
      <c r="E3381" t="s">
        <v>41</v>
      </c>
      <c r="F3381" t="s">
        <v>10</v>
      </c>
    </row>
    <row r="3382" spans="1:6" hidden="1" x14ac:dyDescent="0.35">
      <c r="A3382" t="s">
        <v>18</v>
      </c>
      <c r="B3382" t="s">
        <v>38</v>
      </c>
      <c r="C3382" t="s">
        <v>27</v>
      </c>
      <c r="D3382">
        <v>0</v>
      </c>
      <c r="E3382" t="s">
        <v>41</v>
      </c>
      <c r="F3382" t="s">
        <v>10</v>
      </c>
    </row>
    <row r="3383" spans="1:6" hidden="1" x14ac:dyDescent="0.35">
      <c r="A3383" t="s">
        <v>19</v>
      </c>
      <c r="B3383" t="s">
        <v>38</v>
      </c>
      <c r="C3383" t="s">
        <v>27</v>
      </c>
      <c r="D3383">
        <v>0</v>
      </c>
      <c r="E3383" t="s">
        <v>41</v>
      </c>
      <c r="F3383" t="s">
        <v>10</v>
      </c>
    </row>
    <row r="3384" spans="1:6" hidden="1" x14ac:dyDescent="0.35">
      <c r="A3384" t="s">
        <v>20</v>
      </c>
      <c r="B3384" t="s">
        <v>38</v>
      </c>
      <c r="C3384" t="s">
        <v>27</v>
      </c>
      <c r="D3384">
        <v>0</v>
      </c>
      <c r="E3384" t="s">
        <v>41</v>
      </c>
      <c r="F3384" t="s">
        <v>10</v>
      </c>
    </row>
    <row r="3385" spans="1:6" hidden="1" x14ac:dyDescent="0.35">
      <c r="A3385" t="s">
        <v>21</v>
      </c>
      <c r="B3385" t="s">
        <v>38</v>
      </c>
      <c r="C3385" t="s">
        <v>27</v>
      </c>
      <c r="D3385">
        <v>0</v>
      </c>
      <c r="E3385" t="s">
        <v>41</v>
      </c>
      <c r="F3385" t="s">
        <v>10</v>
      </c>
    </row>
    <row r="3386" spans="1:6" hidden="1" x14ac:dyDescent="0.35">
      <c r="A3386" t="s">
        <v>6</v>
      </c>
      <c r="B3386" t="s">
        <v>38</v>
      </c>
      <c r="C3386" t="s">
        <v>28</v>
      </c>
      <c r="D3386">
        <v>0</v>
      </c>
      <c r="E3386" t="s">
        <v>41</v>
      </c>
      <c r="F3386" t="s">
        <v>10</v>
      </c>
    </row>
    <row r="3387" spans="1:6" hidden="1" x14ac:dyDescent="0.35">
      <c r="A3387" t="s">
        <v>11</v>
      </c>
      <c r="B3387" t="s">
        <v>38</v>
      </c>
      <c r="C3387" t="s">
        <v>28</v>
      </c>
      <c r="D3387">
        <v>0</v>
      </c>
      <c r="E3387" t="s">
        <v>41</v>
      </c>
      <c r="F3387" t="s">
        <v>10</v>
      </c>
    </row>
    <row r="3388" spans="1:6" hidden="1" x14ac:dyDescent="0.35">
      <c r="A3388" t="s">
        <v>12</v>
      </c>
      <c r="B3388" t="s">
        <v>38</v>
      </c>
      <c r="C3388" t="s">
        <v>28</v>
      </c>
      <c r="D3388">
        <v>0</v>
      </c>
      <c r="E3388" t="s">
        <v>41</v>
      </c>
      <c r="F3388" t="s">
        <v>10</v>
      </c>
    </row>
    <row r="3389" spans="1:6" hidden="1" x14ac:dyDescent="0.35">
      <c r="A3389" t="s">
        <v>13</v>
      </c>
      <c r="B3389" t="s">
        <v>38</v>
      </c>
      <c r="C3389" t="s">
        <v>28</v>
      </c>
      <c r="D3389">
        <v>0</v>
      </c>
      <c r="E3389" t="s">
        <v>41</v>
      </c>
      <c r="F3389" t="s">
        <v>10</v>
      </c>
    </row>
    <row r="3390" spans="1:6" hidden="1" x14ac:dyDescent="0.35">
      <c r="A3390" t="s">
        <v>14</v>
      </c>
      <c r="B3390" t="s">
        <v>38</v>
      </c>
      <c r="C3390" t="s">
        <v>28</v>
      </c>
      <c r="D3390">
        <v>0</v>
      </c>
      <c r="E3390" t="s">
        <v>41</v>
      </c>
      <c r="F3390" t="s">
        <v>10</v>
      </c>
    </row>
    <row r="3391" spans="1:6" hidden="1" x14ac:dyDescent="0.35">
      <c r="A3391" t="s">
        <v>15</v>
      </c>
      <c r="B3391" t="s">
        <v>38</v>
      </c>
      <c r="C3391" t="s">
        <v>28</v>
      </c>
      <c r="D3391">
        <v>0</v>
      </c>
      <c r="E3391" t="s">
        <v>41</v>
      </c>
      <c r="F3391" t="s">
        <v>10</v>
      </c>
    </row>
    <row r="3392" spans="1:6" hidden="1" x14ac:dyDescent="0.35">
      <c r="A3392" t="s">
        <v>16</v>
      </c>
      <c r="B3392" t="s">
        <v>38</v>
      </c>
      <c r="C3392" t="s">
        <v>28</v>
      </c>
      <c r="D3392">
        <v>0</v>
      </c>
      <c r="E3392" t="s">
        <v>41</v>
      </c>
      <c r="F3392" t="s">
        <v>10</v>
      </c>
    </row>
    <row r="3393" spans="1:6" hidden="1" x14ac:dyDescent="0.35">
      <c r="A3393" t="s">
        <v>17</v>
      </c>
      <c r="B3393" t="s">
        <v>38</v>
      </c>
      <c r="C3393" t="s">
        <v>28</v>
      </c>
      <c r="D3393">
        <v>0</v>
      </c>
      <c r="E3393" t="s">
        <v>41</v>
      </c>
      <c r="F3393" t="s">
        <v>10</v>
      </c>
    </row>
    <row r="3394" spans="1:6" hidden="1" x14ac:dyDescent="0.35">
      <c r="A3394" t="s">
        <v>18</v>
      </c>
      <c r="B3394" t="s">
        <v>38</v>
      </c>
      <c r="C3394" t="s">
        <v>28</v>
      </c>
      <c r="D3394">
        <v>0</v>
      </c>
      <c r="E3394" t="s">
        <v>41</v>
      </c>
      <c r="F3394" t="s">
        <v>10</v>
      </c>
    </row>
    <row r="3395" spans="1:6" hidden="1" x14ac:dyDescent="0.35">
      <c r="A3395" t="s">
        <v>19</v>
      </c>
      <c r="B3395" t="s">
        <v>38</v>
      </c>
      <c r="C3395" t="s">
        <v>28</v>
      </c>
      <c r="D3395">
        <v>0</v>
      </c>
      <c r="E3395" t="s">
        <v>41</v>
      </c>
      <c r="F3395" t="s">
        <v>10</v>
      </c>
    </row>
    <row r="3396" spans="1:6" hidden="1" x14ac:dyDescent="0.35">
      <c r="A3396" t="s">
        <v>20</v>
      </c>
      <c r="B3396" t="s">
        <v>38</v>
      </c>
      <c r="C3396" t="s">
        <v>28</v>
      </c>
      <c r="D3396">
        <v>0</v>
      </c>
      <c r="E3396" t="s">
        <v>41</v>
      </c>
      <c r="F3396" t="s">
        <v>10</v>
      </c>
    </row>
    <row r="3397" spans="1:6" hidden="1" x14ac:dyDescent="0.35">
      <c r="A3397" t="s">
        <v>21</v>
      </c>
      <c r="B3397" t="s">
        <v>38</v>
      </c>
      <c r="C3397" t="s">
        <v>28</v>
      </c>
      <c r="D3397">
        <v>0</v>
      </c>
      <c r="E3397" t="s">
        <v>41</v>
      </c>
      <c r="F3397" t="s">
        <v>10</v>
      </c>
    </row>
    <row r="3398" spans="1:6" hidden="1" x14ac:dyDescent="0.35">
      <c r="A3398" t="s">
        <v>6</v>
      </c>
      <c r="B3398" t="s">
        <v>38</v>
      </c>
      <c r="C3398" t="s">
        <v>29</v>
      </c>
      <c r="E3398" t="s">
        <v>41</v>
      </c>
      <c r="F3398" t="s">
        <v>10</v>
      </c>
    </row>
    <row r="3399" spans="1:6" hidden="1" x14ac:dyDescent="0.35">
      <c r="A3399" t="s">
        <v>11</v>
      </c>
      <c r="B3399" t="s">
        <v>38</v>
      </c>
      <c r="C3399" t="s">
        <v>29</v>
      </c>
      <c r="E3399" t="s">
        <v>41</v>
      </c>
      <c r="F3399" t="s">
        <v>10</v>
      </c>
    </row>
    <row r="3400" spans="1:6" hidden="1" x14ac:dyDescent="0.35">
      <c r="A3400" t="s">
        <v>12</v>
      </c>
      <c r="B3400" t="s">
        <v>38</v>
      </c>
      <c r="C3400" t="s">
        <v>29</v>
      </c>
      <c r="E3400" t="s">
        <v>41</v>
      </c>
      <c r="F3400" t="s">
        <v>10</v>
      </c>
    </row>
    <row r="3401" spans="1:6" hidden="1" x14ac:dyDescent="0.35">
      <c r="A3401" t="s">
        <v>13</v>
      </c>
      <c r="B3401" t="s">
        <v>38</v>
      </c>
      <c r="C3401" t="s">
        <v>29</v>
      </c>
      <c r="E3401" t="s">
        <v>41</v>
      </c>
      <c r="F3401" t="s">
        <v>10</v>
      </c>
    </row>
    <row r="3402" spans="1:6" hidden="1" x14ac:dyDescent="0.35">
      <c r="A3402" t="s">
        <v>14</v>
      </c>
      <c r="B3402" t="s">
        <v>38</v>
      </c>
      <c r="C3402" t="s">
        <v>29</v>
      </c>
      <c r="E3402" t="s">
        <v>41</v>
      </c>
      <c r="F3402" t="s">
        <v>10</v>
      </c>
    </row>
    <row r="3403" spans="1:6" hidden="1" x14ac:dyDescent="0.35">
      <c r="A3403" t="s">
        <v>15</v>
      </c>
      <c r="B3403" t="s">
        <v>38</v>
      </c>
      <c r="C3403" t="s">
        <v>29</v>
      </c>
      <c r="E3403" t="s">
        <v>41</v>
      </c>
      <c r="F3403" t="s">
        <v>10</v>
      </c>
    </row>
    <row r="3404" spans="1:6" hidden="1" x14ac:dyDescent="0.35">
      <c r="A3404" t="s">
        <v>16</v>
      </c>
      <c r="B3404" t="s">
        <v>38</v>
      </c>
      <c r="C3404" t="s">
        <v>29</v>
      </c>
      <c r="E3404" t="s">
        <v>41</v>
      </c>
      <c r="F3404" t="s">
        <v>10</v>
      </c>
    </row>
    <row r="3405" spans="1:6" hidden="1" x14ac:dyDescent="0.35">
      <c r="A3405" t="s">
        <v>17</v>
      </c>
      <c r="B3405" t="s">
        <v>38</v>
      </c>
      <c r="C3405" t="s">
        <v>29</v>
      </c>
      <c r="E3405" t="s">
        <v>41</v>
      </c>
      <c r="F3405" t="s">
        <v>10</v>
      </c>
    </row>
    <row r="3406" spans="1:6" hidden="1" x14ac:dyDescent="0.35">
      <c r="A3406" t="s">
        <v>18</v>
      </c>
      <c r="B3406" t="s">
        <v>38</v>
      </c>
      <c r="C3406" t="s">
        <v>29</v>
      </c>
      <c r="E3406" t="s">
        <v>41</v>
      </c>
      <c r="F3406" t="s">
        <v>10</v>
      </c>
    </row>
    <row r="3407" spans="1:6" hidden="1" x14ac:dyDescent="0.35">
      <c r="A3407" t="s">
        <v>19</v>
      </c>
      <c r="B3407" t="s">
        <v>38</v>
      </c>
      <c r="C3407" t="s">
        <v>29</v>
      </c>
      <c r="E3407" t="s">
        <v>41</v>
      </c>
      <c r="F3407" t="s">
        <v>10</v>
      </c>
    </row>
    <row r="3408" spans="1:6" hidden="1" x14ac:dyDescent="0.35">
      <c r="A3408" t="s">
        <v>20</v>
      </c>
      <c r="B3408" t="s">
        <v>38</v>
      </c>
      <c r="C3408" t="s">
        <v>29</v>
      </c>
      <c r="E3408" t="s">
        <v>41</v>
      </c>
      <c r="F3408" t="s">
        <v>10</v>
      </c>
    </row>
    <row r="3409" spans="1:6" hidden="1" x14ac:dyDescent="0.35">
      <c r="A3409" t="s">
        <v>21</v>
      </c>
      <c r="B3409" t="s">
        <v>38</v>
      </c>
      <c r="C3409" t="s">
        <v>29</v>
      </c>
      <c r="E3409" t="s">
        <v>41</v>
      </c>
      <c r="F3409" t="s">
        <v>10</v>
      </c>
    </row>
    <row r="3410" spans="1:6" hidden="1" x14ac:dyDescent="0.35">
      <c r="A3410" t="s">
        <v>6</v>
      </c>
      <c r="B3410" t="s">
        <v>38</v>
      </c>
      <c r="C3410" t="s">
        <v>30</v>
      </c>
      <c r="E3410" t="s">
        <v>41</v>
      </c>
      <c r="F3410" t="s">
        <v>10</v>
      </c>
    </row>
    <row r="3411" spans="1:6" hidden="1" x14ac:dyDescent="0.35">
      <c r="A3411" t="s">
        <v>11</v>
      </c>
      <c r="B3411" t="s">
        <v>38</v>
      </c>
      <c r="C3411" t="s">
        <v>30</v>
      </c>
      <c r="E3411" t="s">
        <v>41</v>
      </c>
      <c r="F3411" t="s">
        <v>10</v>
      </c>
    </row>
    <row r="3412" spans="1:6" hidden="1" x14ac:dyDescent="0.35">
      <c r="A3412" t="s">
        <v>12</v>
      </c>
      <c r="B3412" t="s">
        <v>38</v>
      </c>
      <c r="C3412" t="s">
        <v>30</v>
      </c>
      <c r="E3412" t="s">
        <v>41</v>
      </c>
      <c r="F3412" t="s">
        <v>10</v>
      </c>
    </row>
    <row r="3413" spans="1:6" hidden="1" x14ac:dyDescent="0.35">
      <c r="A3413" t="s">
        <v>13</v>
      </c>
      <c r="B3413" t="s">
        <v>38</v>
      </c>
      <c r="C3413" t="s">
        <v>30</v>
      </c>
      <c r="E3413" t="s">
        <v>41</v>
      </c>
      <c r="F3413" t="s">
        <v>10</v>
      </c>
    </row>
    <row r="3414" spans="1:6" hidden="1" x14ac:dyDescent="0.35">
      <c r="A3414" t="s">
        <v>14</v>
      </c>
      <c r="B3414" t="s">
        <v>38</v>
      </c>
      <c r="C3414" t="s">
        <v>30</v>
      </c>
      <c r="E3414" t="s">
        <v>41</v>
      </c>
      <c r="F3414" t="s">
        <v>10</v>
      </c>
    </row>
    <row r="3415" spans="1:6" hidden="1" x14ac:dyDescent="0.35">
      <c r="A3415" t="s">
        <v>15</v>
      </c>
      <c r="B3415" t="s">
        <v>38</v>
      </c>
      <c r="C3415" t="s">
        <v>30</v>
      </c>
      <c r="E3415" t="s">
        <v>41</v>
      </c>
      <c r="F3415" t="s">
        <v>10</v>
      </c>
    </row>
    <row r="3416" spans="1:6" hidden="1" x14ac:dyDescent="0.35">
      <c r="A3416" t="s">
        <v>16</v>
      </c>
      <c r="B3416" t="s">
        <v>38</v>
      </c>
      <c r="C3416" t="s">
        <v>30</v>
      </c>
      <c r="E3416" t="s">
        <v>41</v>
      </c>
      <c r="F3416" t="s">
        <v>10</v>
      </c>
    </row>
    <row r="3417" spans="1:6" hidden="1" x14ac:dyDescent="0.35">
      <c r="A3417" t="s">
        <v>17</v>
      </c>
      <c r="B3417" t="s">
        <v>38</v>
      </c>
      <c r="C3417" t="s">
        <v>30</v>
      </c>
      <c r="E3417" t="s">
        <v>41</v>
      </c>
      <c r="F3417" t="s">
        <v>10</v>
      </c>
    </row>
    <row r="3418" spans="1:6" hidden="1" x14ac:dyDescent="0.35">
      <c r="A3418" t="s">
        <v>18</v>
      </c>
      <c r="B3418" t="s">
        <v>38</v>
      </c>
      <c r="C3418" t="s">
        <v>30</v>
      </c>
      <c r="E3418" t="s">
        <v>41</v>
      </c>
      <c r="F3418" t="s">
        <v>10</v>
      </c>
    </row>
    <row r="3419" spans="1:6" hidden="1" x14ac:dyDescent="0.35">
      <c r="A3419" t="s">
        <v>19</v>
      </c>
      <c r="B3419" t="s">
        <v>38</v>
      </c>
      <c r="C3419" t="s">
        <v>30</v>
      </c>
      <c r="E3419" t="s">
        <v>41</v>
      </c>
      <c r="F3419" t="s">
        <v>10</v>
      </c>
    </row>
    <row r="3420" spans="1:6" hidden="1" x14ac:dyDescent="0.35">
      <c r="A3420" t="s">
        <v>20</v>
      </c>
      <c r="B3420" t="s">
        <v>38</v>
      </c>
      <c r="C3420" t="s">
        <v>30</v>
      </c>
      <c r="E3420" t="s">
        <v>41</v>
      </c>
      <c r="F3420" t="s">
        <v>10</v>
      </c>
    </row>
    <row r="3421" spans="1:6" hidden="1" x14ac:dyDescent="0.35">
      <c r="A3421" t="s">
        <v>21</v>
      </c>
      <c r="B3421" t="s">
        <v>38</v>
      </c>
      <c r="C3421" t="s">
        <v>30</v>
      </c>
      <c r="E3421" t="s">
        <v>41</v>
      </c>
      <c r="F3421" t="s">
        <v>10</v>
      </c>
    </row>
    <row r="3422" spans="1:6" hidden="1" x14ac:dyDescent="0.35">
      <c r="A3422" t="s">
        <v>6</v>
      </c>
      <c r="B3422" t="s">
        <v>38</v>
      </c>
      <c r="C3422" t="s">
        <v>31</v>
      </c>
      <c r="E3422" t="s">
        <v>41</v>
      </c>
      <c r="F3422" t="s">
        <v>10</v>
      </c>
    </row>
    <row r="3423" spans="1:6" hidden="1" x14ac:dyDescent="0.35">
      <c r="A3423" t="s">
        <v>11</v>
      </c>
      <c r="B3423" t="s">
        <v>38</v>
      </c>
      <c r="C3423" t="s">
        <v>31</v>
      </c>
      <c r="E3423" t="s">
        <v>41</v>
      </c>
      <c r="F3423" t="s">
        <v>10</v>
      </c>
    </row>
    <row r="3424" spans="1:6" hidden="1" x14ac:dyDescent="0.35">
      <c r="A3424" t="s">
        <v>12</v>
      </c>
      <c r="B3424" t="s">
        <v>38</v>
      </c>
      <c r="C3424" t="s">
        <v>31</v>
      </c>
      <c r="E3424" t="s">
        <v>41</v>
      </c>
      <c r="F3424" t="s">
        <v>10</v>
      </c>
    </row>
    <row r="3425" spans="1:6" hidden="1" x14ac:dyDescent="0.35">
      <c r="A3425" t="s">
        <v>13</v>
      </c>
      <c r="B3425" t="s">
        <v>38</v>
      </c>
      <c r="C3425" t="s">
        <v>31</v>
      </c>
      <c r="E3425" t="s">
        <v>41</v>
      </c>
      <c r="F3425" t="s">
        <v>10</v>
      </c>
    </row>
    <row r="3426" spans="1:6" hidden="1" x14ac:dyDescent="0.35">
      <c r="A3426" t="s">
        <v>14</v>
      </c>
      <c r="B3426" t="s">
        <v>38</v>
      </c>
      <c r="C3426" t="s">
        <v>31</v>
      </c>
      <c r="E3426" t="s">
        <v>41</v>
      </c>
      <c r="F3426" t="s">
        <v>10</v>
      </c>
    </row>
    <row r="3427" spans="1:6" hidden="1" x14ac:dyDescent="0.35">
      <c r="A3427" t="s">
        <v>15</v>
      </c>
      <c r="B3427" t="s">
        <v>38</v>
      </c>
      <c r="C3427" t="s">
        <v>31</v>
      </c>
      <c r="E3427" t="s">
        <v>41</v>
      </c>
      <c r="F3427" t="s">
        <v>10</v>
      </c>
    </row>
    <row r="3428" spans="1:6" hidden="1" x14ac:dyDescent="0.35">
      <c r="A3428" t="s">
        <v>16</v>
      </c>
      <c r="B3428" t="s">
        <v>38</v>
      </c>
      <c r="C3428" t="s">
        <v>31</v>
      </c>
      <c r="E3428" t="s">
        <v>41</v>
      </c>
      <c r="F3428" t="s">
        <v>10</v>
      </c>
    </row>
    <row r="3429" spans="1:6" hidden="1" x14ac:dyDescent="0.35">
      <c r="A3429" t="s">
        <v>17</v>
      </c>
      <c r="B3429" t="s">
        <v>38</v>
      </c>
      <c r="C3429" t="s">
        <v>31</v>
      </c>
      <c r="E3429" t="s">
        <v>41</v>
      </c>
      <c r="F3429" t="s">
        <v>10</v>
      </c>
    </row>
    <row r="3430" spans="1:6" hidden="1" x14ac:dyDescent="0.35">
      <c r="A3430" t="s">
        <v>18</v>
      </c>
      <c r="B3430" t="s">
        <v>38</v>
      </c>
      <c r="C3430" t="s">
        <v>31</v>
      </c>
      <c r="E3430" t="s">
        <v>41</v>
      </c>
      <c r="F3430" t="s">
        <v>10</v>
      </c>
    </row>
    <row r="3431" spans="1:6" hidden="1" x14ac:dyDescent="0.35">
      <c r="A3431" t="s">
        <v>19</v>
      </c>
      <c r="B3431" t="s">
        <v>38</v>
      </c>
      <c r="C3431" t="s">
        <v>31</v>
      </c>
      <c r="E3431" t="s">
        <v>41</v>
      </c>
      <c r="F3431" t="s">
        <v>10</v>
      </c>
    </row>
    <row r="3432" spans="1:6" hidden="1" x14ac:dyDescent="0.35">
      <c r="A3432" t="s">
        <v>20</v>
      </c>
      <c r="B3432" t="s">
        <v>38</v>
      </c>
      <c r="C3432" t="s">
        <v>31</v>
      </c>
      <c r="E3432" t="s">
        <v>41</v>
      </c>
      <c r="F3432" t="s">
        <v>10</v>
      </c>
    </row>
    <row r="3433" spans="1:6" hidden="1" x14ac:dyDescent="0.35">
      <c r="A3433" t="s">
        <v>21</v>
      </c>
      <c r="B3433" t="s">
        <v>38</v>
      </c>
      <c r="C3433" t="s">
        <v>31</v>
      </c>
      <c r="E3433" t="s">
        <v>41</v>
      </c>
      <c r="F3433" t="s">
        <v>10</v>
      </c>
    </row>
    <row r="3434" spans="1:6" hidden="1" x14ac:dyDescent="0.35">
      <c r="A3434" t="s">
        <v>6</v>
      </c>
      <c r="B3434" t="s">
        <v>39</v>
      </c>
      <c r="C3434" t="s">
        <v>8</v>
      </c>
      <c r="D3434">
        <v>0</v>
      </c>
      <c r="E3434" t="s">
        <v>41</v>
      </c>
      <c r="F3434" t="s">
        <v>10</v>
      </c>
    </row>
    <row r="3435" spans="1:6" hidden="1" x14ac:dyDescent="0.35">
      <c r="A3435" t="s">
        <v>11</v>
      </c>
      <c r="B3435" t="s">
        <v>39</v>
      </c>
      <c r="C3435" t="s">
        <v>8</v>
      </c>
      <c r="D3435">
        <v>0</v>
      </c>
      <c r="E3435" t="s">
        <v>41</v>
      </c>
      <c r="F3435" t="s">
        <v>10</v>
      </c>
    </row>
    <row r="3436" spans="1:6" hidden="1" x14ac:dyDescent="0.35">
      <c r="A3436" t="s">
        <v>12</v>
      </c>
      <c r="B3436" t="s">
        <v>39</v>
      </c>
      <c r="C3436" t="s">
        <v>8</v>
      </c>
      <c r="D3436">
        <v>0</v>
      </c>
      <c r="E3436" t="s">
        <v>41</v>
      </c>
      <c r="F3436" t="s">
        <v>10</v>
      </c>
    </row>
    <row r="3437" spans="1:6" hidden="1" x14ac:dyDescent="0.35">
      <c r="A3437" t="s">
        <v>13</v>
      </c>
      <c r="B3437" t="s">
        <v>39</v>
      </c>
      <c r="C3437" t="s">
        <v>8</v>
      </c>
      <c r="D3437">
        <v>0</v>
      </c>
      <c r="E3437" t="s">
        <v>41</v>
      </c>
      <c r="F3437" t="s">
        <v>10</v>
      </c>
    </row>
    <row r="3438" spans="1:6" hidden="1" x14ac:dyDescent="0.35">
      <c r="A3438" t="s">
        <v>14</v>
      </c>
      <c r="B3438" t="s">
        <v>39</v>
      </c>
      <c r="C3438" t="s">
        <v>8</v>
      </c>
      <c r="D3438">
        <v>0</v>
      </c>
      <c r="E3438" t="s">
        <v>41</v>
      </c>
      <c r="F3438" t="s">
        <v>10</v>
      </c>
    </row>
    <row r="3439" spans="1:6" hidden="1" x14ac:dyDescent="0.35">
      <c r="A3439" t="s">
        <v>15</v>
      </c>
      <c r="B3439" t="s">
        <v>39</v>
      </c>
      <c r="C3439" t="s">
        <v>8</v>
      </c>
      <c r="D3439">
        <v>0</v>
      </c>
      <c r="E3439" t="s">
        <v>41</v>
      </c>
      <c r="F3439" t="s">
        <v>10</v>
      </c>
    </row>
    <row r="3440" spans="1:6" hidden="1" x14ac:dyDescent="0.35">
      <c r="A3440" t="s">
        <v>16</v>
      </c>
      <c r="B3440" t="s">
        <v>39</v>
      </c>
      <c r="C3440" t="s">
        <v>8</v>
      </c>
      <c r="D3440">
        <v>0</v>
      </c>
      <c r="E3440" t="s">
        <v>41</v>
      </c>
      <c r="F3440" t="s">
        <v>10</v>
      </c>
    </row>
    <row r="3441" spans="1:6" hidden="1" x14ac:dyDescent="0.35">
      <c r="A3441" t="s">
        <v>17</v>
      </c>
      <c r="B3441" t="s">
        <v>39</v>
      </c>
      <c r="C3441" t="s">
        <v>8</v>
      </c>
      <c r="D3441">
        <v>0</v>
      </c>
      <c r="E3441" t="s">
        <v>41</v>
      </c>
      <c r="F3441" t="s">
        <v>10</v>
      </c>
    </row>
    <row r="3442" spans="1:6" hidden="1" x14ac:dyDescent="0.35">
      <c r="A3442" t="s">
        <v>18</v>
      </c>
      <c r="B3442" t="s">
        <v>39</v>
      </c>
      <c r="C3442" t="s">
        <v>8</v>
      </c>
      <c r="D3442">
        <v>0</v>
      </c>
      <c r="E3442" t="s">
        <v>41</v>
      </c>
      <c r="F3442" t="s">
        <v>10</v>
      </c>
    </row>
    <row r="3443" spans="1:6" hidden="1" x14ac:dyDescent="0.35">
      <c r="A3443" t="s">
        <v>19</v>
      </c>
      <c r="B3443" t="s">
        <v>39</v>
      </c>
      <c r="C3443" t="s">
        <v>8</v>
      </c>
      <c r="D3443">
        <v>0</v>
      </c>
      <c r="E3443" t="s">
        <v>41</v>
      </c>
      <c r="F3443" t="s">
        <v>10</v>
      </c>
    </row>
    <row r="3444" spans="1:6" hidden="1" x14ac:dyDescent="0.35">
      <c r="A3444" t="s">
        <v>20</v>
      </c>
      <c r="B3444" t="s">
        <v>39</v>
      </c>
      <c r="C3444" t="s">
        <v>8</v>
      </c>
      <c r="D3444">
        <v>0</v>
      </c>
      <c r="E3444" t="s">
        <v>41</v>
      </c>
      <c r="F3444" t="s">
        <v>10</v>
      </c>
    </row>
    <row r="3445" spans="1:6" hidden="1" x14ac:dyDescent="0.35">
      <c r="A3445" t="s">
        <v>21</v>
      </c>
      <c r="B3445" t="s">
        <v>39</v>
      </c>
      <c r="C3445" t="s">
        <v>8</v>
      </c>
      <c r="D3445">
        <v>0</v>
      </c>
      <c r="E3445" t="s">
        <v>41</v>
      </c>
      <c r="F3445" t="s">
        <v>10</v>
      </c>
    </row>
    <row r="3446" spans="1:6" hidden="1" x14ac:dyDescent="0.35">
      <c r="A3446" t="s">
        <v>6</v>
      </c>
      <c r="B3446" t="s">
        <v>39</v>
      </c>
      <c r="C3446" t="s">
        <v>22</v>
      </c>
      <c r="D3446">
        <v>0</v>
      </c>
      <c r="E3446" t="s">
        <v>41</v>
      </c>
      <c r="F3446" t="s">
        <v>10</v>
      </c>
    </row>
    <row r="3447" spans="1:6" hidden="1" x14ac:dyDescent="0.35">
      <c r="A3447" t="s">
        <v>11</v>
      </c>
      <c r="B3447" t="s">
        <v>39</v>
      </c>
      <c r="C3447" t="s">
        <v>22</v>
      </c>
      <c r="D3447">
        <v>0</v>
      </c>
      <c r="E3447" t="s">
        <v>41</v>
      </c>
      <c r="F3447" t="s">
        <v>10</v>
      </c>
    </row>
    <row r="3448" spans="1:6" hidden="1" x14ac:dyDescent="0.35">
      <c r="A3448" t="s">
        <v>12</v>
      </c>
      <c r="B3448" t="s">
        <v>39</v>
      </c>
      <c r="C3448" t="s">
        <v>22</v>
      </c>
      <c r="D3448">
        <v>0</v>
      </c>
      <c r="E3448" t="s">
        <v>41</v>
      </c>
      <c r="F3448" t="s">
        <v>10</v>
      </c>
    </row>
    <row r="3449" spans="1:6" hidden="1" x14ac:dyDescent="0.35">
      <c r="A3449" t="s">
        <v>13</v>
      </c>
      <c r="B3449" t="s">
        <v>39</v>
      </c>
      <c r="C3449" t="s">
        <v>22</v>
      </c>
      <c r="D3449">
        <v>0</v>
      </c>
      <c r="E3449" t="s">
        <v>41</v>
      </c>
      <c r="F3449" t="s">
        <v>10</v>
      </c>
    </row>
    <row r="3450" spans="1:6" hidden="1" x14ac:dyDescent="0.35">
      <c r="A3450" t="s">
        <v>14</v>
      </c>
      <c r="B3450" t="s">
        <v>39</v>
      </c>
      <c r="C3450" t="s">
        <v>22</v>
      </c>
      <c r="D3450">
        <v>0</v>
      </c>
      <c r="E3450" t="s">
        <v>41</v>
      </c>
      <c r="F3450" t="s">
        <v>10</v>
      </c>
    </row>
    <row r="3451" spans="1:6" hidden="1" x14ac:dyDescent="0.35">
      <c r="A3451" t="s">
        <v>15</v>
      </c>
      <c r="B3451" t="s">
        <v>39</v>
      </c>
      <c r="C3451" t="s">
        <v>22</v>
      </c>
      <c r="D3451">
        <v>0</v>
      </c>
      <c r="E3451" t="s">
        <v>41</v>
      </c>
      <c r="F3451" t="s">
        <v>10</v>
      </c>
    </row>
    <row r="3452" spans="1:6" hidden="1" x14ac:dyDescent="0.35">
      <c r="A3452" t="s">
        <v>16</v>
      </c>
      <c r="B3452" t="s">
        <v>39</v>
      </c>
      <c r="C3452" t="s">
        <v>22</v>
      </c>
      <c r="D3452">
        <v>0</v>
      </c>
      <c r="E3452" t="s">
        <v>41</v>
      </c>
      <c r="F3452" t="s">
        <v>10</v>
      </c>
    </row>
    <row r="3453" spans="1:6" hidden="1" x14ac:dyDescent="0.35">
      <c r="A3453" t="s">
        <v>17</v>
      </c>
      <c r="B3453" t="s">
        <v>39</v>
      </c>
      <c r="C3453" t="s">
        <v>22</v>
      </c>
      <c r="D3453">
        <v>0</v>
      </c>
      <c r="E3453" t="s">
        <v>41</v>
      </c>
      <c r="F3453" t="s">
        <v>10</v>
      </c>
    </row>
    <row r="3454" spans="1:6" hidden="1" x14ac:dyDescent="0.35">
      <c r="A3454" t="s">
        <v>18</v>
      </c>
      <c r="B3454" t="s">
        <v>39</v>
      </c>
      <c r="C3454" t="s">
        <v>22</v>
      </c>
      <c r="D3454">
        <v>0</v>
      </c>
      <c r="E3454" t="s">
        <v>41</v>
      </c>
      <c r="F3454" t="s">
        <v>10</v>
      </c>
    </row>
    <row r="3455" spans="1:6" hidden="1" x14ac:dyDescent="0.35">
      <c r="A3455" t="s">
        <v>19</v>
      </c>
      <c r="B3455" t="s">
        <v>39</v>
      </c>
      <c r="C3455" t="s">
        <v>22</v>
      </c>
      <c r="D3455">
        <v>0</v>
      </c>
      <c r="E3455" t="s">
        <v>41</v>
      </c>
      <c r="F3455" t="s">
        <v>10</v>
      </c>
    </row>
    <row r="3456" spans="1:6" hidden="1" x14ac:dyDescent="0.35">
      <c r="A3456" t="s">
        <v>20</v>
      </c>
      <c r="B3456" t="s">
        <v>39</v>
      </c>
      <c r="C3456" t="s">
        <v>22</v>
      </c>
      <c r="D3456">
        <v>0</v>
      </c>
      <c r="E3456" t="s">
        <v>41</v>
      </c>
      <c r="F3456" t="s">
        <v>10</v>
      </c>
    </row>
    <row r="3457" spans="1:6" hidden="1" x14ac:dyDescent="0.35">
      <c r="A3457" t="s">
        <v>21</v>
      </c>
      <c r="B3457" t="s">
        <v>39</v>
      </c>
      <c r="C3457" t="s">
        <v>22</v>
      </c>
      <c r="D3457">
        <v>0</v>
      </c>
      <c r="E3457" t="s">
        <v>41</v>
      </c>
      <c r="F3457" t="s">
        <v>10</v>
      </c>
    </row>
    <row r="3458" spans="1:6" hidden="1" x14ac:dyDescent="0.35">
      <c r="A3458" t="s">
        <v>6</v>
      </c>
      <c r="B3458" t="s">
        <v>39</v>
      </c>
      <c r="C3458" t="s">
        <v>23</v>
      </c>
      <c r="D3458">
        <v>0</v>
      </c>
      <c r="E3458" t="s">
        <v>41</v>
      </c>
      <c r="F3458" t="s">
        <v>10</v>
      </c>
    </row>
    <row r="3459" spans="1:6" hidden="1" x14ac:dyDescent="0.35">
      <c r="A3459" t="s">
        <v>11</v>
      </c>
      <c r="B3459" t="s">
        <v>39</v>
      </c>
      <c r="C3459" t="s">
        <v>23</v>
      </c>
      <c r="D3459">
        <v>0</v>
      </c>
      <c r="E3459" t="s">
        <v>41</v>
      </c>
      <c r="F3459" t="s">
        <v>10</v>
      </c>
    </row>
    <row r="3460" spans="1:6" hidden="1" x14ac:dyDescent="0.35">
      <c r="A3460" t="s">
        <v>12</v>
      </c>
      <c r="B3460" t="s">
        <v>39</v>
      </c>
      <c r="C3460" t="s">
        <v>23</v>
      </c>
      <c r="D3460">
        <v>0</v>
      </c>
      <c r="E3460" t="s">
        <v>41</v>
      </c>
      <c r="F3460" t="s">
        <v>10</v>
      </c>
    </row>
    <row r="3461" spans="1:6" hidden="1" x14ac:dyDescent="0.35">
      <c r="A3461" t="s">
        <v>13</v>
      </c>
      <c r="B3461" t="s">
        <v>39</v>
      </c>
      <c r="C3461" t="s">
        <v>23</v>
      </c>
      <c r="D3461">
        <v>0</v>
      </c>
      <c r="E3461" t="s">
        <v>41</v>
      </c>
      <c r="F3461" t="s">
        <v>10</v>
      </c>
    </row>
    <row r="3462" spans="1:6" hidden="1" x14ac:dyDescent="0.35">
      <c r="A3462" t="s">
        <v>14</v>
      </c>
      <c r="B3462" t="s">
        <v>39</v>
      </c>
      <c r="C3462" t="s">
        <v>23</v>
      </c>
      <c r="D3462">
        <v>0</v>
      </c>
      <c r="E3462" t="s">
        <v>41</v>
      </c>
      <c r="F3462" t="s">
        <v>10</v>
      </c>
    </row>
    <row r="3463" spans="1:6" hidden="1" x14ac:dyDescent="0.35">
      <c r="A3463" t="s">
        <v>15</v>
      </c>
      <c r="B3463" t="s">
        <v>39</v>
      </c>
      <c r="C3463" t="s">
        <v>23</v>
      </c>
      <c r="D3463">
        <v>0</v>
      </c>
      <c r="E3463" t="s">
        <v>41</v>
      </c>
      <c r="F3463" t="s">
        <v>10</v>
      </c>
    </row>
    <row r="3464" spans="1:6" hidden="1" x14ac:dyDescent="0.35">
      <c r="A3464" t="s">
        <v>16</v>
      </c>
      <c r="B3464" t="s">
        <v>39</v>
      </c>
      <c r="C3464" t="s">
        <v>23</v>
      </c>
      <c r="D3464">
        <v>0</v>
      </c>
      <c r="E3464" t="s">
        <v>41</v>
      </c>
      <c r="F3464" t="s">
        <v>10</v>
      </c>
    </row>
    <row r="3465" spans="1:6" hidden="1" x14ac:dyDescent="0.35">
      <c r="A3465" t="s">
        <v>17</v>
      </c>
      <c r="B3465" t="s">
        <v>39</v>
      </c>
      <c r="C3465" t="s">
        <v>23</v>
      </c>
      <c r="D3465">
        <v>0</v>
      </c>
      <c r="E3465" t="s">
        <v>41</v>
      </c>
      <c r="F3465" t="s">
        <v>10</v>
      </c>
    </row>
    <row r="3466" spans="1:6" hidden="1" x14ac:dyDescent="0.35">
      <c r="A3466" t="s">
        <v>18</v>
      </c>
      <c r="B3466" t="s">
        <v>39</v>
      </c>
      <c r="C3466" t="s">
        <v>23</v>
      </c>
      <c r="D3466">
        <v>0</v>
      </c>
      <c r="E3466" t="s">
        <v>41</v>
      </c>
      <c r="F3466" t="s">
        <v>10</v>
      </c>
    </row>
    <row r="3467" spans="1:6" hidden="1" x14ac:dyDescent="0.35">
      <c r="A3467" t="s">
        <v>19</v>
      </c>
      <c r="B3467" t="s">
        <v>39</v>
      </c>
      <c r="C3467" t="s">
        <v>23</v>
      </c>
      <c r="D3467">
        <v>0</v>
      </c>
      <c r="E3467" t="s">
        <v>41</v>
      </c>
      <c r="F3467" t="s">
        <v>10</v>
      </c>
    </row>
    <row r="3468" spans="1:6" hidden="1" x14ac:dyDescent="0.35">
      <c r="A3468" t="s">
        <v>20</v>
      </c>
      <c r="B3468" t="s">
        <v>39</v>
      </c>
      <c r="C3468" t="s">
        <v>23</v>
      </c>
      <c r="D3468">
        <v>0</v>
      </c>
      <c r="E3468" t="s">
        <v>41</v>
      </c>
      <c r="F3468" t="s">
        <v>10</v>
      </c>
    </row>
    <row r="3469" spans="1:6" hidden="1" x14ac:dyDescent="0.35">
      <c r="A3469" t="s">
        <v>21</v>
      </c>
      <c r="B3469" t="s">
        <v>39</v>
      </c>
      <c r="C3469" t="s">
        <v>23</v>
      </c>
      <c r="D3469">
        <v>0</v>
      </c>
      <c r="E3469" t="s">
        <v>41</v>
      </c>
      <c r="F3469" t="s">
        <v>10</v>
      </c>
    </row>
    <row r="3470" spans="1:6" hidden="1" x14ac:dyDescent="0.35">
      <c r="A3470" t="s">
        <v>6</v>
      </c>
      <c r="B3470" t="s">
        <v>39</v>
      </c>
      <c r="C3470" t="s">
        <v>24</v>
      </c>
      <c r="D3470">
        <v>0</v>
      </c>
      <c r="E3470" t="s">
        <v>41</v>
      </c>
      <c r="F3470" t="s">
        <v>10</v>
      </c>
    </row>
    <row r="3471" spans="1:6" hidden="1" x14ac:dyDescent="0.35">
      <c r="A3471" t="s">
        <v>11</v>
      </c>
      <c r="B3471" t="s">
        <v>39</v>
      </c>
      <c r="C3471" t="s">
        <v>24</v>
      </c>
      <c r="D3471">
        <v>0</v>
      </c>
      <c r="E3471" t="s">
        <v>41</v>
      </c>
      <c r="F3471" t="s">
        <v>10</v>
      </c>
    </row>
    <row r="3472" spans="1:6" hidden="1" x14ac:dyDescent="0.35">
      <c r="A3472" t="s">
        <v>12</v>
      </c>
      <c r="B3472" t="s">
        <v>39</v>
      </c>
      <c r="C3472" t="s">
        <v>24</v>
      </c>
      <c r="D3472">
        <v>0</v>
      </c>
      <c r="E3472" t="s">
        <v>41</v>
      </c>
      <c r="F3472" t="s">
        <v>10</v>
      </c>
    </row>
    <row r="3473" spans="1:6" hidden="1" x14ac:dyDescent="0.35">
      <c r="A3473" t="s">
        <v>13</v>
      </c>
      <c r="B3473" t="s">
        <v>39</v>
      </c>
      <c r="C3473" t="s">
        <v>24</v>
      </c>
      <c r="D3473">
        <v>0</v>
      </c>
      <c r="E3473" t="s">
        <v>41</v>
      </c>
      <c r="F3473" t="s">
        <v>10</v>
      </c>
    </row>
    <row r="3474" spans="1:6" hidden="1" x14ac:dyDescent="0.35">
      <c r="A3474" t="s">
        <v>14</v>
      </c>
      <c r="B3474" t="s">
        <v>39</v>
      </c>
      <c r="C3474" t="s">
        <v>24</v>
      </c>
      <c r="D3474">
        <v>0</v>
      </c>
      <c r="E3474" t="s">
        <v>41</v>
      </c>
      <c r="F3474" t="s">
        <v>10</v>
      </c>
    </row>
    <row r="3475" spans="1:6" hidden="1" x14ac:dyDescent="0.35">
      <c r="A3475" t="s">
        <v>15</v>
      </c>
      <c r="B3475" t="s">
        <v>39</v>
      </c>
      <c r="C3475" t="s">
        <v>24</v>
      </c>
      <c r="D3475">
        <v>0</v>
      </c>
      <c r="E3475" t="s">
        <v>41</v>
      </c>
      <c r="F3475" t="s">
        <v>10</v>
      </c>
    </row>
    <row r="3476" spans="1:6" hidden="1" x14ac:dyDescent="0.35">
      <c r="A3476" t="s">
        <v>16</v>
      </c>
      <c r="B3476" t="s">
        <v>39</v>
      </c>
      <c r="C3476" t="s">
        <v>24</v>
      </c>
      <c r="D3476">
        <v>0</v>
      </c>
      <c r="E3476" t="s">
        <v>41</v>
      </c>
      <c r="F3476" t="s">
        <v>10</v>
      </c>
    </row>
    <row r="3477" spans="1:6" hidden="1" x14ac:dyDescent="0.35">
      <c r="A3477" t="s">
        <v>17</v>
      </c>
      <c r="B3477" t="s">
        <v>39</v>
      </c>
      <c r="C3477" t="s">
        <v>24</v>
      </c>
      <c r="D3477">
        <v>0</v>
      </c>
      <c r="E3477" t="s">
        <v>41</v>
      </c>
      <c r="F3477" t="s">
        <v>10</v>
      </c>
    </row>
    <row r="3478" spans="1:6" hidden="1" x14ac:dyDescent="0.35">
      <c r="A3478" t="s">
        <v>18</v>
      </c>
      <c r="B3478" t="s">
        <v>39</v>
      </c>
      <c r="C3478" t="s">
        <v>24</v>
      </c>
      <c r="D3478">
        <v>0</v>
      </c>
      <c r="E3478" t="s">
        <v>41</v>
      </c>
      <c r="F3478" t="s">
        <v>10</v>
      </c>
    </row>
    <row r="3479" spans="1:6" hidden="1" x14ac:dyDescent="0.35">
      <c r="A3479" t="s">
        <v>19</v>
      </c>
      <c r="B3479" t="s">
        <v>39</v>
      </c>
      <c r="C3479" t="s">
        <v>24</v>
      </c>
      <c r="D3479">
        <v>0</v>
      </c>
      <c r="E3479" t="s">
        <v>41</v>
      </c>
      <c r="F3479" t="s">
        <v>10</v>
      </c>
    </row>
    <row r="3480" spans="1:6" hidden="1" x14ac:dyDescent="0.35">
      <c r="A3480" t="s">
        <v>20</v>
      </c>
      <c r="B3480" t="s">
        <v>39</v>
      </c>
      <c r="C3480" t="s">
        <v>24</v>
      </c>
      <c r="D3480">
        <v>0</v>
      </c>
      <c r="E3480" t="s">
        <v>41</v>
      </c>
      <c r="F3480" t="s">
        <v>10</v>
      </c>
    </row>
    <row r="3481" spans="1:6" hidden="1" x14ac:dyDescent="0.35">
      <c r="A3481" t="s">
        <v>21</v>
      </c>
      <c r="B3481" t="s">
        <v>39</v>
      </c>
      <c r="C3481" t="s">
        <v>24</v>
      </c>
      <c r="D3481">
        <v>0</v>
      </c>
      <c r="E3481" t="s">
        <v>41</v>
      </c>
      <c r="F3481" t="s">
        <v>10</v>
      </c>
    </row>
    <row r="3482" spans="1:6" hidden="1" x14ac:dyDescent="0.35">
      <c r="A3482" t="s">
        <v>6</v>
      </c>
      <c r="B3482" t="s">
        <v>39</v>
      </c>
      <c r="C3482" t="s">
        <v>25</v>
      </c>
      <c r="D3482">
        <v>0</v>
      </c>
      <c r="E3482" t="s">
        <v>41</v>
      </c>
      <c r="F3482" t="s">
        <v>10</v>
      </c>
    </row>
    <row r="3483" spans="1:6" hidden="1" x14ac:dyDescent="0.35">
      <c r="A3483" t="s">
        <v>11</v>
      </c>
      <c r="B3483" t="s">
        <v>39</v>
      </c>
      <c r="C3483" t="s">
        <v>25</v>
      </c>
      <c r="D3483">
        <v>0</v>
      </c>
      <c r="E3483" t="s">
        <v>41</v>
      </c>
      <c r="F3483" t="s">
        <v>10</v>
      </c>
    </row>
    <row r="3484" spans="1:6" hidden="1" x14ac:dyDescent="0.35">
      <c r="A3484" t="s">
        <v>12</v>
      </c>
      <c r="B3484" t="s">
        <v>39</v>
      </c>
      <c r="C3484" t="s">
        <v>25</v>
      </c>
      <c r="D3484">
        <v>0</v>
      </c>
      <c r="E3484" t="s">
        <v>41</v>
      </c>
      <c r="F3484" t="s">
        <v>10</v>
      </c>
    </row>
    <row r="3485" spans="1:6" hidden="1" x14ac:dyDescent="0.35">
      <c r="A3485" t="s">
        <v>13</v>
      </c>
      <c r="B3485" t="s">
        <v>39</v>
      </c>
      <c r="C3485" t="s">
        <v>25</v>
      </c>
      <c r="D3485">
        <v>0</v>
      </c>
      <c r="E3485" t="s">
        <v>41</v>
      </c>
      <c r="F3485" t="s">
        <v>10</v>
      </c>
    </row>
    <row r="3486" spans="1:6" hidden="1" x14ac:dyDescent="0.35">
      <c r="A3486" t="s">
        <v>14</v>
      </c>
      <c r="B3486" t="s">
        <v>39</v>
      </c>
      <c r="C3486" t="s">
        <v>25</v>
      </c>
      <c r="D3486">
        <v>0</v>
      </c>
      <c r="E3486" t="s">
        <v>41</v>
      </c>
      <c r="F3486" t="s">
        <v>10</v>
      </c>
    </row>
    <row r="3487" spans="1:6" hidden="1" x14ac:dyDescent="0.35">
      <c r="A3487" t="s">
        <v>15</v>
      </c>
      <c r="B3487" t="s">
        <v>39</v>
      </c>
      <c r="C3487" t="s">
        <v>25</v>
      </c>
      <c r="D3487">
        <v>0</v>
      </c>
      <c r="E3487" t="s">
        <v>41</v>
      </c>
      <c r="F3487" t="s">
        <v>10</v>
      </c>
    </row>
    <row r="3488" spans="1:6" hidden="1" x14ac:dyDescent="0.35">
      <c r="A3488" t="s">
        <v>16</v>
      </c>
      <c r="B3488" t="s">
        <v>39</v>
      </c>
      <c r="C3488" t="s">
        <v>25</v>
      </c>
      <c r="D3488">
        <v>0</v>
      </c>
      <c r="E3488" t="s">
        <v>41</v>
      </c>
      <c r="F3488" t="s">
        <v>10</v>
      </c>
    </row>
    <row r="3489" spans="1:6" hidden="1" x14ac:dyDescent="0.35">
      <c r="A3489" t="s">
        <v>17</v>
      </c>
      <c r="B3489" t="s">
        <v>39</v>
      </c>
      <c r="C3489" t="s">
        <v>25</v>
      </c>
      <c r="D3489">
        <v>0</v>
      </c>
      <c r="E3489" t="s">
        <v>41</v>
      </c>
      <c r="F3489" t="s">
        <v>10</v>
      </c>
    </row>
    <row r="3490" spans="1:6" hidden="1" x14ac:dyDescent="0.35">
      <c r="A3490" t="s">
        <v>18</v>
      </c>
      <c r="B3490" t="s">
        <v>39</v>
      </c>
      <c r="C3490" t="s">
        <v>25</v>
      </c>
      <c r="D3490">
        <v>0</v>
      </c>
      <c r="E3490" t="s">
        <v>41</v>
      </c>
      <c r="F3490" t="s">
        <v>10</v>
      </c>
    </row>
    <row r="3491" spans="1:6" hidden="1" x14ac:dyDescent="0.35">
      <c r="A3491" t="s">
        <v>19</v>
      </c>
      <c r="B3491" t="s">
        <v>39</v>
      </c>
      <c r="C3491" t="s">
        <v>25</v>
      </c>
      <c r="D3491">
        <v>0</v>
      </c>
      <c r="E3491" t="s">
        <v>41</v>
      </c>
      <c r="F3491" t="s">
        <v>10</v>
      </c>
    </row>
    <row r="3492" spans="1:6" hidden="1" x14ac:dyDescent="0.35">
      <c r="A3492" t="s">
        <v>20</v>
      </c>
      <c r="B3492" t="s">
        <v>39</v>
      </c>
      <c r="C3492" t="s">
        <v>25</v>
      </c>
      <c r="D3492">
        <v>0</v>
      </c>
      <c r="E3492" t="s">
        <v>41</v>
      </c>
      <c r="F3492" t="s">
        <v>10</v>
      </c>
    </row>
    <row r="3493" spans="1:6" hidden="1" x14ac:dyDescent="0.35">
      <c r="A3493" t="s">
        <v>21</v>
      </c>
      <c r="B3493" t="s">
        <v>39</v>
      </c>
      <c r="C3493" t="s">
        <v>25</v>
      </c>
      <c r="D3493">
        <v>0</v>
      </c>
      <c r="E3493" t="s">
        <v>41</v>
      </c>
      <c r="F3493" t="s">
        <v>10</v>
      </c>
    </row>
    <row r="3494" spans="1:6" hidden="1" x14ac:dyDescent="0.35">
      <c r="A3494" t="s">
        <v>6</v>
      </c>
      <c r="B3494" t="s">
        <v>39</v>
      </c>
      <c r="C3494" t="s">
        <v>26</v>
      </c>
      <c r="D3494">
        <v>0</v>
      </c>
      <c r="E3494" t="s">
        <v>41</v>
      </c>
      <c r="F3494" t="s">
        <v>10</v>
      </c>
    </row>
    <row r="3495" spans="1:6" hidden="1" x14ac:dyDescent="0.35">
      <c r="A3495" t="s">
        <v>11</v>
      </c>
      <c r="B3495" t="s">
        <v>39</v>
      </c>
      <c r="C3495" t="s">
        <v>26</v>
      </c>
      <c r="E3495" t="s">
        <v>41</v>
      </c>
      <c r="F3495" t="s">
        <v>10</v>
      </c>
    </row>
    <row r="3496" spans="1:6" hidden="1" x14ac:dyDescent="0.35">
      <c r="A3496" t="s">
        <v>12</v>
      </c>
      <c r="B3496" t="s">
        <v>39</v>
      </c>
      <c r="C3496" t="s">
        <v>26</v>
      </c>
      <c r="E3496" t="s">
        <v>41</v>
      </c>
      <c r="F3496" t="s">
        <v>10</v>
      </c>
    </row>
    <row r="3497" spans="1:6" hidden="1" x14ac:dyDescent="0.35">
      <c r="A3497" t="s">
        <v>13</v>
      </c>
      <c r="B3497" t="s">
        <v>39</v>
      </c>
      <c r="C3497" t="s">
        <v>26</v>
      </c>
      <c r="E3497" t="s">
        <v>41</v>
      </c>
      <c r="F3497" t="s">
        <v>10</v>
      </c>
    </row>
    <row r="3498" spans="1:6" hidden="1" x14ac:dyDescent="0.35">
      <c r="A3498" t="s">
        <v>14</v>
      </c>
      <c r="B3498" t="s">
        <v>39</v>
      </c>
      <c r="C3498" t="s">
        <v>26</v>
      </c>
      <c r="E3498" t="s">
        <v>41</v>
      </c>
      <c r="F3498" t="s">
        <v>10</v>
      </c>
    </row>
    <row r="3499" spans="1:6" hidden="1" x14ac:dyDescent="0.35">
      <c r="A3499" t="s">
        <v>15</v>
      </c>
      <c r="B3499" t="s">
        <v>39</v>
      </c>
      <c r="C3499" t="s">
        <v>26</v>
      </c>
      <c r="E3499" t="s">
        <v>41</v>
      </c>
      <c r="F3499" t="s">
        <v>10</v>
      </c>
    </row>
    <row r="3500" spans="1:6" hidden="1" x14ac:dyDescent="0.35">
      <c r="A3500" t="s">
        <v>16</v>
      </c>
      <c r="B3500" t="s">
        <v>39</v>
      </c>
      <c r="C3500" t="s">
        <v>26</v>
      </c>
      <c r="E3500" t="s">
        <v>41</v>
      </c>
      <c r="F3500" t="s">
        <v>10</v>
      </c>
    </row>
    <row r="3501" spans="1:6" hidden="1" x14ac:dyDescent="0.35">
      <c r="A3501" t="s">
        <v>17</v>
      </c>
      <c r="B3501" t="s">
        <v>39</v>
      </c>
      <c r="C3501" t="s">
        <v>26</v>
      </c>
      <c r="E3501" t="s">
        <v>41</v>
      </c>
      <c r="F3501" t="s">
        <v>10</v>
      </c>
    </row>
    <row r="3502" spans="1:6" hidden="1" x14ac:dyDescent="0.35">
      <c r="A3502" t="s">
        <v>18</v>
      </c>
      <c r="B3502" t="s">
        <v>39</v>
      </c>
      <c r="C3502" t="s">
        <v>26</v>
      </c>
      <c r="E3502" t="s">
        <v>41</v>
      </c>
      <c r="F3502" t="s">
        <v>10</v>
      </c>
    </row>
    <row r="3503" spans="1:6" hidden="1" x14ac:dyDescent="0.35">
      <c r="A3503" t="s">
        <v>19</v>
      </c>
      <c r="B3503" t="s">
        <v>39</v>
      </c>
      <c r="C3503" t="s">
        <v>26</v>
      </c>
      <c r="E3503" t="s">
        <v>41</v>
      </c>
      <c r="F3503" t="s">
        <v>10</v>
      </c>
    </row>
    <row r="3504" spans="1:6" hidden="1" x14ac:dyDescent="0.35">
      <c r="A3504" t="s">
        <v>20</v>
      </c>
      <c r="B3504" t="s">
        <v>39</v>
      </c>
      <c r="C3504" t="s">
        <v>26</v>
      </c>
      <c r="E3504" t="s">
        <v>41</v>
      </c>
      <c r="F3504" t="s">
        <v>10</v>
      </c>
    </row>
    <row r="3505" spans="1:6" hidden="1" x14ac:dyDescent="0.35">
      <c r="A3505" t="s">
        <v>21</v>
      </c>
      <c r="B3505" t="s">
        <v>39</v>
      </c>
      <c r="C3505" t="s">
        <v>26</v>
      </c>
      <c r="E3505" t="s">
        <v>41</v>
      </c>
      <c r="F3505" t="s">
        <v>10</v>
      </c>
    </row>
    <row r="3506" spans="1:6" hidden="1" x14ac:dyDescent="0.35">
      <c r="A3506" t="s">
        <v>6</v>
      </c>
      <c r="B3506" t="s">
        <v>39</v>
      </c>
      <c r="C3506" t="s">
        <v>27</v>
      </c>
      <c r="D3506">
        <v>0</v>
      </c>
      <c r="E3506" t="s">
        <v>41</v>
      </c>
      <c r="F3506" t="s">
        <v>10</v>
      </c>
    </row>
    <row r="3507" spans="1:6" hidden="1" x14ac:dyDescent="0.35">
      <c r="A3507" t="s">
        <v>11</v>
      </c>
      <c r="B3507" t="s">
        <v>39</v>
      </c>
      <c r="C3507" t="s">
        <v>27</v>
      </c>
      <c r="D3507">
        <v>0</v>
      </c>
      <c r="E3507" t="s">
        <v>41</v>
      </c>
      <c r="F3507" t="s">
        <v>10</v>
      </c>
    </row>
    <row r="3508" spans="1:6" hidden="1" x14ac:dyDescent="0.35">
      <c r="A3508" t="s">
        <v>12</v>
      </c>
      <c r="B3508" t="s">
        <v>39</v>
      </c>
      <c r="C3508" t="s">
        <v>27</v>
      </c>
      <c r="D3508">
        <v>0</v>
      </c>
      <c r="E3508" t="s">
        <v>41</v>
      </c>
      <c r="F3508" t="s">
        <v>10</v>
      </c>
    </row>
    <row r="3509" spans="1:6" hidden="1" x14ac:dyDescent="0.35">
      <c r="A3509" t="s">
        <v>13</v>
      </c>
      <c r="B3509" t="s">
        <v>39</v>
      </c>
      <c r="C3509" t="s">
        <v>27</v>
      </c>
      <c r="D3509">
        <v>0</v>
      </c>
      <c r="E3509" t="s">
        <v>41</v>
      </c>
      <c r="F3509" t="s">
        <v>10</v>
      </c>
    </row>
    <row r="3510" spans="1:6" hidden="1" x14ac:dyDescent="0.35">
      <c r="A3510" t="s">
        <v>14</v>
      </c>
      <c r="B3510" t="s">
        <v>39</v>
      </c>
      <c r="C3510" t="s">
        <v>27</v>
      </c>
      <c r="D3510">
        <v>0</v>
      </c>
      <c r="E3510" t="s">
        <v>41</v>
      </c>
      <c r="F3510" t="s">
        <v>10</v>
      </c>
    </row>
    <row r="3511" spans="1:6" hidden="1" x14ac:dyDescent="0.35">
      <c r="A3511" t="s">
        <v>15</v>
      </c>
      <c r="B3511" t="s">
        <v>39</v>
      </c>
      <c r="C3511" t="s">
        <v>27</v>
      </c>
      <c r="D3511">
        <v>0</v>
      </c>
      <c r="E3511" t="s">
        <v>41</v>
      </c>
      <c r="F3511" t="s">
        <v>10</v>
      </c>
    </row>
    <row r="3512" spans="1:6" hidden="1" x14ac:dyDescent="0.35">
      <c r="A3512" t="s">
        <v>16</v>
      </c>
      <c r="B3512" t="s">
        <v>39</v>
      </c>
      <c r="C3512" t="s">
        <v>27</v>
      </c>
      <c r="D3512">
        <v>0</v>
      </c>
      <c r="E3512" t="s">
        <v>41</v>
      </c>
      <c r="F3512" t="s">
        <v>10</v>
      </c>
    </row>
    <row r="3513" spans="1:6" hidden="1" x14ac:dyDescent="0.35">
      <c r="A3513" t="s">
        <v>17</v>
      </c>
      <c r="B3513" t="s">
        <v>39</v>
      </c>
      <c r="C3513" t="s">
        <v>27</v>
      </c>
      <c r="D3513">
        <v>0</v>
      </c>
      <c r="E3513" t="s">
        <v>41</v>
      </c>
      <c r="F3513" t="s">
        <v>10</v>
      </c>
    </row>
    <row r="3514" spans="1:6" hidden="1" x14ac:dyDescent="0.35">
      <c r="A3514" t="s">
        <v>18</v>
      </c>
      <c r="B3514" t="s">
        <v>39</v>
      </c>
      <c r="C3514" t="s">
        <v>27</v>
      </c>
      <c r="D3514">
        <v>0</v>
      </c>
      <c r="E3514" t="s">
        <v>41</v>
      </c>
      <c r="F3514" t="s">
        <v>10</v>
      </c>
    </row>
    <row r="3515" spans="1:6" hidden="1" x14ac:dyDescent="0.35">
      <c r="A3515" t="s">
        <v>19</v>
      </c>
      <c r="B3515" t="s">
        <v>39</v>
      </c>
      <c r="C3515" t="s">
        <v>27</v>
      </c>
      <c r="D3515">
        <v>0</v>
      </c>
      <c r="E3515" t="s">
        <v>41</v>
      </c>
      <c r="F3515" t="s">
        <v>10</v>
      </c>
    </row>
    <row r="3516" spans="1:6" hidden="1" x14ac:dyDescent="0.35">
      <c r="A3516" t="s">
        <v>20</v>
      </c>
      <c r="B3516" t="s">
        <v>39</v>
      </c>
      <c r="C3516" t="s">
        <v>27</v>
      </c>
      <c r="D3516">
        <v>0</v>
      </c>
      <c r="E3516" t="s">
        <v>41</v>
      </c>
      <c r="F3516" t="s">
        <v>10</v>
      </c>
    </row>
    <row r="3517" spans="1:6" hidden="1" x14ac:dyDescent="0.35">
      <c r="A3517" t="s">
        <v>21</v>
      </c>
      <c r="B3517" t="s">
        <v>39</v>
      </c>
      <c r="C3517" t="s">
        <v>27</v>
      </c>
      <c r="D3517">
        <v>0</v>
      </c>
      <c r="E3517" t="s">
        <v>41</v>
      </c>
      <c r="F3517" t="s">
        <v>10</v>
      </c>
    </row>
    <row r="3518" spans="1:6" hidden="1" x14ac:dyDescent="0.35">
      <c r="A3518" t="s">
        <v>6</v>
      </c>
      <c r="B3518" t="s">
        <v>39</v>
      </c>
      <c r="C3518" t="s">
        <v>28</v>
      </c>
      <c r="D3518">
        <v>0</v>
      </c>
      <c r="E3518" t="s">
        <v>41</v>
      </c>
      <c r="F3518" t="s">
        <v>10</v>
      </c>
    </row>
    <row r="3519" spans="1:6" hidden="1" x14ac:dyDescent="0.35">
      <c r="A3519" t="s">
        <v>11</v>
      </c>
      <c r="B3519" t="s">
        <v>39</v>
      </c>
      <c r="C3519" t="s">
        <v>28</v>
      </c>
      <c r="D3519">
        <v>0</v>
      </c>
      <c r="E3519" t="s">
        <v>41</v>
      </c>
      <c r="F3519" t="s">
        <v>10</v>
      </c>
    </row>
    <row r="3520" spans="1:6" hidden="1" x14ac:dyDescent="0.35">
      <c r="A3520" t="s">
        <v>12</v>
      </c>
      <c r="B3520" t="s">
        <v>39</v>
      </c>
      <c r="C3520" t="s">
        <v>28</v>
      </c>
      <c r="D3520">
        <v>0</v>
      </c>
      <c r="E3520" t="s">
        <v>41</v>
      </c>
      <c r="F3520" t="s">
        <v>10</v>
      </c>
    </row>
    <row r="3521" spans="1:6" hidden="1" x14ac:dyDescent="0.35">
      <c r="A3521" t="s">
        <v>13</v>
      </c>
      <c r="B3521" t="s">
        <v>39</v>
      </c>
      <c r="C3521" t="s">
        <v>28</v>
      </c>
      <c r="D3521">
        <v>0</v>
      </c>
      <c r="E3521" t="s">
        <v>41</v>
      </c>
      <c r="F3521" t="s">
        <v>10</v>
      </c>
    </row>
    <row r="3522" spans="1:6" hidden="1" x14ac:dyDescent="0.35">
      <c r="A3522" t="s">
        <v>14</v>
      </c>
      <c r="B3522" t="s">
        <v>39</v>
      </c>
      <c r="C3522" t="s">
        <v>28</v>
      </c>
      <c r="D3522">
        <v>0</v>
      </c>
      <c r="E3522" t="s">
        <v>41</v>
      </c>
      <c r="F3522" t="s">
        <v>10</v>
      </c>
    </row>
    <row r="3523" spans="1:6" hidden="1" x14ac:dyDescent="0.35">
      <c r="A3523" t="s">
        <v>15</v>
      </c>
      <c r="B3523" t="s">
        <v>39</v>
      </c>
      <c r="C3523" t="s">
        <v>28</v>
      </c>
      <c r="D3523">
        <v>0</v>
      </c>
      <c r="E3523" t="s">
        <v>41</v>
      </c>
      <c r="F3523" t="s">
        <v>10</v>
      </c>
    </row>
    <row r="3524" spans="1:6" hidden="1" x14ac:dyDescent="0.35">
      <c r="A3524" t="s">
        <v>16</v>
      </c>
      <c r="B3524" t="s">
        <v>39</v>
      </c>
      <c r="C3524" t="s">
        <v>28</v>
      </c>
      <c r="D3524">
        <v>0</v>
      </c>
      <c r="E3524" t="s">
        <v>41</v>
      </c>
      <c r="F3524" t="s">
        <v>10</v>
      </c>
    </row>
    <row r="3525" spans="1:6" hidden="1" x14ac:dyDescent="0.35">
      <c r="A3525" t="s">
        <v>17</v>
      </c>
      <c r="B3525" t="s">
        <v>39</v>
      </c>
      <c r="C3525" t="s">
        <v>28</v>
      </c>
      <c r="D3525">
        <v>0</v>
      </c>
      <c r="E3525" t="s">
        <v>41</v>
      </c>
      <c r="F3525" t="s">
        <v>10</v>
      </c>
    </row>
    <row r="3526" spans="1:6" hidden="1" x14ac:dyDescent="0.35">
      <c r="A3526" t="s">
        <v>18</v>
      </c>
      <c r="B3526" t="s">
        <v>39</v>
      </c>
      <c r="C3526" t="s">
        <v>28</v>
      </c>
      <c r="D3526">
        <v>0</v>
      </c>
      <c r="E3526" t="s">
        <v>41</v>
      </c>
      <c r="F3526" t="s">
        <v>10</v>
      </c>
    </row>
    <row r="3527" spans="1:6" hidden="1" x14ac:dyDescent="0.35">
      <c r="A3527" t="s">
        <v>19</v>
      </c>
      <c r="B3527" t="s">
        <v>39</v>
      </c>
      <c r="C3527" t="s">
        <v>28</v>
      </c>
      <c r="D3527">
        <v>0</v>
      </c>
      <c r="E3527" t="s">
        <v>41</v>
      </c>
      <c r="F3527" t="s">
        <v>10</v>
      </c>
    </row>
    <row r="3528" spans="1:6" hidden="1" x14ac:dyDescent="0.35">
      <c r="A3528" t="s">
        <v>20</v>
      </c>
      <c r="B3528" t="s">
        <v>39</v>
      </c>
      <c r="C3528" t="s">
        <v>28</v>
      </c>
      <c r="D3528">
        <v>0</v>
      </c>
      <c r="E3528" t="s">
        <v>41</v>
      </c>
      <c r="F3528" t="s">
        <v>10</v>
      </c>
    </row>
    <row r="3529" spans="1:6" hidden="1" x14ac:dyDescent="0.35">
      <c r="A3529" t="s">
        <v>21</v>
      </c>
      <c r="B3529" t="s">
        <v>39</v>
      </c>
      <c r="C3529" t="s">
        <v>28</v>
      </c>
      <c r="D3529">
        <v>0</v>
      </c>
      <c r="E3529" t="s">
        <v>41</v>
      </c>
      <c r="F3529" t="s">
        <v>10</v>
      </c>
    </row>
    <row r="3530" spans="1:6" hidden="1" x14ac:dyDescent="0.35">
      <c r="A3530" t="s">
        <v>6</v>
      </c>
      <c r="B3530" t="s">
        <v>39</v>
      </c>
      <c r="C3530" t="s">
        <v>29</v>
      </c>
      <c r="E3530" t="s">
        <v>41</v>
      </c>
      <c r="F3530" t="s">
        <v>10</v>
      </c>
    </row>
    <row r="3531" spans="1:6" hidden="1" x14ac:dyDescent="0.35">
      <c r="A3531" t="s">
        <v>11</v>
      </c>
      <c r="B3531" t="s">
        <v>39</v>
      </c>
      <c r="C3531" t="s">
        <v>29</v>
      </c>
      <c r="E3531" t="s">
        <v>41</v>
      </c>
      <c r="F3531" t="s">
        <v>10</v>
      </c>
    </row>
    <row r="3532" spans="1:6" hidden="1" x14ac:dyDescent="0.35">
      <c r="A3532" t="s">
        <v>12</v>
      </c>
      <c r="B3532" t="s">
        <v>39</v>
      </c>
      <c r="C3532" t="s">
        <v>29</v>
      </c>
      <c r="E3532" t="s">
        <v>41</v>
      </c>
      <c r="F3532" t="s">
        <v>10</v>
      </c>
    </row>
    <row r="3533" spans="1:6" hidden="1" x14ac:dyDescent="0.35">
      <c r="A3533" t="s">
        <v>13</v>
      </c>
      <c r="B3533" t="s">
        <v>39</v>
      </c>
      <c r="C3533" t="s">
        <v>29</v>
      </c>
      <c r="E3533" t="s">
        <v>41</v>
      </c>
      <c r="F3533" t="s">
        <v>10</v>
      </c>
    </row>
    <row r="3534" spans="1:6" hidden="1" x14ac:dyDescent="0.35">
      <c r="A3534" t="s">
        <v>14</v>
      </c>
      <c r="B3534" t="s">
        <v>39</v>
      </c>
      <c r="C3534" t="s">
        <v>29</v>
      </c>
      <c r="E3534" t="s">
        <v>41</v>
      </c>
      <c r="F3534" t="s">
        <v>10</v>
      </c>
    </row>
    <row r="3535" spans="1:6" hidden="1" x14ac:dyDescent="0.35">
      <c r="A3535" t="s">
        <v>15</v>
      </c>
      <c r="B3535" t="s">
        <v>39</v>
      </c>
      <c r="C3535" t="s">
        <v>29</v>
      </c>
      <c r="E3535" t="s">
        <v>41</v>
      </c>
      <c r="F3535" t="s">
        <v>10</v>
      </c>
    </row>
    <row r="3536" spans="1:6" hidden="1" x14ac:dyDescent="0.35">
      <c r="A3536" t="s">
        <v>16</v>
      </c>
      <c r="B3536" t="s">
        <v>39</v>
      </c>
      <c r="C3536" t="s">
        <v>29</v>
      </c>
      <c r="E3536" t="s">
        <v>41</v>
      </c>
      <c r="F3536" t="s">
        <v>10</v>
      </c>
    </row>
    <row r="3537" spans="1:6" hidden="1" x14ac:dyDescent="0.35">
      <c r="A3537" t="s">
        <v>17</v>
      </c>
      <c r="B3537" t="s">
        <v>39</v>
      </c>
      <c r="C3537" t="s">
        <v>29</v>
      </c>
      <c r="E3537" t="s">
        <v>41</v>
      </c>
      <c r="F3537" t="s">
        <v>10</v>
      </c>
    </row>
    <row r="3538" spans="1:6" hidden="1" x14ac:dyDescent="0.35">
      <c r="A3538" t="s">
        <v>18</v>
      </c>
      <c r="B3538" t="s">
        <v>39</v>
      </c>
      <c r="C3538" t="s">
        <v>29</v>
      </c>
      <c r="E3538" t="s">
        <v>41</v>
      </c>
      <c r="F3538" t="s">
        <v>10</v>
      </c>
    </row>
    <row r="3539" spans="1:6" hidden="1" x14ac:dyDescent="0.35">
      <c r="A3539" t="s">
        <v>19</v>
      </c>
      <c r="B3539" t="s">
        <v>39</v>
      </c>
      <c r="C3539" t="s">
        <v>29</v>
      </c>
      <c r="E3539" t="s">
        <v>41</v>
      </c>
      <c r="F3539" t="s">
        <v>10</v>
      </c>
    </row>
    <row r="3540" spans="1:6" hidden="1" x14ac:dyDescent="0.35">
      <c r="A3540" t="s">
        <v>20</v>
      </c>
      <c r="B3540" t="s">
        <v>39</v>
      </c>
      <c r="C3540" t="s">
        <v>29</v>
      </c>
      <c r="E3540" t="s">
        <v>41</v>
      </c>
      <c r="F3540" t="s">
        <v>10</v>
      </c>
    </row>
    <row r="3541" spans="1:6" hidden="1" x14ac:dyDescent="0.35">
      <c r="A3541" t="s">
        <v>21</v>
      </c>
      <c r="B3541" t="s">
        <v>39</v>
      </c>
      <c r="C3541" t="s">
        <v>29</v>
      </c>
      <c r="E3541" t="s">
        <v>41</v>
      </c>
      <c r="F3541" t="s">
        <v>10</v>
      </c>
    </row>
    <row r="3542" spans="1:6" hidden="1" x14ac:dyDescent="0.35">
      <c r="A3542" t="s">
        <v>6</v>
      </c>
      <c r="B3542" t="s">
        <v>39</v>
      </c>
      <c r="C3542" t="s">
        <v>30</v>
      </c>
      <c r="E3542" t="s">
        <v>41</v>
      </c>
      <c r="F3542" t="s">
        <v>10</v>
      </c>
    </row>
    <row r="3543" spans="1:6" hidden="1" x14ac:dyDescent="0.35">
      <c r="A3543" t="s">
        <v>11</v>
      </c>
      <c r="B3543" t="s">
        <v>39</v>
      </c>
      <c r="C3543" t="s">
        <v>30</v>
      </c>
      <c r="E3543" t="s">
        <v>41</v>
      </c>
      <c r="F3543" t="s">
        <v>10</v>
      </c>
    </row>
    <row r="3544" spans="1:6" hidden="1" x14ac:dyDescent="0.35">
      <c r="A3544" t="s">
        <v>12</v>
      </c>
      <c r="B3544" t="s">
        <v>39</v>
      </c>
      <c r="C3544" t="s">
        <v>30</v>
      </c>
      <c r="E3544" t="s">
        <v>41</v>
      </c>
      <c r="F3544" t="s">
        <v>10</v>
      </c>
    </row>
    <row r="3545" spans="1:6" hidden="1" x14ac:dyDescent="0.35">
      <c r="A3545" t="s">
        <v>13</v>
      </c>
      <c r="B3545" t="s">
        <v>39</v>
      </c>
      <c r="C3545" t="s">
        <v>30</v>
      </c>
      <c r="E3545" t="s">
        <v>41</v>
      </c>
      <c r="F3545" t="s">
        <v>10</v>
      </c>
    </row>
    <row r="3546" spans="1:6" hidden="1" x14ac:dyDescent="0.35">
      <c r="A3546" t="s">
        <v>14</v>
      </c>
      <c r="B3546" t="s">
        <v>39</v>
      </c>
      <c r="C3546" t="s">
        <v>30</v>
      </c>
      <c r="E3546" t="s">
        <v>41</v>
      </c>
      <c r="F3546" t="s">
        <v>10</v>
      </c>
    </row>
    <row r="3547" spans="1:6" hidden="1" x14ac:dyDescent="0.35">
      <c r="A3547" t="s">
        <v>15</v>
      </c>
      <c r="B3547" t="s">
        <v>39</v>
      </c>
      <c r="C3547" t="s">
        <v>30</v>
      </c>
      <c r="E3547" t="s">
        <v>41</v>
      </c>
      <c r="F3547" t="s">
        <v>10</v>
      </c>
    </row>
    <row r="3548" spans="1:6" hidden="1" x14ac:dyDescent="0.35">
      <c r="A3548" t="s">
        <v>16</v>
      </c>
      <c r="B3548" t="s">
        <v>39</v>
      </c>
      <c r="C3548" t="s">
        <v>30</v>
      </c>
      <c r="E3548" t="s">
        <v>41</v>
      </c>
      <c r="F3548" t="s">
        <v>10</v>
      </c>
    </row>
    <row r="3549" spans="1:6" hidden="1" x14ac:dyDescent="0.35">
      <c r="A3549" t="s">
        <v>17</v>
      </c>
      <c r="B3549" t="s">
        <v>39</v>
      </c>
      <c r="C3549" t="s">
        <v>30</v>
      </c>
      <c r="E3549" t="s">
        <v>41</v>
      </c>
      <c r="F3549" t="s">
        <v>10</v>
      </c>
    </row>
    <row r="3550" spans="1:6" hidden="1" x14ac:dyDescent="0.35">
      <c r="A3550" t="s">
        <v>18</v>
      </c>
      <c r="B3550" t="s">
        <v>39</v>
      </c>
      <c r="C3550" t="s">
        <v>30</v>
      </c>
      <c r="E3550" t="s">
        <v>41</v>
      </c>
      <c r="F3550" t="s">
        <v>10</v>
      </c>
    </row>
    <row r="3551" spans="1:6" hidden="1" x14ac:dyDescent="0.35">
      <c r="A3551" t="s">
        <v>19</v>
      </c>
      <c r="B3551" t="s">
        <v>39</v>
      </c>
      <c r="C3551" t="s">
        <v>30</v>
      </c>
      <c r="E3551" t="s">
        <v>41</v>
      </c>
      <c r="F3551" t="s">
        <v>10</v>
      </c>
    </row>
    <row r="3552" spans="1:6" hidden="1" x14ac:dyDescent="0.35">
      <c r="A3552" t="s">
        <v>20</v>
      </c>
      <c r="B3552" t="s">
        <v>39</v>
      </c>
      <c r="C3552" t="s">
        <v>30</v>
      </c>
      <c r="E3552" t="s">
        <v>41</v>
      </c>
      <c r="F3552" t="s">
        <v>10</v>
      </c>
    </row>
    <row r="3553" spans="1:6" hidden="1" x14ac:dyDescent="0.35">
      <c r="A3553" t="s">
        <v>21</v>
      </c>
      <c r="B3553" t="s">
        <v>39</v>
      </c>
      <c r="C3553" t="s">
        <v>30</v>
      </c>
      <c r="E3553" t="s">
        <v>41</v>
      </c>
      <c r="F3553" t="s">
        <v>10</v>
      </c>
    </row>
    <row r="3554" spans="1:6" hidden="1" x14ac:dyDescent="0.35">
      <c r="A3554" t="s">
        <v>6</v>
      </c>
      <c r="B3554" t="s">
        <v>39</v>
      </c>
      <c r="C3554" t="s">
        <v>31</v>
      </c>
      <c r="E3554" t="s">
        <v>41</v>
      </c>
      <c r="F3554" t="s">
        <v>10</v>
      </c>
    </row>
    <row r="3555" spans="1:6" hidden="1" x14ac:dyDescent="0.35">
      <c r="A3555" t="s">
        <v>11</v>
      </c>
      <c r="B3555" t="s">
        <v>39</v>
      </c>
      <c r="C3555" t="s">
        <v>31</v>
      </c>
      <c r="E3555" t="s">
        <v>41</v>
      </c>
      <c r="F3555" t="s">
        <v>10</v>
      </c>
    </row>
    <row r="3556" spans="1:6" hidden="1" x14ac:dyDescent="0.35">
      <c r="A3556" t="s">
        <v>12</v>
      </c>
      <c r="B3556" t="s">
        <v>39</v>
      </c>
      <c r="C3556" t="s">
        <v>31</v>
      </c>
      <c r="E3556" t="s">
        <v>41</v>
      </c>
      <c r="F3556" t="s">
        <v>10</v>
      </c>
    </row>
    <row r="3557" spans="1:6" hidden="1" x14ac:dyDescent="0.35">
      <c r="A3557" t="s">
        <v>13</v>
      </c>
      <c r="B3557" t="s">
        <v>39</v>
      </c>
      <c r="C3557" t="s">
        <v>31</v>
      </c>
      <c r="E3557" t="s">
        <v>41</v>
      </c>
      <c r="F3557" t="s">
        <v>10</v>
      </c>
    </row>
    <row r="3558" spans="1:6" hidden="1" x14ac:dyDescent="0.35">
      <c r="A3558" t="s">
        <v>14</v>
      </c>
      <c r="B3558" t="s">
        <v>39</v>
      </c>
      <c r="C3558" t="s">
        <v>31</v>
      </c>
      <c r="E3558" t="s">
        <v>41</v>
      </c>
      <c r="F3558" t="s">
        <v>10</v>
      </c>
    </row>
    <row r="3559" spans="1:6" hidden="1" x14ac:dyDescent="0.35">
      <c r="A3559" t="s">
        <v>15</v>
      </c>
      <c r="B3559" t="s">
        <v>39</v>
      </c>
      <c r="C3559" t="s">
        <v>31</v>
      </c>
      <c r="E3559" t="s">
        <v>41</v>
      </c>
      <c r="F3559" t="s">
        <v>10</v>
      </c>
    </row>
    <row r="3560" spans="1:6" hidden="1" x14ac:dyDescent="0.35">
      <c r="A3560" t="s">
        <v>16</v>
      </c>
      <c r="B3560" t="s">
        <v>39</v>
      </c>
      <c r="C3560" t="s">
        <v>31</v>
      </c>
      <c r="E3560" t="s">
        <v>41</v>
      </c>
      <c r="F3560" t="s">
        <v>10</v>
      </c>
    </row>
    <row r="3561" spans="1:6" hidden="1" x14ac:dyDescent="0.35">
      <c r="A3561" t="s">
        <v>17</v>
      </c>
      <c r="B3561" t="s">
        <v>39</v>
      </c>
      <c r="C3561" t="s">
        <v>31</v>
      </c>
      <c r="E3561" t="s">
        <v>41</v>
      </c>
      <c r="F3561" t="s">
        <v>10</v>
      </c>
    </row>
    <row r="3562" spans="1:6" hidden="1" x14ac:dyDescent="0.35">
      <c r="A3562" t="s">
        <v>18</v>
      </c>
      <c r="B3562" t="s">
        <v>39</v>
      </c>
      <c r="C3562" t="s">
        <v>31</v>
      </c>
      <c r="E3562" t="s">
        <v>41</v>
      </c>
      <c r="F3562" t="s">
        <v>10</v>
      </c>
    </row>
    <row r="3563" spans="1:6" hidden="1" x14ac:dyDescent="0.35">
      <c r="A3563" t="s">
        <v>19</v>
      </c>
      <c r="B3563" t="s">
        <v>39</v>
      </c>
      <c r="C3563" t="s">
        <v>31</v>
      </c>
      <c r="E3563" t="s">
        <v>41</v>
      </c>
      <c r="F3563" t="s">
        <v>10</v>
      </c>
    </row>
    <row r="3564" spans="1:6" hidden="1" x14ac:dyDescent="0.35">
      <c r="A3564" t="s">
        <v>20</v>
      </c>
      <c r="B3564" t="s">
        <v>39</v>
      </c>
      <c r="C3564" t="s">
        <v>31</v>
      </c>
      <c r="E3564" t="s">
        <v>41</v>
      </c>
      <c r="F3564" t="s">
        <v>10</v>
      </c>
    </row>
    <row r="3565" spans="1:6" hidden="1" x14ac:dyDescent="0.35">
      <c r="A3565" t="s">
        <v>21</v>
      </c>
      <c r="B3565" t="s">
        <v>39</v>
      </c>
      <c r="C3565" t="s">
        <v>31</v>
      </c>
      <c r="E3565" t="s">
        <v>41</v>
      </c>
      <c r="F3565" t="s">
        <v>10</v>
      </c>
    </row>
    <row r="3566" spans="1:6" hidden="1" x14ac:dyDescent="0.35">
      <c r="A3566" t="s">
        <v>6</v>
      </c>
      <c r="B3566" t="s">
        <v>7</v>
      </c>
      <c r="C3566" t="s">
        <v>8</v>
      </c>
      <c r="D3566">
        <v>46563</v>
      </c>
      <c r="E3566" t="s">
        <v>42</v>
      </c>
      <c r="F3566" t="s">
        <v>10</v>
      </c>
    </row>
    <row r="3567" spans="1:6" hidden="1" x14ac:dyDescent="0.35">
      <c r="A3567" t="s">
        <v>11</v>
      </c>
      <c r="B3567" t="s">
        <v>7</v>
      </c>
      <c r="C3567" t="s">
        <v>8</v>
      </c>
      <c r="D3567">
        <v>88486</v>
      </c>
      <c r="E3567" t="s">
        <v>42</v>
      </c>
      <c r="F3567" t="s">
        <v>10</v>
      </c>
    </row>
    <row r="3568" spans="1:6" hidden="1" x14ac:dyDescent="0.35">
      <c r="A3568" t="s">
        <v>12</v>
      </c>
      <c r="B3568" t="s">
        <v>7</v>
      </c>
      <c r="C3568" t="s">
        <v>8</v>
      </c>
      <c r="D3568">
        <v>82120</v>
      </c>
      <c r="E3568" t="s">
        <v>42</v>
      </c>
      <c r="F3568" t="s">
        <v>10</v>
      </c>
    </row>
    <row r="3569" spans="1:6" hidden="1" x14ac:dyDescent="0.35">
      <c r="A3569" t="s">
        <v>13</v>
      </c>
      <c r="B3569" t="s">
        <v>7</v>
      </c>
      <c r="C3569" t="s">
        <v>8</v>
      </c>
      <c r="D3569">
        <v>70141</v>
      </c>
      <c r="E3569" t="s">
        <v>42</v>
      </c>
      <c r="F3569" t="s">
        <v>10</v>
      </c>
    </row>
    <row r="3570" spans="1:6" hidden="1" x14ac:dyDescent="0.35">
      <c r="A3570" t="s">
        <v>14</v>
      </c>
      <c r="B3570" t="s">
        <v>7</v>
      </c>
      <c r="C3570" t="s">
        <v>8</v>
      </c>
      <c r="D3570">
        <v>112261</v>
      </c>
      <c r="E3570" t="s">
        <v>42</v>
      </c>
      <c r="F3570" t="s">
        <v>10</v>
      </c>
    </row>
    <row r="3571" spans="1:6" hidden="1" x14ac:dyDescent="0.35">
      <c r="A3571" t="s">
        <v>15</v>
      </c>
      <c r="B3571" t="s">
        <v>7</v>
      </c>
      <c r="C3571" t="s">
        <v>8</v>
      </c>
      <c r="D3571">
        <v>68194</v>
      </c>
      <c r="E3571" t="s">
        <v>42</v>
      </c>
      <c r="F3571" t="s">
        <v>10</v>
      </c>
    </row>
    <row r="3572" spans="1:6" hidden="1" x14ac:dyDescent="0.35">
      <c r="A3572" t="s">
        <v>16</v>
      </c>
      <c r="B3572" t="s">
        <v>7</v>
      </c>
      <c r="C3572" t="s">
        <v>8</v>
      </c>
      <c r="D3572">
        <v>237613</v>
      </c>
      <c r="E3572" t="s">
        <v>42</v>
      </c>
      <c r="F3572" t="s">
        <v>10</v>
      </c>
    </row>
    <row r="3573" spans="1:6" hidden="1" x14ac:dyDescent="0.35">
      <c r="A3573" t="s">
        <v>17</v>
      </c>
      <c r="B3573" t="s">
        <v>7</v>
      </c>
      <c r="C3573" t="s">
        <v>8</v>
      </c>
      <c r="D3573">
        <v>35295</v>
      </c>
      <c r="E3573" t="s">
        <v>42</v>
      </c>
      <c r="F3573" t="s">
        <v>10</v>
      </c>
    </row>
    <row r="3574" spans="1:6" hidden="1" x14ac:dyDescent="0.35">
      <c r="A3574" t="s">
        <v>18</v>
      </c>
      <c r="B3574" t="s">
        <v>7</v>
      </c>
      <c r="C3574" t="s">
        <v>8</v>
      </c>
      <c r="D3574">
        <v>94035</v>
      </c>
      <c r="E3574" t="s">
        <v>42</v>
      </c>
      <c r="F3574" t="s">
        <v>10</v>
      </c>
    </row>
    <row r="3575" spans="1:6" hidden="1" x14ac:dyDescent="0.35">
      <c r="A3575" t="s">
        <v>19</v>
      </c>
      <c r="B3575" t="s">
        <v>7</v>
      </c>
      <c r="C3575" t="s">
        <v>8</v>
      </c>
      <c r="D3575">
        <v>160150</v>
      </c>
      <c r="E3575" t="s">
        <v>42</v>
      </c>
      <c r="F3575" t="s">
        <v>10</v>
      </c>
    </row>
    <row r="3576" spans="1:6" hidden="1" x14ac:dyDescent="0.35">
      <c r="A3576" t="s">
        <v>20</v>
      </c>
      <c r="B3576" t="s">
        <v>7</v>
      </c>
      <c r="C3576" t="s">
        <v>8</v>
      </c>
      <c r="D3576">
        <v>70373</v>
      </c>
      <c r="E3576" t="s">
        <v>42</v>
      </c>
      <c r="F3576" t="s">
        <v>10</v>
      </c>
    </row>
    <row r="3577" spans="1:6" hidden="1" x14ac:dyDescent="0.35">
      <c r="A3577" t="s">
        <v>21</v>
      </c>
      <c r="B3577" t="s">
        <v>7</v>
      </c>
      <c r="C3577" t="s">
        <v>8</v>
      </c>
      <c r="D3577">
        <v>67680</v>
      </c>
      <c r="E3577" t="s">
        <v>42</v>
      </c>
      <c r="F3577" t="s">
        <v>10</v>
      </c>
    </row>
    <row r="3578" spans="1:6" hidden="1" x14ac:dyDescent="0.35">
      <c r="A3578" t="s">
        <v>6</v>
      </c>
      <c r="B3578" t="s">
        <v>7</v>
      </c>
      <c r="C3578" t="s">
        <v>22</v>
      </c>
      <c r="D3578">
        <v>0</v>
      </c>
      <c r="E3578" t="s">
        <v>42</v>
      </c>
      <c r="F3578" t="s">
        <v>10</v>
      </c>
    </row>
    <row r="3579" spans="1:6" hidden="1" x14ac:dyDescent="0.35">
      <c r="A3579" t="s">
        <v>11</v>
      </c>
      <c r="B3579" t="s">
        <v>7</v>
      </c>
      <c r="C3579" t="s">
        <v>22</v>
      </c>
      <c r="D3579">
        <v>0</v>
      </c>
      <c r="E3579" t="s">
        <v>42</v>
      </c>
      <c r="F3579" t="s">
        <v>10</v>
      </c>
    </row>
    <row r="3580" spans="1:6" hidden="1" x14ac:dyDescent="0.35">
      <c r="A3580" t="s">
        <v>12</v>
      </c>
      <c r="B3580" t="s">
        <v>7</v>
      </c>
      <c r="C3580" t="s">
        <v>22</v>
      </c>
      <c r="D3580">
        <v>0</v>
      </c>
      <c r="E3580" t="s">
        <v>42</v>
      </c>
      <c r="F3580" t="s">
        <v>10</v>
      </c>
    </row>
    <row r="3581" spans="1:6" hidden="1" x14ac:dyDescent="0.35">
      <c r="A3581" t="s">
        <v>13</v>
      </c>
      <c r="B3581" t="s">
        <v>7</v>
      </c>
      <c r="C3581" t="s">
        <v>22</v>
      </c>
      <c r="D3581">
        <v>0</v>
      </c>
      <c r="E3581" t="s">
        <v>42</v>
      </c>
      <c r="F3581" t="s">
        <v>10</v>
      </c>
    </row>
    <row r="3582" spans="1:6" hidden="1" x14ac:dyDescent="0.35">
      <c r="A3582" t="s">
        <v>14</v>
      </c>
      <c r="B3582" t="s">
        <v>7</v>
      </c>
      <c r="C3582" t="s">
        <v>22</v>
      </c>
      <c r="D3582">
        <v>0</v>
      </c>
      <c r="E3582" t="s">
        <v>42</v>
      </c>
      <c r="F3582" t="s">
        <v>10</v>
      </c>
    </row>
    <row r="3583" spans="1:6" hidden="1" x14ac:dyDescent="0.35">
      <c r="A3583" t="s">
        <v>15</v>
      </c>
      <c r="B3583" t="s">
        <v>7</v>
      </c>
      <c r="C3583" t="s">
        <v>22</v>
      </c>
      <c r="D3583">
        <v>0</v>
      </c>
      <c r="E3583" t="s">
        <v>42</v>
      </c>
      <c r="F3583" t="s">
        <v>10</v>
      </c>
    </row>
    <row r="3584" spans="1:6" hidden="1" x14ac:dyDescent="0.35">
      <c r="A3584" t="s">
        <v>16</v>
      </c>
      <c r="B3584" t="s">
        <v>7</v>
      </c>
      <c r="C3584" t="s">
        <v>22</v>
      </c>
      <c r="D3584">
        <v>0</v>
      </c>
      <c r="E3584" t="s">
        <v>42</v>
      </c>
      <c r="F3584" t="s">
        <v>10</v>
      </c>
    </row>
    <row r="3585" spans="1:6" hidden="1" x14ac:dyDescent="0.35">
      <c r="A3585" t="s">
        <v>17</v>
      </c>
      <c r="B3585" t="s">
        <v>7</v>
      </c>
      <c r="C3585" t="s">
        <v>22</v>
      </c>
      <c r="D3585">
        <v>0</v>
      </c>
      <c r="E3585" t="s">
        <v>42</v>
      </c>
      <c r="F3585" t="s">
        <v>10</v>
      </c>
    </row>
    <row r="3586" spans="1:6" hidden="1" x14ac:dyDescent="0.35">
      <c r="A3586" t="s">
        <v>18</v>
      </c>
      <c r="B3586" t="s">
        <v>7</v>
      </c>
      <c r="C3586" t="s">
        <v>22</v>
      </c>
      <c r="D3586">
        <v>0</v>
      </c>
      <c r="E3586" t="s">
        <v>42</v>
      </c>
      <c r="F3586" t="s">
        <v>10</v>
      </c>
    </row>
    <row r="3587" spans="1:6" hidden="1" x14ac:dyDescent="0.35">
      <c r="A3587" t="s">
        <v>19</v>
      </c>
      <c r="B3587" t="s">
        <v>7</v>
      </c>
      <c r="C3587" t="s">
        <v>22</v>
      </c>
      <c r="D3587">
        <v>0</v>
      </c>
      <c r="E3587" t="s">
        <v>42</v>
      </c>
      <c r="F3587" t="s">
        <v>10</v>
      </c>
    </row>
    <row r="3588" spans="1:6" hidden="1" x14ac:dyDescent="0.35">
      <c r="A3588" t="s">
        <v>20</v>
      </c>
      <c r="B3588" t="s">
        <v>7</v>
      </c>
      <c r="C3588" t="s">
        <v>22</v>
      </c>
      <c r="D3588">
        <v>0</v>
      </c>
      <c r="E3588" t="s">
        <v>42</v>
      </c>
      <c r="F3588" t="s">
        <v>10</v>
      </c>
    </row>
    <row r="3589" spans="1:6" hidden="1" x14ac:dyDescent="0.35">
      <c r="A3589" t="s">
        <v>21</v>
      </c>
      <c r="B3589" t="s">
        <v>7</v>
      </c>
      <c r="C3589" t="s">
        <v>22</v>
      </c>
      <c r="D3589">
        <v>0</v>
      </c>
      <c r="E3589" t="s">
        <v>42</v>
      </c>
      <c r="F3589" t="s">
        <v>10</v>
      </c>
    </row>
    <row r="3590" spans="1:6" hidden="1" x14ac:dyDescent="0.35">
      <c r="A3590" t="s">
        <v>6</v>
      </c>
      <c r="B3590" t="s">
        <v>7</v>
      </c>
      <c r="C3590" t="s">
        <v>23</v>
      </c>
      <c r="D3590">
        <v>118869</v>
      </c>
      <c r="E3590" t="s">
        <v>42</v>
      </c>
      <c r="F3590" t="s">
        <v>10</v>
      </c>
    </row>
    <row r="3591" spans="1:6" hidden="1" x14ac:dyDescent="0.35">
      <c r="A3591" t="s">
        <v>11</v>
      </c>
      <c r="B3591" t="s">
        <v>7</v>
      </c>
      <c r="C3591" t="s">
        <v>23</v>
      </c>
      <c r="D3591">
        <v>120251</v>
      </c>
      <c r="E3591" t="s">
        <v>42</v>
      </c>
      <c r="F3591" t="s">
        <v>10</v>
      </c>
    </row>
    <row r="3592" spans="1:6" hidden="1" x14ac:dyDescent="0.35">
      <c r="A3592" t="s">
        <v>12</v>
      </c>
      <c r="B3592" t="s">
        <v>7</v>
      </c>
      <c r="C3592" t="s">
        <v>23</v>
      </c>
      <c r="D3592">
        <v>68739</v>
      </c>
      <c r="E3592" t="s">
        <v>42</v>
      </c>
      <c r="F3592" t="s">
        <v>10</v>
      </c>
    </row>
    <row r="3593" spans="1:6" hidden="1" x14ac:dyDescent="0.35">
      <c r="A3593" t="s">
        <v>13</v>
      </c>
      <c r="B3593" t="s">
        <v>7</v>
      </c>
      <c r="C3593" t="s">
        <v>23</v>
      </c>
      <c r="D3593">
        <v>91549</v>
      </c>
      <c r="E3593" t="s">
        <v>42</v>
      </c>
      <c r="F3593" t="s">
        <v>10</v>
      </c>
    </row>
    <row r="3594" spans="1:6" hidden="1" x14ac:dyDescent="0.35">
      <c r="A3594" t="s">
        <v>14</v>
      </c>
      <c r="B3594" t="s">
        <v>7</v>
      </c>
      <c r="C3594" t="s">
        <v>23</v>
      </c>
      <c r="D3594">
        <v>111113</v>
      </c>
      <c r="E3594" t="s">
        <v>42</v>
      </c>
      <c r="F3594" t="s">
        <v>10</v>
      </c>
    </row>
    <row r="3595" spans="1:6" hidden="1" x14ac:dyDescent="0.35">
      <c r="A3595" t="s">
        <v>15</v>
      </c>
      <c r="B3595" t="s">
        <v>7</v>
      </c>
      <c r="C3595" t="s">
        <v>23</v>
      </c>
      <c r="D3595">
        <v>113784</v>
      </c>
      <c r="E3595" t="s">
        <v>42</v>
      </c>
      <c r="F3595" t="s">
        <v>10</v>
      </c>
    </row>
    <row r="3596" spans="1:6" hidden="1" x14ac:dyDescent="0.35">
      <c r="A3596" t="s">
        <v>16</v>
      </c>
      <c r="B3596" t="s">
        <v>7</v>
      </c>
      <c r="C3596" t="s">
        <v>23</v>
      </c>
      <c r="D3596">
        <v>115425</v>
      </c>
      <c r="E3596" t="s">
        <v>42</v>
      </c>
      <c r="F3596" t="s">
        <v>10</v>
      </c>
    </row>
    <row r="3597" spans="1:6" hidden="1" x14ac:dyDescent="0.35">
      <c r="A3597" t="s">
        <v>17</v>
      </c>
      <c r="B3597" t="s">
        <v>7</v>
      </c>
      <c r="C3597" t="s">
        <v>23</v>
      </c>
      <c r="D3597">
        <v>134163</v>
      </c>
      <c r="E3597" t="s">
        <v>42</v>
      </c>
      <c r="F3597" t="s">
        <v>10</v>
      </c>
    </row>
    <row r="3598" spans="1:6" hidden="1" x14ac:dyDescent="0.35">
      <c r="A3598" t="s">
        <v>18</v>
      </c>
      <c r="B3598" t="s">
        <v>7</v>
      </c>
      <c r="C3598" t="s">
        <v>23</v>
      </c>
      <c r="D3598">
        <v>59649</v>
      </c>
      <c r="E3598" t="s">
        <v>42</v>
      </c>
      <c r="F3598" t="s">
        <v>10</v>
      </c>
    </row>
    <row r="3599" spans="1:6" hidden="1" x14ac:dyDescent="0.35">
      <c r="A3599" t="s">
        <v>19</v>
      </c>
      <c r="B3599" t="s">
        <v>7</v>
      </c>
      <c r="C3599" t="s">
        <v>23</v>
      </c>
      <c r="D3599">
        <v>205615</v>
      </c>
      <c r="E3599" t="s">
        <v>42</v>
      </c>
      <c r="F3599" t="s">
        <v>10</v>
      </c>
    </row>
    <row r="3600" spans="1:6" hidden="1" x14ac:dyDescent="0.35">
      <c r="A3600" t="s">
        <v>20</v>
      </c>
      <c r="B3600" t="s">
        <v>7</v>
      </c>
      <c r="C3600" t="s">
        <v>23</v>
      </c>
      <c r="D3600">
        <v>51000</v>
      </c>
      <c r="E3600" t="s">
        <v>42</v>
      </c>
      <c r="F3600" t="s">
        <v>10</v>
      </c>
    </row>
    <row r="3601" spans="1:6" hidden="1" x14ac:dyDescent="0.35">
      <c r="A3601" t="s">
        <v>21</v>
      </c>
      <c r="B3601" t="s">
        <v>7</v>
      </c>
      <c r="C3601" t="s">
        <v>23</v>
      </c>
      <c r="D3601">
        <v>104473</v>
      </c>
      <c r="E3601" t="s">
        <v>42</v>
      </c>
      <c r="F3601" t="s">
        <v>10</v>
      </c>
    </row>
    <row r="3602" spans="1:6" hidden="1" x14ac:dyDescent="0.35">
      <c r="A3602" t="s">
        <v>6</v>
      </c>
      <c r="B3602" t="s">
        <v>7</v>
      </c>
      <c r="C3602" t="s">
        <v>24</v>
      </c>
      <c r="D3602">
        <v>0</v>
      </c>
      <c r="E3602" t="s">
        <v>42</v>
      </c>
      <c r="F3602" t="s">
        <v>10</v>
      </c>
    </row>
    <row r="3603" spans="1:6" hidden="1" x14ac:dyDescent="0.35">
      <c r="A3603" t="s">
        <v>11</v>
      </c>
      <c r="B3603" t="s">
        <v>7</v>
      </c>
      <c r="C3603" t="s">
        <v>24</v>
      </c>
      <c r="D3603">
        <v>0</v>
      </c>
      <c r="E3603" t="s">
        <v>42</v>
      </c>
      <c r="F3603" t="s">
        <v>10</v>
      </c>
    </row>
    <row r="3604" spans="1:6" hidden="1" x14ac:dyDescent="0.35">
      <c r="A3604" t="s">
        <v>12</v>
      </c>
      <c r="B3604" t="s">
        <v>7</v>
      </c>
      <c r="C3604" t="s">
        <v>24</v>
      </c>
      <c r="D3604">
        <v>0</v>
      </c>
      <c r="E3604" t="s">
        <v>42</v>
      </c>
      <c r="F3604" t="s">
        <v>10</v>
      </c>
    </row>
    <row r="3605" spans="1:6" hidden="1" x14ac:dyDescent="0.35">
      <c r="A3605" t="s">
        <v>13</v>
      </c>
      <c r="B3605" t="s">
        <v>7</v>
      </c>
      <c r="C3605" t="s">
        <v>24</v>
      </c>
      <c r="D3605">
        <v>0</v>
      </c>
      <c r="E3605" t="s">
        <v>42</v>
      </c>
      <c r="F3605" t="s">
        <v>10</v>
      </c>
    </row>
    <row r="3606" spans="1:6" hidden="1" x14ac:dyDescent="0.35">
      <c r="A3606" t="s">
        <v>14</v>
      </c>
      <c r="B3606" t="s">
        <v>7</v>
      </c>
      <c r="C3606" t="s">
        <v>24</v>
      </c>
      <c r="D3606">
        <v>0</v>
      </c>
      <c r="E3606" t="s">
        <v>42</v>
      </c>
      <c r="F3606" t="s">
        <v>10</v>
      </c>
    </row>
    <row r="3607" spans="1:6" hidden="1" x14ac:dyDescent="0.35">
      <c r="A3607" t="s">
        <v>15</v>
      </c>
      <c r="B3607" t="s">
        <v>7</v>
      </c>
      <c r="C3607" t="s">
        <v>24</v>
      </c>
      <c r="D3607">
        <v>0</v>
      </c>
      <c r="E3607" t="s">
        <v>42</v>
      </c>
      <c r="F3607" t="s">
        <v>10</v>
      </c>
    </row>
    <row r="3608" spans="1:6" hidden="1" x14ac:dyDescent="0.35">
      <c r="A3608" t="s">
        <v>16</v>
      </c>
      <c r="B3608" t="s">
        <v>7</v>
      </c>
      <c r="C3608" t="s">
        <v>24</v>
      </c>
      <c r="D3608">
        <v>0</v>
      </c>
      <c r="E3608" t="s">
        <v>42</v>
      </c>
      <c r="F3608" t="s">
        <v>10</v>
      </c>
    </row>
    <row r="3609" spans="1:6" hidden="1" x14ac:dyDescent="0.35">
      <c r="A3609" t="s">
        <v>17</v>
      </c>
      <c r="B3609" t="s">
        <v>7</v>
      </c>
      <c r="C3609" t="s">
        <v>24</v>
      </c>
      <c r="D3609">
        <v>0</v>
      </c>
      <c r="E3609" t="s">
        <v>42</v>
      </c>
      <c r="F3609" t="s">
        <v>10</v>
      </c>
    </row>
    <row r="3610" spans="1:6" hidden="1" x14ac:dyDescent="0.35">
      <c r="A3610" t="s">
        <v>18</v>
      </c>
      <c r="B3610" t="s">
        <v>7</v>
      </c>
      <c r="C3610" t="s">
        <v>24</v>
      </c>
      <c r="D3610">
        <v>0</v>
      </c>
      <c r="E3610" t="s">
        <v>42</v>
      </c>
      <c r="F3610" t="s">
        <v>10</v>
      </c>
    </row>
    <row r="3611" spans="1:6" hidden="1" x14ac:dyDescent="0.35">
      <c r="A3611" t="s">
        <v>19</v>
      </c>
      <c r="B3611" t="s">
        <v>7</v>
      </c>
      <c r="C3611" t="s">
        <v>24</v>
      </c>
      <c r="D3611">
        <v>0</v>
      </c>
      <c r="E3611" t="s">
        <v>42</v>
      </c>
      <c r="F3611" t="s">
        <v>10</v>
      </c>
    </row>
    <row r="3612" spans="1:6" hidden="1" x14ac:dyDescent="0.35">
      <c r="A3612" t="s">
        <v>20</v>
      </c>
      <c r="B3612" t="s">
        <v>7</v>
      </c>
      <c r="C3612" t="s">
        <v>24</v>
      </c>
      <c r="D3612">
        <v>0</v>
      </c>
      <c r="E3612" t="s">
        <v>42</v>
      </c>
      <c r="F3612" t="s">
        <v>10</v>
      </c>
    </row>
    <row r="3613" spans="1:6" hidden="1" x14ac:dyDescent="0.35">
      <c r="A3613" t="s">
        <v>21</v>
      </c>
      <c r="B3613" t="s">
        <v>7</v>
      </c>
      <c r="C3613" t="s">
        <v>24</v>
      </c>
      <c r="D3613">
        <v>0</v>
      </c>
      <c r="E3613" t="s">
        <v>42</v>
      </c>
      <c r="F3613" t="s">
        <v>10</v>
      </c>
    </row>
    <row r="3614" spans="1:6" hidden="1" x14ac:dyDescent="0.35">
      <c r="A3614" t="s">
        <v>6</v>
      </c>
      <c r="B3614" t="s">
        <v>7</v>
      </c>
      <c r="C3614" t="s">
        <v>25</v>
      </c>
      <c r="D3614">
        <v>0</v>
      </c>
      <c r="E3614" t="s">
        <v>42</v>
      </c>
      <c r="F3614" t="s">
        <v>10</v>
      </c>
    </row>
    <row r="3615" spans="1:6" hidden="1" x14ac:dyDescent="0.35">
      <c r="A3615" t="s">
        <v>11</v>
      </c>
      <c r="B3615" t="s">
        <v>7</v>
      </c>
      <c r="C3615" t="s">
        <v>25</v>
      </c>
      <c r="D3615">
        <v>0</v>
      </c>
      <c r="E3615" t="s">
        <v>42</v>
      </c>
      <c r="F3615" t="s">
        <v>10</v>
      </c>
    </row>
    <row r="3616" spans="1:6" hidden="1" x14ac:dyDescent="0.35">
      <c r="A3616" t="s">
        <v>12</v>
      </c>
      <c r="B3616" t="s">
        <v>7</v>
      </c>
      <c r="C3616" t="s">
        <v>25</v>
      </c>
      <c r="D3616">
        <v>0</v>
      </c>
      <c r="E3616" t="s">
        <v>42</v>
      </c>
      <c r="F3616" t="s">
        <v>10</v>
      </c>
    </row>
    <row r="3617" spans="1:6" hidden="1" x14ac:dyDescent="0.35">
      <c r="A3617" t="s">
        <v>13</v>
      </c>
      <c r="B3617" t="s">
        <v>7</v>
      </c>
      <c r="C3617" t="s">
        <v>25</v>
      </c>
      <c r="D3617">
        <v>26077</v>
      </c>
      <c r="E3617" t="s">
        <v>42</v>
      </c>
      <c r="F3617" t="s">
        <v>10</v>
      </c>
    </row>
    <row r="3618" spans="1:6" hidden="1" x14ac:dyDescent="0.35">
      <c r="A3618" t="s">
        <v>14</v>
      </c>
      <c r="B3618" t="s">
        <v>7</v>
      </c>
      <c r="C3618" t="s">
        <v>25</v>
      </c>
      <c r="D3618">
        <v>0</v>
      </c>
      <c r="E3618" t="s">
        <v>42</v>
      </c>
      <c r="F3618" t="s">
        <v>10</v>
      </c>
    </row>
    <row r="3619" spans="1:6" hidden="1" x14ac:dyDescent="0.35">
      <c r="A3619" t="s">
        <v>15</v>
      </c>
      <c r="B3619" t="s">
        <v>7</v>
      </c>
      <c r="C3619" t="s">
        <v>25</v>
      </c>
      <c r="D3619">
        <v>0</v>
      </c>
      <c r="E3619" t="s">
        <v>42</v>
      </c>
      <c r="F3619" t="s">
        <v>10</v>
      </c>
    </row>
    <row r="3620" spans="1:6" hidden="1" x14ac:dyDescent="0.35">
      <c r="A3620" t="s">
        <v>16</v>
      </c>
      <c r="B3620" t="s">
        <v>7</v>
      </c>
      <c r="C3620" t="s">
        <v>25</v>
      </c>
      <c r="D3620">
        <v>0</v>
      </c>
      <c r="E3620" t="s">
        <v>42</v>
      </c>
      <c r="F3620" t="s">
        <v>10</v>
      </c>
    </row>
    <row r="3621" spans="1:6" hidden="1" x14ac:dyDescent="0.35">
      <c r="A3621" t="s">
        <v>17</v>
      </c>
      <c r="B3621" t="s">
        <v>7</v>
      </c>
      <c r="C3621" t="s">
        <v>25</v>
      </c>
      <c r="D3621">
        <v>0</v>
      </c>
      <c r="E3621" t="s">
        <v>42</v>
      </c>
      <c r="F3621" t="s">
        <v>10</v>
      </c>
    </row>
    <row r="3622" spans="1:6" hidden="1" x14ac:dyDescent="0.35">
      <c r="A3622" t="s">
        <v>18</v>
      </c>
      <c r="B3622" t="s">
        <v>7</v>
      </c>
      <c r="C3622" t="s">
        <v>25</v>
      </c>
      <c r="D3622">
        <v>1170</v>
      </c>
      <c r="E3622" t="s">
        <v>42</v>
      </c>
      <c r="F3622" t="s">
        <v>10</v>
      </c>
    </row>
    <row r="3623" spans="1:6" hidden="1" x14ac:dyDescent="0.35">
      <c r="A3623" t="s">
        <v>19</v>
      </c>
      <c r="B3623" t="s">
        <v>7</v>
      </c>
      <c r="C3623" t="s">
        <v>25</v>
      </c>
      <c r="E3623" t="s">
        <v>42</v>
      </c>
      <c r="F3623" t="s">
        <v>10</v>
      </c>
    </row>
    <row r="3624" spans="1:6" hidden="1" x14ac:dyDescent="0.35">
      <c r="A3624" t="s">
        <v>20</v>
      </c>
      <c r="B3624" t="s">
        <v>7</v>
      </c>
      <c r="C3624" t="s">
        <v>25</v>
      </c>
      <c r="D3624">
        <v>0</v>
      </c>
      <c r="E3624" t="s">
        <v>42</v>
      </c>
      <c r="F3624" t="s">
        <v>10</v>
      </c>
    </row>
    <row r="3625" spans="1:6" hidden="1" x14ac:dyDescent="0.35">
      <c r="A3625" t="s">
        <v>21</v>
      </c>
      <c r="B3625" t="s">
        <v>7</v>
      </c>
      <c r="C3625" t="s">
        <v>25</v>
      </c>
      <c r="D3625">
        <v>0</v>
      </c>
      <c r="E3625" t="s">
        <v>42</v>
      </c>
      <c r="F3625" t="s">
        <v>10</v>
      </c>
    </row>
    <row r="3626" spans="1:6" hidden="1" x14ac:dyDescent="0.35">
      <c r="A3626" t="s">
        <v>6</v>
      </c>
      <c r="B3626" t="s">
        <v>7</v>
      </c>
      <c r="C3626" t="s">
        <v>26</v>
      </c>
      <c r="D3626">
        <v>0</v>
      </c>
      <c r="E3626" t="s">
        <v>42</v>
      </c>
      <c r="F3626" t="s">
        <v>10</v>
      </c>
    </row>
    <row r="3627" spans="1:6" hidden="1" x14ac:dyDescent="0.35">
      <c r="A3627" t="s">
        <v>11</v>
      </c>
      <c r="B3627" t="s">
        <v>7</v>
      </c>
      <c r="C3627" t="s">
        <v>26</v>
      </c>
      <c r="E3627" t="s">
        <v>42</v>
      </c>
      <c r="F3627" t="s">
        <v>10</v>
      </c>
    </row>
    <row r="3628" spans="1:6" hidden="1" x14ac:dyDescent="0.35">
      <c r="A3628" t="s">
        <v>12</v>
      </c>
      <c r="B3628" t="s">
        <v>7</v>
      </c>
      <c r="C3628" t="s">
        <v>26</v>
      </c>
      <c r="E3628" t="s">
        <v>42</v>
      </c>
      <c r="F3628" t="s">
        <v>10</v>
      </c>
    </row>
    <row r="3629" spans="1:6" hidden="1" x14ac:dyDescent="0.35">
      <c r="A3629" t="s">
        <v>13</v>
      </c>
      <c r="B3629" t="s">
        <v>7</v>
      </c>
      <c r="C3629" t="s">
        <v>26</v>
      </c>
      <c r="E3629" t="s">
        <v>42</v>
      </c>
      <c r="F3629" t="s">
        <v>10</v>
      </c>
    </row>
    <row r="3630" spans="1:6" hidden="1" x14ac:dyDescent="0.35">
      <c r="A3630" t="s">
        <v>14</v>
      </c>
      <c r="B3630" t="s">
        <v>7</v>
      </c>
      <c r="C3630" t="s">
        <v>26</v>
      </c>
      <c r="E3630" t="s">
        <v>42</v>
      </c>
      <c r="F3630" t="s">
        <v>10</v>
      </c>
    </row>
    <row r="3631" spans="1:6" hidden="1" x14ac:dyDescent="0.35">
      <c r="A3631" t="s">
        <v>15</v>
      </c>
      <c r="B3631" t="s">
        <v>7</v>
      </c>
      <c r="C3631" t="s">
        <v>26</v>
      </c>
      <c r="E3631" t="s">
        <v>42</v>
      </c>
      <c r="F3631" t="s">
        <v>10</v>
      </c>
    </row>
    <row r="3632" spans="1:6" hidden="1" x14ac:dyDescent="0.35">
      <c r="A3632" t="s">
        <v>16</v>
      </c>
      <c r="B3632" t="s">
        <v>7</v>
      </c>
      <c r="C3632" t="s">
        <v>26</v>
      </c>
      <c r="E3632" t="s">
        <v>42</v>
      </c>
      <c r="F3632" t="s">
        <v>10</v>
      </c>
    </row>
    <row r="3633" spans="1:6" hidden="1" x14ac:dyDescent="0.35">
      <c r="A3633" t="s">
        <v>17</v>
      </c>
      <c r="B3633" t="s">
        <v>7</v>
      </c>
      <c r="C3633" t="s">
        <v>26</v>
      </c>
      <c r="E3633" t="s">
        <v>42</v>
      </c>
      <c r="F3633" t="s">
        <v>10</v>
      </c>
    </row>
    <row r="3634" spans="1:6" hidden="1" x14ac:dyDescent="0.35">
      <c r="A3634" t="s">
        <v>18</v>
      </c>
      <c r="B3634" t="s">
        <v>7</v>
      </c>
      <c r="C3634" t="s">
        <v>26</v>
      </c>
      <c r="E3634" t="s">
        <v>42</v>
      </c>
      <c r="F3634" t="s">
        <v>10</v>
      </c>
    </row>
    <row r="3635" spans="1:6" hidden="1" x14ac:dyDescent="0.35">
      <c r="A3635" t="s">
        <v>19</v>
      </c>
      <c r="B3635" t="s">
        <v>7</v>
      </c>
      <c r="C3635" t="s">
        <v>26</v>
      </c>
      <c r="E3635" t="s">
        <v>42</v>
      </c>
      <c r="F3635" t="s">
        <v>10</v>
      </c>
    </row>
    <row r="3636" spans="1:6" hidden="1" x14ac:dyDescent="0.35">
      <c r="A3636" t="s">
        <v>20</v>
      </c>
      <c r="B3636" t="s">
        <v>7</v>
      </c>
      <c r="C3636" t="s">
        <v>26</v>
      </c>
      <c r="E3636" t="s">
        <v>42</v>
      </c>
      <c r="F3636" t="s">
        <v>10</v>
      </c>
    </row>
    <row r="3637" spans="1:6" hidden="1" x14ac:dyDescent="0.35">
      <c r="A3637" t="s">
        <v>21</v>
      </c>
      <c r="B3637" t="s">
        <v>7</v>
      </c>
      <c r="C3637" t="s">
        <v>26</v>
      </c>
      <c r="E3637" t="s">
        <v>42</v>
      </c>
      <c r="F3637" t="s">
        <v>10</v>
      </c>
    </row>
    <row r="3638" spans="1:6" hidden="1" x14ac:dyDescent="0.35">
      <c r="A3638" t="s">
        <v>6</v>
      </c>
      <c r="B3638" t="s">
        <v>7</v>
      </c>
      <c r="C3638" t="s">
        <v>27</v>
      </c>
      <c r="D3638">
        <v>31702</v>
      </c>
      <c r="E3638" t="s">
        <v>42</v>
      </c>
      <c r="F3638" t="s">
        <v>10</v>
      </c>
    </row>
    <row r="3639" spans="1:6" hidden="1" x14ac:dyDescent="0.35">
      <c r="A3639" t="s">
        <v>11</v>
      </c>
      <c r="B3639" t="s">
        <v>7</v>
      </c>
      <c r="C3639" t="s">
        <v>27</v>
      </c>
      <c r="D3639">
        <v>76569</v>
      </c>
      <c r="E3639" t="s">
        <v>42</v>
      </c>
      <c r="F3639" t="s">
        <v>10</v>
      </c>
    </row>
    <row r="3640" spans="1:6" hidden="1" x14ac:dyDescent="0.35">
      <c r="A3640" t="s">
        <v>12</v>
      </c>
      <c r="B3640" t="s">
        <v>7</v>
      </c>
      <c r="C3640" t="s">
        <v>27</v>
      </c>
      <c r="D3640">
        <v>63118</v>
      </c>
      <c r="E3640" t="s">
        <v>42</v>
      </c>
      <c r="F3640" t="s">
        <v>10</v>
      </c>
    </row>
    <row r="3641" spans="1:6" hidden="1" x14ac:dyDescent="0.35">
      <c r="A3641" t="s">
        <v>13</v>
      </c>
      <c r="B3641" t="s">
        <v>7</v>
      </c>
      <c r="C3641" t="s">
        <v>27</v>
      </c>
      <c r="D3641">
        <v>101672</v>
      </c>
      <c r="E3641" t="s">
        <v>42</v>
      </c>
      <c r="F3641" t="s">
        <v>10</v>
      </c>
    </row>
    <row r="3642" spans="1:6" hidden="1" x14ac:dyDescent="0.35">
      <c r="A3642" t="s">
        <v>14</v>
      </c>
      <c r="B3642" t="s">
        <v>7</v>
      </c>
      <c r="C3642" t="s">
        <v>27</v>
      </c>
      <c r="D3642">
        <v>86689</v>
      </c>
      <c r="E3642" t="s">
        <v>42</v>
      </c>
      <c r="F3642" t="s">
        <v>10</v>
      </c>
    </row>
    <row r="3643" spans="1:6" hidden="1" x14ac:dyDescent="0.35">
      <c r="A3643" t="s">
        <v>15</v>
      </c>
      <c r="B3643" t="s">
        <v>7</v>
      </c>
      <c r="C3643" t="s">
        <v>27</v>
      </c>
      <c r="D3643">
        <v>18410</v>
      </c>
      <c r="E3643" t="s">
        <v>42</v>
      </c>
      <c r="F3643" t="s">
        <v>10</v>
      </c>
    </row>
    <row r="3644" spans="1:6" hidden="1" x14ac:dyDescent="0.35">
      <c r="A3644" t="s">
        <v>16</v>
      </c>
      <c r="B3644" t="s">
        <v>7</v>
      </c>
      <c r="C3644" t="s">
        <v>27</v>
      </c>
      <c r="D3644">
        <v>82162</v>
      </c>
      <c r="E3644" t="s">
        <v>42</v>
      </c>
      <c r="F3644" t="s">
        <v>10</v>
      </c>
    </row>
    <row r="3645" spans="1:6" hidden="1" x14ac:dyDescent="0.35">
      <c r="A3645" t="s">
        <v>17</v>
      </c>
      <c r="B3645" t="s">
        <v>7</v>
      </c>
      <c r="C3645" t="s">
        <v>27</v>
      </c>
      <c r="D3645">
        <v>118116</v>
      </c>
      <c r="E3645" t="s">
        <v>42</v>
      </c>
      <c r="F3645" t="s">
        <v>10</v>
      </c>
    </row>
    <row r="3646" spans="1:6" hidden="1" x14ac:dyDescent="0.35">
      <c r="A3646" t="s">
        <v>18</v>
      </c>
      <c r="B3646" t="s">
        <v>7</v>
      </c>
      <c r="C3646" t="s">
        <v>27</v>
      </c>
      <c r="D3646">
        <v>117794</v>
      </c>
      <c r="E3646" t="s">
        <v>42</v>
      </c>
      <c r="F3646" t="s">
        <v>10</v>
      </c>
    </row>
    <row r="3647" spans="1:6" hidden="1" x14ac:dyDescent="0.35">
      <c r="A3647" t="s">
        <v>19</v>
      </c>
      <c r="B3647" t="s">
        <v>7</v>
      </c>
      <c r="C3647" t="s">
        <v>27</v>
      </c>
      <c r="D3647">
        <v>35165</v>
      </c>
      <c r="E3647" t="s">
        <v>42</v>
      </c>
      <c r="F3647" t="s">
        <v>10</v>
      </c>
    </row>
    <row r="3648" spans="1:6" hidden="1" x14ac:dyDescent="0.35">
      <c r="A3648" t="s">
        <v>20</v>
      </c>
      <c r="B3648" t="s">
        <v>7</v>
      </c>
      <c r="C3648" t="s">
        <v>27</v>
      </c>
      <c r="D3648">
        <v>30147</v>
      </c>
      <c r="E3648" t="s">
        <v>42</v>
      </c>
      <c r="F3648" t="s">
        <v>10</v>
      </c>
    </row>
    <row r="3649" spans="1:6" hidden="1" x14ac:dyDescent="0.35">
      <c r="A3649" t="s">
        <v>21</v>
      </c>
      <c r="B3649" t="s">
        <v>7</v>
      </c>
      <c r="C3649" t="s">
        <v>27</v>
      </c>
      <c r="D3649">
        <v>18979</v>
      </c>
      <c r="E3649" t="s">
        <v>42</v>
      </c>
      <c r="F3649" t="s">
        <v>10</v>
      </c>
    </row>
    <row r="3650" spans="1:6" hidden="1" x14ac:dyDescent="0.35">
      <c r="A3650" t="s">
        <v>6</v>
      </c>
      <c r="B3650" t="s">
        <v>7</v>
      </c>
      <c r="C3650" t="s">
        <v>28</v>
      </c>
      <c r="D3650">
        <v>211995</v>
      </c>
      <c r="E3650" t="s">
        <v>42</v>
      </c>
      <c r="F3650" t="s">
        <v>10</v>
      </c>
    </row>
    <row r="3651" spans="1:6" hidden="1" x14ac:dyDescent="0.35">
      <c r="A3651" t="s">
        <v>11</v>
      </c>
      <c r="B3651" t="s">
        <v>7</v>
      </c>
      <c r="C3651" t="s">
        <v>28</v>
      </c>
      <c r="D3651">
        <v>297223</v>
      </c>
      <c r="E3651" t="s">
        <v>42</v>
      </c>
      <c r="F3651" t="s">
        <v>10</v>
      </c>
    </row>
    <row r="3652" spans="1:6" hidden="1" x14ac:dyDescent="0.35">
      <c r="A3652" t="s">
        <v>12</v>
      </c>
      <c r="B3652" t="s">
        <v>7</v>
      </c>
      <c r="C3652" t="s">
        <v>28</v>
      </c>
      <c r="D3652">
        <v>232979</v>
      </c>
      <c r="E3652" t="s">
        <v>42</v>
      </c>
      <c r="F3652" t="s">
        <v>10</v>
      </c>
    </row>
    <row r="3653" spans="1:6" hidden="1" x14ac:dyDescent="0.35">
      <c r="A3653" t="s">
        <v>13</v>
      </c>
      <c r="B3653" t="s">
        <v>7</v>
      </c>
      <c r="C3653" t="s">
        <v>28</v>
      </c>
      <c r="D3653">
        <v>231831</v>
      </c>
      <c r="E3653" t="s">
        <v>42</v>
      </c>
      <c r="F3653" t="s">
        <v>10</v>
      </c>
    </row>
    <row r="3654" spans="1:6" hidden="1" x14ac:dyDescent="0.35">
      <c r="A3654" t="s">
        <v>14</v>
      </c>
      <c r="B3654" t="s">
        <v>7</v>
      </c>
      <c r="C3654" t="s">
        <v>28</v>
      </c>
      <c r="D3654">
        <v>335634</v>
      </c>
      <c r="E3654" t="s">
        <v>42</v>
      </c>
      <c r="F3654" t="s">
        <v>10</v>
      </c>
    </row>
    <row r="3655" spans="1:6" hidden="1" x14ac:dyDescent="0.35">
      <c r="A3655" t="s">
        <v>15</v>
      </c>
      <c r="B3655" t="s">
        <v>7</v>
      </c>
      <c r="C3655" t="s">
        <v>28</v>
      </c>
      <c r="D3655">
        <v>250173</v>
      </c>
      <c r="E3655" t="s">
        <v>42</v>
      </c>
      <c r="F3655" t="s">
        <v>10</v>
      </c>
    </row>
    <row r="3656" spans="1:6" hidden="1" x14ac:dyDescent="0.35">
      <c r="A3656" t="s">
        <v>16</v>
      </c>
      <c r="B3656" t="s">
        <v>7</v>
      </c>
      <c r="C3656" t="s">
        <v>28</v>
      </c>
      <c r="D3656">
        <v>590651</v>
      </c>
      <c r="E3656" t="s">
        <v>42</v>
      </c>
      <c r="F3656" t="s">
        <v>10</v>
      </c>
    </row>
    <row r="3657" spans="1:6" hidden="1" x14ac:dyDescent="0.35">
      <c r="A3657" t="s">
        <v>17</v>
      </c>
      <c r="B3657" t="s">
        <v>7</v>
      </c>
      <c r="C3657" t="s">
        <v>28</v>
      </c>
      <c r="D3657">
        <v>204754</v>
      </c>
      <c r="E3657" t="s">
        <v>42</v>
      </c>
      <c r="F3657" t="s">
        <v>10</v>
      </c>
    </row>
    <row r="3658" spans="1:6" hidden="1" x14ac:dyDescent="0.35">
      <c r="A3658" t="s">
        <v>18</v>
      </c>
      <c r="B3658" t="s">
        <v>7</v>
      </c>
      <c r="C3658" t="s">
        <v>28</v>
      </c>
      <c r="D3658">
        <v>247720</v>
      </c>
      <c r="E3658" t="s">
        <v>42</v>
      </c>
      <c r="F3658" t="s">
        <v>10</v>
      </c>
    </row>
    <row r="3659" spans="1:6" hidden="1" x14ac:dyDescent="0.35">
      <c r="A3659" t="s">
        <v>19</v>
      </c>
      <c r="B3659" t="s">
        <v>7</v>
      </c>
      <c r="C3659" t="s">
        <v>28</v>
      </c>
      <c r="D3659">
        <v>525915</v>
      </c>
      <c r="E3659" t="s">
        <v>42</v>
      </c>
      <c r="F3659" t="s">
        <v>10</v>
      </c>
    </row>
    <row r="3660" spans="1:6" hidden="1" x14ac:dyDescent="0.35">
      <c r="A3660" t="s">
        <v>20</v>
      </c>
      <c r="B3660" t="s">
        <v>7</v>
      </c>
      <c r="C3660" t="s">
        <v>28</v>
      </c>
      <c r="D3660">
        <v>191747</v>
      </c>
      <c r="E3660" t="s">
        <v>42</v>
      </c>
      <c r="F3660" t="s">
        <v>10</v>
      </c>
    </row>
    <row r="3661" spans="1:6" hidden="1" x14ac:dyDescent="0.35">
      <c r="A3661" t="s">
        <v>21</v>
      </c>
      <c r="B3661" t="s">
        <v>7</v>
      </c>
      <c r="C3661" t="s">
        <v>28</v>
      </c>
      <c r="D3661">
        <v>239832</v>
      </c>
      <c r="E3661" t="s">
        <v>42</v>
      </c>
      <c r="F3661" t="s">
        <v>10</v>
      </c>
    </row>
    <row r="3662" spans="1:6" hidden="1" x14ac:dyDescent="0.35">
      <c r="A3662" t="s">
        <v>6</v>
      </c>
      <c r="B3662" t="s">
        <v>7</v>
      </c>
      <c r="C3662" t="s">
        <v>29</v>
      </c>
      <c r="D3662">
        <v>1</v>
      </c>
      <c r="E3662" t="s">
        <v>42</v>
      </c>
      <c r="F3662" t="s">
        <v>10</v>
      </c>
    </row>
    <row r="3663" spans="1:6" hidden="1" x14ac:dyDescent="0.35">
      <c r="A3663" t="s">
        <v>11</v>
      </c>
      <c r="B3663" t="s">
        <v>7</v>
      </c>
      <c r="C3663" t="s">
        <v>29</v>
      </c>
      <c r="D3663">
        <v>1</v>
      </c>
      <c r="E3663" t="s">
        <v>42</v>
      </c>
      <c r="F3663" t="s">
        <v>10</v>
      </c>
    </row>
    <row r="3664" spans="1:6" hidden="1" x14ac:dyDescent="0.35">
      <c r="A3664" t="s">
        <v>12</v>
      </c>
      <c r="B3664" t="s">
        <v>7</v>
      </c>
      <c r="C3664" t="s">
        <v>29</v>
      </c>
      <c r="D3664">
        <v>1</v>
      </c>
      <c r="E3664" t="s">
        <v>42</v>
      </c>
      <c r="F3664" t="s">
        <v>10</v>
      </c>
    </row>
    <row r="3665" spans="1:6" hidden="1" x14ac:dyDescent="0.35">
      <c r="A3665" t="s">
        <v>13</v>
      </c>
      <c r="B3665" t="s">
        <v>7</v>
      </c>
      <c r="C3665" t="s">
        <v>29</v>
      </c>
      <c r="D3665">
        <v>2</v>
      </c>
      <c r="E3665" t="s">
        <v>42</v>
      </c>
      <c r="F3665" t="s">
        <v>10</v>
      </c>
    </row>
    <row r="3666" spans="1:6" hidden="1" x14ac:dyDescent="0.35">
      <c r="A3666" t="s">
        <v>14</v>
      </c>
      <c r="B3666" t="s">
        <v>7</v>
      </c>
      <c r="C3666" t="s">
        <v>29</v>
      </c>
      <c r="D3666">
        <v>3</v>
      </c>
      <c r="E3666" t="s">
        <v>42</v>
      </c>
      <c r="F3666" t="s">
        <v>10</v>
      </c>
    </row>
    <row r="3667" spans="1:6" hidden="1" x14ac:dyDescent="0.35">
      <c r="A3667" t="s">
        <v>15</v>
      </c>
      <c r="B3667" t="s">
        <v>7</v>
      </c>
      <c r="C3667" t="s">
        <v>29</v>
      </c>
      <c r="E3667" t="s">
        <v>42</v>
      </c>
      <c r="F3667" t="s">
        <v>10</v>
      </c>
    </row>
    <row r="3668" spans="1:6" hidden="1" x14ac:dyDescent="0.35">
      <c r="A3668" t="s">
        <v>16</v>
      </c>
      <c r="B3668" t="s">
        <v>7</v>
      </c>
      <c r="C3668" t="s">
        <v>29</v>
      </c>
      <c r="D3668">
        <v>1</v>
      </c>
      <c r="E3668" t="s">
        <v>42</v>
      </c>
      <c r="F3668" t="s">
        <v>10</v>
      </c>
    </row>
    <row r="3669" spans="1:6" hidden="1" x14ac:dyDescent="0.35">
      <c r="A3669" t="s">
        <v>17</v>
      </c>
      <c r="B3669" t="s">
        <v>7</v>
      </c>
      <c r="C3669" t="s">
        <v>29</v>
      </c>
      <c r="D3669">
        <v>4</v>
      </c>
      <c r="E3669" t="s">
        <v>42</v>
      </c>
      <c r="F3669" t="s">
        <v>10</v>
      </c>
    </row>
    <row r="3670" spans="1:6" hidden="1" x14ac:dyDescent="0.35">
      <c r="A3670" t="s">
        <v>18</v>
      </c>
      <c r="B3670" t="s">
        <v>7</v>
      </c>
      <c r="C3670" t="s">
        <v>29</v>
      </c>
      <c r="D3670">
        <v>1</v>
      </c>
      <c r="E3670" t="s">
        <v>42</v>
      </c>
      <c r="F3670" t="s">
        <v>10</v>
      </c>
    </row>
    <row r="3671" spans="1:6" hidden="1" x14ac:dyDescent="0.35">
      <c r="A3671" t="s">
        <v>19</v>
      </c>
      <c r="B3671" t="s">
        <v>7</v>
      </c>
      <c r="C3671" t="s">
        <v>29</v>
      </c>
      <c r="E3671" t="s">
        <v>42</v>
      </c>
      <c r="F3671" t="s">
        <v>10</v>
      </c>
    </row>
    <row r="3672" spans="1:6" hidden="1" x14ac:dyDescent="0.35">
      <c r="A3672" t="s">
        <v>20</v>
      </c>
      <c r="B3672" t="s">
        <v>7</v>
      </c>
      <c r="C3672" t="s">
        <v>29</v>
      </c>
      <c r="D3672">
        <v>1</v>
      </c>
      <c r="E3672" t="s">
        <v>42</v>
      </c>
      <c r="F3672" t="s">
        <v>10</v>
      </c>
    </row>
    <row r="3673" spans="1:6" hidden="1" x14ac:dyDescent="0.35">
      <c r="A3673" t="s">
        <v>21</v>
      </c>
      <c r="B3673" t="s">
        <v>7</v>
      </c>
      <c r="C3673" t="s">
        <v>29</v>
      </c>
      <c r="E3673" t="s">
        <v>42</v>
      </c>
      <c r="F3673" t="s">
        <v>10</v>
      </c>
    </row>
    <row r="3674" spans="1:6" hidden="1" x14ac:dyDescent="0.35">
      <c r="A3674" t="s">
        <v>6</v>
      </c>
      <c r="B3674" t="s">
        <v>7</v>
      </c>
      <c r="C3674" t="s">
        <v>30</v>
      </c>
      <c r="D3674">
        <v>5</v>
      </c>
      <c r="E3674" t="s">
        <v>42</v>
      </c>
      <c r="F3674" t="s">
        <v>10</v>
      </c>
    </row>
    <row r="3675" spans="1:6" hidden="1" x14ac:dyDescent="0.35">
      <c r="A3675" t="s">
        <v>11</v>
      </c>
      <c r="B3675" t="s">
        <v>7</v>
      </c>
      <c r="C3675" t="s">
        <v>30</v>
      </c>
      <c r="D3675">
        <v>4</v>
      </c>
      <c r="E3675" t="s">
        <v>42</v>
      </c>
      <c r="F3675" t="s">
        <v>10</v>
      </c>
    </row>
    <row r="3676" spans="1:6" hidden="1" x14ac:dyDescent="0.35">
      <c r="A3676" t="s">
        <v>12</v>
      </c>
      <c r="B3676" t="s">
        <v>7</v>
      </c>
      <c r="C3676" t="s">
        <v>30</v>
      </c>
      <c r="D3676">
        <v>3</v>
      </c>
      <c r="E3676" t="s">
        <v>42</v>
      </c>
      <c r="F3676" t="s">
        <v>10</v>
      </c>
    </row>
    <row r="3677" spans="1:6" hidden="1" x14ac:dyDescent="0.35">
      <c r="A3677" t="s">
        <v>13</v>
      </c>
      <c r="B3677" t="s">
        <v>7</v>
      </c>
      <c r="C3677" t="s">
        <v>30</v>
      </c>
      <c r="D3677">
        <v>8</v>
      </c>
      <c r="E3677" t="s">
        <v>42</v>
      </c>
      <c r="F3677" t="s">
        <v>10</v>
      </c>
    </row>
    <row r="3678" spans="1:6" hidden="1" x14ac:dyDescent="0.35">
      <c r="A3678" t="s">
        <v>14</v>
      </c>
      <c r="B3678" t="s">
        <v>7</v>
      </c>
      <c r="C3678" t="s">
        <v>30</v>
      </c>
      <c r="D3678">
        <v>7</v>
      </c>
      <c r="E3678" t="s">
        <v>42</v>
      </c>
      <c r="F3678" t="s">
        <v>10</v>
      </c>
    </row>
    <row r="3679" spans="1:6" hidden="1" x14ac:dyDescent="0.35">
      <c r="A3679" t="s">
        <v>15</v>
      </c>
      <c r="B3679" t="s">
        <v>7</v>
      </c>
      <c r="C3679" t="s">
        <v>30</v>
      </c>
      <c r="D3679">
        <v>8</v>
      </c>
      <c r="E3679" t="s">
        <v>42</v>
      </c>
      <c r="F3679" t="s">
        <v>10</v>
      </c>
    </row>
    <row r="3680" spans="1:6" hidden="1" x14ac:dyDescent="0.35">
      <c r="A3680" t="s">
        <v>16</v>
      </c>
      <c r="B3680" t="s">
        <v>7</v>
      </c>
      <c r="C3680" t="s">
        <v>30</v>
      </c>
      <c r="D3680">
        <v>6</v>
      </c>
      <c r="E3680" t="s">
        <v>42</v>
      </c>
      <c r="F3680" t="s">
        <v>10</v>
      </c>
    </row>
    <row r="3681" spans="1:6" hidden="1" x14ac:dyDescent="0.35">
      <c r="A3681" t="s">
        <v>17</v>
      </c>
      <c r="B3681" t="s">
        <v>7</v>
      </c>
      <c r="C3681" t="s">
        <v>30</v>
      </c>
      <c r="D3681">
        <v>11</v>
      </c>
      <c r="E3681" t="s">
        <v>42</v>
      </c>
      <c r="F3681" t="s">
        <v>10</v>
      </c>
    </row>
    <row r="3682" spans="1:6" hidden="1" x14ac:dyDescent="0.35">
      <c r="A3682" t="s">
        <v>18</v>
      </c>
      <c r="B3682" t="s">
        <v>7</v>
      </c>
      <c r="C3682" t="s">
        <v>30</v>
      </c>
      <c r="D3682">
        <v>2</v>
      </c>
      <c r="E3682" t="s">
        <v>42</v>
      </c>
      <c r="F3682" t="s">
        <v>10</v>
      </c>
    </row>
    <row r="3683" spans="1:6" hidden="1" x14ac:dyDescent="0.35">
      <c r="A3683" t="s">
        <v>19</v>
      </c>
      <c r="B3683" t="s">
        <v>7</v>
      </c>
      <c r="C3683" t="s">
        <v>30</v>
      </c>
      <c r="D3683">
        <v>6</v>
      </c>
      <c r="E3683" t="s">
        <v>42</v>
      </c>
      <c r="F3683" t="s">
        <v>10</v>
      </c>
    </row>
    <row r="3684" spans="1:6" hidden="1" x14ac:dyDescent="0.35">
      <c r="A3684" t="s">
        <v>20</v>
      </c>
      <c r="B3684" t="s">
        <v>7</v>
      </c>
      <c r="C3684" t="s">
        <v>30</v>
      </c>
      <c r="D3684">
        <v>9</v>
      </c>
      <c r="E3684" t="s">
        <v>42</v>
      </c>
      <c r="F3684" t="s">
        <v>10</v>
      </c>
    </row>
    <row r="3685" spans="1:6" hidden="1" x14ac:dyDescent="0.35">
      <c r="A3685" t="s">
        <v>21</v>
      </c>
      <c r="B3685" t="s">
        <v>7</v>
      </c>
      <c r="C3685" t="s">
        <v>30</v>
      </c>
      <c r="D3685">
        <v>17</v>
      </c>
      <c r="E3685" t="s">
        <v>42</v>
      </c>
      <c r="F3685" t="s">
        <v>10</v>
      </c>
    </row>
    <row r="3686" spans="1:6" hidden="1" x14ac:dyDescent="0.35">
      <c r="A3686" t="s">
        <v>6</v>
      </c>
      <c r="B3686" t="s">
        <v>7</v>
      </c>
      <c r="C3686" t="s">
        <v>31</v>
      </c>
      <c r="E3686" t="s">
        <v>42</v>
      </c>
      <c r="F3686" t="s">
        <v>10</v>
      </c>
    </row>
    <row r="3687" spans="1:6" hidden="1" x14ac:dyDescent="0.35">
      <c r="A3687" t="s">
        <v>11</v>
      </c>
      <c r="B3687" t="s">
        <v>7</v>
      </c>
      <c r="C3687" t="s">
        <v>31</v>
      </c>
      <c r="D3687">
        <v>1</v>
      </c>
      <c r="E3687" t="s">
        <v>42</v>
      </c>
      <c r="F3687" t="s">
        <v>10</v>
      </c>
    </row>
    <row r="3688" spans="1:6" hidden="1" x14ac:dyDescent="0.35">
      <c r="A3688" t="s">
        <v>12</v>
      </c>
      <c r="B3688" t="s">
        <v>7</v>
      </c>
      <c r="C3688" t="s">
        <v>31</v>
      </c>
      <c r="E3688" t="s">
        <v>42</v>
      </c>
      <c r="F3688" t="s">
        <v>10</v>
      </c>
    </row>
    <row r="3689" spans="1:6" hidden="1" x14ac:dyDescent="0.35">
      <c r="A3689" t="s">
        <v>13</v>
      </c>
      <c r="B3689" t="s">
        <v>7</v>
      </c>
      <c r="C3689" t="s">
        <v>31</v>
      </c>
      <c r="E3689" t="s">
        <v>42</v>
      </c>
      <c r="F3689" t="s">
        <v>10</v>
      </c>
    </row>
    <row r="3690" spans="1:6" hidden="1" x14ac:dyDescent="0.35">
      <c r="A3690" t="s">
        <v>14</v>
      </c>
      <c r="B3690" t="s">
        <v>7</v>
      </c>
      <c r="C3690" t="s">
        <v>31</v>
      </c>
      <c r="E3690" t="s">
        <v>42</v>
      </c>
      <c r="F3690" t="s">
        <v>10</v>
      </c>
    </row>
    <row r="3691" spans="1:6" hidden="1" x14ac:dyDescent="0.35">
      <c r="A3691" t="s">
        <v>15</v>
      </c>
      <c r="B3691" t="s">
        <v>7</v>
      </c>
      <c r="C3691" t="s">
        <v>31</v>
      </c>
      <c r="E3691" t="s">
        <v>42</v>
      </c>
      <c r="F3691" t="s">
        <v>10</v>
      </c>
    </row>
    <row r="3692" spans="1:6" hidden="1" x14ac:dyDescent="0.35">
      <c r="A3692" t="s">
        <v>16</v>
      </c>
      <c r="B3692" t="s">
        <v>7</v>
      </c>
      <c r="C3692" t="s">
        <v>31</v>
      </c>
      <c r="E3692" t="s">
        <v>42</v>
      </c>
      <c r="F3692" t="s">
        <v>10</v>
      </c>
    </row>
    <row r="3693" spans="1:6" hidden="1" x14ac:dyDescent="0.35">
      <c r="A3693" t="s">
        <v>17</v>
      </c>
      <c r="B3693" t="s">
        <v>7</v>
      </c>
      <c r="C3693" t="s">
        <v>31</v>
      </c>
      <c r="E3693" t="s">
        <v>42</v>
      </c>
      <c r="F3693" t="s">
        <v>10</v>
      </c>
    </row>
    <row r="3694" spans="1:6" hidden="1" x14ac:dyDescent="0.35">
      <c r="A3694" t="s">
        <v>18</v>
      </c>
      <c r="B3694" t="s">
        <v>7</v>
      </c>
      <c r="C3694" t="s">
        <v>31</v>
      </c>
      <c r="E3694" t="s">
        <v>42</v>
      </c>
      <c r="F3694" t="s">
        <v>10</v>
      </c>
    </row>
    <row r="3695" spans="1:6" hidden="1" x14ac:dyDescent="0.35">
      <c r="A3695" t="s">
        <v>19</v>
      </c>
      <c r="B3695" t="s">
        <v>7</v>
      </c>
      <c r="C3695" t="s">
        <v>31</v>
      </c>
      <c r="E3695" t="s">
        <v>42</v>
      </c>
      <c r="F3695" t="s">
        <v>10</v>
      </c>
    </row>
    <row r="3696" spans="1:6" hidden="1" x14ac:dyDescent="0.35">
      <c r="A3696" t="s">
        <v>20</v>
      </c>
      <c r="B3696" t="s">
        <v>7</v>
      </c>
      <c r="C3696" t="s">
        <v>31</v>
      </c>
      <c r="E3696" t="s">
        <v>42</v>
      </c>
      <c r="F3696" t="s">
        <v>10</v>
      </c>
    </row>
    <row r="3697" spans="1:6" hidden="1" x14ac:dyDescent="0.35">
      <c r="A3697" t="s">
        <v>21</v>
      </c>
      <c r="B3697" t="s">
        <v>7</v>
      </c>
      <c r="C3697" t="s">
        <v>31</v>
      </c>
      <c r="E3697" t="s">
        <v>42</v>
      </c>
      <c r="F3697" t="s">
        <v>10</v>
      </c>
    </row>
    <row r="3698" spans="1:6" hidden="1" x14ac:dyDescent="0.35">
      <c r="A3698" t="s">
        <v>6</v>
      </c>
      <c r="B3698" t="s">
        <v>32</v>
      </c>
      <c r="C3698" t="s">
        <v>8</v>
      </c>
      <c r="D3698">
        <v>248918</v>
      </c>
      <c r="E3698" t="s">
        <v>42</v>
      </c>
      <c r="F3698" t="s">
        <v>10</v>
      </c>
    </row>
    <row r="3699" spans="1:6" hidden="1" x14ac:dyDescent="0.35">
      <c r="A3699" t="s">
        <v>11</v>
      </c>
      <c r="B3699" t="s">
        <v>32</v>
      </c>
      <c r="C3699" t="s">
        <v>8</v>
      </c>
      <c r="D3699">
        <v>36730</v>
      </c>
      <c r="E3699" t="s">
        <v>42</v>
      </c>
      <c r="F3699" t="s">
        <v>10</v>
      </c>
    </row>
    <row r="3700" spans="1:6" hidden="1" x14ac:dyDescent="0.35">
      <c r="A3700" t="s">
        <v>12</v>
      </c>
      <c r="B3700" t="s">
        <v>32</v>
      </c>
      <c r="C3700" t="s">
        <v>8</v>
      </c>
      <c r="D3700">
        <v>79053</v>
      </c>
      <c r="E3700" t="s">
        <v>42</v>
      </c>
      <c r="F3700" t="s">
        <v>10</v>
      </c>
    </row>
    <row r="3701" spans="1:6" hidden="1" x14ac:dyDescent="0.35">
      <c r="A3701" t="s">
        <v>13</v>
      </c>
      <c r="B3701" t="s">
        <v>32</v>
      </c>
      <c r="C3701" t="s">
        <v>8</v>
      </c>
      <c r="D3701">
        <v>229887</v>
      </c>
      <c r="E3701" t="s">
        <v>42</v>
      </c>
      <c r="F3701" t="s">
        <v>10</v>
      </c>
    </row>
    <row r="3702" spans="1:6" hidden="1" x14ac:dyDescent="0.35">
      <c r="A3702" t="s">
        <v>14</v>
      </c>
      <c r="B3702" t="s">
        <v>32</v>
      </c>
      <c r="C3702" t="s">
        <v>8</v>
      </c>
      <c r="D3702">
        <v>211054</v>
      </c>
      <c r="E3702" t="s">
        <v>42</v>
      </c>
      <c r="F3702" t="s">
        <v>10</v>
      </c>
    </row>
    <row r="3703" spans="1:6" hidden="1" x14ac:dyDescent="0.35">
      <c r="A3703" t="s">
        <v>15</v>
      </c>
      <c r="B3703" t="s">
        <v>32</v>
      </c>
      <c r="C3703" t="s">
        <v>8</v>
      </c>
      <c r="D3703">
        <v>96352</v>
      </c>
      <c r="E3703" t="s">
        <v>42</v>
      </c>
      <c r="F3703" t="s">
        <v>10</v>
      </c>
    </row>
    <row r="3704" spans="1:6" hidden="1" x14ac:dyDescent="0.35">
      <c r="A3704" t="s">
        <v>16</v>
      </c>
      <c r="B3704" t="s">
        <v>32</v>
      </c>
      <c r="C3704" t="s">
        <v>8</v>
      </c>
      <c r="D3704">
        <v>27104</v>
      </c>
      <c r="E3704" t="s">
        <v>42</v>
      </c>
      <c r="F3704" t="s">
        <v>10</v>
      </c>
    </row>
    <row r="3705" spans="1:6" hidden="1" x14ac:dyDescent="0.35">
      <c r="A3705" t="s">
        <v>17</v>
      </c>
      <c r="B3705" t="s">
        <v>32</v>
      </c>
      <c r="C3705" t="s">
        <v>8</v>
      </c>
      <c r="D3705">
        <v>176322</v>
      </c>
      <c r="E3705" t="s">
        <v>42</v>
      </c>
      <c r="F3705" t="s">
        <v>10</v>
      </c>
    </row>
    <row r="3706" spans="1:6" hidden="1" x14ac:dyDescent="0.35">
      <c r="A3706" t="s">
        <v>18</v>
      </c>
      <c r="B3706" t="s">
        <v>32</v>
      </c>
      <c r="C3706" t="s">
        <v>8</v>
      </c>
      <c r="D3706">
        <v>50403</v>
      </c>
      <c r="E3706" t="s">
        <v>42</v>
      </c>
      <c r="F3706" t="s">
        <v>10</v>
      </c>
    </row>
    <row r="3707" spans="1:6" hidden="1" x14ac:dyDescent="0.35">
      <c r="A3707" t="s">
        <v>19</v>
      </c>
      <c r="B3707" t="s">
        <v>32</v>
      </c>
      <c r="C3707" t="s">
        <v>8</v>
      </c>
      <c r="D3707">
        <v>149808</v>
      </c>
      <c r="E3707" t="s">
        <v>42</v>
      </c>
      <c r="F3707" t="s">
        <v>10</v>
      </c>
    </row>
    <row r="3708" spans="1:6" hidden="1" x14ac:dyDescent="0.35">
      <c r="A3708" t="s">
        <v>20</v>
      </c>
      <c r="B3708" t="s">
        <v>32</v>
      </c>
      <c r="C3708" t="s">
        <v>8</v>
      </c>
      <c r="D3708">
        <v>84490</v>
      </c>
      <c r="E3708" t="s">
        <v>42</v>
      </c>
      <c r="F3708" t="s">
        <v>10</v>
      </c>
    </row>
    <row r="3709" spans="1:6" hidden="1" x14ac:dyDescent="0.35">
      <c r="A3709" t="s">
        <v>21</v>
      </c>
      <c r="B3709" t="s">
        <v>32</v>
      </c>
      <c r="C3709" t="s">
        <v>8</v>
      </c>
      <c r="D3709">
        <v>20308</v>
      </c>
      <c r="E3709" t="s">
        <v>42</v>
      </c>
      <c r="F3709" t="s">
        <v>10</v>
      </c>
    </row>
    <row r="3710" spans="1:6" hidden="1" x14ac:dyDescent="0.35">
      <c r="A3710" t="s">
        <v>6</v>
      </c>
      <c r="B3710" t="s">
        <v>32</v>
      </c>
      <c r="C3710" t="s">
        <v>22</v>
      </c>
      <c r="D3710">
        <v>0</v>
      </c>
      <c r="E3710" t="s">
        <v>42</v>
      </c>
      <c r="F3710" t="s">
        <v>10</v>
      </c>
    </row>
    <row r="3711" spans="1:6" hidden="1" x14ac:dyDescent="0.35">
      <c r="A3711" t="s">
        <v>11</v>
      </c>
      <c r="B3711" t="s">
        <v>32</v>
      </c>
      <c r="C3711" t="s">
        <v>22</v>
      </c>
      <c r="D3711">
        <v>0</v>
      </c>
      <c r="E3711" t="s">
        <v>42</v>
      </c>
      <c r="F3711" t="s">
        <v>10</v>
      </c>
    </row>
    <row r="3712" spans="1:6" hidden="1" x14ac:dyDescent="0.35">
      <c r="A3712" t="s">
        <v>12</v>
      </c>
      <c r="B3712" t="s">
        <v>32</v>
      </c>
      <c r="C3712" t="s">
        <v>22</v>
      </c>
      <c r="D3712">
        <v>0</v>
      </c>
      <c r="E3712" t="s">
        <v>42</v>
      </c>
      <c r="F3712" t="s">
        <v>10</v>
      </c>
    </row>
    <row r="3713" spans="1:6" hidden="1" x14ac:dyDescent="0.35">
      <c r="A3713" t="s">
        <v>13</v>
      </c>
      <c r="B3713" t="s">
        <v>32</v>
      </c>
      <c r="C3713" t="s">
        <v>22</v>
      </c>
      <c r="D3713">
        <v>0</v>
      </c>
      <c r="E3713" t="s">
        <v>42</v>
      </c>
      <c r="F3713" t="s">
        <v>10</v>
      </c>
    </row>
    <row r="3714" spans="1:6" hidden="1" x14ac:dyDescent="0.35">
      <c r="A3714" t="s">
        <v>14</v>
      </c>
      <c r="B3714" t="s">
        <v>32</v>
      </c>
      <c r="C3714" t="s">
        <v>22</v>
      </c>
      <c r="D3714">
        <v>0</v>
      </c>
      <c r="E3714" t="s">
        <v>42</v>
      </c>
      <c r="F3714" t="s">
        <v>10</v>
      </c>
    </row>
    <row r="3715" spans="1:6" hidden="1" x14ac:dyDescent="0.35">
      <c r="A3715" t="s">
        <v>15</v>
      </c>
      <c r="B3715" t="s">
        <v>32</v>
      </c>
      <c r="C3715" t="s">
        <v>22</v>
      </c>
      <c r="D3715">
        <v>0</v>
      </c>
      <c r="E3715" t="s">
        <v>42</v>
      </c>
      <c r="F3715" t="s">
        <v>10</v>
      </c>
    </row>
    <row r="3716" spans="1:6" hidden="1" x14ac:dyDescent="0.35">
      <c r="A3716" t="s">
        <v>16</v>
      </c>
      <c r="B3716" t="s">
        <v>32</v>
      </c>
      <c r="C3716" t="s">
        <v>22</v>
      </c>
      <c r="D3716">
        <v>0</v>
      </c>
      <c r="E3716" t="s">
        <v>42</v>
      </c>
      <c r="F3716" t="s">
        <v>10</v>
      </c>
    </row>
    <row r="3717" spans="1:6" hidden="1" x14ac:dyDescent="0.35">
      <c r="A3717" t="s">
        <v>17</v>
      </c>
      <c r="B3717" t="s">
        <v>32</v>
      </c>
      <c r="C3717" t="s">
        <v>22</v>
      </c>
      <c r="D3717">
        <v>0</v>
      </c>
      <c r="E3717" t="s">
        <v>42</v>
      </c>
      <c r="F3717" t="s">
        <v>10</v>
      </c>
    </row>
    <row r="3718" spans="1:6" hidden="1" x14ac:dyDescent="0.35">
      <c r="A3718" t="s">
        <v>18</v>
      </c>
      <c r="B3718" t="s">
        <v>32</v>
      </c>
      <c r="C3718" t="s">
        <v>22</v>
      </c>
      <c r="D3718">
        <v>0</v>
      </c>
      <c r="E3718" t="s">
        <v>42</v>
      </c>
      <c r="F3718" t="s">
        <v>10</v>
      </c>
    </row>
    <row r="3719" spans="1:6" hidden="1" x14ac:dyDescent="0.35">
      <c r="A3719" t="s">
        <v>19</v>
      </c>
      <c r="B3719" t="s">
        <v>32</v>
      </c>
      <c r="C3719" t="s">
        <v>22</v>
      </c>
      <c r="D3719">
        <v>0</v>
      </c>
      <c r="E3719" t="s">
        <v>42</v>
      </c>
      <c r="F3719" t="s">
        <v>10</v>
      </c>
    </row>
    <row r="3720" spans="1:6" hidden="1" x14ac:dyDescent="0.35">
      <c r="A3720" t="s">
        <v>20</v>
      </c>
      <c r="B3720" t="s">
        <v>32</v>
      </c>
      <c r="C3720" t="s">
        <v>22</v>
      </c>
      <c r="D3720">
        <v>0</v>
      </c>
      <c r="E3720" t="s">
        <v>42</v>
      </c>
      <c r="F3720" t="s">
        <v>10</v>
      </c>
    </row>
    <row r="3721" spans="1:6" hidden="1" x14ac:dyDescent="0.35">
      <c r="A3721" t="s">
        <v>21</v>
      </c>
      <c r="B3721" t="s">
        <v>32</v>
      </c>
      <c r="C3721" t="s">
        <v>22</v>
      </c>
      <c r="D3721">
        <v>0</v>
      </c>
      <c r="E3721" t="s">
        <v>42</v>
      </c>
      <c r="F3721" t="s">
        <v>10</v>
      </c>
    </row>
    <row r="3722" spans="1:6" hidden="1" x14ac:dyDescent="0.35">
      <c r="A3722" t="s">
        <v>6</v>
      </c>
      <c r="B3722" t="s">
        <v>32</v>
      </c>
      <c r="C3722" t="s">
        <v>23</v>
      </c>
      <c r="D3722">
        <v>847114</v>
      </c>
      <c r="E3722" t="s">
        <v>42</v>
      </c>
      <c r="F3722" t="s">
        <v>10</v>
      </c>
    </row>
    <row r="3723" spans="1:6" hidden="1" x14ac:dyDescent="0.35">
      <c r="A3723" t="s">
        <v>11</v>
      </c>
      <c r="B3723" t="s">
        <v>32</v>
      </c>
      <c r="C3723" t="s">
        <v>23</v>
      </c>
      <c r="D3723">
        <v>294586</v>
      </c>
      <c r="E3723" t="s">
        <v>42</v>
      </c>
      <c r="F3723" t="s">
        <v>10</v>
      </c>
    </row>
    <row r="3724" spans="1:6" hidden="1" x14ac:dyDescent="0.35">
      <c r="A3724" t="s">
        <v>12</v>
      </c>
      <c r="B3724" t="s">
        <v>32</v>
      </c>
      <c r="C3724" t="s">
        <v>23</v>
      </c>
      <c r="D3724">
        <v>484008</v>
      </c>
      <c r="E3724" t="s">
        <v>42</v>
      </c>
      <c r="F3724" t="s">
        <v>10</v>
      </c>
    </row>
    <row r="3725" spans="1:6" hidden="1" x14ac:dyDescent="0.35">
      <c r="A3725" t="s">
        <v>13</v>
      </c>
      <c r="B3725" t="s">
        <v>32</v>
      </c>
      <c r="C3725" t="s">
        <v>23</v>
      </c>
      <c r="D3725">
        <v>732145</v>
      </c>
      <c r="E3725" t="s">
        <v>42</v>
      </c>
      <c r="F3725" t="s">
        <v>10</v>
      </c>
    </row>
    <row r="3726" spans="1:6" hidden="1" x14ac:dyDescent="0.35">
      <c r="A3726" t="s">
        <v>14</v>
      </c>
      <c r="B3726" t="s">
        <v>32</v>
      </c>
      <c r="C3726" t="s">
        <v>23</v>
      </c>
      <c r="D3726">
        <v>593686</v>
      </c>
      <c r="E3726" t="s">
        <v>42</v>
      </c>
      <c r="F3726" t="s">
        <v>10</v>
      </c>
    </row>
    <row r="3727" spans="1:6" hidden="1" x14ac:dyDescent="0.35">
      <c r="A3727" t="s">
        <v>15</v>
      </c>
      <c r="B3727" t="s">
        <v>32</v>
      </c>
      <c r="C3727" t="s">
        <v>23</v>
      </c>
      <c r="D3727">
        <v>386075</v>
      </c>
      <c r="E3727" t="s">
        <v>42</v>
      </c>
      <c r="F3727" t="s">
        <v>10</v>
      </c>
    </row>
    <row r="3728" spans="1:6" hidden="1" x14ac:dyDescent="0.35">
      <c r="A3728" t="s">
        <v>16</v>
      </c>
      <c r="B3728" t="s">
        <v>32</v>
      </c>
      <c r="C3728" t="s">
        <v>23</v>
      </c>
      <c r="D3728">
        <v>524854</v>
      </c>
      <c r="E3728" t="s">
        <v>42</v>
      </c>
      <c r="F3728" t="s">
        <v>10</v>
      </c>
    </row>
    <row r="3729" spans="1:6" hidden="1" x14ac:dyDescent="0.35">
      <c r="A3729" t="s">
        <v>17</v>
      </c>
      <c r="B3729" t="s">
        <v>32</v>
      </c>
      <c r="C3729" t="s">
        <v>23</v>
      </c>
      <c r="D3729">
        <v>354446</v>
      </c>
      <c r="E3729" t="s">
        <v>42</v>
      </c>
      <c r="F3729" t="s">
        <v>10</v>
      </c>
    </row>
    <row r="3730" spans="1:6" hidden="1" x14ac:dyDescent="0.35">
      <c r="A3730" t="s">
        <v>18</v>
      </c>
      <c r="B3730" t="s">
        <v>32</v>
      </c>
      <c r="C3730" t="s">
        <v>23</v>
      </c>
      <c r="D3730">
        <v>185584</v>
      </c>
      <c r="E3730" t="s">
        <v>42</v>
      </c>
      <c r="F3730" t="s">
        <v>10</v>
      </c>
    </row>
    <row r="3731" spans="1:6" hidden="1" x14ac:dyDescent="0.35">
      <c r="A3731" t="s">
        <v>19</v>
      </c>
      <c r="B3731" t="s">
        <v>32</v>
      </c>
      <c r="C3731" t="s">
        <v>23</v>
      </c>
      <c r="D3731">
        <v>884407</v>
      </c>
      <c r="E3731" t="s">
        <v>42</v>
      </c>
      <c r="F3731" t="s">
        <v>10</v>
      </c>
    </row>
    <row r="3732" spans="1:6" hidden="1" x14ac:dyDescent="0.35">
      <c r="A3732" t="s">
        <v>20</v>
      </c>
      <c r="B3732" t="s">
        <v>32</v>
      </c>
      <c r="C3732" t="s">
        <v>23</v>
      </c>
      <c r="D3732">
        <v>414898</v>
      </c>
      <c r="E3732" t="s">
        <v>42</v>
      </c>
      <c r="F3732" t="s">
        <v>10</v>
      </c>
    </row>
    <row r="3733" spans="1:6" hidden="1" x14ac:dyDescent="0.35">
      <c r="A3733" t="s">
        <v>21</v>
      </c>
      <c r="B3733" t="s">
        <v>32</v>
      </c>
      <c r="C3733" t="s">
        <v>23</v>
      </c>
      <c r="D3733">
        <v>202926</v>
      </c>
      <c r="E3733" t="s">
        <v>42</v>
      </c>
      <c r="F3733" t="s">
        <v>10</v>
      </c>
    </row>
    <row r="3734" spans="1:6" hidden="1" x14ac:dyDescent="0.35">
      <c r="A3734" t="s">
        <v>6</v>
      </c>
      <c r="B3734" t="s">
        <v>32</v>
      </c>
      <c r="C3734" t="s">
        <v>24</v>
      </c>
      <c r="D3734">
        <v>0</v>
      </c>
      <c r="E3734" t="s">
        <v>42</v>
      </c>
      <c r="F3734" t="s">
        <v>10</v>
      </c>
    </row>
    <row r="3735" spans="1:6" hidden="1" x14ac:dyDescent="0.35">
      <c r="A3735" t="s">
        <v>11</v>
      </c>
      <c r="B3735" t="s">
        <v>32</v>
      </c>
      <c r="C3735" t="s">
        <v>24</v>
      </c>
      <c r="D3735">
        <v>0</v>
      </c>
      <c r="E3735" t="s">
        <v>42</v>
      </c>
      <c r="F3735" t="s">
        <v>10</v>
      </c>
    </row>
    <row r="3736" spans="1:6" hidden="1" x14ac:dyDescent="0.35">
      <c r="A3736" t="s">
        <v>12</v>
      </c>
      <c r="B3736" t="s">
        <v>32</v>
      </c>
      <c r="C3736" t="s">
        <v>24</v>
      </c>
      <c r="D3736">
        <v>0</v>
      </c>
      <c r="E3736" t="s">
        <v>42</v>
      </c>
      <c r="F3736" t="s">
        <v>10</v>
      </c>
    </row>
    <row r="3737" spans="1:6" hidden="1" x14ac:dyDescent="0.35">
      <c r="A3737" t="s">
        <v>13</v>
      </c>
      <c r="B3737" t="s">
        <v>32</v>
      </c>
      <c r="C3737" t="s">
        <v>24</v>
      </c>
      <c r="D3737">
        <v>0</v>
      </c>
      <c r="E3737" t="s">
        <v>42</v>
      </c>
      <c r="F3737" t="s">
        <v>10</v>
      </c>
    </row>
    <row r="3738" spans="1:6" hidden="1" x14ac:dyDescent="0.35">
      <c r="A3738" t="s">
        <v>14</v>
      </c>
      <c r="B3738" t="s">
        <v>32</v>
      </c>
      <c r="C3738" t="s">
        <v>24</v>
      </c>
      <c r="D3738">
        <v>0</v>
      </c>
      <c r="E3738" t="s">
        <v>42</v>
      </c>
      <c r="F3738" t="s">
        <v>10</v>
      </c>
    </row>
    <row r="3739" spans="1:6" hidden="1" x14ac:dyDescent="0.35">
      <c r="A3739" t="s">
        <v>15</v>
      </c>
      <c r="B3739" t="s">
        <v>32</v>
      </c>
      <c r="C3739" t="s">
        <v>24</v>
      </c>
      <c r="D3739">
        <v>0</v>
      </c>
      <c r="E3739" t="s">
        <v>42</v>
      </c>
      <c r="F3739" t="s">
        <v>10</v>
      </c>
    </row>
    <row r="3740" spans="1:6" hidden="1" x14ac:dyDescent="0.35">
      <c r="A3740" t="s">
        <v>16</v>
      </c>
      <c r="B3740" t="s">
        <v>32</v>
      </c>
      <c r="C3740" t="s">
        <v>24</v>
      </c>
      <c r="D3740">
        <v>0</v>
      </c>
      <c r="E3740" t="s">
        <v>42</v>
      </c>
      <c r="F3740" t="s">
        <v>10</v>
      </c>
    </row>
    <row r="3741" spans="1:6" hidden="1" x14ac:dyDescent="0.35">
      <c r="A3741" t="s">
        <v>17</v>
      </c>
      <c r="B3741" t="s">
        <v>32</v>
      </c>
      <c r="C3741" t="s">
        <v>24</v>
      </c>
      <c r="D3741">
        <v>0</v>
      </c>
      <c r="E3741" t="s">
        <v>42</v>
      </c>
      <c r="F3741" t="s">
        <v>10</v>
      </c>
    </row>
    <row r="3742" spans="1:6" hidden="1" x14ac:dyDescent="0.35">
      <c r="A3742" t="s">
        <v>18</v>
      </c>
      <c r="B3742" t="s">
        <v>32</v>
      </c>
      <c r="C3742" t="s">
        <v>24</v>
      </c>
      <c r="D3742">
        <v>0</v>
      </c>
      <c r="E3742" t="s">
        <v>42</v>
      </c>
      <c r="F3742" t="s">
        <v>10</v>
      </c>
    </row>
    <row r="3743" spans="1:6" hidden="1" x14ac:dyDescent="0.35">
      <c r="A3743" t="s">
        <v>19</v>
      </c>
      <c r="B3743" t="s">
        <v>32</v>
      </c>
      <c r="C3743" t="s">
        <v>24</v>
      </c>
      <c r="D3743">
        <v>0</v>
      </c>
      <c r="E3743" t="s">
        <v>42</v>
      </c>
      <c r="F3743" t="s">
        <v>10</v>
      </c>
    </row>
    <row r="3744" spans="1:6" hidden="1" x14ac:dyDescent="0.35">
      <c r="A3744" t="s">
        <v>20</v>
      </c>
      <c r="B3744" t="s">
        <v>32</v>
      </c>
      <c r="C3744" t="s">
        <v>24</v>
      </c>
      <c r="D3744">
        <v>0</v>
      </c>
      <c r="E3744" t="s">
        <v>42</v>
      </c>
      <c r="F3744" t="s">
        <v>10</v>
      </c>
    </row>
    <row r="3745" spans="1:6" hidden="1" x14ac:dyDescent="0.35">
      <c r="A3745" t="s">
        <v>21</v>
      </c>
      <c r="B3745" t="s">
        <v>32</v>
      </c>
      <c r="C3745" t="s">
        <v>24</v>
      </c>
      <c r="D3745">
        <v>0</v>
      </c>
      <c r="E3745" t="s">
        <v>42</v>
      </c>
      <c r="F3745" t="s">
        <v>10</v>
      </c>
    </row>
    <row r="3746" spans="1:6" hidden="1" x14ac:dyDescent="0.35">
      <c r="A3746" t="s">
        <v>6</v>
      </c>
      <c r="B3746" t="s">
        <v>32</v>
      </c>
      <c r="C3746" t="s">
        <v>25</v>
      </c>
      <c r="D3746">
        <v>0</v>
      </c>
      <c r="E3746" t="s">
        <v>42</v>
      </c>
      <c r="F3746" t="s">
        <v>10</v>
      </c>
    </row>
    <row r="3747" spans="1:6" hidden="1" x14ac:dyDescent="0.35">
      <c r="A3747" t="s">
        <v>11</v>
      </c>
      <c r="B3747" t="s">
        <v>32</v>
      </c>
      <c r="C3747" t="s">
        <v>25</v>
      </c>
      <c r="D3747">
        <v>3129</v>
      </c>
      <c r="E3747" t="s">
        <v>42</v>
      </c>
      <c r="F3747" t="s">
        <v>10</v>
      </c>
    </row>
    <row r="3748" spans="1:6" hidden="1" x14ac:dyDescent="0.35">
      <c r="A3748" t="s">
        <v>12</v>
      </c>
      <c r="B3748" t="s">
        <v>32</v>
      </c>
      <c r="C3748" t="s">
        <v>25</v>
      </c>
      <c r="D3748">
        <v>0</v>
      </c>
      <c r="E3748" t="s">
        <v>42</v>
      </c>
      <c r="F3748" t="s">
        <v>10</v>
      </c>
    </row>
    <row r="3749" spans="1:6" hidden="1" x14ac:dyDescent="0.35">
      <c r="A3749" t="s">
        <v>13</v>
      </c>
      <c r="B3749" t="s">
        <v>32</v>
      </c>
      <c r="C3749" t="s">
        <v>25</v>
      </c>
      <c r="D3749">
        <v>0</v>
      </c>
      <c r="E3749" t="s">
        <v>42</v>
      </c>
      <c r="F3749" t="s">
        <v>10</v>
      </c>
    </row>
    <row r="3750" spans="1:6" hidden="1" x14ac:dyDescent="0.35">
      <c r="A3750" t="s">
        <v>14</v>
      </c>
      <c r="B3750" t="s">
        <v>32</v>
      </c>
      <c r="C3750" t="s">
        <v>25</v>
      </c>
      <c r="D3750">
        <v>3812</v>
      </c>
      <c r="E3750" t="s">
        <v>42</v>
      </c>
      <c r="F3750" t="s">
        <v>10</v>
      </c>
    </row>
    <row r="3751" spans="1:6" hidden="1" x14ac:dyDescent="0.35">
      <c r="A3751" t="s">
        <v>15</v>
      </c>
      <c r="B3751" t="s">
        <v>32</v>
      </c>
      <c r="C3751" t="s">
        <v>25</v>
      </c>
      <c r="D3751">
        <v>3816</v>
      </c>
      <c r="E3751" t="s">
        <v>42</v>
      </c>
      <c r="F3751" t="s">
        <v>10</v>
      </c>
    </row>
    <row r="3752" spans="1:6" hidden="1" x14ac:dyDescent="0.35">
      <c r="A3752" t="s">
        <v>16</v>
      </c>
      <c r="B3752" t="s">
        <v>32</v>
      </c>
      <c r="C3752" t="s">
        <v>25</v>
      </c>
      <c r="D3752">
        <v>2998</v>
      </c>
      <c r="E3752" t="s">
        <v>42</v>
      </c>
      <c r="F3752" t="s">
        <v>10</v>
      </c>
    </row>
    <row r="3753" spans="1:6" hidden="1" x14ac:dyDescent="0.35">
      <c r="A3753" t="s">
        <v>17</v>
      </c>
      <c r="B3753" t="s">
        <v>32</v>
      </c>
      <c r="C3753" t="s">
        <v>25</v>
      </c>
      <c r="D3753">
        <v>14910</v>
      </c>
      <c r="E3753" t="s">
        <v>42</v>
      </c>
      <c r="F3753" t="s">
        <v>10</v>
      </c>
    </row>
    <row r="3754" spans="1:6" hidden="1" x14ac:dyDescent="0.35">
      <c r="A3754" t="s">
        <v>18</v>
      </c>
      <c r="B3754" t="s">
        <v>32</v>
      </c>
      <c r="C3754" t="s">
        <v>25</v>
      </c>
      <c r="D3754">
        <v>1225</v>
      </c>
      <c r="E3754" t="s">
        <v>42</v>
      </c>
      <c r="F3754" t="s">
        <v>10</v>
      </c>
    </row>
    <row r="3755" spans="1:6" hidden="1" x14ac:dyDescent="0.35">
      <c r="A3755" t="s">
        <v>19</v>
      </c>
      <c r="B3755" t="s">
        <v>32</v>
      </c>
      <c r="C3755" t="s">
        <v>25</v>
      </c>
      <c r="D3755">
        <v>9672</v>
      </c>
      <c r="E3755" t="s">
        <v>42</v>
      </c>
      <c r="F3755" t="s">
        <v>10</v>
      </c>
    </row>
    <row r="3756" spans="1:6" hidden="1" x14ac:dyDescent="0.35">
      <c r="A3756" t="s">
        <v>20</v>
      </c>
      <c r="B3756" t="s">
        <v>32</v>
      </c>
      <c r="C3756" t="s">
        <v>25</v>
      </c>
      <c r="D3756">
        <v>16651</v>
      </c>
      <c r="E3756" t="s">
        <v>42</v>
      </c>
      <c r="F3756" t="s">
        <v>10</v>
      </c>
    </row>
    <row r="3757" spans="1:6" hidden="1" x14ac:dyDescent="0.35">
      <c r="A3757" t="s">
        <v>21</v>
      </c>
      <c r="B3757" t="s">
        <v>32</v>
      </c>
      <c r="C3757" t="s">
        <v>25</v>
      </c>
      <c r="D3757">
        <v>19731</v>
      </c>
      <c r="E3757" t="s">
        <v>42</v>
      </c>
      <c r="F3757" t="s">
        <v>10</v>
      </c>
    </row>
    <row r="3758" spans="1:6" hidden="1" x14ac:dyDescent="0.35">
      <c r="A3758" t="s">
        <v>6</v>
      </c>
      <c r="B3758" t="s">
        <v>32</v>
      </c>
      <c r="C3758" t="s">
        <v>26</v>
      </c>
      <c r="D3758">
        <v>0</v>
      </c>
      <c r="E3758" t="s">
        <v>42</v>
      </c>
      <c r="F3758" t="s">
        <v>10</v>
      </c>
    </row>
    <row r="3759" spans="1:6" hidden="1" x14ac:dyDescent="0.35">
      <c r="A3759" t="s">
        <v>11</v>
      </c>
      <c r="B3759" t="s">
        <v>32</v>
      </c>
      <c r="C3759" t="s">
        <v>26</v>
      </c>
      <c r="E3759" t="s">
        <v>42</v>
      </c>
      <c r="F3759" t="s">
        <v>10</v>
      </c>
    </row>
    <row r="3760" spans="1:6" hidden="1" x14ac:dyDescent="0.35">
      <c r="A3760" t="s">
        <v>12</v>
      </c>
      <c r="B3760" t="s">
        <v>32</v>
      </c>
      <c r="C3760" t="s">
        <v>26</v>
      </c>
      <c r="E3760" t="s">
        <v>42</v>
      </c>
      <c r="F3760" t="s">
        <v>10</v>
      </c>
    </row>
    <row r="3761" spans="1:6" hidden="1" x14ac:dyDescent="0.35">
      <c r="A3761" t="s">
        <v>13</v>
      </c>
      <c r="B3761" t="s">
        <v>32</v>
      </c>
      <c r="C3761" t="s">
        <v>26</v>
      </c>
      <c r="E3761" t="s">
        <v>42</v>
      </c>
      <c r="F3761" t="s">
        <v>10</v>
      </c>
    </row>
    <row r="3762" spans="1:6" hidden="1" x14ac:dyDescent="0.35">
      <c r="A3762" t="s">
        <v>14</v>
      </c>
      <c r="B3762" t="s">
        <v>32</v>
      </c>
      <c r="C3762" t="s">
        <v>26</v>
      </c>
      <c r="E3762" t="s">
        <v>42</v>
      </c>
      <c r="F3762" t="s">
        <v>10</v>
      </c>
    </row>
    <row r="3763" spans="1:6" hidden="1" x14ac:dyDescent="0.35">
      <c r="A3763" t="s">
        <v>15</v>
      </c>
      <c r="B3763" t="s">
        <v>32</v>
      </c>
      <c r="C3763" t="s">
        <v>26</v>
      </c>
      <c r="E3763" t="s">
        <v>42</v>
      </c>
      <c r="F3763" t="s">
        <v>10</v>
      </c>
    </row>
    <row r="3764" spans="1:6" hidden="1" x14ac:dyDescent="0.35">
      <c r="A3764" t="s">
        <v>16</v>
      </c>
      <c r="B3764" t="s">
        <v>32</v>
      </c>
      <c r="C3764" t="s">
        <v>26</v>
      </c>
      <c r="E3764" t="s">
        <v>42</v>
      </c>
      <c r="F3764" t="s">
        <v>10</v>
      </c>
    </row>
    <row r="3765" spans="1:6" hidden="1" x14ac:dyDescent="0.35">
      <c r="A3765" t="s">
        <v>17</v>
      </c>
      <c r="B3765" t="s">
        <v>32</v>
      </c>
      <c r="C3765" t="s">
        <v>26</v>
      </c>
      <c r="E3765" t="s">
        <v>42</v>
      </c>
      <c r="F3765" t="s">
        <v>10</v>
      </c>
    </row>
    <row r="3766" spans="1:6" hidden="1" x14ac:dyDescent="0.35">
      <c r="A3766" t="s">
        <v>18</v>
      </c>
      <c r="B3766" t="s">
        <v>32</v>
      </c>
      <c r="C3766" t="s">
        <v>26</v>
      </c>
      <c r="E3766" t="s">
        <v>42</v>
      </c>
      <c r="F3766" t="s">
        <v>10</v>
      </c>
    </row>
    <row r="3767" spans="1:6" hidden="1" x14ac:dyDescent="0.35">
      <c r="A3767" t="s">
        <v>19</v>
      </c>
      <c r="B3767" t="s">
        <v>32</v>
      </c>
      <c r="C3767" t="s">
        <v>26</v>
      </c>
      <c r="E3767" t="s">
        <v>42</v>
      </c>
      <c r="F3767" t="s">
        <v>10</v>
      </c>
    </row>
    <row r="3768" spans="1:6" hidden="1" x14ac:dyDescent="0.35">
      <c r="A3768" t="s">
        <v>20</v>
      </c>
      <c r="B3768" t="s">
        <v>32</v>
      </c>
      <c r="C3768" t="s">
        <v>26</v>
      </c>
      <c r="E3768" t="s">
        <v>42</v>
      </c>
      <c r="F3768" t="s">
        <v>10</v>
      </c>
    </row>
    <row r="3769" spans="1:6" hidden="1" x14ac:dyDescent="0.35">
      <c r="A3769" t="s">
        <v>21</v>
      </c>
      <c r="B3769" t="s">
        <v>32</v>
      </c>
      <c r="C3769" t="s">
        <v>26</v>
      </c>
      <c r="E3769" t="s">
        <v>42</v>
      </c>
      <c r="F3769" t="s">
        <v>10</v>
      </c>
    </row>
    <row r="3770" spans="1:6" hidden="1" x14ac:dyDescent="0.35">
      <c r="A3770" t="s">
        <v>6</v>
      </c>
      <c r="B3770" t="s">
        <v>32</v>
      </c>
      <c r="C3770" t="s">
        <v>27</v>
      </c>
      <c r="D3770">
        <v>34925</v>
      </c>
      <c r="E3770" t="s">
        <v>42</v>
      </c>
      <c r="F3770" t="s">
        <v>10</v>
      </c>
    </row>
    <row r="3771" spans="1:6" hidden="1" x14ac:dyDescent="0.35">
      <c r="A3771" t="s">
        <v>11</v>
      </c>
      <c r="B3771" t="s">
        <v>32</v>
      </c>
      <c r="C3771" t="s">
        <v>27</v>
      </c>
      <c r="D3771">
        <v>11081</v>
      </c>
      <c r="E3771" t="s">
        <v>42</v>
      </c>
      <c r="F3771" t="s">
        <v>10</v>
      </c>
    </row>
    <row r="3772" spans="1:6" hidden="1" x14ac:dyDescent="0.35">
      <c r="A3772" t="s">
        <v>12</v>
      </c>
      <c r="B3772" t="s">
        <v>32</v>
      </c>
      <c r="C3772" t="s">
        <v>27</v>
      </c>
      <c r="D3772">
        <v>16771</v>
      </c>
      <c r="E3772" t="s">
        <v>42</v>
      </c>
      <c r="F3772" t="s">
        <v>10</v>
      </c>
    </row>
    <row r="3773" spans="1:6" hidden="1" x14ac:dyDescent="0.35">
      <c r="A3773" t="s">
        <v>13</v>
      </c>
      <c r="B3773" t="s">
        <v>32</v>
      </c>
      <c r="C3773" t="s">
        <v>27</v>
      </c>
      <c r="D3773">
        <v>53689</v>
      </c>
      <c r="E3773" t="s">
        <v>42</v>
      </c>
      <c r="F3773" t="s">
        <v>10</v>
      </c>
    </row>
    <row r="3774" spans="1:6" hidden="1" x14ac:dyDescent="0.35">
      <c r="A3774" t="s">
        <v>14</v>
      </c>
      <c r="B3774" t="s">
        <v>32</v>
      </c>
      <c r="C3774" t="s">
        <v>27</v>
      </c>
      <c r="D3774">
        <v>45306</v>
      </c>
      <c r="E3774" t="s">
        <v>42</v>
      </c>
      <c r="F3774" t="s">
        <v>10</v>
      </c>
    </row>
    <row r="3775" spans="1:6" hidden="1" x14ac:dyDescent="0.35">
      <c r="A3775" t="s">
        <v>15</v>
      </c>
      <c r="B3775" t="s">
        <v>32</v>
      </c>
      <c r="C3775" t="s">
        <v>27</v>
      </c>
      <c r="D3775">
        <v>19522</v>
      </c>
      <c r="E3775" t="s">
        <v>42</v>
      </c>
      <c r="F3775" t="s">
        <v>10</v>
      </c>
    </row>
    <row r="3776" spans="1:6" hidden="1" x14ac:dyDescent="0.35">
      <c r="A3776" t="s">
        <v>16</v>
      </c>
      <c r="B3776" t="s">
        <v>32</v>
      </c>
      <c r="C3776" t="s">
        <v>27</v>
      </c>
      <c r="D3776">
        <v>27780</v>
      </c>
      <c r="E3776" t="s">
        <v>42</v>
      </c>
      <c r="F3776" t="s">
        <v>10</v>
      </c>
    </row>
    <row r="3777" spans="1:6" hidden="1" x14ac:dyDescent="0.35">
      <c r="A3777" t="s">
        <v>17</v>
      </c>
      <c r="B3777" t="s">
        <v>32</v>
      </c>
      <c r="C3777" t="s">
        <v>27</v>
      </c>
      <c r="D3777">
        <v>49863</v>
      </c>
      <c r="E3777" t="s">
        <v>42</v>
      </c>
      <c r="F3777" t="s">
        <v>10</v>
      </c>
    </row>
    <row r="3778" spans="1:6" hidden="1" x14ac:dyDescent="0.35">
      <c r="A3778" t="s">
        <v>18</v>
      </c>
      <c r="B3778" t="s">
        <v>32</v>
      </c>
      <c r="C3778" t="s">
        <v>27</v>
      </c>
      <c r="D3778">
        <v>13467</v>
      </c>
      <c r="E3778" t="s">
        <v>42</v>
      </c>
      <c r="F3778" t="s">
        <v>10</v>
      </c>
    </row>
    <row r="3779" spans="1:6" hidden="1" x14ac:dyDescent="0.35">
      <c r="A3779" t="s">
        <v>19</v>
      </c>
      <c r="B3779" t="s">
        <v>32</v>
      </c>
      <c r="C3779" t="s">
        <v>27</v>
      </c>
      <c r="D3779">
        <v>37476</v>
      </c>
      <c r="E3779" t="s">
        <v>42</v>
      </c>
      <c r="F3779" t="s">
        <v>10</v>
      </c>
    </row>
    <row r="3780" spans="1:6" hidden="1" x14ac:dyDescent="0.35">
      <c r="A3780" t="s">
        <v>20</v>
      </c>
      <c r="B3780" t="s">
        <v>32</v>
      </c>
      <c r="C3780" t="s">
        <v>27</v>
      </c>
      <c r="D3780">
        <v>28308</v>
      </c>
      <c r="E3780" t="s">
        <v>42</v>
      </c>
      <c r="F3780" t="s">
        <v>10</v>
      </c>
    </row>
    <row r="3781" spans="1:6" hidden="1" x14ac:dyDescent="0.35">
      <c r="A3781" t="s">
        <v>21</v>
      </c>
      <c r="B3781" t="s">
        <v>32</v>
      </c>
      <c r="C3781" t="s">
        <v>27</v>
      </c>
      <c r="D3781">
        <v>23478</v>
      </c>
      <c r="E3781" t="s">
        <v>42</v>
      </c>
      <c r="F3781" t="s">
        <v>10</v>
      </c>
    </row>
    <row r="3782" spans="1:6" hidden="1" x14ac:dyDescent="0.35">
      <c r="A3782" t="s">
        <v>6</v>
      </c>
      <c r="B3782" t="s">
        <v>32</v>
      </c>
      <c r="C3782" t="s">
        <v>28</v>
      </c>
      <c r="D3782">
        <v>1344951</v>
      </c>
      <c r="E3782" t="s">
        <v>42</v>
      </c>
      <c r="F3782" t="s">
        <v>10</v>
      </c>
    </row>
    <row r="3783" spans="1:6" hidden="1" x14ac:dyDescent="0.35">
      <c r="A3783" t="s">
        <v>11</v>
      </c>
      <c r="B3783" t="s">
        <v>32</v>
      </c>
      <c r="C3783" t="s">
        <v>28</v>
      </c>
      <c r="D3783">
        <v>368046</v>
      </c>
      <c r="E3783" t="s">
        <v>42</v>
      </c>
      <c r="F3783" t="s">
        <v>10</v>
      </c>
    </row>
    <row r="3784" spans="1:6" hidden="1" x14ac:dyDescent="0.35">
      <c r="A3784" t="s">
        <v>12</v>
      </c>
      <c r="B3784" t="s">
        <v>32</v>
      </c>
      <c r="C3784" t="s">
        <v>28</v>
      </c>
      <c r="D3784">
        <v>642114</v>
      </c>
      <c r="E3784" t="s">
        <v>42</v>
      </c>
      <c r="F3784" t="s">
        <v>10</v>
      </c>
    </row>
    <row r="3785" spans="1:6" hidden="1" x14ac:dyDescent="0.35">
      <c r="A3785" t="s">
        <v>13</v>
      </c>
      <c r="B3785" t="s">
        <v>32</v>
      </c>
      <c r="C3785" t="s">
        <v>28</v>
      </c>
      <c r="D3785">
        <v>1191919</v>
      </c>
      <c r="E3785" t="s">
        <v>42</v>
      </c>
      <c r="F3785" t="s">
        <v>10</v>
      </c>
    </row>
    <row r="3786" spans="1:6" hidden="1" x14ac:dyDescent="0.35">
      <c r="A3786" t="s">
        <v>14</v>
      </c>
      <c r="B3786" t="s">
        <v>32</v>
      </c>
      <c r="C3786" t="s">
        <v>28</v>
      </c>
      <c r="D3786">
        <v>1015794</v>
      </c>
      <c r="E3786" t="s">
        <v>42</v>
      </c>
      <c r="F3786" t="s">
        <v>10</v>
      </c>
    </row>
    <row r="3787" spans="1:6" hidden="1" x14ac:dyDescent="0.35">
      <c r="A3787" t="s">
        <v>15</v>
      </c>
      <c r="B3787" t="s">
        <v>32</v>
      </c>
      <c r="C3787" t="s">
        <v>28</v>
      </c>
      <c r="D3787">
        <v>578779</v>
      </c>
      <c r="E3787" t="s">
        <v>42</v>
      </c>
      <c r="F3787" t="s">
        <v>10</v>
      </c>
    </row>
    <row r="3788" spans="1:6" hidden="1" x14ac:dyDescent="0.35">
      <c r="A3788" t="s">
        <v>16</v>
      </c>
      <c r="B3788" t="s">
        <v>32</v>
      </c>
      <c r="C3788" t="s">
        <v>28</v>
      </c>
      <c r="D3788">
        <v>579062</v>
      </c>
      <c r="E3788" t="s">
        <v>42</v>
      </c>
      <c r="F3788" t="s">
        <v>10</v>
      </c>
    </row>
    <row r="3789" spans="1:6" hidden="1" x14ac:dyDescent="0.35">
      <c r="A3789" t="s">
        <v>17</v>
      </c>
      <c r="B3789" t="s">
        <v>32</v>
      </c>
      <c r="C3789" t="s">
        <v>28</v>
      </c>
      <c r="D3789">
        <v>707090</v>
      </c>
      <c r="E3789" t="s">
        <v>42</v>
      </c>
      <c r="F3789" t="s">
        <v>10</v>
      </c>
    </row>
    <row r="3790" spans="1:6" hidden="1" x14ac:dyDescent="0.35">
      <c r="A3790" t="s">
        <v>18</v>
      </c>
      <c r="B3790" t="s">
        <v>32</v>
      </c>
      <c r="C3790" t="s">
        <v>28</v>
      </c>
      <c r="D3790">
        <v>286391</v>
      </c>
      <c r="E3790" t="s">
        <v>42</v>
      </c>
      <c r="F3790" t="s">
        <v>10</v>
      </c>
    </row>
    <row r="3791" spans="1:6" hidden="1" x14ac:dyDescent="0.35">
      <c r="A3791" t="s">
        <v>19</v>
      </c>
      <c r="B3791" t="s">
        <v>32</v>
      </c>
      <c r="C3791" t="s">
        <v>28</v>
      </c>
      <c r="D3791">
        <v>1184024</v>
      </c>
      <c r="E3791" t="s">
        <v>42</v>
      </c>
      <c r="F3791" t="s">
        <v>10</v>
      </c>
    </row>
    <row r="3792" spans="1:6" hidden="1" x14ac:dyDescent="0.35">
      <c r="A3792" t="s">
        <v>20</v>
      </c>
      <c r="B3792" t="s">
        <v>32</v>
      </c>
      <c r="C3792" t="s">
        <v>28</v>
      </c>
      <c r="D3792">
        <v>583877</v>
      </c>
      <c r="E3792" t="s">
        <v>42</v>
      </c>
      <c r="F3792" t="s">
        <v>10</v>
      </c>
    </row>
    <row r="3793" spans="1:6" hidden="1" x14ac:dyDescent="0.35">
      <c r="A3793" t="s">
        <v>21</v>
      </c>
      <c r="B3793" t="s">
        <v>32</v>
      </c>
      <c r="C3793" t="s">
        <v>28</v>
      </c>
      <c r="D3793">
        <v>243541</v>
      </c>
      <c r="E3793" t="s">
        <v>42</v>
      </c>
      <c r="F3793" t="s">
        <v>10</v>
      </c>
    </row>
    <row r="3794" spans="1:6" hidden="1" x14ac:dyDescent="0.35">
      <c r="A3794" t="s">
        <v>6</v>
      </c>
      <c r="B3794" t="s">
        <v>32</v>
      </c>
      <c r="C3794" t="s">
        <v>29</v>
      </c>
      <c r="E3794" t="s">
        <v>42</v>
      </c>
      <c r="F3794" t="s">
        <v>10</v>
      </c>
    </row>
    <row r="3795" spans="1:6" hidden="1" x14ac:dyDescent="0.35">
      <c r="A3795" t="s">
        <v>11</v>
      </c>
      <c r="B3795" t="s">
        <v>32</v>
      </c>
      <c r="C3795" t="s">
        <v>29</v>
      </c>
      <c r="D3795">
        <v>1</v>
      </c>
      <c r="E3795" t="s">
        <v>42</v>
      </c>
      <c r="F3795" t="s">
        <v>10</v>
      </c>
    </row>
    <row r="3796" spans="1:6" hidden="1" x14ac:dyDescent="0.35">
      <c r="A3796" t="s">
        <v>12</v>
      </c>
      <c r="B3796" t="s">
        <v>32</v>
      </c>
      <c r="C3796" t="s">
        <v>29</v>
      </c>
      <c r="D3796">
        <v>1</v>
      </c>
      <c r="E3796" t="s">
        <v>42</v>
      </c>
      <c r="F3796" t="s">
        <v>10</v>
      </c>
    </row>
    <row r="3797" spans="1:6" hidden="1" x14ac:dyDescent="0.35">
      <c r="A3797" t="s">
        <v>13</v>
      </c>
      <c r="B3797" t="s">
        <v>32</v>
      </c>
      <c r="C3797" t="s">
        <v>29</v>
      </c>
      <c r="D3797">
        <v>1</v>
      </c>
      <c r="E3797" t="s">
        <v>42</v>
      </c>
      <c r="F3797" t="s">
        <v>10</v>
      </c>
    </row>
    <row r="3798" spans="1:6" hidden="1" x14ac:dyDescent="0.35">
      <c r="A3798" t="s">
        <v>14</v>
      </c>
      <c r="B3798" t="s">
        <v>32</v>
      </c>
      <c r="C3798" t="s">
        <v>29</v>
      </c>
      <c r="D3798">
        <v>4</v>
      </c>
      <c r="E3798" t="s">
        <v>42</v>
      </c>
      <c r="F3798" t="s">
        <v>10</v>
      </c>
    </row>
    <row r="3799" spans="1:6" hidden="1" x14ac:dyDescent="0.35">
      <c r="A3799" t="s">
        <v>15</v>
      </c>
      <c r="B3799" t="s">
        <v>32</v>
      </c>
      <c r="C3799" t="s">
        <v>29</v>
      </c>
      <c r="D3799">
        <v>5</v>
      </c>
      <c r="E3799" t="s">
        <v>42</v>
      </c>
      <c r="F3799" t="s">
        <v>10</v>
      </c>
    </row>
    <row r="3800" spans="1:6" hidden="1" x14ac:dyDescent="0.35">
      <c r="A3800" t="s">
        <v>16</v>
      </c>
      <c r="B3800" t="s">
        <v>32</v>
      </c>
      <c r="C3800" t="s">
        <v>29</v>
      </c>
      <c r="D3800">
        <v>2</v>
      </c>
      <c r="E3800" t="s">
        <v>42</v>
      </c>
      <c r="F3800" t="s">
        <v>10</v>
      </c>
    </row>
    <row r="3801" spans="1:6" hidden="1" x14ac:dyDescent="0.35">
      <c r="A3801" t="s">
        <v>17</v>
      </c>
      <c r="B3801" t="s">
        <v>32</v>
      </c>
      <c r="C3801" t="s">
        <v>29</v>
      </c>
      <c r="D3801">
        <v>2</v>
      </c>
      <c r="E3801" t="s">
        <v>42</v>
      </c>
      <c r="F3801" t="s">
        <v>10</v>
      </c>
    </row>
    <row r="3802" spans="1:6" hidden="1" x14ac:dyDescent="0.35">
      <c r="A3802" t="s">
        <v>18</v>
      </c>
      <c r="B3802" t="s">
        <v>32</v>
      </c>
      <c r="C3802" t="s">
        <v>29</v>
      </c>
      <c r="D3802">
        <v>2</v>
      </c>
      <c r="E3802" t="s">
        <v>42</v>
      </c>
      <c r="F3802" t="s">
        <v>10</v>
      </c>
    </row>
    <row r="3803" spans="1:6" hidden="1" x14ac:dyDescent="0.35">
      <c r="A3803" t="s">
        <v>19</v>
      </c>
      <c r="B3803" t="s">
        <v>32</v>
      </c>
      <c r="C3803" t="s">
        <v>29</v>
      </c>
      <c r="D3803">
        <v>3</v>
      </c>
      <c r="E3803" t="s">
        <v>42</v>
      </c>
      <c r="F3803" t="s">
        <v>10</v>
      </c>
    </row>
    <row r="3804" spans="1:6" hidden="1" x14ac:dyDescent="0.35">
      <c r="A3804" t="s">
        <v>20</v>
      </c>
      <c r="B3804" t="s">
        <v>32</v>
      </c>
      <c r="C3804" t="s">
        <v>29</v>
      </c>
      <c r="D3804">
        <v>3</v>
      </c>
      <c r="E3804" t="s">
        <v>42</v>
      </c>
      <c r="F3804" t="s">
        <v>10</v>
      </c>
    </row>
    <row r="3805" spans="1:6" hidden="1" x14ac:dyDescent="0.35">
      <c r="A3805" t="s">
        <v>21</v>
      </c>
      <c r="B3805" t="s">
        <v>32</v>
      </c>
      <c r="C3805" t="s">
        <v>29</v>
      </c>
      <c r="D3805">
        <v>2</v>
      </c>
      <c r="E3805" t="s">
        <v>42</v>
      </c>
      <c r="F3805" t="s">
        <v>10</v>
      </c>
    </row>
    <row r="3806" spans="1:6" hidden="1" x14ac:dyDescent="0.35">
      <c r="A3806" t="s">
        <v>6</v>
      </c>
      <c r="B3806" t="s">
        <v>32</v>
      </c>
      <c r="C3806" t="s">
        <v>30</v>
      </c>
      <c r="D3806">
        <v>23</v>
      </c>
      <c r="E3806" t="s">
        <v>42</v>
      </c>
      <c r="F3806" t="s">
        <v>10</v>
      </c>
    </row>
    <row r="3807" spans="1:6" hidden="1" x14ac:dyDescent="0.35">
      <c r="A3807" t="s">
        <v>11</v>
      </c>
      <c r="B3807" t="s">
        <v>32</v>
      </c>
      <c r="C3807" t="s">
        <v>30</v>
      </c>
      <c r="D3807">
        <v>21</v>
      </c>
      <c r="E3807" t="s">
        <v>42</v>
      </c>
      <c r="F3807" t="s">
        <v>10</v>
      </c>
    </row>
    <row r="3808" spans="1:6" hidden="1" x14ac:dyDescent="0.35">
      <c r="A3808" t="s">
        <v>12</v>
      </c>
      <c r="B3808" t="s">
        <v>32</v>
      </c>
      <c r="C3808" t="s">
        <v>30</v>
      </c>
      <c r="D3808">
        <v>17</v>
      </c>
      <c r="E3808" t="s">
        <v>42</v>
      </c>
      <c r="F3808" t="s">
        <v>10</v>
      </c>
    </row>
    <row r="3809" spans="1:6" hidden="1" x14ac:dyDescent="0.35">
      <c r="A3809" t="s">
        <v>13</v>
      </c>
      <c r="B3809" t="s">
        <v>32</v>
      </c>
      <c r="C3809" t="s">
        <v>30</v>
      </c>
      <c r="D3809">
        <v>29</v>
      </c>
      <c r="E3809" t="s">
        <v>42</v>
      </c>
      <c r="F3809" t="s">
        <v>10</v>
      </c>
    </row>
    <row r="3810" spans="1:6" hidden="1" x14ac:dyDescent="0.35">
      <c r="A3810" t="s">
        <v>14</v>
      </c>
      <c r="B3810" t="s">
        <v>32</v>
      </c>
      <c r="C3810" t="s">
        <v>30</v>
      </c>
      <c r="D3810">
        <v>37</v>
      </c>
      <c r="E3810" t="s">
        <v>42</v>
      </c>
      <c r="F3810" t="s">
        <v>10</v>
      </c>
    </row>
    <row r="3811" spans="1:6" hidden="1" x14ac:dyDescent="0.35">
      <c r="A3811" t="s">
        <v>15</v>
      </c>
      <c r="B3811" t="s">
        <v>32</v>
      </c>
      <c r="C3811" t="s">
        <v>30</v>
      </c>
      <c r="D3811">
        <v>14</v>
      </c>
      <c r="E3811" t="s">
        <v>42</v>
      </c>
      <c r="F3811" t="s">
        <v>10</v>
      </c>
    </row>
    <row r="3812" spans="1:6" hidden="1" x14ac:dyDescent="0.35">
      <c r="A3812" t="s">
        <v>16</v>
      </c>
      <c r="B3812" t="s">
        <v>32</v>
      </c>
      <c r="C3812" t="s">
        <v>30</v>
      </c>
      <c r="D3812">
        <v>13</v>
      </c>
      <c r="E3812" t="s">
        <v>42</v>
      </c>
      <c r="F3812" t="s">
        <v>10</v>
      </c>
    </row>
    <row r="3813" spans="1:6" hidden="1" x14ac:dyDescent="0.35">
      <c r="A3813" t="s">
        <v>17</v>
      </c>
      <c r="B3813" t="s">
        <v>32</v>
      </c>
      <c r="C3813" t="s">
        <v>30</v>
      </c>
      <c r="D3813">
        <v>20</v>
      </c>
      <c r="E3813" t="s">
        <v>42</v>
      </c>
      <c r="F3813" t="s">
        <v>10</v>
      </c>
    </row>
    <row r="3814" spans="1:6" hidden="1" x14ac:dyDescent="0.35">
      <c r="A3814" t="s">
        <v>18</v>
      </c>
      <c r="B3814" t="s">
        <v>32</v>
      </c>
      <c r="C3814" t="s">
        <v>30</v>
      </c>
      <c r="D3814">
        <v>25</v>
      </c>
      <c r="E3814" t="s">
        <v>42</v>
      </c>
      <c r="F3814" t="s">
        <v>10</v>
      </c>
    </row>
    <row r="3815" spans="1:6" hidden="1" x14ac:dyDescent="0.35">
      <c r="A3815" t="s">
        <v>19</v>
      </c>
      <c r="B3815" t="s">
        <v>32</v>
      </c>
      <c r="C3815" t="s">
        <v>30</v>
      </c>
      <c r="D3815">
        <v>45</v>
      </c>
      <c r="E3815" t="s">
        <v>42</v>
      </c>
      <c r="F3815" t="s">
        <v>10</v>
      </c>
    </row>
    <row r="3816" spans="1:6" hidden="1" x14ac:dyDescent="0.35">
      <c r="A3816" t="s">
        <v>20</v>
      </c>
      <c r="B3816" t="s">
        <v>32</v>
      </c>
      <c r="C3816" t="s">
        <v>30</v>
      </c>
      <c r="D3816">
        <v>19</v>
      </c>
      <c r="E3816" t="s">
        <v>42</v>
      </c>
      <c r="F3816" t="s">
        <v>10</v>
      </c>
    </row>
    <row r="3817" spans="1:6" hidden="1" x14ac:dyDescent="0.35">
      <c r="A3817" t="s">
        <v>21</v>
      </c>
      <c r="B3817" t="s">
        <v>32</v>
      </c>
      <c r="C3817" t="s">
        <v>30</v>
      </c>
      <c r="D3817">
        <v>27</v>
      </c>
      <c r="E3817" t="s">
        <v>42</v>
      </c>
      <c r="F3817" t="s">
        <v>10</v>
      </c>
    </row>
    <row r="3818" spans="1:6" hidden="1" x14ac:dyDescent="0.35">
      <c r="A3818" t="s">
        <v>6</v>
      </c>
      <c r="B3818" t="s">
        <v>32</v>
      </c>
      <c r="C3818" t="s">
        <v>31</v>
      </c>
      <c r="E3818" t="s">
        <v>42</v>
      </c>
      <c r="F3818" t="s">
        <v>10</v>
      </c>
    </row>
    <row r="3819" spans="1:6" hidden="1" x14ac:dyDescent="0.35">
      <c r="A3819" t="s">
        <v>11</v>
      </c>
      <c r="B3819" t="s">
        <v>32</v>
      </c>
      <c r="C3819" t="s">
        <v>31</v>
      </c>
      <c r="E3819" t="s">
        <v>42</v>
      </c>
      <c r="F3819" t="s">
        <v>10</v>
      </c>
    </row>
    <row r="3820" spans="1:6" hidden="1" x14ac:dyDescent="0.35">
      <c r="A3820" t="s">
        <v>12</v>
      </c>
      <c r="B3820" t="s">
        <v>32</v>
      </c>
      <c r="C3820" t="s">
        <v>31</v>
      </c>
      <c r="E3820" t="s">
        <v>42</v>
      </c>
      <c r="F3820" t="s">
        <v>10</v>
      </c>
    </row>
    <row r="3821" spans="1:6" hidden="1" x14ac:dyDescent="0.35">
      <c r="A3821" t="s">
        <v>13</v>
      </c>
      <c r="B3821" t="s">
        <v>32</v>
      </c>
      <c r="C3821" t="s">
        <v>31</v>
      </c>
      <c r="E3821" t="s">
        <v>42</v>
      </c>
      <c r="F3821" t="s">
        <v>10</v>
      </c>
    </row>
    <row r="3822" spans="1:6" hidden="1" x14ac:dyDescent="0.35">
      <c r="A3822" t="s">
        <v>14</v>
      </c>
      <c r="B3822" t="s">
        <v>32</v>
      </c>
      <c r="C3822" t="s">
        <v>31</v>
      </c>
      <c r="D3822">
        <v>2</v>
      </c>
      <c r="E3822" t="s">
        <v>42</v>
      </c>
      <c r="F3822" t="s">
        <v>10</v>
      </c>
    </row>
    <row r="3823" spans="1:6" hidden="1" x14ac:dyDescent="0.35">
      <c r="A3823" t="s">
        <v>15</v>
      </c>
      <c r="B3823" t="s">
        <v>32</v>
      </c>
      <c r="C3823" t="s">
        <v>31</v>
      </c>
      <c r="E3823" t="s">
        <v>42</v>
      </c>
      <c r="F3823" t="s">
        <v>10</v>
      </c>
    </row>
    <row r="3824" spans="1:6" hidden="1" x14ac:dyDescent="0.35">
      <c r="A3824" t="s">
        <v>16</v>
      </c>
      <c r="B3824" t="s">
        <v>32</v>
      </c>
      <c r="C3824" t="s">
        <v>31</v>
      </c>
      <c r="E3824" t="s">
        <v>42</v>
      </c>
      <c r="F3824" t="s">
        <v>10</v>
      </c>
    </row>
    <row r="3825" spans="1:6" hidden="1" x14ac:dyDescent="0.35">
      <c r="A3825" t="s">
        <v>17</v>
      </c>
      <c r="B3825" t="s">
        <v>32</v>
      </c>
      <c r="C3825" t="s">
        <v>31</v>
      </c>
      <c r="E3825" t="s">
        <v>42</v>
      </c>
      <c r="F3825" t="s">
        <v>10</v>
      </c>
    </row>
    <row r="3826" spans="1:6" hidden="1" x14ac:dyDescent="0.35">
      <c r="A3826" t="s">
        <v>18</v>
      </c>
      <c r="B3826" t="s">
        <v>32</v>
      </c>
      <c r="C3826" t="s">
        <v>31</v>
      </c>
      <c r="E3826" t="s">
        <v>42</v>
      </c>
      <c r="F3826" t="s">
        <v>10</v>
      </c>
    </row>
    <row r="3827" spans="1:6" hidden="1" x14ac:dyDescent="0.35">
      <c r="A3827" t="s">
        <v>19</v>
      </c>
      <c r="B3827" t="s">
        <v>32</v>
      </c>
      <c r="C3827" t="s">
        <v>31</v>
      </c>
      <c r="E3827" t="s">
        <v>42</v>
      </c>
      <c r="F3827" t="s">
        <v>10</v>
      </c>
    </row>
    <row r="3828" spans="1:6" hidden="1" x14ac:dyDescent="0.35">
      <c r="A3828" t="s">
        <v>20</v>
      </c>
      <c r="B3828" t="s">
        <v>32</v>
      </c>
      <c r="C3828" t="s">
        <v>31</v>
      </c>
      <c r="D3828">
        <v>1</v>
      </c>
      <c r="E3828" t="s">
        <v>42</v>
      </c>
      <c r="F3828" t="s">
        <v>10</v>
      </c>
    </row>
    <row r="3829" spans="1:6" hidden="1" x14ac:dyDescent="0.35">
      <c r="A3829" t="s">
        <v>21</v>
      </c>
      <c r="B3829" t="s">
        <v>32</v>
      </c>
      <c r="C3829" t="s">
        <v>31</v>
      </c>
      <c r="D3829">
        <v>1</v>
      </c>
      <c r="E3829" t="s">
        <v>42</v>
      </c>
      <c r="F3829" t="s">
        <v>10</v>
      </c>
    </row>
    <row r="3830" spans="1:6" hidden="1" x14ac:dyDescent="0.35">
      <c r="A3830" t="s">
        <v>6</v>
      </c>
      <c r="B3830" t="s">
        <v>33</v>
      </c>
      <c r="C3830" t="s">
        <v>8</v>
      </c>
      <c r="D3830">
        <v>252717</v>
      </c>
      <c r="E3830" t="s">
        <v>42</v>
      </c>
      <c r="F3830" t="s">
        <v>10</v>
      </c>
    </row>
    <row r="3831" spans="1:6" hidden="1" x14ac:dyDescent="0.35">
      <c r="A3831" t="s">
        <v>11</v>
      </c>
      <c r="B3831" t="s">
        <v>33</v>
      </c>
      <c r="C3831" t="s">
        <v>8</v>
      </c>
      <c r="D3831">
        <v>469547</v>
      </c>
      <c r="E3831" t="s">
        <v>42</v>
      </c>
      <c r="F3831" t="s">
        <v>10</v>
      </c>
    </row>
    <row r="3832" spans="1:6" hidden="1" x14ac:dyDescent="0.35">
      <c r="A3832" t="s">
        <v>12</v>
      </c>
      <c r="B3832" t="s">
        <v>33</v>
      </c>
      <c r="C3832" t="s">
        <v>8</v>
      </c>
      <c r="D3832">
        <v>596489</v>
      </c>
      <c r="E3832" t="s">
        <v>42</v>
      </c>
      <c r="F3832" t="s">
        <v>10</v>
      </c>
    </row>
    <row r="3833" spans="1:6" hidden="1" x14ac:dyDescent="0.35">
      <c r="A3833" t="s">
        <v>13</v>
      </c>
      <c r="B3833" t="s">
        <v>33</v>
      </c>
      <c r="C3833" t="s">
        <v>8</v>
      </c>
      <c r="D3833">
        <v>484962</v>
      </c>
      <c r="E3833" t="s">
        <v>42</v>
      </c>
      <c r="F3833" t="s">
        <v>10</v>
      </c>
    </row>
    <row r="3834" spans="1:6" hidden="1" x14ac:dyDescent="0.35">
      <c r="A3834" t="s">
        <v>14</v>
      </c>
      <c r="B3834" t="s">
        <v>33</v>
      </c>
      <c r="C3834" t="s">
        <v>8</v>
      </c>
      <c r="D3834">
        <v>320228</v>
      </c>
      <c r="E3834" t="s">
        <v>42</v>
      </c>
      <c r="F3834" t="s">
        <v>10</v>
      </c>
    </row>
    <row r="3835" spans="1:6" hidden="1" x14ac:dyDescent="0.35">
      <c r="A3835" t="s">
        <v>15</v>
      </c>
      <c r="B3835" t="s">
        <v>33</v>
      </c>
      <c r="C3835" t="s">
        <v>8</v>
      </c>
      <c r="D3835">
        <v>341576</v>
      </c>
      <c r="E3835" t="s">
        <v>42</v>
      </c>
      <c r="F3835" t="s">
        <v>10</v>
      </c>
    </row>
    <row r="3836" spans="1:6" hidden="1" x14ac:dyDescent="0.35">
      <c r="A3836" t="s">
        <v>16</v>
      </c>
      <c r="B3836" t="s">
        <v>33</v>
      </c>
      <c r="C3836" t="s">
        <v>8</v>
      </c>
      <c r="D3836">
        <v>505716</v>
      </c>
      <c r="E3836" t="s">
        <v>42</v>
      </c>
      <c r="F3836" t="s">
        <v>10</v>
      </c>
    </row>
    <row r="3837" spans="1:6" hidden="1" x14ac:dyDescent="0.35">
      <c r="A3837" t="s">
        <v>17</v>
      </c>
      <c r="B3837" t="s">
        <v>33</v>
      </c>
      <c r="C3837" t="s">
        <v>8</v>
      </c>
      <c r="D3837">
        <v>371155</v>
      </c>
      <c r="E3837" t="s">
        <v>42</v>
      </c>
      <c r="F3837" t="s">
        <v>10</v>
      </c>
    </row>
    <row r="3838" spans="1:6" hidden="1" x14ac:dyDescent="0.35">
      <c r="A3838" t="s">
        <v>18</v>
      </c>
      <c r="B3838" t="s">
        <v>33</v>
      </c>
      <c r="C3838" t="s">
        <v>8</v>
      </c>
      <c r="D3838">
        <v>340878</v>
      </c>
      <c r="E3838" t="s">
        <v>42</v>
      </c>
      <c r="F3838" t="s">
        <v>10</v>
      </c>
    </row>
    <row r="3839" spans="1:6" hidden="1" x14ac:dyDescent="0.35">
      <c r="A3839" t="s">
        <v>19</v>
      </c>
      <c r="B3839" t="s">
        <v>33</v>
      </c>
      <c r="C3839" t="s">
        <v>8</v>
      </c>
      <c r="D3839">
        <v>160602</v>
      </c>
      <c r="E3839" t="s">
        <v>42</v>
      </c>
      <c r="F3839" t="s">
        <v>10</v>
      </c>
    </row>
    <row r="3840" spans="1:6" hidden="1" x14ac:dyDescent="0.35">
      <c r="A3840" t="s">
        <v>20</v>
      </c>
      <c r="B3840" t="s">
        <v>33</v>
      </c>
      <c r="C3840" t="s">
        <v>8</v>
      </c>
      <c r="D3840">
        <v>774944</v>
      </c>
      <c r="E3840" t="s">
        <v>42</v>
      </c>
      <c r="F3840" t="s">
        <v>10</v>
      </c>
    </row>
    <row r="3841" spans="1:6" hidden="1" x14ac:dyDescent="0.35">
      <c r="A3841" t="s">
        <v>21</v>
      </c>
      <c r="B3841" t="s">
        <v>33</v>
      </c>
      <c r="C3841" t="s">
        <v>8</v>
      </c>
      <c r="D3841">
        <v>210705</v>
      </c>
      <c r="E3841" t="s">
        <v>42</v>
      </c>
      <c r="F3841" t="s">
        <v>10</v>
      </c>
    </row>
    <row r="3842" spans="1:6" hidden="1" x14ac:dyDescent="0.35">
      <c r="A3842" t="s">
        <v>6</v>
      </c>
      <c r="B3842" t="s">
        <v>33</v>
      </c>
      <c r="C3842" t="s">
        <v>22</v>
      </c>
      <c r="D3842">
        <v>0</v>
      </c>
      <c r="E3842" t="s">
        <v>42</v>
      </c>
      <c r="F3842" t="s">
        <v>10</v>
      </c>
    </row>
    <row r="3843" spans="1:6" hidden="1" x14ac:dyDescent="0.35">
      <c r="A3843" t="s">
        <v>11</v>
      </c>
      <c r="B3843" t="s">
        <v>33</v>
      </c>
      <c r="C3843" t="s">
        <v>22</v>
      </c>
      <c r="D3843">
        <v>0</v>
      </c>
      <c r="E3843" t="s">
        <v>42</v>
      </c>
      <c r="F3843" t="s">
        <v>10</v>
      </c>
    </row>
    <row r="3844" spans="1:6" hidden="1" x14ac:dyDescent="0.35">
      <c r="A3844" t="s">
        <v>12</v>
      </c>
      <c r="B3844" t="s">
        <v>33</v>
      </c>
      <c r="C3844" t="s">
        <v>22</v>
      </c>
      <c r="D3844">
        <v>0</v>
      </c>
      <c r="E3844" t="s">
        <v>42</v>
      </c>
      <c r="F3844" t="s">
        <v>10</v>
      </c>
    </row>
    <row r="3845" spans="1:6" hidden="1" x14ac:dyDescent="0.35">
      <c r="A3845" t="s">
        <v>13</v>
      </c>
      <c r="B3845" t="s">
        <v>33</v>
      </c>
      <c r="C3845" t="s">
        <v>22</v>
      </c>
      <c r="D3845">
        <v>0</v>
      </c>
      <c r="E3845" t="s">
        <v>42</v>
      </c>
      <c r="F3845" t="s">
        <v>10</v>
      </c>
    </row>
    <row r="3846" spans="1:6" hidden="1" x14ac:dyDescent="0.35">
      <c r="A3846" t="s">
        <v>14</v>
      </c>
      <c r="B3846" t="s">
        <v>33</v>
      </c>
      <c r="C3846" t="s">
        <v>22</v>
      </c>
      <c r="D3846">
        <v>0</v>
      </c>
      <c r="E3846" t="s">
        <v>42</v>
      </c>
      <c r="F3846" t="s">
        <v>10</v>
      </c>
    </row>
    <row r="3847" spans="1:6" hidden="1" x14ac:dyDescent="0.35">
      <c r="A3847" t="s">
        <v>15</v>
      </c>
      <c r="B3847" t="s">
        <v>33</v>
      </c>
      <c r="C3847" t="s">
        <v>22</v>
      </c>
      <c r="D3847">
        <v>0</v>
      </c>
      <c r="E3847" t="s">
        <v>42</v>
      </c>
      <c r="F3847" t="s">
        <v>10</v>
      </c>
    </row>
    <row r="3848" spans="1:6" hidden="1" x14ac:dyDescent="0.35">
      <c r="A3848" t="s">
        <v>16</v>
      </c>
      <c r="B3848" t="s">
        <v>33</v>
      </c>
      <c r="C3848" t="s">
        <v>22</v>
      </c>
      <c r="D3848">
        <v>0</v>
      </c>
      <c r="E3848" t="s">
        <v>42</v>
      </c>
      <c r="F3848" t="s">
        <v>10</v>
      </c>
    </row>
    <row r="3849" spans="1:6" hidden="1" x14ac:dyDescent="0.35">
      <c r="A3849" t="s">
        <v>17</v>
      </c>
      <c r="B3849" t="s">
        <v>33</v>
      </c>
      <c r="C3849" t="s">
        <v>22</v>
      </c>
      <c r="D3849">
        <v>0</v>
      </c>
      <c r="E3849" t="s">
        <v>42</v>
      </c>
      <c r="F3849" t="s">
        <v>10</v>
      </c>
    </row>
    <row r="3850" spans="1:6" hidden="1" x14ac:dyDescent="0.35">
      <c r="A3850" t="s">
        <v>18</v>
      </c>
      <c r="B3850" t="s">
        <v>33</v>
      </c>
      <c r="C3850" t="s">
        <v>22</v>
      </c>
      <c r="D3850">
        <v>0</v>
      </c>
      <c r="E3850" t="s">
        <v>42</v>
      </c>
      <c r="F3850" t="s">
        <v>10</v>
      </c>
    </row>
    <row r="3851" spans="1:6" hidden="1" x14ac:dyDescent="0.35">
      <c r="A3851" t="s">
        <v>19</v>
      </c>
      <c r="B3851" t="s">
        <v>33</v>
      </c>
      <c r="C3851" t="s">
        <v>22</v>
      </c>
      <c r="D3851">
        <v>0</v>
      </c>
      <c r="E3851" t="s">
        <v>42</v>
      </c>
      <c r="F3851" t="s">
        <v>10</v>
      </c>
    </row>
    <row r="3852" spans="1:6" hidden="1" x14ac:dyDescent="0.35">
      <c r="A3852" t="s">
        <v>20</v>
      </c>
      <c r="B3852" t="s">
        <v>33</v>
      </c>
      <c r="C3852" t="s">
        <v>22</v>
      </c>
      <c r="D3852">
        <v>0</v>
      </c>
      <c r="E3852" t="s">
        <v>42</v>
      </c>
      <c r="F3852" t="s">
        <v>10</v>
      </c>
    </row>
    <row r="3853" spans="1:6" hidden="1" x14ac:dyDescent="0.35">
      <c r="A3853" t="s">
        <v>21</v>
      </c>
      <c r="B3853" t="s">
        <v>33</v>
      </c>
      <c r="C3853" t="s">
        <v>22</v>
      </c>
      <c r="D3853">
        <v>0</v>
      </c>
      <c r="E3853" t="s">
        <v>42</v>
      </c>
      <c r="F3853" t="s">
        <v>10</v>
      </c>
    </row>
    <row r="3854" spans="1:6" hidden="1" x14ac:dyDescent="0.35">
      <c r="A3854" t="s">
        <v>6</v>
      </c>
      <c r="B3854" t="s">
        <v>33</v>
      </c>
      <c r="C3854" t="s">
        <v>23</v>
      </c>
      <c r="D3854">
        <v>537599</v>
      </c>
      <c r="E3854" t="s">
        <v>42</v>
      </c>
      <c r="F3854" t="s">
        <v>10</v>
      </c>
    </row>
    <row r="3855" spans="1:6" hidden="1" x14ac:dyDescent="0.35">
      <c r="A3855" t="s">
        <v>11</v>
      </c>
      <c r="B3855" t="s">
        <v>33</v>
      </c>
      <c r="C3855" t="s">
        <v>23</v>
      </c>
      <c r="D3855">
        <v>676960</v>
      </c>
      <c r="E3855" t="s">
        <v>42</v>
      </c>
      <c r="F3855" t="s">
        <v>10</v>
      </c>
    </row>
    <row r="3856" spans="1:6" hidden="1" x14ac:dyDescent="0.35">
      <c r="A3856" t="s">
        <v>12</v>
      </c>
      <c r="B3856" t="s">
        <v>33</v>
      </c>
      <c r="C3856" t="s">
        <v>23</v>
      </c>
      <c r="D3856">
        <v>397478</v>
      </c>
      <c r="E3856" t="s">
        <v>42</v>
      </c>
      <c r="F3856" t="s">
        <v>10</v>
      </c>
    </row>
    <row r="3857" spans="1:6" hidden="1" x14ac:dyDescent="0.35">
      <c r="A3857" t="s">
        <v>13</v>
      </c>
      <c r="B3857" t="s">
        <v>33</v>
      </c>
      <c r="C3857" t="s">
        <v>23</v>
      </c>
      <c r="D3857">
        <v>368931</v>
      </c>
      <c r="E3857" t="s">
        <v>42</v>
      </c>
      <c r="F3857" t="s">
        <v>10</v>
      </c>
    </row>
    <row r="3858" spans="1:6" hidden="1" x14ac:dyDescent="0.35">
      <c r="A3858" t="s">
        <v>14</v>
      </c>
      <c r="B3858" t="s">
        <v>33</v>
      </c>
      <c r="C3858" t="s">
        <v>23</v>
      </c>
      <c r="D3858">
        <v>775818</v>
      </c>
      <c r="E3858" t="s">
        <v>42</v>
      </c>
      <c r="F3858" t="s">
        <v>10</v>
      </c>
    </row>
    <row r="3859" spans="1:6" hidden="1" x14ac:dyDescent="0.35">
      <c r="A3859" t="s">
        <v>15</v>
      </c>
      <c r="B3859" t="s">
        <v>33</v>
      </c>
      <c r="C3859" t="s">
        <v>23</v>
      </c>
      <c r="D3859">
        <v>806993</v>
      </c>
      <c r="E3859" t="s">
        <v>42</v>
      </c>
      <c r="F3859" t="s">
        <v>10</v>
      </c>
    </row>
    <row r="3860" spans="1:6" hidden="1" x14ac:dyDescent="0.35">
      <c r="A3860" t="s">
        <v>16</v>
      </c>
      <c r="B3860" t="s">
        <v>33</v>
      </c>
      <c r="C3860" t="s">
        <v>23</v>
      </c>
      <c r="D3860">
        <v>1082829</v>
      </c>
      <c r="E3860" t="s">
        <v>42</v>
      </c>
      <c r="F3860" t="s">
        <v>10</v>
      </c>
    </row>
    <row r="3861" spans="1:6" hidden="1" x14ac:dyDescent="0.35">
      <c r="A3861" t="s">
        <v>17</v>
      </c>
      <c r="B3861" t="s">
        <v>33</v>
      </c>
      <c r="C3861" t="s">
        <v>23</v>
      </c>
      <c r="D3861">
        <v>380882</v>
      </c>
      <c r="E3861" t="s">
        <v>42</v>
      </c>
      <c r="F3861" t="s">
        <v>10</v>
      </c>
    </row>
    <row r="3862" spans="1:6" hidden="1" x14ac:dyDescent="0.35">
      <c r="A3862" t="s">
        <v>18</v>
      </c>
      <c r="B3862" t="s">
        <v>33</v>
      </c>
      <c r="C3862" t="s">
        <v>23</v>
      </c>
      <c r="D3862">
        <v>412015</v>
      </c>
      <c r="E3862" t="s">
        <v>42</v>
      </c>
      <c r="F3862" t="s">
        <v>10</v>
      </c>
    </row>
    <row r="3863" spans="1:6" hidden="1" x14ac:dyDescent="0.35">
      <c r="A3863" t="s">
        <v>19</v>
      </c>
      <c r="B3863" t="s">
        <v>33</v>
      </c>
      <c r="C3863" t="s">
        <v>23</v>
      </c>
      <c r="D3863">
        <v>1211019</v>
      </c>
      <c r="E3863" t="s">
        <v>42</v>
      </c>
      <c r="F3863" t="s">
        <v>10</v>
      </c>
    </row>
    <row r="3864" spans="1:6" hidden="1" x14ac:dyDescent="0.35">
      <c r="A3864" t="s">
        <v>20</v>
      </c>
      <c r="B3864" t="s">
        <v>33</v>
      </c>
      <c r="C3864" t="s">
        <v>23</v>
      </c>
      <c r="D3864">
        <v>787914</v>
      </c>
      <c r="E3864" t="s">
        <v>42</v>
      </c>
      <c r="F3864" t="s">
        <v>10</v>
      </c>
    </row>
    <row r="3865" spans="1:6" hidden="1" x14ac:dyDescent="0.35">
      <c r="A3865" t="s">
        <v>21</v>
      </c>
      <c r="B3865" t="s">
        <v>33</v>
      </c>
      <c r="C3865" t="s">
        <v>23</v>
      </c>
      <c r="D3865">
        <v>1041772</v>
      </c>
      <c r="E3865" t="s">
        <v>42</v>
      </c>
      <c r="F3865" t="s">
        <v>10</v>
      </c>
    </row>
    <row r="3866" spans="1:6" hidden="1" x14ac:dyDescent="0.35">
      <c r="A3866" t="s">
        <v>6</v>
      </c>
      <c r="B3866" t="s">
        <v>33</v>
      </c>
      <c r="C3866" t="s">
        <v>24</v>
      </c>
      <c r="D3866">
        <v>0</v>
      </c>
      <c r="E3866" t="s">
        <v>42</v>
      </c>
      <c r="F3866" t="s">
        <v>10</v>
      </c>
    </row>
    <row r="3867" spans="1:6" hidden="1" x14ac:dyDescent="0.35">
      <c r="A3867" t="s">
        <v>11</v>
      </c>
      <c r="B3867" t="s">
        <v>33</v>
      </c>
      <c r="C3867" t="s">
        <v>24</v>
      </c>
      <c r="D3867">
        <v>0</v>
      </c>
      <c r="E3867" t="s">
        <v>42</v>
      </c>
      <c r="F3867" t="s">
        <v>10</v>
      </c>
    </row>
    <row r="3868" spans="1:6" hidden="1" x14ac:dyDescent="0.35">
      <c r="A3868" t="s">
        <v>12</v>
      </c>
      <c r="B3868" t="s">
        <v>33</v>
      </c>
      <c r="C3868" t="s">
        <v>24</v>
      </c>
      <c r="D3868">
        <v>0</v>
      </c>
      <c r="E3868" t="s">
        <v>42</v>
      </c>
      <c r="F3868" t="s">
        <v>10</v>
      </c>
    </row>
    <row r="3869" spans="1:6" hidden="1" x14ac:dyDescent="0.35">
      <c r="A3869" t="s">
        <v>13</v>
      </c>
      <c r="B3869" t="s">
        <v>33</v>
      </c>
      <c r="C3869" t="s">
        <v>24</v>
      </c>
      <c r="D3869">
        <v>0</v>
      </c>
      <c r="E3869" t="s">
        <v>42</v>
      </c>
      <c r="F3869" t="s">
        <v>10</v>
      </c>
    </row>
    <row r="3870" spans="1:6" hidden="1" x14ac:dyDescent="0.35">
      <c r="A3870" t="s">
        <v>14</v>
      </c>
      <c r="B3870" t="s">
        <v>33</v>
      </c>
      <c r="C3870" t="s">
        <v>24</v>
      </c>
      <c r="D3870">
        <v>0</v>
      </c>
      <c r="E3870" t="s">
        <v>42</v>
      </c>
      <c r="F3870" t="s">
        <v>10</v>
      </c>
    </row>
    <row r="3871" spans="1:6" hidden="1" x14ac:dyDescent="0.35">
      <c r="A3871" t="s">
        <v>15</v>
      </c>
      <c r="B3871" t="s">
        <v>33</v>
      </c>
      <c r="C3871" t="s">
        <v>24</v>
      </c>
      <c r="D3871">
        <v>0</v>
      </c>
      <c r="E3871" t="s">
        <v>42</v>
      </c>
      <c r="F3871" t="s">
        <v>10</v>
      </c>
    </row>
    <row r="3872" spans="1:6" hidden="1" x14ac:dyDescent="0.35">
      <c r="A3872" t="s">
        <v>16</v>
      </c>
      <c r="B3872" t="s">
        <v>33</v>
      </c>
      <c r="C3872" t="s">
        <v>24</v>
      </c>
      <c r="D3872">
        <v>0</v>
      </c>
      <c r="E3872" t="s">
        <v>42</v>
      </c>
      <c r="F3872" t="s">
        <v>10</v>
      </c>
    </row>
    <row r="3873" spans="1:6" hidden="1" x14ac:dyDescent="0.35">
      <c r="A3873" t="s">
        <v>17</v>
      </c>
      <c r="B3873" t="s">
        <v>33</v>
      </c>
      <c r="C3873" t="s">
        <v>24</v>
      </c>
      <c r="D3873">
        <v>0</v>
      </c>
      <c r="E3873" t="s">
        <v>42</v>
      </c>
      <c r="F3873" t="s">
        <v>10</v>
      </c>
    </row>
    <row r="3874" spans="1:6" hidden="1" x14ac:dyDescent="0.35">
      <c r="A3874" t="s">
        <v>18</v>
      </c>
      <c r="B3874" t="s">
        <v>33</v>
      </c>
      <c r="C3874" t="s">
        <v>24</v>
      </c>
      <c r="D3874">
        <v>0</v>
      </c>
      <c r="E3874" t="s">
        <v>42</v>
      </c>
      <c r="F3874" t="s">
        <v>10</v>
      </c>
    </row>
    <row r="3875" spans="1:6" hidden="1" x14ac:dyDescent="0.35">
      <c r="A3875" t="s">
        <v>19</v>
      </c>
      <c r="B3875" t="s">
        <v>33</v>
      </c>
      <c r="C3875" t="s">
        <v>24</v>
      </c>
      <c r="D3875">
        <v>0</v>
      </c>
      <c r="E3875" t="s">
        <v>42</v>
      </c>
      <c r="F3875" t="s">
        <v>10</v>
      </c>
    </row>
    <row r="3876" spans="1:6" hidden="1" x14ac:dyDescent="0.35">
      <c r="A3876" t="s">
        <v>20</v>
      </c>
      <c r="B3876" t="s">
        <v>33</v>
      </c>
      <c r="C3876" t="s">
        <v>24</v>
      </c>
      <c r="D3876">
        <v>0</v>
      </c>
      <c r="E3876" t="s">
        <v>42</v>
      </c>
      <c r="F3876" t="s">
        <v>10</v>
      </c>
    </row>
    <row r="3877" spans="1:6" hidden="1" x14ac:dyDescent="0.35">
      <c r="A3877" t="s">
        <v>21</v>
      </c>
      <c r="B3877" t="s">
        <v>33</v>
      </c>
      <c r="C3877" t="s">
        <v>24</v>
      </c>
      <c r="D3877">
        <v>0</v>
      </c>
      <c r="E3877" t="s">
        <v>42</v>
      </c>
      <c r="F3877" t="s">
        <v>10</v>
      </c>
    </row>
    <row r="3878" spans="1:6" hidden="1" x14ac:dyDescent="0.35">
      <c r="A3878" t="s">
        <v>6</v>
      </c>
      <c r="B3878" t="s">
        <v>33</v>
      </c>
      <c r="C3878" t="s">
        <v>25</v>
      </c>
      <c r="D3878">
        <v>7816</v>
      </c>
      <c r="E3878" t="s">
        <v>42</v>
      </c>
      <c r="F3878" t="s">
        <v>10</v>
      </c>
    </row>
    <row r="3879" spans="1:6" hidden="1" x14ac:dyDescent="0.35">
      <c r="A3879" t="s">
        <v>11</v>
      </c>
      <c r="B3879" t="s">
        <v>33</v>
      </c>
      <c r="C3879" t="s">
        <v>25</v>
      </c>
      <c r="D3879">
        <v>0</v>
      </c>
      <c r="E3879" t="s">
        <v>42</v>
      </c>
      <c r="F3879" t="s">
        <v>10</v>
      </c>
    </row>
    <row r="3880" spans="1:6" hidden="1" x14ac:dyDescent="0.35">
      <c r="A3880" t="s">
        <v>12</v>
      </c>
      <c r="B3880" t="s">
        <v>33</v>
      </c>
      <c r="C3880" t="s">
        <v>25</v>
      </c>
      <c r="D3880">
        <v>1009</v>
      </c>
      <c r="E3880" t="s">
        <v>42</v>
      </c>
      <c r="F3880" t="s">
        <v>10</v>
      </c>
    </row>
    <row r="3881" spans="1:6" hidden="1" x14ac:dyDescent="0.35">
      <c r="A3881" t="s">
        <v>13</v>
      </c>
      <c r="B3881" t="s">
        <v>33</v>
      </c>
      <c r="C3881" t="s">
        <v>25</v>
      </c>
      <c r="D3881">
        <v>19947</v>
      </c>
      <c r="E3881" t="s">
        <v>42</v>
      </c>
      <c r="F3881" t="s">
        <v>10</v>
      </c>
    </row>
    <row r="3882" spans="1:6" hidden="1" x14ac:dyDescent="0.35">
      <c r="A3882" t="s">
        <v>14</v>
      </c>
      <c r="B3882" t="s">
        <v>33</v>
      </c>
      <c r="C3882" t="s">
        <v>25</v>
      </c>
      <c r="D3882">
        <v>2093</v>
      </c>
      <c r="E3882" t="s">
        <v>42</v>
      </c>
      <c r="F3882" t="s">
        <v>10</v>
      </c>
    </row>
    <row r="3883" spans="1:6" hidden="1" x14ac:dyDescent="0.35">
      <c r="A3883" t="s">
        <v>15</v>
      </c>
      <c r="B3883" t="s">
        <v>33</v>
      </c>
      <c r="C3883" t="s">
        <v>25</v>
      </c>
      <c r="D3883">
        <v>5301</v>
      </c>
      <c r="E3883" t="s">
        <v>42</v>
      </c>
      <c r="F3883" t="s">
        <v>10</v>
      </c>
    </row>
    <row r="3884" spans="1:6" hidden="1" x14ac:dyDescent="0.35">
      <c r="A3884" t="s">
        <v>16</v>
      </c>
      <c r="B3884" t="s">
        <v>33</v>
      </c>
      <c r="C3884" t="s">
        <v>25</v>
      </c>
      <c r="D3884">
        <v>71036</v>
      </c>
      <c r="E3884" t="s">
        <v>42</v>
      </c>
      <c r="F3884" t="s">
        <v>10</v>
      </c>
    </row>
    <row r="3885" spans="1:6" hidden="1" x14ac:dyDescent="0.35">
      <c r="A3885" t="s">
        <v>17</v>
      </c>
      <c r="B3885" t="s">
        <v>33</v>
      </c>
      <c r="C3885" t="s">
        <v>25</v>
      </c>
      <c r="D3885">
        <v>11879</v>
      </c>
      <c r="E3885" t="s">
        <v>42</v>
      </c>
      <c r="F3885" t="s">
        <v>10</v>
      </c>
    </row>
    <row r="3886" spans="1:6" hidden="1" x14ac:dyDescent="0.35">
      <c r="A3886" t="s">
        <v>18</v>
      </c>
      <c r="B3886" t="s">
        <v>33</v>
      </c>
      <c r="C3886" t="s">
        <v>25</v>
      </c>
      <c r="D3886">
        <v>2057</v>
      </c>
      <c r="E3886" t="s">
        <v>42</v>
      </c>
      <c r="F3886" t="s">
        <v>10</v>
      </c>
    </row>
    <row r="3887" spans="1:6" hidden="1" x14ac:dyDescent="0.35">
      <c r="A3887" t="s">
        <v>19</v>
      </c>
      <c r="B3887" t="s">
        <v>33</v>
      </c>
      <c r="C3887" t="s">
        <v>25</v>
      </c>
      <c r="D3887">
        <v>109930</v>
      </c>
      <c r="E3887" t="s">
        <v>42</v>
      </c>
      <c r="F3887" t="s">
        <v>10</v>
      </c>
    </row>
    <row r="3888" spans="1:6" hidden="1" x14ac:dyDescent="0.35">
      <c r="A3888" t="s">
        <v>20</v>
      </c>
      <c r="B3888" t="s">
        <v>33</v>
      </c>
      <c r="C3888" t="s">
        <v>25</v>
      </c>
      <c r="D3888">
        <v>126050</v>
      </c>
      <c r="E3888" t="s">
        <v>42</v>
      </c>
      <c r="F3888" t="s">
        <v>10</v>
      </c>
    </row>
    <row r="3889" spans="1:6" hidden="1" x14ac:dyDescent="0.35">
      <c r="A3889" t="s">
        <v>21</v>
      </c>
      <c r="B3889" t="s">
        <v>33</v>
      </c>
      <c r="C3889" t="s">
        <v>25</v>
      </c>
      <c r="D3889">
        <v>18809</v>
      </c>
      <c r="E3889" t="s">
        <v>42</v>
      </c>
      <c r="F3889" t="s">
        <v>10</v>
      </c>
    </row>
    <row r="3890" spans="1:6" hidden="1" x14ac:dyDescent="0.35">
      <c r="A3890" t="s">
        <v>6</v>
      </c>
      <c r="B3890" t="s">
        <v>33</v>
      </c>
      <c r="C3890" t="s">
        <v>26</v>
      </c>
      <c r="D3890">
        <v>0</v>
      </c>
      <c r="E3890" t="s">
        <v>42</v>
      </c>
      <c r="F3890" t="s">
        <v>10</v>
      </c>
    </row>
    <row r="3891" spans="1:6" hidden="1" x14ac:dyDescent="0.35">
      <c r="A3891" t="s">
        <v>11</v>
      </c>
      <c r="B3891" t="s">
        <v>33</v>
      </c>
      <c r="C3891" t="s">
        <v>26</v>
      </c>
      <c r="E3891" t="s">
        <v>42</v>
      </c>
      <c r="F3891" t="s">
        <v>10</v>
      </c>
    </row>
    <row r="3892" spans="1:6" hidden="1" x14ac:dyDescent="0.35">
      <c r="A3892" t="s">
        <v>12</v>
      </c>
      <c r="B3892" t="s">
        <v>33</v>
      </c>
      <c r="C3892" t="s">
        <v>26</v>
      </c>
      <c r="E3892" t="s">
        <v>42</v>
      </c>
      <c r="F3892" t="s">
        <v>10</v>
      </c>
    </row>
    <row r="3893" spans="1:6" hidden="1" x14ac:dyDescent="0.35">
      <c r="A3893" t="s">
        <v>13</v>
      </c>
      <c r="B3893" t="s">
        <v>33</v>
      </c>
      <c r="C3893" t="s">
        <v>26</v>
      </c>
      <c r="E3893" t="s">
        <v>42</v>
      </c>
      <c r="F3893" t="s">
        <v>10</v>
      </c>
    </row>
    <row r="3894" spans="1:6" hidden="1" x14ac:dyDescent="0.35">
      <c r="A3894" t="s">
        <v>14</v>
      </c>
      <c r="B3894" t="s">
        <v>33</v>
      </c>
      <c r="C3894" t="s">
        <v>26</v>
      </c>
      <c r="E3894" t="s">
        <v>42</v>
      </c>
      <c r="F3894" t="s">
        <v>10</v>
      </c>
    </row>
    <row r="3895" spans="1:6" hidden="1" x14ac:dyDescent="0.35">
      <c r="A3895" t="s">
        <v>15</v>
      </c>
      <c r="B3895" t="s">
        <v>33</v>
      </c>
      <c r="C3895" t="s">
        <v>26</v>
      </c>
      <c r="E3895" t="s">
        <v>42</v>
      </c>
      <c r="F3895" t="s">
        <v>10</v>
      </c>
    </row>
    <row r="3896" spans="1:6" hidden="1" x14ac:dyDescent="0.35">
      <c r="A3896" t="s">
        <v>16</v>
      </c>
      <c r="B3896" t="s">
        <v>33</v>
      </c>
      <c r="C3896" t="s">
        <v>26</v>
      </c>
      <c r="E3896" t="s">
        <v>42</v>
      </c>
      <c r="F3896" t="s">
        <v>10</v>
      </c>
    </row>
    <row r="3897" spans="1:6" hidden="1" x14ac:dyDescent="0.35">
      <c r="A3897" t="s">
        <v>17</v>
      </c>
      <c r="B3897" t="s">
        <v>33</v>
      </c>
      <c r="C3897" t="s">
        <v>26</v>
      </c>
      <c r="E3897" t="s">
        <v>42</v>
      </c>
      <c r="F3897" t="s">
        <v>10</v>
      </c>
    </row>
    <row r="3898" spans="1:6" hidden="1" x14ac:dyDescent="0.35">
      <c r="A3898" t="s">
        <v>18</v>
      </c>
      <c r="B3898" t="s">
        <v>33</v>
      </c>
      <c r="C3898" t="s">
        <v>26</v>
      </c>
      <c r="E3898" t="s">
        <v>42</v>
      </c>
      <c r="F3898" t="s">
        <v>10</v>
      </c>
    </row>
    <row r="3899" spans="1:6" hidden="1" x14ac:dyDescent="0.35">
      <c r="A3899" t="s">
        <v>19</v>
      </c>
      <c r="B3899" t="s">
        <v>33</v>
      </c>
      <c r="C3899" t="s">
        <v>26</v>
      </c>
      <c r="E3899" t="s">
        <v>42</v>
      </c>
      <c r="F3899" t="s">
        <v>10</v>
      </c>
    </row>
    <row r="3900" spans="1:6" hidden="1" x14ac:dyDescent="0.35">
      <c r="A3900" t="s">
        <v>20</v>
      </c>
      <c r="B3900" t="s">
        <v>33</v>
      </c>
      <c r="C3900" t="s">
        <v>26</v>
      </c>
      <c r="E3900" t="s">
        <v>42</v>
      </c>
      <c r="F3900" t="s">
        <v>10</v>
      </c>
    </row>
    <row r="3901" spans="1:6" hidden="1" x14ac:dyDescent="0.35">
      <c r="A3901" t="s">
        <v>21</v>
      </c>
      <c r="B3901" t="s">
        <v>33</v>
      </c>
      <c r="C3901" t="s">
        <v>26</v>
      </c>
      <c r="E3901" t="s">
        <v>42</v>
      </c>
      <c r="F3901" t="s">
        <v>10</v>
      </c>
    </row>
    <row r="3902" spans="1:6" hidden="1" x14ac:dyDescent="0.35">
      <c r="A3902" t="s">
        <v>6</v>
      </c>
      <c r="B3902" t="s">
        <v>33</v>
      </c>
      <c r="C3902" t="s">
        <v>27</v>
      </c>
      <c r="D3902">
        <v>112099</v>
      </c>
      <c r="E3902" t="s">
        <v>42</v>
      </c>
      <c r="F3902" t="s">
        <v>10</v>
      </c>
    </row>
    <row r="3903" spans="1:6" hidden="1" x14ac:dyDescent="0.35">
      <c r="A3903" t="s">
        <v>11</v>
      </c>
      <c r="B3903" t="s">
        <v>33</v>
      </c>
      <c r="C3903" t="s">
        <v>27</v>
      </c>
      <c r="D3903">
        <v>122801</v>
      </c>
      <c r="E3903" t="s">
        <v>42</v>
      </c>
      <c r="F3903" t="s">
        <v>10</v>
      </c>
    </row>
    <row r="3904" spans="1:6" hidden="1" x14ac:dyDescent="0.35">
      <c r="A3904" t="s">
        <v>12</v>
      </c>
      <c r="B3904" t="s">
        <v>33</v>
      </c>
      <c r="C3904" t="s">
        <v>27</v>
      </c>
      <c r="D3904">
        <v>89365</v>
      </c>
      <c r="E3904" t="s">
        <v>42</v>
      </c>
      <c r="F3904" t="s">
        <v>10</v>
      </c>
    </row>
    <row r="3905" spans="1:6" hidden="1" x14ac:dyDescent="0.35">
      <c r="A3905" t="s">
        <v>13</v>
      </c>
      <c r="B3905" t="s">
        <v>33</v>
      </c>
      <c r="C3905" t="s">
        <v>27</v>
      </c>
      <c r="D3905">
        <v>163188</v>
      </c>
      <c r="E3905" t="s">
        <v>42</v>
      </c>
      <c r="F3905" t="s">
        <v>10</v>
      </c>
    </row>
    <row r="3906" spans="1:6" hidden="1" x14ac:dyDescent="0.35">
      <c r="A3906" t="s">
        <v>14</v>
      </c>
      <c r="B3906" t="s">
        <v>33</v>
      </c>
      <c r="C3906" t="s">
        <v>27</v>
      </c>
      <c r="D3906">
        <v>92541</v>
      </c>
      <c r="E3906" t="s">
        <v>42</v>
      </c>
      <c r="F3906" t="s">
        <v>10</v>
      </c>
    </row>
    <row r="3907" spans="1:6" hidden="1" x14ac:dyDescent="0.35">
      <c r="A3907" t="s">
        <v>15</v>
      </c>
      <c r="B3907" t="s">
        <v>33</v>
      </c>
      <c r="C3907" t="s">
        <v>27</v>
      </c>
      <c r="D3907">
        <v>102852</v>
      </c>
      <c r="E3907" t="s">
        <v>42</v>
      </c>
      <c r="F3907" t="s">
        <v>10</v>
      </c>
    </row>
    <row r="3908" spans="1:6" hidden="1" x14ac:dyDescent="0.35">
      <c r="A3908" t="s">
        <v>16</v>
      </c>
      <c r="B3908" t="s">
        <v>33</v>
      </c>
      <c r="C3908" t="s">
        <v>27</v>
      </c>
      <c r="D3908">
        <v>164458</v>
      </c>
      <c r="E3908" t="s">
        <v>42</v>
      </c>
      <c r="F3908" t="s">
        <v>10</v>
      </c>
    </row>
    <row r="3909" spans="1:6" hidden="1" x14ac:dyDescent="0.35">
      <c r="A3909" t="s">
        <v>17</v>
      </c>
      <c r="B3909" t="s">
        <v>33</v>
      </c>
      <c r="C3909" t="s">
        <v>27</v>
      </c>
      <c r="D3909">
        <v>123203</v>
      </c>
      <c r="E3909" t="s">
        <v>42</v>
      </c>
      <c r="F3909" t="s">
        <v>10</v>
      </c>
    </row>
    <row r="3910" spans="1:6" hidden="1" x14ac:dyDescent="0.35">
      <c r="A3910" t="s">
        <v>18</v>
      </c>
      <c r="B3910" t="s">
        <v>33</v>
      </c>
      <c r="C3910" t="s">
        <v>27</v>
      </c>
      <c r="D3910">
        <v>106707</v>
      </c>
      <c r="E3910" t="s">
        <v>42</v>
      </c>
      <c r="F3910" t="s">
        <v>10</v>
      </c>
    </row>
    <row r="3911" spans="1:6" hidden="1" x14ac:dyDescent="0.35">
      <c r="A3911" t="s">
        <v>19</v>
      </c>
      <c r="B3911" t="s">
        <v>33</v>
      </c>
      <c r="C3911" t="s">
        <v>27</v>
      </c>
      <c r="D3911">
        <v>80564</v>
      </c>
      <c r="E3911" t="s">
        <v>42</v>
      </c>
      <c r="F3911" t="s">
        <v>10</v>
      </c>
    </row>
    <row r="3912" spans="1:6" hidden="1" x14ac:dyDescent="0.35">
      <c r="A3912" t="s">
        <v>20</v>
      </c>
      <c r="B3912" t="s">
        <v>33</v>
      </c>
      <c r="C3912" t="s">
        <v>27</v>
      </c>
      <c r="D3912">
        <v>196323</v>
      </c>
      <c r="E3912" t="s">
        <v>42</v>
      </c>
      <c r="F3912" t="s">
        <v>10</v>
      </c>
    </row>
    <row r="3913" spans="1:6" hidden="1" x14ac:dyDescent="0.35">
      <c r="A3913" t="s">
        <v>21</v>
      </c>
      <c r="B3913" t="s">
        <v>33</v>
      </c>
      <c r="C3913" t="s">
        <v>27</v>
      </c>
      <c r="D3913">
        <v>54135</v>
      </c>
      <c r="E3913" t="s">
        <v>42</v>
      </c>
      <c r="F3913" t="s">
        <v>10</v>
      </c>
    </row>
    <row r="3914" spans="1:6" hidden="1" x14ac:dyDescent="0.35">
      <c r="A3914" t="s">
        <v>6</v>
      </c>
      <c r="B3914" t="s">
        <v>33</v>
      </c>
      <c r="C3914" t="s">
        <v>28</v>
      </c>
      <c r="D3914">
        <v>1043464</v>
      </c>
      <c r="E3914" t="s">
        <v>42</v>
      </c>
      <c r="F3914" t="s">
        <v>10</v>
      </c>
    </row>
    <row r="3915" spans="1:6" hidden="1" x14ac:dyDescent="0.35">
      <c r="A3915" t="s">
        <v>11</v>
      </c>
      <c r="B3915" t="s">
        <v>33</v>
      </c>
      <c r="C3915" t="s">
        <v>28</v>
      </c>
      <c r="D3915">
        <v>1616054</v>
      </c>
      <c r="E3915" t="s">
        <v>42</v>
      </c>
      <c r="F3915" t="s">
        <v>10</v>
      </c>
    </row>
    <row r="3916" spans="1:6" hidden="1" x14ac:dyDescent="0.35">
      <c r="A3916" t="s">
        <v>12</v>
      </c>
      <c r="B3916" t="s">
        <v>33</v>
      </c>
      <c r="C3916" t="s">
        <v>28</v>
      </c>
      <c r="D3916">
        <v>1590456</v>
      </c>
      <c r="E3916" t="s">
        <v>42</v>
      </c>
      <c r="F3916" t="s">
        <v>10</v>
      </c>
    </row>
    <row r="3917" spans="1:6" hidden="1" x14ac:dyDescent="0.35">
      <c r="A3917" t="s">
        <v>13</v>
      </c>
      <c r="B3917" t="s">
        <v>33</v>
      </c>
      <c r="C3917" t="s">
        <v>28</v>
      </c>
      <c r="D3917">
        <v>1342308</v>
      </c>
      <c r="E3917" t="s">
        <v>42</v>
      </c>
      <c r="F3917" t="s">
        <v>10</v>
      </c>
    </row>
    <row r="3918" spans="1:6" hidden="1" x14ac:dyDescent="0.35">
      <c r="A3918" t="s">
        <v>14</v>
      </c>
      <c r="B3918" t="s">
        <v>33</v>
      </c>
      <c r="C3918" t="s">
        <v>28</v>
      </c>
      <c r="D3918">
        <v>1416274</v>
      </c>
      <c r="E3918" t="s">
        <v>42</v>
      </c>
      <c r="F3918" t="s">
        <v>10</v>
      </c>
    </row>
    <row r="3919" spans="1:6" hidden="1" x14ac:dyDescent="0.35">
      <c r="A3919" t="s">
        <v>15</v>
      </c>
      <c r="B3919" t="s">
        <v>33</v>
      </c>
      <c r="C3919" t="s">
        <v>28</v>
      </c>
      <c r="D3919">
        <v>1490146</v>
      </c>
      <c r="E3919" t="s">
        <v>42</v>
      </c>
      <c r="F3919" t="s">
        <v>10</v>
      </c>
    </row>
    <row r="3920" spans="1:6" hidden="1" x14ac:dyDescent="0.35">
      <c r="A3920" t="s">
        <v>16</v>
      </c>
      <c r="B3920" t="s">
        <v>33</v>
      </c>
      <c r="C3920" t="s">
        <v>28</v>
      </c>
      <c r="D3920">
        <v>2094260</v>
      </c>
      <c r="E3920" t="s">
        <v>42</v>
      </c>
      <c r="F3920" t="s">
        <v>10</v>
      </c>
    </row>
    <row r="3921" spans="1:6" hidden="1" x14ac:dyDescent="0.35">
      <c r="A3921" t="s">
        <v>17</v>
      </c>
      <c r="B3921" t="s">
        <v>33</v>
      </c>
      <c r="C3921" t="s">
        <v>28</v>
      </c>
      <c r="D3921">
        <v>1123685</v>
      </c>
      <c r="E3921" t="s">
        <v>42</v>
      </c>
      <c r="F3921" t="s">
        <v>10</v>
      </c>
    </row>
    <row r="3922" spans="1:6" hidden="1" x14ac:dyDescent="0.35">
      <c r="A3922" t="s">
        <v>18</v>
      </c>
      <c r="B3922" t="s">
        <v>33</v>
      </c>
      <c r="C3922" t="s">
        <v>28</v>
      </c>
      <c r="D3922">
        <v>1093771</v>
      </c>
      <c r="E3922" t="s">
        <v>42</v>
      </c>
      <c r="F3922" t="s">
        <v>10</v>
      </c>
    </row>
    <row r="3923" spans="1:6" hidden="1" x14ac:dyDescent="0.35">
      <c r="A3923" t="s">
        <v>19</v>
      </c>
      <c r="B3923" t="s">
        <v>33</v>
      </c>
      <c r="C3923" t="s">
        <v>28</v>
      </c>
      <c r="D3923">
        <v>1532223</v>
      </c>
      <c r="E3923" t="s">
        <v>42</v>
      </c>
      <c r="F3923" t="s">
        <v>10</v>
      </c>
    </row>
    <row r="3924" spans="1:6" hidden="1" x14ac:dyDescent="0.35">
      <c r="A3924" t="s">
        <v>20</v>
      </c>
      <c r="B3924" t="s">
        <v>33</v>
      </c>
      <c r="C3924" t="s">
        <v>28</v>
      </c>
      <c r="D3924">
        <v>2337802</v>
      </c>
      <c r="E3924" t="s">
        <v>42</v>
      </c>
      <c r="F3924" t="s">
        <v>10</v>
      </c>
    </row>
    <row r="3925" spans="1:6" hidden="1" x14ac:dyDescent="0.35">
      <c r="A3925" t="s">
        <v>21</v>
      </c>
      <c r="B3925" t="s">
        <v>33</v>
      </c>
      <c r="C3925" t="s">
        <v>28</v>
      </c>
      <c r="D3925">
        <v>1463182</v>
      </c>
      <c r="E3925" t="s">
        <v>42</v>
      </c>
      <c r="F3925" t="s">
        <v>10</v>
      </c>
    </row>
    <row r="3926" spans="1:6" hidden="1" x14ac:dyDescent="0.35">
      <c r="A3926" t="s">
        <v>6</v>
      </c>
      <c r="B3926" t="s">
        <v>33</v>
      </c>
      <c r="C3926" t="s">
        <v>29</v>
      </c>
      <c r="D3926">
        <v>20</v>
      </c>
      <c r="E3926" t="s">
        <v>42</v>
      </c>
      <c r="F3926" t="s">
        <v>10</v>
      </c>
    </row>
    <row r="3927" spans="1:6" hidden="1" x14ac:dyDescent="0.35">
      <c r="A3927" t="s">
        <v>11</v>
      </c>
      <c r="B3927" t="s">
        <v>33</v>
      </c>
      <c r="C3927" t="s">
        <v>29</v>
      </c>
      <c r="D3927">
        <v>12</v>
      </c>
      <c r="E3927" t="s">
        <v>42</v>
      </c>
      <c r="F3927" t="s">
        <v>10</v>
      </c>
    </row>
    <row r="3928" spans="1:6" hidden="1" x14ac:dyDescent="0.35">
      <c r="A3928" t="s">
        <v>12</v>
      </c>
      <c r="B3928" t="s">
        <v>33</v>
      </c>
      <c r="C3928" t="s">
        <v>29</v>
      </c>
      <c r="D3928">
        <v>11</v>
      </c>
      <c r="E3928" t="s">
        <v>42</v>
      </c>
      <c r="F3928" t="s">
        <v>10</v>
      </c>
    </row>
    <row r="3929" spans="1:6" hidden="1" x14ac:dyDescent="0.35">
      <c r="A3929" t="s">
        <v>13</v>
      </c>
      <c r="B3929" t="s">
        <v>33</v>
      </c>
      <c r="C3929" t="s">
        <v>29</v>
      </c>
      <c r="D3929">
        <v>8</v>
      </c>
      <c r="E3929" t="s">
        <v>42</v>
      </c>
      <c r="F3929" t="s">
        <v>10</v>
      </c>
    </row>
    <row r="3930" spans="1:6" hidden="1" x14ac:dyDescent="0.35">
      <c r="A3930" t="s">
        <v>14</v>
      </c>
      <c r="B3930" t="s">
        <v>33</v>
      </c>
      <c r="C3930" t="s">
        <v>29</v>
      </c>
      <c r="D3930">
        <v>13</v>
      </c>
      <c r="E3930" t="s">
        <v>42</v>
      </c>
      <c r="F3930" t="s">
        <v>10</v>
      </c>
    </row>
    <row r="3931" spans="1:6" hidden="1" x14ac:dyDescent="0.35">
      <c r="A3931" t="s">
        <v>15</v>
      </c>
      <c r="B3931" t="s">
        <v>33</v>
      </c>
      <c r="C3931" t="s">
        <v>29</v>
      </c>
      <c r="D3931">
        <v>13</v>
      </c>
      <c r="E3931" t="s">
        <v>42</v>
      </c>
      <c r="F3931" t="s">
        <v>10</v>
      </c>
    </row>
    <row r="3932" spans="1:6" hidden="1" x14ac:dyDescent="0.35">
      <c r="A3932" t="s">
        <v>16</v>
      </c>
      <c r="B3932" t="s">
        <v>33</v>
      </c>
      <c r="C3932" t="s">
        <v>29</v>
      </c>
      <c r="D3932">
        <v>23</v>
      </c>
      <c r="E3932" t="s">
        <v>42</v>
      </c>
      <c r="F3932" t="s">
        <v>10</v>
      </c>
    </row>
    <row r="3933" spans="1:6" hidden="1" x14ac:dyDescent="0.35">
      <c r="A3933" t="s">
        <v>17</v>
      </c>
      <c r="B3933" t="s">
        <v>33</v>
      </c>
      <c r="C3933" t="s">
        <v>29</v>
      </c>
      <c r="D3933">
        <v>11</v>
      </c>
      <c r="E3933" t="s">
        <v>42</v>
      </c>
      <c r="F3933" t="s">
        <v>10</v>
      </c>
    </row>
    <row r="3934" spans="1:6" hidden="1" x14ac:dyDescent="0.35">
      <c r="A3934" t="s">
        <v>18</v>
      </c>
      <c r="B3934" t="s">
        <v>33</v>
      </c>
      <c r="C3934" t="s">
        <v>29</v>
      </c>
      <c r="D3934">
        <v>11</v>
      </c>
      <c r="E3934" t="s">
        <v>42</v>
      </c>
      <c r="F3934" t="s">
        <v>10</v>
      </c>
    </row>
    <row r="3935" spans="1:6" hidden="1" x14ac:dyDescent="0.35">
      <c r="A3935" t="s">
        <v>19</v>
      </c>
      <c r="B3935" t="s">
        <v>33</v>
      </c>
      <c r="C3935" t="s">
        <v>29</v>
      </c>
      <c r="D3935">
        <v>11</v>
      </c>
      <c r="E3935" t="s">
        <v>42</v>
      </c>
      <c r="F3935" t="s">
        <v>10</v>
      </c>
    </row>
    <row r="3936" spans="1:6" hidden="1" x14ac:dyDescent="0.35">
      <c r="A3936" t="s">
        <v>20</v>
      </c>
      <c r="B3936" t="s">
        <v>33</v>
      </c>
      <c r="C3936" t="s">
        <v>29</v>
      </c>
      <c r="D3936">
        <v>12</v>
      </c>
      <c r="E3936" t="s">
        <v>42</v>
      </c>
      <c r="F3936" t="s">
        <v>10</v>
      </c>
    </row>
    <row r="3937" spans="1:6" hidden="1" x14ac:dyDescent="0.35">
      <c r="A3937" t="s">
        <v>21</v>
      </c>
      <c r="B3937" t="s">
        <v>33</v>
      </c>
      <c r="C3937" t="s">
        <v>29</v>
      </c>
      <c r="D3937">
        <v>15</v>
      </c>
      <c r="E3937" t="s">
        <v>42</v>
      </c>
      <c r="F3937" t="s">
        <v>10</v>
      </c>
    </row>
    <row r="3938" spans="1:6" hidden="1" x14ac:dyDescent="0.35">
      <c r="A3938" t="s">
        <v>6</v>
      </c>
      <c r="B3938" t="s">
        <v>33</v>
      </c>
      <c r="C3938" t="s">
        <v>30</v>
      </c>
      <c r="D3938">
        <v>20</v>
      </c>
      <c r="E3938" t="s">
        <v>42</v>
      </c>
      <c r="F3938" t="s">
        <v>10</v>
      </c>
    </row>
    <row r="3939" spans="1:6" hidden="1" x14ac:dyDescent="0.35">
      <c r="A3939" t="s">
        <v>11</v>
      </c>
      <c r="B3939" t="s">
        <v>33</v>
      </c>
      <c r="C3939" t="s">
        <v>30</v>
      </c>
      <c r="D3939">
        <v>19</v>
      </c>
      <c r="E3939" t="s">
        <v>42</v>
      </c>
      <c r="F3939" t="s">
        <v>10</v>
      </c>
    </row>
    <row r="3940" spans="1:6" hidden="1" x14ac:dyDescent="0.35">
      <c r="A3940" t="s">
        <v>12</v>
      </c>
      <c r="B3940" t="s">
        <v>33</v>
      </c>
      <c r="C3940" t="s">
        <v>30</v>
      </c>
      <c r="D3940">
        <v>24</v>
      </c>
      <c r="E3940" t="s">
        <v>42</v>
      </c>
      <c r="F3940" t="s">
        <v>10</v>
      </c>
    </row>
    <row r="3941" spans="1:6" hidden="1" x14ac:dyDescent="0.35">
      <c r="A3941" t="s">
        <v>13</v>
      </c>
      <c r="B3941" t="s">
        <v>33</v>
      </c>
      <c r="C3941" t="s">
        <v>30</v>
      </c>
      <c r="D3941">
        <v>26</v>
      </c>
      <c r="E3941" t="s">
        <v>42</v>
      </c>
      <c r="F3941" t="s">
        <v>10</v>
      </c>
    </row>
    <row r="3942" spans="1:6" hidden="1" x14ac:dyDescent="0.35">
      <c r="A3942" t="s">
        <v>14</v>
      </c>
      <c r="B3942" t="s">
        <v>33</v>
      </c>
      <c r="C3942" t="s">
        <v>30</v>
      </c>
      <c r="D3942">
        <v>25</v>
      </c>
      <c r="E3942" t="s">
        <v>42</v>
      </c>
      <c r="F3942" t="s">
        <v>10</v>
      </c>
    </row>
    <row r="3943" spans="1:6" hidden="1" x14ac:dyDescent="0.35">
      <c r="A3943" t="s">
        <v>15</v>
      </c>
      <c r="B3943" t="s">
        <v>33</v>
      </c>
      <c r="C3943" t="s">
        <v>30</v>
      </c>
      <c r="D3943">
        <v>25</v>
      </c>
      <c r="E3943" t="s">
        <v>42</v>
      </c>
      <c r="F3943" t="s">
        <v>10</v>
      </c>
    </row>
    <row r="3944" spans="1:6" hidden="1" x14ac:dyDescent="0.35">
      <c r="A3944" t="s">
        <v>16</v>
      </c>
      <c r="B3944" t="s">
        <v>33</v>
      </c>
      <c r="C3944" t="s">
        <v>30</v>
      </c>
      <c r="D3944">
        <v>25</v>
      </c>
      <c r="E3944" t="s">
        <v>42</v>
      </c>
      <c r="F3944" t="s">
        <v>10</v>
      </c>
    </row>
    <row r="3945" spans="1:6" hidden="1" x14ac:dyDescent="0.35">
      <c r="A3945" t="s">
        <v>17</v>
      </c>
      <c r="B3945" t="s">
        <v>33</v>
      </c>
      <c r="C3945" t="s">
        <v>30</v>
      </c>
      <c r="D3945">
        <v>26</v>
      </c>
      <c r="E3945" t="s">
        <v>42</v>
      </c>
      <c r="F3945" t="s">
        <v>10</v>
      </c>
    </row>
    <row r="3946" spans="1:6" hidden="1" x14ac:dyDescent="0.35">
      <c r="A3946" t="s">
        <v>18</v>
      </c>
      <c r="B3946" t="s">
        <v>33</v>
      </c>
      <c r="C3946" t="s">
        <v>30</v>
      </c>
      <c r="D3946">
        <v>28</v>
      </c>
      <c r="E3946" t="s">
        <v>42</v>
      </c>
      <c r="F3946" t="s">
        <v>10</v>
      </c>
    </row>
    <row r="3947" spans="1:6" hidden="1" x14ac:dyDescent="0.35">
      <c r="A3947" t="s">
        <v>19</v>
      </c>
      <c r="B3947" t="s">
        <v>33</v>
      </c>
      <c r="C3947" t="s">
        <v>30</v>
      </c>
      <c r="D3947">
        <v>36</v>
      </c>
      <c r="E3947" t="s">
        <v>42</v>
      </c>
      <c r="F3947" t="s">
        <v>10</v>
      </c>
    </row>
    <row r="3948" spans="1:6" hidden="1" x14ac:dyDescent="0.35">
      <c r="A3948" t="s">
        <v>20</v>
      </c>
      <c r="B3948" t="s">
        <v>33</v>
      </c>
      <c r="C3948" t="s">
        <v>30</v>
      </c>
      <c r="D3948">
        <v>19</v>
      </c>
      <c r="E3948" t="s">
        <v>42</v>
      </c>
      <c r="F3948" t="s">
        <v>10</v>
      </c>
    </row>
    <row r="3949" spans="1:6" hidden="1" x14ac:dyDescent="0.35">
      <c r="A3949" t="s">
        <v>21</v>
      </c>
      <c r="B3949" t="s">
        <v>33</v>
      </c>
      <c r="C3949" t="s">
        <v>30</v>
      </c>
      <c r="D3949">
        <v>25</v>
      </c>
      <c r="E3949" t="s">
        <v>42</v>
      </c>
      <c r="F3949" t="s">
        <v>10</v>
      </c>
    </row>
    <row r="3950" spans="1:6" hidden="1" x14ac:dyDescent="0.35">
      <c r="A3950" t="s">
        <v>6</v>
      </c>
      <c r="B3950" t="s">
        <v>33</v>
      </c>
      <c r="C3950" t="s">
        <v>31</v>
      </c>
      <c r="D3950">
        <v>4</v>
      </c>
      <c r="E3950" t="s">
        <v>42</v>
      </c>
      <c r="F3950" t="s">
        <v>10</v>
      </c>
    </row>
    <row r="3951" spans="1:6" hidden="1" x14ac:dyDescent="0.35">
      <c r="A3951" t="s">
        <v>11</v>
      </c>
      <c r="B3951" t="s">
        <v>33</v>
      </c>
      <c r="C3951" t="s">
        <v>31</v>
      </c>
      <c r="D3951">
        <v>1</v>
      </c>
      <c r="E3951" t="s">
        <v>42</v>
      </c>
      <c r="F3951" t="s">
        <v>10</v>
      </c>
    </row>
    <row r="3952" spans="1:6" hidden="1" x14ac:dyDescent="0.35">
      <c r="A3952" t="s">
        <v>12</v>
      </c>
      <c r="B3952" t="s">
        <v>33</v>
      </c>
      <c r="C3952" t="s">
        <v>31</v>
      </c>
      <c r="D3952">
        <v>1</v>
      </c>
      <c r="E3952" t="s">
        <v>42</v>
      </c>
      <c r="F3952" t="s">
        <v>10</v>
      </c>
    </row>
    <row r="3953" spans="1:6" hidden="1" x14ac:dyDescent="0.35">
      <c r="A3953" t="s">
        <v>13</v>
      </c>
      <c r="B3953" t="s">
        <v>33</v>
      </c>
      <c r="C3953" t="s">
        <v>31</v>
      </c>
      <c r="D3953">
        <v>2</v>
      </c>
      <c r="E3953" t="s">
        <v>42</v>
      </c>
      <c r="F3953" t="s">
        <v>10</v>
      </c>
    </row>
    <row r="3954" spans="1:6" hidden="1" x14ac:dyDescent="0.35">
      <c r="A3954" t="s">
        <v>14</v>
      </c>
      <c r="B3954" t="s">
        <v>33</v>
      </c>
      <c r="C3954" t="s">
        <v>31</v>
      </c>
      <c r="D3954">
        <v>1</v>
      </c>
      <c r="E3954" t="s">
        <v>42</v>
      </c>
      <c r="F3954" t="s">
        <v>10</v>
      </c>
    </row>
    <row r="3955" spans="1:6" hidden="1" x14ac:dyDescent="0.35">
      <c r="A3955" t="s">
        <v>15</v>
      </c>
      <c r="B3955" t="s">
        <v>33</v>
      </c>
      <c r="C3955" t="s">
        <v>31</v>
      </c>
      <c r="D3955">
        <v>1</v>
      </c>
      <c r="E3955" t="s">
        <v>42</v>
      </c>
      <c r="F3955" t="s">
        <v>10</v>
      </c>
    </row>
    <row r="3956" spans="1:6" hidden="1" x14ac:dyDescent="0.35">
      <c r="A3956" t="s">
        <v>16</v>
      </c>
      <c r="B3956" t="s">
        <v>33</v>
      </c>
      <c r="C3956" t="s">
        <v>31</v>
      </c>
      <c r="D3956">
        <v>3</v>
      </c>
      <c r="E3956" t="s">
        <v>42</v>
      </c>
      <c r="F3956" t="s">
        <v>10</v>
      </c>
    </row>
    <row r="3957" spans="1:6" hidden="1" x14ac:dyDescent="0.35">
      <c r="A3957" t="s">
        <v>17</v>
      </c>
      <c r="B3957" t="s">
        <v>33</v>
      </c>
      <c r="C3957" t="s">
        <v>31</v>
      </c>
      <c r="D3957">
        <v>7</v>
      </c>
      <c r="E3957" t="s">
        <v>42</v>
      </c>
      <c r="F3957" t="s">
        <v>10</v>
      </c>
    </row>
    <row r="3958" spans="1:6" hidden="1" x14ac:dyDescent="0.35">
      <c r="A3958" t="s">
        <v>18</v>
      </c>
      <c r="B3958" t="s">
        <v>33</v>
      </c>
      <c r="C3958" t="s">
        <v>31</v>
      </c>
      <c r="E3958" t="s">
        <v>42</v>
      </c>
      <c r="F3958" t="s">
        <v>10</v>
      </c>
    </row>
    <row r="3959" spans="1:6" hidden="1" x14ac:dyDescent="0.35">
      <c r="A3959" t="s">
        <v>19</v>
      </c>
      <c r="B3959" t="s">
        <v>33</v>
      </c>
      <c r="C3959" t="s">
        <v>31</v>
      </c>
      <c r="D3959">
        <v>3</v>
      </c>
      <c r="E3959" t="s">
        <v>42</v>
      </c>
      <c r="F3959" t="s">
        <v>10</v>
      </c>
    </row>
    <row r="3960" spans="1:6" hidden="1" x14ac:dyDescent="0.35">
      <c r="A3960" t="s">
        <v>20</v>
      </c>
      <c r="B3960" t="s">
        <v>33</v>
      </c>
      <c r="C3960" t="s">
        <v>31</v>
      </c>
      <c r="D3960">
        <v>4</v>
      </c>
      <c r="E3960" t="s">
        <v>42</v>
      </c>
      <c r="F3960" t="s">
        <v>10</v>
      </c>
    </row>
    <row r="3961" spans="1:6" hidden="1" x14ac:dyDescent="0.35">
      <c r="A3961" t="s">
        <v>21</v>
      </c>
      <c r="B3961" t="s">
        <v>33</v>
      </c>
      <c r="C3961" t="s">
        <v>31</v>
      </c>
      <c r="E3961" t="s">
        <v>42</v>
      </c>
      <c r="F3961" t="s">
        <v>10</v>
      </c>
    </row>
    <row r="3962" spans="1:6" hidden="1" x14ac:dyDescent="0.35">
      <c r="A3962" t="s">
        <v>6</v>
      </c>
      <c r="B3962" t="s">
        <v>34</v>
      </c>
      <c r="C3962" t="s">
        <v>8</v>
      </c>
      <c r="D3962">
        <v>48563</v>
      </c>
      <c r="E3962" t="s">
        <v>42</v>
      </c>
      <c r="F3962" t="s">
        <v>10</v>
      </c>
    </row>
    <row r="3963" spans="1:6" hidden="1" x14ac:dyDescent="0.35">
      <c r="A3963" t="s">
        <v>11</v>
      </c>
      <c r="B3963" t="s">
        <v>34</v>
      </c>
      <c r="C3963" t="s">
        <v>8</v>
      </c>
      <c r="D3963">
        <v>134725</v>
      </c>
      <c r="E3963" t="s">
        <v>42</v>
      </c>
      <c r="F3963" t="s">
        <v>10</v>
      </c>
    </row>
    <row r="3964" spans="1:6" hidden="1" x14ac:dyDescent="0.35">
      <c r="A3964" t="s">
        <v>12</v>
      </c>
      <c r="B3964" t="s">
        <v>34</v>
      </c>
      <c r="C3964" t="s">
        <v>8</v>
      </c>
      <c r="D3964">
        <v>7502</v>
      </c>
      <c r="E3964" t="s">
        <v>42</v>
      </c>
      <c r="F3964" t="s">
        <v>10</v>
      </c>
    </row>
    <row r="3965" spans="1:6" hidden="1" x14ac:dyDescent="0.35">
      <c r="A3965" t="s">
        <v>13</v>
      </c>
      <c r="B3965" t="s">
        <v>34</v>
      </c>
      <c r="C3965" t="s">
        <v>8</v>
      </c>
      <c r="D3965">
        <v>67673</v>
      </c>
      <c r="E3965" t="s">
        <v>42</v>
      </c>
      <c r="F3965" t="s">
        <v>10</v>
      </c>
    </row>
    <row r="3966" spans="1:6" hidden="1" x14ac:dyDescent="0.35">
      <c r="A3966" t="s">
        <v>14</v>
      </c>
      <c r="B3966" t="s">
        <v>34</v>
      </c>
      <c r="C3966" t="s">
        <v>8</v>
      </c>
      <c r="D3966">
        <v>66822</v>
      </c>
      <c r="E3966" t="s">
        <v>42</v>
      </c>
      <c r="F3966" t="s">
        <v>10</v>
      </c>
    </row>
    <row r="3967" spans="1:6" hidden="1" x14ac:dyDescent="0.35">
      <c r="A3967" t="s">
        <v>15</v>
      </c>
      <c r="B3967" t="s">
        <v>34</v>
      </c>
      <c r="C3967" t="s">
        <v>8</v>
      </c>
      <c r="D3967">
        <v>3372</v>
      </c>
      <c r="E3967" t="s">
        <v>42</v>
      </c>
      <c r="F3967" t="s">
        <v>10</v>
      </c>
    </row>
    <row r="3968" spans="1:6" hidden="1" x14ac:dyDescent="0.35">
      <c r="A3968" t="s">
        <v>16</v>
      </c>
      <c r="B3968" t="s">
        <v>34</v>
      </c>
      <c r="C3968" t="s">
        <v>8</v>
      </c>
      <c r="D3968">
        <v>7340</v>
      </c>
      <c r="E3968" t="s">
        <v>42</v>
      </c>
      <c r="F3968" t="s">
        <v>10</v>
      </c>
    </row>
    <row r="3969" spans="1:6" hidden="1" x14ac:dyDescent="0.35">
      <c r="A3969" t="s">
        <v>17</v>
      </c>
      <c r="B3969" t="s">
        <v>34</v>
      </c>
      <c r="C3969" t="s">
        <v>8</v>
      </c>
      <c r="D3969">
        <v>26626</v>
      </c>
      <c r="E3969" t="s">
        <v>42</v>
      </c>
      <c r="F3969" t="s">
        <v>10</v>
      </c>
    </row>
    <row r="3970" spans="1:6" hidden="1" x14ac:dyDescent="0.35">
      <c r="A3970" t="s">
        <v>18</v>
      </c>
      <c r="B3970" t="s">
        <v>34</v>
      </c>
      <c r="C3970" t="s">
        <v>8</v>
      </c>
      <c r="D3970">
        <v>0</v>
      </c>
      <c r="E3970" t="s">
        <v>42</v>
      </c>
      <c r="F3970" t="s">
        <v>10</v>
      </c>
    </row>
    <row r="3971" spans="1:6" hidden="1" x14ac:dyDescent="0.35">
      <c r="A3971" t="s">
        <v>19</v>
      </c>
      <c r="B3971" t="s">
        <v>34</v>
      </c>
      <c r="C3971" t="s">
        <v>8</v>
      </c>
      <c r="D3971">
        <v>1940</v>
      </c>
      <c r="E3971" t="s">
        <v>42</v>
      </c>
      <c r="F3971" t="s">
        <v>10</v>
      </c>
    </row>
    <row r="3972" spans="1:6" hidden="1" x14ac:dyDescent="0.35">
      <c r="A3972" t="s">
        <v>20</v>
      </c>
      <c r="B3972" t="s">
        <v>34</v>
      </c>
      <c r="C3972" t="s">
        <v>8</v>
      </c>
      <c r="D3972">
        <v>11852</v>
      </c>
      <c r="E3972" t="s">
        <v>42</v>
      </c>
      <c r="F3972" t="s">
        <v>10</v>
      </c>
    </row>
    <row r="3973" spans="1:6" hidden="1" x14ac:dyDescent="0.35">
      <c r="A3973" t="s">
        <v>21</v>
      </c>
      <c r="B3973" t="s">
        <v>34</v>
      </c>
      <c r="C3973" t="s">
        <v>8</v>
      </c>
      <c r="D3973">
        <v>0</v>
      </c>
      <c r="E3973" t="s">
        <v>42</v>
      </c>
      <c r="F3973" t="s">
        <v>10</v>
      </c>
    </row>
    <row r="3974" spans="1:6" hidden="1" x14ac:dyDescent="0.35">
      <c r="A3974" t="s">
        <v>6</v>
      </c>
      <c r="B3974" t="s">
        <v>34</v>
      </c>
      <c r="C3974" t="s">
        <v>22</v>
      </c>
      <c r="D3974">
        <v>0</v>
      </c>
      <c r="E3974" t="s">
        <v>42</v>
      </c>
      <c r="F3974" t="s">
        <v>10</v>
      </c>
    </row>
    <row r="3975" spans="1:6" hidden="1" x14ac:dyDescent="0.35">
      <c r="A3975" t="s">
        <v>11</v>
      </c>
      <c r="B3975" t="s">
        <v>34</v>
      </c>
      <c r="C3975" t="s">
        <v>22</v>
      </c>
      <c r="D3975">
        <v>0</v>
      </c>
      <c r="E3975" t="s">
        <v>42</v>
      </c>
      <c r="F3975" t="s">
        <v>10</v>
      </c>
    </row>
    <row r="3976" spans="1:6" hidden="1" x14ac:dyDescent="0.35">
      <c r="A3976" t="s">
        <v>12</v>
      </c>
      <c r="B3976" t="s">
        <v>34</v>
      </c>
      <c r="C3976" t="s">
        <v>22</v>
      </c>
      <c r="D3976">
        <v>0</v>
      </c>
      <c r="E3976" t="s">
        <v>42</v>
      </c>
      <c r="F3976" t="s">
        <v>10</v>
      </c>
    </row>
    <row r="3977" spans="1:6" hidden="1" x14ac:dyDescent="0.35">
      <c r="A3977" t="s">
        <v>13</v>
      </c>
      <c r="B3977" t="s">
        <v>34</v>
      </c>
      <c r="C3977" t="s">
        <v>22</v>
      </c>
      <c r="D3977">
        <v>0</v>
      </c>
      <c r="E3977" t="s">
        <v>42</v>
      </c>
      <c r="F3977" t="s">
        <v>10</v>
      </c>
    </row>
    <row r="3978" spans="1:6" hidden="1" x14ac:dyDescent="0.35">
      <c r="A3978" t="s">
        <v>14</v>
      </c>
      <c r="B3978" t="s">
        <v>34</v>
      </c>
      <c r="C3978" t="s">
        <v>22</v>
      </c>
      <c r="D3978">
        <v>0</v>
      </c>
      <c r="E3978" t="s">
        <v>42</v>
      </c>
      <c r="F3978" t="s">
        <v>10</v>
      </c>
    </row>
    <row r="3979" spans="1:6" hidden="1" x14ac:dyDescent="0.35">
      <c r="A3979" t="s">
        <v>15</v>
      </c>
      <c r="B3979" t="s">
        <v>34</v>
      </c>
      <c r="C3979" t="s">
        <v>22</v>
      </c>
      <c r="D3979">
        <v>0</v>
      </c>
      <c r="E3979" t="s">
        <v>42</v>
      </c>
      <c r="F3979" t="s">
        <v>10</v>
      </c>
    </row>
    <row r="3980" spans="1:6" hidden="1" x14ac:dyDescent="0.35">
      <c r="A3980" t="s">
        <v>16</v>
      </c>
      <c r="B3980" t="s">
        <v>34</v>
      </c>
      <c r="C3980" t="s">
        <v>22</v>
      </c>
      <c r="D3980">
        <v>0</v>
      </c>
      <c r="E3980" t="s">
        <v>42</v>
      </c>
      <c r="F3980" t="s">
        <v>10</v>
      </c>
    </row>
    <row r="3981" spans="1:6" hidden="1" x14ac:dyDescent="0.35">
      <c r="A3981" t="s">
        <v>17</v>
      </c>
      <c r="B3981" t="s">
        <v>34</v>
      </c>
      <c r="C3981" t="s">
        <v>22</v>
      </c>
      <c r="D3981">
        <v>0</v>
      </c>
      <c r="E3981" t="s">
        <v>42</v>
      </c>
      <c r="F3981" t="s">
        <v>10</v>
      </c>
    </row>
    <row r="3982" spans="1:6" hidden="1" x14ac:dyDescent="0.35">
      <c r="A3982" t="s">
        <v>18</v>
      </c>
      <c r="B3982" t="s">
        <v>34</v>
      </c>
      <c r="C3982" t="s">
        <v>22</v>
      </c>
      <c r="D3982">
        <v>0</v>
      </c>
      <c r="E3982" t="s">
        <v>42</v>
      </c>
      <c r="F3982" t="s">
        <v>10</v>
      </c>
    </row>
    <row r="3983" spans="1:6" hidden="1" x14ac:dyDescent="0.35">
      <c r="A3983" t="s">
        <v>19</v>
      </c>
      <c r="B3983" t="s">
        <v>34</v>
      </c>
      <c r="C3983" t="s">
        <v>22</v>
      </c>
      <c r="D3983">
        <v>0</v>
      </c>
      <c r="E3983" t="s">
        <v>42</v>
      </c>
      <c r="F3983" t="s">
        <v>10</v>
      </c>
    </row>
    <row r="3984" spans="1:6" hidden="1" x14ac:dyDescent="0.35">
      <c r="A3984" t="s">
        <v>20</v>
      </c>
      <c r="B3984" t="s">
        <v>34</v>
      </c>
      <c r="C3984" t="s">
        <v>22</v>
      </c>
      <c r="D3984">
        <v>0</v>
      </c>
      <c r="E3984" t="s">
        <v>42</v>
      </c>
      <c r="F3984" t="s">
        <v>10</v>
      </c>
    </row>
    <row r="3985" spans="1:6" hidden="1" x14ac:dyDescent="0.35">
      <c r="A3985" t="s">
        <v>21</v>
      </c>
      <c r="B3985" t="s">
        <v>34</v>
      </c>
      <c r="C3985" t="s">
        <v>22</v>
      </c>
      <c r="D3985">
        <v>0</v>
      </c>
      <c r="E3985" t="s">
        <v>42</v>
      </c>
      <c r="F3985" t="s">
        <v>10</v>
      </c>
    </row>
    <row r="3986" spans="1:6" hidden="1" x14ac:dyDescent="0.35">
      <c r="A3986" t="s">
        <v>6</v>
      </c>
      <c r="B3986" t="s">
        <v>34</v>
      </c>
      <c r="C3986" t="s">
        <v>23</v>
      </c>
      <c r="D3986">
        <v>2130</v>
      </c>
      <c r="E3986" t="s">
        <v>42</v>
      </c>
      <c r="F3986" t="s">
        <v>10</v>
      </c>
    </row>
    <row r="3987" spans="1:6" hidden="1" x14ac:dyDescent="0.35">
      <c r="A3987" t="s">
        <v>11</v>
      </c>
      <c r="B3987" t="s">
        <v>34</v>
      </c>
      <c r="C3987" t="s">
        <v>23</v>
      </c>
      <c r="D3987">
        <v>138407</v>
      </c>
      <c r="E3987" t="s">
        <v>42</v>
      </c>
      <c r="F3987" t="s">
        <v>10</v>
      </c>
    </row>
    <row r="3988" spans="1:6" hidden="1" x14ac:dyDescent="0.35">
      <c r="A3988" t="s">
        <v>12</v>
      </c>
      <c r="B3988" t="s">
        <v>34</v>
      </c>
      <c r="C3988" t="s">
        <v>23</v>
      </c>
      <c r="D3988">
        <v>128184</v>
      </c>
      <c r="E3988" t="s">
        <v>42</v>
      </c>
      <c r="F3988" t="s">
        <v>10</v>
      </c>
    </row>
    <row r="3989" spans="1:6" hidden="1" x14ac:dyDescent="0.35">
      <c r="A3989" t="s">
        <v>13</v>
      </c>
      <c r="B3989" t="s">
        <v>34</v>
      </c>
      <c r="C3989" t="s">
        <v>23</v>
      </c>
      <c r="D3989">
        <v>156770</v>
      </c>
      <c r="E3989" t="s">
        <v>42</v>
      </c>
      <c r="F3989" t="s">
        <v>10</v>
      </c>
    </row>
    <row r="3990" spans="1:6" hidden="1" x14ac:dyDescent="0.35">
      <c r="A3990" t="s">
        <v>14</v>
      </c>
      <c r="B3990" t="s">
        <v>34</v>
      </c>
      <c r="C3990" t="s">
        <v>23</v>
      </c>
      <c r="D3990">
        <v>12886</v>
      </c>
      <c r="E3990" t="s">
        <v>42</v>
      </c>
      <c r="F3990" t="s">
        <v>10</v>
      </c>
    </row>
    <row r="3991" spans="1:6" hidden="1" x14ac:dyDescent="0.35">
      <c r="A3991" t="s">
        <v>15</v>
      </c>
      <c r="B3991" t="s">
        <v>34</v>
      </c>
      <c r="C3991" t="s">
        <v>23</v>
      </c>
      <c r="D3991">
        <v>2624</v>
      </c>
      <c r="E3991" t="s">
        <v>42</v>
      </c>
      <c r="F3991" t="s">
        <v>10</v>
      </c>
    </row>
    <row r="3992" spans="1:6" hidden="1" x14ac:dyDescent="0.35">
      <c r="A3992" t="s">
        <v>16</v>
      </c>
      <c r="B3992" t="s">
        <v>34</v>
      </c>
      <c r="C3992" t="s">
        <v>23</v>
      </c>
      <c r="D3992">
        <v>22959</v>
      </c>
      <c r="E3992" t="s">
        <v>42</v>
      </c>
      <c r="F3992" t="s">
        <v>10</v>
      </c>
    </row>
    <row r="3993" spans="1:6" hidden="1" x14ac:dyDescent="0.35">
      <c r="A3993" t="s">
        <v>17</v>
      </c>
      <c r="B3993" t="s">
        <v>34</v>
      </c>
      <c r="C3993" t="s">
        <v>23</v>
      </c>
      <c r="D3993">
        <v>132734</v>
      </c>
      <c r="E3993" t="s">
        <v>42</v>
      </c>
      <c r="F3993" t="s">
        <v>10</v>
      </c>
    </row>
    <row r="3994" spans="1:6" hidden="1" x14ac:dyDescent="0.35">
      <c r="A3994" t="s">
        <v>18</v>
      </c>
      <c r="B3994" t="s">
        <v>34</v>
      </c>
      <c r="C3994" t="s">
        <v>23</v>
      </c>
      <c r="D3994">
        <v>0</v>
      </c>
      <c r="E3994" t="s">
        <v>42</v>
      </c>
      <c r="F3994" t="s">
        <v>10</v>
      </c>
    </row>
    <row r="3995" spans="1:6" hidden="1" x14ac:dyDescent="0.35">
      <c r="A3995" t="s">
        <v>19</v>
      </c>
      <c r="B3995" t="s">
        <v>34</v>
      </c>
      <c r="C3995" t="s">
        <v>23</v>
      </c>
      <c r="D3995">
        <v>191898</v>
      </c>
      <c r="E3995" t="s">
        <v>42</v>
      </c>
      <c r="F3995" t="s">
        <v>10</v>
      </c>
    </row>
    <row r="3996" spans="1:6" hidden="1" x14ac:dyDescent="0.35">
      <c r="A3996" t="s">
        <v>20</v>
      </c>
      <c r="B3996" t="s">
        <v>34</v>
      </c>
      <c r="C3996" t="s">
        <v>23</v>
      </c>
      <c r="D3996">
        <v>82680</v>
      </c>
      <c r="E3996" t="s">
        <v>42</v>
      </c>
      <c r="F3996" t="s">
        <v>10</v>
      </c>
    </row>
    <row r="3997" spans="1:6" hidden="1" x14ac:dyDescent="0.35">
      <c r="A3997" t="s">
        <v>21</v>
      </c>
      <c r="B3997" t="s">
        <v>34</v>
      </c>
      <c r="C3997" t="s">
        <v>23</v>
      </c>
      <c r="D3997">
        <v>102422</v>
      </c>
      <c r="E3997" t="s">
        <v>42</v>
      </c>
      <c r="F3997" t="s">
        <v>10</v>
      </c>
    </row>
    <row r="3998" spans="1:6" hidden="1" x14ac:dyDescent="0.35">
      <c r="A3998" t="s">
        <v>6</v>
      </c>
      <c r="B3998" t="s">
        <v>34</v>
      </c>
      <c r="C3998" t="s">
        <v>24</v>
      </c>
      <c r="D3998">
        <v>0</v>
      </c>
      <c r="E3998" t="s">
        <v>42</v>
      </c>
      <c r="F3998" t="s">
        <v>10</v>
      </c>
    </row>
    <row r="3999" spans="1:6" hidden="1" x14ac:dyDescent="0.35">
      <c r="A3999" t="s">
        <v>11</v>
      </c>
      <c r="B3999" t="s">
        <v>34</v>
      </c>
      <c r="C3999" t="s">
        <v>24</v>
      </c>
      <c r="D3999">
        <v>0</v>
      </c>
      <c r="E3999" t="s">
        <v>42</v>
      </c>
      <c r="F3999" t="s">
        <v>10</v>
      </c>
    </row>
    <row r="4000" spans="1:6" hidden="1" x14ac:dyDescent="0.35">
      <c r="A4000" t="s">
        <v>12</v>
      </c>
      <c r="B4000" t="s">
        <v>34</v>
      </c>
      <c r="C4000" t="s">
        <v>24</v>
      </c>
      <c r="D4000">
        <v>0</v>
      </c>
      <c r="E4000" t="s">
        <v>42</v>
      </c>
      <c r="F4000" t="s">
        <v>10</v>
      </c>
    </row>
    <row r="4001" spans="1:6" hidden="1" x14ac:dyDescent="0.35">
      <c r="A4001" t="s">
        <v>13</v>
      </c>
      <c r="B4001" t="s">
        <v>34</v>
      </c>
      <c r="C4001" t="s">
        <v>24</v>
      </c>
      <c r="D4001">
        <v>0</v>
      </c>
      <c r="E4001" t="s">
        <v>42</v>
      </c>
      <c r="F4001" t="s">
        <v>10</v>
      </c>
    </row>
    <row r="4002" spans="1:6" hidden="1" x14ac:dyDescent="0.35">
      <c r="A4002" t="s">
        <v>14</v>
      </c>
      <c r="B4002" t="s">
        <v>34</v>
      </c>
      <c r="C4002" t="s">
        <v>24</v>
      </c>
      <c r="D4002">
        <v>0</v>
      </c>
      <c r="E4002" t="s">
        <v>42</v>
      </c>
      <c r="F4002" t="s">
        <v>10</v>
      </c>
    </row>
    <row r="4003" spans="1:6" hidden="1" x14ac:dyDescent="0.35">
      <c r="A4003" t="s">
        <v>15</v>
      </c>
      <c r="B4003" t="s">
        <v>34</v>
      </c>
      <c r="C4003" t="s">
        <v>24</v>
      </c>
      <c r="D4003">
        <v>0</v>
      </c>
      <c r="E4003" t="s">
        <v>42</v>
      </c>
      <c r="F4003" t="s">
        <v>10</v>
      </c>
    </row>
    <row r="4004" spans="1:6" hidden="1" x14ac:dyDescent="0.35">
      <c r="A4004" t="s">
        <v>16</v>
      </c>
      <c r="B4004" t="s">
        <v>34</v>
      </c>
      <c r="C4004" t="s">
        <v>24</v>
      </c>
      <c r="D4004">
        <v>0</v>
      </c>
      <c r="E4004" t="s">
        <v>42</v>
      </c>
      <c r="F4004" t="s">
        <v>10</v>
      </c>
    </row>
    <row r="4005" spans="1:6" hidden="1" x14ac:dyDescent="0.35">
      <c r="A4005" t="s">
        <v>17</v>
      </c>
      <c r="B4005" t="s">
        <v>34</v>
      </c>
      <c r="C4005" t="s">
        <v>24</v>
      </c>
      <c r="D4005">
        <v>0</v>
      </c>
      <c r="E4005" t="s">
        <v>42</v>
      </c>
      <c r="F4005" t="s">
        <v>10</v>
      </c>
    </row>
    <row r="4006" spans="1:6" hidden="1" x14ac:dyDescent="0.35">
      <c r="A4006" t="s">
        <v>18</v>
      </c>
      <c r="B4006" t="s">
        <v>34</v>
      </c>
      <c r="C4006" t="s">
        <v>24</v>
      </c>
      <c r="D4006">
        <v>0</v>
      </c>
      <c r="E4006" t="s">
        <v>42</v>
      </c>
      <c r="F4006" t="s">
        <v>10</v>
      </c>
    </row>
    <row r="4007" spans="1:6" hidden="1" x14ac:dyDescent="0.35">
      <c r="A4007" t="s">
        <v>19</v>
      </c>
      <c r="B4007" t="s">
        <v>34</v>
      </c>
      <c r="C4007" t="s">
        <v>24</v>
      </c>
      <c r="D4007">
        <v>0</v>
      </c>
      <c r="E4007" t="s">
        <v>42</v>
      </c>
      <c r="F4007" t="s">
        <v>10</v>
      </c>
    </row>
    <row r="4008" spans="1:6" hidden="1" x14ac:dyDescent="0.35">
      <c r="A4008" t="s">
        <v>20</v>
      </c>
      <c r="B4008" t="s">
        <v>34</v>
      </c>
      <c r="C4008" t="s">
        <v>24</v>
      </c>
      <c r="D4008">
        <v>0</v>
      </c>
      <c r="E4008" t="s">
        <v>42</v>
      </c>
      <c r="F4008" t="s">
        <v>10</v>
      </c>
    </row>
    <row r="4009" spans="1:6" hidden="1" x14ac:dyDescent="0.35">
      <c r="A4009" t="s">
        <v>21</v>
      </c>
      <c r="B4009" t="s">
        <v>34</v>
      </c>
      <c r="C4009" t="s">
        <v>24</v>
      </c>
      <c r="D4009">
        <v>0</v>
      </c>
      <c r="E4009" t="s">
        <v>42</v>
      </c>
      <c r="F4009" t="s">
        <v>10</v>
      </c>
    </row>
    <row r="4010" spans="1:6" hidden="1" x14ac:dyDescent="0.35">
      <c r="A4010" t="s">
        <v>6</v>
      </c>
      <c r="B4010" t="s">
        <v>34</v>
      </c>
      <c r="C4010" t="s">
        <v>25</v>
      </c>
      <c r="D4010">
        <v>0</v>
      </c>
      <c r="E4010" t="s">
        <v>42</v>
      </c>
      <c r="F4010" t="s">
        <v>10</v>
      </c>
    </row>
    <row r="4011" spans="1:6" hidden="1" x14ac:dyDescent="0.35">
      <c r="A4011" t="s">
        <v>11</v>
      </c>
      <c r="B4011" t="s">
        <v>34</v>
      </c>
      <c r="C4011" t="s">
        <v>25</v>
      </c>
      <c r="D4011">
        <v>0</v>
      </c>
      <c r="E4011" t="s">
        <v>42</v>
      </c>
      <c r="F4011" t="s">
        <v>10</v>
      </c>
    </row>
    <row r="4012" spans="1:6" hidden="1" x14ac:dyDescent="0.35">
      <c r="A4012" t="s">
        <v>12</v>
      </c>
      <c r="B4012" t="s">
        <v>34</v>
      </c>
      <c r="C4012" t="s">
        <v>25</v>
      </c>
      <c r="D4012">
        <v>0</v>
      </c>
      <c r="E4012" t="s">
        <v>42</v>
      </c>
      <c r="F4012" t="s">
        <v>10</v>
      </c>
    </row>
    <row r="4013" spans="1:6" hidden="1" x14ac:dyDescent="0.35">
      <c r="A4013" t="s">
        <v>13</v>
      </c>
      <c r="B4013" t="s">
        <v>34</v>
      </c>
      <c r="C4013" t="s">
        <v>25</v>
      </c>
      <c r="D4013">
        <v>0</v>
      </c>
      <c r="E4013" t="s">
        <v>42</v>
      </c>
      <c r="F4013" t="s">
        <v>10</v>
      </c>
    </row>
    <row r="4014" spans="1:6" hidden="1" x14ac:dyDescent="0.35">
      <c r="A4014" t="s">
        <v>14</v>
      </c>
      <c r="B4014" t="s">
        <v>34</v>
      </c>
      <c r="C4014" t="s">
        <v>25</v>
      </c>
      <c r="D4014">
        <v>0</v>
      </c>
      <c r="E4014" t="s">
        <v>42</v>
      </c>
      <c r="F4014" t="s">
        <v>10</v>
      </c>
    </row>
    <row r="4015" spans="1:6" hidden="1" x14ac:dyDescent="0.35">
      <c r="A4015" t="s">
        <v>15</v>
      </c>
      <c r="B4015" t="s">
        <v>34</v>
      </c>
      <c r="C4015" t="s">
        <v>25</v>
      </c>
      <c r="D4015">
        <v>0</v>
      </c>
      <c r="E4015" t="s">
        <v>42</v>
      </c>
      <c r="F4015" t="s">
        <v>10</v>
      </c>
    </row>
    <row r="4016" spans="1:6" hidden="1" x14ac:dyDescent="0.35">
      <c r="A4016" t="s">
        <v>16</v>
      </c>
      <c r="B4016" t="s">
        <v>34</v>
      </c>
      <c r="C4016" t="s">
        <v>25</v>
      </c>
      <c r="D4016">
        <v>0</v>
      </c>
      <c r="E4016" t="s">
        <v>42</v>
      </c>
      <c r="F4016" t="s">
        <v>10</v>
      </c>
    </row>
    <row r="4017" spans="1:6" hidden="1" x14ac:dyDescent="0.35">
      <c r="A4017" t="s">
        <v>17</v>
      </c>
      <c r="B4017" t="s">
        <v>34</v>
      </c>
      <c r="C4017" t="s">
        <v>25</v>
      </c>
      <c r="D4017">
        <v>0</v>
      </c>
      <c r="E4017" t="s">
        <v>42</v>
      </c>
      <c r="F4017" t="s">
        <v>10</v>
      </c>
    </row>
    <row r="4018" spans="1:6" hidden="1" x14ac:dyDescent="0.35">
      <c r="A4018" t="s">
        <v>18</v>
      </c>
      <c r="B4018" t="s">
        <v>34</v>
      </c>
      <c r="C4018" t="s">
        <v>25</v>
      </c>
      <c r="D4018">
        <v>0</v>
      </c>
      <c r="E4018" t="s">
        <v>42</v>
      </c>
      <c r="F4018" t="s">
        <v>10</v>
      </c>
    </row>
    <row r="4019" spans="1:6" hidden="1" x14ac:dyDescent="0.35">
      <c r="A4019" t="s">
        <v>19</v>
      </c>
      <c r="B4019" t="s">
        <v>34</v>
      </c>
      <c r="C4019" t="s">
        <v>25</v>
      </c>
      <c r="D4019">
        <v>0</v>
      </c>
      <c r="E4019" t="s">
        <v>42</v>
      </c>
      <c r="F4019" t="s">
        <v>10</v>
      </c>
    </row>
    <row r="4020" spans="1:6" hidden="1" x14ac:dyDescent="0.35">
      <c r="A4020" t="s">
        <v>20</v>
      </c>
      <c r="B4020" t="s">
        <v>34</v>
      </c>
      <c r="C4020" t="s">
        <v>25</v>
      </c>
      <c r="D4020">
        <v>0</v>
      </c>
      <c r="E4020" t="s">
        <v>42</v>
      </c>
      <c r="F4020" t="s">
        <v>10</v>
      </c>
    </row>
    <row r="4021" spans="1:6" hidden="1" x14ac:dyDescent="0.35">
      <c r="A4021" t="s">
        <v>21</v>
      </c>
      <c r="B4021" t="s">
        <v>34</v>
      </c>
      <c r="C4021" t="s">
        <v>25</v>
      </c>
      <c r="D4021">
        <v>0</v>
      </c>
      <c r="E4021" t="s">
        <v>42</v>
      </c>
      <c r="F4021" t="s">
        <v>10</v>
      </c>
    </row>
    <row r="4022" spans="1:6" hidden="1" x14ac:dyDescent="0.35">
      <c r="A4022" t="s">
        <v>6</v>
      </c>
      <c r="B4022" t="s">
        <v>34</v>
      </c>
      <c r="C4022" t="s">
        <v>26</v>
      </c>
      <c r="D4022">
        <v>0</v>
      </c>
      <c r="E4022" t="s">
        <v>42</v>
      </c>
      <c r="F4022" t="s">
        <v>10</v>
      </c>
    </row>
    <row r="4023" spans="1:6" hidden="1" x14ac:dyDescent="0.35">
      <c r="A4023" t="s">
        <v>11</v>
      </c>
      <c r="B4023" t="s">
        <v>34</v>
      </c>
      <c r="C4023" t="s">
        <v>26</v>
      </c>
      <c r="E4023" t="s">
        <v>42</v>
      </c>
      <c r="F4023" t="s">
        <v>10</v>
      </c>
    </row>
    <row r="4024" spans="1:6" hidden="1" x14ac:dyDescent="0.35">
      <c r="A4024" t="s">
        <v>12</v>
      </c>
      <c r="B4024" t="s">
        <v>34</v>
      </c>
      <c r="C4024" t="s">
        <v>26</v>
      </c>
      <c r="E4024" t="s">
        <v>42</v>
      </c>
      <c r="F4024" t="s">
        <v>10</v>
      </c>
    </row>
    <row r="4025" spans="1:6" hidden="1" x14ac:dyDescent="0.35">
      <c r="A4025" t="s">
        <v>13</v>
      </c>
      <c r="B4025" t="s">
        <v>34</v>
      </c>
      <c r="C4025" t="s">
        <v>26</v>
      </c>
      <c r="E4025" t="s">
        <v>42</v>
      </c>
      <c r="F4025" t="s">
        <v>10</v>
      </c>
    </row>
    <row r="4026" spans="1:6" hidden="1" x14ac:dyDescent="0.35">
      <c r="A4026" t="s">
        <v>14</v>
      </c>
      <c r="B4026" t="s">
        <v>34</v>
      </c>
      <c r="C4026" t="s">
        <v>26</v>
      </c>
      <c r="E4026" t="s">
        <v>42</v>
      </c>
      <c r="F4026" t="s">
        <v>10</v>
      </c>
    </row>
    <row r="4027" spans="1:6" hidden="1" x14ac:dyDescent="0.35">
      <c r="A4027" t="s">
        <v>15</v>
      </c>
      <c r="B4027" t="s">
        <v>34</v>
      </c>
      <c r="C4027" t="s">
        <v>26</v>
      </c>
      <c r="E4027" t="s">
        <v>42</v>
      </c>
      <c r="F4027" t="s">
        <v>10</v>
      </c>
    </row>
    <row r="4028" spans="1:6" hidden="1" x14ac:dyDescent="0.35">
      <c r="A4028" t="s">
        <v>16</v>
      </c>
      <c r="B4028" t="s">
        <v>34</v>
      </c>
      <c r="C4028" t="s">
        <v>26</v>
      </c>
      <c r="E4028" t="s">
        <v>42</v>
      </c>
      <c r="F4028" t="s">
        <v>10</v>
      </c>
    </row>
    <row r="4029" spans="1:6" hidden="1" x14ac:dyDescent="0.35">
      <c r="A4029" t="s">
        <v>17</v>
      </c>
      <c r="B4029" t="s">
        <v>34</v>
      </c>
      <c r="C4029" t="s">
        <v>26</v>
      </c>
      <c r="E4029" t="s">
        <v>42</v>
      </c>
      <c r="F4029" t="s">
        <v>10</v>
      </c>
    </row>
    <row r="4030" spans="1:6" hidden="1" x14ac:dyDescent="0.35">
      <c r="A4030" t="s">
        <v>18</v>
      </c>
      <c r="B4030" t="s">
        <v>34</v>
      </c>
      <c r="C4030" t="s">
        <v>26</v>
      </c>
      <c r="E4030" t="s">
        <v>42</v>
      </c>
      <c r="F4030" t="s">
        <v>10</v>
      </c>
    </row>
    <row r="4031" spans="1:6" hidden="1" x14ac:dyDescent="0.35">
      <c r="A4031" t="s">
        <v>19</v>
      </c>
      <c r="B4031" t="s">
        <v>34</v>
      </c>
      <c r="C4031" t="s">
        <v>26</v>
      </c>
      <c r="E4031" t="s">
        <v>42</v>
      </c>
      <c r="F4031" t="s">
        <v>10</v>
      </c>
    </row>
    <row r="4032" spans="1:6" hidden="1" x14ac:dyDescent="0.35">
      <c r="A4032" t="s">
        <v>20</v>
      </c>
      <c r="B4032" t="s">
        <v>34</v>
      </c>
      <c r="C4032" t="s">
        <v>26</v>
      </c>
      <c r="E4032" t="s">
        <v>42</v>
      </c>
      <c r="F4032" t="s">
        <v>10</v>
      </c>
    </row>
    <row r="4033" spans="1:6" hidden="1" x14ac:dyDescent="0.35">
      <c r="A4033" t="s">
        <v>21</v>
      </c>
      <c r="B4033" t="s">
        <v>34</v>
      </c>
      <c r="C4033" t="s">
        <v>26</v>
      </c>
      <c r="E4033" t="s">
        <v>42</v>
      </c>
      <c r="F4033" t="s">
        <v>10</v>
      </c>
    </row>
    <row r="4034" spans="1:6" hidden="1" x14ac:dyDescent="0.35">
      <c r="A4034" t="s">
        <v>6</v>
      </c>
      <c r="B4034" t="s">
        <v>34</v>
      </c>
      <c r="C4034" t="s">
        <v>27</v>
      </c>
      <c r="D4034">
        <v>2312</v>
      </c>
      <c r="E4034" t="s">
        <v>42</v>
      </c>
      <c r="F4034" t="s">
        <v>10</v>
      </c>
    </row>
    <row r="4035" spans="1:6" hidden="1" x14ac:dyDescent="0.35">
      <c r="A4035" t="s">
        <v>11</v>
      </c>
      <c r="B4035" t="s">
        <v>34</v>
      </c>
      <c r="C4035" t="s">
        <v>27</v>
      </c>
      <c r="D4035">
        <v>16839</v>
      </c>
      <c r="E4035" t="s">
        <v>42</v>
      </c>
      <c r="F4035" t="s">
        <v>10</v>
      </c>
    </row>
    <row r="4036" spans="1:6" hidden="1" x14ac:dyDescent="0.35">
      <c r="A4036" t="s">
        <v>12</v>
      </c>
      <c r="B4036" t="s">
        <v>34</v>
      </c>
      <c r="C4036" t="s">
        <v>27</v>
      </c>
      <c r="D4036">
        <v>4032</v>
      </c>
      <c r="E4036" t="s">
        <v>42</v>
      </c>
      <c r="F4036" t="s">
        <v>10</v>
      </c>
    </row>
    <row r="4037" spans="1:6" hidden="1" x14ac:dyDescent="0.35">
      <c r="A4037" t="s">
        <v>13</v>
      </c>
      <c r="B4037" t="s">
        <v>34</v>
      </c>
      <c r="C4037" t="s">
        <v>27</v>
      </c>
      <c r="D4037">
        <v>32246</v>
      </c>
      <c r="E4037" t="s">
        <v>42</v>
      </c>
      <c r="F4037" t="s">
        <v>10</v>
      </c>
    </row>
    <row r="4038" spans="1:6" hidden="1" x14ac:dyDescent="0.35">
      <c r="A4038" t="s">
        <v>14</v>
      </c>
      <c r="B4038" t="s">
        <v>34</v>
      </c>
      <c r="C4038" t="s">
        <v>27</v>
      </c>
      <c r="D4038">
        <v>2593</v>
      </c>
      <c r="E4038" t="s">
        <v>42</v>
      </c>
      <c r="F4038" t="s">
        <v>10</v>
      </c>
    </row>
    <row r="4039" spans="1:6" hidden="1" x14ac:dyDescent="0.35">
      <c r="A4039" t="s">
        <v>15</v>
      </c>
      <c r="B4039" t="s">
        <v>34</v>
      </c>
      <c r="C4039" t="s">
        <v>27</v>
      </c>
      <c r="D4039">
        <v>1247</v>
      </c>
      <c r="E4039" t="s">
        <v>42</v>
      </c>
      <c r="F4039" t="s">
        <v>10</v>
      </c>
    </row>
    <row r="4040" spans="1:6" hidden="1" x14ac:dyDescent="0.35">
      <c r="A4040" t="s">
        <v>16</v>
      </c>
      <c r="B4040" t="s">
        <v>34</v>
      </c>
      <c r="C4040" t="s">
        <v>27</v>
      </c>
      <c r="D4040">
        <v>1375</v>
      </c>
      <c r="E4040" t="s">
        <v>42</v>
      </c>
      <c r="F4040" t="s">
        <v>10</v>
      </c>
    </row>
    <row r="4041" spans="1:6" hidden="1" x14ac:dyDescent="0.35">
      <c r="A4041" t="s">
        <v>17</v>
      </c>
      <c r="B4041" t="s">
        <v>34</v>
      </c>
      <c r="C4041" t="s">
        <v>27</v>
      </c>
      <c r="D4041">
        <v>16624</v>
      </c>
      <c r="E4041" t="s">
        <v>42</v>
      </c>
      <c r="F4041" t="s">
        <v>10</v>
      </c>
    </row>
    <row r="4042" spans="1:6" hidden="1" x14ac:dyDescent="0.35">
      <c r="A4042" t="s">
        <v>18</v>
      </c>
      <c r="B4042" t="s">
        <v>34</v>
      </c>
      <c r="C4042" t="s">
        <v>27</v>
      </c>
      <c r="D4042">
        <v>0</v>
      </c>
      <c r="E4042" t="s">
        <v>42</v>
      </c>
      <c r="F4042" t="s">
        <v>10</v>
      </c>
    </row>
    <row r="4043" spans="1:6" hidden="1" x14ac:dyDescent="0.35">
      <c r="A4043" t="s">
        <v>19</v>
      </c>
      <c r="B4043" t="s">
        <v>34</v>
      </c>
      <c r="C4043" t="s">
        <v>27</v>
      </c>
      <c r="D4043">
        <v>32044</v>
      </c>
      <c r="E4043" t="s">
        <v>42</v>
      </c>
      <c r="F4043" t="s">
        <v>10</v>
      </c>
    </row>
    <row r="4044" spans="1:6" hidden="1" x14ac:dyDescent="0.35">
      <c r="A4044" t="s">
        <v>20</v>
      </c>
      <c r="B4044" t="s">
        <v>34</v>
      </c>
      <c r="C4044" t="s">
        <v>27</v>
      </c>
      <c r="D4044">
        <v>8143</v>
      </c>
      <c r="E4044" t="s">
        <v>42</v>
      </c>
      <c r="F4044" t="s">
        <v>10</v>
      </c>
    </row>
    <row r="4045" spans="1:6" hidden="1" x14ac:dyDescent="0.35">
      <c r="A4045" t="s">
        <v>21</v>
      </c>
      <c r="B4045" t="s">
        <v>34</v>
      </c>
      <c r="C4045" t="s">
        <v>27</v>
      </c>
      <c r="D4045">
        <v>5203</v>
      </c>
      <c r="E4045" t="s">
        <v>42</v>
      </c>
      <c r="F4045" t="s">
        <v>10</v>
      </c>
    </row>
    <row r="4046" spans="1:6" hidden="1" x14ac:dyDescent="0.35">
      <c r="A4046" t="s">
        <v>6</v>
      </c>
      <c r="B4046" t="s">
        <v>34</v>
      </c>
      <c r="C4046" t="s">
        <v>28</v>
      </c>
      <c r="D4046">
        <v>99257</v>
      </c>
      <c r="E4046" t="s">
        <v>42</v>
      </c>
      <c r="F4046" t="s">
        <v>10</v>
      </c>
    </row>
    <row r="4047" spans="1:6" hidden="1" x14ac:dyDescent="0.35">
      <c r="A4047" t="s">
        <v>11</v>
      </c>
      <c r="B4047" t="s">
        <v>34</v>
      </c>
      <c r="C4047" t="s">
        <v>28</v>
      </c>
      <c r="D4047">
        <v>407856</v>
      </c>
      <c r="E4047" t="s">
        <v>42</v>
      </c>
      <c r="F4047" t="s">
        <v>10</v>
      </c>
    </row>
    <row r="4048" spans="1:6" hidden="1" x14ac:dyDescent="0.35">
      <c r="A4048" t="s">
        <v>12</v>
      </c>
      <c r="B4048" t="s">
        <v>34</v>
      </c>
      <c r="C4048" t="s">
        <v>28</v>
      </c>
      <c r="D4048">
        <v>143187</v>
      </c>
      <c r="E4048" t="s">
        <v>42</v>
      </c>
      <c r="F4048" t="s">
        <v>10</v>
      </c>
    </row>
    <row r="4049" spans="1:6" hidden="1" x14ac:dyDescent="0.35">
      <c r="A4049" t="s">
        <v>13</v>
      </c>
      <c r="B4049" t="s">
        <v>34</v>
      </c>
      <c r="C4049" t="s">
        <v>28</v>
      </c>
      <c r="D4049">
        <v>292116</v>
      </c>
      <c r="E4049" t="s">
        <v>42</v>
      </c>
      <c r="F4049" t="s">
        <v>10</v>
      </c>
    </row>
    <row r="4050" spans="1:6" hidden="1" x14ac:dyDescent="0.35">
      <c r="A4050" t="s">
        <v>14</v>
      </c>
      <c r="B4050" t="s">
        <v>34</v>
      </c>
      <c r="C4050" t="s">
        <v>28</v>
      </c>
      <c r="D4050">
        <v>146530</v>
      </c>
      <c r="E4050" t="s">
        <v>42</v>
      </c>
      <c r="F4050" t="s">
        <v>10</v>
      </c>
    </row>
    <row r="4051" spans="1:6" hidden="1" x14ac:dyDescent="0.35">
      <c r="A4051" t="s">
        <v>15</v>
      </c>
      <c r="B4051" t="s">
        <v>34</v>
      </c>
      <c r="C4051" t="s">
        <v>28</v>
      </c>
      <c r="D4051">
        <v>9367</v>
      </c>
      <c r="E4051" t="s">
        <v>42</v>
      </c>
      <c r="F4051" t="s">
        <v>10</v>
      </c>
    </row>
    <row r="4052" spans="1:6" hidden="1" x14ac:dyDescent="0.35">
      <c r="A4052" t="s">
        <v>16</v>
      </c>
      <c r="B4052" t="s">
        <v>34</v>
      </c>
      <c r="C4052" t="s">
        <v>28</v>
      </c>
      <c r="D4052">
        <v>37639</v>
      </c>
      <c r="E4052" t="s">
        <v>42</v>
      </c>
      <c r="F4052" t="s">
        <v>10</v>
      </c>
    </row>
    <row r="4053" spans="1:6" hidden="1" x14ac:dyDescent="0.35">
      <c r="A4053" t="s">
        <v>17</v>
      </c>
      <c r="B4053" t="s">
        <v>34</v>
      </c>
      <c r="C4053" t="s">
        <v>28</v>
      </c>
      <c r="D4053">
        <v>185986</v>
      </c>
      <c r="E4053" t="s">
        <v>42</v>
      </c>
      <c r="F4053" t="s">
        <v>10</v>
      </c>
    </row>
    <row r="4054" spans="1:6" hidden="1" x14ac:dyDescent="0.35">
      <c r="A4054" t="s">
        <v>18</v>
      </c>
      <c r="B4054" t="s">
        <v>34</v>
      </c>
      <c r="C4054" t="s">
        <v>28</v>
      </c>
      <c r="D4054">
        <v>0</v>
      </c>
      <c r="E4054" t="s">
        <v>42</v>
      </c>
      <c r="F4054" t="s">
        <v>10</v>
      </c>
    </row>
    <row r="4055" spans="1:6" hidden="1" x14ac:dyDescent="0.35">
      <c r="A4055" t="s">
        <v>19</v>
      </c>
      <c r="B4055" t="s">
        <v>34</v>
      </c>
      <c r="C4055" t="s">
        <v>28</v>
      </c>
      <c r="D4055">
        <v>195778</v>
      </c>
      <c r="E4055" t="s">
        <v>42</v>
      </c>
      <c r="F4055" t="s">
        <v>10</v>
      </c>
    </row>
    <row r="4056" spans="1:6" hidden="1" x14ac:dyDescent="0.35">
      <c r="A4056" t="s">
        <v>20</v>
      </c>
      <c r="B4056" t="s">
        <v>34</v>
      </c>
      <c r="C4056" t="s">
        <v>28</v>
      </c>
      <c r="D4056">
        <v>106385</v>
      </c>
      <c r="E4056" t="s">
        <v>42</v>
      </c>
      <c r="F4056" t="s">
        <v>10</v>
      </c>
    </row>
    <row r="4057" spans="1:6" hidden="1" x14ac:dyDescent="0.35">
      <c r="A4057" t="s">
        <v>21</v>
      </c>
      <c r="B4057" t="s">
        <v>34</v>
      </c>
      <c r="C4057" t="s">
        <v>28</v>
      </c>
      <c r="D4057">
        <v>102422</v>
      </c>
      <c r="E4057" t="s">
        <v>42</v>
      </c>
      <c r="F4057" t="s">
        <v>10</v>
      </c>
    </row>
    <row r="4058" spans="1:6" hidden="1" x14ac:dyDescent="0.35">
      <c r="A4058" t="s">
        <v>6</v>
      </c>
      <c r="B4058" t="s">
        <v>34</v>
      </c>
      <c r="C4058" t="s">
        <v>29</v>
      </c>
      <c r="E4058" t="s">
        <v>42</v>
      </c>
      <c r="F4058" t="s">
        <v>10</v>
      </c>
    </row>
    <row r="4059" spans="1:6" hidden="1" x14ac:dyDescent="0.35">
      <c r="A4059" t="s">
        <v>11</v>
      </c>
      <c r="B4059" t="s">
        <v>34</v>
      </c>
      <c r="C4059" t="s">
        <v>29</v>
      </c>
      <c r="E4059" t="s">
        <v>42</v>
      </c>
      <c r="F4059" t="s">
        <v>10</v>
      </c>
    </row>
    <row r="4060" spans="1:6" hidden="1" x14ac:dyDescent="0.35">
      <c r="A4060" t="s">
        <v>12</v>
      </c>
      <c r="B4060" t="s">
        <v>34</v>
      </c>
      <c r="C4060" t="s">
        <v>29</v>
      </c>
      <c r="D4060">
        <v>1</v>
      </c>
      <c r="E4060" t="s">
        <v>42</v>
      </c>
      <c r="F4060" t="s">
        <v>10</v>
      </c>
    </row>
    <row r="4061" spans="1:6" hidden="1" x14ac:dyDescent="0.35">
      <c r="A4061" t="s">
        <v>13</v>
      </c>
      <c r="B4061" t="s">
        <v>34</v>
      </c>
      <c r="C4061" t="s">
        <v>29</v>
      </c>
      <c r="D4061">
        <v>1</v>
      </c>
      <c r="E4061" t="s">
        <v>42</v>
      </c>
      <c r="F4061" t="s">
        <v>10</v>
      </c>
    </row>
    <row r="4062" spans="1:6" hidden="1" x14ac:dyDescent="0.35">
      <c r="A4062" t="s">
        <v>14</v>
      </c>
      <c r="B4062" t="s">
        <v>34</v>
      </c>
      <c r="C4062" t="s">
        <v>29</v>
      </c>
      <c r="D4062">
        <v>1</v>
      </c>
      <c r="E4062" t="s">
        <v>42</v>
      </c>
      <c r="F4062" t="s">
        <v>10</v>
      </c>
    </row>
    <row r="4063" spans="1:6" hidden="1" x14ac:dyDescent="0.35">
      <c r="A4063" t="s">
        <v>15</v>
      </c>
      <c r="B4063" t="s">
        <v>34</v>
      </c>
      <c r="C4063" t="s">
        <v>29</v>
      </c>
      <c r="E4063" t="s">
        <v>42</v>
      </c>
      <c r="F4063" t="s">
        <v>10</v>
      </c>
    </row>
    <row r="4064" spans="1:6" hidden="1" x14ac:dyDescent="0.35">
      <c r="A4064" t="s">
        <v>16</v>
      </c>
      <c r="B4064" t="s">
        <v>34</v>
      </c>
      <c r="C4064" t="s">
        <v>29</v>
      </c>
      <c r="E4064" t="s">
        <v>42</v>
      </c>
      <c r="F4064" t="s">
        <v>10</v>
      </c>
    </row>
    <row r="4065" spans="1:6" hidden="1" x14ac:dyDescent="0.35">
      <c r="A4065" t="s">
        <v>17</v>
      </c>
      <c r="B4065" t="s">
        <v>34</v>
      </c>
      <c r="C4065" t="s">
        <v>29</v>
      </c>
      <c r="D4065">
        <v>1</v>
      </c>
      <c r="E4065" t="s">
        <v>42</v>
      </c>
      <c r="F4065" t="s">
        <v>10</v>
      </c>
    </row>
    <row r="4066" spans="1:6" hidden="1" x14ac:dyDescent="0.35">
      <c r="A4066" t="s">
        <v>18</v>
      </c>
      <c r="B4066" t="s">
        <v>34</v>
      </c>
      <c r="C4066" t="s">
        <v>29</v>
      </c>
      <c r="D4066">
        <v>1</v>
      </c>
      <c r="E4066" t="s">
        <v>42</v>
      </c>
      <c r="F4066" t="s">
        <v>10</v>
      </c>
    </row>
    <row r="4067" spans="1:6" hidden="1" x14ac:dyDescent="0.35">
      <c r="A4067" t="s">
        <v>19</v>
      </c>
      <c r="B4067" t="s">
        <v>34</v>
      </c>
      <c r="C4067" t="s">
        <v>29</v>
      </c>
      <c r="D4067">
        <v>2</v>
      </c>
      <c r="E4067" t="s">
        <v>42</v>
      </c>
      <c r="F4067" t="s">
        <v>10</v>
      </c>
    </row>
    <row r="4068" spans="1:6" hidden="1" x14ac:dyDescent="0.35">
      <c r="A4068" t="s">
        <v>20</v>
      </c>
      <c r="B4068" t="s">
        <v>34</v>
      </c>
      <c r="C4068" t="s">
        <v>29</v>
      </c>
      <c r="E4068" t="s">
        <v>42</v>
      </c>
      <c r="F4068" t="s">
        <v>10</v>
      </c>
    </row>
    <row r="4069" spans="1:6" hidden="1" x14ac:dyDescent="0.35">
      <c r="A4069" t="s">
        <v>21</v>
      </c>
      <c r="B4069" t="s">
        <v>34</v>
      </c>
      <c r="C4069" t="s">
        <v>29</v>
      </c>
      <c r="E4069" t="s">
        <v>42</v>
      </c>
      <c r="F4069" t="s">
        <v>10</v>
      </c>
    </row>
    <row r="4070" spans="1:6" hidden="1" x14ac:dyDescent="0.35">
      <c r="A4070" t="s">
        <v>6</v>
      </c>
      <c r="B4070" t="s">
        <v>34</v>
      </c>
      <c r="C4070" t="s">
        <v>30</v>
      </c>
      <c r="D4070">
        <v>1</v>
      </c>
      <c r="E4070" t="s">
        <v>42</v>
      </c>
      <c r="F4070" t="s">
        <v>10</v>
      </c>
    </row>
    <row r="4071" spans="1:6" hidden="1" x14ac:dyDescent="0.35">
      <c r="A4071" t="s">
        <v>11</v>
      </c>
      <c r="B4071" t="s">
        <v>34</v>
      </c>
      <c r="C4071" t="s">
        <v>30</v>
      </c>
      <c r="D4071">
        <v>1</v>
      </c>
      <c r="E4071" t="s">
        <v>42</v>
      </c>
      <c r="F4071" t="s">
        <v>10</v>
      </c>
    </row>
    <row r="4072" spans="1:6" hidden="1" x14ac:dyDescent="0.35">
      <c r="A4072" t="s">
        <v>12</v>
      </c>
      <c r="B4072" t="s">
        <v>34</v>
      </c>
      <c r="C4072" t="s">
        <v>30</v>
      </c>
      <c r="D4072">
        <v>2</v>
      </c>
      <c r="E4072" t="s">
        <v>42</v>
      </c>
      <c r="F4072" t="s">
        <v>10</v>
      </c>
    </row>
    <row r="4073" spans="1:6" hidden="1" x14ac:dyDescent="0.35">
      <c r="A4073" t="s">
        <v>13</v>
      </c>
      <c r="B4073" t="s">
        <v>34</v>
      </c>
      <c r="C4073" t="s">
        <v>30</v>
      </c>
      <c r="D4073">
        <v>1</v>
      </c>
      <c r="E4073" t="s">
        <v>42</v>
      </c>
      <c r="F4073" t="s">
        <v>10</v>
      </c>
    </row>
    <row r="4074" spans="1:6" hidden="1" x14ac:dyDescent="0.35">
      <c r="A4074" t="s">
        <v>14</v>
      </c>
      <c r="B4074" t="s">
        <v>34</v>
      </c>
      <c r="C4074" t="s">
        <v>30</v>
      </c>
      <c r="D4074">
        <v>2</v>
      </c>
      <c r="E4074" t="s">
        <v>42</v>
      </c>
      <c r="F4074" t="s">
        <v>10</v>
      </c>
    </row>
    <row r="4075" spans="1:6" hidden="1" x14ac:dyDescent="0.35">
      <c r="A4075" t="s">
        <v>15</v>
      </c>
      <c r="B4075" t="s">
        <v>34</v>
      </c>
      <c r="C4075" t="s">
        <v>30</v>
      </c>
      <c r="D4075">
        <v>2</v>
      </c>
      <c r="E4075" t="s">
        <v>42</v>
      </c>
      <c r="F4075" t="s">
        <v>10</v>
      </c>
    </row>
    <row r="4076" spans="1:6" hidden="1" x14ac:dyDescent="0.35">
      <c r="A4076" t="s">
        <v>16</v>
      </c>
      <c r="B4076" t="s">
        <v>34</v>
      </c>
      <c r="C4076" t="s">
        <v>30</v>
      </c>
      <c r="E4076" t="s">
        <v>42</v>
      </c>
      <c r="F4076" t="s">
        <v>10</v>
      </c>
    </row>
    <row r="4077" spans="1:6" hidden="1" x14ac:dyDescent="0.35">
      <c r="A4077" t="s">
        <v>17</v>
      </c>
      <c r="B4077" t="s">
        <v>34</v>
      </c>
      <c r="C4077" t="s">
        <v>30</v>
      </c>
      <c r="D4077">
        <v>2</v>
      </c>
      <c r="E4077" t="s">
        <v>42</v>
      </c>
      <c r="F4077" t="s">
        <v>10</v>
      </c>
    </row>
    <row r="4078" spans="1:6" hidden="1" x14ac:dyDescent="0.35">
      <c r="A4078" t="s">
        <v>18</v>
      </c>
      <c r="B4078" t="s">
        <v>34</v>
      </c>
      <c r="C4078" t="s">
        <v>30</v>
      </c>
      <c r="D4078">
        <v>2</v>
      </c>
      <c r="E4078" t="s">
        <v>42</v>
      </c>
      <c r="F4078" t="s">
        <v>10</v>
      </c>
    </row>
    <row r="4079" spans="1:6" hidden="1" x14ac:dyDescent="0.35">
      <c r="A4079" t="s">
        <v>19</v>
      </c>
      <c r="B4079" t="s">
        <v>34</v>
      </c>
      <c r="C4079" t="s">
        <v>30</v>
      </c>
      <c r="D4079">
        <v>2</v>
      </c>
      <c r="E4079" t="s">
        <v>42</v>
      </c>
      <c r="F4079" t="s">
        <v>10</v>
      </c>
    </row>
    <row r="4080" spans="1:6" hidden="1" x14ac:dyDescent="0.35">
      <c r="A4080" t="s">
        <v>20</v>
      </c>
      <c r="B4080" t="s">
        <v>34</v>
      </c>
      <c r="C4080" t="s">
        <v>30</v>
      </c>
      <c r="D4080">
        <v>2</v>
      </c>
      <c r="E4080" t="s">
        <v>42</v>
      </c>
      <c r="F4080" t="s">
        <v>10</v>
      </c>
    </row>
    <row r="4081" spans="1:6" hidden="1" x14ac:dyDescent="0.35">
      <c r="A4081" t="s">
        <v>21</v>
      </c>
      <c r="B4081" t="s">
        <v>34</v>
      </c>
      <c r="C4081" t="s">
        <v>30</v>
      </c>
      <c r="D4081">
        <v>2</v>
      </c>
      <c r="E4081" t="s">
        <v>42</v>
      </c>
      <c r="F4081" t="s">
        <v>10</v>
      </c>
    </row>
    <row r="4082" spans="1:6" hidden="1" x14ac:dyDescent="0.35">
      <c r="A4082" t="s">
        <v>6</v>
      </c>
      <c r="B4082" t="s">
        <v>34</v>
      </c>
      <c r="C4082" t="s">
        <v>31</v>
      </c>
      <c r="E4082" t="s">
        <v>42</v>
      </c>
      <c r="F4082" t="s">
        <v>10</v>
      </c>
    </row>
    <row r="4083" spans="1:6" hidden="1" x14ac:dyDescent="0.35">
      <c r="A4083" t="s">
        <v>11</v>
      </c>
      <c r="B4083" t="s">
        <v>34</v>
      </c>
      <c r="C4083" t="s">
        <v>31</v>
      </c>
      <c r="E4083" t="s">
        <v>42</v>
      </c>
      <c r="F4083" t="s">
        <v>10</v>
      </c>
    </row>
    <row r="4084" spans="1:6" hidden="1" x14ac:dyDescent="0.35">
      <c r="A4084" t="s">
        <v>12</v>
      </c>
      <c r="B4084" t="s">
        <v>34</v>
      </c>
      <c r="C4084" t="s">
        <v>31</v>
      </c>
      <c r="D4084">
        <v>1</v>
      </c>
      <c r="E4084" t="s">
        <v>42</v>
      </c>
      <c r="F4084" t="s">
        <v>10</v>
      </c>
    </row>
    <row r="4085" spans="1:6" hidden="1" x14ac:dyDescent="0.35">
      <c r="A4085" t="s">
        <v>13</v>
      </c>
      <c r="B4085" t="s">
        <v>34</v>
      </c>
      <c r="C4085" t="s">
        <v>31</v>
      </c>
      <c r="D4085">
        <v>1</v>
      </c>
      <c r="E4085" t="s">
        <v>42</v>
      </c>
      <c r="F4085" t="s">
        <v>10</v>
      </c>
    </row>
    <row r="4086" spans="1:6" hidden="1" x14ac:dyDescent="0.35">
      <c r="A4086" t="s">
        <v>14</v>
      </c>
      <c r="B4086" t="s">
        <v>34</v>
      </c>
      <c r="C4086" t="s">
        <v>31</v>
      </c>
      <c r="D4086">
        <v>1</v>
      </c>
      <c r="E4086" t="s">
        <v>42</v>
      </c>
      <c r="F4086" t="s">
        <v>10</v>
      </c>
    </row>
    <row r="4087" spans="1:6" hidden="1" x14ac:dyDescent="0.35">
      <c r="A4087" t="s">
        <v>15</v>
      </c>
      <c r="B4087" t="s">
        <v>34</v>
      </c>
      <c r="C4087" t="s">
        <v>31</v>
      </c>
      <c r="E4087" t="s">
        <v>42</v>
      </c>
      <c r="F4087" t="s">
        <v>10</v>
      </c>
    </row>
    <row r="4088" spans="1:6" hidden="1" x14ac:dyDescent="0.35">
      <c r="A4088" t="s">
        <v>16</v>
      </c>
      <c r="B4088" t="s">
        <v>34</v>
      </c>
      <c r="C4088" t="s">
        <v>31</v>
      </c>
      <c r="E4088" t="s">
        <v>42</v>
      </c>
      <c r="F4088" t="s">
        <v>10</v>
      </c>
    </row>
    <row r="4089" spans="1:6" hidden="1" x14ac:dyDescent="0.35">
      <c r="A4089" t="s">
        <v>17</v>
      </c>
      <c r="B4089" t="s">
        <v>34</v>
      </c>
      <c r="C4089" t="s">
        <v>31</v>
      </c>
      <c r="D4089">
        <v>1</v>
      </c>
      <c r="E4089" t="s">
        <v>42</v>
      </c>
      <c r="F4089" t="s">
        <v>10</v>
      </c>
    </row>
    <row r="4090" spans="1:6" hidden="1" x14ac:dyDescent="0.35">
      <c r="A4090" t="s">
        <v>18</v>
      </c>
      <c r="B4090" t="s">
        <v>34</v>
      </c>
      <c r="C4090" t="s">
        <v>31</v>
      </c>
      <c r="D4090">
        <v>1</v>
      </c>
      <c r="E4090" t="s">
        <v>42</v>
      </c>
      <c r="F4090" t="s">
        <v>10</v>
      </c>
    </row>
    <row r="4091" spans="1:6" hidden="1" x14ac:dyDescent="0.35">
      <c r="A4091" t="s">
        <v>19</v>
      </c>
      <c r="B4091" t="s">
        <v>34</v>
      </c>
      <c r="C4091" t="s">
        <v>31</v>
      </c>
      <c r="D4091">
        <v>1</v>
      </c>
      <c r="E4091" t="s">
        <v>42</v>
      </c>
      <c r="F4091" t="s">
        <v>10</v>
      </c>
    </row>
    <row r="4092" spans="1:6" hidden="1" x14ac:dyDescent="0.35">
      <c r="A4092" t="s">
        <v>20</v>
      </c>
      <c r="B4092" t="s">
        <v>34</v>
      </c>
      <c r="C4092" t="s">
        <v>31</v>
      </c>
      <c r="E4092" t="s">
        <v>42</v>
      </c>
      <c r="F4092" t="s">
        <v>10</v>
      </c>
    </row>
    <row r="4093" spans="1:6" hidden="1" x14ac:dyDescent="0.35">
      <c r="A4093" t="s">
        <v>21</v>
      </c>
      <c r="B4093" t="s">
        <v>34</v>
      </c>
      <c r="C4093" t="s">
        <v>31</v>
      </c>
      <c r="E4093" t="s">
        <v>42</v>
      </c>
      <c r="F4093" t="s">
        <v>10</v>
      </c>
    </row>
    <row r="4094" spans="1:6" hidden="1" x14ac:dyDescent="0.35">
      <c r="A4094" t="s">
        <v>6</v>
      </c>
      <c r="B4094" t="s">
        <v>35</v>
      </c>
      <c r="C4094" t="s">
        <v>8</v>
      </c>
      <c r="D4094">
        <v>15160</v>
      </c>
      <c r="E4094" t="s">
        <v>42</v>
      </c>
      <c r="F4094" t="s">
        <v>10</v>
      </c>
    </row>
    <row r="4095" spans="1:6" hidden="1" x14ac:dyDescent="0.35">
      <c r="A4095" t="s">
        <v>11</v>
      </c>
      <c r="B4095" t="s">
        <v>35</v>
      </c>
      <c r="C4095" t="s">
        <v>8</v>
      </c>
      <c r="D4095">
        <v>10350</v>
      </c>
      <c r="E4095" t="s">
        <v>42</v>
      </c>
      <c r="F4095" t="s">
        <v>10</v>
      </c>
    </row>
    <row r="4096" spans="1:6" hidden="1" x14ac:dyDescent="0.35">
      <c r="A4096" t="s">
        <v>12</v>
      </c>
      <c r="B4096" t="s">
        <v>35</v>
      </c>
      <c r="C4096" t="s">
        <v>8</v>
      </c>
      <c r="D4096">
        <v>10711</v>
      </c>
      <c r="E4096" t="s">
        <v>42</v>
      </c>
      <c r="F4096" t="s">
        <v>10</v>
      </c>
    </row>
    <row r="4097" spans="1:6" hidden="1" x14ac:dyDescent="0.35">
      <c r="A4097" t="s">
        <v>13</v>
      </c>
      <c r="B4097" t="s">
        <v>35</v>
      </c>
      <c r="C4097" t="s">
        <v>8</v>
      </c>
      <c r="D4097">
        <v>14255</v>
      </c>
      <c r="E4097" t="s">
        <v>42</v>
      </c>
      <c r="F4097" t="s">
        <v>10</v>
      </c>
    </row>
    <row r="4098" spans="1:6" hidden="1" x14ac:dyDescent="0.35">
      <c r="A4098" t="s">
        <v>14</v>
      </c>
      <c r="B4098" t="s">
        <v>35</v>
      </c>
      <c r="C4098" t="s">
        <v>8</v>
      </c>
      <c r="D4098">
        <v>103033</v>
      </c>
      <c r="E4098" t="s">
        <v>42</v>
      </c>
      <c r="F4098" t="s">
        <v>10</v>
      </c>
    </row>
    <row r="4099" spans="1:6" hidden="1" x14ac:dyDescent="0.35">
      <c r="A4099" t="s">
        <v>15</v>
      </c>
      <c r="B4099" t="s">
        <v>35</v>
      </c>
      <c r="C4099" t="s">
        <v>8</v>
      </c>
      <c r="D4099">
        <v>499</v>
      </c>
      <c r="E4099" t="s">
        <v>42</v>
      </c>
      <c r="F4099" t="s">
        <v>10</v>
      </c>
    </row>
    <row r="4100" spans="1:6" hidden="1" x14ac:dyDescent="0.35">
      <c r="A4100" t="s">
        <v>16</v>
      </c>
      <c r="B4100" t="s">
        <v>35</v>
      </c>
      <c r="C4100" t="s">
        <v>8</v>
      </c>
      <c r="D4100">
        <v>457</v>
      </c>
      <c r="E4100" t="s">
        <v>42</v>
      </c>
      <c r="F4100" t="s">
        <v>10</v>
      </c>
    </row>
    <row r="4101" spans="1:6" hidden="1" x14ac:dyDescent="0.35">
      <c r="A4101" t="s">
        <v>17</v>
      </c>
      <c r="B4101" t="s">
        <v>35</v>
      </c>
      <c r="C4101" t="s">
        <v>8</v>
      </c>
      <c r="D4101">
        <v>9364</v>
      </c>
      <c r="E4101" t="s">
        <v>42</v>
      </c>
      <c r="F4101" t="s">
        <v>10</v>
      </c>
    </row>
    <row r="4102" spans="1:6" hidden="1" x14ac:dyDescent="0.35">
      <c r="A4102" t="s">
        <v>18</v>
      </c>
      <c r="B4102" t="s">
        <v>35</v>
      </c>
      <c r="C4102" t="s">
        <v>8</v>
      </c>
      <c r="D4102">
        <v>0</v>
      </c>
      <c r="E4102" t="s">
        <v>42</v>
      </c>
      <c r="F4102" t="s">
        <v>10</v>
      </c>
    </row>
    <row r="4103" spans="1:6" hidden="1" x14ac:dyDescent="0.35">
      <c r="A4103" t="s">
        <v>19</v>
      </c>
      <c r="B4103" t="s">
        <v>35</v>
      </c>
      <c r="C4103" t="s">
        <v>8</v>
      </c>
      <c r="D4103">
        <v>0</v>
      </c>
      <c r="E4103" t="s">
        <v>42</v>
      </c>
      <c r="F4103" t="s">
        <v>10</v>
      </c>
    </row>
    <row r="4104" spans="1:6" hidden="1" x14ac:dyDescent="0.35">
      <c r="A4104" t="s">
        <v>20</v>
      </c>
      <c r="B4104" t="s">
        <v>35</v>
      </c>
      <c r="C4104" t="s">
        <v>8</v>
      </c>
      <c r="D4104">
        <v>13583</v>
      </c>
      <c r="E4104" t="s">
        <v>42</v>
      </c>
      <c r="F4104" t="s">
        <v>10</v>
      </c>
    </row>
    <row r="4105" spans="1:6" hidden="1" x14ac:dyDescent="0.35">
      <c r="A4105" t="s">
        <v>21</v>
      </c>
      <c r="B4105" t="s">
        <v>35</v>
      </c>
      <c r="C4105" t="s">
        <v>8</v>
      </c>
      <c r="D4105">
        <v>34210</v>
      </c>
      <c r="E4105" t="s">
        <v>42</v>
      </c>
      <c r="F4105" t="s">
        <v>10</v>
      </c>
    </row>
    <row r="4106" spans="1:6" hidden="1" x14ac:dyDescent="0.35">
      <c r="A4106" t="s">
        <v>6</v>
      </c>
      <c r="B4106" t="s">
        <v>35</v>
      </c>
      <c r="C4106" t="s">
        <v>22</v>
      </c>
      <c r="D4106">
        <v>0</v>
      </c>
      <c r="E4106" t="s">
        <v>42</v>
      </c>
      <c r="F4106" t="s">
        <v>10</v>
      </c>
    </row>
    <row r="4107" spans="1:6" hidden="1" x14ac:dyDescent="0.35">
      <c r="A4107" t="s">
        <v>11</v>
      </c>
      <c r="B4107" t="s">
        <v>35</v>
      </c>
      <c r="C4107" t="s">
        <v>22</v>
      </c>
      <c r="D4107">
        <v>0</v>
      </c>
      <c r="E4107" t="s">
        <v>42</v>
      </c>
      <c r="F4107" t="s">
        <v>10</v>
      </c>
    </row>
    <row r="4108" spans="1:6" hidden="1" x14ac:dyDescent="0.35">
      <c r="A4108" t="s">
        <v>12</v>
      </c>
      <c r="B4108" t="s">
        <v>35</v>
      </c>
      <c r="C4108" t="s">
        <v>22</v>
      </c>
      <c r="D4108">
        <v>0</v>
      </c>
      <c r="E4108" t="s">
        <v>42</v>
      </c>
      <c r="F4108" t="s">
        <v>10</v>
      </c>
    </row>
    <row r="4109" spans="1:6" hidden="1" x14ac:dyDescent="0.35">
      <c r="A4109" t="s">
        <v>13</v>
      </c>
      <c r="B4109" t="s">
        <v>35</v>
      </c>
      <c r="C4109" t="s">
        <v>22</v>
      </c>
      <c r="D4109">
        <v>0</v>
      </c>
      <c r="E4109" t="s">
        <v>42</v>
      </c>
      <c r="F4109" t="s">
        <v>10</v>
      </c>
    </row>
    <row r="4110" spans="1:6" hidden="1" x14ac:dyDescent="0.35">
      <c r="A4110" t="s">
        <v>14</v>
      </c>
      <c r="B4110" t="s">
        <v>35</v>
      </c>
      <c r="C4110" t="s">
        <v>22</v>
      </c>
      <c r="D4110">
        <v>0</v>
      </c>
      <c r="E4110" t="s">
        <v>42</v>
      </c>
      <c r="F4110" t="s">
        <v>10</v>
      </c>
    </row>
    <row r="4111" spans="1:6" hidden="1" x14ac:dyDescent="0.35">
      <c r="A4111" t="s">
        <v>15</v>
      </c>
      <c r="B4111" t="s">
        <v>35</v>
      </c>
      <c r="C4111" t="s">
        <v>22</v>
      </c>
      <c r="D4111">
        <v>0</v>
      </c>
      <c r="E4111" t="s">
        <v>42</v>
      </c>
      <c r="F4111" t="s">
        <v>10</v>
      </c>
    </row>
    <row r="4112" spans="1:6" hidden="1" x14ac:dyDescent="0.35">
      <c r="A4112" t="s">
        <v>16</v>
      </c>
      <c r="B4112" t="s">
        <v>35</v>
      </c>
      <c r="C4112" t="s">
        <v>22</v>
      </c>
      <c r="D4112">
        <v>0</v>
      </c>
      <c r="E4112" t="s">
        <v>42</v>
      </c>
      <c r="F4112" t="s">
        <v>10</v>
      </c>
    </row>
    <row r="4113" spans="1:6" hidden="1" x14ac:dyDescent="0.35">
      <c r="A4113" t="s">
        <v>17</v>
      </c>
      <c r="B4113" t="s">
        <v>35</v>
      </c>
      <c r="C4113" t="s">
        <v>22</v>
      </c>
      <c r="D4113">
        <v>0</v>
      </c>
      <c r="E4113" t="s">
        <v>42</v>
      </c>
      <c r="F4113" t="s">
        <v>10</v>
      </c>
    </row>
    <row r="4114" spans="1:6" hidden="1" x14ac:dyDescent="0.35">
      <c r="A4114" t="s">
        <v>18</v>
      </c>
      <c r="B4114" t="s">
        <v>35</v>
      </c>
      <c r="C4114" t="s">
        <v>22</v>
      </c>
      <c r="D4114">
        <v>0</v>
      </c>
      <c r="E4114" t="s">
        <v>42</v>
      </c>
      <c r="F4114" t="s">
        <v>10</v>
      </c>
    </row>
    <row r="4115" spans="1:6" hidden="1" x14ac:dyDescent="0.35">
      <c r="A4115" t="s">
        <v>19</v>
      </c>
      <c r="B4115" t="s">
        <v>35</v>
      </c>
      <c r="C4115" t="s">
        <v>22</v>
      </c>
      <c r="D4115">
        <v>0</v>
      </c>
      <c r="E4115" t="s">
        <v>42</v>
      </c>
      <c r="F4115" t="s">
        <v>10</v>
      </c>
    </row>
    <row r="4116" spans="1:6" hidden="1" x14ac:dyDescent="0.35">
      <c r="A4116" t="s">
        <v>20</v>
      </c>
      <c r="B4116" t="s">
        <v>35</v>
      </c>
      <c r="C4116" t="s">
        <v>22</v>
      </c>
      <c r="D4116">
        <v>0</v>
      </c>
      <c r="E4116" t="s">
        <v>42</v>
      </c>
      <c r="F4116" t="s">
        <v>10</v>
      </c>
    </row>
    <row r="4117" spans="1:6" hidden="1" x14ac:dyDescent="0.35">
      <c r="A4117" t="s">
        <v>21</v>
      </c>
      <c r="B4117" t="s">
        <v>35</v>
      </c>
      <c r="C4117" t="s">
        <v>22</v>
      </c>
      <c r="D4117">
        <v>0</v>
      </c>
      <c r="E4117" t="s">
        <v>42</v>
      </c>
      <c r="F4117" t="s">
        <v>10</v>
      </c>
    </row>
    <row r="4118" spans="1:6" hidden="1" x14ac:dyDescent="0.35">
      <c r="A4118" t="s">
        <v>6</v>
      </c>
      <c r="B4118" t="s">
        <v>35</v>
      </c>
      <c r="C4118" t="s">
        <v>23</v>
      </c>
      <c r="D4118">
        <v>17687</v>
      </c>
      <c r="E4118" t="s">
        <v>42</v>
      </c>
      <c r="F4118" t="s">
        <v>10</v>
      </c>
    </row>
    <row r="4119" spans="1:6" hidden="1" x14ac:dyDescent="0.35">
      <c r="A4119" t="s">
        <v>11</v>
      </c>
      <c r="B4119" t="s">
        <v>35</v>
      </c>
      <c r="C4119" t="s">
        <v>23</v>
      </c>
      <c r="D4119">
        <v>33628</v>
      </c>
      <c r="E4119" t="s">
        <v>42</v>
      </c>
      <c r="F4119" t="s">
        <v>10</v>
      </c>
    </row>
    <row r="4120" spans="1:6" hidden="1" x14ac:dyDescent="0.35">
      <c r="A4120" t="s">
        <v>12</v>
      </c>
      <c r="B4120" t="s">
        <v>35</v>
      </c>
      <c r="C4120" t="s">
        <v>23</v>
      </c>
      <c r="D4120">
        <v>871582</v>
      </c>
      <c r="E4120" t="s">
        <v>42</v>
      </c>
      <c r="F4120" t="s">
        <v>10</v>
      </c>
    </row>
    <row r="4121" spans="1:6" hidden="1" x14ac:dyDescent="0.35">
      <c r="A4121" t="s">
        <v>13</v>
      </c>
      <c r="B4121" t="s">
        <v>35</v>
      </c>
      <c r="C4121" t="s">
        <v>23</v>
      </c>
      <c r="D4121">
        <v>150011</v>
      </c>
      <c r="E4121" t="s">
        <v>42</v>
      </c>
      <c r="F4121" t="s">
        <v>10</v>
      </c>
    </row>
    <row r="4122" spans="1:6" hidden="1" x14ac:dyDescent="0.35">
      <c r="A4122" t="s">
        <v>14</v>
      </c>
      <c r="B4122" t="s">
        <v>35</v>
      </c>
      <c r="C4122" t="s">
        <v>23</v>
      </c>
      <c r="D4122">
        <v>97311</v>
      </c>
      <c r="E4122" t="s">
        <v>42</v>
      </c>
      <c r="F4122" t="s">
        <v>10</v>
      </c>
    </row>
    <row r="4123" spans="1:6" hidden="1" x14ac:dyDescent="0.35">
      <c r="A4123" t="s">
        <v>15</v>
      </c>
      <c r="B4123" t="s">
        <v>35</v>
      </c>
      <c r="C4123" t="s">
        <v>23</v>
      </c>
      <c r="D4123">
        <v>132579</v>
      </c>
      <c r="E4123" t="s">
        <v>42</v>
      </c>
      <c r="F4123" t="s">
        <v>10</v>
      </c>
    </row>
    <row r="4124" spans="1:6" hidden="1" x14ac:dyDescent="0.35">
      <c r="A4124" t="s">
        <v>16</v>
      </c>
      <c r="B4124" t="s">
        <v>35</v>
      </c>
      <c r="C4124" t="s">
        <v>23</v>
      </c>
      <c r="D4124">
        <v>16090</v>
      </c>
      <c r="E4124" t="s">
        <v>42</v>
      </c>
      <c r="F4124" t="s">
        <v>10</v>
      </c>
    </row>
    <row r="4125" spans="1:6" hidden="1" x14ac:dyDescent="0.35">
      <c r="A4125" t="s">
        <v>17</v>
      </c>
      <c r="B4125" t="s">
        <v>35</v>
      </c>
      <c r="C4125" t="s">
        <v>23</v>
      </c>
      <c r="D4125">
        <v>117122</v>
      </c>
      <c r="E4125" t="s">
        <v>42</v>
      </c>
      <c r="F4125" t="s">
        <v>10</v>
      </c>
    </row>
    <row r="4126" spans="1:6" hidden="1" x14ac:dyDescent="0.35">
      <c r="A4126" t="s">
        <v>18</v>
      </c>
      <c r="B4126" t="s">
        <v>35</v>
      </c>
      <c r="C4126" t="s">
        <v>23</v>
      </c>
      <c r="D4126">
        <v>12440</v>
      </c>
      <c r="E4126" t="s">
        <v>42</v>
      </c>
      <c r="F4126" t="s">
        <v>10</v>
      </c>
    </row>
    <row r="4127" spans="1:6" hidden="1" x14ac:dyDescent="0.35">
      <c r="A4127" t="s">
        <v>19</v>
      </c>
      <c r="B4127" t="s">
        <v>35</v>
      </c>
      <c r="C4127" t="s">
        <v>23</v>
      </c>
      <c r="D4127">
        <v>8632</v>
      </c>
      <c r="E4127" t="s">
        <v>42</v>
      </c>
      <c r="F4127" t="s">
        <v>10</v>
      </c>
    </row>
    <row r="4128" spans="1:6" hidden="1" x14ac:dyDescent="0.35">
      <c r="A4128" t="s">
        <v>20</v>
      </c>
      <c r="B4128" t="s">
        <v>35</v>
      </c>
      <c r="C4128" t="s">
        <v>23</v>
      </c>
      <c r="D4128">
        <v>98065</v>
      </c>
      <c r="E4128" t="s">
        <v>42</v>
      </c>
      <c r="F4128" t="s">
        <v>10</v>
      </c>
    </row>
    <row r="4129" spans="1:6" hidden="1" x14ac:dyDescent="0.35">
      <c r="A4129" t="s">
        <v>21</v>
      </c>
      <c r="B4129" t="s">
        <v>35</v>
      </c>
      <c r="C4129" t="s">
        <v>23</v>
      </c>
      <c r="D4129">
        <v>49226</v>
      </c>
      <c r="E4129" t="s">
        <v>42</v>
      </c>
      <c r="F4129" t="s">
        <v>10</v>
      </c>
    </row>
    <row r="4130" spans="1:6" hidden="1" x14ac:dyDescent="0.35">
      <c r="A4130" t="s">
        <v>6</v>
      </c>
      <c r="B4130" t="s">
        <v>35</v>
      </c>
      <c r="C4130" t="s">
        <v>24</v>
      </c>
      <c r="D4130">
        <v>0</v>
      </c>
      <c r="E4130" t="s">
        <v>42</v>
      </c>
      <c r="F4130" t="s">
        <v>10</v>
      </c>
    </row>
    <row r="4131" spans="1:6" hidden="1" x14ac:dyDescent="0.35">
      <c r="A4131" t="s">
        <v>11</v>
      </c>
      <c r="B4131" t="s">
        <v>35</v>
      </c>
      <c r="C4131" t="s">
        <v>24</v>
      </c>
      <c r="D4131">
        <v>0</v>
      </c>
      <c r="E4131" t="s">
        <v>42</v>
      </c>
      <c r="F4131" t="s">
        <v>10</v>
      </c>
    </row>
    <row r="4132" spans="1:6" hidden="1" x14ac:dyDescent="0.35">
      <c r="A4132" t="s">
        <v>12</v>
      </c>
      <c r="B4132" t="s">
        <v>35</v>
      </c>
      <c r="C4132" t="s">
        <v>24</v>
      </c>
      <c r="D4132">
        <v>0</v>
      </c>
      <c r="E4132" t="s">
        <v>42</v>
      </c>
      <c r="F4132" t="s">
        <v>10</v>
      </c>
    </row>
    <row r="4133" spans="1:6" hidden="1" x14ac:dyDescent="0.35">
      <c r="A4133" t="s">
        <v>13</v>
      </c>
      <c r="B4133" t="s">
        <v>35</v>
      </c>
      <c r="C4133" t="s">
        <v>24</v>
      </c>
      <c r="D4133">
        <v>0</v>
      </c>
      <c r="E4133" t="s">
        <v>42</v>
      </c>
      <c r="F4133" t="s">
        <v>10</v>
      </c>
    </row>
    <row r="4134" spans="1:6" hidden="1" x14ac:dyDescent="0.35">
      <c r="A4134" t="s">
        <v>14</v>
      </c>
      <c r="B4134" t="s">
        <v>35</v>
      </c>
      <c r="C4134" t="s">
        <v>24</v>
      </c>
      <c r="D4134">
        <v>0</v>
      </c>
      <c r="E4134" t="s">
        <v>42</v>
      </c>
      <c r="F4134" t="s">
        <v>10</v>
      </c>
    </row>
    <row r="4135" spans="1:6" hidden="1" x14ac:dyDescent="0.35">
      <c r="A4135" t="s">
        <v>15</v>
      </c>
      <c r="B4135" t="s">
        <v>35</v>
      </c>
      <c r="C4135" t="s">
        <v>24</v>
      </c>
      <c r="D4135">
        <v>0</v>
      </c>
      <c r="E4135" t="s">
        <v>42</v>
      </c>
      <c r="F4135" t="s">
        <v>10</v>
      </c>
    </row>
    <row r="4136" spans="1:6" hidden="1" x14ac:dyDescent="0.35">
      <c r="A4136" t="s">
        <v>16</v>
      </c>
      <c r="B4136" t="s">
        <v>35</v>
      </c>
      <c r="C4136" t="s">
        <v>24</v>
      </c>
      <c r="D4136">
        <v>0</v>
      </c>
      <c r="E4136" t="s">
        <v>42</v>
      </c>
      <c r="F4136" t="s">
        <v>10</v>
      </c>
    </row>
    <row r="4137" spans="1:6" hidden="1" x14ac:dyDescent="0.35">
      <c r="A4137" t="s">
        <v>17</v>
      </c>
      <c r="B4137" t="s">
        <v>35</v>
      </c>
      <c r="C4137" t="s">
        <v>24</v>
      </c>
      <c r="D4137">
        <v>0</v>
      </c>
      <c r="E4137" t="s">
        <v>42</v>
      </c>
      <c r="F4137" t="s">
        <v>10</v>
      </c>
    </row>
    <row r="4138" spans="1:6" hidden="1" x14ac:dyDescent="0.35">
      <c r="A4138" t="s">
        <v>18</v>
      </c>
      <c r="B4138" t="s">
        <v>35</v>
      </c>
      <c r="C4138" t="s">
        <v>24</v>
      </c>
      <c r="D4138">
        <v>0</v>
      </c>
      <c r="E4138" t="s">
        <v>42</v>
      </c>
      <c r="F4138" t="s">
        <v>10</v>
      </c>
    </row>
    <row r="4139" spans="1:6" hidden="1" x14ac:dyDescent="0.35">
      <c r="A4139" t="s">
        <v>19</v>
      </c>
      <c r="B4139" t="s">
        <v>35</v>
      </c>
      <c r="C4139" t="s">
        <v>24</v>
      </c>
      <c r="D4139">
        <v>0</v>
      </c>
      <c r="E4139" t="s">
        <v>42</v>
      </c>
      <c r="F4139" t="s">
        <v>10</v>
      </c>
    </row>
    <row r="4140" spans="1:6" hidden="1" x14ac:dyDescent="0.35">
      <c r="A4140" t="s">
        <v>20</v>
      </c>
      <c r="B4140" t="s">
        <v>35</v>
      </c>
      <c r="C4140" t="s">
        <v>24</v>
      </c>
      <c r="D4140">
        <v>0</v>
      </c>
      <c r="E4140" t="s">
        <v>42</v>
      </c>
      <c r="F4140" t="s">
        <v>10</v>
      </c>
    </row>
    <row r="4141" spans="1:6" hidden="1" x14ac:dyDescent="0.35">
      <c r="A4141" t="s">
        <v>21</v>
      </c>
      <c r="B4141" t="s">
        <v>35</v>
      </c>
      <c r="C4141" t="s">
        <v>24</v>
      </c>
      <c r="D4141">
        <v>0</v>
      </c>
      <c r="E4141" t="s">
        <v>42</v>
      </c>
      <c r="F4141" t="s">
        <v>10</v>
      </c>
    </row>
    <row r="4142" spans="1:6" hidden="1" x14ac:dyDescent="0.35">
      <c r="A4142" t="s">
        <v>6</v>
      </c>
      <c r="B4142" t="s">
        <v>35</v>
      </c>
      <c r="C4142" t="s">
        <v>25</v>
      </c>
      <c r="D4142">
        <v>0</v>
      </c>
      <c r="E4142" t="s">
        <v>42</v>
      </c>
      <c r="F4142" t="s">
        <v>10</v>
      </c>
    </row>
    <row r="4143" spans="1:6" hidden="1" x14ac:dyDescent="0.35">
      <c r="A4143" t="s">
        <v>11</v>
      </c>
      <c r="B4143" t="s">
        <v>35</v>
      </c>
      <c r="C4143" t="s">
        <v>25</v>
      </c>
      <c r="D4143">
        <v>2375</v>
      </c>
      <c r="E4143" t="s">
        <v>42</v>
      </c>
      <c r="F4143" t="s">
        <v>10</v>
      </c>
    </row>
    <row r="4144" spans="1:6" hidden="1" x14ac:dyDescent="0.35">
      <c r="A4144" t="s">
        <v>12</v>
      </c>
      <c r="B4144" t="s">
        <v>35</v>
      </c>
      <c r="C4144" t="s">
        <v>25</v>
      </c>
      <c r="D4144">
        <v>0</v>
      </c>
      <c r="E4144" t="s">
        <v>42</v>
      </c>
      <c r="F4144" t="s">
        <v>10</v>
      </c>
    </row>
    <row r="4145" spans="1:6" hidden="1" x14ac:dyDescent="0.35">
      <c r="A4145" t="s">
        <v>13</v>
      </c>
      <c r="B4145" t="s">
        <v>35</v>
      </c>
      <c r="C4145" t="s">
        <v>25</v>
      </c>
      <c r="D4145">
        <v>6916</v>
      </c>
      <c r="E4145" t="s">
        <v>42</v>
      </c>
      <c r="F4145" t="s">
        <v>10</v>
      </c>
    </row>
    <row r="4146" spans="1:6" hidden="1" x14ac:dyDescent="0.35">
      <c r="A4146" t="s">
        <v>14</v>
      </c>
      <c r="B4146" t="s">
        <v>35</v>
      </c>
      <c r="C4146" t="s">
        <v>25</v>
      </c>
      <c r="D4146">
        <v>3468</v>
      </c>
      <c r="E4146" t="s">
        <v>42</v>
      </c>
      <c r="F4146" t="s">
        <v>10</v>
      </c>
    </row>
    <row r="4147" spans="1:6" hidden="1" x14ac:dyDescent="0.35">
      <c r="A4147" t="s">
        <v>15</v>
      </c>
      <c r="B4147" t="s">
        <v>35</v>
      </c>
      <c r="C4147" t="s">
        <v>25</v>
      </c>
      <c r="D4147">
        <v>2255</v>
      </c>
      <c r="E4147" t="s">
        <v>42</v>
      </c>
      <c r="F4147" t="s">
        <v>10</v>
      </c>
    </row>
    <row r="4148" spans="1:6" hidden="1" x14ac:dyDescent="0.35">
      <c r="A4148" t="s">
        <v>16</v>
      </c>
      <c r="B4148" t="s">
        <v>35</v>
      </c>
      <c r="C4148" t="s">
        <v>25</v>
      </c>
      <c r="D4148">
        <v>3652</v>
      </c>
      <c r="E4148" t="s">
        <v>42</v>
      </c>
      <c r="F4148" t="s">
        <v>10</v>
      </c>
    </row>
    <row r="4149" spans="1:6" hidden="1" x14ac:dyDescent="0.35">
      <c r="A4149" t="s">
        <v>17</v>
      </c>
      <c r="B4149" t="s">
        <v>35</v>
      </c>
      <c r="C4149" t="s">
        <v>25</v>
      </c>
      <c r="D4149">
        <v>0</v>
      </c>
      <c r="E4149" t="s">
        <v>42</v>
      </c>
      <c r="F4149" t="s">
        <v>10</v>
      </c>
    </row>
    <row r="4150" spans="1:6" hidden="1" x14ac:dyDescent="0.35">
      <c r="A4150" t="s">
        <v>18</v>
      </c>
      <c r="B4150" t="s">
        <v>35</v>
      </c>
      <c r="C4150" t="s">
        <v>25</v>
      </c>
      <c r="D4150">
        <v>61110</v>
      </c>
      <c r="E4150" t="s">
        <v>42</v>
      </c>
      <c r="F4150" t="s">
        <v>10</v>
      </c>
    </row>
    <row r="4151" spans="1:6" hidden="1" x14ac:dyDescent="0.35">
      <c r="A4151" t="s">
        <v>19</v>
      </c>
      <c r="B4151" t="s">
        <v>35</v>
      </c>
      <c r="C4151" t="s">
        <v>25</v>
      </c>
      <c r="D4151">
        <v>0</v>
      </c>
      <c r="E4151" t="s">
        <v>42</v>
      </c>
      <c r="F4151" t="s">
        <v>10</v>
      </c>
    </row>
    <row r="4152" spans="1:6" hidden="1" x14ac:dyDescent="0.35">
      <c r="A4152" t="s">
        <v>20</v>
      </c>
      <c r="B4152" t="s">
        <v>35</v>
      </c>
      <c r="C4152" t="s">
        <v>25</v>
      </c>
      <c r="D4152">
        <v>0</v>
      </c>
      <c r="E4152" t="s">
        <v>42</v>
      </c>
      <c r="F4152" t="s">
        <v>10</v>
      </c>
    </row>
    <row r="4153" spans="1:6" hidden="1" x14ac:dyDescent="0.35">
      <c r="A4153" t="s">
        <v>21</v>
      </c>
      <c r="B4153" t="s">
        <v>35</v>
      </c>
      <c r="C4153" t="s">
        <v>25</v>
      </c>
      <c r="D4153">
        <v>3953</v>
      </c>
      <c r="E4153" t="s">
        <v>42</v>
      </c>
      <c r="F4153" t="s">
        <v>10</v>
      </c>
    </row>
    <row r="4154" spans="1:6" hidden="1" x14ac:dyDescent="0.35">
      <c r="A4154" t="s">
        <v>6</v>
      </c>
      <c r="B4154" t="s">
        <v>35</v>
      </c>
      <c r="C4154" t="s">
        <v>26</v>
      </c>
      <c r="D4154">
        <v>0</v>
      </c>
      <c r="E4154" t="s">
        <v>42</v>
      </c>
      <c r="F4154" t="s">
        <v>10</v>
      </c>
    </row>
    <row r="4155" spans="1:6" hidden="1" x14ac:dyDescent="0.35">
      <c r="A4155" t="s">
        <v>11</v>
      </c>
      <c r="B4155" t="s">
        <v>35</v>
      </c>
      <c r="C4155" t="s">
        <v>26</v>
      </c>
      <c r="E4155" t="s">
        <v>42</v>
      </c>
      <c r="F4155" t="s">
        <v>10</v>
      </c>
    </row>
    <row r="4156" spans="1:6" hidden="1" x14ac:dyDescent="0.35">
      <c r="A4156" t="s">
        <v>12</v>
      </c>
      <c r="B4156" t="s">
        <v>35</v>
      </c>
      <c r="C4156" t="s">
        <v>26</v>
      </c>
      <c r="E4156" t="s">
        <v>42</v>
      </c>
      <c r="F4156" t="s">
        <v>10</v>
      </c>
    </row>
    <row r="4157" spans="1:6" hidden="1" x14ac:dyDescent="0.35">
      <c r="A4157" t="s">
        <v>13</v>
      </c>
      <c r="B4157" t="s">
        <v>35</v>
      </c>
      <c r="C4157" t="s">
        <v>26</v>
      </c>
      <c r="E4157" t="s">
        <v>42</v>
      </c>
      <c r="F4157" t="s">
        <v>10</v>
      </c>
    </row>
    <row r="4158" spans="1:6" hidden="1" x14ac:dyDescent="0.35">
      <c r="A4158" t="s">
        <v>14</v>
      </c>
      <c r="B4158" t="s">
        <v>35</v>
      </c>
      <c r="C4158" t="s">
        <v>26</v>
      </c>
      <c r="E4158" t="s">
        <v>42</v>
      </c>
      <c r="F4158" t="s">
        <v>10</v>
      </c>
    </row>
    <row r="4159" spans="1:6" hidden="1" x14ac:dyDescent="0.35">
      <c r="A4159" t="s">
        <v>15</v>
      </c>
      <c r="B4159" t="s">
        <v>35</v>
      </c>
      <c r="C4159" t="s">
        <v>26</v>
      </c>
      <c r="E4159" t="s">
        <v>42</v>
      </c>
      <c r="F4159" t="s">
        <v>10</v>
      </c>
    </row>
    <row r="4160" spans="1:6" hidden="1" x14ac:dyDescent="0.35">
      <c r="A4160" t="s">
        <v>16</v>
      </c>
      <c r="B4160" t="s">
        <v>35</v>
      </c>
      <c r="C4160" t="s">
        <v>26</v>
      </c>
      <c r="E4160" t="s">
        <v>42</v>
      </c>
      <c r="F4160" t="s">
        <v>10</v>
      </c>
    </row>
    <row r="4161" spans="1:6" hidden="1" x14ac:dyDescent="0.35">
      <c r="A4161" t="s">
        <v>17</v>
      </c>
      <c r="B4161" t="s">
        <v>35</v>
      </c>
      <c r="C4161" t="s">
        <v>26</v>
      </c>
      <c r="E4161" t="s">
        <v>42</v>
      </c>
      <c r="F4161" t="s">
        <v>10</v>
      </c>
    </row>
    <row r="4162" spans="1:6" hidden="1" x14ac:dyDescent="0.35">
      <c r="A4162" t="s">
        <v>18</v>
      </c>
      <c r="B4162" t="s">
        <v>35</v>
      </c>
      <c r="C4162" t="s">
        <v>26</v>
      </c>
      <c r="E4162" t="s">
        <v>42</v>
      </c>
      <c r="F4162" t="s">
        <v>10</v>
      </c>
    </row>
    <row r="4163" spans="1:6" hidden="1" x14ac:dyDescent="0.35">
      <c r="A4163" t="s">
        <v>19</v>
      </c>
      <c r="B4163" t="s">
        <v>35</v>
      </c>
      <c r="C4163" t="s">
        <v>26</v>
      </c>
      <c r="E4163" t="s">
        <v>42</v>
      </c>
      <c r="F4163" t="s">
        <v>10</v>
      </c>
    </row>
    <row r="4164" spans="1:6" hidden="1" x14ac:dyDescent="0.35">
      <c r="A4164" t="s">
        <v>20</v>
      </c>
      <c r="B4164" t="s">
        <v>35</v>
      </c>
      <c r="C4164" t="s">
        <v>26</v>
      </c>
      <c r="E4164" t="s">
        <v>42</v>
      </c>
      <c r="F4164" t="s">
        <v>10</v>
      </c>
    </row>
    <row r="4165" spans="1:6" hidden="1" x14ac:dyDescent="0.35">
      <c r="A4165" t="s">
        <v>21</v>
      </c>
      <c r="B4165" t="s">
        <v>35</v>
      </c>
      <c r="C4165" t="s">
        <v>26</v>
      </c>
      <c r="E4165" t="s">
        <v>42</v>
      </c>
      <c r="F4165" t="s">
        <v>10</v>
      </c>
    </row>
    <row r="4166" spans="1:6" hidden="1" x14ac:dyDescent="0.35">
      <c r="A4166" t="s">
        <v>6</v>
      </c>
      <c r="B4166" t="s">
        <v>35</v>
      </c>
      <c r="C4166" t="s">
        <v>27</v>
      </c>
      <c r="D4166">
        <v>6965</v>
      </c>
      <c r="E4166" t="s">
        <v>42</v>
      </c>
      <c r="F4166" t="s">
        <v>10</v>
      </c>
    </row>
    <row r="4167" spans="1:6" hidden="1" x14ac:dyDescent="0.35">
      <c r="A4167" t="s">
        <v>11</v>
      </c>
      <c r="B4167" t="s">
        <v>35</v>
      </c>
      <c r="C4167" t="s">
        <v>27</v>
      </c>
      <c r="D4167">
        <v>9373</v>
      </c>
      <c r="E4167" t="s">
        <v>42</v>
      </c>
      <c r="F4167" t="s">
        <v>10</v>
      </c>
    </row>
    <row r="4168" spans="1:6" hidden="1" x14ac:dyDescent="0.35">
      <c r="A4168" t="s">
        <v>12</v>
      </c>
      <c r="B4168" t="s">
        <v>35</v>
      </c>
      <c r="C4168" t="s">
        <v>27</v>
      </c>
      <c r="D4168">
        <v>56377</v>
      </c>
      <c r="E4168" t="s">
        <v>42</v>
      </c>
      <c r="F4168" t="s">
        <v>10</v>
      </c>
    </row>
    <row r="4169" spans="1:6" hidden="1" x14ac:dyDescent="0.35">
      <c r="A4169" t="s">
        <v>13</v>
      </c>
      <c r="B4169" t="s">
        <v>35</v>
      </c>
      <c r="C4169" t="s">
        <v>27</v>
      </c>
      <c r="D4169">
        <v>19029</v>
      </c>
      <c r="E4169" t="s">
        <v>42</v>
      </c>
      <c r="F4169" t="s">
        <v>10</v>
      </c>
    </row>
    <row r="4170" spans="1:6" hidden="1" x14ac:dyDescent="0.35">
      <c r="A4170" t="s">
        <v>14</v>
      </c>
      <c r="B4170" t="s">
        <v>35</v>
      </c>
      <c r="C4170" t="s">
        <v>27</v>
      </c>
      <c r="D4170">
        <v>24020</v>
      </c>
      <c r="E4170" t="s">
        <v>42</v>
      </c>
      <c r="F4170" t="s">
        <v>10</v>
      </c>
    </row>
    <row r="4171" spans="1:6" hidden="1" x14ac:dyDescent="0.35">
      <c r="A4171" t="s">
        <v>15</v>
      </c>
      <c r="B4171" t="s">
        <v>35</v>
      </c>
      <c r="C4171" t="s">
        <v>27</v>
      </c>
      <c r="D4171">
        <v>8548</v>
      </c>
      <c r="E4171" t="s">
        <v>42</v>
      </c>
      <c r="F4171" t="s">
        <v>10</v>
      </c>
    </row>
    <row r="4172" spans="1:6" hidden="1" x14ac:dyDescent="0.35">
      <c r="A4172" t="s">
        <v>16</v>
      </c>
      <c r="B4172" t="s">
        <v>35</v>
      </c>
      <c r="C4172" t="s">
        <v>27</v>
      </c>
      <c r="D4172">
        <v>4124</v>
      </c>
      <c r="E4172" t="s">
        <v>42</v>
      </c>
      <c r="F4172" t="s">
        <v>10</v>
      </c>
    </row>
    <row r="4173" spans="1:6" hidden="1" x14ac:dyDescent="0.35">
      <c r="A4173" t="s">
        <v>17</v>
      </c>
      <c r="B4173" t="s">
        <v>35</v>
      </c>
      <c r="C4173" t="s">
        <v>27</v>
      </c>
      <c r="D4173">
        <v>5328</v>
      </c>
      <c r="E4173" t="s">
        <v>42</v>
      </c>
      <c r="F4173" t="s">
        <v>10</v>
      </c>
    </row>
    <row r="4174" spans="1:6" hidden="1" x14ac:dyDescent="0.35">
      <c r="A4174" t="s">
        <v>18</v>
      </c>
      <c r="B4174" t="s">
        <v>35</v>
      </c>
      <c r="C4174" t="s">
        <v>27</v>
      </c>
      <c r="D4174">
        <v>2765</v>
      </c>
      <c r="E4174" t="s">
        <v>42</v>
      </c>
      <c r="F4174" t="s">
        <v>10</v>
      </c>
    </row>
    <row r="4175" spans="1:6" hidden="1" x14ac:dyDescent="0.35">
      <c r="A4175" t="s">
        <v>19</v>
      </c>
      <c r="B4175" t="s">
        <v>35</v>
      </c>
      <c r="C4175" t="s">
        <v>27</v>
      </c>
      <c r="D4175">
        <v>4680</v>
      </c>
      <c r="E4175" t="s">
        <v>42</v>
      </c>
      <c r="F4175" t="s">
        <v>10</v>
      </c>
    </row>
    <row r="4176" spans="1:6" hidden="1" x14ac:dyDescent="0.35">
      <c r="A4176" t="s">
        <v>20</v>
      </c>
      <c r="B4176" t="s">
        <v>35</v>
      </c>
      <c r="C4176" t="s">
        <v>27</v>
      </c>
      <c r="D4176">
        <v>4751</v>
      </c>
      <c r="E4176" t="s">
        <v>42</v>
      </c>
      <c r="F4176" t="s">
        <v>10</v>
      </c>
    </row>
    <row r="4177" spans="1:6" hidden="1" x14ac:dyDescent="0.35">
      <c r="A4177" t="s">
        <v>21</v>
      </c>
      <c r="B4177" t="s">
        <v>35</v>
      </c>
      <c r="C4177" t="s">
        <v>27</v>
      </c>
      <c r="D4177">
        <v>12282</v>
      </c>
      <c r="E4177" t="s">
        <v>42</v>
      </c>
      <c r="F4177" t="s">
        <v>10</v>
      </c>
    </row>
    <row r="4178" spans="1:6" hidden="1" x14ac:dyDescent="0.35">
      <c r="A4178" t="s">
        <v>6</v>
      </c>
      <c r="B4178" t="s">
        <v>35</v>
      </c>
      <c r="C4178" t="s">
        <v>28</v>
      </c>
      <c r="D4178">
        <v>48007</v>
      </c>
      <c r="E4178" t="s">
        <v>42</v>
      </c>
      <c r="F4178" t="s">
        <v>10</v>
      </c>
    </row>
    <row r="4179" spans="1:6" hidden="1" x14ac:dyDescent="0.35">
      <c r="A4179" t="s">
        <v>11</v>
      </c>
      <c r="B4179" t="s">
        <v>35</v>
      </c>
      <c r="C4179" t="s">
        <v>28</v>
      </c>
      <c r="D4179">
        <v>54678</v>
      </c>
      <c r="E4179" t="s">
        <v>42</v>
      </c>
      <c r="F4179" t="s">
        <v>10</v>
      </c>
    </row>
    <row r="4180" spans="1:6" hidden="1" x14ac:dyDescent="0.35">
      <c r="A4180" t="s">
        <v>12</v>
      </c>
      <c r="B4180" t="s">
        <v>35</v>
      </c>
      <c r="C4180" t="s">
        <v>28</v>
      </c>
      <c r="D4180">
        <v>907402</v>
      </c>
      <c r="E4180" t="s">
        <v>42</v>
      </c>
      <c r="F4180" t="s">
        <v>10</v>
      </c>
    </row>
    <row r="4181" spans="1:6" hidden="1" x14ac:dyDescent="0.35">
      <c r="A4181" t="s">
        <v>13</v>
      </c>
      <c r="B4181" t="s">
        <v>35</v>
      </c>
      <c r="C4181" t="s">
        <v>28</v>
      </c>
      <c r="D4181">
        <v>181554</v>
      </c>
      <c r="E4181" t="s">
        <v>42</v>
      </c>
      <c r="F4181" t="s">
        <v>10</v>
      </c>
    </row>
    <row r="4182" spans="1:6" hidden="1" x14ac:dyDescent="0.35">
      <c r="A4182" t="s">
        <v>14</v>
      </c>
      <c r="B4182" t="s">
        <v>35</v>
      </c>
      <c r="C4182" t="s">
        <v>28</v>
      </c>
      <c r="D4182">
        <v>303377</v>
      </c>
      <c r="E4182" t="s">
        <v>42</v>
      </c>
      <c r="F4182" t="s">
        <v>10</v>
      </c>
    </row>
    <row r="4183" spans="1:6" hidden="1" x14ac:dyDescent="0.35">
      <c r="A4183" t="s">
        <v>15</v>
      </c>
      <c r="B4183" t="s">
        <v>35</v>
      </c>
      <c r="C4183" t="s">
        <v>28</v>
      </c>
      <c r="D4183">
        <v>133578</v>
      </c>
      <c r="E4183" t="s">
        <v>42</v>
      </c>
      <c r="F4183" t="s">
        <v>10</v>
      </c>
    </row>
    <row r="4184" spans="1:6" hidden="1" x14ac:dyDescent="0.35">
      <c r="A4184" t="s">
        <v>16</v>
      </c>
      <c r="B4184" t="s">
        <v>35</v>
      </c>
      <c r="C4184" t="s">
        <v>28</v>
      </c>
      <c r="D4184">
        <v>17004</v>
      </c>
      <c r="E4184" t="s">
        <v>42</v>
      </c>
      <c r="F4184" t="s">
        <v>10</v>
      </c>
    </row>
    <row r="4185" spans="1:6" hidden="1" x14ac:dyDescent="0.35">
      <c r="A4185" t="s">
        <v>17</v>
      </c>
      <c r="B4185" t="s">
        <v>35</v>
      </c>
      <c r="C4185" t="s">
        <v>28</v>
      </c>
      <c r="D4185">
        <v>135849</v>
      </c>
      <c r="E4185" t="s">
        <v>42</v>
      </c>
      <c r="F4185" t="s">
        <v>10</v>
      </c>
    </row>
    <row r="4186" spans="1:6" hidden="1" x14ac:dyDescent="0.35">
      <c r="A4186" t="s">
        <v>18</v>
      </c>
      <c r="B4186" t="s">
        <v>35</v>
      </c>
      <c r="C4186" t="s">
        <v>28</v>
      </c>
      <c r="D4186">
        <v>12440</v>
      </c>
      <c r="E4186" t="s">
        <v>42</v>
      </c>
      <c r="F4186" t="s">
        <v>10</v>
      </c>
    </row>
    <row r="4187" spans="1:6" hidden="1" x14ac:dyDescent="0.35">
      <c r="A4187" t="s">
        <v>19</v>
      </c>
      <c r="B4187" t="s">
        <v>35</v>
      </c>
      <c r="C4187" t="s">
        <v>28</v>
      </c>
      <c r="D4187">
        <v>8632</v>
      </c>
      <c r="E4187" t="s">
        <v>42</v>
      </c>
      <c r="F4187" t="s">
        <v>10</v>
      </c>
    </row>
    <row r="4188" spans="1:6" hidden="1" x14ac:dyDescent="0.35">
      <c r="A4188" t="s">
        <v>20</v>
      </c>
      <c r="B4188" t="s">
        <v>35</v>
      </c>
      <c r="C4188" t="s">
        <v>28</v>
      </c>
      <c r="D4188">
        <v>125231</v>
      </c>
      <c r="E4188" t="s">
        <v>42</v>
      </c>
      <c r="F4188" t="s">
        <v>10</v>
      </c>
    </row>
    <row r="4189" spans="1:6" hidden="1" x14ac:dyDescent="0.35">
      <c r="A4189" t="s">
        <v>21</v>
      </c>
      <c r="B4189" t="s">
        <v>35</v>
      </c>
      <c r="C4189" t="s">
        <v>28</v>
      </c>
      <c r="D4189">
        <v>120118</v>
      </c>
      <c r="E4189" t="s">
        <v>42</v>
      </c>
      <c r="F4189" t="s">
        <v>10</v>
      </c>
    </row>
    <row r="4190" spans="1:6" hidden="1" x14ac:dyDescent="0.35">
      <c r="A4190" t="s">
        <v>6</v>
      </c>
      <c r="B4190" t="s">
        <v>35</v>
      </c>
      <c r="C4190" t="s">
        <v>29</v>
      </c>
      <c r="D4190">
        <v>6</v>
      </c>
      <c r="E4190" t="s">
        <v>42</v>
      </c>
      <c r="F4190" t="s">
        <v>10</v>
      </c>
    </row>
    <row r="4191" spans="1:6" hidden="1" x14ac:dyDescent="0.35">
      <c r="A4191" t="s">
        <v>11</v>
      </c>
      <c r="B4191" t="s">
        <v>35</v>
      </c>
      <c r="C4191" t="s">
        <v>29</v>
      </c>
      <c r="D4191">
        <v>8</v>
      </c>
      <c r="E4191" t="s">
        <v>42</v>
      </c>
      <c r="F4191" t="s">
        <v>10</v>
      </c>
    </row>
    <row r="4192" spans="1:6" hidden="1" x14ac:dyDescent="0.35">
      <c r="A4192" t="s">
        <v>12</v>
      </c>
      <c r="B4192" t="s">
        <v>35</v>
      </c>
      <c r="C4192" t="s">
        <v>29</v>
      </c>
      <c r="D4192">
        <v>4</v>
      </c>
      <c r="E4192" t="s">
        <v>42</v>
      </c>
      <c r="F4192" t="s">
        <v>10</v>
      </c>
    </row>
    <row r="4193" spans="1:6" hidden="1" x14ac:dyDescent="0.35">
      <c r="A4193" t="s">
        <v>13</v>
      </c>
      <c r="B4193" t="s">
        <v>35</v>
      </c>
      <c r="C4193" t="s">
        <v>29</v>
      </c>
      <c r="D4193">
        <v>8</v>
      </c>
      <c r="E4193" t="s">
        <v>42</v>
      </c>
      <c r="F4193" t="s">
        <v>10</v>
      </c>
    </row>
    <row r="4194" spans="1:6" hidden="1" x14ac:dyDescent="0.35">
      <c r="A4194" t="s">
        <v>14</v>
      </c>
      <c r="B4194" t="s">
        <v>35</v>
      </c>
      <c r="C4194" t="s">
        <v>29</v>
      </c>
      <c r="D4194">
        <v>8</v>
      </c>
      <c r="E4194" t="s">
        <v>42</v>
      </c>
      <c r="F4194" t="s">
        <v>10</v>
      </c>
    </row>
    <row r="4195" spans="1:6" hidden="1" x14ac:dyDescent="0.35">
      <c r="A4195" t="s">
        <v>15</v>
      </c>
      <c r="B4195" t="s">
        <v>35</v>
      </c>
      <c r="C4195" t="s">
        <v>29</v>
      </c>
      <c r="D4195">
        <v>11</v>
      </c>
      <c r="E4195" t="s">
        <v>42</v>
      </c>
      <c r="F4195" t="s">
        <v>10</v>
      </c>
    </row>
    <row r="4196" spans="1:6" hidden="1" x14ac:dyDescent="0.35">
      <c r="A4196" t="s">
        <v>16</v>
      </c>
      <c r="B4196" t="s">
        <v>35</v>
      </c>
      <c r="C4196" t="s">
        <v>29</v>
      </c>
      <c r="D4196">
        <v>11</v>
      </c>
      <c r="E4196" t="s">
        <v>42</v>
      </c>
      <c r="F4196" t="s">
        <v>10</v>
      </c>
    </row>
    <row r="4197" spans="1:6" hidden="1" x14ac:dyDescent="0.35">
      <c r="A4197" t="s">
        <v>17</v>
      </c>
      <c r="B4197" t="s">
        <v>35</v>
      </c>
      <c r="C4197" t="s">
        <v>29</v>
      </c>
      <c r="D4197">
        <v>9</v>
      </c>
      <c r="E4197" t="s">
        <v>42</v>
      </c>
      <c r="F4197" t="s">
        <v>10</v>
      </c>
    </row>
    <row r="4198" spans="1:6" hidden="1" x14ac:dyDescent="0.35">
      <c r="A4198" t="s">
        <v>18</v>
      </c>
      <c r="B4198" t="s">
        <v>35</v>
      </c>
      <c r="C4198" t="s">
        <v>29</v>
      </c>
      <c r="D4198">
        <v>10</v>
      </c>
      <c r="E4198" t="s">
        <v>42</v>
      </c>
      <c r="F4198" t="s">
        <v>10</v>
      </c>
    </row>
    <row r="4199" spans="1:6" hidden="1" x14ac:dyDescent="0.35">
      <c r="A4199" t="s">
        <v>19</v>
      </c>
      <c r="B4199" t="s">
        <v>35</v>
      </c>
      <c r="C4199" t="s">
        <v>29</v>
      </c>
      <c r="D4199">
        <v>8</v>
      </c>
      <c r="E4199" t="s">
        <v>42</v>
      </c>
      <c r="F4199" t="s">
        <v>10</v>
      </c>
    </row>
    <row r="4200" spans="1:6" hidden="1" x14ac:dyDescent="0.35">
      <c r="A4200" t="s">
        <v>20</v>
      </c>
      <c r="B4200" t="s">
        <v>35</v>
      </c>
      <c r="C4200" t="s">
        <v>29</v>
      </c>
      <c r="D4200">
        <v>15</v>
      </c>
      <c r="E4200" t="s">
        <v>42</v>
      </c>
      <c r="F4200" t="s">
        <v>10</v>
      </c>
    </row>
    <row r="4201" spans="1:6" hidden="1" x14ac:dyDescent="0.35">
      <c r="A4201" t="s">
        <v>21</v>
      </c>
      <c r="B4201" t="s">
        <v>35</v>
      </c>
      <c r="C4201" t="s">
        <v>29</v>
      </c>
      <c r="D4201">
        <v>9</v>
      </c>
      <c r="E4201" t="s">
        <v>42</v>
      </c>
      <c r="F4201" t="s">
        <v>10</v>
      </c>
    </row>
    <row r="4202" spans="1:6" hidden="1" x14ac:dyDescent="0.35">
      <c r="A4202" t="s">
        <v>6</v>
      </c>
      <c r="B4202" t="s">
        <v>35</v>
      </c>
      <c r="C4202" t="s">
        <v>30</v>
      </c>
      <c r="D4202">
        <v>6</v>
      </c>
      <c r="E4202" t="s">
        <v>42</v>
      </c>
      <c r="F4202" t="s">
        <v>10</v>
      </c>
    </row>
    <row r="4203" spans="1:6" hidden="1" x14ac:dyDescent="0.35">
      <c r="A4203" t="s">
        <v>11</v>
      </c>
      <c r="B4203" t="s">
        <v>35</v>
      </c>
      <c r="C4203" t="s">
        <v>30</v>
      </c>
      <c r="D4203">
        <v>3</v>
      </c>
      <c r="E4203" t="s">
        <v>42</v>
      </c>
      <c r="F4203" t="s">
        <v>10</v>
      </c>
    </row>
    <row r="4204" spans="1:6" hidden="1" x14ac:dyDescent="0.35">
      <c r="A4204" t="s">
        <v>12</v>
      </c>
      <c r="B4204" t="s">
        <v>35</v>
      </c>
      <c r="C4204" t="s">
        <v>30</v>
      </c>
      <c r="D4204">
        <v>4</v>
      </c>
      <c r="E4204" t="s">
        <v>42</v>
      </c>
      <c r="F4204" t="s">
        <v>10</v>
      </c>
    </row>
    <row r="4205" spans="1:6" hidden="1" x14ac:dyDescent="0.35">
      <c r="A4205" t="s">
        <v>13</v>
      </c>
      <c r="B4205" t="s">
        <v>35</v>
      </c>
      <c r="C4205" t="s">
        <v>30</v>
      </c>
      <c r="D4205">
        <v>6</v>
      </c>
      <c r="E4205" t="s">
        <v>42</v>
      </c>
      <c r="F4205" t="s">
        <v>10</v>
      </c>
    </row>
    <row r="4206" spans="1:6" hidden="1" x14ac:dyDescent="0.35">
      <c r="A4206" t="s">
        <v>14</v>
      </c>
      <c r="B4206" t="s">
        <v>35</v>
      </c>
      <c r="C4206" t="s">
        <v>30</v>
      </c>
      <c r="D4206">
        <v>3</v>
      </c>
      <c r="E4206" t="s">
        <v>42</v>
      </c>
      <c r="F4206" t="s">
        <v>10</v>
      </c>
    </row>
    <row r="4207" spans="1:6" hidden="1" x14ac:dyDescent="0.35">
      <c r="A4207" t="s">
        <v>15</v>
      </c>
      <c r="B4207" t="s">
        <v>35</v>
      </c>
      <c r="C4207" t="s">
        <v>30</v>
      </c>
      <c r="D4207">
        <v>1</v>
      </c>
      <c r="E4207" t="s">
        <v>42</v>
      </c>
      <c r="F4207" t="s">
        <v>10</v>
      </c>
    </row>
    <row r="4208" spans="1:6" hidden="1" x14ac:dyDescent="0.35">
      <c r="A4208" t="s">
        <v>16</v>
      </c>
      <c r="B4208" t="s">
        <v>35</v>
      </c>
      <c r="C4208" t="s">
        <v>30</v>
      </c>
      <c r="D4208">
        <v>7</v>
      </c>
      <c r="E4208" t="s">
        <v>42</v>
      </c>
      <c r="F4208" t="s">
        <v>10</v>
      </c>
    </row>
    <row r="4209" spans="1:6" hidden="1" x14ac:dyDescent="0.35">
      <c r="A4209" t="s">
        <v>17</v>
      </c>
      <c r="B4209" t="s">
        <v>35</v>
      </c>
      <c r="C4209" t="s">
        <v>30</v>
      </c>
      <c r="D4209">
        <v>7</v>
      </c>
      <c r="E4209" t="s">
        <v>42</v>
      </c>
      <c r="F4209" t="s">
        <v>10</v>
      </c>
    </row>
    <row r="4210" spans="1:6" hidden="1" x14ac:dyDescent="0.35">
      <c r="A4210" t="s">
        <v>18</v>
      </c>
      <c r="B4210" t="s">
        <v>35</v>
      </c>
      <c r="C4210" t="s">
        <v>30</v>
      </c>
      <c r="D4210">
        <v>6</v>
      </c>
      <c r="E4210" t="s">
        <v>42</v>
      </c>
      <c r="F4210" t="s">
        <v>10</v>
      </c>
    </row>
    <row r="4211" spans="1:6" hidden="1" x14ac:dyDescent="0.35">
      <c r="A4211" t="s">
        <v>19</v>
      </c>
      <c r="B4211" t="s">
        <v>35</v>
      </c>
      <c r="C4211" t="s">
        <v>30</v>
      </c>
      <c r="D4211">
        <v>5</v>
      </c>
      <c r="E4211" t="s">
        <v>42</v>
      </c>
      <c r="F4211" t="s">
        <v>10</v>
      </c>
    </row>
    <row r="4212" spans="1:6" hidden="1" x14ac:dyDescent="0.35">
      <c r="A4212" t="s">
        <v>20</v>
      </c>
      <c r="B4212" t="s">
        <v>35</v>
      </c>
      <c r="C4212" t="s">
        <v>30</v>
      </c>
      <c r="D4212">
        <v>1</v>
      </c>
      <c r="E4212" t="s">
        <v>42</v>
      </c>
      <c r="F4212" t="s">
        <v>10</v>
      </c>
    </row>
    <row r="4213" spans="1:6" hidden="1" x14ac:dyDescent="0.35">
      <c r="A4213" t="s">
        <v>21</v>
      </c>
      <c r="B4213" t="s">
        <v>35</v>
      </c>
      <c r="C4213" t="s">
        <v>30</v>
      </c>
      <c r="D4213">
        <v>6</v>
      </c>
      <c r="E4213" t="s">
        <v>42</v>
      </c>
      <c r="F4213" t="s">
        <v>10</v>
      </c>
    </row>
    <row r="4214" spans="1:6" hidden="1" x14ac:dyDescent="0.35">
      <c r="A4214" t="s">
        <v>6</v>
      </c>
      <c r="B4214" t="s">
        <v>35</v>
      </c>
      <c r="C4214" t="s">
        <v>31</v>
      </c>
      <c r="D4214">
        <v>1</v>
      </c>
      <c r="E4214" t="s">
        <v>42</v>
      </c>
      <c r="F4214" t="s">
        <v>10</v>
      </c>
    </row>
    <row r="4215" spans="1:6" hidden="1" x14ac:dyDescent="0.35">
      <c r="A4215" t="s">
        <v>11</v>
      </c>
      <c r="B4215" t="s">
        <v>35</v>
      </c>
      <c r="C4215" t="s">
        <v>31</v>
      </c>
      <c r="D4215">
        <v>2</v>
      </c>
      <c r="E4215" t="s">
        <v>42</v>
      </c>
      <c r="F4215" t="s">
        <v>10</v>
      </c>
    </row>
    <row r="4216" spans="1:6" hidden="1" x14ac:dyDescent="0.35">
      <c r="A4216" t="s">
        <v>12</v>
      </c>
      <c r="B4216" t="s">
        <v>35</v>
      </c>
      <c r="C4216" t="s">
        <v>31</v>
      </c>
      <c r="D4216">
        <v>1</v>
      </c>
      <c r="E4216" t="s">
        <v>42</v>
      </c>
      <c r="F4216" t="s">
        <v>10</v>
      </c>
    </row>
    <row r="4217" spans="1:6" hidden="1" x14ac:dyDescent="0.35">
      <c r="A4217" t="s">
        <v>13</v>
      </c>
      <c r="B4217" t="s">
        <v>35</v>
      </c>
      <c r="C4217" t="s">
        <v>31</v>
      </c>
      <c r="D4217">
        <v>3</v>
      </c>
      <c r="E4217" t="s">
        <v>42</v>
      </c>
      <c r="F4217" t="s">
        <v>10</v>
      </c>
    </row>
    <row r="4218" spans="1:6" hidden="1" x14ac:dyDescent="0.35">
      <c r="A4218" t="s">
        <v>14</v>
      </c>
      <c r="B4218" t="s">
        <v>35</v>
      </c>
      <c r="C4218" t="s">
        <v>31</v>
      </c>
      <c r="D4218">
        <v>3</v>
      </c>
      <c r="E4218" t="s">
        <v>42</v>
      </c>
      <c r="F4218" t="s">
        <v>10</v>
      </c>
    </row>
    <row r="4219" spans="1:6" hidden="1" x14ac:dyDescent="0.35">
      <c r="A4219" t="s">
        <v>15</v>
      </c>
      <c r="B4219" t="s">
        <v>35</v>
      </c>
      <c r="C4219" t="s">
        <v>31</v>
      </c>
      <c r="D4219">
        <v>2</v>
      </c>
      <c r="E4219" t="s">
        <v>42</v>
      </c>
      <c r="F4219" t="s">
        <v>10</v>
      </c>
    </row>
    <row r="4220" spans="1:6" hidden="1" x14ac:dyDescent="0.35">
      <c r="A4220" t="s">
        <v>16</v>
      </c>
      <c r="B4220" t="s">
        <v>35</v>
      </c>
      <c r="C4220" t="s">
        <v>31</v>
      </c>
      <c r="D4220">
        <v>3</v>
      </c>
      <c r="E4220" t="s">
        <v>42</v>
      </c>
      <c r="F4220" t="s">
        <v>10</v>
      </c>
    </row>
    <row r="4221" spans="1:6" hidden="1" x14ac:dyDescent="0.35">
      <c r="A4221" t="s">
        <v>17</v>
      </c>
      <c r="B4221" t="s">
        <v>35</v>
      </c>
      <c r="C4221" t="s">
        <v>31</v>
      </c>
      <c r="D4221">
        <v>2</v>
      </c>
      <c r="E4221" t="s">
        <v>42</v>
      </c>
      <c r="F4221" t="s">
        <v>10</v>
      </c>
    </row>
    <row r="4222" spans="1:6" hidden="1" x14ac:dyDescent="0.35">
      <c r="A4222" t="s">
        <v>18</v>
      </c>
      <c r="B4222" t="s">
        <v>35</v>
      </c>
      <c r="C4222" t="s">
        <v>31</v>
      </c>
      <c r="D4222">
        <v>2</v>
      </c>
      <c r="E4222" t="s">
        <v>42</v>
      </c>
      <c r="F4222" t="s">
        <v>10</v>
      </c>
    </row>
    <row r="4223" spans="1:6" hidden="1" x14ac:dyDescent="0.35">
      <c r="A4223" t="s">
        <v>19</v>
      </c>
      <c r="B4223" t="s">
        <v>35</v>
      </c>
      <c r="C4223" t="s">
        <v>31</v>
      </c>
      <c r="D4223">
        <v>1</v>
      </c>
      <c r="E4223" t="s">
        <v>42</v>
      </c>
      <c r="F4223" t="s">
        <v>10</v>
      </c>
    </row>
    <row r="4224" spans="1:6" hidden="1" x14ac:dyDescent="0.35">
      <c r="A4224" t="s">
        <v>20</v>
      </c>
      <c r="B4224" t="s">
        <v>35</v>
      </c>
      <c r="C4224" t="s">
        <v>31</v>
      </c>
      <c r="D4224">
        <v>2</v>
      </c>
      <c r="E4224" t="s">
        <v>42</v>
      </c>
      <c r="F4224" t="s">
        <v>10</v>
      </c>
    </row>
    <row r="4225" spans="1:6" hidden="1" x14ac:dyDescent="0.35">
      <c r="A4225" t="s">
        <v>21</v>
      </c>
      <c r="B4225" t="s">
        <v>35</v>
      </c>
      <c r="C4225" t="s">
        <v>31</v>
      </c>
      <c r="D4225">
        <v>3</v>
      </c>
      <c r="E4225" t="s">
        <v>42</v>
      </c>
      <c r="F4225" t="s">
        <v>10</v>
      </c>
    </row>
    <row r="4226" spans="1:6" hidden="1" x14ac:dyDescent="0.35">
      <c r="A4226" t="s">
        <v>6</v>
      </c>
      <c r="B4226" t="s">
        <v>36</v>
      </c>
      <c r="C4226" t="s">
        <v>8</v>
      </c>
      <c r="D4226">
        <v>86166</v>
      </c>
      <c r="E4226" t="s">
        <v>42</v>
      </c>
      <c r="F4226" t="s">
        <v>10</v>
      </c>
    </row>
    <row r="4227" spans="1:6" hidden="1" x14ac:dyDescent="0.35">
      <c r="A4227" t="s">
        <v>11</v>
      </c>
      <c r="B4227" t="s">
        <v>36</v>
      </c>
      <c r="C4227" t="s">
        <v>8</v>
      </c>
      <c r="D4227">
        <v>71733</v>
      </c>
      <c r="E4227" t="s">
        <v>42</v>
      </c>
      <c r="F4227" t="s">
        <v>10</v>
      </c>
    </row>
    <row r="4228" spans="1:6" hidden="1" x14ac:dyDescent="0.35">
      <c r="A4228" t="s">
        <v>12</v>
      </c>
      <c r="B4228" t="s">
        <v>36</v>
      </c>
      <c r="C4228" t="s">
        <v>8</v>
      </c>
      <c r="D4228">
        <v>58679</v>
      </c>
      <c r="E4228" t="s">
        <v>42</v>
      </c>
      <c r="F4228" t="s">
        <v>10</v>
      </c>
    </row>
    <row r="4229" spans="1:6" hidden="1" x14ac:dyDescent="0.35">
      <c r="A4229" t="s">
        <v>13</v>
      </c>
      <c r="B4229" t="s">
        <v>36</v>
      </c>
      <c r="C4229" t="s">
        <v>8</v>
      </c>
      <c r="D4229">
        <v>31118</v>
      </c>
      <c r="E4229" t="s">
        <v>42</v>
      </c>
      <c r="F4229" t="s">
        <v>10</v>
      </c>
    </row>
    <row r="4230" spans="1:6" hidden="1" x14ac:dyDescent="0.35">
      <c r="A4230" t="s">
        <v>14</v>
      </c>
      <c r="B4230" t="s">
        <v>36</v>
      </c>
      <c r="C4230" t="s">
        <v>8</v>
      </c>
      <c r="D4230">
        <v>20276</v>
      </c>
      <c r="E4230" t="s">
        <v>42</v>
      </c>
      <c r="F4230" t="s">
        <v>10</v>
      </c>
    </row>
    <row r="4231" spans="1:6" hidden="1" x14ac:dyDescent="0.35">
      <c r="A4231" t="s">
        <v>15</v>
      </c>
      <c r="B4231" t="s">
        <v>36</v>
      </c>
      <c r="C4231" t="s">
        <v>8</v>
      </c>
      <c r="D4231">
        <v>15940</v>
      </c>
      <c r="E4231" t="s">
        <v>42</v>
      </c>
      <c r="F4231" t="s">
        <v>10</v>
      </c>
    </row>
    <row r="4232" spans="1:6" hidden="1" x14ac:dyDescent="0.35">
      <c r="A4232" t="s">
        <v>16</v>
      </c>
      <c r="B4232" t="s">
        <v>36</v>
      </c>
      <c r="C4232" t="s">
        <v>8</v>
      </c>
      <c r="D4232">
        <v>37660</v>
      </c>
      <c r="E4232" t="s">
        <v>42</v>
      </c>
      <c r="F4232" t="s">
        <v>10</v>
      </c>
    </row>
    <row r="4233" spans="1:6" hidden="1" x14ac:dyDescent="0.35">
      <c r="A4233" t="s">
        <v>17</v>
      </c>
      <c r="B4233" t="s">
        <v>36</v>
      </c>
      <c r="C4233" t="s">
        <v>8</v>
      </c>
      <c r="D4233">
        <v>75798</v>
      </c>
      <c r="E4233" t="s">
        <v>42</v>
      </c>
      <c r="F4233" t="s">
        <v>10</v>
      </c>
    </row>
    <row r="4234" spans="1:6" hidden="1" x14ac:dyDescent="0.35">
      <c r="A4234" t="s">
        <v>18</v>
      </c>
      <c r="B4234" t="s">
        <v>36</v>
      </c>
      <c r="C4234" t="s">
        <v>8</v>
      </c>
      <c r="D4234">
        <v>116437</v>
      </c>
      <c r="E4234" t="s">
        <v>42</v>
      </c>
      <c r="F4234" t="s">
        <v>10</v>
      </c>
    </row>
    <row r="4235" spans="1:6" hidden="1" x14ac:dyDescent="0.35">
      <c r="A4235" t="s">
        <v>19</v>
      </c>
      <c r="B4235" t="s">
        <v>36</v>
      </c>
      <c r="C4235" t="s">
        <v>8</v>
      </c>
      <c r="D4235">
        <v>69953</v>
      </c>
      <c r="E4235" t="s">
        <v>42</v>
      </c>
      <c r="F4235" t="s">
        <v>10</v>
      </c>
    </row>
    <row r="4236" spans="1:6" hidden="1" x14ac:dyDescent="0.35">
      <c r="A4236" t="s">
        <v>20</v>
      </c>
      <c r="B4236" t="s">
        <v>36</v>
      </c>
      <c r="C4236" t="s">
        <v>8</v>
      </c>
      <c r="D4236">
        <v>26802</v>
      </c>
      <c r="E4236" t="s">
        <v>42</v>
      </c>
      <c r="F4236" t="s">
        <v>10</v>
      </c>
    </row>
    <row r="4237" spans="1:6" hidden="1" x14ac:dyDescent="0.35">
      <c r="A4237" t="s">
        <v>21</v>
      </c>
      <c r="B4237" t="s">
        <v>36</v>
      </c>
      <c r="C4237" t="s">
        <v>8</v>
      </c>
      <c r="D4237">
        <v>65531</v>
      </c>
      <c r="E4237" t="s">
        <v>42</v>
      </c>
      <c r="F4237" t="s">
        <v>10</v>
      </c>
    </row>
    <row r="4238" spans="1:6" hidden="1" x14ac:dyDescent="0.35">
      <c r="A4238" t="s">
        <v>6</v>
      </c>
      <c r="B4238" t="s">
        <v>36</v>
      </c>
      <c r="C4238" t="s">
        <v>22</v>
      </c>
      <c r="D4238">
        <v>0</v>
      </c>
      <c r="E4238" t="s">
        <v>42</v>
      </c>
      <c r="F4238" t="s">
        <v>10</v>
      </c>
    </row>
    <row r="4239" spans="1:6" hidden="1" x14ac:dyDescent="0.35">
      <c r="A4239" t="s">
        <v>11</v>
      </c>
      <c r="B4239" t="s">
        <v>36</v>
      </c>
      <c r="C4239" t="s">
        <v>22</v>
      </c>
      <c r="D4239">
        <v>0</v>
      </c>
      <c r="E4239" t="s">
        <v>42</v>
      </c>
      <c r="F4239" t="s">
        <v>10</v>
      </c>
    </row>
    <row r="4240" spans="1:6" hidden="1" x14ac:dyDescent="0.35">
      <c r="A4240" t="s">
        <v>12</v>
      </c>
      <c r="B4240" t="s">
        <v>36</v>
      </c>
      <c r="C4240" t="s">
        <v>22</v>
      </c>
      <c r="D4240">
        <v>0</v>
      </c>
      <c r="E4240" t="s">
        <v>42</v>
      </c>
      <c r="F4240" t="s">
        <v>10</v>
      </c>
    </row>
    <row r="4241" spans="1:6" hidden="1" x14ac:dyDescent="0.35">
      <c r="A4241" t="s">
        <v>13</v>
      </c>
      <c r="B4241" t="s">
        <v>36</v>
      </c>
      <c r="C4241" t="s">
        <v>22</v>
      </c>
      <c r="D4241">
        <v>0</v>
      </c>
      <c r="E4241" t="s">
        <v>42</v>
      </c>
      <c r="F4241" t="s">
        <v>10</v>
      </c>
    </row>
    <row r="4242" spans="1:6" hidden="1" x14ac:dyDescent="0.35">
      <c r="A4242" t="s">
        <v>14</v>
      </c>
      <c r="B4242" t="s">
        <v>36</v>
      </c>
      <c r="C4242" t="s">
        <v>22</v>
      </c>
      <c r="D4242">
        <v>0</v>
      </c>
      <c r="E4242" t="s">
        <v>42</v>
      </c>
      <c r="F4242" t="s">
        <v>10</v>
      </c>
    </row>
    <row r="4243" spans="1:6" hidden="1" x14ac:dyDescent="0.35">
      <c r="A4243" t="s">
        <v>15</v>
      </c>
      <c r="B4243" t="s">
        <v>36</v>
      </c>
      <c r="C4243" t="s">
        <v>22</v>
      </c>
      <c r="D4243">
        <v>0</v>
      </c>
      <c r="E4243" t="s">
        <v>42</v>
      </c>
      <c r="F4243" t="s">
        <v>10</v>
      </c>
    </row>
    <row r="4244" spans="1:6" hidden="1" x14ac:dyDescent="0.35">
      <c r="A4244" t="s">
        <v>16</v>
      </c>
      <c r="B4244" t="s">
        <v>36</v>
      </c>
      <c r="C4244" t="s">
        <v>22</v>
      </c>
      <c r="D4244">
        <v>0</v>
      </c>
      <c r="E4244" t="s">
        <v>42</v>
      </c>
      <c r="F4244" t="s">
        <v>10</v>
      </c>
    </row>
    <row r="4245" spans="1:6" hidden="1" x14ac:dyDescent="0.35">
      <c r="A4245" t="s">
        <v>17</v>
      </c>
      <c r="B4245" t="s">
        <v>36</v>
      </c>
      <c r="C4245" t="s">
        <v>22</v>
      </c>
      <c r="D4245">
        <v>0</v>
      </c>
      <c r="E4245" t="s">
        <v>42</v>
      </c>
      <c r="F4245" t="s">
        <v>10</v>
      </c>
    </row>
    <row r="4246" spans="1:6" hidden="1" x14ac:dyDescent="0.35">
      <c r="A4246" t="s">
        <v>18</v>
      </c>
      <c r="B4246" t="s">
        <v>36</v>
      </c>
      <c r="C4246" t="s">
        <v>22</v>
      </c>
      <c r="D4246">
        <v>0</v>
      </c>
      <c r="E4246" t="s">
        <v>42</v>
      </c>
      <c r="F4246" t="s">
        <v>10</v>
      </c>
    </row>
    <row r="4247" spans="1:6" hidden="1" x14ac:dyDescent="0.35">
      <c r="A4247" t="s">
        <v>19</v>
      </c>
      <c r="B4247" t="s">
        <v>36</v>
      </c>
      <c r="C4247" t="s">
        <v>22</v>
      </c>
      <c r="D4247">
        <v>0</v>
      </c>
      <c r="E4247" t="s">
        <v>42</v>
      </c>
      <c r="F4247" t="s">
        <v>10</v>
      </c>
    </row>
    <row r="4248" spans="1:6" hidden="1" x14ac:dyDescent="0.35">
      <c r="A4248" t="s">
        <v>20</v>
      </c>
      <c r="B4248" t="s">
        <v>36</v>
      </c>
      <c r="C4248" t="s">
        <v>22</v>
      </c>
      <c r="D4248">
        <v>0</v>
      </c>
      <c r="E4248" t="s">
        <v>42</v>
      </c>
      <c r="F4248" t="s">
        <v>10</v>
      </c>
    </row>
    <row r="4249" spans="1:6" hidden="1" x14ac:dyDescent="0.35">
      <c r="A4249" t="s">
        <v>21</v>
      </c>
      <c r="B4249" t="s">
        <v>36</v>
      </c>
      <c r="C4249" t="s">
        <v>22</v>
      </c>
      <c r="D4249">
        <v>0</v>
      </c>
      <c r="E4249" t="s">
        <v>42</v>
      </c>
      <c r="F4249" t="s">
        <v>10</v>
      </c>
    </row>
    <row r="4250" spans="1:6" hidden="1" x14ac:dyDescent="0.35">
      <c r="A4250" t="s">
        <v>6</v>
      </c>
      <c r="B4250" t="s">
        <v>36</v>
      </c>
      <c r="C4250" t="s">
        <v>23</v>
      </c>
      <c r="D4250">
        <v>1189230</v>
      </c>
      <c r="E4250" t="s">
        <v>42</v>
      </c>
      <c r="F4250" t="s">
        <v>10</v>
      </c>
    </row>
    <row r="4251" spans="1:6" hidden="1" x14ac:dyDescent="0.35">
      <c r="A4251" t="s">
        <v>11</v>
      </c>
      <c r="B4251" t="s">
        <v>36</v>
      </c>
      <c r="C4251" t="s">
        <v>23</v>
      </c>
      <c r="D4251">
        <v>1007764</v>
      </c>
      <c r="E4251" t="s">
        <v>42</v>
      </c>
      <c r="F4251" t="s">
        <v>10</v>
      </c>
    </row>
    <row r="4252" spans="1:6" hidden="1" x14ac:dyDescent="0.35">
      <c r="A4252" t="s">
        <v>12</v>
      </c>
      <c r="B4252" t="s">
        <v>36</v>
      </c>
      <c r="C4252" t="s">
        <v>23</v>
      </c>
      <c r="D4252">
        <v>1008904</v>
      </c>
      <c r="E4252" t="s">
        <v>42</v>
      </c>
      <c r="F4252" t="s">
        <v>10</v>
      </c>
    </row>
    <row r="4253" spans="1:6" hidden="1" x14ac:dyDescent="0.35">
      <c r="A4253" t="s">
        <v>13</v>
      </c>
      <c r="B4253" t="s">
        <v>36</v>
      </c>
      <c r="C4253" t="s">
        <v>23</v>
      </c>
      <c r="D4253">
        <v>1014607</v>
      </c>
      <c r="E4253" t="s">
        <v>42</v>
      </c>
      <c r="F4253" t="s">
        <v>10</v>
      </c>
    </row>
    <row r="4254" spans="1:6" hidden="1" x14ac:dyDescent="0.35">
      <c r="A4254" t="s">
        <v>14</v>
      </c>
      <c r="B4254" t="s">
        <v>36</v>
      </c>
      <c r="C4254" t="s">
        <v>23</v>
      </c>
      <c r="D4254">
        <v>973486</v>
      </c>
      <c r="E4254" t="s">
        <v>42</v>
      </c>
      <c r="F4254" t="s">
        <v>10</v>
      </c>
    </row>
    <row r="4255" spans="1:6" hidden="1" x14ac:dyDescent="0.35">
      <c r="A4255" t="s">
        <v>15</v>
      </c>
      <c r="B4255" t="s">
        <v>36</v>
      </c>
      <c r="C4255" t="s">
        <v>23</v>
      </c>
      <c r="D4255">
        <v>815743</v>
      </c>
      <c r="E4255" t="s">
        <v>42</v>
      </c>
      <c r="F4255" t="s">
        <v>10</v>
      </c>
    </row>
    <row r="4256" spans="1:6" hidden="1" x14ac:dyDescent="0.35">
      <c r="A4256" t="s">
        <v>16</v>
      </c>
      <c r="B4256" t="s">
        <v>36</v>
      </c>
      <c r="C4256" t="s">
        <v>23</v>
      </c>
      <c r="D4256">
        <v>917657</v>
      </c>
      <c r="E4256" t="s">
        <v>42</v>
      </c>
      <c r="F4256" t="s">
        <v>10</v>
      </c>
    </row>
    <row r="4257" spans="1:6" hidden="1" x14ac:dyDescent="0.35">
      <c r="A4257" t="s">
        <v>17</v>
      </c>
      <c r="B4257" t="s">
        <v>36</v>
      </c>
      <c r="C4257" t="s">
        <v>23</v>
      </c>
      <c r="D4257">
        <v>1089394</v>
      </c>
      <c r="E4257" t="s">
        <v>42</v>
      </c>
      <c r="F4257" t="s">
        <v>10</v>
      </c>
    </row>
    <row r="4258" spans="1:6" hidden="1" x14ac:dyDescent="0.35">
      <c r="A4258" t="s">
        <v>18</v>
      </c>
      <c r="B4258" t="s">
        <v>36</v>
      </c>
      <c r="C4258" t="s">
        <v>23</v>
      </c>
      <c r="D4258">
        <v>1231527</v>
      </c>
      <c r="E4258" t="s">
        <v>42</v>
      </c>
      <c r="F4258" t="s">
        <v>10</v>
      </c>
    </row>
    <row r="4259" spans="1:6" hidden="1" x14ac:dyDescent="0.35">
      <c r="A4259" t="s">
        <v>19</v>
      </c>
      <c r="B4259" t="s">
        <v>36</v>
      </c>
      <c r="C4259" t="s">
        <v>23</v>
      </c>
      <c r="D4259">
        <v>1128295</v>
      </c>
      <c r="E4259" t="s">
        <v>42</v>
      </c>
      <c r="F4259" t="s">
        <v>10</v>
      </c>
    </row>
    <row r="4260" spans="1:6" hidden="1" x14ac:dyDescent="0.35">
      <c r="A4260" t="s">
        <v>20</v>
      </c>
      <c r="B4260" t="s">
        <v>36</v>
      </c>
      <c r="C4260" t="s">
        <v>23</v>
      </c>
      <c r="D4260">
        <v>845188</v>
      </c>
      <c r="E4260" t="s">
        <v>42</v>
      </c>
      <c r="F4260" t="s">
        <v>10</v>
      </c>
    </row>
    <row r="4261" spans="1:6" hidden="1" x14ac:dyDescent="0.35">
      <c r="A4261" t="s">
        <v>21</v>
      </c>
      <c r="B4261" t="s">
        <v>36</v>
      </c>
      <c r="C4261" t="s">
        <v>23</v>
      </c>
      <c r="D4261">
        <v>1102895</v>
      </c>
      <c r="E4261" t="s">
        <v>42</v>
      </c>
      <c r="F4261" t="s">
        <v>10</v>
      </c>
    </row>
    <row r="4262" spans="1:6" hidden="1" x14ac:dyDescent="0.35">
      <c r="A4262" t="s">
        <v>6</v>
      </c>
      <c r="B4262" t="s">
        <v>36</v>
      </c>
      <c r="C4262" t="s">
        <v>24</v>
      </c>
      <c r="D4262">
        <v>0</v>
      </c>
      <c r="E4262" t="s">
        <v>42</v>
      </c>
      <c r="F4262" t="s">
        <v>10</v>
      </c>
    </row>
    <row r="4263" spans="1:6" hidden="1" x14ac:dyDescent="0.35">
      <c r="A4263" t="s">
        <v>11</v>
      </c>
      <c r="B4263" t="s">
        <v>36</v>
      </c>
      <c r="C4263" t="s">
        <v>24</v>
      </c>
      <c r="D4263">
        <v>0</v>
      </c>
      <c r="E4263" t="s">
        <v>42</v>
      </c>
      <c r="F4263" t="s">
        <v>10</v>
      </c>
    </row>
    <row r="4264" spans="1:6" hidden="1" x14ac:dyDescent="0.35">
      <c r="A4264" t="s">
        <v>12</v>
      </c>
      <c r="B4264" t="s">
        <v>36</v>
      </c>
      <c r="C4264" t="s">
        <v>24</v>
      </c>
      <c r="D4264">
        <v>0</v>
      </c>
      <c r="E4264" t="s">
        <v>42</v>
      </c>
      <c r="F4264" t="s">
        <v>10</v>
      </c>
    </row>
    <row r="4265" spans="1:6" hidden="1" x14ac:dyDescent="0.35">
      <c r="A4265" t="s">
        <v>13</v>
      </c>
      <c r="B4265" t="s">
        <v>36</v>
      </c>
      <c r="C4265" t="s">
        <v>24</v>
      </c>
      <c r="D4265">
        <v>0</v>
      </c>
      <c r="E4265" t="s">
        <v>42</v>
      </c>
      <c r="F4265" t="s">
        <v>10</v>
      </c>
    </row>
    <row r="4266" spans="1:6" hidden="1" x14ac:dyDescent="0.35">
      <c r="A4266" t="s">
        <v>14</v>
      </c>
      <c r="B4266" t="s">
        <v>36</v>
      </c>
      <c r="C4266" t="s">
        <v>24</v>
      </c>
      <c r="D4266">
        <v>0</v>
      </c>
      <c r="E4266" t="s">
        <v>42</v>
      </c>
      <c r="F4266" t="s">
        <v>10</v>
      </c>
    </row>
    <row r="4267" spans="1:6" hidden="1" x14ac:dyDescent="0.35">
      <c r="A4267" t="s">
        <v>15</v>
      </c>
      <c r="B4267" t="s">
        <v>36</v>
      </c>
      <c r="C4267" t="s">
        <v>24</v>
      </c>
      <c r="D4267">
        <v>0</v>
      </c>
      <c r="E4267" t="s">
        <v>42</v>
      </c>
      <c r="F4267" t="s">
        <v>10</v>
      </c>
    </row>
    <row r="4268" spans="1:6" hidden="1" x14ac:dyDescent="0.35">
      <c r="A4268" t="s">
        <v>16</v>
      </c>
      <c r="B4268" t="s">
        <v>36</v>
      </c>
      <c r="C4268" t="s">
        <v>24</v>
      </c>
      <c r="D4268">
        <v>0</v>
      </c>
      <c r="E4268" t="s">
        <v>42</v>
      </c>
      <c r="F4268" t="s">
        <v>10</v>
      </c>
    </row>
    <row r="4269" spans="1:6" hidden="1" x14ac:dyDescent="0.35">
      <c r="A4269" t="s">
        <v>17</v>
      </c>
      <c r="B4269" t="s">
        <v>36</v>
      </c>
      <c r="C4269" t="s">
        <v>24</v>
      </c>
      <c r="D4269">
        <v>0</v>
      </c>
      <c r="E4269" t="s">
        <v>42</v>
      </c>
      <c r="F4269" t="s">
        <v>10</v>
      </c>
    </row>
    <row r="4270" spans="1:6" hidden="1" x14ac:dyDescent="0.35">
      <c r="A4270" t="s">
        <v>18</v>
      </c>
      <c r="B4270" t="s">
        <v>36</v>
      </c>
      <c r="C4270" t="s">
        <v>24</v>
      </c>
      <c r="D4270">
        <v>0</v>
      </c>
      <c r="E4270" t="s">
        <v>42</v>
      </c>
      <c r="F4270" t="s">
        <v>10</v>
      </c>
    </row>
    <row r="4271" spans="1:6" hidden="1" x14ac:dyDescent="0.35">
      <c r="A4271" t="s">
        <v>19</v>
      </c>
      <c r="B4271" t="s">
        <v>36</v>
      </c>
      <c r="C4271" t="s">
        <v>24</v>
      </c>
      <c r="D4271">
        <v>0</v>
      </c>
      <c r="E4271" t="s">
        <v>42</v>
      </c>
      <c r="F4271" t="s">
        <v>10</v>
      </c>
    </row>
    <row r="4272" spans="1:6" hidden="1" x14ac:dyDescent="0.35">
      <c r="A4272" t="s">
        <v>20</v>
      </c>
      <c r="B4272" t="s">
        <v>36</v>
      </c>
      <c r="C4272" t="s">
        <v>24</v>
      </c>
      <c r="D4272">
        <v>0</v>
      </c>
      <c r="E4272" t="s">
        <v>42</v>
      </c>
      <c r="F4272" t="s">
        <v>10</v>
      </c>
    </row>
    <row r="4273" spans="1:6" hidden="1" x14ac:dyDescent="0.35">
      <c r="A4273" t="s">
        <v>21</v>
      </c>
      <c r="B4273" t="s">
        <v>36</v>
      </c>
      <c r="C4273" t="s">
        <v>24</v>
      </c>
      <c r="D4273">
        <v>0</v>
      </c>
      <c r="E4273" t="s">
        <v>42</v>
      </c>
      <c r="F4273" t="s">
        <v>10</v>
      </c>
    </row>
    <row r="4274" spans="1:6" hidden="1" x14ac:dyDescent="0.35">
      <c r="A4274" t="s">
        <v>6</v>
      </c>
      <c r="B4274" t="s">
        <v>36</v>
      </c>
      <c r="C4274" t="s">
        <v>25</v>
      </c>
      <c r="D4274">
        <v>0</v>
      </c>
      <c r="E4274" t="s">
        <v>42</v>
      </c>
      <c r="F4274" t="s">
        <v>10</v>
      </c>
    </row>
    <row r="4275" spans="1:6" hidden="1" x14ac:dyDescent="0.35">
      <c r="A4275" t="s">
        <v>11</v>
      </c>
      <c r="B4275" t="s">
        <v>36</v>
      </c>
      <c r="C4275" t="s">
        <v>25</v>
      </c>
      <c r="D4275">
        <v>0</v>
      </c>
      <c r="E4275" t="s">
        <v>42</v>
      </c>
      <c r="F4275" t="s">
        <v>10</v>
      </c>
    </row>
    <row r="4276" spans="1:6" hidden="1" x14ac:dyDescent="0.35">
      <c r="A4276" t="s">
        <v>12</v>
      </c>
      <c r="B4276" t="s">
        <v>36</v>
      </c>
      <c r="C4276" t="s">
        <v>25</v>
      </c>
      <c r="D4276">
        <v>0</v>
      </c>
      <c r="E4276" t="s">
        <v>42</v>
      </c>
      <c r="F4276" t="s">
        <v>10</v>
      </c>
    </row>
    <row r="4277" spans="1:6" hidden="1" x14ac:dyDescent="0.35">
      <c r="A4277" t="s">
        <v>13</v>
      </c>
      <c r="B4277" t="s">
        <v>36</v>
      </c>
      <c r="C4277" t="s">
        <v>25</v>
      </c>
      <c r="D4277">
        <v>0</v>
      </c>
      <c r="E4277" t="s">
        <v>42</v>
      </c>
      <c r="F4277" t="s">
        <v>10</v>
      </c>
    </row>
    <row r="4278" spans="1:6" hidden="1" x14ac:dyDescent="0.35">
      <c r="A4278" t="s">
        <v>14</v>
      </c>
      <c r="B4278" t="s">
        <v>36</v>
      </c>
      <c r="C4278" t="s">
        <v>25</v>
      </c>
      <c r="D4278">
        <v>0</v>
      </c>
      <c r="E4278" t="s">
        <v>42</v>
      </c>
      <c r="F4278" t="s">
        <v>10</v>
      </c>
    </row>
    <row r="4279" spans="1:6" hidden="1" x14ac:dyDescent="0.35">
      <c r="A4279" t="s">
        <v>15</v>
      </c>
      <c r="B4279" t="s">
        <v>36</v>
      </c>
      <c r="C4279" t="s">
        <v>25</v>
      </c>
      <c r="D4279">
        <v>0</v>
      </c>
      <c r="E4279" t="s">
        <v>42</v>
      </c>
      <c r="F4279" t="s">
        <v>10</v>
      </c>
    </row>
    <row r="4280" spans="1:6" hidden="1" x14ac:dyDescent="0.35">
      <c r="A4280" t="s">
        <v>16</v>
      </c>
      <c r="B4280" t="s">
        <v>36</v>
      </c>
      <c r="C4280" t="s">
        <v>25</v>
      </c>
      <c r="D4280">
        <v>828</v>
      </c>
      <c r="E4280" t="s">
        <v>42</v>
      </c>
      <c r="F4280" t="s">
        <v>10</v>
      </c>
    </row>
    <row r="4281" spans="1:6" hidden="1" x14ac:dyDescent="0.35">
      <c r="A4281" t="s">
        <v>17</v>
      </c>
      <c r="B4281" t="s">
        <v>36</v>
      </c>
      <c r="C4281" t="s">
        <v>25</v>
      </c>
      <c r="D4281">
        <v>0</v>
      </c>
      <c r="E4281" t="s">
        <v>42</v>
      </c>
      <c r="F4281" t="s">
        <v>10</v>
      </c>
    </row>
    <row r="4282" spans="1:6" hidden="1" x14ac:dyDescent="0.35">
      <c r="A4282" t="s">
        <v>18</v>
      </c>
      <c r="B4282" t="s">
        <v>36</v>
      </c>
      <c r="C4282" t="s">
        <v>25</v>
      </c>
      <c r="D4282">
        <v>0</v>
      </c>
      <c r="E4282" t="s">
        <v>42</v>
      </c>
      <c r="F4282" t="s">
        <v>10</v>
      </c>
    </row>
    <row r="4283" spans="1:6" hidden="1" x14ac:dyDescent="0.35">
      <c r="A4283" t="s">
        <v>19</v>
      </c>
      <c r="B4283" t="s">
        <v>36</v>
      </c>
      <c r="C4283" t="s">
        <v>25</v>
      </c>
      <c r="D4283">
        <v>0</v>
      </c>
      <c r="E4283" t="s">
        <v>42</v>
      </c>
      <c r="F4283" t="s">
        <v>10</v>
      </c>
    </row>
    <row r="4284" spans="1:6" hidden="1" x14ac:dyDescent="0.35">
      <c r="A4284" t="s">
        <v>20</v>
      </c>
      <c r="B4284" t="s">
        <v>36</v>
      </c>
      <c r="C4284" t="s">
        <v>25</v>
      </c>
      <c r="D4284">
        <v>0</v>
      </c>
      <c r="E4284" t="s">
        <v>42</v>
      </c>
      <c r="F4284" t="s">
        <v>10</v>
      </c>
    </row>
    <row r="4285" spans="1:6" hidden="1" x14ac:dyDescent="0.35">
      <c r="A4285" t="s">
        <v>21</v>
      </c>
      <c r="B4285" t="s">
        <v>36</v>
      </c>
      <c r="C4285" t="s">
        <v>25</v>
      </c>
      <c r="D4285">
        <v>0</v>
      </c>
      <c r="E4285" t="s">
        <v>42</v>
      </c>
      <c r="F4285" t="s">
        <v>10</v>
      </c>
    </row>
    <row r="4286" spans="1:6" hidden="1" x14ac:dyDescent="0.35">
      <c r="A4286" t="s">
        <v>6</v>
      </c>
      <c r="B4286" t="s">
        <v>36</v>
      </c>
      <c r="C4286" t="s">
        <v>26</v>
      </c>
      <c r="D4286">
        <v>0</v>
      </c>
      <c r="E4286" t="s">
        <v>42</v>
      </c>
      <c r="F4286" t="s">
        <v>10</v>
      </c>
    </row>
    <row r="4287" spans="1:6" hidden="1" x14ac:dyDescent="0.35">
      <c r="A4287" t="s">
        <v>11</v>
      </c>
      <c r="B4287" t="s">
        <v>36</v>
      </c>
      <c r="C4287" t="s">
        <v>26</v>
      </c>
      <c r="E4287" t="s">
        <v>42</v>
      </c>
      <c r="F4287" t="s">
        <v>10</v>
      </c>
    </row>
    <row r="4288" spans="1:6" hidden="1" x14ac:dyDescent="0.35">
      <c r="A4288" t="s">
        <v>12</v>
      </c>
      <c r="B4288" t="s">
        <v>36</v>
      </c>
      <c r="C4288" t="s">
        <v>26</v>
      </c>
      <c r="E4288" t="s">
        <v>42</v>
      </c>
      <c r="F4288" t="s">
        <v>10</v>
      </c>
    </row>
    <row r="4289" spans="1:6" hidden="1" x14ac:dyDescent="0.35">
      <c r="A4289" t="s">
        <v>13</v>
      </c>
      <c r="B4289" t="s">
        <v>36</v>
      </c>
      <c r="C4289" t="s">
        <v>26</v>
      </c>
      <c r="E4289" t="s">
        <v>42</v>
      </c>
      <c r="F4289" t="s">
        <v>10</v>
      </c>
    </row>
    <row r="4290" spans="1:6" hidden="1" x14ac:dyDescent="0.35">
      <c r="A4290" t="s">
        <v>14</v>
      </c>
      <c r="B4290" t="s">
        <v>36</v>
      </c>
      <c r="C4290" t="s">
        <v>26</v>
      </c>
      <c r="E4290" t="s">
        <v>42</v>
      </c>
      <c r="F4290" t="s">
        <v>10</v>
      </c>
    </row>
    <row r="4291" spans="1:6" hidden="1" x14ac:dyDescent="0.35">
      <c r="A4291" t="s">
        <v>15</v>
      </c>
      <c r="B4291" t="s">
        <v>36</v>
      </c>
      <c r="C4291" t="s">
        <v>26</v>
      </c>
      <c r="E4291" t="s">
        <v>42</v>
      </c>
      <c r="F4291" t="s">
        <v>10</v>
      </c>
    </row>
    <row r="4292" spans="1:6" hidden="1" x14ac:dyDescent="0.35">
      <c r="A4292" t="s">
        <v>16</v>
      </c>
      <c r="B4292" t="s">
        <v>36</v>
      </c>
      <c r="C4292" t="s">
        <v>26</v>
      </c>
      <c r="E4292" t="s">
        <v>42</v>
      </c>
      <c r="F4292" t="s">
        <v>10</v>
      </c>
    </row>
    <row r="4293" spans="1:6" hidden="1" x14ac:dyDescent="0.35">
      <c r="A4293" t="s">
        <v>17</v>
      </c>
      <c r="B4293" t="s">
        <v>36</v>
      </c>
      <c r="C4293" t="s">
        <v>26</v>
      </c>
      <c r="E4293" t="s">
        <v>42</v>
      </c>
      <c r="F4293" t="s">
        <v>10</v>
      </c>
    </row>
    <row r="4294" spans="1:6" hidden="1" x14ac:dyDescent="0.35">
      <c r="A4294" t="s">
        <v>18</v>
      </c>
      <c r="B4294" t="s">
        <v>36</v>
      </c>
      <c r="C4294" t="s">
        <v>26</v>
      </c>
      <c r="E4294" t="s">
        <v>42</v>
      </c>
      <c r="F4294" t="s">
        <v>10</v>
      </c>
    </row>
    <row r="4295" spans="1:6" hidden="1" x14ac:dyDescent="0.35">
      <c r="A4295" t="s">
        <v>19</v>
      </c>
      <c r="B4295" t="s">
        <v>36</v>
      </c>
      <c r="C4295" t="s">
        <v>26</v>
      </c>
      <c r="E4295" t="s">
        <v>42</v>
      </c>
      <c r="F4295" t="s">
        <v>10</v>
      </c>
    </row>
    <row r="4296" spans="1:6" hidden="1" x14ac:dyDescent="0.35">
      <c r="A4296" t="s">
        <v>20</v>
      </c>
      <c r="B4296" t="s">
        <v>36</v>
      </c>
      <c r="C4296" t="s">
        <v>26</v>
      </c>
      <c r="E4296" t="s">
        <v>42</v>
      </c>
      <c r="F4296" t="s">
        <v>10</v>
      </c>
    </row>
    <row r="4297" spans="1:6" hidden="1" x14ac:dyDescent="0.35">
      <c r="A4297" t="s">
        <v>21</v>
      </c>
      <c r="B4297" t="s">
        <v>36</v>
      </c>
      <c r="C4297" t="s">
        <v>26</v>
      </c>
      <c r="E4297" t="s">
        <v>42</v>
      </c>
      <c r="F4297" t="s">
        <v>10</v>
      </c>
    </row>
    <row r="4298" spans="1:6" hidden="1" x14ac:dyDescent="0.35">
      <c r="A4298" t="s">
        <v>6</v>
      </c>
      <c r="B4298" t="s">
        <v>36</v>
      </c>
      <c r="C4298" t="s">
        <v>27</v>
      </c>
      <c r="D4298">
        <v>1189858</v>
      </c>
      <c r="E4298" t="s">
        <v>42</v>
      </c>
      <c r="F4298" t="s">
        <v>10</v>
      </c>
    </row>
    <row r="4299" spans="1:6" hidden="1" x14ac:dyDescent="0.35">
      <c r="A4299" t="s">
        <v>11</v>
      </c>
      <c r="B4299" t="s">
        <v>36</v>
      </c>
      <c r="C4299" t="s">
        <v>27</v>
      </c>
      <c r="D4299">
        <v>1371227</v>
      </c>
      <c r="E4299" t="s">
        <v>42</v>
      </c>
      <c r="F4299" t="s">
        <v>10</v>
      </c>
    </row>
    <row r="4300" spans="1:6" hidden="1" x14ac:dyDescent="0.35">
      <c r="A4300" t="s">
        <v>12</v>
      </c>
      <c r="B4300" t="s">
        <v>36</v>
      </c>
      <c r="C4300" t="s">
        <v>27</v>
      </c>
      <c r="D4300">
        <v>1219731</v>
      </c>
      <c r="E4300" t="s">
        <v>42</v>
      </c>
      <c r="F4300" t="s">
        <v>10</v>
      </c>
    </row>
    <row r="4301" spans="1:6" hidden="1" x14ac:dyDescent="0.35">
      <c r="A4301" t="s">
        <v>13</v>
      </c>
      <c r="B4301" t="s">
        <v>36</v>
      </c>
      <c r="C4301" t="s">
        <v>27</v>
      </c>
      <c r="D4301">
        <v>1157942</v>
      </c>
      <c r="E4301" t="s">
        <v>42</v>
      </c>
      <c r="F4301" t="s">
        <v>10</v>
      </c>
    </row>
    <row r="4302" spans="1:6" hidden="1" x14ac:dyDescent="0.35">
      <c r="A4302" t="s">
        <v>14</v>
      </c>
      <c r="B4302" t="s">
        <v>36</v>
      </c>
      <c r="C4302" t="s">
        <v>27</v>
      </c>
      <c r="D4302">
        <v>1065970</v>
      </c>
      <c r="E4302" t="s">
        <v>42</v>
      </c>
      <c r="F4302" t="s">
        <v>10</v>
      </c>
    </row>
    <row r="4303" spans="1:6" hidden="1" x14ac:dyDescent="0.35">
      <c r="A4303" t="s">
        <v>15</v>
      </c>
      <c r="B4303" t="s">
        <v>36</v>
      </c>
      <c r="C4303" t="s">
        <v>27</v>
      </c>
      <c r="D4303">
        <v>876497</v>
      </c>
      <c r="E4303" t="s">
        <v>42</v>
      </c>
      <c r="F4303" t="s">
        <v>10</v>
      </c>
    </row>
    <row r="4304" spans="1:6" hidden="1" x14ac:dyDescent="0.35">
      <c r="A4304" t="s">
        <v>16</v>
      </c>
      <c r="B4304" t="s">
        <v>36</v>
      </c>
      <c r="C4304" t="s">
        <v>27</v>
      </c>
      <c r="D4304">
        <v>875501</v>
      </c>
      <c r="E4304" t="s">
        <v>42</v>
      </c>
      <c r="F4304" t="s">
        <v>10</v>
      </c>
    </row>
    <row r="4305" spans="1:6" hidden="1" x14ac:dyDescent="0.35">
      <c r="A4305" t="s">
        <v>17</v>
      </c>
      <c r="B4305" t="s">
        <v>36</v>
      </c>
      <c r="C4305" t="s">
        <v>27</v>
      </c>
      <c r="D4305">
        <v>1216110</v>
      </c>
      <c r="E4305" t="s">
        <v>42</v>
      </c>
      <c r="F4305" t="s">
        <v>10</v>
      </c>
    </row>
    <row r="4306" spans="1:6" hidden="1" x14ac:dyDescent="0.35">
      <c r="A4306" t="s">
        <v>18</v>
      </c>
      <c r="B4306" t="s">
        <v>36</v>
      </c>
      <c r="C4306" t="s">
        <v>27</v>
      </c>
      <c r="D4306">
        <v>1162795</v>
      </c>
      <c r="E4306" t="s">
        <v>42</v>
      </c>
      <c r="F4306" t="s">
        <v>10</v>
      </c>
    </row>
    <row r="4307" spans="1:6" hidden="1" x14ac:dyDescent="0.35">
      <c r="A4307" t="s">
        <v>19</v>
      </c>
      <c r="B4307" t="s">
        <v>36</v>
      </c>
      <c r="C4307" t="s">
        <v>27</v>
      </c>
      <c r="D4307">
        <v>1169274</v>
      </c>
      <c r="E4307" t="s">
        <v>42</v>
      </c>
      <c r="F4307" t="s">
        <v>10</v>
      </c>
    </row>
    <row r="4308" spans="1:6" hidden="1" x14ac:dyDescent="0.35">
      <c r="A4308" t="s">
        <v>20</v>
      </c>
      <c r="B4308" t="s">
        <v>36</v>
      </c>
      <c r="C4308" t="s">
        <v>27</v>
      </c>
      <c r="D4308">
        <v>910849</v>
      </c>
      <c r="E4308" t="s">
        <v>42</v>
      </c>
      <c r="F4308" t="s">
        <v>10</v>
      </c>
    </row>
    <row r="4309" spans="1:6" hidden="1" x14ac:dyDescent="0.35">
      <c r="A4309" t="s">
        <v>21</v>
      </c>
      <c r="B4309" t="s">
        <v>36</v>
      </c>
      <c r="C4309" t="s">
        <v>27</v>
      </c>
      <c r="D4309">
        <v>1028187</v>
      </c>
      <c r="E4309" t="s">
        <v>42</v>
      </c>
      <c r="F4309" t="s">
        <v>10</v>
      </c>
    </row>
    <row r="4310" spans="1:6" hidden="1" x14ac:dyDescent="0.35">
      <c r="A4310" t="s">
        <v>6</v>
      </c>
      <c r="B4310" t="s">
        <v>36</v>
      </c>
      <c r="C4310" t="s">
        <v>28</v>
      </c>
      <c r="D4310">
        <v>1798661</v>
      </c>
      <c r="E4310" t="s">
        <v>42</v>
      </c>
      <c r="F4310" t="s">
        <v>10</v>
      </c>
    </row>
    <row r="4311" spans="1:6" hidden="1" x14ac:dyDescent="0.35">
      <c r="A4311" t="s">
        <v>11</v>
      </c>
      <c r="B4311" t="s">
        <v>36</v>
      </c>
      <c r="C4311" t="s">
        <v>28</v>
      </c>
      <c r="D4311">
        <v>1643202</v>
      </c>
      <c r="E4311" t="s">
        <v>42</v>
      </c>
      <c r="F4311" t="s">
        <v>10</v>
      </c>
    </row>
    <row r="4312" spans="1:6" hidden="1" x14ac:dyDescent="0.35">
      <c r="A4312" t="s">
        <v>12</v>
      </c>
      <c r="B4312" t="s">
        <v>36</v>
      </c>
      <c r="C4312" t="s">
        <v>28</v>
      </c>
      <c r="D4312">
        <v>1534767</v>
      </c>
      <c r="E4312" t="s">
        <v>42</v>
      </c>
      <c r="F4312" t="s">
        <v>10</v>
      </c>
    </row>
    <row r="4313" spans="1:6" hidden="1" x14ac:dyDescent="0.35">
      <c r="A4313" t="s">
        <v>13</v>
      </c>
      <c r="B4313" t="s">
        <v>36</v>
      </c>
      <c r="C4313" t="s">
        <v>28</v>
      </c>
      <c r="D4313">
        <v>1443355</v>
      </c>
      <c r="E4313" t="s">
        <v>42</v>
      </c>
      <c r="F4313" t="s">
        <v>10</v>
      </c>
    </row>
    <row r="4314" spans="1:6" hidden="1" x14ac:dyDescent="0.35">
      <c r="A4314" t="s">
        <v>14</v>
      </c>
      <c r="B4314" t="s">
        <v>36</v>
      </c>
      <c r="C4314" t="s">
        <v>28</v>
      </c>
      <c r="D4314">
        <v>1335010</v>
      </c>
      <c r="E4314" t="s">
        <v>42</v>
      </c>
      <c r="F4314" t="s">
        <v>10</v>
      </c>
    </row>
    <row r="4315" spans="1:6" hidden="1" x14ac:dyDescent="0.35">
      <c r="A4315" t="s">
        <v>15</v>
      </c>
      <c r="B4315" t="s">
        <v>36</v>
      </c>
      <c r="C4315" t="s">
        <v>28</v>
      </c>
      <c r="D4315">
        <v>1133221</v>
      </c>
      <c r="E4315" t="s">
        <v>42</v>
      </c>
      <c r="F4315" t="s">
        <v>10</v>
      </c>
    </row>
    <row r="4316" spans="1:6" hidden="1" x14ac:dyDescent="0.35">
      <c r="A4316" t="s">
        <v>16</v>
      </c>
      <c r="B4316" t="s">
        <v>36</v>
      </c>
      <c r="C4316" t="s">
        <v>28</v>
      </c>
      <c r="D4316">
        <v>1235523</v>
      </c>
      <c r="E4316" t="s">
        <v>42</v>
      </c>
      <c r="F4316" t="s">
        <v>10</v>
      </c>
    </row>
    <row r="4317" spans="1:6" hidden="1" x14ac:dyDescent="0.35">
      <c r="A4317" t="s">
        <v>17</v>
      </c>
      <c r="B4317" t="s">
        <v>36</v>
      </c>
      <c r="C4317" t="s">
        <v>28</v>
      </c>
      <c r="D4317">
        <v>1583572</v>
      </c>
      <c r="E4317" t="s">
        <v>42</v>
      </c>
      <c r="F4317" t="s">
        <v>10</v>
      </c>
    </row>
    <row r="4318" spans="1:6" hidden="1" x14ac:dyDescent="0.35">
      <c r="A4318" t="s">
        <v>18</v>
      </c>
      <c r="B4318" t="s">
        <v>36</v>
      </c>
      <c r="C4318" t="s">
        <v>28</v>
      </c>
      <c r="D4318">
        <v>1784331</v>
      </c>
      <c r="E4318" t="s">
        <v>42</v>
      </c>
      <c r="F4318" t="s">
        <v>10</v>
      </c>
    </row>
    <row r="4319" spans="1:6" hidden="1" x14ac:dyDescent="0.35">
      <c r="A4319" t="s">
        <v>19</v>
      </c>
      <c r="B4319" t="s">
        <v>36</v>
      </c>
      <c r="C4319" t="s">
        <v>28</v>
      </c>
      <c r="D4319">
        <v>1591980</v>
      </c>
      <c r="E4319" t="s">
        <v>42</v>
      </c>
      <c r="F4319" t="s">
        <v>10</v>
      </c>
    </row>
    <row r="4320" spans="1:6" hidden="1" x14ac:dyDescent="0.35">
      <c r="A4320" t="s">
        <v>20</v>
      </c>
      <c r="B4320" t="s">
        <v>36</v>
      </c>
      <c r="C4320" t="s">
        <v>28</v>
      </c>
      <c r="D4320">
        <v>1235038</v>
      </c>
      <c r="E4320" t="s">
        <v>42</v>
      </c>
      <c r="F4320" t="s">
        <v>10</v>
      </c>
    </row>
    <row r="4321" spans="1:6" hidden="1" x14ac:dyDescent="0.35">
      <c r="A4321" t="s">
        <v>21</v>
      </c>
      <c r="B4321" t="s">
        <v>36</v>
      </c>
      <c r="C4321" t="s">
        <v>28</v>
      </c>
      <c r="D4321">
        <v>1607153</v>
      </c>
      <c r="E4321" t="s">
        <v>42</v>
      </c>
      <c r="F4321" t="s">
        <v>10</v>
      </c>
    </row>
    <row r="4322" spans="1:6" x14ac:dyDescent="0.35">
      <c r="A4322" t="s">
        <v>6</v>
      </c>
      <c r="B4322" t="s">
        <v>36</v>
      </c>
      <c r="C4322" t="s">
        <v>29</v>
      </c>
      <c r="D4322">
        <v>34</v>
      </c>
      <c r="E4322" t="s">
        <v>42</v>
      </c>
      <c r="F4322" t="s">
        <v>10</v>
      </c>
    </row>
    <row r="4323" spans="1:6" x14ac:dyDescent="0.35">
      <c r="A4323" t="s">
        <v>11</v>
      </c>
      <c r="B4323" t="s">
        <v>36</v>
      </c>
      <c r="C4323" t="s">
        <v>29</v>
      </c>
      <c r="D4323">
        <v>63</v>
      </c>
      <c r="E4323" t="s">
        <v>42</v>
      </c>
      <c r="F4323" t="s">
        <v>10</v>
      </c>
    </row>
    <row r="4324" spans="1:6" x14ac:dyDescent="0.35">
      <c r="A4324" t="s">
        <v>12</v>
      </c>
      <c r="B4324" t="s">
        <v>36</v>
      </c>
      <c r="C4324" t="s">
        <v>29</v>
      </c>
      <c r="D4324">
        <v>46</v>
      </c>
      <c r="E4324" t="s">
        <v>42</v>
      </c>
      <c r="F4324" t="s">
        <v>10</v>
      </c>
    </row>
    <row r="4325" spans="1:6" x14ac:dyDescent="0.35">
      <c r="A4325" t="s">
        <v>13</v>
      </c>
      <c r="B4325" t="s">
        <v>36</v>
      </c>
      <c r="C4325" t="s">
        <v>29</v>
      </c>
      <c r="D4325">
        <v>36</v>
      </c>
      <c r="E4325" t="s">
        <v>42</v>
      </c>
      <c r="F4325" t="s">
        <v>10</v>
      </c>
    </row>
    <row r="4326" spans="1:6" x14ac:dyDescent="0.35">
      <c r="A4326" t="s">
        <v>14</v>
      </c>
      <c r="B4326" t="s">
        <v>36</v>
      </c>
      <c r="C4326" t="s">
        <v>29</v>
      </c>
      <c r="D4326">
        <v>20</v>
      </c>
      <c r="E4326" t="s">
        <v>42</v>
      </c>
      <c r="F4326" t="s">
        <v>10</v>
      </c>
    </row>
    <row r="4327" spans="1:6" x14ac:dyDescent="0.35">
      <c r="A4327" t="s">
        <v>15</v>
      </c>
      <c r="B4327" t="s">
        <v>36</v>
      </c>
      <c r="C4327" t="s">
        <v>29</v>
      </c>
      <c r="D4327">
        <v>28</v>
      </c>
      <c r="E4327" t="s">
        <v>42</v>
      </c>
      <c r="F4327" t="s">
        <v>10</v>
      </c>
    </row>
    <row r="4328" spans="1:6" x14ac:dyDescent="0.35">
      <c r="A4328" t="s">
        <v>16</v>
      </c>
      <c r="B4328" t="s">
        <v>36</v>
      </c>
      <c r="C4328" t="s">
        <v>29</v>
      </c>
      <c r="D4328">
        <v>29</v>
      </c>
      <c r="E4328" t="s">
        <v>42</v>
      </c>
      <c r="F4328" t="s">
        <v>10</v>
      </c>
    </row>
    <row r="4329" spans="1:6" x14ac:dyDescent="0.35">
      <c r="A4329" t="s">
        <v>17</v>
      </c>
      <c r="B4329" t="s">
        <v>36</v>
      </c>
      <c r="C4329" t="s">
        <v>29</v>
      </c>
      <c r="D4329">
        <v>23</v>
      </c>
      <c r="E4329" t="s">
        <v>42</v>
      </c>
      <c r="F4329" t="s">
        <v>10</v>
      </c>
    </row>
    <row r="4330" spans="1:6" x14ac:dyDescent="0.35">
      <c r="A4330" t="s">
        <v>18</v>
      </c>
      <c r="B4330" t="s">
        <v>36</v>
      </c>
      <c r="C4330" t="s">
        <v>29</v>
      </c>
      <c r="D4330">
        <v>25</v>
      </c>
      <c r="E4330" t="s">
        <v>42</v>
      </c>
      <c r="F4330" t="s">
        <v>10</v>
      </c>
    </row>
    <row r="4331" spans="1:6" x14ac:dyDescent="0.35">
      <c r="A4331" t="s">
        <v>19</v>
      </c>
      <c r="B4331" t="s">
        <v>36</v>
      </c>
      <c r="C4331" t="s">
        <v>29</v>
      </c>
      <c r="D4331">
        <v>21</v>
      </c>
      <c r="E4331" t="s">
        <v>42</v>
      </c>
      <c r="F4331" t="s">
        <v>10</v>
      </c>
    </row>
    <row r="4332" spans="1:6" x14ac:dyDescent="0.35">
      <c r="A4332" t="s">
        <v>20</v>
      </c>
      <c r="B4332" t="s">
        <v>36</v>
      </c>
      <c r="C4332" t="s">
        <v>29</v>
      </c>
      <c r="D4332">
        <v>21</v>
      </c>
      <c r="E4332" t="s">
        <v>42</v>
      </c>
      <c r="F4332" t="s">
        <v>10</v>
      </c>
    </row>
    <row r="4333" spans="1:6" x14ac:dyDescent="0.35">
      <c r="A4333" t="s">
        <v>21</v>
      </c>
      <c r="B4333" t="s">
        <v>36</v>
      </c>
      <c r="C4333" t="s">
        <v>29</v>
      </c>
      <c r="D4333">
        <v>27</v>
      </c>
      <c r="E4333" t="s">
        <v>42</v>
      </c>
      <c r="F4333" t="s">
        <v>10</v>
      </c>
    </row>
    <row r="4334" spans="1:6" hidden="1" x14ac:dyDescent="0.35">
      <c r="A4334" t="s">
        <v>6</v>
      </c>
      <c r="B4334" t="s">
        <v>36</v>
      </c>
      <c r="C4334" t="s">
        <v>30</v>
      </c>
      <c r="D4334">
        <v>353</v>
      </c>
      <c r="E4334" t="s">
        <v>42</v>
      </c>
      <c r="F4334" t="s">
        <v>10</v>
      </c>
    </row>
    <row r="4335" spans="1:6" hidden="1" x14ac:dyDescent="0.35">
      <c r="A4335" t="s">
        <v>11</v>
      </c>
      <c r="B4335" t="s">
        <v>36</v>
      </c>
      <c r="C4335" t="s">
        <v>30</v>
      </c>
      <c r="D4335">
        <v>261</v>
      </c>
      <c r="E4335" t="s">
        <v>42</v>
      </c>
      <c r="F4335" t="s">
        <v>10</v>
      </c>
    </row>
    <row r="4336" spans="1:6" hidden="1" x14ac:dyDescent="0.35">
      <c r="A4336" t="s">
        <v>12</v>
      </c>
      <c r="B4336" t="s">
        <v>36</v>
      </c>
      <c r="C4336" t="s">
        <v>30</v>
      </c>
      <c r="D4336">
        <v>391</v>
      </c>
      <c r="E4336" t="s">
        <v>42</v>
      </c>
      <c r="F4336" t="s">
        <v>10</v>
      </c>
    </row>
    <row r="4337" spans="1:6" hidden="1" x14ac:dyDescent="0.35">
      <c r="A4337" t="s">
        <v>13</v>
      </c>
      <c r="B4337" t="s">
        <v>36</v>
      </c>
      <c r="C4337" t="s">
        <v>30</v>
      </c>
      <c r="D4337">
        <v>379</v>
      </c>
      <c r="E4337" t="s">
        <v>42</v>
      </c>
      <c r="F4337" t="s">
        <v>10</v>
      </c>
    </row>
    <row r="4338" spans="1:6" hidden="1" x14ac:dyDescent="0.35">
      <c r="A4338" t="s">
        <v>14</v>
      </c>
      <c r="B4338" t="s">
        <v>36</v>
      </c>
      <c r="C4338" t="s">
        <v>30</v>
      </c>
      <c r="D4338">
        <v>369</v>
      </c>
      <c r="E4338" t="s">
        <v>42</v>
      </c>
      <c r="F4338" t="s">
        <v>10</v>
      </c>
    </row>
    <row r="4339" spans="1:6" hidden="1" x14ac:dyDescent="0.35">
      <c r="A4339" t="s">
        <v>15</v>
      </c>
      <c r="B4339" t="s">
        <v>36</v>
      </c>
      <c r="C4339" t="s">
        <v>30</v>
      </c>
      <c r="D4339">
        <v>312</v>
      </c>
      <c r="E4339" t="s">
        <v>42</v>
      </c>
      <c r="F4339" t="s">
        <v>10</v>
      </c>
    </row>
    <row r="4340" spans="1:6" hidden="1" x14ac:dyDescent="0.35">
      <c r="A4340" t="s">
        <v>16</v>
      </c>
      <c r="B4340" t="s">
        <v>36</v>
      </c>
      <c r="C4340" t="s">
        <v>30</v>
      </c>
      <c r="D4340">
        <v>282</v>
      </c>
      <c r="E4340" t="s">
        <v>42</v>
      </c>
      <c r="F4340" t="s">
        <v>10</v>
      </c>
    </row>
    <row r="4341" spans="1:6" hidden="1" x14ac:dyDescent="0.35">
      <c r="A4341" t="s">
        <v>17</v>
      </c>
      <c r="B4341" t="s">
        <v>36</v>
      </c>
      <c r="C4341" t="s">
        <v>30</v>
      </c>
      <c r="D4341">
        <v>339</v>
      </c>
      <c r="E4341" t="s">
        <v>42</v>
      </c>
      <c r="F4341" t="s">
        <v>10</v>
      </c>
    </row>
    <row r="4342" spans="1:6" hidden="1" x14ac:dyDescent="0.35">
      <c r="A4342" t="s">
        <v>18</v>
      </c>
      <c r="B4342" t="s">
        <v>36</v>
      </c>
      <c r="C4342" t="s">
        <v>30</v>
      </c>
      <c r="D4342">
        <v>420</v>
      </c>
      <c r="E4342" t="s">
        <v>42</v>
      </c>
      <c r="F4342" t="s">
        <v>10</v>
      </c>
    </row>
    <row r="4343" spans="1:6" hidden="1" x14ac:dyDescent="0.35">
      <c r="A4343" t="s">
        <v>19</v>
      </c>
      <c r="B4343" t="s">
        <v>36</v>
      </c>
      <c r="C4343" t="s">
        <v>30</v>
      </c>
      <c r="D4343">
        <v>578</v>
      </c>
      <c r="E4343" t="s">
        <v>42</v>
      </c>
      <c r="F4343" t="s">
        <v>10</v>
      </c>
    </row>
    <row r="4344" spans="1:6" hidden="1" x14ac:dyDescent="0.35">
      <c r="A4344" t="s">
        <v>20</v>
      </c>
      <c r="B4344" t="s">
        <v>36</v>
      </c>
      <c r="C4344" t="s">
        <v>30</v>
      </c>
      <c r="D4344">
        <v>417</v>
      </c>
      <c r="E4344" t="s">
        <v>42</v>
      </c>
      <c r="F4344" t="s">
        <v>10</v>
      </c>
    </row>
    <row r="4345" spans="1:6" hidden="1" x14ac:dyDescent="0.35">
      <c r="A4345" t="s">
        <v>21</v>
      </c>
      <c r="B4345" t="s">
        <v>36</v>
      </c>
      <c r="C4345" t="s">
        <v>30</v>
      </c>
      <c r="D4345">
        <v>827</v>
      </c>
      <c r="E4345" t="s">
        <v>42</v>
      </c>
      <c r="F4345" t="s">
        <v>10</v>
      </c>
    </row>
    <row r="4346" spans="1:6" x14ac:dyDescent="0.35">
      <c r="A4346" t="s">
        <v>6</v>
      </c>
      <c r="B4346" t="s">
        <v>36</v>
      </c>
      <c r="C4346" t="s">
        <v>31</v>
      </c>
      <c r="D4346">
        <v>16</v>
      </c>
      <c r="E4346" t="s">
        <v>42</v>
      </c>
      <c r="F4346" t="s">
        <v>10</v>
      </c>
    </row>
    <row r="4347" spans="1:6" x14ac:dyDescent="0.35">
      <c r="A4347" t="s">
        <v>11</v>
      </c>
      <c r="B4347" t="s">
        <v>36</v>
      </c>
      <c r="C4347" t="s">
        <v>31</v>
      </c>
      <c r="D4347">
        <v>19</v>
      </c>
      <c r="E4347" t="s">
        <v>42</v>
      </c>
      <c r="F4347" t="s">
        <v>10</v>
      </c>
    </row>
    <row r="4348" spans="1:6" x14ac:dyDescent="0.35">
      <c r="A4348" t="s">
        <v>12</v>
      </c>
      <c r="B4348" t="s">
        <v>36</v>
      </c>
      <c r="C4348" t="s">
        <v>31</v>
      </c>
      <c r="D4348">
        <v>14</v>
      </c>
      <c r="E4348" t="s">
        <v>42</v>
      </c>
      <c r="F4348" t="s">
        <v>10</v>
      </c>
    </row>
    <row r="4349" spans="1:6" x14ac:dyDescent="0.35">
      <c r="A4349" t="s">
        <v>13</v>
      </c>
      <c r="B4349" t="s">
        <v>36</v>
      </c>
      <c r="C4349" t="s">
        <v>31</v>
      </c>
      <c r="D4349">
        <v>8</v>
      </c>
      <c r="E4349" t="s">
        <v>42</v>
      </c>
      <c r="F4349" t="s">
        <v>10</v>
      </c>
    </row>
    <row r="4350" spans="1:6" x14ac:dyDescent="0.35">
      <c r="A4350" t="s">
        <v>14</v>
      </c>
      <c r="B4350" t="s">
        <v>36</v>
      </c>
      <c r="C4350" t="s">
        <v>31</v>
      </c>
      <c r="D4350">
        <v>5</v>
      </c>
      <c r="E4350" t="s">
        <v>42</v>
      </c>
      <c r="F4350" t="s">
        <v>10</v>
      </c>
    </row>
    <row r="4351" spans="1:6" x14ac:dyDescent="0.35">
      <c r="A4351" t="s">
        <v>15</v>
      </c>
      <c r="B4351" t="s">
        <v>36</v>
      </c>
      <c r="C4351" t="s">
        <v>31</v>
      </c>
      <c r="D4351">
        <v>6</v>
      </c>
      <c r="E4351" t="s">
        <v>42</v>
      </c>
      <c r="F4351" t="s">
        <v>10</v>
      </c>
    </row>
    <row r="4352" spans="1:6" x14ac:dyDescent="0.35">
      <c r="A4352" t="s">
        <v>16</v>
      </c>
      <c r="B4352" t="s">
        <v>36</v>
      </c>
      <c r="C4352" t="s">
        <v>31</v>
      </c>
      <c r="D4352">
        <v>9</v>
      </c>
      <c r="E4352" t="s">
        <v>42</v>
      </c>
      <c r="F4352" t="s">
        <v>10</v>
      </c>
    </row>
    <row r="4353" spans="1:6" x14ac:dyDescent="0.35">
      <c r="A4353" t="s">
        <v>17</v>
      </c>
      <c r="B4353" t="s">
        <v>36</v>
      </c>
      <c r="C4353" t="s">
        <v>31</v>
      </c>
      <c r="D4353">
        <v>7</v>
      </c>
      <c r="E4353" t="s">
        <v>42</v>
      </c>
      <c r="F4353" t="s">
        <v>10</v>
      </c>
    </row>
    <row r="4354" spans="1:6" x14ac:dyDescent="0.35">
      <c r="A4354" t="s">
        <v>18</v>
      </c>
      <c r="B4354" t="s">
        <v>36</v>
      </c>
      <c r="C4354" t="s">
        <v>31</v>
      </c>
      <c r="D4354">
        <v>9</v>
      </c>
      <c r="E4354" t="s">
        <v>42</v>
      </c>
      <c r="F4354" t="s">
        <v>10</v>
      </c>
    </row>
    <row r="4355" spans="1:6" x14ac:dyDescent="0.35">
      <c r="A4355" t="s">
        <v>19</v>
      </c>
      <c r="B4355" t="s">
        <v>36</v>
      </c>
      <c r="C4355" t="s">
        <v>31</v>
      </c>
      <c r="D4355">
        <v>9</v>
      </c>
      <c r="E4355" t="s">
        <v>42</v>
      </c>
      <c r="F4355" t="s">
        <v>10</v>
      </c>
    </row>
    <row r="4356" spans="1:6" x14ac:dyDescent="0.35">
      <c r="A4356" t="s">
        <v>20</v>
      </c>
      <c r="B4356" t="s">
        <v>36</v>
      </c>
      <c r="C4356" t="s">
        <v>31</v>
      </c>
      <c r="D4356">
        <v>6</v>
      </c>
      <c r="E4356" t="s">
        <v>42</v>
      </c>
      <c r="F4356" t="s">
        <v>10</v>
      </c>
    </row>
    <row r="4357" spans="1:6" x14ac:dyDescent="0.35">
      <c r="A4357" t="s">
        <v>21</v>
      </c>
      <c r="B4357" t="s">
        <v>36</v>
      </c>
      <c r="C4357" t="s">
        <v>31</v>
      </c>
      <c r="D4357">
        <v>13</v>
      </c>
      <c r="E4357" t="s">
        <v>42</v>
      </c>
      <c r="F4357" t="s">
        <v>10</v>
      </c>
    </row>
    <row r="4358" spans="1:6" hidden="1" x14ac:dyDescent="0.35">
      <c r="A4358" t="s">
        <v>6</v>
      </c>
      <c r="B4358" t="s">
        <v>37</v>
      </c>
      <c r="C4358" t="s">
        <v>8</v>
      </c>
      <c r="D4358">
        <v>0</v>
      </c>
      <c r="E4358" t="s">
        <v>42</v>
      </c>
      <c r="F4358" t="s">
        <v>10</v>
      </c>
    </row>
    <row r="4359" spans="1:6" hidden="1" x14ac:dyDescent="0.35">
      <c r="A4359" t="s">
        <v>11</v>
      </c>
      <c r="B4359" t="s">
        <v>37</v>
      </c>
      <c r="C4359" t="s">
        <v>8</v>
      </c>
      <c r="D4359">
        <v>0</v>
      </c>
      <c r="E4359" t="s">
        <v>42</v>
      </c>
      <c r="F4359" t="s">
        <v>10</v>
      </c>
    </row>
    <row r="4360" spans="1:6" hidden="1" x14ac:dyDescent="0.35">
      <c r="A4360" t="s">
        <v>12</v>
      </c>
      <c r="B4360" t="s">
        <v>37</v>
      </c>
      <c r="C4360" t="s">
        <v>8</v>
      </c>
      <c r="D4360">
        <v>0</v>
      </c>
      <c r="E4360" t="s">
        <v>42</v>
      </c>
      <c r="F4360" t="s">
        <v>10</v>
      </c>
    </row>
    <row r="4361" spans="1:6" hidden="1" x14ac:dyDescent="0.35">
      <c r="A4361" t="s">
        <v>13</v>
      </c>
      <c r="B4361" t="s">
        <v>37</v>
      </c>
      <c r="C4361" t="s">
        <v>8</v>
      </c>
      <c r="D4361">
        <v>0</v>
      </c>
      <c r="E4361" t="s">
        <v>42</v>
      </c>
      <c r="F4361" t="s">
        <v>10</v>
      </c>
    </row>
    <row r="4362" spans="1:6" hidden="1" x14ac:dyDescent="0.35">
      <c r="A4362" t="s">
        <v>14</v>
      </c>
      <c r="B4362" t="s">
        <v>37</v>
      </c>
      <c r="C4362" t="s">
        <v>8</v>
      </c>
      <c r="D4362">
        <v>0</v>
      </c>
      <c r="E4362" t="s">
        <v>42</v>
      </c>
      <c r="F4362" t="s">
        <v>10</v>
      </c>
    </row>
    <row r="4363" spans="1:6" hidden="1" x14ac:dyDescent="0.35">
      <c r="A4363" t="s">
        <v>15</v>
      </c>
      <c r="B4363" t="s">
        <v>37</v>
      </c>
      <c r="C4363" t="s">
        <v>8</v>
      </c>
      <c r="D4363">
        <v>0</v>
      </c>
      <c r="E4363" t="s">
        <v>42</v>
      </c>
      <c r="F4363" t="s">
        <v>10</v>
      </c>
    </row>
    <row r="4364" spans="1:6" hidden="1" x14ac:dyDescent="0.35">
      <c r="A4364" t="s">
        <v>16</v>
      </c>
      <c r="B4364" t="s">
        <v>37</v>
      </c>
      <c r="C4364" t="s">
        <v>8</v>
      </c>
      <c r="D4364">
        <v>5639</v>
      </c>
      <c r="E4364" t="s">
        <v>42</v>
      </c>
      <c r="F4364" t="s">
        <v>10</v>
      </c>
    </row>
    <row r="4365" spans="1:6" hidden="1" x14ac:dyDescent="0.35">
      <c r="A4365" t="s">
        <v>17</v>
      </c>
      <c r="B4365" t="s">
        <v>37</v>
      </c>
      <c r="C4365" t="s">
        <v>8</v>
      </c>
      <c r="D4365">
        <v>0</v>
      </c>
      <c r="E4365" t="s">
        <v>42</v>
      </c>
      <c r="F4365" t="s">
        <v>10</v>
      </c>
    </row>
    <row r="4366" spans="1:6" hidden="1" x14ac:dyDescent="0.35">
      <c r="A4366" t="s">
        <v>18</v>
      </c>
      <c r="B4366" t="s">
        <v>37</v>
      </c>
      <c r="C4366" t="s">
        <v>8</v>
      </c>
      <c r="D4366">
        <v>0</v>
      </c>
      <c r="E4366" t="s">
        <v>42</v>
      </c>
      <c r="F4366" t="s">
        <v>10</v>
      </c>
    </row>
    <row r="4367" spans="1:6" hidden="1" x14ac:dyDescent="0.35">
      <c r="A4367" t="s">
        <v>19</v>
      </c>
      <c r="B4367" t="s">
        <v>37</v>
      </c>
      <c r="C4367" t="s">
        <v>8</v>
      </c>
      <c r="D4367">
        <v>0</v>
      </c>
      <c r="E4367" t="s">
        <v>42</v>
      </c>
      <c r="F4367" t="s">
        <v>10</v>
      </c>
    </row>
    <row r="4368" spans="1:6" hidden="1" x14ac:dyDescent="0.35">
      <c r="A4368" t="s">
        <v>20</v>
      </c>
      <c r="B4368" t="s">
        <v>37</v>
      </c>
      <c r="C4368" t="s">
        <v>8</v>
      </c>
      <c r="D4368">
        <v>0</v>
      </c>
      <c r="E4368" t="s">
        <v>42</v>
      </c>
      <c r="F4368" t="s">
        <v>10</v>
      </c>
    </row>
    <row r="4369" spans="1:6" hidden="1" x14ac:dyDescent="0.35">
      <c r="A4369" t="s">
        <v>21</v>
      </c>
      <c r="B4369" t="s">
        <v>37</v>
      </c>
      <c r="C4369" t="s">
        <v>8</v>
      </c>
      <c r="D4369">
        <v>0</v>
      </c>
      <c r="E4369" t="s">
        <v>42</v>
      </c>
      <c r="F4369" t="s">
        <v>10</v>
      </c>
    </row>
    <row r="4370" spans="1:6" hidden="1" x14ac:dyDescent="0.35">
      <c r="A4370" t="s">
        <v>6</v>
      </c>
      <c r="B4370" t="s">
        <v>37</v>
      </c>
      <c r="C4370" t="s">
        <v>22</v>
      </c>
      <c r="D4370">
        <v>0</v>
      </c>
      <c r="E4370" t="s">
        <v>42</v>
      </c>
      <c r="F4370" t="s">
        <v>10</v>
      </c>
    </row>
    <row r="4371" spans="1:6" hidden="1" x14ac:dyDescent="0.35">
      <c r="A4371" t="s">
        <v>11</v>
      </c>
      <c r="B4371" t="s">
        <v>37</v>
      </c>
      <c r="C4371" t="s">
        <v>22</v>
      </c>
      <c r="D4371">
        <v>0</v>
      </c>
      <c r="E4371" t="s">
        <v>42</v>
      </c>
      <c r="F4371" t="s">
        <v>10</v>
      </c>
    </row>
    <row r="4372" spans="1:6" hidden="1" x14ac:dyDescent="0.35">
      <c r="A4372" t="s">
        <v>12</v>
      </c>
      <c r="B4372" t="s">
        <v>37</v>
      </c>
      <c r="C4372" t="s">
        <v>22</v>
      </c>
      <c r="D4372">
        <v>0</v>
      </c>
      <c r="E4372" t="s">
        <v>42</v>
      </c>
      <c r="F4372" t="s">
        <v>10</v>
      </c>
    </row>
    <row r="4373" spans="1:6" hidden="1" x14ac:dyDescent="0.35">
      <c r="A4373" t="s">
        <v>13</v>
      </c>
      <c r="B4373" t="s">
        <v>37</v>
      </c>
      <c r="C4373" t="s">
        <v>22</v>
      </c>
      <c r="D4373">
        <v>0</v>
      </c>
      <c r="E4373" t="s">
        <v>42</v>
      </c>
      <c r="F4373" t="s">
        <v>10</v>
      </c>
    </row>
    <row r="4374" spans="1:6" hidden="1" x14ac:dyDescent="0.35">
      <c r="A4374" t="s">
        <v>14</v>
      </c>
      <c r="B4374" t="s">
        <v>37</v>
      </c>
      <c r="C4374" t="s">
        <v>22</v>
      </c>
      <c r="D4374">
        <v>0</v>
      </c>
      <c r="E4374" t="s">
        <v>42</v>
      </c>
      <c r="F4374" t="s">
        <v>10</v>
      </c>
    </row>
    <row r="4375" spans="1:6" hidden="1" x14ac:dyDescent="0.35">
      <c r="A4375" t="s">
        <v>15</v>
      </c>
      <c r="B4375" t="s">
        <v>37</v>
      </c>
      <c r="C4375" t="s">
        <v>22</v>
      </c>
      <c r="D4375">
        <v>0</v>
      </c>
      <c r="E4375" t="s">
        <v>42</v>
      </c>
      <c r="F4375" t="s">
        <v>10</v>
      </c>
    </row>
    <row r="4376" spans="1:6" hidden="1" x14ac:dyDescent="0.35">
      <c r="A4376" t="s">
        <v>16</v>
      </c>
      <c r="B4376" t="s">
        <v>37</v>
      </c>
      <c r="C4376" t="s">
        <v>22</v>
      </c>
      <c r="D4376">
        <v>0</v>
      </c>
      <c r="E4376" t="s">
        <v>42</v>
      </c>
      <c r="F4376" t="s">
        <v>10</v>
      </c>
    </row>
    <row r="4377" spans="1:6" hidden="1" x14ac:dyDescent="0.35">
      <c r="A4377" t="s">
        <v>17</v>
      </c>
      <c r="B4377" t="s">
        <v>37</v>
      </c>
      <c r="C4377" t="s">
        <v>22</v>
      </c>
      <c r="D4377">
        <v>0</v>
      </c>
      <c r="E4377" t="s">
        <v>42</v>
      </c>
      <c r="F4377" t="s">
        <v>10</v>
      </c>
    </row>
    <row r="4378" spans="1:6" hidden="1" x14ac:dyDescent="0.35">
      <c r="A4378" t="s">
        <v>18</v>
      </c>
      <c r="B4378" t="s">
        <v>37</v>
      </c>
      <c r="C4378" t="s">
        <v>22</v>
      </c>
      <c r="D4378">
        <v>0</v>
      </c>
      <c r="E4378" t="s">
        <v>42</v>
      </c>
      <c r="F4378" t="s">
        <v>10</v>
      </c>
    </row>
    <row r="4379" spans="1:6" hidden="1" x14ac:dyDescent="0.35">
      <c r="A4379" t="s">
        <v>19</v>
      </c>
      <c r="B4379" t="s">
        <v>37</v>
      </c>
      <c r="C4379" t="s">
        <v>22</v>
      </c>
      <c r="D4379">
        <v>0</v>
      </c>
      <c r="E4379" t="s">
        <v>42</v>
      </c>
      <c r="F4379" t="s">
        <v>10</v>
      </c>
    </row>
    <row r="4380" spans="1:6" hidden="1" x14ac:dyDescent="0.35">
      <c r="A4380" t="s">
        <v>20</v>
      </c>
      <c r="B4380" t="s">
        <v>37</v>
      </c>
      <c r="C4380" t="s">
        <v>22</v>
      </c>
      <c r="D4380">
        <v>0</v>
      </c>
      <c r="E4380" t="s">
        <v>42</v>
      </c>
      <c r="F4380" t="s">
        <v>10</v>
      </c>
    </row>
    <row r="4381" spans="1:6" hidden="1" x14ac:dyDescent="0.35">
      <c r="A4381" t="s">
        <v>21</v>
      </c>
      <c r="B4381" t="s">
        <v>37</v>
      </c>
      <c r="C4381" t="s">
        <v>22</v>
      </c>
      <c r="D4381">
        <v>0</v>
      </c>
      <c r="E4381" t="s">
        <v>42</v>
      </c>
      <c r="F4381" t="s">
        <v>10</v>
      </c>
    </row>
    <row r="4382" spans="1:6" hidden="1" x14ac:dyDescent="0.35">
      <c r="A4382" t="s">
        <v>6</v>
      </c>
      <c r="B4382" t="s">
        <v>37</v>
      </c>
      <c r="C4382" t="s">
        <v>23</v>
      </c>
      <c r="D4382">
        <v>0</v>
      </c>
      <c r="E4382" t="s">
        <v>42</v>
      </c>
      <c r="F4382" t="s">
        <v>10</v>
      </c>
    </row>
    <row r="4383" spans="1:6" hidden="1" x14ac:dyDescent="0.35">
      <c r="A4383" t="s">
        <v>11</v>
      </c>
      <c r="B4383" t="s">
        <v>37</v>
      </c>
      <c r="C4383" t="s">
        <v>23</v>
      </c>
      <c r="D4383">
        <v>0</v>
      </c>
      <c r="E4383" t="s">
        <v>42</v>
      </c>
      <c r="F4383" t="s">
        <v>10</v>
      </c>
    </row>
    <row r="4384" spans="1:6" hidden="1" x14ac:dyDescent="0.35">
      <c r="A4384" t="s">
        <v>12</v>
      </c>
      <c r="B4384" t="s">
        <v>37</v>
      </c>
      <c r="C4384" t="s">
        <v>23</v>
      </c>
      <c r="D4384">
        <v>0</v>
      </c>
      <c r="E4384" t="s">
        <v>42</v>
      </c>
      <c r="F4384" t="s">
        <v>10</v>
      </c>
    </row>
    <row r="4385" spans="1:6" hidden="1" x14ac:dyDescent="0.35">
      <c r="A4385" t="s">
        <v>13</v>
      </c>
      <c r="B4385" t="s">
        <v>37</v>
      </c>
      <c r="C4385" t="s">
        <v>23</v>
      </c>
      <c r="D4385">
        <v>2897</v>
      </c>
      <c r="E4385" t="s">
        <v>42</v>
      </c>
      <c r="F4385" t="s">
        <v>10</v>
      </c>
    </row>
    <row r="4386" spans="1:6" hidden="1" x14ac:dyDescent="0.35">
      <c r="A4386" t="s">
        <v>14</v>
      </c>
      <c r="B4386" t="s">
        <v>37</v>
      </c>
      <c r="C4386" t="s">
        <v>23</v>
      </c>
      <c r="D4386">
        <v>0</v>
      </c>
      <c r="E4386" t="s">
        <v>42</v>
      </c>
      <c r="F4386" t="s">
        <v>10</v>
      </c>
    </row>
    <row r="4387" spans="1:6" hidden="1" x14ac:dyDescent="0.35">
      <c r="A4387" t="s">
        <v>15</v>
      </c>
      <c r="B4387" t="s">
        <v>37</v>
      </c>
      <c r="C4387" t="s">
        <v>23</v>
      </c>
      <c r="D4387">
        <v>0</v>
      </c>
      <c r="E4387" t="s">
        <v>42</v>
      </c>
      <c r="F4387" t="s">
        <v>10</v>
      </c>
    </row>
    <row r="4388" spans="1:6" hidden="1" x14ac:dyDescent="0.35">
      <c r="A4388" t="s">
        <v>16</v>
      </c>
      <c r="B4388" t="s">
        <v>37</v>
      </c>
      <c r="C4388" t="s">
        <v>23</v>
      </c>
      <c r="D4388">
        <v>0</v>
      </c>
      <c r="E4388" t="s">
        <v>42</v>
      </c>
      <c r="F4388" t="s">
        <v>10</v>
      </c>
    </row>
    <row r="4389" spans="1:6" hidden="1" x14ac:dyDescent="0.35">
      <c r="A4389" t="s">
        <v>17</v>
      </c>
      <c r="B4389" t="s">
        <v>37</v>
      </c>
      <c r="C4389" t="s">
        <v>23</v>
      </c>
      <c r="D4389">
        <v>0</v>
      </c>
      <c r="E4389" t="s">
        <v>42</v>
      </c>
      <c r="F4389" t="s">
        <v>10</v>
      </c>
    </row>
    <row r="4390" spans="1:6" hidden="1" x14ac:dyDescent="0.35">
      <c r="A4390" t="s">
        <v>18</v>
      </c>
      <c r="B4390" t="s">
        <v>37</v>
      </c>
      <c r="C4390" t="s">
        <v>23</v>
      </c>
      <c r="D4390">
        <v>0</v>
      </c>
      <c r="E4390" t="s">
        <v>42</v>
      </c>
      <c r="F4390" t="s">
        <v>10</v>
      </c>
    </row>
    <row r="4391" spans="1:6" hidden="1" x14ac:dyDescent="0.35">
      <c r="A4391" t="s">
        <v>19</v>
      </c>
      <c r="B4391" t="s">
        <v>37</v>
      </c>
      <c r="C4391" t="s">
        <v>23</v>
      </c>
      <c r="D4391">
        <v>0</v>
      </c>
      <c r="E4391" t="s">
        <v>42</v>
      </c>
      <c r="F4391" t="s">
        <v>10</v>
      </c>
    </row>
    <row r="4392" spans="1:6" hidden="1" x14ac:dyDescent="0.35">
      <c r="A4392" t="s">
        <v>20</v>
      </c>
      <c r="B4392" t="s">
        <v>37</v>
      </c>
      <c r="C4392" t="s">
        <v>23</v>
      </c>
      <c r="D4392">
        <v>0</v>
      </c>
      <c r="E4392" t="s">
        <v>42</v>
      </c>
      <c r="F4392" t="s">
        <v>10</v>
      </c>
    </row>
    <row r="4393" spans="1:6" hidden="1" x14ac:dyDescent="0.35">
      <c r="A4393" t="s">
        <v>21</v>
      </c>
      <c r="B4393" t="s">
        <v>37</v>
      </c>
      <c r="C4393" t="s">
        <v>23</v>
      </c>
      <c r="D4393">
        <v>0</v>
      </c>
      <c r="E4393" t="s">
        <v>42</v>
      </c>
      <c r="F4393" t="s">
        <v>10</v>
      </c>
    </row>
    <row r="4394" spans="1:6" hidden="1" x14ac:dyDescent="0.35">
      <c r="A4394" t="s">
        <v>6</v>
      </c>
      <c r="B4394" t="s">
        <v>37</v>
      </c>
      <c r="C4394" t="s">
        <v>24</v>
      </c>
      <c r="D4394">
        <v>0</v>
      </c>
      <c r="E4394" t="s">
        <v>42</v>
      </c>
      <c r="F4394" t="s">
        <v>10</v>
      </c>
    </row>
    <row r="4395" spans="1:6" hidden="1" x14ac:dyDescent="0.35">
      <c r="A4395" t="s">
        <v>11</v>
      </c>
      <c r="B4395" t="s">
        <v>37</v>
      </c>
      <c r="C4395" t="s">
        <v>24</v>
      </c>
      <c r="D4395">
        <v>0</v>
      </c>
      <c r="E4395" t="s">
        <v>42</v>
      </c>
      <c r="F4395" t="s">
        <v>10</v>
      </c>
    </row>
    <row r="4396" spans="1:6" hidden="1" x14ac:dyDescent="0.35">
      <c r="A4396" t="s">
        <v>12</v>
      </c>
      <c r="B4396" t="s">
        <v>37</v>
      </c>
      <c r="C4396" t="s">
        <v>24</v>
      </c>
      <c r="D4396">
        <v>0</v>
      </c>
      <c r="E4396" t="s">
        <v>42</v>
      </c>
      <c r="F4396" t="s">
        <v>10</v>
      </c>
    </row>
    <row r="4397" spans="1:6" hidden="1" x14ac:dyDescent="0.35">
      <c r="A4397" t="s">
        <v>13</v>
      </c>
      <c r="B4397" t="s">
        <v>37</v>
      </c>
      <c r="C4397" t="s">
        <v>24</v>
      </c>
      <c r="D4397">
        <v>0</v>
      </c>
      <c r="E4397" t="s">
        <v>42</v>
      </c>
      <c r="F4397" t="s">
        <v>10</v>
      </c>
    </row>
    <row r="4398" spans="1:6" hidden="1" x14ac:dyDescent="0.35">
      <c r="A4398" t="s">
        <v>14</v>
      </c>
      <c r="B4398" t="s">
        <v>37</v>
      </c>
      <c r="C4398" t="s">
        <v>24</v>
      </c>
      <c r="D4398">
        <v>0</v>
      </c>
      <c r="E4398" t="s">
        <v>42</v>
      </c>
      <c r="F4398" t="s">
        <v>10</v>
      </c>
    </row>
    <row r="4399" spans="1:6" hidden="1" x14ac:dyDescent="0.35">
      <c r="A4399" t="s">
        <v>15</v>
      </c>
      <c r="B4399" t="s">
        <v>37</v>
      </c>
      <c r="C4399" t="s">
        <v>24</v>
      </c>
      <c r="D4399">
        <v>0</v>
      </c>
      <c r="E4399" t="s">
        <v>42</v>
      </c>
      <c r="F4399" t="s">
        <v>10</v>
      </c>
    </row>
    <row r="4400" spans="1:6" hidden="1" x14ac:dyDescent="0.35">
      <c r="A4400" t="s">
        <v>16</v>
      </c>
      <c r="B4400" t="s">
        <v>37</v>
      </c>
      <c r="C4400" t="s">
        <v>24</v>
      </c>
      <c r="D4400">
        <v>0</v>
      </c>
      <c r="E4400" t="s">
        <v>42</v>
      </c>
      <c r="F4400" t="s">
        <v>10</v>
      </c>
    </row>
    <row r="4401" spans="1:6" hidden="1" x14ac:dyDescent="0.35">
      <c r="A4401" t="s">
        <v>17</v>
      </c>
      <c r="B4401" t="s">
        <v>37</v>
      </c>
      <c r="C4401" t="s">
        <v>24</v>
      </c>
      <c r="D4401">
        <v>0</v>
      </c>
      <c r="E4401" t="s">
        <v>42</v>
      </c>
      <c r="F4401" t="s">
        <v>10</v>
      </c>
    </row>
    <row r="4402" spans="1:6" hidden="1" x14ac:dyDescent="0.35">
      <c r="A4402" t="s">
        <v>18</v>
      </c>
      <c r="B4402" t="s">
        <v>37</v>
      </c>
      <c r="C4402" t="s">
        <v>24</v>
      </c>
      <c r="D4402">
        <v>0</v>
      </c>
      <c r="E4402" t="s">
        <v>42</v>
      </c>
      <c r="F4402" t="s">
        <v>10</v>
      </c>
    </row>
    <row r="4403" spans="1:6" hidden="1" x14ac:dyDescent="0.35">
      <c r="A4403" t="s">
        <v>19</v>
      </c>
      <c r="B4403" t="s">
        <v>37</v>
      </c>
      <c r="C4403" t="s">
        <v>24</v>
      </c>
      <c r="D4403">
        <v>0</v>
      </c>
      <c r="E4403" t="s">
        <v>42</v>
      </c>
      <c r="F4403" t="s">
        <v>10</v>
      </c>
    </row>
    <row r="4404" spans="1:6" hidden="1" x14ac:dyDescent="0.35">
      <c r="A4404" t="s">
        <v>20</v>
      </c>
      <c r="B4404" t="s">
        <v>37</v>
      </c>
      <c r="C4404" t="s">
        <v>24</v>
      </c>
      <c r="D4404">
        <v>0</v>
      </c>
      <c r="E4404" t="s">
        <v>42</v>
      </c>
      <c r="F4404" t="s">
        <v>10</v>
      </c>
    </row>
    <row r="4405" spans="1:6" hidden="1" x14ac:dyDescent="0.35">
      <c r="A4405" t="s">
        <v>21</v>
      </c>
      <c r="B4405" t="s">
        <v>37</v>
      </c>
      <c r="C4405" t="s">
        <v>24</v>
      </c>
      <c r="D4405">
        <v>0</v>
      </c>
      <c r="E4405" t="s">
        <v>42</v>
      </c>
      <c r="F4405" t="s">
        <v>10</v>
      </c>
    </row>
    <row r="4406" spans="1:6" hidden="1" x14ac:dyDescent="0.35">
      <c r="A4406" t="s">
        <v>6</v>
      </c>
      <c r="B4406" t="s">
        <v>37</v>
      </c>
      <c r="C4406" t="s">
        <v>25</v>
      </c>
      <c r="D4406">
        <v>0</v>
      </c>
      <c r="E4406" t="s">
        <v>42</v>
      </c>
      <c r="F4406" t="s">
        <v>10</v>
      </c>
    </row>
    <row r="4407" spans="1:6" hidden="1" x14ac:dyDescent="0.35">
      <c r="A4407" t="s">
        <v>11</v>
      </c>
      <c r="B4407" t="s">
        <v>37</v>
      </c>
      <c r="C4407" t="s">
        <v>25</v>
      </c>
      <c r="D4407">
        <v>0</v>
      </c>
      <c r="E4407" t="s">
        <v>42</v>
      </c>
      <c r="F4407" t="s">
        <v>10</v>
      </c>
    </row>
    <row r="4408" spans="1:6" hidden="1" x14ac:dyDescent="0.35">
      <c r="A4408" t="s">
        <v>12</v>
      </c>
      <c r="B4408" t="s">
        <v>37</v>
      </c>
      <c r="C4408" t="s">
        <v>25</v>
      </c>
      <c r="D4408">
        <v>0</v>
      </c>
      <c r="E4408" t="s">
        <v>42</v>
      </c>
      <c r="F4408" t="s">
        <v>10</v>
      </c>
    </row>
    <row r="4409" spans="1:6" hidden="1" x14ac:dyDescent="0.35">
      <c r="A4409" t="s">
        <v>13</v>
      </c>
      <c r="B4409" t="s">
        <v>37</v>
      </c>
      <c r="C4409" t="s">
        <v>25</v>
      </c>
      <c r="D4409">
        <v>0</v>
      </c>
      <c r="E4409" t="s">
        <v>42</v>
      </c>
      <c r="F4409" t="s">
        <v>10</v>
      </c>
    </row>
    <row r="4410" spans="1:6" hidden="1" x14ac:dyDescent="0.35">
      <c r="A4410" t="s">
        <v>14</v>
      </c>
      <c r="B4410" t="s">
        <v>37</v>
      </c>
      <c r="C4410" t="s">
        <v>25</v>
      </c>
      <c r="D4410">
        <v>0</v>
      </c>
      <c r="E4410" t="s">
        <v>42</v>
      </c>
      <c r="F4410" t="s">
        <v>10</v>
      </c>
    </row>
    <row r="4411" spans="1:6" hidden="1" x14ac:dyDescent="0.35">
      <c r="A4411" t="s">
        <v>15</v>
      </c>
      <c r="B4411" t="s">
        <v>37</v>
      </c>
      <c r="C4411" t="s">
        <v>25</v>
      </c>
      <c r="D4411">
        <v>0</v>
      </c>
      <c r="E4411" t="s">
        <v>42</v>
      </c>
      <c r="F4411" t="s">
        <v>10</v>
      </c>
    </row>
    <row r="4412" spans="1:6" hidden="1" x14ac:dyDescent="0.35">
      <c r="A4412" t="s">
        <v>16</v>
      </c>
      <c r="B4412" t="s">
        <v>37</v>
      </c>
      <c r="C4412" t="s">
        <v>25</v>
      </c>
      <c r="D4412">
        <v>0</v>
      </c>
      <c r="E4412" t="s">
        <v>42</v>
      </c>
      <c r="F4412" t="s">
        <v>10</v>
      </c>
    </row>
    <row r="4413" spans="1:6" hidden="1" x14ac:dyDescent="0.35">
      <c r="A4413" t="s">
        <v>17</v>
      </c>
      <c r="B4413" t="s">
        <v>37</v>
      </c>
      <c r="C4413" t="s">
        <v>25</v>
      </c>
      <c r="D4413">
        <v>0</v>
      </c>
      <c r="E4413" t="s">
        <v>42</v>
      </c>
      <c r="F4413" t="s">
        <v>10</v>
      </c>
    </row>
    <row r="4414" spans="1:6" hidden="1" x14ac:dyDescent="0.35">
      <c r="A4414" t="s">
        <v>18</v>
      </c>
      <c r="B4414" t="s">
        <v>37</v>
      </c>
      <c r="C4414" t="s">
        <v>25</v>
      </c>
      <c r="D4414">
        <v>0</v>
      </c>
      <c r="E4414" t="s">
        <v>42</v>
      </c>
      <c r="F4414" t="s">
        <v>10</v>
      </c>
    </row>
    <row r="4415" spans="1:6" hidden="1" x14ac:dyDescent="0.35">
      <c r="A4415" t="s">
        <v>19</v>
      </c>
      <c r="B4415" t="s">
        <v>37</v>
      </c>
      <c r="C4415" t="s">
        <v>25</v>
      </c>
      <c r="D4415">
        <v>0</v>
      </c>
      <c r="E4415" t="s">
        <v>42</v>
      </c>
      <c r="F4415" t="s">
        <v>10</v>
      </c>
    </row>
    <row r="4416" spans="1:6" hidden="1" x14ac:dyDescent="0.35">
      <c r="A4416" t="s">
        <v>20</v>
      </c>
      <c r="B4416" t="s">
        <v>37</v>
      </c>
      <c r="C4416" t="s">
        <v>25</v>
      </c>
      <c r="D4416">
        <v>0</v>
      </c>
      <c r="E4416" t="s">
        <v>42</v>
      </c>
      <c r="F4416" t="s">
        <v>10</v>
      </c>
    </row>
    <row r="4417" spans="1:6" hidden="1" x14ac:dyDescent="0.35">
      <c r="A4417" t="s">
        <v>21</v>
      </c>
      <c r="B4417" t="s">
        <v>37</v>
      </c>
      <c r="C4417" t="s">
        <v>25</v>
      </c>
      <c r="D4417">
        <v>0</v>
      </c>
      <c r="E4417" t="s">
        <v>42</v>
      </c>
      <c r="F4417" t="s">
        <v>10</v>
      </c>
    </row>
    <row r="4418" spans="1:6" hidden="1" x14ac:dyDescent="0.35">
      <c r="A4418" t="s">
        <v>6</v>
      </c>
      <c r="B4418" t="s">
        <v>37</v>
      </c>
      <c r="C4418" t="s">
        <v>26</v>
      </c>
      <c r="D4418">
        <v>0</v>
      </c>
      <c r="E4418" t="s">
        <v>42</v>
      </c>
      <c r="F4418" t="s">
        <v>10</v>
      </c>
    </row>
    <row r="4419" spans="1:6" hidden="1" x14ac:dyDescent="0.35">
      <c r="A4419" t="s">
        <v>11</v>
      </c>
      <c r="B4419" t="s">
        <v>37</v>
      </c>
      <c r="C4419" t="s">
        <v>26</v>
      </c>
      <c r="E4419" t="s">
        <v>42</v>
      </c>
      <c r="F4419" t="s">
        <v>10</v>
      </c>
    </row>
    <row r="4420" spans="1:6" hidden="1" x14ac:dyDescent="0.35">
      <c r="A4420" t="s">
        <v>12</v>
      </c>
      <c r="B4420" t="s">
        <v>37</v>
      </c>
      <c r="C4420" t="s">
        <v>26</v>
      </c>
      <c r="E4420" t="s">
        <v>42</v>
      </c>
      <c r="F4420" t="s">
        <v>10</v>
      </c>
    </row>
    <row r="4421" spans="1:6" hidden="1" x14ac:dyDescent="0.35">
      <c r="A4421" t="s">
        <v>13</v>
      </c>
      <c r="B4421" t="s">
        <v>37</v>
      </c>
      <c r="C4421" t="s">
        <v>26</v>
      </c>
      <c r="E4421" t="s">
        <v>42</v>
      </c>
      <c r="F4421" t="s">
        <v>10</v>
      </c>
    </row>
    <row r="4422" spans="1:6" hidden="1" x14ac:dyDescent="0.35">
      <c r="A4422" t="s">
        <v>14</v>
      </c>
      <c r="B4422" t="s">
        <v>37</v>
      </c>
      <c r="C4422" t="s">
        <v>26</v>
      </c>
      <c r="E4422" t="s">
        <v>42</v>
      </c>
      <c r="F4422" t="s">
        <v>10</v>
      </c>
    </row>
    <row r="4423" spans="1:6" hidden="1" x14ac:dyDescent="0.35">
      <c r="A4423" t="s">
        <v>15</v>
      </c>
      <c r="B4423" t="s">
        <v>37</v>
      </c>
      <c r="C4423" t="s">
        <v>26</v>
      </c>
      <c r="E4423" t="s">
        <v>42</v>
      </c>
      <c r="F4423" t="s">
        <v>10</v>
      </c>
    </row>
    <row r="4424" spans="1:6" hidden="1" x14ac:dyDescent="0.35">
      <c r="A4424" t="s">
        <v>16</v>
      </c>
      <c r="B4424" t="s">
        <v>37</v>
      </c>
      <c r="C4424" t="s">
        <v>26</v>
      </c>
      <c r="E4424" t="s">
        <v>42</v>
      </c>
      <c r="F4424" t="s">
        <v>10</v>
      </c>
    </row>
    <row r="4425" spans="1:6" hidden="1" x14ac:dyDescent="0.35">
      <c r="A4425" t="s">
        <v>17</v>
      </c>
      <c r="B4425" t="s">
        <v>37</v>
      </c>
      <c r="C4425" t="s">
        <v>26</v>
      </c>
      <c r="E4425" t="s">
        <v>42</v>
      </c>
      <c r="F4425" t="s">
        <v>10</v>
      </c>
    </row>
    <row r="4426" spans="1:6" hidden="1" x14ac:dyDescent="0.35">
      <c r="A4426" t="s">
        <v>18</v>
      </c>
      <c r="B4426" t="s">
        <v>37</v>
      </c>
      <c r="C4426" t="s">
        <v>26</v>
      </c>
      <c r="E4426" t="s">
        <v>42</v>
      </c>
      <c r="F4426" t="s">
        <v>10</v>
      </c>
    </row>
    <row r="4427" spans="1:6" hidden="1" x14ac:dyDescent="0.35">
      <c r="A4427" t="s">
        <v>19</v>
      </c>
      <c r="B4427" t="s">
        <v>37</v>
      </c>
      <c r="C4427" t="s">
        <v>26</v>
      </c>
      <c r="E4427" t="s">
        <v>42</v>
      </c>
      <c r="F4427" t="s">
        <v>10</v>
      </c>
    </row>
    <row r="4428" spans="1:6" hidden="1" x14ac:dyDescent="0.35">
      <c r="A4428" t="s">
        <v>20</v>
      </c>
      <c r="B4428" t="s">
        <v>37</v>
      </c>
      <c r="C4428" t="s">
        <v>26</v>
      </c>
      <c r="E4428" t="s">
        <v>42</v>
      </c>
      <c r="F4428" t="s">
        <v>10</v>
      </c>
    </row>
    <row r="4429" spans="1:6" hidden="1" x14ac:dyDescent="0.35">
      <c r="A4429" t="s">
        <v>21</v>
      </c>
      <c r="B4429" t="s">
        <v>37</v>
      </c>
      <c r="C4429" t="s">
        <v>26</v>
      </c>
      <c r="E4429" t="s">
        <v>42</v>
      </c>
      <c r="F4429" t="s">
        <v>10</v>
      </c>
    </row>
    <row r="4430" spans="1:6" hidden="1" x14ac:dyDescent="0.35">
      <c r="A4430" t="s">
        <v>6</v>
      </c>
      <c r="B4430" t="s">
        <v>37</v>
      </c>
      <c r="C4430" t="s">
        <v>27</v>
      </c>
      <c r="D4430">
        <v>0</v>
      </c>
      <c r="E4430" t="s">
        <v>42</v>
      </c>
      <c r="F4430" t="s">
        <v>10</v>
      </c>
    </row>
    <row r="4431" spans="1:6" hidden="1" x14ac:dyDescent="0.35">
      <c r="A4431" t="s">
        <v>11</v>
      </c>
      <c r="B4431" t="s">
        <v>37</v>
      </c>
      <c r="C4431" t="s">
        <v>27</v>
      </c>
      <c r="D4431">
        <v>13099</v>
      </c>
      <c r="E4431" t="s">
        <v>42</v>
      </c>
      <c r="F4431" t="s">
        <v>10</v>
      </c>
    </row>
    <row r="4432" spans="1:6" hidden="1" x14ac:dyDescent="0.35">
      <c r="A4432" t="s">
        <v>12</v>
      </c>
      <c r="B4432" t="s">
        <v>37</v>
      </c>
      <c r="C4432" t="s">
        <v>27</v>
      </c>
      <c r="D4432">
        <v>0</v>
      </c>
      <c r="E4432" t="s">
        <v>42</v>
      </c>
      <c r="F4432" t="s">
        <v>10</v>
      </c>
    </row>
    <row r="4433" spans="1:6" hidden="1" x14ac:dyDescent="0.35">
      <c r="A4433" t="s">
        <v>13</v>
      </c>
      <c r="B4433" t="s">
        <v>37</v>
      </c>
      <c r="C4433" t="s">
        <v>27</v>
      </c>
      <c r="D4433">
        <v>9116</v>
      </c>
      <c r="E4433" t="s">
        <v>42</v>
      </c>
      <c r="F4433" t="s">
        <v>10</v>
      </c>
    </row>
    <row r="4434" spans="1:6" hidden="1" x14ac:dyDescent="0.35">
      <c r="A4434" t="s">
        <v>14</v>
      </c>
      <c r="B4434" t="s">
        <v>37</v>
      </c>
      <c r="C4434" t="s">
        <v>27</v>
      </c>
      <c r="D4434">
        <v>14991</v>
      </c>
      <c r="E4434" t="s">
        <v>42</v>
      </c>
      <c r="F4434" t="s">
        <v>10</v>
      </c>
    </row>
    <row r="4435" spans="1:6" hidden="1" x14ac:dyDescent="0.35">
      <c r="A4435" t="s">
        <v>15</v>
      </c>
      <c r="B4435" t="s">
        <v>37</v>
      </c>
      <c r="C4435" t="s">
        <v>27</v>
      </c>
      <c r="D4435">
        <v>0</v>
      </c>
      <c r="E4435" t="s">
        <v>42</v>
      </c>
      <c r="F4435" t="s">
        <v>10</v>
      </c>
    </row>
    <row r="4436" spans="1:6" hidden="1" x14ac:dyDescent="0.35">
      <c r="A4436" t="s">
        <v>16</v>
      </c>
      <c r="B4436" t="s">
        <v>37</v>
      </c>
      <c r="C4436" t="s">
        <v>27</v>
      </c>
      <c r="D4436">
        <v>18725</v>
      </c>
      <c r="E4436" t="s">
        <v>42</v>
      </c>
      <c r="F4436" t="s">
        <v>10</v>
      </c>
    </row>
    <row r="4437" spans="1:6" hidden="1" x14ac:dyDescent="0.35">
      <c r="A4437" t="s">
        <v>17</v>
      </c>
      <c r="B4437" t="s">
        <v>37</v>
      </c>
      <c r="C4437" t="s">
        <v>27</v>
      </c>
      <c r="D4437">
        <v>0</v>
      </c>
      <c r="E4437" t="s">
        <v>42</v>
      </c>
      <c r="F4437" t="s">
        <v>10</v>
      </c>
    </row>
    <row r="4438" spans="1:6" hidden="1" x14ac:dyDescent="0.35">
      <c r="A4438" t="s">
        <v>18</v>
      </c>
      <c r="B4438" t="s">
        <v>37</v>
      </c>
      <c r="C4438" t="s">
        <v>27</v>
      </c>
      <c r="D4438">
        <v>12535</v>
      </c>
      <c r="E4438" t="s">
        <v>42</v>
      </c>
      <c r="F4438" t="s">
        <v>10</v>
      </c>
    </row>
    <row r="4439" spans="1:6" hidden="1" x14ac:dyDescent="0.35">
      <c r="A4439" t="s">
        <v>19</v>
      </c>
      <c r="B4439" t="s">
        <v>37</v>
      </c>
      <c r="C4439" t="s">
        <v>27</v>
      </c>
      <c r="D4439">
        <v>0</v>
      </c>
      <c r="E4439" t="s">
        <v>42</v>
      </c>
      <c r="F4439" t="s">
        <v>10</v>
      </c>
    </row>
    <row r="4440" spans="1:6" hidden="1" x14ac:dyDescent="0.35">
      <c r="A4440" t="s">
        <v>20</v>
      </c>
      <c r="B4440" t="s">
        <v>37</v>
      </c>
      <c r="C4440" t="s">
        <v>27</v>
      </c>
      <c r="D4440">
        <v>0</v>
      </c>
      <c r="E4440" t="s">
        <v>42</v>
      </c>
      <c r="F4440" t="s">
        <v>10</v>
      </c>
    </row>
    <row r="4441" spans="1:6" hidden="1" x14ac:dyDescent="0.35">
      <c r="A4441" t="s">
        <v>21</v>
      </c>
      <c r="B4441" t="s">
        <v>37</v>
      </c>
      <c r="C4441" t="s">
        <v>27</v>
      </c>
      <c r="D4441">
        <v>5135</v>
      </c>
      <c r="E4441" t="s">
        <v>42</v>
      </c>
      <c r="F4441" t="s">
        <v>10</v>
      </c>
    </row>
    <row r="4442" spans="1:6" hidden="1" x14ac:dyDescent="0.35">
      <c r="A4442" t="s">
        <v>6</v>
      </c>
      <c r="B4442" t="s">
        <v>37</v>
      </c>
      <c r="C4442" t="s">
        <v>28</v>
      </c>
      <c r="D4442">
        <v>0</v>
      </c>
      <c r="E4442" t="s">
        <v>42</v>
      </c>
      <c r="F4442" t="s">
        <v>10</v>
      </c>
    </row>
    <row r="4443" spans="1:6" hidden="1" x14ac:dyDescent="0.35">
      <c r="A4443" t="s">
        <v>11</v>
      </c>
      <c r="B4443" t="s">
        <v>37</v>
      </c>
      <c r="C4443" t="s">
        <v>28</v>
      </c>
      <c r="D4443">
        <v>0</v>
      </c>
      <c r="E4443" t="s">
        <v>42</v>
      </c>
      <c r="F4443" t="s">
        <v>10</v>
      </c>
    </row>
    <row r="4444" spans="1:6" hidden="1" x14ac:dyDescent="0.35">
      <c r="A4444" t="s">
        <v>12</v>
      </c>
      <c r="B4444" t="s">
        <v>37</v>
      </c>
      <c r="C4444" t="s">
        <v>28</v>
      </c>
      <c r="D4444">
        <v>0</v>
      </c>
      <c r="E4444" t="s">
        <v>42</v>
      </c>
      <c r="F4444" t="s">
        <v>10</v>
      </c>
    </row>
    <row r="4445" spans="1:6" hidden="1" x14ac:dyDescent="0.35">
      <c r="A4445" t="s">
        <v>13</v>
      </c>
      <c r="B4445" t="s">
        <v>37</v>
      </c>
      <c r="C4445" t="s">
        <v>28</v>
      </c>
      <c r="D4445">
        <v>2897</v>
      </c>
      <c r="E4445" t="s">
        <v>42</v>
      </c>
      <c r="F4445" t="s">
        <v>10</v>
      </c>
    </row>
    <row r="4446" spans="1:6" hidden="1" x14ac:dyDescent="0.35">
      <c r="A4446" t="s">
        <v>14</v>
      </c>
      <c r="B4446" t="s">
        <v>37</v>
      </c>
      <c r="C4446" t="s">
        <v>28</v>
      </c>
      <c r="D4446">
        <v>0</v>
      </c>
      <c r="E4446" t="s">
        <v>42</v>
      </c>
      <c r="F4446" t="s">
        <v>10</v>
      </c>
    </row>
    <row r="4447" spans="1:6" hidden="1" x14ac:dyDescent="0.35">
      <c r="A4447" t="s">
        <v>15</v>
      </c>
      <c r="B4447" t="s">
        <v>37</v>
      </c>
      <c r="C4447" t="s">
        <v>28</v>
      </c>
      <c r="D4447">
        <v>0</v>
      </c>
      <c r="E4447" t="s">
        <v>42</v>
      </c>
      <c r="F4447" t="s">
        <v>10</v>
      </c>
    </row>
    <row r="4448" spans="1:6" hidden="1" x14ac:dyDescent="0.35">
      <c r="A4448" t="s">
        <v>16</v>
      </c>
      <c r="B4448" t="s">
        <v>37</v>
      </c>
      <c r="C4448" t="s">
        <v>28</v>
      </c>
      <c r="D4448">
        <v>11278</v>
      </c>
      <c r="E4448" t="s">
        <v>42</v>
      </c>
      <c r="F4448" t="s">
        <v>10</v>
      </c>
    </row>
    <row r="4449" spans="1:6" hidden="1" x14ac:dyDescent="0.35">
      <c r="A4449" t="s">
        <v>17</v>
      </c>
      <c r="B4449" t="s">
        <v>37</v>
      </c>
      <c r="C4449" t="s">
        <v>28</v>
      </c>
      <c r="D4449">
        <v>0</v>
      </c>
      <c r="E4449" t="s">
        <v>42</v>
      </c>
      <c r="F4449" t="s">
        <v>10</v>
      </c>
    </row>
    <row r="4450" spans="1:6" hidden="1" x14ac:dyDescent="0.35">
      <c r="A4450" t="s">
        <v>18</v>
      </c>
      <c r="B4450" t="s">
        <v>37</v>
      </c>
      <c r="C4450" t="s">
        <v>28</v>
      </c>
      <c r="D4450">
        <v>0</v>
      </c>
      <c r="E4450" t="s">
        <v>42</v>
      </c>
      <c r="F4450" t="s">
        <v>10</v>
      </c>
    </row>
    <row r="4451" spans="1:6" hidden="1" x14ac:dyDescent="0.35">
      <c r="A4451" t="s">
        <v>19</v>
      </c>
      <c r="B4451" t="s">
        <v>37</v>
      </c>
      <c r="C4451" t="s">
        <v>28</v>
      </c>
      <c r="D4451">
        <v>0</v>
      </c>
      <c r="E4451" t="s">
        <v>42</v>
      </c>
      <c r="F4451" t="s">
        <v>10</v>
      </c>
    </row>
    <row r="4452" spans="1:6" hidden="1" x14ac:dyDescent="0.35">
      <c r="A4452" t="s">
        <v>20</v>
      </c>
      <c r="B4452" t="s">
        <v>37</v>
      </c>
      <c r="C4452" t="s">
        <v>28</v>
      </c>
      <c r="D4452">
        <v>0</v>
      </c>
      <c r="E4452" t="s">
        <v>42</v>
      </c>
      <c r="F4452" t="s">
        <v>10</v>
      </c>
    </row>
    <row r="4453" spans="1:6" hidden="1" x14ac:dyDescent="0.35">
      <c r="A4453" t="s">
        <v>21</v>
      </c>
      <c r="B4453" t="s">
        <v>37</v>
      </c>
      <c r="C4453" t="s">
        <v>28</v>
      </c>
      <c r="D4453">
        <v>0</v>
      </c>
      <c r="E4453" t="s">
        <v>42</v>
      </c>
      <c r="F4453" t="s">
        <v>10</v>
      </c>
    </row>
    <row r="4454" spans="1:6" hidden="1" x14ac:dyDescent="0.35">
      <c r="A4454" t="s">
        <v>6</v>
      </c>
      <c r="B4454" t="s">
        <v>37</v>
      </c>
      <c r="C4454" t="s">
        <v>29</v>
      </c>
      <c r="D4454">
        <v>3</v>
      </c>
      <c r="E4454" t="s">
        <v>42</v>
      </c>
      <c r="F4454" t="s">
        <v>10</v>
      </c>
    </row>
    <row r="4455" spans="1:6" hidden="1" x14ac:dyDescent="0.35">
      <c r="A4455" t="s">
        <v>11</v>
      </c>
      <c r="B4455" t="s">
        <v>37</v>
      </c>
      <c r="C4455" t="s">
        <v>29</v>
      </c>
      <c r="D4455">
        <v>1</v>
      </c>
      <c r="E4455" t="s">
        <v>42</v>
      </c>
      <c r="F4455" t="s">
        <v>10</v>
      </c>
    </row>
    <row r="4456" spans="1:6" hidden="1" x14ac:dyDescent="0.35">
      <c r="A4456" t="s">
        <v>12</v>
      </c>
      <c r="B4456" t="s">
        <v>37</v>
      </c>
      <c r="C4456" t="s">
        <v>29</v>
      </c>
      <c r="E4456" t="s">
        <v>42</v>
      </c>
      <c r="F4456" t="s">
        <v>10</v>
      </c>
    </row>
    <row r="4457" spans="1:6" hidden="1" x14ac:dyDescent="0.35">
      <c r="A4457" t="s">
        <v>13</v>
      </c>
      <c r="B4457" t="s">
        <v>37</v>
      </c>
      <c r="C4457" t="s">
        <v>29</v>
      </c>
      <c r="E4457" t="s">
        <v>42</v>
      </c>
      <c r="F4457" t="s">
        <v>10</v>
      </c>
    </row>
    <row r="4458" spans="1:6" hidden="1" x14ac:dyDescent="0.35">
      <c r="A4458" t="s">
        <v>14</v>
      </c>
      <c r="B4458" t="s">
        <v>37</v>
      </c>
      <c r="C4458" t="s">
        <v>29</v>
      </c>
      <c r="D4458">
        <v>3</v>
      </c>
      <c r="E4458" t="s">
        <v>42</v>
      </c>
      <c r="F4458" t="s">
        <v>10</v>
      </c>
    </row>
    <row r="4459" spans="1:6" hidden="1" x14ac:dyDescent="0.35">
      <c r="A4459" t="s">
        <v>15</v>
      </c>
      <c r="B4459" t="s">
        <v>37</v>
      </c>
      <c r="C4459" t="s">
        <v>29</v>
      </c>
      <c r="E4459" t="s">
        <v>42</v>
      </c>
      <c r="F4459" t="s">
        <v>10</v>
      </c>
    </row>
    <row r="4460" spans="1:6" hidden="1" x14ac:dyDescent="0.35">
      <c r="A4460" t="s">
        <v>16</v>
      </c>
      <c r="B4460" t="s">
        <v>37</v>
      </c>
      <c r="C4460" t="s">
        <v>29</v>
      </c>
      <c r="D4460">
        <v>2</v>
      </c>
      <c r="E4460" t="s">
        <v>42</v>
      </c>
      <c r="F4460" t="s">
        <v>10</v>
      </c>
    </row>
    <row r="4461" spans="1:6" hidden="1" x14ac:dyDescent="0.35">
      <c r="A4461" t="s">
        <v>17</v>
      </c>
      <c r="B4461" t="s">
        <v>37</v>
      </c>
      <c r="C4461" t="s">
        <v>29</v>
      </c>
      <c r="D4461">
        <v>2</v>
      </c>
      <c r="E4461" t="s">
        <v>42</v>
      </c>
      <c r="F4461" t="s">
        <v>10</v>
      </c>
    </row>
    <row r="4462" spans="1:6" hidden="1" x14ac:dyDescent="0.35">
      <c r="A4462" t="s">
        <v>18</v>
      </c>
      <c r="B4462" t="s">
        <v>37</v>
      </c>
      <c r="C4462" t="s">
        <v>29</v>
      </c>
      <c r="D4462">
        <v>2</v>
      </c>
      <c r="E4462" t="s">
        <v>42</v>
      </c>
      <c r="F4462" t="s">
        <v>10</v>
      </c>
    </row>
    <row r="4463" spans="1:6" hidden="1" x14ac:dyDescent="0.35">
      <c r="A4463" t="s">
        <v>19</v>
      </c>
      <c r="B4463" t="s">
        <v>37</v>
      </c>
      <c r="C4463" t="s">
        <v>29</v>
      </c>
      <c r="D4463">
        <v>1</v>
      </c>
      <c r="E4463" t="s">
        <v>42</v>
      </c>
      <c r="F4463" t="s">
        <v>10</v>
      </c>
    </row>
    <row r="4464" spans="1:6" hidden="1" x14ac:dyDescent="0.35">
      <c r="A4464" t="s">
        <v>20</v>
      </c>
      <c r="B4464" t="s">
        <v>37</v>
      </c>
      <c r="C4464" t="s">
        <v>29</v>
      </c>
      <c r="E4464" t="s">
        <v>42</v>
      </c>
      <c r="F4464" t="s">
        <v>10</v>
      </c>
    </row>
    <row r="4465" spans="1:6" hidden="1" x14ac:dyDescent="0.35">
      <c r="A4465" t="s">
        <v>21</v>
      </c>
      <c r="B4465" t="s">
        <v>37</v>
      </c>
      <c r="C4465" t="s">
        <v>29</v>
      </c>
      <c r="D4465">
        <v>2</v>
      </c>
      <c r="E4465" t="s">
        <v>42</v>
      </c>
      <c r="F4465" t="s">
        <v>10</v>
      </c>
    </row>
    <row r="4466" spans="1:6" hidden="1" x14ac:dyDescent="0.35">
      <c r="A4466" t="s">
        <v>6</v>
      </c>
      <c r="B4466" t="s">
        <v>37</v>
      </c>
      <c r="C4466" t="s">
        <v>30</v>
      </c>
      <c r="E4466" t="s">
        <v>42</v>
      </c>
      <c r="F4466" t="s">
        <v>10</v>
      </c>
    </row>
    <row r="4467" spans="1:6" hidden="1" x14ac:dyDescent="0.35">
      <c r="A4467" t="s">
        <v>11</v>
      </c>
      <c r="B4467" t="s">
        <v>37</v>
      </c>
      <c r="C4467" t="s">
        <v>30</v>
      </c>
      <c r="D4467">
        <v>2</v>
      </c>
      <c r="E4467" t="s">
        <v>42</v>
      </c>
      <c r="F4467" t="s">
        <v>10</v>
      </c>
    </row>
    <row r="4468" spans="1:6" hidden="1" x14ac:dyDescent="0.35">
      <c r="A4468" t="s">
        <v>12</v>
      </c>
      <c r="B4468" t="s">
        <v>37</v>
      </c>
      <c r="C4468" t="s">
        <v>30</v>
      </c>
      <c r="D4468">
        <v>1</v>
      </c>
      <c r="E4468" t="s">
        <v>42</v>
      </c>
      <c r="F4468" t="s">
        <v>10</v>
      </c>
    </row>
    <row r="4469" spans="1:6" hidden="1" x14ac:dyDescent="0.35">
      <c r="A4469" t="s">
        <v>13</v>
      </c>
      <c r="B4469" t="s">
        <v>37</v>
      </c>
      <c r="C4469" t="s">
        <v>30</v>
      </c>
      <c r="D4469">
        <v>1</v>
      </c>
      <c r="E4469" t="s">
        <v>42</v>
      </c>
      <c r="F4469" t="s">
        <v>10</v>
      </c>
    </row>
    <row r="4470" spans="1:6" hidden="1" x14ac:dyDescent="0.35">
      <c r="A4470" t="s">
        <v>14</v>
      </c>
      <c r="B4470" t="s">
        <v>37</v>
      </c>
      <c r="C4470" t="s">
        <v>30</v>
      </c>
      <c r="D4470">
        <v>6</v>
      </c>
      <c r="E4470" t="s">
        <v>42</v>
      </c>
      <c r="F4470" t="s">
        <v>10</v>
      </c>
    </row>
    <row r="4471" spans="1:6" hidden="1" x14ac:dyDescent="0.35">
      <c r="A4471" t="s">
        <v>15</v>
      </c>
      <c r="B4471" t="s">
        <v>37</v>
      </c>
      <c r="C4471" t="s">
        <v>30</v>
      </c>
      <c r="D4471">
        <v>3</v>
      </c>
      <c r="E4471" t="s">
        <v>42</v>
      </c>
      <c r="F4471" t="s">
        <v>10</v>
      </c>
    </row>
    <row r="4472" spans="1:6" hidden="1" x14ac:dyDescent="0.35">
      <c r="A4472" t="s">
        <v>16</v>
      </c>
      <c r="B4472" t="s">
        <v>37</v>
      </c>
      <c r="C4472" t="s">
        <v>30</v>
      </c>
      <c r="D4472">
        <v>1</v>
      </c>
      <c r="E4472" t="s">
        <v>42</v>
      </c>
      <c r="F4472" t="s">
        <v>10</v>
      </c>
    </row>
    <row r="4473" spans="1:6" hidden="1" x14ac:dyDescent="0.35">
      <c r="A4473" t="s">
        <v>17</v>
      </c>
      <c r="B4473" t="s">
        <v>37</v>
      </c>
      <c r="C4473" t="s">
        <v>30</v>
      </c>
      <c r="D4473">
        <v>6</v>
      </c>
      <c r="E4473" t="s">
        <v>42</v>
      </c>
      <c r="F4473" t="s">
        <v>10</v>
      </c>
    </row>
    <row r="4474" spans="1:6" hidden="1" x14ac:dyDescent="0.35">
      <c r="A4474" t="s">
        <v>18</v>
      </c>
      <c r="B4474" t="s">
        <v>37</v>
      </c>
      <c r="C4474" t="s">
        <v>30</v>
      </c>
      <c r="D4474">
        <v>2</v>
      </c>
      <c r="E4474" t="s">
        <v>42</v>
      </c>
      <c r="F4474" t="s">
        <v>10</v>
      </c>
    </row>
    <row r="4475" spans="1:6" hidden="1" x14ac:dyDescent="0.35">
      <c r="A4475" t="s">
        <v>19</v>
      </c>
      <c r="B4475" t="s">
        <v>37</v>
      </c>
      <c r="C4475" t="s">
        <v>30</v>
      </c>
      <c r="D4475">
        <v>2</v>
      </c>
      <c r="E4475" t="s">
        <v>42</v>
      </c>
      <c r="F4475" t="s">
        <v>10</v>
      </c>
    </row>
    <row r="4476" spans="1:6" hidden="1" x14ac:dyDescent="0.35">
      <c r="A4476" t="s">
        <v>20</v>
      </c>
      <c r="B4476" t="s">
        <v>37</v>
      </c>
      <c r="C4476" t="s">
        <v>30</v>
      </c>
      <c r="E4476" t="s">
        <v>42</v>
      </c>
      <c r="F4476" t="s">
        <v>10</v>
      </c>
    </row>
    <row r="4477" spans="1:6" hidden="1" x14ac:dyDescent="0.35">
      <c r="A4477" t="s">
        <v>21</v>
      </c>
      <c r="B4477" t="s">
        <v>37</v>
      </c>
      <c r="C4477" t="s">
        <v>30</v>
      </c>
      <c r="D4477">
        <v>7</v>
      </c>
      <c r="E4477" t="s">
        <v>42</v>
      </c>
      <c r="F4477" t="s">
        <v>10</v>
      </c>
    </row>
    <row r="4478" spans="1:6" hidden="1" x14ac:dyDescent="0.35">
      <c r="A4478" t="s">
        <v>6</v>
      </c>
      <c r="B4478" t="s">
        <v>37</v>
      </c>
      <c r="C4478" t="s">
        <v>31</v>
      </c>
      <c r="E4478" t="s">
        <v>42</v>
      </c>
      <c r="F4478" t="s">
        <v>10</v>
      </c>
    </row>
    <row r="4479" spans="1:6" hidden="1" x14ac:dyDescent="0.35">
      <c r="A4479" t="s">
        <v>11</v>
      </c>
      <c r="B4479" t="s">
        <v>37</v>
      </c>
      <c r="C4479" t="s">
        <v>31</v>
      </c>
      <c r="E4479" t="s">
        <v>42</v>
      </c>
      <c r="F4479" t="s">
        <v>10</v>
      </c>
    </row>
    <row r="4480" spans="1:6" hidden="1" x14ac:dyDescent="0.35">
      <c r="A4480" t="s">
        <v>12</v>
      </c>
      <c r="B4480" t="s">
        <v>37</v>
      </c>
      <c r="C4480" t="s">
        <v>31</v>
      </c>
      <c r="E4480" t="s">
        <v>42</v>
      </c>
      <c r="F4480" t="s">
        <v>10</v>
      </c>
    </row>
    <row r="4481" spans="1:6" hidden="1" x14ac:dyDescent="0.35">
      <c r="A4481" t="s">
        <v>13</v>
      </c>
      <c r="B4481" t="s">
        <v>37</v>
      </c>
      <c r="C4481" t="s">
        <v>31</v>
      </c>
      <c r="E4481" t="s">
        <v>42</v>
      </c>
      <c r="F4481" t="s">
        <v>10</v>
      </c>
    </row>
    <row r="4482" spans="1:6" hidden="1" x14ac:dyDescent="0.35">
      <c r="A4482" t="s">
        <v>14</v>
      </c>
      <c r="B4482" t="s">
        <v>37</v>
      </c>
      <c r="C4482" t="s">
        <v>31</v>
      </c>
      <c r="E4482" t="s">
        <v>42</v>
      </c>
      <c r="F4482" t="s">
        <v>10</v>
      </c>
    </row>
    <row r="4483" spans="1:6" hidden="1" x14ac:dyDescent="0.35">
      <c r="A4483" t="s">
        <v>15</v>
      </c>
      <c r="B4483" t="s">
        <v>37</v>
      </c>
      <c r="C4483" t="s">
        <v>31</v>
      </c>
      <c r="E4483" t="s">
        <v>42</v>
      </c>
      <c r="F4483" t="s">
        <v>10</v>
      </c>
    </row>
    <row r="4484" spans="1:6" hidden="1" x14ac:dyDescent="0.35">
      <c r="A4484" t="s">
        <v>16</v>
      </c>
      <c r="B4484" t="s">
        <v>37</v>
      </c>
      <c r="C4484" t="s">
        <v>31</v>
      </c>
      <c r="D4484">
        <v>1</v>
      </c>
      <c r="E4484" t="s">
        <v>42</v>
      </c>
      <c r="F4484" t="s">
        <v>10</v>
      </c>
    </row>
    <row r="4485" spans="1:6" hidden="1" x14ac:dyDescent="0.35">
      <c r="A4485" t="s">
        <v>17</v>
      </c>
      <c r="B4485" t="s">
        <v>37</v>
      </c>
      <c r="C4485" t="s">
        <v>31</v>
      </c>
      <c r="E4485" t="s">
        <v>42</v>
      </c>
      <c r="F4485" t="s">
        <v>10</v>
      </c>
    </row>
    <row r="4486" spans="1:6" hidden="1" x14ac:dyDescent="0.35">
      <c r="A4486" t="s">
        <v>18</v>
      </c>
      <c r="B4486" t="s">
        <v>37</v>
      </c>
      <c r="C4486" t="s">
        <v>31</v>
      </c>
      <c r="E4486" t="s">
        <v>42</v>
      </c>
      <c r="F4486" t="s">
        <v>10</v>
      </c>
    </row>
    <row r="4487" spans="1:6" hidden="1" x14ac:dyDescent="0.35">
      <c r="A4487" t="s">
        <v>19</v>
      </c>
      <c r="B4487" t="s">
        <v>37</v>
      </c>
      <c r="C4487" t="s">
        <v>31</v>
      </c>
      <c r="E4487" t="s">
        <v>42</v>
      </c>
      <c r="F4487" t="s">
        <v>10</v>
      </c>
    </row>
    <row r="4488" spans="1:6" hidden="1" x14ac:dyDescent="0.35">
      <c r="A4488" t="s">
        <v>20</v>
      </c>
      <c r="B4488" t="s">
        <v>37</v>
      </c>
      <c r="C4488" t="s">
        <v>31</v>
      </c>
      <c r="E4488" t="s">
        <v>42</v>
      </c>
      <c r="F4488" t="s">
        <v>10</v>
      </c>
    </row>
    <row r="4489" spans="1:6" hidden="1" x14ac:dyDescent="0.35">
      <c r="A4489" t="s">
        <v>21</v>
      </c>
      <c r="B4489" t="s">
        <v>37</v>
      </c>
      <c r="C4489" t="s">
        <v>31</v>
      </c>
      <c r="D4489">
        <v>1</v>
      </c>
      <c r="E4489" t="s">
        <v>42</v>
      </c>
      <c r="F4489" t="s">
        <v>10</v>
      </c>
    </row>
    <row r="4490" spans="1:6" hidden="1" x14ac:dyDescent="0.35">
      <c r="A4490" t="s">
        <v>6</v>
      </c>
      <c r="B4490" t="s">
        <v>38</v>
      </c>
      <c r="C4490" t="s">
        <v>8</v>
      </c>
      <c r="D4490">
        <v>60157</v>
      </c>
      <c r="E4490" t="s">
        <v>42</v>
      </c>
      <c r="F4490" t="s">
        <v>10</v>
      </c>
    </row>
    <row r="4491" spans="1:6" hidden="1" x14ac:dyDescent="0.35">
      <c r="A4491" t="s">
        <v>11</v>
      </c>
      <c r="B4491" t="s">
        <v>38</v>
      </c>
      <c r="C4491" t="s">
        <v>8</v>
      </c>
      <c r="D4491">
        <v>7389</v>
      </c>
      <c r="E4491" t="s">
        <v>42</v>
      </c>
      <c r="F4491" t="s">
        <v>10</v>
      </c>
    </row>
    <row r="4492" spans="1:6" hidden="1" x14ac:dyDescent="0.35">
      <c r="A4492" t="s">
        <v>12</v>
      </c>
      <c r="B4492" t="s">
        <v>38</v>
      </c>
      <c r="C4492" t="s">
        <v>8</v>
      </c>
      <c r="D4492">
        <v>42997</v>
      </c>
      <c r="E4492" t="s">
        <v>42</v>
      </c>
      <c r="F4492" t="s">
        <v>10</v>
      </c>
    </row>
    <row r="4493" spans="1:6" hidden="1" x14ac:dyDescent="0.35">
      <c r="A4493" t="s">
        <v>13</v>
      </c>
      <c r="B4493" t="s">
        <v>38</v>
      </c>
      <c r="C4493" t="s">
        <v>8</v>
      </c>
      <c r="D4493">
        <v>51936</v>
      </c>
      <c r="E4493" t="s">
        <v>42</v>
      </c>
      <c r="F4493" t="s">
        <v>10</v>
      </c>
    </row>
    <row r="4494" spans="1:6" hidden="1" x14ac:dyDescent="0.35">
      <c r="A4494" t="s">
        <v>14</v>
      </c>
      <c r="B4494" t="s">
        <v>38</v>
      </c>
      <c r="C4494" t="s">
        <v>8</v>
      </c>
      <c r="D4494">
        <v>57161</v>
      </c>
      <c r="E4494" t="s">
        <v>42</v>
      </c>
      <c r="F4494" t="s">
        <v>10</v>
      </c>
    </row>
    <row r="4495" spans="1:6" hidden="1" x14ac:dyDescent="0.35">
      <c r="A4495" t="s">
        <v>15</v>
      </c>
      <c r="B4495" t="s">
        <v>38</v>
      </c>
      <c r="C4495" t="s">
        <v>8</v>
      </c>
      <c r="D4495">
        <v>23042</v>
      </c>
      <c r="E4495" t="s">
        <v>42</v>
      </c>
      <c r="F4495" t="s">
        <v>10</v>
      </c>
    </row>
    <row r="4496" spans="1:6" hidden="1" x14ac:dyDescent="0.35">
      <c r="A4496" t="s">
        <v>16</v>
      </c>
      <c r="B4496" t="s">
        <v>38</v>
      </c>
      <c r="C4496" t="s">
        <v>8</v>
      </c>
      <c r="D4496">
        <v>77554</v>
      </c>
      <c r="E4496" t="s">
        <v>42</v>
      </c>
      <c r="F4496" t="s">
        <v>10</v>
      </c>
    </row>
    <row r="4497" spans="1:6" hidden="1" x14ac:dyDescent="0.35">
      <c r="A4497" t="s">
        <v>17</v>
      </c>
      <c r="B4497" t="s">
        <v>38</v>
      </c>
      <c r="C4497" t="s">
        <v>8</v>
      </c>
      <c r="D4497">
        <v>14525</v>
      </c>
      <c r="E4497" t="s">
        <v>42</v>
      </c>
      <c r="F4497" t="s">
        <v>10</v>
      </c>
    </row>
    <row r="4498" spans="1:6" hidden="1" x14ac:dyDescent="0.35">
      <c r="A4498" t="s">
        <v>18</v>
      </c>
      <c r="B4498" t="s">
        <v>38</v>
      </c>
      <c r="C4498" t="s">
        <v>8</v>
      </c>
      <c r="D4498">
        <v>59592</v>
      </c>
      <c r="E4498" t="s">
        <v>42</v>
      </c>
      <c r="F4498" t="s">
        <v>10</v>
      </c>
    </row>
    <row r="4499" spans="1:6" hidden="1" x14ac:dyDescent="0.35">
      <c r="A4499" t="s">
        <v>19</v>
      </c>
      <c r="B4499" t="s">
        <v>38</v>
      </c>
      <c r="C4499" t="s">
        <v>8</v>
      </c>
      <c r="D4499">
        <v>346123</v>
      </c>
      <c r="E4499" t="s">
        <v>42</v>
      </c>
      <c r="F4499" t="s">
        <v>10</v>
      </c>
    </row>
    <row r="4500" spans="1:6" hidden="1" x14ac:dyDescent="0.35">
      <c r="A4500" t="s">
        <v>20</v>
      </c>
      <c r="B4500" t="s">
        <v>38</v>
      </c>
      <c r="C4500" t="s">
        <v>8</v>
      </c>
      <c r="D4500">
        <v>49613</v>
      </c>
      <c r="E4500" t="s">
        <v>42</v>
      </c>
      <c r="F4500" t="s">
        <v>10</v>
      </c>
    </row>
    <row r="4501" spans="1:6" hidden="1" x14ac:dyDescent="0.35">
      <c r="A4501" t="s">
        <v>21</v>
      </c>
      <c r="B4501" t="s">
        <v>38</v>
      </c>
      <c r="C4501" t="s">
        <v>8</v>
      </c>
      <c r="D4501">
        <v>39426</v>
      </c>
      <c r="E4501" t="s">
        <v>42</v>
      </c>
      <c r="F4501" t="s">
        <v>10</v>
      </c>
    </row>
    <row r="4502" spans="1:6" hidden="1" x14ac:dyDescent="0.35">
      <c r="A4502" t="s">
        <v>6</v>
      </c>
      <c r="B4502" t="s">
        <v>38</v>
      </c>
      <c r="C4502" t="s">
        <v>22</v>
      </c>
      <c r="D4502">
        <v>0</v>
      </c>
      <c r="E4502" t="s">
        <v>42</v>
      </c>
      <c r="F4502" t="s">
        <v>10</v>
      </c>
    </row>
    <row r="4503" spans="1:6" hidden="1" x14ac:dyDescent="0.35">
      <c r="A4503" t="s">
        <v>11</v>
      </c>
      <c r="B4503" t="s">
        <v>38</v>
      </c>
      <c r="C4503" t="s">
        <v>22</v>
      </c>
      <c r="D4503">
        <v>0</v>
      </c>
      <c r="E4503" t="s">
        <v>42</v>
      </c>
      <c r="F4503" t="s">
        <v>10</v>
      </c>
    </row>
    <row r="4504" spans="1:6" hidden="1" x14ac:dyDescent="0.35">
      <c r="A4504" t="s">
        <v>12</v>
      </c>
      <c r="B4504" t="s">
        <v>38</v>
      </c>
      <c r="C4504" t="s">
        <v>22</v>
      </c>
      <c r="D4504">
        <v>0</v>
      </c>
      <c r="E4504" t="s">
        <v>42</v>
      </c>
      <c r="F4504" t="s">
        <v>10</v>
      </c>
    </row>
    <row r="4505" spans="1:6" hidden="1" x14ac:dyDescent="0.35">
      <c r="A4505" t="s">
        <v>13</v>
      </c>
      <c r="B4505" t="s">
        <v>38</v>
      </c>
      <c r="C4505" t="s">
        <v>22</v>
      </c>
      <c r="D4505">
        <v>0</v>
      </c>
      <c r="E4505" t="s">
        <v>42</v>
      </c>
      <c r="F4505" t="s">
        <v>10</v>
      </c>
    </row>
    <row r="4506" spans="1:6" hidden="1" x14ac:dyDescent="0.35">
      <c r="A4506" t="s">
        <v>14</v>
      </c>
      <c r="B4506" t="s">
        <v>38</v>
      </c>
      <c r="C4506" t="s">
        <v>22</v>
      </c>
      <c r="D4506">
        <v>0</v>
      </c>
      <c r="E4506" t="s">
        <v>42</v>
      </c>
      <c r="F4506" t="s">
        <v>10</v>
      </c>
    </row>
    <row r="4507" spans="1:6" hidden="1" x14ac:dyDescent="0.35">
      <c r="A4507" t="s">
        <v>15</v>
      </c>
      <c r="B4507" t="s">
        <v>38</v>
      </c>
      <c r="C4507" t="s">
        <v>22</v>
      </c>
      <c r="D4507">
        <v>0</v>
      </c>
      <c r="E4507" t="s">
        <v>42</v>
      </c>
      <c r="F4507" t="s">
        <v>10</v>
      </c>
    </row>
    <row r="4508" spans="1:6" hidden="1" x14ac:dyDescent="0.35">
      <c r="A4508" t="s">
        <v>16</v>
      </c>
      <c r="B4508" t="s">
        <v>38</v>
      </c>
      <c r="C4508" t="s">
        <v>22</v>
      </c>
      <c r="D4508">
        <v>0</v>
      </c>
      <c r="E4508" t="s">
        <v>42</v>
      </c>
      <c r="F4508" t="s">
        <v>10</v>
      </c>
    </row>
    <row r="4509" spans="1:6" hidden="1" x14ac:dyDescent="0.35">
      <c r="A4509" t="s">
        <v>17</v>
      </c>
      <c r="B4509" t="s">
        <v>38</v>
      </c>
      <c r="C4509" t="s">
        <v>22</v>
      </c>
      <c r="D4509">
        <v>0</v>
      </c>
      <c r="E4509" t="s">
        <v>42</v>
      </c>
      <c r="F4509" t="s">
        <v>10</v>
      </c>
    </row>
    <row r="4510" spans="1:6" hidden="1" x14ac:dyDescent="0.35">
      <c r="A4510" t="s">
        <v>18</v>
      </c>
      <c r="B4510" t="s">
        <v>38</v>
      </c>
      <c r="C4510" t="s">
        <v>22</v>
      </c>
      <c r="D4510">
        <v>0</v>
      </c>
      <c r="E4510" t="s">
        <v>42</v>
      </c>
      <c r="F4510" t="s">
        <v>10</v>
      </c>
    </row>
    <row r="4511" spans="1:6" hidden="1" x14ac:dyDescent="0.35">
      <c r="A4511" t="s">
        <v>19</v>
      </c>
      <c r="B4511" t="s">
        <v>38</v>
      </c>
      <c r="C4511" t="s">
        <v>22</v>
      </c>
      <c r="D4511">
        <v>0</v>
      </c>
      <c r="E4511" t="s">
        <v>42</v>
      </c>
      <c r="F4511" t="s">
        <v>10</v>
      </c>
    </row>
    <row r="4512" spans="1:6" hidden="1" x14ac:dyDescent="0.35">
      <c r="A4512" t="s">
        <v>20</v>
      </c>
      <c r="B4512" t="s">
        <v>38</v>
      </c>
      <c r="C4512" t="s">
        <v>22</v>
      </c>
      <c r="D4512">
        <v>0</v>
      </c>
      <c r="E4512" t="s">
        <v>42</v>
      </c>
      <c r="F4512" t="s">
        <v>10</v>
      </c>
    </row>
    <row r="4513" spans="1:6" hidden="1" x14ac:dyDescent="0.35">
      <c r="A4513" t="s">
        <v>21</v>
      </c>
      <c r="B4513" t="s">
        <v>38</v>
      </c>
      <c r="C4513" t="s">
        <v>22</v>
      </c>
      <c r="D4513">
        <v>0</v>
      </c>
      <c r="E4513" t="s">
        <v>42</v>
      </c>
      <c r="F4513" t="s">
        <v>10</v>
      </c>
    </row>
    <row r="4514" spans="1:6" hidden="1" x14ac:dyDescent="0.35">
      <c r="A4514" t="s">
        <v>6</v>
      </c>
      <c r="B4514" t="s">
        <v>38</v>
      </c>
      <c r="C4514" t="s">
        <v>23</v>
      </c>
      <c r="D4514">
        <v>6032</v>
      </c>
      <c r="E4514" t="s">
        <v>42</v>
      </c>
      <c r="F4514" t="s">
        <v>10</v>
      </c>
    </row>
    <row r="4515" spans="1:6" hidden="1" x14ac:dyDescent="0.35">
      <c r="A4515" t="s">
        <v>11</v>
      </c>
      <c r="B4515" t="s">
        <v>38</v>
      </c>
      <c r="C4515" t="s">
        <v>23</v>
      </c>
      <c r="D4515">
        <v>1425</v>
      </c>
      <c r="E4515" t="s">
        <v>42</v>
      </c>
      <c r="F4515" t="s">
        <v>10</v>
      </c>
    </row>
    <row r="4516" spans="1:6" hidden="1" x14ac:dyDescent="0.35">
      <c r="A4516" t="s">
        <v>12</v>
      </c>
      <c r="B4516" t="s">
        <v>38</v>
      </c>
      <c r="C4516" t="s">
        <v>23</v>
      </c>
      <c r="D4516">
        <v>4276</v>
      </c>
      <c r="E4516" t="s">
        <v>42</v>
      </c>
      <c r="F4516" t="s">
        <v>10</v>
      </c>
    </row>
    <row r="4517" spans="1:6" hidden="1" x14ac:dyDescent="0.35">
      <c r="A4517" t="s">
        <v>13</v>
      </c>
      <c r="B4517" t="s">
        <v>38</v>
      </c>
      <c r="C4517" t="s">
        <v>23</v>
      </c>
      <c r="D4517">
        <v>2851</v>
      </c>
      <c r="E4517" t="s">
        <v>42</v>
      </c>
      <c r="F4517" t="s">
        <v>10</v>
      </c>
    </row>
    <row r="4518" spans="1:6" hidden="1" x14ac:dyDescent="0.35">
      <c r="A4518" t="s">
        <v>14</v>
      </c>
      <c r="B4518" t="s">
        <v>38</v>
      </c>
      <c r="C4518" t="s">
        <v>23</v>
      </c>
      <c r="D4518">
        <v>4989</v>
      </c>
      <c r="E4518" t="s">
        <v>42</v>
      </c>
      <c r="F4518" t="s">
        <v>10</v>
      </c>
    </row>
    <row r="4519" spans="1:6" hidden="1" x14ac:dyDescent="0.35">
      <c r="A4519" t="s">
        <v>15</v>
      </c>
      <c r="B4519" t="s">
        <v>38</v>
      </c>
      <c r="C4519" t="s">
        <v>23</v>
      </c>
      <c r="D4519">
        <v>1425</v>
      </c>
      <c r="E4519" t="s">
        <v>42</v>
      </c>
      <c r="F4519" t="s">
        <v>10</v>
      </c>
    </row>
    <row r="4520" spans="1:6" hidden="1" x14ac:dyDescent="0.35">
      <c r="A4520" t="s">
        <v>16</v>
      </c>
      <c r="B4520" t="s">
        <v>38</v>
      </c>
      <c r="C4520" t="s">
        <v>23</v>
      </c>
      <c r="D4520">
        <v>7127</v>
      </c>
      <c r="E4520" t="s">
        <v>42</v>
      </c>
      <c r="F4520" t="s">
        <v>10</v>
      </c>
    </row>
    <row r="4521" spans="1:6" hidden="1" x14ac:dyDescent="0.35">
      <c r="A4521" t="s">
        <v>17</v>
      </c>
      <c r="B4521" t="s">
        <v>38</v>
      </c>
      <c r="C4521" t="s">
        <v>23</v>
      </c>
      <c r="D4521">
        <v>3564</v>
      </c>
      <c r="E4521" t="s">
        <v>42</v>
      </c>
      <c r="F4521" t="s">
        <v>10</v>
      </c>
    </row>
    <row r="4522" spans="1:6" hidden="1" x14ac:dyDescent="0.35">
      <c r="A4522" t="s">
        <v>18</v>
      </c>
      <c r="B4522" t="s">
        <v>38</v>
      </c>
      <c r="C4522" t="s">
        <v>23</v>
      </c>
      <c r="D4522">
        <v>7127</v>
      </c>
      <c r="E4522" t="s">
        <v>42</v>
      </c>
      <c r="F4522" t="s">
        <v>10</v>
      </c>
    </row>
    <row r="4523" spans="1:6" hidden="1" x14ac:dyDescent="0.35">
      <c r="A4523" t="s">
        <v>19</v>
      </c>
      <c r="B4523" t="s">
        <v>38</v>
      </c>
      <c r="C4523" t="s">
        <v>23</v>
      </c>
      <c r="D4523">
        <v>5702</v>
      </c>
      <c r="E4523" t="s">
        <v>42</v>
      </c>
      <c r="F4523" t="s">
        <v>10</v>
      </c>
    </row>
    <row r="4524" spans="1:6" hidden="1" x14ac:dyDescent="0.35">
      <c r="A4524" t="s">
        <v>20</v>
      </c>
      <c r="B4524" t="s">
        <v>38</v>
      </c>
      <c r="C4524" t="s">
        <v>23</v>
      </c>
      <c r="D4524">
        <v>2851</v>
      </c>
      <c r="E4524" t="s">
        <v>42</v>
      </c>
      <c r="F4524" t="s">
        <v>10</v>
      </c>
    </row>
    <row r="4525" spans="1:6" hidden="1" x14ac:dyDescent="0.35">
      <c r="A4525" t="s">
        <v>21</v>
      </c>
      <c r="B4525" t="s">
        <v>38</v>
      </c>
      <c r="C4525" t="s">
        <v>23</v>
      </c>
      <c r="D4525">
        <v>6415</v>
      </c>
      <c r="E4525" t="s">
        <v>42</v>
      </c>
      <c r="F4525" t="s">
        <v>10</v>
      </c>
    </row>
    <row r="4526" spans="1:6" hidden="1" x14ac:dyDescent="0.35">
      <c r="A4526" t="s">
        <v>6</v>
      </c>
      <c r="B4526" t="s">
        <v>38</v>
      </c>
      <c r="C4526" t="s">
        <v>24</v>
      </c>
      <c r="D4526">
        <v>0</v>
      </c>
      <c r="E4526" t="s">
        <v>42</v>
      </c>
      <c r="F4526" t="s">
        <v>10</v>
      </c>
    </row>
    <row r="4527" spans="1:6" hidden="1" x14ac:dyDescent="0.35">
      <c r="A4527" t="s">
        <v>11</v>
      </c>
      <c r="B4527" t="s">
        <v>38</v>
      </c>
      <c r="C4527" t="s">
        <v>24</v>
      </c>
      <c r="D4527">
        <v>0</v>
      </c>
      <c r="E4527" t="s">
        <v>42</v>
      </c>
      <c r="F4527" t="s">
        <v>10</v>
      </c>
    </row>
    <row r="4528" spans="1:6" hidden="1" x14ac:dyDescent="0.35">
      <c r="A4528" t="s">
        <v>12</v>
      </c>
      <c r="B4528" t="s">
        <v>38</v>
      </c>
      <c r="C4528" t="s">
        <v>24</v>
      </c>
      <c r="D4528">
        <v>0</v>
      </c>
      <c r="E4528" t="s">
        <v>42</v>
      </c>
      <c r="F4528" t="s">
        <v>10</v>
      </c>
    </row>
    <row r="4529" spans="1:6" hidden="1" x14ac:dyDescent="0.35">
      <c r="A4529" t="s">
        <v>13</v>
      </c>
      <c r="B4529" t="s">
        <v>38</v>
      </c>
      <c r="C4529" t="s">
        <v>24</v>
      </c>
      <c r="D4529">
        <v>0</v>
      </c>
      <c r="E4529" t="s">
        <v>42</v>
      </c>
      <c r="F4529" t="s">
        <v>10</v>
      </c>
    </row>
    <row r="4530" spans="1:6" hidden="1" x14ac:dyDescent="0.35">
      <c r="A4530" t="s">
        <v>14</v>
      </c>
      <c r="B4530" t="s">
        <v>38</v>
      </c>
      <c r="C4530" t="s">
        <v>24</v>
      </c>
      <c r="D4530">
        <v>0</v>
      </c>
      <c r="E4530" t="s">
        <v>42</v>
      </c>
      <c r="F4530" t="s">
        <v>10</v>
      </c>
    </row>
    <row r="4531" spans="1:6" hidden="1" x14ac:dyDescent="0.35">
      <c r="A4531" t="s">
        <v>15</v>
      </c>
      <c r="B4531" t="s">
        <v>38</v>
      </c>
      <c r="C4531" t="s">
        <v>24</v>
      </c>
      <c r="D4531">
        <v>0</v>
      </c>
      <c r="E4531" t="s">
        <v>42</v>
      </c>
      <c r="F4531" t="s">
        <v>10</v>
      </c>
    </row>
    <row r="4532" spans="1:6" hidden="1" x14ac:dyDescent="0.35">
      <c r="A4532" t="s">
        <v>16</v>
      </c>
      <c r="B4532" t="s">
        <v>38</v>
      </c>
      <c r="C4532" t="s">
        <v>24</v>
      </c>
      <c r="D4532">
        <v>0</v>
      </c>
      <c r="E4532" t="s">
        <v>42</v>
      </c>
      <c r="F4532" t="s">
        <v>10</v>
      </c>
    </row>
    <row r="4533" spans="1:6" hidden="1" x14ac:dyDescent="0.35">
      <c r="A4533" t="s">
        <v>17</v>
      </c>
      <c r="B4533" t="s">
        <v>38</v>
      </c>
      <c r="C4533" t="s">
        <v>24</v>
      </c>
      <c r="D4533">
        <v>0</v>
      </c>
      <c r="E4533" t="s">
        <v>42</v>
      </c>
      <c r="F4533" t="s">
        <v>10</v>
      </c>
    </row>
    <row r="4534" spans="1:6" hidden="1" x14ac:dyDescent="0.35">
      <c r="A4534" t="s">
        <v>18</v>
      </c>
      <c r="B4534" t="s">
        <v>38</v>
      </c>
      <c r="C4534" t="s">
        <v>24</v>
      </c>
      <c r="D4534">
        <v>0</v>
      </c>
      <c r="E4534" t="s">
        <v>42</v>
      </c>
      <c r="F4534" t="s">
        <v>10</v>
      </c>
    </row>
    <row r="4535" spans="1:6" hidden="1" x14ac:dyDescent="0.35">
      <c r="A4535" t="s">
        <v>19</v>
      </c>
      <c r="B4535" t="s">
        <v>38</v>
      </c>
      <c r="C4535" t="s">
        <v>24</v>
      </c>
      <c r="D4535">
        <v>0</v>
      </c>
      <c r="E4535" t="s">
        <v>42</v>
      </c>
      <c r="F4535" t="s">
        <v>10</v>
      </c>
    </row>
    <row r="4536" spans="1:6" hidden="1" x14ac:dyDescent="0.35">
      <c r="A4536" t="s">
        <v>20</v>
      </c>
      <c r="B4536" t="s">
        <v>38</v>
      </c>
      <c r="C4536" t="s">
        <v>24</v>
      </c>
      <c r="D4536">
        <v>0</v>
      </c>
      <c r="E4536" t="s">
        <v>42</v>
      </c>
      <c r="F4536" t="s">
        <v>10</v>
      </c>
    </row>
    <row r="4537" spans="1:6" hidden="1" x14ac:dyDescent="0.35">
      <c r="A4537" t="s">
        <v>21</v>
      </c>
      <c r="B4537" t="s">
        <v>38</v>
      </c>
      <c r="C4537" t="s">
        <v>24</v>
      </c>
      <c r="D4537">
        <v>0</v>
      </c>
      <c r="E4537" t="s">
        <v>42</v>
      </c>
      <c r="F4537" t="s">
        <v>10</v>
      </c>
    </row>
    <row r="4538" spans="1:6" hidden="1" x14ac:dyDescent="0.35">
      <c r="A4538" t="s">
        <v>6</v>
      </c>
      <c r="B4538" t="s">
        <v>38</v>
      </c>
      <c r="C4538" t="s">
        <v>25</v>
      </c>
      <c r="D4538">
        <v>0</v>
      </c>
      <c r="E4538" t="s">
        <v>42</v>
      </c>
      <c r="F4538" t="s">
        <v>10</v>
      </c>
    </row>
    <row r="4539" spans="1:6" hidden="1" x14ac:dyDescent="0.35">
      <c r="A4539" t="s">
        <v>11</v>
      </c>
      <c r="B4539" t="s">
        <v>38</v>
      </c>
      <c r="C4539" t="s">
        <v>25</v>
      </c>
      <c r="D4539">
        <v>0</v>
      </c>
      <c r="E4539" t="s">
        <v>42</v>
      </c>
      <c r="F4539" t="s">
        <v>10</v>
      </c>
    </row>
    <row r="4540" spans="1:6" hidden="1" x14ac:dyDescent="0.35">
      <c r="A4540" t="s">
        <v>12</v>
      </c>
      <c r="B4540" t="s">
        <v>38</v>
      </c>
      <c r="C4540" t="s">
        <v>25</v>
      </c>
      <c r="D4540">
        <v>0</v>
      </c>
      <c r="E4540" t="s">
        <v>42</v>
      </c>
      <c r="F4540" t="s">
        <v>10</v>
      </c>
    </row>
    <row r="4541" spans="1:6" hidden="1" x14ac:dyDescent="0.35">
      <c r="A4541" t="s">
        <v>13</v>
      </c>
      <c r="B4541" t="s">
        <v>38</v>
      </c>
      <c r="C4541" t="s">
        <v>25</v>
      </c>
      <c r="D4541">
        <v>0</v>
      </c>
      <c r="E4541" t="s">
        <v>42</v>
      </c>
      <c r="F4541" t="s">
        <v>10</v>
      </c>
    </row>
    <row r="4542" spans="1:6" hidden="1" x14ac:dyDescent="0.35">
      <c r="A4542" t="s">
        <v>14</v>
      </c>
      <c r="B4542" t="s">
        <v>38</v>
      </c>
      <c r="C4542" t="s">
        <v>25</v>
      </c>
      <c r="D4542">
        <v>0</v>
      </c>
      <c r="E4542" t="s">
        <v>42</v>
      </c>
      <c r="F4542" t="s">
        <v>10</v>
      </c>
    </row>
    <row r="4543" spans="1:6" hidden="1" x14ac:dyDescent="0.35">
      <c r="A4543" t="s">
        <v>15</v>
      </c>
      <c r="B4543" t="s">
        <v>38</v>
      </c>
      <c r="C4543" t="s">
        <v>25</v>
      </c>
      <c r="D4543">
        <v>0</v>
      </c>
      <c r="E4543" t="s">
        <v>42</v>
      </c>
      <c r="F4543" t="s">
        <v>10</v>
      </c>
    </row>
    <row r="4544" spans="1:6" hidden="1" x14ac:dyDescent="0.35">
      <c r="A4544" t="s">
        <v>16</v>
      </c>
      <c r="B4544" t="s">
        <v>38</v>
      </c>
      <c r="C4544" t="s">
        <v>25</v>
      </c>
      <c r="D4544">
        <v>0</v>
      </c>
      <c r="E4544" t="s">
        <v>42</v>
      </c>
      <c r="F4544" t="s">
        <v>10</v>
      </c>
    </row>
    <row r="4545" spans="1:6" hidden="1" x14ac:dyDescent="0.35">
      <c r="A4545" t="s">
        <v>17</v>
      </c>
      <c r="B4545" t="s">
        <v>38</v>
      </c>
      <c r="C4545" t="s">
        <v>25</v>
      </c>
      <c r="D4545">
        <v>0</v>
      </c>
      <c r="E4545" t="s">
        <v>42</v>
      </c>
      <c r="F4545" t="s">
        <v>10</v>
      </c>
    </row>
    <row r="4546" spans="1:6" hidden="1" x14ac:dyDescent="0.35">
      <c r="A4546" t="s">
        <v>18</v>
      </c>
      <c r="B4546" t="s">
        <v>38</v>
      </c>
      <c r="C4546" t="s">
        <v>25</v>
      </c>
      <c r="D4546">
        <v>0</v>
      </c>
      <c r="E4546" t="s">
        <v>42</v>
      </c>
      <c r="F4546" t="s">
        <v>10</v>
      </c>
    </row>
    <row r="4547" spans="1:6" hidden="1" x14ac:dyDescent="0.35">
      <c r="A4547" t="s">
        <v>19</v>
      </c>
      <c r="B4547" t="s">
        <v>38</v>
      </c>
      <c r="C4547" t="s">
        <v>25</v>
      </c>
      <c r="D4547">
        <v>0</v>
      </c>
      <c r="E4547" t="s">
        <v>42</v>
      </c>
      <c r="F4547" t="s">
        <v>10</v>
      </c>
    </row>
    <row r="4548" spans="1:6" hidden="1" x14ac:dyDescent="0.35">
      <c r="A4548" t="s">
        <v>20</v>
      </c>
      <c r="B4548" t="s">
        <v>38</v>
      </c>
      <c r="C4548" t="s">
        <v>25</v>
      </c>
      <c r="D4548">
        <v>0</v>
      </c>
      <c r="E4548" t="s">
        <v>42</v>
      </c>
      <c r="F4548" t="s">
        <v>10</v>
      </c>
    </row>
    <row r="4549" spans="1:6" hidden="1" x14ac:dyDescent="0.35">
      <c r="A4549" t="s">
        <v>21</v>
      </c>
      <c r="B4549" t="s">
        <v>38</v>
      </c>
      <c r="C4549" t="s">
        <v>25</v>
      </c>
      <c r="D4549">
        <v>0</v>
      </c>
      <c r="E4549" t="s">
        <v>42</v>
      </c>
      <c r="F4549" t="s">
        <v>10</v>
      </c>
    </row>
    <row r="4550" spans="1:6" hidden="1" x14ac:dyDescent="0.35">
      <c r="A4550" t="s">
        <v>6</v>
      </c>
      <c r="B4550" t="s">
        <v>38</v>
      </c>
      <c r="C4550" t="s">
        <v>26</v>
      </c>
      <c r="D4550">
        <v>0</v>
      </c>
      <c r="E4550" t="s">
        <v>42</v>
      </c>
      <c r="F4550" t="s">
        <v>10</v>
      </c>
    </row>
    <row r="4551" spans="1:6" hidden="1" x14ac:dyDescent="0.35">
      <c r="A4551" t="s">
        <v>11</v>
      </c>
      <c r="B4551" t="s">
        <v>38</v>
      </c>
      <c r="C4551" t="s">
        <v>26</v>
      </c>
      <c r="E4551" t="s">
        <v>42</v>
      </c>
      <c r="F4551" t="s">
        <v>10</v>
      </c>
    </row>
    <row r="4552" spans="1:6" hidden="1" x14ac:dyDescent="0.35">
      <c r="A4552" t="s">
        <v>12</v>
      </c>
      <c r="B4552" t="s">
        <v>38</v>
      </c>
      <c r="C4552" t="s">
        <v>26</v>
      </c>
      <c r="E4552" t="s">
        <v>42</v>
      </c>
      <c r="F4552" t="s">
        <v>10</v>
      </c>
    </row>
    <row r="4553" spans="1:6" hidden="1" x14ac:dyDescent="0.35">
      <c r="A4553" t="s">
        <v>13</v>
      </c>
      <c r="B4553" t="s">
        <v>38</v>
      </c>
      <c r="C4553" t="s">
        <v>26</v>
      </c>
      <c r="E4553" t="s">
        <v>42</v>
      </c>
      <c r="F4553" t="s">
        <v>10</v>
      </c>
    </row>
    <row r="4554" spans="1:6" hidden="1" x14ac:dyDescent="0.35">
      <c r="A4554" t="s">
        <v>14</v>
      </c>
      <c r="B4554" t="s">
        <v>38</v>
      </c>
      <c r="C4554" t="s">
        <v>26</v>
      </c>
      <c r="E4554" t="s">
        <v>42</v>
      </c>
      <c r="F4554" t="s">
        <v>10</v>
      </c>
    </row>
    <row r="4555" spans="1:6" hidden="1" x14ac:dyDescent="0.35">
      <c r="A4555" t="s">
        <v>15</v>
      </c>
      <c r="B4555" t="s">
        <v>38</v>
      </c>
      <c r="C4555" t="s">
        <v>26</v>
      </c>
      <c r="E4555" t="s">
        <v>42</v>
      </c>
      <c r="F4555" t="s">
        <v>10</v>
      </c>
    </row>
    <row r="4556" spans="1:6" hidden="1" x14ac:dyDescent="0.35">
      <c r="A4556" t="s">
        <v>16</v>
      </c>
      <c r="B4556" t="s">
        <v>38</v>
      </c>
      <c r="C4556" t="s">
        <v>26</v>
      </c>
      <c r="E4556" t="s">
        <v>42</v>
      </c>
      <c r="F4556" t="s">
        <v>10</v>
      </c>
    </row>
    <row r="4557" spans="1:6" hidden="1" x14ac:dyDescent="0.35">
      <c r="A4557" t="s">
        <v>17</v>
      </c>
      <c r="B4557" t="s">
        <v>38</v>
      </c>
      <c r="C4557" t="s">
        <v>26</v>
      </c>
      <c r="E4557" t="s">
        <v>42</v>
      </c>
      <c r="F4557" t="s">
        <v>10</v>
      </c>
    </row>
    <row r="4558" spans="1:6" hidden="1" x14ac:dyDescent="0.35">
      <c r="A4558" t="s">
        <v>18</v>
      </c>
      <c r="B4558" t="s">
        <v>38</v>
      </c>
      <c r="C4558" t="s">
        <v>26</v>
      </c>
      <c r="E4558" t="s">
        <v>42</v>
      </c>
      <c r="F4558" t="s">
        <v>10</v>
      </c>
    </row>
    <row r="4559" spans="1:6" hidden="1" x14ac:dyDescent="0.35">
      <c r="A4559" t="s">
        <v>19</v>
      </c>
      <c r="B4559" t="s">
        <v>38</v>
      </c>
      <c r="C4559" t="s">
        <v>26</v>
      </c>
      <c r="E4559" t="s">
        <v>42</v>
      </c>
      <c r="F4559" t="s">
        <v>10</v>
      </c>
    </row>
    <row r="4560" spans="1:6" hidden="1" x14ac:dyDescent="0.35">
      <c r="A4560" t="s">
        <v>20</v>
      </c>
      <c r="B4560" t="s">
        <v>38</v>
      </c>
      <c r="C4560" t="s">
        <v>26</v>
      </c>
      <c r="E4560" t="s">
        <v>42</v>
      </c>
      <c r="F4560" t="s">
        <v>10</v>
      </c>
    </row>
    <row r="4561" spans="1:6" hidden="1" x14ac:dyDescent="0.35">
      <c r="A4561" t="s">
        <v>21</v>
      </c>
      <c r="B4561" t="s">
        <v>38</v>
      </c>
      <c r="C4561" t="s">
        <v>26</v>
      </c>
      <c r="E4561" t="s">
        <v>42</v>
      </c>
      <c r="F4561" t="s">
        <v>10</v>
      </c>
    </row>
    <row r="4562" spans="1:6" hidden="1" x14ac:dyDescent="0.35">
      <c r="A4562" t="s">
        <v>6</v>
      </c>
      <c r="B4562" t="s">
        <v>38</v>
      </c>
      <c r="C4562" t="s">
        <v>27</v>
      </c>
      <c r="D4562">
        <v>25069</v>
      </c>
      <c r="E4562" t="s">
        <v>42</v>
      </c>
      <c r="F4562" t="s">
        <v>10</v>
      </c>
    </row>
    <row r="4563" spans="1:6" hidden="1" x14ac:dyDescent="0.35">
      <c r="A4563" t="s">
        <v>11</v>
      </c>
      <c r="B4563" t="s">
        <v>38</v>
      </c>
      <c r="C4563" t="s">
        <v>27</v>
      </c>
      <c r="D4563">
        <v>3393</v>
      </c>
      <c r="E4563" t="s">
        <v>42</v>
      </c>
      <c r="F4563" t="s">
        <v>10</v>
      </c>
    </row>
    <row r="4564" spans="1:6" hidden="1" x14ac:dyDescent="0.35">
      <c r="A4564" t="s">
        <v>12</v>
      </c>
      <c r="B4564" t="s">
        <v>38</v>
      </c>
      <c r="C4564" t="s">
        <v>27</v>
      </c>
      <c r="D4564">
        <v>52827</v>
      </c>
      <c r="E4564" t="s">
        <v>42</v>
      </c>
      <c r="F4564" t="s">
        <v>10</v>
      </c>
    </row>
    <row r="4565" spans="1:6" hidden="1" x14ac:dyDescent="0.35">
      <c r="A4565" t="s">
        <v>13</v>
      </c>
      <c r="B4565" t="s">
        <v>38</v>
      </c>
      <c r="C4565" t="s">
        <v>27</v>
      </c>
      <c r="D4565">
        <v>14549</v>
      </c>
      <c r="E4565" t="s">
        <v>42</v>
      </c>
      <c r="F4565" t="s">
        <v>10</v>
      </c>
    </row>
    <row r="4566" spans="1:6" hidden="1" x14ac:dyDescent="0.35">
      <c r="A4566" t="s">
        <v>14</v>
      </c>
      <c r="B4566" t="s">
        <v>38</v>
      </c>
      <c r="C4566" t="s">
        <v>27</v>
      </c>
      <c r="D4566">
        <v>52340</v>
      </c>
      <c r="E4566" t="s">
        <v>42</v>
      </c>
      <c r="F4566" t="s">
        <v>10</v>
      </c>
    </row>
    <row r="4567" spans="1:6" hidden="1" x14ac:dyDescent="0.35">
      <c r="A4567" t="s">
        <v>15</v>
      </c>
      <c r="B4567" t="s">
        <v>38</v>
      </c>
      <c r="C4567" t="s">
        <v>27</v>
      </c>
      <c r="D4567">
        <v>3166</v>
      </c>
      <c r="E4567" t="s">
        <v>42</v>
      </c>
      <c r="F4567" t="s">
        <v>10</v>
      </c>
    </row>
    <row r="4568" spans="1:6" hidden="1" x14ac:dyDescent="0.35">
      <c r="A4568" t="s">
        <v>16</v>
      </c>
      <c r="B4568" t="s">
        <v>38</v>
      </c>
      <c r="C4568" t="s">
        <v>27</v>
      </c>
      <c r="D4568">
        <v>52853</v>
      </c>
      <c r="E4568" t="s">
        <v>42</v>
      </c>
      <c r="F4568" t="s">
        <v>10</v>
      </c>
    </row>
    <row r="4569" spans="1:6" hidden="1" x14ac:dyDescent="0.35">
      <c r="A4569" t="s">
        <v>17</v>
      </c>
      <c r="B4569" t="s">
        <v>38</v>
      </c>
      <c r="C4569" t="s">
        <v>27</v>
      </c>
      <c r="D4569">
        <v>18783</v>
      </c>
      <c r="E4569" t="s">
        <v>42</v>
      </c>
      <c r="F4569" t="s">
        <v>10</v>
      </c>
    </row>
    <row r="4570" spans="1:6" hidden="1" x14ac:dyDescent="0.35">
      <c r="A4570" t="s">
        <v>18</v>
      </c>
      <c r="B4570" t="s">
        <v>38</v>
      </c>
      <c r="C4570" t="s">
        <v>27</v>
      </c>
      <c r="D4570">
        <v>30145</v>
      </c>
      <c r="E4570" t="s">
        <v>42</v>
      </c>
      <c r="F4570" t="s">
        <v>10</v>
      </c>
    </row>
    <row r="4571" spans="1:6" hidden="1" x14ac:dyDescent="0.35">
      <c r="A4571" t="s">
        <v>19</v>
      </c>
      <c r="B4571" t="s">
        <v>38</v>
      </c>
      <c r="C4571" t="s">
        <v>27</v>
      </c>
      <c r="D4571">
        <v>37198</v>
      </c>
      <c r="E4571" t="s">
        <v>42</v>
      </c>
      <c r="F4571" t="s">
        <v>10</v>
      </c>
    </row>
    <row r="4572" spans="1:6" hidden="1" x14ac:dyDescent="0.35">
      <c r="A4572" t="s">
        <v>20</v>
      </c>
      <c r="B4572" t="s">
        <v>38</v>
      </c>
      <c r="C4572" t="s">
        <v>27</v>
      </c>
      <c r="D4572">
        <v>15217</v>
      </c>
      <c r="E4572" t="s">
        <v>42</v>
      </c>
      <c r="F4572" t="s">
        <v>10</v>
      </c>
    </row>
    <row r="4573" spans="1:6" hidden="1" x14ac:dyDescent="0.35">
      <c r="A4573" t="s">
        <v>21</v>
      </c>
      <c r="B4573" t="s">
        <v>38</v>
      </c>
      <c r="C4573" t="s">
        <v>27</v>
      </c>
      <c r="D4573">
        <v>31574</v>
      </c>
      <c r="E4573" t="s">
        <v>42</v>
      </c>
      <c r="F4573" t="s">
        <v>10</v>
      </c>
    </row>
    <row r="4574" spans="1:6" hidden="1" x14ac:dyDescent="0.35">
      <c r="A4574" t="s">
        <v>6</v>
      </c>
      <c r="B4574" t="s">
        <v>38</v>
      </c>
      <c r="C4574" t="s">
        <v>28</v>
      </c>
      <c r="D4574">
        <v>126346</v>
      </c>
      <c r="E4574" t="s">
        <v>42</v>
      </c>
      <c r="F4574" t="s">
        <v>10</v>
      </c>
    </row>
    <row r="4575" spans="1:6" hidden="1" x14ac:dyDescent="0.35">
      <c r="A4575" t="s">
        <v>11</v>
      </c>
      <c r="B4575" t="s">
        <v>38</v>
      </c>
      <c r="C4575" t="s">
        <v>28</v>
      </c>
      <c r="D4575">
        <v>16203</v>
      </c>
      <c r="E4575" t="s">
        <v>42</v>
      </c>
      <c r="F4575" t="s">
        <v>10</v>
      </c>
    </row>
    <row r="4576" spans="1:6" hidden="1" x14ac:dyDescent="0.35">
      <c r="A4576" t="s">
        <v>12</v>
      </c>
      <c r="B4576" t="s">
        <v>38</v>
      </c>
      <c r="C4576" t="s">
        <v>28</v>
      </c>
      <c r="D4576">
        <v>90271</v>
      </c>
      <c r="E4576" t="s">
        <v>42</v>
      </c>
      <c r="F4576" t="s">
        <v>10</v>
      </c>
    </row>
    <row r="4577" spans="1:6" hidden="1" x14ac:dyDescent="0.35">
      <c r="A4577" t="s">
        <v>13</v>
      </c>
      <c r="B4577" t="s">
        <v>38</v>
      </c>
      <c r="C4577" t="s">
        <v>28</v>
      </c>
      <c r="D4577">
        <v>106724</v>
      </c>
      <c r="E4577" t="s">
        <v>42</v>
      </c>
      <c r="F4577" t="s">
        <v>10</v>
      </c>
    </row>
    <row r="4578" spans="1:6" hidden="1" x14ac:dyDescent="0.35">
      <c r="A4578" t="s">
        <v>14</v>
      </c>
      <c r="B4578" t="s">
        <v>38</v>
      </c>
      <c r="C4578" t="s">
        <v>28</v>
      </c>
      <c r="D4578">
        <v>119311</v>
      </c>
      <c r="E4578" t="s">
        <v>42</v>
      </c>
      <c r="F4578" t="s">
        <v>10</v>
      </c>
    </row>
    <row r="4579" spans="1:6" hidden="1" x14ac:dyDescent="0.35">
      <c r="A4579" t="s">
        <v>15</v>
      </c>
      <c r="B4579" t="s">
        <v>38</v>
      </c>
      <c r="C4579" t="s">
        <v>28</v>
      </c>
      <c r="D4579">
        <v>47509</v>
      </c>
      <c r="E4579" t="s">
        <v>42</v>
      </c>
      <c r="F4579" t="s">
        <v>10</v>
      </c>
    </row>
    <row r="4580" spans="1:6" hidden="1" x14ac:dyDescent="0.35">
      <c r="A4580" t="s">
        <v>16</v>
      </c>
      <c r="B4580" t="s">
        <v>38</v>
      </c>
      <c r="C4580" t="s">
        <v>28</v>
      </c>
      <c r="D4580">
        <v>162235</v>
      </c>
      <c r="E4580" t="s">
        <v>42</v>
      </c>
      <c r="F4580" t="s">
        <v>10</v>
      </c>
    </row>
    <row r="4581" spans="1:6" hidden="1" x14ac:dyDescent="0.35">
      <c r="A4581" t="s">
        <v>17</v>
      </c>
      <c r="B4581" t="s">
        <v>38</v>
      </c>
      <c r="C4581" t="s">
        <v>28</v>
      </c>
      <c r="D4581">
        <v>32614</v>
      </c>
      <c r="E4581" t="s">
        <v>42</v>
      </c>
      <c r="F4581" t="s">
        <v>10</v>
      </c>
    </row>
    <row r="4582" spans="1:6" hidden="1" x14ac:dyDescent="0.35">
      <c r="A4582" t="s">
        <v>18</v>
      </c>
      <c r="B4582" t="s">
        <v>38</v>
      </c>
      <c r="C4582" t="s">
        <v>28</v>
      </c>
      <c r="D4582">
        <v>126312</v>
      </c>
      <c r="E4582" t="s">
        <v>42</v>
      </c>
      <c r="F4582" t="s">
        <v>10</v>
      </c>
    </row>
    <row r="4583" spans="1:6" hidden="1" x14ac:dyDescent="0.35">
      <c r="A4583" t="s">
        <v>19</v>
      </c>
      <c r="B4583" t="s">
        <v>38</v>
      </c>
      <c r="C4583" t="s">
        <v>28</v>
      </c>
      <c r="D4583">
        <v>697948</v>
      </c>
      <c r="E4583" t="s">
        <v>42</v>
      </c>
      <c r="F4583" t="s">
        <v>10</v>
      </c>
    </row>
    <row r="4584" spans="1:6" hidden="1" x14ac:dyDescent="0.35">
      <c r="A4584" t="s">
        <v>20</v>
      </c>
      <c r="B4584" t="s">
        <v>38</v>
      </c>
      <c r="C4584" t="s">
        <v>28</v>
      </c>
      <c r="D4584">
        <v>102076</v>
      </c>
      <c r="E4584" t="s">
        <v>42</v>
      </c>
      <c r="F4584" t="s">
        <v>10</v>
      </c>
    </row>
    <row r="4585" spans="1:6" hidden="1" x14ac:dyDescent="0.35">
      <c r="A4585" t="s">
        <v>21</v>
      </c>
      <c r="B4585" t="s">
        <v>38</v>
      </c>
      <c r="C4585" t="s">
        <v>28</v>
      </c>
      <c r="D4585">
        <v>85266</v>
      </c>
      <c r="E4585" t="s">
        <v>42</v>
      </c>
      <c r="F4585" t="s">
        <v>10</v>
      </c>
    </row>
    <row r="4586" spans="1:6" hidden="1" x14ac:dyDescent="0.35">
      <c r="A4586" t="s">
        <v>6</v>
      </c>
      <c r="B4586" t="s">
        <v>38</v>
      </c>
      <c r="C4586" t="s">
        <v>29</v>
      </c>
      <c r="D4586">
        <v>46</v>
      </c>
      <c r="E4586" t="s">
        <v>42</v>
      </c>
      <c r="F4586" t="s">
        <v>10</v>
      </c>
    </row>
    <row r="4587" spans="1:6" hidden="1" x14ac:dyDescent="0.35">
      <c r="A4587" t="s">
        <v>11</v>
      </c>
      <c r="B4587" t="s">
        <v>38</v>
      </c>
      <c r="C4587" t="s">
        <v>29</v>
      </c>
      <c r="D4587">
        <v>13</v>
      </c>
      <c r="E4587" t="s">
        <v>42</v>
      </c>
      <c r="F4587" t="s">
        <v>10</v>
      </c>
    </row>
    <row r="4588" spans="1:6" hidden="1" x14ac:dyDescent="0.35">
      <c r="A4588" t="s">
        <v>12</v>
      </c>
      <c r="B4588" t="s">
        <v>38</v>
      </c>
      <c r="C4588" t="s">
        <v>29</v>
      </c>
      <c r="D4588">
        <v>16</v>
      </c>
      <c r="E4588" t="s">
        <v>42</v>
      </c>
      <c r="F4588" t="s">
        <v>10</v>
      </c>
    </row>
    <row r="4589" spans="1:6" hidden="1" x14ac:dyDescent="0.35">
      <c r="A4589" t="s">
        <v>13</v>
      </c>
      <c r="B4589" t="s">
        <v>38</v>
      </c>
      <c r="C4589" t="s">
        <v>29</v>
      </c>
      <c r="D4589">
        <v>15</v>
      </c>
      <c r="E4589" t="s">
        <v>42</v>
      </c>
      <c r="F4589" t="s">
        <v>10</v>
      </c>
    </row>
    <row r="4590" spans="1:6" hidden="1" x14ac:dyDescent="0.35">
      <c r="A4590" t="s">
        <v>14</v>
      </c>
      <c r="B4590" t="s">
        <v>38</v>
      </c>
      <c r="C4590" t="s">
        <v>29</v>
      </c>
      <c r="D4590">
        <v>14</v>
      </c>
      <c r="E4590" t="s">
        <v>42</v>
      </c>
      <c r="F4590" t="s">
        <v>10</v>
      </c>
    </row>
    <row r="4591" spans="1:6" hidden="1" x14ac:dyDescent="0.35">
      <c r="A4591" t="s">
        <v>15</v>
      </c>
      <c r="B4591" t="s">
        <v>38</v>
      </c>
      <c r="C4591" t="s">
        <v>29</v>
      </c>
      <c r="D4591">
        <v>11</v>
      </c>
      <c r="E4591" t="s">
        <v>42</v>
      </c>
      <c r="F4591" t="s">
        <v>10</v>
      </c>
    </row>
    <row r="4592" spans="1:6" hidden="1" x14ac:dyDescent="0.35">
      <c r="A4592" t="s">
        <v>16</v>
      </c>
      <c r="B4592" t="s">
        <v>38</v>
      </c>
      <c r="C4592" t="s">
        <v>29</v>
      </c>
      <c r="D4592">
        <v>32</v>
      </c>
      <c r="E4592" t="s">
        <v>42</v>
      </c>
      <c r="F4592" t="s">
        <v>10</v>
      </c>
    </row>
    <row r="4593" spans="1:6" hidden="1" x14ac:dyDescent="0.35">
      <c r="A4593" t="s">
        <v>17</v>
      </c>
      <c r="B4593" t="s">
        <v>38</v>
      </c>
      <c r="C4593" t="s">
        <v>29</v>
      </c>
      <c r="D4593">
        <v>21</v>
      </c>
      <c r="E4593" t="s">
        <v>42</v>
      </c>
      <c r="F4593" t="s">
        <v>10</v>
      </c>
    </row>
    <row r="4594" spans="1:6" hidden="1" x14ac:dyDescent="0.35">
      <c r="A4594" t="s">
        <v>18</v>
      </c>
      <c r="B4594" t="s">
        <v>38</v>
      </c>
      <c r="C4594" t="s">
        <v>29</v>
      </c>
      <c r="D4594">
        <v>27</v>
      </c>
      <c r="E4594" t="s">
        <v>42</v>
      </c>
      <c r="F4594" t="s">
        <v>10</v>
      </c>
    </row>
    <row r="4595" spans="1:6" hidden="1" x14ac:dyDescent="0.35">
      <c r="A4595" t="s">
        <v>19</v>
      </c>
      <c r="B4595" t="s">
        <v>38</v>
      </c>
      <c r="C4595" t="s">
        <v>29</v>
      </c>
      <c r="D4595">
        <v>20</v>
      </c>
      <c r="E4595" t="s">
        <v>42</v>
      </c>
      <c r="F4595" t="s">
        <v>10</v>
      </c>
    </row>
    <row r="4596" spans="1:6" hidden="1" x14ac:dyDescent="0.35">
      <c r="A4596" t="s">
        <v>20</v>
      </c>
      <c r="B4596" t="s">
        <v>38</v>
      </c>
      <c r="C4596" t="s">
        <v>29</v>
      </c>
      <c r="D4596">
        <v>20</v>
      </c>
      <c r="E4596" t="s">
        <v>42</v>
      </c>
      <c r="F4596" t="s">
        <v>10</v>
      </c>
    </row>
    <row r="4597" spans="1:6" hidden="1" x14ac:dyDescent="0.35">
      <c r="A4597" t="s">
        <v>21</v>
      </c>
      <c r="B4597" t="s">
        <v>38</v>
      </c>
      <c r="C4597" t="s">
        <v>29</v>
      </c>
      <c r="D4597">
        <v>6</v>
      </c>
      <c r="E4597" t="s">
        <v>42</v>
      </c>
      <c r="F4597" t="s">
        <v>10</v>
      </c>
    </row>
    <row r="4598" spans="1:6" hidden="1" x14ac:dyDescent="0.35">
      <c r="A4598" t="s">
        <v>6</v>
      </c>
      <c r="B4598" t="s">
        <v>38</v>
      </c>
      <c r="C4598" t="s">
        <v>30</v>
      </c>
      <c r="D4598">
        <v>1</v>
      </c>
      <c r="E4598" t="s">
        <v>42</v>
      </c>
      <c r="F4598" t="s">
        <v>10</v>
      </c>
    </row>
    <row r="4599" spans="1:6" hidden="1" x14ac:dyDescent="0.35">
      <c r="A4599" t="s">
        <v>11</v>
      </c>
      <c r="B4599" t="s">
        <v>38</v>
      </c>
      <c r="C4599" t="s">
        <v>30</v>
      </c>
      <c r="D4599">
        <v>1</v>
      </c>
      <c r="E4599" t="s">
        <v>42</v>
      </c>
      <c r="F4599" t="s">
        <v>10</v>
      </c>
    </row>
    <row r="4600" spans="1:6" hidden="1" x14ac:dyDescent="0.35">
      <c r="A4600" t="s">
        <v>12</v>
      </c>
      <c r="B4600" t="s">
        <v>38</v>
      </c>
      <c r="C4600" t="s">
        <v>30</v>
      </c>
      <c r="E4600" t="s">
        <v>42</v>
      </c>
      <c r="F4600" t="s">
        <v>10</v>
      </c>
    </row>
    <row r="4601" spans="1:6" hidden="1" x14ac:dyDescent="0.35">
      <c r="A4601" t="s">
        <v>13</v>
      </c>
      <c r="B4601" t="s">
        <v>38</v>
      </c>
      <c r="C4601" t="s">
        <v>30</v>
      </c>
      <c r="D4601">
        <v>1</v>
      </c>
      <c r="E4601" t="s">
        <v>42</v>
      </c>
      <c r="F4601" t="s">
        <v>10</v>
      </c>
    </row>
    <row r="4602" spans="1:6" hidden="1" x14ac:dyDescent="0.35">
      <c r="A4602" t="s">
        <v>14</v>
      </c>
      <c r="B4602" t="s">
        <v>38</v>
      </c>
      <c r="C4602" t="s">
        <v>30</v>
      </c>
      <c r="D4602">
        <v>3</v>
      </c>
      <c r="E4602" t="s">
        <v>42</v>
      </c>
      <c r="F4602" t="s">
        <v>10</v>
      </c>
    </row>
    <row r="4603" spans="1:6" hidden="1" x14ac:dyDescent="0.35">
      <c r="A4603" t="s">
        <v>15</v>
      </c>
      <c r="B4603" t="s">
        <v>38</v>
      </c>
      <c r="C4603" t="s">
        <v>30</v>
      </c>
      <c r="D4603">
        <v>2</v>
      </c>
      <c r="E4603" t="s">
        <v>42</v>
      </c>
      <c r="F4603" t="s">
        <v>10</v>
      </c>
    </row>
    <row r="4604" spans="1:6" hidden="1" x14ac:dyDescent="0.35">
      <c r="A4604" t="s">
        <v>16</v>
      </c>
      <c r="B4604" t="s">
        <v>38</v>
      </c>
      <c r="C4604" t="s">
        <v>30</v>
      </c>
      <c r="D4604">
        <v>5</v>
      </c>
      <c r="E4604" t="s">
        <v>42</v>
      </c>
      <c r="F4604" t="s">
        <v>10</v>
      </c>
    </row>
    <row r="4605" spans="1:6" hidden="1" x14ac:dyDescent="0.35">
      <c r="A4605" t="s">
        <v>17</v>
      </c>
      <c r="B4605" t="s">
        <v>38</v>
      </c>
      <c r="C4605" t="s">
        <v>30</v>
      </c>
      <c r="E4605" t="s">
        <v>42</v>
      </c>
      <c r="F4605" t="s">
        <v>10</v>
      </c>
    </row>
    <row r="4606" spans="1:6" hidden="1" x14ac:dyDescent="0.35">
      <c r="A4606" t="s">
        <v>18</v>
      </c>
      <c r="B4606" t="s">
        <v>38</v>
      </c>
      <c r="C4606" t="s">
        <v>30</v>
      </c>
      <c r="D4606">
        <v>2</v>
      </c>
      <c r="E4606" t="s">
        <v>42</v>
      </c>
      <c r="F4606" t="s">
        <v>10</v>
      </c>
    </row>
    <row r="4607" spans="1:6" hidden="1" x14ac:dyDescent="0.35">
      <c r="A4607" t="s">
        <v>19</v>
      </c>
      <c r="B4607" t="s">
        <v>38</v>
      </c>
      <c r="C4607" t="s">
        <v>30</v>
      </c>
      <c r="D4607">
        <v>4</v>
      </c>
      <c r="E4607" t="s">
        <v>42</v>
      </c>
      <c r="F4607" t="s">
        <v>10</v>
      </c>
    </row>
    <row r="4608" spans="1:6" hidden="1" x14ac:dyDescent="0.35">
      <c r="A4608" t="s">
        <v>20</v>
      </c>
      <c r="B4608" t="s">
        <v>38</v>
      </c>
      <c r="C4608" t="s">
        <v>30</v>
      </c>
      <c r="D4608">
        <v>2</v>
      </c>
      <c r="E4608" t="s">
        <v>42</v>
      </c>
      <c r="F4608" t="s">
        <v>10</v>
      </c>
    </row>
    <row r="4609" spans="1:6" hidden="1" x14ac:dyDescent="0.35">
      <c r="A4609" t="s">
        <v>21</v>
      </c>
      <c r="B4609" t="s">
        <v>38</v>
      </c>
      <c r="C4609" t="s">
        <v>30</v>
      </c>
      <c r="D4609">
        <v>2</v>
      </c>
      <c r="E4609" t="s">
        <v>42</v>
      </c>
      <c r="F4609" t="s">
        <v>10</v>
      </c>
    </row>
    <row r="4610" spans="1:6" hidden="1" x14ac:dyDescent="0.35">
      <c r="A4610" t="s">
        <v>6</v>
      </c>
      <c r="B4610" t="s">
        <v>38</v>
      </c>
      <c r="C4610" t="s">
        <v>31</v>
      </c>
      <c r="D4610">
        <v>5</v>
      </c>
      <c r="E4610" t="s">
        <v>42</v>
      </c>
      <c r="F4610" t="s">
        <v>10</v>
      </c>
    </row>
    <row r="4611" spans="1:6" hidden="1" x14ac:dyDescent="0.35">
      <c r="A4611" t="s">
        <v>11</v>
      </c>
      <c r="B4611" t="s">
        <v>38</v>
      </c>
      <c r="C4611" t="s">
        <v>31</v>
      </c>
      <c r="D4611">
        <v>2</v>
      </c>
      <c r="E4611" t="s">
        <v>42</v>
      </c>
      <c r="F4611" t="s">
        <v>10</v>
      </c>
    </row>
    <row r="4612" spans="1:6" hidden="1" x14ac:dyDescent="0.35">
      <c r="A4612" t="s">
        <v>12</v>
      </c>
      <c r="B4612" t="s">
        <v>38</v>
      </c>
      <c r="C4612" t="s">
        <v>31</v>
      </c>
      <c r="D4612">
        <v>2</v>
      </c>
      <c r="E4612" t="s">
        <v>42</v>
      </c>
      <c r="F4612" t="s">
        <v>10</v>
      </c>
    </row>
    <row r="4613" spans="1:6" hidden="1" x14ac:dyDescent="0.35">
      <c r="A4613" t="s">
        <v>13</v>
      </c>
      <c r="B4613" t="s">
        <v>38</v>
      </c>
      <c r="C4613" t="s">
        <v>31</v>
      </c>
      <c r="D4613">
        <v>4</v>
      </c>
      <c r="E4613" t="s">
        <v>42</v>
      </c>
      <c r="F4613" t="s">
        <v>10</v>
      </c>
    </row>
    <row r="4614" spans="1:6" hidden="1" x14ac:dyDescent="0.35">
      <c r="A4614" t="s">
        <v>14</v>
      </c>
      <c r="B4614" t="s">
        <v>38</v>
      </c>
      <c r="C4614" t="s">
        <v>31</v>
      </c>
      <c r="D4614">
        <v>3</v>
      </c>
      <c r="E4614" t="s">
        <v>42</v>
      </c>
      <c r="F4614" t="s">
        <v>10</v>
      </c>
    </row>
    <row r="4615" spans="1:6" hidden="1" x14ac:dyDescent="0.35">
      <c r="A4615" t="s">
        <v>15</v>
      </c>
      <c r="B4615" t="s">
        <v>38</v>
      </c>
      <c r="C4615" t="s">
        <v>31</v>
      </c>
      <c r="E4615" t="s">
        <v>42</v>
      </c>
      <c r="F4615" t="s">
        <v>10</v>
      </c>
    </row>
    <row r="4616" spans="1:6" hidden="1" x14ac:dyDescent="0.35">
      <c r="A4616" t="s">
        <v>16</v>
      </c>
      <c r="B4616" t="s">
        <v>38</v>
      </c>
      <c r="C4616" t="s">
        <v>31</v>
      </c>
      <c r="D4616">
        <v>2</v>
      </c>
      <c r="E4616" t="s">
        <v>42</v>
      </c>
      <c r="F4616" t="s">
        <v>10</v>
      </c>
    </row>
    <row r="4617" spans="1:6" hidden="1" x14ac:dyDescent="0.35">
      <c r="A4617" t="s">
        <v>17</v>
      </c>
      <c r="B4617" t="s">
        <v>38</v>
      </c>
      <c r="C4617" t="s">
        <v>31</v>
      </c>
      <c r="D4617">
        <v>5</v>
      </c>
      <c r="E4617" t="s">
        <v>42</v>
      </c>
      <c r="F4617" t="s">
        <v>10</v>
      </c>
    </row>
    <row r="4618" spans="1:6" hidden="1" x14ac:dyDescent="0.35">
      <c r="A4618" t="s">
        <v>18</v>
      </c>
      <c r="B4618" t="s">
        <v>38</v>
      </c>
      <c r="C4618" t="s">
        <v>31</v>
      </c>
      <c r="D4618">
        <v>1</v>
      </c>
      <c r="E4618" t="s">
        <v>42</v>
      </c>
      <c r="F4618" t="s">
        <v>10</v>
      </c>
    </row>
    <row r="4619" spans="1:6" hidden="1" x14ac:dyDescent="0.35">
      <c r="A4619" t="s">
        <v>19</v>
      </c>
      <c r="B4619" t="s">
        <v>38</v>
      </c>
      <c r="C4619" t="s">
        <v>31</v>
      </c>
      <c r="D4619">
        <v>2</v>
      </c>
      <c r="E4619" t="s">
        <v>42</v>
      </c>
      <c r="F4619" t="s">
        <v>10</v>
      </c>
    </row>
    <row r="4620" spans="1:6" hidden="1" x14ac:dyDescent="0.35">
      <c r="A4620" t="s">
        <v>20</v>
      </c>
      <c r="B4620" t="s">
        <v>38</v>
      </c>
      <c r="C4620" t="s">
        <v>31</v>
      </c>
      <c r="E4620" t="s">
        <v>42</v>
      </c>
      <c r="F4620" t="s">
        <v>10</v>
      </c>
    </row>
    <row r="4621" spans="1:6" hidden="1" x14ac:dyDescent="0.35">
      <c r="A4621" t="s">
        <v>21</v>
      </c>
      <c r="B4621" t="s">
        <v>38</v>
      </c>
      <c r="C4621" t="s">
        <v>31</v>
      </c>
      <c r="D4621">
        <v>1</v>
      </c>
      <c r="E4621" t="s">
        <v>42</v>
      </c>
      <c r="F4621" t="s">
        <v>10</v>
      </c>
    </row>
    <row r="4622" spans="1:6" hidden="1" x14ac:dyDescent="0.35">
      <c r="A4622" t="s">
        <v>6</v>
      </c>
      <c r="B4622" t="s">
        <v>39</v>
      </c>
      <c r="C4622" t="s">
        <v>8</v>
      </c>
      <c r="D4622">
        <v>0</v>
      </c>
      <c r="E4622" t="s">
        <v>42</v>
      </c>
      <c r="F4622" t="s">
        <v>10</v>
      </c>
    </row>
    <row r="4623" spans="1:6" hidden="1" x14ac:dyDescent="0.35">
      <c r="A4623" t="s">
        <v>11</v>
      </c>
      <c r="B4623" t="s">
        <v>39</v>
      </c>
      <c r="C4623" t="s">
        <v>8</v>
      </c>
      <c r="D4623">
        <v>0</v>
      </c>
      <c r="E4623" t="s">
        <v>42</v>
      </c>
      <c r="F4623" t="s">
        <v>10</v>
      </c>
    </row>
    <row r="4624" spans="1:6" hidden="1" x14ac:dyDescent="0.35">
      <c r="A4624" t="s">
        <v>12</v>
      </c>
      <c r="B4624" t="s">
        <v>39</v>
      </c>
      <c r="C4624" t="s">
        <v>8</v>
      </c>
      <c r="D4624">
        <v>0</v>
      </c>
      <c r="E4624" t="s">
        <v>42</v>
      </c>
      <c r="F4624" t="s">
        <v>10</v>
      </c>
    </row>
    <row r="4625" spans="1:6" hidden="1" x14ac:dyDescent="0.35">
      <c r="A4625" t="s">
        <v>13</v>
      </c>
      <c r="B4625" t="s">
        <v>39</v>
      </c>
      <c r="C4625" t="s">
        <v>8</v>
      </c>
      <c r="D4625">
        <v>0</v>
      </c>
      <c r="E4625" t="s">
        <v>42</v>
      </c>
      <c r="F4625" t="s">
        <v>10</v>
      </c>
    </row>
    <row r="4626" spans="1:6" hidden="1" x14ac:dyDescent="0.35">
      <c r="A4626" t="s">
        <v>14</v>
      </c>
      <c r="B4626" t="s">
        <v>39</v>
      </c>
      <c r="C4626" t="s">
        <v>8</v>
      </c>
      <c r="D4626">
        <v>0</v>
      </c>
      <c r="E4626" t="s">
        <v>42</v>
      </c>
      <c r="F4626" t="s">
        <v>10</v>
      </c>
    </row>
    <row r="4627" spans="1:6" hidden="1" x14ac:dyDescent="0.35">
      <c r="A4627" t="s">
        <v>15</v>
      </c>
      <c r="B4627" t="s">
        <v>39</v>
      </c>
      <c r="C4627" t="s">
        <v>8</v>
      </c>
      <c r="D4627">
        <v>0</v>
      </c>
      <c r="E4627" t="s">
        <v>42</v>
      </c>
      <c r="F4627" t="s">
        <v>10</v>
      </c>
    </row>
    <row r="4628" spans="1:6" hidden="1" x14ac:dyDescent="0.35">
      <c r="A4628" t="s">
        <v>16</v>
      </c>
      <c r="B4628" t="s">
        <v>39</v>
      </c>
      <c r="C4628" t="s">
        <v>8</v>
      </c>
      <c r="D4628">
        <v>0</v>
      </c>
      <c r="E4628" t="s">
        <v>42</v>
      </c>
      <c r="F4628" t="s">
        <v>10</v>
      </c>
    </row>
    <row r="4629" spans="1:6" hidden="1" x14ac:dyDescent="0.35">
      <c r="A4629" t="s">
        <v>17</v>
      </c>
      <c r="B4629" t="s">
        <v>39</v>
      </c>
      <c r="C4629" t="s">
        <v>8</v>
      </c>
      <c r="D4629">
        <v>0</v>
      </c>
      <c r="E4629" t="s">
        <v>42</v>
      </c>
      <c r="F4629" t="s">
        <v>10</v>
      </c>
    </row>
    <row r="4630" spans="1:6" hidden="1" x14ac:dyDescent="0.35">
      <c r="A4630" t="s">
        <v>18</v>
      </c>
      <c r="B4630" t="s">
        <v>39</v>
      </c>
      <c r="C4630" t="s">
        <v>8</v>
      </c>
      <c r="D4630">
        <v>0</v>
      </c>
      <c r="E4630" t="s">
        <v>42</v>
      </c>
      <c r="F4630" t="s">
        <v>10</v>
      </c>
    </row>
    <row r="4631" spans="1:6" hidden="1" x14ac:dyDescent="0.35">
      <c r="A4631" t="s">
        <v>19</v>
      </c>
      <c r="B4631" t="s">
        <v>39</v>
      </c>
      <c r="C4631" t="s">
        <v>8</v>
      </c>
      <c r="D4631">
        <v>0</v>
      </c>
      <c r="E4631" t="s">
        <v>42</v>
      </c>
      <c r="F4631" t="s">
        <v>10</v>
      </c>
    </row>
    <row r="4632" spans="1:6" hidden="1" x14ac:dyDescent="0.35">
      <c r="A4632" t="s">
        <v>20</v>
      </c>
      <c r="B4632" t="s">
        <v>39</v>
      </c>
      <c r="C4632" t="s">
        <v>8</v>
      </c>
      <c r="D4632">
        <v>0</v>
      </c>
      <c r="E4632" t="s">
        <v>42</v>
      </c>
      <c r="F4632" t="s">
        <v>10</v>
      </c>
    </row>
    <row r="4633" spans="1:6" hidden="1" x14ac:dyDescent="0.35">
      <c r="A4633" t="s">
        <v>21</v>
      </c>
      <c r="B4633" t="s">
        <v>39</v>
      </c>
      <c r="C4633" t="s">
        <v>8</v>
      </c>
      <c r="D4633">
        <v>0</v>
      </c>
      <c r="E4633" t="s">
        <v>42</v>
      </c>
      <c r="F4633" t="s">
        <v>10</v>
      </c>
    </row>
    <row r="4634" spans="1:6" hidden="1" x14ac:dyDescent="0.35">
      <c r="A4634" t="s">
        <v>6</v>
      </c>
      <c r="B4634" t="s">
        <v>39</v>
      </c>
      <c r="C4634" t="s">
        <v>22</v>
      </c>
      <c r="D4634">
        <v>0</v>
      </c>
      <c r="E4634" t="s">
        <v>42</v>
      </c>
      <c r="F4634" t="s">
        <v>10</v>
      </c>
    </row>
    <row r="4635" spans="1:6" hidden="1" x14ac:dyDescent="0.35">
      <c r="A4635" t="s">
        <v>11</v>
      </c>
      <c r="B4635" t="s">
        <v>39</v>
      </c>
      <c r="C4635" t="s">
        <v>22</v>
      </c>
      <c r="D4635">
        <v>0</v>
      </c>
      <c r="E4635" t="s">
        <v>42</v>
      </c>
      <c r="F4635" t="s">
        <v>10</v>
      </c>
    </row>
    <row r="4636" spans="1:6" hidden="1" x14ac:dyDescent="0.35">
      <c r="A4636" t="s">
        <v>12</v>
      </c>
      <c r="B4636" t="s">
        <v>39</v>
      </c>
      <c r="C4636" t="s">
        <v>22</v>
      </c>
      <c r="D4636">
        <v>0</v>
      </c>
      <c r="E4636" t="s">
        <v>42</v>
      </c>
      <c r="F4636" t="s">
        <v>10</v>
      </c>
    </row>
    <row r="4637" spans="1:6" hidden="1" x14ac:dyDescent="0.35">
      <c r="A4637" t="s">
        <v>13</v>
      </c>
      <c r="B4637" t="s">
        <v>39</v>
      </c>
      <c r="C4637" t="s">
        <v>22</v>
      </c>
      <c r="D4637">
        <v>0</v>
      </c>
      <c r="E4637" t="s">
        <v>42</v>
      </c>
      <c r="F4637" t="s">
        <v>10</v>
      </c>
    </row>
    <row r="4638" spans="1:6" hidden="1" x14ac:dyDescent="0.35">
      <c r="A4638" t="s">
        <v>14</v>
      </c>
      <c r="B4638" t="s">
        <v>39</v>
      </c>
      <c r="C4638" t="s">
        <v>22</v>
      </c>
      <c r="D4638">
        <v>0</v>
      </c>
      <c r="E4638" t="s">
        <v>42</v>
      </c>
      <c r="F4638" t="s">
        <v>10</v>
      </c>
    </row>
    <row r="4639" spans="1:6" hidden="1" x14ac:dyDescent="0.35">
      <c r="A4639" t="s">
        <v>15</v>
      </c>
      <c r="B4639" t="s">
        <v>39</v>
      </c>
      <c r="C4639" t="s">
        <v>22</v>
      </c>
      <c r="D4639">
        <v>0</v>
      </c>
      <c r="E4639" t="s">
        <v>42</v>
      </c>
      <c r="F4639" t="s">
        <v>10</v>
      </c>
    </row>
    <row r="4640" spans="1:6" hidden="1" x14ac:dyDescent="0.35">
      <c r="A4640" t="s">
        <v>16</v>
      </c>
      <c r="B4640" t="s">
        <v>39</v>
      </c>
      <c r="C4640" t="s">
        <v>22</v>
      </c>
      <c r="D4640">
        <v>0</v>
      </c>
      <c r="E4640" t="s">
        <v>42</v>
      </c>
      <c r="F4640" t="s">
        <v>10</v>
      </c>
    </row>
    <row r="4641" spans="1:6" hidden="1" x14ac:dyDescent="0.35">
      <c r="A4641" t="s">
        <v>17</v>
      </c>
      <c r="B4641" t="s">
        <v>39</v>
      </c>
      <c r="C4641" t="s">
        <v>22</v>
      </c>
      <c r="D4641">
        <v>0</v>
      </c>
      <c r="E4641" t="s">
        <v>42</v>
      </c>
      <c r="F4641" t="s">
        <v>10</v>
      </c>
    </row>
    <row r="4642" spans="1:6" hidden="1" x14ac:dyDescent="0.35">
      <c r="A4642" t="s">
        <v>18</v>
      </c>
      <c r="B4642" t="s">
        <v>39</v>
      </c>
      <c r="C4642" t="s">
        <v>22</v>
      </c>
      <c r="D4642">
        <v>0</v>
      </c>
      <c r="E4642" t="s">
        <v>42</v>
      </c>
      <c r="F4642" t="s">
        <v>10</v>
      </c>
    </row>
    <row r="4643" spans="1:6" hidden="1" x14ac:dyDescent="0.35">
      <c r="A4643" t="s">
        <v>19</v>
      </c>
      <c r="B4643" t="s">
        <v>39</v>
      </c>
      <c r="C4643" t="s">
        <v>22</v>
      </c>
      <c r="D4643">
        <v>0</v>
      </c>
      <c r="E4643" t="s">
        <v>42</v>
      </c>
      <c r="F4643" t="s">
        <v>10</v>
      </c>
    </row>
    <row r="4644" spans="1:6" hidden="1" x14ac:dyDescent="0.35">
      <c r="A4644" t="s">
        <v>20</v>
      </c>
      <c r="B4644" t="s">
        <v>39</v>
      </c>
      <c r="C4644" t="s">
        <v>22</v>
      </c>
      <c r="D4644">
        <v>0</v>
      </c>
      <c r="E4644" t="s">
        <v>42</v>
      </c>
      <c r="F4644" t="s">
        <v>10</v>
      </c>
    </row>
    <row r="4645" spans="1:6" hidden="1" x14ac:dyDescent="0.35">
      <c r="A4645" t="s">
        <v>21</v>
      </c>
      <c r="B4645" t="s">
        <v>39</v>
      </c>
      <c r="C4645" t="s">
        <v>22</v>
      </c>
      <c r="D4645">
        <v>0</v>
      </c>
      <c r="E4645" t="s">
        <v>42</v>
      </c>
      <c r="F4645" t="s">
        <v>10</v>
      </c>
    </row>
    <row r="4646" spans="1:6" hidden="1" x14ac:dyDescent="0.35">
      <c r="A4646" t="s">
        <v>6</v>
      </c>
      <c r="B4646" t="s">
        <v>39</v>
      </c>
      <c r="C4646" t="s">
        <v>23</v>
      </c>
      <c r="D4646">
        <v>0</v>
      </c>
      <c r="E4646" t="s">
        <v>42</v>
      </c>
      <c r="F4646" t="s">
        <v>10</v>
      </c>
    </row>
    <row r="4647" spans="1:6" hidden="1" x14ac:dyDescent="0.35">
      <c r="A4647" t="s">
        <v>11</v>
      </c>
      <c r="B4647" t="s">
        <v>39</v>
      </c>
      <c r="C4647" t="s">
        <v>23</v>
      </c>
      <c r="D4647">
        <v>0</v>
      </c>
      <c r="E4647" t="s">
        <v>42</v>
      </c>
      <c r="F4647" t="s">
        <v>10</v>
      </c>
    </row>
    <row r="4648" spans="1:6" hidden="1" x14ac:dyDescent="0.35">
      <c r="A4648" t="s">
        <v>12</v>
      </c>
      <c r="B4648" t="s">
        <v>39</v>
      </c>
      <c r="C4648" t="s">
        <v>23</v>
      </c>
      <c r="D4648">
        <v>0</v>
      </c>
      <c r="E4648" t="s">
        <v>42</v>
      </c>
      <c r="F4648" t="s">
        <v>10</v>
      </c>
    </row>
    <row r="4649" spans="1:6" hidden="1" x14ac:dyDescent="0.35">
      <c r="A4649" t="s">
        <v>13</v>
      </c>
      <c r="B4649" t="s">
        <v>39</v>
      </c>
      <c r="C4649" t="s">
        <v>23</v>
      </c>
      <c r="D4649">
        <v>0</v>
      </c>
      <c r="E4649" t="s">
        <v>42</v>
      </c>
      <c r="F4649" t="s">
        <v>10</v>
      </c>
    </row>
    <row r="4650" spans="1:6" hidden="1" x14ac:dyDescent="0.35">
      <c r="A4650" t="s">
        <v>14</v>
      </c>
      <c r="B4650" t="s">
        <v>39</v>
      </c>
      <c r="C4650" t="s">
        <v>23</v>
      </c>
      <c r="D4650">
        <v>0</v>
      </c>
      <c r="E4650" t="s">
        <v>42</v>
      </c>
      <c r="F4650" t="s">
        <v>10</v>
      </c>
    </row>
    <row r="4651" spans="1:6" hidden="1" x14ac:dyDescent="0.35">
      <c r="A4651" t="s">
        <v>15</v>
      </c>
      <c r="B4651" t="s">
        <v>39</v>
      </c>
      <c r="C4651" t="s">
        <v>23</v>
      </c>
      <c r="D4651">
        <v>0</v>
      </c>
      <c r="E4651" t="s">
        <v>42</v>
      </c>
      <c r="F4651" t="s">
        <v>10</v>
      </c>
    </row>
    <row r="4652" spans="1:6" hidden="1" x14ac:dyDescent="0.35">
      <c r="A4652" t="s">
        <v>16</v>
      </c>
      <c r="B4652" t="s">
        <v>39</v>
      </c>
      <c r="C4652" t="s">
        <v>23</v>
      </c>
      <c r="D4652">
        <v>0</v>
      </c>
      <c r="E4652" t="s">
        <v>42</v>
      </c>
      <c r="F4652" t="s">
        <v>10</v>
      </c>
    </row>
    <row r="4653" spans="1:6" hidden="1" x14ac:dyDescent="0.35">
      <c r="A4653" t="s">
        <v>17</v>
      </c>
      <c r="B4653" t="s">
        <v>39</v>
      </c>
      <c r="C4653" t="s">
        <v>23</v>
      </c>
      <c r="D4653">
        <v>0</v>
      </c>
      <c r="E4653" t="s">
        <v>42</v>
      </c>
      <c r="F4653" t="s">
        <v>10</v>
      </c>
    </row>
    <row r="4654" spans="1:6" hidden="1" x14ac:dyDescent="0.35">
      <c r="A4654" t="s">
        <v>18</v>
      </c>
      <c r="B4654" t="s">
        <v>39</v>
      </c>
      <c r="C4654" t="s">
        <v>23</v>
      </c>
      <c r="D4654">
        <v>0</v>
      </c>
      <c r="E4654" t="s">
        <v>42</v>
      </c>
      <c r="F4654" t="s">
        <v>10</v>
      </c>
    </row>
    <row r="4655" spans="1:6" hidden="1" x14ac:dyDescent="0.35">
      <c r="A4655" t="s">
        <v>19</v>
      </c>
      <c r="B4655" t="s">
        <v>39</v>
      </c>
      <c r="C4655" t="s">
        <v>23</v>
      </c>
      <c r="D4655">
        <v>0</v>
      </c>
      <c r="E4655" t="s">
        <v>42</v>
      </c>
      <c r="F4655" t="s">
        <v>10</v>
      </c>
    </row>
    <row r="4656" spans="1:6" hidden="1" x14ac:dyDescent="0.35">
      <c r="A4656" t="s">
        <v>20</v>
      </c>
      <c r="B4656" t="s">
        <v>39</v>
      </c>
      <c r="C4656" t="s">
        <v>23</v>
      </c>
      <c r="D4656">
        <v>0</v>
      </c>
      <c r="E4656" t="s">
        <v>42</v>
      </c>
      <c r="F4656" t="s">
        <v>10</v>
      </c>
    </row>
    <row r="4657" spans="1:6" hidden="1" x14ac:dyDescent="0.35">
      <c r="A4657" t="s">
        <v>21</v>
      </c>
      <c r="B4657" t="s">
        <v>39</v>
      </c>
      <c r="C4657" t="s">
        <v>23</v>
      </c>
      <c r="D4657">
        <v>0</v>
      </c>
      <c r="E4657" t="s">
        <v>42</v>
      </c>
      <c r="F4657" t="s">
        <v>10</v>
      </c>
    </row>
    <row r="4658" spans="1:6" hidden="1" x14ac:dyDescent="0.35">
      <c r="A4658" t="s">
        <v>6</v>
      </c>
      <c r="B4658" t="s">
        <v>39</v>
      </c>
      <c r="C4658" t="s">
        <v>24</v>
      </c>
      <c r="D4658">
        <v>0</v>
      </c>
      <c r="E4658" t="s">
        <v>42</v>
      </c>
      <c r="F4658" t="s">
        <v>10</v>
      </c>
    </row>
    <row r="4659" spans="1:6" hidden="1" x14ac:dyDescent="0.35">
      <c r="A4659" t="s">
        <v>11</v>
      </c>
      <c r="B4659" t="s">
        <v>39</v>
      </c>
      <c r="C4659" t="s">
        <v>24</v>
      </c>
      <c r="D4659">
        <v>0</v>
      </c>
      <c r="E4659" t="s">
        <v>42</v>
      </c>
      <c r="F4659" t="s">
        <v>10</v>
      </c>
    </row>
    <row r="4660" spans="1:6" hidden="1" x14ac:dyDescent="0.35">
      <c r="A4660" t="s">
        <v>12</v>
      </c>
      <c r="B4660" t="s">
        <v>39</v>
      </c>
      <c r="C4660" t="s">
        <v>24</v>
      </c>
      <c r="D4660">
        <v>0</v>
      </c>
      <c r="E4660" t="s">
        <v>42</v>
      </c>
      <c r="F4660" t="s">
        <v>10</v>
      </c>
    </row>
    <row r="4661" spans="1:6" hidden="1" x14ac:dyDescent="0.35">
      <c r="A4661" t="s">
        <v>13</v>
      </c>
      <c r="B4661" t="s">
        <v>39</v>
      </c>
      <c r="C4661" t="s">
        <v>24</v>
      </c>
      <c r="D4661">
        <v>0</v>
      </c>
      <c r="E4661" t="s">
        <v>42</v>
      </c>
      <c r="F4661" t="s">
        <v>10</v>
      </c>
    </row>
    <row r="4662" spans="1:6" hidden="1" x14ac:dyDescent="0.35">
      <c r="A4662" t="s">
        <v>14</v>
      </c>
      <c r="B4662" t="s">
        <v>39</v>
      </c>
      <c r="C4662" t="s">
        <v>24</v>
      </c>
      <c r="D4662">
        <v>0</v>
      </c>
      <c r="E4662" t="s">
        <v>42</v>
      </c>
      <c r="F4662" t="s">
        <v>10</v>
      </c>
    </row>
    <row r="4663" spans="1:6" hidden="1" x14ac:dyDescent="0.35">
      <c r="A4663" t="s">
        <v>15</v>
      </c>
      <c r="B4663" t="s">
        <v>39</v>
      </c>
      <c r="C4663" t="s">
        <v>24</v>
      </c>
      <c r="D4663">
        <v>0</v>
      </c>
      <c r="E4663" t="s">
        <v>42</v>
      </c>
      <c r="F4663" t="s">
        <v>10</v>
      </c>
    </row>
    <row r="4664" spans="1:6" hidden="1" x14ac:dyDescent="0.35">
      <c r="A4664" t="s">
        <v>16</v>
      </c>
      <c r="B4664" t="s">
        <v>39</v>
      </c>
      <c r="C4664" t="s">
        <v>24</v>
      </c>
      <c r="D4664">
        <v>0</v>
      </c>
      <c r="E4664" t="s">
        <v>42</v>
      </c>
      <c r="F4664" t="s">
        <v>10</v>
      </c>
    </row>
    <row r="4665" spans="1:6" hidden="1" x14ac:dyDescent="0.35">
      <c r="A4665" t="s">
        <v>17</v>
      </c>
      <c r="B4665" t="s">
        <v>39</v>
      </c>
      <c r="C4665" t="s">
        <v>24</v>
      </c>
      <c r="D4665">
        <v>0</v>
      </c>
      <c r="E4665" t="s">
        <v>42</v>
      </c>
      <c r="F4665" t="s">
        <v>10</v>
      </c>
    </row>
    <row r="4666" spans="1:6" hidden="1" x14ac:dyDescent="0.35">
      <c r="A4666" t="s">
        <v>18</v>
      </c>
      <c r="B4666" t="s">
        <v>39</v>
      </c>
      <c r="C4666" t="s">
        <v>24</v>
      </c>
      <c r="D4666">
        <v>0</v>
      </c>
      <c r="E4666" t="s">
        <v>42</v>
      </c>
      <c r="F4666" t="s">
        <v>10</v>
      </c>
    </row>
    <row r="4667" spans="1:6" hidden="1" x14ac:dyDescent="0.35">
      <c r="A4667" t="s">
        <v>19</v>
      </c>
      <c r="B4667" t="s">
        <v>39</v>
      </c>
      <c r="C4667" t="s">
        <v>24</v>
      </c>
      <c r="D4667">
        <v>0</v>
      </c>
      <c r="E4667" t="s">
        <v>42</v>
      </c>
      <c r="F4667" t="s">
        <v>10</v>
      </c>
    </row>
    <row r="4668" spans="1:6" hidden="1" x14ac:dyDescent="0.35">
      <c r="A4668" t="s">
        <v>20</v>
      </c>
      <c r="B4668" t="s">
        <v>39</v>
      </c>
      <c r="C4668" t="s">
        <v>24</v>
      </c>
      <c r="D4668">
        <v>0</v>
      </c>
      <c r="E4668" t="s">
        <v>42</v>
      </c>
      <c r="F4668" t="s">
        <v>10</v>
      </c>
    </row>
    <row r="4669" spans="1:6" hidden="1" x14ac:dyDescent="0.35">
      <c r="A4669" t="s">
        <v>21</v>
      </c>
      <c r="B4669" t="s">
        <v>39</v>
      </c>
      <c r="C4669" t="s">
        <v>24</v>
      </c>
      <c r="D4669">
        <v>0</v>
      </c>
      <c r="E4669" t="s">
        <v>42</v>
      </c>
      <c r="F4669" t="s">
        <v>10</v>
      </c>
    </row>
    <row r="4670" spans="1:6" hidden="1" x14ac:dyDescent="0.35">
      <c r="A4670" t="s">
        <v>6</v>
      </c>
      <c r="B4670" t="s">
        <v>39</v>
      </c>
      <c r="C4670" t="s">
        <v>25</v>
      </c>
      <c r="D4670">
        <v>0</v>
      </c>
      <c r="E4670" t="s">
        <v>42</v>
      </c>
      <c r="F4670" t="s">
        <v>10</v>
      </c>
    </row>
    <row r="4671" spans="1:6" hidden="1" x14ac:dyDescent="0.35">
      <c r="A4671" t="s">
        <v>11</v>
      </c>
      <c r="B4671" t="s">
        <v>39</v>
      </c>
      <c r="C4671" t="s">
        <v>25</v>
      </c>
      <c r="D4671">
        <v>0</v>
      </c>
      <c r="E4671" t="s">
        <v>42</v>
      </c>
      <c r="F4671" t="s">
        <v>10</v>
      </c>
    </row>
    <row r="4672" spans="1:6" hidden="1" x14ac:dyDescent="0.35">
      <c r="A4672" t="s">
        <v>12</v>
      </c>
      <c r="B4672" t="s">
        <v>39</v>
      </c>
      <c r="C4672" t="s">
        <v>25</v>
      </c>
      <c r="D4672">
        <v>0</v>
      </c>
      <c r="E4672" t="s">
        <v>42</v>
      </c>
      <c r="F4672" t="s">
        <v>10</v>
      </c>
    </row>
    <row r="4673" spans="1:6" hidden="1" x14ac:dyDescent="0.35">
      <c r="A4673" t="s">
        <v>13</v>
      </c>
      <c r="B4673" t="s">
        <v>39</v>
      </c>
      <c r="C4673" t="s">
        <v>25</v>
      </c>
      <c r="D4673">
        <v>0</v>
      </c>
      <c r="E4673" t="s">
        <v>42</v>
      </c>
      <c r="F4673" t="s">
        <v>10</v>
      </c>
    </row>
    <row r="4674" spans="1:6" hidden="1" x14ac:dyDescent="0.35">
      <c r="A4674" t="s">
        <v>14</v>
      </c>
      <c r="B4674" t="s">
        <v>39</v>
      </c>
      <c r="C4674" t="s">
        <v>25</v>
      </c>
      <c r="D4674">
        <v>0</v>
      </c>
      <c r="E4674" t="s">
        <v>42</v>
      </c>
      <c r="F4674" t="s">
        <v>10</v>
      </c>
    </row>
    <row r="4675" spans="1:6" hidden="1" x14ac:dyDescent="0.35">
      <c r="A4675" t="s">
        <v>15</v>
      </c>
      <c r="B4675" t="s">
        <v>39</v>
      </c>
      <c r="C4675" t="s">
        <v>25</v>
      </c>
      <c r="D4675">
        <v>0</v>
      </c>
      <c r="E4675" t="s">
        <v>42</v>
      </c>
      <c r="F4675" t="s">
        <v>10</v>
      </c>
    </row>
    <row r="4676" spans="1:6" hidden="1" x14ac:dyDescent="0.35">
      <c r="A4676" t="s">
        <v>16</v>
      </c>
      <c r="B4676" t="s">
        <v>39</v>
      </c>
      <c r="C4676" t="s">
        <v>25</v>
      </c>
      <c r="D4676">
        <v>0</v>
      </c>
      <c r="E4676" t="s">
        <v>42</v>
      </c>
      <c r="F4676" t="s">
        <v>10</v>
      </c>
    </row>
    <row r="4677" spans="1:6" hidden="1" x14ac:dyDescent="0.35">
      <c r="A4677" t="s">
        <v>17</v>
      </c>
      <c r="B4677" t="s">
        <v>39</v>
      </c>
      <c r="C4677" t="s">
        <v>25</v>
      </c>
      <c r="D4677">
        <v>0</v>
      </c>
      <c r="E4677" t="s">
        <v>42</v>
      </c>
      <c r="F4677" t="s">
        <v>10</v>
      </c>
    </row>
    <row r="4678" spans="1:6" hidden="1" x14ac:dyDescent="0.35">
      <c r="A4678" t="s">
        <v>18</v>
      </c>
      <c r="B4678" t="s">
        <v>39</v>
      </c>
      <c r="C4678" t="s">
        <v>25</v>
      </c>
      <c r="D4678">
        <v>0</v>
      </c>
      <c r="E4678" t="s">
        <v>42</v>
      </c>
      <c r="F4678" t="s">
        <v>10</v>
      </c>
    </row>
    <row r="4679" spans="1:6" hidden="1" x14ac:dyDescent="0.35">
      <c r="A4679" t="s">
        <v>19</v>
      </c>
      <c r="B4679" t="s">
        <v>39</v>
      </c>
      <c r="C4679" t="s">
        <v>25</v>
      </c>
      <c r="D4679">
        <v>0</v>
      </c>
      <c r="E4679" t="s">
        <v>42</v>
      </c>
      <c r="F4679" t="s">
        <v>10</v>
      </c>
    </row>
    <row r="4680" spans="1:6" hidden="1" x14ac:dyDescent="0.35">
      <c r="A4680" t="s">
        <v>20</v>
      </c>
      <c r="B4680" t="s">
        <v>39</v>
      </c>
      <c r="C4680" t="s">
        <v>25</v>
      </c>
      <c r="D4680">
        <v>0</v>
      </c>
      <c r="E4680" t="s">
        <v>42</v>
      </c>
      <c r="F4680" t="s">
        <v>10</v>
      </c>
    </row>
    <row r="4681" spans="1:6" hidden="1" x14ac:dyDescent="0.35">
      <c r="A4681" t="s">
        <v>21</v>
      </c>
      <c r="B4681" t="s">
        <v>39</v>
      </c>
      <c r="C4681" t="s">
        <v>25</v>
      </c>
      <c r="D4681">
        <v>0</v>
      </c>
      <c r="E4681" t="s">
        <v>42</v>
      </c>
      <c r="F4681" t="s">
        <v>10</v>
      </c>
    </row>
    <row r="4682" spans="1:6" hidden="1" x14ac:dyDescent="0.35">
      <c r="A4682" t="s">
        <v>6</v>
      </c>
      <c r="B4682" t="s">
        <v>39</v>
      </c>
      <c r="C4682" t="s">
        <v>26</v>
      </c>
      <c r="D4682">
        <v>0</v>
      </c>
      <c r="E4682" t="s">
        <v>42</v>
      </c>
      <c r="F4682" t="s">
        <v>10</v>
      </c>
    </row>
    <row r="4683" spans="1:6" hidden="1" x14ac:dyDescent="0.35">
      <c r="A4683" t="s">
        <v>11</v>
      </c>
      <c r="B4683" t="s">
        <v>39</v>
      </c>
      <c r="C4683" t="s">
        <v>26</v>
      </c>
      <c r="E4683" t="s">
        <v>42</v>
      </c>
      <c r="F4683" t="s">
        <v>10</v>
      </c>
    </row>
    <row r="4684" spans="1:6" hidden="1" x14ac:dyDescent="0.35">
      <c r="A4684" t="s">
        <v>12</v>
      </c>
      <c r="B4684" t="s">
        <v>39</v>
      </c>
      <c r="C4684" t="s">
        <v>26</v>
      </c>
      <c r="E4684" t="s">
        <v>42</v>
      </c>
      <c r="F4684" t="s">
        <v>10</v>
      </c>
    </row>
    <row r="4685" spans="1:6" hidden="1" x14ac:dyDescent="0.35">
      <c r="A4685" t="s">
        <v>13</v>
      </c>
      <c r="B4685" t="s">
        <v>39</v>
      </c>
      <c r="C4685" t="s">
        <v>26</v>
      </c>
      <c r="E4685" t="s">
        <v>42</v>
      </c>
      <c r="F4685" t="s">
        <v>10</v>
      </c>
    </row>
    <row r="4686" spans="1:6" hidden="1" x14ac:dyDescent="0.35">
      <c r="A4686" t="s">
        <v>14</v>
      </c>
      <c r="B4686" t="s">
        <v>39</v>
      </c>
      <c r="C4686" t="s">
        <v>26</v>
      </c>
      <c r="E4686" t="s">
        <v>42</v>
      </c>
      <c r="F4686" t="s">
        <v>10</v>
      </c>
    </row>
    <row r="4687" spans="1:6" hidden="1" x14ac:dyDescent="0.35">
      <c r="A4687" t="s">
        <v>15</v>
      </c>
      <c r="B4687" t="s">
        <v>39</v>
      </c>
      <c r="C4687" t="s">
        <v>26</v>
      </c>
      <c r="E4687" t="s">
        <v>42</v>
      </c>
      <c r="F4687" t="s">
        <v>10</v>
      </c>
    </row>
    <row r="4688" spans="1:6" hidden="1" x14ac:dyDescent="0.35">
      <c r="A4688" t="s">
        <v>16</v>
      </c>
      <c r="B4688" t="s">
        <v>39</v>
      </c>
      <c r="C4688" t="s">
        <v>26</v>
      </c>
      <c r="E4688" t="s">
        <v>42</v>
      </c>
      <c r="F4688" t="s">
        <v>10</v>
      </c>
    </row>
    <row r="4689" spans="1:6" hidden="1" x14ac:dyDescent="0.35">
      <c r="A4689" t="s">
        <v>17</v>
      </c>
      <c r="B4689" t="s">
        <v>39</v>
      </c>
      <c r="C4689" t="s">
        <v>26</v>
      </c>
      <c r="E4689" t="s">
        <v>42</v>
      </c>
      <c r="F4689" t="s">
        <v>10</v>
      </c>
    </row>
    <row r="4690" spans="1:6" hidden="1" x14ac:dyDescent="0.35">
      <c r="A4690" t="s">
        <v>18</v>
      </c>
      <c r="B4690" t="s">
        <v>39</v>
      </c>
      <c r="C4690" t="s">
        <v>26</v>
      </c>
      <c r="E4690" t="s">
        <v>42</v>
      </c>
      <c r="F4690" t="s">
        <v>10</v>
      </c>
    </row>
    <row r="4691" spans="1:6" hidden="1" x14ac:dyDescent="0.35">
      <c r="A4691" t="s">
        <v>19</v>
      </c>
      <c r="B4691" t="s">
        <v>39</v>
      </c>
      <c r="C4691" t="s">
        <v>26</v>
      </c>
      <c r="E4691" t="s">
        <v>42</v>
      </c>
      <c r="F4691" t="s">
        <v>10</v>
      </c>
    </row>
    <row r="4692" spans="1:6" hidden="1" x14ac:dyDescent="0.35">
      <c r="A4692" t="s">
        <v>20</v>
      </c>
      <c r="B4692" t="s">
        <v>39</v>
      </c>
      <c r="C4692" t="s">
        <v>26</v>
      </c>
      <c r="E4692" t="s">
        <v>42</v>
      </c>
      <c r="F4692" t="s">
        <v>10</v>
      </c>
    </row>
    <row r="4693" spans="1:6" hidden="1" x14ac:dyDescent="0.35">
      <c r="A4693" t="s">
        <v>21</v>
      </c>
      <c r="B4693" t="s">
        <v>39</v>
      </c>
      <c r="C4693" t="s">
        <v>26</v>
      </c>
      <c r="E4693" t="s">
        <v>42</v>
      </c>
      <c r="F4693" t="s">
        <v>10</v>
      </c>
    </row>
    <row r="4694" spans="1:6" hidden="1" x14ac:dyDescent="0.35">
      <c r="A4694" t="s">
        <v>6</v>
      </c>
      <c r="B4694" t="s">
        <v>39</v>
      </c>
      <c r="C4694" t="s">
        <v>27</v>
      </c>
      <c r="D4694">
        <v>0</v>
      </c>
      <c r="E4694" t="s">
        <v>42</v>
      </c>
      <c r="F4694" t="s">
        <v>10</v>
      </c>
    </row>
    <row r="4695" spans="1:6" hidden="1" x14ac:dyDescent="0.35">
      <c r="A4695" t="s">
        <v>11</v>
      </c>
      <c r="B4695" t="s">
        <v>39</v>
      </c>
      <c r="C4695" t="s">
        <v>27</v>
      </c>
      <c r="D4695">
        <v>0</v>
      </c>
      <c r="E4695" t="s">
        <v>42</v>
      </c>
      <c r="F4695" t="s">
        <v>10</v>
      </c>
    </row>
    <row r="4696" spans="1:6" hidden="1" x14ac:dyDescent="0.35">
      <c r="A4696" t="s">
        <v>12</v>
      </c>
      <c r="B4696" t="s">
        <v>39</v>
      </c>
      <c r="C4696" t="s">
        <v>27</v>
      </c>
      <c r="D4696">
        <v>0</v>
      </c>
      <c r="E4696" t="s">
        <v>42</v>
      </c>
      <c r="F4696" t="s">
        <v>10</v>
      </c>
    </row>
    <row r="4697" spans="1:6" hidden="1" x14ac:dyDescent="0.35">
      <c r="A4697" t="s">
        <v>13</v>
      </c>
      <c r="B4697" t="s">
        <v>39</v>
      </c>
      <c r="C4697" t="s">
        <v>27</v>
      </c>
      <c r="D4697">
        <v>0</v>
      </c>
      <c r="E4697" t="s">
        <v>42</v>
      </c>
      <c r="F4697" t="s">
        <v>10</v>
      </c>
    </row>
    <row r="4698" spans="1:6" hidden="1" x14ac:dyDescent="0.35">
      <c r="A4698" t="s">
        <v>14</v>
      </c>
      <c r="B4698" t="s">
        <v>39</v>
      </c>
      <c r="C4698" t="s">
        <v>27</v>
      </c>
      <c r="D4698">
        <v>0</v>
      </c>
      <c r="E4698" t="s">
        <v>42</v>
      </c>
      <c r="F4698" t="s">
        <v>10</v>
      </c>
    </row>
    <row r="4699" spans="1:6" hidden="1" x14ac:dyDescent="0.35">
      <c r="A4699" t="s">
        <v>15</v>
      </c>
      <c r="B4699" t="s">
        <v>39</v>
      </c>
      <c r="C4699" t="s">
        <v>27</v>
      </c>
      <c r="D4699">
        <v>0</v>
      </c>
      <c r="E4699" t="s">
        <v>42</v>
      </c>
      <c r="F4699" t="s">
        <v>10</v>
      </c>
    </row>
    <row r="4700" spans="1:6" hidden="1" x14ac:dyDescent="0.35">
      <c r="A4700" t="s">
        <v>16</v>
      </c>
      <c r="B4700" t="s">
        <v>39</v>
      </c>
      <c r="C4700" t="s">
        <v>27</v>
      </c>
      <c r="D4700">
        <v>0</v>
      </c>
      <c r="E4700" t="s">
        <v>42</v>
      </c>
      <c r="F4700" t="s">
        <v>10</v>
      </c>
    </row>
    <row r="4701" spans="1:6" hidden="1" x14ac:dyDescent="0.35">
      <c r="A4701" t="s">
        <v>17</v>
      </c>
      <c r="B4701" t="s">
        <v>39</v>
      </c>
      <c r="C4701" t="s">
        <v>27</v>
      </c>
      <c r="D4701">
        <v>0</v>
      </c>
      <c r="E4701" t="s">
        <v>42</v>
      </c>
      <c r="F4701" t="s">
        <v>10</v>
      </c>
    </row>
    <row r="4702" spans="1:6" hidden="1" x14ac:dyDescent="0.35">
      <c r="A4702" t="s">
        <v>18</v>
      </c>
      <c r="B4702" t="s">
        <v>39</v>
      </c>
      <c r="C4702" t="s">
        <v>27</v>
      </c>
      <c r="D4702">
        <v>0</v>
      </c>
      <c r="E4702" t="s">
        <v>42</v>
      </c>
      <c r="F4702" t="s">
        <v>10</v>
      </c>
    </row>
    <row r="4703" spans="1:6" hidden="1" x14ac:dyDescent="0.35">
      <c r="A4703" t="s">
        <v>19</v>
      </c>
      <c r="B4703" t="s">
        <v>39</v>
      </c>
      <c r="C4703" t="s">
        <v>27</v>
      </c>
      <c r="D4703">
        <v>0</v>
      </c>
      <c r="E4703" t="s">
        <v>42</v>
      </c>
      <c r="F4703" t="s">
        <v>10</v>
      </c>
    </row>
    <row r="4704" spans="1:6" hidden="1" x14ac:dyDescent="0.35">
      <c r="A4704" t="s">
        <v>20</v>
      </c>
      <c r="B4704" t="s">
        <v>39</v>
      </c>
      <c r="C4704" t="s">
        <v>27</v>
      </c>
      <c r="D4704">
        <v>0</v>
      </c>
      <c r="E4704" t="s">
        <v>42</v>
      </c>
      <c r="F4704" t="s">
        <v>10</v>
      </c>
    </row>
    <row r="4705" spans="1:6" hidden="1" x14ac:dyDescent="0.35">
      <c r="A4705" t="s">
        <v>21</v>
      </c>
      <c r="B4705" t="s">
        <v>39</v>
      </c>
      <c r="C4705" t="s">
        <v>27</v>
      </c>
      <c r="D4705">
        <v>0</v>
      </c>
      <c r="E4705" t="s">
        <v>42</v>
      </c>
      <c r="F4705" t="s">
        <v>10</v>
      </c>
    </row>
    <row r="4706" spans="1:6" hidden="1" x14ac:dyDescent="0.35">
      <c r="A4706" t="s">
        <v>6</v>
      </c>
      <c r="B4706" t="s">
        <v>39</v>
      </c>
      <c r="C4706" t="s">
        <v>28</v>
      </c>
      <c r="D4706">
        <v>0</v>
      </c>
      <c r="E4706" t="s">
        <v>42</v>
      </c>
      <c r="F4706" t="s">
        <v>10</v>
      </c>
    </row>
    <row r="4707" spans="1:6" hidden="1" x14ac:dyDescent="0.35">
      <c r="A4707" t="s">
        <v>11</v>
      </c>
      <c r="B4707" t="s">
        <v>39</v>
      </c>
      <c r="C4707" t="s">
        <v>28</v>
      </c>
      <c r="D4707">
        <v>0</v>
      </c>
      <c r="E4707" t="s">
        <v>42</v>
      </c>
      <c r="F4707" t="s">
        <v>10</v>
      </c>
    </row>
    <row r="4708" spans="1:6" hidden="1" x14ac:dyDescent="0.35">
      <c r="A4708" t="s">
        <v>12</v>
      </c>
      <c r="B4708" t="s">
        <v>39</v>
      </c>
      <c r="C4708" t="s">
        <v>28</v>
      </c>
      <c r="D4708">
        <v>0</v>
      </c>
      <c r="E4708" t="s">
        <v>42</v>
      </c>
      <c r="F4708" t="s">
        <v>10</v>
      </c>
    </row>
    <row r="4709" spans="1:6" hidden="1" x14ac:dyDescent="0.35">
      <c r="A4709" t="s">
        <v>13</v>
      </c>
      <c r="B4709" t="s">
        <v>39</v>
      </c>
      <c r="C4709" t="s">
        <v>28</v>
      </c>
      <c r="D4709">
        <v>0</v>
      </c>
      <c r="E4709" t="s">
        <v>42</v>
      </c>
      <c r="F4709" t="s">
        <v>10</v>
      </c>
    </row>
    <row r="4710" spans="1:6" hidden="1" x14ac:dyDescent="0.35">
      <c r="A4710" t="s">
        <v>14</v>
      </c>
      <c r="B4710" t="s">
        <v>39</v>
      </c>
      <c r="C4710" t="s">
        <v>28</v>
      </c>
      <c r="D4710">
        <v>0</v>
      </c>
      <c r="E4710" t="s">
        <v>42</v>
      </c>
      <c r="F4710" t="s">
        <v>10</v>
      </c>
    </row>
    <row r="4711" spans="1:6" hidden="1" x14ac:dyDescent="0.35">
      <c r="A4711" t="s">
        <v>15</v>
      </c>
      <c r="B4711" t="s">
        <v>39</v>
      </c>
      <c r="C4711" t="s">
        <v>28</v>
      </c>
      <c r="D4711">
        <v>0</v>
      </c>
      <c r="E4711" t="s">
        <v>42</v>
      </c>
      <c r="F4711" t="s">
        <v>10</v>
      </c>
    </row>
    <row r="4712" spans="1:6" hidden="1" x14ac:dyDescent="0.35">
      <c r="A4712" t="s">
        <v>16</v>
      </c>
      <c r="B4712" t="s">
        <v>39</v>
      </c>
      <c r="C4712" t="s">
        <v>28</v>
      </c>
      <c r="D4712">
        <v>0</v>
      </c>
      <c r="E4712" t="s">
        <v>42</v>
      </c>
      <c r="F4712" t="s">
        <v>10</v>
      </c>
    </row>
    <row r="4713" spans="1:6" hidden="1" x14ac:dyDescent="0.35">
      <c r="A4713" t="s">
        <v>17</v>
      </c>
      <c r="B4713" t="s">
        <v>39</v>
      </c>
      <c r="C4713" t="s">
        <v>28</v>
      </c>
      <c r="D4713">
        <v>0</v>
      </c>
      <c r="E4713" t="s">
        <v>42</v>
      </c>
      <c r="F4713" t="s">
        <v>10</v>
      </c>
    </row>
    <row r="4714" spans="1:6" hidden="1" x14ac:dyDescent="0.35">
      <c r="A4714" t="s">
        <v>18</v>
      </c>
      <c r="B4714" t="s">
        <v>39</v>
      </c>
      <c r="C4714" t="s">
        <v>28</v>
      </c>
      <c r="D4714">
        <v>0</v>
      </c>
      <c r="E4714" t="s">
        <v>42</v>
      </c>
      <c r="F4714" t="s">
        <v>10</v>
      </c>
    </row>
    <row r="4715" spans="1:6" hidden="1" x14ac:dyDescent="0.35">
      <c r="A4715" t="s">
        <v>19</v>
      </c>
      <c r="B4715" t="s">
        <v>39</v>
      </c>
      <c r="C4715" t="s">
        <v>28</v>
      </c>
      <c r="D4715">
        <v>0</v>
      </c>
      <c r="E4715" t="s">
        <v>42</v>
      </c>
      <c r="F4715" t="s">
        <v>10</v>
      </c>
    </row>
    <row r="4716" spans="1:6" hidden="1" x14ac:dyDescent="0.35">
      <c r="A4716" t="s">
        <v>20</v>
      </c>
      <c r="B4716" t="s">
        <v>39</v>
      </c>
      <c r="C4716" t="s">
        <v>28</v>
      </c>
      <c r="D4716">
        <v>0</v>
      </c>
      <c r="E4716" t="s">
        <v>42</v>
      </c>
      <c r="F4716" t="s">
        <v>10</v>
      </c>
    </row>
    <row r="4717" spans="1:6" hidden="1" x14ac:dyDescent="0.35">
      <c r="A4717" t="s">
        <v>21</v>
      </c>
      <c r="B4717" t="s">
        <v>39</v>
      </c>
      <c r="C4717" t="s">
        <v>28</v>
      </c>
      <c r="D4717">
        <v>0</v>
      </c>
      <c r="E4717" t="s">
        <v>42</v>
      </c>
      <c r="F4717" t="s">
        <v>10</v>
      </c>
    </row>
    <row r="4718" spans="1:6" hidden="1" x14ac:dyDescent="0.35">
      <c r="A4718" t="s">
        <v>6</v>
      </c>
      <c r="B4718" t="s">
        <v>39</v>
      </c>
      <c r="C4718" t="s">
        <v>29</v>
      </c>
      <c r="E4718" t="s">
        <v>42</v>
      </c>
      <c r="F4718" t="s">
        <v>10</v>
      </c>
    </row>
    <row r="4719" spans="1:6" hidden="1" x14ac:dyDescent="0.35">
      <c r="A4719" t="s">
        <v>11</v>
      </c>
      <c r="B4719" t="s">
        <v>39</v>
      </c>
      <c r="C4719" t="s">
        <v>29</v>
      </c>
      <c r="E4719" t="s">
        <v>42</v>
      </c>
      <c r="F4719" t="s">
        <v>10</v>
      </c>
    </row>
    <row r="4720" spans="1:6" hidden="1" x14ac:dyDescent="0.35">
      <c r="A4720" t="s">
        <v>12</v>
      </c>
      <c r="B4720" t="s">
        <v>39</v>
      </c>
      <c r="C4720" t="s">
        <v>29</v>
      </c>
      <c r="E4720" t="s">
        <v>42</v>
      </c>
      <c r="F4720" t="s">
        <v>10</v>
      </c>
    </row>
    <row r="4721" spans="1:6" hidden="1" x14ac:dyDescent="0.35">
      <c r="A4721" t="s">
        <v>13</v>
      </c>
      <c r="B4721" t="s">
        <v>39</v>
      </c>
      <c r="C4721" t="s">
        <v>29</v>
      </c>
      <c r="E4721" t="s">
        <v>42</v>
      </c>
      <c r="F4721" t="s">
        <v>10</v>
      </c>
    </row>
    <row r="4722" spans="1:6" hidden="1" x14ac:dyDescent="0.35">
      <c r="A4722" t="s">
        <v>14</v>
      </c>
      <c r="B4722" t="s">
        <v>39</v>
      </c>
      <c r="C4722" t="s">
        <v>29</v>
      </c>
      <c r="E4722" t="s">
        <v>42</v>
      </c>
      <c r="F4722" t="s">
        <v>10</v>
      </c>
    </row>
    <row r="4723" spans="1:6" hidden="1" x14ac:dyDescent="0.35">
      <c r="A4723" t="s">
        <v>15</v>
      </c>
      <c r="B4723" t="s">
        <v>39</v>
      </c>
      <c r="C4723" t="s">
        <v>29</v>
      </c>
      <c r="E4723" t="s">
        <v>42</v>
      </c>
      <c r="F4723" t="s">
        <v>10</v>
      </c>
    </row>
    <row r="4724" spans="1:6" hidden="1" x14ac:dyDescent="0.35">
      <c r="A4724" t="s">
        <v>16</v>
      </c>
      <c r="B4724" t="s">
        <v>39</v>
      </c>
      <c r="C4724" t="s">
        <v>29</v>
      </c>
      <c r="E4724" t="s">
        <v>42</v>
      </c>
      <c r="F4724" t="s">
        <v>10</v>
      </c>
    </row>
    <row r="4725" spans="1:6" hidden="1" x14ac:dyDescent="0.35">
      <c r="A4725" t="s">
        <v>17</v>
      </c>
      <c r="B4725" t="s">
        <v>39</v>
      </c>
      <c r="C4725" t="s">
        <v>29</v>
      </c>
      <c r="E4725" t="s">
        <v>42</v>
      </c>
      <c r="F4725" t="s">
        <v>10</v>
      </c>
    </row>
    <row r="4726" spans="1:6" hidden="1" x14ac:dyDescent="0.35">
      <c r="A4726" t="s">
        <v>18</v>
      </c>
      <c r="B4726" t="s">
        <v>39</v>
      </c>
      <c r="C4726" t="s">
        <v>29</v>
      </c>
      <c r="E4726" t="s">
        <v>42</v>
      </c>
      <c r="F4726" t="s">
        <v>10</v>
      </c>
    </row>
    <row r="4727" spans="1:6" hidden="1" x14ac:dyDescent="0.35">
      <c r="A4727" t="s">
        <v>19</v>
      </c>
      <c r="B4727" t="s">
        <v>39</v>
      </c>
      <c r="C4727" t="s">
        <v>29</v>
      </c>
      <c r="E4727" t="s">
        <v>42</v>
      </c>
      <c r="F4727" t="s">
        <v>10</v>
      </c>
    </row>
    <row r="4728" spans="1:6" hidden="1" x14ac:dyDescent="0.35">
      <c r="A4728" t="s">
        <v>20</v>
      </c>
      <c r="B4728" t="s">
        <v>39</v>
      </c>
      <c r="C4728" t="s">
        <v>29</v>
      </c>
      <c r="E4728" t="s">
        <v>42</v>
      </c>
      <c r="F4728" t="s">
        <v>10</v>
      </c>
    </row>
    <row r="4729" spans="1:6" hidden="1" x14ac:dyDescent="0.35">
      <c r="A4729" t="s">
        <v>21</v>
      </c>
      <c r="B4729" t="s">
        <v>39</v>
      </c>
      <c r="C4729" t="s">
        <v>29</v>
      </c>
      <c r="E4729" t="s">
        <v>42</v>
      </c>
      <c r="F4729" t="s">
        <v>10</v>
      </c>
    </row>
    <row r="4730" spans="1:6" hidden="1" x14ac:dyDescent="0.35">
      <c r="A4730" t="s">
        <v>6</v>
      </c>
      <c r="B4730" t="s">
        <v>39</v>
      </c>
      <c r="C4730" t="s">
        <v>30</v>
      </c>
      <c r="E4730" t="s">
        <v>42</v>
      </c>
      <c r="F4730" t="s">
        <v>10</v>
      </c>
    </row>
    <row r="4731" spans="1:6" hidden="1" x14ac:dyDescent="0.35">
      <c r="A4731" t="s">
        <v>11</v>
      </c>
      <c r="B4731" t="s">
        <v>39</v>
      </c>
      <c r="C4731" t="s">
        <v>30</v>
      </c>
      <c r="E4731" t="s">
        <v>42</v>
      </c>
      <c r="F4731" t="s">
        <v>10</v>
      </c>
    </row>
    <row r="4732" spans="1:6" hidden="1" x14ac:dyDescent="0.35">
      <c r="A4732" t="s">
        <v>12</v>
      </c>
      <c r="B4732" t="s">
        <v>39</v>
      </c>
      <c r="C4732" t="s">
        <v>30</v>
      </c>
      <c r="E4732" t="s">
        <v>42</v>
      </c>
      <c r="F4732" t="s">
        <v>10</v>
      </c>
    </row>
    <row r="4733" spans="1:6" hidden="1" x14ac:dyDescent="0.35">
      <c r="A4733" t="s">
        <v>13</v>
      </c>
      <c r="B4733" t="s">
        <v>39</v>
      </c>
      <c r="C4733" t="s">
        <v>30</v>
      </c>
      <c r="E4733" t="s">
        <v>42</v>
      </c>
      <c r="F4733" t="s">
        <v>10</v>
      </c>
    </row>
    <row r="4734" spans="1:6" hidden="1" x14ac:dyDescent="0.35">
      <c r="A4734" t="s">
        <v>14</v>
      </c>
      <c r="B4734" t="s">
        <v>39</v>
      </c>
      <c r="C4734" t="s">
        <v>30</v>
      </c>
      <c r="E4734" t="s">
        <v>42</v>
      </c>
      <c r="F4734" t="s">
        <v>10</v>
      </c>
    </row>
    <row r="4735" spans="1:6" hidden="1" x14ac:dyDescent="0.35">
      <c r="A4735" t="s">
        <v>15</v>
      </c>
      <c r="B4735" t="s">
        <v>39</v>
      </c>
      <c r="C4735" t="s">
        <v>30</v>
      </c>
      <c r="E4735" t="s">
        <v>42</v>
      </c>
      <c r="F4735" t="s">
        <v>10</v>
      </c>
    </row>
    <row r="4736" spans="1:6" hidden="1" x14ac:dyDescent="0.35">
      <c r="A4736" t="s">
        <v>16</v>
      </c>
      <c r="B4736" t="s">
        <v>39</v>
      </c>
      <c r="C4736" t="s">
        <v>30</v>
      </c>
      <c r="E4736" t="s">
        <v>42</v>
      </c>
      <c r="F4736" t="s">
        <v>10</v>
      </c>
    </row>
    <row r="4737" spans="1:6" hidden="1" x14ac:dyDescent="0.35">
      <c r="A4737" t="s">
        <v>17</v>
      </c>
      <c r="B4737" t="s">
        <v>39</v>
      </c>
      <c r="C4737" t="s">
        <v>30</v>
      </c>
      <c r="E4737" t="s">
        <v>42</v>
      </c>
      <c r="F4737" t="s">
        <v>10</v>
      </c>
    </row>
    <row r="4738" spans="1:6" hidden="1" x14ac:dyDescent="0.35">
      <c r="A4738" t="s">
        <v>18</v>
      </c>
      <c r="B4738" t="s">
        <v>39</v>
      </c>
      <c r="C4738" t="s">
        <v>30</v>
      </c>
      <c r="E4738" t="s">
        <v>42</v>
      </c>
      <c r="F4738" t="s">
        <v>10</v>
      </c>
    </row>
    <row r="4739" spans="1:6" hidden="1" x14ac:dyDescent="0.35">
      <c r="A4739" t="s">
        <v>19</v>
      </c>
      <c r="B4739" t="s">
        <v>39</v>
      </c>
      <c r="C4739" t="s">
        <v>30</v>
      </c>
      <c r="E4739" t="s">
        <v>42</v>
      </c>
      <c r="F4739" t="s">
        <v>10</v>
      </c>
    </row>
    <row r="4740" spans="1:6" hidden="1" x14ac:dyDescent="0.35">
      <c r="A4740" t="s">
        <v>20</v>
      </c>
      <c r="B4740" t="s">
        <v>39</v>
      </c>
      <c r="C4740" t="s">
        <v>30</v>
      </c>
      <c r="E4740" t="s">
        <v>42</v>
      </c>
      <c r="F4740" t="s">
        <v>10</v>
      </c>
    </row>
    <row r="4741" spans="1:6" hidden="1" x14ac:dyDescent="0.35">
      <c r="A4741" t="s">
        <v>21</v>
      </c>
      <c r="B4741" t="s">
        <v>39</v>
      </c>
      <c r="C4741" t="s">
        <v>30</v>
      </c>
      <c r="E4741" t="s">
        <v>42</v>
      </c>
      <c r="F4741" t="s">
        <v>10</v>
      </c>
    </row>
    <row r="4742" spans="1:6" hidden="1" x14ac:dyDescent="0.35">
      <c r="A4742" t="s">
        <v>6</v>
      </c>
      <c r="B4742" t="s">
        <v>39</v>
      </c>
      <c r="C4742" t="s">
        <v>31</v>
      </c>
      <c r="E4742" t="s">
        <v>42</v>
      </c>
      <c r="F4742" t="s">
        <v>10</v>
      </c>
    </row>
    <row r="4743" spans="1:6" hidden="1" x14ac:dyDescent="0.35">
      <c r="A4743" t="s">
        <v>11</v>
      </c>
      <c r="B4743" t="s">
        <v>39</v>
      </c>
      <c r="C4743" t="s">
        <v>31</v>
      </c>
      <c r="E4743" t="s">
        <v>42</v>
      </c>
      <c r="F4743" t="s">
        <v>10</v>
      </c>
    </row>
    <row r="4744" spans="1:6" hidden="1" x14ac:dyDescent="0.35">
      <c r="A4744" t="s">
        <v>12</v>
      </c>
      <c r="B4744" t="s">
        <v>39</v>
      </c>
      <c r="C4744" t="s">
        <v>31</v>
      </c>
      <c r="E4744" t="s">
        <v>42</v>
      </c>
      <c r="F4744" t="s">
        <v>10</v>
      </c>
    </row>
    <row r="4745" spans="1:6" hidden="1" x14ac:dyDescent="0.35">
      <c r="A4745" t="s">
        <v>13</v>
      </c>
      <c r="B4745" t="s">
        <v>39</v>
      </c>
      <c r="C4745" t="s">
        <v>31</v>
      </c>
      <c r="E4745" t="s">
        <v>42</v>
      </c>
      <c r="F4745" t="s">
        <v>10</v>
      </c>
    </row>
    <row r="4746" spans="1:6" hidden="1" x14ac:dyDescent="0.35">
      <c r="A4746" t="s">
        <v>14</v>
      </c>
      <c r="B4746" t="s">
        <v>39</v>
      </c>
      <c r="C4746" t="s">
        <v>31</v>
      </c>
      <c r="E4746" t="s">
        <v>42</v>
      </c>
      <c r="F4746" t="s">
        <v>10</v>
      </c>
    </row>
    <row r="4747" spans="1:6" hidden="1" x14ac:dyDescent="0.35">
      <c r="A4747" t="s">
        <v>15</v>
      </c>
      <c r="B4747" t="s">
        <v>39</v>
      </c>
      <c r="C4747" t="s">
        <v>31</v>
      </c>
      <c r="E4747" t="s">
        <v>42</v>
      </c>
      <c r="F4747" t="s">
        <v>10</v>
      </c>
    </row>
    <row r="4748" spans="1:6" hidden="1" x14ac:dyDescent="0.35">
      <c r="A4748" t="s">
        <v>16</v>
      </c>
      <c r="B4748" t="s">
        <v>39</v>
      </c>
      <c r="C4748" t="s">
        <v>31</v>
      </c>
      <c r="E4748" t="s">
        <v>42</v>
      </c>
      <c r="F4748" t="s">
        <v>10</v>
      </c>
    </row>
    <row r="4749" spans="1:6" hidden="1" x14ac:dyDescent="0.35">
      <c r="A4749" t="s">
        <v>17</v>
      </c>
      <c r="B4749" t="s">
        <v>39</v>
      </c>
      <c r="C4749" t="s">
        <v>31</v>
      </c>
      <c r="E4749" t="s">
        <v>42</v>
      </c>
      <c r="F4749" t="s">
        <v>10</v>
      </c>
    </row>
    <row r="4750" spans="1:6" hidden="1" x14ac:dyDescent="0.35">
      <c r="A4750" t="s">
        <v>18</v>
      </c>
      <c r="B4750" t="s">
        <v>39</v>
      </c>
      <c r="C4750" t="s">
        <v>31</v>
      </c>
      <c r="E4750" t="s">
        <v>42</v>
      </c>
      <c r="F4750" t="s">
        <v>10</v>
      </c>
    </row>
    <row r="4751" spans="1:6" hidden="1" x14ac:dyDescent="0.35">
      <c r="A4751" t="s">
        <v>19</v>
      </c>
      <c r="B4751" t="s">
        <v>39</v>
      </c>
      <c r="C4751" t="s">
        <v>31</v>
      </c>
      <c r="E4751" t="s">
        <v>42</v>
      </c>
      <c r="F4751" t="s">
        <v>10</v>
      </c>
    </row>
    <row r="4752" spans="1:6" hidden="1" x14ac:dyDescent="0.35">
      <c r="A4752" t="s">
        <v>20</v>
      </c>
      <c r="B4752" t="s">
        <v>39</v>
      </c>
      <c r="C4752" t="s">
        <v>31</v>
      </c>
      <c r="E4752" t="s">
        <v>42</v>
      </c>
      <c r="F4752" t="s">
        <v>10</v>
      </c>
    </row>
    <row r="4753" spans="1:6" hidden="1" x14ac:dyDescent="0.35">
      <c r="A4753" t="s">
        <v>21</v>
      </c>
      <c r="B4753" t="s">
        <v>39</v>
      </c>
      <c r="C4753" t="s">
        <v>31</v>
      </c>
      <c r="E4753" t="s">
        <v>42</v>
      </c>
      <c r="F4753" t="s">
        <v>10</v>
      </c>
    </row>
  </sheetData>
  <autoFilter ref="A1:F4753" xr:uid="{00000000-0001-0000-0000-000000000000}"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4E0B4-AD13-4990-96F4-CFB513E2693F}">
  <sheetPr filterMode="1"/>
  <dimension ref="A1:F2113"/>
  <sheetViews>
    <sheetView workbookViewId="0">
      <selection activeCell="B413" sqref="B413"/>
    </sheetView>
  </sheetViews>
  <sheetFormatPr defaultRowHeight="14.5" x14ac:dyDescent="0.35"/>
  <cols>
    <col min="1" max="1" width="12.7265625" customWidth="1"/>
    <col min="2" max="2" width="19" customWidth="1"/>
    <col min="3" max="3" width="18.7265625" customWidth="1"/>
    <col min="5" max="5" width="39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3388.51</v>
      </c>
      <c r="E2" t="s">
        <v>9</v>
      </c>
      <c r="F2" t="s">
        <v>45</v>
      </c>
    </row>
    <row r="3" spans="1:6" hidden="1" x14ac:dyDescent="0.35">
      <c r="A3" t="s">
        <v>11</v>
      </c>
      <c r="B3" t="s">
        <v>43</v>
      </c>
      <c r="C3" t="s">
        <v>44</v>
      </c>
      <c r="D3">
        <v>9218.18</v>
      </c>
      <c r="E3" t="s">
        <v>9</v>
      </c>
      <c r="F3" t="s">
        <v>45</v>
      </c>
    </row>
    <row r="4" spans="1:6" hidden="1" x14ac:dyDescent="0.35">
      <c r="A4" t="s">
        <v>12</v>
      </c>
      <c r="B4" t="s">
        <v>43</v>
      </c>
      <c r="C4" t="s">
        <v>44</v>
      </c>
      <c r="D4">
        <v>468.62</v>
      </c>
      <c r="E4" t="s">
        <v>9</v>
      </c>
      <c r="F4" t="s">
        <v>45</v>
      </c>
    </row>
    <row r="5" spans="1:6" hidden="1" x14ac:dyDescent="0.35">
      <c r="A5" t="s">
        <v>13</v>
      </c>
      <c r="B5" t="s">
        <v>43</v>
      </c>
      <c r="C5" t="s">
        <v>44</v>
      </c>
      <c r="D5">
        <v>36905.86</v>
      </c>
      <c r="E5" t="s">
        <v>9</v>
      </c>
      <c r="F5" t="s">
        <v>45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45</v>
      </c>
    </row>
    <row r="7" spans="1:6" hidden="1" x14ac:dyDescent="0.35">
      <c r="A7" t="s">
        <v>15</v>
      </c>
      <c r="B7" t="s">
        <v>43</v>
      </c>
      <c r="C7" t="s">
        <v>44</v>
      </c>
      <c r="D7">
        <v>4668.68</v>
      </c>
      <c r="E7" t="s">
        <v>9</v>
      </c>
      <c r="F7" t="s">
        <v>45</v>
      </c>
    </row>
    <row r="8" spans="1:6" hidden="1" x14ac:dyDescent="0.35">
      <c r="A8" t="s">
        <v>16</v>
      </c>
      <c r="B8" t="s">
        <v>43</v>
      </c>
      <c r="C8" t="s">
        <v>44</v>
      </c>
      <c r="D8">
        <v>14477.32</v>
      </c>
      <c r="E8" t="s">
        <v>9</v>
      </c>
      <c r="F8" t="s">
        <v>45</v>
      </c>
    </row>
    <row r="9" spans="1:6" hidden="1" x14ac:dyDescent="0.35">
      <c r="A9" t="s">
        <v>17</v>
      </c>
      <c r="B9" t="s">
        <v>43</v>
      </c>
      <c r="C9" t="s">
        <v>44</v>
      </c>
      <c r="D9">
        <v>8609.41</v>
      </c>
      <c r="E9" t="s">
        <v>9</v>
      </c>
      <c r="F9" t="s">
        <v>45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45</v>
      </c>
    </row>
    <row r="11" spans="1:6" hidden="1" x14ac:dyDescent="0.35">
      <c r="A11" t="s">
        <v>19</v>
      </c>
      <c r="B11" t="s">
        <v>43</v>
      </c>
      <c r="C11" t="s">
        <v>44</v>
      </c>
      <c r="D11">
        <v>59339.76</v>
      </c>
      <c r="E11" t="s">
        <v>9</v>
      </c>
      <c r="F11" t="s">
        <v>45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45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45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45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45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45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45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45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45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45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45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45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45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45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45</v>
      </c>
    </row>
    <row r="26" spans="1:6" hidden="1" x14ac:dyDescent="0.35">
      <c r="A26" t="s">
        <v>6</v>
      </c>
      <c r="B26" t="s">
        <v>43</v>
      </c>
      <c r="C26" t="s">
        <v>46</v>
      </c>
      <c r="D26">
        <v>118626.2</v>
      </c>
      <c r="E26" t="s">
        <v>9</v>
      </c>
      <c r="F26" t="s">
        <v>45</v>
      </c>
    </row>
    <row r="27" spans="1:6" hidden="1" x14ac:dyDescent="0.35">
      <c r="A27" t="s">
        <v>11</v>
      </c>
      <c r="B27" t="s">
        <v>43</v>
      </c>
      <c r="C27" t="s">
        <v>46</v>
      </c>
      <c r="D27">
        <v>250724.83</v>
      </c>
      <c r="E27" t="s">
        <v>9</v>
      </c>
      <c r="F27" t="s">
        <v>45</v>
      </c>
    </row>
    <row r="28" spans="1:6" hidden="1" x14ac:dyDescent="0.35">
      <c r="A28" t="s">
        <v>12</v>
      </c>
      <c r="B28" t="s">
        <v>43</v>
      </c>
      <c r="C28" t="s">
        <v>46</v>
      </c>
      <c r="D28">
        <v>528573.26999999979</v>
      </c>
      <c r="E28" t="s">
        <v>9</v>
      </c>
      <c r="F28" t="s">
        <v>45</v>
      </c>
    </row>
    <row r="29" spans="1:6" hidden="1" x14ac:dyDescent="0.35">
      <c r="A29" t="s">
        <v>13</v>
      </c>
      <c r="B29" t="s">
        <v>43</v>
      </c>
      <c r="C29" t="s">
        <v>46</v>
      </c>
      <c r="D29">
        <v>187387.31000000011</v>
      </c>
      <c r="E29" t="s">
        <v>9</v>
      </c>
      <c r="F29" t="s">
        <v>45</v>
      </c>
    </row>
    <row r="30" spans="1:6" hidden="1" x14ac:dyDescent="0.35">
      <c r="A30" t="s">
        <v>14</v>
      </c>
      <c r="B30" t="s">
        <v>43</v>
      </c>
      <c r="C30" t="s">
        <v>46</v>
      </c>
      <c r="D30">
        <v>202986.93</v>
      </c>
      <c r="E30" t="s">
        <v>9</v>
      </c>
      <c r="F30" t="s">
        <v>45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102570.03</v>
      </c>
      <c r="E31" t="s">
        <v>9</v>
      </c>
      <c r="F31" t="s">
        <v>45</v>
      </c>
    </row>
    <row r="32" spans="1:6" hidden="1" x14ac:dyDescent="0.35">
      <c r="A32" t="s">
        <v>16</v>
      </c>
      <c r="B32" t="s">
        <v>43</v>
      </c>
      <c r="C32" t="s">
        <v>46</v>
      </c>
      <c r="D32">
        <v>262491.62</v>
      </c>
      <c r="E32" t="s">
        <v>9</v>
      </c>
      <c r="F32" t="s">
        <v>45</v>
      </c>
    </row>
    <row r="33" spans="1:6" hidden="1" x14ac:dyDescent="0.35">
      <c r="A33" t="s">
        <v>17</v>
      </c>
      <c r="B33" t="s">
        <v>43</v>
      </c>
      <c r="C33" t="s">
        <v>46</v>
      </c>
      <c r="D33">
        <v>58875.11</v>
      </c>
      <c r="E33" t="s">
        <v>9</v>
      </c>
      <c r="F33" t="s">
        <v>45</v>
      </c>
    </row>
    <row r="34" spans="1:6" hidden="1" x14ac:dyDescent="0.35">
      <c r="A34" t="s">
        <v>18</v>
      </c>
      <c r="B34" t="s">
        <v>43</v>
      </c>
      <c r="C34" t="s">
        <v>46</v>
      </c>
      <c r="D34">
        <v>107829.82</v>
      </c>
      <c r="E34" t="s">
        <v>9</v>
      </c>
      <c r="F34" t="s">
        <v>45</v>
      </c>
    </row>
    <row r="35" spans="1:6" hidden="1" x14ac:dyDescent="0.35">
      <c r="A35" t="s">
        <v>19</v>
      </c>
      <c r="B35" t="s">
        <v>43</v>
      </c>
      <c r="C35" t="s">
        <v>46</v>
      </c>
      <c r="D35">
        <v>264274.83</v>
      </c>
      <c r="E35" t="s">
        <v>9</v>
      </c>
      <c r="F35" t="s">
        <v>45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45</v>
      </c>
    </row>
    <row r="37" spans="1:6" hidden="1" x14ac:dyDescent="0.35">
      <c r="A37" t="s">
        <v>21</v>
      </c>
      <c r="B37" t="s">
        <v>43</v>
      </c>
      <c r="C37" t="s">
        <v>46</v>
      </c>
      <c r="D37">
        <v>144381.22</v>
      </c>
      <c r="E37" t="s">
        <v>9</v>
      </c>
      <c r="F37" t="s">
        <v>45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45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45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45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45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45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45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45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45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45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45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45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45</v>
      </c>
    </row>
    <row r="50" spans="1:6" hidden="1" x14ac:dyDescent="0.35">
      <c r="A50" t="s">
        <v>6</v>
      </c>
      <c r="B50" t="s">
        <v>43</v>
      </c>
      <c r="C50" t="s">
        <v>47</v>
      </c>
      <c r="D50">
        <v>1205.07</v>
      </c>
      <c r="E50" t="s">
        <v>9</v>
      </c>
      <c r="F50" t="s">
        <v>45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45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45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45</v>
      </c>
    </row>
    <row r="54" spans="1:6" hidden="1" x14ac:dyDescent="0.35">
      <c r="A54" t="s">
        <v>14</v>
      </c>
      <c r="B54" t="s">
        <v>43</v>
      </c>
      <c r="C54" t="s">
        <v>47</v>
      </c>
      <c r="D54">
        <v>62.81</v>
      </c>
      <c r="E54" t="s">
        <v>9</v>
      </c>
      <c r="F54" t="s">
        <v>45</v>
      </c>
    </row>
    <row r="55" spans="1:6" hidden="1" x14ac:dyDescent="0.35">
      <c r="A55" t="s">
        <v>15</v>
      </c>
      <c r="B55" t="s">
        <v>43</v>
      </c>
      <c r="C55" t="s">
        <v>47</v>
      </c>
      <c r="D55">
        <v>1133.72</v>
      </c>
      <c r="E55" t="s">
        <v>9</v>
      </c>
      <c r="F55" t="s">
        <v>45</v>
      </c>
    </row>
    <row r="56" spans="1:6" hidden="1" x14ac:dyDescent="0.35">
      <c r="A56" t="s">
        <v>16</v>
      </c>
      <c r="B56" t="s">
        <v>43</v>
      </c>
      <c r="C56" t="s">
        <v>47</v>
      </c>
      <c r="D56">
        <v>5426.61</v>
      </c>
      <c r="E56" t="s">
        <v>9</v>
      </c>
      <c r="F56" t="s">
        <v>45</v>
      </c>
    </row>
    <row r="57" spans="1:6" hidden="1" x14ac:dyDescent="0.35">
      <c r="A57" t="s">
        <v>17</v>
      </c>
      <c r="B57" t="s">
        <v>43</v>
      </c>
      <c r="C57" t="s">
        <v>47</v>
      </c>
      <c r="D57">
        <v>2871.14</v>
      </c>
      <c r="E57" t="s">
        <v>9</v>
      </c>
      <c r="F57" t="s">
        <v>45</v>
      </c>
    </row>
    <row r="58" spans="1:6" hidden="1" x14ac:dyDescent="0.35">
      <c r="A58" t="s">
        <v>18</v>
      </c>
      <c r="B58" t="s">
        <v>43</v>
      </c>
      <c r="C58" t="s">
        <v>47</v>
      </c>
      <c r="D58">
        <v>8343.34</v>
      </c>
      <c r="E58" t="s">
        <v>9</v>
      </c>
      <c r="F58" t="s">
        <v>45</v>
      </c>
    </row>
    <row r="59" spans="1:6" hidden="1" x14ac:dyDescent="0.35">
      <c r="A59" t="s">
        <v>19</v>
      </c>
      <c r="B59" t="s">
        <v>43</v>
      </c>
      <c r="C59" t="s">
        <v>47</v>
      </c>
      <c r="D59">
        <v>10375.709999999999</v>
      </c>
      <c r="E59" t="s">
        <v>9</v>
      </c>
      <c r="F59" t="s">
        <v>45</v>
      </c>
    </row>
    <row r="60" spans="1:6" hidden="1" x14ac:dyDescent="0.35">
      <c r="A60" t="s">
        <v>20</v>
      </c>
      <c r="B60" t="s">
        <v>43</v>
      </c>
      <c r="C60" t="s">
        <v>47</v>
      </c>
      <c r="D60">
        <v>11398.04</v>
      </c>
      <c r="E60" t="s">
        <v>9</v>
      </c>
      <c r="F60" t="s">
        <v>45</v>
      </c>
    </row>
    <row r="61" spans="1:6" hidden="1" x14ac:dyDescent="0.35">
      <c r="A61" t="s">
        <v>21</v>
      </c>
      <c r="B61" t="s">
        <v>43</v>
      </c>
      <c r="C61" t="s">
        <v>47</v>
      </c>
      <c r="D61">
        <v>2255.27</v>
      </c>
      <c r="E61" t="s">
        <v>9</v>
      </c>
      <c r="F61" t="s">
        <v>45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45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45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45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45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45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45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45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45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45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45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45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45</v>
      </c>
    </row>
    <row r="74" spans="1:6" hidden="1" x14ac:dyDescent="0.35">
      <c r="A74" t="s">
        <v>6</v>
      </c>
      <c r="B74" t="s">
        <v>43</v>
      </c>
      <c r="C74" t="s">
        <v>49</v>
      </c>
      <c r="D74">
        <v>979.6</v>
      </c>
      <c r="E74" t="s">
        <v>9</v>
      </c>
      <c r="F74" t="s">
        <v>45</v>
      </c>
    </row>
    <row r="75" spans="1:6" hidden="1" x14ac:dyDescent="0.35">
      <c r="A75" t="s">
        <v>11</v>
      </c>
      <c r="B75" t="s">
        <v>43</v>
      </c>
      <c r="C75" t="s">
        <v>49</v>
      </c>
      <c r="D75">
        <v>1760.8</v>
      </c>
      <c r="E75" t="s">
        <v>9</v>
      </c>
      <c r="F75" t="s">
        <v>45</v>
      </c>
    </row>
    <row r="76" spans="1:6" hidden="1" x14ac:dyDescent="0.35">
      <c r="A76" t="s">
        <v>12</v>
      </c>
      <c r="B76" t="s">
        <v>43</v>
      </c>
      <c r="C76" t="s">
        <v>49</v>
      </c>
      <c r="D76">
        <v>353.4</v>
      </c>
      <c r="E76" t="s">
        <v>9</v>
      </c>
      <c r="F76" t="s">
        <v>45</v>
      </c>
    </row>
    <row r="77" spans="1:6" hidden="1" x14ac:dyDescent="0.35">
      <c r="A77" t="s">
        <v>13</v>
      </c>
      <c r="B77" t="s">
        <v>43</v>
      </c>
      <c r="C77" t="s">
        <v>49</v>
      </c>
      <c r="D77">
        <v>6151.61</v>
      </c>
      <c r="E77" t="s">
        <v>9</v>
      </c>
      <c r="F77" t="s">
        <v>45</v>
      </c>
    </row>
    <row r="78" spans="1:6" hidden="1" x14ac:dyDescent="0.35">
      <c r="A78" t="s">
        <v>14</v>
      </c>
      <c r="B78" t="s">
        <v>43</v>
      </c>
      <c r="C78" t="s">
        <v>49</v>
      </c>
      <c r="D78">
        <v>3476.67</v>
      </c>
      <c r="E78" t="s">
        <v>9</v>
      </c>
      <c r="F78" t="s">
        <v>45</v>
      </c>
    </row>
    <row r="79" spans="1:6" hidden="1" x14ac:dyDescent="0.35">
      <c r="A79" t="s">
        <v>15</v>
      </c>
      <c r="B79" t="s">
        <v>43</v>
      </c>
      <c r="C79" t="s">
        <v>49</v>
      </c>
      <c r="D79">
        <v>1943.34</v>
      </c>
      <c r="E79" t="s">
        <v>9</v>
      </c>
      <c r="F79" t="s">
        <v>45</v>
      </c>
    </row>
    <row r="80" spans="1:6" hidden="1" x14ac:dyDescent="0.35">
      <c r="A80" t="s">
        <v>16</v>
      </c>
      <c r="B80" t="s">
        <v>43</v>
      </c>
      <c r="C80" t="s">
        <v>49</v>
      </c>
      <c r="D80">
        <v>3636.19</v>
      </c>
      <c r="E80" t="s">
        <v>9</v>
      </c>
      <c r="F80" t="s">
        <v>45</v>
      </c>
    </row>
    <row r="81" spans="1:6" hidden="1" x14ac:dyDescent="0.35">
      <c r="A81" t="s">
        <v>17</v>
      </c>
      <c r="B81" t="s">
        <v>43</v>
      </c>
      <c r="C81" t="s">
        <v>49</v>
      </c>
      <c r="D81">
        <v>3113.82</v>
      </c>
      <c r="E81" t="s">
        <v>9</v>
      </c>
      <c r="F81" t="s">
        <v>45</v>
      </c>
    </row>
    <row r="82" spans="1:6" hidden="1" x14ac:dyDescent="0.35">
      <c r="A82" t="s">
        <v>18</v>
      </c>
      <c r="B82" t="s">
        <v>43</v>
      </c>
      <c r="C82" t="s">
        <v>49</v>
      </c>
      <c r="D82">
        <v>0</v>
      </c>
      <c r="E82" t="s">
        <v>9</v>
      </c>
      <c r="F82" t="s">
        <v>45</v>
      </c>
    </row>
    <row r="83" spans="1:6" hidden="1" x14ac:dyDescent="0.35">
      <c r="A83" t="s">
        <v>19</v>
      </c>
      <c r="B83" t="s">
        <v>43</v>
      </c>
      <c r="C83" t="s">
        <v>49</v>
      </c>
      <c r="D83">
        <v>2684.6</v>
      </c>
      <c r="E83" t="s">
        <v>9</v>
      </c>
      <c r="F83" t="s">
        <v>45</v>
      </c>
    </row>
    <row r="84" spans="1:6" hidden="1" x14ac:dyDescent="0.35">
      <c r="A84" t="s">
        <v>20</v>
      </c>
      <c r="B84" t="s">
        <v>43</v>
      </c>
      <c r="C84" t="s">
        <v>49</v>
      </c>
      <c r="D84">
        <v>0</v>
      </c>
      <c r="E84" t="s">
        <v>9</v>
      </c>
      <c r="F84" t="s">
        <v>45</v>
      </c>
    </row>
    <row r="85" spans="1:6" hidden="1" x14ac:dyDescent="0.35">
      <c r="A85" t="s">
        <v>21</v>
      </c>
      <c r="B85" t="s">
        <v>43</v>
      </c>
      <c r="C85" t="s">
        <v>49</v>
      </c>
      <c r="D85">
        <v>1096.1600000000001</v>
      </c>
      <c r="E85" t="s">
        <v>9</v>
      </c>
      <c r="F85" t="s">
        <v>45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45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45</v>
      </c>
    </row>
    <row r="88" spans="1:6" hidden="1" x14ac:dyDescent="0.35">
      <c r="A88" t="s">
        <v>12</v>
      </c>
      <c r="B88" t="s">
        <v>43</v>
      </c>
      <c r="C88" t="s">
        <v>50</v>
      </c>
      <c r="D88">
        <v>3125.15</v>
      </c>
      <c r="E88" t="s">
        <v>9</v>
      </c>
      <c r="F88" t="s">
        <v>45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45</v>
      </c>
    </row>
    <row r="90" spans="1:6" hidden="1" x14ac:dyDescent="0.35">
      <c r="A90" t="s">
        <v>14</v>
      </c>
      <c r="B90" t="s">
        <v>43</v>
      </c>
      <c r="C90" t="s">
        <v>50</v>
      </c>
      <c r="D90">
        <v>10604.12</v>
      </c>
      <c r="E90" t="s">
        <v>9</v>
      </c>
      <c r="F90" t="s">
        <v>45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45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45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45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45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45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45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45</v>
      </c>
    </row>
    <row r="98" spans="1:6" hidden="1" x14ac:dyDescent="0.35">
      <c r="A98" t="s">
        <v>6</v>
      </c>
      <c r="B98" t="s">
        <v>43</v>
      </c>
      <c r="C98" t="s">
        <v>51</v>
      </c>
      <c r="D98">
        <v>5</v>
      </c>
      <c r="E98" t="s">
        <v>9</v>
      </c>
      <c r="F98" t="s">
        <v>45</v>
      </c>
    </row>
    <row r="99" spans="1:6" hidden="1" x14ac:dyDescent="0.35">
      <c r="A99" t="s">
        <v>11</v>
      </c>
      <c r="B99" t="s">
        <v>43</v>
      </c>
      <c r="C99" t="s">
        <v>51</v>
      </c>
      <c r="D99">
        <v>11</v>
      </c>
      <c r="E99" t="s">
        <v>9</v>
      </c>
      <c r="F99" t="s">
        <v>45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10</v>
      </c>
      <c r="E100" t="s">
        <v>9</v>
      </c>
      <c r="F100" t="s">
        <v>45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3</v>
      </c>
      <c r="E101" t="s">
        <v>9</v>
      </c>
      <c r="F101" t="s">
        <v>45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3</v>
      </c>
      <c r="E102" t="s">
        <v>9</v>
      </c>
      <c r="F102" t="s">
        <v>45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2</v>
      </c>
      <c r="E103" t="s">
        <v>9</v>
      </c>
      <c r="F103" t="s">
        <v>45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1</v>
      </c>
      <c r="E104" t="s">
        <v>9</v>
      </c>
      <c r="F104" t="s">
        <v>45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7</v>
      </c>
      <c r="E105" t="s">
        <v>9</v>
      </c>
      <c r="F105" t="s">
        <v>45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4</v>
      </c>
      <c r="E106" t="s">
        <v>9</v>
      </c>
      <c r="F106" t="s">
        <v>45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7</v>
      </c>
      <c r="E107" t="s">
        <v>9</v>
      </c>
      <c r="F107" t="s">
        <v>45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1</v>
      </c>
      <c r="E108" t="s">
        <v>9</v>
      </c>
      <c r="F108" t="s">
        <v>45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1</v>
      </c>
      <c r="E109" t="s">
        <v>9</v>
      </c>
      <c r="F109" t="s">
        <v>45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10</v>
      </c>
      <c r="E110" t="s">
        <v>9</v>
      </c>
      <c r="F110" t="s">
        <v>45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13</v>
      </c>
      <c r="E111" t="s">
        <v>9</v>
      </c>
      <c r="F111" t="s">
        <v>45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13</v>
      </c>
      <c r="E112" t="s">
        <v>9</v>
      </c>
      <c r="F112" t="s">
        <v>45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11</v>
      </c>
      <c r="E113" t="s">
        <v>9</v>
      </c>
      <c r="F113" t="s">
        <v>45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6</v>
      </c>
      <c r="E114" t="s">
        <v>9</v>
      </c>
      <c r="F114" t="s">
        <v>45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6</v>
      </c>
      <c r="E115" t="s">
        <v>9</v>
      </c>
      <c r="F115" t="s">
        <v>45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10</v>
      </c>
      <c r="E116" t="s">
        <v>9</v>
      </c>
      <c r="F116" t="s">
        <v>45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5</v>
      </c>
      <c r="E117" t="s">
        <v>9</v>
      </c>
      <c r="F117" t="s">
        <v>45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3</v>
      </c>
      <c r="E118" t="s">
        <v>9</v>
      </c>
      <c r="F118" t="s">
        <v>45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45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0</v>
      </c>
      <c r="E120" t="s">
        <v>9</v>
      </c>
      <c r="F120" t="s">
        <v>45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3</v>
      </c>
      <c r="E121" t="s">
        <v>9</v>
      </c>
      <c r="F121" t="s">
        <v>45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45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45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45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45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45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45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45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45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45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45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45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45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1672016.76</v>
      </c>
      <c r="E134" t="s">
        <v>9</v>
      </c>
      <c r="F134" t="s">
        <v>45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222453.19</v>
      </c>
      <c r="E135" t="s">
        <v>9</v>
      </c>
      <c r="F135" t="s">
        <v>45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274308.18000000011</v>
      </c>
      <c r="E136" t="s">
        <v>9</v>
      </c>
      <c r="F136" t="s">
        <v>45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237021.32</v>
      </c>
      <c r="E137" t="s">
        <v>9</v>
      </c>
      <c r="F137" t="s">
        <v>45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583588.51</v>
      </c>
      <c r="E138" t="s">
        <v>9</v>
      </c>
      <c r="F138" t="s">
        <v>45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705090.38</v>
      </c>
      <c r="E139" t="s">
        <v>9</v>
      </c>
      <c r="F139" t="s">
        <v>45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501227.8</v>
      </c>
      <c r="E140" t="s">
        <v>9</v>
      </c>
      <c r="F140" t="s">
        <v>45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288095.86</v>
      </c>
      <c r="E141" t="s">
        <v>9</v>
      </c>
      <c r="F141" t="s">
        <v>45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514390.47</v>
      </c>
      <c r="E142" t="s">
        <v>9</v>
      </c>
      <c r="F142" t="s">
        <v>45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321516.44</v>
      </c>
      <c r="E143" t="s">
        <v>9</v>
      </c>
      <c r="F143" t="s">
        <v>45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761484.64</v>
      </c>
      <c r="E144" t="s">
        <v>9</v>
      </c>
      <c r="F144" t="s">
        <v>45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76430.38</v>
      </c>
      <c r="E145" t="s">
        <v>9</v>
      </c>
      <c r="F145" t="s">
        <v>45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45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45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45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45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45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45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45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45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45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45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45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45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5989824.7500000009</v>
      </c>
      <c r="E158" t="s">
        <v>9</v>
      </c>
      <c r="F158" t="s">
        <v>45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5748011.950000002</v>
      </c>
      <c r="E159" t="s">
        <v>9</v>
      </c>
      <c r="F159" t="s">
        <v>45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3191086.1400000011</v>
      </c>
      <c r="E160" t="s">
        <v>9</v>
      </c>
      <c r="F160" t="s">
        <v>45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4586921.6400000006</v>
      </c>
      <c r="E161" t="s">
        <v>9</v>
      </c>
      <c r="F161" t="s">
        <v>45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3369595.350000001</v>
      </c>
      <c r="E162" t="s">
        <v>9</v>
      </c>
      <c r="F162" t="s">
        <v>45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3736443.53</v>
      </c>
      <c r="E163" t="s">
        <v>9</v>
      </c>
      <c r="F163" t="s">
        <v>45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3006466.7199999988</v>
      </c>
      <c r="E164" t="s">
        <v>9</v>
      </c>
      <c r="F164" t="s">
        <v>45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3805518.629999998</v>
      </c>
      <c r="E165" t="s">
        <v>9</v>
      </c>
      <c r="F165" t="s">
        <v>45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1835777.17</v>
      </c>
      <c r="E166" t="s">
        <v>9</v>
      </c>
      <c r="F166" t="s">
        <v>45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3299506.509999997</v>
      </c>
      <c r="E167" t="s">
        <v>9</v>
      </c>
      <c r="F167" t="s">
        <v>45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2263477.16</v>
      </c>
      <c r="E168" t="s">
        <v>9</v>
      </c>
      <c r="F168" t="s">
        <v>45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4211579.3500000006</v>
      </c>
      <c r="E169" t="s">
        <v>9</v>
      </c>
      <c r="F169" t="s">
        <v>45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45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45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45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45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45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45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45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45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45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45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45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45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84607.939999999988</v>
      </c>
      <c r="E182" t="s">
        <v>9</v>
      </c>
      <c r="F182" t="s">
        <v>45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373240.36999999988</v>
      </c>
      <c r="E183" t="s">
        <v>9</v>
      </c>
      <c r="F183" t="s">
        <v>45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91424.880000000019</v>
      </c>
      <c r="E184" t="s">
        <v>9</v>
      </c>
      <c r="F184" t="s">
        <v>45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159605.42000000001</v>
      </c>
      <c r="E185" t="s">
        <v>9</v>
      </c>
      <c r="F185" t="s">
        <v>45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411502.49999999983</v>
      </c>
      <c r="E186" t="s">
        <v>9</v>
      </c>
      <c r="F186" t="s">
        <v>45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588832.05999999994</v>
      </c>
      <c r="E187" t="s">
        <v>9</v>
      </c>
      <c r="F187" t="s">
        <v>45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183030.06</v>
      </c>
      <c r="E188" t="s">
        <v>9</v>
      </c>
      <c r="F188" t="s">
        <v>45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379037.46999999991</v>
      </c>
      <c r="E189" t="s">
        <v>9</v>
      </c>
      <c r="F189" t="s">
        <v>45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179828.29</v>
      </c>
      <c r="E190" t="s">
        <v>9</v>
      </c>
      <c r="F190" t="s">
        <v>45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278992.99999999988</v>
      </c>
      <c r="E191" t="s">
        <v>9</v>
      </c>
      <c r="F191" t="s">
        <v>45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1281063.8799999999</v>
      </c>
      <c r="E192" t="s">
        <v>9</v>
      </c>
      <c r="F192" t="s">
        <v>45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271546.56000000011</v>
      </c>
      <c r="E193" t="s">
        <v>9</v>
      </c>
      <c r="F193" t="s">
        <v>45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45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45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45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45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45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45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45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45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45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45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45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45</v>
      </c>
    </row>
    <row r="206" spans="1:6" hidden="1" x14ac:dyDescent="0.35">
      <c r="A206" t="s">
        <v>6</v>
      </c>
      <c r="B206" t="s">
        <v>33</v>
      </c>
      <c r="C206" t="s">
        <v>49</v>
      </c>
      <c r="D206">
        <v>1685203.0100000009</v>
      </c>
      <c r="E206" t="s">
        <v>9</v>
      </c>
      <c r="F206" t="s">
        <v>45</v>
      </c>
    </row>
    <row r="207" spans="1:6" hidden="1" x14ac:dyDescent="0.35">
      <c r="A207" t="s">
        <v>11</v>
      </c>
      <c r="B207" t="s">
        <v>33</v>
      </c>
      <c r="C207" t="s">
        <v>49</v>
      </c>
      <c r="D207">
        <v>809628.39000000036</v>
      </c>
      <c r="E207" t="s">
        <v>9</v>
      </c>
      <c r="F207" t="s">
        <v>45</v>
      </c>
    </row>
    <row r="208" spans="1:6" hidden="1" x14ac:dyDescent="0.35">
      <c r="A208" t="s">
        <v>12</v>
      </c>
      <c r="B208" t="s">
        <v>33</v>
      </c>
      <c r="C208" t="s">
        <v>49</v>
      </c>
      <c r="D208">
        <v>506564.73000000021</v>
      </c>
      <c r="E208" t="s">
        <v>9</v>
      </c>
      <c r="F208" t="s">
        <v>45</v>
      </c>
    </row>
    <row r="209" spans="1:6" hidden="1" x14ac:dyDescent="0.35">
      <c r="A209" t="s">
        <v>13</v>
      </c>
      <c r="B209" t="s">
        <v>33</v>
      </c>
      <c r="C209" t="s">
        <v>49</v>
      </c>
      <c r="D209">
        <v>630058.82999999996</v>
      </c>
      <c r="E209" t="s">
        <v>9</v>
      </c>
      <c r="F209" t="s">
        <v>45</v>
      </c>
    </row>
    <row r="210" spans="1:6" hidden="1" x14ac:dyDescent="0.35">
      <c r="A210" t="s">
        <v>14</v>
      </c>
      <c r="B210" t="s">
        <v>33</v>
      </c>
      <c r="C210" t="s">
        <v>49</v>
      </c>
      <c r="D210">
        <v>834572.69000000018</v>
      </c>
      <c r="E210" t="s">
        <v>9</v>
      </c>
      <c r="F210" t="s">
        <v>45</v>
      </c>
    </row>
    <row r="211" spans="1:6" hidden="1" x14ac:dyDescent="0.35">
      <c r="A211" t="s">
        <v>15</v>
      </c>
      <c r="B211" t="s">
        <v>33</v>
      </c>
      <c r="C211" t="s">
        <v>49</v>
      </c>
      <c r="D211">
        <v>854482.13999999966</v>
      </c>
      <c r="E211" t="s">
        <v>9</v>
      </c>
      <c r="F211" t="s">
        <v>45</v>
      </c>
    </row>
    <row r="212" spans="1:6" hidden="1" x14ac:dyDescent="0.35">
      <c r="A212" t="s">
        <v>16</v>
      </c>
      <c r="B212" t="s">
        <v>33</v>
      </c>
      <c r="C212" t="s">
        <v>49</v>
      </c>
      <c r="D212">
        <v>550684.74000000011</v>
      </c>
      <c r="E212" t="s">
        <v>9</v>
      </c>
      <c r="F212" t="s">
        <v>45</v>
      </c>
    </row>
    <row r="213" spans="1:6" hidden="1" x14ac:dyDescent="0.35">
      <c r="A213" t="s">
        <v>17</v>
      </c>
      <c r="B213" t="s">
        <v>33</v>
      </c>
      <c r="C213" t="s">
        <v>49</v>
      </c>
      <c r="D213">
        <v>573628.38</v>
      </c>
      <c r="E213" t="s">
        <v>9</v>
      </c>
      <c r="F213" t="s">
        <v>45</v>
      </c>
    </row>
    <row r="214" spans="1:6" hidden="1" x14ac:dyDescent="0.35">
      <c r="A214" t="s">
        <v>18</v>
      </c>
      <c r="B214" t="s">
        <v>33</v>
      </c>
      <c r="C214" t="s">
        <v>49</v>
      </c>
      <c r="D214">
        <v>368329.62</v>
      </c>
      <c r="E214" t="s">
        <v>9</v>
      </c>
      <c r="F214" t="s">
        <v>45</v>
      </c>
    </row>
    <row r="215" spans="1:6" hidden="1" x14ac:dyDescent="0.35">
      <c r="A215" t="s">
        <v>19</v>
      </c>
      <c r="B215" t="s">
        <v>33</v>
      </c>
      <c r="C215" t="s">
        <v>49</v>
      </c>
      <c r="D215">
        <v>1066718.54</v>
      </c>
      <c r="E215" t="s">
        <v>9</v>
      </c>
      <c r="F215" t="s">
        <v>45</v>
      </c>
    </row>
    <row r="216" spans="1:6" hidden="1" x14ac:dyDescent="0.35">
      <c r="A216" t="s">
        <v>20</v>
      </c>
      <c r="B216" t="s">
        <v>33</v>
      </c>
      <c r="C216" t="s">
        <v>49</v>
      </c>
      <c r="D216">
        <v>526199.50000000012</v>
      </c>
      <c r="E216" t="s">
        <v>9</v>
      </c>
      <c r="F216" t="s">
        <v>45</v>
      </c>
    </row>
    <row r="217" spans="1:6" hidden="1" x14ac:dyDescent="0.35">
      <c r="A217" t="s">
        <v>21</v>
      </c>
      <c r="B217" t="s">
        <v>33</v>
      </c>
      <c r="C217" t="s">
        <v>49</v>
      </c>
      <c r="D217">
        <v>468149.43999999989</v>
      </c>
      <c r="E217" t="s">
        <v>9</v>
      </c>
      <c r="F217" t="s">
        <v>45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4312.8900000000003</v>
      </c>
      <c r="E218" t="s">
        <v>9</v>
      </c>
      <c r="F218" t="s">
        <v>45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12328.74</v>
      </c>
      <c r="E219" t="s">
        <v>9</v>
      </c>
      <c r="F219" t="s">
        <v>45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69151.89</v>
      </c>
      <c r="E220" t="s">
        <v>9</v>
      </c>
      <c r="F220" t="s">
        <v>45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286673.59999999998</v>
      </c>
      <c r="E221" t="s">
        <v>9</v>
      </c>
      <c r="F221" t="s">
        <v>45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173357.87</v>
      </c>
      <c r="E222" t="s">
        <v>9</v>
      </c>
      <c r="F222" t="s">
        <v>45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2960.89</v>
      </c>
      <c r="E223" t="s">
        <v>9</v>
      </c>
      <c r="F223" t="s">
        <v>45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0</v>
      </c>
      <c r="E224" t="s">
        <v>9</v>
      </c>
      <c r="F224" t="s">
        <v>45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6285.55</v>
      </c>
      <c r="E225" t="s">
        <v>9</v>
      </c>
      <c r="F225" t="s">
        <v>45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120189.37</v>
      </c>
      <c r="E226" t="s">
        <v>9</v>
      </c>
      <c r="F226" t="s">
        <v>45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45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266103.67</v>
      </c>
      <c r="E228" t="s">
        <v>9</v>
      </c>
      <c r="F228" t="s">
        <v>45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325059.08</v>
      </c>
      <c r="E229" t="s">
        <v>9</v>
      </c>
      <c r="F229" t="s">
        <v>45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221</v>
      </c>
      <c r="E230" t="s">
        <v>9</v>
      </c>
      <c r="F230" t="s">
        <v>45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163</v>
      </c>
      <c r="E231" t="s">
        <v>9</v>
      </c>
      <c r="F231" t="s">
        <v>45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176</v>
      </c>
      <c r="E232" t="s">
        <v>9</v>
      </c>
      <c r="F232" t="s">
        <v>45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166</v>
      </c>
      <c r="E233" t="s">
        <v>9</v>
      </c>
      <c r="F233" t="s">
        <v>45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133</v>
      </c>
      <c r="E234" t="s">
        <v>9</v>
      </c>
      <c r="F234" t="s">
        <v>45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118</v>
      </c>
      <c r="E235" t="s">
        <v>9</v>
      </c>
      <c r="F235" t="s">
        <v>45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143</v>
      </c>
      <c r="E236" t="s">
        <v>9</v>
      </c>
      <c r="F236" t="s">
        <v>45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129</v>
      </c>
      <c r="E237" t="s">
        <v>9</v>
      </c>
      <c r="F237" t="s">
        <v>45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146</v>
      </c>
      <c r="E238" t="s">
        <v>9</v>
      </c>
      <c r="F238" t="s">
        <v>45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171</v>
      </c>
      <c r="E239" t="s">
        <v>9</v>
      </c>
      <c r="F239" t="s">
        <v>45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132</v>
      </c>
      <c r="E240" t="s">
        <v>9</v>
      </c>
      <c r="F240" t="s">
        <v>45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140</v>
      </c>
      <c r="E241" t="s">
        <v>9</v>
      </c>
      <c r="F241" t="s">
        <v>45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153</v>
      </c>
      <c r="E242" t="s">
        <v>9</v>
      </c>
      <c r="F242" t="s">
        <v>45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170</v>
      </c>
      <c r="E243" t="s">
        <v>9</v>
      </c>
      <c r="F243" t="s">
        <v>45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171</v>
      </c>
      <c r="E244" t="s">
        <v>9</v>
      </c>
      <c r="F244" t="s">
        <v>45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142</v>
      </c>
      <c r="E245" t="s">
        <v>9</v>
      </c>
      <c r="F245" t="s">
        <v>45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160</v>
      </c>
      <c r="E246" t="s">
        <v>9</v>
      </c>
      <c r="F246" t="s">
        <v>45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131</v>
      </c>
      <c r="E247" t="s">
        <v>9</v>
      </c>
      <c r="F247" t="s">
        <v>45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116</v>
      </c>
      <c r="E248" t="s">
        <v>9</v>
      </c>
      <c r="F248" t="s">
        <v>45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142</v>
      </c>
      <c r="E249" t="s">
        <v>9</v>
      </c>
      <c r="F249" t="s">
        <v>45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108</v>
      </c>
      <c r="E250" t="s">
        <v>9</v>
      </c>
      <c r="F250" t="s">
        <v>45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109</v>
      </c>
      <c r="E251" t="s">
        <v>9</v>
      </c>
      <c r="F251" t="s">
        <v>45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103</v>
      </c>
      <c r="E252" t="s">
        <v>9</v>
      </c>
      <c r="F252" t="s">
        <v>45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100</v>
      </c>
      <c r="E253" t="s">
        <v>9</v>
      </c>
      <c r="F253" t="s">
        <v>45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3</v>
      </c>
      <c r="E254" t="s">
        <v>9</v>
      </c>
      <c r="F254" t="s">
        <v>45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3</v>
      </c>
      <c r="E255" t="s">
        <v>9</v>
      </c>
      <c r="F255" t="s">
        <v>45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5</v>
      </c>
      <c r="E256" t="s">
        <v>9</v>
      </c>
      <c r="F256" t="s">
        <v>45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4</v>
      </c>
      <c r="E257" t="s">
        <v>9</v>
      </c>
      <c r="F257" t="s">
        <v>45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0</v>
      </c>
      <c r="E258" t="s">
        <v>9</v>
      </c>
      <c r="F258" t="s">
        <v>45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3</v>
      </c>
      <c r="E259" t="s">
        <v>9</v>
      </c>
      <c r="F259" t="s">
        <v>45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0</v>
      </c>
      <c r="E260" t="s">
        <v>9</v>
      </c>
      <c r="F260" t="s">
        <v>45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45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45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0</v>
      </c>
      <c r="E263" t="s">
        <v>9</v>
      </c>
      <c r="F263" t="s">
        <v>45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45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45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45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45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45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45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45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45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45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45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45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45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45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45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45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45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45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45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45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45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45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45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45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45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45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45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45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0</v>
      </c>
      <c r="E291" t="s">
        <v>9</v>
      </c>
      <c r="F291" t="s">
        <v>45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45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45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45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0</v>
      </c>
      <c r="E295" t="s">
        <v>9</v>
      </c>
      <c r="F295" t="s">
        <v>45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45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45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45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45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45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45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45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45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45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45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45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45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45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45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45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45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45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45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45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45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45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45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45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45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45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45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45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45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45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45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45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45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45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45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45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45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45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45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45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45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45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45</v>
      </c>
    </row>
    <row r="338" spans="1:6" hidden="1" x14ac:dyDescent="0.35">
      <c r="A338" t="s">
        <v>6</v>
      </c>
      <c r="B338" t="s">
        <v>53</v>
      </c>
      <c r="C338" t="s">
        <v>49</v>
      </c>
      <c r="D338">
        <v>0</v>
      </c>
      <c r="E338" t="s">
        <v>9</v>
      </c>
      <c r="F338" t="s">
        <v>45</v>
      </c>
    </row>
    <row r="339" spans="1:6" hidden="1" x14ac:dyDescent="0.35">
      <c r="A339" t="s">
        <v>11</v>
      </c>
      <c r="B339" t="s">
        <v>53</v>
      </c>
      <c r="C339" t="s">
        <v>49</v>
      </c>
      <c r="D339">
        <v>0</v>
      </c>
      <c r="E339" t="s">
        <v>9</v>
      </c>
      <c r="F339" t="s">
        <v>45</v>
      </c>
    </row>
    <row r="340" spans="1:6" hidden="1" x14ac:dyDescent="0.35">
      <c r="A340" t="s">
        <v>12</v>
      </c>
      <c r="B340" t="s">
        <v>53</v>
      </c>
      <c r="C340" t="s">
        <v>49</v>
      </c>
      <c r="D340">
        <v>0</v>
      </c>
      <c r="E340" t="s">
        <v>9</v>
      </c>
      <c r="F340" t="s">
        <v>45</v>
      </c>
    </row>
    <row r="341" spans="1:6" hidden="1" x14ac:dyDescent="0.35">
      <c r="A341" t="s">
        <v>13</v>
      </c>
      <c r="B341" t="s">
        <v>53</v>
      </c>
      <c r="C341" t="s">
        <v>49</v>
      </c>
      <c r="D341">
        <v>0</v>
      </c>
      <c r="E341" t="s">
        <v>9</v>
      </c>
      <c r="F341" t="s">
        <v>45</v>
      </c>
    </row>
    <row r="342" spans="1:6" hidden="1" x14ac:dyDescent="0.35">
      <c r="A342" t="s">
        <v>14</v>
      </c>
      <c r="B342" t="s">
        <v>53</v>
      </c>
      <c r="C342" t="s">
        <v>49</v>
      </c>
      <c r="D342">
        <v>0</v>
      </c>
      <c r="E342" t="s">
        <v>9</v>
      </c>
      <c r="F342" t="s">
        <v>45</v>
      </c>
    </row>
    <row r="343" spans="1:6" hidden="1" x14ac:dyDescent="0.35">
      <c r="A343" t="s">
        <v>15</v>
      </c>
      <c r="B343" t="s">
        <v>53</v>
      </c>
      <c r="C343" t="s">
        <v>49</v>
      </c>
      <c r="D343">
        <v>0</v>
      </c>
      <c r="E343" t="s">
        <v>9</v>
      </c>
      <c r="F343" t="s">
        <v>45</v>
      </c>
    </row>
    <row r="344" spans="1:6" hidden="1" x14ac:dyDescent="0.35">
      <c r="A344" t="s">
        <v>16</v>
      </c>
      <c r="B344" t="s">
        <v>53</v>
      </c>
      <c r="C344" t="s">
        <v>49</v>
      </c>
      <c r="D344">
        <v>0</v>
      </c>
      <c r="E344" t="s">
        <v>9</v>
      </c>
      <c r="F344" t="s">
        <v>45</v>
      </c>
    </row>
    <row r="345" spans="1:6" hidden="1" x14ac:dyDescent="0.35">
      <c r="A345" t="s">
        <v>17</v>
      </c>
      <c r="B345" t="s">
        <v>53</v>
      </c>
      <c r="C345" t="s">
        <v>49</v>
      </c>
      <c r="D345">
        <v>0</v>
      </c>
      <c r="E345" t="s">
        <v>9</v>
      </c>
      <c r="F345" t="s">
        <v>45</v>
      </c>
    </row>
    <row r="346" spans="1:6" hidden="1" x14ac:dyDescent="0.35">
      <c r="A346" t="s">
        <v>18</v>
      </c>
      <c r="B346" t="s">
        <v>53</v>
      </c>
      <c r="C346" t="s">
        <v>49</v>
      </c>
      <c r="D346">
        <v>0</v>
      </c>
      <c r="E346" t="s">
        <v>9</v>
      </c>
      <c r="F346" t="s">
        <v>45</v>
      </c>
    </row>
    <row r="347" spans="1:6" hidden="1" x14ac:dyDescent="0.35">
      <c r="A347" t="s">
        <v>19</v>
      </c>
      <c r="B347" t="s">
        <v>53</v>
      </c>
      <c r="C347" t="s">
        <v>49</v>
      </c>
      <c r="D347">
        <v>0</v>
      </c>
      <c r="E347" t="s">
        <v>9</v>
      </c>
      <c r="F347" t="s">
        <v>45</v>
      </c>
    </row>
    <row r="348" spans="1:6" hidden="1" x14ac:dyDescent="0.35">
      <c r="A348" t="s">
        <v>20</v>
      </c>
      <c r="B348" t="s">
        <v>53</v>
      </c>
      <c r="C348" t="s">
        <v>49</v>
      </c>
      <c r="D348">
        <v>0</v>
      </c>
      <c r="E348" t="s">
        <v>9</v>
      </c>
      <c r="F348" t="s">
        <v>45</v>
      </c>
    </row>
    <row r="349" spans="1:6" hidden="1" x14ac:dyDescent="0.35">
      <c r="A349" t="s">
        <v>21</v>
      </c>
      <c r="B349" t="s">
        <v>53</v>
      </c>
      <c r="C349" t="s">
        <v>49</v>
      </c>
      <c r="D349">
        <v>0</v>
      </c>
      <c r="E349" t="s">
        <v>9</v>
      </c>
      <c r="F349" t="s">
        <v>45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45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45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45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45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45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45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45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45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45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45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45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45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45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45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45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45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45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45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45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45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45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45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45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45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45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0</v>
      </c>
      <c r="E375" t="s">
        <v>9</v>
      </c>
      <c r="F375" t="s">
        <v>45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45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45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45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0</v>
      </c>
      <c r="E379" t="s">
        <v>9</v>
      </c>
      <c r="F379" t="s">
        <v>45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45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45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45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45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45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45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45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45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45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45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45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45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45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45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45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45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45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45</v>
      </c>
    </row>
    <row r="398" spans="1:6" x14ac:dyDescent="0.35">
      <c r="A398" t="s">
        <v>6</v>
      </c>
      <c r="B398" t="s">
        <v>54</v>
      </c>
      <c r="C398" t="s">
        <v>44</v>
      </c>
      <c r="D398">
        <v>1427811.71</v>
      </c>
      <c r="E398" t="s">
        <v>9</v>
      </c>
      <c r="F398" t="s">
        <v>45</v>
      </c>
    </row>
    <row r="399" spans="1:6" x14ac:dyDescent="0.35">
      <c r="A399" t="s">
        <v>11</v>
      </c>
      <c r="B399" t="s">
        <v>54</v>
      </c>
      <c r="C399" t="s">
        <v>44</v>
      </c>
      <c r="D399">
        <v>456137.57000000012</v>
      </c>
      <c r="E399" t="s">
        <v>9</v>
      </c>
      <c r="F399" t="s">
        <v>45</v>
      </c>
    </row>
    <row r="400" spans="1:6" x14ac:dyDescent="0.35">
      <c r="A400" t="s">
        <v>12</v>
      </c>
      <c r="B400" t="s">
        <v>54</v>
      </c>
      <c r="C400" t="s">
        <v>44</v>
      </c>
      <c r="D400">
        <v>1446155.15</v>
      </c>
      <c r="E400" t="s">
        <v>9</v>
      </c>
      <c r="F400" t="s">
        <v>45</v>
      </c>
    </row>
    <row r="401" spans="1:6" x14ac:dyDescent="0.35">
      <c r="A401" t="s">
        <v>13</v>
      </c>
      <c r="B401" t="s">
        <v>54</v>
      </c>
      <c r="C401" t="s">
        <v>44</v>
      </c>
      <c r="D401">
        <v>1115909.1100000001</v>
      </c>
      <c r="E401" t="s">
        <v>9</v>
      </c>
      <c r="F401" t="s">
        <v>45</v>
      </c>
    </row>
    <row r="402" spans="1:6" x14ac:dyDescent="0.35">
      <c r="A402" t="s">
        <v>14</v>
      </c>
      <c r="B402" t="s">
        <v>54</v>
      </c>
      <c r="C402" t="s">
        <v>44</v>
      </c>
      <c r="D402">
        <v>2135947.3199999989</v>
      </c>
      <c r="E402" t="s">
        <v>9</v>
      </c>
      <c r="F402" t="s">
        <v>45</v>
      </c>
    </row>
    <row r="403" spans="1:6" x14ac:dyDescent="0.35">
      <c r="A403" t="s">
        <v>15</v>
      </c>
      <c r="B403" t="s">
        <v>54</v>
      </c>
      <c r="C403" t="s">
        <v>44</v>
      </c>
      <c r="D403">
        <v>648986.99000000022</v>
      </c>
      <c r="E403" t="s">
        <v>9</v>
      </c>
      <c r="F403" t="s">
        <v>45</v>
      </c>
    </row>
    <row r="404" spans="1:6" x14ac:dyDescent="0.35">
      <c r="A404" t="s">
        <v>16</v>
      </c>
      <c r="B404" t="s">
        <v>54</v>
      </c>
      <c r="C404" t="s">
        <v>44</v>
      </c>
      <c r="D404">
        <v>1129733.67</v>
      </c>
      <c r="E404" t="s">
        <v>9</v>
      </c>
      <c r="F404" t="s">
        <v>45</v>
      </c>
    </row>
    <row r="405" spans="1:6" x14ac:dyDescent="0.35">
      <c r="A405" t="s">
        <v>17</v>
      </c>
      <c r="B405" t="s">
        <v>54</v>
      </c>
      <c r="C405" t="s">
        <v>44</v>
      </c>
      <c r="D405">
        <v>2090290.67</v>
      </c>
      <c r="E405" t="s">
        <v>9</v>
      </c>
      <c r="F405" t="s">
        <v>45</v>
      </c>
    </row>
    <row r="406" spans="1:6" x14ac:dyDescent="0.35">
      <c r="A406" t="s">
        <v>18</v>
      </c>
      <c r="B406" t="s">
        <v>54</v>
      </c>
      <c r="C406" t="s">
        <v>44</v>
      </c>
      <c r="D406">
        <v>1103783.51</v>
      </c>
      <c r="E406" t="s">
        <v>9</v>
      </c>
      <c r="F406" t="s">
        <v>45</v>
      </c>
    </row>
    <row r="407" spans="1:6" x14ac:dyDescent="0.35">
      <c r="A407" t="s">
        <v>19</v>
      </c>
      <c r="B407" t="s">
        <v>54</v>
      </c>
      <c r="C407" t="s">
        <v>44</v>
      </c>
      <c r="D407">
        <v>777222.21</v>
      </c>
      <c r="E407" t="s">
        <v>9</v>
      </c>
      <c r="F407" t="s">
        <v>45</v>
      </c>
    </row>
    <row r="408" spans="1:6" x14ac:dyDescent="0.35">
      <c r="A408" t="s">
        <v>20</v>
      </c>
      <c r="B408" t="s">
        <v>54</v>
      </c>
      <c r="C408" t="s">
        <v>44</v>
      </c>
      <c r="D408">
        <v>1024246.25</v>
      </c>
      <c r="E408" t="s">
        <v>9</v>
      </c>
      <c r="F408" t="s">
        <v>45</v>
      </c>
    </row>
    <row r="409" spans="1:6" x14ac:dyDescent="0.35">
      <c r="A409" t="s">
        <v>21</v>
      </c>
      <c r="B409" t="s">
        <v>54</v>
      </c>
      <c r="C409" t="s">
        <v>44</v>
      </c>
      <c r="D409">
        <v>1342934.06</v>
      </c>
      <c r="E409" t="s">
        <v>9</v>
      </c>
      <c r="F409" t="s">
        <v>45</v>
      </c>
    </row>
    <row r="410" spans="1:6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45</v>
      </c>
    </row>
    <row r="411" spans="1:6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45</v>
      </c>
    </row>
    <row r="412" spans="1:6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45</v>
      </c>
    </row>
    <row r="413" spans="1:6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45</v>
      </c>
    </row>
    <row r="414" spans="1:6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45</v>
      </c>
    </row>
    <row r="415" spans="1:6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45</v>
      </c>
    </row>
    <row r="416" spans="1:6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45</v>
      </c>
    </row>
    <row r="417" spans="1:6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45</v>
      </c>
    </row>
    <row r="418" spans="1:6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45</v>
      </c>
    </row>
    <row r="419" spans="1:6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45</v>
      </c>
    </row>
    <row r="420" spans="1:6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45</v>
      </c>
    </row>
    <row r="421" spans="1:6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45</v>
      </c>
    </row>
    <row r="422" spans="1:6" x14ac:dyDescent="0.35">
      <c r="A422" t="s">
        <v>6</v>
      </c>
      <c r="B422" t="s">
        <v>54</v>
      </c>
      <c r="C422" t="s">
        <v>46</v>
      </c>
      <c r="D422">
        <v>1602866.28</v>
      </c>
      <c r="E422" t="s">
        <v>9</v>
      </c>
      <c r="F422" t="s">
        <v>45</v>
      </c>
    </row>
    <row r="423" spans="1:6" x14ac:dyDescent="0.35">
      <c r="A423" t="s">
        <v>11</v>
      </c>
      <c r="B423" t="s">
        <v>54</v>
      </c>
      <c r="C423" t="s">
        <v>46</v>
      </c>
      <c r="D423">
        <v>1806992.0499999991</v>
      </c>
      <c r="E423" t="s">
        <v>9</v>
      </c>
      <c r="F423" t="s">
        <v>45</v>
      </c>
    </row>
    <row r="424" spans="1:6" x14ac:dyDescent="0.35">
      <c r="A424" t="s">
        <v>12</v>
      </c>
      <c r="B424" t="s">
        <v>54</v>
      </c>
      <c r="C424" t="s">
        <v>46</v>
      </c>
      <c r="D424">
        <v>1784680.799999998</v>
      </c>
      <c r="E424" t="s">
        <v>9</v>
      </c>
      <c r="F424" t="s">
        <v>45</v>
      </c>
    </row>
    <row r="425" spans="1:6" x14ac:dyDescent="0.35">
      <c r="A425" t="s">
        <v>13</v>
      </c>
      <c r="B425" t="s">
        <v>54</v>
      </c>
      <c r="C425" t="s">
        <v>46</v>
      </c>
      <c r="D425">
        <v>2067649.84</v>
      </c>
      <c r="E425" t="s">
        <v>9</v>
      </c>
      <c r="F425" t="s">
        <v>45</v>
      </c>
    </row>
    <row r="426" spans="1:6" x14ac:dyDescent="0.35">
      <c r="A426" t="s">
        <v>14</v>
      </c>
      <c r="B426" t="s">
        <v>54</v>
      </c>
      <c r="C426" t="s">
        <v>46</v>
      </c>
      <c r="D426">
        <v>1608159.01</v>
      </c>
      <c r="E426" t="s">
        <v>9</v>
      </c>
      <c r="F426" t="s">
        <v>45</v>
      </c>
    </row>
    <row r="427" spans="1:6" x14ac:dyDescent="0.35">
      <c r="A427" t="s">
        <v>15</v>
      </c>
      <c r="B427" t="s">
        <v>54</v>
      </c>
      <c r="C427" t="s">
        <v>46</v>
      </c>
      <c r="D427">
        <v>1528572.04</v>
      </c>
      <c r="E427" t="s">
        <v>9</v>
      </c>
      <c r="F427" t="s">
        <v>45</v>
      </c>
    </row>
    <row r="428" spans="1:6" x14ac:dyDescent="0.35">
      <c r="A428" t="s">
        <v>16</v>
      </c>
      <c r="B428" t="s">
        <v>54</v>
      </c>
      <c r="C428" t="s">
        <v>46</v>
      </c>
      <c r="D428">
        <v>1664449.5299999979</v>
      </c>
      <c r="E428" t="s">
        <v>9</v>
      </c>
      <c r="F428" t="s">
        <v>45</v>
      </c>
    </row>
    <row r="429" spans="1:6" x14ac:dyDescent="0.35">
      <c r="A429" t="s">
        <v>17</v>
      </c>
      <c r="B429" t="s">
        <v>54</v>
      </c>
      <c r="C429" t="s">
        <v>46</v>
      </c>
      <c r="D429">
        <v>1427214.4100000011</v>
      </c>
      <c r="E429" t="s">
        <v>9</v>
      </c>
      <c r="F429" t="s">
        <v>45</v>
      </c>
    </row>
    <row r="430" spans="1:6" x14ac:dyDescent="0.35">
      <c r="A430" t="s">
        <v>18</v>
      </c>
      <c r="B430" t="s">
        <v>54</v>
      </c>
      <c r="C430" t="s">
        <v>46</v>
      </c>
      <c r="D430">
        <v>1410179.3599999989</v>
      </c>
      <c r="E430" t="s">
        <v>9</v>
      </c>
      <c r="F430" t="s">
        <v>45</v>
      </c>
    </row>
    <row r="431" spans="1:6" x14ac:dyDescent="0.35">
      <c r="A431" t="s">
        <v>19</v>
      </c>
      <c r="B431" t="s">
        <v>54</v>
      </c>
      <c r="C431" t="s">
        <v>46</v>
      </c>
      <c r="D431">
        <v>1935004.669999999</v>
      </c>
      <c r="E431" t="s">
        <v>9</v>
      </c>
      <c r="F431" t="s">
        <v>45</v>
      </c>
    </row>
    <row r="432" spans="1:6" x14ac:dyDescent="0.35">
      <c r="A432" t="s">
        <v>20</v>
      </c>
      <c r="B432" t="s">
        <v>54</v>
      </c>
      <c r="C432" t="s">
        <v>46</v>
      </c>
      <c r="D432">
        <v>1567329.5899999989</v>
      </c>
      <c r="E432" t="s">
        <v>9</v>
      </c>
      <c r="F432" t="s">
        <v>45</v>
      </c>
    </row>
    <row r="433" spans="1:6" x14ac:dyDescent="0.35">
      <c r="A433" t="s">
        <v>21</v>
      </c>
      <c r="B433" t="s">
        <v>54</v>
      </c>
      <c r="C433" t="s">
        <v>46</v>
      </c>
      <c r="D433">
        <v>1562905.44</v>
      </c>
      <c r="E433" t="s">
        <v>9</v>
      </c>
      <c r="F433" t="s">
        <v>45</v>
      </c>
    </row>
    <row r="434" spans="1:6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45</v>
      </c>
    </row>
    <row r="435" spans="1:6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45</v>
      </c>
    </row>
    <row r="436" spans="1:6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45</v>
      </c>
    </row>
    <row r="437" spans="1:6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45</v>
      </c>
    </row>
    <row r="438" spans="1:6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45</v>
      </c>
    </row>
    <row r="439" spans="1:6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45</v>
      </c>
    </row>
    <row r="440" spans="1:6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45</v>
      </c>
    </row>
    <row r="441" spans="1:6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45</v>
      </c>
    </row>
    <row r="442" spans="1:6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45</v>
      </c>
    </row>
    <row r="443" spans="1:6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45</v>
      </c>
    </row>
    <row r="444" spans="1:6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45</v>
      </c>
    </row>
    <row r="445" spans="1:6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45</v>
      </c>
    </row>
    <row r="446" spans="1:6" x14ac:dyDescent="0.35">
      <c r="A446" t="s">
        <v>6</v>
      </c>
      <c r="B446" t="s">
        <v>54</v>
      </c>
      <c r="C446" t="s">
        <v>47</v>
      </c>
      <c r="D446">
        <v>4653080.3499999987</v>
      </c>
      <c r="E446" t="s">
        <v>9</v>
      </c>
      <c r="F446" t="s">
        <v>45</v>
      </c>
    </row>
    <row r="447" spans="1:6" x14ac:dyDescent="0.35">
      <c r="A447" t="s">
        <v>11</v>
      </c>
      <c r="B447" t="s">
        <v>54</v>
      </c>
      <c r="C447" t="s">
        <v>47</v>
      </c>
      <c r="D447">
        <v>4204660.57</v>
      </c>
      <c r="E447" t="s">
        <v>9</v>
      </c>
      <c r="F447" t="s">
        <v>45</v>
      </c>
    </row>
    <row r="448" spans="1:6" x14ac:dyDescent="0.35">
      <c r="A448" t="s">
        <v>12</v>
      </c>
      <c r="B448" t="s">
        <v>54</v>
      </c>
      <c r="C448" t="s">
        <v>47</v>
      </c>
      <c r="D448">
        <v>3746700.59</v>
      </c>
      <c r="E448" t="s">
        <v>9</v>
      </c>
      <c r="F448" t="s">
        <v>45</v>
      </c>
    </row>
    <row r="449" spans="1:6" x14ac:dyDescent="0.35">
      <c r="A449" t="s">
        <v>13</v>
      </c>
      <c r="B449" t="s">
        <v>54</v>
      </c>
      <c r="C449" t="s">
        <v>47</v>
      </c>
      <c r="D449">
        <v>4728494.7300000023</v>
      </c>
      <c r="E449" t="s">
        <v>9</v>
      </c>
      <c r="F449" t="s">
        <v>45</v>
      </c>
    </row>
    <row r="450" spans="1:6" x14ac:dyDescent="0.35">
      <c r="A450" t="s">
        <v>14</v>
      </c>
      <c r="B450" t="s">
        <v>54</v>
      </c>
      <c r="C450" t="s">
        <v>47</v>
      </c>
      <c r="D450">
        <v>6456000.3200000012</v>
      </c>
      <c r="E450" t="s">
        <v>9</v>
      </c>
      <c r="F450" t="s">
        <v>45</v>
      </c>
    </row>
    <row r="451" spans="1:6" x14ac:dyDescent="0.35">
      <c r="A451" t="s">
        <v>15</v>
      </c>
      <c r="B451" t="s">
        <v>54</v>
      </c>
      <c r="C451" t="s">
        <v>47</v>
      </c>
      <c r="D451">
        <v>5273055.1799999978</v>
      </c>
      <c r="E451" t="s">
        <v>9</v>
      </c>
      <c r="F451" t="s">
        <v>45</v>
      </c>
    </row>
    <row r="452" spans="1:6" x14ac:dyDescent="0.35">
      <c r="A452" t="s">
        <v>16</v>
      </c>
      <c r="B452" t="s">
        <v>54</v>
      </c>
      <c r="C452" t="s">
        <v>47</v>
      </c>
      <c r="D452">
        <v>3623134.7700000009</v>
      </c>
      <c r="E452" t="s">
        <v>9</v>
      </c>
      <c r="F452" t="s">
        <v>45</v>
      </c>
    </row>
    <row r="453" spans="1:6" x14ac:dyDescent="0.35">
      <c r="A453" t="s">
        <v>17</v>
      </c>
      <c r="B453" t="s">
        <v>54</v>
      </c>
      <c r="C453" t="s">
        <v>47</v>
      </c>
      <c r="D453">
        <v>4214703.6699999981</v>
      </c>
      <c r="E453" t="s">
        <v>9</v>
      </c>
      <c r="F453" t="s">
        <v>45</v>
      </c>
    </row>
    <row r="454" spans="1:6" x14ac:dyDescent="0.35">
      <c r="A454" t="s">
        <v>18</v>
      </c>
      <c r="B454" t="s">
        <v>54</v>
      </c>
      <c r="C454" t="s">
        <v>47</v>
      </c>
      <c r="D454">
        <v>2072476.52</v>
      </c>
      <c r="E454" t="s">
        <v>9</v>
      </c>
      <c r="F454" t="s">
        <v>45</v>
      </c>
    </row>
    <row r="455" spans="1:6" x14ac:dyDescent="0.35">
      <c r="A455" t="s">
        <v>19</v>
      </c>
      <c r="B455" t="s">
        <v>54</v>
      </c>
      <c r="C455" t="s">
        <v>47</v>
      </c>
      <c r="D455">
        <v>8358050.7500000019</v>
      </c>
      <c r="E455" t="s">
        <v>9</v>
      </c>
      <c r="F455" t="s">
        <v>45</v>
      </c>
    </row>
    <row r="456" spans="1:6" x14ac:dyDescent="0.35">
      <c r="A456" t="s">
        <v>20</v>
      </c>
      <c r="B456" t="s">
        <v>54</v>
      </c>
      <c r="C456" t="s">
        <v>47</v>
      </c>
      <c r="D456">
        <v>7590565.120000001</v>
      </c>
      <c r="E456" t="s">
        <v>9</v>
      </c>
      <c r="F456" t="s">
        <v>45</v>
      </c>
    </row>
    <row r="457" spans="1:6" x14ac:dyDescent="0.35">
      <c r="A457" t="s">
        <v>21</v>
      </c>
      <c r="B457" t="s">
        <v>54</v>
      </c>
      <c r="C457" t="s">
        <v>47</v>
      </c>
      <c r="D457">
        <v>10184410.880000001</v>
      </c>
      <c r="E457" t="s">
        <v>9</v>
      </c>
      <c r="F457" t="s">
        <v>45</v>
      </c>
    </row>
    <row r="458" spans="1:6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45</v>
      </c>
    </row>
    <row r="459" spans="1:6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45</v>
      </c>
    </row>
    <row r="460" spans="1:6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45</v>
      </c>
    </row>
    <row r="461" spans="1:6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45</v>
      </c>
    </row>
    <row r="462" spans="1:6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45</v>
      </c>
    </row>
    <row r="463" spans="1:6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45</v>
      </c>
    </row>
    <row r="464" spans="1:6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45</v>
      </c>
    </row>
    <row r="465" spans="1:6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45</v>
      </c>
    </row>
    <row r="466" spans="1:6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45</v>
      </c>
    </row>
    <row r="467" spans="1:6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45</v>
      </c>
    </row>
    <row r="468" spans="1:6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45</v>
      </c>
    </row>
    <row r="469" spans="1:6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45</v>
      </c>
    </row>
    <row r="470" spans="1:6" x14ac:dyDescent="0.35">
      <c r="A470" t="s">
        <v>6</v>
      </c>
      <c r="B470" t="s">
        <v>54</v>
      </c>
      <c r="C470" t="s">
        <v>49</v>
      </c>
      <c r="D470">
        <v>1131515.19</v>
      </c>
      <c r="E470" t="s">
        <v>9</v>
      </c>
      <c r="F470" t="s">
        <v>45</v>
      </c>
    </row>
    <row r="471" spans="1:6" x14ac:dyDescent="0.35">
      <c r="A471" t="s">
        <v>11</v>
      </c>
      <c r="B471" t="s">
        <v>54</v>
      </c>
      <c r="C471" t="s">
        <v>49</v>
      </c>
      <c r="D471">
        <v>560271.14</v>
      </c>
      <c r="E471" t="s">
        <v>9</v>
      </c>
      <c r="F471" t="s">
        <v>45</v>
      </c>
    </row>
    <row r="472" spans="1:6" x14ac:dyDescent="0.35">
      <c r="A472" t="s">
        <v>12</v>
      </c>
      <c r="B472" t="s">
        <v>54</v>
      </c>
      <c r="C472" t="s">
        <v>49</v>
      </c>
      <c r="D472">
        <v>1088989.72</v>
      </c>
      <c r="E472" t="s">
        <v>9</v>
      </c>
      <c r="F472" t="s">
        <v>45</v>
      </c>
    </row>
    <row r="473" spans="1:6" x14ac:dyDescent="0.35">
      <c r="A473" t="s">
        <v>13</v>
      </c>
      <c r="B473" t="s">
        <v>54</v>
      </c>
      <c r="C473" t="s">
        <v>49</v>
      </c>
      <c r="D473">
        <v>1002068.35</v>
      </c>
      <c r="E473" t="s">
        <v>9</v>
      </c>
      <c r="F473" t="s">
        <v>45</v>
      </c>
    </row>
    <row r="474" spans="1:6" x14ac:dyDescent="0.35">
      <c r="A474" t="s">
        <v>14</v>
      </c>
      <c r="B474" t="s">
        <v>54</v>
      </c>
      <c r="C474" t="s">
        <v>49</v>
      </c>
      <c r="D474">
        <v>1185717.6299999999</v>
      </c>
      <c r="E474" t="s">
        <v>9</v>
      </c>
      <c r="F474" t="s">
        <v>45</v>
      </c>
    </row>
    <row r="475" spans="1:6" x14ac:dyDescent="0.35">
      <c r="A475" t="s">
        <v>15</v>
      </c>
      <c r="B475" t="s">
        <v>54</v>
      </c>
      <c r="C475" t="s">
        <v>49</v>
      </c>
      <c r="D475">
        <v>799015.36000000022</v>
      </c>
      <c r="E475" t="s">
        <v>9</v>
      </c>
      <c r="F475" t="s">
        <v>45</v>
      </c>
    </row>
    <row r="476" spans="1:6" x14ac:dyDescent="0.35">
      <c r="A476" t="s">
        <v>16</v>
      </c>
      <c r="B476" t="s">
        <v>54</v>
      </c>
      <c r="C476" t="s">
        <v>49</v>
      </c>
      <c r="D476">
        <v>875596.00000000035</v>
      </c>
      <c r="E476" t="s">
        <v>9</v>
      </c>
      <c r="F476" t="s">
        <v>45</v>
      </c>
    </row>
    <row r="477" spans="1:6" x14ac:dyDescent="0.35">
      <c r="A477" t="s">
        <v>17</v>
      </c>
      <c r="B477" t="s">
        <v>54</v>
      </c>
      <c r="C477" t="s">
        <v>49</v>
      </c>
      <c r="D477">
        <v>1317703.47</v>
      </c>
      <c r="E477" t="s">
        <v>9</v>
      </c>
      <c r="F477" t="s">
        <v>45</v>
      </c>
    </row>
    <row r="478" spans="1:6" x14ac:dyDescent="0.35">
      <c r="A478" t="s">
        <v>18</v>
      </c>
      <c r="B478" t="s">
        <v>54</v>
      </c>
      <c r="C478" t="s">
        <v>49</v>
      </c>
      <c r="D478">
        <v>948504.85000000009</v>
      </c>
      <c r="E478" t="s">
        <v>9</v>
      </c>
      <c r="F478" t="s">
        <v>45</v>
      </c>
    </row>
    <row r="479" spans="1:6" x14ac:dyDescent="0.35">
      <c r="A479" t="s">
        <v>19</v>
      </c>
      <c r="B479" t="s">
        <v>54</v>
      </c>
      <c r="C479" t="s">
        <v>49</v>
      </c>
      <c r="D479">
        <v>1290936.56</v>
      </c>
      <c r="E479" t="s">
        <v>9</v>
      </c>
      <c r="F479" t="s">
        <v>45</v>
      </c>
    </row>
    <row r="480" spans="1:6" x14ac:dyDescent="0.35">
      <c r="A480" t="s">
        <v>20</v>
      </c>
      <c r="B480" t="s">
        <v>54</v>
      </c>
      <c r="C480" t="s">
        <v>49</v>
      </c>
      <c r="D480">
        <v>753980.98999999964</v>
      </c>
      <c r="E480" t="s">
        <v>9</v>
      </c>
      <c r="F480" t="s">
        <v>45</v>
      </c>
    </row>
    <row r="481" spans="1:6" x14ac:dyDescent="0.35">
      <c r="A481" t="s">
        <v>21</v>
      </c>
      <c r="B481" t="s">
        <v>54</v>
      </c>
      <c r="C481" t="s">
        <v>49</v>
      </c>
      <c r="D481">
        <v>1257964.68</v>
      </c>
      <c r="E481" t="s">
        <v>9</v>
      </c>
      <c r="F481" t="s">
        <v>45</v>
      </c>
    </row>
    <row r="482" spans="1:6" x14ac:dyDescent="0.35">
      <c r="A482" t="s">
        <v>6</v>
      </c>
      <c r="B482" t="s">
        <v>54</v>
      </c>
      <c r="C482" t="s">
        <v>50</v>
      </c>
      <c r="D482">
        <v>3918313.9900000012</v>
      </c>
      <c r="E482" t="s">
        <v>9</v>
      </c>
      <c r="F482" t="s">
        <v>45</v>
      </c>
    </row>
    <row r="483" spans="1:6" x14ac:dyDescent="0.35">
      <c r="A483" t="s">
        <v>11</v>
      </c>
      <c r="B483" t="s">
        <v>54</v>
      </c>
      <c r="C483" t="s">
        <v>50</v>
      </c>
      <c r="D483">
        <v>1433906.75</v>
      </c>
      <c r="E483" t="s">
        <v>9</v>
      </c>
      <c r="F483" t="s">
        <v>45</v>
      </c>
    </row>
    <row r="484" spans="1:6" x14ac:dyDescent="0.35">
      <c r="A484" t="s">
        <v>12</v>
      </c>
      <c r="B484" t="s">
        <v>54</v>
      </c>
      <c r="C484" t="s">
        <v>50</v>
      </c>
      <c r="D484">
        <v>3969971.03</v>
      </c>
      <c r="E484" t="s">
        <v>9</v>
      </c>
      <c r="F484" t="s">
        <v>45</v>
      </c>
    </row>
    <row r="485" spans="1:6" x14ac:dyDescent="0.35">
      <c r="A485" t="s">
        <v>13</v>
      </c>
      <c r="B485" t="s">
        <v>54</v>
      </c>
      <c r="C485" t="s">
        <v>50</v>
      </c>
      <c r="D485">
        <v>3374557.7600000012</v>
      </c>
      <c r="E485" t="s">
        <v>9</v>
      </c>
      <c r="F485" t="s">
        <v>45</v>
      </c>
    </row>
    <row r="486" spans="1:6" x14ac:dyDescent="0.35">
      <c r="A486" t="s">
        <v>14</v>
      </c>
      <c r="B486" t="s">
        <v>54</v>
      </c>
      <c r="C486" t="s">
        <v>50</v>
      </c>
      <c r="D486">
        <v>3528116.56</v>
      </c>
      <c r="E486" t="s">
        <v>9</v>
      </c>
      <c r="F486" t="s">
        <v>45</v>
      </c>
    </row>
    <row r="487" spans="1:6" x14ac:dyDescent="0.35">
      <c r="A487" t="s">
        <v>15</v>
      </c>
      <c r="B487" t="s">
        <v>54</v>
      </c>
      <c r="C487" t="s">
        <v>50</v>
      </c>
      <c r="D487">
        <v>2252671.91</v>
      </c>
      <c r="E487" t="s">
        <v>9</v>
      </c>
      <c r="F487" t="s">
        <v>45</v>
      </c>
    </row>
    <row r="488" spans="1:6" x14ac:dyDescent="0.35">
      <c r="A488" t="s">
        <v>16</v>
      </c>
      <c r="B488" t="s">
        <v>54</v>
      </c>
      <c r="C488" t="s">
        <v>50</v>
      </c>
      <c r="D488">
        <v>2649912.8299999991</v>
      </c>
      <c r="E488" t="s">
        <v>9</v>
      </c>
      <c r="F488" t="s">
        <v>45</v>
      </c>
    </row>
    <row r="489" spans="1:6" x14ac:dyDescent="0.35">
      <c r="A489" t="s">
        <v>17</v>
      </c>
      <c r="B489" t="s">
        <v>54</v>
      </c>
      <c r="C489" t="s">
        <v>50</v>
      </c>
      <c r="D489">
        <v>3940128.4500000011</v>
      </c>
      <c r="E489" t="s">
        <v>9</v>
      </c>
      <c r="F489" t="s">
        <v>45</v>
      </c>
    </row>
    <row r="490" spans="1:6" x14ac:dyDescent="0.35">
      <c r="A490" t="s">
        <v>18</v>
      </c>
      <c r="B490" t="s">
        <v>54</v>
      </c>
      <c r="C490" t="s">
        <v>50</v>
      </c>
      <c r="D490">
        <v>1962805.550000001</v>
      </c>
      <c r="E490" t="s">
        <v>9</v>
      </c>
      <c r="F490" t="s">
        <v>45</v>
      </c>
    </row>
    <row r="491" spans="1:6" x14ac:dyDescent="0.35">
      <c r="A491" t="s">
        <v>19</v>
      </c>
      <c r="B491" t="s">
        <v>54</v>
      </c>
      <c r="C491" t="s">
        <v>50</v>
      </c>
      <c r="D491">
        <v>3684768.0100000012</v>
      </c>
      <c r="E491" t="s">
        <v>9</v>
      </c>
      <c r="F491" t="s">
        <v>45</v>
      </c>
    </row>
    <row r="492" spans="1:6" x14ac:dyDescent="0.35">
      <c r="A492" t="s">
        <v>20</v>
      </c>
      <c r="B492" t="s">
        <v>54</v>
      </c>
      <c r="C492" t="s">
        <v>50</v>
      </c>
      <c r="D492">
        <v>2521944.21</v>
      </c>
      <c r="E492" t="s">
        <v>9</v>
      </c>
      <c r="F492" t="s">
        <v>45</v>
      </c>
    </row>
    <row r="493" spans="1:6" x14ac:dyDescent="0.35">
      <c r="A493" t="s">
        <v>21</v>
      </c>
      <c r="B493" t="s">
        <v>54</v>
      </c>
      <c r="C493" t="s">
        <v>50</v>
      </c>
      <c r="D493">
        <v>4695900.6000000006</v>
      </c>
      <c r="E493" t="s">
        <v>9</v>
      </c>
      <c r="F493" t="s">
        <v>45</v>
      </c>
    </row>
    <row r="494" spans="1:6" x14ac:dyDescent="0.35">
      <c r="A494" t="s">
        <v>6</v>
      </c>
      <c r="B494" t="s">
        <v>54</v>
      </c>
      <c r="C494" t="s">
        <v>51</v>
      </c>
      <c r="D494">
        <v>786</v>
      </c>
      <c r="E494" t="s">
        <v>9</v>
      </c>
      <c r="F494" t="s">
        <v>45</v>
      </c>
    </row>
    <row r="495" spans="1:6" x14ac:dyDescent="0.35">
      <c r="A495" t="s">
        <v>11</v>
      </c>
      <c r="B495" t="s">
        <v>54</v>
      </c>
      <c r="C495" t="s">
        <v>51</v>
      </c>
      <c r="D495">
        <v>583</v>
      </c>
      <c r="E495" t="s">
        <v>9</v>
      </c>
      <c r="F495" t="s">
        <v>45</v>
      </c>
    </row>
    <row r="496" spans="1:6" x14ac:dyDescent="0.35">
      <c r="A496" t="s">
        <v>12</v>
      </c>
      <c r="B496" t="s">
        <v>54</v>
      </c>
      <c r="C496" t="s">
        <v>51</v>
      </c>
      <c r="D496">
        <v>576</v>
      </c>
      <c r="E496" t="s">
        <v>9</v>
      </c>
      <c r="F496" t="s">
        <v>45</v>
      </c>
    </row>
    <row r="497" spans="1:6" x14ac:dyDescent="0.35">
      <c r="A497" t="s">
        <v>13</v>
      </c>
      <c r="B497" t="s">
        <v>54</v>
      </c>
      <c r="C497" t="s">
        <v>51</v>
      </c>
      <c r="D497">
        <v>635</v>
      </c>
      <c r="E497" t="s">
        <v>9</v>
      </c>
      <c r="F497" t="s">
        <v>45</v>
      </c>
    </row>
    <row r="498" spans="1:6" x14ac:dyDescent="0.35">
      <c r="A498" t="s">
        <v>14</v>
      </c>
      <c r="B498" t="s">
        <v>54</v>
      </c>
      <c r="C498" t="s">
        <v>51</v>
      </c>
      <c r="D498">
        <v>639</v>
      </c>
      <c r="E498" t="s">
        <v>9</v>
      </c>
      <c r="F498" t="s">
        <v>45</v>
      </c>
    </row>
    <row r="499" spans="1:6" x14ac:dyDescent="0.35">
      <c r="A499" t="s">
        <v>15</v>
      </c>
      <c r="B499" t="s">
        <v>54</v>
      </c>
      <c r="C499" t="s">
        <v>51</v>
      </c>
      <c r="D499">
        <v>572</v>
      </c>
      <c r="E499" t="s">
        <v>9</v>
      </c>
      <c r="F499" t="s">
        <v>45</v>
      </c>
    </row>
    <row r="500" spans="1:6" x14ac:dyDescent="0.35">
      <c r="A500" t="s">
        <v>16</v>
      </c>
      <c r="B500" t="s">
        <v>54</v>
      </c>
      <c r="C500" t="s">
        <v>51</v>
      </c>
      <c r="D500">
        <v>583</v>
      </c>
      <c r="E500" t="s">
        <v>9</v>
      </c>
      <c r="F500" t="s">
        <v>45</v>
      </c>
    </row>
    <row r="501" spans="1:6" x14ac:dyDescent="0.35">
      <c r="A501" t="s">
        <v>17</v>
      </c>
      <c r="B501" t="s">
        <v>54</v>
      </c>
      <c r="C501" t="s">
        <v>51</v>
      </c>
      <c r="D501">
        <v>536</v>
      </c>
      <c r="E501" t="s">
        <v>9</v>
      </c>
      <c r="F501" t="s">
        <v>45</v>
      </c>
    </row>
    <row r="502" spans="1:6" x14ac:dyDescent="0.35">
      <c r="A502" t="s">
        <v>18</v>
      </c>
      <c r="B502" t="s">
        <v>54</v>
      </c>
      <c r="C502" t="s">
        <v>51</v>
      </c>
      <c r="D502">
        <v>463</v>
      </c>
      <c r="E502" t="s">
        <v>9</v>
      </c>
      <c r="F502" t="s">
        <v>45</v>
      </c>
    </row>
    <row r="503" spans="1:6" x14ac:dyDescent="0.35">
      <c r="A503" t="s">
        <v>19</v>
      </c>
      <c r="B503" t="s">
        <v>54</v>
      </c>
      <c r="C503" t="s">
        <v>51</v>
      </c>
      <c r="D503">
        <v>573</v>
      </c>
      <c r="E503" t="s">
        <v>9</v>
      </c>
      <c r="F503" t="s">
        <v>45</v>
      </c>
    </row>
    <row r="504" spans="1:6" x14ac:dyDescent="0.35">
      <c r="A504" t="s">
        <v>20</v>
      </c>
      <c r="B504" t="s">
        <v>54</v>
      </c>
      <c r="C504" t="s">
        <v>51</v>
      </c>
      <c r="D504">
        <v>531</v>
      </c>
      <c r="E504" t="s">
        <v>9</v>
      </c>
      <c r="F504" t="s">
        <v>45</v>
      </c>
    </row>
    <row r="505" spans="1:6" x14ac:dyDescent="0.35">
      <c r="A505" t="s">
        <v>21</v>
      </c>
      <c r="B505" t="s">
        <v>54</v>
      </c>
      <c r="C505" t="s">
        <v>51</v>
      </c>
      <c r="D505">
        <v>516</v>
      </c>
      <c r="E505" t="s">
        <v>9</v>
      </c>
      <c r="F505" t="s">
        <v>45</v>
      </c>
    </row>
    <row r="506" spans="1:6" x14ac:dyDescent="0.35">
      <c r="A506" t="s">
        <v>6</v>
      </c>
      <c r="B506" t="s">
        <v>54</v>
      </c>
      <c r="C506" t="s">
        <v>30</v>
      </c>
      <c r="D506">
        <v>523</v>
      </c>
      <c r="E506" t="s">
        <v>9</v>
      </c>
      <c r="F506" t="s">
        <v>45</v>
      </c>
    </row>
    <row r="507" spans="1:6" x14ac:dyDescent="0.35">
      <c r="A507" t="s">
        <v>11</v>
      </c>
      <c r="B507" t="s">
        <v>54</v>
      </c>
      <c r="C507" t="s">
        <v>30</v>
      </c>
      <c r="D507">
        <v>404</v>
      </c>
      <c r="E507" t="s">
        <v>9</v>
      </c>
      <c r="F507" t="s">
        <v>45</v>
      </c>
    </row>
    <row r="508" spans="1:6" x14ac:dyDescent="0.35">
      <c r="A508" t="s">
        <v>12</v>
      </c>
      <c r="B508" t="s">
        <v>54</v>
      </c>
      <c r="C508" t="s">
        <v>30</v>
      </c>
      <c r="D508">
        <v>473</v>
      </c>
      <c r="E508" t="s">
        <v>9</v>
      </c>
      <c r="F508" t="s">
        <v>45</v>
      </c>
    </row>
    <row r="509" spans="1:6" x14ac:dyDescent="0.35">
      <c r="A509" t="s">
        <v>13</v>
      </c>
      <c r="B509" t="s">
        <v>54</v>
      </c>
      <c r="C509" t="s">
        <v>30</v>
      </c>
      <c r="D509">
        <v>471</v>
      </c>
      <c r="E509" t="s">
        <v>9</v>
      </c>
      <c r="F509" t="s">
        <v>45</v>
      </c>
    </row>
    <row r="510" spans="1:6" x14ac:dyDescent="0.35">
      <c r="A510" t="s">
        <v>14</v>
      </c>
      <c r="B510" t="s">
        <v>54</v>
      </c>
      <c r="C510" t="s">
        <v>30</v>
      </c>
      <c r="D510">
        <v>472</v>
      </c>
      <c r="E510" t="s">
        <v>9</v>
      </c>
      <c r="F510" t="s">
        <v>45</v>
      </c>
    </row>
    <row r="511" spans="1:6" x14ac:dyDescent="0.35">
      <c r="A511" t="s">
        <v>15</v>
      </c>
      <c r="B511" t="s">
        <v>54</v>
      </c>
      <c r="C511" t="s">
        <v>30</v>
      </c>
      <c r="D511">
        <v>421</v>
      </c>
      <c r="E511" t="s">
        <v>9</v>
      </c>
      <c r="F511" t="s">
        <v>45</v>
      </c>
    </row>
    <row r="512" spans="1:6" x14ac:dyDescent="0.35">
      <c r="A512" t="s">
        <v>16</v>
      </c>
      <c r="B512" t="s">
        <v>54</v>
      </c>
      <c r="C512" t="s">
        <v>30</v>
      </c>
      <c r="D512">
        <v>390</v>
      </c>
      <c r="E512" t="s">
        <v>9</v>
      </c>
      <c r="F512" t="s">
        <v>45</v>
      </c>
    </row>
    <row r="513" spans="1:6" x14ac:dyDescent="0.35">
      <c r="A513" t="s">
        <v>17</v>
      </c>
      <c r="B513" t="s">
        <v>54</v>
      </c>
      <c r="C513" t="s">
        <v>30</v>
      </c>
      <c r="D513">
        <v>393</v>
      </c>
      <c r="E513" t="s">
        <v>9</v>
      </c>
      <c r="F513" t="s">
        <v>45</v>
      </c>
    </row>
    <row r="514" spans="1:6" x14ac:dyDescent="0.35">
      <c r="A514" t="s">
        <v>18</v>
      </c>
      <c r="B514" t="s">
        <v>54</v>
      </c>
      <c r="C514" t="s">
        <v>30</v>
      </c>
      <c r="D514">
        <v>392</v>
      </c>
      <c r="E514" t="s">
        <v>9</v>
      </c>
      <c r="F514" t="s">
        <v>45</v>
      </c>
    </row>
    <row r="515" spans="1:6" x14ac:dyDescent="0.35">
      <c r="A515" t="s">
        <v>19</v>
      </c>
      <c r="B515" t="s">
        <v>54</v>
      </c>
      <c r="C515" t="s">
        <v>30</v>
      </c>
      <c r="D515">
        <v>435</v>
      </c>
      <c r="E515" t="s">
        <v>9</v>
      </c>
      <c r="F515" t="s">
        <v>45</v>
      </c>
    </row>
    <row r="516" spans="1:6" x14ac:dyDescent="0.35">
      <c r="A516" t="s">
        <v>20</v>
      </c>
      <c r="B516" t="s">
        <v>54</v>
      </c>
      <c r="C516" t="s">
        <v>30</v>
      </c>
      <c r="D516">
        <v>327</v>
      </c>
      <c r="E516" t="s">
        <v>9</v>
      </c>
      <c r="F516" t="s">
        <v>45</v>
      </c>
    </row>
    <row r="517" spans="1:6" x14ac:dyDescent="0.35">
      <c r="A517" t="s">
        <v>21</v>
      </c>
      <c r="B517" t="s">
        <v>54</v>
      </c>
      <c r="C517" t="s">
        <v>30</v>
      </c>
      <c r="D517">
        <v>329</v>
      </c>
      <c r="E517" t="s">
        <v>9</v>
      </c>
      <c r="F517" t="s">
        <v>45</v>
      </c>
    </row>
    <row r="518" spans="1:6" x14ac:dyDescent="0.35">
      <c r="A518" t="s">
        <v>6</v>
      </c>
      <c r="B518" t="s">
        <v>54</v>
      </c>
      <c r="C518" t="s">
        <v>52</v>
      </c>
      <c r="D518">
        <v>11</v>
      </c>
      <c r="E518" t="s">
        <v>9</v>
      </c>
      <c r="F518" t="s">
        <v>45</v>
      </c>
    </row>
    <row r="519" spans="1:6" x14ac:dyDescent="0.35">
      <c r="A519" t="s">
        <v>11</v>
      </c>
      <c r="B519" t="s">
        <v>54</v>
      </c>
      <c r="C519" t="s">
        <v>52</v>
      </c>
      <c r="D519">
        <v>11</v>
      </c>
      <c r="E519" t="s">
        <v>9</v>
      </c>
      <c r="F519" t="s">
        <v>45</v>
      </c>
    </row>
    <row r="520" spans="1:6" x14ac:dyDescent="0.35">
      <c r="A520" t="s">
        <v>12</v>
      </c>
      <c r="B520" t="s">
        <v>54</v>
      </c>
      <c r="C520" t="s">
        <v>52</v>
      </c>
      <c r="D520">
        <v>9</v>
      </c>
      <c r="E520" t="s">
        <v>9</v>
      </c>
      <c r="F520" t="s">
        <v>45</v>
      </c>
    </row>
    <row r="521" spans="1:6" x14ac:dyDescent="0.35">
      <c r="A521" t="s">
        <v>13</v>
      </c>
      <c r="B521" t="s">
        <v>54</v>
      </c>
      <c r="C521" t="s">
        <v>52</v>
      </c>
      <c r="D521">
        <v>13</v>
      </c>
      <c r="E521" t="s">
        <v>9</v>
      </c>
      <c r="F521" t="s">
        <v>45</v>
      </c>
    </row>
    <row r="522" spans="1:6" x14ac:dyDescent="0.35">
      <c r="A522" t="s">
        <v>14</v>
      </c>
      <c r="B522" t="s">
        <v>54</v>
      </c>
      <c r="C522" t="s">
        <v>52</v>
      </c>
      <c r="D522">
        <v>7</v>
      </c>
      <c r="E522" t="s">
        <v>9</v>
      </c>
      <c r="F522" t="s">
        <v>45</v>
      </c>
    </row>
    <row r="523" spans="1:6" x14ac:dyDescent="0.35">
      <c r="A523" t="s">
        <v>15</v>
      </c>
      <c r="B523" t="s">
        <v>54</v>
      </c>
      <c r="C523" t="s">
        <v>52</v>
      </c>
      <c r="D523">
        <v>9</v>
      </c>
      <c r="E523" t="s">
        <v>9</v>
      </c>
      <c r="F523" t="s">
        <v>45</v>
      </c>
    </row>
    <row r="524" spans="1:6" x14ac:dyDescent="0.35">
      <c r="A524" t="s">
        <v>16</v>
      </c>
      <c r="B524" t="s">
        <v>54</v>
      </c>
      <c r="C524" t="s">
        <v>52</v>
      </c>
      <c r="D524">
        <v>6</v>
      </c>
      <c r="E524" t="s">
        <v>9</v>
      </c>
      <c r="F524" t="s">
        <v>45</v>
      </c>
    </row>
    <row r="525" spans="1:6" x14ac:dyDescent="0.35">
      <c r="A525" t="s">
        <v>17</v>
      </c>
      <c r="B525" t="s">
        <v>54</v>
      </c>
      <c r="C525" t="s">
        <v>52</v>
      </c>
      <c r="D525">
        <v>6</v>
      </c>
      <c r="E525" t="s">
        <v>9</v>
      </c>
      <c r="F525" t="s">
        <v>45</v>
      </c>
    </row>
    <row r="526" spans="1:6" x14ac:dyDescent="0.35">
      <c r="A526" t="s">
        <v>18</v>
      </c>
      <c r="B526" t="s">
        <v>54</v>
      </c>
      <c r="C526" t="s">
        <v>52</v>
      </c>
      <c r="D526">
        <v>4</v>
      </c>
      <c r="E526" t="s">
        <v>9</v>
      </c>
      <c r="F526" t="s">
        <v>45</v>
      </c>
    </row>
    <row r="527" spans="1:6" x14ac:dyDescent="0.35">
      <c r="A527" t="s">
        <v>19</v>
      </c>
      <c r="B527" t="s">
        <v>54</v>
      </c>
      <c r="C527" t="s">
        <v>52</v>
      </c>
      <c r="D527">
        <v>9</v>
      </c>
      <c r="E527" t="s">
        <v>9</v>
      </c>
      <c r="F527" t="s">
        <v>45</v>
      </c>
    </row>
    <row r="528" spans="1:6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45</v>
      </c>
    </row>
    <row r="529" spans="1:6" x14ac:dyDescent="0.35">
      <c r="A529" t="s">
        <v>21</v>
      </c>
      <c r="B529" t="s">
        <v>54</v>
      </c>
      <c r="C529" t="s">
        <v>52</v>
      </c>
      <c r="D529">
        <v>6</v>
      </c>
      <c r="E529" t="s">
        <v>9</v>
      </c>
      <c r="F529" t="s">
        <v>45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45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45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16646.689999999999</v>
      </c>
      <c r="E532" t="s">
        <v>40</v>
      </c>
      <c r="F532" t="s">
        <v>45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45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45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45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45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45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0</v>
      </c>
      <c r="E538" t="s">
        <v>40</v>
      </c>
      <c r="F538" t="s">
        <v>45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45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1199.18</v>
      </c>
      <c r="E540" t="s">
        <v>40</v>
      </c>
      <c r="F540" t="s">
        <v>45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16797.939999999999</v>
      </c>
      <c r="E541" t="s">
        <v>40</v>
      </c>
      <c r="F541" t="s">
        <v>45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45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45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45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45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45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45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45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45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45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45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45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45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0</v>
      </c>
      <c r="E554" t="s">
        <v>40</v>
      </c>
      <c r="F554" t="s">
        <v>45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0</v>
      </c>
      <c r="E555" t="s">
        <v>40</v>
      </c>
      <c r="F555" t="s">
        <v>45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6712.7</v>
      </c>
      <c r="E556" t="s">
        <v>40</v>
      </c>
      <c r="F556" t="s">
        <v>45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496.38</v>
      </c>
      <c r="E557" t="s">
        <v>40</v>
      </c>
      <c r="F557" t="s">
        <v>45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2692.13</v>
      </c>
      <c r="E558" t="s">
        <v>40</v>
      </c>
      <c r="F558" t="s">
        <v>45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55371.22</v>
      </c>
      <c r="E559" t="s">
        <v>40</v>
      </c>
      <c r="F559" t="s">
        <v>45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10171.82</v>
      </c>
      <c r="E560" t="s">
        <v>40</v>
      </c>
      <c r="F560" t="s">
        <v>45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110401.79</v>
      </c>
      <c r="E561" t="s">
        <v>40</v>
      </c>
      <c r="F561" t="s">
        <v>45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40504.5</v>
      </c>
      <c r="E562" t="s">
        <v>40</v>
      </c>
      <c r="F562" t="s">
        <v>45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33540.11</v>
      </c>
      <c r="E563" t="s">
        <v>40</v>
      </c>
      <c r="F563" t="s">
        <v>45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53974.819999999992</v>
      </c>
      <c r="E564" t="s">
        <v>40</v>
      </c>
      <c r="F564" t="s">
        <v>45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26460.63</v>
      </c>
      <c r="E565" t="s">
        <v>40</v>
      </c>
      <c r="F565" t="s">
        <v>45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45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45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45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45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45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45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45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45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45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45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45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45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2311.7800000000002</v>
      </c>
      <c r="E578" t="s">
        <v>40</v>
      </c>
      <c r="F578" t="s">
        <v>45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45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45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45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45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45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45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45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45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45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45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45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45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45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45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45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45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45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45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45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45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45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45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45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0</v>
      </c>
      <c r="E602" t="s">
        <v>40</v>
      </c>
      <c r="F602" t="s">
        <v>45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0</v>
      </c>
      <c r="E603" t="s">
        <v>40</v>
      </c>
      <c r="F603" t="s">
        <v>45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3133.68</v>
      </c>
      <c r="E604" t="s">
        <v>40</v>
      </c>
      <c r="F604" t="s">
        <v>45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45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45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45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45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45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1368.96</v>
      </c>
      <c r="E610" t="s">
        <v>40</v>
      </c>
      <c r="F610" t="s">
        <v>45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447.72</v>
      </c>
      <c r="E611" t="s">
        <v>40</v>
      </c>
      <c r="F611" t="s">
        <v>45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1417.22</v>
      </c>
      <c r="E612" t="s">
        <v>40</v>
      </c>
      <c r="F612" t="s">
        <v>45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1368.96</v>
      </c>
      <c r="E613" t="s">
        <v>40</v>
      </c>
      <c r="F613" t="s">
        <v>45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45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45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45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45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45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45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45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45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7762.76</v>
      </c>
      <c r="E622" t="s">
        <v>40</v>
      </c>
      <c r="F622" t="s">
        <v>45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45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45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45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12</v>
      </c>
      <c r="E626" t="s">
        <v>40</v>
      </c>
      <c r="F626" t="s">
        <v>45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13</v>
      </c>
      <c r="E627" t="s">
        <v>40</v>
      </c>
      <c r="F627" t="s">
        <v>45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11</v>
      </c>
      <c r="E628" t="s">
        <v>40</v>
      </c>
      <c r="F628" t="s">
        <v>45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13</v>
      </c>
      <c r="E629" t="s">
        <v>40</v>
      </c>
      <c r="F629" t="s">
        <v>45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11</v>
      </c>
      <c r="E630" t="s">
        <v>40</v>
      </c>
      <c r="F630" t="s">
        <v>45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6</v>
      </c>
      <c r="E631" t="s">
        <v>40</v>
      </c>
      <c r="F631" t="s">
        <v>45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9</v>
      </c>
      <c r="E632" t="s">
        <v>40</v>
      </c>
      <c r="F632" t="s">
        <v>45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9</v>
      </c>
      <c r="E633" t="s">
        <v>40</v>
      </c>
      <c r="F633" t="s">
        <v>45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5</v>
      </c>
      <c r="E634" t="s">
        <v>40</v>
      </c>
      <c r="F634" t="s">
        <v>45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7</v>
      </c>
      <c r="E635" t="s">
        <v>40</v>
      </c>
      <c r="F635" t="s">
        <v>45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9</v>
      </c>
      <c r="E636" t="s">
        <v>40</v>
      </c>
      <c r="F636" t="s">
        <v>45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7</v>
      </c>
      <c r="E637" t="s">
        <v>40</v>
      </c>
      <c r="F637" t="s">
        <v>45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0</v>
      </c>
      <c r="E638" t="s">
        <v>40</v>
      </c>
      <c r="F638" t="s">
        <v>45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0</v>
      </c>
      <c r="E639" t="s">
        <v>40</v>
      </c>
      <c r="F639" t="s">
        <v>45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2</v>
      </c>
      <c r="E640" t="s">
        <v>40</v>
      </c>
      <c r="F640" t="s">
        <v>45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1</v>
      </c>
      <c r="E641" t="s">
        <v>40</v>
      </c>
      <c r="F641" t="s">
        <v>45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3</v>
      </c>
      <c r="E642" t="s">
        <v>40</v>
      </c>
      <c r="F642" t="s">
        <v>45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1</v>
      </c>
      <c r="E643" t="s">
        <v>40</v>
      </c>
      <c r="F643" t="s">
        <v>45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5</v>
      </c>
      <c r="E644" t="s">
        <v>40</v>
      </c>
      <c r="F644" t="s">
        <v>45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5</v>
      </c>
      <c r="E645" t="s">
        <v>40</v>
      </c>
      <c r="F645" t="s">
        <v>45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2</v>
      </c>
      <c r="E646" t="s">
        <v>40</v>
      </c>
      <c r="F646" t="s">
        <v>45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2</v>
      </c>
      <c r="E647" t="s">
        <v>40</v>
      </c>
      <c r="F647" t="s">
        <v>45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3</v>
      </c>
      <c r="E648" t="s">
        <v>40</v>
      </c>
      <c r="F648" t="s">
        <v>45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2</v>
      </c>
      <c r="E649" t="s">
        <v>40</v>
      </c>
      <c r="F649" t="s">
        <v>45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45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45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45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45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45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45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45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45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45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45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45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45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5890.22</v>
      </c>
      <c r="E662" t="s">
        <v>40</v>
      </c>
      <c r="F662" t="s">
        <v>45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0</v>
      </c>
      <c r="E663" t="s">
        <v>40</v>
      </c>
      <c r="F663" t="s">
        <v>45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45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45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661.66</v>
      </c>
      <c r="E666" t="s">
        <v>40</v>
      </c>
      <c r="F666" t="s">
        <v>45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14696.62</v>
      </c>
      <c r="E667" t="s">
        <v>40</v>
      </c>
      <c r="F667" t="s">
        <v>45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20907.46</v>
      </c>
      <c r="E668" t="s">
        <v>40</v>
      </c>
      <c r="F668" t="s">
        <v>45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255751.31</v>
      </c>
      <c r="E669" t="s">
        <v>40</v>
      </c>
      <c r="F669" t="s">
        <v>45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372241.66</v>
      </c>
      <c r="E670" t="s">
        <v>40</v>
      </c>
      <c r="F670" t="s">
        <v>45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54014.87</v>
      </c>
      <c r="E671" t="s">
        <v>40</v>
      </c>
      <c r="F671" t="s">
        <v>45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85323.05</v>
      </c>
      <c r="E672" t="s">
        <v>40</v>
      </c>
      <c r="F672" t="s">
        <v>45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6327.4</v>
      </c>
      <c r="E673" t="s">
        <v>40</v>
      </c>
      <c r="F673" t="s">
        <v>45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45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45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45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45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45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45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45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45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45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45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45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45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136682.71</v>
      </c>
      <c r="E686" t="s">
        <v>40</v>
      </c>
      <c r="F686" t="s">
        <v>45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129244.91</v>
      </c>
      <c r="E687" t="s">
        <v>40</v>
      </c>
      <c r="F687" t="s">
        <v>45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24525.64</v>
      </c>
      <c r="E688" t="s">
        <v>40</v>
      </c>
      <c r="F688" t="s">
        <v>45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26077.87</v>
      </c>
      <c r="E689" t="s">
        <v>40</v>
      </c>
      <c r="F689" t="s">
        <v>45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457487.02</v>
      </c>
      <c r="E690" t="s">
        <v>40</v>
      </c>
      <c r="F690" t="s">
        <v>45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171857.57</v>
      </c>
      <c r="E691" t="s">
        <v>40</v>
      </c>
      <c r="F691" t="s">
        <v>45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586953.55000000005</v>
      </c>
      <c r="E692" t="s">
        <v>40</v>
      </c>
      <c r="F692" t="s">
        <v>45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1684123.92</v>
      </c>
      <c r="E693" t="s">
        <v>40</v>
      </c>
      <c r="F693" t="s">
        <v>45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557768.81000000006</v>
      </c>
      <c r="E694" t="s">
        <v>40</v>
      </c>
      <c r="F694" t="s">
        <v>45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1348148.82</v>
      </c>
      <c r="E695" t="s">
        <v>40</v>
      </c>
      <c r="F695" t="s">
        <v>45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1656089.7600000009</v>
      </c>
      <c r="E696" t="s">
        <v>40</v>
      </c>
      <c r="F696" t="s">
        <v>45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578660.01999999979</v>
      </c>
      <c r="E697" t="s">
        <v>40</v>
      </c>
      <c r="F697" t="s">
        <v>45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45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45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45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45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45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45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45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45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45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45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45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45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20955.37</v>
      </c>
      <c r="E710" t="s">
        <v>40</v>
      </c>
      <c r="F710" t="s">
        <v>45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45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14</v>
      </c>
      <c r="E712" t="s">
        <v>40</v>
      </c>
      <c r="F712" t="s">
        <v>45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0</v>
      </c>
      <c r="E713" t="s">
        <v>40</v>
      </c>
      <c r="F713" t="s">
        <v>45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53210.280000000013</v>
      </c>
      <c r="E714" t="s">
        <v>40</v>
      </c>
      <c r="F714" t="s">
        <v>45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57508.39</v>
      </c>
      <c r="E715" t="s">
        <v>40</v>
      </c>
      <c r="F715" t="s">
        <v>45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6460.86</v>
      </c>
      <c r="E716" t="s">
        <v>40</v>
      </c>
      <c r="F716" t="s">
        <v>45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1480.74</v>
      </c>
      <c r="E717" t="s">
        <v>40</v>
      </c>
      <c r="F717" t="s">
        <v>45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3833.26</v>
      </c>
      <c r="E718" t="s">
        <v>40</v>
      </c>
      <c r="F718" t="s">
        <v>45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191496.08</v>
      </c>
      <c r="E719" t="s">
        <v>40</v>
      </c>
      <c r="F719" t="s">
        <v>45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32755.14</v>
      </c>
      <c r="E720" t="s">
        <v>40</v>
      </c>
      <c r="F720" t="s">
        <v>45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142374.06999999989</v>
      </c>
      <c r="E721" t="s">
        <v>40</v>
      </c>
      <c r="F721" t="s">
        <v>45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45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45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45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45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45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45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45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45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45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45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45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45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32530.880000000001</v>
      </c>
      <c r="E734" t="s">
        <v>40</v>
      </c>
      <c r="F734" t="s">
        <v>45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2549.7199999999998</v>
      </c>
      <c r="E735" t="s">
        <v>40</v>
      </c>
      <c r="F735" t="s">
        <v>45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0</v>
      </c>
      <c r="E736" t="s">
        <v>40</v>
      </c>
      <c r="F736" t="s">
        <v>45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2757.57</v>
      </c>
      <c r="E737" t="s">
        <v>40</v>
      </c>
      <c r="F737" t="s">
        <v>45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50795.96</v>
      </c>
      <c r="E738" t="s">
        <v>40</v>
      </c>
      <c r="F738" t="s">
        <v>45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16235.83</v>
      </c>
      <c r="E739" t="s">
        <v>40</v>
      </c>
      <c r="F739" t="s">
        <v>45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48586.55</v>
      </c>
      <c r="E740" t="s">
        <v>40</v>
      </c>
      <c r="F740" t="s">
        <v>45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257850.06999999989</v>
      </c>
      <c r="E741" t="s">
        <v>40</v>
      </c>
      <c r="F741" t="s">
        <v>45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409845.87</v>
      </c>
      <c r="E742" t="s">
        <v>40</v>
      </c>
      <c r="F742" t="s">
        <v>45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166898.82999999999</v>
      </c>
      <c r="E743" t="s">
        <v>40</v>
      </c>
      <c r="F743" t="s">
        <v>45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187074.7</v>
      </c>
      <c r="E744" t="s">
        <v>40</v>
      </c>
      <c r="F744" t="s">
        <v>45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104615.84</v>
      </c>
      <c r="E745" t="s">
        <v>40</v>
      </c>
      <c r="F745" t="s">
        <v>45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45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45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45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0</v>
      </c>
      <c r="E749" t="s">
        <v>40</v>
      </c>
      <c r="F749" t="s">
        <v>45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45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45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2002.48</v>
      </c>
      <c r="E752" t="s">
        <v>40</v>
      </c>
      <c r="F752" t="s">
        <v>45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45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45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19718.060000000001</v>
      </c>
      <c r="E755" t="s">
        <v>40</v>
      </c>
      <c r="F755" t="s">
        <v>45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75350.259999999995</v>
      </c>
      <c r="E756" t="s">
        <v>40</v>
      </c>
      <c r="F756" t="s">
        <v>45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45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146</v>
      </c>
      <c r="E758" t="s">
        <v>40</v>
      </c>
      <c r="F758" t="s">
        <v>45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189</v>
      </c>
      <c r="E759" t="s">
        <v>40</v>
      </c>
      <c r="F759" t="s">
        <v>45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168</v>
      </c>
      <c r="E760" t="s">
        <v>40</v>
      </c>
      <c r="F760" t="s">
        <v>45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158</v>
      </c>
      <c r="E761" t="s">
        <v>40</v>
      </c>
      <c r="F761" t="s">
        <v>45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152</v>
      </c>
      <c r="E762" t="s">
        <v>40</v>
      </c>
      <c r="F762" t="s">
        <v>45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194</v>
      </c>
      <c r="E763" t="s">
        <v>40</v>
      </c>
      <c r="F763" t="s">
        <v>45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241</v>
      </c>
      <c r="E764" t="s">
        <v>40</v>
      </c>
      <c r="F764" t="s">
        <v>45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233</v>
      </c>
      <c r="E765" t="s">
        <v>40</v>
      </c>
      <c r="F765" t="s">
        <v>45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182</v>
      </c>
      <c r="E766" t="s">
        <v>40</v>
      </c>
      <c r="F766" t="s">
        <v>45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186</v>
      </c>
      <c r="E767" t="s">
        <v>40</v>
      </c>
      <c r="F767" t="s">
        <v>45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131</v>
      </c>
      <c r="E768" t="s">
        <v>40</v>
      </c>
      <c r="F768" t="s">
        <v>45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161</v>
      </c>
      <c r="E769" t="s">
        <v>40</v>
      </c>
      <c r="F769" t="s">
        <v>45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</v>
      </c>
      <c r="E770" t="s">
        <v>40</v>
      </c>
      <c r="F770" t="s">
        <v>45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3</v>
      </c>
      <c r="E771" t="s">
        <v>40</v>
      </c>
      <c r="F771" t="s">
        <v>45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5</v>
      </c>
      <c r="E772" t="s">
        <v>40</v>
      </c>
      <c r="F772" t="s">
        <v>45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4</v>
      </c>
      <c r="E773" t="s">
        <v>40</v>
      </c>
      <c r="F773" t="s">
        <v>45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20</v>
      </c>
      <c r="E774" t="s">
        <v>40</v>
      </c>
      <c r="F774" t="s">
        <v>45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13</v>
      </c>
      <c r="E775" t="s">
        <v>40</v>
      </c>
      <c r="F775" t="s">
        <v>45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41</v>
      </c>
      <c r="E776" t="s">
        <v>40</v>
      </c>
      <c r="F776" t="s">
        <v>45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56</v>
      </c>
      <c r="E777" t="s">
        <v>40</v>
      </c>
      <c r="F777" t="s">
        <v>45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55</v>
      </c>
      <c r="E778" t="s">
        <v>40</v>
      </c>
      <c r="F778" t="s">
        <v>45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78</v>
      </c>
      <c r="E779" t="s">
        <v>40</v>
      </c>
      <c r="F779" t="s">
        <v>45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80</v>
      </c>
      <c r="E780" t="s">
        <v>40</v>
      </c>
      <c r="F780" t="s">
        <v>45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73</v>
      </c>
      <c r="E781" t="s">
        <v>40</v>
      </c>
      <c r="F781" t="s">
        <v>45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4</v>
      </c>
      <c r="E782" t="s">
        <v>40</v>
      </c>
      <c r="F782" t="s">
        <v>45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7</v>
      </c>
      <c r="E783" t="s">
        <v>40</v>
      </c>
      <c r="F783" t="s">
        <v>45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12</v>
      </c>
      <c r="E784" t="s">
        <v>40</v>
      </c>
      <c r="F784" t="s">
        <v>45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7</v>
      </c>
      <c r="E785" t="s">
        <v>40</v>
      </c>
      <c r="F785" t="s">
        <v>45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6</v>
      </c>
      <c r="E786" t="s">
        <v>40</v>
      </c>
      <c r="F786" t="s">
        <v>45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3</v>
      </c>
      <c r="E787" t="s">
        <v>40</v>
      </c>
      <c r="F787" t="s">
        <v>45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2</v>
      </c>
      <c r="E788" t="s">
        <v>40</v>
      </c>
      <c r="F788" t="s">
        <v>45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2</v>
      </c>
      <c r="E789" t="s">
        <v>40</v>
      </c>
      <c r="F789" t="s">
        <v>45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45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2</v>
      </c>
      <c r="E791" t="s">
        <v>40</v>
      </c>
      <c r="F791" t="s">
        <v>45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1</v>
      </c>
      <c r="E792" t="s">
        <v>40</v>
      </c>
      <c r="F792" t="s">
        <v>45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1</v>
      </c>
      <c r="E793" t="s">
        <v>40</v>
      </c>
      <c r="F793" t="s">
        <v>45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45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45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45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45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45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45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45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45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45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45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45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45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45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45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45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45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45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45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45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45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45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45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45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45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45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45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45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45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45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45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45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45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0</v>
      </c>
      <c r="E826" t="s">
        <v>40</v>
      </c>
      <c r="F826" t="s">
        <v>45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45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0</v>
      </c>
      <c r="E828" t="s">
        <v>40</v>
      </c>
      <c r="F828" t="s">
        <v>45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0</v>
      </c>
      <c r="E829" t="s">
        <v>40</v>
      </c>
      <c r="F829" t="s">
        <v>45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45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45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45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45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45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45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45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45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45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45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45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45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45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45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45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45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45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45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45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45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45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45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45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45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45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45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45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45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45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45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45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45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45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45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45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45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45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45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45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45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45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45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45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45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0</v>
      </c>
      <c r="E874" t="s">
        <v>40</v>
      </c>
      <c r="F874" t="s">
        <v>45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45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45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45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45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45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45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45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45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45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45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45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45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45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45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45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0</v>
      </c>
      <c r="E890" t="s">
        <v>40</v>
      </c>
      <c r="F890" t="s">
        <v>45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45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45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45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45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45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0</v>
      </c>
      <c r="E896" t="s">
        <v>40</v>
      </c>
      <c r="F896" t="s">
        <v>45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45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45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45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45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45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45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45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45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45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45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45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45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45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0</v>
      </c>
      <c r="E910" t="s">
        <v>40</v>
      </c>
      <c r="F910" t="s">
        <v>45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45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0</v>
      </c>
      <c r="E912" t="s">
        <v>40</v>
      </c>
      <c r="F912" t="s">
        <v>45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0</v>
      </c>
      <c r="E913" t="s">
        <v>40</v>
      </c>
      <c r="F913" t="s">
        <v>45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45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45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45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45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45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45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45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45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45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45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45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45</v>
      </c>
    </row>
    <row r="926" spans="1:6" x14ac:dyDescent="0.35">
      <c r="A926" t="s">
        <v>6</v>
      </c>
      <c r="B926" t="s">
        <v>54</v>
      </c>
      <c r="C926" t="s">
        <v>44</v>
      </c>
      <c r="D926">
        <v>42850.36</v>
      </c>
      <c r="E926" t="s">
        <v>40</v>
      </c>
      <c r="F926" t="s">
        <v>45</v>
      </c>
    </row>
    <row r="927" spans="1:6" x14ac:dyDescent="0.35">
      <c r="A927" t="s">
        <v>11</v>
      </c>
      <c r="B927" t="s">
        <v>54</v>
      </c>
      <c r="C927" t="s">
        <v>44</v>
      </c>
      <c r="D927">
        <v>26556.81</v>
      </c>
      <c r="E927" t="s">
        <v>40</v>
      </c>
      <c r="F927" t="s">
        <v>45</v>
      </c>
    </row>
    <row r="928" spans="1:6" x14ac:dyDescent="0.35">
      <c r="A928" t="s">
        <v>12</v>
      </c>
      <c r="B928" t="s">
        <v>54</v>
      </c>
      <c r="C928" t="s">
        <v>44</v>
      </c>
      <c r="D928">
        <v>3198.93</v>
      </c>
      <c r="E928" t="s">
        <v>40</v>
      </c>
      <c r="F928" t="s">
        <v>45</v>
      </c>
    </row>
    <row r="929" spans="1:6" x14ac:dyDescent="0.35">
      <c r="A929" t="s">
        <v>13</v>
      </c>
      <c r="B929" t="s">
        <v>54</v>
      </c>
      <c r="C929" t="s">
        <v>44</v>
      </c>
      <c r="D929">
        <v>43305.01</v>
      </c>
      <c r="E929" t="s">
        <v>40</v>
      </c>
      <c r="F929" t="s">
        <v>45</v>
      </c>
    </row>
    <row r="930" spans="1:6" x14ac:dyDescent="0.35">
      <c r="A930" t="s">
        <v>14</v>
      </c>
      <c r="B930" t="s">
        <v>54</v>
      </c>
      <c r="C930" t="s">
        <v>44</v>
      </c>
      <c r="D930">
        <v>23958.38</v>
      </c>
      <c r="E930" t="s">
        <v>40</v>
      </c>
      <c r="F930" t="s">
        <v>45</v>
      </c>
    </row>
    <row r="931" spans="1:6" x14ac:dyDescent="0.35">
      <c r="A931" t="s">
        <v>15</v>
      </c>
      <c r="B931" t="s">
        <v>54</v>
      </c>
      <c r="C931" t="s">
        <v>44</v>
      </c>
      <c r="D931">
        <v>42885.05</v>
      </c>
      <c r="E931" t="s">
        <v>40</v>
      </c>
      <c r="F931" t="s">
        <v>45</v>
      </c>
    </row>
    <row r="932" spans="1:6" x14ac:dyDescent="0.35">
      <c r="A932" t="s">
        <v>16</v>
      </c>
      <c r="B932" t="s">
        <v>54</v>
      </c>
      <c r="C932" t="s">
        <v>44</v>
      </c>
      <c r="D932">
        <v>200256.29</v>
      </c>
      <c r="E932" t="s">
        <v>40</v>
      </c>
      <c r="F932" t="s">
        <v>45</v>
      </c>
    </row>
    <row r="933" spans="1:6" x14ac:dyDescent="0.35">
      <c r="A933" t="s">
        <v>17</v>
      </c>
      <c r="B933" t="s">
        <v>54</v>
      </c>
      <c r="C933" t="s">
        <v>44</v>
      </c>
      <c r="D933">
        <v>27769.87</v>
      </c>
      <c r="E933" t="s">
        <v>40</v>
      </c>
      <c r="F933" t="s">
        <v>45</v>
      </c>
    </row>
    <row r="934" spans="1:6" x14ac:dyDescent="0.35">
      <c r="A934" t="s">
        <v>18</v>
      </c>
      <c r="B934" t="s">
        <v>54</v>
      </c>
      <c r="C934" t="s">
        <v>44</v>
      </c>
      <c r="D934">
        <v>80973.95</v>
      </c>
      <c r="E934" t="s">
        <v>40</v>
      </c>
      <c r="F934" t="s">
        <v>45</v>
      </c>
    </row>
    <row r="935" spans="1:6" x14ac:dyDescent="0.35">
      <c r="A935" t="s">
        <v>19</v>
      </c>
      <c r="B935" t="s">
        <v>54</v>
      </c>
      <c r="C935" t="s">
        <v>44</v>
      </c>
      <c r="D935">
        <v>161091.13</v>
      </c>
      <c r="E935" t="s">
        <v>40</v>
      </c>
      <c r="F935" t="s">
        <v>45</v>
      </c>
    </row>
    <row r="936" spans="1:6" x14ac:dyDescent="0.35">
      <c r="A936" t="s">
        <v>20</v>
      </c>
      <c r="B936" t="s">
        <v>54</v>
      </c>
      <c r="C936" t="s">
        <v>44</v>
      </c>
      <c r="D936">
        <v>750351.53</v>
      </c>
      <c r="E936" t="s">
        <v>40</v>
      </c>
      <c r="F936" t="s">
        <v>45</v>
      </c>
    </row>
    <row r="937" spans="1:6" x14ac:dyDescent="0.35">
      <c r="A937" t="s">
        <v>21</v>
      </c>
      <c r="B937" t="s">
        <v>54</v>
      </c>
      <c r="C937" t="s">
        <v>44</v>
      </c>
      <c r="D937">
        <v>164926.82</v>
      </c>
      <c r="E937" t="s">
        <v>40</v>
      </c>
      <c r="F937" t="s">
        <v>45</v>
      </c>
    </row>
    <row r="938" spans="1:6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45</v>
      </c>
    </row>
    <row r="939" spans="1:6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45</v>
      </c>
    </row>
    <row r="940" spans="1:6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45</v>
      </c>
    </row>
    <row r="941" spans="1:6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45</v>
      </c>
    </row>
    <row r="942" spans="1:6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45</v>
      </c>
    </row>
    <row r="943" spans="1:6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45</v>
      </c>
    </row>
    <row r="944" spans="1:6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45</v>
      </c>
    </row>
    <row r="945" spans="1:6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45</v>
      </c>
    </row>
    <row r="946" spans="1:6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45</v>
      </c>
    </row>
    <row r="947" spans="1:6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45</v>
      </c>
    </row>
    <row r="948" spans="1:6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45</v>
      </c>
    </row>
    <row r="949" spans="1:6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45</v>
      </c>
    </row>
    <row r="950" spans="1:6" x14ac:dyDescent="0.35">
      <c r="A950" t="s">
        <v>6</v>
      </c>
      <c r="B950" t="s">
        <v>54</v>
      </c>
      <c r="C950" t="s">
        <v>46</v>
      </c>
      <c r="D950">
        <v>126513.88</v>
      </c>
      <c r="E950" t="s">
        <v>40</v>
      </c>
      <c r="F950" t="s">
        <v>45</v>
      </c>
    </row>
    <row r="951" spans="1:6" x14ac:dyDescent="0.35">
      <c r="A951" t="s">
        <v>11</v>
      </c>
      <c r="B951" t="s">
        <v>54</v>
      </c>
      <c r="C951" t="s">
        <v>46</v>
      </c>
      <c r="D951">
        <v>70076.98</v>
      </c>
      <c r="E951" t="s">
        <v>40</v>
      </c>
      <c r="F951" t="s">
        <v>45</v>
      </c>
    </row>
    <row r="952" spans="1:6" x14ac:dyDescent="0.35">
      <c r="A952" t="s">
        <v>12</v>
      </c>
      <c r="B952" t="s">
        <v>54</v>
      </c>
      <c r="C952" t="s">
        <v>46</v>
      </c>
      <c r="D952">
        <v>55154.340000000011</v>
      </c>
      <c r="E952" t="s">
        <v>40</v>
      </c>
      <c r="F952" t="s">
        <v>45</v>
      </c>
    </row>
    <row r="953" spans="1:6" x14ac:dyDescent="0.35">
      <c r="A953" t="s">
        <v>13</v>
      </c>
      <c r="B953" t="s">
        <v>54</v>
      </c>
      <c r="C953" t="s">
        <v>46</v>
      </c>
      <c r="D953">
        <v>111274.98</v>
      </c>
      <c r="E953" t="s">
        <v>40</v>
      </c>
      <c r="F953" t="s">
        <v>45</v>
      </c>
    </row>
    <row r="954" spans="1:6" x14ac:dyDescent="0.35">
      <c r="A954" t="s">
        <v>14</v>
      </c>
      <c r="B954" t="s">
        <v>54</v>
      </c>
      <c r="C954" t="s">
        <v>46</v>
      </c>
      <c r="D954">
        <v>95366.159999999989</v>
      </c>
      <c r="E954" t="s">
        <v>40</v>
      </c>
      <c r="F954" t="s">
        <v>45</v>
      </c>
    </row>
    <row r="955" spans="1:6" x14ac:dyDescent="0.35">
      <c r="A955" t="s">
        <v>15</v>
      </c>
      <c r="B955" t="s">
        <v>54</v>
      </c>
      <c r="C955" t="s">
        <v>46</v>
      </c>
      <c r="D955">
        <v>114855.67</v>
      </c>
      <c r="E955" t="s">
        <v>40</v>
      </c>
      <c r="F955" t="s">
        <v>45</v>
      </c>
    </row>
    <row r="956" spans="1:6" x14ac:dyDescent="0.35">
      <c r="A956" t="s">
        <v>16</v>
      </c>
      <c r="B956" t="s">
        <v>54</v>
      </c>
      <c r="C956" t="s">
        <v>46</v>
      </c>
      <c r="D956">
        <v>132778.38</v>
      </c>
      <c r="E956" t="s">
        <v>40</v>
      </c>
      <c r="F956" t="s">
        <v>45</v>
      </c>
    </row>
    <row r="957" spans="1:6" x14ac:dyDescent="0.35">
      <c r="A957" t="s">
        <v>17</v>
      </c>
      <c r="B957" t="s">
        <v>54</v>
      </c>
      <c r="C957" t="s">
        <v>46</v>
      </c>
      <c r="D957">
        <v>260788.88</v>
      </c>
      <c r="E957" t="s">
        <v>40</v>
      </c>
      <c r="F957" t="s">
        <v>45</v>
      </c>
    </row>
    <row r="958" spans="1:6" x14ac:dyDescent="0.35">
      <c r="A958" t="s">
        <v>18</v>
      </c>
      <c r="B958" t="s">
        <v>54</v>
      </c>
      <c r="C958" t="s">
        <v>46</v>
      </c>
      <c r="D958">
        <v>248743.25999999989</v>
      </c>
      <c r="E958" t="s">
        <v>40</v>
      </c>
      <c r="F958" t="s">
        <v>45</v>
      </c>
    </row>
    <row r="959" spans="1:6" x14ac:dyDescent="0.35">
      <c r="A959" t="s">
        <v>19</v>
      </c>
      <c r="B959" t="s">
        <v>54</v>
      </c>
      <c r="C959" t="s">
        <v>46</v>
      </c>
      <c r="D959">
        <v>499322.31999999989</v>
      </c>
      <c r="E959" t="s">
        <v>40</v>
      </c>
      <c r="F959" t="s">
        <v>45</v>
      </c>
    </row>
    <row r="960" spans="1:6" x14ac:dyDescent="0.35">
      <c r="A960" t="s">
        <v>20</v>
      </c>
      <c r="B960" t="s">
        <v>54</v>
      </c>
      <c r="C960" t="s">
        <v>46</v>
      </c>
      <c r="D960">
        <v>219904.42999999991</v>
      </c>
      <c r="E960" t="s">
        <v>40</v>
      </c>
      <c r="F960" t="s">
        <v>45</v>
      </c>
    </row>
    <row r="961" spans="1:6" x14ac:dyDescent="0.35">
      <c r="A961" t="s">
        <v>21</v>
      </c>
      <c r="B961" t="s">
        <v>54</v>
      </c>
      <c r="C961" t="s">
        <v>46</v>
      </c>
      <c r="D961">
        <v>486579.72</v>
      </c>
      <c r="E961" t="s">
        <v>40</v>
      </c>
      <c r="F961" t="s">
        <v>45</v>
      </c>
    </row>
    <row r="962" spans="1:6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45</v>
      </c>
    </row>
    <row r="963" spans="1:6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45</v>
      </c>
    </row>
    <row r="964" spans="1:6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45</v>
      </c>
    </row>
    <row r="965" spans="1:6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45</v>
      </c>
    </row>
    <row r="966" spans="1:6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45</v>
      </c>
    </row>
    <row r="967" spans="1:6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45</v>
      </c>
    </row>
    <row r="968" spans="1:6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45</v>
      </c>
    </row>
    <row r="969" spans="1:6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45</v>
      </c>
    </row>
    <row r="970" spans="1:6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45</v>
      </c>
    </row>
    <row r="971" spans="1:6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45</v>
      </c>
    </row>
    <row r="972" spans="1:6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45</v>
      </c>
    </row>
    <row r="973" spans="1:6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45</v>
      </c>
    </row>
    <row r="974" spans="1:6" x14ac:dyDescent="0.35">
      <c r="A974" t="s">
        <v>6</v>
      </c>
      <c r="B974" t="s">
        <v>54</v>
      </c>
      <c r="C974" t="s">
        <v>47</v>
      </c>
      <c r="D974">
        <v>4163.6499999999996</v>
      </c>
      <c r="E974" t="s">
        <v>40</v>
      </c>
      <c r="F974" t="s">
        <v>45</v>
      </c>
    </row>
    <row r="975" spans="1:6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45</v>
      </c>
    </row>
    <row r="976" spans="1:6" x14ac:dyDescent="0.35">
      <c r="A976" t="s">
        <v>12</v>
      </c>
      <c r="B976" t="s">
        <v>54</v>
      </c>
      <c r="C976" t="s">
        <v>47</v>
      </c>
      <c r="D976">
        <v>629.66999999999996</v>
      </c>
      <c r="E976" t="s">
        <v>40</v>
      </c>
      <c r="F976" t="s">
        <v>45</v>
      </c>
    </row>
    <row r="977" spans="1:6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45</v>
      </c>
    </row>
    <row r="978" spans="1:6" x14ac:dyDescent="0.35">
      <c r="A978" t="s">
        <v>14</v>
      </c>
      <c r="B978" t="s">
        <v>54</v>
      </c>
      <c r="C978" t="s">
        <v>47</v>
      </c>
      <c r="D978">
        <v>439.18</v>
      </c>
      <c r="E978" t="s">
        <v>40</v>
      </c>
      <c r="F978" t="s">
        <v>45</v>
      </c>
    </row>
    <row r="979" spans="1:6" x14ac:dyDescent="0.35">
      <c r="A979" t="s">
        <v>15</v>
      </c>
      <c r="B979" t="s">
        <v>54</v>
      </c>
      <c r="C979" t="s">
        <v>47</v>
      </c>
      <c r="D979">
        <v>15092.88</v>
      </c>
      <c r="E979" t="s">
        <v>40</v>
      </c>
      <c r="F979" t="s">
        <v>45</v>
      </c>
    </row>
    <row r="980" spans="1:6" x14ac:dyDescent="0.35">
      <c r="A980" t="s">
        <v>16</v>
      </c>
      <c r="B980" t="s">
        <v>54</v>
      </c>
      <c r="C980" t="s">
        <v>47</v>
      </c>
      <c r="D980">
        <v>550.96</v>
      </c>
      <c r="E980" t="s">
        <v>40</v>
      </c>
      <c r="F980" t="s">
        <v>45</v>
      </c>
    </row>
    <row r="981" spans="1:6" x14ac:dyDescent="0.35">
      <c r="A981" t="s">
        <v>17</v>
      </c>
      <c r="B981" t="s">
        <v>54</v>
      </c>
      <c r="C981" t="s">
        <v>47</v>
      </c>
      <c r="D981">
        <v>3222.5</v>
      </c>
      <c r="E981" t="s">
        <v>40</v>
      </c>
      <c r="F981" t="s">
        <v>45</v>
      </c>
    </row>
    <row r="982" spans="1:6" x14ac:dyDescent="0.35">
      <c r="A982" t="s">
        <v>18</v>
      </c>
      <c r="B982" t="s">
        <v>54</v>
      </c>
      <c r="C982" t="s">
        <v>47</v>
      </c>
      <c r="D982">
        <v>4088.98</v>
      </c>
      <c r="E982" t="s">
        <v>40</v>
      </c>
      <c r="F982" t="s">
        <v>45</v>
      </c>
    </row>
    <row r="983" spans="1:6" x14ac:dyDescent="0.35">
      <c r="A983" t="s">
        <v>19</v>
      </c>
      <c r="B983" t="s">
        <v>54</v>
      </c>
      <c r="C983" t="s">
        <v>47</v>
      </c>
      <c r="D983">
        <v>3148.41</v>
      </c>
      <c r="E983" t="s">
        <v>40</v>
      </c>
      <c r="F983" t="s">
        <v>45</v>
      </c>
    </row>
    <row r="984" spans="1:6" x14ac:dyDescent="0.35">
      <c r="A984" t="s">
        <v>20</v>
      </c>
      <c r="B984" t="s">
        <v>54</v>
      </c>
      <c r="C984" t="s">
        <v>47</v>
      </c>
      <c r="D984">
        <v>59.11</v>
      </c>
      <c r="E984" t="s">
        <v>40</v>
      </c>
      <c r="F984" t="s">
        <v>45</v>
      </c>
    </row>
    <row r="985" spans="1:6" x14ac:dyDescent="0.35">
      <c r="A985" t="s">
        <v>21</v>
      </c>
      <c r="B985" t="s">
        <v>54</v>
      </c>
      <c r="C985" t="s">
        <v>47</v>
      </c>
      <c r="D985">
        <v>45061.3</v>
      </c>
      <c r="E985" t="s">
        <v>40</v>
      </c>
      <c r="F985" t="s">
        <v>45</v>
      </c>
    </row>
    <row r="986" spans="1:6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45</v>
      </c>
    </row>
    <row r="987" spans="1:6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45</v>
      </c>
    </row>
    <row r="988" spans="1:6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45</v>
      </c>
    </row>
    <row r="989" spans="1:6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45</v>
      </c>
    </row>
    <row r="990" spans="1:6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45</v>
      </c>
    </row>
    <row r="991" spans="1:6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45</v>
      </c>
    </row>
    <row r="992" spans="1:6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45</v>
      </c>
    </row>
    <row r="993" spans="1:6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45</v>
      </c>
    </row>
    <row r="994" spans="1:6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45</v>
      </c>
    </row>
    <row r="995" spans="1:6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45</v>
      </c>
    </row>
    <row r="996" spans="1:6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45</v>
      </c>
    </row>
    <row r="997" spans="1:6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45</v>
      </c>
    </row>
    <row r="998" spans="1:6" x14ac:dyDescent="0.35">
      <c r="A998" t="s">
        <v>6</v>
      </c>
      <c r="B998" t="s">
        <v>54</v>
      </c>
      <c r="C998" t="s">
        <v>49</v>
      </c>
      <c r="D998">
        <v>25576.32</v>
      </c>
      <c r="E998" t="s">
        <v>40</v>
      </c>
      <c r="F998" t="s">
        <v>45</v>
      </c>
    </row>
    <row r="999" spans="1:6" x14ac:dyDescent="0.35">
      <c r="A999" t="s">
        <v>11</v>
      </c>
      <c r="B999" t="s">
        <v>54</v>
      </c>
      <c r="C999" t="s">
        <v>49</v>
      </c>
      <c r="D999">
        <v>17009.95</v>
      </c>
      <c r="E999" t="s">
        <v>40</v>
      </c>
      <c r="F999" t="s">
        <v>45</v>
      </c>
    </row>
    <row r="1000" spans="1:6" x14ac:dyDescent="0.35">
      <c r="A1000" t="s">
        <v>12</v>
      </c>
      <c r="B1000" t="s">
        <v>54</v>
      </c>
      <c r="C1000" t="s">
        <v>49</v>
      </c>
      <c r="D1000">
        <v>18519.240000000002</v>
      </c>
      <c r="E1000" t="s">
        <v>40</v>
      </c>
      <c r="F1000" t="s">
        <v>45</v>
      </c>
    </row>
    <row r="1001" spans="1:6" x14ac:dyDescent="0.35">
      <c r="A1001" t="s">
        <v>13</v>
      </c>
      <c r="B1001" t="s">
        <v>54</v>
      </c>
      <c r="C1001" t="s">
        <v>49</v>
      </c>
      <c r="D1001">
        <v>66918.66</v>
      </c>
      <c r="E1001" t="s">
        <v>40</v>
      </c>
      <c r="F1001" t="s">
        <v>45</v>
      </c>
    </row>
    <row r="1002" spans="1:6" x14ac:dyDescent="0.35">
      <c r="A1002" t="s">
        <v>14</v>
      </c>
      <c r="B1002" t="s">
        <v>54</v>
      </c>
      <c r="C1002" t="s">
        <v>49</v>
      </c>
      <c r="D1002">
        <v>23164.59</v>
      </c>
      <c r="E1002" t="s">
        <v>40</v>
      </c>
      <c r="F1002" t="s">
        <v>45</v>
      </c>
    </row>
    <row r="1003" spans="1:6" x14ac:dyDescent="0.35">
      <c r="A1003" t="s">
        <v>15</v>
      </c>
      <c r="B1003" t="s">
        <v>54</v>
      </c>
      <c r="C1003" t="s">
        <v>49</v>
      </c>
      <c r="D1003">
        <v>18363.23</v>
      </c>
      <c r="E1003" t="s">
        <v>40</v>
      </c>
      <c r="F1003" t="s">
        <v>45</v>
      </c>
    </row>
    <row r="1004" spans="1:6" x14ac:dyDescent="0.35">
      <c r="A1004" t="s">
        <v>16</v>
      </c>
      <c r="B1004" t="s">
        <v>54</v>
      </c>
      <c r="C1004" t="s">
        <v>49</v>
      </c>
      <c r="D1004">
        <v>68595.070000000007</v>
      </c>
      <c r="E1004" t="s">
        <v>40</v>
      </c>
      <c r="F1004" t="s">
        <v>45</v>
      </c>
    </row>
    <row r="1005" spans="1:6" x14ac:dyDescent="0.35">
      <c r="A1005" t="s">
        <v>17</v>
      </c>
      <c r="B1005" t="s">
        <v>54</v>
      </c>
      <c r="C1005" t="s">
        <v>49</v>
      </c>
      <c r="D1005">
        <v>30824.580000000009</v>
      </c>
      <c r="E1005" t="s">
        <v>40</v>
      </c>
      <c r="F1005" t="s">
        <v>45</v>
      </c>
    </row>
    <row r="1006" spans="1:6" x14ac:dyDescent="0.35">
      <c r="A1006" t="s">
        <v>18</v>
      </c>
      <c r="B1006" t="s">
        <v>54</v>
      </c>
      <c r="C1006" t="s">
        <v>49</v>
      </c>
      <c r="D1006">
        <v>94122.93</v>
      </c>
      <c r="E1006" t="s">
        <v>40</v>
      </c>
      <c r="F1006" t="s">
        <v>45</v>
      </c>
    </row>
    <row r="1007" spans="1:6" x14ac:dyDescent="0.35">
      <c r="A1007" t="s">
        <v>19</v>
      </c>
      <c r="B1007" t="s">
        <v>54</v>
      </c>
      <c r="C1007" t="s">
        <v>49</v>
      </c>
      <c r="D1007">
        <v>144268.54999999999</v>
      </c>
      <c r="E1007" t="s">
        <v>40</v>
      </c>
      <c r="F1007" t="s">
        <v>45</v>
      </c>
    </row>
    <row r="1008" spans="1:6" x14ac:dyDescent="0.35">
      <c r="A1008" t="s">
        <v>20</v>
      </c>
      <c r="B1008" t="s">
        <v>54</v>
      </c>
      <c r="C1008" t="s">
        <v>49</v>
      </c>
      <c r="D1008">
        <v>334423.56</v>
      </c>
      <c r="E1008" t="s">
        <v>40</v>
      </c>
      <c r="F1008" t="s">
        <v>45</v>
      </c>
    </row>
    <row r="1009" spans="1:6" x14ac:dyDescent="0.35">
      <c r="A1009" t="s">
        <v>21</v>
      </c>
      <c r="B1009" t="s">
        <v>54</v>
      </c>
      <c r="C1009" t="s">
        <v>49</v>
      </c>
      <c r="D1009">
        <v>183750.79</v>
      </c>
      <c r="E1009" t="s">
        <v>40</v>
      </c>
      <c r="F1009" t="s">
        <v>45</v>
      </c>
    </row>
    <row r="1010" spans="1:6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45</v>
      </c>
    </row>
    <row r="1011" spans="1:6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45</v>
      </c>
    </row>
    <row r="1012" spans="1:6" x14ac:dyDescent="0.35">
      <c r="A1012" t="s">
        <v>12</v>
      </c>
      <c r="B1012" t="s">
        <v>54</v>
      </c>
      <c r="C1012" t="s">
        <v>50</v>
      </c>
      <c r="D1012">
        <v>0</v>
      </c>
      <c r="E1012" t="s">
        <v>40</v>
      </c>
      <c r="F1012" t="s">
        <v>45</v>
      </c>
    </row>
    <row r="1013" spans="1:6" x14ac:dyDescent="0.35">
      <c r="A1013" t="s">
        <v>13</v>
      </c>
      <c r="B1013" t="s">
        <v>54</v>
      </c>
      <c r="C1013" t="s">
        <v>50</v>
      </c>
      <c r="D1013">
        <v>94376.71</v>
      </c>
      <c r="E1013" t="s">
        <v>40</v>
      </c>
      <c r="F1013" t="s">
        <v>45</v>
      </c>
    </row>
    <row r="1014" spans="1:6" x14ac:dyDescent="0.35">
      <c r="A1014" t="s">
        <v>14</v>
      </c>
      <c r="B1014" t="s">
        <v>54</v>
      </c>
      <c r="C1014" t="s">
        <v>50</v>
      </c>
      <c r="D1014">
        <v>0</v>
      </c>
      <c r="E1014" t="s">
        <v>40</v>
      </c>
      <c r="F1014" t="s">
        <v>45</v>
      </c>
    </row>
    <row r="1015" spans="1:6" x14ac:dyDescent="0.35">
      <c r="A1015" t="s">
        <v>15</v>
      </c>
      <c r="B1015" t="s">
        <v>54</v>
      </c>
      <c r="C1015" t="s">
        <v>50</v>
      </c>
      <c r="D1015">
        <v>11311.02</v>
      </c>
      <c r="E1015" t="s">
        <v>40</v>
      </c>
      <c r="F1015" t="s">
        <v>45</v>
      </c>
    </row>
    <row r="1016" spans="1:6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45</v>
      </c>
    </row>
    <row r="1017" spans="1:6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45</v>
      </c>
    </row>
    <row r="1018" spans="1:6" x14ac:dyDescent="0.35">
      <c r="A1018" t="s">
        <v>18</v>
      </c>
      <c r="B1018" t="s">
        <v>54</v>
      </c>
      <c r="C1018" t="s">
        <v>50</v>
      </c>
      <c r="D1018">
        <v>265356.71999999997</v>
      </c>
      <c r="E1018" t="s">
        <v>40</v>
      </c>
      <c r="F1018" t="s">
        <v>45</v>
      </c>
    </row>
    <row r="1019" spans="1:6" x14ac:dyDescent="0.35">
      <c r="A1019" t="s">
        <v>19</v>
      </c>
      <c r="B1019" t="s">
        <v>54</v>
      </c>
      <c r="C1019" t="s">
        <v>50</v>
      </c>
      <c r="D1019">
        <v>616855.26</v>
      </c>
      <c r="E1019" t="s">
        <v>40</v>
      </c>
      <c r="F1019" t="s">
        <v>45</v>
      </c>
    </row>
    <row r="1020" spans="1:6" x14ac:dyDescent="0.35">
      <c r="A1020" t="s">
        <v>20</v>
      </c>
      <c r="B1020" t="s">
        <v>54</v>
      </c>
      <c r="C1020" t="s">
        <v>50</v>
      </c>
      <c r="D1020">
        <v>1114382.79</v>
      </c>
      <c r="E1020" t="s">
        <v>40</v>
      </c>
      <c r="F1020" t="s">
        <v>45</v>
      </c>
    </row>
    <row r="1021" spans="1:6" x14ac:dyDescent="0.35">
      <c r="A1021" t="s">
        <v>21</v>
      </c>
      <c r="B1021" t="s">
        <v>54</v>
      </c>
      <c r="C1021" t="s">
        <v>50</v>
      </c>
      <c r="D1021">
        <v>835389.39</v>
      </c>
      <c r="E1021" t="s">
        <v>40</v>
      </c>
      <c r="F1021" t="s">
        <v>45</v>
      </c>
    </row>
    <row r="1022" spans="1:6" x14ac:dyDescent="0.35">
      <c r="A1022" t="s">
        <v>6</v>
      </c>
      <c r="B1022" t="s">
        <v>54</v>
      </c>
      <c r="C1022" t="s">
        <v>51</v>
      </c>
      <c r="D1022">
        <v>98</v>
      </c>
      <c r="E1022" t="s">
        <v>40</v>
      </c>
      <c r="F1022" t="s">
        <v>45</v>
      </c>
    </row>
    <row r="1023" spans="1:6" x14ac:dyDescent="0.35">
      <c r="A1023" t="s">
        <v>11</v>
      </c>
      <c r="B1023" t="s">
        <v>54</v>
      </c>
      <c r="C1023" t="s">
        <v>51</v>
      </c>
      <c r="D1023">
        <v>116</v>
      </c>
      <c r="E1023" t="s">
        <v>40</v>
      </c>
      <c r="F1023" t="s">
        <v>45</v>
      </c>
    </row>
    <row r="1024" spans="1:6" x14ac:dyDescent="0.35">
      <c r="A1024" t="s">
        <v>12</v>
      </c>
      <c r="B1024" t="s">
        <v>54</v>
      </c>
      <c r="C1024" t="s">
        <v>51</v>
      </c>
      <c r="D1024">
        <v>110</v>
      </c>
      <c r="E1024" t="s">
        <v>40</v>
      </c>
      <c r="F1024" t="s">
        <v>45</v>
      </c>
    </row>
    <row r="1025" spans="1:6" x14ac:dyDescent="0.35">
      <c r="A1025" t="s">
        <v>13</v>
      </c>
      <c r="B1025" t="s">
        <v>54</v>
      </c>
      <c r="C1025" t="s">
        <v>51</v>
      </c>
      <c r="D1025">
        <v>158</v>
      </c>
      <c r="E1025" t="s">
        <v>40</v>
      </c>
      <c r="F1025" t="s">
        <v>45</v>
      </c>
    </row>
    <row r="1026" spans="1:6" x14ac:dyDescent="0.35">
      <c r="A1026" t="s">
        <v>14</v>
      </c>
      <c r="B1026" t="s">
        <v>54</v>
      </c>
      <c r="C1026" t="s">
        <v>51</v>
      </c>
      <c r="D1026">
        <v>155</v>
      </c>
      <c r="E1026" t="s">
        <v>40</v>
      </c>
      <c r="F1026" t="s">
        <v>45</v>
      </c>
    </row>
    <row r="1027" spans="1:6" x14ac:dyDescent="0.35">
      <c r="A1027" t="s">
        <v>15</v>
      </c>
      <c r="B1027" t="s">
        <v>54</v>
      </c>
      <c r="C1027" t="s">
        <v>51</v>
      </c>
      <c r="D1027">
        <v>209</v>
      </c>
      <c r="E1027" t="s">
        <v>40</v>
      </c>
      <c r="F1027" t="s">
        <v>45</v>
      </c>
    </row>
    <row r="1028" spans="1:6" x14ac:dyDescent="0.35">
      <c r="A1028" t="s">
        <v>16</v>
      </c>
      <c r="B1028" t="s">
        <v>54</v>
      </c>
      <c r="C1028" t="s">
        <v>51</v>
      </c>
      <c r="D1028">
        <v>219</v>
      </c>
      <c r="E1028" t="s">
        <v>40</v>
      </c>
      <c r="F1028" t="s">
        <v>45</v>
      </c>
    </row>
    <row r="1029" spans="1:6" x14ac:dyDescent="0.35">
      <c r="A1029" t="s">
        <v>17</v>
      </c>
      <c r="B1029" t="s">
        <v>54</v>
      </c>
      <c r="C1029" t="s">
        <v>51</v>
      </c>
      <c r="D1029">
        <v>233</v>
      </c>
      <c r="E1029" t="s">
        <v>40</v>
      </c>
      <c r="F1029" t="s">
        <v>45</v>
      </c>
    </row>
    <row r="1030" spans="1:6" x14ac:dyDescent="0.35">
      <c r="A1030" t="s">
        <v>18</v>
      </c>
      <c r="B1030" t="s">
        <v>54</v>
      </c>
      <c r="C1030" t="s">
        <v>51</v>
      </c>
      <c r="D1030">
        <v>177</v>
      </c>
      <c r="E1030" t="s">
        <v>40</v>
      </c>
      <c r="F1030" t="s">
        <v>45</v>
      </c>
    </row>
    <row r="1031" spans="1:6" x14ac:dyDescent="0.35">
      <c r="A1031" t="s">
        <v>19</v>
      </c>
      <c r="B1031" t="s">
        <v>54</v>
      </c>
      <c r="C1031" t="s">
        <v>51</v>
      </c>
      <c r="D1031">
        <v>295</v>
      </c>
      <c r="E1031" t="s">
        <v>40</v>
      </c>
      <c r="F1031" t="s">
        <v>45</v>
      </c>
    </row>
    <row r="1032" spans="1:6" x14ac:dyDescent="0.35">
      <c r="A1032" t="s">
        <v>20</v>
      </c>
      <c r="B1032" t="s">
        <v>54</v>
      </c>
      <c r="C1032" t="s">
        <v>51</v>
      </c>
      <c r="D1032">
        <v>210</v>
      </c>
      <c r="E1032" t="s">
        <v>40</v>
      </c>
      <c r="F1032" t="s">
        <v>45</v>
      </c>
    </row>
    <row r="1033" spans="1:6" x14ac:dyDescent="0.35">
      <c r="A1033" t="s">
        <v>21</v>
      </c>
      <c r="B1033" t="s">
        <v>54</v>
      </c>
      <c r="C1033" t="s">
        <v>51</v>
      </c>
      <c r="D1033">
        <v>243</v>
      </c>
      <c r="E1033" t="s">
        <v>40</v>
      </c>
      <c r="F1033" t="s">
        <v>45</v>
      </c>
    </row>
    <row r="1034" spans="1:6" x14ac:dyDescent="0.35">
      <c r="A1034" t="s">
        <v>6</v>
      </c>
      <c r="B1034" t="s">
        <v>54</v>
      </c>
      <c r="C1034" t="s">
        <v>30</v>
      </c>
      <c r="D1034">
        <v>47</v>
      </c>
      <c r="E1034" t="s">
        <v>40</v>
      </c>
      <c r="F1034" t="s">
        <v>45</v>
      </c>
    </row>
    <row r="1035" spans="1:6" x14ac:dyDescent="0.35">
      <c r="A1035" t="s">
        <v>11</v>
      </c>
      <c r="B1035" t="s">
        <v>54</v>
      </c>
      <c r="C1035" t="s">
        <v>30</v>
      </c>
      <c r="D1035">
        <v>16</v>
      </c>
      <c r="E1035" t="s">
        <v>40</v>
      </c>
      <c r="F1035" t="s">
        <v>45</v>
      </c>
    </row>
    <row r="1036" spans="1:6" x14ac:dyDescent="0.35">
      <c r="A1036" t="s">
        <v>12</v>
      </c>
      <c r="B1036" t="s">
        <v>54</v>
      </c>
      <c r="C1036" t="s">
        <v>30</v>
      </c>
      <c r="D1036">
        <v>30</v>
      </c>
      <c r="E1036" t="s">
        <v>40</v>
      </c>
      <c r="F1036" t="s">
        <v>45</v>
      </c>
    </row>
    <row r="1037" spans="1:6" x14ac:dyDescent="0.35">
      <c r="A1037" t="s">
        <v>13</v>
      </c>
      <c r="B1037" t="s">
        <v>54</v>
      </c>
      <c r="C1037" t="s">
        <v>30</v>
      </c>
      <c r="D1037">
        <v>47</v>
      </c>
      <c r="E1037" t="s">
        <v>40</v>
      </c>
      <c r="F1037" t="s">
        <v>45</v>
      </c>
    </row>
    <row r="1038" spans="1:6" x14ac:dyDescent="0.35">
      <c r="A1038" t="s">
        <v>14</v>
      </c>
      <c r="B1038" t="s">
        <v>54</v>
      </c>
      <c r="C1038" t="s">
        <v>30</v>
      </c>
      <c r="D1038">
        <v>73</v>
      </c>
      <c r="E1038" t="s">
        <v>40</v>
      </c>
      <c r="F1038" t="s">
        <v>45</v>
      </c>
    </row>
    <row r="1039" spans="1:6" x14ac:dyDescent="0.35">
      <c r="A1039" t="s">
        <v>15</v>
      </c>
      <c r="B1039" t="s">
        <v>54</v>
      </c>
      <c r="C1039" t="s">
        <v>30</v>
      </c>
      <c r="D1039">
        <v>62</v>
      </c>
      <c r="E1039" t="s">
        <v>40</v>
      </c>
      <c r="F1039" t="s">
        <v>45</v>
      </c>
    </row>
    <row r="1040" spans="1:6" x14ac:dyDescent="0.35">
      <c r="A1040" t="s">
        <v>16</v>
      </c>
      <c r="B1040" t="s">
        <v>54</v>
      </c>
      <c r="C1040" t="s">
        <v>30</v>
      </c>
      <c r="D1040">
        <v>75</v>
      </c>
      <c r="E1040" t="s">
        <v>40</v>
      </c>
      <c r="F1040" t="s">
        <v>45</v>
      </c>
    </row>
    <row r="1041" spans="1:6" x14ac:dyDescent="0.35">
      <c r="A1041" t="s">
        <v>17</v>
      </c>
      <c r="B1041" t="s">
        <v>54</v>
      </c>
      <c r="C1041" t="s">
        <v>30</v>
      </c>
      <c r="D1041">
        <v>97</v>
      </c>
      <c r="E1041" t="s">
        <v>40</v>
      </c>
      <c r="F1041" t="s">
        <v>45</v>
      </c>
    </row>
    <row r="1042" spans="1:6" x14ac:dyDescent="0.35">
      <c r="A1042" t="s">
        <v>18</v>
      </c>
      <c r="B1042" t="s">
        <v>54</v>
      </c>
      <c r="C1042" t="s">
        <v>30</v>
      </c>
      <c r="D1042">
        <v>112</v>
      </c>
      <c r="E1042" t="s">
        <v>40</v>
      </c>
      <c r="F1042" t="s">
        <v>45</v>
      </c>
    </row>
    <row r="1043" spans="1:6" x14ac:dyDescent="0.35">
      <c r="A1043" t="s">
        <v>19</v>
      </c>
      <c r="B1043" t="s">
        <v>54</v>
      </c>
      <c r="C1043" t="s">
        <v>30</v>
      </c>
      <c r="D1043">
        <v>149</v>
      </c>
      <c r="E1043" t="s">
        <v>40</v>
      </c>
      <c r="F1043" t="s">
        <v>45</v>
      </c>
    </row>
    <row r="1044" spans="1:6" x14ac:dyDescent="0.35">
      <c r="A1044" t="s">
        <v>20</v>
      </c>
      <c r="B1044" t="s">
        <v>54</v>
      </c>
      <c r="C1044" t="s">
        <v>30</v>
      </c>
      <c r="D1044">
        <v>120</v>
      </c>
      <c r="E1044" t="s">
        <v>40</v>
      </c>
      <c r="F1044" t="s">
        <v>45</v>
      </c>
    </row>
    <row r="1045" spans="1:6" x14ac:dyDescent="0.35">
      <c r="A1045" t="s">
        <v>21</v>
      </c>
      <c r="B1045" t="s">
        <v>54</v>
      </c>
      <c r="C1045" t="s">
        <v>30</v>
      </c>
      <c r="D1045">
        <v>154</v>
      </c>
      <c r="E1045" t="s">
        <v>40</v>
      </c>
      <c r="F1045" t="s">
        <v>45</v>
      </c>
    </row>
    <row r="1046" spans="1:6" x14ac:dyDescent="0.35">
      <c r="A1046" t="s">
        <v>6</v>
      </c>
      <c r="B1046" t="s">
        <v>54</v>
      </c>
      <c r="C1046" t="s">
        <v>52</v>
      </c>
      <c r="D1046">
        <v>10</v>
      </c>
      <c r="E1046" t="s">
        <v>40</v>
      </c>
      <c r="F1046" t="s">
        <v>45</v>
      </c>
    </row>
    <row r="1047" spans="1:6" x14ac:dyDescent="0.35">
      <c r="A1047" t="s">
        <v>11</v>
      </c>
      <c r="B1047" t="s">
        <v>54</v>
      </c>
      <c r="C1047" t="s">
        <v>52</v>
      </c>
      <c r="D1047">
        <v>30</v>
      </c>
      <c r="E1047" t="s">
        <v>40</v>
      </c>
      <c r="F1047" t="s">
        <v>45</v>
      </c>
    </row>
    <row r="1048" spans="1:6" x14ac:dyDescent="0.35">
      <c r="A1048" t="s">
        <v>12</v>
      </c>
      <c r="B1048" t="s">
        <v>54</v>
      </c>
      <c r="C1048" t="s">
        <v>52</v>
      </c>
      <c r="D1048">
        <v>7</v>
      </c>
      <c r="E1048" t="s">
        <v>40</v>
      </c>
      <c r="F1048" t="s">
        <v>45</v>
      </c>
    </row>
    <row r="1049" spans="1:6" x14ac:dyDescent="0.35">
      <c r="A1049" t="s">
        <v>13</v>
      </c>
      <c r="B1049" t="s">
        <v>54</v>
      </c>
      <c r="C1049" t="s">
        <v>52</v>
      </c>
      <c r="D1049">
        <v>23</v>
      </c>
      <c r="E1049" t="s">
        <v>40</v>
      </c>
      <c r="F1049" t="s">
        <v>45</v>
      </c>
    </row>
    <row r="1050" spans="1:6" x14ac:dyDescent="0.35">
      <c r="A1050" t="s">
        <v>14</v>
      </c>
      <c r="B1050" t="s">
        <v>54</v>
      </c>
      <c r="C1050" t="s">
        <v>52</v>
      </c>
      <c r="D1050">
        <v>16</v>
      </c>
      <c r="E1050" t="s">
        <v>40</v>
      </c>
      <c r="F1050" t="s">
        <v>45</v>
      </c>
    </row>
    <row r="1051" spans="1:6" x14ac:dyDescent="0.35">
      <c r="A1051" t="s">
        <v>15</v>
      </c>
      <c r="B1051" t="s">
        <v>54</v>
      </c>
      <c r="C1051" t="s">
        <v>52</v>
      </c>
      <c r="D1051">
        <v>14</v>
      </c>
      <c r="E1051" t="s">
        <v>40</v>
      </c>
      <c r="F1051" t="s">
        <v>45</v>
      </c>
    </row>
    <row r="1052" spans="1:6" x14ac:dyDescent="0.35">
      <c r="A1052" t="s">
        <v>16</v>
      </c>
      <c r="B1052" t="s">
        <v>54</v>
      </c>
      <c r="C1052" t="s">
        <v>52</v>
      </c>
      <c r="D1052">
        <v>20</v>
      </c>
      <c r="E1052" t="s">
        <v>40</v>
      </c>
      <c r="F1052" t="s">
        <v>45</v>
      </c>
    </row>
    <row r="1053" spans="1:6" x14ac:dyDescent="0.35">
      <c r="A1053" t="s">
        <v>17</v>
      </c>
      <c r="B1053" t="s">
        <v>54</v>
      </c>
      <c r="C1053" t="s">
        <v>52</v>
      </c>
      <c r="D1053">
        <v>12</v>
      </c>
      <c r="E1053" t="s">
        <v>40</v>
      </c>
      <c r="F1053" t="s">
        <v>45</v>
      </c>
    </row>
    <row r="1054" spans="1:6" x14ac:dyDescent="0.35">
      <c r="A1054" t="s">
        <v>18</v>
      </c>
      <c r="B1054" t="s">
        <v>54</v>
      </c>
      <c r="C1054" t="s">
        <v>52</v>
      </c>
      <c r="D1054">
        <v>5</v>
      </c>
      <c r="E1054" t="s">
        <v>40</v>
      </c>
      <c r="F1054" t="s">
        <v>45</v>
      </c>
    </row>
    <row r="1055" spans="1:6" x14ac:dyDescent="0.35">
      <c r="A1055" t="s">
        <v>19</v>
      </c>
      <c r="B1055" t="s">
        <v>54</v>
      </c>
      <c r="C1055" t="s">
        <v>52</v>
      </c>
      <c r="D1055">
        <v>16</v>
      </c>
      <c r="E1055" t="s">
        <v>40</v>
      </c>
      <c r="F1055" t="s">
        <v>45</v>
      </c>
    </row>
    <row r="1056" spans="1:6" x14ac:dyDescent="0.35">
      <c r="A1056" t="s">
        <v>20</v>
      </c>
      <c r="B1056" t="s">
        <v>54</v>
      </c>
      <c r="C1056" t="s">
        <v>52</v>
      </c>
      <c r="D1056">
        <v>15</v>
      </c>
      <c r="E1056" t="s">
        <v>40</v>
      </c>
      <c r="F1056" t="s">
        <v>45</v>
      </c>
    </row>
    <row r="1057" spans="1:6" x14ac:dyDescent="0.35">
      <c r="A1057" t="s">
        <v>21</v>
      </c>
      <c r="B1057" t="s">
        <v>54</v>
      </c>
      <c r="C1057" t="s">
        <v>52</v>
      </c>
      <c r="D1057">
        <v>11</v>
      </c>
      <c r="E1057" t="s">
        <v>40</v>
      </c>
      <c r="F1057" t="s">
        <v>45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45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45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45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45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45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45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45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45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45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45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45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45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45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45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45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45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45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45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45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45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45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45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45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45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554048.20000000007</v>
      </c>
      <c r="E1082" t="s">
        <v>41</v>
      </c>
      <c r="F1082" t="s">
        <v>45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237255.82</v>
      </c>
      <c r="E1083" t="s">
        <v>41</v>
      </c>
      <c r="F1083" t="s">
        <v>45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272411.96999999997</v>
      </c>
      <c r="E1084" t="s">
        <v>41</v>
      </c>
      <c r="F1084" t="s">
        <v>45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260600.38</v>
      </c>
      <c r="E1085" t="s">
        <v>41</v>
      </c>
      <c r="F1085" t="s">
        <v>45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354209.8600000001</v>
      </c>
      <c r="E1086" t="s">
        <v>41</v>
      </c>
      <c r="F1086" t="s">
        <v>45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576897.16</v>
      </c>
      <c r="E1087" t="s">
        <v>41</v>
      </c>
      <c r="F1087" t="s">
        <v>45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234194.1</v>
      </c>
      <c r="E1088" t="s">
        <v>41</v>
      </c>
      <c r="F1088" t="s">
        <v>45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154752.15</v>
      </c>
      <c r="E1089" t="s">
        <v>41</v>
      </c>
      <c r="F1089" t="s">
        <v>45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20487.48</v>
      </c>
      <c r="E1090" t="s">
        <v>41</v>
      </c>
      <c r="F1090" t="s">
        <v>45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82440.22</v>
      </c>
      <c r="E1091" t="s">
        <v>41</v>
      </c>
      <c r="F1091" t="s">
        <v>45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196248.01</v>
      </c>
      <c r="E1092" t="s">
        <v>41</v>
      </c>
      <c r="F1092" t="s">
        <v>45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198149.92</v>
      </c>
      <c r="E1093" t="s">
        <v>41</v>
      </c>
      <c r="F1093" t="s">
        <v>45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45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45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45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45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45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45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45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45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45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45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45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45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45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45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45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45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272.8</v>
      </c>
      <c r="E1110" t="s">
        <v>41</v>
      </c>
      <c r="F1110" t="s">
        <v>45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621.01</v>
      </c>
      <c r="E1111" t="s">
        <v>41</v>
      </c>
      <c r="F1111" t="s">
        <v>45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45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45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1065.48</v>
      </c>
      <c r="E1114" t="s">
        <v>41</v>
      </c>
      <c r="F1114" t="s">
        <v>45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45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545.6</v>
      </c>
      <c r="E1116" t="s">
        <v>41</v>
      </c>
      <c r="F1116" t="s">
        <v>45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5.66</v>
      </c>
      <c r="E1117" t="s">
        <v>41</v>
      </c>
      <c r="F1117" t="s">
        <v>45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45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45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45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45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45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45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45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45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45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45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45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45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45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45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45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45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45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45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45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45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45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45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45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45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45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45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45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45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45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45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45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45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45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45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45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45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12</v>
      </c>
      <c r="E1154" t="s">
        <v>41</v>
      </c>
      <c r="F1154" t="s">
        <v>45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11</v>
      </c>
      <c r="E1155" t="s">
        <v>41</v>
      </c>
      <c r="F1155" t="s">
        <v>45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14</v>
      </c>
      <c r="E1156" t="s">
        <v>41</v>
      </c>
      <c r="F1156" t="s">
        <v>45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12</v>
      </c>
      <c r="E1157" t="s">
        <v>41</v>
      </c>
      <c r="F1157" t="s">
        <v>45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15</v>
      </c>
      <c r="E1158" t="s">
        <v>41</v>
      </c>
      <c r="F1158" t="s">
        <v>45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7</v>
      </c>
      <c r="E1159" t="s">
        <v>41</v>
      </c>
      <c r="F1159" t="s">
        <v>45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5</v>
      </c>
      <c r="E1160" t="s">
        <v>41</v>
      </c>
      <c r="F1160" t="s">
        <v>45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8</v>
      </c>
      <c r="E1161" t="s">
        <v>41</v>
      </c>
      <c r="F1161" t="s">
        <v>45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3</v>
      </c>
      <c r="E1162" t="s">
        <v>41</v>
      </c>
      <c r="F1162" t="s">
        <v>45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4</v>
      </c>
      <c r="E1163" t="s">
        <v>41</v>
      </c>
      <c r="F1163" t="s">
        <v>45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2</v>
      </c>
      <c r="E1164" t="s">
        <v>41</v>
      </c>
      <c r="F1164" t="s">
        <v>45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4</v>
      </c>
      <c r="E1165" t="s">
        <v>41</v>
      </c>
      <c r="F1165" t="s">
        <v>45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14</v>
      </c>
      <c r="E1166" t="s">
        <v>41</v>
      </c>
      <c r="F1166" t="s">
        <v>45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7</v>
      </c>
      <c r="E1167" t="s">
        <v>41</v>
      </c>
      <c r="F1167" t="s">
        <v>45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7</v>
      </c>
      <c r="E1168" t="s">
        <v>41</v>
      </c>
      <c r="F1168" t="s">
        <v>45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9</v>
      </c>
      <c r="E1169" t="s">
        <v>41</v>
      </c>
      <c r="F1169" t="s">
        <v>45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13</v>
      </c>
      <c r="E1170" t="s">
        <v>41</v>
      </c>
      <c r="F1170" t="s">
        <v>45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14</v>
      </c>
      <c r="E1171" t="s">
        <v>41</v>
      </c>
      <c r="F1171" t="s">
        <v>45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11</v>
      </c>
      <c r="E1172" t="s">
        <v>41</v>
      </c>
      <c r="F1172" t="s">
        <v>45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8</v>
      </c>
      <c r="E1173" t="s">
        <v>41</v>
      </c>
      <c r="F1173" t="s">
        <v>45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3</v>
      </c>
      <c r="E1174" t="s">
        <v>41</v>
      </c>
      <c r="F1174" t="s">
        <v>45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4</v>
      </c>
      <c r="E1175" t="s">
        <v>41</v>
      </c>
      <c r="F1175" t="s">
        <v>45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6</v>
      </c>
      <c r="E1176" t="s">
        <v>41</v>
      </c>
      <c r="F1176" t="s">
        <v>45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4</v>
      </c>
      <c r="E1177" t="s">
        <v>41</v>
      </c>
      <c r="F1177" t="s">
        <v>45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45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45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45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45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45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45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45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45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45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45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45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45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45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45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45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45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45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19536.38</v>
      </c>
      <c r="E1195" t="s">
        <v>41</v>
      </c>
      <c r="F1195" t="s">
        <v>45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45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45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45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45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45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45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45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45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45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45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45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45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45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45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45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45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45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45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242665.56999999989</v>
      </c>
      <c r="E1214" t="s">
        <v>41</v>
      </c>
      <c r="F1214" t="s">
        <v>45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585459.95000000007</v>
      </c>
      <c r="E1215" t="s">
        <v>41</v>
      </c>
      <c r="F1215" t="s">
        <v>45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890423.21999999974</v>
      </c>
      <c r="E1216" t="s">
        <v>41</v>
      </c>
      <c r="F1216" t="s">
        <v>45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547020.99</v>
      </c>
      <c r="E1217" t="s">
        <v>41</v>
      </c>
      <c r="F1217" t="s">
        <v>45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423222.62</v>
      </c>
      <c r="E1218" t="s">
        <v>41</v>
      </c>
      <c r="F1218" t="s">
        <v>45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856677.17999999993</v>
      </c>
      <c r="E1219" t="s">
        <v>41</v>
      </c>
      <c r="F1219" t="s">
        <v>45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815631.62</v>
      </c>
      <c r="E1220" t="s">
        <v>41</v>
      </c>
      <c r="F1220" t="s">
        <v>45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1083796.54</v>
      </c>
      <c r="E1221" t="s">
        <v>41</v>
      </c>
      <c r="F1221" t="s">
        <v>45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683898.55</v>
      </c>
      <c r="E1222" t="s">
        <v>41</v>
      </c>
      <c r="F1222" t="s">
        <v>45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0.9</v>
      </c>
      <c r="E1223" t="s">
        <v>41</v>
      </c>
      <c r="F1223" t="s">
        <v>45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762295.25999999989</v>
      </c>
      <c r="E1224" t="s">
        <v>41</v>
      </c>
      <c r="F1224" t="s">
        <v>45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817611.57000000007</v>
      </c>
      <c r="E1225" t="s">
        <v>41</v>
      </c>
      <c r="F1225" t="s">
        <v>45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45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45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45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45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45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45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45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45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45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45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45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45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45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4131.0600000000004</v>
      </c>
      <c r="E1239" t="s">
        <v>41</v>
      </c>
      <c r="F1239" t="s">
        <v>45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45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45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7829.38</v>
      </c>
      <c r="E1242" t="s">
        <v>41</v>
      </c>
      <c r="F1242" t="s">
        <v>45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10657.55</v>
      </c>
      <c r="E1243" t="s">
        <v>41</v>
      </c>
      <c r="F1243" t="s">
        <v>45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45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45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6316.55</v>
      </c>
      <c r="E1246" t="s">
        <v>41</v>
      </c>
      <c r="F1246" t="s">
        <v>45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5366.06</v>
      </c>
      <c r="E1247" t="s">
        <v>41</v>
      </c>
      <c r="F1247" t="s">
        <v>45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45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3280.98</v>
      </c>
      <c r="E1249" t="s">
        <v>41</v>
      </c>
      <c r="F1249" t="s">
        <v>45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45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45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45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45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45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45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45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45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45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45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45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45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0</v>
      </c>
      <c r="E1262" t="s">
        <v>41</v>
      </c>
      <c r="F1262" t="s">
        <v>45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0</v>
      </c>
      <c r="E1263" t="s">
        <v>41</v>
      </c>
      <c r="F1263" t="s">
        <v>45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0</v>
      </c>
      <c r="E1264" t="s">
        <v>41</v>
      </c>
      <c r="F1264" t="s">
        <v>45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45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0</v>
      </c>
      <c r="E1266" t="s">
        <v>41</v>
      </c>
      <c r="F1266" t="s">
        <v>45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50690.09</v>
      </c>
      <c r="E1267" t="s">
        <v>41</v>
      </c>
      <c r="F1267" t="s">
        <v>45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11521.66</v>
      </c>
      <c r="E1268" t="s">
        <v>41</v>
      </c>
      <c r="F1268" t="s">
        <v>45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0</v>
      </c>
      <c r="E1269" t="s">
        <v>41</v>
      </c>
      <c r="F1269" t="s">
        <v>45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8393.59</v>
      </c>
      <c r="E1270" t="s">
        <v>41</v>
      </c>
      <c r="F1270" t="s">
        <v>45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17958.54</v>
      </c>
      <c r="E1271" t="s">
        <v>41</v>
      </c>
      <c r="F1271" t="s">
        <v>45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1589.35</v>
      </c>
      <c r="E1272" t="s">
        <v>41</v>
      </c>
      <c r="F1272" t="s">
        <v>45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28233.669999999991</v>
      </c>
      <c r="E1273" t="s">
        <v>41</v>
      </c>
      <c r="F1273" t="s">
        <v>45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45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45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45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45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45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45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45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45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45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13041.99</v>
      </c>
      <c r="E1283" t="s">
        <v>41</v>
      </c>
      <c r="F1283" t="s">
        <v>45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45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45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100</v>
      </c>
      <c r="E1286" t="s">
        <v>41</v>
      </c>
      <c r="F1286" t="s">
        <v>45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78</v>
      </c>
      <c r="E1287" t="s">
        <v>41</v>
      </c>
      <c r="F1287" t="s">
        <v>45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62</v>
      </c>
      <c r="E1288" t="s">
        <v>41</v>
      </c>
      <c r="F1288" t="s">
        <v>45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78</v>
      </c>
      <c r="E1289" t="s">
        <v>41</v>
      </c>
      <c r="F1289" t="s">
        <v>45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77</v>
      </c>
      <c r="E1290" t="s">
        <v>41</v>
      </c>
      <c r="F1290" t="s">
        <v>45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88</v>
      </c>
      <c r="E1291" t="s">
        <v>41</v>
      </c>
      <c r="F1291" t="s">
        <v>45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83</v>
      </c>
      <c r="E1292" t="s">
        <v>41</v>
      </c>
      <c r="F1292" t="s">
        <v>45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66</v>
      </c>
      <c r="E1293" t="s">
        <v>41</v>
      </c>
      <c r="F1293" t="s">
        <v>45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44</v>
      </c>
      <c r="E1294" t="s">
        <v>41</v>
      </c>
      <c r="F1294" t="s">
        <v>45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72</v>
      </c>
      <c r="E1295" t="s">
        <v>41</v>
      </c>
      <c r="F1295" t="s">
        <v>45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46</v>
      </c>
      <c r="E1296" t="s">
        <v>41</v>
      </c>
      <c r="F1296" t="s">
        <v>45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49</v>
      </c>
      <c r="E1297" t="s">
        <v>41</v>
      </c>
      <c r="F1297" t="s">
        <v>45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25</v>
      </c>
      <c r="E1298" t="s">
        <v>41</v>
      </c>
      <c r="F1298" t="s">
        <v>45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40</v>
      </c>
      <c r="E1299" t="s">
        <v>41</v>
      </c>
      <c r="F1299" t="s">
        <v>45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34</v>
      </c>
      <c r="E1300" t="s">
        <v>41</v>
      </c>
      <c r="F1300" t="s">
        <v>45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33</v>
      </c>
      <c r="E1301" t="s">
        <v>41</v>
      </c>
      <c r="F1301" t="s">
        <v>45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31</v>
      </c>
      <c r="E1302" t="s">
        <v>41</v>
      </c>
      <c r="F1302" t="s">
        <v>45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25</v>
      </c>
      <c r="E1303" t="s">
        <v>41</v>
      </c>
      <c r="F1303" t="s">
        <v>45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43</v>
      </c>
      <c r="E1304" t="s">
        <v>41</v>
      </c>
      <c r="F1304" t="s">
        <v>45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51</v>
      </c>
      <c r="E1305" t="s">
        <v>41</v>
      </c>
      <c r="F1305" t="s">
        <v>45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47</v>
      </c>
      <c r="E1306" t="s">
        <v>41</v>
      </c>
      <c r="F1306" t="s">
        <v>45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40</v>
      </c>
      <c r="E1307" t="s">
        <v>41</v>
      </c>
      <c r="F1307" t="s">
        <v>45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32</v>
      </c>
      <c r="E1308" t="s">
        <v>41</v>
      </c>
      <c r="F1308" t="s">
        <v>45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37</v>
      </c>
      <c r="E1309" t="s">
        <v>41</v>
      </c>
      <c r="F1309" t="s">
        <v>45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45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45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45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1</v>
      </c>
      <c r="E1313" t="s">
        <v>41</v>
      </c>
      <c r="F1313" t="s">
        <v>45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45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45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45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45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45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45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45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45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45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45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45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45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45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45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45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45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45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45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45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45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45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45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45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45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45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45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45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45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45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45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45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45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0.77</v>
      </c>
      <c r="E1346" t="s">
        <v>41</v>
      </c>
      <c r="F1346" t="s">
        <v>45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45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45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621.37</v>
      </c>
      <c r="E1349" t="s">
        <v>41</v>
      </c>
      <c r="F1349" t="s">
        <v>45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45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0.34</v>
      </c>
      <c r="E1351" t="s">
        <v>41</v>
      </c>
      <c r="F1351" t="s">
        <v>45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0</v>
      </c>
      <c r="E1352" t="s">
        <v>41</v>
      </c>
      <c r="F1352" t="s">
        <v>45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45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45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45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45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45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45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45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45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45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45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45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45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45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45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45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45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45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45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45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45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45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45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45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45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45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45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45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45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45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45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45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45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45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45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45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45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45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45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45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45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45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45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45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45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45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45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45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45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45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45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45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45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45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45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45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45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45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45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45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45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45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45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45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45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45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45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45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45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45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45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45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45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45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45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45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45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45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45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45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45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45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45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45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0</v>
      </c>
      <c r="E1436" t="s">
        <v>41</v>
      </c>
      <c r="F1436" t="s">
        <v>45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45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45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45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45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45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45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45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45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45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45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45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45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45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45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45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45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45</v>
      </c>
    </row>
    <row r="1454" spans="1:6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45</v>
      </c>
    </row>
    <row r="1455" spans="1:6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45</v>
      </c>
    </row>
    <row r="1456" spans="1:6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45</v>
      </c>
    </row>
    <row r="1457" spans="1:6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45</v>
      </c>
    </row>
    <row r="1458" spans="1:6" x14ac:dyDescent="0.35">
      <c r="A1458" t="s">
        <v>14</v>
      </c>
      <c r="B1458" t="s">
        <v>54</v>
      </c>
      <c r="C1458" t="s">
        <v>44</v>
      </c>
      <c r="D1458">
        <v>5893.66</v>
      </c>
      <c r="E1458" t="s">
        <v>41</v>
      </c>
      <c r="F1458" t="s">
        <v>45</v>
      </c>
    </row>
    <row r="1459" spans="1:6" x14ac:dyDescent="0.35">
      <c r="A1459" t="s">
        <v>15</v>
      </c>
      <c r="B1459" t="s">
        <v>54</v>
      </c>
      <c r="C1459" t="s">
        <v>44</v>
      </c>
      <c r="D1459">
        <v>4273.2299999999996</v>
      </c>
      <c r="E1459" t="s">
        <v>41</v>
      </c>
      <c r="F1459" t="s">
        <v>45</v>
      </c>
    </row>
    <row r="1460" spans="1:6" x14ac:dyDescent="0.35">
      <c r="A1460" t="s">
        <v>16</v>
      </c>
      <c r="B1460" t="s">
        <v>54</v>
      </c>
      <c r="C1460" t="s">
        <v>44</v>
      </c>
      <c r="D1460">
        <v>9478.2800000000007</v>
      </c>
      <c r="E1460" t="s">
        <v>41</v>
      </c>
      <c r="F1460" t="s">
        <v>45</v>
      </c>
    </row>
    <row r="1461" spans="1:6" x14ac:dyDescent="0.35">
      <c r="A1461" t="s">
        <v>17</v>
      </c>
      <c r="B1461" t="s">
        <v>54</v>
      </c>
      <c r="C1461" t="s">
        <v>44</v>
      </c>
      <c r="D1461">
        <v>41993.69</v>
      </c>
      <c r="E1461" t="s">
        <v>41</v>
      </c>
      <c r="F1461" t="s">
        <v>45</v>
      </c>
    </row>
    <row r="1462" spans="1:6" x14ac:dyDescent="0.35">
      <c r="A1462" t="s">
        <v>18</v>
      </c>
      <c r="B1462" t="s">
        <v>54</v>
      </c>
      <c r="C1462" t="s">
        <v>44</v>
      </c>
      <c r="D1462">
        <v>38098.170000000013</v>
      </c>
      <c r="E1462" t="s">
        <v>41</v>
      </c>
      <c r="F1462" t="s">
        <v>45</v>
      </c>
    </row>
    <row r="1463" spans="1:6" x14ac:dyDescent="0.35">
      <c r="A1463" t="s">
        <v>19</v>
      </c>
      <c r="B1463" t="s">
        <v>54</v>
      </c>
      <c r="C1463" t="s">
        <v>44</v>
      </c>
      <c r="D1463">
        <v>3271.84</v>
      </c>
      <c r="E1463" t="s">
        <v>41</v>
      </c>
      <c r="F1463" t="s">
        <v>45</v>
      </c>
    </row>
    <row r="1464" spans="1:6" x14ac:dyDescent="0.35">
      <c r="A1464" t="s">
        <v>20</v>
      </c>
      <c r="B1464" t="s">
        <v>54</v>
      </c>
      <c r="C1464" t="s">
        <v>44</v>
      </c>
      <c r="D1464">
        <v>15878.1</v>
      </c>
      <c r="E1464" t="s">
        <v>41</v>
      </c>
      <c r="F1464" t="s">
        <v>45</v>
      </c>
    </row>
    <row r="1465" spans="1:6" x14ac:dyDescent="0.35">
      <c r="A1465" t="s">
        <v>21</v>
      </c>
      <c r="B1465" t="s">
        <v>54</v>
      </c>
      <c r="C1465" t="s">
        <v>44</v>
      </c>
      <c r="D1465">
        <v>2095.84</v>
      </c>
      <c r="E1465" t="s">
        <v>41</v>
      </c>
      <c r="F1465" t="s">
        <v>45</v>
      </c>
    </row>
    <row r="1466" spans="1:6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45</v>
      </c>
    </row>
    <row r="1467" spans="1:6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45</v>
      </c>
    </row>
    <row r="1468" spans="1:6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45</v>
      </c>
    </row>
    <row r="1469" spans="1:6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45</v>
      </c>
    </row>
    <row r="1470" spans="1:6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45</v>
      </c>
    </row>
    <row r="1471" spans="1:6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45</v>
      </c>
    </row>
    <row r="1472" spans="1:6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45</v>
      </c>
    </row>
    <row r="1473" spans="1:6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45</v>
      </c>
    </row>
    <row r="1474" spans="1:6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45</v>
      </c>
    </row>
    <row r="1475" spans="1:6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45</v>
      </c>
    </row>
    <row r="1476" spans="1:6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45</v>
      </c>
    </row>
    <row r="1477" spans="1:6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45</v>
      </c>
    </row>
    <row r="1478" spans="1:6" x14ac:dyDescent="0.35">
      <c r="A1478" t="s">
        <v>6</v>
      </c>
      <c r="B1478" t="s">
        <v>54</v>
      </c>
      <c r="C1478" t="s">
        <v>46</v>
      </c>
      <c r="D1478">
        <v>399658.98999999982</v>
      </c>
      <c r="E1478" t="s">
        <v>41</v>
      </c>
      <c r="F1478" t="s">
        <v>45</v>
      </c>
    </row>
    <row r="1479" spans="1:6" x14ac:dyDescent="0.35">
      <c r="A1479" t="s">
        <v>11</v>
      </c>
      <c r="B1479" t="s">
        <v>54</v>
      </c>
      <c r="C1479" t="s">
        <v>46</v>
      </c>
      <c r="D1479">
        <v>371721.08000000019</v>
      </c>
      <c r="E1479" t="s">
        <v>41</v>
      </c>
      <c r="F1479" t="s">
        <v>45</v>
      </c>
    </row>
    <row r="1480" spans="1:6" x14ac:dyDescent="0.35">
      <c r="A1480" t="s">
        <v>12</v>
      </c>
      <c r="B1480" t="s">
        <v>54</v>
      </c>
      <c r="C1480" t="s">
        <v>46</v>
      </c>
      <c r="D1480">
        <v>395411.48</v>
      </c>
      <c r="E1480" t="s">
        <v>41</v>
      </c>
      <c r="F1480" t="s">
        <v>45</v>
      </c>
    </row>
    <row r="1481" spans="1:6" x14ac:dyDescent="0.35">
      <c r="A1481" t="s">
        <v>13</v>
      </c>
      <c r="B1481" t="s">
        <v>54</v>
      </c>
      <c r="C1481" t="s">
        <v>46</v>
      </c>
      <c r="D1481">
        <v>408593.40999999992</v>
      </c>
      <c r="E1481" t="s">
        <v>41</v>
      </c>
      <c r="F1481" t="s">
        <v>45</v>
      </c>
    </row>
    <row r="1482" spans="1:6" x14ac:dyDescent="0.35">
      <c r="A1482" t="s">
        <v>14</v>
      </c>
      <c r="B1482" t="s">
        <v>54</v>
      </c>
      <c r="C1482" t="s">
        <v>46</v>
      </c>
      <c r="D1482">
        <v>453414.11999999982</v>
      </c>
      <c r="E1482" t="s">
        <v>41</v>
      </c>
      <c r="F1482" t="s">
        <v>45</v>
      </c>
    </row>
    <row r="1483" spans="1:6" x14ac:dyDescent="0.35">
      <c r="A1483" t="s">
        <v>15</v>
      </c>
      <c r="B1483" t="s">
        <v>54</v>
      </c>
      <c r="C1483" t="s">
        <v>46</v>
      </c>
      <c r="D1483">
        <v>379453.74999999971</v>
      </c>
      <c r="E1483" t="s">
        <v>41</v>
      </c>
      <c r="F1483" t="s">
        <v>45</v>
      </c>
    </row>
    <row r="1484" spans="1:6" x14ac:dyDescent="0.35">
      <c r="A1484" t="s">
        <v>16</v>
      </c>
      <c r="B1484" t="s">
        <v>54</v>
      </c>
      <c r="C1484" t="s">
        <v>46</v>
      </c>
      <c r="D1484">
        <v>409777.05999999982</v>
      </c>
      <c r="E1484" t="s">
        <v>41</v>
      </c>
      <c r="F1484" t="s">
        <v>45</v>
      </c>
    </row>
    <row r="1485" spans="1:6" x14ac:dyDescent="0.35">
      <c r="A1485" t="s">
        <v>17</v>
      </c>
      <c r="B1485" t="s">
        <v>54</v>
      </c>
      <c r="C1485" t="s">
        <v>46</v>
      </c>
      <c r="D1485">
        <v>450153.07000000018</v>
      </c>
      <c r="E1485" t="s">
        <v>41</v>
      </c>
      <c r="F1485" t="s">
        <v>45</v>
      </c>
    </row>
    <row r="1486" spans="1:6" x14ac:dyDescent="0.35">
      <c r="A1486" t="s">
        <v>18</v>
      </c>
      <c r="B1486" t="s">
        <v>54</v>
      </c>
      <c r="C1486" t="s">
        <v>46</v>
      </c>
      <c r="D1486">
        <v>446298.23999999982</v>
      </c>
      <c r="E1486" t="s">
        <v>41</v>
      </c>
      <c r="F1486" t="s">
        <v>45</v>
      </c>
    </row>
    <row r="1487" spans="1:6" x14ac:dyDescent="0.35">
      <c r="A1487" t="s">
        <v>19</v>
      </c>
      <c r="B1487" t="s">
        <v>54</v>
      </c>
      <c r="C1487" t="s">
        <v>46</v>
      </c>
      <c r="D1487">
        <v>837979.34000000043</v>
      </c>
      <c r="E1487" t="s">
        <v>41</v>
      </c>
      <c r="F1487" t="s">
        <v>45</v>
      </c>
    </row>
    <row r="1488" spans="1:6" x14ac:dyDescent="0.35">
      <c r="A1488" t="s">
        <v>20</v>
      </c>
      <c r="B1488" t="s">
        <v>54</v>
      </c>
      <c r="C1488" t="s">
        <v>46</v>
      </c>
      <c r="D1488">
        <v>473075.9600000006</v>
      </c>
      <c r="E1488" t="s">
        <v>41</v>
      </c>
      <c r="F1488" t="s">
        <v>45</v>
      </c>
    </row>
    <row r="1489" spans="1:6" x14ac:dyDescent="0.35">
      <c r="A1489" t="s">
        <v>21</v>
      </c>
      <c r="B1489" t="s">
        <v>54</v>
      </c>
      <c r="C1489" t="s">
        <v>46</v>
      </c>
      <c r="D1489">
        <v>542261.9499999996</v>
      </c>
      <c r="E1489" t="s">
        <v>41</v>
      </c>
      <c r="F1489" t="s">
        <v>45</v>
      </c>
    </row>
    <row r="1490" spans="1:6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45</v>
      </c>
    </row>
    <row r="1491" spans="1:6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45</v>
      </c>
    </row>
    <row r="1492" spans="1:6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45</v>
      </c>
    </row>
    <row r="1493" spans="1:6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45</v>
      </c>
    </row>
    <row r="1494" spans="1:6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45</v>
      </c>
    </row>
    <row r="1495" spans="1:6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45</v>
      </c>
    </row>
    <row r="1496" spans="1:6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45</v>
      </c>
    </row>
    <row r="1497" spans="1:6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45</v>
      </c>
    </row>
    <row r="1498" spans="1:6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45</v>
      </c>
    </row>
    <row r="1499" spans="1:6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45</v>
      </c>
    </row>
    <row r="1500" spans="1:6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45</v>
      </c>
    </row>
    <row r="1501" spans="1:6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45</v>
      </c>
    </row>
    <row r="1502" spans="1:6" x14ac:dyDescent="0.35">
      <c r="A1502" t="s">
        <v>6</v>
      </c>
      <c r="B1502" t="s">
        <v>54</v>
      </c>
      <c r="C1502" t="s">
        <v>47</v>
      </c>
      <c r="D1502">
        <v>972.18999999999994</v>
      </c>
      <c r="E1502" t="s">
        <v>41</v>
      </c>
      <c r="F1502" t="s">
        <v>45</v>
      </c>
    </row>
    <row r="1503" spans="1:6" x14ac:dyDescent="0.35">
      <c r="A1503" t="s">
        <v>11</v>
      </c>
      <c r="B1503" t="s">
        <v>54</v>
      </c>
      <c r="C1503" t="s">
        <v>47</v>
      </c>
      <c r="D1503">
        <v>1388.8</v>
      </c>
      <c r="E1503" t="s">
        <v>41</v>
      </c>
      <c r="F1503" t="s">
        <v>45</v>
      </c>
    </row>
    <row r="1504" spans="1:6" x14ac:dyDescent="0.35">
      <c r="A1504" t="s">
        <v>12</v>
      </c>
      <c r="B1504" t="s">
        <v>54</v>
      </c>
      <c r="C1504" t="s">
        <v>47</v>
      </c>
      <c r="D1504">
        <v>2434.77</v>
      </c>
      <c r="E1504" t="s">
        <v>41</v>
      </c>
      <c r="F1504" t="s">
        <v>45</v>
      </c>
    </row>
    <row r="1505" spans="1:6" x14ac:dyDescent="0.35">
      <c r="A1505" t="s">
        <v>13</v>
      </c>
      <c r="B1505" t="s">
        <v>54</v>
      </c>
      <c r="C1505" t="s">
        <v>47</v>
      </c>
      <c r="D1505">
        <v>596.26</v>
      </c>
      <c r="E1505" t="s">
        <v>41</v>
      </c>
      <c r="F1505" t="s">
        <v>45</v>
      </c>
    </row>
    <row r="1506" spans="1:6" x14ac:dyDescent="0.35">
      <c r="A1506" t="s">
        <v>14</v>
      </c>
      <c r="B1506" t="s">
        <v>54</v>
      </c>
      <c r="C1506" t="s">
        <v>47</v>
      </c>
      <c r="D1506">
        <v>11784.47</v>
      </c>
      <c r="E1506" t="s">
        <v>41</v>
      </c>
      <c r="F1506" t="s">
        <v>45</v>
      </c>
    </row>
    <row r="1507" spans="1:6" x14ac:dyDescent="0.35">
      <c r="A1507" t="s">
        <v>15</v>
      </c>
      <c r="B1507" t="s">
        <v>54</v>
      </c>
      <c r="C1507" t="s">
        <v>47</v>
      </c>
      <c r="D1507">
        <v>1255.47</v>
      </c>
      <c r="E1507" t="s">
        <v>41</v>
      </c>
      <c r="F1507" t="s">
        <v>45</v>
      </c>
    </row>
    <row r="1508" spans="1:6" x14ac:dyDescent="0.35">
      <c r="A1508" t="s">
        <v>16</v>
      </c>
      <c r="B1508" t="s">
        <v>54</v>
      </c>
      <c r="C1508" t="s">
        <v>47</v>
      </c>
      <c r="D1508">
        <v>2599.52</v>
      </c>
      <c r="E1508" t="s">
        <v>41</v>
      </c>
      <c r="F1508" t="s">
        <v>45</v>
      </c>
    </row>
    <row r="1509" spans="1:6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45</v>
      </c>
    </row>
    <row r="1510" spans="1:6" x14ac:dyDescent="0.35">
      <c r="A1510" t="s">
        <v>18</v>
      </c>
      <c r="B1510" t="s">
        <v>54</v>
      </c>
      <c r="C1510" t="s">
        <v>47</v>
      </c>
      <c r="D1510">
        <v>8333.76</v>
      </c>
      <c r="E1510" t="s">
        <v>41</v>
      </c>
      <c r="F1510" t="s">
        <v>45</v>
      </c>
    </row>
    <row r="1511" spans="1:6" x14ac:dyDescent="0.35">
      <c r="A1511" t="s">
        <v>19</v>
      </c>
      <c r="B1511" t="s">
        <v>54</v>
      </c>
      <c r="C1511" t="s">
        <v>47</v>
      </c>
      <c r="D1511">
        <v>5429.77</v>
      </c>
      <c r="E1511" t="s">
        <v>41</v>
      </c>
      <c r="F1511" t="s">
        <v>45</v>
      </c>
    </row>
    <row r="1512" spans="1:6" x14ac:dyDescent="0.35">
      <c r="A1512" t="s">
        <v>20</v>
      </c>
      <c r="B1512" t="s">
        <v>54</v>
      </c>
      <c r="C1512" t="s">
        <v>47</v>
      </c>
      <c r="D1512">
        <v>1426.13</v>
      </c>
      <c r="E1512" t="s">
        <v>41</v>
      </c>
      <c r="F1512" t="s">
        <v>45</v>
      </c>
    </row>
    <row r="1513" spans="1:6" x14ac:dyDescent="0.35">
      <c r="A1513" t="s">
        <v>21</v>
      </c>
      <c r="B1513" t="s">
        <v>54</v>
      </c>
      <c r="C1513" t="s">
        <v>47</v>
      </c>
      <c r="D1513">
        <v>5218.2800000000007</v>
      </c>
      <c r="E1513" t="s">
        <v>41</v>
      </c>
      <c r="F1513" t="s">
        <v>45</v>
      </c>
    </row>
    <row r="1514" spans="1:6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45</v>
      </c>
    </row>
    <row r="1515" spans="1:6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45</v>
      </c>
    </row>
    <row r="1516" spans="1:6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45</v>
      </c>
    </row>
    <row r="1517" spans="1:6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45</v>
      </c>
    </row>
    <row r="1518" spans="1:6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45</v>
      </c>
    </row>
    <row r="1519" spans="1:6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45</v>
      </c>
    </row>
    <row r="1520" spans="1:6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45</v>
      </c>
    </row>
    <row r="1521" spans="1:6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45</v>
      </c>
    </row>
    <row r="1522" spans="1:6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45</v>
      </c>
    </row>
    <row r="1523" spans="1:6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45</v>
      </c>
    </row>
    <row r="1524" spans="1:6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45</v>
      </c>
    </row>
    <row r="1525" spans="1:6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45</v>
      </c>
    </row>
    <row r="1526" spans="1:6" x14ac:dyDescent="0.35">
      <c r="A1526" t="s">
        <v>6</v>
      </c>
      <c r="B1526" t="s">
        <v>54</v>
      </c>
      <c r="C1526" t="s">
        <v>49</v>
      </c>
      <c r="D1526">
        <v>0</v>
      </c>
      <c r="E1526" t="s">
        <v>41</v>
      </c>
      <c r="F1526" t="s">
        <v>45</v>
      </c>
    </row>
    <row r="1527" spans="1:6" x14ac:dyDescent="0.35">
      <c r="A1527" t="s">
        <v>11</v>
      </c>
      <c r="B1527" t="s">
        <v>54</v>
      </c>
      <c r="C1527" t="s">
        <v>49</v>
      </c>
      <c r="D1527">
        <v>0</v>
      </c>
      <c r="E1527" t="s">
        <v>41</v>
      </c>
      <c r="F1527" t="s">
        <v>45</v>
      </c>
    </row>
    <row r="1528" spans="1:6" x14ac:dyDescent="0.35">
      <c r="A1528" t="s">
        <v>12</v>
      </c>
      <c r="B1528" t="s">
        <v>54</v>
      </c>
      <c r="C1528" t="s">
        <v>49</v>
      </c>
      <c r="D1528">
        <v>0</v>
      </c>
      <c r="E1528" t="s">
        <v>41</v>
      </c>
      <c r="F1528" t="s">
        <v>45</v>
      </c>
    </row>
    <row r="1529" spans="1:6" x14ac:dyDescent="0.35">
      <c r="A1529" t="s">
        <v>13</v>
      </c>
      <c r="B1529" t="s">
        <v>54</v>
      </c>
      <c r="C1529" t="s">
        <v>49</v>
      </c>
      <c r="D1529">
        <v>3316.66</v>
      </c>
      <c r="E1529" t="s">
        <v>41</v>
      </c>
      <c r="F1529" t="s">
        <v>45</v>
      </c>
    </row>
    <row r="1530" spans="1:6" x14ac:dyDescent="0.35">
      <c r="A1530" t="s">
        <v>14</v>
      </c>
      <c r="B1530" t="s">
        <v>54</v>
      </c>
      <c r="C1530" t="s">
        <v>49</v>
      </c>
      <c r="D1530">
        <v>4910.42</v>
      </c>
      <c r="E1530" t="s">
        <v>41</v>
      </c>
      <c r="F1530" t="s">
        <v>45</v>
      </c>
    </row>
    <row r="1531" spans="1:6" x14ac:dyDescent="0.35">
      <c r="A1531" t="s">
        <v>15</v>
      </c>
      <c r="B1531" t="s">
        <v>54</v>
      </c>
      <c r="C1531" t="s">
        <v>49</v>
      </c>
      <c r="D1531">
        <v>6332.68</v>
      </c>
      <c r="E1531" t="s">
        <v>41</v>
      </c>
      <c r="F1531" t="s">
        <v>45</v>
      </c>
    </row>
    <row r="1532" spans="1:6" x14ac:dyDescent="0.35">
      <c r="A1532" t="s">
        <v>16</v>
      </c>
      <c r="B1532" t="s">
        <v>54</v>
      </c>
      <c r="C1532" t="s">
        <v>49</v>
      </c>
      <c r="D1532">
        <v>28148.15</v>
      </c>
      <c r="E1532" t="s">
        <v>41</v>
      </c>
      <c r="F1532" t="s">
        <v>45</v>
      </c>
    </row>
    <row r="1533" spans="1:6" x14ac:dyDescent="0.35">
      <c r="A1533" t="s">
        <v>17</v>
      </c>
      <c r="B1533" t="s">
        <v>54</v>
      </c>
      <c r="C1533" t="s">
        <v>49</v>
      </c>
      <c r="D1533">
        <v>44645.38</v>
      </c>
      <c r="E1533" t="s">
        <v>41</v>
      </c>
      <c r="F1533" t="s">
        <v>45</v>
      </c>
    </row>
    <row r="1534" spans="1:6" x14ac:dyDescent="0.35">
      <c r="A1534" t="s">
        <v>18</v>
      </c>
      <c r="B1534" t="s">
        <v>54</v>
      </c>
      <c r="C1534" t="s">
        <v>49</v>
      </c>
      <c r="D1534">
        <v>44841.09</v>
      </c>
      <c r="E1534" t="s">
        <v>41</v>
      </c>
      <c r="F1534" t="s">
        <v>45</v>
      </c>
    </row>
    <row r="1535" spans="1:6" x14ac:dyDescent="0.35">
      <c r="A1535" t="s">
        <v>19</v>
      </c>
      <c r="B1535" t="s">
        <v>54</v>
      </c>
      <c r="C1535" t="s">
        <v>49</v>
      </c>
      <c r="D1535">
        <v>43716.509999999987</v>
      </c>
      <c r="E1535" t="s">
        <v>41</v>
      </c>
      <c r="F1535" t="s">
        <v>45</v>
      </c>
    </row>
    <row r="1536" spans="1:6" x14ac:dyDescent="0.35">
      <c r="A1536" t="s">
        <v>20</v>
      </c>
      <c r="B1536" t="s">
        <v>54</v>
      </c>
      <c r="C1536" t="s">
        <v>49</v>
      </c>
      <c r="D1536">
        <v>60598.18</v>
      </c>
      <c r="E1536" t="s">
        <v>41</v>
      </c>
      <c r="F1536" t="s">
        <v>45</v>
      </c>
    </row>
    <row r="1537" spans="1:6" x14ac:dyDescent="0.35">
      <c r="A1537" t="s">
        <v>21</v>
      </c>
      <c r="B1537" t="s">
        <v>54</v>
      </c>
      <c r="C1537" t="s">
        <v>49</v>
      </c>
      <c r="D1537">
        <v>19749.77</v>
      </c>
      <c r="E1537" t="s">
        <v>41</v>
      </c>
      <c r="F1537" t="s">
        <v>45</v>
      </c>
    </row>
    <row r="1538" spans="1:6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45</v>
      </c>
    </row>
    <row r="1539" spans="1:6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45</v>
      </c>
    </row>
    <row r="1540" spans="1:6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45</v>
      </c>
    </row>
    <row r="1541" spans="1:6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45</v>
      </c>
    </row>
    <row r="1542" spans="1:6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45</v>
      </c>
    </row>
    <row r="1543" spans="1:6" x14ac:dyDescent="0.35">
      <c r="A1543" t="s">
        <v>15</v>
      </c>
      <c r="B1543" t="s">
        <v>54</v>
      </c>
      <c r="C1543" t="s">
        <v>50</v>
      </c>
      <c r="D1543">
        <v>12611.49</v>
      </c>
      <c r="E1543" t="s">
        <v>41</v>
      </c>
      <c r="F1543" t="s">
        <v>45</v>
      </c>
    </row>
    <row r="1544" spans="1:6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45</v>
      </c>
    </row>
    <row r="1545" spans="1:6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45</v>
      </c>
    </row>
    <row r="1546" spans="1:6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45</v>
      </c>
    </row>
    <row r="1547" spans="1:6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45</v>
      </c>
    </row>
    <row r="1548" spans="1:6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45</v>
      </c>
    </row>
    <row r="1549" spans="1:6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45</v>
      </c>
    </row>
    <row r="1550" spans="1:6" x14ac:dyDescent="0.35">
      <c r="A1550" t="s">
        <v>6</v>
      </c>
      <c r="B1550" t="s">
        <v>54</v>
      </c>
      <c r="C1550" t="s">
        <v>51</v>
      </c>
      <c r="D1550">
        <v>784</v>
      </c>
      <c r="E1550" t="s">
        <v>41</v>
      </c>
      <c r="F1550" t="s">
        <v>45</v>
      </c>
    </row>
    <row r="1551" spans="1:6" x14ac:dyDescent="0.35">
      <c r="A1551" t="s">
        <v>11</v>
      </c>
      <c r="B1551" t="s">
        <v>54</v>
      </c>
      <c r="C1551" t="s">
        <v>51</v>
      </c>
      <c r="D1551">
        <v>718</v>
      </c>
      <c r="E1551" t="s">
        <v>41</v>
      </c>
      <c r="F1551" t="s">
        <v>45</v>
      </c>
    </row>
    <row r="1552" spans="1:6" x14ac:dyDescent="0.35">
      <c r="A1552" t="s">
        <v>12</v>
      </c>
      <c r="B1552" t="s">
        <v>54</v>
      </c>
      <c r="C1552" t="s">
        <v>51</v>
      </c>
      <c r="D1552">
        <v>713</v>
      </c>
      <c r="E1552" t="s">
        <v>41</v>
      </c>
      <c r="F1552" t="s">
        <v>45</v>
      </c>
    </row>
    <row r="1553" spans="1:6" x14ac:dyDescent="0.35">
      <c r="A1553" t="s">
        <v>13</v>
      </c>
      <c r="B1553" t="s">
        <v>54</v>
      </c>
      <c r="C1553" t="s">
        <v>51</v>
      </c>
      <c r="D1553">
        <v>745</v>
      </c>
      <c r="E1553" t="s">
        <v>41</v>
      </c>
      <c r="F1553" t="s">
        <v>45</v>
      </c>
    </row>
    <row r="1554" spans="1:6" x14ac:dyDescent="0.35">
      <c r="A1554" t="s">
        <v>14</v>
      </c>
      <c r="B1554" t="s">
        <v>54</v>
      </c>
      <c r="C1554" t="s">
        <v>51</v>
      </c>
      <c r="D1554">
        <v>781</v>
      </c>
      <c r="E1554" t="s">
        <v>41</v>
      </c>
      <c r="F1554" t="s">
        <v>45</v>
      </c>
    </row>
    <row r="1555" spans="1:6" x14ac:dyDescent="0.35">
      <c r="A1555" t="s">
        <v>15</v>
      </c>
      <c r="B1555" t="s">
        <v>54</v>
      </c>
      <c r="C1555" t="s">
        <v>51</v>
      </c>
      <c r="D1555">
        <v>774</v>
      </c>
      <c r="E1555" t="s">
        <v>41</v>
      </c>
      <c r="F1555" t="s">
        <v>45</v>
      </c>
    </row>
    <row r="1556" spans="1:6" x14ac:dyDescent="0.35">
      <c r="A1556" t="s">
        <v>16</v>
      </c>
      <c r="B1556" t="s">
        <v>54</v>
      </c>
      <c r="C1556" t="s">
        <v>51</v>
      </c>
      <c r="D1556">
        <v>929</v>
      </c>
      <c r="E1556" t="s">
        <v>41</v>
      </c>
      <c r="F1556" t="s">
        <v>45</v>
      </c>
    </row>
    <row r="1557" spans="1:6" x14ac:dyDescent="0.35">
      <c r="A1557" t="s">
        <v>17</v>
      </c>
      <c r="B1557" t="s">
        <v>54</v>
      </c>
      <c r="C1557" t="s">
        <v>51</v>
      </c>
      <c r="D1557">
        <v>821</v>
      </c>
      <c r="E1557" t="s">
        <v>41</v>
      </c>
      <c r="F1557" t="s">
        <v>45</v>
      </c>
    </row>
    <row r="1558" spans="1:6" x14ac:dyDescent="0.35">
      <c r="A1558" t="s">
        <v>18</v>
      </c>
      <c r="B1558" t="s">
        <v>54</v>
      </c>
      <c r="C1558" t="s">
        <v>51</v>
      </c>
      <c r="D1558">
        <v>762</v>
      </c>
      <c r="E1558" t="s">
        <v>41</v>
      </c>
      <c r="F1558" t="s">
        <v>45</v>
      </c>
    </row>
    <row r="1559" spans="1:6" x14ac:dyDescent="0.35">
      <c r="A1559" t="s">
        <v>19</v>
      </c>
      <c r="B1559" t="s">
        <v>54</v>
      </c>
      <c r="C1559" t="s">
        <v>51</v>
      </c>
      <c r="D1559">
        <v>813</v>
      </c>
      <c r="E1559" t="s">
        <v>41</v>
      </c>
      <c r="F1559" t="s">
        <v>45</v>
      </c>
    </row>
    <row r="1560" spans="1:6" x14ac:dyDescent="0.35">
      <c r="A1560" t="s">
        <v>20</v>
      </c>
      <c r="B1560" t="s">
        <v>54</v>
      </c>
      <c r="C1560" t="s">
        <v>51</v>
      </c>
      <c r="D1560">
        <v>665</v>
      </c>
      <c r="E1560" t="s">
        <v>41</v>
      </c>
      <c r="F1560" t="s">
        <v>45</v>
      </c>
    </row>
    <row r="1561" spans="1:6" x14ac:dyDescent="0.35">
      <c r="A1561" t="s">
        <v>21</v>
      </c>
      <c r="B1561" t="s">
        <v>54</v>
      </c>
      <c r="C1561" t="s">
        <v>51</v>
      </c>
      <c r="D1561">
        <v>638</v>
      </c>
      <c r="E1561" t="s">
        <v>41</v>
      </c>
      <c r="F1561" t="s">
        <v>45</v>
      </c>
    </row>
    <row r="1562" spans="1:6" x14ac:dyDescent="0.35">
      <c r="A1562" t="s">
        <v>6</v>
      </c>
      <c r="B1562" t="s">
        <v>54</v>
      </c>
      <c r="C1562" t="s">
        <v>30</v>
      </c>
      <c r="D1562">
        <v>448</v>
      </c>
      <c r="E1562" t="s">
        <v>41</v>
      </c>
      <c r="F1562" t="s">
        <v>45</v>
      </c>
    </row>
    <row r="1563" spans="1:6" x14ac:dyDescent="0.35">
      <c r="A1563" t="s">
        <v>11</v>
      </c>
      <c r="B1563" t="s">
        <v>54</v>
      </c>
      <c r="C1563" t="s">
        <v>30</v>
      </c>
      <c r="D1563">
        <v>389</v>
      </c>
      <c r="E1563" t="s">
        <v>41</v>
      </c>
      <c r="F1563" t="s">
        <v>45</v>
      </c>
    </row>
    <row r="1564" spans="1:6" x14ac:dyDescent="0.35">
      <c r="A1564" t="s">
        <v>12</v>
      </c>
      <c r="B1564" t="s">
        <v>54</v>
      </c>
      <c r="C1564" t="s">
        <v>30</v>
      </c>
      <c r="D1564">
        <v>442</v>
      </c>
      <c r="E1564" t="s">
        <v>41</v>
      </c>
      <c r="F1564" t="s">
        <v>45</v>
      </c>
    </row>
    <row r="1565" spans="1:6" x14ac:dyDescent="0.35">
      <c r="A1565" t="s">
        <v>13</v>
      </c>
      <c r="B1565" t="s">
        <v>54</v>
      </c>
      <c r="C1565" t="s">
        <v>30</v>
      </c>
      <c r="D1565">
        <v>529</v>
      </c>
      <c r="E1565" t="s">
        <v>41</v>
      </c>
      <c r="F1565" t="s">
        <v>45</v>
      </c>
    </row>
    <row r="1566" spans="1:6" x14ac:dyDescent="0.35">
      <c r="A1566" t="s">
        <v>14</v>
      </c>
      <c r="B1566" t="s">
        <v>54</v>
      </c>
      <c r="C1566" t="s">
        <v>30</v>
      </c>
      <c r="D1566">
        <v>508</v>
      </c>
      <c r="E1566" t="s">
        <v>41</v>
      </c>
      <c r="F1566" t="s">
        <v>45</v>
      </c>
    </row>
    <row r="1567" spans="1:6" x14ac:dyDescent="0.35">
      <c r="A1567" t="s">
        <v>15</v>
      </c>
      <c r="B1567" t="s">
        <v>54</v>
      </c>
      <c r="C1567" t="s">
        <v>30</v>
      </c>
      <c r="D1567">
        <v>424</v>
      </c>
      <c r="E1567" t="s">
        <v>41</v>
      </c>
      <c r="F1567" t="s">
        <v>45</v>
      </c>
    </row>
    <row r="1568" spans="1:6" x14ac:dyDescent="0.35">
      <c r="A1568" t="s">
        <v>16</v>
      </c>
      <c r="B1568" t="s">
        <v>54</v>
      </c>
      <c r="C1568" t="s">
        <v>30</v>
      </c>
      <c r="D1568">
        <v>507</v>
      </c>
      <c r="E1568" t="s">
        <v>41</v>
      </c>
      <c r="F1568" t="s">
        <v>45</v>
      </c>
    </row>
    <row r="1569" spans="1:6" x14ac:dyDescent="0.35">
      <c r="A1569" t="s">
        <v>17</v>
      </c>
      <c r="B1569" t="s">
        <v>54</v>
      </c>
      <c r="C1569" t="s">
        <v>30</v>
      </c>
      <c r="D1569">
        <v>511</v>
      </c>
      <c r="E1569" t="s">
        <v>41</v>
      </c>
      <c r="F1569" t="s">
        <v>45</v>
      </c>
    </row>
    <row r="1570" spans="1:6" x14ac:dyDescent="0.35">
      <c r="A1570" t="s">
        <v>18</v>
      </c>
      <c r="B1570" t="s">
        <v>54</v>
      </c>
      <c r="C1570" t="s">
        <v>30</v>
      </c>
      <c r="D1570">
        <v>517</v>
      </c>
      <c r="E1570" t="s">
        <v>41</v>
      </c>
      <c r="F1570" t="s">
        <v>45</v>
      </c>
    </row>
    <row r="1571" spans="1:6" x14ac:dyDescent="0.35">
      <c r="A1571" t="s">
        <v>19</v>
      </c>
      <c r="B1571" t="s">
        <v>54</v>
      </c>
      <c r="C1571" t="s">
        <v>30</v>
      </c>
      <c r="D1571">
        <v>528</v>
      </c>
      <c r="E1571" t="s">
        <v>41</v>
      </c>
      <c r="F1571" t="s">
        <v>45</v>
      </c>
    </row>
    <row r="1572" spans="1:6" x14ac:dyDescent="0.35">
      <c r="A1572" t="s">
        <v>20</v>
      </c>
      <c r="B1572" t="s">
        <v>54</v>
      </c>
      <c r="C1572" t="s">
        <v>30</v>
      </c>
      <c r="D1572">
        <v>486</v>
      </c>
      <c r="E1572" t="s">
        <v>41</v>
      </c>
      <c r="F1572" t="s">
        <v>45</v>
      </c>
    </row>
    <row r="1573" spans="1:6" x14ac:dyDescent="0.35">
      <c r="A1573" t="s">
        <v>21</v>
      </c>
      <c r="B1573" t="s">
        <v>54</v>
      </c>
      <c r="C1573" t="s">
        <v>30</v>
      </c>
      <c r="D1573">
        <v>581</v>
      </c>
      <c r="E1573" t="s">
        <v>41</v>
      </c>
      <c r="F1573" t="s">
        <v>45</v>
      </c>
    </row>
    <row r="1574" spans="1:6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45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45</v>
      </c>
    </row>
    <row r="1576" spans="1:6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45</v>
      </c>
    </row>
    <row r="1577" spans="1:6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45</v>
      </c>
    </row>
    <row r="1578" spans="1:6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45</v>
      </c>
    </row>
    <row r="1579" spans="1:6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45</v>
      </c>
    </row>
    <row r="1580" spans="1:6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45</v>
      </c>
    </row>
    <row r="1581" spans="1:6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45</v>
      </c>
    </row>
    <row r="1582" spans="1:6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45</v>
      </c>
    </row>
    <row r="1583" spans="1:6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45</v>
      </c>
    </row>
    <row r="1584" spans="1:6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45</v>
      </c>
    </row>
    <row r="1585" spans="1:6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45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45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45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45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45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45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45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45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45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45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45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815.97</v>
      </c>
      <c r="E1596" t="s">
        <v>42</v>
      </c>
      <c r="F1596" t="s">
        <v>45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45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45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45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45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45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45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45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45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45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45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45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45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45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45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45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45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45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45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45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45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40536.99</v>
      </c>
      <c r="E1617" t="s">
        <v>42</v>
      </c>
      <c r="F1617" t="s">
        <v>45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312.95999999999998</v>
      </c>
      <c r="E1618" t="s">
        <v>42</v>
      </c>
      <c r="F1618" t="s">
        <v>45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632.4</v>
      </c>
      <c r="E1619" t="s">
        <v>42</v>
      </c>
      <c r="F1619" t="s">
        <v>45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90411.47</v>
      </c>
      <c r="E1620" t="s">
        <v>42</v>
      </c>
      <c r="F1620" t="s">
        <v>45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36100.870000000003</v>
      </c>
      <c r="E1621" t="s">
        <v>42</v>
      </c>
      <c r="F1621" t="s">
        <v>45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45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45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45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45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45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45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45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45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45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45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45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45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45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45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45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45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45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45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45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45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45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45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45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406.1</v>
      </c>
      <c r="E1645" t="s">
        <v>42</v>
      </c>
      <c r="F1645" t="s">
        <v>45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45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45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45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45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45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45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45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45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45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45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45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45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45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45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45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45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45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45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45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80.599999999999994</v>
      </c>
      <c r="E1665" t="s">
        <v>42</v>
      </c>
      <c r="F1665" t="s">
        <v>45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45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45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1349.12</v>
      </c>
      <c r="E1668" t="s">
        <v>42</v>
      </c>
      <c r="F1668" t="s">
        <v>45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45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45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45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45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45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45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45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45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45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45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45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45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45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0</v>
      </c>
      <c r="E1682" t="s">
        <v>42</v>
      </c>
      <c r="F1682" t="s">
        <v>45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0</v>
      </c>
      <c r="E1683" t="s">
        <v>42</v>
      </c>
      <c r="F1683" t="s">
        <v>45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45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0</v>
      </c>
      <c r="E1685" t="s">
        <v>42</v>
      </c>
      <c r="F1685" t="s">
        <v>45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1</v>
      </c>
      <c r="E1686" t="s">
        <v>42</v>
      </c>
      <c r="F1686" t="s">
        <v>45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45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2</v>
      </c>
      <c r="E1688" t="s">
        <v>42</v>
      </c>
      <c r="F1688" t="s">
        <v>45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2</v>
      </c>
      <c r="E1689" t="s">
        <v>42</v>
      </c>
      <c r="F1689" t="s">
        <v>45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7</v>
      </c>
      <c r="E1690" t="s">
        <v>42</v>
      </c>
      <c r="F1690" t="s">
        <v>45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6</v>
      </c>
      <c r="E1691" t="s">
        <v>42</v>
      </c>
      <c r="F1691" t="s">
        <v>45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7</v>
      </c>
      <c r="E1692" t="s">
        <v>42</v>
      </c>
      <c r="F1692" t="s">
        <v>45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5</v>
      </c>
      <c r="E1693" t="s">
        <v>42</v>
      </c>
      <c r="F1693" t="s">
        <v>45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45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45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45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45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45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45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45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1</v>
      </c>
      <c r="E1701" t="s">
        <v>42</v>
      </c>
      <c r="F1701" t="s">
        <v>45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1</v>
      </c>
      <c r="E1702" t="s">
        <v>42</v>
      </c>
      <c r="F1702" t="s">
        <v>45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1</v>
      </c>
      <c r="E1703" t="s">
        <v>42</v>
      </c>
      <c r="F1703" t="s">
        <v>45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5</v>
      </c>
      <c r="E1704" t="s">
        <v>42</v>
      </c>
      <c r="F1704" t="s">
        <v>45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2</v>
      </c>
      <c r="E1705" t="s">
        <v>42</v>
      </c>
      <c r="F1705" t="s">
        <v>45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45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45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45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45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45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45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45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45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45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45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45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45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45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45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45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45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45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0</v>
      </c>
      <c r="E1723" t="s">
        <v>42</v>
      </c>
      <c r="F1723" t="s">
        <v>45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230.09</v>
      </c>
      <c r="E1724" t="s">
        <v>42</v>
      </c>
      <c r="F1724" t="s">
        <v>45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848.42</v>
      </c>
      <c r="E1725" t="s">
        <v>42</v>
      </c>
      <c r="F1725" t="s">
        <v>45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7797.11</v>
      </c>
      <c r="E1726" t="s">
        <v>42</v>
      </c>
      <c r="F1726" t="s">
        <v>45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1604.86</v>
      </c>
      <c r="E1727" t="s">
        <v>42</v>
      </c>
      <c r="F1727" t="s">
        <v>45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17793.82</v>
      </c>
      <c r="E1728" t="s">
        <v>42</v>
      </c>
      <c r="F1728" t="s">
        <v>45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2106.29</v>
      </c>
      <c r="E1729" t="s">
        <v>42</v>
      </c>
      <c r="F1729" t="s">
        <v>45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45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45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45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45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45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45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45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45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45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45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45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45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57948.24</v>
      </c>
      <c r="E1742" t="s">
        <v>42</v>
      </c>
      <c r="F1742" t="s">
        <v>45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0</v>
      </c>
      <c r="E1743" t="s">
        <v>42</v>
      </c>
      <c r="F1743" t="s">
        <v>45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0</v>
      </c>
      <c r="E1744" t="s">
        <v>42</v>
      </c>
      <c r="F1744" t="s">
        <v>45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0</v>
      </c>
      <c r="E1745" t="s">
        <v>42</v>
      </c>
      <c r="F1745" t="s">
        <v>45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0</v>
      </c>
      <c r="E1746" t="s">
        <v>42</v>
      </c>
      <c r="F1746" t="s">
        <v>45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9162.24</v>
      </c>
      <c r="E1747" t="s">
        <v>42</v>
      </c>
      <c r="F1747" t="s">
        <v>45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3877.75</v>
      </c>
      <c r="E1748" t="s">
        <v>42</v>
      </c>
      <c r="F1748" t="s">
        <v>45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308357.52</v>
      </c>
      <c r="E1749" t="s">
        <v>42</v>
      </c>
      <c r="F1749" t="s">
        <v>45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19438.11</v>
      </c>
      <c r="E1750" t="s">
        <v>42</v>
      </c>
      <c r="F1750" t="s">
        <v>45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25453.360000000001</v>
      </c>
      <c r="E1751" t="s">
        <v>42</v>
      </c>
      <c r="F1751" t="s">
        <v>45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115730.61</v>
      </c>
      <c r="E1752" t="s">
        <v>42</v>
      </c>
      <c r="F1752" t="s">
        <v>45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118222.44</v>
      </c>
      <c r="E1753" t="s">
        <v>42</v>
      </c>
      <c r="F1753" t="s">
        <v>45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45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45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45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45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45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45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45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45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45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45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45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45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45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45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45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45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45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45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45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45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45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45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45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45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45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45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45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45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45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45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45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45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45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45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45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45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0</v>
      </c>
      <c r="E1790" t="s">
        <v>42</v>
      </c>
      <c r="F1790" t="s">
        <v>45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0</v>
      </c>
      <c r="E1791" t="s">
        <v>42</v>
      </c>
      <c r="F1791" t="s">
        <v>45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0</v>
      </c>
      <c r="E1792" t="s">
        <v>42</v>
      </c>
      <c r="F1792" t="s">
        <v>45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0</v>
      </c>
      <c r="E1793" t="s">
        <v>42</v>
      </c>
      <c r="F1793" t="s">
        <v>45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0</v>
      </c>
      <c r="E1794" t="s">
        <v>42</v>
      </c>
      <c r="F1794" t="s">
        <v>45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0</v>
      </c>
      <c r="E1795" t="s">
        <v>42</v>
      </c>
      <c r="F1795" t="s">
        <v>45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5252.85</v>
      </c>
      <c r="E1796" t="s">
        <v>42</v>
      </c>
      <c r="F1796" t="s">
        <v>45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2151.98</v>
      </c>
      <c r="E1797" t="s">
        <v>42</v>
      </c>
      <c r="F1797" t="s">
        <v>45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4884.0600000000004</v>
      </c>
      <c r="E1798" t="s">
        <v>42</v>
      </c>
      <c r="F1798" t="s">
        <v>45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4288.41</v>
      </c>
      <c r="E1799" t="s">
        <v>42</v>
      </c>
      <c r="F1799" t="s">
        <v>45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16468.48</v>
      </c>
      <c r="E1800" t="s">
        <v>42</v>
      </c>
      <c r="F1800" t="s">
        <v>45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16219.21</v>
      </c>
      <c r="E1801" t="s">
        <v>42</v>
      </c>
      <c r="F1801" t="s">
        <v>45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45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45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45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45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45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45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45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45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45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45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45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45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3</v>
      </c>
      <c r="E1814" t="s">
        <v>42</v>
      </c>
      <c r="F1814" t="s">
        <v>45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3</v>
      </c>
      <c r="E1815" t="s">
        <v>42</v>
      </c>
      <c r="F1815" t="s">
        <v>45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4</v>
      </c>
      <c r="E1816" t="s">
        <v>42</v>
      </c>
      <c r="F1816" t="s">
        <v>45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6</v>
      </c>
      <c r="E1817" t="s">
        <v>42</v>
      </c>
      <c r="F1817" t="s">
        <v>45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3</v>
      </c>
      <c r="E1818" t="s">
        <v>42</v>
      </c>
      <c r="F1818" t="s">
        <v>45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13</v>
      </c>
      <c r="E1819" t="s">
        <v>42</v>
      </c>
      <c r="F1819" t="s">
        <v>45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20</v>
      </c>
      <c r="E1820" t="s">
        <v>42</v>
      </c>
      <c r="F1820" t="s">
        <v>45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25</v>
      </c>
      <c r="E1821" t="s">
        <v>42</v>
      </c>
      <c r="F1821" t="s">
        <v>45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23</v>
      </c>
      <c r="E1822" t="s">
        <v>42</v>
      </c>
      <c r="F1822" t="s">
        <v>45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27</v>
      </c>
      <c r="E1823" t="s">
        <v>42</v>
      </c>
      <c r="F1823" t="s">
        <v>45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16</v>
      </c>
      <c r="E1824" t="s">
        <v>42</v>
      </c>
      <c r="F1824" t="s">
        <v>45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21</v>
      </c>
      <c r="E1825" t="s">
        <v>42</v>
      </c>
      <c r="F1825" t="s">
        <v>45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</v>
      </c>
      <c r="E1826" t="s">
        <v>42</v>
      </c>
      <c r="F1826" t="s">
        <v>45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0</v>
      </c>
      <c r="E1827" t="s">
        <v>42</v>
      </c>
      <c r="F1827" t="s">
        <v>45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0</v>
      </c>
      <c r="E1828" t="s">
        <v>42</v>
      </c>
      <c r="F1828" t="s">
        <v>45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0</v>
      </c>
      <c r="E1829" t="s">
        <v>42</v>
      </c>
      <c r="F1829" t="s">
        <v>45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0</v>
      </c>
      <c r="E1830" t="s">
        <v>42</v>
      </c>
      <c r="F1830" t="s">
        <v>45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</v>
      </c>
      <c r="E1831" t="s">
        <v>42</v>
      </c>
      <c r="F1831" t="s">
        <v>45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1</v>
      </c>
      <c r="E1832" t="s">
        <v>42</v>
      </c>
      <c r="F1832" t="s">
        <v>45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5</v>
      </c>
      <c r="E1833" t="s">
        <v>42</v>
      </c>
      <c r="F1833" t="s">
        <v>45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8</v>
      </c>
      <c r="E1834" t="s">
        <v>42</v>
      </c>
      <c r="F1834" t="s">
        <v>45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6</v>
      </c>
      <c r="E1835" t="s">
        <v>42</v>
      </c>
      <c r="F1835" t="s">
        <v>45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6</v>
      </c>
      <c r="E1836" t="s">
        <v>42</v>
      </c>
      <c r="F1836" t="s">
        <v>45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13</v>
      </c>
      <c r="E1837" t="s">
        <v>42</v>
      </c>
      <c r="F1837" t="s">
        <v>45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45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45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45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45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45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45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45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45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45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45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45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45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45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45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45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45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45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45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45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45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45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45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45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45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45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45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45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45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45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45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45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45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45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45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45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45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45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45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0</v>
      </c>
      <c r="E1876" t="s">
        <v>42</v>
      </c>
      <c r="F1876" t="s">
        <v>45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45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45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45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45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45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45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45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45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45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45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45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45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45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45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45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45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45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45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45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45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45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45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45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45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45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45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45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45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45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45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45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45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45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45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45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45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45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45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45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45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45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45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45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45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45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0</v>
      </c>
      <c r="E1922" t="s">
        <v>42</v>
      </c>
      <c r="F1922" t="s">
        <v>45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45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45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45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45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45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45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45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45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45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45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45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45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45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45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45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45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45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45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45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45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45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45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45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45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0</v>
      </c>
      <c r="E1947" t="s">
        <v>42</v>
      </c>
      <c r="F1947" t="s">
        <v>45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45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45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45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45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0</v>
      </c>
      <c r="E1952" t="s">
        <v>42</v>
      </c>
      <c r="F1952" t="s">
        <v>45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45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45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45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45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45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0</v>
      </c>
      <c r="E1958" t="s">
        <v>42</v>
      </c>
      <c r="F1958" t="s">
        <v>45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45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0</v>
      </c>
      <c r="E1960" t="s">
        <v>42</v>
      </c>
      <c r="F1960" t="s">
        <v>45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45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45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45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45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45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45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45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45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45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45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45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45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45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45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45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45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45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45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45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45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45</v>
      </c>
    </row>
    <row r="1982" spans="1:6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45</v>
      </c>
    </row>
    <row r="1983" spans="1:6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45</v>
      </c>
    </row>
    <row r="1984" spans="1:6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45</v>
      </c>
    </row>
    <row r="1985" spans="1:6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45</v>
      </c>
    </row>
    <row r="1986" spans="1:6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45</v>
      </c>
    </row>
    <row r="1987" spans="1:6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45</v>
      </c>
    </row>
    <row r="1988" spans="1:6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45</v>
      </c>
    </row>
    <row r="1989" spans="1:6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45</v>
      </c>
    </row>
    <row r="1990" spans="1:6" x14ac:dyDescent="0.35">
      <c r="A1990" t="s">
        <v>18</v>
      </c>
      <c r="B1990" t="s">
        <v>54</v>
      </c>
      <c r="C1990" t="s">
        <v>44</v>
      </c>
      <c r="D1990">
        <v>0</v>
      </c>
      <c r="E1990" t="s">
        <v>42</v>
      </c>
      <c r="F1990" t="s">
        <v>45</v>
      </c>
    </row>
    <row r="1991" spans="1:6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45</v>
      </c>
    </row>
    <row r="1992" spans="1:6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45</v>
      </c>
    </row>
    <row r="1993" spans="1:6" x14ac:dyDescent="0.35">
      <c r="A1993" t="s">
        <v>21</v>
      </c>
      <c r="B1993" t="s">
        <v>54</v>
      </c>
      <c r="C1993" t="s">
        <v>44</v>
      </c>
      <c r="D1993">
        <v>4093.03</v>
      </c>
      <c r="E1993" t="s">
        <v>42</v>
      </c>
      <c r="F1993" t="s">
        <v>45</v>
      </c>
    </row>
    <row r="1994" spans="1:6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45</v>
      </c>
    </row>
    <row r="1995" spans="1:6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45</v>
      </c>
    </row>
    <row r="1996" spans="1:6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45</v>
      </c>
    </row>
    <row r="1997" spans="1:6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45</v>
      </c>
    </row>
    <row r="1998" spans="1:6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45</v>
      </c>
    </row>
    <row r="1999" spans="1:6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45</v>
      </c>
    </row>
    <row r="2000" spans="1:6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45</v>
      </c>
    </row>
    <row r="2001" spans="1:6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45</v>
      </c>
    </row>
    <row r="2002" spans="1:6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45</v>
      </c>
    </row>
    <row r="2003" spans="1:6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45</v>
      </c>
    </row>
    <row r="2004" spans="1:6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45</v>
      </c>
    </row>
    <row r="2005" spans="1:6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45</v>
      </c>
    </row>
    <row r="2006" spans="1:6" x14ac:dyDescent="0.35">
      <c r="A2006" t="s">
        <v>6</v>
      </c>
      <c r="B2006" t="s">
        <v>54</v>
      </c>
      <c r="C2006" t="s">
        <v>46</v>
      </c>
      <c r="D2006">
        <v>0</v>
      </c>
      <c r="E2006" t="s">
        <v>42</v>
      </c>
      <c r="F2006" t="s">
        <v>45</v>
      </c>
    </row>
    <row r="2007" spans="1:6" x14ac:dyDescent="0.35">
      <c r="A2007" t="s">
        <v>11</v>
      </c>
      <c r="B2007" t="s">
        <v>54</v>
      </c>
      <c r="C2007" t="s">
        <v>46</v>
      </c>
      <c r="D2007">
        <v>6113.42</v>
      </c>
      <c r="E2007" t="s">
        <v>42</v>
      </c>
      <c r="F2007" t="s">
        <v>45</v>
      </c>
    </row>
    <row r="2008" spans="1:6" x14ac:dyDescent="0.35">
      <c r="A2008" t="s">
        <v>12</v>
      </c>
      <c r="B2008" t="s">
        <v>54</v>
      </c>
      <c r="C2008" t="s">
        <v>46</v>
      </c>
      <c r="D2008">
        <v>858.47</v>
      </c>
      <c r="E2008" t="s">
        <v>42</v>
      </c>
      <c r="F2008" t="s">
        <v>45</v>
      </c>
    </row>
    <row r="2009" spans="1:6" x14ac:dyDescent="0.35">
      <c r="A2009" t="s">
        <v>13</v>
      </c>
      <c r="B2009" t="s">
        <v>54</v>
      </c>
      <c r="C2009" t="s">
        <v>46</v>
      </c>
      <c r="D2009">
        <v>8469.83</v>
      </c>
      <c r="E2009" t="s">
        <v>42</v>
      </c>
      <c r="F2009" t="s">
        <v>45</v>
      </c>
    </row>
    <row r="2010" spans="1:6" x14ac:dyDescent="0.35">
      <c r="A2010" t="s">
        <v>14</v>
      </c>
      <c r="B2010" t="s">
        <v>54</v>
      </c>
      <c r="C2010" t="s">
        <v>46</v>
      </c>
      <c r="D2010">
        <v>4332.3</v>
      </c>
      <c r="E2010" t="s">
        <v>42</v>
      </c>
      <c r="F2010" t="s">
        <v>45</v>
      </c>
    </row>
    <row r="2011" spans="1:6" x14ac:dyDescent="0.35">
      <c r="A2011" t="s">
        <v>15</v>
      </c>
      <c r="B2011" t="s">
        <v>54</v>
      </c>
      <c r="C2011" t="s">
        <v>46</v>
      </c>
      <c r="D2011">
        <v>2196.7199999999998</v>
      </c>
      <c r="E2011" t="s">
        <v>42</v>
      </c>
      <c r="F2011" t="s">
        <v>45</v>
      </c>
    </row>
    <row r="2012" spans="1:6" x14ac:dyDescent="0.35">
      <c r="A2012" t="s">
        <v>16</v>
      </c>
      <c r="B2012" t="s">
        <v>54</v>
      </c>
      <c r="C2012" t="s">
        <v>46</v>
      </c>
      <c r="D2012">
        <v>2093.5100000000002</v>
      </c>
      <c r="E2012" t="s">
        <v>42</v>
      </c>
      <c r="F2012" t="s">
        <v>45</v>
      </c>
    </row>
    <row r="2013" spans="1:6" x14ac:dyDescent="0.35">
      <c r="A2013" t="s">
        <v>17</v>
      </c>
      <c r="B2013" t="s">
        <v>54</v>
      </c>
      <c r="C2013" t="s">
        <v>46</v>
      </c>
      <c r="D2013">
        <v>10780.12</v>
      </c>
      <c r="E2013" t="s">
        <v>42</v>
      </c>
      <c r="F2013" t="s">
        <v>45</v>
      </c>
    </row>
    <row r="2014" spans="1:6" x14ac:dyDescent="0.35">
      <c r="A2014" t="s">
        <v>18</v>
      </c>
      <c r="B2014" t="s">
        <v>54</v>
      </c>
      <c r="C2014" t="s">
        <v>46</v>
      </c>
      <c r="D2014">
        <v>11551.92</v>
      </c>
      <c r="E2014" t="s">
        <v>42</v>
      </c>
      <c r="F2014" t="s">
        <v>45</v>
      </c>
    </row>
    <row r="2015" spans="1:6" x14ac:dyDescent="0.35">
      <c r="A2015" t="s">
        <v>19</v>
      </c>
      <c r="B2015" t="s">
        <v>54</v>
      </c>
      <c r="C2015" t="s">
        <v>46</v>
      </c>
      <c r="D2015">
        <v>21552.01</v>
      </c>
      <c r="E2015" t="s">
        <v>42</v>
      </c>
      <c r="F2015" t="s">
        <v>45</v>
      </c>
    </row>
    <row r="2016" spans="1:6" x14ac:dyDescent="0.35">
      <c r="A2016" t="s">
        <v>20</v>
      </c>
      <c r="B2016" t="s">
        <v>54</v>
      </c>
      <c r="C2016" t="s">
        <v>46</v>
      </c>
      <c r="D2016">
        <v>11819.68</v>
      </c>
      <c r="E2016" t="s">
        <v>42</v>
      </c>
      <c r="F2016" t="s">
        <v>45</v>
      </c>
    </row>
    <row r="2017" spans="1:6" x14ac:dyDescent="0.35">
      <c r="A2017" t="s">
        <v>21</v>
      </c>
      <c r="B2017" t="s">
        <v>54</v>
      </c>
      <c r="C2017" t="s">
        <v>46</v>
      </c>
      <c r="D2017">
        <v>16464.97</v>
      </c>
      <c r="E2017" t="s">
        <v>42</v>
      </c>
      <c r="F2017" t="s">
        <v>45</v>
      </c>
    </row>
    <row r="2018" spans="1:6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45</v>
      </c>
    </row>
    <row r="2019" spans="1:6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45</v>
      </c>
    </row>
    <row r="2020" spans="1:6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45</v>
      </c>
    </row>
    <row r="2021" spans="1:6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45</v>
      </c>
    </row>
    <row r="2022" spans="1:6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45</v>
      </c>
    </row>
    <row r="2023" spans="1:6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45</v>
      </c>
    </row>
    <row r="2024" spans="1:6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45</v>
      </c>
    </row>
    <row r="2025" spans="1:6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45</v>
      </c>
    </row>
    <row r="2026" spans="1:6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45</v>
      </c>
    </row>
    <row r="2027" spans="1:6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45</v>
      </c>
    </row>
    <row r="2028" spans="1:6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45</v>
      </c>
    </row>
    <row r="2029" spans="1:6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45</v>
      </c>
    </row>
    <row r="2030" spans="1:6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45</v>
      </c>
    </row>
    <row r="2031" spans="1:6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45</v>
      </c>
    </row>
    <row r="2032" spans="1:6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45</v>
      </c>
    </row>
    <row r="2033" spans="1:6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45</v>
      </c>
    </row>
    <row r="2034" spans="1:6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45</v>
      </c>
    </row>
    <row r="2035" spans="1:6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45</v>
      </c>
    </row>
    <row r="2036" spans="1:6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45</v>
      </c>
    </row>
    <row r="2037" spans="1:6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45</v>
      </c>
    </row>
    <row r="2038" spans="1:6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45</v>
      </c>
    </row>
    <row r="2039" spans="1:6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45</v>
      </c>
    </row>
    <row r="2040" spans="1:6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45</v>
      </c>
    </row>
    <row r="2041" spans="1:6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45</v>
      </c>
    </row>
    <row r="2042" spans="1:6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45</v>
      </c>
    </row>
    <row r="2043" spans="1:6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45</v>
      </c>
    </row>
    <row r="2044" spans="1:6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45</v>
      </c>
    </row>
    <row r="2045" spans="1:6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45</v>
      </c>
    </row>
    <row r="2046" spans="1:6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45</v>
      </c>
    </row>
    <row r="2047" spans="1:6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45</v>
      </c>
    </row>
    <row r="2048" spans="1:6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45</v>
      </c>
    </row>
    <row r="2049" spans="1:6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45</v>
      </c>
    </row>
    <row r="2050" spans="1:6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45</v>
      </c>
    </row>
    <row r="2051" spans="1:6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45</v>
      </c>
    </row>
    <row r="2052" spans="1:6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45</v>
      </c>
    </row>
    <row r="2053" spans="1:6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45</v>
      </c>
    </row>
    <row r="2054" spans="1:6" x14ac:dyDescent="0.35">
      <c r="A2054" t="s">
        <v>6</v>
      </c>
      <c r="B2054" t="s">
        <v>54</v>
      </c>
      <c r="C2054" t="s">
        <v>49</v>
      </c>
      <c r="D2054">
        <v>0</v>
      </c>
      <c r="E2054" t="s">
        <v>42</v>
      </c>
      <c r="F2054" t="s">
        <v>45</v>
      </c>
    </row>
    <row r="2055" spans="1:6" x14ac:dyDescent="0.35">
      <c r="A2055" t="s">
        <v>11</v>
      </c>
      <c r="B2055" t="s">
        <v>54</v>
      </c>
      <c r="C2055" t="s">
        <v>49</v>
      </c>
      <c r="D2055">
        <v>0</v>
      </c>
      <c r="E2055" t="s">
        <v>42</v>
      </c>
      <c r="F2055" t="s">
        <v>45</v>
      </c>
    </row>
    <row r="2056" spans="1:6" x14ac:dyDescent="0.35">
      <c r="A2056" t="s">
        <v>12</v>
      </c>
      <c r="B2056" t="s">
        <v>54</v>
      </c>
      <c r="C2056" t="s">
        <v>49</v>
      </c>
      <c r="D2056">
        <v>0</v>
      </c>
      <c r="E2056" t="s">
        <v>42</v>
      </c>
      <c r="F2056" t="s">
        <v>45</v>
      </c>
    </row>
    <row r="2057" spans="1:6" x14ac:dyDescent="0.35">
      <c r="A2057" t="s">
        <v>13</v>
      </c>
      <c r="B2057" t="s">
        <v>54</v>
      </c>
      <c r="C2057" t="s">
        <v>49</v>
      </c>
      <c r="D2057">
        <v>0</v>
      </c>
      <c r="E2057" t="s">
        <v>42</v>
      </c>
      <c r="F2057" t="s">
        <v>45</v>
      </c>
    </row>
    <row r="2058" spans="1:6" x14ac:dyDescent="0.35">
      <c r="A2058" t="s">
        <v>14</v>
      </c>
      <c r="B2058" t="s">
        <v>54</v>
      </c>
      <c r="C2058" t="s">
        <v>49</v>
      </c>
      <c r="D2058">
        <v>0</v>
      </c>
      <c r="E2058" t="s">
        <v>42</v>
      </c>
      <c r="F2058" t="s">
        <v>45</v>
      </c>
    </row>
    <row r="2059" spans="1:6" x14ac:dyDescent="0.35">
      <c r="A2059" t="s">
        <v>15</v>
      </c>
      <c r="B2059" t="s">
        <v>54</v>
      </c>
      <c r="C2059" t="s">
        <v>49</v>
      </c>
      <c r="D2059">
        <v>0</v>
      </c>
      <c r="E2059" t="s">
        <v>42</v>
      </c>
      <c r="F2059" t="s">
        <v>45</v>
      </c>
    </row>
    <row r="2060" spans="1:6" x14ac:dyDescent="0.35">
      <c r="A2060" t="s">
        <v>16</v>
      </c>
      <c r="B2060" t="s">
        <v>54</v>
      </c>
      <c r="C2060" t="s">
        <v>49</v>
      </c>
      <c r="D2060">
        <v>0</v>
      </c>
      <c r="E2060" t="s">
        <v>42</v>
      </c>
      <c r="F2060" t="s">
        <v>45</v>
      </c>
    </row>
    <row r="2061" spans="1:6" x14ac:dyDescent="0.35">
      <c r="A2061" t="s">
        <v>17</v>
      </c>
      <c r="B2061" t="s">
        <v>54</v>
      </c>
      <c r="C2061" t="s">
        <v>49</v>
      </c>
      <c r="D2061">
        <v>1627.75</v>
      </c>
      <c r="E2061" t="s">
        <v>42</v>
      </c>
      <c r="F2061" t="s">
        <v>45</v>
      </c>
    </row>
    <row r="2062" spans="1:6" x14ac:dyDescent="0.35">
      <c r="A2062" t="s">
        <v>18</v>
      </c>
      <c r="B2062" t="s">
        <v>54</v>
      </c>
      <c r="C2062" t="s">
        <v>49</v>
      </c>
      <c r="D2062">
        <v>0</v>
      </c>
      <c r="E2062" t="s">
        <v>42</v>
      </c>
      <c r="F2062" t="s">
        <v>45</v>
      </c>
    </row>
    <row r="2063" spans="1:6" x14ac:dyDescent="0.35">
      <c r="A2063" t="s">
        <v>19</v>
      </c>
      <c r="B2063" t="s">
        <v>54</v>
      </c>
      <c r="C2063" t="s">
        <v>49</v>
      </c>
      <c r="D2063">
        <v>2136.88</v>
      </c>
      <c r="E2063" t="s">
        <v>42</v>
      </c>
      <c r="F2063" t="s">
        <v>45</v>
      </c>
    </row>
    <row r="2064" spans="1:6" x14ac:dyDescent="0.35">
      <c r="A2064" t="s">
        <v>20</v>
      </c>
      <c r="B2064" t="s">
        <v>54</v>
      </c>
      <c r="C2064" t="s">
        <v>49</v>
      </c>
      <c r="D2064">
        <v>0</v>
      </c>
      <c r="E2064" t="s">
        <v>42</v>
      </c>
      <c r="F2064" t="s">
        <v>45</v>
      </c>
    </row>
    <row r="2065" spans="1:6" x14ac:dyDescent="0.35">
      <c r="A2065" t="s">
        <v>21</v>
      </c>
      <c r="B2065" t="s">
        <v>54</v>
      </c>
      <c r="C2065" t="s">
        <v>49</v>
      </c>
      <c r="D2065">
        <v>0</v>
      </c>
      <c r="E2065" t="s">
        <v>42</v>
      </c>
      <c r="F2065" t="s">
        <v>45</v>
      </c>
    </row>
    <row r="2066" spans="1:6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45</v>
      </c>
    </row>
    <row r="2067" spans="1:6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45</v>
      </c>
    </row>
    <row r="2068" spans="1:6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45</v>
      </c>
    </row>
    <row r="2069" spans="1:6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45</v>
      </c>
    </row>
    <row r="2070" spans="1:6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45</v>
      </c>
    </row>
    <row r="2071" spans="1:6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45</v>
      </c>
    </row>
    <row r="2072" spans="1:6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45</v>
      </c>
    </row>
    <row r="2073" spans="1:6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45</v>
      </c>
    </row>
    <row r="2074" spans="1:6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45</v>
      </c>
    </row>
    <row r="2075" spans="1:6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45</v>
      </c>
    </row>
    <row r="2076" spans="1:6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45</v>
      </c>
    </row>
    <row r="2077" spans="1:6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45</v>
      </c>
    </row>
    <row r="2078" spans="1:6" x14ac:dyDescent="0.35">
      <c r="A2078" t="s">
        <v>6</v>
      </c>
      <c r="B2078" t="s">
        <v>54</v>
      </c>
      <c r="C2078" t="s">
        <v>51</v>
      </c>
      <c r="D2078">
        <v>9</v>
      </c>
      <c r="E2078" t="s">
        <v>42</v>
      </c>
      <c r="F2078" t="s">
        <v>45</v>
      </c>
    </row>
    <row r="2079" spans="1:6" x14ac:dyDescent="0.35">
      <c r="A2079" t="s">
        <v>11</v>
      </c>
      <c r="B2079" t="s">
        <v>54</v>
      </c>
      <c r="C2079" t="s">
        <v>51</v>
      </c>
      <c r="D2079">
        <v>9</v>
      </c>
      <c r="E2079" t="s">
        <v>42</v>
      </c>
      <c r="F2079" t="s">
        <v>45</v>
      </c>
    </row>
    <row r="2080" spans="1:6" x14ac:dyDescent="0.35">
      <c r="A2080" t="s">
        <v>12</v>
      </c>
      <c r="B2080" t="s">
        <v>54</v>
      </c>
      <c r="C2080" t="s">
        <v>51</v>
      </c>
      <c r="D2080">
        <v>3</v>
      </c>
      <c r="E2080" t="s">
        <v>42</v>
      </c>
      <c r="F2080" t="s">
        <v>45</v>
      </c>
    </row>
    <row r="2081" spans="1:6" x14ac:dyDescent="0.35">
      <c r="A2081" t="s">
        <v>13</v>
      </c>
      <c r="B2081" t="s">
        <v>54</v>
      </c>
      <c r="C2081" t="s">
        <v>51</v>
      </c>
      <c r="D2081">
        <v>3</v>
      </c>
      <c r="E2081" t="s">
        <v>42</v>
      </c>
      <c r="F2081" t="s">
        <v>45</v>
      </c>
    </row>
    <row r="2082" spans="1:6" x14ac:dyDescent="0.35">
      <c r="A2082" t="s">
        <v>14</v>
      </c>
      <c r="B2082" t="s">
        <v>54</v>
      </c>
      <c r="C2082" t="s">
        <v>51</v>
      </c>
      <c r="D2082">
        <v>8</v>
      </c>
      <c r="E2082" t="s">
        <v>42</v>
      </c>
      <c r="F2082" t="s">
        <v>45</v>
      </c>
    </row>
    <row r="2083" spans="1:6" x14ac:dyDescent="0.35">
      <c r="A2083" t="s">
        <v>15</v>
      </c>
      <c r="B2083" t="s">
        <v>54</v>
      </c>
      <c r="C2083" t="s">
        <v>51</v>
      </c>
      <c r="D2083">
        <v>6</v>
      </c>
      <c r="E2083" t="s">
        <v>42</v>
      </c>
      <c r="F2083" t="s">
        <v>45</v>
      </c>
    </row>
    <row r="2084" spans="1:6" x14ac:dyDescent="0.35">
      <c r="A2084" t="s">
        <v>16</v>
      </c>
      <c r="B2084" t="s">
        <v>54</v>
      </c>
      <c r="C2084" t="s">
        <v>51</v>
      </c>
      <c r="D2084">
        <v>21</v>
      </c>
      <c r="E2084" t="s">
        <v>42</v>
      </c>
      <c r="F2084" t="s">
        <v>45</v>
      </c>
    </row>
    <row r="2085" spans="1:6" x14ac:dyDescent="0.35">
      <c r="A2085" t="s">
        <v>17</v>
      </c>
      <c r="B2085" t="s">
        <v>54</v>
      </c>
      <c r="C2085" t="s">
        <v>51</v>
      </c>
      <c r="D2085">
        <v>32</v>
      </c>
      <c r="E2085" t="s">
        <v>42</v>
      </c>
      <c r="F2085" t="s">
        <v>45</v>
      </c>
    </row>
    <row r="2086" spans="1:6" x14ac:dyDescent="0.35">
      <c r="A2086" t="s">
        <v>18</v>
      </c>
      <c r="B2086" t="s">
        <v>54</v>
      </c>
      <c r="C2086" t="s">
        <v>51</v>
      </c>
      <c r="D2086">
        <v>31</v>
      </c>
      <c r="E2086" t="s">
        <v>42</v>
      </c>
      <c r="F2086" t="s">
        <v>45</v>
      </c>
    </row>
    <row r="2087" spans="1:6" x14ac:dyDescent="0.35">
      <c r="A2087" t="s">
        <v>19</v>
      </c>
      <c r="B2087" t="s">
        <v>54</v>
      </c>
      <c r="C2087" t="s">
        <v>51</v>
      </c>
      <c r="D2087">
        <v>28</v>
      </c>
      <c r="E2087" t="s">
        <v>42</v>
      </c>
      <c r="F2087" t="s">
        <v>45</v>
      </c>
    </row>
    <row r="2088" spans="1:6" x14ac:dyDescent="0.35">
      <c r="A2088" t="s">
        <v>20</v>
      </c>
      <c r="B2088" t="s">
        <v>54</v>
      </c>
      <c r="C2088" t="s">
        <v>51</v>
      </c>
      <c r="D2088">
        <v>23</v>
      </c>
      <c r="E2088" t="s">
        <v>42</v>
      </c>
      <c r="F2088" t="s">
        <v>45</v>
      </c>
    </row>
    <row r="2089" spans="1:6" x14ac:dyDescent="0.35">
      <c r="A2089" t="s">
        <v>21</v>
      </c>
      <c r="B2089" t="s">
        <v>54</v>
      </c>
      <c r="C2089" t="s">
        <v>51</v>
      </c>
      <c r="D2089">
        <v>27</v>
      </c>
      <c r="E2089" t="s">
        <v>42</v>
      </c>
      <c r="F2089" t="s">
        <v>45</v>
      </c>
    </row>
    <row r="2090" spans="1:6" x14ac:dyDescent="0.35">
      <c r="A2090" t="s">
        <v>6</v>
      </c>
      <c r="B2090" t="s">
        <v>54</v>
      </c>
      <c r="C2090" t="s">
        <v>30</v>
      </c>
      <c r="D2090">
        <v>1</v>
      </c>
      <c r="E2090" t="s">
        <v>42</v>
      </c>
      <c r="F2090" t="s">
        <v>45</v>
      </c>
    </row>
    <row r="2091" spans="1:6" x14ac:dyDescent="0.35">
      <c r="A2091" t="s">
        <v>11</v>
      </c>
      <c r="B2091" t="s">
        <v>54</v>
      </c>
      <c r="C2091" t="s">
        <v>30</v>
      </c>
      <c r="D2091">
        <v>6</v>
      </c>
      <c r="E2091" t="s">
        <v>42</v>
      </c>
      <c r="F2091" t="s">
        <v>45</v>
      </c>
    </row>
    <row r="2092" spans="1:6" x14ac:dyDescent="0.35">
      <c r="A2092" t="s">
        <v>12</v>
      </c>
      <c r="B2092" t="s">
        <v>54</v>
      </c>
      <c r="C2092" t="s">
        <v>30</v>
      </c>
      <c r="D2092">
        <v>1</v>
      </c>
      <c r="E2092" t="s">
        <v>42</v>
      </c>
      <c r="F2092" t="s">
        <v>45</v>
      </c>
    </row>
    <row r="2093" spans="1:6" x14ac:dyDescent="0.35">
      <c r="A2093" t="s">
        <v>13</v>
      </c>
      <c r="B2093" t="s">
        <v>54</v>
      </c>
      <c r="C2093" t="s">
        <v>30</v>
      </c>
      <c r="D2093">
        <v>6</v>
      </c>
      <c r="E2093" t="s">
        <v>42</v>
      </c>
      <c r="F2093" t="s">
        <v>45</v>
      </c>
    </row>
    <row r="2094" spans="1:6" x14ac:dyDescent="0.35">
      <c r="A2094" t="s">
        <v>14</v>
      </c>
      <c r="B2094" t="s">
        <v>54</v>
      </c>
      <c r="C2094" t="s">
        <v>30</v>
      </c>
      <c r="D2094">
        <v>6</v>
      </c>
      <c r="E2094" t="s">
        <v>42</v>
      </c>
      <c r="F2094" t="s">
        <v>45</v>
      </c>
    </row>
    <row r="2095" spans="1:6" x14ac:dyDescent="0.35">
      <c r="A2095" t="s">
        <v>15</v>
      </c>
      <c r="B2095" t="s">
        <v>54</v>
      </c>
      <c r="C2095" t="s">
        <v>30</v>
      </c>
      <c r="D2095">
        <v>3</v>
      </c>
      <c r="E2095" t="s">
        <v>42</v>
      </c>
      <c r="F2095" t="s">
        <v>45</v>
      </c>
    </row>
    <row r="2096" spans="1:6" x14ac:dyDescent="0.35">
      <c r="A2096" t="s">
        <v>16</v>
      </c>
      <c r="B2096" t="s">
        <v>54</v>
      </c>
      <c r="C2096" t="s">
        <v>30</v>
      </c>
      <c r="D2096">
        <v>3</v>
      </c>
      <c r="E2096" t="s">
        <v>42</v>
      </c>
      <c r="F2096" t="s">
        <v>45</v>
      </c>
    </row>
    <row r="2097" spans="1:6" x14ac:dyDescent="0.35">
      <c r="A2097" t="s">
        <v>17</v>
      </c>
      <c r="B2097" t="s">
        <v>54</v>
      </c>
      <c r="C2097" t="s">
        <v>30</v>
      </c>
      <c r="D2097">
        <v>7</v>
      </c>
      <c r="E2097" t="s">
        <v>42</v>
      </c>
      <c r="F2097" t="s">
        <v>45</v>
      </c>
    </row>
    <row r="2098" spans="1:6" x14ac:dyDescent="0.35">
      <c r="A2098" t="s">
        <v>18</v>
      </c>
      <c r="B2098" t="s">
        <v>54</v>
      </c>
      <c r="C2098" t="s">
        <v>30</v>
      </c>
      <c r="D2098">
        <v>11</v>
      </c>
      <c r="E2098" t="s">
        <v>42</v>
      </c>
      <c r="F2098" t="s">
        <v>45</v>
      </c>
    </row>
    <row r="2099" spans="1:6" x14ac:dyDescent="0.35">
      <c r="A2099" t="s">
        <v>19</v>
      </c>
      <c r="B2099" t="s">
        <v>54</v>
      </c>
      <c r="C2099" t="s">
        <v>30</v>
      </c>
      <c r="D2099">
        <v>25</v>
      </c>
      <c r="E2099" t="s">
        <v>42</v>
      </c>
      <c r="F2099" t="s">
        <v>45</v>
      </c>
    </row>
    <row r="2100" spans="1:6" x14ac:dyDescent="0.35">
      <c r="A2100" t="s">
        <v>20</v>
      </c>
      <c r="B2100" t="s">
        <v>54</v>
      </c>
      <c r="C2100" t="s">
        <v>30</v>
      </c>
      <c r="D2100">
        <v>10</v>
      </c>
      <c r="E2100" t="s">
        <v>42</v>
      </c>
      <c r="F2100" t="s">
        <v>45</v>
      </c>
    </row>
    <row r="2101" spans="1:6" x14ac:dyDescent="0.35">
      <c r="A2101" t="s">
        <v>21</v>
      </c>
      <c r="B2101" t="s">
        <v>54</v>
      </c>
      <c r="C2101" t="s">
        <v>30</v>
      </c>
      <c r="D2101">
        <v>16</v>
      </c>
      <c r="E2101" t="s">
        <v>42</v>
      </c>
      <c r="F2101" t="s">
        <v>45</v>
      </c>
    </row>
    <row r="2102" spans="1:6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45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45</v>
      </c>
    </row>
    <row r="2104" spans="1:6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45</v>
      </c>
    </row>
    <row r="2105" spans="1:6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45</v>
      </c>
    </row>
    <row r="2106" spans="1:6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45</v>
      </c>
    </row>
    <row r="2107" spans="1:6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45</v>
      </c>
    </row>
    <row r="2108" spans="1:6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45</v>
      </c>
    </row>
    <row r="2109" spans="1:6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45</v>
      </c>
    </row>
    <row r="2110" spans="1:6" x14ac:dyDescent="0.35">
      <c r="A2110" t="s">
        <v>18</v>
      </c>
      <c r="B2110" t="s">
        <v>54</v>
      </c>
      <c r="C2110" t="s">
        <v>52</v>
      </c>
      <c r="D2110">
        <v>1</v>
      </c>
      <c r="E2110" t="s">
        <v>42</v>
      </c>
      <c r="F2110" t="s">
        <v>45</v>
      </c>
    </row>
    <row r="2111" spans="1:6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45</v>
      </c>
    </row>
    <row r="2112" spans="1:6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45</v>
      </c>
    </row>
    <row r="2113" spans="1:6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45</v>
      </c>
    </row>
  </sheetData>
  <autoFilter ref="A1:F2113" xr:uid="{1BA4E0B4-AD13-4990-96F4-CFB513E2693F}">
    <filterColumn colId="1">
      <filters>
        <filter val="Residenti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8C34-AD61-4ED1-9FEE-AE1D6594AB59}">
  <sheetPr filterMode="1"/>
  <dimension ref="A1:F2113"/>
  <sheetViews>
    <sheetView workbookViewId="0">
      <selection activeCell="B1574" sqref="B1574"/>
    </sheetView>
  </sheetViews>
  <sheetFormatPr defaultRowHeight="14.5" x14ac:dyDescent="0.35"/>
  <cols>
    <col min="2" max="2" width="22.7265625" customWidth="1"/>
    <col min="3" max="3" width="23.81640625" customWidth="1"/>
    <col min="5" max="5" width="23.72656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0</v>
      </c>
      <c r="E2" t="s">
        <v>9</v>
      </c>
      <c r="F2" t="s">
        <v>55</v>
      </c>
    </row>
    <row r="3" spans="1:6" hidden="1" x14ac:dyDescent="0.35">
      <c r="A3" t="s">
        <v>11</v>
      </c>
      <c r="B3" t="s">
        <v>43</v>
      </c>
      <c r="C3" t="s">
        <v>44</v>
      </c>
      <c r="D3">
        <v>0</v>
      </c>
      <c r="E3" t="s">
        <v>9</v>
      </c>
      <c r="F3" t="s">
        <v>55</v>
      </c>
    </row>
    <row r="4" spans="1:6" hidden="1" x14ac:dyDescent="0.35">
      <c r="A4" t="s">
        <v>12</v>
      </c>
      <c r="B4" t="s">
        <v>43</v>
      </c>
      <c r="C4" t="s">
        <v>44</v>
      </c>
      <c r="D4">
        <v>0</v>
      </c>
      <c r="E4" t="s">
        <v>9</v>
      </c>
      <c r="F4" t="s">
        <v>55</v>
      </c>
    </row>
    <row r="5" spans="1:6" hidden="1" x14ac:dyDescent="0.35">
      <c r="A5" t="s">
        <v>13</v>
      </c>
      <c r="B5" t="s">
        <v>43</v>
      </c>
      <c r="C5" t="s">
        <v>44</v>
      </c>
      <c r="D5">
        <v>0</v>
      </c>
      <c r="E5" t="s">
        <v>9</v>
      </c>
      <c r="F5" t="s">
        <v>55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55</v>
      </c>
    </row>
    <row r="7" spans="1:6" hidden="1" x14ac:dyDescent="0.35">
      <c r="A7" t="s">
        <v>15</v>
      </c>
      <c r="B7" t="s">
        <v>43</v>
      </c>
      <c r="C7" t="s">
        <v>44</v>
      </c>
      <c r="D7">
        <v>0</v>
      </c>
      <c r="E7" t="s">
        <v>9</v>
      </c>
      <c r="F7" t="s">
        <v>55</v>
      </c>
    </row>
    <row r="8" spans="1:6" hidden="1" x14ac:dyDescent="0.35">
      <c r="A8" t="s">
        <v>16</v>
      </c>
      <c r="B8" t="s">
        <v>43</v>
      </c>
      <c r="C8" t="s">
        <v>44</v>
      </c>
      <c r="D8">
        <v>0</v>
      </c>
      <c r="E8" t="s">
        <v>9</v>
      </c>
      <c r="F8" t="s">
        <v>55</v>
      </c>
    </row>
    <row r="9" spans="1:6" hidden="1" x14ac:dyDescent="0.35">
      <c r="A9" t="s">
        <v>17</v>
      </c>
      <c r="B9" t="s">
        <v>43</v>
      </c>
      <c r="C9" t="s">
        <v>44</v>
      </c>
      <c r="D9">
        <v>0</v>
      </c>
      <c r="E9" t="s">
        <v>9</v>
      </c>
      <c r="F9" t="s">
        <v>55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55</v>
      </c>
    </row>
    <row r="11" spans="1:6" hidden="1" x14ac:dyDescent="0.35">
      <c r="A11" t="s">
        <v>19</v>
      </c>
      <c r="B11" t="s">
        <v>43</v>
      </c>
      <c r="C11" t="s">
        <v>44</v>
      </c>
      <c r="D11">
        <v>0</v>
      </c>
      <c r="E11" t="s">
        <v>9</v>
      </c>
      <c r="F11" t="s">
        <v>55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55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55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55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55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55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55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55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55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55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55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55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55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55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55</v>
      </c>
    </row>
    <row r="26" spans="1:6" hidden="1" x14ac:dyDescent="0.35">
      <c r="A26" t="s">
        <v>6</v>
      </c>
      <c r="B26" t="s">
        <v>43</v>
      </c>
      <c r="C26" t="s">
        <v>46</v>
      </c>
      <c r="D26">
        <v>0</v>
      </c>
      <c r="E26" t="s">
        <v>9</v>
      </c>
      <c r="F26" t="s">
        <v>55</v>
      </c>
    </row>
    <row r="27" spans="1:6" hidden="1" x14ac:dyDescent="0.35">
      <c r="A27" t="s">
        <v>11</v>
      </c>
      <c r="B27" t="s">
        <v>43</v>
      </c>
      <c r="C27" t="s">
        <v>46</v>
      </c>
      <c r="D27">
        <v>3981</v>
      </c>
      <c r="E27" t="s">
        <v>9</v>
      </c>
      <c r="F27" t="s">
        <v>55</v>
      </c>
    </row>
    <row r="28" spans="1:6" hidden="1" x14ac:dyDescent="0.35">
      <c r="A28" t="s">
        <v>12</v>
      </c>
      <c r="B28" t="s">
        <v>43</v>
      </c>
      <c r="C28" t="s">
        <v>46</v>
      </c>
      <c r="D28">
        <v>0</v>
      </c>
      <c r="E28" t="s">
        <v>9</v>
      </c>
      <c r="F28" t="s">
        <v>55</v>
      </c>
    </row>
    <row r="29" spans="1:6" hidden="1" x14ac:dyDescent="0.35">
      <c r="A29" t="s">
        <v>13</v>
      </c>
      <c r="B29" t="s">
        <v>43</v>
      </c>
      <c r="C29" t="s">
        <v>46</v>
      </c>
      <c r="D29">
        <v>0</v>
      </c>
      <c r="E29" t="s">
        <v>9</v>
      </c>
      <c r="F29" t="s">
        <v>55</v>
      </c>
    </row>
    <row r="30" spans="1:6" hidden="1" x14ac:dyDescent="0.35">
      <c r="A30" t="s">
        <v>14</v>
      </c>
      <c r="B30" t="s">
        <v>43</v>
      </c>
      <c r="C30" t="s">
        <v>46</v>
      </c>
      <c r="D30">
        <v>0</v>
      </c>
      <c r="E30" t="s">
        <v>9</v>
      </c>
      <c r="F30" t="s">
        <v>55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155874</v>
      </c>
      <c r="E31" t="s">
        <v>9</v>
      </c>
      <c r="F31" t="s">
        <v>55</v>
      </c>
    </row>
    <row r="32" spans="1:6" hidden="1" x14ac:dyDescent="0.35">
      <c r="A32" t="s">
        <v>16</v>
      </c>
      <c r="B32" t="s">
        <v>43</v>
      </c>
      <c r="C32" t="s">
        <v>46</v>
      </c>
      <c r="D32">
        <v>0</v>
      </c>
      <c r="E32" t="s">
        <v>9</v>
      </c>
      <c r="F32" t="s">
        <v>55</v>
      </c>
    </row>
    <row r="33" spans="1:6" hidden="1" x14ac:dyDescent="0.35">
      <c r="A33" t="s">
        <v>17</v>
      </c>
      <c r="B33" t="s">
        <v>43</v>
      </c>
      <c r="C33" t="s">
        <v>46</v>
      </c>
      <c r="D33">
        <v>0</v>
      </c>
      <c r="E33" t="s">
        <v>9</v>
      </c>
      <c r="F33" t="s">
        <v>55</v>
      </c>
    </row>
    <row r="34" spans="1:6" hidden="1" x14ac:dyDescent="0.35">
      <c r="A34" t="s">
        <v>18</v>
      </c>
      <c r="B34" t="s">
        <v>43</v>
      </c>
      <c r="C34" t="s">
        <v>46</v>
      </c>
      <c r="D34">
        <v>0</v>
      </c>
      <c r="E34" t="s">
        <v>9</v>
      </c>
      <c r="F34" t="s">
        <v>55</v>
      </c>
    </row>
    <row r="35" spans="1:6" hidden="1" x14ac:dyDescent="0.35">
      <c r="A35" t="s">
        <v>19</v>
      </c>
      <c r="B35" t="s">
        <v>43</v>
      </c>
      <c r="C35" t="s">
        <v>46</v>
      </c>
      <c r="D35">
        <v>0</v>
      </c>
      <c r="E35" t="s">
        <v>9</v>
      </c>
      <c r="F35" t="s">
        <v>55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55</v>
      </c>
    </row>
    <row r="37" spans="1:6" hidden="1" x14ac:dyDescent="0.35">
      <c r="A37" t="s">
        <v>21</v>
      </c>
      <c r="B37" t="s">
        <v>43</v>
      </c>
      <c r="C37" t="s">
        <v>46</v>
      </c>
      <c r="D37">
        <v>0</v>
      </c>
      <c r="E37" t="s">
        <v>9</v>
      </c>
      <c r="F37" t="s">
        <v>55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55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55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55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55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55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55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55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55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55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55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55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55</v>
      </c>
    </row>
    <row r="50" spans="1:6" hidden="1" x14ac:dyDescent="0.35">
      <c r="A50" t="s">
        <v>6</v>
      </c>
      <c r="B50" t="s">
        <v>43</v>
      </c>
      <c r="C50" t="s">
        <v>47</v>
      </c>
      <c r="D50">
        <v>0</v>
      </c>
      <c r="E50" t="s">
        <v>9</v>
      </c>
      <c r="F50" t="s">
        <v>55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55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55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55</v>
      </c>
    </row>
    <row r="54" spans="1:6" hidden="1" x14ac:dyDescent="0.35">
      <c r="A54" t="s">
        <v>14</v>
      </c>
      <c r="B54" t="s">
        <v>43</v>
      </c>
      <c r="C54" t="s">
        <v>47</v>
      </c>
      <c r="D54">
        <v>0</v>
      </c>
      <c r="E54" t="s">
        <v>9</v>
      </c>
      <c r="F54" t="s">
        <v>55</v>
      </c>
    </row>
    <row r="55" spans="1:6" hidden="1" x14ac:dyDescent="0.35">
      <c r="A55" t="s">
        <v>15</v>
      </c>
      <c r="B55" t="s">
        <v>43</v>
      </c>
      <c r="C55" t="s">
        <v>47</v>
      </c>
      <c r="D55">
        <v>0</v>
      </c>
      <c r="E55" t="s">
        <v>9</v>
      </c>
      <c r="F55" t="s">
        <v>55</v>
      </c>
    </row>
    <row r="56" spans="1:6" hidden="1" x14ac:dyDescent="0.35">
      <c r="A56" t="s">
        <v>16</v>
      </c>
      <c r="B56" t="s">
        <v>43</v>
      </c>
      <c r="C56" t="s">
        <v>47</v>
      </c>
      <c r="D56">
        <v>0</v>
      </c>
      <c r="E56" t="s">
        <v>9</v>
      </c>
      <c r="F56" t="s">
        <v>55</v>
      </c>
    </row>
    <row r="57" spans="1:6" hidden="1" x14ac:dyDescent="0.35">
      <c r="A57" t="s">
        <v>17</v>
      </c>
      <c r="B57" t="s">
        <v>43</v>
      </c>
      <c r="C57" t="s">
        <v>47</v>
      </c>
      <c r="D57">
        <v>0</v>
      </c>
      <c r="E57" t="s">
        <v>9</v>
      </c>
      <c r="F57" t="s">
        <v>55</v>
      </c>
    </row>
    <row r="58" spans="1:6" hidden="1" x14ac:dyDescent="0.35">
      <c r="A58" t="s">
        <v>18</v>
      </c>
      <c r="B58" t="s">
        <v>43</v>
      </c>
      <c r="C58" t="s">
        <v>47</v>
      </c>
      <c r="D58">
        <v>0</v>
      </c>
      <c r="E58" t="s">
        <v>9</v>
      </c>
      <c r="F58" t="s">
        <v>55</v>
      </c>
    </row>
    <row r="59" spans="1:6" hidden="1" x14ac:dyDescent="0.35">
      <c r="A59" t="s">
        <v>19</v>
      </c>
      <c r="B59" t="s">
        <v>43</v>
      </c>
      <c r="C59" t="s">
        <v>47</v>
      </c>
      <c r="D59">
        <v>0</v>
      </c>
      <c r="E59" t="s">
        <v>9</v>
      </c>
      <c r="F59" t="s">
        <v>55</v>
      </c>
    </row>
    <row r="60" spans="1:6" hidden="1" x14ac:dyDescent="0.35">
      <c r="A60" t="s">
        <v>20</v>
      </c>
      <c r="B60" t="s">
        <v>43</v>
      </c>
      <c r="C60" t="s">
        <v>47</v>
      </c>
      <c r="D60">
        <v>0</v>
      </c>
      <c r="E60" t="s">
        <v>9</v>
      </c>
      <c r="F60" t="s">
        <v>55</v>
      </c>
    </row>
    <row r="61" spans="1:6" hidden="1" x14ac:dyDescent="0.35">
      <c r="A61" t="s">
        <v>21</v>
      </c>
      <c r="B61" t="s">
        <v>43</v>
      </c>
      <c r="C61" t="s">
        <v>47</v>
      </c>
      <c r="D61">
        <v>0</v>
      </c>
      <c r="E61" t="s">
        <v>9</v>
      </c>
      <c r="F61" t="s">
        <v>55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55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55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55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55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55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55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55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55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55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55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55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55</v>
      </c>
    </row>
    <row r="74" spans="1:6" hidden="1" x14ac:dyDescent="0.35">
      <c r="A74" t="s">
        <v>6</v>
      </c>
      <c r="B74" t="s">
        <v>43</v>
      </c>
      <c r="C74" t="s">
        <v>56</v>
      </c>
      <c r="D74">
        <v>1658</v>
      </c>
      <c r="E74" t="s">
        <v>9</v>
      </c>
      <c r="F74" t="s">
        <v>55</v>
      </c>
    </row>
    <row r="75" spans="1:6" hidden="1" x14ac:dyDescent="0.35">
      <c r="A75" t="s">
        <v>11</v>
      </c>
      <c r="B75" t="s">
        <v>43</v>
      </c>
      <c r="C75" t="s">
        <v>56</v>
      </c>
      <c r="D75">
        <v>3302</v>
      </c>
      <c r="E75" t="s">
        <v>9</v>
      </c>
      <c r="F75" t="s">
        <v>55</v>
      </c>
    </row>
    <row r="76" spans="1:6" hidden="1" x14ac:dyDescent="0.35">
      <c r="A76" t="s">
        <v>12</v>
      </c>
      <c r="B76" t="s">
        <v>43</v>
      </c>
      <c r="C76" t="s">
        <v>56</v>
      </c>
      <c r="D76">
        <v>1346</v>
      </c>
      <c r="E76" t="s">
        <v>9</v>
      </c>
      <c r="F76" t="s">
        <v>55</v>
      </c>
    </row>
    <row r="77" spans="1:6" hidden="1" x14ac:dyDescent="0.35">
      <c r="A77" t="s">
        <v>13</v>
      </c>
      <c r="B77" t="s">
        <v>43</v>
      </c>
      <c r="C77" t="s">
        <v>56</v>
      </c>
      <c r="D77">
        <v>768</v>
      </c>
      <c r="E77" t="s">
        <v>9</v>
      </c>
      <c r="F77" t="s">
        <v>55</v>
      </c>
    </row>
    <row r="78" spans="1:6" hidden="1" x14ac:dyDescent="0.35">
      <c r="A78" t="s">
        <v>14</v>
      </c>
      <c r="B78" t="s">
        <v>43</v>
      </c>
      <c r="C78" t="s">
        <v>56</v>
      </c>
      <c r="D78">
        <v>902</v>
      </c>
      <c r="E78" t="s">
        <v>9</v>
      </c>
      <c r="F78" t="s">
        <v>55</v>
      </c>
    </row>
    <row r="79" spans="1:6" hidden="1" x14ac:dyDescent="0.35">
      <c r="A79" t="s">
        <v>15</v>
      </c>
      <c r="B79" t="s">
        <v>43</v>
      </c>
      <c r="C79" t="s">
        <v>56</v>
      </c>
      <c r="D79">
        <v>1722</v>
      </c>
      <c r="E79" t="s">
        <v>9</v>
      </c>
      <c r="F79" t="s">
        <v>55</v>
      </c>
    </row>
    <row r="80" spans="1:6" hidden="1" x14ac:dyDescent="0.35">
      <c r="A80" t="s">
        <v>16</v>
      </c>
      <c r="B80" t="s">
        <v>43</v>
      </c>
      <c r="C80" t="s">
        <v>56</v>
      </c>
      <c r="D80">
        <v>1108</v>
      </c>
      <c r="E80" t="s">
        <v>9</v>
      </c>
      <c r="F80" t="s">
        <v>55</v>
      </c>
    </row>
    <row r="81" spans="1:6" hidden="1" x14ac:dyDescent="0.35">
      <c r="A81" t="s">
        <v>17</v>
      </c>
      <c r="B81" t="s">
        <v>43</v>
      </c>
      <c r="C81" t="s">
        <v>56</v>
      </c>
      <c r="D81">
        <v>0</v>
      </c>
      <c r="E81" t="s">
        <v>9</v>
      </c>
      <c r="F81" t="s">
        <v>55</v>
      </c>
    </row>
    <row r="82" spans="1:6" hidden="1" x14ac:dyDescent="0.35">
      <c r="A82" t="s">
        <v>18</v>
      </c>
      <c r="B82" t="s">
        <v>43</v>
      </c>
      <c r="C82" t="s">
        <v>56</v>
      </c>
      <c r="D82">
        <v>0</v>
      </c>
      <c r="E82" t="s">
        <v>9</v>
      </c>
      <c r="F82" t="s">
        <v>55</v>
      </c>
    </row>
    <row r="83" spans="1:6" hidden="1" x14ac:dyDescent="0.35">
      <c r="A83" t="s">
        <v>19</v>
      </c>
      <c r="B83" t="s">
        <v>43</v>
      </c>
      <c r="C83" t="s">
        <v>56</v>
      </c>
      <c r="D83">
        <v>2656</v>
      </c>
      <c r="E83" t="s">
        <v>9</v>
      </c>
      <c r="F83" t="s">
        <v>55</v>
      </c>
    </row>
    <row r="84" spans="1:6" hidden="1" x14ac:dyDescent="0.35">
      <c r="A84" t="s">
        <v>20</v>
      </c>
      <c r="B84" t="s">
        <v>43</v>
      </c>
      <c r="C84" t="s">
        <v>56</v>
      </c>
      <c r="D84">
        <v>1276</v>
      </c>
      <c r="E84" t="s">
        <v>9</v>
      </c>
      <c r="F84" t="s">
        <v>55</v>
      </c>
    </row>
    <row r="85" spans="1:6" hidden="1" x14ac:dyDescent="0.35">
      <c r="A85" t="s">
        <v>21</v>
      </c>
      <c r="B85" t="s">
        <v>43</v>
      </c>
      <c r="C85" t="s">
        <v>56</v>
      </c>
      <c r="D85">
        <v>0</v>
      </c>
      <c r="E85" t="s">
        <v>9</v>
      </c>
      <c r="F85" t="s">
        <v>55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55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55</v>
      </c>
    </row>
    <row r="88" spans="1:6" hidden="1" x14ac:dyDescent="0.35">
      <c r="A88" t="s">
        <v>12</v>
      </c>
      <c r="B88" t="s">
        <v>43</v>
      </c>
      <c r="C88" t="s">
        <v>50</v>
      </c>
      <c r="D88">
        <v>0</v>
      </c>
      <c r="E88" t="s">
        <v>9</v>
      </c>
      <c r="F88" t="s">
        <v>55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55</v>
      </c>
    </row>
    <row r="90" spans="1:6" hidden="1" x14ac:dyDescent="0.35">
      <c r="A90" t="s">
        <v>14</v>
      </c>
      <c r="B90" t="s">
        <v>43</v>
      </c>
      <c r="C90" t="s">
        <v>50</v>
      </c>
      <c r="D90">
        <v>0</v>
      </c>
      <c r="E90" t="s">
        <v>9</v>
      </c>
      <c r="F90" t="s">
        <v>55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55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55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55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55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55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55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55</v>
      </c>
    </row>
    <row r="98" spans="1:6" hidden="1" x14ac:dyDescent="0.35">
      <c r="A98" t="s">
        <v>6</v>
      </c>
      <c r="B98" t="s">
        <v>43</v>
      </c>
      <c r="C98" t="s">
        <v>51</v>
      </c>
      <c r="D98">
        <v>0</v>
      </c>
      <c r="E98" t="s">
        <v>9</v>
      </c>
      <c r="F98" t="s">
        <v>55</v>
      </c>
    </row>
    <row r="99" spans="1:6" hidden="1" x14ac:dyDescent="0.35">
      <c r="A99" t="s">
        <v>11</v>
      </c>
      <c r="B99" t="s">
        <v>43</v>
      </c>
      <c r="C99" t="s">
        <v>51</v>
      </c>
      <c r="D99">
        <v>0</v>
      </c>
      <c r="E99" t="s">
        <v>9</v>
      </c>
      <c r="F99" t="s">
        <v>55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0</v>
      </c>
      <c r="E100" t="s">
        <v>9</v>
      </c>
      <c r="F100" t="s">
        <v>55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0</v>
      </c>
      <c r="E101" t="s">
        <v>9</v>
      </c>
      <c r="F101" t="s">
        <v>55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0</v>
      </c>
      <c r="E102" t="s">
        <v>9</v>
      </c>
      <c r="F102" t="s">
        <v>55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0</v>
      </c>
      <c r="E103" t="s">
        <v>9</v>
      </c>
      <c r="F103" t="s">
        <v>55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0</v>
      </c>
      <c r="E104" t="s">
        <v>9</v>
      </c>
      <c r="F104" t="s">
        <v>55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0</v>
      </c>
      <c r="E105" t="s">
        <v>9</v>
      </c>
      <c r="F105" t="s">
        <v>55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0</v>
      </c>
      <c r="E106" t="s">
        <v>9</v>
      </c>
      <c r="F106" t="s">
        <v>55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0</v>
      </c>
      <c r="E107" t="s">
        <v>9</v>
      </c>
      <c r="F107" t="s">
        <v>55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0</v>
      </c>
      <c r="E108" t="s">
        <v>9</v>
      </c>
      <c r="F108" t="s">
        <v>55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0</v>
      </c>
      <c r="E109" t="s">
        <v>9</v>
      </c>
      <c r="F109" t="s">
        <v>55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2</v>
      </c>
      <c r="E110" t="s">
        <v>9</v>
      </c>
      <c r="F110" t="s">
        <v>55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3</v>
      </c>
      <c r="E111" t="s">
        <v>9</v>
      </c>
      <c r="F111" t="s">
        <v>55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2</v>
      </c>
      <c r="E112" t="s">
        <v>9</v>
      </c>
      <c r="F112" t="s">
        <v>55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</v>
      </c>
      <c r="E113" t="s">
        <v>9</v>
      </c>
      <c r="F113" t="s">
        <v>55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1</v>
      </c>
      <c r="E114" t="s">
        <v>9</v>
      </c>
      <c r="F114" t="s">
        <v>55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3</v>
      </c>
      <c r="E115" t="s">
        <v>9</v>
      </c>
      <c r="F115" t="s">
        <v>55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</v>
      </c>
      <c r="E116" t="s">
        <v>9</v>
      </c>
      <c r="F116" t="s">
        <v>55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0</v>
      </c>
      <c r="E117" t="s">
        <v>9</v>
      </c>
      <c r="F117" t="s">
        <v>55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0</v>
      </c>
      <c r="E118" t="s">
        <v>9</v>
      </c>
      <c r="F118" t="s">
        <v>55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55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1</v>
      </c>
      <c r="E120" t="s">
        <v>9</v>
      </c>
      <c r="F120" t="s">
        <v>55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0</v>
      </c>
      <c r="E121" t="s">
        <v>9</v>
      </c>
      <c r="F121" t="s">
        <v>55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55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55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55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55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55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55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55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55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55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55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55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55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4930.8500000000004</v>
      </c>
      <c r="E134" t="s">
        <v>9</v>
      </c>
      <c r="F134" t="s">
        <v>55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10147</v>
      </c>
      <c r="E135" t="s">
        <v>9</v>
      </c>
      <c r="F135" t="s">
        <v>55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21638.69</v>
      </c>
      <c r="E136" t="s">
        <v>9</v>
      </c>
      <c r="F136" t="s">
        <v>55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7424.89</v>
      </c>
      <c r="E137" t="s">
        <v>9</v>
      </c>
      <c r="F137" t="s">
        <v>55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16657.580000000002</v>
      </c>
      <c r="E138" t="s">
        <v>9</v>
      </c>
      <c r="F138" t="s">
        <v>55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0</v>
      </c>
      <c r="E139" t="s">
        <v>9</v>
      </c>
      <c r="F139" t="s">
        <v>55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11526.4</v>
      </c>
      <c r="E140" t="s">
        <v>9</v>
      </c>
      <c r="F140" t="s">
        <v>55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0</v>
      </c>
      <c r="E141" t="s">
        <v>9</v>
      </c>
      <c r="F141" t="s">
        <v>55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0</v>
      </c>
      <c r="E142" t="s">
        <v>9</v>
      </c>
      <c r="F142" t="s">
        <v>55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24072.95</v>
      </c>
      <c r="E143" t="s">
        <v>9</v>
      </c>
      <c r="F143" t="s">
        <v>55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11271.36</v>
      </c>
      <c r="E144" t="s">
        <v>9</v>
      </c>
      <c r="F144" t="s">
        <v>55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0</v>
      </c>
      <c r="E145" t="s">
        <v>9</v>
      </c>
      <c r="F145" t="s">
        <v>55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55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55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55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55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55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55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55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55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55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55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55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55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9232983.8200000003</v>
      </c>
      <c r="E158" t="s">
        <v>9</v>
      </c>
      <c r="F158" t="s">
        <v>55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9295364.8300000001</v>
      </c>
      <c r="E159" t="s">
        <v>9</v>
      </c>
      <c r="F159" t="s">
        <v>55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5085182.3600000003</v>
      </c>
      <c r="E160" t="s">
        <v>9</v>
      </c>
      <c r="F160" t="s">
        <v>55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4822815.8600000003</v>
      </c>
      <c r="E161" t="s">
        <v>9</v>
      </c>
      <c r="F161" t="s">
        <v>55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8488010.2599999998</v>
      </c>
      <c r="E162" t="s">
        <v>9</v>
      </c>
      <c r="F162" t="s">
        <v>55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29706433.079999998</v>
      </c>
      <c r="E163" t="s">
        <v>9</v>
      </c>
      <c r="F163" t="s">
        <v>55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16697185.189999999</v>
      </c>
      <c r="E164" t="s">
        <v>9</v>
      </c>
      <c r="F164" t="s">
        <v>55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45914984.329999998</v>
      </c>
      <c r="E165" t="s">
        <v>9</v>
      </c>
      <c r="F165" t="s">
        <v>55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12863734.449999999</v>
      </c>
      <c r="E166" t="s">
        <v>9</v>
      </c>
      <c r="F166" t="s">
        <v>55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5477943.4399999985</v>
      </c>
      <c r="E167" t="s">
        <v>9</v>
      </c>
      <c r="F167" t="s">
        <v>55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7892915.6200000001</v>
      </c>
      <c r="E168" t="s">
        <v>9</v>
      </c>
      <c r="F168" t="s">
        <v>55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9594364.0299999993</v>
      </c>
      <c r="E169" t="s">
        <v>9</v>
      </c>
      <c r="F169" t="s">
        <v>55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55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55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55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55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55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55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55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55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55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55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55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55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62584</v>
      </c>
      <c r="E182" t="s">
        <v>9</v>
      </c>
      <c r="F182" t="s">
        <v>55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0</v>
      </c>
      <c r="E183" t="s">
        <v>9</v>
      </c>
      <c r="F183" t="s">
        <v>55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101242</v>
      </c>
      <c r="E184" t="s">
        <v>9</v>
      </c>
      <c r="F184" t="s">
        <v>55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351067</v>
      </c>
      <c r="E185" t="s">
        <v>9</v>
      </c>
      <c r="F185" t="s">
        <v>55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0</v>
      </c>
      <c r="E186" t="s">
        <v>9</v>
      </c>
      <c r="F186" t="s">
        <v>55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0</v>
      </c>
      <c r="E187" t="s">
        <v>9</v>
      </c>
      <c r="F187" t="s">
        <v>55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691351.02</v>
      </c>
      <c r="E188" t="s">
        <v>9</v>
      </c>
      <c r="F188" t="s">
        <v>55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0</v>
      </c>
      <c r="E189" t="s">
        <v>9</v>
      </c>
      <c r="F189" t="s">
        <v>55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0</v>
      </c>
      <c r="E190" t="s">
        <v>9</v>
      </c>
      <c r="F190" t="s">
        <v>55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0</v>
      </c>
      <c r="E191" t="s">
        <v>9</v>
      </c>
      <c r="F191" t="s">
        <v>55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0</v>
      </c>
      <c r="E192" t="s">
        <v>9</v>
      </c>
      <c r="F192" t="s">
        <v>55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98533</v>
      </c>
      <c r="E193" t="s">
        <v>9</v>
      </c>
      <c r="F193" t="s">
        <v>55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55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55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55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55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55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55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55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55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55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55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55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55</v>
      </c>
    </row>
    <row r="206" spans="1:6" hidden="1" x14ac:dyDescent="0.35">
      <c r="A206" t="s">
        <v>6</v>
      </c>
      <c r="B206" t="s">
        <v>33</v>
      </c>
      <c r="C206" t="s">
        <v>56</v>
      </c>
      <c r="D206">
        <v>1021932</v>
      </c>
      <c r="E206" t="s">
        <v>9</v>
      </c>
      <c r="F206" t="s">
        <v>55</v>
      </c>
    </row>
    <row r="207" spans="1:6" hidden="1" x14ac:dyDescent="0.35">
      <c r="A207" t="s">
        <v>11</v>
      </c>
      <c r="B207" t="s">
        <v>33</v>
      </c>
      <c r="C207" t="s">
        <v>56</v>
      </c>
      <c r="D207">
        <v>62890</v>
      </c>
      <c r="E207" t="s">
        <v>9</v>
      </c>
      <c r="F207" t="s">
        <v>55</v>
      </c>
    </row>
    <row r="208" spans="1:6" hidden="1" x14ac:dyDescent="0.35">
      <c r="A208" t="s">
        <v>12</v>
      </c>
      <c r="B208" t="s">
        <v>33</v>
      </c>
      <c r="C208" t="s">
        <v>56</v>
      </c>
      <c r="D208">
        <v>177498</v>
      </c>
      <c r="E208" t="s">
        <v>9</v>
      </c>
      <c r="F208" t="s">
        <v>55</v>
      </c>
    </row>
    <row r="209" spans="1:6" hidden="1" x14ac:dyDescent="0.35">
      <c r="A209" t="s">
        <v>13</v>
      </c>
      <c r="B209" t="s">
        <v>33</v>
      </c>
      <c r="C209" t="s">
        <v>56</v>
      </c>
      <c r="D209">
        <v>464015</v>
      </c>
      <c r="E209" t="s">
        <v>9</v>
      </c>
      <c r="F209" t="s">
        <v>55</v>
      </c>
    </row>
    <row r="210" spans="1:6" hidden="1" x14ac:dyDescent="0.35">
      <c r="A210" t="s">
        <v>14</v>
      </c>
      <c r="B210" t="s">
        <v>33</v>
      </c>
      <c r="C210" t="s">
        <v>56</v>
      </c>
      <c r="D210">
        <v>73614</v>
      </c>
      <c r="E210" t="s">
        <v>9</v>
      </c>
      <c r="F210" t="s">
        <v>55</v>
      </c>
    </row>
    <row r="211" spans="1:6" hidden="1" x14ac:dyDescent="0.35">
      <c r="A211" t="s">
        <v>15</v>
      </c>
      <c r="B211" t="s">
        <v>33</v>
      </c>
      <c r="C211" t="s">
        <v>56</v>
      </c>
      <c r="D211">
        <v>168044</v>
      </c>
      <c r="E211" t="s">
        <v>9</v>
      </c>
      <c r="F211" t="s">
        <v>55</v>
      </c>
    </row>
    <row r="212" spans="1:6" hidden="1" x14ac:dyDescent="0.35">
      <c r="A212" t="s">
        <v>16</v>
      </c>
      <c r="B212" t="s">
        <v>33</v>
      </c>
      <c r="C212" t="s">
        <v>56</v>
      </c>
      <c r="D212">
        <v>241835</v>
      </c>
      <c r="E212" t="s">
        <v>9</v>
      </c>
      <c r="F212" t="s">
        <v>55</v>
      </c>
    </row>
    <row r="213" spans="1:6" hidden="1" x14ac:dyDescent="0.35">
      <c r="A213" t="s">
        <v>17</v>
      </c>
      <c r="B213" t="s">
        <v>33</v>
      </c>
      <c r="C213" t="s">
        <v>56</v>
      </c>
      <c r="D213">
        <v>135177</v>
      </c>
      <c r="E213" t="s">
        <v>9</v>
      </c>
      <c r="F213" t="s">
        <v>55</v>
      </c>
    </row>
    <row r="214" spans="1:6" hidden="1" x14ac:dyDescent="0.35">
      <c r="A214" t="s">
        <v>18</v>
      </c>
      <c r="B214" t="s">
        <v>33</v>
      </c>
      <c r="C214" t="s">
        <v>56</v>
      </c>
      <c r="D214">
        <v>240472</v>
      </c>
      <c r="E214" t="s">
        <v>9</v>
      </c>
      <c r="F214" t="s">
        <v>55</v>
      </c>
    </row>
    <row r="215" spans="1:6" hidden="1" x14ac:dyDescent="0.35">
      <c r="A215" t="s">
        <v>19</v>
      </c>
      <c r="B215" t="s">
        <v>33</v>
      </c>
      <c r="C215" t="s">
        <v>56</v>
      </c>
      <c r="D215">
        <v>380415</v>
      </c>
      <c r="E215" t="s">
        <v>9</v>
      </c>
      <c r="F215" t="s">
        <v>55</v>
      </c>
    </row>
    <row r="216" spans="1:6" hidden="1" x14ac:dyDescent="0.35">
      <c r="A216" t="s">
        <v>20</v>
      </c>
      <c r="B216" t="s">
        <v>33</v>
      </c>
      <c r="C216" t="s">
        <v>56</v>
      </c>
      <c r="D216">
        <v>166976</v>
      </c>
      <c r="E216" t="s">
        <v>9</v>
      </c>
      <c r="F216" t="s">
        <v>55</v>
      </c>
    </row>
    <row r="217" spans="1:6" hidden="1" x14ac:dyDescent="0.35">
      <c r="A217" t="s">
        <v>21</v>
      </c>
      <c r="B217" t="s">
        <v>33</v>
      </c>
      <c r="C217" t="s">
        <v>56</v>
      </c>
      <c r="D217">
        <v>130252</v>
      </c>
      <c r="E217" t="s">
        <v>9</v>
      </c>
      <c r="F217" t="s">
        <v>55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53570.239999999998</v>
      </c>
      <c r="E218" t="s">
        <v>9</v>
      </c>
      <c r="F218" t="s">
        <v>55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0</v>
      </c>
      <c r="E219" t="s">
        <v>9</v>
      </c>
      <c r="F219" t="s">
        <v>55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81657.259999999995</v>
      </c>
      <c r="E220" t="s">
        <v>9</v>
      </c>
      <c r="F220" t="s">
        <v>55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283919.71999999997</v>
      </c>
      <c r="E221" t="s">
        <v>9</v>
      </c>
      <c r="F221" t="s">
        <v>55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0</v>
      </c>
      <c r="E222" t="s">
        <v>9</v>
      </c>
      <c r="F222" t="s">
        <v>55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0</v>
      </c>
      <c r="E223" t="s">
        <v>9</v>
      </c>
      <c r="F223" t="s">
        <v>55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26972.34</v>
      </c>
      <c r="E224" t="s">
        <v>9</v>
      </c>
      <c r="F224" t="s">
        <v>55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0</v>
      </c>
      <c r="E225" t="s">
        <v>9</v>
      </c>
      <c r="F225" t="s">
        <v>55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0</v>
      </c>
      <c r="E226" t="s">
        <v>9</v>
      </c>
      <c r="F226" t="s">
        <v>55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55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0</v>
      </c>
      <c r="E228" t="s">
        <v>9</v>
      </c>
      <c r="F228" t="s">
        <v>55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0</v>
      </c>
      <c r="E229" t="s">
        <v>9</v>
      </c>
      <c r="F229" t="s">
        <v>55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71</v>
      </c>
      <c r="E230" t="s">
        <v>9</v>
      </c>
      <c r="F230" t="s">
        <v>55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57</v>
      </c>
      <c r="E231" t="s">
        <v>9</v>
      </c>
      <c r="F231" t="s">
        <v>55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61</v>
      </c>
      <c r="E232" t="s">
        <v>9</v>
      </c>
      <c r="F232" t="s">
        <v>55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70</v>
      </c>
      <c r="E233" t="s">
        <v>9</v>
      </c>
      <c r="F233" t="s">
        <v>55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86</v>
      </c>
      <c r="E234" t="s">
        <v>9</v>
      </c>
      <c r="F234" t="s">
        <v>55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62</v>
      </c>
      <c r="E235" t="s">
        <v>9</v>
      </c>
      <c r="F235" t="s">
        <v>55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43</v>
      </c>
      <c r="E236" t="s">
        <v>9</v>
      </c>
      <c r="F236" t="s">
        <v>55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39</v>
      </c>
      <c r="E237" t="s">
        <v>9</v>
      </c>
      <c r="F237" t="s">
        <v>55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40</v>
      </c>
      <c r="E238" t="s">
        <v>9</v>
      </c>
      <c r="F238" t="s">
        <v>55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43</v>
      </c>
      <c r="E239" t="s">
        <v>9</v>
      </c>
      <c r="F239" t="s">
        <v>55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35</v>
      </c>
      <c r="E240" t="s">
        <v>9</v>
      </c>
      <c r="F240" t="s">
        <v>55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26</v>
      </c>
      <c r="E241" t="s">
        <v>9</v>
      </c>
      <c r="F241" t="s">
        <v>55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47</v>
      </c>
      <c r="E242" t="s">
        <v>9</v>
      </c>
      <c r="F242" t="s">
        <v>55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40</v>
      </c>
      <c r="E243" t="s">
        <v>9</v>
      </c>
      <c r="F243" t="s">
        <v>55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96</v>
      </c>
      <c r="E244" t="s">
        <v>9</v>
      </c>
      <c r="F244" t="s">
        <v>55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58</v>
      </c>
      <c r="E245" t="s">
        <v>9</v>
      </c>
      <c r="F245" t="s">
        <v>55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40</v>
      </c>
      <c r="E246" t="s">
        <v>9</v>
      </c>
      <c r="F246" t="s">
        <v>55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48</v>
      </c>
      <c r="E247" t="s">
        <v>9</v>
      </c>
      <c r="F247" t="s">
        <v>55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63</v>
      </c>
      <c r="E248" t="s">
        <v>9</v>
      </c>
      <c r="F248" t="s">
        <v>55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73</v>
      </c>
      <c r="E249" t="s">
        <v>9</v>
      </c>
      <c r="F249" t="s">
        <v>55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71</v>
      </c>
      <c r="E250" t="s">
        <v>9</v>
      </c>
      <c r="F250" t="s">
        <v>55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51</v>
      </c>
      <c r="E251" t="s">
        <v>9</v>
      </c>
      <c r="F251" t="s">
        <v>55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44</v>
      </c>
      <c r="E252" t="s">
        <v>9</v>
      </c>
      <c r="F252" t="s">
        <v>55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44</v>
      </c>
      <c r="E253" t="s">
        <v>9</v>
      </c>
      <c r="F253" t="s">
        <v>55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1</v>
      </c>
      <c r="E254" t="s">
        <v>9</v>
      </c>
      <c r="F254" t="s">
        <v>55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0</v>
      </c>
      <c r="E255" t="s">
        <v>9</v>
      </c>
      <c r="F255" t="s">
        <v>55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4</v>
      </c>
      <c r="E256" t="s">
        <v>9</v>
      </c>
      <c r="F256" t="s">
        <v>55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1</v>
      </c>
      <c r="E257" t="s">
        <v>9</v>
      </c>
      <c r="F257" t="s">
        <v>55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1</v>
      </c>
      <c r="E258" t="s">
        <v>9</v>
      </c>
      <c r="F258" t="s">
        <v>55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0</v>
      </c>
      <c r="E259" t="s">
        <v>9</v>
      </c>
      <c r="F259" t="s">
        <v>55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1</v>
      </c>
      <c r="E260" t="s">
        <v>9</v>
      </c>
      <c r="F260" t="s">
        <v>55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55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55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1</v>
      </c>
      <c r="E263" t="s">
        <v>9</v>
      </c>
      <c r="F263" t="s">
        <v>55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55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55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55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55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55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55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55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55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55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55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55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55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55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55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55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55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55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55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55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55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55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55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55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55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55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55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55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51810.06</v>
      </c>
      <c r="E291" t="s">
        <v>9</v>
      </c>
      <c r="F291" t="s">
        <v>55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55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55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55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948476</v>
      </c>
      <c r="E295" t="s">
        <v>9</v>
      </c>
      <c r="F295" t="s">
        <v>55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55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55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55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55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55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55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55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55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55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55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55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55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55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55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55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55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55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55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55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55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55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55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55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55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55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55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55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55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55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55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55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55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55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55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55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55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55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55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55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55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55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55</v>
      </c>
    </row>
    <row r="338" spans="1:6" hidden="1" x14ac:dyDescent="0.35">
      <c r="A338" t="s">
        <v>6</v>
      </c>
      <c r="B338" t="s">
        <v>53</v>
      </c>
      <c r="C338" t="s">
        <v>56</v>
      </c>
      <c r="D338">
        <v>0</v>
      </c>
      <c r="E338" t="s">
        <v>9</v>
      </c>
      <c r="F338" t="s">
        <v>55</v>
      </c>
    </row>
    <row r="339" spans="1:6" hidden="1" x14ac:dyDescent="0.35">
      <c r="A339" t="s">
        <v>11</v>
      </c>
      <c r="B339" t="s">
        <v>53</v>
      </c>
      <c r="C339" t="s">
        <v>56</v>
      </c>
      <c r="D339">
        <v>0</v>
      </c>
      <c r="E339" t="s">
        <v>9</v>
      </c>
      <c r="F339" t="s">
        <v>55</v>
      </c>
    </row>
    <row r="340" spans="1:6" hidden="1" x14ac:dyDescent="0.35">
      <c r="A340" t="s">
        <v>12</v>
      </c>
      <c r="B340" t="s">
        <v>53</v>
      </c>
      <c r="C340" t="s">
        <v>56</v>
      </c>
      <c r="D340">
        <v>0</v>
      </c>
      <c r="E340" t="s">
        <v>9</v>
      </c>
      <c r="F340" t="s">
        <v>55</v>
      </c>
    </row>
    <row r="341" spans="1:6" hidden="1" x14ac:dyDescent="0.35">
      <c r="A341" t="s">
        <v>13</v>
      </c>
      <c r="B341" t="s">
        <v>53</v>
      </c>
      <c r="C341" t="s">
        <v>56</v>
      </c>
      <c r="D341">
        <v>0</v>
      </c>
      <c r="E341" t="s">
        <v>9</v>
      </c>
      <c r="F341" t="s">
        <v>55</v>
      </c>
    </row>
    <row r="342" spans="1:6" hidden="1" x14ac:dyDescent="0.35">
      <c r="A342" t="s">
        <v>14</v>
      </c>
      <c r="B342" t="s">
        <v>53</v>
      </c>
      <c r="C342" t="s">
        <v>56</v>
      </c>
      <c r="D342">
        <v>0</v>
      </c>
      <c r="E342" t="s">
        <v>9</v>
      </c>
      <c r="F342" t="s">
        <v>55</v>
      </c>
    </row>
    <row r="343" spans="1:6" hidden="1" x14ac:dyDescent="0.35">
      <c r="A343" t="s">
        <v>15</v>
      </c>
      <c r="B343" t="s">
        <v>53</v>
      </c>
      <c r="C343" t="s">
        <v>56</v>
      </c>
      <c r="D343">
        <v>0</v>
      </c>
      <c r="E343" t="s">
        <v>9</v>
      </c>
      <c r="F343" t="s">
        <v>55</v>
      </c>
    </row>
    <row r="344" spans="1:6" hidden="1" x14ac:dyDescent="0.35">
      <c r="A344" t="s">
        <v>16</v>
      </c>
      <c r="B344" t="s">
        <v>53</v>
      </c>
      <c r="C344" t="s">
        <v>56</v>
      </c>
      <c r="D344">
        <v>0</v>
      </c>
      <c r="E344" t="s">
        <v>9</v>
      </c>
      <c r="F344" t="s">
        <v>55</v>
      </c>
    </row>
    <row r="345" spans="1:6" hidden="1" x14ac:dyDescent="0.35">
      <c r="A345" t="s">
        <v>17</v>
      </c>
      <c r="B345" t="s">
        <v>53</v>
      </c>
      <c r="C345" t="s">
        <v>56</v>
      </c>
      <c r="D345">
        <v>0</v>
      </c>
      <c r="E345" t="s">
        <v>9</v>
      </c>
      <c r="F345" t="s">
        <v>55</v>
      </c>
    </row>
    <row r="346" spans="1:6" hidden="1" x14ac:dyDescent="0.35">
      <c r="A346" t="s">
        <v>18</v>
      </c>
      <c r="B346" t="s">
        <v>53</v>
      </c>
      <c r="C346" t="s">
        <v>56</v>
      </c>
      <c r="D346">
        <v>0</v>
      </c>
      <c r="E346" t="s">
        <v>9</v>
      </c>
      <c r="F346" t="s">
        <v>55</v>
      </c>
    </row>
    <row r="347" spans="1:6" hidden="1" x14ac:dyDescent="0.35">
      <c r="A347" t="s">
        <v>19</v>
      </c>
      <c r="B347" t="s">
        <v>53</v>
      </c>
      <c r="C347" t="s">
        <v>56</v>
      </c>
      <c r="D347">
        <v>0</v>
      </c>
      <c r="E347" t="s">
        <v>9</v>
      </c>
      <c r="F347" t="s">
        <v>55</v>
      </c>
    </row>
    <row r="348" spans="1:6" hidden="1" x14ac:dyDescent="0.35">
      <c r="A348" t="s">
        <v>20</v>
      </c>
      <c r="B348" t="s">
        <v>53</v>
      </c>
      <c r="C348" t="s">
        <v>56</v>
      </c>
      <c r="D348">
        <v>0</v>
      </c>
      <c r="E348" t="s">
        <v>9</v>
      </c>
      <c r="F348" t="s">
        <v>55</v>
      </c>
    </row>
    <row r="349" spans="1:6" hidden="1" x14ac:dyDescent="0.35">
      <c r="A349" t="s">
        <v>21</v>
      </c>
      <c r="B349" t="s">
        <v>53</v>
      </c>
      <c r="C349" t="s">
        <v>56</v>
      </c>
      <c r="D349">
        <v>0</v>
      </c>
      <c r="E349" t="s">
        <v>9</v>
      </c>
      <c r="F349" t="s">
        <v>55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55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55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55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55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55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55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55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55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55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55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55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55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55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55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55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55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55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55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55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55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55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55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55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55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55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1</v>
      </c>
      <c r="E375" t="s">
        <v>9</v>
      </c>
      <c r="F375" t="s">
        <v>55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55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55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55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1</v>
      </c>
      <c r="E379" t="s">
        <v>9</v>
      </c>
      <c r="F379" t="s">
        <v>55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55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55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55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55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55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55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55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55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55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55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55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55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55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55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55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55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55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55</v>
      </c>
    </row>
    <row r="398" spans="1:6" hidden="1" x14ac:dyDescent="0.35">
      <c r="A398" t="s">
        <v>6</v>
      </c>
      <c r="B398" t="s">
        <v>54</v>
      </c>
      <c r="C398" t="s">
        <v>44</v>
      </c>
      <c r="D398">
        <v>227247.37</v>
      </c>
      <c r="E398" t="s">
        <v>9</v>
      </c>
      <c r="F398" t="s">
        <v>55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105335.55</v>
      </c>
      <c r="E399" t="s">
        <v>9</v>
      </c>
      <c r="F399" t="s">
        <v>55</v>
      </c>
    </row>
    <row r="400" spans="1:6" hidden="1" x14ac:dyDescent="0.35">
      <c r="A400" t="s">
        <v>12</v>
      </c>
      <c r="B400" t="s">
        <v>54</v>
      </c>
      <c r="C400" t="s">
        <v>44</v>
      </c>
      <c r="D400">
        <v>9003.4599999999991</v>
      </c>
      <c r="E400" t="s">
        <v>9</v>
      </c>
      <c r="F400" t="s">
        <v>55</v>
      </c>
    </row>
    <row r="401" spans="1:6" hidden="1" x14ac:dyDescent="0.35">
      <c r="A401" t="s">
        <v>13</v>
      </c>
      <c r="B401" t="s">
        <v>54</v>
      </c>
      <c r="C401" t="s">
        <v>44</v>
      </c>
      <c r="D401">
        <v>145156.13</v>
      </c>
      <c r="E401" t="s">
        <v>9</v>
      </c>
      <c r="F401" t="s">
        <v>55</v>
      </c>
    </row>
    <row r="402" spans="1:6" hidden="1" x14ac:dyDescent="0.35">
      <c r="A402" t="s">
        <v>14</v>
      </c>
      <c r="B402" t="s">
        <v>54</v>
      </c>
      <c r="C402" t="s">
        <v>44</v>
      </c>
      <c r="D402">
        <v>71809.55</v>
      </c>
      <c r="E402" t="s">
        <v>9</v>
      </c>
      <c r="F402" t="s">
        <v>55</v>
      </c>
    </row>
    <row r="403" spans="1:6" hidden="1" x14ac:dyDescent="0.35">
      <c r="A403" t="s">
        <v>15</v>
      </c>
      <c r="B403" t="s">
        <v>54</v>
      </c>
      <c r="C403" t="s">
        <v>44</v>
      </c>
      <c r="D403">
        <v>265263.94</v>
      </c>
      <c r="E403" t="s">
        <v>9</v>
      </c>
      <c r="F403" t="s">
        <v>55</v>
      </c>
    </row>
    <row r="404" spans="1:6" hidden="1" x14ac:dyDescent="0.35">
      <c r="A404" t="s">
        <v>16</v>
      </c>
      <c r="B404" t="s">
        <v>54</v>
      </c>
      <c r="C404" t="s">
        <v>44</v>
      </c>
      <c r="D404">
        <v>20077.39</v>
      </c>
      <c r="E404" t="s">
        <v>9</v>
      </c>
      <c r="F404" t="s">
        <v>55</v>
      </c>
    </row>
    <row r="405" spans="1:6" hidden="1" x14ac:dyDescent="0.35">
      <c r="A405" t="s">
        <v>17</v>
      </c>
      <c r="B405" t="s">
        <v>54</v>
      </c>
      <c r="C405" t="s">
        <v>44</v>
      </c>
      <c r="D405">
        <v>12497.07</v>
      </c>
      <c r="E405" t="s">
        <v>9</v>
      </c>
      <c r="F405" t="s">
        <v>55</v>
      </c>
    </row>
    <row r="406" spans="1:6" hidden="1" x14ac:dyDescent="0.35">
      <c r="A406" t="s">
        <v>18</v>
      </c>
      <c r="B406" t="s">
        <v>54</v>
      </c>
      <c r="C406" t="s">
        <v>44</v>
      </c>
      <c r="D406">
        <v>49700.17</v>
      </c>
      <c r="E406" t="s">
        <v>9</v>
      </c>
      <c r="F406" t="s">
        <v>55</v>
      </c>
    </row>
    <row r="407" spans="1:6" hidden="1" x14ac:dyDescent="0.35">
      <c r="A407" t="s">
        <v>19</v>
      </c>
      <c r="B407" t="s">
        <v>54</v>
      </c>
      <c r="C407" t="s">
        <v>44</v>
      </c>
      <c r="D407">
        <v>108789.73</v>
      </c>
      <c r="E407" t="s">
        <v>9</v>
      </c>
      <c r="F407" t="s">
        <v>55</v>
      </c>
    </row>
    <row r="408" spans="1:6" hidden="1" x14ac:dyDescent="0.35">
      <c r="A408" t="s">
        <v>20</v>
      </c>
      <c r="B408" t="s">
        <v>54</v>
      </c>
      <c r="C408" t="s">
        <v>44</v>
      </c>
      <c r="D408">
        <v>9924.39</v>
      </c>
      <c r="E408" t="s">
        <v>9</v>
      </c>
      <c r="F408" t="s">
        <v>55</v>
      </c>
    </row>
    <row r="409" spans="1:6" hidden="1" x14ac:dyDescent="0.35">
      <c r="A409" t="s">
        <v>21</v>
      </c>
      <c r="B409" t="s">
        <v>54</v>
      </c>
      <c r="C409" t="s">
        <v>44</v>
      </c>
      <c r="D409">
        <v>75007.56</v>
      </c>
      <c r="E409" t="s">
        <v>9</v>
      </c>
      <c r="F409" t="s">
        <v>55</v>
      </c>
    </row>
    <row r="410" spans="1:6" hidden="1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55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55</v>
      </c>
    </row>
    <row r="412" spans="1:6" hidden="1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55</v>
      </c>
    </row>
    <row r="413" spans="1:6" hidden="1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55</v>
      </c>
    </row>
    <row r="414" spans="1:6" hidden="1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55</v>
      </c>
    </row>
    <row r="415" spans="1:6" hidden="1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55</v>
      </c>
    </row>
    <row r="416" spans="1:6" hidden="1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55</v>
      </c>
    </row>
    <row r="417" spans="1:6" hidden="1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55</v>
      </c>
    </row>
    <row r="418" spans="1:6" hidden="1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55</v>
      </c>
    </row>
    <row r="419" spans="1:6" hidden="1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55</v>
      </c>
    </row>
    <row r="420" spans="1:6" hidden="1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55</v>
      </c>
    </row>
    <row r="421" spans="1:6" hidden="1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55</v>
      </c>
    </row>
    <row r="422" spans="1:6" hidden="1" x14ac:dyDescent="0.35">
      <c r="A422" t="s">
        <v>6</v>
      </c>
      <c r="B422" t="s">
        <v>54</v>
      </c>
      <c r="C422" t="s">
        <v>46</v>
      </c>
      <c r="D422">
        <v>2227365.4300000002</v>
      </c>
      <c r="E422" t="s">
        <v>9</v>
      </c>
      <c r="F422" t="s">
        <v>55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4308801.6900000004</v>
      </c>
      <c r="E423" t="s">
        <v>9</v>
      </c>
      <c r="F423" t="s">
        <v>55</v>
      </c>
    </row>
    <row r="424" spans="1:6" hidden="1" x14ac:dyDescent="0.35">
      <c r="A424" t="s">
        <v>12</v>
      </c>
      <c r="B424" t="s">
        <v>54</v>
      </c>
      <c r="C424" t="s">
        <v>46</v>
      </c>
      <c r="D424">
        <v>4842633.82</v>
      </c>
      <c r="E424" t="s">
        <v>9</v>
      </c>
      <c r="F424" t="s">
        <v>55</v>
      </c>
    </row>
    <row r="425" spans="1:6" hidden="1" x14ac:dyDescent="0.35">
      <c r="A425" t="s">
        <v>13</v>
      </c>
      <c r="B425" t="s">
        <v>54</v>
      </c>
      <c r="C425" t="s">
        <v>46</v>
      </c>
      <c r="D425">
        <v>3500216.77</v>
      </c>
      <c r="E425" t="s">
        <v>9</v>
      </c>
      <c r="F425" t="s">
        <v>55</v>
      </c>
    </row>
    <row r="426" spans="1:6" hidden="1" x14ac:dyDescent="0.35">
      <c r="A426" t="s">
        <v>14</v>
      </c>
      <c r="B426" t="s">
        <v>54</v>
      </c>
      <c r="C426" t="s">
        <v>46</v>
      </c>
      <c r="D426">
        <v>1452176</v>
      </c>
      <c r="E426" t="s">
        <v>9</v>
      </c>
      <c r="F426" t="s">
        <v>55</v>
      </c>
    </row>
    <row r="427" spans="1:6" hidden="1" x14ac:dyDescent="0.35">
      <c r="A427" t="s">
        <v>15</v>
      </c>
      <c r="B427" t="s">
        <v>54</v>
      </c>
      <c r="C427" t="s">
        <v>46</v>
      </c>
      <c r="D427">
        <v>1897308.35</v>
      </c>
      <c r="E427" t="s">
        <v>9</v>
      </c>
      <c r="F427" t="s">
        <v>55</v>
      </c>
    </row>
    <row r="428" spans="1:6" hidden="1" x14ac:dyDescent="0.35">
      <c r="A428" t="s">
        <v>16</v>
      </c>
      <c r="B428" t="s">
        <v>54</v>
      </c>
      <c r="C428" t="s">
        <v>46</v>
      </c>
      <c r="D428">
        <v>7767465.7999999998</v>
      </c>
      <c r="E428" t="s">
        <v>9</v>
      </c>
      <c r="F428" t="s">
        <v>55</v>
      </c>
    </row>
    <row r="429" spans="1:6" hidden="1" x14ac:dyDescent="0.35">
      <c r="A429" t="s">
        <v>17</v>
      </c>
      <c r="B429" t="s">
        <v>54</v>
      </c>
      <c r="C429" t="s">
        <v>46</v>
      </c>
      <c r="D429">
        <v>5305551.6599999983</v>
      </c>
      <c r="E429" t="s">
        <v>9</v>
      </c>
      <c r="F429" t="s">
        <v>55</v>
      </c>
    </row>
    <row r="430" spans="1:6" hidden="1" x14ac:dyDescent="0.35">
      <c r="A430" t="s">
        <v>18</v>
      </c>
      <c r="B430" t="s">
        <v>54</v>
      </c>
      <c r="C430" t="s">
        <v>46</v>
      </c>
      <c r="D430">
        <v>3196842.03</v>
      </c>
      <c r="E430" t="s">
        <v>9</v>
      </c>
      <c r="F430" t="s">
        <v>55</v>
      </c>
    </row>
    <row r="431" spans="1:6" hidden="1" x14ac:dyDescent="0.35">
      <c r="A431" t="s">
        <v>19</v>
      </c>
      <c r="B431" t="s">
        <v>54</v>
      </c>
      <c r="C431" t="s">
        <v>46</v>
      </c>
      <c r="D431">
        <v>5455226.6099999994</v>
      </c>
      <c r="E431" t="s">
        <v>9</v>
      </c>
      <c r="F431" t="s">
        <v>55</v>
      </c>
    </row>
    <row r="432" spans="1:6" hidden="1" x14ac:dyDescent="0.35">
      <c r="A432" t="s">
        <v>20</v>
      </c>
      <c r="B432" t="s">
        <v>54</v>
      </c>
      <c r="C432" t="s">
        <v>46</v>
      </c>
      <c r="D432">
        <v>2346496.41</v>
      </c>
      <c r="E432" t="s">
        <v>9</v>
      </c>
      <c r="F432" t="s">
        <v>55</v>
      </c>
    </row>
    <row r="433" spans="1:6" hidden="1" x14ac:dyDescent="0.35">
      <c r="A433" t="s">
        <v>21</v>
      </c>
      <c r="B433" t="s">
        <v>54</v>
      </c>
      <c r="C433" t="s">
        <v>46</v>
      </c>
      <c r="D433">
        <v>4338794.5300000012</v>
      </c>
      <c r="E433" t="s">
        <v>9</v>
      </c>
      <c r="F433" t="s">
        <v>55</v>
      </c>
    </row>
    <row r="434" spans="1:6" hidden="1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55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55</v>
      </c>
    </row>
    <row r="436" spans="1:6" hidden="1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55</v>
      </c>
    </row>
    <row r="437" spans="1:6" hidden="1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55</v>
      </c>
    </row>
    <row r="438" spans="1:6" hidden="1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55</v>
      </c>
    </row>
    <row r="439" spans="1:6" hidden="1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55</v>
      </c>
    </row>
    <row r="440" spans="1:6" hidden="1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55</v>
      </c>
    </row>
    <row r="441" spans="1:6" hidden="1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55</v>
      </c>
    </row>
    <row r="442" spans="1:6" hidden="1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55</v>
      </c>
    </row>
    <row r="443" spans="1:6" hidden="1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55</v>
      </c>
    </row>
    <row r="444" spans="1:6" hidden="1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55</v>
      </c>
    </row>
    <row r="445" spans="1:6" hidden="1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55</v>
      </c>
    </row>
    <row r="446" spans="1:6" hidden="1" x14ac:dyDescent="0.35">
      <c r="A446" t="s">
        <v>6</v>
      </c>
      <c r="B446" t="s">
        <v>54</v>
      </c>
      <c r="C446" t="s">
        <v>47</v>
      </c>
      <c r="D446">
        <v>94869.119999999966</v>
      </c>
      <c r="E446" t="s">
        <v>9</v>
      </c>
      <c r="F446" t="s">
        <v>55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233948.46</v>
      </c>
      <c r="E447" t="s">
        <v>9</v>
      </c>
      <c r="F447" t="s">
        <v>55</v>
      </c>
    </row>
    <row r="448" spans="1:6" hidden="1" x14ac:dyDescent="0.35">
      <c r="A448" t="s">
        <v>12</v>
      </c>
      <c r="B448" t="s">
        <v>54</v>
      </c>
      <c r="C448" t="s">
        <v>47</v>
      </c>
      <c r="D448">
        <v>636483.31000000006</v>
      </c>
      <c r="E448" t="s">
        <v>9</v>
      </c>
      <c r="F448" t="s">
        <v>55</v>
      </c>
    </row>
    <row r="449" spans="1:6" hidden="1" x14ac:dyDescent="0.35">
      <c r="A449" t="s">
        <v>13</v>
      </c>
      <c r="B449" t="s">
        <v>54</v>
      </c>
      <c r="C449" t="s">
        <v>47</v>
      </c>
      <c r="D449">
        <v>104925.59</v>
      </c>
      <c r="E449" t="s">
        <v>9</v>
      </c>
      <c r="F449" t="s">
        <v>55</v>
      </c>
    </row>
    <row r="450" spans="1:6" hidden="1" x14ac:dyDescent="0.35">
      <c r="A450" t="s">
        <v>14</v>
      </c>
      <c r="B450" t="s">
        <v>54</v>
      </c>
      <c r="C450" t="s">
        <v>47</v>
      </c>
      <c r="D450">
        <v>323862.78999999998</v>
      </c>
      <c r="E450" t="s">
        <v>9</v>
      </c>
      <c r="F450" t="s">
        <v>55</v>
      </c>
    </row>
    <row r="451" spans="1:6" hidden="1" x14ac:dyDescent="0.35">
      <c r="A451" t="s">
        <v>15</v>
      </c>
      <c r="B451" t="s">
        <v>54</v>
      </c>
      <c r="C451" t="s">
        <v>47</v>
      </c>
      <c r="D451">
        <v>628177.32999999984</v>
      </c>
      <c r="E451" t="s">
        <v>9</v>
      </c>
      <c r="F451" t="s">
        <v>55</v>
      </c>
    </row>
    <row r="452" spans="1:6" hidden="1" x14ac:dyDescent="0.35">
      <c r="A452" t="s">
        <v>16</v>
      </c>
      <c r="B452" t="s">
        <v>54</v>
      </c>
      <c r="C452" t="s">
        <v>47</v>
      </c>
      <c r="D452">
        <v>16305.08</v>
      </c>
      <c r="E452" t="s">
        <v>9</v>
      </c>
      <c r="F452" t="s">
        <v>55</v>
      </c>
    </row>
    <row r="453" spans="1:6" hidden="1" x14ac:dyDescent="0.35">
      <c r="A453" t="s">
        <v>17</v>
      </c>
      <c r="B453" t="s">
        <v>54</v>
      </c>
      <c r="C453" t="s">
        <v>47</v>
      </c>
      <c r="D453">
        <v>278266.99</v>
      </c>
      <c r="E453" t="s">
        <v>9</v>
      </c>
      <c r="F453" t="s">
        <v>55</v>
      </c>
    </row>
    <row r="454" spans="1:6" hidden="1" x14ac:dyDescent="0.35">
      <c r="A454" t="s">
        <v>18</v>
      </c>
      <c r="B454" t="s">
        <v>54</v>
      </c>
      <c r="C454" t="s">
        <v>47</v>
      </c>
      <c r="D454">
        <v>26958</v>
      </c>
      <c r="E454" t="s">
        <v>9</v>
      </c>
      <c r="F454" t="s">
        <v>55</v>
      </c>
    </row>
    <row r="455" spans="1:6" hidden="1" x14ac:dyDescent="0.35">
      <c r="A455" t="s">
        <v>19</v>
      </c>
      <c r="B455" t="s">
        <v>54</v>
      </c>
      <c r="C455" t="s">
        <v>47</v>
      </c>
      <c r="D455">
        <v>477913.47</v>
      </c>
      <c r="E455" t="s">
        <v>9</v>
      </c>
      <c r="F455" t="s">
        <v>55</v>
      </c>
    </row>
    <row r="456" spans="1:6" hidden="1" x14ac:dyDescent="0.35">
      <c r="A456" t="s">
        <v>20</v>
      </c>
      <c r="B456" t="s">
        <v>54</v>
      </c>
      <c r="C456" t="s">
        <v>47</v>
      </c>
      <c r="D456">
        <v>321048.23</v>
      </c>
      <c r="E456" t="s">
        <v>9</v>
      </c>
      <c r="F456" t="s">
        <v>55</v>
      </c>
    </row>
    <row r="457" spans="1:6" hidden="1" x14ac:dyDescent="0.35">
      <c r="A457" t="s">
        <v>21</v>
      </c>
      <c r="B457" t="s">
        <v>54</v>
      </c>
      <c r="C457" t="s">
        <v>47</v>
      </c>
      <c r="D457">
        <v>170664.19</v>
      </c>
      <c r="E457" t="s">
        <v>9</v>
      </c>
      <c r="F457" t="s">
        <v>55</v>
      </c>
    </row>
    <row r="458" spans="1:6" hidden="1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55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55</v>
      </c>
    </row>
    <row r="460" spans="1:6" hidden="1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55</v>
      </c>
    </row>
    <row r="461" spans="1:6" hidden="1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55</v>
      </c>
    </row>
    <row r="462" spans="1:6" hidden="1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55</v>
      </c>
    </row>
    <row r="463" spans="1:6" hidden="1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55</v>
      </c>
    </row>
    <row r="464" spans="1:6" hidden="1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55</v>
      </c>
    </row>
    <row r="465" spans="1:6" hidden="1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55</v>
      </c>
    </row>
    <row r="466" spans="1:6" hidden="1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55</v>
      </c>
    </row>
    <row r="467" spans="1:6" hidden="1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55</v>
      </c>
    </row>
    <row r="468" spans="1:6" hidden="1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55</v>
      </c>
    </row>
    <row r="469" spans="1:6" hidden="1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55</v>
      </c>
    </row>
    <row r="470" spans="1:6" hidden="1" x14ac:dyDescent="0.35">
      <c r="A470" t="s">
        <v>6</v>
      </c>
      <c r="B470" t="s">
        <v>54</v>
      </c>
      <c r="C470" t="s">
        <v>56</v>
      </c>
      <c r="D470">
        <v>877887</v>
      </c>
      <c r="E470" t="s">
        <v>9</v>
      </c>
      <c r="F470" t="s">
        <v>55</v>
      </c>
    </row>
    <row r="471" spans="1:6" hidden="1" x14ac:dyDescent="0.35">
      <c r="A471" t="s">
        <v>11</v>
      </c>
      <c r="B471" t="s">
        <v>54</v>
      </c>
      <c r="C471" t="s">
        <v>56</v>
      </c>
      <c r="D471">
        <v>923804</v>
      </c>
      <c r="E471" t="s">
        <v>9</v>
      </c>
      <c r="F471" t="s">
        <v>55</v>
      </c>
    </row>
    <row r="472" spans="1:6" hidden="1" x14ac:dyDescent="0.35">
      <c r="A472" t="s">
        <v>12</v>
      </c>
      <c r="B472" t="s">
        <v>54</v>
      </c>
      <c r="C472" t="s">
        <v>56</v>
      </c>
      <c r="D472">
        <v>1364302.36</v>
      </c>
      <c r="E472" t="s">
        <v>9</v>
      </c>
      <c r="F472" t="s">
        <v>55</v>
      </c>
    </row>
    <row r="473" spans="1:6" hidden="1" x14ac:dyDescent="0.35">
      <c r="A473" t="s">
        <v>13</v>
      </c>
      <c r="B473" t="s">
        <v>54</v>
      </c>
      <c r="C473" t="s">
        <v>56</v>
      </c>
      <c r="D473">
        <v>496229</v>
      </c>
      <c r="E473" t="s">
        <v>9</v>
      </c>
      <c r="F473" t="s">
        <v>55</v>
      </c>
    </row>
    <row r="474" spans="1:6" hidden="1" x14ac:dyDescent="0.35">
      <c r="A474" t="s">
        <v>14</v>
      </c>
      <c r="B474" t="s">
        <v>54</v>
      </c>
      <c r="C474" t="s">
        <v>56</v>
      </c>
      <c r="D474">
        <v>876544</v>
      </c>
      <c r="E474" t="s">
        <v>9</v>
      </c>
      <c r="F474" t="s">
        <v>55</v>
      </c>
    </row>
    <row r="475" spans="1:6" hidden="1" x14ac:dyDescent="0.35">
      <c r="A475" t="s">
        <v>15</v>
      </c>
      <c r="B475" t="s">
        <v>54</v>
      </c>
      <c r="C475" t="s">
        <v>56</v>
      </c>
      <c r="D475">
        <v>1473574.64</v>
      </c>
      <c r="E475" t="s">
        <v>9</v>
      </c>
      <c r="F475" t="s">
        <v>55</v>
      </c>
    </row>
    <row r="476" spans="1:6" hidden="1" x14ac:dyDescent="0.35">
      <c r="A476" t="s">
        <v>16</v>
      </c>
      <c r="B476" t="s">
        <v>54</v>
      </c>
      <c r="C476" t="s">
        <v>56</v>
      </c>
      <c r="D476">
        <v>382021.28</v>
      </c>
      <c r="E476" t="s">
        <v>9</v>
      </c>
      <c r="F476" t="s">
        <v>55</v>
      </c>
    </row>
    <row r="477" spans="1:6" hidden="1" x14ac:dyDescent="0.35">
      <c r="A477" t="s">
        <v>17</v>
      </c>
      <c r="B477" t="s">
        <v>54</v>
      </c>
      <c r="C477" t="s">
        <v>56</v>
      </c>
      <c r="D477">
        <v>599076.01</v>
      </c>
      <c r="E477" t="s">
        <v>9</v>
      </c>
      <c r="F477" t="s">
        <v>55</v>
      </c>
    </row>
    <row r="478" spans="1:6" hidden="1" x14ac:dyDescent="0.35">
      <c r="A478" t="s">
        <v>18</v>
      </c>
      <c r="B478" t="s">
        <v>54</v>
      </c>
      <c r="C478" t="s">
        <v>56</v>
      </c>
      <c r="D478">
        <v>396388</v>
      </c>
      <c r="E478" t="s">
        <v>9</v>
      </c>
      <c r="F478" t="s">
        <v>55</v>
      </c>
    </row>
    <row r="479" spans="1:6" hidden="1" x14ac:dyDescent="0.35">
      <c r="A479" t="s">
        <v>19</v>
      </c>
      <c r="B479" t="s">
        <v>54</v>
      </c>
      <c r="C479" t="s">
        <v>56</v>
      </c>
      <c r="D479">
        <v>1256218</v>
      </c>
      <c r="E479" t="s">
        <v>9</v>
      </c>
      <c r="F479" t="s">
        <v>55</v>
      </c>
    </row>
    <row r="480" spans="1:6" hidden="1" x14ac:dyDescent="0.35">
      <c r="A480" t="s">
        <v>20</v>
      </c>
      <c r="B480" t="s">
        <v>54</v>
      </c>
      <c r="C480" t="s">
        <v>56</v>
      </c>
      <c r="D480">
        <v>668843.55000000005</v>
      </c>
      <c r="E480" t="s">
        <v>9</v>
      </c>
      <c r="F480" t="s">
        <v>55</v>
      </c>
    </row>
    <row r="481" spans="1:6" hidden="1" x14ac:dyDescent="0.35">
      <c r="A481" t="s">
        <v>21</v>
      </c>
      <c r="B481" t="s">
        <v>54</v>
      </c>
      <c r="C481" t="s">
        <v>56</v>
      </c>
      <c r="D481">
        <v>492974</v>
      </c>
      <c r="E481" t="s">
        <v>9</v>
      </c>
      <c r="F481" t="s">
        <v>55</v>
      </c>
    </row>
    <row r="482" spans="1:6" hidden="1" x14ac:dyDescent="0.35">
      <c r="A482" t="s">
        <v>6</v>
      </c>
      <c r="B482" t="s">
        <v>54</v>
      </c>
      <c r="C482" t="s">
        <v>50</v>
      </c>
      <c r="D482">
        <v>327231.42</v>
      </c>
      <c r="E482" t="s">
        <v>9</v>
      </c>
      <c r="F482" t="s">
        <v>55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721402.58</v>
      </c>
      <c r="E483" t="s">
        <v>9</v>
      </c>
      <c r="F483" t="s">
        <v>55</v>
      </c>
    </row>
    <row r="484" spans="1:6" hidden="1" x14ac:dyDescent="0.35">
      <c r="A484" t="s">
        <v>12</v>
      </c>
      <c r="B484" t="s">
        <v>54</v>
      </c>
      <c r="C484" t="s">
        <v>50</v>
      </c>
      <c r="D484">
        <v>708377.92</v>
      </c>
      <c r="E484" t="s">
        <v>9</v>
      </c>
      <c r="F484" t="s">
        <v>55</v>
      </c>
    </row>
    <row r="485" spans="1:6" hidden="1" x14ac:dyDescent="0.35">
      <c r="A485" t="s">
        <v>13</v>
      </c>
      <c r="B485" t="s">
        <v>54</v>
      </c>
      <c r="C485" t="s">
        <v>50</v>
      </c>
      <c r="D485">
        <v>214316.37</v>
      </c>
      <c r="E485" t="s">
        <v>9</v>
      </c>
      <c r="F485" t="s">
        <v>55</v>
      </c>
    </row>
    <row r="486" spans="1:6" hidden="1" x14ac:dyDescent="0.35">
      <c r="A486" t="s">
        <v>14</v>
      </c>
      <c r="B486" t="s">
        <v>54</v>
      </c>
      <c r="C486" t="s">
        <v>50</v>
      </c>
      <c r="D486">
        <v>541179.62</v>
      </c>
      <c r="E486" t="s">
        <v>9</v>
      </c>
      <c r="F486" t="s">
        <v>55</v>
      </c>
    </row>
    <row r="487" spans="1:6" hidden="1" x14ac:dyDescent="0.35">
      <c r="A487" t="s">
        <v>15</v>
      </c>
      <c r="B487" t="s">
        <v>54</v>
      </c>
      <c r="C487" t="s">
        <v>50</v>
      </c>
      <c r="D487">
        <v>878966.19000000006</v>
      </c>
      <c r="E487" t="s">
        <v>9</v>
      </c>
      <c r="F487" t="s">
        <v>55</v>
      </c>
    </row>
    <row r="488" spans="1:6" hidden="1" x14ac:dyDescent="0.35">
      <c r="A488" t="s">
        <v>16</v>
      </c>
      <c r="B488" t="s">
        <v>54</v>
      </c>
      <c r="C488" t="s">
        <v>50</v>
      </c>
      <c r="D488">
        <v>244478.49</v>
      </c>
      <c r="E488" t="s">
        <v>9</v>
      </c>
      <c r="F488" t="s">
        <v>55</v>
      </c>
    </row>
    <row r="489" spans="1:6" hidden="1" x14ac:dyDescent="0.35">
      <c r="A489" t="s">
        <v>17</v>
      </c>
      <c r="B489" t="s">
        <v>54</v>
      </c>
      <c r="C489" t="s">
        <v>50</v>
      </c>
      <c r="D489">
        <v>530427.57999999996</v>
      </c>
      <c r="E489" t="s">
        <v>9</v>
      </c>
      <c r="F489" t="s">
        <v>55</v>
      </c>
    </row>
    <row r="490" spans="1:6" hidden="1" x14ac:dyDescent="0.35">
      <c r="A490" t="s">
        <v>18</v>
      </c>
      <c r="B490" t="s">
        <v>54</v>
      </c>
      <c r="C490" t="s">
        <v>50</v>
      </c>
      <c r="D490">
        <v>118398.52</v>
      </c>
      <c r="E490" t="s">
        <v>9</v>
      </c>
      <c r="F490" t="s">
        <v>55</v>
      </c>
    </row>
    <row r="491" spans="1:6" hidden="1" x14ac:dyDescent="0.35">
      <c r="A491" t="s">
        <v>19</v>
      </c>
      <c r="B491" t="s">
        <v>54</v>
      </c>
      <c r="C491" t="s">
        <v>50</v>
      </c>
      <c r="D491">
        <v>960504.36000000022</v>
      </c>
      <c r="E491" t="s">
        <v>9</v>
      </c>
      <c r="F491" t="s">
        <v>55</v>
      </c>
    </row>
    <row r="492" spans="1:6" hidden="1" x14ac:dyDescent="0.35">
      <c r="A492" t="s">
        <v>20</v>
      </c>
      <c r="B492" t="s">
        <v>54</v>
      </c>
      <c r="C492" t="s">
        <v>50</v>
      </c>
      <c r="D492">
        <v>482094.55</v>
      </c>
      <c r="E492" t="s">
        <v>9</v>
      </c>
      <c r="F492" t="s">
        <v>55</v>
      </c>
    </row>
    <row r="493" spans="1:6" hidden="1" x14ac:dyDescent="0.35">
      <c r="A493" t="s">
        <v>21</v>
      </c>
      <c r="B493" t="s">
        <v>54</v>
      </c>
      <c r="C493" t="s">
        <v>50</v>
      </c>
      <c r="D493">
        <v>380940.19</v>
      </c>
      <c r="E493" t="s">
        <v>9</v>
      </c>
      <c r="F493" t="s">
        <v>55</v>
      </c>
    </row>
    <row r="494" spans="1:6" hidden="1" x14ac:dyDescent="0.35">
      <c r="A494" t="s">
        <v>6</v>
      </c>
      <c r="B494" t="s">
        <v>54</v>
      </c>
      <c r="C494" t="s">
        <v>51</v>
      </c>
      <c r="D494">
        <v>153</v>
      </c>
      <c r="E494" t="s">
        <v>9</v>
      </c>
      <c r="F494" t="s">
        <v>55</v>
      </c>
    </row>
    <row r="495" spans="1:6" hidden="1" x14ac:dyDescent="0.35">
      <c r="A495" t="s">
        <v>11</v>
      </c>
      <c r="B495" t="s">
        <v>54</v>
      </c>
      <c r="C495" t="s">
        <v>51</v>
      </c>
      <c r="D495">
        <v>102</v>
      </c>
      <c r="E495" t="s">
        <v>9</v>
      </c>
      <c r="F495" t="s">
        <v>55</v>
      </c>
    </row>
    <row r="496" spans="1:6" hidden="1" x14ac:dyDescent="0.35">
      <c r="A496" t="s">
        <v>12</v>
      </c>
      <c r="B496" t="s">
        <v>54</v>
      </c>
      <c r="C496" t="s">
        <v>51</v>
      </c>
      <c r="D496">
        <v>138</v>
      </c>
      <c r="E496" t="s">
        <v>9</v>
      </c>
      <c r="F496" t="s">
        <v>55</v>
      </c>
    </row>
    <row r="497" spans="1:6" hidden="1" x14ac:dyDescent="0.35">
      <c r="A497" t="s">
        <v>13</v>
      </c>
      <c r="B497" t="s">
        <v>54</v>
      </c>
      <c r="C497" t="s">
        <v>51</v>
      </c>
      <c r="D497">
        <v>129</v>
      </c>
      <c r="E497" t="s">
        <v>9</v>
      </c>
      <c r="F497" t="s">
        <v>55</v>
      </c>
    </row>
    <row r="498" spans="1:6" hidden="1" x14ac:dyDescent="0.35">
      <c r="A498" t="s">
        <v>14</v>
      </c>
      <c r="B498" t="s">
        <v>54</v>
      </c>
      <c r="C498" t="s">
        <v>51</v>
      </c>
      <c r="D498">
        <v>122</v>
      </c>
      <c r="E498" t="s">
        <v>9</v>
      </c>
      <c r="F498" t="s">
        <v>55</v>
      </c>
    </row>
    <row r="499" spans="1:6" hidden="1" x14ac:dyDescent="0.35">
      <c r="A499" t="s">
        <v>15</v>
      </c>
      <c r="B499" t="s">
        <v>54</v>
      </c>
      <c r="C499" t="s">
        <v>51</v>
      </c>
      <c r="D499">
        <v>104</v>
      </c>
      <c r="E499" t="s">
        <v>9</v>
      </c>
      <c r="F499" t="s">
        <v>55</v>
      </c>
    </row>
    <row r="500" spans="1:6" hidden="1" x14ac:dyDescent="0.35">
      <c r="A500" t="s">
        <v>16</v>
      </c>
      <c r="B500" t="s">
        <v>54</v>
      </c>
      <c r="C500" t="s">
        <v>51</v>
      </c>
      <c r="D500">
        <v>76</v>
      </c>
      <c r="E500" t="s">
        <v>9</v>
      </c>
      <c r="F500" t="s">
        <v>55</v>
      </c>
    </row>
    <row r="501" spans="1:6" hidden="1" x14ac:dyDescent="0.35">
      <c r="A501" t="s">
        <v>17</v>
      </c>
      <c r="B501" t="s">
        <v>54</v>
      </c>
      <c r="C501" t="s">
        <v>51</v>
      </c>
      <c r="D501">
        <v>115</v>
      </c>
      <c r="E501" t="s">
        <v>9</v>
      </c>
      <c r="F501" t="s">
        <v>55</v>
      </c>
    </row>
    <row r="502" spans="1:6" hidden="1" x14ac:dyDescent="0.35">
      <c r="A502" t="s">
        <v>18</v>
      </c>
      <c r="B502" t="s">
        <v>54</v>
      </c>
      <c r="C502" t="s">
        <v>51</v>
      </c>
      <c r="D502">
        <v>104</v>
      </c>
      <c r="E502" t="s">
        <v>9</v>
      </c>
      <c r="F502" t="s">
        <v>55</v>
      </c>
    </row>
    <row r="503" spans="1:6" hidden="1" x14ac:dyDescent="0.35">
      <c r="A503" t="s">
        <v>19</v>
      </c>
      <c r="B503" t="s">
        <v>54</v>
      </c>
      <c r="C503" t="s">
        <v>51</v>
      </c>
      <c r="D503">
        <v>121</v>
      </c>
      <c r="E503" t="s">
        <v>9</v>
      </c>
      <c r="F503" t="s">
        <v>55</v>
      </c>
    </row>
    <row r="504" spans="1:6" hidden="1" x14ac:dyDescent="0.35">
      <c r="A504" t="s">
        <v>20</v>
      </c>
      <c r="B504" t="s">
        <v>54</v>
      </c>
      <c r="C504" t="s">
        <v>51</v>
      </c>
      <c r="D504">
        <v>91</v>
      </c>
      <c r="E504" t="s">
        <v>9</v>
      </c>
      <c r="F504" t="s">
        <v>55</v>
      </c>
    </row>
    <row r="505" spans="1:6" hidden="1" x14ac:dyDescent="0.35">
      <c r="A505" t="s">
        <v>21</v>
      </c>
      <c r="B505" t="s">
        <v>54</v>
      </c>
      <c r="C505" t="s">
        <v>51</v>
      </c>
      <c r="D505">
        <v>94</v>
      </c>
      <c r="E505" t="s">
        <v>9</v>
      </c>
      <c r="F505" t="s">
        <v>55</v>
      </c>
    </row>
    <row r="506" spans="1:6" hidden="1" x14ac:dyDescent="0.35">
      <c r="A506" t="s">
        <v>6</v>
      </c>
      <c r="B506" t="s">
        <v>54</v>
      </c>
      <c r="C506" t="s">
        <v>30</v>
      </c>
      <c r="D506">
        <v>106</v>
      </c>
      <c r="E506" t="s">
        <v>9</v>
      </c>
      <c r="F506" t="s">
        <v>55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120</v>
      </c>
      <c r="E507" t="s">
        <v>9</v>
      </c>
      <c r="F507" t="s">
        <v>55</v>
      </c>
    </row>
    <row r="508" spans="1:6" hidden="1" x14ac:dyDescent="0.35">
      <c r="A508" t="s">
        <v>12</v>
      </c>
      <c r="B508" t="s">
        <v>54</v>
      </c>
      <c r="C508" t="s">
        <v>30</v>
      </c>
      <c r="D508">
        <v>227</v>
      </c>
      <c r="E508" t="s">
        <v>9</v>
      </c>
      <c r="F508" t="s">
        <v>55</v>
      </c>
    </row>
    <row r="509" spans="1:6" hidden="1" x14ac:dyDescent="0.35">
      <c r="A509" t="s">
        <v>13</v>
      </c>
      <c r="B509" t="s">
        <v>54</v>
      </c>
      <c r="C509" t="s">
        <v>30</v>
      </c>
      <c r="D509">
        <v>114</v>
      </c>
      <c r="E509" t="s">
        <v>9</v>
      </c>
      <c r="F509" t="s">
        <v>55</v>
      </c>
    </row>
    <row r="510" spans="1:6" hidden="1" x14ac:dyDescent="0.35">
      <c r="A510" t="s">
        <v>14</v>
      </c>
      <c r="B510" t="s">
        <v>54</v>
      </c>
      <c r="C510" t="s">
        <v>30</v>
      </c>
      <c r="D510">
        <v>143</v>
      </c>
      <c r="E510" t="s">
        <v>9</v>
      </c>
      <c r="F510" t="s">
        <v>55</v>
      </c>
    </row>
    <row r="511" spans="1:6" hidden="1" x14ac:dyDescent="0.35">
      <c r="A511" t="s">
        <v>15</v>
      </c>
      <c r="B511" t="s">
        <v>54</v>
      </c>
      <c r="C511" t="s">
        <v>30</v>
      </c>
      <c r="D511">
        <v>118</v>
      </c>
      <c r="E511" t="s">
        <v>9</v>
      </c>
      <c r="F511" t="s">
        <v>55</v>
      </c>
    </row>
    <row r="512" spans="1:6" hidden="1" x14ac:dyDescent="0.35">
      <c r="A512" t="s">
        <v>16</v>
      </c>
      <c r="B512" t="s">
        <v>54</v>
      </c>
      <c r="C512" t="s">
        <v>30</v>
      </c>
      <c r="D512">
        <v>162</v>
      </c>
      <c r="E512" t="s">
        <v>9</v>
      </c>
      <c r="F512" t="s">
        <v>55</v>
      </c>
    </row>
    <row r="513" spans="1:6" hidden="1" x14ac:dyDescent="0.35">
      <c r="A513" t="s">
        <v>17</v>
      </c>
      <c r="B513" t="s">
        <v>54</v>
      </c>
      <c r="C513" t="s">
        <v>30</v>
      </c>
      <c r="D513">
        <v>157</v>
      </c>
      <c r="E513" t="s">
        <v>9</v>
      </c>
      <c r="F513" t="s">
        <v>55</v>
      </c>
    </row>
    <row r="514" spans="1:6" hidden="1" x14ac:dyDescent="0.35">
      <c r="A514" t="s">
        <v>18</v>
      </c>
      <c r="B514" t="s">
        <v>54</v>
      </c>
      <c r="C514" t="s">
        <v>30</v>
      </c>
      <c r="D514">
        <v>136</v>
      </c>
      <c r="E514" t="s">
        <v>9</v>
      </c>
      <c r="F514" t="s">
        <v>55</v>
      </c>
    </row>
    <row r="515" spans="1:6" hidden="1" x14ac:dyDescent="0.35">
      <c r="A515" t="s">
        <v>19</v>
      </c>
      <c r="B515" t="s">
        <v>54</v>
      </c>
      <c r="C515" t="s">
        <v>30</v>
      </c>
      <c r="D515">
        <v>165</v>
      </c>
      <c r="E515" t="s">
        <v>9</v>
      </c>
      <c r="F515" t="s">
        <v>55</v>
      </c>
    </row>
    <row r="516" spans="1:6" hidden="1" x14ac:dyDescent="0.35">
      <c r="A516" t="s">
        <v>20</v>
      </c>
      <c r="B516" t="s">
        <v>54</v>
      </c>
      <c r="C516" t="s">
        <v>30</v>
      </c>
      <c r="D516">
        <v>137</v>
      </c>
      <c r="E516" t="s">
        <v>9</v>
      </c>
      <c r="F516" t="s">
        <v>55</v>
      </c>
    </row>
    <row r="517" spans="1:6" hidden="1" x14ac:dyDescent="0.35">
      <c r="A517" t="s">
        <v>21</v>
      </c>
      <c r="B517" t="s">
        <v>54</v>
      </c>
      <c r="C517" t="s">
        <v>30</v>
      </c>
      <c r="D517">
        <v>115</v>
      </c>
      <c r="E517" t="s">
        <v>9</v>
      </c>
      <c r="F517" t="s">
        <v>55</v>
      </c>
    </row>
    <row r="518" spans="1:6" hidden="1" x14ac:dyDescent="0.35">
      <c r="A518" t="s">
        <v>6</v>
      </c>
      <c r="B518" t="s">
        <v>54</v>
      </c>
      <c r="C518" t="s">
        <v>52</v>
      </c>
      <c r="D518">
        <v>2</v>
      </c>
      <c r="E518" t="s">
        <v>9</v>
      </c>
      <c r="F518" t="s">
        <v>55</v>
      </c>
    </row>
    <row r="519" spans="1:6" hidden="1" x14ac:dyDescent="0.35">
      <c r="A519" t="s">
        <v>11</v>
      </c>
      <c r="B519" t="s">
        <v>54</v>
      </c>
      <c r="C519" t="s">
        <v>52</v>
      </c>
      <c r="D519">
        <v>9</v>
      </c>
      <c r="E519" t="s">
        <v>9</v>
      </c>
      <c r="F519" t="s">
        <v>55</v>
      </c>
    </row>
    <row r="520" spans="1:6" hidden="1" x14ac:dyDescent="0.35">
      <c r="A520" t="s">
        <v>12</v>
      </c>
      <c r="B520" t="s">
        <v>54</v>
      </c>
      <c r="C520" t="s">
        <v>52</v>
      </c>
      <c r="D520">
        <v>4</v>
      </c>
      <c r="E520" t="s">
        <v>9</v>
      </c>
      <c r="F520" t="s">
        <v>55</v>
      </c>
    </row>
    <row r="521" spans="1:6" hidden="1" x14ac:dyDescent="0.35">
      <c r="A521" t="s">
        <v>13</v>
      </c>
      <c r="B521" t="s">
        <v>54</v>
      </c>
      <c r="C521" t="s">
        <v>52</v>
      </c>
      <c r="D521">
        <v>8</v>
      </c>
      <c r="E521" t="s">
        <v>9</v>
      </c>
      <c r="F521" t="s">
        <v>55</v>
      </c>
    </row>
    <row r="522" spans="1:6" hidden="1" x14ac:dyDescent="0.35">
      <c r="A522" t="s">
        <v>14</v>
      </c>
      <c r="B522" t="s">
        <v>54</v>
      </c>
      <c r="C522" t="s">
        <v>52</v>
      </c>
      <c r="D522">
        <v>4</v>
      </c>
      <c r="E522" t="s">
        <v>9</v>
      </c>
      <c r="F522" t="s">
        <v>55</v>
      </c>
    </row>
    <row r="523" spans="1:6" hidden="1" x14ac:dyDescent="0.35">
      <c r="A523" t="s">
        <v>15</v>
      </c>
      <c r="B523" t="s">
        <v>54</v>
      </c>
      <c r="C523" t="s">
        <v>52</v>
      </c>
      <c r="D523">
        <v>6</v>
      </c>
      <c r="E523" t="s">
        <v>9</v>
      </c>
      <c r="F523" t="s">
        <v>55</v>
      </c>
    </row>
    <row r="524" spans="1:6" hidden="1" x14ac:dyDescent="0.35">
      <c r="A524" t="s">
        <v>16</v>
      </c>
      <c r="B524" t="s">
        <v>54</v>
      </c>
      <c r="C524" t="s">
        <v>52</v>
      </c>
      <c r="D524">
        <v>4</v>
      </c>
      <c r="E524" t="s">
        <v>9</v>
      </c>
      <c r="F524" t="s">
        <v>55</v>
      </c>
    </row>
    <row r="525" spans="1:6" hidden="1" x14ac:dyDescent="0.35">
      <c r="A525" t="s">
        <v>17</v>
      </c>
      <c r="B525" t="s">
        <v>54</v>
      </c>
      <c r="C525" t="s">
        <v>52</v>
      </c>
      <c r="D525">
        <v>13</v>
      </c>
      <c r="E525" t="s">
        <v>9</v>
      </c>
      <c r="F525" t="s">
        <v>55</v>
      </c>
    </row>
    <row r="526" spans="1:6" hidden="1" x14ac:dyDescent="0.35">
      <c r="A526" t="s">
        <v>18</v>
      </c>
      <c r="B526" t="s">
        <v>54</v>
      </c>
      <c r="C526" t="s">
        <v>52</v>
      </c>
      <c r="D526">
        <v>7</v>
      </c>
      <c r="E526" t="s">
        <v>9</v>
      </c>
      <c r="F526" t="s">
        <v>55</v>
      </c>
    </row>
    <row r="527" spans="1:6" hidden="1" x14ac:dyDescent="0.35">
      <c r="A527" t="s">
        <v>19</v>
      </c>
      <c r="B527" t="s">
        <v>54</v>
      </c>
      <c r="C527" t="s">
        <v>52</v>
      </c>
      <c r="D527">
        <v>11</v>
      </c>
      <c r="E527" t="s">
        <v>9</v>
      </c>
      <c r="F527" t="s">
        <v>55</v>
      </c>
    </row>
    <row r="528" spans="1:6" hidden="1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55</v>
      </c>
    </row>
    <row r="529" spans="1:6" hidden="1" x14ac:dyDescent="0.35">
      <c r="A529" t="s">
        <v>21</v>
      </c>
      <c r="B529" t="s">
        <v>54</v>
      </c>
      <c r="C529" t="s">
        <v>52</v>
      </c>
      <c r="D529">
        <v>4</v>
      </c>
      <c r="E529" t="s">
        <v>9</v>
      </c>
      <c r="F529" t="s">
        <v>55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55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55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0</v>
      </c>
      <c r="E532" t="s">
        <v>40</v>
      </c>
      <c r="F532" t="s">
        <v>55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55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55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55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55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55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6668</v>
      </c>
      <c r="E538" t="s">
        <v>40</v>
      </c>
      <c r="F538" t="s">
        <v>55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55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0</v>
      </c>
      <c r="E540" t="s">
        <v>40</v>
      </c>
      <c r="F540" t="s">
        <v>55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0</v>
      </c>
      <c r="E541" t="s">
        <v>40</v>
      </c>
      <c r="F541" t="s">
        <v>55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55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55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55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55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55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55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55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55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55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55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55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55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2105</v>
      </c>
      <c r="E554" t="s">
        <v>40</v>
      </c>
      <c r="F554" t="s">
        <v>55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4670</v>
      </c>
      <c r="E555" t="s">
        <v>40</v>
      </c>
      <c r="F555" t="s">
        <v>55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103591</v>
      </c>
      <c r="E556" t="s">
        <v>40</v>
      </c>
      <c r="F556" t="s">
        <v>55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0</v>
      </c>
      <c r="E557" t="s">
        <v>40</v>
      </c>
      <c r="F557" t="s">
        <v>55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2875.23</v>
      </c>
      <c r="E558" t="s">
        <v>40</v>
      </c>
      <c r="F558" t="s">
        <v>55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0</v>
      </c>
      <c r="E559" t="s">
        <v>40</v>
      </c>
      <c r="F559" t="s">
        <v>55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0</v>
      </c>
      <c r="E560" t="s">
        <v>40</v>
      </c>
      <c r="F560" t="s">
        <v>55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0</v>
      </c>
      <c r="E561" t="s">
        <v>40</v>
      </c>
      <c r="F561" t="s">
        <v>55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21545</v>
      </c>
      <c r="E562" t="s">
        <v>40</v>
      </c>
      <c r="F562" t="s">
        <v>55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0</v>
      </c>
      <c r="E563" t="s">
        <v>40</v>
      </c>
      <c r="F563" t="s">
        <v>55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181253</v>
      </c>
      <c r="E564" t="s">
        <v>40</v>
      </c>
      <c r="F564" t="s">
        <v>55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472006</v>
      </c>
      <c r="E565" t="s">
        <v>40</v>
      </c>
      <c r="F565" t="s">
        <v>55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55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55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55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55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55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55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55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55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55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55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55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55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0</v>
      </c>
      <c r="E578" t="s">
        <v>40</v>
      </c>
      <c r="F578" t="s">
        <v>55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55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55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55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55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55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55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55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55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55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55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55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55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55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55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55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55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55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55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55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55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55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55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55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504</v>
      </c>
      <c r="E602" t="s">
        <v>40</v>
      </c>
      <c r="F602" t="s">
        <v>55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1086</v>
      </c>
      <c r="E603" t="s">
        <v>40</v>
      </c>
      <c r="F603" t="s">
        <v>55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1952</v>
      </c>
      <c r="E604" t="s">
        <v>40</v>
      </c>
      <c r="F604" t="s">
        <v>55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55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55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55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55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55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12936</v>
      </c>
      <c r="E610" t="s">
        <v>40</v>
      </c>
      <c r="F610" t="s">
        <v>55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0</v>
      </c>
      <c r="E611" t="s">
        <v>40</v>
      </c>
      <c r="F611" t="s">
        <v>55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860</v>
      </c>
      <c r="E612" t="s">
        <v>40</v>
      </c>
      <c r="F612" t="s">
        <v>55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0</v>
      </c>
      <c r="E613" t="s">
        <v>40</v>
      </c>
      <c r="F613" t="s">
        <v>55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55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55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55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55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55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55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55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55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0</v>
      </c>
      <c r="E622" t="s">
        <v>40</v>
      </c>
      <c r="F622" t="s">
        <v>55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55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55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55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0</v>
      </c>
      <c r="E626" t="s">
        <v>40</v>
      </c>
      <c r="F626" t="s">
        <v>55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</v>
      </c>
      <c r="E627" t="s">
        <v>40</v>
      </c>
      <c r="F627" t="s">
        <v>55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0</v>
      </c>
      <c r="E628" t="s">
        <v>40</v>
      </c>
      <c r="F628" t="s">
        <v>55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2</v>
      </c>
      <c r="E629" t="s">
        <v>40</v>
      </c>
      <c r="F629" t="s">
        <v>55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0</v>
      </c>
      <c r="E630" t="s">
        <v>40</v>
      </c>
      <c r="F630" t="s">
        <v>55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1</v>
      </c>
      <c r="E631" t="s">
        <v>40</v>
      </c>
      <c r="F631" t="s">
        <v>55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0</v>
      </c>
      <c r="E632" t="s">
        <v>40</v>
      </c>
      <c r="F632" t="s">
        <v>55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0</v>
      </c>
      <c r="E633" t="s">
        <v>40</v>
      </c>
      <c r="F633" t="s">
        <v>55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1</v>
      </c>
      <c r="E634" t="s">
        <v>40</v>
      </c>
      <c r="F634" t="s">
        <v>55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0</v>
      </c>
      <c r="E635" t="s">
        <v>40</v>
      </c>
      <c r="F635" t="s">
        <v>55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0</v>
      </c>
      <c r="E636" t="s">
        <v>40</v>
      </c>
      <c r="F636" t="s">
        <v>55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0</v>
      </c>
      <c r="E637" t="s">
        <v>40</v>
      </c>
      <c r="F637" t="s">
        <v>55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1</v>
      </c>
      <c r="E638" t="s">
        <v>40</v>
      </c>
      <c r="F638" t="s">
        <v>55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1</v>
      </c>
      <c r="E639" t="s">
        <v>40</v>
      </c>
      <c r="F639" t="s">
        <v>55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5</v>
      </c>
      <c r="E640" t="s">
        <v>40</v>
      </c>
      <c r="F640" t="s">
        <v>55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0</v>
      </c>
      <c r="E641" t="s">
        <v>40</v>
      </c>
      <c r="F641" t="s">
        <v>55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1</v>
      </c>
      <c r="E642" t="s">
        <v>40</v>
      </c>
      <c r="F642" t="s">
        <v>55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0</v>
      </c>
      <c r="E643" t="s">
        <v>40</v>
      </c>
      <c r="F643" t="s">
        <v>55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0</v>
      </c>
      <c r="E644" t="s">
        <v>40</v>
      </c>
      <c r="F644" t="s">
        <v>55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0</v>
      </c>
      <c r="E645" t="s">
        <v>40</v>
      </c>
      <c r="F645" t="s">
        <v>55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3</v>
      </c>
      <c r="E646" t="s">
        <v>40</v>
      </c>
      <c r="F646" t="s">
        <v>55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0</v>
      </c>
      <c r="E647" t="s">
        <v>40</v>
      </c>
      <c r="F647" t="s">
        <v>55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1</v>
      </c>
      <c r="E648" t="s">
        <v>40</v>
      </c>
      <c r="F648" t="s">
        <v>55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1</v>
      </c>
      <c r="E649" t="s">
        <v>40</v>
      </c>
      <c r="F649" t="s">
        <v>55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55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55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55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55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55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55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55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55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55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55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55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55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0</v>
      </c>
      <c r="E662" t="s">
        <v>40</v>
      </c>
      <c r="F662" t="s">
        <v>55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19561</v>
      </c>
      <c r="E663" t="s">
        <v>40</v>
      </c>
      <c r="F663" t="s">
        <v>55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55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55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0</v>
      </c>
      <c r="E666" t="s">
        <v>40</v>
      </c>
      <c r="F666" t="s">
        <v>55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0</v>
      </c>
      <c r="E667" t="s">
        <v>40</v>
      </c>
      <c r="F667" t="s">
        <v>55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0</v>
      </c>
      <c r="E668" t="s">
        <v>40</v>
      </c>
      <c r="F668" t="s">
        <v>55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0</v>
      </c>
      <c r="E669" t="s">
        <v>40</v>
      </c>
      <c r="F669" t="s">
        <v>55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0</v>
      </c>
      <c r="E670" t="s">
        <v>40</v>
      </c>
      <c r="F670" t="s">
        <v>55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0</v>
      </c>
      <c r="E671" t="s">
        <v>40</v>
      </c>
      <c r="F671" t="s">
        <v>55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25393.98</v>
      </c>
      <c r="E672" t="s">
        <v>40</v>
      </c>
      <c r="F672" t="s">
        <v>55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0</v>
      </c>
      <c r="E673" t="s">
        <v>40</v>
      </c>
      <c r="F673" t="s">
        <v>55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55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55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55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55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55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55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55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55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55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55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55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55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435912</v>
      </c>
      <c r="E686" t="s">
        <v>40</v>
      </c>
      <c r="F686" t="s">
        <v>55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5844916.6799999997</v>
      </c>
      <c r="E687" t="s">
        <v>40</v>
      </c>
      <c r="F687" t="s">
        <v>55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2721192.84</v>
      </c>
      <c r="E688" t="s">
        <v>40</v>
      </c>
      <c r="F688" t="s">
        <v>55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3219178.17</v>
      </c>
      <c r="E689" t="s">
        <v>40</v>
      </c>
      <c r="F689" t="s">
        <v>55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3063999.52</v>
      </c>
      <c r="E690" t="s">
        <v>40</v>
      </c>
      <c r="F690" t="s">
        <v>55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783385.27</v>
      </c>
      <c r="E691" t="s">
        <v>40</v>
      </c>
      <c r="F691" t="s">
        <v>55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2186885</v>
      </c>
      <c r="E692" t="s">
        <v>40</v>
      </c>
      <c r="F692" t="s">
        <v>55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1160768.7</v>
      </c>
      <c r="E693" t="s">
        <v>40</v>
      </c>
      <c r="F693" t="s">
        <v>55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2520890.25</v>
      </c>
      <c r="E694" t="s">
        <v>40</v>
      </c>
      <c r="F694" t="s">
        <v>55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2201313.0099999998</v>
      </c>
      <c r="E695" t="s">
        <v>40</v>
      </c>
      <c r="F695" t="s">
        <v>55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356476.44</v>
      </c>
      <c r="E696" t="s">
        <v>40</v>
      </c>
      <c r="F696" t="s">
        <v>55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873629.46000000008</v>
      </c>
      <c r="E697" t="s">
        <v>40</v>
      </c>
      <c r="F697" t="s">
        <v>55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55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55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55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55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55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55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55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55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55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55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55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55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0</v>
      </c>
      <c r="E710" t="s">
        <v>40</v>
      </c>
      <c r="F710" t="s">
        <v>55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55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0</v>
      </c>
      <c r="E712" t="s">
        <v>40</v>
      </c>
      <c r="F712" t="s">
        <v>55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21544</v>
      </c>
      <c r="E713" t="s">
        <v>40</v>
      </c>
      <c r="F713" t="s">
        <v>55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0</v>
      </c>
      <c r="E714" t="s">
        <v>40</v>
      </c>
      <c r="F714" t="s">
        <v>55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0</v>
      </c>
      <c r="E715" t="s">
        <v>40</v>
      </c>
      <c r="F715" t="s">
        <v>55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0</v>
      </c>
      <c r="E716" t="s">
        <v>40</v>
      </c>
      <c r="F716" t="s">
        <v>55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0</v>
      </c>
      <c r="E717" t="s">
        <v>40</v>
      </c>
      <c r="F717" t="s">
        <v>55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0</v>
      </c>
      <c r="E718" t="s">
        <v>40</v>
      </c>
      <c r="F718" t="s">
        <v>55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0</v>
      </c>
      <c r="E719" t="s">
        <v>40</v>
      </c>
      <c r="F719" t="s">
        <v>55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43249</v>
      </c>
      <c r="E720" t="s">
        <v>40</v>
      </c>
      <c r="F720" t="s">
        <v>55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0</v>
      </c>
      <c r="E721" t="s">
        <v>40</v>
      </c>
      <c r="F721" t="s">
        <v>55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55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55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55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55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55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55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55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55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55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55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55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55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17037</v>
      </c>
      <c r="E734" t="s">
        <v>40</v>
      </c>
      <c r="F734" t="s">
        <v>55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43935</v>
      </c>
      <c r="E735" t="s">
        <v>40</v>
      </c>
      <c r="F735" t="s">
        <v>55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37998</v>
      </c>
      <c r="E736" t="s">
        <v>40</v>
      </c>
      <c r="F736" t="s">
        <v>55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69995</v>
      </c>
      <c r="E737" t="s">
        <v>40</v>
      </c>
      <c r="F737" t="s">
        <v>55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6918</v>
      </c>
      <c r="E738" t="s">
        <v>40</v>
      </c>
      <c r="F738" t="s">
        <v>55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458</v>
      </c>
      <c r="E739" t="s">
        <v>40</v>
      </c>
      <c r="F739" t="s">
        <v>55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15368</v>
      </c>
      <c r="E740" t="s">
        <v>40</v>
      </c>
      <c r="F740" t="s">
        <v>55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29865</v>
      </c>
      <c r="E741" t="s">
        <v>40</v>
      </c>
      <c r="F741" t="s">
        <v>55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100783</v>
      </c>
      <c r="E742" t="s">
        <v>40</v>
      </c>
      <c r="F742" t="s">
        <v>55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139957</v>
      </c>
      <c r="E743" t="s">
        <v>40</v>
      </c>
      <c r="F743" t="s">
        <v>55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60359.62</v>
      </c>
      <c r="E744" t="s">
        <v>40</v>
      </c>
      <c r="F744" t="s">
        <v>55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74954</v>
      </c>
      <c r="E745" t="s">
        <v>40</v>
      </c>
      <c r="F745" t="s">
        <v>55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55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55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55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17463.39</v>
      </c>
      <c r="E749" t="s">
        <v>40</v>
      </c>
      <c r="F749" t="s">
        <v>55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55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55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0</v>
      </c>
      <c r="E752" t="s">
        <v>40</v>
      </c>
      <c r="F752" t="s">
        <v>55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55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55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0</v>
      </c>
      <c r="E755" t="s">
        <v>40</v>
      </c>
      <c r="F755" t="s">
        <v>55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23147.62</v>
      </c>
      <c r="E756" t="s">
        <v>40</v>
      </c>
      <c r="F756" t="s">
        <v>55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55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92</v>
      </c>
      <c r="E758" t="s">
        <v>40</v>
      </c>
      <c r="F758" t="s">
        <v>55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63</v>
      </c>
      <c r="E759" t="s">
        <v>40</v>
      </c>
      <c r="F759" t="s">
        <v>55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85</v>
      </c>
      <c r="E760" t="s">
        <v>40</v>
      </c>
      <c r="F760" t="s">
        <v>55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84</v>
      </c>
      <c r="E761" t="s">
        <v>40</v>
      </c>
      <c r="F761" t="s">
        <v>55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105</v>
      </c>
      <c r="E762" t="s">
        <v>40</v>
      </c>
      <c r="F762" t="s">
        <v>55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154</v>
      </c>
      <c r="E763" t="s">
        <v>40</v>
      </c>
      <c r="F763" t="s">
        <v>55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154</v>
      </c>
      <c r="E764" t="s">
        <v>40</v>
      </c>
      <c r="F764" t="s">
        <v>55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197</v>
      </c>
      <c r="E765" t="s">
        <v>40</v>
      </c>
      <c r="F765" t="s">
        <v>55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150</v>
      </c>
      <c r="E766" t="s">
        <v>40</v>
      </c>
      <c r="F766" t="s">
        <v>55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183</v>
      </c>
      <c r="E767" t="s">
        <v>40</v>
      </c>
      <c r="F767" t="s">
        <v>55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159</v>
      </c>
      <c r="E768" t="s">
        <v>40</v>
      </c>
      <c r="F768" t="s">
        <v>55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127</v>
      </c>
      <c r="E769" t="s">
        <v>40</v>
      </c>
      <c r="F769" t="s">
        <v>55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31</v>
      </c>
      <c r="E770" t="s">
        <v>40</v>
      </c>
      <c r="F770" t="s">
        <v>55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29</v>
      </c>
      <c r="E771" t="s">
        <v>40</v>
      </c>
      <c r="F771" t="s">
        <v>55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32</v>
      </c>
      <c r="E772" t="s">
        <v>40</v>
      </c>
      <c r="F772" t="s">
        <v>55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25</v>
      </c>
      <c r="E773" t="s">
        <v>40</v>
      </c>
      <c r="F773" t="s">
        <v>55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26</v>
      </c>
      <c r="E774" t="s">
        <v>40</v>
      </c>
      <c r="F774" t="s">
        <v>55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26</v>
      </c>
      <c r="E775" t="s">
        <v>40</v>
      </c>
      <c r="F775" t="s">
        <v>55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31</v>
      </c>
      <c r="E776" t="s">
        <v>40</v>
      </c>
      <c r="F776" t="s">
        <v>55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39</v>
      </c>
      <c r="E777" t="s">
        <v>40</v>
      </c>
      <c r="F777" t="s">
        <v>55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42</v>
      </c>
      <c r="E778" t="s">
        <v>40</v>
      </c>
      <c r="F778" t="s">
        <v>55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41</v>
      </c>
      <c r="E779" t="s">
        <v>40</v>
      </c>
      <c r="F779" t="s">
        <v>55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36</v>
      </c>
      <c r="E780" t="s">
        <v>40</v>
      </c>
      <c r="F780" t="s">
        <v>55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37</v>
      </c>
      <c r="E781" t="s">
        <v>40</v>
      </c>
      <c r="F781" t="s">
        <v>55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0</v>
      </c>
      <c r="E782" t="s">
        <v>40</v>
      </c>
      <c r="F782" t="s">
        <v>55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0</v>
      </c>
      <c r="E783" t="s">
        <v>40</v>
      </c>
      <c r="F783" t="s">
        <v>55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0</v>
      </c>
      <c r="E784" t="s">
        <v>40</v>
      </c>
      <c r="F784" t="s">
        <v>55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0</v>
      </c>
      <c r="E785" t="s">
        <v>40</v>
      </c>
      <c r="F785" t="s">
        <v>55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0</v>
      </c>
      <c r="E786" t="s">
        <v>40</v>
      </c>
      <c r="F786" t="s">
        <v>55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0</v>
      </c>
      <c r="E787" t="s">
        <v>40</v>
      </c>
      <c r="F787" t="s">
        <v>55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0</v>
      </c>
      <c r="E788" t="s">
        <v>40</v>
      </c>
      <c r="F788" t="s">
        <v>55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0</v>
      </c>
      <c r="E789" t="s">
        <v>40</v>
      </c>
      <c r="F789" t="s">
        <v>55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55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0</v>
      </c>
      <c r="E791" t="s">
        <v>40</v>
      </c>
      <c r="F791" t="s">
        <v>55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0</v>
      </c>
      <c r="E792" t="s">
        <v>40</v>
      </c>
      <c r="F792" t="s">
        <v>55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0</v>
      </c>
      <c r="E793" t="s">
        <v>40</v>
      </c>
      <c r="F793" t="s">
        <v>55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55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55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55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55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55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55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55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55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55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55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55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55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55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55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55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55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55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55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55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55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55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55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55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55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55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55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55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55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55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55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55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55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270626.02</v>
      </c>
      <c r="E826" t="s">
        <v>40</v>
      </c>
      <c r="F826" t="s">
        <v>55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55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44571</v>
      </c>
      <c r="E828" t="s">
        <v>40</v>
      </c>
      <c r="F828" t="s">
        <v>55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29157</v>
      </c>
      <c r="E829" t="s">
        <v>40</v>
      </c>
      <c r="F829" t="s">
        <v>55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55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55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55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55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55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55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55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55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55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55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55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55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55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55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55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55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55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55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55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55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55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55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55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55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55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55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55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55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55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55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55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55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55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55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55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55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55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55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55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55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55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55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55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55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-1731</v>
      </c>
      <c r="E874" t="s">
        <v>40</v>
      </c>
      <c r="F874" t="s">
        <v>55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55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55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55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55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55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55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55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55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55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55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55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55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55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55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55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1</v>
      </c>
      <c r="E890" t="s">
        <v>40</v>
      </c>
      <c r="F890" t="s">
        <v>55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55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55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55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55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55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1</v>
      </c>
      <c r="E896" t="s">
        <v>40</v>
      </c>
      <c r="F896" t="s">
        <v>55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55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55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55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55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55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55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55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55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55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55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55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55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55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1</v>
      </c>
      <c r="E910" t="s">
        <v>40</v>
      </c>
      <c r="F910" t="s">
        <v>55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55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1</v>
      </c>
      <c r="E912" t="s">
        <v>40</v>
      </c>
      <c r="F912" t="s">
        <v>55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1</v>
      </c>
      <c r="E913" t="s">
        <v>40</v>
      </c>
      <c r="F913" t="s">
        <v>55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55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55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55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55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55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55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55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55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55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55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55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55</v>
      </c>
    </row>
    <row r="926" spans="1:6" hidden="1" x14ac:dyDescent="0.35">
      <c r="A926" t="s">
        <v>6</v>
      </c>
      <c r="B926" t="s">
        <v>54</v>
      </c>
      <c r="C926" t="s">
        <v>44</v>
      </c>
      <c r="D926">
        <v>55524</v>
      </c>
      <c r="E926" t="s">
        <v>40</v>
      </c>
      <c r="F926" t="s">
        <v>55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3600</v>
      </c>
      <c r="E927" t="s">
        <v>40</v>
      </c>
      <c r="F927" t="s">
        <v>55</v>
      </c>
    </row>
    <row r="928" spans="1:6" hidden="1" x14ac:dyDescent="0.35">
      <c r="A928" t="s">
        <v>12</v>
      </c>
      <c r="B928" t="s">
        <v>54</v>
      </c>
      <c r="C928" t="s">
        <v>44</v>
      </c>
      <c r="D928">
        <v>116385.04</v>
      </c>
      <c r="E928" t="s">
        <v>40</v>
      </c>
      <c r="F928" t="s">
        <v>55</v>
      </c>
    </row>
    <row r="929" spans="1:6" hidden="1" x14ac:dyDescent="0.35">
      <c r="A929" t="s">
        <v>13</v>
      </c>
      <c r="B929" t="s">
        <v>54</v>
      </c>
      <c r="C929" t="s">
        <v>44</v>
      </c>
      <c r="D929">
        <v>0</v>
      </c>
      <c r="E929" t="s">
        <v>40</v>
      </c>
      <c r="F929" t="s">
        <v>55</v>
      </c>
    </row>
    <row r="930" spans="1:6" hidden="1" x14ac:dyDescent="0.35">
      <c r="A930" t="s">
        <v>14</v>
      </c>
      <c r="B930" t="s">
        <v>54</v>
      </c>
      <c r="C930" t="s">
        <v>44</v>
      </c>
      <c r="D930">
        <v>19200.62</v>
      </c>
      <c r="E930" t="s">
        <v>40</v>
      </c>
      <c r="F930" t="s">
        <v>55</v>
      </c>
    </row>
    <row r="931" spans="1:6" hidden="1" x14ac:dyDescent="0.35">
      <c r="A931" t="s">
        <v>15</v>
      </c>
      <c r="B931" t="s">
        <v>54</v>
      </c>
      <c r="C931" t="s">
        <v>44</v>
      </c>
      <c r="D931">
        <v>8301</v>
      </c>
      <c r="E931" t="s">
        <v>40</v>
      </c>
      <c r="F931" t="s">
        <v>55</v>
      </c>
    </row>
    <row r="932" spans="1:6" hidden="1" x14ac:dyDescent="0.35">
      <c r="A932" t="s">
        <v>16</v>
      </c>
      <c r="B932" t="s">
        <v>54</v>
      </c>
      <c r="C932" t="s">
        <v>44</v>
      </c>
      <c r="D932">
        <v>0</v>
      </c>
      <c r="E932" t="s">
        <v>40</v>
      </c>
      <c r="F932" t="s">
        <v>55</v>
      </c>
    </row>
    <row r="933" spans="1:6" hidden="1" x14ac:dyDescent="0.35">
      <c r="A933" t="s">
        <v>17</v>
      </c>
      <c r="B933" t="s">
        <v>54</v>
      </c>
      <c r="C933" t="s">
        <v>44</v>
      </c>
      <c r="D933">
        <v>0</v>
      </c>
      <c r="E933" t="s">
        <v>40</v>
      </c>
      <c r="F933" t="s">
        <v>55</v>
      </c>
    </row>
    <row r="934" spans="1:6" hidden="1" x14ac:dyDescent="0.35">
      <c r="A934" t="s">
        <v>18</v>
      </c>
      <c r="B934" t="s">
        <v>54</v>
      </c>
      <c r="C934" t="s">
        <v>44</v>
      </c>
      <c r="D934">
        <v>47050.490000000013</v>
      </c>
      <c r="E934" t="s">
        <v>40</v>
      </c>
      <c r="F934" t="s">
        <v>55</v>
      </c>
    </row>
    <row r="935" spans="1:6" hidden="1" x14ac:dyDescent="0.35">
      <c r="A935" t="s">
        <v>19</v>
      </c>
      <c r="B935" t="s">
        <v>54</v>
      </c>
      <c r="C935" t="s">
        <v>44</v>
      </c>
      <c r="D935">
        <v>61602.61</v>
      </c>
      <c r="E935" t="s">
        <v>40</v>
      </c>
      <c r="F935" t="s">
        <v>55</v>
      </c>
    </row>
    <row r="936" spans="1:6" hidden="1" x14ac:dyDescent="0.35">
      <c r="A936" t="s">
        <v>20</v>
      </c>
      <c r="B936" t="s">
        <v>54</v>
      </c>
      <c r="C936" t="s">
        <v>44</v>
      </c>
      <c r="D936">
        <v>32229</v>
      </c>
      <c r="E936" t="s">
        <v>40</v>
      </c>
      <c r="F936" t="s">
        <v>55</v>
      </c>
    </row>
    <row r="937" spans="1:6" hidden="1" x14ac:dyDescent="0.35">
      <c r="A937" t="s">
        <v>21</v>
      </c>
      <c r="B937" t="s">
        <v>54</v>
      </c>
      <c r="C937" t="s">
        <v>44</v>
      </c>
      <c r="D937">
        <v>14909</v>
      </c>
      <c r="E937" t="s">
        <v>40</v>
      </c>
      <c r="F937" t="s">
        <v>55</v>
      </c>
    </row>
    <row r="938" spans="1:6" hidden="1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55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55</v>
      </c>
    </row>
    <row r="940" spans="1:6" hidden="1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55</v>
      </c>
    </row>
    <row r="941" spans="1:6" hidden="1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55</v>
      </c>
    </row>
    <row r="942" spans="1:6" hidden="1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55</v>
      </c>
    </row>
    <row r="943" spans="1:6" hidden="1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55</v>
      </c>
    </row>
    <row r="944" spans="1:6" hidden="1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55</v>
      </c>
    </row>
    <row r="945" spans="1:6" hidden="1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55</v>
      </c>
    </row>
    <row r="946" spans="1:6" hidden="1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55</v>
      </c>
    </row>
    <row r="947" spans="1:6" hidden="1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55</v>
      </c>
    </row>
    <row r="948" spans="1:6" hidden="1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55</v>
      </c>
    </row>
    <row r="949" spans="1:6" hidden="1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55</v>
      </c>
    </row>
    <row r="950" spans="1:6" hidden="1" x14ac:dyDescent="0.35">
      <c r="A950" t="s">
        <v>6</v>
      </c>
      <c r="B950" t="s">
        <v>54</v>
      </c>
      <c r="C950" t="s">
        <v>46</v>
      </c>
      <c r="D950">
        <v>480516</v>
      </c>
      <c r="E950" t="s">
        <v>40</v>
      </c>
      <c r="F950" t="s">
        <v>55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291776.56999999989</v>
      </c>
      <c r="E951" t="s">
        <v>40</v>
      </c>
      <c r="F951" t="s">
        <v>55</v>
      </c>
    </row>
    <row r="952" spans="1:6" hidden="1" x14ac:dyDescent="0.35">
      <c r="A952" t="s">
        <v>12</v>
      </c>
      <c r="B952" t="s">
        <v>54</v>
      </c>
      <c r="C952" t="s">
        <v>46</v>
      </c>
      <c r="D952">
        <v>737098.53</v>
      </c>
      <c r="E952" t="s">
        <v>40</v>
      </c>
      <c r="F952" t="s">
        <v>55</v>
      </c>
    </row>
    <row r="953" spans="1:6" hidden="1" x14ac:dyDescent="0.35">
      <c r="A953" t="s">
        <v>13</v>
      </c>
      <c r="B953" t="s">
        <v>54</v>
      </c>
      <c r="C953" t="s">
        <v>46</v>
      </c>
      <c r="D953">
        <v>1036166.97</v>
      </c>
      <c r="E953" t="s">
        <v>40</v>
      </c>
      <c r="F953" t="s">
        <v>55</v>
      </c>
    </row>
    <row r="954" spans="1:6" hidden="1" x14ac:dyDescent="0.35">
      <c r="A954" t="s">
        <v>14</v>
      </c>
      <c r="B954" t="s">
        <v>54</v>
      </c>
      <c r="C954" t="s">
        <v>46</v>
      </c>
      <c r="D954">
        <v>3037718</v>
      </c>
      <c r="E954" t="s">
        <v>40</v>
      </c>
      <c r="F954" t="s">
        <v>55</v>
      </c>
    </row>
    <row r="955" spans="1:6" hidden="1" x14ac:dyDescent="0.35">
      <c r="A955" t="s">
        <v>15</v>
      </c>
      <c r="B955" t="s">
        <v>54</v>
      </c>
      <c r="C955" t="s">
        <v>46</v>
      </c>
      <c r="D955">
        <v>480984.91</v>
      </c>
      <c r="E955" t="s">
        <v>40</v>
      </c>
      <c r="F955" t="s">
        <v>55</v>
      </c>
    </row>
    <row r="956" spans="1:6" hidden="1" x14ac:dyDescent="0.35">
      <c r="A956" t="s">
        <v>16</v>
      </c>
      <c r="B956" t="s">
        <v>54</v>
      </c>
      <c r="C956" t="s">
        <v>46</v>
      </c>
      <c r="D956">
        <v>876869</v>
      </c>
      <c r="E956" t="s">
        <v>40</v>
      </c>
      <c r="F956" t="s">
        <v>55</v>
      </c>
    </row>
    <row r="957" spans="1:6" hidden="1" x14ac:dyDescent="0.35">
      <c r="A957" t="s">
        <v>17</v>
      </c>
      <c r="B957" t="s">
        <v>54</v>
      </c>
      <c r="C957" t="s">
        <v>46</v>
      </c>
      <c r="D957">
        <v>729323</v>
      </c>
      <c r="E957" t="s">
        <v>40</v>
      </c>
      <c r="F957" t="s">
        <v>55</v>
      </c>
    </row>
    <row r="958" spans="1:6" hidden="1" x14ac:dyDescent="0.35">
      <c r="A958" t="s">
        <v>18</v>
      </c>
      <c r="B958" t="s">
        <v>54</v>
      </c>
      <c r="C958" t="s">
        <v>46</v>
      </c>
      <c r="D958">
        <v>743477</v>
      </c>
      <c r="E958" t="s">
        <v>40</v>
      </c>
      <c r="F958" t="s">
        <v>55</v>
      </c>
    </row>
    <row r="959" spans="1:6" hidden="1" x14ac:dyDescent="0.35">
      <c r="A959" t="s">
        <v>19</v>
      </c>
      <c r="B959" t="s">
        <v>54</v>
      </c>
      <c r="C959" t="s">
        <v>46</v>
      </c>
      <c r="D959">
        <v>931111.67999999993</v>
      </c>
      <c r="E959" t="s">
        <v>40</v>
      </c>
      <c r="F959" t="s">
        <v>55</v>
      </c>
    </row>
    <row r="960" spans="1:6" hidden="1" x14ac:dyDescent="0.35">
      <c r="A960" t="s">
        <v>20</v>
      </c>
      <c r="B960" t="s">
        <v>54</v>
      </c>
      <c r="C960" t="s">
        <v>46</v>
      </c>
      <c r="D960">
        <v>836203.91999999993</v>
      </c>
      <c r="E960" t="s">
        <v>40</v>
      </c>
      <c r="F960" t="s">
        <v>55</v>
      </c>
    </row>
    <row r="961" spans="1:6" hidden="1" x14ac:dyDescent="0.35">
      <c r="A961" t="s">
        <v>21</v>
      </c>
      <c r="B961" t="s">
        <v>54</v>
      </c>
      <c r="C961" t="s">
        <v>46</v>
      </c>
      <c r="D961">
        <v>772664.80999999994</v>
      </c>
      <c r="E961" t="s">
        <v>40</v>
      </c>
      <c r="F961" t="s">
        <v>55</v>
      </c>
    </row>
    <row r="962" spans="1:6" hidden="1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55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55</v>
      </c>
    </row>
    <row r="964" spans="1:6" hidden="1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55</v>
      </c>
    </row>
    <row r="965" spans="1:6" hidden="1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55</v>
      </c>
    </row>
    <row r="966" spans="1:6" hidden="1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55</v>
      </c>
    </row>
    <row r="967" spans="1:6" hidden="1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55</v>
      </c>
    </row>
    <row r="968" spans="1:6" hidden="1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55</v>
      </c>
    </row>
    <row r="969" spans="1:6" hidden="1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55</v>
      </c>
    </row>
    <row r="970" spans="1:6" hidden="1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55</v>
      </c>
    </row>
    <row r="971" spans="1:6" hidden="1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55</v>
      </c>
    </row>
    <row r="972" spans="1:6" hidden="1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55</v>
      </c>
    </row>
    <row r="973" spans="1:6" hidden="1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55</v>
      </c>
    </row>
    <row r="974" spans="1:6" hidden="1" x14ac:dyDescent="0.35">
      <c r="A974" t="s">
        <v>6</v>
      </c>
      <c r="B974" t="s">
        <v>54</v>
      </c>
      <c r="C974" t="s">
        <v>47</v>
      </c>
      <c r="D974">
        <v>0</v>
      </c>
      <c r="E974" t="s">
        <v>40</v>
      </c>
      <c r="F974" t="s">
        <v>55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55</v>
      </c>
    </row>
    <row r="976" spans="1:6" hidden="1" x14ac:dyDescent="0.35">
      <c r="A976" t="s">
        <v>12</v>
      </c>
      <c r="B976" t="s">
        <v>54</v>
      </c>
      <c r="C976" t="s">
        <v>47</v>
      </c>
      <c r="D976">
        <v>22201.55</v>
      </c>
      <c r="E976" t="s">
        <v>40</v>
      </c>
      <c r="F976" t="s">
        <v>55</v>
      </c>
    </row>
    <row r="977" spans="1:6" hidden="1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55</v>
      </c>
    </row>
    <row r="978" spans="1:6" hidden="1" x14ac:dyDescent="0.35">
      <c r="A978" t="s">
        <v>14</v>
      </c>
      <c r="B978" t="s">
        <v>54</v>
      </c>
      <c r="C978" t="s">
        <v>47</v>
      </c>
      <c r="D978">
        <v>2157.610000000001</v>
      </c>
      <c r="E978" t="s">
        <v>40</v>
      </c>
      <c r="F978" t="s">
        <v>55</v>
      </c>
    </row>
    <row r="979" spans="1:6" hidden="1" x14ac:dyDescent="0.35">
      <c r="A979" t="s">
        <v>15</v>
      </c>
      <c r="B979" t="s">
        <v>54</v>
      </c>
      <c r="C979" t="s">
        <v>47</v>
      </c>
      <c r="D979">
        <v>0</v>
      </c>
      <c r="E979" t="s">
        <v>40</v>
      </c>
      <c r="F979" t="s">
        <v>55</v>
      </c>
    </row>
    <row r="980" spans="1:6" hidden="1" x14ac:dyDescent="0.35">
      <c r="A980" t="s">
        <v>16</v>
      </c>
      <c r="B980" t="s">
        <v>54</v>
      </c>
      <c r="C980" t="s">
        <v>47</v>
      </c>
      <c r="D980">
        <v>0</v>
      </c>
      <c r="E980" t="s">
        <v>40</v>
      </c>
      <c r="F980" t="s">
        <v>55</v>
      </c>
    </row>
    <row r="981" spans="1:6" hidden="1" x14ac:dyDescent="0.35">
      <c r="A981" t="s">
        <v>17</v>
      </c>
      <c r="B981" t="s">
        <v>54</v>
      </c>
      <c r="C981" t="s">
        <v>47</v>
      </c>
      <c r="D981">
        <v>0</v>
      </c>
      <c r="E981" t="s">
        <v>40</v>
      </c>
      <c r="F981" t="s">
        <v>55</v>
      </c>
    </row>
    <row r="982" spans="1:6" hidden="1" x14ac:dyDescent="0.35">
      <c r="A982" t="s">
        <v>18</v>
      </c>
      <c r="B982" t="s">
        <v>54</v>
      </c>
      <c r="C982" t="s">
        <v>47</v>
      </c>
      <c r="D982">
        <v>110715.35</v>
      </c>
      <c r="E982" t="s">
        <v>40</v>
      </c>
      <c r="F982" t="s">
        <v>55</v>
      </c>
    </row>
    <row r="983" spans="1:6" hidden="1" x14ac:dyDescent="0.35">
      <c r="A983" t="s">
        <v>19</v>
      </c>
      <c r="B983" t="s">
        <v>54</v>
      </c>
      <c r="C983" t="s">
        <v>47</v>
      </c>
      <c r="D983">
        <v>99543</v>
      </c>
      <c r="E983" t="s">
        <v>40</v>
      </c>
      <c r="F983" t="s">
        <v>55</v>
      </c>
    </row>
    <row r="984" spans="1:6" hidden="1" x14ac:dyDescent="0.35">
      <c r="A984" t="s">
        <v>20</v>
      </c>
      <c r="B984" t="s">
        <v>54</v>
      </c>
      <c r="C984" t="s">
        <v>47</v>
      </c>
      <c r="D984">
        <v>0</v>
      </c>
      <c r="E984" t="s">
        <v>40</v>
      </c>
      <c r="F984" t="s">
        <v>55</v>
      </c>
    </row>
    <row r="985" spans="1:6" hidden="1" x14ac:dyDescent="0.35">
      <c r="A985" t="s">
        <v>21</v>
      </c>
      <c r="B985" t="s">
        <v>54</v>
      </c>
      <c r="C985" t="s">
        <v>47</v>
      </c>
      <c r="D985">
        <v>11507.42</v>
      </c>
      <c r="E985" t="s">
        <v>40</v>
      </c>
      <c r="F985" t="s">
        <v>55</v>
      </c>
    </row>
    <row r="986" spans="1:6" hidden="1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55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55</v>
      </c>
    </row>
    <row r="988" spans="1:6" hidden="1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55</v>
      </c>
    </row>
    <row r="989" spans="1:6" hidden="1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55</v>
      </c>
    </row>
    <row r="990" spans="1:6" hidden="1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55</v>
      </c>
    </row>
    <row r="991" spans="1:6" hidden="1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55</v>
      </c>
    </row>
    <row r="992" spans="1:6" hidden="1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55</v>
      </c>
    </row>
    <row r="993" spans="1:6" hidden="1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55</v>
      </c>
    </row>
    <row r="994" spans="1:6" hidden="1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55</v>
      </c>
    </row>
    <row r="995" spans="1:6" hidden="1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55</v>
      </c>
    </row>
    <row r="996" spans="1:6" hidden="1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55</v>
      </c>
    </row>
    <row r="997" spans="1:6" hidden="1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55</v>
      </c>
    </row>
    <row r="998" spans="1:6" hidden="1" x14ac:dyDescent="0.35">
      <c r="A998" t="s">
        <v>6</v>
      </c>
      <c r="B998" t="s">
        <v>54</v>
      </c>
      <c r="C998" t="s">
        <v>49</v>
      </c>
      <c r="D998">
        <v>100789</v>
      </c>
      <c r="E998" t="s">
        <v>40</v>
      </c>
      <c r="F998" t="s">
        <v>55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92607</v>
      </c>
      <c r="E999" t="s">
        <v>40</v>
      </c>
      <c r="F999" t="s">
        <v>55</v>
      </c>
    </row>
    <row r="1000" spans="1:6" hidden="1" x14ac:dyDescent="0.35">
      <c r="A1000" t="s">
        <v>12</v>
      </c>
      <c r="B1000" t="s">
        <v>54</v>
      </c>
      <c r="C1000" t="s">
        <v>49</v>
      </c>
      <c r="D1000">
        <v>203090</v>
      </c>
      <c r="E1000" t="s">
        <v>40</v>
      </c>
      <c r="F1000" t="s">
        <v>55</v>
      </c>
    </row>
    <row r="1001" spans="1:6" hidden="1" x14ac:dyDescent="0.35">
      <c r="A1001" t="s">
        <v>13</v>
      </c>
      <c r="B1001" t="s">
        <v>54</v>
      </c>
      <c r="C1001" t="s">
        <v>49</v>
      </c>
      <c r="D1001">
        <v>16010</v>
      </c>
      <c r="E1001" t="s">
        <v>40</v>
      </c>
      <c r="F1001" t="s">
        <v>55</v>
      </c>
    </row>
    <row r="1002" spans="1:6" hidden="1" x14ac:dyDescent="0.35">
      <c r="A1002" t="s">
        <v>14</v>
      </c>
      <c r="B1002" t="s">
        <v>54</v>
      </c>
      <c r="C1002" t="s">
        <v>49</v>
      </c>
      <c r="D1002">
        <v>62811</v>
      </c>
      <c r="E1002" t="s">
        <v>40</v>
      </c>
      <c r="F1002" t="s">
        <v>55</v>
      </c>
    </row>
    <row r="1003" spans="1:6" hidden="1" x14ac:dyDescent="0.35">
      <c r="A1003" t="s">
        <v>15</v>
      </c>
      <c r="B1003" t="s">
        <v>54</v>
      </c>
      <c r="C1003" t="s">
        <v>49</v>
      </c>
      <c r="D1003">
        <v>78996</v>
      </c>
      <c r="E1003" t="s">
        <v>40</v>
      </c>
      <c r="F1003" t="s">
        <v>55</v>
      </c>
    </row>
    <row r="1004" spans="1:6" hidden="1" x14ac:dyDescent="0.35">
      <c r="A1004" t="s">
        <v>16</v>
      </c>
      <c r="B1004" t="s">
        <v>54</v>
      </c>
      <c r="C1004" t="s">
        <v>49</v>
      </c>
      <c r="D1004">
        <v>29459</v>
      </c>
      <c r="E1004" t="s">
        <v>40</v>
      </c>
      <c r="F1004" t="s">
        <v>55</v>
      </c>
    </row>
    <row r="1005" spans="1:6" hidden="1" x14ac:dyDescent="0.35">
      <c r="A1005" t="s">
        <v>17</v>
      </c>
      <c r="B1005" t="s">
        <v>54</v>
      </c>
      <c r="C1005" t="s">
        <v>49</v>
      </c>
      <c r="D1005">
        <v>63206</v>
      </c>
      <c r="E1005" t="s">
        <v>40</v>
      </c>
      <c r="F1005" t="s">
        <v>55</v>
      </c>
    </row>
    <row r="1006" spans="1:6" hidden="1" x14ac:dyDescent="0.35">
      <c r="A1006" t="s">
        <v>18</v>
      </c>
      <c r="B1006" t="s">
        <v>54</v>
      </c>
      <c r="C1006" t="s">
        <v>49</v>
      </c>
      <c r="D1006">
        <v>175486</v>
      </c>
      <c r="E1006" t="s">
        <v>40</v>
      </c>
      <c r="F1006" t="s">
        <v>55</v>
      </c>
    </row>
    <row r="1007" spans="1:6" hidden="1" x14ac:dyDescent="0.35">
      <c r="A1007" t="s">
        <v>19</v>
      </c>
      <c r="B1007" t="s">
        <v>54</v>
      </c>
      <c r="C1007" t="s">
        <v>49</v>
      </c>
      <c r="D1007">
        <v>291257</v>
      </c>
      <c r="E1007" t="s">
        <v>40</v>
      </c>
      <c r="F1007" t="s">
        <v>55</v>
      </c>
    </row>
    <row r="1008" spans="1:6" hidden="1" x14ac:dyDescent="0.35">
      <c r="A1008" t="s">
        <v>20</v>
      </c>
      <c r="B1008" t="s">
        <v>54</v>
      </c>
      <c r="C1008" t="s">
        <v>49</v>
      </c>
      <c r="D1008">
        <v>95306</v>
      </c>
      <c r="E1008" t="s">
        <v>40</v>
      </c>
      <c r="F1008" t="s">
        <v>55</v>
      </c>
    </row>
    <row r="1009" spans="1:6" hidden="1" x14ac:dyDescent="0.35">
      <c r="A1009" t="s">
        <v>21</v>
      </c>
      <c r="B1009" t="s">
        <v>54</v>
      </c>
      <c r="C1009" t="s">
        <v>49</v>
      </c>
      <c r="D1009">
        <v>141500.70000000001</v>
      </c>
      <c r="E1009" t="s">
        <v>40</v>
      </c>
      <c r="F1009" t="s">
        <v>55</v>
      </c>
    </row>
    <row r="1010" spans="1:6" hidden="1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55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55</v>
      </c>
    </row>
    <row r="1012" spans="1:6" hidden="1" x14ac:dyDescent="0.35">
      <c r="A1012" t="s">
        <v>12</v>
      </c>
      <c r="B1012" t="s">
        <v>54</v>
      </c>
      <c r="C1012" t="s">
        <v>50</v>
      </c>
      <c r="D1012">
        <v>88744.28</v>
      </c>
      <c r="E1012" t="s">
        <v>40</v>
      </c>
      <c r="F1012" t="s">
        <v>55</v>
      </c>
    </row>
    <row r="1013" spans="1:6" hidden="1" x14ac:dyDescent="0.35">
      <c r="A1013" t="s">
        <v>13</v>
      </c>
      <c r="B1013" t="s">
        <v>54</v>
      </c>
      <c r="C1013" t="s">
        <v>50</v>
      </c>
      <c r="D1013">
        <v>0</v>
      </c>
      <c r="E1013" t="s">
        <v>40</v>
      </c>
      <c r="F1013" t="s">
        <v>55</v>
      </c>
    </row>
    <row r="1014" spans="1:6" hidden="1" x14ac:dyDescent="0.35">
      <c r="A1014" t="s">
        <v>14</v>
      </c>
      <c r="B1014" t="s">
        <v>54</v>
      </c>
      <c r="C1014" t="s">
        <v>50</v>
      </c>
      <c r="D1014">
        <v>35595.5</v>
      </c>
      <c r="E1014" t="s">
        <v>40</v>
      </c>
      <c r="F1014" t="s">
        <v>55</v>
      </c>
    </row>
    <row r="1015" spans="1:6" hidden="1" x14ac:dyDescent="0.35">
      <c r="A1015" t="s">
        <v>15</v>
      </c>
      <c r="B1015" t="s">
        <v>54</v>
      </c>
      <c r="C1015" t="s">
        <v>50</v>
      </c>
      <c r="D1015">
        <v>55383.57</v>
      </c>
      <c r="E1015" t="s">
        <v>40</v>
      </c>
      <c r="F1015" t="s">
        <v>55</v>
      </c>
    </row>
    <row r="1016" spans="1:6" hidden="1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55</v>
      </c>
    </row>
    <row r="1017" spans="1:6" hidden="1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55</v>
      </c>
    </row>
    <row r="1018" spans="1:6" hidden="1" x14ac:dyDescent="0.35">
      <c r="A1018" t="s">
        <v>18</v>
      </c>
      <c r="B1018" t="s">
        <v>54</v>
      </c>
      <c r="C1018" t="s">
        <v>50</v>
      </c>
      <c r="D1018">
        <v>109761.42</v>
      </c>
      <c r="E1018" t="s">
        <v>40</v>
      </c>
      <c r="F1018" t="s">
        <v>55</v>
      </c>
    </row>
    <row r="1019" spans="1:6" hidden="1" x14ac:dyDescent="0.35">
      <c r="A1019" t="s">
        <v>19</v>
      </c>
      <c r="B1019" t="s">
        <v>54</v>
      </c>
      <c r="C1019" t="s">
        <v>50</v>
      </c>
      <c r="D1019">
        <v>80333.53</v>
      </c>
      <c r="E1019" t="s">
        <v>40</v>
      </c>
      <c r="F1019" t="s">
        <v>55</v>
      </c>
    </row>
    <row r="1020" spans="1:6" hidden="1" x14ac:dyDescent="0.35">
      <c r="A1020" t="s">
        <v>20</v>
      </c>
      <c r="B1020" t="s">
        <v>54</v>
      </c>
      <c r="C1020" t="s">
        <v>50</v>
      </c>
      <c r="D1020">
        <v>0</v>
      </c>
      <c r="E1020" t="s">
        <v>40</v>
      </c>
      <c r="F1020" t="s">
        <v>55</v>
      </c>
    </row>
    <row r="1021" spans="1:6" hidden="1" x14ac:dyDescent="0.35">
      <c r="A1021" t="s">
        <v>21</v>
      </c>
      <c r="B1021" t="s">
        <v>54</v>
      </c>
      <c r="C1021" t="s">
        <v>50</v>
      </c>
      <c r="D1021">
        <v>44745.88</v>
      </c>
      <c r="E1021" t="s">
        <v>40</v>
      </c>
      <c r="F1021" t="s">
        <v>55</v>
      </c>
    </row>
    <row r="1022" spans="1:6" hidden="1" x14ac:dyDescent="0.35">
      <c r="A1022" t="s">
        <v>6</v>
      </c>
      <c r="B1022" t="s">
        <v>54</v>
      </c>
      <c r="C1022" t="s">
        <v>51</v>
      </c>
      <c r="D1022">
        <v>276</v>
      </c>
      <c r="E1022" t="s">
        <v>40</v>
      </c>
      <c r="F1022" t="s">
        <v>55</v>
      </c>
    </row>
    <row r="1023" spans="1:6" hidden="1" x14ac:dyDescent="0.35">
      <c r="A1023" t="s">
        <v>11</v>
      </c>
      <c r="B1023" t="s">
        <v>54</v>
      </c>
      <c r="C1023" t="s">
        <v>51</v>
      </c>
      <c r="D1023">
        <v>170</v>
      </c>
      <c r="E1023" t="s">
        <v>40</v>
      </c>
      <c r="F1023" t="s">
        <v>55</v>
      </c>
    </row>
    <row r="1024" spans="1:6" hidden="1" x14ac:dyDescent="0.35">
      <c r="A1024" t="s">
        <v>12</v>
      </c>
      <c r="B1024" t="s">
        <v>54</v>
      </c>
      <c r="C1024" t="s">
        <v>51</v>
      </c>
      <c r="D1024">
        <v>210</v>
      </c>
      <c r="E1024" t="s">
        <v>40</v>
      </c>
      <c r="F1024" t="s">
        <v>55</v>
      </c>
    </row>
    <row r="1025" spans="1:6" hidden="1" x14ac:dyDescent="0.35">
      <c r="A1025" t="s">
        <v>13</v>
      </c>
      <c r="B1025" t="s">
        <v>54</v>
      </c>
      <c r="C1025" t="s">
        <v>51</v>
      </c>
      <c r="D1025">
        <v>287</v>
      </c>
      <c r="E1025" t="s">
        <v>40</v>
      </c>
      <c r="F1025" t="s">
        <v>55</v>
      </c>
    </row>
    <row r="1026" spans="1:6" hidden="1" x14ac:dyDescent="0.35">
      <c r="A1026" t="s">
        <v>14</v>
      </c>
      <c r="B1026" t="s">
        <v>54</v>
      </c>
      <c r="C1026" t="s">
        <v>51</v>
      </c>
      <c r="D1026">
        <v>740</v>
      </c>
      <c r="E1026" t="s">
        <v>40</v>
      </c>
      <c r="F1026" t="s">
        <v>55</v>
      </c>
    </row>
    <row r="1027" spans="1:6" hidden="1" x14ac:dyDescent="0.35">
      <c r="A1027" t="s">
        <v>15</v>
      </c>
      <c r="B1027" t="s">
        <v>54</v>
      </c>
      <c r="C1027" t="s">
        <v>51</v>
      </c>
      <c r="D1027">
        <v>776</v>
      </c>
      <c r="E1027" t="s">
        <v>40</v>
      </c>
      <c r="F1027" t="s">
        <v>55</v>
      </c>
    </row>
    <row r="1028" spans="1:6" hidden="1" x14ac:dyDescent="0.35">
      <c r="A1028" t="s">
        <v>16</v>
      </c>
      <c r="B1028" t="s">
        <v>54</v>
      </c>
      <c r="C1028" t="s">
        <v>51</v>
      </c>
      <c r="D1028">
        <v>480</v>
      </c>
      <c r="E1028" t="s">
        <v>40</v>
      </c>
      <c r="F1028" t="s">
        <v>55</v>
      </c>
    </row>
    <row r="1029" spans="1:6" hidden="1" x14ac:dyDescent="0.35">
      <c r="A1029" t="s">
        <v>17</v>
      </c>
      <c r="B1029" t="s">
        <v>54</v>
      </c>
      <c r="C1029" t="s">
        <v>51</v>
      </c>
      <c r="D1029">
        <v>376</v>
      </c>
      <c r="E1029" t="s">
        <v>40</v>
      </c>
      <c r="F1029" t="s">
        <v>55</v>
      </c>
    </row>
    <row r="1030" spans="1:6" hidden="1" x14ac:dyDescent="0.35">
      <c r="A1030" t="s">
        <v>18</v>
      </c>
      <c r="B1030" t="s">
        <v>54</v>
      </c>
      <c r="C1030" t="s">
        <v>51</v>
      </c>
      <c r="D1030">
        <v>268</v>
      </c>
      <c r="E1030" t="s">
        <v>40</v>
      </c>
      <c r="F1030" t="s">
        <v>55</v>
      </c>
    </row>
    <row r="1031" spans="1:6" hidden="1" x14ac:dyDescent="0.35">
      <c r="A1031" t="s">
        <v>19</v>
      </c>
      <c r="B1031" t="s">
        <v>54</v>
      </c>
      <c r="C1031" t="s">
        <v>51</v>
      </c>
      <c r="D1031">
        <v>280</v>
      </c>
      <c r="E1031" t="s">
        <v>40</v>
      </c>
      <c r="F1031" t="s">
        <v>55</v>
      </c>
    </row>
    <row r="1032" spans="1:6" hidden="1" x14ac:dyDescent="0.35">
      <c r="A1032" t="s">
        <v>20</v>
      </c>
      <c r="B1032" t="s">
        <v>54</v>
      </c>
      <c r="C1032" t="s">
        <v>51</v>
      </c>
      <c r="D1032">
        <v>223</v>
      </c>
      <c r="E1032" t="s">
        <v>40</v>
      </c>
      <c r="F1032" t="s">
        <v>55</v>
      </c>
    </row>
    <row r="1033" spans="1:6" hidden="1" x14ac:dyDescent="0.35">
      <c r="A1033" t="s">
        <v>21</v>
      </c>
      <c r="B1033" t="s">
        <v>54</v>
      </c>
      <c r="C1033" t="s">
        <v>51</v>
      </c>
      <c r="D1033">
        <v>236</v>
      </c>
      <c r="E1033" t="s">
        <v>40</v>
      </c>
      <c r="F1033" t="s">
        <v>55</v>
      </c>
    </row>
    <row r="1034" spans="1:6" hidden="1" x14ac:dyDescent="0.35">
      <c r="A1034" t="s">
        <v>6</v>
      </c>
      <c r="B1034" t="s">
        <v>54</v>
      </c>
      <c r="C1034" t="s">
        <v>30</v>
      </c>
      <c r="D1034">
        <v>102</v>
      </c>
      <c r="E1034" t="s">
        <v>40</v>
      </c>
      <c r="F1034" t="s">
        <v>55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70</v>
      </c>
      <c r="E1035" t="s">
        <v>40</v>
      </c>
      <c r="F1035" t="s">
        <v>55</v>
      </c>
    </row>
    <row r="1036" spans="1:6" hidden="1" x14ac:dyDescent="0.35">
      <c r="A1036" t="s">
        <v>12</v>
      </c>
      <c r="B1036" t="s">
        <v>54</v>
      </c>
      <c r="C1036" t="s">
        <v>30</v>
      </c>
      <c r="D1036">
        <v>145</v>
      </c>
      <c r="E1036" t="s">
        <v>40</v>
      </c>
      <c r="F1036" t="s">
        <v>55</v>
      </c>
    </row>
    <row r="1037" spans="1:6" hidden="1" x14ac:dyDescent="0.35">
      <c r="A1037" t="s">
        <v>13</v>
      </c>
      <c r="B1037" t="s">
        <v>54</v>
      </c>
      <c r="C1037" t="s">
        <v>30</v>
      </c>
      <c r="D1037">
        <v>112</v>
      </c>
      <c r="E1037" t="s">
        <v>40</v>
      </c>
      <c r="F1037" t="s">
        <v>55</v>
      </c>
    </row>
    <row r="1038" spans="1:6" hidden="1" x14ac:dyDescent="0.35">
      <c r="A1038" t="s">
        <v>14</v>
      </c>
      <c r="B1038" t="s">
        <v>54</v>
      </c>
      <c r="C1038" t="s">
        <v>30</v>
      </c>
      <c r="D1038">
        <v>126</v>
      </c>
      <c r="E1038" t="s">
        <v>40</v>
      </c>
      <c r="F1038" t="s">
        <v>55</v>
      </c>
    </row>
    <row r="1039" spans="1:6" hidden="1" x14ac:dyDescent="0.35">
      <c r="A1039" t="s">
        <v>15</v>
      </c>
      <c r="B1039" t="s">
        <v>54</v>
      </c>
      <c r="C1039" t="s">
        <v>30</v>
      </c>
      <c r="D1039">
        <v>126</v>
      </c>
      <c r="E1039" t="s">
        <v>40</v>
      </c>
      <c r="F1039" t="s">
        <v>55</v>
      </c>
    </row>
    <row r="1040" spans="1:6" hidden="1" x14ac:dyDescent="0.35">
      <c r="A1040" t="s">
        <v>16</v>
      </c>
      <c r="B1040" t="s">
        <v>54</v>
      </c>
      <c r="C1040" t="s">
        <v>30</v>
      </c>
      <c r="D1040">
        <v>162</v>
      </c>
      <c r="E1040" t="s">
        <v>40</v>
      </c>
      <c r="F1040" t="s">
        <v>55</v>
      </c>
    </row>
    <row r="1041" spans="1:6" hidden="1" x14ac:dyDescent="0.35">
      <c r="A1041" t="s">
        <v>17</v>
      </c>
      <c r="B1041" t="s">
        <v>54</v>
      </c>
      <c r="C1041" t="s">
        <v>30</v>
      </c>
      <c r="D1041">
        <v>141</v>
      </c>
      <c r="E1041" t="s">
        <v>40</v>
      </c>
      <c r="F1041" t="s">
        <v>55</v>
      </c>
    </row>
    <row r="1042" spans="1:6" hidden="1" x14ac:dyDescent="0.35">
      <c r="A1042" t="s">
        <v>18</v>
      </c>
      <c r="B1042" t="s">
        <v>54</v>
      </c>
      <c r="C1042" t="s">
        <v>30</v>
      </c>
      <c r="D1042">
        <v>140</v>
      </c>
      <c r="E1042" t="s">
        <v>40</v>
      </c>
      <c r="F1042" t="s">
        <v>55</v>
      </c>
    </row>
    <row r="1043" spans="1:6" hidden="1" x14ac:dyDescent="0.35">
      <c r="A1043" t="s">
        <v>19</v>
      </c>
      <c r="B1043" t="s">
        <v>54</v>
      </c>
      <c r="C1043" t="s">
        <v>30</v>
      </c>
      <c r="D1043">
        <v>187</v>
      </c>
      <c r="E1043" t="s">
        <v>40</v>
      </c>
      <c r="F1043" t="s">
        <v>55</v>
      </c>
    </row>
    <row r="1044" spans="1:6" hidden="1" x14ac:dyDescent="0.35">
      <c r="A1044" t="s">
        <v>20</v>
      </c>
      <c r="B1044" t="s">
        <v>54</v>
      </c>
      <c r="C1044" t="s">
        <v>30</v>
      </c>
      <c r="D1044">
        <v>141</v>
      </c>
      <c r="E1044" t="s">
        <v>40</v>
      </c>
      <c r="F1044" t="s">
        <v>55</v>
      </c>
    </row>
    <row r="1045" spans="1:6" hidden="1" x14ac:dyDescent="0.35">
      <c r="A1045" t="s">
        <v>21</v>
      </c>
      <c r="B1045" t="s">
        <v>54</v>
      </c>
      <c r="C1045" t="s">
        <v>30</v>
      </c>
      <c r="D1045">
        <v>120</v>
      </c>
      <c r="E1045" t="s">
        <v>40</v>
      </c>
      <c r="F1045" t="s">
        <v>55</v>
      </c>
    </row>
    <row r="1046" spans="1:6" hidden="1" x14ac:dyDescent="0.35">
      <c r="A1046" t="s">
        <v>6</v>
      </c>
      <c r="B1046" t="s">
        <v>54</v>
      </c>
      <c r="C1046" t="s">
        <v>52</v>
      </c>
      <c r="D1046">
        <v>0</v>
      </c>
      <c r="E1046" t="s">
        <v>40</v>
      </c>
      <c r="F1046" t="s">
        <v>55</v>
      </c>
    </row>
    <row r="1047" spans="1:6" hidden="1" x14ac:dyDescent="0.35">
      <c r="A1047" t="s">
        <v>11</v>
      </c>
      <c r="B1047" t="s">
        <v>54</v>
      </c>
      <c r="C1047" t="s">
        <v>52</v>
      </c>
      <c r="D1047">
        <v>0</v>
      </c>
      <c r="E1047" t="s">
        <v>40</v>
      </c>
      <c r="F1047" t="s">
        <v>55</v>
      </c>
    </row>
    <row r="1048" spans="1:6" hidden="1" x14ac:dyDescent="0.35">
      <c r="A1048" t="s">
        <v>12</v>
      </c>
      <c r="B1048" t="s">
        <v>54</v>
      </c>
      <c r="C1048" t="s">
        <v>52</v>
      </c>
      <c r="D1048">
        <v>0</v>
      </c>
      <c r="E1048" t="s">
        <v>40</v>
      </c>
      <c r="F1048" t="s">
        <v>55</v>
      </c>
    </row>
    <row r="1049" spans="1:6" hidden="1" x14ac:dyDescent="0.35">
      <c r="A1049" t="s">
        <v>13</v>
      </c>
      <c r="B1049" t="s">
        <v>54</v>
      </c>
      <c r="C1049" t="s">
        <v>52</v>
      </c>
      <c r="D1049">
        <v>0</v>
      </c>
      <c r="E1049" t="s">
        <v>40</v>
      </c>
      <c r="F1049" t="s">
        <v>55</v>
      </c>
    </row>
    <row r="1050" spans="1:6" hidden="1" x14ac:dyDescent="0.35">
      <c r="A1050" t="s">
        <v>14</v>
      </c>
      <c r="B1050" t="s">
        <v>54</v>
      </c>
      <c r="C1050" t="s">
        <v>52</v>
      </c>
      <c r="D1050">
        <v>0</v>
      </c>
      <c r="E1050" t="s">
        <v>40</v>
      </c>
      <c r="F1050" t="s">
        <v>55</v>
      </c>
    </row>
    <row r="1051" spans="1:6" hidden="1" x14ac:dyDescent="0.35">
      <c r="A1051" t="s">
        <v>15</v>
      </c>
      <c r="B1051" t="s">
        <v>54</v>
      </c>
      <c r="C1051" t="s">
        <v>52</v>
      </c>
      <c r="D1051">
        <v>0</v>
      </c>
      <c r="E1051" t="s">
        <v>40</v>
      </c>
      <c r="F1051" t="s">
        <v>55</v>
      </c>
    </row>
    <row r="1052" spans="1:6" hidden="1" x14ac:dyDescent="0.35">
      <c r="A1052" t="s">
        <v>16</v>
      </c>
      <c r="B1052" t="s">
        <v>54</v>
      </c>
      <c r="C1052" t="s">
        <v>52</v>
      </c>
      <c r="D1052">
        <v>0</v>
      </c>
      <c r="E1052" t="s">
        <v>40</v>
      </c>
      <c r="F1052" t="s">
        <v>55</v>
      </c>
    </row>
    <row r="1053" spans="1:6" hidden="1" x14ac:dyDescent="0.35">
      <c r="A1053" t="s">
        <v>17</v>
      </c>
      <c r="B1053" t="s">
        <v>54</v>
      </c>
      <c r="C1053" t="s">
        <v>52</v>
      </c>
      <c r="D1053">
        <v>0</v>
      </c>
      <c r="E1053" t="s">
        <v>40</v>
      </c>
      <c r="F1053" t="s">
        <v>55</v>
      </c>
    </row>
    <row r="1054" spans="1:6" hidden="1" x14ac:dyDescent="0.35">
      <c r="A1054" t="s">
        <v>18</v>
      </c>
      <c r="B1054" t="s">
        <v>54</v>
      </c>
      <c r="C1054" t="s">
        <v>52</v>
      </c>
      <c r="D1054">
        <v>0</v>
      </c>
      <c r="E1054" t="s">
        <v>40</v>
      </c>
      <c r="F1054" t="s">
        <v>55</v>
      </c>
    </row>
    <row r="1055" spans="1:6" hidden="1" x14ac:dyDescent="0.35">
      <c r="A1055" t="s">
        <v>19</v>
      </c>
      <c r="B1055" t="s">
        <v>54</v>
      </c>
      <c r="C1055" t="s">
        <v>52</v>
      </c>
      <c r="D1055">
        <v>0</v>
      </c>
      <c r="E1055" t="s">
        <v>40</v>
      </c>
      <c r="F1055" t="s">
        <v>55</v>
      </c>
    </row>
    <row r="1056" spans="1:6" hidden="1" x14ac:dyDescent="0.35">
      <c r="A1056" t="s">
        <v>20</v>
      </c>
      <c r="B1056" t="s">
        <v>54</v>
      </c>
      <c r="C1056" t="s">
        <v>52</v>
      </c>
      <c r="D1056">
        <v>0</v>
      </c>
      <c r="E1056" t="s">
        <v>40</v>
      </c>
      <c r="F1056" t="s">
        <v>55</v>
      </c>
    </row>
    <row r="1057" spans="1:6" hidden="1" x14ac:dyDescent="0.35">
      <c r="A1057" t="s">
        <v>21</v>
      </c>
      <c r="B1057" t="s">
        <v>54</v>
      </c>
      <c r="C1057" t="s">
        <v>52</v>
      </c>
      <c r="D1057">
        <v>0</v>
      </c>
      <c r="E1057" t="s">
        <v>40</v>
      </c>
      <c r="F1057" t="s">
        <v>55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55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55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55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55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55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55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55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55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55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55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55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55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55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55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55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55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55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55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55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55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55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55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55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55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0</v>
      </c>
      <c r="E1082" t="s">
        <v>41</v>
      </c>
      <c r="F1082" t="s">
        <v>55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0</v>
      </c>
      <c r="E1083" t="s">
        <v>41</v>
      </c>
      <c r="F1083" t="s">
        <v>55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0</v>
      </c>
      <c r="E1084" t="s">
        <v>41</v>
      </c>
      <c r="F1084" t="s">
        <v>55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0</v>
      </c>
      <c r="E1085" t="s">
        <v>41</v>
      </c>
      <c r="F1085" t="s">
        <v>55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0</v>
      </c>
      <c r="E1086" t="s">
        <v>41</v>
      </c>
      <c r="F1086" t="s">
        <v>55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0</v>
      </c>
      <c r="E1087" t="s">
        <v>41</v>
      </c>
      <c r="F1087" t="s">
        <v>55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0</v>
      </c>
      <c r="E1088" t="s">
        <v>41</v>
      </c>
      <c r="F1088" t="s">
        <v>55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0</v>
      </c>
      <c r="E1089" t="s">
        <v>41</v>
      </c>
      <c r="F1089" t="s">
        <v>55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0</v>
      </c>
      <c r="E1090" t="s">
        <v>41</v>
      </c>
      <c r="F1090" t="s">
        <v>55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0</v>
      </c>
      <c r="E1091" t="s">
        <v>41</v>
      </c>
      <c r="F1091" t="s">
        <v>55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0</v>
      </c>
      <c r="E1092" t="s">
        <v>41</v>
      </c>
      <c r="F1092" t="s">
        <v>55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0</v>
      </c>
      <c r="E1093" t="s">
        <v>41</v>
      </c>
      <c r="F1093" t="s">
        <v>55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55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55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55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55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55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55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55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55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55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55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55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55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55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55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55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55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0</v>
      </c>
      <c r="E1110" t="s">
        <v>41</v>
      </c>
      <c r="F1110" t="s">
        <v>55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0</v>
      </c>
      <c r="E1111" t="s">
        <v>41</v>
      </c>
      <c r="F1111" t="s">
        <v>55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55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55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0</v>
      </c>
      <c r="E1114" t="s">
        <v>41</v>
      </c>
      <c r="F1114" t="s">
        <v>55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55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0</v>
      </c>
      <c r="E1116" t="s">
        <v>41</v>
      </c>
      <c r="F1116" t="s">
        <v>55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0</v>
      </c>
      <c r="E1117" t="s">
        <v>41</v>
      </c>
      <c r="F1117" t="s">
        <v>55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55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55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55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55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55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55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55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55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55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55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55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55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55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55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55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55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55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55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55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55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55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55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55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55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55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55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55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55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55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55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55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55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55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55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55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55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0</v>
      </c>
      <c r="E1154" t="s">
        <v>41</v>
      </c>
      <c r="F1154" t="s">
        <v>55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</v>
      </c>
      <c r="E1155" t="s">
        <v>41</v>
      </c>
      <c r="F1155" t="s">
        <v>55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0</v>
      </c>
      <c r="E1156" t="s">
        <v>41</v>
      </c>
      <c r="F1156" t="s">
        <v>55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0</v>
      </c>
      <c r="E1157" t="s">
        <v>41</v>
      </c>
      <c r="F1157" t="s">
        <v>55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0</v>
      </c>
      <c r="E1158" t="s">
        <v>41</v>
      </c>
      <c r="F1158" t="s">
        <v>55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0</v>
      </c>
      <c r="E1159" t="s">
        <v>41</v>
      </c>
      <c r="F1159" t="s">
        <v>55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0</v>
      </c>
      <c r="E1160" t="s">
        <v>41</v>
      </c>
      <c r="F1160" t="s">
        <v>55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0</v>
      </c>
      <c r="E1161" t="s">
        <v>41</v>
      </c>
      <c r="F1161" t="s">
        <v>55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0</v>
      </c>
      <c r="E1162" t="s">
        <v>41</v>
      </c>
      <c r="F1162" t="s">
        <v>55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0</v>
      </c>
      <c r="E1163" t="s">
        <v>41</v>
      </c>
      <c r="F1163" t="s">
        <v>55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0</v>
      </c>
      <c r="E1164" t="s">
        <v>41</v>
      </c>
      <c r="F1164" t="s">
        <v>55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0</v>
      </c>
      <c r="E1165" t="s">
        <v>41</v>
      </c>
      <c r="F1165" t="s">
        <v>55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0</v>
      </c>
      <c r="E1166" t="s">
        <v>41</v>
      </c>
      <c r="F1166" t="s">
        <v>55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0</v>
      </c>
      <c r="E1167" t="s">
        <v>41</v>
      </c>
      <c r="F1167" t="s">
        <v>55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0</v>
      </c>
      <c r="E1168" t="s">
        <v>41</v>
      </c>
      <c r="F1168" t="s">
        <v>55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0</v>
      </c>
      <c r="E1169" t="s">
        <v>41</v>
      </c>
      <c r="F1169" t="s">
        <v>55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0</v>
      </c>
      <c r="E1170" t="s">
        <v>41</v>
      </c>
      <c r="F1170" t="s">
        <v>55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0</v>
      </c>
      <c r="E1171" t="s">
        <v>41</v>
      </c>
      <c r="F1171" t="s">
        <v>55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0</v>
      </c>
      <c r="E1172" t="s">
        <v>41</v>
      </c>
      <c r="F1172" t="s">
        <v>55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0</v>
      </c>
      <c r="E1173" t="s">
        <v>41</v>
      </c>
      <c r="F1173" t="s">
        <v>55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0</v>
      </c>
      <c r="E1174" t="s">
        <v>41</v>
      </c>
      <c r="F1174" t="s">
        <v>55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0</v>
      </c>
      <c r="E1175" t="s">
        <v>41</v>
      </c>
      <c r="F1175" t="s">
        <v>55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0</v>
      </c>
      <c r="E1176" t="s">
        <v>41</v>
      </c>
      <c r="F1176" t="s">
        <v>55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0</v>
      </c>
      <c r="E1177" t="s">
        <v>41</v>
      </c>
      <c r="F1177" t="s">
        <v>55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55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55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55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55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55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55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55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55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55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55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55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55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55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55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55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55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55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0</v>
      </c>
      <c r="E1195" t="s">
        <v>41</v>
      </c>
      <c r="F1195" t="s">
        <v>55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55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55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55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55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55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55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55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55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55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55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55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55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55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55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55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55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55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55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5750</v>
      </c>
      <c r="E1214" t="s">
        <v>41</v>
      </c>
      <c r="F1214" t="s">
        <v>55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745637.17</v>
      </c>
      <c r="E1215" t="s">
        <v>41</v>
      </c>
      <c r="F1215" t="s">
        <v>55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584751</v>
      </c>
      <c r="E1216" t="s">
        <v>41</v>
      </c>
      <c r="F1216" t="s">
        <v>55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891606</v>
      </c>
      <c r="E1217" t="s">
        <v>41</v>
      </c>
      <c r="F1217" t="s">
        <v>55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71614.17</v>
      </c>
      <c r="E1218" t="s">
        <v>41</v>
      </c>
      <c r="F1218" t="s">
        <v>55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365.89</v>
      </c>
      <c r="E1219" t="s">
        <v>41</v>
      </c>
      <c r="F1219" t="s">
        <v>55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0</v>
      </c>
      <c r="E1220" t="s">
        <v>41</v>
      </c>
      <c r="F1220" t="s">
        <v>55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147838</v>
      </c>
      <c r="E1221" t="s">
        <v>41</v>
      </c>
      <c r="F1221" t="s">
        <v>55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1876798</v>
      </c>
      <c r="E1222" t="s">
        <v>41</v>
      </c>
      <c r="F1222" t="s">
        <v>55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2514</v>
      </c>
      <c r="E1223" t="s">
        <v>41</v>
      </c>
      <c r="F1223" t="s">
        <v>55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0</v>
      </c>
      <c r="E1224" t="s">
        <v>41</v>
      </c>
      <c r="F1224" t="s">
        <v>55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0</v>
      </c>
      <c r="E1225" t="s">
        <v>41</v>
      </c>
      <c r="F1225" t="s">
        <v>55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55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55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55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55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55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55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55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55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55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55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55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55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55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0</v>
      </c>
      <c r="E1239" t="s">
        <v>41</v>
      </c>
      <c r="F1239" t="s">
        <v>55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55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55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0</v>
      </c>
      <c r="E1242" t="s">
        <v>41</v>
      </c>
      <c r="F1242" t="s">
        <v>55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0</v>
      </c>
      <c r="E1243" t="s">
        <v>41</v>
      </c>
      <c r="F1243" t="s">
        <v>55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55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55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0</v>
      </c>
      <c r="E1246" t="s">
        <v>41</v>
      </c>
      <c r="F1246" t="s">
        <v>55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0</v>
      </c>
      <c r="E1247" t="s">
        <v>41</v>
      </c>
      <c r="F1247" t="s">
        <v>55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55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0</v>
      </c>
      <c r="E1249" t="s">
        <v>41</v>
      </c>
      <c r="F1249" t="s">
        <v>55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55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55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55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55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55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55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55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55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55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55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55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55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3323</v>
      </c>
      <c r="E1262" t="s">
        <v>41</v>
      </c>
      <c r="F1262" t="s">
        <v>55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10272</v>
      </c>
      <c r="E1263" t="s">
        <v>41</v>
      </c>
      <c r="F1263" t="s">
        <v>55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6057</v>
      </c>
      <c r="E1264" t="s">
        <v>41</v>
      </c>
      <c r="F1264" t="s">
        <v>55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55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164</v>
      </c>
      <c r="E1266" t="s">
        <v>41</v>
      </c>
      <c r="F1266" t="s">
        <v>55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0</v>
      </c>
      <c r="E1267" t="s">
        <v>41</v>
      </c>
      <c r="F1267" t="s">
        <v>55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7099</v>
      </c>
      <c r="E1268" t="s">
        <v>41</v>
      </c>
      <c r="F1268" t="s">
        <v>55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27113</v>
      </c>
      <c r="E1269" t="s">
        <v>41</v>
      </c>
      <c r="F1269" t="s">
        <v>55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2481</v>
      </c>
      <c r="E1270" t="s">
        <v>41</v>
      </c>
      <c r="F1270" t="s">
        <v>55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35</v>
      </c>
      <c r="E1271" t="s">
        <v>41</v>
      </c>
      <c r="F1271" t="s">
        <v>55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3087</v>
      </c>
      <c r="E1272" t="s">
        <v>41</v>
      </c>
      <c r="F1272" t="s">
        <v>55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0</v>
      </c>
      <c r="E1273" t="s">
        <v>41</v>
      </c>
      <c r="F1273" t="s">
        <v>55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55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55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55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55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55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55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55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55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55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0</v>
      </c>
      <c r="E1283" t="s">
        <v>41</v>
      </c>
      <c r="F1283" t="s">
        <v>55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55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55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11</v>
      </c>
      <c r="E1286" t="s">
        <v>41</v>
      </c>
      <c r="F1286" t="s">
        <v>55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15</v>
      </c>
      <c r="E1287" t="s">
        <v>41</v>
      </c>
      <c r="F1287" t="s">
        <v>55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13</v>
      </c>
      <c r="E1288" t="s">
        <v>41</v>
      </c>
      <c r="F1288" t="s">
        <v>55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13</v>
      </c>
      <c r="E1289" t="s">
        <v>41</v>
      </c>
      <c r="F1289" t="s">
        <v>55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11</v>
      </c>
      <c r="E1290" t="s">
        <v>41</v>
      </c>
      <c r="F1290" t="s">
        <v>55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5</v>
      </c>
      <c r="E1291" t="s">
        <v>41</v>
      </c>
      <c r="F1291" t="s">
        <v>55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5</v>
      </c>
      <c r="E1292" t="s">
        <v>41</v>
      </c>
      <c r="F1292" t="s">
        <v>55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2</v>
      </c>
      <c r="E1293" t="s">
        <v>41</v>
      </c>
      <c r="F1293" t="s">
        <v>55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8</v>
      </c>
      <c r="E1294" t="s">
        <v>41</v>
      </c>
      <c r="F1294" t="s">
        <v>55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</v>
      </c>
      <c r="E1295" t="s">
        <v>41</v>
      </c>
      <c r="F1295" t="s">
        <v>55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</v>
      </c>
      <c r="E1296" t="s">
        <v>41</v>
      </c>
      <c r="F1296" t="s">
        <v>55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</v>
      </c>
      <c r="E1297" t="s">
        <v>41</v>
      </c>
      <c r="F1297" t="s">
        <v>55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</v>
      </c>
      <c r="E1298" t="s">
        <v>41</v>
      </c>
      <c r="F1298" t="s">
        <v>55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7</v>
      </c>
      <c r="E1299" t="s">
        <v>41</v>
      </c>
      <c r="F1299" t="s">
        <v>55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6</v>
      </c>
      <c r="E1300" t="s">
        <v>41</v>
      </c>
      <c r="F1300" t="s">
        <v>55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2</v>
      </c>
      <c r="E1301" t="s">
        <v>41</v>
      </c>
      <c r="F1301" t="s">
        <v>55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4</v>
      </c>
      <c r="E1302" t="s">
        <v>41</v>
      </c>
      <c r="F1302" t="s">
        <v>55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1</v>
      </c>
      <c r="E1303" t="s">
        <v>41</v>
      </c>
      <c r="F1303" t="s">
        <v>55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2</v>
      </c>
      <c r="E1304" t="s">
        <v>41</v>
      </c>
      <c r="F1304" t="s">
        <v>55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3</v>
      </c>
      <c r="E1305" t="s">
        <v>41</v>
      </c>
      <c r="F1305" t="s">
        <v>55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5</v>
      </c>
      <c r="E1306" t="s">
        <v>41</v>
      </c>
      <c r="F1306" t="s">
        <v>55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1</v>
      </c>
      <c r="E1307" t="s">
        <v>41</v>
      </c>
      <c r="F1307" t="s">
        <v>55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1</v>
      </c>
      <c r="E1308" t="s">
        <v>41</v>
      </c>
      <c r="F1308" t="s">
        <v>55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1</v>
      </c>
      <c r="E1309" t="s">
        <v>41</v>
      </c>
      <c r="F1309" t="s">
        <v>55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55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55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55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0</v>
      </c>
      <c r="E1313" t="s">
        <v>41</v>
      </c>
      <c r="F1313" t="s">
        <v>55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55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55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55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55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55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55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55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55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55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55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55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55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55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55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55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55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55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55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55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55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55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55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55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55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55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55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55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55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55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55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55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55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</v>
      </c>
      <c r="E1346" t="s">
        <v>41</v>
      </c>
      <c r="F1346" t="s">
        <v>55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55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55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0</v>
      </c>
      <c r="E1349" t="s">
        <v>41</v>
      </c>
      <c r="F1349" t="s">
        <v>55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55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</v>
      </c>
      <c r="E1351" t="s">
        <v>41</v>
      </c>
      <c r="F1351" t="s">
        <v>55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2479.5500000000002</v>
      </c>
      <c r="E1352" t="s">
        <v>41</v>
      </c>
      <c r="F1352" t="s">
        <v>55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55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55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55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55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55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55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55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55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55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55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55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55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55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55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55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55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55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55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55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55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55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55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55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55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55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55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55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55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55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55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55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55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55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55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55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55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55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55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55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55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55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55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55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55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55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55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55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55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55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55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55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55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55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55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55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55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55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55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55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55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55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55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55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55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55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55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55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55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55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55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55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55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55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55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55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55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55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55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55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55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55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55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55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1</v>
      </c>
      <c r="E1436" t="s">
        <v>41</v>
      </c>
      <c r="F1436" t="s">
        <v>55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55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55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55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55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55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55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55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55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55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55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55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55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55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55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55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55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55</v>
      </c>
    </row>
    <row r="1454" spans="1:6" hidden="1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55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55</v>
      </c>
    </row>
    <row r="1456" spans="1:6" hidden="1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55</v>
      </c>
    </row>
    <row r="1457" spans="1:6" hidden="1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55</v>
      </c>
    </row>
    <row r="1458" spans="1:6" hidden="1" x14ac:dyDescent="0.35">
      <c r="A1458" t="s">
        <v>14</v>
      </c>
      <c r="B1458" t="s">
        <v>54</v>
      </c>
      <c r="C1458" t="s">
        <v>44</v>
      </c>
      <c r="D1458">
        <v>0</v>
      </c>
      <c r="E1458" t="s">
        <v>41</v>
      </c>
      <c r="F1458" t="s">
        <v>55</v>
      </c>
    </row>
    <row r="1459" spans="1:6" hidden="1" x14ac:dyDescent="0.35">
      <c r="A1459" t="s">
        <v>15</v>
      </c>
      <c r="B1459" t="s">
        <v>54</v>
      </c>
      <c r="C1459" t="s">
        <v>44</v>
      </c>
      <c r="D1459">
        <v>0</v>
      </c>
      <c r="E1459" t="s">
        <v>41</v>
      </c>
      <c r="F1459" t="s">
        <v>55</v>
      </c>
    </row>
    <row r="1460" spans="1:6" hidden="1" x14ac:dyDescent="0.35">
      <c r="A1460" t="s">
        <v>16</v>
      </c>
      <c r="B1460" t="s">
        <v>54</v>
      </c>
      <c r="C1460" t="s">
        <v>44</v>
      </c>
      <c r="D1460">
        <v>0</v>
      </c>
      <c r="E1460" t="s">
        <v>41</v>
      </c>
      <c r="F1460" t="s">
        <v>55</v>
      </c>
    </row>
    <row r="1461" spans="1:6" hidden="1" x14ac:dyDescent="0.35">
      <c r="A1461" t="s">
        <v>17</v>
      </c>
      <c r="B1461" t="s">
        <v>54</v>
      </c>
      <c r="C1461" t="s">
        <v>44</v>
      </c>
      <c r="D1461">
        <v>0</v>
      </c>
      <c r="E1461" t="s">
        <v>41</v>
      </c>
      <c r="F1461" t="s">
        <v>55</v>
      </c>
    </row>
    <row r="1462" spans="1:6" hidden="1" x14ac:dyDescent="0.35">
      <c r="A1462" t="s">
        <v>18</v>
      </c>
      <c r="B1462" t="s">
        <v>54</v>
      </c>
      <c r="C1462" t="s">
        <v>44</v>
      </c>
      <c r="D1462">
        <v>0</v>
      </c>
      <c r="E1462" t="s">
        <v>41</v>
      </c>
      <c r="F1462" t="s">
        <v>55</v>
      </c>
    </row>
    <row r="1463" spans="1:6" hidden="1" x14ac:dyDescent="0.35">
      <c r="A1463" t="s">
        <v>19</v>
      </c>
      <c r="B1463" t="s">
        <v>54</v>
      </c>
      <c r="C1463" t="s">
        <v>44</v>
      </c>
      <c r="D1463">
        <v>0</v>
      </c>
      <c r="E1463" t="s">
        <v>41</v>
      </c>
      <c r="F1463" t="s">
        <v>55</v>
      </c>
    </row>
    <row r="1464" spans="1:6" hidden="1" x14ac:dyDescent="0.35">
      <c r="A1464" t="s">
        <v>20</v>
      </c>
      <c r="B1464" t="s">
        <v>54</v>
      </c>
      <c r="C1464" t="s">
        <v>44</v>
      </c>
      <c r="D1464">
        <v>0</v>
      </c>
      <c r="E1464" t="s">
        <v>41</v>
      </c>
      <c r="F1464" t="s">
        <v>55</v>
      </c>
    </row>
    <row r="1465" spans="1:6" hidden="1" x14ac:dyDescent="0.35">
      <c r="A1465" t="s">
        <v>21</v>
      </c>
      <c r="B1465" t="s">
        <v>54</v>
      </c>
      <c r="C1465" t="s">
        <v>44</v>
      </c>
      <c r="D1465">
        <v>0</v>
      </c>
      <c r="E1465" t="s">
        <v>41</v>
      </c>
      <c r="F1465" t="s">
        <v>55</v>
      </c>
    </row>
    <row r="1466" spans="1:6" hidden="1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55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55</v>
      </c>
    </row>
    <row r="1468" spans="1:6" hidden="1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55</v>
      </c>
    </row>
    <row r="1469" spans="1:6" hidden="1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55</v>
      </c>
    </row>
    <row r="1470" spans="1:6" hidden="1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55</v>
      </c>
    </row>
    <row r="1471" spans="1:6" hidden="1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55</v>
      </c>
    </row>
    <row r="1472" spans="1:6" hidden="1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55</v>
      </c>
    </row>
    <row r="1473" spans="1:6" hidden="1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55</v>
      </c>
    </row>
    <row r="1474" spans="1:6" hidden="1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55</v>
      </c>
    </row>
    <row r="1475" spans="1:6" hidden="1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55</v>
      </c>
    </row>
    <row r="1476" spans="1:6" hidden="1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55</v>
      </c>
    </row>
    <row r="1477" spans="1:6" hidden="1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55</v>
      </c>
    </row>
    <row r="1478" spans="1:6" hidden="1" x14ac:dyDescent="0.35">
      <c r="A1478" t="s">
        <v>6</v>
      </c>
      <c r="B1478" t="s">
        <v>54</v>
      </c>
      <c r="C1478" t="s">
        <v>46</v>
      </c>
      <c r="D1478">
        <v>37048</v>
      </c>
      <c r="E1478" t="s">
        <v>41</v>
      </c>
      <c r="F1478" t="s">
        <v>55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51341</v>
      </c>
      <c r="E1479" t="s">
        <v>41</v>
      </c>
      <c r="F1479" t="s">
        <v>55</v>
      </c>
    </row>
    <row r="1480" spans="1:6" hidden="1" x14ac:dyDescent="0.35">
      <c r="A1480" t="s">
        <v>12</v>
      </c>
      <c r="B1480" t="s">
        <v>54</v>
      </c>
      <c r="C1480" t="s">
        <v>46</v>
      </c>
      <c r="D1480">
        <v>101609.60000000001</v>
      </c>
      <c r="E1480" t="s">
        <v>41</v>
      </c>
      <c r="F1480" t="s">
        <v>55</v>
      </c>
    </row>
    <row r="1481" spans="1:6" hidden="1" x14ac:dyDescent="0.35">
      <c r="A1481" t="s">
        <v>13</v>
      </c>
      <c r="B1481" t="s">
        <v>54</v>
      </c>
      <c r="C1481" t="s">
        <v>46</v>
      </c>
      <c r="D1481">
        <v>37366</v>
      </c>
      <c r="E1481" t="s">
        <v>41</v>
      </c>
      <c r="F1481" t="s">
        <v>55</v>
      </c>
    </row>
    <row r="1482" spans="1:6" hidden="1" x14ac:dyDescent="0.35">
      <c r="A1482" t="s">
        <v>14</v>
      </c>
      <c r="B1482" t="s">
        <v>54</v>
      </c>
      <c r="C1482" t="s">
        <v>46</v>
      </c>
      <c r="D1482">
        <v>114952</v>
      </c>
      <c r="E1482" t="s">
        <v>41</v>
      </c>
      <c r="F1482" t="s">
        <v>55</v>
      </c>
    </row>
    <row r="1483" spans="1:6" hidden="1" x14ac:dyDescent="0.35">
      <c r="A1483" t="s">
        <v>15</v>
      </c>
      <c r="B1483" t="s">
        <v>54</v>
      </c>
      <c r="C1483" t="s">
        <v>46</v>
      </c>
      <c r="D1483">
        <v>34700</v>
      </c>
      <c r="E1483" t="s">
        <v>41</v>
      </c>
      <c r="F1483" t="s">
        <v>55</v>
      </c>
    </row>
    <row r="1484" spans="1:6" hidden="1" x14ac:dyDescent="0.35">
      <c r="A1484" t="s">
        <v>16</v>
      </c>
      <c r="B1484" t="s">
        <v>54</v>
      </c>
      <c r="C1484" t="s">
        <v>46</v>
      </c>
      <c r="D1484">
        <v>105574</v>
      </c>
      <c r="E1484" t="s">
        <v>41</v>
      </c>
      <c r="F1484" t="s">
        <v>55</v>
      </c>
    </row>
    <row r="1485" spans="1:6" hidden="1" x14ac:dyDescent="0.35">
      <c r="A1485" t="s">
        <v>17</v>
      </c>
      <c r="B1485" t="s">
        <v>54</v>
      </c>
      <c r="C1485" t="s">
        <v>46</v>
      </c>
      <c r="D1485">
        <v>59275</v>
      </c>
      <c r="E1485" t="s">
        <v>41</v>
      </c>
      <c r="F1485" t="s">
        <v>55</v>
      </c>
    </row>
    <row r="1486" spans="1:6" hidden="1" x14ac:dyDescent="0.35">
      <c r="A1486" t="s">
        <v>18</v>
      </c>
      <c r="B1486" t="s">
        <v>54</v>
      </c>
      <c r="C1486" t="s">
        <v>46</v>
      </c>
      <c r="D1486">
        <v>55399</v>
      </c>
      <c r="E1486" t="s">
        <v>41</v>
      </c>
      <c r="F1486" t="s">
        <v>55</v>
      </c>
    </row>
    <row r="1487" spans="1:6" hidden="1" x14ac:dyDescent="0.35">
      <c r="A1487" t="s">
        <v>19</v>
      </c>
      <c r="B1487" t="s">
        <v>54</v>
      </c>
      <c r="C1487" t="s">
        <v>46</v>
      </c>
      <c r="D1487">
        <v>65633</v>
      </c>
      <c r="E1487" t="s">
        <v>41</v>
      </c>
      <c r="F1487" t="s">
        <v>55</v>
      </c>
    </row>
    <row r="1488" spans="1:6" hidden="1" x14ac:dyDescent="0.35">
      <c r="A1488" t="s">
        <v>20</v>
      </c>
      <c r="B1488" t="s">
        <v>54</v>
      </c>
      <c r="C1488" t="s">
        <v>46</v>
      </c>
      <c r="D1488">
        <v>28922</v>
      </c>
      <c r="E1488" t="s">
        <v>41</v>
      </c>
      <c r="F1488" t="s">
        <v>55</v>
      </c>
    </row>
    <row r="1489" spans="1:6" hidden="1" x14ac:dyDescent="0.35">
      <c r="A1489" t="s">
        <v>21</v>
      </c>
      <c r="B1489" t="s">
        <v>54</v>
      </c>
      <c r="C1489" t="s">
        <v>46</v>
      </c>
      <c r="D1489">
        <v>9547</v>
      </c>
      <c r="E1489" t="s">
        <v>41</v>
      </c>
      <c r="F1489" t="s">
        <v>55</v>
      </c>
    </row>
    <row r="1490" spans="1:6" hidden="1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55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55</v>
      </c>
    </row>
    <row r="1492" spans="1:6" hidden="1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55</v>
      </c>
    </row>
    <row r="1493" spans="1:6" hidden="1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55</v>
      </c>
    </row>
    <row r="1494" spans="1:6" hidden="1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55</v>
      </c>
    </row>
    <row r="1495" spans="1:6" hidden="1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55</v>
      </c>
    </row>
    <row r="1496" spans="1:6" hidden="1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55</v>
      </c>
    </row>
    <row r="1497" spans="1:6" hidden="1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55</v>
      </c>
    </row>
    <row r="1498" spans="1:6" hidden="1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55</v>
      </c>
    </row>
    <row r="1499" spans="1:6" hidden="1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55</v>
      </c>
    </row>
    <row r="1500" spans="1:6" hidden="1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55</v>
      </c>
    </row>
    <row r="1501" spans="1:6" hidden="1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55</v>
      </c>
    </row>
    <row r="1502" spans="1:6" hidden="1" x14ac:dyDescent="0.35">
      <c r="A1502" t="s">
        <v>6</v>
      </c>
      <c r="B1502" t="s">
        <v>54</v>
      </c>
      <c r="C1502" t="s">
        <v>47</v>
      </c>
      <c r="D1502">
        <v>0</v>
      </c>
      <c r="E1502" t="s">
        <v>41</v>
      </c>
      <c r="F1502" t="s">
        <v>55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0</v>
      </c>
      <c r="E1503" t="s">
        <v>41</v>
      </c>
      <c r="F1503" t="s">
        <v>55</v>
      </c>
    </row>
    <row r="1504" spans="1:6" hidden="1" x14ac:dyDescent="0.35">
      <c r="A1504" t="s">
        <v>12</v>
      </c>
      <c r="B1504" t="s">
        <v>54</v>
      </c>
      <c r="C1504" t="s">
        <v>47</v>
      </c>
      <c r="D1504">
        <v>0</v>
      </c>
      <c r="E1504" t="s">
        <v>41</v>
      </c>
      <c r="F1504" t="s">
        <v>55</v>
      </c>
    </row>
    <row r="1505" spans="1:6" hidden="1" x14ac:dyDescent="0.35">
      <c r="A1505" t="s">
        <v>13</v>
      </c>
      <c r="B1505" t="s">
        <v>54</v>
      </c>
      <c r="C1505" t="s">
        <v>47</v>
      </c>
      <c r="D1505">
        <v>0</v>
      </c>
      <c r="E1505" t="s">
        <v>41</v>
      </c>
      <c r="F1505" t="s">
        <v>55</v>
      </c>
    </row>
    <row r="1506" spans="1:6" hidden="1" x14ac:dyDescent="0.35">
      <c r="A1506" t="s">
        <v>14</v>
      </c>
      <c r="B1506" t="s">
        <v>54</v>
      </c>
      <c r="C1506" t="s">
        <v>47</v>
      </c>
      <c r="D1506">
        <v>0</v>
      </c>
      <c r="E1506" t="s">
        <v>41</v>
      </c>
      <c r="F1506" t="s">
        <v>55</v>
      </c>
    </row>
    <row r="1507" spans="1:6" hidden="1" x14ac:dyDescent="0.35">
      <c r="A1507" t="s">
        <v>15</v>
      </c>
      <c r="B1507" t="s">
        <v>54</v>
      </c>
      <c r="C1507" t="s">
        <v>47</v>
      </c>
      <c r="D1507">
        <v>0</v>
      </c>
      <c r="E1507" t="s">
        <v>41</v>
      </c>
      <c r="F1507" t="s">
        <v>55</v>
      </c>
    </row>
    <row r="1508" spans="1:6" hidden="1" x14ac:dyDescent="0.35">
      <c r="A1508" t="s">
        <v>16</v>
      </c>
      <c r="B1508" t="s">
        <v>54</v>
      </c>
      <c r="C1508" t="s">
        <v>47</v>
      </c>
      <c r="D1508">
        <v>0</v>
      </c>
      <c r="E1508" t="s">
        <v>41</v>
      </c>
      <c r="F1508" t="s">
        <v>55</v>
      </c>
    </row>
    <row r="1509" spans="1:6" hidden="1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55</v>
      </c>
    </row>
    <row r="1510" spans="1:6" hidden="1" x14ac:dyDescent="0.35">
      <c r="A1510" t="s">
        <v>18</v>
      </c>
      <c r="B1510" t="s">
        <v>54</v>
      </c>
      <c r="C1510" t="s">
        <v>47</v>
      </c>
      <c r="D1510">
        <v>0</v>
      </c>
      <c r="E1510" t="s">
        <v>41</v>
      </c>
      <c r="F1510" t="s">
        <v>55</v>
      </c>
    </row>
    <row r="1511" spans="1:6" hidden="1" x14ac:dyDescent="0.35">
      <c r="A1511" t="s">
        <v>19</v>
      </c>
      <c r="B1511" t="s">
        <v>54</v>
      </c>
      <c r="C1511" t="s">
        <v>47</v>
      </c>
      <c r="D1511">
        <v>0</v>
      </c>
      <c r="E1511" t="s">
        <v>41</v>
      </c>
      <c r="F1511" t="s">
        <v>55</v>
      </c>
    </row>
    <row r="1512" spans="1:6" hidden="1" x14ac:dyDescent="0.35">
      <c r="A1512" t="s">
        <v>20</v>
      </c>
      <c r="B1512" t="s">
        <v>54</v>
      </c>
      <c r="C1512" t="s">
        <v>47</v>
      </c>
      <c r="D1512">
        <v>0</v>
      </c>
      <c r="E1512" t="s">
        <v>41</v>
      </c>
      <c r="F1512" t="s">
        <v>55</v>
      </c>
    </row>
    <row r="1513" spans="1:6" hidden="1" x14ac:dyDescent="0.35">
      <c r="A1513" t="s">
        <v>21</v>
      </c>
      <c r="B1513" t="s">
        <v>54</v>
      </c>
      <c r="C1513" t="s">
        <v>47</v>
      </c>
      <c r="D1513">
        <v>0</v>
      </c>
      <c r="E1513" t="s">
        <v>41</v>
      </c>
      <c r="F1513" t="s">
        <v>55</v>
      </c>
    </row>
    <row r="1514" spans="1:6" hidden="1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55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55</v>
      </c>
    </row>
    <row r="1516" spans="1:6" hidden="1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55</v>
      </c>
    </row>
    <row r="1517" spans="1:6" hidden="1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55</v>
      </c>
    </row>
    <row r="1518" spans="1:6" hidden="1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55</v>
      </c>
    </row>
    <row r="1519" spans="1:6" hidden="1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55</v>
      </c>
    </row>
    <row r="1520" spans="1:6" hidden="1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55</v>
      </c>
    </row>
    <row r="1521" spans="1:6" hidden="1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55</v>
      </c>
    </row>
    <row r="1522" spans="1:6" hidden="1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55</v>
      </c>
    </row>
    <row r="1523" spans="1:6" hidden="1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55</v>
      </c>
    </row>
    <row r="1524" spans="1:6" hidden="1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55</v>
      </c>
    </row>
    <row r="1525" spans="1:6" hidden="1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55</v>
      </c>
    </row>
    <row r="1526" spans="1:6" hidden="1" x14ac:dyDescent="0.35">
      <c r="A1526" t="s">
        <v>6</v>
      </c>
      <c r="B1526" t="s">
        <v>54</v>
      </c>
      <c r="C1526" t="s">
        <v>49</v>
      </c>
      <c r="D1526">
        <v>24948</v>
      </c>
      <c r="E1526" t="s">
        <v>41</v>
      </c>
      <c r="F1526" t="s">
        <v>55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20749</v>
      </c>
      <c r="E1527" t="s">
        <v>41</v>
      </c>
      <c r="F1527" t="s">
        <v>55</v>
      </c>
    </row>
    <row r="1528" spans="1:6" hidden="1" x14ac:dyDescent="0.35">
      <c r="A1528" t="s">
        <v>12</v>
      </c>
      <c r="B1528" t="s">
        <v>54</v>
      </c>
      <c r="C1528" t="s">
        <v>49</v>
      </c>
      <c r="D1528">
        <v>15353</v>
      </c>
      <c r="E1528" t="s">
        <v>41</v>
      </c>
      <c r="F1528" t="s">
        <v>55</v>
      </c>
    </row>
    <row r="1529" spans="1:6" hidden="1" x14ac:dyDescent="0.35">
      <c r="A1529" t="s">
        <v>13</v>
      </c>
      <c r="B1529" t="s">
        <v>54</v>
      </c>
      <c r="C1529" t="s">
        <v>49</v>
      </c>
      <c r="D1529">
        <v>23450</v>
      </c>
      <c r="E1529" t="s">
        <v>41</v>
      </c>
      <c r="F1529" t="s">
        <v>55</v>
      </c>
    </row>
    <row r="1530" spans="1:6" hidden="1" x14ac:dyDescent="0.35">
      <c r="A1530" t="s">
        <v>14</v>
      </c>
      <c r="B1530" t="s">
        <v>54</v>
      </c>
      <c r="C1530" t="s">
        <v>49</v>
      </c>
      <c r="D1530">
        <v>27880</v>
      </c>
      <c r="E1530" t="s">
        <v>41</v>
      </c>
      <c r="F1530" t="s">
        <v>55</v>
      </c>
    </row>
    <row r="1531" spans="1:6" hidden="1" x14ac:dyDescent="0.35">
      <c r="A1531" t="s">
        <v>15</v>
      </c>
      <c r="B1531" t="s">
        <v>54</v>
      </c>
      <c r="C1531" t="s">
        <v>49</v>
      </c>
      <c r="D1531">
        <v>28605</v>
      </c>
      <c r="E1531" t="s">
        <v>41</v>
      </c>
      <c r="F1531" t="s">
        <v>55</v>
      </c>
    </row>
    <row r="1532" spans="1:6" hidden="1" x14ac:dyDescent="0.35">
      <c r="A1532" t="s">
        <v>16</v>
      </c>
      <c r="B1532" t="s">
        <v>54</v>
      </c>
      <c r="C1532" t="s">
        <v>49</v>
      </c>
      <c r="D1532">
        <v>10123</v>
      </c>
      <c r="E1532" t="s">
        <v>41</v>
      </c>
      <c r="F1532" t="s">
        <v>55</v>
      </c>
    </row>
    <row r="1533" spans="1:6" hidden="1" x14ac:dyDescent="0.35">
      <c r="A1533" t="s">
        <v>17</v>
      </c>
      <c r="B1533" t="s">
        <v>54</v>
      </c>
      <c r="C1533" t="s">
        <v>49</v>
      </c>
      <c r="D1533">
        <v>20757</v>
      </c>
      <c r="E1533" t="s">
        <v>41</v>
      </c>
      <c r="F1533" t="s">
        <v>55</v>
      </c>
    </row>
    <row r="1534" spans="1:6" hidden="1" x14ac:dyDescent="0.35">
      <c r="A1534" t="s">
        <v>18</v>
      </c>
      <c r="B1534" t="s">
        <v>54</v>
      </c>
      <c r="C1534" t="s">
        <v>49</v>
      </c>
      <c r="D1534">
        <v>33334</v>
      </c>
      <c r="E1534" t="s">
        <v>41</v>
      </c>
      <c r="F1534" t="s">
        <v>55</v>
      </c>
    </row>
    <row r="1535" spans="1:6" hidden="1" x14ac:dyDescent="0.35">
      <c r="A1535" t="s">
        <v>19</v>
      </c>
      <c r="B1535" t="s">
        <v>54</v>
      </c>
      <c r="C1535" t="s">
        <v>49</v>
      </c>
      <c r="D1535">
        <v>34215</v>
      </c>
      <c r="E1535" t="s">
        <v>41</v>
      </c>
      <c r="F1535" t="s">
        <v>55</v>
      </c>
    </row>
    <row r="1536" spans="1:6" hidden="1" x14ac:dyDescent="0.35">
      <c r="A1536" t="s">
        <v>20</v>
      </c>
      <c r="B1536" t="s">
        <v>54</v>
      </c>
      <c r="C1536" t="s">
        <v>49</v>
      </c>
      <c r="D1536">
        <v>35082</v>
      </c>
      <c r="E1536" t="s">
        <v>41</v>
      </c>
      <c r="F1536" t="s">
        <v>55</v>
      </c>
    </row>
    <row r="1537" spans="1:6" hidden="1" x14ac:dyDescent="0.35">
      <c r="A1537" t="s">
        <v>21</v>
      </c>
      <c r="B1537" t="s">
        <v>54</v>
      </c>
      <c r="C1537" t="s">
        <v>49</v>
      </c>
      <c r="D1537">
        <v>26074</v>
      </c>
      <c r="E1537" t="s">
        <v>41</v>
      </c>
      <c r="F1537" t="s">
        <v>55</v>
      </c>
    </row>
    <row r="1538" spans="1:6" hidden="1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55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55</v>
      </c>
    </row>
    <row r="1540" spans="1:6" hidden="1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55</v>
      </c>
    </row>
    <row r="1541" spans="1:6" hidden="1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55</v>
      </c>
    </row>
    <row r="1542" spans="1:6" hidden="1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55</v>
      </c>
    </row>
    <row r="1543" spans="1:6" hidden="1" x14ac:dyDescent="0.35">
      <c r="A1543" t="s">
        <v>15</v>
      </c>
      <c r="B1543" t="s">
        <v>54</v>
      </c>
      <c r="C1543" t="s">
        <v>50</v>
      </c>
      <c r="D1543">
        <v>0</v>
      </c>
      <c r="E1543" t="s">
        <v>41</v>
      </c>
      <c r="F1543" t="s">
        <v>55</v>
      </c>
    </row>
    <row r="1544" spans="1:6" hidden="1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55</v>
      </c>
    </row>
    <row r="1545" spans="1:6" hidden="1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55</v>
      </c>
    </row>
    <row r="1546" spans="1:6" hidden="1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55</v>
      </c>
    </row>
    <row r="1547" spans="1:6" hidden="1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55</v>
      </c>
    </row>
    <row r="1548" spans="1:6" hidden="1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55</v>
      </c>
    </row>
    <row r="1549" spans="1:6" hidden="1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55</v>
      </c>
    </row>
    <row r="1550" spans="1:6" x14ac:dyDescent="0.35">
      <c r="A1550" t="s">
        <v>6</v>
      </c>
      <c r="B1550" t="s">
        <v>54</v>
      </c>
      <c r="C1550" t="s">
        <v>51</v>
      </c>
      <c r="D1550">
        <v>118</v>
      </c>
      <c r="E1550" t="s">
        <v>41</v>
      </c>
      <c r="F1550" t="s">
        <v>55</v>
      </c>
    </row>
    <row r="1551" spans="1:6" x14ac:dyDescent="0.35">
      <c r="A1551" t="s">
        <v>11</v>
      </c>
      <c r="B1551" t="s">
        <v>54</v>
      </c>
      <c r="C1551" t="s">
        <v>51</v>
      </c>
      <c r="D1551">
        <v>100</v>
      </c>
      <c r="E1551" t="s">
        <v>41</v>
      </c>
      <c r="F1551" t="s">
        <v>55</v>
      </c>
    </row>
    <row r="1552" spans="1:6" x14ac:dyDescent="0.35">
      <c r="A1552" t="s">
        <v>12</v>
      </c>
      <c r="B1552" t="s">
        <v>54</v>
      </c>
      <c r="C1552" t="s">
        <v>51</v>
      </c>
      <c r="D1552">
        <v>101</v>
      </c>
      <c r="E1552" t="s">
        <v>41</v>
      </c>
      <c r="F1552" t="s">
        <v>55</v>
      </c>
    </row>
    <row r="1553" spans="1:6" x14ac:dyDescent="0.35">
      <c r="A1553" t="s">
        <v>13</v>
      </c>
      <c r="B1553" t="s">
        <v>54</v>
      </c>
      <c r="C1553" t="s">
        <v>51</v>
      </c>
      <c r="D1553">
        <v>119</v>
      </c>
      <c r="E1553" t="s">
        <v>41</v>
      </c>
      <c r="F1553" t="s">
        <v>55</v>
      </c>
    </row>
    <row r="1554" spans="1:6" x14ac:dyDescent="0.35">
      <c r="A1554" t="s">
        <v>14</v>
      </c>
      <c r="B1554" t="s">
        <v>54</v>
      </c>
      <c r="C1554" t="s">
        <v>51</v>
      </c>
      <c r="D1554">
        <v>119</v>
      </c>
      <c r="E1554" t="s">
        <v>41</v>
      </c>
      <c r="F1554" t="s">
        <v>55</v>
      </c>
    </row>
    <row r="1555" spans="1:6" x14ac:dyDescent="0.35">
      <c r="A1555" t="s">
        <v>15</v>
      </c>
      <c r="B1555" t="s">
        <v>54</v>
      </c>
      <c r="C1555" t="s">
        <v>51</v>
      </c>
      <c r="D1555">
        <v>106</v>
      </c>
      <c r="E1555" t="s">
        <v>41</v>
      </c>
      <c r="F1555" t="s">
        <v>55</v>
      </c>
    </row>
    <row r="1556" spans="1:6" x14ac:dyDescent="0.35">
      <c r="A1556" t="s">
        <v>16</v>
      </c>
      <c r="B1556" t="s">
        <v>54</v>
      </c>
      <c r="C1556" t="s">
        <v>51</v>
      </c>
      <c r="D1556">
        <v>100</v>
      </c>
      <c r="E1556" t="s">
        <v>41</v>
      </c>
      <c r="F1556" t="s">
        <v>55</v>
      </c>
    </row>
    <row r="1557" spans="1:6" x14ac:dyDescent="0.35">
      <c r="A1557" t="s">
        <v>17</v>
      </c>
      <c r="B1557" t="s">
        <v>54</v>
      </c>
      <c r="C1557" t="s">
        <v>51</v>
      </c>
      <c r="D1557">
        <v>106</v>
      </c>
      <c r="E1557" t="s">
        <v>41</v>
      </c>
      <c r="F1557" t="s">
        <v>55</v>
      </c>
    </row>
    <row r="1558" spans="1:6" x14ac:dyDescent="0.35">
      <c r="A1558" t="s">
        <v>18</v>
      </c>
      <c r="B1558" t="s">
        <v>54</v>
      </c>
      <c r="C1558" t="s">
        <v>51</v>
      </c>
      <c r="D1558">
        <v>79</v>
      </c>
      <c r="E1558" t="s">
        <v>41</v>
      </c>
      <c r="F1558" t="s">
        <v>55</v>
      </c>
    </row>
    <row r="1559" spans="1:6" x14ac:dyDescent="0.35">
      <c r="A1559" t="s">
        <v>19</v>
      </c>
      <c r="B1559" t="s">
        <v>54</v>
      </c>
      <c r="C1559" t="s">
        <v>51</v>
      </c>
      <c r="D1559">
        <v>87</v>
      </c>
      <c r="E1559" t="s">
        <v>41</v>
      </c>
      <c r="F1559" t="s">
        <v>55</v>
      </c>
    </row>
    <row r="1560" spans="1:6" x14ac:dyDescent="0.35">
      <c r="A1560" t="s">
        <v>20</v>
      </c>
      <c r="B1560" t="s">
        <v>54</v>
      </c>
      <c r="C1560" t="s">
        <v>51</v>
      </c>
      <c r="D1560">
        <v>57</v>
      </c>
      <c r="E1560" t="s">
        <v>41</v>
      </c>
      <c r="F1560" t="s">
        <v>55</v>
      </c>
    </row>
    <row r="1561" spans="1:6" x14ac:dyDescent="0.35">
      <c r="A1561" t="s">
        <v>21</v>
      </c>
      <c r="B1561" t="s">
        <v>54</v>
      </c>
      <c r="C1561" t="s">
        <v>51</v>
      </c>
      <c r="D1561">
        <v>41</v>
      </c>
      <c r="E1561" t="s">
        <v>41</v>
      </c>
      <c r="F1561" t="s">
        <v>55</v>
      </c>
    </row>
    <row r="1562" spans="1:6" hidden="1" x14ac:dyDescent="0.35">
      <c r="A1562" t="s">
        <v>6</v>
      </c>
      <c r="B1562" t="s">
        <v>54</v>
      </c>
      <c r="C1562" t="s">
        <v>30</v>
      </c>
      <c r="D1562">
        <v>36</v>
      </c>
      <c r="E1562" t="s">
        <v>41</v>
      </c>
      <c r="F1562" t="s">
        <v>55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27</v>
      </c>
      <c r="E1563" t="s">
        <v>41</v>
      </c>
      <c r="F1563" t="s">
        <v>55</v>
      </c>
    </row>
    <row r="1564" spans="1:6" hidden="1" x14ac:dyDescent="0.35">
      <c r="A1564" t="s">
        <v>12</v>
      </c>
      <c r="B1564" t="s">
        <v>54</v>
      </c>
      <c r="C1564" t="s">
        <v>30</v>
      </c>
      <c r="D1564">
        <v>33</v>
      </c>
      <c r="E1564" t="s">
        <v>41</v>
      </c>
      <c r="F1564" t="s">
        <v>55</v>
      </c>
    </row>
    <row r="1565" spans="1:6" hidden="1" x14ac:dyDescent="0.35">
      <c r="A1565" t="s">
        <v>13</v>
      </c>
      <c r="B1565" t="s">
        <v>54</v>
      </c>
      <c r="C1565" t="s">
        <v>30</v>
      </c>
      <c r="D1565">
        <v>25</v>
      </c>
      <c r="E1565" t="s">
        <v>41</v>
      </c>
      <c r="F1565" t="s">
        <v>55</v>
      </c>
    </row>
    <row r="1566" spans="1:6" hidden="1" x14ac:dyDescent="0.35">
      <c r="A1566" t="s">
        <v>14</v>
      </c>
      <c r="B1566" t="s">
        <v>54</v>
      </c>
      <c r="C1566" t="s">
        <v>30</v>
      </c>
      <c r="D1566">
        <v>30</v>
      </c>
      <c r="E1566" t="s">
        <v>41</v>
      </c>
      <c r="F1566" t="s">
        <v>55</v>
      </c>
    </row>
    <row r="1567" spans="1:6" hidden="1" x14ac:dyDescent="0.35">
      <c r="A1567" t="s">
        <v>15</v>
      </c>
      <c r="B1567" t="s">
        <v>54</v>
      </c>
      <c r="C1567" t="s">
        <v>30</v>
      </c>
      <c r="D1567">
        <v>26</v>
      </c>
      <c r="E1567" t="s">
        <v>41</v>
      </c>
      <c r="F1567" t="s">
        <v>55</v>
      </c>
    </row>
    <row r="1568" spans="1:6" hidden="1" x14ac:dyDescent="0.35">
      <c r="A1568" t="s">
        <v>16</v>
      </c>
      <c r="B1568" t="s">
        <v>54</v>
      </c>
      <c r="C1568" t="s">
        <v>30</v>
      </c>
      <c r="D1568">
        <v>19</v>
      </c>
      <c r="E1568" t="s">
        <v>41</v>
      </c>
      <c r="F1568" t="s">
        <v>55</v>
      </c>
    </row>
    <row r="1569" spans="1:6" hidden="1" x14ac:dyDescent="0.35">
      <c r="A1569" t="s">
        <v>17</v>
      </c>
      <c r="B1569" t="s">
        <v>54</v>
      </c>
      <c r="C1569" t="s">
        <v>30</v>
      </c>
      <c r="D1569">
        <v>28</v>
      </c>
      <c r="E1569" t="s">
        <v>41</v>
      </c>
      <c r="F1569" t="s">
        <v>55</v>
      </c>
    </row>
    <row r="1570" spans="1:6" hidden="1" x14ac:dyDescent="0.35">
      <c r="A1570" t="s">
        <v>18</v>
      </c>
      <c r="B1570" t="s">
        <v>54</v>
      </c>
      <c r="C1570" t="s">
        <v>30</v>
      </c>
      <c r="D1570">
        <v>33</v>
      </c>
      <c r="E1570" t="s">
        <v>41</v>
      </c>
      <c r="F1570" t="s">
        <v>55</v>
      </c>
    </row>
    <row r="1571" spans="1:6" hidden="1" x14ac:dyDescent="0.35">
      <c r="A1571" t="s">
        <v>19</v>
      </c>
      <c r="B1571" t="s">
        <v>54</v>
      </c>
      <c r="C1571" t="s">
        <v>30</v>
      </c>
      <c r="D1571">
        <v>24</v>
      </c>
      <c r="E1571" t="s">
        <v>41</v>
      </c>
      <c r="F1571" t="s">
        <v>55</v>
      </c>
    </row>
    <row r="1572" spans="1:6" hidden="1" x14ac:dyDescent="0.35">
      <c r="A1572" t="s">
        <v>20</v>
      </c>
      <c r="B1572" t="s">
        <v>54</v>
      </c>
      <c r="C1572" t="s">
        <v>30</v>
      </c>
      <c r="D1572">
        <v>27</v>
      </c>
      <c r="E1572" t="s">
        <v>41</v>
      </c>
      <c r="F1572" t="s">
        <v>55</v>
      </c>
    </row>
    <row r="1573" spans="1:6" hidden="1" x14ac:dyDescent="0.35">
      <c r="A1573" t="s">
        <v>21</v>
      </c>
      <c r="B1573" t="s">
        <v>54</v>
      </c>
      <c r="C1573" t="s">
        <v>30</v>
      </c>
      <c r="D1573">
        <v>19</v>
      </c>
      <c r="E1573" t="s">
        <v>41</v>
      </c>
      <c r="F1573" t="s">
        <v>55</v>
      </c>
    </row>
    <row r="1574" spans="1:6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55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55</v>
      </c>
    </row>
    <row r="1576" spans="1:6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55</v>
      </c>
    </row>
    <row r="1577" spans="1:6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55</v>
      </c>
    </row>
    <row r="1578" spans="1:6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55</v>
      </c>
    </row>
    <row r="1579" spans="1:6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55</v>
      </c>
    </row>
    <row r="1580" spans="1:6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55</v>
      </c>
    </row>
    <row r="1581" spans="1:6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55</v>
      </c>
    </row>
    <row r="1582" spans="1:6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55</v>
      </c>
    </row>
    <row r="1583" spans="1:6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55</v>
      </c>
    </row>
    <row r="1584" spans="1:6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55</v>
      </c>
    </row>
    <row r="1585" spans="1:6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55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55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55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55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55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55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55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55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55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55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55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0</v>
      </c>
      <c r="E1596" t="s">
        <v>42</v>
      </c>
      <c r="F1596" t="s">
        <v>55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55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55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55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55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55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55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55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55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55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55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55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55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55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55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55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55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55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55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55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55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0</v>
      </c>
      <c r="E1617" t="s">
        <v>42</v>
      </c>
      <c r="F1617" t="s">
        <v>55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0</v>
      </c>
      <c r="E1618" t="s">
        <v>42</v>
      </c>
      <c r="F1618" t="s">
        <v>55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0</v>
      </c>
      <c r="E1619" t="s">
        <v>42</v>
      </c>
      <c r="F1619" t="s">
        <v>55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0</v>
      </c>
      <c r="E1620" t="s">
        <v>42</v>
      </c>
      <c r="F1620" t="s">
        <v>55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0</v>
      </c>
      <c r="E1621" t="s">
        <v>42</v>
      </c>
      <c r="F1621" t="s">
        <v>55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55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55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55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55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55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55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55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55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55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55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55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55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55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55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55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55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55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55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55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55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55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55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55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0</v>
      </c>
      <c r="E1645" t="s">
        <v>42</v>
      </c>
      <c r="F1645" t="s">
        <v>55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55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55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55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55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55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55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55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55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55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55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55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55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55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55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55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55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55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55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55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0</v>
      </c>
      <c r="E1665" t="s">
        <v>42</v>
      </c>
      <c r="F1665" t="s">
        <v>55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55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55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0</v>
      </c>
      <c r="E1668" t="s">
        <v>42</v>
      </c>
      <c r="F1668" t="s">
        <v>55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55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55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55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55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55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55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55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55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55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55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55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55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55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1</v>
      </c>
      <c r="E1682" t="s">
        <v>42</v>
      </c>
      <c r="F1682" t="s">
        <v>55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4</v>
      </c>
      <c r="E1683" t="s">
        <v>42</v>
      </c>
      <c r="F1683" t="s">
        <v>55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55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1</v>
      </c>
      <c r="E1685" t="s">
        <v>42</v>
      </c>
      <c r="F1685" t="s">
        <v>55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0</v>
      </c>
      <c r="E1686" t="s">
        <v>42</v>
      </c>
      <c r="F1686" t="s">
        <v>55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55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1</v>
      </c>
      <c r="E1688" t="s">
        <v>42</v>
      </c>
      <c r="F1688" t="s">
        <v>55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0</v>
      </c>
      <c r="E1689" t="s">
        <v>42</v>
      </c>
      <c r="F1689" t="s">
        <v>55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2</v>
      </c>
      <c r="E1690" t="s">
        <v>42</v>
      </c>
      <c r="F1690" t="s">
        <v>55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0</v>
      </c>
      <c r="E1691" t="s">
        <v>42</v>
      </c>
      <c r="F1691" t="s">
        <v>55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1</v>
      </c>
      <c r="E1692" t="s">
        <v>42</v>
      </c>
      <c r="F1692" t="s">
        <v>55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0</v>
      </c>
      <c r="E1693" t="s">
        <v>42</v>
      </c>
      <c r="F1693" t="s">
        <v>55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55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55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55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55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55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55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55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0</v>
      </c>
      <c r="E1701" t="s">
        <v>42</v>
      </c>
      <c r="F1701" t="s">
        <v>55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0</v>
      </c>
      <c r="E1702" t="s">
        <v>42</v>
      </c>
      <c r="F1702" t="s">
        <v>55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0</v>
      </c>
      <c r="E1703" t="s">
        <v>42</v>
      </c>
      <c r="F1703" t="s">
        <v>55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0</v>
      </c>
      <c r="E1704" t="s">
        <v>42</v>
      </c>
      <c r="F1704" t="s">
        <v>55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0</v>
      </c>
      <c r="E1705" t="s">
        <v>42</v>
      </c>
      <c r="F1705" t="s">
        <v>55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55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55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55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55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55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55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55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55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55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55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55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55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55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55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55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55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55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4158.46</v>
      </c>
      <c r="E1723" t="s">
        <v>42</v>
      </c>
      <c r="F1723" t="s">
        <v>55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0</v>
      </c>
      <c r="E1724" t="s">
        <v>42</v>
      </c>
      <c r="F1724" t="s">
        <v>55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0</v>
      </c>
      <c r="E1725" t="s">
        <v>42</v>
      </c>
      <c r="F1725" t="s">
        <v>55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0</v>
      </c>
      <c r="E1726" t="s">
        <v>42</v>
      </c>
      <c r="F1726" t="s">
        <v>55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0</v>
      </c>
      <c r="E1727" t="s">
        <v>42</v>
      </c>
      <c r="F1727" t="s">
        <v>55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0</v>
      </c>
      <c r="E1728" t="s">
        <v>42</v>
      </c>
      <c r="F1728" t="s">
        <v>55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0</v>
      </c>
      <c r="E1729" t="s">
        <v>42</v>
      </c>
      <c r="F1729" t="s">
        <v>55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55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55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55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55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55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55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55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55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55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55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55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55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15924</v>
      </c>
      <c r="E1742" t="s">
        <v>42</v>
      </c>
      <c r="F1742" t="s">
        <v>55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287735</v>
      </c>
      <c r="E1743" t="s">
        <v>42</v>
      </c>
      <c r="F1743" t="s">
        <v>55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374301.22</v>
      </c>
      <c r="E1744" t="s">
        <v>42</v>
      </c>
      <c r="F1744" t="s">
        <v>55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30967</v>
      </c>
      <c r="E1745" t="s">
        <v>42</v>
      </c>
      <c r="F1745" t="s">
        <v>55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4511172.16</v>
      </c>
      <c r="E1746" t="s">
        <v>42</v>
      </c>
      <c r="F1746" t="s">
        <v>55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203129.24</v>
      </c>
      <c r="E1747" t="s">
        <v>42</v>
      </c>
      <c r="F1747" t="s">
        <v>55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876071.05</v>
      </c>
      <c r="E1748" t="s">
        <v>42</v>
      </c>
      <c r="F1748" t="s">
        <v>55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1542890</v>
      </c>
      <c r="E1749" t="s">
        <v>42</v>
      </c>
      <c r="F1749" t="s">
        <v>55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304442.86</v>
      </c>
      <c r="E1750" t="s">
        <v>42</v>
      </c>
      <c r="F1750" t="s">
        <v>55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79675</v>
      </c>
      <c r="E1751" t="s">
        <v>42</v>
      </c>
      <c r="F1751" t="s">
        <v>55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1985596.87</v>
      </c>
      <c r="E1752" t="s">
        <v>42</v>
      </c>
      <c r="F1752" t="s">
        <v>55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113540</v>
      </c>
      <c r="E1753" t="s">
        <v>42</v>
      </c>
      <c r="F1753" t="s">
        <v>55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55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55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55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55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55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55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55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55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55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55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55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55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55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55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55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55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55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55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55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55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55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55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55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55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55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55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55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55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55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55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55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55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55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55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55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55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142015</v>
      </c>
      <c r="E1790" t="s">
        <v>42</v>
      </c>
      <c r="F1790" t="s">
        <v>55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4491</v>
      </c>
      <c r="E1791" t="s">
        <v>42</v>
      </c>
      <c r="F1791" t="s">
        <v>55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61874</v>
      </c>
      <c r="E1792" t="s">
        <v>42</v>
      </c>
      <c r="F1792" t="s">
        <v>55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13387</v>
      </c>
      <c r="E1793" t="s">
        <v>42</v>
      </c>
      <c r="F1793" t="s">
        <v>55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21249</v>
      </c>
      <c r="E1794" t="s">
        <v>42</v>
      </c>
      <c r="F1794" t="s">
        <v>55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48918</v>
      </c>
      <c r="E1795" t="s">
        <v>42</v>
      </c>
      <c r="F1795" t="s">
        <v>55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92687</v>
      </c>
      <c r="E1796" t="s">
        <v>42</v>
      </c>
      <c r="F1796" t="s">
        <v>55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56559</v>
      </c>
      <c r="E1797" t="s">
        <v>42</v>
      </c>
      <c r="F1797" t="s">
        <v>55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34124</v>
      </c>
      <c r="E1798" t="s">
        <v>42</v>
      </c>
      <c r="F1798" t="s">
        <v>55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44667</v>
      </c>
      <c r="E1799" t="s">
        <v>42</v>
      </c>
      <c r="F1799" t="s">
        <v>55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795</v>
      </c>
      <c r="E1800" t="s">
        <v>42</v>
      </c>
      <c r="F1800" t="s">
        <v>55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59432</v>
      </c>
      <c r="E1801" t="s">
        <v>42</v>
      </c>
      <c r="F1801" t="s">
        <v>55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55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55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55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55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55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55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55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55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55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55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55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55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73</v>
      </c>
      <c r="E1814" t="s">
        <v>42</v>
      </c>
      <c r="F1814" t="s">
        <v>55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60</v>
      </c>
      <c r="E1815" t="s">
        <v>42</v>
      </c>
      <c r="F1815" t="s">
        <v>55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66</v>
      </c>
      <c r="E1816" t="s">
        <v>42</v>
      </c>
      <c r="F1816" t="s">
        <v>55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84</v>
      </c>
      <c r="E1817" t="s">
        <v>42</v>
      </c>
      <c r="F1817" t="s">
        <v>55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85</v>
      </c>
      <c r="E1818" t="s">
        <v>42</v>
      </c>
      <c r="F1818" t="s">
        <v>55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73</v>
      </c>
      <c r="E1819" t="s">
        <v>42</v>
      </c>
      <c r="F1819" t="s">
        <v>55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52</v>
      </c>
      <c r="E1820" t="s">
        <v>42</v>
      </c>
      <c r="F1820" t="s">
        <v>55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50</v>
      </c>
      <c r="E1821" t="s">
        <v>42</v>
      </c>
      <c r="F1821" t="s">
        <v>55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66</v>
      </c>
      <c r="E1822" t="s">
        <v>42</v>
      </c>
      <c r="F1822" t="s">
        <v>55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77</v>
      </c>
      <c r="E1823" t="s">
        <v>42</v>
      </c>
      <c r="F1823" t="s">
        <v>55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57</v>
      </c>
      <c r="E1824" t="s">
        <v>42</v>
      </c>
      <c r="F1824" t="s">
        <v>55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36</v>
      </c>
      <c r="E1825" t="s">
        <v>42</v>
      </c>
      <c r="F1825" t="s">
        <v>55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17</v>
      </c>
      <c r="E1826" t="s">
        <v>42</v>
      </c>
      <c r="F1826" t="s">
        <v>55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23</v>
      </c>
      <c r="E1827" t="s">
        <v>42</v>
      </c>
      <c r="F1827" t="s">
        <v>55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33</v>
      </c>
      <c r="E1828" t="s">
        <v>42</v>
      </c>
      <c r="F1828" t="s">
        <v>55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20</v>
      </c>
      <c r="E1829" t="s">
        <v>42</v>
      </c>
      <c r="F1829" t="s">
        <v>55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25</v>
      </c>
      <c r="E1830" t="s">
        <v>42</v>
      </c>
      <c r="F1830" t="s">
        <v>55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20</v>
      </c>
      <c r="E1831" t="s">
        <v>42</v>
      </c>
      <c r="F1831" t="s">
        <v>55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39</v>
      </c>
      <c r="E1832" t="s">
        <v>42</v>
      </c>
      <c r="F1832" t="s">
        <v>55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35</v>
      </c>
      <c r="E1833" t="s">
        <v>42</v>
      </c>
      <c r="F1833" t="s">
        <v>55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29</v>
      </c>
      <c r="E1834" t="s">
        <v>42</v>
      </c>
      <c r="F1834" t="s">
        <v>55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29</v>
      </c>
      <c r="E1835" t="s">
        <v>42</v>
      </c>
      <c r="F1835" t="s">
        <v>55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20</v>
      </c>
      <c r="E1836" t="s">
        <v>42</v>
      </c>
      <c r="F1836" t="s">
        <v>55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10</v>
      </c>
      <c r="E1837" t="s">
        <v>42</v>
      </c>
      <c r="F1837" t="s">
        <v>55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55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55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55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55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55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55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55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55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55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55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55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55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55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55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55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55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55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55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55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55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55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55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55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55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55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55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55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55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55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55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55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55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55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55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55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55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55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55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112126</v>
      </c>
      <c r="E1876" t="s">
        <v>42</v>
      </c>
      <c r="F1876" t="s">
        <v>55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55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55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55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55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55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55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55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55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55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55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55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55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55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55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55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55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55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55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55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55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55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55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55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55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55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55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55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55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55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55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55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55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55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55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55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55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55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55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55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55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55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55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55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55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55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4408</v>
      </c>
      <c r="E1922" t="s">
        <v>42</v>
      </c>
      <c r="F1922" t="s">
        <v>55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55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55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55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55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55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55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55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55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55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55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55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55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55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55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55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55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55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55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55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55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55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55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55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55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1</v>
      </c>
      <c r="E1947" t="s">
        <v>42</v>
      </c>
      <c r="F1947" t="s">
        <v>55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55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55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55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55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1</v>
      </c>
      <c r="E1952" t="s">
        <v>42</v>
      </c>
      <c r="F1952" t="s">
        <v>55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55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55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55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55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55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1</v>
      </c>
      <c r="E1958" t="s">
        <v>42</v>
      </c>
      <c r="F1958" t="s">
        <v>55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55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1</v>
      </c>
      <c r="E1960" t="s">
        <v>42</v>
      </c>
      <c r="F1960" t="s">
        <v>55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55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55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55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55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55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55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55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55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55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55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55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55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55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55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55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55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55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55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55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55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55</v>
      </c>
    </row>
    <row r="1982" spans="1:6" hidden="1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55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55</v>
      </c>
    </row>
    <row r="1984" spans="1:6" hidden="1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55</v>
      </c>
    </row>
    <row r="1985" spans="1:6" hidden="1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55</v>
      </c>
    </row>
    <row r="1986" spans="1:6" hidden="1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55</v>
      </c>
    </row>
    <row r="1987" spans="1:6" hidden="1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55</v>
      </c>
    </row>
    <row r="1988" spans="1:6" hidden="1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55</v>
      </c>
    </row>
    <row r="1989" spans="1:6" hidden="1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55</v>
      </c>
    </row>
    <row r="1990" spans="1:6" hidden="1" x14ac:dyDescent="0.35">
      <c r="A1990" t="s">
        <v>18</v>
      </c>
      <c r="B1990" t="s">
        <v>54</v>
      </c>
      <c r="C1990" t="s">
        <v>44</v>
      </c>
      <c r="D1990">
        <v>3059.37</v>
      </c>
      <c r="E1990" t="s">
        <v>42</v>
      </c>
      <c r="F1990" t="s">
        <v>55</v>
      </c>
    </row>
    <row r="1991" spans="1:6" hidden="1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55</v>
      </c>
    </row>
    <row r="1992" spans="1:6" hidden="1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55</v>
      </c>
    </row>
    <row r="1993" spans="1:6" hidden="1" x14ac:dyDescent="0.35">
      <c r="A1993" t="s">
        <v>21</v>
      </c>
      <c r="B1993" t="s">
        <v>54</v>
      </c>
      <c r="C1993" t="s">
        <v>44</v>
      </c>
      <c r="D1993">
        <v>0</v>
      </c>
      <c r="E1993" t="s">
        <v>42</v>
      </c>
      <c r="F1993" t="s">
        <v>55</v>
      </c>
    </row>
    <row r="1994" spans="1:6" hidden="1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55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55</v>
      </c>
    </row>
    <row r="1996" spans="1:6" hidden="1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55</v>
      </c>
    </row>
    <row r="1997" spans="1:6" hidden="1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55</v>
      </c>
    </row>
    <row r="1998" spans="1:6" hidden="1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55</v>
      </c>
    </row>
    <row r="1999" spans="1:6" hidden="1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55</v>
      </c>
    </row>
    <row r="2000" spans="1:6" hidden="1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55</v>
      </c>
    </row>
    <row r="2001" spans="1:6" hidden="1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55</v>
      </c>
    </row>
    <row r="2002" spans="1:6" hidden="1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55</v>
      </c>
    </row>
    <row r="2003" spans="1:6" hidden="1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55</v>
      </c>
    </row>
    <row r="2004" spans="1:6" hidden="1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55</v>
      </c>
    </row>
    <row r="2005" spans="1:6" hidden="1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55</v>
      </c>
    </row>
    <row r="2006" spans="1:6" hidden="1" x14ac:dyDescent="0.35">
      <c r="A2006" t="s">
        <v>6</v>
      </c>
      <c r="B2006" t="s">
        <v>54</v>
      </c>
      <c r="C2006" t="s">
        <v>46</v>
      </c>
      <c r="D2006">
        <v>643808</v>
      </c>
      <c r="E2006" t="s">
        <v>42</v>
      </c>
      <c r="F2006" t="s">
        <v>55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748384</v>
      </c>
      <c r="E2007" t="s">
        <v>42</v>
      </c>
      <c r="F2007" t="s">
        <v>55</v>
      </c>
    </row>
    <row r="2008" spans="1:6" hidden="1" x14ac:dyDescent="0.35">
      <c r="A2008" t="s">
        <v>12</v>
      </c>
      <c r="B2008" t="s">
        <v>54</v>
      </c>
      <c r="C2008" t="s">
        <v>46</v>
      </c>
      <c r="D2008">
        <v>1046944.79</v>
      </c>
      <c r="E2008" t="s">
        <v>42</v>
      </c>
      <c r="F2008" t="s">
        <v>55</v>
      </c>
    </row>
    <row r="2009" spans="1:6" hidden="1" x14ac:dyDescent="0.35">
      <c r="A2009" t="s">
        <v>13</v>
      </c>
      <c r="B2009" t="s">
        <v>54</v>
      </c>
      <c r="C2009" t="s">
        <v>46</v>
      </c>
      <c r="D2009">
        <v>701972</v>
      </c>
      <c r="E2009" t="s">
        <v>42</v>
      </c>
      <c r="F2009" t="s">
        <v>55</v>
      </c>
    </row>
    <row r="2010" spans="1:6" hidden="1" x14ac:dyDescent="0.35">
      <c r="A2010" t="s">
        <v>14</v>
      </c>
      <c r="B2010" t="s">
        <v>54</v>
      </c>
      <c r="C2010" t="s">
        <v>46</v>
      </c>
      <c r="D2010">
        <v>926817.72</v>
      </c>
      <c r="E2010" t="s">
        <v>42</v>
      </c>
      <c r="F2010" t="s">
        <v>55</v>
      </c>
    </row>
    <row r="2011" spans="1:6" hidden="1" x14ac:dyDescent="0.35">
      <c r="A2011" t="s">
        <v>15</v>
      </c>
      <c r="B2011" t="s">
        <v>54</v>
      </c>
      <c r="C2011" t="s">
        <v>46</v>
      </c>
      <c r="D2011">
        <v>690098</v>
      </c>
      <c r="E2011" t="s">
        <v>42</v>
      </c>
      <c r="F2011" t="s">
        <v>55</v>
      </c>
    </row>
    <row r="2012" spans="1:6" hidden="1" x14ac:dyDescent="0.35">
      <c r="A2012" t="s">
        <v>16</v>
      </c>
      <c r="B2012" t="s">
        <v>54</v>
      </c>
      <c r="C2012" t="s">
        <v>46</v>
      </c>
      <c r="D2012">
        <v>1244660.58</v>
      </c>
      <c r="E2012" t="s">
        <v>42</v>
      </c>
      <c r="F2012" t="s">
        <v>55</v>
      </c>
    </row>
    <row r="2013" spans="1:6" hidden="1" x14ac:dyDescent="0.35">
      <c r="A2013" t="s">
        <v>17</v>
      </c>
      <c r="B2013" t="s">
        <v>54</v>
      </c>
      <c r="C2013" t="s">
        <v>46</v>
      </c>
      <c r="D2013">
        <v>1218149.02</v>
      </c>
      <c r="E2013" t="s">
        <v>42</v>
      </c>
      <c r="F2013" t="s">
        <v>55</v>
      </c>
    </row>
    <row r="2014" spans="1:6" hidden="1" x14ac:dyDescent="0.35">
      <c r="A2014" t="s">
        <v>18</v>
      </c>
      <c r="B2014" t="s">
        <v>54</v>
      </c>
      <c r="C2014" t="s">
        <v>46</v>
      </c>
      <c r="D2014">
        <v>1168496</v>
      </c>
      <c r="E2014" t="s">
        <v>42</v>
      </c>
      <c r="F2014" t="s">
        <v>55</v>
      </c>
    </row>
    <row r="2015" spans="1:6" hidden="1" x14ac:dyDescent="0.35">
      <c r="A2015" t="s">
        <v>19</v>
      </c>
      <c r="B2015" t="s">
        <v>54</v>
      </c>
      <c r="C2015" t="s">
        <v>46</v>
      </c>
      <c r="D2015">
        <v>1222164</v>
      </c>
      <c r="E2015" t="s">
        <v>42</v>
      </c>
      <c r="F2015" t="s">
        <v>55</v>
      </c>
    </row>
    <row r="2016" spans="1:6" hidden="1" x14ac:dyDescent="0.35">
      <c r="A2016" t="s">
        <v>20</v>
      </c>
      <c r="B2016" t="s">
        <v>54</v>
      </c>
      <c r="C2016" t="s">
        <v>46</v>
      </c>
      <c r="D2016">
        <v>1078430.07</v>
      </c>
      <c r="E2016" t="s">
        <v>42</v>
      </c>
      <c r="F2016" t="s">
        <v>55</v>
      </c>
    </row>
    <row r="2017" spans="1:6" hidden="1" x14ac:dyDescent="0.35">
      <c r="A2017" t="s">
        <v>21</v>
      </c>
      <c r="B2017" t="s">
        <v>54</v>
      </c>
      <c r="C2017" t="s">
        <v>46</v>
      </c>
      <c r="D2017">
        <v>1107181.3799999999</v>
      </c>
      <c r="E2017" t="s">
        <v>42</v>
      </c>
      <c r="F2017" t="s">
        <v>55</v>
      </c>
    </row>
    <row r="2018" spans="1:6" hidden="1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55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55</v>
      </c>
    </row>
    <row r="2020" spans="1:6" hidden="1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55</v>
      </c>
    </row>
    <row r="2021" spans="1:6" hidden="1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55</v>
      </c>
    </row>
    <row r="2022" spans="1:6" hidden="1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55</v>
      </c>
    </row>
    <row r="2023" spans="1:6" hidden="1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55</v>
      </c>
    </row>
    <row r="2024" spans="1:6" hidden="1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55</v>
      </c>
    </row>
    <row r="2025" spans="1:6" hidden="1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55</v>
      </c>
    </row>
    <row r="2026" spans="1:6" hidden="1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55</v>
      </c>
    </row>
    <row r="2027" spans="1:6" hidden="1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55</v>
      </c>
    </row>
    <row r="2028" spans="1:6" hidden="1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55</v>
      </c>
    </row>
    <row r="2029" spans="1:6" hidden="1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55</v>
      </c>
    </row>
    <row r="2030" spans="1:6" hidden="1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55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55</v>
      </c>
    </row>
    <row r="2032" spans="1:6" hidden="1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55</v>
      </c>
    </row>
    <row r="2033" spans="1:6" hidden="1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55</v>
      </c>
    </row>
    <row r="2034" spans="1:6" hidden="1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55</v>
      </c>
    </row>
    <row r="2035" spans="1:6" hidden="1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55</v>
      </c>
    </row>
    <row r="2036" spans="1:6" hidden="1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55</v>
      </c>
    </row>
    <row r="2037" spans="1:6" hidden="1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55</v>
      </c>
    </row>
    <row r="2038" spans="1:6" hidden="1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55</v>
      </c>
    </row>
    <row r="2039" spans="1:6" hidden="1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55</v>
      </c>
    </row>
    <row r="2040" spans="1:6" hidden="1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55</v>
      </c>
    </row>
    <row r="2041" spans="1:6" hidden="1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55</v>
      </c>
    </row>
    <row r="2042" spans="1:6" hidden="1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55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55</v>
      </c>
    </row>
    <row r="2044" spans="1:6" hidden="1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55</v>
      </c>
    </row>
    <row r="2045" spans="1:6" hidden="1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55</v>
      </c>
    </row>
    <row r="2046" spans="1:6" hidden="1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55</v>
      </c>
    </row>
    <row r="2047" spans="1:6" hidden="1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55</v>
      </c>
    </row>
    <row r="2048" spans="1:6" hidden="1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55</v>
      </c>
    </row>
    <row r="2049" spans="1:6" hidden="1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55</v>
      </c>
    </row>
    <row r="2050" spans="1:6" hidden="1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55</v>
      </c>
    </row>
    <row r="2051" spans="1:6" hidden="1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55</v>
      </c>
    </row>
    <row r="2052" spans="1:6" hidden="1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55</v>
      </c>
    </row>
    <row r="2053" spans="1:6" hidden="1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55</v>
      </c>
    </row>
    <row r="2054" spans="1:6" hidden="1" x14ac:dyDescent="0.35">
      <c r="A2054" t="s">
        <v>6</v>
      </c>
      <c r="B2054" t="s">
        <v>54</v>
      </c>
      <c r="C2054" t="s">
        <v>49</v>
      </c>
      <c r="D2054">
        <v>34977</v>
      </c>
      <c r="E2054" t="s">
        <v>42</v>
      </c>
      <c r="F2054" t="s">
        <v>55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27093</v>
      </c>
      <c r="E2055" t="s">
        <v>42</v>
      </c>
      <c r="F2055" t="s">
        <v>55</v>
      </c>
    </row>
    <row r="2056" spans="1:6" hidden="1" x14ac:dyDescent="0.35">
      <c r="A2056" t="s">
        <v>12</v>
      </c>
      <c r="B2056" t="s">
        <v>54</v>
      </c>
      <c r="C2056" t="s">
        <v>49</v>
      </c>
      <c r="D2056">
        <v>48060</v>
      </c>
      <c r="E2056" t="s">
        <v>42</v>
      </c>
      <c r="F2056" t="s">
        <v>55</v>
      </c>
    </row>
    <row r="2057" spans="1:6" hidden="1" x14ac:dyDescent="0.35">
      <c r="A2057" t="s">
        <v>13</v>
      </c>
      <c r="B2057" t="s">
        <v>54</v>
      </c>
      <c r="C2057" t="s">
        <v>49</v>
      </c>
      <c r="D2057">
        <v>24333</v>
      </c>
      <c r="E2057" t="s">
        <v>42</v>
      </c>
      <c r="F2057" t="s">
        <v>55</v>
      </c>
    </row>
    <row r="2058" spans="1:6" hidden="1" x14ac:dyDescent="0.35">
      <c r="A2058" t="s">
        <v>14</v>
      </c>
      <c r="B2058" t="s">
        <v>54</v>
      </c>
      <c r="C2058" t="s">
        <v>49</v>
      </c>
      <c r="D2058">
        <v>28272</v>
      </c>
      <c r="E2058" t="s">
        <v>42</v>
      </c>
      <c r="F2058" t="s">
        <v>55</v>
      </c>
    </row>
    <row r="2059" spans="1:6" hidden="1" x14ac:dyDescent="0.35">
      <c r="A2059" t="s">
        <v>15</v>
      </c>
      <c r="B2059" t="s">
        <v>54</v>
      </c>
      <c r="C2059" t="s">
        <v>49</v>
      </c>
      <c r="D2059">
        <v>8843</v>
      </c>
      <c r="E2059" t="s">
        <v>42</v>
      </c>
      <c r="F2059" t="s">
        <v>55</v>
      </c>
    </row>
    <row r="2060" spans="1:6" hidden="1" x14ac:dyDescent="0.35">
      <c r="A2060" t="s">
        <v>16</v>
      </c>
      <c r="B2060" t="s">
        <v>54</v>
      </c>
      <c r="C2060" t="s">
        <v>49</v>
      </c>
      <c r="D2060">
        <v>45342</v>
      </c>
      <c r="E2060" t="s">
        <v>42</v>
      </c>
      <c r="F2060" t="s">
        <v>55</v>
      </c>
    </row>
    <row r="2061" spans="1:6" hidden="1" x14ac:dyDescent="0.35">
      <c r="A2061" t="s">
        <v>17</v>
      </c>
      <c r="B2061" t="s">
        <v>54</v>
      </c>
      <c r="C2061" t="s">
        <v>49</v>
      </c>
      <c r="D2061">
        <v>27923</v>
      </c>
      <c r="E2061" t="s">
        <v>42</v>
      </c>
      <c r="F2061" t="s">
        <v>55</v>
      </c>
    </row>
    <row r="2062" spans="1:6" hidden="1" x14ac:dyDescent="0.35">
      <c r="A2062" t="s">
        <v>18</v>
      </c>
      <c r="B2062" t="s">
        <v>54</v>
      </c>
      <c r="C2062" t="s">
        <v>49</v>
      </c>
      <c r="D2062">
        <v>33443</v>
      </c>
      <c r="E2062" t="s">
        <v>42</v>
      </c>
      <c r="F2062" t="s">
        <v>55</v>
      </c>
    </row>
    <row r="2063" spans="1:6" hidden="1" x14ac:dyDescent="0.35">
      <c r="A2063" t="s">
        <v>19</v>
      </c>
      <c r="B2063" t="s">
        <v>54</v>
      </c>
      <c r="C2063" t="s">
        <v>49</v>
      </c>
      <c r="D2063">
        <v>40878</v>
      </c>
      <c r="E2063" t="s">
        <v>42</v>
      </c>
      <c r="F2063" t="s">
        <v>55</v>
      </c>
    </row>
    <row r="2064" spans="1:6" hidden="1" x14ac:dyDescent="0.35">
      <c r="A2064" t="s">
        <v>20</v>
      </c>
      <c r="B2064" t="s">
        <v>54</v>
      </c>
      <c r="C2064" t="s">
        <v>49</v>
      </c>
      <c r="D2064">
        <v>30024.560000000001</v>
      </c>
      <c r="E2064" t="s">
        <v>42</v>
      </c>
      <c r="F2064" t="s">
        <v>55</v>
      </c>
    </row>
    <row r="2065" spans="1:6" hidden="1" x14ac:dyDescent="0.35">
      <c r="A2065" t="s">
        <v>21</v>
      </c>
      <c r="B2065" t="s">
        <v>54</v>
      </c>
      <c r="C2065" t="s">
        <v>49</v>
      </c>
      <c r="D2065">
        <v>20603.259999999998</v>
      </c>
      <c r="E2065" t="s">
        <v>42</v>
      </c>
      <c r="F2065" t="s">
        <v>55</v>
      </c>
    </row>
    <row r="2066" spans="1:6" hidden="1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55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55</v>
      </c>
    </row>
    <row r="2068" spans="1:6" hidden="1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55</v>
      </c>
    </row>
    <row r="2069" spans="1:6" hidden="1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55</v>
      </c>
    </row>
    <row r="2070" spans="1:6" hidden="1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55</v>
      </c>
    </row>
    <row r="2071" spans="1:6" hidden="1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55</v>
      </c>
    </row>
    <row r="2072" spans="1:6" hidden="1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55</v>
      </c>
    </row>
    <row r="2073" spans="1:6" hidden="1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55</v>
      </c>
    </row>
    <row r="2074" spans="1:6" hidden="1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55</v>
      </c>
    </row>
    <row r="2075" spans="1:6" hidden="1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55</v>
      </c>
    </row>
    <row r="2076" spans="1:6" hidden="1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55</v>
      </c>
    </row>
    <row r="2077" spans="1:6" hidden="1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55</v>
      </c>
    </row>
    <row r="2078" spans="1:6" hidden="1" x14ac:dyDescent="0.35">
      <c r="A2078" t="s">
        <v>6</v>
      </c>
      <c r="B2078" t="s">
        <v>54</v>
      </c>
      <c r="C2078" t="s">
        <v>51</v>
      </c>
      <c r="D2078">
        <v>895</v>
      </c>
      <c r="E2078" t="s">
        <v>42</v>
      </c>
      <c r="F2078" t="s">
        <v>55</v>
      </c>
    </row>
    <row r="2079" spans="1:6" hidden="1" x14ac:dyDescent="0.35">
      <c r="A2079" t="s">
        <v>11</v>
      </c>
      <c r="B2079" t="s">
        <v>54</v>
      </c>
      <c r="C2079" t="s">
        <v>51</v>
      </c>
      <c r="D2079">
        <v>667</v>
      </c>
      <c r="E2079" t="s">
        <v>42</v>
      </c>
      <c r="F2079" t="s">
        <v>55</v>
      </c>
    </row>
    <row r="2080" spans="1:6" hidden="1" x14ac:dyDescent="0.35">
      <c r="A2080" t="s">
        <v>12</v>
      </c>
      <c r="B2080" t="s">
        <v>54</v>
      </c>
      <c r="C2080" t="s">
        <v>51</v>
      </c>
      <c r="D2080">
        <v>713</v>
      </c>
      <c r="E2080" t="s">
        <v>42</v>
      </c>
      <c r="F2080" t="s">
        <v>55</v>
      </c>
    </row>
    <row r="2081" spans="1:6" hidden="1" x14ac:dyDescent="0.35">
      <c r="A2081" t="s">
        <v>13</v>
      </c>
      <c r="B2081" t="s">
        <v>54</v>
      </c>
      <c r="C2081" t="s">
        <v>51</v>
      </c>
      <c r="D2081">
        <v>832</v>
      </c>
      <c r="E2081" t="s">
        <v>42</v>
      </c>
      <c r="F2081" t="s">
        <v>55</v>
      </c>
    </row>
    <row r="2082" spans="1:6" hidden="1" x14ac:dyDescent="0.35">
      <c r="A2082" t="s">
        <v>14</v>
      </c>
      <c r="B2082" t="s">
        <v>54</v>
      </c>
      <c r="C2082" t="s">
        <v>51</v>
      </c>
      <c r="D2082">
        <v>914</v>
      </c>
      <c r="E2082" t="s">
        <v>42</v>
      </c>
      <c r="F2082" t="s">
        <v>55</v>
      </c>
    </row>
    <row r="2083" spans="1:6" hidden="1" x14ac:dyDescent="0.35">
      <c r="A2083" t="s">
        <v>15</v>
      </c>
      <c r="B2083" t="s">
        <v>54</v>
      </c>
      <c r="C2083" t="s">
        <v>51</v>
      </c>
      <c r="D2083">
        <v>783</v>
      </c>
      <c r="E2083" t="s">
        <v>42</v>
      </c>
      <c r="F2083" t="s">
        <v>55</v>
      </c>
    </row>
    <row r="2084" spans="1:6" hidden="1" x14ac:dyDescent="0.35">
      <c r="A2084" t="s">
        <v>16</v>
      </c>
      <c r="B2084" t="s">
        <v>54</v>
      </c>
      <c r="C2084" t="s">
        <v>51</v>
      </c>
      <c r="D2084">
        <v>766</v>
      </c>
      <c r="E2084" t="s">
        <v>42</v>
      </c>
      <c r="F2084" t="s">
        <v>55</v>
      </c>
    </row>
    <row r="2085" spans="1:6" hidden="1" x14ac:dyDescent="0.35">
      <c r="A2085" t="s">
        <v>17</v>
      </c>
      <c r="B2085" t="s">
        <v>54</v>
      </c>
      <c r="C2085" t="s">
        <v>51</v>
      </c>
      <c r="D2085">
        <v>816</v>
      </c>
      <c r="E2085" t="s">
        <v>42</v>
      </c>
      <c r="F2085" t="s">
        <v>55</v>
      </c>
    </row>
    <row r="2086" spans="1:6" hidden="1" x14ac:dyDescent="0.35">
      <c r="A2086" t="s">
        <v>18</v>
      </c>
      <c r="B2086" t="s">
        <v>54</v>
      </c>
      <c r="C2086" t="s">
        <v>51</v>
      </c>
      <c r="D2086">
        <v>695</v>
      </c>
      <c r="E2086" t="s">
        <v>42</v>
      </c>
      <c r="F2086" t="s">
        <v>55</v>
      </c>
    </row>
    <row r="2087" spans="1:6" hidden="1" x14ac:dyDescent="0.35">
      <c r="A2087" t="s">
        <v>19</v>
      </c>
      <c r="B2087" t="s">
        <v>54</v>
      </c>
      <c r="C2087" t="s">
        <v>51</v>
      </c>
      <c r="D2087">
        <v>906</v>
      </c>
      <c r="E2087" t="s">
        <v>42</v>
      </c>
      <c r="F2087" t="s">
        <v>55</v>
      </c>
    </row>
    <row r="2088" spans="1:6" hidden="1" x14ac:dyDescent="0.35">
      <c r="A2088" t="s">
        <v>20</v>
      </c>
      <c r="B2088" t="s">
        <v>54</v>
      </c>
      <c r="C2088" t="s">
        <v>51</v>
      </c>
      <c r="D2088">
        <v>705</v>
      </c>
      <c r="E2088" t="s">
        <v>42</v>
      </c>
      <c r="F2088" t="s">
        <v>55</v>
      </c>
    </row>
    <row r="2089" spans="1:6" hidden="1" x14ac:dyDescent="0.35">
      <c r="A2089" t="s">
        <v>21</v>
      </c>
      <c r="B2089" t="s">
        <v>54</v>
      </c>
      <c r="C2089" t="s">
        <v>51</v>
      </c>
      <c r="D2089">
        <v>642</v>
      </c>
      <c r="E2089" t="s">
        <v>42</v>
      </c>
      <c r="F2089" t="s">
        <v>55</v>
      </c>
    </row>
    <row r="2090" spans="1:6" hidden="1" x14ac:dyDescent="0.35">
      <c r="A2090" t="s">
        <v>6</v>
      </c>
      <c r="B2090" t="s">
        <v>54</v>
      </c>
      <c r="C2090" t="s">
        <v>30</v>
      </c>
      <c r="D2090">
        <v>656</v>
      </c>
      <c r="E2090" t="s">
        <v>42</v>
      </c>
      <c r="F2090" t="s">
        <v>55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488</v>
      </c>
      <c r="E2091" t="s">
        <v>42</v>
      </c>
      <c r="F2091" t="s">
        <v>55</v>
      </c>
    </row>
    <row r="2092" spans="1:6" hidden="1" x14ac:dyDescent="0.35">
      <c r="A2092" t="s">
        <v>12</v>
      </c>
      <c r="B2092" t="s">
        <v>54</v>
      </c>
      <c r="C2092" t="s">
        <v>30</v>
      </c>
      <c r="D2092">
        <v>958</v>
      </c>
      <c r="E2092" t="s">
        <v>42</v>
      </c>
      <c r="F2092" t="s">
        <v>55</v>
      </c>
    </row>
    <row r="2093" spans="1:6" hidden="1" x14ac:dyDescent="0.35">
      <c r="A2093" t="s">
        <v>13</v>
      </c>
      <c r="B2093" t="s">
        <v>54</v>
      </c>
      <c r="C2093" t="s">
        <v>30</v>
      </c>
      <c r="D2093">
        <v>548</v>
      </c>
      <c r="E2093" t="s">
        <v>42</v>
      </c>
      <c r="F2093" t="s">
        <v>55</v>
      </c>
    </row>
    <row r="2094" spans="1:6" hidden="1" x14ac:dyDescent="0.35">
      <c r="A2094" t="s">
        <v>14</v>
      </c>
      <c r="B2094" t="s">
        <v>54</v>
      </c>
      <c r="C2094" t="s">
        <v>30</v>
      </c>
      <c r="D2094">
        <v>586</v>
      </c>
      <c r="E2094" t="s">
        <v>42</v>
      </c>
      <c r="F2094" t="s">
        <v>55</v>
      </c>
    </row>
    <row r="2095" spans="1:6" hidden="1" x14ac:dyDescent="0.35">
      <c r="A2095" t="s">
        <v>15</v>
      </c>
      <c r="B2095" t="s">
        <v>54</v>
      </c>
      <c r="C2095" t="s">
        <v>30</v>
      </c>
      <c r="D2095">
        <v>476</v>
      </c>
      <c r="E2095" t="s">
        <v>42</v>
      </c>
      <c r="F2095" t="s">
        <v>55</v>
      </c>
    </row>
    <row r="2096" spans="1:6" hidden="1" x14ac:dyDescent="0.35">
      <c r="A2096" t="s">
        <v>16</v>
      </c>
      <c r="B2096" t="s">
        <v>54</v>
      </c>
      <c r="C2096" t="s">
        <v>30</v>
      </c>
      <c r="D2096">
        <v>600</v>
      </c>
      <c r="E2096" t="s">
        <v>42</v>
      </c>
      <c r="F2096" t="s">
        <v>55</v>
      </c>
    </row>
    <row r="2097" spans="1:6" hidden="1" x14ac:dyDescent="0.35">
      <c r="A2097" t="s">
        <v>17</v>
      </c>
      <c r="B2097" t="s">
        <v>54</v>
      </c>
      <c r="C2097" t="s">
        <v>30</v>
      </c>
      <c r="D2097">
        <v>568</v>
      </c>
      <c r="E2097" t="s">
        <v>42</v>
      </c>
      <c r="F2097" t="s">
        <v>55</v>
      </c>
    </row>
    <row r="2098" spans="1:6" hidden="1" x14ac:dyDescent="0.35">
      <c r="A2098" t="s">
        <v>18</v>
      </c>
      <c r="B2098" t="s">
        <v>54</v>
      </c>
      <c r="C2098" t="s">
        <v>30</v>
      </c>
      <c r="D2098">
        <v>513</v>
      </c>
      <c r="E2098" t="s">
        <v>42</v>
      </c>
      <c r="F2098" t="s">
        <v>55</v>
      </c>
    </row>
    <row r="2099" spans="1:6" hidden="1" x14ac:dyDescent="0.35">
      <c r="A2099" t="s">
        <v>19</v>
      </c>
      <c r="B2099" t="s">
        <v>54</v>
      </c>
      <c r="C2099" t="s">
        <v>30</v>
      </c>
      <c r="D2099">
        <v>582</v>
      </c>
      <c r="E2099" t="s">
        <v>42</v>
      </c>
      <c r="F2099" t="s">
        <v>55</v>
      </c>
    </row>
    <row r="2100" spans="1:6" hidden="1" x14ac:dyDescent="0.35">
      <c r="A2100" t="s">
        <v>20</v>
      </c>
      <c r="B2100" t="s">
        <v>54</v>
      </c>
      <c r="C2100" t="s">
        <v>30</v>
      </c>
      <c r="D2100">
        <v>488</v>
      </c>
      <c r="E2100" t="s">
        <v>42</v>
      </c>
      <c r="F2100" t="s">
        <v>55</v>
      </c>
    </row>
    <row r="2101" spans="1:6" hidden="1" x14ac:dyDescent="0.35">
      <c r="A2101" t="s">
        <v>21</v>
      </c>
      <c r="B2101" t="s">
        <v>54</v>
      </c>
      <c r="C2101" t="s">
        <v>30</v>
      </c>
      <c r="D2101">
        <v>492</v>
      </c>
      <c r="E2101" t="s">
        <v>42</v>
      </c>
      <c r="F2101" t="s">
        <v>55</v>
      </c>
    </row>
    <row r="2102" spans="1:6" hidden="1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55</v>
      </c>
    </row>
    <row r="2103" spans="1:6" hidden="1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55</v>
      </c>
    </row>
    <row r="2104" spans="1:6" hidden="1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55</v>
      </c>
    </row>
    <row r="2105" spans="1:6" hidden="1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55</v>
      </c>
    </row>
    <row r="2106" spans="1:6" hidden="1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55</v>
      </c>
    </row>
    <row r="2107" spans="1:6" hidden="1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55</v>
      </c>
    </row>
    <row r="2108" spans="1:6" hidden="1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55</v>
      </c>
    </row>
    <row r="2109" spans="1:6" hidden="1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55</v>
      </c>
    </row>
    <row r="2110" spans="1:6" hidden="1" x14ac:dyDescent="0.35">
      <c r="A2110" t="s">
        <v>18</v>
      </c>
      <c r="B2110" t="s">
        <v>54</v>
      </c>
      <c r="C2110" t="s">
        <v>52</v>
      </c>
      <c r="D2110">
        <v>0</v>
      </c>
      <c r="E2110" t="s">
        <v>42</v>
      </c>
      <c r="F2110" t="s">
        <v>55</v>
      </c>
    </row>
    <row r="2111" spans="1:6" hidden="1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55</v>
      </c>
    </row>
    <row r="2112" spans="1:6" hidden="1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55</v>
      </c>
    </row>
    <row r="2113" spans="1:6" hidden="1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55</v>
      </c>
    </row>
  </sheetData>
  <autoFilter ref="A1:F2113" xr:uid="{20E08C34-AD61-4ED1-9FEE-AE1D6594AB59}"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4097-A1D0-4A68-96D0-B724B796475F}">
  <sheetPr filterMode="1"/>
  <dimension ref="A1:F4753"/>
  <sheetViews>
    <sheetView workbookViewId="0">
      <selection activeCell="B2347" sqref="B2347"/>
    </sheetView>
  </sheetViews>
  <sheetFormatPr defaultRowHeight="14.5" x14ac:dyDescent="0.35"/>
  <cols>
    <col min="2" max="2" width="26.54296875" customWidth="1"/>
    <col min="3" max="3" width="28.453125" customWidth="1"/>
    <col min="4" max="4" width="16.453125" customWidth="1"/>
    <col min="5" max="5" width="23.17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idden="1" x14ac:dyDescent="0.35">
      <c r="A2" t="s">
        <v>57</v>
      </c>
      <c r="B2" t="s">
        <v>7</v>
      </c>
      <c r="C2" t="s">
        <v>44</v>
      </c>
      <c r="D2">
        <v>1698.942801626016</v>
      </c>
      <c r="E2" t="s">
        <v>42</v>
      </c>
      <c r="F2" t="s">
        <v>10</v>
      </c>
    </row>
    <row r="3" spans="1:6" hidden="1" x14ac:dyDescent="0.35">
      <c r="A3" t="s">
        <v>11</v>
      </c>
      <c r="B3" t="s">
        <v>7</v>
      </c>
      <c r="C3" t="s">
        <v>44</v>
      </c>
      <c r="D3">
        <v>83953.139396747953</v>
      </c>
      <c r="E3" t="s">
        <v>42</v>
      </c>
      <c r="F3" t="s">
        <v>10</v>
      </c>
    </row>
    <row r="4" spans="1:6" hidden="1" x14ac:dyDescent="0.35">
      <c r="A4" t="s">
        <v>58</v>
      </c>
      <c r="B4" t="s">
        <v>7</v>
      </c>
      <c r="C4" t="s">
        <v>44</v>
      </c>
      <c r="D4">
        <v>13537.16296910569</v>
      </c>
      <c r="E4" t="s">
        <v>42</v>
      </c>
      <c r="F4" t="s">
        <v>10</v>
      </c>
    </row>
    <row r="5" spans="1:6" hidden="1" x14ac:dyDescent="0.35">
      <c r="A5" t="s">
        <v>59</v>
      </c>
      <c r="B5" t="s">
        <v>7</v>
      </c>
      <c r="C5" t="s">
        <v>44</v>
      </c>
      <c r="D5">
        <v>119076.2225842818</v>
      </c>
      <c r="E5" t="s">
        <v>42</v>
      </c>
      <c r="F5" t="s">
        <v>10</v>
      </c>
    </row>
    <row r="6" spans="1:6" hidden="1" x14ac:dyDescent="0.35">
      <c r="A6" t="s">
        <v>60</v>
      </c>
      <c r="B6" t="s">
        <v>7</v>
      </c>
      <c r="C6" t="s">
        <v>44</v>
      </c>
      <c r="D6">
        <v>16430.48082764227</v>
      </c>
      <c r="E6" t="s">
        <v>42</v>
      </c>
      <c r="F6" t="s">
        <v>10</v>
      </c>
    </row>
    <row r="7" spans="1:6" hidden="1" x14ac:dyDescent="0.35">
      <c r="A7" t="s">
        <v>61</v>
      </c>
      <c r="B7" t="s">
        <v>7</v>
      </c>
      <c r="C7" t="s">
        <v>44</v>
      </c>
      <c r="D7">
        <v>61057.921492682923</v>
      </c>
      <c r="E7" t="s">
        <v>42</v>
      </c>
      <c r="F7" t="s">
        <v>10</v>
      </c>
    </row>
    <row r="8" spans="1:6" hidden="1" x14ac:dyDescent="0.35">
      <c r="A8" t="s">
        <v>62</v>
      </c>
      <c r="B8" t="s">
        <v>7</v>
      </c>
      <c r="C8" t="s">
        <v>44</v>
      </c>
      <c r="D8">
        <v>5112.7266162601627</v>
      </c>
      <c r="E8" t="s">
        <v>42</v>
      </c>
      <c r="F8" t="s">
        <v>10</v>
      </c>
    </row>
    <row r="9" spans="1:6" hidden="1" x14ac:dyDescent="0.35">
      <c r="A9" t="s">
        <v>63</v>
      </c>
      <c r="B9" t="s">
        <v>7</v>
      </c>
      <c r="C9" t="s">
        <v>44</v>
      </c>
      <c r="D9">
        <v>150073.8788498645</v>
      </c>
      <c r="E9" t="s">
        <v>42</v>
      </c>
      <c r="F9" t="s">
        <v>10</v>
      </c>
    </row>
    <row r="10" spans="1:6" hidden="1" x14ac:dyDescent="0.35">
      <c r="A10" t="s">
        <v>64</v>
      </c>
      <c r="B10" t="s">
        <v>7</v>
      </c>
      <c r="C10" t="s">
        <v>44</v>
      </c>
      <c r="D10">
        <v>205158.30247262871</v>
      </c>
      <c r="E10" t="s">
        <v>42</v>
      </c>
      <c r="F10" t="s">
        <v>10</v>
      </c>
    </row>
    <row r="11" spans="1:6" hidden="1" x14ac:dyDescent="0.35">
      <c r="A11" t="s">
        <v>65</v>
      </c>
      <c r="B11" t="s">
        <v>7</v>
      </c>
      <c r="C11" t="s">
        <v>44</v>
      </c>
      <c r="D11">
        <v>157972.66335826559</v>
      </c>
      <c r="E11" t="s">
        <v>42</v>
      </c>
      <c r="F11" t="s">
        <v>10</v>
      </c>
    </row>
    <row r="12" spans="1:6" hidden="1" x14ac:dyDescent="0.35">
      <c r="A12" t="s">
        <v>66</v>
      </c>
      <c r="B12" t="s">
        <v>7</v>
      </c>
      <c r="C12" t="s">
        <v>44</v>
      </c>
      <c r="D12">
        <v>70520.055710027096</v>
      </c>
      <c r="E12" t="s">
        <v>42</v>
      </c>
      <c r="F12" t="s">
        <v>10</v>
      </c>
    </row>
    <row r="13" spans="1:6" hidden="1" x14ac:dyDescent="0.35">
      <c r="A13" t="s">
        <v>67</v>
      </c>
      <c r="B13" t="s">
        <v>7</v>
      </c>
      <c r="C13" t="s">
        <v>44</v>
      </c>
      <c r="D13">
        <v>83862.889525203253</v>
      </c>
      <c r="E13" t="s">
        <v>42</v>
      </c>
      <c r="F13" t="s">
        <v>10</v>
      </c>
    </row>
    <row r="14" spans="1:6" hidden="1" x14ac:dyDescent="0.35">
      <c r="A14" t="s">
        <v>57</v>
      </c>
      <c r="B14" t="s">
        <v>7</v>
      </c>
      <c r="C14" t="s">
        <v>22</v>
      </c>
      <c r="D14">
        <v>0</v>
      </c>
      <c r="E14" t="s">
        <v>42</v>
      </c>
      <c r="F14" t="s">
        <v>10</v>
      </c>
    </row>
    <row r="15" spans="1:6" hidden="1" x14ac:dyDescent="0.35">
      <c r="A15" t="s">
        <v>11</v>
      </c>
      <c r="B15" t="s">
        <v>7</v>
      </c>
      <c r="C15" t="s">
        <v>22</v>
      </c>
      <c r="D15">
        <v>0</v>
      </c>
      <c r="E15" t="s">
        <v>42</v>
      </c>
      <c r="F15" t="s">
        <v>10</v>
      </c>
    </row>
    <row r="16" spans="1:6" hidden="1" x14ac:dyDescent="0.35">
      <c r="A16" t="s">
        <v>58</v>
      </c>
      <c r="B16" t="s">
        <v>7</v>
      </c>
      <c r="C16" t="s">
        <v>22</v>
      </c>
      <c r="D16">
        <v>0</v>
      </c>
      <c r="E16" t="s">
        <v>42</v>
      </c>
      <c r="F16" t="s">
        <v>10</v>
      </c>
    </row>
    <row r="17" spans="1:6" hidden="1" x14ac:dyDescent="0.35">
      <c r="A17" t="s">
        <v>59</v>
      </c>
      <c r="B17" t="s">
        <v>7</v>
      </c>
      <c r="C17" t="s">
        <v>22</v>
      </c>
      <c r="D17">
        <v>0</v>
      </c>
      <c r="E17" t="s">
        <v>42</v>
      </c>
      <c r="F17" t="s">
        <v>10</v>
      </c>
    </row>
    <row r="18" spans="1:6" hidden="1" x14ac:dyDescent="0.35">
      <c r="A18" t="s">
        <v>60</v>
      </c>
      <c r="B18" t="s">
        <v>7</v>
      </c>
      <c r="C18" t="s">
        <v>22</v>
      </c>
      <c r="D18">
        <v>0</v>
      </c>
      <c r="E18" t="s">
        <v>42</v>
      </c>
      <c r="F18" t="s">
        <v>10</v>
      </c>
    </row>
    <row r="19" spans="1:6" hidden="1" x14ac:dyDescent="0.35">
      <c r="A19" t="s">
        <v>61</v>
      </c>
      <c r="B19" t="s">
        <v>7</v>
      </c>
      <c r="C19" t="s">
        <v>22</v>
      </c>
      <c r="D19">
        <v>0</v>
      </c>
      <c r="E19" t="s">
        <v>42</v>
      </c>
      <c r="F19" t="s">
        <v>10</v>
      </c>
    </row>
    <row r="20" spans="1:6" hidden="1" x14ac:dyDescent="0.35">
      <c r="A20" t="s">
        <v>62</v>
      </c>
      <c r="B20" t="s">
        <v>7</v>
      </c>
      <c r="C20" t="s">
        <v>22</v>
      </c>
      <c r="D20">
        <v>0</v>
      </c>
      <c r="E20" t="s">
        <v>42</v>
      </c>
      <c r="F20" t="s">
        <v>10</v>
      </c>
    </row>
    <row r="21" spans="1:6" hidden="1" x14ac:dyDescent="0.35">
      <c r="A21" t="s">
        <v>63</v>
      </c>
      <c r="B21" t="s">
        <v>7</v>
      </c>
      <c r="C21" t="s">
        <v>22</v>
      </c>
      <c r="D21">
        <v>0</v>
      </c>
      <c r="E21" t="s">
        <v>42</v>
      </c>
      <c r="F21" t="s">
        <v>10</v>
      </c>
    </row>
    <row r="22" spans="1:6" hidden="1" x14ac:dyDescent="0.35">
      <c r="A22" t="s">
        <v>64</v>
      </c>
      <c r="B22" t="s">
        <v>7</v>
      </c>
      <c r="C22" t="s">
        <v>22</v>
      </c>
      <c r="D22">
        <v>0</v>
      </c>
      <c r="E22" t="s">
        <v>42</v>
      </c>
      <c r="F22" t="s">
        <v>10</v>
      </c>
    </row>
    <row r="23" spans="1:6" hidden="1" x14ac:dyDescent="0.35">
      <c r="A23" t="s">
        <v>65</v>
      </c>
      <c r="B23" t="s">
        <v>7</v>
      </c>
      <c r="C23" t="s">
        <v>22</v>
      </c>
      <c r="D23">
        <v>0</v>
      </c>
      <c r="E23" t="s">
        <v>42</v>
      </c>
      <c r="F23" t="s">
        <v>10</v>
      </c>
    </row>
    <row r="24" spans="1:6" hidden="1" x14ac:dyDescent="0.35">
      <c r="A24" t="s">
        <v>66</v>
      </c>
      <c r="B24" t="s">
        <v>7</v>
      </c>
      <c r="C24" t="s">
        <v>22</v>
      </c>
      <c r="D24">
        <v>0</v>
      </c>
      <c r="E24" t="s">
        <v>42</v>
      </c>
      <c r="F24" t="s">
        <v>10</v>
      </c>
    </row>
    <row r="25" spans="1:6" hidden="1" x14ac:dyDescent="0.35">
      <c r="A25" t="s">
        <v>67</v>
      </c>
      <c r="B25" t="s">
        <v>7</v>
      </c>
      <c r="C25" t="s">
        <v>22</v>
      </c>
      <c r="D25">
        <v>0</v>
      </c>
      <c r="E25" t="s">
        <v>42</v>
      </c>
      <c r="F25" t="s">
        <v>10</v>
      </c>
    </row>
    <row r="26" spans="1:6" hidden="1" x14ac:dyDescent="0.35">
      <c r="A26" t="s">
        <v>57</v>
      </c>
      <c r="B26" t="s">
        <v>7</v>
      </c>
      <c r="C26" t="s">
        <v>46</v>
      </c>
      <c r="D26">
        <v>84530.353196747965</v>
      </c>
      <c r="E26" t="s">
        <v>42</v>
      </c>
      <c r="F26" t="s">
        <v>10</v>
      </c>
    </row>
    <row r="27" spans="1:6" hidden="1" x14ac:dyDescent="0.35">
      <c r="A27" t="s">
        <v>11</v>
      </c>
      <c r="B27" t="s">
        <v>7</v>
      </c>
      <c r="C27" t="s">
        <v>46</v>
      </c>
      <c r="D27">
        <v>187424.98400650409</v>
      </c>
      <c r="E27" t="s">
        <v>42</v>
      </c>
      <c r="F27" t="s">
        <v>10</v>
      </c>
    </row>
    <row r="28" spans="1:6" hidden="1" x14ac:dyDescent="0.35">
      <c r="A28" t="s">
        <v>58</v>
      </c>
      <c r="B28" t="s">
        <v>7</v>
      </c>
      <c r="C28" t="s">
        <v>46</v>
      </c>
      <c r="D28">
        <v>2130.1788617886182</v>
      </c>
      <c r="E28" t="s">
        <v>42</v>
      </c>
      <c r="F28" t="s">
        <v>10</v>
      </c>
    </row>
    <row r="29" spans="1:6" hidden="1" x14ac:dyDescent="0.35">
      <c r="A29" t="s">
        <v>59</v>
      </c>
      <c r="B29" t="s">
        <v>7</v>
      </c>
      <c r="C29" t="s">
        <v>46</v>
      </c>
      <c r="D29">
        <v>90506.30603143631</v>
      </c>
      <c r="E29" t="s">
        <v>42</v>
      </c>
      <c r="F29" t="s">
        <v>10</v>
      </c>
    </row>
    <row r="30" spans="1:6" hidden="1" x14ac:dyDescent="0.35">
      <c r="A30" t="s">
        <v>60</v>
      </c>
      <c r="B30" t="s">
        <v>7</v>
      </c>
      <c r="C30" t="s">
        <v>46</v>
      </c>
      <c r="D30">
        <v>8242.4715447154467</v>
      </c>
      <c r="E30" t="s">
        <v>42</v>
      </c>
      <c r="F30" t="s">
        <v>10</v>
      </c>
    </row>
    <row r="31" spans="1:6" hidden="1" x14ac:dyDescent="0.35">
      <c r="A31" t="s">
        <v>61</v>
      </c>
      <c r="B31" t="s">
        <v>7</v>
      </c>
      <c r="C31" t="s">
        <v>46</v>
      </c>
      <c r="D31">
        <v>60817.463414634163</v>
      </c>
      <c r="E31" t="s">
        <v>42</v>
      </c>
      <c r="F31" t="s">
        <v>10</v>
      </c>
    </row>
    <row r="32" spans="1:6" hidden="1" x14ac:dyDescent="0.35">
      <c r="A32" t="s">
        <v>62</v>
      </c>
      <c r="B32" t="s">
        <v>7</v>
      </c>
      <c r="C32" t="s">
        <v>46</v>
      </c>
      <c r="D32">
        <v>712.74796747967468</v>
      </c>
      <c r="E32" t="s">
        <v>42</v>
      </c>
      <c r="F32" t="s">
        <v>10</v>
      </c>
    </row>
    <row r="33" spans="1:6" hidden="1" x14ac:dyDescent="0.35">
      <c r="A33" t="s">
        <v>63</v>
      </c>
      <c r="B33" t="s">
        <v>7</v>
      </c>
      <c r="C33" t="s">
        <v>46</v>
      </c>
      <c r="D33">
        <v>259449.01510027089</v>
      </c>
      <c r="E33" t="s">
        <v>42</v>
      </c>
      <c r="F33" t="s">
        <v>10</v>
      </c>
    </row>
    <row r="34" spans="1:6" hidden="1" x14ac:dyDescent="0.35">
      <c r="A34" t="s">
        <v>64</v>
      </c>
      <c r="B34" t="s">
        <v>7</v>
      </c>
      <c r="C34" t="s">
        <v>46</v>
      </c>
      <c r="D34">
        <v>190791.4742547425</v>
      </c>
      <c r="E34" t="s">
        <v>42</v>
      </c>
      <c r="F34" t="s">
        <v>10</v>
      </c>
    </row>
    <row r="35" spans="1:6" hidden="1" x14ac:dyDescent="0.35">
      <c r="A35" t="s">
        <v>65</v>
      </c>
      <c r="B35" t="s">
        <v>7</v>
      </c>
      <c r="C35" t="s">
        <v>46</v>
      </c>
      <c r="D35">
        <v>351314.3468834688</v>
      </c>
      <c r="E35" t="s">
        <v>42</v>
      </c>
      <c r="F35" t="s">
        <v>10</v>
      </c>
    </row>
    <row r="36" spans="1:6" hidden="1" x14ac:dyDescent="0.35">
      <c r="A36" t="s">
        <v>66</v>
      </c>
      <c r="B36" t="s">
        <v>7</v>
      </c>
      <c r="C36" t="s">
        <v>46</v>
      </c>
      <c r="D36">
        <v>234441.99457994581</v>
      </c>
      <c r="E36" t="s">
        <v>42</v>
      </c>
      <c r="F36" t="s">
        <v>10</v>
      </c>
    </row>
    <row r="37" spans="1:6" hidden="1" x14ac:dyDescent="0.35">
      <c r="A37" t="s">
        <v>67</v>
      </c>
      <c r="B37" t="s">
        <v>7</v>
      </c>
      <c r="C37" t="s">
        <v>46</v>
      </c>
      <c r="D37">
        <v>457859.11894959351</v>
      </c>
      <c r="E37" t="s">
        <v>42</v>
      </c>
      <c r="F37" t="s">
        <v>10</v>
      </c>
    </row>
    <row r="38" spans="1:6" hidden="1" x14ac:dyDescent="0.35">
      <c r="A38" t="s">
        <v>57</v>
      </c>
      <c r="B38" t="s">
        <v>7</v>
      </c>
      <c r="C38" t="s">
        <v>24</v>
      </c>
      <c r="D38">
        <v>0</v>
      </c>
      <c r="E38" t="s">
        <v>42</v>
      </c>
      <c r="F38" t="s">
        <v>10</v>
      </c>
    </row>
    <row r="39" spans="1:6" hidden="1" x14ac:dyDescent="0.35">
      <c r="A39" t="s">
        <v>11</v>
      </c>
      <c r="B39" t="s">
        <v>7</v>
      </c>
      <c r="C39" t="s">
        <v>24</v>
      </c>
      <c r="D39">
        <v>0</v>
      </c>
      <c r="E39" t="s">
        <v>42</v>
      </c>
      <c r="F39" t="s">
        <v>10</v>
      </c>
    </row>
    <row r="40" spans="1:6" hidden="1" x14ac:dyDescent="0.35">
      <c r="A40" t="s">
        <v>58</v>
      </c>
      <c r="B40" t="s">
        <v>7</v>
      </c>
      <c r="C40" t="s">
        <v>24</v>
      </c>
      <c r="D40">
        <v>0</v>
      </c>
      <c r="E40" t="s">
        <v>42</v>
      </c>
      <c r="F40" t="s">
        <v>10</v>
      </c>
    </row>
    <row r="41" spans="1:6" hidden="1" x14ac:dyDescent="0.35">
      <c r="A41" t="s">
        <v>59</v>
      </c>
      <c r="B41" t="s">
        <v>7</v>
      </c>
      <c r="C41" t="s">
        <v>24</v>
      </c>
      <c r="D41">
        <v>0</v>
      </c>
      <c r="E41" t="s">
        <v>42</v>
      </c>
      <c r="F41" t="s">
        <v>10</v>
      </c>
    </row>
    <row r="42" spans="1:6" hidden="1" x14ac:dyDescent="0.35">
      <c r="A42" t="s">
        <v>60</v>
      </c>
      <c r="B42" t="s">
        <v>7</v>
      </c>
      <c r="C42" t="s">
        <v>24</v>
      </c>
      <c r="D42">
        <v>0</v>
      </c>
      <c r="E42" t="s">
        <v>42</v>
      </c>
      <c r="F42" t="s">
        <v>10</v>
      </c>
    </row>
    <row r="43" spans="1:6" hidden="1" x14ac:dyDescent="0.35">
      <c r="A43" t="s">
        <v>61</v>
      </c>
      <c r="B43" t="s">
        <v>7</v>
      </c>
      <c r="C43" t="s">
        <v>24</v>
      </c>
      <c r="D43">
        <v>0</v>
      </c>
      <c r="E43" t="s">
        <v>42</v>
      </c>
      <c r="F43" t="s">
        <v>10</v>
      </c>
    </row>
    <row r="44" spans="1:6" hidden="1" x14ac:dyDescent="0.35">
      <c r="A44" t="s">
        <v>62</v>
      </c>
      <c r="B44" t="s">
        <v>7</v>
      </c>
      <c r="C44" t="s">
        <v>24</v>
      </c>
      <c r="D44">
        <v>0</v>
      </c>
      <c r="E44" t="s">
        <v>42</v>
      </c>
      <c r="F44" t="s">
        <v>10</v>
      </c>
    </row>
    <row r="45" spans="1:6" hidden="1" x14ac:dyDescent="0.35">
      <c r="A45" t="s">
        <v>63</v>
      </c>
      <c r="B45" t="s">
        <v>7</v>
      </c>
      <c r="C45" t="s">
        <v>24</v>
      </c>
      <c r="D45">
        <v>0</v>
      </c>
      <c r="E45" t="s">
        <v>42</v>
      </c>
      <c r="F45" t="s">
        <v>10</v>
      </c>
    </row>
    <row r="46" spans="1:6" hidden="1" x14ac:dyDescent="0.35">
      <c r="A46" t="s">
        <v>64</v>
      </c>
      <c r="B46" t="s">
        <v>7</v>
      </c>
      <c r="C46" t="s">
        <v>24</v>
      </c>
      <c r="D46">
        <v>0</v>
      </c>
      <c r="E46" t="s">
        <v>42</v>
      </c>
      <c r="F46" t="s">
        <v>10</v>
      </c>
    </row>
    <row r="47" spans="1:6" hidden="1" x14ac:dyDescent="0.35">
      <c r="A47" t="s">
        <v>65</v>
      </c>
      <c r="B47" t="s">
        <v>7</v>
      </c>
      <c r="C47" t="s">
        <v>24</v>
      </c>
      <c r="D47">
        <v>0</v>
      </c>
      <c r="E47" t="s">
        <v>42</v>
      </c>
      <c r="F47" t="s">
        <v>10</v>
      </c>
    </row>
    <row r="48" spans="1:6" hidden="1" x14ac:dyDescent="0.35">
      <c r="A48" t="s">
        <v>66</v>
      </c>
      <c r="B48" t="s">
        <v>7</v>
      </c>
      <c r="C48" t="s">
        <v>24</v>
      </c>
      <c r="D48">
        <v>0</v>
      </c>
      <c r="E48" t="s">
        <v>42</v>
      </c>
      <c r="F48" t="s">
        <v>10</v>
      </c>
    </row>
    <row r="49" spans="1:6" hidden="1" x14ac:dyDescent="0.35">
      <c r="A49" t="s">
        <v>67</v>
      </c>
      <c r="B49" t="s">
        <v>7</v>
      </c>
      <c r="C49" t="s">
        <v>24</v>
      </c>
      <c r="D49">
        <v>0</v>
      </c>
      <c r="E49" t="s">
        <v>42</v>
      </c>
      <c r="F49" t="s">
        <v>10</v>
      </c>
    </row>
    <row r="50" spans="1:6" hidden="1" x14ac:dyDescent="0.35">
      <c r="A50" t="s">
        <v>57</v>
      </c>
      <c r="B50" t="s">
        <v>7</v>
      </c>
      <c r="C50" t="s">
        <v>47</v>
      </c>
      <c r="E50" t="s">
        <v>42</v>
      </c>
      <c r="F50" t="s">
        <v>10</v>
      </c>
    </row>
    <row r="51" spans="1:6" hidden="1" x14ac:dyDescent="0.35">
      <c r="A51" t="s">
        <v>11</v>
      </c>
      <c r="B51" t="s">
        <v>7</v>
      </c>
      <c r="C51" t="s">
        <v>47</v>
      </c>
      <c r="E51" t="s">
        <v>42</v>
      </c>
      <c r="F51" t="s">
        <v>10</v>
      </c>
    </row>
    <row r="52" spans="1:6" hidden="1" x14ac:dyDescent="0.35">
      <c r="A52" t="s">
        <v>58</v>
      </c>
      <c r="B52" t="s">
        <v>7</v>
      </c>
      <c r="C52" t="s">
        <v>47</v>
      </c>
      <c r="E52" t="s">
        <v>42</v>
      </c>
      <c r="F52" t="s">
        <v>10</v>
      </c>
    </row>
    <row r="53" spans="1:6" hidden="1" x14ac:dyDescent="0.35">
      <c r="A53" t="s">
        <v>59</v>
      </c>
      <c r="B53" t="s">
        <v>7</v>
      </c>
      <c r="C53" t="s">
        <v>47</v>
      </c>
      <c r="E53" t="s">
        <v>42</v>
      </c>
      <c r="F53" t="s">
        <v>10</v>
      </c>
    </row>
    <row r="54" spans="1:6" hidden="1" x14ac:dyDescent="0.35">
      <c r="A54" t="s">
        <v>60</v>
      </c>
      <c r="B54" t="s">
        <v>7</v>
      </c>
      <c r="C54" t="s">
        <v>47</v>
      </c>
      <c r="E54" t="s">
        <v>42</v>
      </c>
      <c r="F54" t="s">
        <v>10</v>
      </c>
    </row>
    <row r="55" spans="1:6" hidden="1" x14ac:dyDescent="0.35">
      <c r="A55" t="s">
        <v>61</v>
      </c>
      <c r="B55" t="s">
        <v>7</v>
      </c>
      <c r="C55" t="s">
        <v>47</v>
      </c>
      <c r="E55" t="s">
        <v>42</v>
      </c>
      <c r="F55" t="s">
        <v>10</v>
      </c>
    </row>
    <row r="56" spans="1:6" hidden="1" x14ac:dyDescent="0.35">
      <c r="A56" t="s">
        <v>62</v>
      </c>
      <c r="B56" t="s">
        <v>7</v>
      </c>
      <c r="C56" t="s">
        <v>47</v>
      </c>
      <c r="E56" t="s">
        <v>42</v>
      </c>
      <c r="F56" t="s">
        <v>10</v>
      </c>
    </row>
    <row r="57" spans="1:6" hidden="1" x14ac:dyDescent="0.35">
      <c r="A57" t="s">
        <v>63</v>
      </c>
      <c r="B57" t="s">
        <v>7</v>
      </c>
      <c r="C57" t="s">
        <v>47</v>
      </c>
      <c r="E57" t="s">
        <v>42</v>
      </c>
      <c r="F57" t="s">
        <v>10</v>
      </c>
    </row>
    <row r="58" spans="1:6" hidden="1" x14ac:dyDescent="0.35">
      <c r="A58" t="s">
        <v>64</v>
      </c>
      <c r="B58" t="s">
        <v>7</v>
      </c>
      <c r="C58" t="s">
        <v>47</v>
      </c>
      <c r="E58" t="s">
        <v>42</v>
      </c>
      <c r="F58" t="s">
        <v>10</v>
      </c>
    </row>
    <row r="59" spans="1:6" hidden="1" x14ac:dyDescent="0.35">
      <c r="A59" t="s">
        <v>65</v>
      </c>
      <c r="B59" t="s">
        <v>7</v>
      </c>
      <c r="C59" t="s">
        <v>47</v>
      </c>
      <c r="E59" t="s">
        <v>42</v>
      </c>
      <c r="F59" t="s">
        <v>10</v>
      </c>
    </row>
    <row r="60" spans="1:6" hidden="1" x14ac:dyDescent="0.35">
      <c r="A60" t="s">
        <v>66</v>
      </c>
      <c r="B60" t="s">
        <v>7</v>
      </c>
      <c r="C60" t="s">
        <v>47</v>
      </c>
      <c r="E60" t="s">
        <v>42</v>
      </c>
      <c r="F60" t="s">
        <v>10</v>
      </c>
    </row>
    <row r="61" spans="1:6" hidden="1" x14ac:dyDescent="0.35">
      <c r="A61" t="s">
        <v>67</v>
      </c>
      <c r="B61" t="s">
        <v>7</v>
      </c>
      <c r="C61" t="s">
        <v>47</v>
      </c>
      <c r="E61" t="s">
        <v>42</v>
      </c>
      <c r="F61" t="s">
        <v>10</v>
      </c>
    </row>
    <row r="62" spans="1:6" hidden="1" x14ac:dyDescent="0.35">
      <c r="A62" t="s">
        <v>57</v>
      </c>
      <c r="B62" t="s">
        <v>7</v>
      </c>
      <c r="C62" t="s">
        <v>48</v>
      </c>
      <c r="D62">
        <v>0</v>
      </c>
      <c r="E62" t="s">
        <v>42</v>
      </c>
      <c r="F62" t="s">
        <v>10</v>
      </c>
    </row>
    <row r="63" spans="1:6" hidden="1" x14ac:dyDescent="0.35">
      <c r="A63" t="s">
        <v>11</v>
      </c>
      <c r="B63" t="s">
        <v>7</v>
      </c>
      <c r="C63" t="s">
        <v>48</v>
      </c>
      <c r="D63">
        <v>0</v>
      </c>
      <c r="E63" t="s">
        <v>42</v>
      </c>
      <c r="F63" t="s">
        <v>10</v>
      </c>
    </row>
    <row r="64" spans="1:6" hidden="1" x14ac:dyDescent="0.35">
      <c r="A64" t="s">
        <v>58</v>
      </c>
      <c r="B64" t="s">
        <v>7</v>
      </c>
      <c r="C64" t="s">
        <v>48</v>
      </c>
      <c r="D64">
        <v>0</v>
      </c>
      <c r="E64" t="s">
        <v>42</v>
      </c>
      <c r="F64" t="s">
        <v>10</v>
      </c>
    </row>
    <row r="65" spans="1:6" hidden="1" x14ac:dyDescent="0.35">
      <c r="A65" t="s">
        <v>59</v>
      </c>
      <c r="B65" t="s">
        <v>7</v>
      </c>
      <c r="C65" t="s">
        <v>48</v>
      </c>
      <c r="D65">
        <v>0</v>
      </c>
      <c r="E65" t="s">
        <v>42</v>
      </c>
      <c r="F65" t="s">
        <v>10</v>
      </c>
    </row>
    <row r="66" spans="1:6" hidden="1" x14ac:dyDescent="0.35">
      <c r="A66" t="s">
        <v>60</v>
      </c>
      <c r="B66" t="s">
        <v>7</v>
      </c>
      <c r="C66" t="s">
        <v>48</v>
      </c>
      <c r="D66">
        <v>0</v>
      </c>
      <c r="E66" t="s">
        <v>42</v>
      </c>
      <c r="F66" t="s">
        <v>10</v>
      </c>
    </row>
    <row r="67" spans="1:6" hidden="1" x14ac:dyDescent="0.35">
      <c r="A67" t="s">
        <v>61</v>
      </c>
      <c r="B67" t="s">
        <v>7</v>
      </c>
      <c r="C67" t="s">
        <v>48</v>
      </c>
      <c r="D67">
        <v>0</v>
      </c>
      <c r="E67" t="s">
        <v>42</v>
      </c>
      <c r="F67" t="s">
        <v>10</v>
      </c>
    </row>
    <row r="68" spans="1:6" hidden="1" x14ac:dyDescent="0.35">
      <c r="A68" t="s">
        <v>62</v>
      </c>
      <c r="B68" t="s">
        <v>7</v>
      </c>
      <c r="C68" t="s">
        <v>48</v>
      </c>
      <c r="D68">
        <v>0</v>
      </c>
      <c r="E68" t="s">
        <v>42</v>
      </c>
      <c r="F68" t="s">
        <v>10</v>
      </c>
    </row>
    <row r="69" spans="1:6" hidden="1" x14ac:dyDescent="0.35">
      <c r="A69" t="s">
        <v>63</v>
      </c>
      <c r="B69" t="s">
        <v>7</v>
      </c>
      <c r="C69" t="s">
        <v>48</v>
      </c>
      <c r="D69">
        <v>0</v>
      </c>
      <c r="E69" t="s">
        <v>42</v>
      </c>
      <c r="F69" t="s">
        <v>10</v>
      </c>
    </row>
    <row r="70" spans="1:6" hidden="1" x14ac:dyDescent="0.35">
      <c r="A70" t="s">
        <v>64</v>
      </c>
      <c r="B70" t="s">
        <v>7</v>
      </c>
      <c r="C70" t="s">
        <v>48</v>
      </c>
      <c r="D70">
        <v>0</v>
      </c>
      <c r="E70" t="s">
        <v>42</v>
      </c>
      <c r="F70" t="s">
        <v>10</v>
      </c>
    </row>
    <row r="71" spans="1:6" hidden="1" x14ac:dyDescent="0.35">
      <c r="A71" t="s">
        <v>65</v>
      </c>
      <c r="B71" t="s">
        <v>7</v>
      </c>
      <c r="C71" t="s">
        <v>48</v>
      </c>
      <c r="D71">
        <v>0</v>
      </c>
      <c r="E71" t="s">
        <v>42</v>
      </c>
      <c r="F71" t="s">
        <v>10</v>
      </c>
    </row>
    <row r="72" spans="1:6" hidden="1" x14ac:dyDescent="0.35">
      <c r="A72" t="s">
        <v>66</v>
      </c>
      <c r="B72" t="s">
        <v>7</v>
      </c>
      <c r="C72" t="s">
        <v>48</v>
      </c>
      <c r="D72">
        <v>0</v>
      </c>
      <c r="E72" t="s">
        <v>42</v>
      </c>
      <c r="F72" t="s">
        <v>10</v>
      </c>
    </row>
    <row r="73" spans="1:6" hidden="1" x14ac:dyDescent="0.35">
      <c r="A73" t="s">
        <v>67</v>
      </c>
      <c r="B73" t="s">
        <v>7</v>
      </c>
      <c r="C73" t="s">
        <v>48</v>
      </c>
      <c r="D73">
        <v>0</v>
      </c>
      <c r="E73" t="s">
        <v>42</v>
      </c>
      <c r="F73" t="s">
        <v>10</v>
      </c>
    </row>
    <row r="74" spans="1:6" hidden="1" x14ac:dyDescent="0.35">
      <c r="A74" t="s">
        <v>57</v>
      </c>
      <c r="B74" t="s">
        <v>7</v>
      </c>
      <c r="C74" t="s">
        <v>49</v>
      </c>
      <c r="D74">
        <v>10127.013199999999</v>
      </c>
      <c r="E74" t="s">
        <v>42</v>
      </c>
      <c r="F74" t="s">
        <v>10</v>
      </c>
    </row>
    <row r="75" spans="1:6" hidden="1" x14ac:dyDescent="0.35">
      <c r="A75" t="s">
        <v>11</v>
      </c>
      <c r="B75" t="s">
        <v>7</v>
      </c>
      <c r="C75" t="s">
        <v>49</v>
      </c>
      <c r="D75">
        <v>41764.142000000007</v>
      </c>
      <c r="E75" t="s">
        <v>42</v>
      </c>
      <c r="F75" t="s">
        <v>10</v>
      </c>
    </row>
    <row r="76" spans="1:6" hidden="1" x14ac:dyDescent="0.35">
      <c r="A76" t="s">
        <v>58</v>
      </c>
      <c r="B76" t="s">
        <v>7</v>
      </c>
      <c r="C76" t="s">
        <v>49</v>
      </c>
      <c r="D76">
        <v>3276.6143999999999</v>
      </c>
      <c r="E76" t="s">
        <v>42</v>
      </c>
      <c r="F76" t="s">
        <v>10</v>
      </c>
    </row>
    <row r="77" spans="1:6" hidden="1" x14ac:dyDescent="0.35">
      <c r="A77" t="s">
        <v>59</v>
      </c>
      <c r="B77" t="s">
        <v>7</v>
      </c>
      <c r="C77" t="s">
        <v>49</v>
      </c>
      <c r="D77">
        <v>58068.019200000002</v>
      </c>
      <c r="E77" t="s">
        <v>42</v>
      </c>
      <c r="F77" t="s">
        <v>10</v>
      </c>
    </row>
    <row r="78" spans="1:6" hidden="1" x14ac:dyDescent="0.35">
      <c r="A78" t="s">
        <v>60</v>
      </c>
      <c r="B78" t="s">
        <v>7</v>
      </c>
      <c r="C78" t="s">
        <v>49</v>
      </c>
      <c r="D78">
        <v>46067.666400000002</v>
      </c>
      <c r="E78" t="s">
        <v>42</v>
      </c>
      <c r="F78" t="s">
        <v>10</v>
      </c>
    </row>
    <row r="79" spans="1:6" hidden="1" x14ac:dyDescent="0.35">
      <c r="A79" t="s">
        <v>61</v>
      </c>
      <c r="B79" t="s">
        <v>7</v>
      </c>
      <c r="C79" t="s">
        <v>49</v>
      </c>
      <c r="D79">
        <v>30003.761200000001</v>
      </c>
      <c r="E79" t="s">
        <v>42</v>
      </c>
      <c r="F79" t="s">
        <v>10</v>
      </c>
    </row>
    <row r="80" spans="1:6" hidden="1" x14ac:dyDescent="0.35">
      <c r="A80" t="s">
        <v>62</v>
      </c>
      <c r="B80" t="s">
        <v>7</v>
      </c>
      <c r="C80" t="s">
        <v>49</v>
      </c>
      <c r="D80">
        <v>6475.8335999999999</v>
      </c>
      <c r="E80" t="s">
        <v>42</v>
      </c>
      <c r="F80" t="s">
        <v>10</v>
      </c>
    </row>
    <row r="81" spans="1:6" hidden="1" x14ac:dyDescent="0.35">
      <c r="A81" t="s">
        <v>63</v>
      </c>
      <c r="B81" t="s">
        <v>7</v>
      </c>
      <c r="C81" t="s">
        <v>49</v>
      </c>
      <c r="D81">
        <v>38050.819600000003</v>
      </c>
      <c r="E81" t="s">
        <v>42</v>
      </c>
      <c r="F81" t="s">
        <v>10</v>
      </c>
    </row>
    <row r="82" spans="1:6" hidden="1" x14ac:dyDescent="0.35">
      <c r="A82" t="s">
        <v>64</v>
      </c>
      <c r="B82" t="s">
        <v>7</v>
      </c>
      <c r="C82" t="s">
        <v>49</v>
      </c>
      <c r="D82">
        <v>97598.724800000011</v>
      </c>
      <c r="E82" t="s">
        <v>42</v>
      </c>
      <c r="F82" t="s">
        <v>10</v>
      </c>
    </row>
    <row r="83" spans="1:6" hidden="1" x14ac:dyDescent="0.35">
      <c r="A83" t="s">
        <v>65</v>
      </c>
      <c r="B83" t="s">
        <v>7</v>
      </c>
      <c r="C83" t="s">
        <v>49</v>
      </c>
      <c r="D83">
        <v>70336.998800000001</v>
      </c>
      <c r="E83" t="s">
        <v>42</v>
      </c>
      <c r="F83" t="s">
        <v>10</v>
      </c>
    </row>
    <row r="84" spans="1:6" hidden="1" x14ac:dyDescent="0.35">
      <c r="A84" t="s">
        <v>66</v>
      </c>
      <c r="B84" t="s">
        <v>7</v>
      </c>
      <c r="C84" t="s">
        <v>49</v>
      </c>
      <c r="D84">
        <v>171283.4472</v>
      </c>
      <c r="E84" t="s">
        <v>42</v>
      </c>
      <c r="F84" t="s">
        <v>10</v>
      </c>
    </row>
    <row r="85" spans="1:6" hidden="1" x14ac:dyDescent="0.35">
      <c r="A85" t="s">
        <v>67</v>
      </c>
      <c r="B85" t="s">
        <v>7</v>
      </c>
      <c r="C85" t="s">
        <v>49</v>
      </c>
      <c r="D85">
        <v>34093.785600000003</v>
      </c>
      <c r="E85" t="s">
        <v>42</v>
      </c>
      <c r="F85" t="s">
        <v>10</v>
      </c>
    </row>
    <row r="86" spans="1:6" hidden="1" x14ac:dyDescent="0.35">
      <c r="A86" t="s">
        <v>57</v>
      </c>
      <c r="B86" t="s">
        <v>7</v>
      </c>
      <c r="C86" t="s">
        <v>50</v>
      </c>
      <c r="D86">
        <v>87928.238800000006</v>
      </c>
      <c r="E86" t="s">
        <v>42</v>
      </c>
      <c r="F86" t="s">
        <v>10</v>
      </c>
    </row>
    <row r="87" spans="1:6" hidden="1" x14ac:dyDescent="0.35">
      <c r="A87" t="s">
        <v>11</v>
      </c>
      <c r="B87" t="s">
        <v>7</v>
      </c>
      <c r="C87" t="s">
        <v>50</v>
      </c>
      <c r="D87">
        <v>355331.26280000003</v>
      </c>
      <c r="E87" t="s">
        <v>42</v>
      </c>
      <c r="F87" t="s">
        <v>10</v>
      </c>
    </row>
    <row r="88" spans="1:6" hidden="1" x14ac:dyDescent="0.35">
      <c r="A88" t="s">
        <v>58</v>
      </c>
      <c r="B88" t="s">
        <v>7</v>
      </c>
      <c r="C88" t="s">
        <v>50</v>
      </c>
      <c r="D88">
        <v>29204.504799999999</v>
      </c>
      <c r="E88" t="s">
        <v>42</v>
      </c>
      <c r="F88" t="s">
        <v>10</v>
      </c>
    </row>
    <row r="89" spans="1:6" hidden="1" x14ac:dyDescent="0.35">
      <c r="A89" t="s">
        <v>59</v>
      </c>
      <c r="B89" t="s">
        <v>7</v>
      </c>
      <c r="C89" t="s">
        <v>50</v>
      </c>
      <c r="D89">
        <v>328658.75119999988</v>
      </c>
      <c r="E89" t="s">
        <v>42</v>
      </c>
      <c r="F89" t="s">
        <v>10</v>
      </c>
    </row>
    <row r="90" spans="1:6" hidden="1" x14ac:dyDescent="0.35">
      <c r="A90" t="s">
        <v>60</v>
      </c>
      <c r="B90" t="s">
        <v>7</v>
      </c>
      <c r="C90" t="s">
        <v>50</v>
      </c>
      <c r="D90">
        <v>41103.433199999999</v>
      </c>
      <c r="E90" t="s">
        <v>42</v>
      </c>
      <c r="F90" t="s">
        <v>10</v>
      </c>
    </row>
    <row r="91" spans="1:6" hidden="1" x14ac:dyDescent="0.35">
      <c r="A91" t="s">
        <v>61</v>
      </c>
      <c r="B91" t="s">
        <v>7</v>
      </c>
      <c r="C91" t="s">
        <v>50</v>
      </c>
      <c r="D91">
        <v>182933.3064</v>
      </c>
      <c r="E91" t="s">
        <v>42</v>
      </c>
      <c r="F91" t="s">
        <v>10</v>
      </c>
    </row>
    <row r="92" spans="1:6" hidden="1" x14ac:dyDescent="0.35">
      <c r="A92" t="s">
        <v>62</v>
      </c>
      <c r="B92" t="s">
        <v>7</v>
      </c>
      <c r="C92" t="s">
        <v>50</v>
      </c>
      <c r="D92">
        <v>10938.2012</v>
      </c>
      <c r="E92" t="s">
        <v>42</v>
      </c>
      <c r="F92" t="s">
        <v>10</v>
      </c>
    </row>
    <row r="93" spans="1:6" hidden="1" x14ac:dyDescent="0.35">
      <c r="A93" t="s">
        <v>63</v>
      </c>
      <c r="B93" t="s">
        <v>7</v>
      </c>
      <c r="C93" t="s">
        <v>50</v>
      </c>
      <c r="D93">
        <v>559596.77280000004</v>
      </c>
      <c r="E93" t="s">
        <v>42</v>
      </c>
      <c r="F93" t="s">
        <v>10</v>
      </c>
    </row>
    <row r="94" spans="1:6" hidden="1" x14ac:dyDescent="0.35">
      <c r="A94" t="s">
        <v>64</v>
      </c>
      <c r="B94" t="s">
        <v>7</v>
      </c>
      <c r="C94" t="s">
        <v>50</v>
      </c>
      <c r="D94">
        <v>601108.07920000004</v>
      </c>
      <c r="E94" t="s">
        <v>42</v>
      </c>
      <c r="F94" t="s">
        <v>10</v>
      </c>
    </row>
    <row r="95" spans="1:6" hidden="1" x14ac:dyDescent="0.35">
      <c r="A95" t="s">
        <v>65</v>
      </c>
      <c r="B95" t="s">
        <v>7</v>
      </c>
      <c r="C95" t="s">
        <v>50</v>
      </c>
      <c r="D95">
        <v>667259.6736000001</v>
      </c>
      <c r="E95" t="s">
        <v>42</v>
      </c>
      <c r="F95" t="s">
        <v>10</v>
      </c>
    </row>
    <row r="96" spans="1:6" hidden="1" x14ac:dyDescent="0.35">
      <c r="A96" t="s">
        <v>66</v>
      </c>
      <c r="B96" t="s">
        <v>7</v>
      </c>
      <c r="C96" t="s">
        <v>50</v>
      </c>
      <c r="D96">
        <v>375482.10600000003</v>
      </c>
      <c r="E96" t="s">
        <v>42</v>
      </c>
      <c r="F96" t="s">
        <v>10</v>
      </c>
    </row>
    <row r="97" spans="1:6" hidden="1" x14ac:dyDescent="0.35">
      <c r="A97" t="s">
        <v>67</v>
      </c>
      <c r="B97" t="s">
        <v>7</v>
      </c>
      <c r="C97" t="s">
        <v>50</v>
      </c>
      <c r="D97">
        <v>625584.89800000004</v>
      </c>
      <c r="E97" t="s">
        <v>42</v>
      </c>
      <c r="F97" t="s">
        <v>10</v>
      </c>
    </row>
    <row r="98" spans="1:6" hidden="1" x14ac:dyDescent="0.35">
      <c r="A98" t="s">
        <v>57</v>
      </c>
      <c r="B98" t="s">
        <v>7</v>
      </c>
      <c r="C98" t="s">
        <v>51</v>
      </c>
      <c r="D98">
        <v>5</v>
      </c>
      <c r="E98" t="s">
        <v>42</v>
      </c>
      <c r="F98" t="s">
        <v>10</v>
      </c>
    </row>
    <row r="99" spans="1:6" hidden="1" x14ac:dyDescent="0.35">
      <c r="A99" t="s">
        <v>11</v>
      </c>
      <c r="B99" t="s">
        <v>7</v>
      </c>
      <c r="C99" t="s">
        <v>51</v>
      </c>
      <c r="D99">
        <v>4</v>
      </c>
      <c r="E99" t="s">
        <v>42</v>
      </c>
      <c r="F99" t="s">
        <v>10</v>
      </c>
    </row>
    <row r="100" spans="1:6" hidden="1" x14ac:dyDescent="0.35">
      <c r="A100" t="s">
        <v>58</v>
      </c>
      <c r="B100" t="s">
        <v>7</v>
      </c>
      <c r="C100" t="s">
        <v>51</v>
      </c>
      <c r="D100">
        <v>5</v>
      </c>
      <c r="E100" t="s">
        <v>42</v>
      </c>
      <c r="F100" t="s">
        <v>10</v>
      </c>
    </row>
    <row r="101" spans="1:6" hidden="1" x14ac:dyDescent="0.35">
      <c r="A101" t="s">
        <v>59</v>
      </c>
      <c r="B101" t="s">
        <v>7</v>
      </c>
      <c r="C101" t="s">
        <v>51</v>
      </c>
      <c r="D101">
        <v>1</v>
      </c>
      <c r="E101" t="s">
        <v>42</v>
      </c>
      <c r="F101" t="s">
        <v>10</v>
      </c>
    </row>
    <row r="102" spans="1:6" hidden="1" x14ac:dyDescent="0.35">
      <c r="A102" t="s">
        <v>60</v>
      </c>
      <c r="B102" t="s">
        <v>7</v>
      </c>
      <c r="C102" t="s">
        <v>51</v>
      </c>
      <c r="D102">
        <v>6</v>
      </c>
      <c r="E102" t="s">
        <v>42</v>
      </c>
      <c r="F102" t="s">
        <v>10</v>
      </c>
    </row>
    <row r="103" spans="1:6" hidden="1" x14ac:dyDescent="0.35">
      <c r="A103" t="s">
        <v>61</v>
      </c>
      <c r="B103" t="s">
        <v>7</v>
      </c>
      <c r="C103" t="s">
        <v>51</v>
      </c>
      <c r="D103">
        <v>6</v>
      </c>
      <c r="E103" t="s">
        <v>42</v>
      </c>
      <c r="F103" t="s">
        <v>10</v>
      </c>
    </row>
    <row r="104" spans="1:6" hidden="1" x14ac:dyDescent="0.35">
      <c r="A104" t="s">
        <v>62</v>
      </c>
      <c r="B104" t="s">
        <v>7</v>
      </c>
      <c r="C104" t="s">
        <v>51</v>
      </c>
      <c r="E104" t="s">
        <v>42</v>
      </c>
      <c r="F104" t="s">
        <v>10</v>
      </c>
    </row>
    <row r="105" spans="1:6" hidden="1" x14ac:dyDescent="0.35">
      <c r="A105" t="s">
        <v>63</v>
      </c>
      <c r="B105" t="s">
        <v>7</v>
      </c>
      <c r="C105" t="s">
        <v>51</v>
      </c>
      <c r="D105">
        <v>1</v>
      </c>
      <c r="E105" t="s">
        <v>42</v>
      </c>
      <c r="F105" t="s">
        <v>10</v>
      </c>
    </row>
    <row r="106" spans="1:6" hidden="1" x14ac:dyDescent="0.35">
      <c r="A106" t="s">
        <v>64</v>
      </c>
      <c r="B106" t="s">
        <v>7</v>
      </c>
      <c r="C106" t="s">
        <v>51</v>
      </c>
      <c r="E106" t="s">
        <v>42</v>
      </c>
      <c r="F106" t="s">
        <v>10</v>
      </c>
    </row>
    <row r="107" spans="1:6" hidden="1" x14ac:dyDescent="0.35">
      <c r="A107" t="s">
        <v>65</v>
      </c>
      <c r="B107" t="s">
        <v>7</v>
      </c>
      <c r="C107" t="s">
        <v>51</v>
      </c>
      <c r="E107" t="s">
        <v>42</v>
      </c>
      <c r="F107" t="s">
        <v>10</v>
      </c>
    </row>
    <row r="108" spans="1:6" hidden="1" x14ac:dyDescent="0.35">
      <c r="A108" t="s">
        <v>66</v>
      </c>
      <c r="B108" t="s">
        <v>7</v>
      </c>
      <c r="C108" t="s">
        <v>51</v>
      </c>
      <c r="D108">
        <v>7</v>
      </c>
      <c r="E108" t="s">
        <v>42</v>
      </c>
      <c r="F108" t="s">
        <v>10</v>
      </c>
    </row>
    <row r="109" spans="1:6" hidden="1" x14ac:dyDescent="0.35">
      <c r="A109" t="s">
        <v>67</v>
      </c>
      <c r="B109" t="s">
        <v>7</v>
      </c>
      <c r="C109" t="s">
        <v>51</v>
      </c>
      <c r="D109">
        <v>2</v>
      </c>
      <c r="E109" t="s">
        <v>42</v>
      </c>
      <c r="F109" t="s">
        <v>10</v>
      </c>
    </row>
    <row r="110" spans="1:6" hidden="1" x14ac:dyDescent="0.35">
      <c r="A110" t="s">
        <v>57</v>
      </c>
      <c r="B110" t="s">
        <v>7</v>
      </c>
      <c r="C110" t="s">
        <v>30</v>
      </c>
      <c r="D110">
        <v>2</v>
      </c>
      <c r="E110" t="s">
        <v>42</v>
      </c>
      <c r="F110" t="s">
        <v>10</v>
      </c>
    </row>
    <row r="111" spans="1:6" hidden="1" x14ac:dyDescent="0.35">
      <c r="A111" t="s">
        <v>11</v>
      </c>
      <c r="B111" t="s">
        <v>7</v>
      </c>
      <c r="C111" t="s">
        <v>30</v>
      </c>
      <c r="D111">
        <v>1</v>
      </c>
      <c r="E111" t="s">
        <v>42</v>
      </c>
      <c r="F111" t="s">
        <v>10</v>
      </c>
    </row>
    <row r="112" spans="1:6" hidden="1" x14ac:dyDescent="0.35">
      <c r="A112" t="s">
        <v>58</v>
      </c>
      <c r="B112" t="s">
        <v>7</v>
      </c>
      <c r="C112" t="s">
        <v>30</v>
      </c>
      <c r="D112">
        <v>2</v>
      </c>
      <c r="E112" t="s">
        <v>42</v>
      </c>
      <c r="F112" t="s">
        <v>10</v>
      </c>
    </row>
    <row r="113" spans="1:6" hidden="1" x14ac:dyDescent="0.35">
      <c r="A113" t="s">
        <v>59</v>
      </c>
      <c r="B113" t="s">
        <v>7</v>
      </c>
      <c r="C113" t="s">
        <v>30</v>
      </c>
      <c r="D113">
        <v>4</v>
      </c>
      <c r="E113" t="s">
        <v>42</v>
      </c>
      <c r="F113" t="s">
        <v>10</v>
      </c>
    </row>
    <row r="114" spans="1:6" hidden="1" x14ac:dyDescent="0.35">
      <c r="A114" t="s">
        <v>60</v>
      </c>
      <c r="B114" t="s">
        <v>7</v>
      </c>
      <c r="C114" t="s">
        <v>30</v>
      </c>
      <c r="D114">
        <v>1</v>
      </c>
      <c r="E114" t="s">
        <v>42</v>
      </c>
      <c r="F114" t="s">
        <v>10</v>
      </c>
    </row>
    <row r="115" spans="1:6" hidden="1" x14ac:dyDescent="0.35">
      <c r="A115" t="s">
        <v>61</v>
      </c>
      <c r="B115" t="s">
        <v>7</v>
      </c>
      <c r="C115" t="s">
        <v>30</v>
      </c>
      <c r="D115">
        <v>3</v>
      </c>
      <c r="E115" t="s">
        <v>42</v>
      </c>
      <c r="F115" t="s">
        <v>10</v>
      </c>
    </row>
    <row r="116" spans="1:6" hidden="1" x14ac:dyDescent="0.35">
      <c r="A116" t="s">
        <v>62</v>
      </c>
      <c r="B116" t="s">
        <v>7</v>
      </c>
      <c r="C116" t="s">
        <v>30</v>
      </c>
      <c r="D116">
        <v>5</v>
      </c>
      <c r="E116" t="s">
        <v>42</v>
      </c>
      <c r="F116" t="s">
        <v>10</v>
      </c>
    </row>
    <row r="117" spans="1:6" hidden="1" x14ac:dyDescent="0.35">
      <c r="A117" t="s">
        <v>63</v>
      </c>
      <c r="B117" t="s">
        <v>7</v>
      </c>
      <c r="C117" t="s">
        <v>30</v>
      </c>
      <c r="D117">
        <v>2</v>
      </c>
      <c r="E117" t="s">
        <v>42</v>
      </c>
      <c r="F117" t="s">
        <v>10</v>
      </c>
    </row>
    <row r="118" spans="1:6" hidden="1" x14ac:dyDescent="0.35">
      <c r="A118" t="s">
        <v>64</v>
      </c>
      <c r="B118" t="s">
        <v>7</v>
      </c>
      <c r="C118" t="s">
        <v>30</v>
      </c>
      <c r="D118">
        <v>3</v>
      </c>
      <c r="E118" t="s">
        <v>42</v>
      </c>
      <c r="F118" t="s">
        <v>10</v>
      </c>
    </row>
    <row r="119" spans="1:6" hidden="1" x14ac:dyDescent="0.35">
      <c r="A119" t="s">
        <v>65</v>
      </c>
      <c r="B119" t="s">
        <v>7</v>
      </c>
      <c r="C119" t="s">
        <v>30</v>
      </c>
      <c r="D119">
        <v>2</v>
      </c>
      <c r="E119" t="s">
        <v>42</v>
      </c>
      <c r="F119" t="s">
        <v>10</v>
      </c>
    </row>
    <row r="120" spans="1:6" hidden="1" x14ac:dyDescent="0.35">
      <c r="A120" t="s">
        <v>66</v>
      </c>
      <c r="B120" t="s">
        <v>7</v>
      </c>
      <c r="C120" t="s">
        <v>30</v>
      </c>
      <c r="D120">
        <v>3</v>
      </c>
      <c r="E120" t="s">
        <v>42</v>
      </c>
      <c r="F120" t="s">
        <v>10</v>
      </c>
    </row>
    <row r="121" spans="1:6" hidden="1" x14ac:dyDescent="0.35">
      <c r="A121" t="s">
        <v>67</v>
      </c>
      <c r="B121" t="s">
        <v>7</v>
      </c>
      <c r="C121" t="s">
        <v>30</v>
      </c>
      <c r="D121">
        <v>6</v>
      </c>
      <c r="E121" t="s">
        <v>42</v>
      </c>
      <c r="F121" t="s">
        <v>10</v>
      </c>
    </row>
    <row r="122" spans="1:6" hidden="1" x14ac:dyDescent="0.35">
      <c r="A122" t="s">
        <v>57</v>
      </c>
      <c r="B122" t="s">
        <v>7</v>
      </c>
      <c r="C122" t="s">
        <v>52</v>
      </c>
      <c r="D122">
        <v>3</v>
      </c>
      <c r="E122" t="s">
        <v>42</v>
      </c>
      <c r="F122" t="s">
        <v>10</v>
      </c>
    </row>
    <row r="123" spans="1:6" hidden="1" x14ac:dyDescent="0.35">
      <c r="A123" t="s">
        <v>11</v>
      </c>
      <c r="B123" t="s">
        <v>7</v>
      </c>
      <c r="C123" t="s">
        <v>52</v>
      </c>
      <c r="D123">
        <v>3</v>
      </c>
      <c r="E123" t="s">
        <v>42</v>
      </c>
      <c r="F123" t="s">
        <v>10</v>
      </c>
    </row>
    <row r="124" spans="1:6" hidden="1" x14ac:dyDescent="0.35">
      <c r="A124" t="s">
        <v>58</v>
      </c>
      <c r="B124" t="s">
        <v>7</v>
      </c>
      <c r="C124" t="s">
        <v>52</v>
      </c>
      <c r="D124">
        <v>2</v>
      </c>
      <c r="E124" t="s">
        <v>42</v>
      </c>
      <c r="F124" t="s">
        <v>10</v>
      </c>
    </row>
    <row r="125" spans="1:6" hidden="1" x14ac:dyDescent="0.35">
      <c r="A125" t="s">
        <v>59</v>
      </c>
      <c r="B125" t="s">
        <v>7</v>
      </c>
      <c r="C125" t="s">
        <v>52</v>
      </c>
      <c r="D125">
        <v>1</v>
      </c>
      <c r="E125" t="s">
        <v>42</v>
      </c>
      <c r="F125" t="s">
        <v>10</v>
      </c>
    </row>
    <row r="126" spans="1:6" hidden="1" x14ac:dyDescent="0.35">
      <c r="A126" t="s">
        <v>60</v>
      </c>
      <c r="B126" t="s">
        <v>7</v>
      </c>
      <c r="C126" t="s">
        <v>52</v>
      </c>
      <c r="D126">
        <v>6</v>
      </c>
      <c r="E126" t="s">
        <v>42</v>
      </c>
      <c r="F126" t="s">
        <v>10</v>
      </c>
    </row>
    <row r="127" spans="1:6" hidden="1" x14ac:dyDescent="0.35">
      <c r="A127" t="s">
        <v>61</v>
      </c>
      <c r="B127" t="s">
        <v>7</v>
      </c>
      <c r="C127" t="s">
        <v>52</v>
      </c>
      <c r="D127">
        <v>2</v>
      </c>
      <c r="E127" t="s">
        <v>42</v>
      </c>
      <c r="F127" t="s">
        <v>10</v>
      </c>
    </row>
    <row r="128" spans="1:6" hidden="1" x14ac:dyDescent="0.35">
      <c r="A128" t="s">
        <v>62</v>
      </c>
      <c r="B128" t="s">
        <v>7</v>
      </c>
      <c r="C128" t="s">
        <v>52</v>
      </c>
      <c r="E128" t="s">
        <v>42</v>
      </c>
      <c r="F128" t="s">
        <v>10</v>
      </c>
    </row>
    <row r="129" spans="1:6" hidden="1" x14ac:dyDescent="0.35">
      <c r="A129" t="s">
        <v>63</v>
      </c>
      <c r="B129" t="s">
        <v>7</v>
      </c>
      <c r="C129" t="s">
        <v>52</v>
      </c>
      <c r="D129">
        <v>1</v>
      </c>
      <c r="E129" t="s">
        <v>42</v>
      </c>
      <c r="F129" t="s">
        <v>10</v>
      </c>
    </row>
    <row r="130" spans="1:6" hidden="1" x14ac:dyDescent="0.35">
      <c r="A130" t="s">
        <v>64</v>
      </c>
      <c r="B130" t="s">
        <v>7</v>
      </c>
      <c r="C130" t="s">
        <v>52</v>
      </c>
      <c r="E130" t="s">
        <v>42</v>
      </c>
      <c r="F130" t="s">
        <v>10</v>
      </c>
    </row>
    <row r="131" spans="1:6" hidden="1" x14ac:dyDescent="0.35">
      <c r="A131" t="s">
        <v>65</v>
      </c>
      <c r="B131" t="s">
        <v>7</v>
      </c>
      <c r="C131" t="s">
        <v>52</v>
      </c>
      <c r="E131" t="s">
        <v>42</v>
      </c>
      <c r="F131" t="s">
        <v>10</v>
      </c>
    </row>
    <row r="132" spans="1:6" hidden="1" x14ac:dyDescent="0.35">
      <c r="A132" t="s">
        <v>66</v>
      </c>
      <c r="B132" t="s">
        <v>7</v>
      </c>
      <c r="C132" t="s">
        <v>52</v>
      </c>
      <c r="D132">
        <v>3</v>
      </c>
      <c r="E132" t="s">
        <v>42</v>
      </c>
      <c r="F132" t="s">
        <v>10</v>
      </c>
    </row>
    <row r="133" spans="1:6" hidden="1" x14ac:dyDescent="0.35">
      <c r="A133" t="s">
        <v>67</v>
      </c>
      <c r="B133" t="s">
        <v>7</v>
      </c>
      <c r="C133" t="s">
        <v>52</v>
      </c>
      <c r="E133" t="s">
        <v>42</v>
      </c>
      <c r="F133" t="s">
        <v>10</v>
      </c>
    </row>
    <row r="134" spans="1:6" hidden="1" x14ac:dyDescent="0.35">
      <c r="A134" t="s">
        <v>57</v>
      </c>
      <c r="B134" t="s">
        <v>32</v>
      </c>
      <c r="C134" t="s">
        <v>44</v>
      </c>
      <c r="D134">
        <v>62130.89162764229</v>
      </c>
      <c r="E134" t="s">
        <v>42</v>
      </c>
      <c r="F134" t="s">
        <v>10</v>
      </c>
    </row>
    <row r="135" spans="1:6" hidden="1" x14ac:dyDescent="0.35">
      <c r="A135" t="s">
        <v>11</v>
      </c>
      <c r="B135" t="s">
        <v>32</v>
      </c>
      <c r="C135" t="s">
        <v>44</v>
      </c>
      <c r="D135">
        <v>89985.721519241168</v>
      </c>
      <c r="E135" t="s">
        <v>42</v>
      </c>
      <c r="F135" t="s">
        <v>10</v>
      </c>
    </row>
    <row r="136" spans="1:6" hidden="1" x14ac:dyDescent="0.35">
      <c r="A136" t="s">
        <v>58</v>
      </c>
      <c r="B136" t="s">
        <v>32</v>
      </c>
      <c r="C136" t="s">
        <v>44</v>
      </c>
      <c r="D136">
        <v>130402.21872953929</v>
      </c>
      <c r="E136" t="s">
        <v>42</v>
      </c>
      <c r="F136" t="s">
        <v>10</v>
      </c>
    </row>
    <row r="137" spans="1:6" hidden="1" x14ac:dyDescent="0.35">
      <c r="A137" t="s">
        <v>59</v>
      </c>
      <c r="B137" t="s">
        <v>32</v>
      </c>
      <c r="C137" t="s">
        <v>44</v>
      </c>
      <c r="D137">
        <v>103335.30713441739</v>
      </c>
      <c r="E137" t="s">
        <v>42</v>
      </c>
      <c r="F137" t="s">
        <v>10</v>
      </c>
    </row>
    <row r="138" spans="1:6" hidden="1" x14ac:dyDescent="0.35">
      <c r="A138" t="s">
        <v>60</v>
      </c>
      <c r="B138" t="s">
        <v>32</v>
      </c>
      <c r="C138" t="s">
        <v>44</v>
      </c>
      <c r="D138">
        <v>162899.5828298103</v>
      </c>
      <c r="E138" t="s">
        <v>42</v>
      </c>
      <c r="F138" t="s">
        <v>10</v>
      </c>
    </row>
    <row r="139" spans="1:6" hidden="1" x14ac:dyDescent="0.35">
      <c r="A139" t="s">
        <v>61</v>
      </c>
      <c r="B139" t="s">
        <v>32</v>
      </c>
      <c r="C139" t="s">
        <v>44</v>
      </c>
      <c r="D139">
        <v>247496.15802493229</v>
      </c>
      <c r="E139" t="s">
        <v>42</v>
      </c>
      <c r="F139" t="s">
        <v>10</v>
      </c>
    </row>
    <row r="140" spans="1:6" hidden="1" x14ac:dyDescent="0.35">
      <c r="A140" t="s">
        <v>62</v>
      </c>
      <c r="B140" t="s">
        <v>32</v>
      </c>
      <c r="C140" t="s">
        <v>44</v>
      </c>
      <c r="D140">
        <v>92147.070250948527</v>
      </c>
      <c r="E140" t="s">
        <v>42</v>
      </c>
      <c r="F140" t="s">
        <v>10</v>
      </c>
    </row>
    <row r="141" spans="1:6" hidden="1" x14ac:dyDescent="0.35">
      <c r="A141" t="s">
        <v>63</v>
      </c>
      <c r="B141" t="s">
        <v>32</v>
      </c>
      <c r="C141" t="s">
        <v>44</v>
      </c>
      <c r="D141">
        <v>180399.45116693771</v>
      </c>
      <c r="E141" t="s">
        <v>42</v>
      </c>
      <c r="F141" t="s">
        <v>10</v>
      </c>
    </row>
    <row r="142" spans="1:6" hidden="1" x14ac:dyDescent="0.35">
      <c r="A142" t="s">
        <v>64</v>
      </c>
      <c r="B142" t="s">
        <v>32</v>
      </c>
      <c r="C142" t="s">
        <v>44</v>
      </c>
      <c r="D142">
        <v>189225.96487913281</v>
      </c>
      <c r="E142" t="s">
        <v>42</v>
      </c>
      <c r="F142" t="s">
        <v>10</v>
      </c>
    </row>
    <row r="143" spans="1:6" hidden="1" x14ac:dyDescent="0.35">
      <c r="A143" t="s">
        <v>65</v>
      </c>
      <c r="B143" t="s">
        <v>32</v>
      </c>
      <c r="C143" t="s">
        <v>44</v>
      </c>
      <c r="D143">
        <v>183200.8803376694</v>
      </c>
      <c r="E143" t="s">
        <v>42</v>
      </c>
      <c r="F143" t="s">
        <v>10</v>
      </c>
    </row>
    <row r="144" spans="1:6" hidden="1" x14ac:dyDescent="0.35">
      <c r="A144" t="s">
        <v>66</v>
      </c>
      <c r="B144" t="s">
        <v>32</v>
      </c>
      <c r="C144" t="s">
        <v>44</v>
      </c>
      <c r="D144">
        <v>56218.225939837401</v>
      </c>
      <c r="E144" t="s">
        <v>42</v>
      </c>
      <c r="F144" t="s">
        <v>10</v>
      </c>
    </row>
    <row r="145" spans="1:6" hidden="1" x14ac:dyDescent="0.35">
      <c r="A145" t="s">
        <v>67</v>
      </c>
      <c r="B145" t="s">
        <v>32</v>
      </c>
      <c r="C145" t="s">
        <v>44</v>
      </c>
      <c r="D145">
        <v>135502.50641517621</v>
      </c>
      <c r="E145" t="s">
        <v>42</v>
      </c>
      <c r="F145" t="s">
        <v>10</v>
      </c>
    </row>
    <row r="146" spans="1:6" hidden="1" x14ac:dyDescent="0.35">
      <c r="A146" t="s">
        <v>57</v>
      </c>
      <c r="B146" t="s">
        <v>32</v>
      </c>
      <c r="C146" t="s">
        <v>22</v>
      </c>
      <c r="D146">
        <v>0</v>
      </c>
      <c r="E146" t="s">
        <v>42</v>
      </c>
      <c r="F146" t="s">
        <v>10</v>
      </c>
    </row>
    <row r="147" spans="1:6" hidden="1" x14ac:dyDescent="0.35">
      <c r="A147" t="s">
        <v>11</v>
      </c>
      <c r="B147" t="s">
        <v>32</v>
      </c>
      <c r="C147" t="s">
        <v>22</v>
      </c>
      <c r="D147">
        <v>0</v>
      </c>
      <c r="E147" t="s">
        <v>42</v>
      </c>
      <c r="F147" t="s">
        <v>10</v>
      </c>
    </row>
    <row r="148" spans="1:6" hidden="1" x14ac:dyDescent="0.35">
      <c r="A148" t="s">
        <v>58</v>
      </c>
      <c r="B148" t="s">
        <v>32</v>
      </c>
      <c r="C148" t="s">
        <v>22</v>
      </c>
      <c r="D148">
        <v>0</v>
      </c>
      <c r="E148" t="s">
        <v>42</v>
      </c>
      <c r="F148" t="s">
        <v>10</v>
      </c>
    </row>
    <row r="149" spans="1:6" hidden="1" x14ac:dyDescent="0.35">
      <c r="A149" t="s">
        <v>59</v>
      </c>
      <c r="B149" t="s">
        <v>32</v>
      </c>
      <c r="C149" t="s">
        <v>22</v>
      </c>
      <c r="D149">
        <v>0</v>
      </c>
      <c r="E149" t="s">
        <v>42</v>
      </c>
      <c r="F149" t="s">
        <v>10</v>
      </c>
    </row>
    <row r="150" spans="1:6" hidden="1" x14ac:dyDescent="0.35">
      <c r="A150" t="s">
        <v>60</v>
      </c>
      <c r="B150" t="s">
        <v>32</v>
      </c>
      <c r="C150" t="s">
        <v>22</v>
      </c>
      <c r="D150">
        <v>0</v>
      </c>
      <c r="E150" t="s">
        <v>42</v>
      </c>
      <c r="F150" t="s">
        <v>10</v>
      </c>
    </row>
    <row r="151" spans="1:6" hidden="1" x14ac:dyDescent="0.35">
      <c r="A151" t="s">
        <v>61</v>
      </c>
      <c r="B151" t="s">
        <v>32</v>
      </c>
      <c r="C151" t="s">
        <v>22</v>
      </c>
      <c r="D151">
        <v>0</v>
      </c>
      <c r="E151" t="s">
        <v>42</v>
      </c>
      <c r="F151" t="s">
        <v>10</v>
      </c>
    </row>
    <row r="152" spans="1:6" hidden="1" x14ac:dyDescent="0.35">
      <c r="A152" t="s">
        <v>62</v>
      </c>
      <c r="B152" t="s">
        <v>32</v>
      </c>
      <c r="C152" t="s">
        <v>22</v>
      </c>
      <c r="D152">
        <v>0</v>
      </c>
      <c r="E152" t="s">
        <v>42</v>
      </c>
      <c r="F152" t="s">
        <v>10</v>
      </c>
    </row>
    <row r="153" spans="1:6" hidden="1" x14ac:dyDescent="0.35">
      <c r="A153" t="s">
        <v>63</v>
      </c>
      <c r="B153" t="s">
        <v>32</v>
      </c>
      <c r="C153" t="s">
        <v>22</v>
      </c>
      <c r="D153">
        <v>0</v>
      </c>
      <c r="E153" t="s">
        <v>42</v>
      </c>
      <c r="F153" t="s">
        <v>10</v>
      </c>
    </row>
    <row r="154" spans="1:6" hidden="1" x14ac:dyDescent="0.35">
      <c r="A154" t="s">
        <v>64</v>
      </c>
      <c r="B154" t="s">
        <v>32</v>
      </c>
      <c r="C154" t="s">
        <v>22</v>
      </c>
      <c r="D154">
        <v>0</v>
      </c>
      <c r="E154" t="s">
        <v>42</v>
      </c>
      <c r="F154" t="s">
        <v>10</v>
      </c>
    </row>
    <row r="155" spans="1:6" hidden="1" x14ac:dyDescent="0.35">
      <c r="A155" t="s">
        <v>65</v>
      </c>
      <c r="B155" t="s">
        <v>32</v>
      </c>
      <c r="C155" t="s">
        <v>22</v>
      </c>
      <c r="D155">
        <v>0</v>
      </c>
      <c r="E155" t="s">
        <v>42</v>
      </c>
      <c r="F155" t="s">
        <v>10</v>
      </c>
    </row>
    <row r="156" spans="1:6" hidden="1" x14ac:dyDescent="0.35">
      <c r="A156" t="s">
        <v>66</v>
      </c>
      <c r="B156" t="s">
        <v>32</v>
      </c>
      <c r="C156" t="s">
        <v>22</v>
      </c>
      <c r="D156">
        <v>0</v>
      </c>
      <c r="E156" t="s">
        <v>42</v>
      </c>
      <c r="F156" t="s">
        <v>10</v>
      </c>
    </row>
    <row r="157" spans="1:6" hidden="1" x14ac:dyDescent="0.35">
      <c r="A157" t="s">
        <v>67</v>
      </c>
      <c r="B157" t="s">
        <v>32</v>
      </c>
      <c r="C157" t="s">
        <v>22</v>
      </c>
      <c r="D157">
        <v>0</v>
      </c>
      <c r="E157" t="s">
        <v>42</v>
      </c>
      <c r="F157" t="s">
        <v>10</v>
      </c>
    </row>
    <row r="158" spans="1:6" hidden="1" x14ac:dyDescent="0.35">
      <c r="A158" t="s">
        <v>57</v>
      </c>
      <c r="B158" t="s">
        <v>32</v>
      </c>
      <c r="C158" t="s">
        <v>46</v>
      </c>
      <c r="D158">
        <v>738253.83314471541</v>
      </c>
      <c r="E158" t="s">
        <v>42</v>
      </c>
      <c r="F158" t="s">
        <v>10</v>
      </c>
    </row>
    <row r="159" spans="1:6" hidden="1" x14ac:dyDescent="0.35">
      <c r="A159" t="s">
        <v>11</v>
      </c>
      <c r="B159" t="s">
        <v>32</v>
      </c>
      <c r="C159" t="s">
        <v>46</v>
      </c>
      <c r="D159">
        <v>616700.18576151773</v>
      </c>
      <c r="E159" t="s">
        <v>42</v>
      </c>
      <c r="F159" t="s">
        <v>10</v>
      </c>
    </row>
    <row r="160" spans="1:6" hidden="1" x14ac:dyDescent="0.35">
      <c r="A160" t="s">
        <v>58</v>
      </c>
      <c r="B160" t="s">
        <v>32</v>
      </c>
      <c r="C160" t="s">
        <v>46</v>
      </c>
      <c r="D160">
        <v>902373.12334092124</v>
      </c>
      <c r="E160" t="s">
        <v>42</v>
      </c>
      <c r="F160" t="s">
        <v>10</v>
      </c>
    </row>
    <row r="161" spans="1:6" hidden="1" x14ac:dyDescent="0.35">
      <c r="A161" t="s">
        <v>59</v>
      </c>
      <c r="B161" t="s">
        <v>32</v>
      </c>
      <c r="C161" t="s">
        <v>46</v>
      </c>
      <c r="D161">
        <v>579211.03053116531</v>
      </c>
      <c r="E161" t="s">
        <v>42</v>
      </c>
      <c r="F161" t="s">
        <v>10</v>
      </c>
    </row>
    <row r="162" spans="1:6" hidden="1" x14ac:dyDescent="0.35">
      <c r="A162" t="s">
        <v>60</v>
      </c>
      <c r="B162" t="s">
        <v>32</v>
      </c>
      <c r="C162" t="s">
        <v>46</v>
      </c>
      <c r="D162">
        <v>1212420.896340379</v>
      </c>
      <c r="E162" t="s">
        <v>42</v>
      </c>
      <c r="F162" t="s">
        <v>10</v>
      </c>
    </row>
    <row r="163" spans="1:6" hidden="1" x14ac:dyDescent="0.35">
      <c r="A163" t="s">
        <v>61</v>
      </c>
      <c r="B163" t="s">
        <v>32</v>
      </c>
      <c r="C163" t="s">
        <v>46</v>
      </c>
      <c r="D163">
        <v>629070.49875013542</v>
      </c>
      <c r="E163" t="s">
        <v>42</v>
      </c>
      <c r="F163" t="s">
        <v>10</v>
      </c>
    </row>
    <row r="164" spans="1:6" hidden="1" x14ac:dyDescent="0.35">
      <c r="A164" t="s">
        <v>62</v>
      </c>
      <c r="B164" t="s">
        <v>32</v>
      </c>
      <c r="C164" t="s">
        <v>46</v>
      </c>
      <c r="D164">
        <v>674918.95909810299</v>
      </c>
      <c r="E164" t="s">
        <v>42</v>
      </c>
      <c r="F164" t="s">
        <v>10</v>
      </c>
    </row>
    <row r="165" spans="1:6" hidden="1" x14ac:dyDescent="0.35">
      <c r="A165" t="s">
        <v>63</v>
      </c>
      <c r="B165" t="s">
        <v>32</v>
      </c>
      <c r="C165" t="s">
        <v>46</v>
      </c>
      <c r="D165">
        <v>830195.59086612449</v>
      </c>
      <c r="E165" t="s">
        <v>42</v>
      </c>
      <c r="F165" t="s">
        <v>10</v>
      </c>
    </row>
    <row r="166" spans="1:6" hidden="1" x14ac:dyDescent="0.35">
      <c r="A166" t="s">
        <v>64</v>
      </c>
      <c r="B166" t="s">
        <v>32</v>
      </c>
      <c r="C166" t="s">
        <v>46</v>
      </c>
      <c r="D166">
        <v>865418.2838417344</v>
      </c>
      <c r="E166" t="s">
        <v>42</v>
      </c>
      <c r="F166" t="s">
        <v>10</v>
      </c>
    </row>
    <row r="167" spans="1:6" hidden="1" x14ac:dyDescent="0.35">
      <c r="A167" t="s">
        <v>65</v>
      </c>
      <c r="B167" t="s">
        <v>32</v>
      </c>
      <c r="C167" t="s">
        <v>46</v>
      </c>
      <c r="D167">
        <v>689072.22732466122</v>
      </c>
      <c r="E167" t="s">
        <v>42</v>
      </c>
      <c r="F167" t="s">
        <v>10</v>
      </c>
    </row>
    <row r="168" spans="1:6" hidden="1" x14ac:dyDescent="0.35">
      <c r="A168" t="s">
        <v>66</v>
      </c>
      <c r="B168" t="s">
        <v>32</v>
      </c>
      <c r="C168" t="s">
        <v>46</v>
      </c>
      <c r="D168">
        <v>473830.1789203253</v>
      </c>
      <c r="E168" t="s">
        <v>42</v>
      </c>
      <c r="F168" t="s">
        <v>10</v>
      </c>
    </row>
    <row r="169" spans="1:6" hidden="1" x14ac:dyDescent="0.35">
      <c r="A169" t="s">
        <v>67</v>
      </c>
      <c r="B169" t="s">
        <v>32</v>
      </c>
      <c r="C169" t="s">
        <v>46</v>
      </c>
      <c r="D169">
        <v>771053.73756964784</v>
      </c>
      <c r="E169" t="s">
        <v>42</v>
      </c>
      <c r="F169" t="s">
        <v>10</v>
      </c>
    </row>
    <row r="170" spans="1:6" hidden="1" x14ac:dyDescent="0.35">
      <c r="A170" t="s">
        <v>57</v>
      </c>
      <c r="B170" t="s">
        <v>32</v>
      </c>
      <c r="C170" t="s">
        <v>24</v>
      </c>
      <c r="D170">
        <v>0</v>
      </c>
      <c r="E170" t="s">
        <v>42</v>
      </c>
      <c r="F170" t="s">
        <v>10</v>
      </c>
    </row>
    <row r="171" spans="1:6" hidden="1" x14ac:dyDescent="0.35">
      <c r="A171" t="s">
        <v>11</v>
      </c>
      <c r="B171" t="s">
        <v>32</v>
      </c>
      <c r="C171" t="s">
        <v>24</v>
      </c>
      <c r="D171">
        <v>0</v>
      </c>
      <c r="E171" t="s">
        <v>42</v>
      </c>
      <c r="F171" t="s">
        <v>10</v>
      </c>
    </row>
    <row r="172" spans="1:6" hidden="1" x14ac:dyDescent="0.35">
      <c r="A172" t="s">
        <v>58</v>
      </c>
      <c r="B172" t="s">
        <v>32</v>
      </c>
      <c r="C172" t="s">
        <v>24</v>
      </c>
      <c r="D172">
        <v>0</v>
      </c>
      <c r="E172" t="s">
        <v>42</v>
      </c>
      <c r="F172" t="s">
        <v>10</v>
      </c>
    </row>
    <row r="173" spans="1:6" hidden="1" x14ac:dyDescent="0.35">
      <c r="A173" t="s">
        <v>59</v>
      </c>
      <c r="B173" t="s">
        <v>32</v>
      </c>
      <c r="C173" t="s">
        <v>24</v>
      </c>
      <c r="D173">
        <v>0</v>
      </c>
      <c r="E173" t="s">
        <v>42</v>
      </c>
      <c r="F173" t="s">
        <v>10</v>
      </c>
    </row>
    <row r="174" spans="1:6" hidden="1" x14ac:dyDescent="0.35">
      <c r="A174" t="s">
        <v>60</v>
      </c>
      <c r="B174" t="s">
        <v>32</v>
      </c>
      <c r="C174" t="s">
        <v>24</v>
      </c>
      <c r="D174">
        <v>0</v>
      </c>
      <c r="E174" t="s">
        <v>42</v>
      </c>
      <c r="F174" t="s">
        <v>10</v>
      </c>
    </row>
    <row r="175" spans="1:6" hidden="1" x14ac:dyDescent="0.35">
      <c r="A175" t="s">
        <v>61</v>
      </c>
      <c r="B175" t="s">
        <v>32</v>
      </c>
      <c r="C175" t="s">
        <v>24</v>
      </c>
      <c r="D175">
        <v>0</v>
      </c>
      <c r="E175" t="s">
        <v>42</v>
      </c>
      <c r="F175" t="s">
        <v>10</v>
      </c>
    </row>
    <row r="176" spans="1:6" hidden="1" x14ac:dyDescent="0.35">
      <c r="A176" t="s">
        <v>62</v>
      </c>
      <c r="B176" t="s">
        <v>32</v>
      </c>
      <c r="C176" t="s">
        <v>24</v>
      </c>
      <c r="D176">
        <v>0</v>
      </c>
      <c r="E176" t="s">
        <v>42</v>
      </c>
      <c r="F176" t="s">
        <v>10</v>
      </c>
    </row>
    <row r="177" spans="1:6" hidden="1" x14ac:dyDescent="0.35">
      <c r="A177" t="s">
        <v>63</v>
      </c>
      <c r="B177" t="s">
        <v>32</v>
      </c>
      <c r="C177" t="s">
        <v>24</v>
      </c>
      <c r="D177">
        <v>0</v>
      </c>
      <c r="E177" t="s">
        <v>42</v>
      </c>
      <c r="F177" t="s">
        <v>10</v>
      </c>
    </row>
    <row r="178" spans="1:6" hidden="1" x14ac:dyDescent="0.35">
      <c r="A178" t="s">
        <v>64</v>
      </c>
      <c r="B178" t="s">
        <v>32</v>
      </c>
      <c r="C178" t="s">
        <v>24</v>
      </c>
      <c r="D178">
        <v>0</v>
      </c>
      <c r="E178" t="s">
        <v>42</v>
      </c>
      <c r="F178" t="s">
        <v>10</v>
      </c>
    </row>
    <row r="179" spans="1:6" hidden="1" x14ac:dyDescent="0.35">
      <c r="A179" t="s">
        <v>65</v>
      </c>
      <c r="B179" t="s">
        <v>32</v>
      </c>
      <c r="C179" t="s">
        <v>24</v>
      </c>
      <c r="D179">
        <v>0</v>
      </c>
      <c r="E179" t="s">
        <v>42</v>
      </c>
      <c r="F179" t="s">
        <v>10</v>
      </c>
    </row>
    <row r="180" spans="1:6" hidden="1" x14ac:dyDescent="0.35">
      <c r="A180" t="s">
        <v>66</v>
      </c>
      <c r="B180" t="s">
        <v>32</v>
      </c>
      <c r="C180" t="s">
        <v>24</v>
      </c>
      <c r="D180">
        <v>0</v>
      </c>
      <c r="E180" t="s">
        <v>42</v>
      </c>
      <c r="F180" t="s">
        <v>10</v>
      </c>
    </row>
    <row r="181" spans="1:6" hidden="1" x14ac:dyDescent="0.35">
      <c r="A181" t="s">
        <v>67</v>
      </c>
      <c r="B181" t="s">
        <v>32</v>
      </c>
      <c r="C181" t="s">
        <v>24</v>
      </c>
      <c r="D181">
        <v>0</v>
      </c>
      <c r="E181" t="s">
        <v>42</v>
      </c>
      <c r="F181" t="s">
        <v>10</v>
      </c>
    </row>
    <row r="182" spans="1:6" hidden="1" x14ac:dyDescent="0.35">
      <c r="A182" t="s">
        <v>57</v>
      </c>
      <c r="B182" t="s">
        <v>32</v>
      </c>
      <c r="C182" t="s">
        <v>47</v>
      </c>
      <c r="D182">
        <v>2115.2199999999998</v>
      </c>
      <c r="E182" t="s">
        <v>42</v>
      </c>
      <c r="F182" t="s">
        <v>10</v>
      </c>
    </row>
    <row r="183" spans="1:6" hidden="1" x14ac:dyDescent="0.35">
      <c r="A183" t="s">
        <v>11</v>
      </c>
      <c r="B183" t="s">
        <v>32</v>
      </c>
      <c r="C183" t="s">
        <v>47</v>
      </c>
      <c r="D183">
        <v>5095.28</v>
      </c>
      <c r="E183" t="s">
        <v>42</v>
      </c>
      <c r="F183" t="s">
        <v>10</v>
      </c>
    </row>
    <row r="184" spans="1:6" hidden="1" x14ac:dyDescent="0.35">
      <c r="A184" t="s">
        <v>58</v>
      </c>
      <c r="B184" t="s">
        <v>32</v>
      </c>
      <c r="C184" t="s">
        <v>47</v>
      </c>
      <c r="D184">
        <v>19070.689999999999</v>
      </c>
      <c r="E184" t="s">
        <v>42</v>
      </c>
      <c r="F184" t="s">
        <v>10</v>
      </c>
    </row>
    <row r="185" spans="1:6" hidden="1" x14ac:dyDescent="0.35">
      <c r="A185" t="s">
        <v>59</v>
      </c>
      <c r="B185" t="s">
        <v>32</v>
      </c>
      <c r="C185" t="s">
        <v>47</v>
      </c>
      <c r="E185" t="s">
        <v>42</v>
      </c>
      <c r="F185" t="s">
        <v>10</v>
      </c>
    </row>
    <row r="186" spans="1:6" hidden="1" x14ac:dyDescent="0.35">
      <c r="A186" t="s">
        <v>60</v>
      </c>
      <c r="B186" t="s">
        <v>32</v>
      </c>
      <c r="C186" t="s">
        <v>47</v>
      </c>
      <c r="D186">
        <v>1076.18</v>
      </c>
      <c r="E186" t="s">
        <v>42</v>
      </c>
      <c r="F186" t="s">
        <v>10</v>
      </c>
    </row>
    <row r="187" spans="1:6" hidden="1" x14ac:dyDescent="0.35">
      <c r="A187" t="s">
        <v>61</v>
      </c>
      <c r="B187" t="s">
        <v>32</v>
      </c>
      <c r="C187" t="s">
        <v>47</v>
      </c>
      <c r="D187">
        <v>1143.25</v>
      </c>
      <c r="E187" t="s">
        <v>42</v>
      </c>
      <c r="F187" t="s">
        <v>10</v>
      </c>
    </row>
    <row r="188" spans="1:6" hidden="1" x14ac:dyDescent="0.35">
      <c r="A188" t="s">
        <v>62</v>
      </c>
      <c r="B188" t="s">
        <v>32</v>
      </c>
      <c r="C188" t="s">
        <v>47</v>
      </c>
      <c r="E188" t="s">
        <v>42</v>
      </c>
      <c r="F188" t="s">
        <v>10</v>
      </c>
    </row>
    <row r="189" spans="1:6" hidden="1" x14ac:dyDescent="0.35">
      <c r="A189" t="s">
        <v>63</v>
      </c>
      <c r="B189" t="s">
        <v>32</v>
      </c>
      <c r="C189" t="s">
        <v>47</v>
      </c>
      <c r="D189">
        <v>8817.380000000001</v>
      </c>
      <c r="E189" t="s">
        <v>42</v>
      </c>
      <c r="F189" t="s">
        <v>10</v>
      </c>
    </row>
    <row r="190" spans="1:6" hidden="1" x14ac:dyDescent="0.35">
      <c r="A190" t="s">
        <v>64</v>
      </c>
      <c r="B190" t="s">
        <v>32</v>
      </c>
      <c r="C190" t="s">
        <v>47</v>
      </c>
      <c r="E190" t="s">
        <v>42</v>
      </c>
      <c r="F190" t="s">
        <v>10</v>
      </c>
    </row>
    <row r="191" spans="1:6" hidden="1" x14ac:dyDescent="0.35">
      <c r="A191" t="s">
        <v>65</v>
      </c>
      <c r="B191" t="s">
        <v>32</v>
      </c>
      <c r="C191" t="s">
        <v>47</v>
      </c>
      <c r="D191">
        <v>1557.84</v>
      </c>
      <c r="E191" t="s">
        <v>42</v>
      </c>
      <c r="F191" t="s">
        <v>10</v>
      </c>
    </row>
    <row r="192" spans="1:6" hidden="1" x14ac:dyDescent="0.35">
      <c r="A192" t="s">
        <v>66</v>
      </c>
      <c r="B192" t="s">
        <v>32</v>
      </c>
      <c r="C192" t="s">
        <v>47</v>
      </c>
      <c r="E192" t="s">
        <v>42</v>
      </c>
      <c r="F192" t="s">
        <v>10</v>
      </c>
    </row>
    <row r="193" spans="1:6" hidden="1" x14ac:dyDescent="0.35">
      <c r="A193" t="s">
        <v>67</v>
      </c>
      <c r="B193" t="s">
        <v>32</v>
      </c>
      <c r="C193" t="s">
        <v>47</v>
      </c>
      <c r="E193" t="s">
        <v>42</v>
      </c>
      <c r="F193" t="s">
        <v>10</v>
      </c>
    </row>
    <row r="194" spans="1:6" hidden="1" x14ac:dyDescent="0.35">
      <c r="A194" t="s">
        <v>57</v>
      </c>
      <c r="B194" t="s">
        <v>32</v>
      </c>
      <c r="C194" t="s">
        <v>48</v>
      </c>
      <c r="D194">
        <v>0</v>
      </c>
      <c r="E194" t="s">
        <v>42</v>
      </c>
      <c r="F194" t="s">
        <v>10</v>
      </c>
    </row>
    <row r="195" spans="1:6" hidden="1" x14ac:dyDescent="0.35">
      <c r="A195" t="s">
        <v>11</v>
      </c>
      <c r="B195" t="s">
        <v>32</v>
      </c>
      <c r="C195" t="s">
        <v>48</v>
      </c>
      <c r="D195">
        <v>0</v>
      </c>
      <c r="E195" t="s">
        <v>42</v>
      </c>
      <c r="F195" t="s">
        <v>10</v>
      </c>
    </row>
    <row r="196" spans="1:6" hidden="1" x14ac:dyDescent="0.35">
      <c r="A196" t="s">
        <v>58</v>
      </c>
      <c r="B196" t="s">
        <v>32</v>
      </c>
      <c r="C196" t="s">
        <v>48</v>
      </c>
      <c r="D196">
        <v>0</v>
      </c>
      <c r="E196" t="s">
        <v>42</v>
      </c>
      <c r="F196" t="s">
        <v>10</v>
      </c>
    </row>
    <row r="197" spans="1:6" hidden="1" x14ac:dyDescent="0.35">
      <c r="A197" t="s">
        <v>59</v>
      </c>
      <c r="B197" t="s">
        <v>32</v>
      </c>
      <c r="C197" t="s">
        <v>48</v>
      </c>
      <c r="D197">
        <v>0</v>
      </c>
      <c r="E197" t="s">
        <v>42</v>
      </c>
      <c r="F197" t="s">
        <v>10</v>
      </c>
    </row>
    <row r="198" spans="1:6" hidden="1" x14ac:dyDescent="0.35">
      <c r="A198" t="s">
        <v>60</v>
      </c>
      <c r="B198" t="s">
        <v>32</v>
      </c>
      <c r="C198" t="s">
        <v>48</v>
      </c>
      <c r="D198">
        <v>0</v>
      </c>
      <c r="E198" t="s">
        <v>42</v>
      </c>
      <c r="F198" t="s">
        <v>10</v>
      </c>
    </row>
    <row r="199" spans="1:6" hidden="1" x14ac:dyDescent="0.35">
      <c r="A199" t="s">
        <v>61</v>
      </c>
      <c r="B199" t="s">
        <v>32</v>
      </c>
      <c r="C199" t="s">
        <v>48</v>
      </c>
      <c r="D199">
        <v>0</v>
      </c>
      <c r="E199" t="s">
        <v>42</v>
      </c>
      <c r="F199" t="s">
        <v>10</v>
      </c>
    </row>
    <row r="200" spans="1:6" hidden="1" x14ac:dyDescent="0.35">
      <c r="A200" t="s">
        <v>62</v>
      </c>
      <c r="B200" t="s">
        <v>32</v>
      </c>
      <c r="C200" t="s">
        <v>48</v>
      </c>
      <c r="D200">
        <v>0</v>
      </c>
      <c r="E200" t="s">
        <v>42</v>
      </c>
      <c r="F200" t="s">
        <v>10</v>
      </c>
    </row>
    <row r="201" spans="1:6" hidden="1" x14ac:dyDescent="0.35">
      <c r="A201" t="s">
        <v>63</v>
      </c>
      <c r="B201" t="s">
        <v>32</v>
      </c>
      <c r="C201" t="s">
        <v>48</v>
      </c>
      <c r="D201">
        <v>0</v>
      </c>
      <c r="E201" t="s">
        <v>42</v>
      </c>
      <c r="F201" t="s">
        <v>10</v>
      </c>
    </row>
    <row r="202" spans="1:6" hidden="1" x14ac:dyDescent="0.35">
      <c r="A202" t="s">
        <v>64</v>
      </c>
      <c r="B202" t="s">
        <v>32</v>
      </c>
      <c r="C202" t="s">
        <v>48</v>
      </c>
      <c r="D202">
        <v>0</v>
      </c>
      <c r="E202" t="s">
        <v>42</v>
      </c>
      <c r="F202" t="s">
        <v>10</v>
      </c>
    </row>
    <row r="203" spans="1:6" hidden="1" x14ac:dyDescent="0.35">
      <c r="A203" t="s">
        <v>65</v>
      </c>
      <c r="B203" t="s">
        <v>32</v>
      </c>
      <c r="C203" t="s">
        <v>48</v>
      </c>
      <c r="D203">
        <v>0</v>
      </c>
      <c r="E203" t="s">
        <v>42</v>
      </c>
      <c r="F203" t="s">
        <v>10</v>
      </c>
    </row>
    <row r="204" spans="1:6" hidden="1" x14ac:dyDescent="0.35">
      <c r="A204" t="s">
        <v>66</v>
      </c>
      <c r="B204" t="s">
        <v>32</v>
      </c>
      <c r="C204" t="s">
        <v>48</v>
      </c>
      <c r="D204">
        <v>0</v>
      </c>
      <c r="E204" t="s">
        <v>42</v>
      </c>
      <c r="F204" t="s">
        <v>10</v>
      </c>
    </row>
    <row r="205" spans="1:6" hidden="1" x14ac:dyDescent="0.35">
      <c r="A205" t="s">
        <v>67</v>
      </c>
      <c r="B205" t="s">
        <v>32</v>
      </c>
      <c r="C205" t="s">
        <v>48</v>
      </c>
      <c r="D205">
        <v>0</v>
      </c>
      <c r="E205" t="s">
        <v>42</v>
      </c>
      <c r="F205" t="s">
        <v>10</v>
      </c>
    </row>
    <row r="206" spans="1:6" hidden="1" x14ac:dyDescent="0.35">
      <c r="A206" t="s">
        <v>57</v>
      </c>
      <c r="B206" t="s">
        <v>32</v>
      </c>
      <c r="C206" t="s">
        <v>49</v>
      </c>
      <c r="D206">
        <v>25090.684000000001</v>
      </c>
      <c r="E206" t="s">
        <v>42</v>
      </c>
      <c r="F206" t="s">
        <v>10</v>
      </c>
    </row>
    <row r="207" spans="1:6" hidden="1" x14ac:dyDescent="0.35">
      <c r="A207" t="s">
        <v>11</v>
      </c>
      <c r="B207" t="s">
        <v>32</v>
      </c>
      <c r="C207" t="s">
        <v>49</v>
      </c>
      <c r="D207">
        <v>29860.060799999999</v>
      </c>
      <c r="E207" t="s">
        <v>42</v>
      </c>
      <c r="F207" t="s">
        <v>10</v>
      </c>
    </row>
    <row r="208" spans="1:6" hidden="1" x14ac:dyDescent="0.35">
      <c r="A208" t="s">
        <v>58</v>
      </c>
      <c r="B208" t="s">
        <v>32</v>
      </c>
      <c r="C208" t="s">
        <v>49</v>
      </c>
      <c r="D208">
        <v>26675.177599999999</v>
      </c>
      <c r="E208" t="s">
        <v>42</v>
      </c>
      <c r="F208" t="s">
        <v>10</v>
      </c>
    </row>
    <row r="209" spans="1:6" hidden="1" x14ac:dyDescent="0.35">
      <c r="A209" t="s">
        <v>59</v>
      </c>
      <c r="B209" t="s">
        <v>32</v>
      </c>
      <c r="C209" t="s">
        <v>49</v>
      </c>
      <c r="D209">
        <v>13015.786400000001</v>
      </c>
      <c r="E209" t="s">
        <v>42</v>
      </c>
      <c r="F209" t="s">
        <v>10</v>
      </c>
    </row>
    <row r="210" spans="1:6" hidden="1" x14ac:dyDescent="0.35">
      <c r="A210" t="s">
        <v>60</v>
      </c>
      <c r="B210" t="s">
        <v>32</v>
      </c>
      <c r="C210" t="s">
        <v>49</v>
      </c>
      <c r="D210">
        <v>17525.733199999999</v>
      </c>
      <c r="E210" t="s">
        <v>42</v>
      </c>
      <c r="F210" t="s">
        <v>10</v>
      </c>
    </row>
    <row r="211" spans="1:6" hidden="1" x14ac:dyDescent="0.35">
      <c r="A211" t="s">
        <v>61</v>
      </c>
      <c r="B211" t="s">
        <v>32</v>
      </c>
      <c r="C211" t="s">
        <v>49</v>
      </c>
      <c r="D211">
        <v>71993.427200000006</v>
      </c>
      <c r="E211" t="s">
        <v>42</v>
      </c>
      <c r="F211" t="s">
        <v>10</v>
      </c>
    </row>
    <row r="212" spans="1:6" hidden="1" x14ac:dyDescent="0.35">
      <c r="A212" t="s">
        <v>62</v>
      </c>
      <c r="B212" t="s">
        <v>32</v>
      </c>
      <c r="C212" t="s">
        <v>49</v>
      </c>
      <c r="D212">
        <v>30428.370800000001</v>
      </c>
      <c r="E212" t="s">
        <v>42</v>
      </c>
      <c r="F212" t="s">
        <v>10</v>
      </c>
    </row>
    <row r="213" spans="1:6" hidden="1" x14ac:dyDescent="0.35">
      <c r="A213" t="s">
        <v>63</v>
      </c>
      <c r="B213" t="s">
        <v>32</v>
      </c>
      <c r="C213" t="s">
        <v>49</v>
      </c>
      <c r="D213">
        <v>41253.950800000013</v>
      </c>
      <c r="E213" t="s">
        <v>42</v>
      </c>
      <c r="F213" t="s">
        <v>10</v>
      </c>
    </row>
    <row r="214" spans="1:6" hidden="1" x14ac:dyDescent="0.35">
      <c r="A214" t="s">
        <v>64</v>
      </c>
      <c r="B214" t="s">
        <v>32</v>
      </c>
      <c r="C214" t="s">
        <v>49</v>
      </c>
      <c r="D214">
        <v>43653.439600000012</v>
      </c>
      <c r="E214" t="s">
        <v>42</v>
      </c>
      <c r="F214" t="s">
        <v>10</v>
      </c>
    </row>
    <row r="215" spans="1:6" hidden="1" x14ac:dyDescent="0.35">
      <c r="A215" t="s">
        <v>65</v>
      </c>
      <c r="B215" t="s">
        <v>32</v>
      </c>
      <c r="C215" t="s">
        <v>49</v>
      </c>
      <c r="D215">
        <v>30289.578399999999</v>
      </c>
      <c r="E215" t="s">
        <v>42</v>
      </c>
      <c r="F215" t="s">
        <v>10</v>
      </c>
    </row>
    <row r="216" spans="1:6" hidden="1" x14ac:dyDescent="0.35">
      <c r="A216" t="s">
        <v>66</v>
      </c>
      <c r="B216" t="s">
        <v>32</v>
      </c>
      <c r="C216" t="s">
        <v>49</v>
      </c>
      <c r="D216">
        <v>25103.142</v>
      </c>
      <c r="E216" t="s">
        <v>42</v>
      </c>
      <c r="F216" t="s">
        <v>10</v>
      </c>
    </row>
    <row r="217" spans="1:6" hidden="1" x14ac:dyDescent="0.35">
      <c r="A217" t="s">
        <v>67</v>
      </c>
      <c r="B217" t="s">
        <v>32</v>
      </c>
      <c r="C217" t="s">
        <v>49</v>
      </c>
      <c r="D217">
        <v>32097.946</v>
      </c>
      <c r="E217" t="s">
        <v>42</v>
      </c>
      <c r="F217" t="s">
        <v>10</v>
      </c>
    </row>
    <row r="218" spans="1:6" hidden="1" x14ac:dyDescent="0.35">
      <c r="A218" t="s">
        <v>57</v>
      </c>
      <c r="B218" t="s">
        <v>32</v>
      </c>
      <c r="C218" t="s">
        <v>50</v>
      </c>
      <c r="D218">
        <v>862515.61640000029</v>
      </c>
      <c r="E218" t="s">
        <v>42</v>
      </c>
      <c r="F218" t="s">
        <v>10</v>
      </c>
    </row>
    <row r="219" spans="1:6" hidden="1" x14ac:dyDescent="0.35">
      <c r="A219" t="s">
        <v>11</v>
      </c>
      <c r="B219" t="s">
        <v>32</v>
      </c>
      <c r="C219" t="s">
        <v>50</v>
      </c>
      <c r="D219">
        <v>796671.62879999995</v>
      </c>
      <c r="E219" t="s">
        <v>42</v>
      </c>
      <c r="F219" t="s">
        <v>10</v>
      </c>
    </row>
    <row r="220" spans="1:6" hidden="1" x14ac:dyDescent="0.35">
      <c r="A220" t="s">
        <v>58</v>
      </c>
      <c r="B220" t="s">
        <v>32</v>
      </c>
      <c r="C220" t="s">
        <v>50</v>
      </c>
      <c r="D220">
        <v>1163177.5608000001</v>
      </c>
      <c r="E220" t="s">
        <v>42</v>
      </c>
      <c r="F220" t="s">
        <v>10</v>
      </c>
    </row>
    <row r="221" spans="1:6" hidden="1" x14ac:dyDescent="0.35">
      <c r="A221" t="s">
        <v>59</v>
      </c>
      <c r="B221" t="s">
        <v>32</v>
      </c>
      <c r="C221" t="s">
        <v>50</v>
      </c>
      <c r="D221">
        <v>785881.64479999989</v>
      </c>
      <c r="E221" t="s">
        <v>42</v>
      </c>
      <c r="F221" t="s">
        <v>10</v>
      </c>
    </row>
    <row r="222" spans="1:6" hidden="1" x14ac:dyDescent="0.35">
      <c r="A222" t="s">
        <v>60</v>
      </c>
      <c r="B222" t="s">
        <v>32</v>
      </c>
      <c r="C222" t="s">
        <v>50</v>
      </c>
      <c r="D222">
        <v>1538220.0619999999</v>
      </c>
      <c r="E222" t="s">
        <v>42</v>
      </c>
      <c r="F222" t="s">
        <v>10</v>
      </c>
    </row>
    <row r="223" spans="1:6" hidden="1" x14ac:dyDescent="0.35">
      <c r="A223" t="s">
        <v>61</v>
      </c>
      <c r="B223" t="s">
        <v>32</v>
      </c>
      <c r="C223" t="s">
        <v>50</v>
      </c>
      <c r="D223">
        <v>1124062.8148000001</v>
      </c>
      <c r="E223" t="s">
        <v>42</v>
      </c>
      <c r="F223" t="s">
        <v>10</v>
      </c>
    </row>
    <row r="224" spans="1:6" hidden="1" x14ac:dyDescent="0.35">
      <c r="A224" t="s">
        <v>62</v>
      </c>
      <c r="B224" t="s">
        <v>32</v>
      </c>
      <c r="C224" t="s">
        <v>50</v>
      </c>
      <c r="D224">
        <v>859213.09960000007</v>
      </c>
      <c r="E224" t="s">
        <v>42</v>
      </c>
      <c r="F224" t="s">
        <v>10</v>
      </c>
    </row>
    <row r="225" spans="1:6" hidden="1" x14ac:dyDescent="0.35">
      <c r="A225" t="s">
        <v>63</v>
      </c>
      <c r="B225" t="s">
        <v>32</v>
      </c>
      <c r="C225" t="s">
        <v>50</v>
      </c>
      <c r="D225">
        <v>1190994.4931999999</v>
      </c>
      <c r="E225" t="s">
        <v>42</v>
      </c>
      <c r="F225" t="s">
        <v>10</v>
      </c>
    </row>
    <row r="226" spans="1:6" hidden="1" x14ac:dyDescent="0.35">
      <c r="A226" t="s">
        <v>64</v>
      </c>
      <c r="B226" t="s">
        <v>32</v>
      </c>
      <c r="C226" t="s">
        <v>50</v>
      </c>
      <c r="D226">
        <v>1243870.2135999999</v>
      </c>
      <c r="E226" t="s">
        <v>42</v>
      </c>
      <c r="F226" t="s">
        <v>10</v>
      </c>
    </row>
    <row r="227" spans="1:6" hidden="1" x14ac:dyDescent="0.35">
      <c r="A227" t="s">
        <v>65</v>
      </c>
      <c r="B227" t="s">
        <v>32</v>
      </c>
      <c r="C227" t="s">
        <v>50</v>
      </c>
      <c r="D227">
        <v>1055473.9879999999</v>
      </c>
      <c r="E227" t="s">
        <v>42</v>
      </c>
      <c r="F227" t="s">
        <v>10</v>
      </c>
    </row>
    <row r="228" spans="1:6" hidden="1" x14ac:dyDescent="0.35">
      <c r="A228" t="s">
        <v>66</v>
      </c>
      <c r="B228" t="s">
        <v>32</v>
      </c>
      <c r="C228" t="s">
        <v>50</v>
      </c>
      <c r="D228">
        <v>586266.63080000004</v>
      </c>
      <c r="E228" t="s">
        <v>42</v>
      </c>
      <c r="F228" t="s">
        <v>10</v>
      </c>
    </row>
    <row r="229" spans="1:6" hidden="1" x14ac:dyDescent="0.35">
      <c r="A229" t="s">
        <v>67</v>
      </c>
      <c r="B229" t="s">
        <v>32</v>
      </c>
      <c r="C229" t="s">
        <v>50</v>
      </c>
      <c r="D229">
        <v>1042058.7504</v>
      </c>
      <c r="E229" t="s">
        <v>42</v>
      </c>
      <c r="F229" t="s">
        <v>10</v>
      </c>
    </row>
    <row r="230" spans="1:6" hidden="1" x14ac:dyDescent="0.35">
      <c r="A230" t="s">
        <v>57</v>
      </c>
      <c r="B230" t="s">
        <v>32</v>
      </c>
      <c r="C230" t="s">
        <v>51</v>
      </c>
      <c r="D230">
        <v>6</v>
      </c>
      <c r="E230" t="s">
        <v>42</v>
      </c>
      <c r="F230" t="s">
        <v>10</v>
      </c>
    </row>
    <row r="231" spans="1:6" hidden="1" x14ac:dyDescent="0.35">
      <c r="A231" t="s">
        <v>11</v>
      </c>
      <c r="B231" t="s">
        <v>32</v>
      </c>
      <c r="C231" t="s">
        <v>51</v>
      </c>
      <c r="D231">
        <v>9</v>
      </c>
      <c r="E231" t="s">
        <v>42</v>
      </c>
      <c r="F231" t="s">
        <v>10</v>
      </c>
    </row>
    <row r="232" spans="1:6" hidden="1" x14ac:dyDescent="0.35">
      <c r="A232" t="s">
        <v>58</v>
      </c>
      <c r="B232" t="s">
        <v>32</v>
      </c>
      <c r="C232" t="s">
        <v>51</v>
      </c>
      <c r="D232">
        <v>10</v>
      </c>
      <c r="E232" t="s">
        <v>42</v>
      </c>
      <c r="F232" t="s">
        <v>10</v>
      </c>
    </row>
    <row r="233" spans="1:6" hidden="1" x14ac:dyDescent="0.35">
      <c r="A233" t="s">
        <v>59</v>
      </c>
      <c r="B233" t="s">
        <v>32</v>
      </c>
      <c r="C233" t="s">
        <v>51</v>
      </c>
      <c r="D233">
        <v>5</v>
      </c>
      <c r="E233" t="s">
        <v>42</v>
      </c>
      <c r="F233" t="s">
        <v>10</v>
      </c>
    </row>
    <row r="234" spans="1:6" hidden="1" x14ac:dyDescent="0.35">
      <c r="A234" t="s">
        <v>60</v>
      </c>
      <c r="B234" t="s">
        <v>32</v>
      </c>
      <c r="C234" t="s">
        <v>51</v>
      </c>
      <c r="D234">
        <v>3</v>
      </c>
      <c r="E234" t="s">
        <v>42</v>
      </c>
      <c r="F234" t="s">
        <v>10</v>
      </c>
    </row>
    <row r="235" spans="1:6" hidden="1" x14ac:dyDescent="0.35">
      <c r="A235" t="s">
        <v>61</v>
      </c>
      <c r="B235" t="s">
        <v>32</v>
      </c>
      <c r="C235" t="s">
        <v>51</v>
      </c>
      <c r="D235">
        <v>12</v>
      </c>
      <c r="E235" t="s">
        <v>42</v>
      </c>
      <c r="F235" t="s">
        <v>10</v>
      </c>
    </row>
    <row r="236" spans="1:6" hidden="1" x14ac:dyDescent="0.35">
      <c r="A236" t="s">
        <v>62</v>
      </c>
      <c r="B236" t="s">
        <v>32</v>
      </c>
      <c r="C236" t="s">
        <v>51</v>
      </c>
      <c r="E236" t="s">
        <v>42</v>
      </c>
      <c r="F236" t="s">
        <v>10</v>
      </c>
    </row>
    <row r="237" spans="1:6" hidden="1" x14ac:dyDescent="0.35">
      <c r="A237" t="s">
        <v>63</v>
      </c>
      <c r="B237" t="s">
        <v>32</v>
      </c>
      <c r="C237" t="s">
        <v>51</v>
      </c>
      <c r="D237">
        <v>4</v>
      </c>
      <c r="E237" t="s">
        <v>42</v>
      </c>
      <c r="F237" t="s">
        <v>10</v>
      </c>
    </row>
    <row r="238" spans="1:6" hidden="1" x14ac:dyDescent="0.35">
      <c r="A238" t="s">
        <v>64</v>
      </c>
      <c r="B238" t="s">
        <v>32</v>
      </c>
      <c r="C238" t="s">
        <v>51</v>
      </c>
      <c r="D238">
        <v>2</v>
      </c>
      <c r="E238" t="s">
        <v>42</v>
      </c>
      <c r="F238" t="s">
        <v>10</v>
      </c>
    </row>
    <row r="239" spans="1:6" hidden="1" x14ac:dyDescent="0.35">
      <c r="A239" t="s">
        <v>65</v>
      </c>
      <c r="B239" t="s">
        <v>32</v>
      </c>
      <c r="C239" t="s">
        <v>51</v>
      </c>
      <c r="D239">
        <v>2</v>
      </c>
      <c r="E239" t="s">
        <v>42</v>
      </c>
      <c r="F239" t="s">
        <v>10</v>
      </c>
    </row>
    <row r="240" spans="1:6" hidden="1" x14ac:dyDescent="0.35">
      <c r="A240" t="s">
        <v>66</v>
      </c>
      <c r="B240" t="s">
        <v>32</v>
      </c>
      <c r="C240" t="s">
        <v>51</v>
      </c>
      <c r="D240">
        <v>2</v>
      </c>
      <c r="E240" t="s">
        <v>42</v>
      </c>
      <c r="F240" t="s">
        <v>10</v>
      </c>
    </row>
    <row r="241" spans="1:6" hidden="1" x14ac:dyDescent="0.35">
      <c r="A241" t="s">
        <v>67</v>
      </c>
      <c r="B241" t="s">
        <v>32</v>
      </c>
      <c r="C241" t="s">
        <v>51</v>
      </c>
      <c r="D241">
        <v>1</v>
      </c>
      <c r="E241" t="s">
        <v>42</v>
      </c>
      <c r="F241" t="s">
        <v>10</v>
      </c>
    </row>
    <row r="242" spans="1:6" hidden="1" x14ac:dyDescent="0.35">
      <c r="A242" t="s">
        <v>57</v>
      </c>
      <c r="B242" t="s">
        <v>32</v>
      </c>
      <c r="C242" t="s">
        <v>30</v>
      </c>
      <c r="D242">
        <v>9</v>
      </c>
      <c r="E242" t="s">
        <v>42</v>
      </c>
      <c r="F242" t="s">
        <v>10</v>
      </c>
    </row>
    <row r="243" spans="1:6" hidden="1" x14ac:dyDescent="0.35">
      <c r="A243" t="s">
        <v>11</v>
      </c>
      <c r="B243" t="s">
        <v>32</v>
      </c>
      <c r="C243" t="s">
        <v>30</v>
      </c>
      <c r="D243">
        <v>27</v>
      </c>
      <c r="E243" t="s">
        <v>42</v>
      </c>
      <c r="F243" t="s">
        <v>10</v>
      </c>
    </row>
    <row r="244" spans="1:6" hidden="1" x14ac:dyDescent="0.35">
      <c r="A244" t="s">
        <v>58</v>
      </c>
      <c r="B244" t="s">
        <v>32</v>
      </c>
      <c r="C244" t="s">
        <v>30</v>
      </c>
      <c r="D244">
        <v>13</v>
      </c>
      <c r="E244" t="s">
        <v>42</v>
      </c>
      <c r="F244" t="s">
        <v>10</v>
      </c>
    </row>
    <row r="245" spans="1:6" hidden="1" x14ac:dyDescent="0.35">
      <c r="A245" t="s">
        <v>59</v>
      </c>
      <c r="B245" t="s">
        <v>32</v>
      </c>
      <c r="C245" t="s">
        <v>30</v>
      </c>
      <c r="D245">
        <v>43</v>
      </c>
      <c r="E245" t="s">
        <v>42</v>
      </c>
      <c r="F245" t="s">
        <v>10</v>
      </c>
    </row>
    <row r="246" spans="1:6" hidden="1" x14ac:dyDescent="0.35">
      <c r="A246" t="s">
        <v>60</v>
      </c>
      <c r="B246" t="s">
        <v>32</v>
      </c>
      <c r="C246" t="s">
        <v>30</v>
      </c>
      <c r="D246">
        <v>36</v>
      </c>
      <c r="E246" t="s">
        <v>42</v>
      </c>
      <c r="F246" t="s">
        <v>10</v>
      </c>
    </row>
    <row r="247" spans="1:6" hidden="1" x14ac:dyDescent="0.35">
      <c r="A247" t="s">
        <v>61</v>
      </c>
      <c r="B247" t="s">
        <v>32</v>
      </c>
      <c r="C247" t="s">
        <v>30</v>
      </c>
      <c r="D247">
        <v>25</v>
      </c>
      <c r="E247" t="s">
        <v>42</v>
      </c>
      <c r="F247" t="s">
        <v>10</v>
      </c>
    </row>
    <row r="248" spans="1:6" hidden="1" x14ac:dyDescent="0.35">
      <c r="A248" t="s">
        <v>62</v>
      </c>
      <c r="B248" t="s">
        <v>32</v>
      </c>
      <c r="C248" t="s">
        <v>30</v>
      </c>
      <c r="D248">
        <v>30</v>
      </c>
      <c r="E248" t="s">
        <v>42</v>
      </c>
      <c r="F248" t="s">
        <v>10</v>
      </c>
    </row>
    <row r="249" spans="1:6" hidden="1" x14ac:dyDescent="0.35">
      <c r="A249" t="s">
        <v>63</v>
      </c>
      <c r="B249" t="s">
        <v>32</v>
      </c>
      <c r="C249" t="s">
        <v>30</v>
      </c>
      <c r="D249">
        <v>25</v>
      </c>
      <c r="E249" t="s">
        <v>42</v>
      </c>
      <c r="F249" t="s">
        <v>10</v>
      </c>
    </row>
    <row r="250" spans="1:6" hidden="1" x14ac:dyDescent="0.35">
      <c r="A250" t="s">
        <v>64</v>
      </c>
      <c r="B250" t="s">
        <v>32</v>
      </c>
      <c r="C250" t="s">
        <v>30</v>
      </c>
      <c r="D250">
        <v>24</v>
      </c>
      <c r="E250" t="s">
        <v>42</v>
      </c>
      <c r="F250" t="s">
        <v>10</v>
      </c>
    </row>
    <row r="251" spans="1:6" hidden="1" x14ac:dyDescent="0.35">
      <c r="A251" t="s">
        <v>65</v>
      </c>
      <c r="B251" t="s">
        <v>32</v>
      </c>
      <c r="C251" t="s">
        <v>30</v>
      </c>
      <c r="D251">
        <v>24</v>
      </c>
      <c r="E251" t="s">
        <v>42</v>
      </c>
      <c r="F251" t="s">
        <v>10</v>
      </c>
    </row>
    <row r="252" spans="1:6" hidden="1" x14ac:dyDescent="0.35">
      <c r="A252" t="s">
        <v>66</v>
      </c>
      <c r="B252" t="s">
        <v>32</v>
      </c>
      <c r="C252" t="s">
        <v>30</v>
      </c>
      <c r="D252">
        <v>26</v>
      </c>
      <c r="E252" t="s">
        <v>42</v>
      </c>
      <c r="F252" t="s">
        <v>10</v>
      </c>
    </row>
    <row r="253" spans="1:6" hidden="1" x14ac:dyDescent="0.35">
      <c r="A253" t="s">
        <v>67</v>
      </c>
      <c r="B253" t="s">
        <v>32</v>
      </c>
      <c r="C253" t="s">
        <v>30</v>
      </c>
      <c r="D253">
        <v>24</v>
      </c>
      <c r="E253" t="s">
        <v>42</v>
      </c>
      <c r="F253" t="s">
        <v>10</v>
      </c>
    </row>
    <row r="254" spans="1:6" hidden="1" x14ac:dyDescent="0.35">
      <c r="A254" t="s">
        <v>57</v>
      </c>
      <c r="B254" t="s">
        <v>32</v>
      </c>
      <c r="C254" t="s">
        <v>52</v>
      </c>
      <c r="D254">
        <v>3</v>
      </c>
      <c r="E254" t="s">
        <v>42</v>
      </c>
      <c r="F254" t="s">
        <v>10</v>
      </c>
    </row>
    <row r="255" spans="1:6" hidden="1" x14ac:dyDescent="0.35">
      <c r="A255" t="s">
        <v>11</v>
      </c>
      <c r="B255" t="s">
        <v>32</v>
      </c>
      <c r="C255" t="s">
        <v>52</v>
      </c>
      <c r="D255">
        <v>4</v>
      </c>
      <c r="E255" t="s">
        <v>42</v>
      </c>
      <c r="F255" t="s">
        <v>10</v>
      </c>
    </row>
    <row r="256" spans="1:6" hidden="1" x14ac:dyDescent="0.35">
      <c r="A256" t="s">
        <v>58</v>
      </c>
      <c r="B256" t="s">
        <v>32</v>
      </c>
      <c r="C256" t="s">
        <v>52</v>
      </c>
      <c r="D256">
        <v>5</v>
      </c>
      <c r="E256" t="s">
        <v>42</v>
      </c>
      <c r="F256" t="s">
        <v>10</v>
      </c>
    </row>
    <row r="257" spans="1:6" hidden="1" x14ac:dyDescent="0.35">
      <c r="A257" t="s">
        <v>59</v>
      </c>
      <c r="B257" t="s">
        <v>32</v>
      </c>
      <c r="C257" t="s">
        <v>52</v>
      </c>
      <c r="D257">
        <v>2</v>
      </c>
      <c r="E257" t="s">
        <v>42</v>
      </c>
      <c r="F257" t="s">
        <v>10</v>
      </c>
    </row>
    <row r="258" spans="1:6" hidden="1" x14ac:dyDescent="0.35">
      <c r="A258" t="s">
        <v>60</v>
      </c>
      <c r="B258" t="s">
        <v>32</v>
      </c>
      <c r="C258" t="s">
        <v>52</v>
      </c>
      <c r="D258">
        <v>1</v>
      </c>
      <c r="E258" t="s">
        <v>42</v>
      </c>
      <c r="F258" t="s">
        <v>10</v>
      </c>
    </row>
    <row r="259" spans="1:6" hidden="1" x14ac:dyDescent="0.35">
      <c r="A259" t="s">
        <v>61</v>
      </c>
      <c r="B259" t="s">
        <v>32</v>
      </c>
      <c r="C259" t="s">
        <v>52</v>
      </c>
      <c r="D259">
        <v>6</v>
      </c>
      <c r="E259" t="s">
        <v>42</v>
      </c>
      <c r="F259" t="s">
        <v>10</v>
      </c>
    </row>
    <row r="260" spans="1:6" hidden="1" x14ac:dyDescent="0.35">
      <c r="A260" t="s">
        <v>62</v>
      </c>
      <c r="B260" t="s">
        <v>32</v>
      </c>
      <c r="C260" t="s">
        <v>52</v>
      </c>
      <c r="E260" t="s">
        <v>42</v>
      </c>
      <c r="F260" t="s">
        <v>10</v>
      </c>
    </row>
    <row r="261" spans="1:6" hidden="1" x14ac:dyDescent="0.35">
      <c r="A261" t="s">
        <v>63</v>
      </c>
      <c r="B261" t="s">
        <v>32</v>
      </c>
      <c r="C261" t="s">
        <v>52</v>
      </c>
      <c r="D261">
        <v>3</v>
      </c>
      <c r="E261" t="s">
        <v>42</v>
      </c>
      <c r="F261" t="s">
        <v>10</v>
      </c>
    </row>
    <row r="262" spans="1:6" hidden="1" x14ac:dyDescent="0.35">
      <c r="A262" t="s">
        <v>64</v>
      </c>
      <c r="B262" t="s">
        <v>32</v>
      </c>
      <c r="C262" t="s">
        <v>52</v>
      </c>
      <c r="E262" t="s">
        <v>42</v>
      </c>
      <c r="F262" t="s">
        <v>10</v>
      </c>
    </row>
    <row r="263" spans="1:6" hidden="1" x14ac:dyDescent="0.35">
      <c r="A263" t="s">
        <v>65</v>
      </c>
      <c r="B263" t="s">
        <v>32</v>
      </c>
      <c r="C263" t="s">
        <v>52</v>
      </c>
      <c r="D263">
        <v>2</v>
      </c>
      <c r="E263" t="s">
        <v>42</v>
      </c>
      <c r="F263" t="s">
        <v>10</v>
      </c>
    </row>
    <row r="264" spans="1:6" hidden="1" x14ac:dyDescent="0.35">
      <c r="A264" t="s">
        <v>66</v>
      </c>
      <c r="B264" t="s">
        <v>32</v>
      </c>
      <c r="C264" t="s">
        <v>52</v>
      </c>
      <c r="E264" t="s">
        <v>42</v>
      </c>
      <c r="F264" t="s">
        <v>10</v>
      </c>
    </row>
    <row r="265" spans="1:6" hidden="1" x14ac:dyDescent="0.35">
      <c r="A265" t="s">
        <v>67</v>
      </c>
      <c r="B265" t="s">
        <v>32</v>
      </c>
      <c r="C265" t="s">
        <v>52</v>
      </c>
      <c r="E265" t="s">
        <v>42</v>
      </c>
      <c r="F265" t="s">
        <v>10</v>
      </c>
    </row>
    <row r="266" spans="1:6" hidden="1" x14ac:dyDescent="0.35">
      <c r="A266" t="s">
        <v>57</v>
      </c>
      <c r="B266" t="s">
        <v>33</v>
      </c>
      <c r="C266" t="s">
        <v>44</v>
      </c>
      <c r="D266">
        <v>470418.4289577236</v>
      </c>
      <c r="E266" t="s">
        <v>42</v>
      </c>
      <c r="F266" t="s">
        <v>10</v>
      </c>
    </row>
    <row r="267" spans="1:6" hidden="1" x14ac:dyDescent="0.35">
      <c r="A267" t="s">
        <v>11</v>
      </c>
      <c r="B267" t="s">
        <v>33</v>
      </c>
      <c r="C267" t="s">
        <v>44</v>
      </c>
      <c r="D267">
        <v>225490.519901355</v>
      </c>
      <c r="E267" t="s">
        <v>42</v>
      </c>
      <c r="F267" t="s">
        <v>10</v>
      </c>
    </row>
    <row r="268" spans="1:6" hidden="1" x14ac:dyDescent="0.35">
      <c r="A268" t="s">
        <v>58</v>
      </c>
      <c r="B268" t="s">
        <v>33</v>
      </c>
      <c r="C268" t="s">
        <v>44</v>
      </c>
      <c r="D268">
        <v>1197851.879487653</v>
      </c>
      <c r="E268" t="s">
        <v>42</v>
      </c>
      <c r="F268" t="s">
        <v>10</v>
      </c>
    </row>
    <row r="269" spans="1:6" hidden="1" x14ac:dyDescent="0.35">
      <c r="A269" t="s">
        <v>59</v>
      </c>
      <c r="B269" t="s">
        <v>33</v>
      </c>
      <c r="C269" t="s">
        <v>44</v>
      </c>
      <c r="D269">
        <v>288177.34702981019</v>
      </c>
      <c r="E269" t="s">
        <v>42</v>
      </c>
      <c r="F269" t="s">
        <v>10</v>
      </c>
    </row>
    <row r="270" spans="1:6" hidden="1" x14ac:dyDescent="0.35">
      <c r="A270" t="s">
        <v>60</v>
      </c>
      <c r="B270" t="s">
        <v>33</v>
      </c>
      <c r="C270" t="s">
        <v>44</v>
      </c>
      <c r="D270">
        <v>959982.44769972912</v>
      </c>
      <c r="E270" t="s">
        <v>42</v>
      </c>
      <c r="F270" t="s">
        <v>10</v>
      </c>
    </row>
    <row r="271" spans="1:6" hidden="1" x14ac:dyDescent="0.35">
      <c r="A271" t="s">
        <v>61</v>
      </c>
      <c r="B271" t="s">
        <v>33</v>
      </c>
      <c r="C271" t="s">
        <v>44</v>
      </c>
      <c r="D271">
        <v>399410.08675338753</v>
      </c>
      <c r="E271" t="s">
        <v>42</v>
      </c>
      <c r="F271" t="s">
        <v>10</v>
      </c>
    </row>
    <row r="272" spans="1:6" hidden="1" x14ac:dyDescent="0.35">
      <c r="A272" t="s">
        <v>62</v>
      </c>
      <c r="B272" t="s">
        <v>33</v>
      </c>
      <c r="C272" t="s">
        <v>44</v>
      </c>
      <c r="D272">
        <v>494625.19783577247</v>
      </c>
      <c r="E272" t="s">
        <v>42</v>
      </c>
      <c r="F272" t="s">
        <v>10</v>
      </c>
    </row>
    <row r="273" spans="1:6" hidden="1" x14ac:dyDescent="0.35">
      <c r="A273" t="s">
        <v>63</v>
      </c>
      <c r="B273" t="s">
        <v>33</v>
      </c>
      <c r="C273" t="s">
        <v>44</v>
      </c>
      <c r="D273">
        <v>577389.10671382106</v>
      </c>
      <c r="E273" t="s">
        <v>42</v>
      </c>
      <c r="F273" t="s">
        <v>10</v>
      </c>
    </row>
    <row r="274" spans="1:6" hidden="1" x14ac:dyDescent="0.35">
      <c r="A274" t="s">
        <v>64</v>
      </c>
      <c r="B274" t="s">
        <v>33</v>
      </c>
      <c r="C274" t="s">
        <v>44</v>
      </c>
      <c r="D274">
        <v>544482.4021810299</v>
      </c>
      <c r="E274" t="s">
        <v>42</v>
      </c>
      <c r="F274" t="s">
        <v>10</v>
      </c>
    </row>
    <row r="275" spans="1:6" hidden="1" x14ac:dyDescent="0.35">
      <c r="A275" t="s">
        <v>65</v>
      </c>
      <c r="B275" t="s">
        <v>33</v>
      </c>
      <c r="C275" t="s">
        <v>44</v>
      </c>
      <c r="D275">
        <v>427525.1336525745</v>
      </c>
      <c r="E275" t="s">
        <v>42</v>
      </c>
      <c r="F275" t="s">
        <v>10</v>
      </c>
    </row>
    <row r="276" spans="1:6" hidden="1" x14ac:dyDescent="0.35">
      <c r="A276" t="s">
        <v>66</v>
      </c>
      <c r="B276" t="s">
        <v>33</v>
      </c>
      <c r="C276" t="s">
        <v>44</v>
      </c>
      <c r="D276">
        <v>795758.93987208698</v>
      </c>
      <c r="E276" t="s">
        <v>42</v>
      </c>
      <c r="F276" t="s">
        <v>10</v>
      </c>
    </row>
    <row r="277" spans="1:6" hidden="1" x14ac:dyDescent="0.35">
      <c r="A277" t="s">
        <v>67</v>
      </c>
      <c r="B277" t="s">
        <v>33</v>
      </c>
      <c r="C277" t="s">
        <v>44</v>
      </c>
      <c r="D277">
        <v>83788.38027750676</v>
      </c>
      <c r="E277" t="s">
        <v>42</v>
      </c>
      <c r="F277" t="s">
        <v>10</v>
      </c>
    </row>
    <row r="278" spans="1:6" hidden="1" x14ac:dyDescent="0.35">
      <c r="A278" t="s">
        <v>57</v>
      </c>
      <c r="B278" t="s">
        <v>33</v>
      </c>
      <c r="C278" t="s">
        <v>22</v>
      </c>
      <c r="D278">
        <v>0</v>
      </c>
      <c r="E278" t="s">
        <v>42</v>
      </c>
      <c r="F278" t="s">
        <v>10</v>
      </c>
    </row>
    <row r="279" spans="1:6" hidden="1" x14ac:dyDescent="0.35">
      <c r="A279" t="s">
        <v>11</v>
      </c>
      <c r="B279" t="s">
        <v>33</v>
      </c>
      <c r="C279" t="s">
        <v>22</v>
      </c>
      <c r="D279">
        <v>0</v>
      </c>
      <c r="E279" t="s">
        <v>42</v>
      </c>
      <c r="F279" t="s">
        <v>10</v>
      </c>
    </row>
    <row r="280" spans="1:6" hidden="1" x14ac:dyDescent="0.35">
      <c r="A280" t="s">
        <v>58</v>
      </c>
      <c r="B280" t="s">
        <v>33</v>
      </c>
      <c r="C280" t="s">
        <v>22</v>
      </c>
      <c r="D280">
        <v>0</v>
      </c>
      <c r="E280" t="s">
        <v>42</v>
      </c>
      <c r="F280" t="s">
        <v>10</v>
      </c>
    </row>
    <row r="281" spans="1:6" hidden="1" x14ac:dyDescent="0.35">
      <c r="A281" t="s">
        <v>59</v>
      </c>
      <c r="B281" t="s">
        <v>33</v>
      </c>
      <c r="C281" t="s">
        <v>22</v>
      </c>
      <c r="D281">
        <v>0</v>
      </c>
      <c r="E281" t="s">
        <v>42</v>
      </c>
      <c r="F281" t="s">
        <v>10</v>
      </c>
    </row>
    <row r="282" spans="1:6" hidden="1" x14ac:dyDescent="0.35">
      <c r="A282" t="s">
        <v>60</v>
      </c>
      <c r="B282" t="s">
        <v>33</v>
      </c>
      <c r="C282" t="s">
        <v>22</v>
      </c>
      <c r="D282">
        <v>0</v>
      </c>
      <c r="E282" t="s">
        <v>42</v>
      </c>
      <c r="F282" t="s">
        <v>10</v>
      </c>
    </row>
    <row r="283" spans="1:6" hidden="1" x14ac:dyDescent="0.35">
      <c r="A283" t="s">
        <v>61</v>
      </c>
      <c r="B283" t="s">
        <v>33</v>
      </c>
      <c r="C283" t="s">
        <v>22</v>
      </c>
      <c r="D283">
        <v>0</v>
      </c>
      <c r="E283" t="s">
        <v>42</v>
      </c>
      <c r="F283" t="s">
        <v>10</v>
      </c>
    </row>
    <row r="284" spans="1:6" hidden="1" x14ac:dyDescent="0.35">
      <c r="A284" t="s">
        <v>62</v>
      </c>
      <c r="B284" t="s">
        <v>33</v>
      </c>
      <c r="C284" t="s">
        <v>22</v>
      </c>
      <c r="D284">
        <v>0</v>
      </c>
      <c r="E284" t="s">
        <v>42</v>
      </c>
      <c r="F284" t="s">
        <v>10</v>
      </c>
    </row>
    <row r="285" spans="1:6" hidden="1" x14ac:dyDescent="0.35">
      <c r="A285" t="s">
        <v>63</v>
      </c>
      <c r="B285" t="s">
        <v>33</v>
      </c>
      <c r="C285" t="s">
        <v>22</v>
      </c>
      <c r="D285">
        <v>0</v>
      </c>
      <c r="E285" t="s">
        <v>42</v>
      </c>
      <c r="F285" t="s">
        <v>10</v>
      </c>
    </row>
    <row r="286" spans="1:6" hidden="1" x14ac:dyDescent="0.35">
      <c r="A286" t="s">
        <v>64</v>
      </c>
      <c r="B286" t="s">
        <v>33</v>
      </c>
      <c r="C286" t="s">
        <v>22</v>
      </c>
      <c r="D286">
        <v>0</v>
      </c>
      <c r="E286" t="s">
        <v>42</v>
      </c>
      <c r="F286" t="s">
        <v>10</v>
      </c>
    </row>
    <row r="287" spans="1:6" hidden="1" x14ac:dyDescent="0.35">
      <c r="A287" t="s">
        <v>65</v>
      </c>
      <c r="B287" t="s">
        <v>33</v>
      </c>
      <c r="C287" t="s">
        <v>22</v>
      </c>
      <c r="D287">
        <v>0</v>
      </c>
      <c r="E287" t="s">
        <v>42</v>
      </c>
      <c r="F287" t="s">
        <v>10</v>
      </c>
    </row>
    <row r="288" spans="1:6" hidden="1" x14ac:dyDescent="0.35">
      <c r="A288" t="s">
        <v>66</v>
      </c>
      <c r="B288" t="s">
        <v>33</v>
      </c>
      <c r="C288" t="s">
        <v>22</v>
      </c>
      <c r="D288">
        <v>0</v>
      </c>
      <c r="E288" t="s">
        <v>42</v>
      </c>
      <c r="F288" t="s">
        <v>10</v>
      </c>
    </row>
    <row r="289" spans="1:6" hidden="1" x14ac:dyDescent="0.35">
      <c r="A289" t="s">
        <v>67</v>
      </c>
      <c r="B289" t="s">
        <v>33</v>
      </c>
      <c r="C289" t="s">
        <v>22</v>
      </c>
      <c r="D289">
        <v>0</v>
      </c>
      <c r="E289" t="s">
        <v>42</v>
      </c>
      <c r="F289" t="s">
        <v>10</v>
      </c>
    </row>
    <row r="290" spans="1:6" hidden="1" x14ac:dyDescent="0.35">
      <c r="A290" t="s">
        <v>57</v>
      </c>
      <c r="B290" t="s">
        <v>33</v>
      </c>
      <c r="C290" t="s">
        <v>46</v>
      </c>
      <c r="D290">
        <v>479026.38208455278</v>
      </c>
      <c r="E290" t="s">
        <v>42</v>
      </c>
      <c r="F290" t="s">
        <v>10</v>
      </c>
    </row>
    <row r="291" spans="1:6" hidden="1" x14ac:dyDescent="0.35">
      <c r="A291" t="s">
        <v>11</v>
      </c>
      <c r="B291" t="s">
        <v>33</v>
      </c>
      <c r="C291" t="s">
        <v>46</v>
      </c>
      <c r="D291">
        <v>389280.54459728987</v>
      </c>
      <c r="E291" t="s">
        <v>42</v>
      </c>
      <c r="F291" t="s">
        <v>10</v>
      </c>
    </row>
    <row r="292" spans="1:6" hidden="1" x14ac:dyDescent="0.35">
      <c r="A292" t="s">
        <v>58</v>
      </c>
      <c r="B292" t="s">
        <v>33</v>
      </c>
      <c r="C292" t="s">
        <v>46</v>
      </c>
      <c r="D292">
        <v>1468765.6526246939</v>
      </c>
      <c r="E292" t="s">
        <v>42</v>
      </c>
      <c r="F292" t="s">
        <v>10</v>
      </c>
    </row>
    <row r="293" spans="1:6" hidden="1" x14ac:dyDescent="0.35">
      <c r="A293" t="s">
        <v>59</v>
      </c>
      <c r="B293" t="s">
        <v>33</v>
      </c>
      <c r="C293" t="s">
        <v>46</v>
      </c>
      <c r="D293">
        <v>113809.93714037941</v>
      </c>
      <c r="E293" t="s">
        <v>42</v>
      </c>
      <c r="F293" t="s">
        <v>10</v>
      </c>
    </row>
    <row r="294" spans="1:6" hidden="1" x14ac:dyDescent="0.35">
      <c r="A294" t="s">
        <v>60</v>
      </c>
      <c r="B294" t="s">
        <v>33</v>
      </c>
      <c r="C294" t="s">
        <v>46</v>
      </c>
      <c r="D294">
        <v>738976.42940054194</v>
      </c>
      <c r="E294" t="s">
        <v>42</v>
      </c>
      <c r="F294" t="s">
        <v>10</v>
      </c>
    </row>
    <row r="295" spans="1:6" hidden="1" x14ac:dyDescent="0.35">
      <c r="A295" t="s">
        <v>61</v>
      </c>
      <c r="B295" t="s">
        <v>33</v>
      </c>
      <c r="C295" t="s">
        <v>46</v>
      </c>
      <c r="D295">
        <v>1164648.030493225</v>
      </c>
      <c r="E295" t="s">
        <v>42</v>
      </c>
      <c r="F295" t="s">
        <v>10</v>
      </c>
    </row>
    <row r="296" spans="1:6" hidden="1" x14ac:dyDescent="0.35">
      <c r="A296" t="s">
        <v>62</v>
      </c>
      <c r="B296" t="s">
        <v>33</v>
      </c>
      <c r="C296" t="s">
        <v>46</v>
      </c>
      <c r="D296">
        <v>747057.52112845529</v>
      </c>
      <c r="E296" t="s">
        <v>42</v>
      </c>
      <c r="F296" t="s">
        <v>10</v>
      </c>
    </row>
    <row r="297" spans="1:6" hidden="1" x14ac:dyDescent="0.35">
      <c r="A297" t="s">
        <v>63</v>
      </c>
      <c r="B297" t="s">
        <v>33</v>
      </c>
      <c r="C297" t="s">
        <v>46</v>
      </c>
      <c r="D297">
        <v>612846.13897235726</v>
      </c>
      <c r="E297" t="s">
        <v>42</v>
      </c>
      <c r="F297" t="s">
        <v>10</v>
      </c>
    </row>
    <row r="298" spans="1:6" hidden="1" x14ac:dyDescent="0.35">
      <c r="A298" t="s">
        <v>64</v>
      </c>
      <c r="B298" t="s">
        <v>33</v>
      </c>
      <c r="C298" t="s">
        <v>46</v>
      </c>
      <c r="D298">
        <v>742584.7472379402</v>
      </c>
      <c r="E298" t="s">
        <v>42</v>
      </c>
      <c r="F298" t="s">
        <v>10</v>
      </c>
    </row>
    <row r="299" spans="1:6" hidden="1" x14ac:dyDescent="0.35">
      <c r="A299" t="s">
        <v>65</v>
      </c>
      <c r="B299" t="s">
        <v>33</v>
      </c>
      <c r="C299" t="s">
        <v>46</v>
      </c>
      <c r="D299">
        <v>746131.72469485085</v>
      </c>
      <c r="E299" t="s">
        <v>42</v>
      </c>
      <c r="F299" t="s">
        <v>10</v>
      </c>
    </row>
    <row r="300" spans="1:6" hidden="1" x14ac:dyDescent="0.35">
      <c r="A300" t="s">
        <v>66</v>
      </c>
      <c r="B300" t="s">
        <v>33</v>
      </c>
      <c r="C300" t="s">
        <v>46</v>
      </c>
      <c r="D300">
        <v>1315522.893055826</v>
      </c>
      <c r="E300" t="s">
        <v>42</v>
      </c>
      <c r="F300" t="s">
        <v>10</v>
      </c>
    </row>
    <row r="301" spans="1:6" hidden="1" x14ac:dyDescent="0.35">
      <c r="A301" t="s">
        <v>67</v>
      </c>
      <c r="B301" t="s">
        <v>33</v>
      </c>
      <c r="C301" t="s">
        <v>46</v>
      </c>
      <c r="D301">
        <v>85518.54824498645</v>
      </c>
      <c r="E301" t="s">
        <v>42</v>
      </c>
      <c r="F301" t="s">
        <v>10</v>
      </c>
    </row>
    <row r="302" spans="1:6" hidden="1" x14ac:dyDescent="0.35">
      <c r="A302" t="s">
        <v>57</v>
      </c>
      <c r="B302" t="s">
        <v>33</v>
      </c>
      <c r="C302" t="s">
        <v>24</v>
      </c>
      <c r="D302">
        <v>0</v>
      </c>
      <c r="E302" t="s">
        <v>42</v>
      </c>
      <c r="F302" t="s">
        <v>10</v>
      </c>
    </row>
    <row r="303" spans="1:6" hidden="1" x14ac:dyDescent="0.35">
      <c r="A303" t="s">
        <v>11</v>
      </c>
      <c r="B303" t="s">
        <v>33</v>
      </c>
      <c r="C303" t="s">
        <v>24</v>
      </c>
      <c r="D303">
        <v>0</v>
      </c>
      <c r="E303" t="s">
        <v>42</v>
      </c>
      <c r="F303" t="s">
        <v>10</v>
      </c>
    </row>
    <row r="304" spans="1:6" hidden="1" x14ac:dyDescent="0.35">
      <c r="A304" t="s">
        <v>58</v>
      </c>
      <c r="B304" t="s">
        <v>33</v>
      </c>
      <c r="C304" t="s">
        <v>24</v>
      </c>
      <c r="D304">
        <v>0</v>
      </c>
      <c r="E304" t="s">
        <v>42</v>
      </c>
      <c r="F304" t="s">
        <v>10</v>
      </c>
    </row>
    <row r="305" spans="1:6" hidden="1" x14ac:dyDescent="0.35">
      <c r="A305" t="s">
        <v>59</v>
      </c>
      <c r="B305" t="s">
        <v>33</v>
      </c>
      <c r="C305" t="s">
        <v>24</v>
      </c>
      <c r="D305">
        <v>0</v>
      </c>
      <c r="E305" t="s">
        <v>42</v>
      </c>
      <c r="F305" t="s">
        <v>10</v>
      </c>
    </row>
    <row r="306" spans="1:6" hidden="1" x14ac:dyDescent="0.35">
      <c r="A306" t="s">
        <v>60</v>
      </c>
      <c r="B306" t="s">
        <v>33</v>
      </c>
      <c r="C306" t="s">
        <v>24</v>
      </c>
      <c r="D306">
        <v>0</v>
      </c>
      <c r="E306" t="s">
        <v>42</v>
      </c>
      <c r="F306" t="s">
        <v>10</v>
      </c>
    </row>
    <row r="307" spans="1:6" hidden="1" x14ac:dyDescent="0.35">
      <c r="A307" t="s">
        <v>61</v>
      </c>
      <c r="B307" t="s">
        <v>33</v>
      </c>
      <c r="C307" t="s">
        <v>24</v>
      </c>
      <c r="D307">
        <v>0</v>
      </c>
      <c r="E307" t="s">
        <v>42</v>
      </c>
      <c r="F307" t="s">
        <v>10</v>
      </c>
    </row>
    <row r="308" spans="1:6" hidden="1" x14ac:dyDescent="0.35">
      <c r="A308" t="s">
        <v>62</v>
      </c>
      <c r="B308" t="s">
        <v>33</v>
      </c>
      <c r="C308" t="s">
        <v>24</v>
      </c>
      <c r="D308">
        <v>0</v>
      </c>
      <c r="E308" t="s">
        <v>42</v>
      </c>
      <c r="F308" t="s">
        <v>10</v>
      </c>
    </row>
    <row r="309" spans="1:6" hidden="1" x14ac:dyDescent="0.35">
      <c r="A309" t="s">
        <v>63</v>
      </c>
      <c r="B309" t="s">
        <v>33</v>
      </c>
      <c r="C309" t="s">
        <v>24</v>
      </c>
      <c r="D309">
        <v>0</v>
      </c>
      <c r="E309" t="s">
        <v>42</v>
      </c>
      <c r="F309" t="s">
        <v>10</v>
      </c>
    </row>
    <row r="310" spans="1:6" hidden="1" x14ac:dyDescent="0.35">
      <c r="A310" t="s">
        <v>64</v>
      </c>
      <c r="B310" t="s">
        <v>33</v>
      </c>
      <c r="C310" t="s">
        <v>24</v>
      </c>
      <c r="D310">
        <v>0</v>
      </c>
      <c r="E310" t="s">
        <v>42</v>
      </c>
      <c r="F310" t="s">
        <v>10</v>
      </c>
    </row>
    <row r="311" spans="1:6" hidden="1" x14ac:dyDescent="0.35">
      <c r="A311" t="s">
        <v>65</v>
      </c>
      <c r="B311" t="s">
        <v>33</v>
      </c>
      <c r="C311" t="s">
        <v>24</v>
      </c>
      <c r="D311">
        <v>0</v>
      </c>
      <c r="E311" t="s">
        <v>42</v>
      </c>
      <c r="F311" t="s">
        <v>10</v>
      </c>
    </row>
    <row r="312" spans="1:6" hidden="1" x14ac:dyDescent="0.35">
      <c r="A312" t="s">
        <v>66</v>
      </c>
      <c r="B312" t="s">
        <v>33</v>
      </c>
      <c r="C312" t="s">
        <v>24</v>
      </c>
      <c r="D312">
        <v>0</v>
      </c>
      <c r="E312" t="s">
        <v>42</v>
      </c>
      <c r="F312" t="s">
        <v>10</v>
      </c>
    </row>
    <row r="313" spans="1:6" hidden="1" x14ac:dyDescent="0.35">
      <c r="A313" t="s">
        <v>67</v>
      </c>
      <c r="B313" t="s">
        <v>33</v>
      </c>
      <c r="C313" t="s">
        <v>24</v>
      </c>
      <c r="D313">
        <v>0</v>
      </c>
      <c r="E313" t="s">
        <v>42</v>
      </c>
      <c r="F313" t="s">
        <v>10</v>
      </c>
    </row>
    <row r="314" spans="1:6" hidden="1" x14ac:dyDescent="0.35">
      <c r="A314" t="s">
        <v>57</v>
      </c>
      <c r="B314" t="s">
        <v>33</v>
      </c>
      <c r="C314" t="s">
        <v>47</v>
      </c>
      <c r="D314">
        <v>28923.07</v>
      </c>
      <c r="E314" t="s">
        <v>42</v>
      </c>
      <c r="F314" t="s">
        <v>10</v>
      </c>
    </row>
    <row r="315" spans="1:6" hidden="1" x14ac:dyDescent="0.35">
      <c r="A315" t="s">
        <v>11</v>
      </c>
      <c r="B315" t="s">
        <v>33</v>
      </c>
      <c r="C315" t="s">
        <v>47</v>
      </c>
      <c r="D315">
        <v>71397.45</v>
      </c>
      <c r="E315" t="s">
        <v>42</v>
      </c>
      <c r="F315" t="s">
        <v>10</v>
      </c>
    </row>
    <row r="316" spans="1:6" hidden="1" x14ac:dyDescent="0.35">
      <c r="A316" t="s">
        <v>58</v>
      </c>
      <c r="B316" t="s">
        <v>33</v>
      </c>
      <c r="C316" t="s">
        <v>47</v>
      </c>
      <c r="E316" t="s">
        <v>42</v>
      </c>
      <c r="F316" t="s">
        <v>10</v>
      </c>
    </row>
    <row r="317" spans="1:6" hidden="1" x14ac:dyDescent="0.35">
      <c r="A317" t="s">
        <v>59</v>
      </c>
      <c r="B317" t="s">
        <v>33</v>
      </c>
      <c r="C317" t="s">
        <v>47</v>
      </c>
      <c r="E317" t="s">
        <v>42</v>
      </c>
      <c r="F317" t="s">
        <v>10</v>
      </c>
    </row>
    <row r="318" spans="1:6" hidden="1" x14ac:dyDescent="0.35">
      <c r="A318" t="s">
        <v>60</v>
      </c>
      <c r="B318" t="s">
        <v>33</v>
      </c>
      <c r="C318" t="s">
        <v>47</v>
      </c>
      <c r="D318">
        <v>13748.24</v>
      </c>
      <c r="E318" t="s">
        <v>42</v>
      </c>
      <c r="F318" t="s">
        <v>10</v>
      </c>
    </row>
    <row r="319" spans="1:6" hidden="1" x14ac:dyDescent="0.35">
      <c r="A319" t="s">
        <v>61</v>
      </c>
      <c r="B319" t="s">
        <v>33</v>
      </c>
      <c r="C319" t="s">
        <v>47</v>
      </c>
      <c r="D319">
        <v>95651.32</v>
      </c>
      <c r="E319" t="s">
        <v>42</v>
      </c>
      <c r="F319" t="s">
        <v>10</v>
      </c>
    </row>
    <row r="320" spans="1:6" hidden="1" x14ac:dyDescent="0.35">
      <c r="A320" t="s">
        <v>62</v>
      </c>
      <c r="B320" t="s">
        <v>33</v>
      </c>
      <c r="C320" t="s">
        <v>47</v>
      </c>
      <c r="D320">
        <v>353212.98</v>
      </c>
      <c r="E320" t="s">
        <v>42</v>
      </c>
      <c r="F320" t="s">
        <v>10</v>
      </c>
    </row>
    <row r="321" spans="1:6" hidden="1" x14ac:dyDescent="0.35">
      <c r="A321" t="s">
        <v>63</v>
      </c>
      <c r="B321" t="s">
        <v>33</v>
      </c>
      <c r="C321" t="s">
        <v>47</v>
      </c>
      <c r="E321" t="s">
        <v>42</v>
      </c>
      <c r="F321" t="s">
        <v>10</v>
      </c>
    </row>
    <row r="322" spans="1:6" hidden="1" x14ac:dyDescent="0.35">
      <c r="A322" t="s">
        <v>64</v>
      </c>
      <c r="B322" t="s">
        <v>33</v>
      </c>
      <c r="C322" t="s">
        <v>47</v>
      </c>
      <c r="E322" t="s">
        <v>42</v>
      </c>
      <c r="F322" t="s">
        <v>10</v>
      </c>
    </row>
    <row r="323" spans="1:6" hidden="1" x14ac:dyDescent="0.35">
      <c r="A323" t="s">
        <v>65</v>
      </c>
      <c r="B323" t="s">
        <v>33</v>
      </c>
      <c r="C323" t="s">
        <v>47</v>
      </c>
      <c r="D323">
        <v>98787.760000000009</v>
      </c>
      <c r="E323" t="s">
        <v>42</v>
      </c>
      <c r="F323" t="s">
        <v>10</v>
      </c>
    </row>
    <row r="324" spans="1:6" hidden="1" x14ac:dyDescent="0.35">
      <c r="A324" t="s">
        <v>66</v>
      </c>
      <c r="B324" t="s">
        <v>33</v>
      </c>
      <c r="C324" t="s">
        <v>47</v>
      </c>
      <c r="D324">
        <v>10379.93</v>
      </c>
      <c r="E324" t="s">
        <v>42</v>
      </c>
      <c r="F324" t="s">
        <v>10</v>
      </c>
    </row>
    <row r="325" spans="1:6" hidden="1" x14ac:dyDescent="0.35">
      <c r="A325" t="s">
        <v>67</v>
      </c>
      <c r="B325" t="s">
        <v>33</v>
      </c>
      <c r="C325" t="s">
        <v>47</v>
      </c>
      <c r="D325">
        <v>144476.79</v>
      </c>
      <c r="E325" t="s">
        <v>42</v>
      </c>
      <c r="F325" t="s">
        <v>10</v>
      </c>
    </row>
    <row r="326" spans="1:6" hidden="1" x14ac:dyDescent="0.35">
      <c r="A326" t="s">
        <v>57</v>
      </c>
      <c r="B326" t="s">
        <v>33</v>
      </c>
      <c r="C326" t="s">
        <v>48</v>
      </c>
      <c r="D326">
        <v>0</v>
      </c>
      <c r="E326" t="s">
        <v>42</v>
      </c>
      <c r="F326" t="s">
        <v>10</v>
      </c>
    </row>
    <row r="327" spans="1:6" hidden="1" x14ac:dyDescent="0.35">
      <c r="A327" t="s">
        <v>11</v>
      </c>
      <c r="B327" t="s">
        <v>33</v>
      </c>
      <c r="C327" t="s">
        <v>48</v>
      </c>
      <c r="D327">
        <v>0</v>
      </c>
      <c r="E327" t="s">
        <v>42</v>
      </c>
      <c r="F327" t="s">
        <v>10</v>
      </c>
    </row>
    <row r="328" spans="1:6" hidden="1" x14ac:dyDescent="0.35">
      <c r="A328" t="s">
        <v>58</v>
      </c>
      <c r="B328" t="s">
        <v>33</v>
      </c>
      <c r="C328" t="s">
        <v>48</v>
      </c>
      <c r="D328">
        <v>0</v>
      </c>
      <c r="E328" t="s">
        <v>42</v>
      </c>
      <c r="F328" t="s">
        <v>10</v>
      </c>
    </row>
    <row r="329" spans="1:6" hidden="1" x14ac:dyDescent="0.35">
      <c r="A329" t="s">
        <v>59</v>
      </c>
      <c r="B329" t="s">
        <v>33</v>
      </c>
      <c r="C329" t="s">
        <v>48</v>
      </c>
      <c r="D329">
        <v>0</v>
      </c>
      <c r="E329" t="s">
        <v>42</v>
      </c>
      <c r="F329" t="s">
        <v>10</v>
      </c>
    </row>
    <row r="330" spans="1:6" hidden="1" x14ac:dyDescent="0.35">
      <c r="A330" t="s">
        <v>60</v>
      </c>
      <c r="B330" t="s">
        <v>33</v>
      </c>
      <c r="C330" t="s">
        <v>48</v>
      </c>
      <c r="D330">
        <v>0</v>
      </c>
      <c r="E330" t="s">
        <v>42</v>
      </c>
      <c r="F330" t="s">
        <v>10</v>
      </c>
    </row>
    <row r="331" spans="1:6" hidden="1" x14ac:dyDescent="0.35">
      <c r="A331" t="s">
        <v>61</v>
      </c>
      <c r="B331" t="s">
        <v>33</v>
      </c>
      <c r="C331" t="s">
        <v>48</v>
      </c>
      <c r="D331">
        <v>0</v>
      </c>
      <c r="E331" t="s">
        <v>42</v>
      </c>
      <c r="F331" t="s">
        <v>10</v>
      </c>
    </row>
    <row r="332" spans="1:6" hidden="1" x14ac:dyDescent="0.35">
      <c r="A332" t="s">
        <v>62</v>
      </c>
      <c r="B332" t="s">
        <v>33</v>
      </c>
      <c r="C332" t="s">
        <v>48</v>
      </c>
      <c r="D332">
        <v>0</v>
      </c>
      <c r="E332" t="s">
        <v>42</v>
      </c>
      <c r="F332" t="s">
        <v>10</v>
      </c>
    </row>
    <row r="333" spans="1:6" hidden="1" x14ac:dyDescent="0.35">
      <c r="A333" t="s">
        <v>63</v>
      </c>
      <c r="B333" t="s">
        <v>33</v>
      </c>
      <c r="C333" t="s">
        <v>48</v>
      </c>
      <c r="D333">
        <v>0</v>
      </c>
      <c r="E333" t="s">
        <v>42</v>
      </c>
      <c r="F333" t="s">
        <v>10</v>
      </c>
    </row>
    <row r="334" spans="1:6" hidden="1" x14ac:dyDescent="0.35">
      <c r="A334" t="s">
        <v>64</v>
      </c>
      <c r="B334" t="s">
        <v>33</v>
      </c>
      <c r="C334" t="s">
        <v>48</v>
      </c>
      <c r="D334">
        <v>0</v>
      </c>
      <c r="E334" t="s">
        <v>42</v>
      </c>
      <c r="F334" t="s">
        <v>10</v>
      </c>
    </row>
    <row r="335" spans="1:6" hidden="1" x14ac:dyDescent="0.35">
      <c r="A335" t="s">
        <v>65</v>
      </c>
      <c r="B335" t="s">
        <v>33</v>
      </c>
      <c r="C335" t="s">
        <v>48</v>
      </c>
      <c r="D335">
        <v>0</v>
      </c>
      <c r="E335" t="s">
        <v>42</v>
      </c>
      <c r="F335" t="s">
        <v>10</v>
      </c>
    </row>
    <row r="336" spans="1:6" hidden="1" x14ac:dyDescent="0.35">
      <c r="A336" t="s">
        <v>66</v>
      </c>
      <c r="B336" t="s">
        <v>33</v>
      </c>
      <c r="C336" t="s">
        <v>48</v>
      </c>
      <c r="D336">
        <v>0</v>
      </c>
      <c r="E336" t="s">
        <v>42</v>
      </c>
      <c r="F336" t="s">
        <v>10</v>
      </c>
    </row>
    <row r="337" spans="1:6" hidden="1" x14ac:dyDescent="0.35">
      <c r="A337" t="s">
        <v>67</v>
      </c>
      <c r="B337" t="s">
        <v>33</v>
      </c>
      <c r="C337" t="s">
        <v>48</v>
      </c>
      <c r="D337">
        <v>0</v>
      </c>
      <c r="E337" t="s">
        <v>42</v>
      </c>
      <c r="F337" t="s">
        <v>10</v>
      </c>
    </row>
    <row r="338" spans="1:6" hidden="1" x14ac:dyDescent="0.35">
      <c r="A338" t="s">
        <v>57</v>
      </c>
      <c r="B338" t="s">
        <v>33</v>
      </c>
      <c r="C338" t="s">
        <v>49</v>
      </c>
      <c r="D338">
        <v>162489.0644</v>
      </c>
      <c r="E338" t="s">
        <v>42</v>
      </c>
      <c r="F338" t="s">
        <v>10</v>
      </c>
    </row>
    <row r="339" spans="1:6" hidden="1" x14ac:dyDescent="0.35">
      <c r="A339" t="s">
        <v>11</v>
      </c>
      <c r="B339" t="s">
        <v>33</v>
      </c>
      <c r="C339" t="s">
        <v>49</v>
      </c>
      <c r="D339">
        <v>90459.508400000006</v>
      </c>
      <c r="E339" t="s">
        <v>42</v>
      </c>
      <c r="F339" t="s">
        <v>10</v>
      </c>
    </row>
    <row r="340" spans="1:6" hidden="1" x14ac:dyDescent="0.35">
      <c r="A340" t="s">
        <v>58</v>
      </c>
      <c r="B340" t="s">
        <v>33</v>
      </c>
      <c r="C340" t="s">
        <v>49</v>
      </c>
      <c r="D340">
        <v>260941.15359999999</v>
      </c>
      <c r="E340" t="s">
        <v>42</v>
      </c>
      <c r="F340" t="s">
        <v>10</v>
      </c>
    </row>
    <row r="341" spans="1:6" hidden="1" x14ac:dyDescent="0.35">
      <c r="A341" t="s">
        <v>59</v>
      </c>
      <c r="B341" t="s">
        <v>33</v>
      </c>
      <c r="C341" t="s">
        <v>49</v>
      </c>
      <c r="D341">
        <v>75402.862000000008</v>
      </c>
      <c r="E341" t="s">
        <v>42</v>
      </c>
      <c r="F341" t="s">
        <v>10</v>
      </c>
    </row>
    <row r="342" spans="1:6" hidden="1" x14ac:dyDescent="0.35">
      <c r="A342" t="s">
        <v>60</v>
      </c>
      <c r="B342" t="s">
        <v>33</v>
      </c>
      <c r="C342" t="s">
        <v>49</v>
      </c>
      <c r="D342">
        <v>147090.024</v>
      </c>
      <c r="E342" t="s">
        <v>42</v>
      </c>
      <c r="F342" t="s">
        <v>10</v>
      </c>
    </row>
    <row r="343" spans="1:6" hidden="1" x14ac:dyDescent="0.35">
      <c r="A343" t="s">
        <v>61</v>
      </c>
      <c r="B343" t="s">
        <v>33</v>
      </c>
      <c r="C343" t="s">
        <v>49</v>
      </c>
      <c r="D343">
        <v>160820.24799999999</v>
      </c>
      <c r="E343" t="s">
        <v>42</v>
      </c>
      <c r="F343" t="s">
        <v>10</v>
      </c>
    </row>
    <row r="344" spans="1:6" hidden="1" x14ac:dyDescent="0.35">
      <c r="A344" t="s">
        <v>62</v>
      </c>
      <c r="B344" t="s">
        <v>33</v>
      </c>
      <c r="C344" t="s">
        <v>49</v>
      </c>
      <c r="D344">
        <v>135072.6024</v>
      </c>
      <c r="E344" t="s">
        <v>42</v>
      </c>
      <c r="F344" t="s">
        <v>10</v>
      </c>
    </row>
    <row r="345" spans="1:6" hidden="1" x14ac:dyDescent="0.35">
      <c r="A345" t="s">
        <v>63</v>
      </c>
      <c r="B345" t="s">
        <v>33</v>
      </c>
      <c r="C345" t="s">
        <v>49</v>
      </c>
      <c r="D345">
        <v>98380.29800000001</v>
      </c>
      <c r="E345" t="s">
        <v>42</v>
      </c>
      <c r="F345" t="s">
        <v>10</v>
      </c>
    </row>
    <row r="346" spans="1:6" hidden="1" x14ac:dyDescent="0.35">
      <c r="A346" t="s">
        <v>64</v>
      </c>
      <c r="B346" t="s">
        <v>33</v>
      </c>
      <c r="C346" t="s">
        <v>49</v>
      </c>
      <c r="D346">
        <v>175917.5716</v>
      </c>
      <c r="E346" t="s">
        <v>42</v>
      </c>
      <c r="F346" t="s">
        <v>10</v>
      </c>
    </row>
    <row r="347" spans="1:6" hidden="1" x14ac:dyDescent="0.35">
      <c r="A347" t="s">
        <v>65</v>
      </c>
      <c r="B347" t="s">
        <v>33</v>
      </c>
      <c r="C347" t="s">
        <v>49</v>
      </c>
      <c r="D347">
        <v>94710.898000000001</v>
      </c>
      <c r="E347" t="s">
        <v>42</v>
      </c>
      <c r="F347" t="s">
        <v>10</v>
      </c>
    </row>
    <row r="348" spans="1:6" hidden="1" x14ac:dyDescent="0.35">
      <c r="A348" t="s">
        <v>66</v>
      </c>
      <c r="B348" t="s">
        <v>33</v>
      </c>
      <c r="C348" t="s">
        <v>49</v>
      </c>
      <c r="D348">
        <v>217868.69959999999</v>
      </c>
      <c r="E348" t="s">
        <v>42</v>
      </c>
      <c r="F348" t="s">
        <v>10</v>
      </c>
    </row>
    <row r="349" spans="1:6" hidden="1" x14ac:dyDescent="0.35">
      <c r="A349" t="s">
        <v>67</v>
      </c>
      <c r="B349" t="s">
        <v>33</v>
      </c>
      <c r="C349" t="s">
        <v>49</v>
      </c>
      <c r="D349">
        <v>34597.930800000002</v>
      </c>
      <c r="E349" t="s">
        <v>42</v>
      </c>
      <c r="F349" t="s">
        <v>10</v>
      </c>
    </row>
    <row r="350" spans="1:6" hidden="1" x14ac:dyDescent="0.35">
      <c r="A350" t="s">
        <v>57</v>
      </c>
      <c r="B350" t="s">
        <v>33</v>
      </c>
      <c r="C350" t="s">
        <v>50</v>
      </c>
      <c r="D350">
        <v>1419863.24</v>
      </c>
      <c r="E350" t="s">
        <v>42</v>
      </c>
      <c r="F350" t="s">
        <v>10</v>
      </c>
    </row>
    <row r="351" spans="1:6" hidden="1" x14ac:dyDescent="0.35">
      <c r="A351" t="s">
        <v>11</v>
      </c>
      <c r="B351" t="s">
        <v>33</v>
      </c>
      <c r="C351" t="s">
        <v>50</v>
      </c>
      <c r="D351">
        <v>840261.58439999993</v>
      </c>
      <c r="E351" t="s">
        <v>42</v>
      </c>
      <c r="F351" t="s">
        <v>10</v>
      </c>
    </row>
    <row r="352" spans="1:6" hidden="1" x14ac:dyDescent="0.35">
      <c r="A352" t="s">
        <v>58</v>
      </c>
      <c r="B352" t="s">
        <v>33</v>
      </c>
      <c r="C352" t="s">
        <v>50</v>
      </c>
      <c r="D352">
        <v>3864469.4115999988</v>
      </c>
      <c r="E352" t="s">
        <v>42</v>
      </c>
      <c r="F352" t="s">
        <v>10</v>
      </c>
    </row>
    <row r="353" spans="1:6" hidden="1" x14ac:dyDescent="0.35">
      <c r="A353" t="s">
        <v>59</v>
      </c>
      <c r="B353" t="s">
        <v>33</v>
      </c>
      <c r="C353" t="s">
        <v>50</v>
      </c>
      <c r="D353">
        <v>690164.63120000006</v>
      </c>
      <c r="E353" t="s">
        <v>42</v>
      </c>
      <c r="F353" t="s">
        <v>10</v>
      </c>
    </row>
    <row r="354" spans="1:6" hidden="1" x14ac:dyDescent="0.35">
      <c r="A354" t="s">
        <v>60</v>
      </c>
      <c r="B354" t="s">
        <v>33</v>
      </c>
      <c r="C354" t="s">
        <v>50</v>
      </c>
      <c r="D354">
        <v>2658941.324800001</v>
      </c>
      <c r="E354" t="s">
        <v>42</v>
      </c>
      <c r="F354" t="s">
        <v>10</v>
      </c>
    </row>
    <row r="355" spans="1:6" hidden="1" x14ac:dyDescent="0.35">
      <c r="A355" t="s">
        <v>61</v>
      </c>
      <c r="B355" t="s">
        <v>33</v>
      </c>
      <c r="C355" t="s">
        <v>50</v>
      </c>
      <c r="D355">
        <v>1963468.2039999999</v>
      </c>
      <c r="E355" t="s">
        <v>42</v>
      </c>
      <c r="F355" t="s">
        <v>10</v>
      </c>
    </row>
    <row r="356" spans="1:6" hidden="1" x14ac:dyDescent="0.35">
      <c r="A356" t="s">
        <v>62</v>
      </c>
      <c r="B356" t="s">
        <v>33</v>
      </c>
      <c r="C356" t="s">
        <v>50</v>
      </c>
      <c r="D356">
        <v>1736307.9168</v>
      </c>
      <c r="E356" t="s">
        <v>42</v>
      </c>
      <c r="F356" t="s">
        <v>10</v>
      </c>
    </row>
    <row r="357" spans="1:6" hidden="1" x14ac:dyDescent="0.35">
      <c r="A357" t="s">
        <v>63</v>
      </c>
      <c r="B357" t="s">
        <v>33</v>
      </c>
      <c r="C357" t="s">
        <v>50</v>
      </c>
      <c r="D357">
        <v>1767624.3524</v>
      </c>
      <c r="E357" t="s">
        <v>42</v>
      </c>
      <c r="F357" t="s">
        <v>10</v>
      </c>
    </row>
    <row r="358" spans="1:6" hidden="1" x14ac:dyDescent="0.35">
      <c r="A358" t="s">
        <v>64</v>
      </c>
      <c r="B358" t="s">
        <v>33</v>
      </c>
      <c r="C358" t="s">
        <v>50</v>
      </c>
      <c r="D358">
        <v>1831549.5515999999</v>
      </c>
      <c r="E358" t="s">
        <v>42</v>
      </c>
      <c r="F358" t="s">
        <v>10</v>
      </c>
    </row>
    <row r="359" spans="1:6" hidden="1" x14ac:dyDescent="0.35">
      <c r="A359" t="s">
        <v>65</v>
      </c>
      <c r="B359" t="s">
        <v>33</v>
      </c>
      <c r="C359" t="s">
        <v>50</v>
      </c>
      <c r="D359">
        <v>1601181.9920000001</v>
      </c>
      <c r="E359" t="s">
        <v>42</v>
      </c>
      <c r="F359" t="s">
        <v>10</v>
      </c>
    </row>
    <row r="360" spans="1:6" hidden="1" x14ac:dyDescent="0.35">
      <c r="A360" t="s">
        <v>66</v>
      </c>
      <c r="B360" t="s">
        <v>33</v>
      </c>
      <c r="C360" t="s">
        <v>50</v>
      </c>
      <c r="D360">
        <v>2907040.772799999</v>
      </c>
      <c r="E360" t="s">
        <v>42</v>
      </c>
      <c r="F360" t="s">
        <v>10</v>
      </c>
    </row>
    <row r="361" spans="1:6" hidden="1" x14ac:dyDescent="0.35">
      <c r="A361" t="s">
        <v>67</v>
      </c>
      <c r="B361" t="s">
        <v>33</v>
      </c>
      <c r="C361" t="s">
        <v>50</v>
      </c>
      <c r="D361">
        <v>253095.3088</v>
      </c>
      <c r="E361" t="s">
        <v>42</v>
      </c>
      <c r="F361" t="s">
        <v>10</v>
      </c>
    </row>
    <row r="362" spans="1:6" hidden="1" x14ac:dyDescent="0.35">
      <c r="A362" t="s">
        <v>57</v>
      </c>
      <c r="B362" t="s">
        <v>33</v>
      </c>
      <c r="C362" t="s">
        <v>51</v>
      </c>
      <c r="D362">
        <v>30</v>
      </c>
      <c r="E362" t="s">
        <v>42</v>
      </c>
      <c r="F362" t="s">
        <v>10</v>
      </c>
    </row>
    <row r="363" spans="1:6" hidden="1" x14ac:dyDescent="0.35">
      <c r="A363" t="s">
        <v>11</v>
      </c>
      <c r="B363" t="s">
        <v>33</v>
      </c>
      <c r="C363" t="s">
        <v>51</v>
      </c>
      <c r="D363">
        <v>29</v>
      </c>
      <c r="E363" t="s">
        <v>42</v>
      </c>
      <c r="F363" t="s">
        <v>10</v>
      </c>
    </row>
    <row r="364" spans="1:6" hidden="1" x14ac:dyDescent="0.35">
      <c r="A364" t="s">
        <v>58</v>
      </c>
      <c r="B364" t="s">
        <v>33</v>
      </c>
      <c r="C364" t="s">
        <v>51</v>
      </c>
      <c r="D364">
        <v>37</v>
      </c>
      <c r="E364" t="s">
        <v>42</v>
      </c>
      <c r="F364" t="s">
        <v>10</v>
      </c>
    </row>
    <row r="365" spans="1:6" hidden="1" x14ac:dyDescent="0.35">
      <c r="A365" t="s">
        <v>59</v>
      </c>
      <c r="B365" t="s">
        <v>33</v>
      </c>
      <c r="C365" t="s">
        <v>51</v>
      </c>
      <c r="D365">
        <v>12</v>
      </c>
      <c r="E365" t="s">
        <v>42</v>
      </c>
      <c r="F365" t="s">
        <v>10</v>
      </c>
    </row>
    <row r="366" spans="1:6" hidden="1" x14ac:dyDescent="0.35">
      <c r="A366" t="s">
        <v>60</v>
      </c>
      <c r="B366" t="s">
        <v>33</v>
      </c>
      <c r="C366" t="s">
        <v>51</v>
      </c>
      <c r="D366">
        <v>32</v>
      </c>
      <c r="E366" t="s">
        <v>42</v>
      </c>
      <c r="F366" t="s">
        <v>10</v>
      </c>
    </row>
    <row r="367" spans="1:6" hidden="1" x14ac:dyDescent="0.35">
      <c r="A367" t="s">
        <v>61</v>
      </c>
      <c r="B367" t="s">
        <v>33</v>
      </c>
      <c r="C367" t="s">
        <v>51</v>
      </c>
      <c r="D367">
        <v>15</v>
      </c>
      <c r="E367" t="s">
        <v>42</v>
      </c>
      <c r="F367" t="s">
        <v>10</v>
      </c>
    </row>
    <row r="368" spans="1:6" hidden="1" x14ac:dyDescent="0.35">
      <c r="A368" t="s">
        <v>62</v>
      </c>
      <c r="B368" t="s">
        <v>33</v>
      </c>
      <c r="C368" t="s">
        <v>51</v>
      </c>
      <c r="D368">
        <v>9</v>
      </c>
      <c r="E368" t="s">
        <v>42</v>
      </c>
      <c r="F368" t="s">
        <v>10</v>
      </c>
    </row>
    <row r="369" spans="1:6" hidden="1" x14ac:dyDescent="0.35">
      <c r="A369" t="s">
        <v>63</v>
      </c>
      <c r="B369" t="s">
        <v>33</v>
      </c>
      <c r="C369" t="s">
        <v>51</v>
      </c>
      <c r="D369">
        <v>18</v>
      </c>
      <c r="E369" t="s">
        <v>42</v>
      </c>
      <c r="F369" t="s">
        <v>10</v>
      </c>
    </row>
    <row r="370" spans="1:6" hidden="1" x14ac:dyDescent="0.35">
      <c r="A370" t="s">
        <v>64</v>
      </c>
      <c r="B370" t="s">
        <v>33</v>
      </c>
      <c r="C370" t="s">
        <v>51</v>
      </c>
      <c r="D370">
        <v>21</v>
      </c>
      <c r="E370" t="s">
        <v>42</v>
      </c>
      <c r="F370" t="s">
        <v>10</v>
      </c>
    </row>
    <row r="371" spans="1:6" hidden="1" x14ac:dyDescent="0.35">
      <c r="A371" t="s">
        <v>65</v>
      </c>
      <c r="B371" t="s">
        <v>33</v>
      </c>
      <c r="C371" t="s">
        <v>51</v>
      </c>
      <c r="D371">
        <v>15</v>
      </c>
      <c r="E371" t="s">
        <v>42</v>
      </c>
      <c r="F371" t="s">
        <v>10</v>
      </c>
    </row>
    <row r="372" spans="1:6" hidden="1" x14ac:dyDescent="0.35">
      <c r="A372" t="s">
        <v>66</v>
      </c>
      <c r="B372" t="s">
        <v>33</v>
      </c>
      <c r="C372" t="s">
        <v>51</v>
      </c>
      <c r="D372">
        <v>5</v>
      </c>
      <c r="E372" t="s">
        <v>42</v>
      </c>
      <c r="F372" t="s">
        <v>10</v>
      </c>
    </row>
    <row r="373" spans="1:6" hidden="1" x14ac:dyDescent="0.35">
      <c r="A373" t="s">
        <v>67</v>
      </c>
      <c r="B373" t="s">
        <v>33</v>
      </c>
      <c r="C373" t="s">
        <v>51</v>
      </c>
      <c r="D373">
        <v>16</v>
      </c>
      <c r="E373" t="s">
        <v>42</v>
      </c>
      <c r="F373" t="s">
        <v>10</v>
      </c>
    </row>
    <row r="374" spans="1:6" hidden="1" x14ac:dyDescent="0.35">
      <c r="A374" t="s">
        <v>57</v>
      </c>
      <c r="B374" t="s">
        <v>33</v>
      </c>
      <c r="C374" t="s">
        <v>30</v>
      </c>
      <c r="D374">
        <v>17</v>
      </c>
      <c r="E374" t="s">
        <v>42</v>
      </c>
      <c r="F374" t="s">
        <v>10</v>
      </c>
    </row>
    <row r="375" spans="1:6" hidden="1" x14ac:dyDescent="0.35">
      <c r="A375" t="s">
        <v>11</v>
      </c>
      <c r="B375" t="s">
        <v>33</v>
      </c>
      <c r="C375" t="s">
        <v>30</v>
      </c>
      <c r="D375">
        <v>19</v>
      </c>
      <c r="E375" t="s">
        <v>42</v>
      </c>
      <c r="F375" t="s">
        <v>10</v>
      </c>
    </row>
    <row r="376" spans="1:6" hidden="1" x14ac:dyDescent="0.35">
      <c r="A376" t="s">
        <v>58</v>
      </c>
      <c r="B376" t="s">
        <v>33</v>
      </c>
      <c r="C376" t="s">
        <v>30</v>
      </c>
      <c r="D376">
        <v>8</v>
      </c>
      <c r="E376" t="s">
        <v>42</v>
      </c>
      <c r="F376" t="s">
        <v>10</v>
      </c>
    </row>
    <row r="377" spans="1:6" hidden="1" x14ac:dyDescent="0.35">
      <c r="A377" t="s">
        <v>59</v>
      </c>
      <c r="B377" t="s">
        <v>33</v>
      </c>
      <c r="C377" t="s">
        <v>30</v>
      </c>
      <c r="D377">
        <v>31</v>
      </c>
      <c r="E377" t="s">
        <v>42</v>
      </c>
      <c r="F377" t="s">
        <v>10</v>
      </c>
    </row>
    <row r="378" spans="1:6" hidden="1" x14ac:dyDescent="0.35">
      <c r="A378" t="s">
        <v>60</v>
      </c>
      <c r="B378" t="s">
        <v>33</v>
      </c>
      <c r="C378" t="s">
        <v>30</v>
      </c>
      <c r="D378">
        <v>25</v>
      </c>
      <c r="E378" t="s">
        <v>42</v>
      </c>
      <c r="F378" t="s">
        <v>10</v>
      </c>
    </row>
    <row r="379" spans="1:6" hidden="1" x14ac:dyDescent="0.35">
      <c r="A379" t="s">
        <v>61</v>
      </c>
      <c r="B379" t="s">
        <v>33</v>
      </c>
      <c r="C379" t="s">
        <v>30</v>
      </c>
      <c r="D379">
        <v>24</v>
      </c>
      <c r="E379" t="s">
        <v>42</v>
      </c>
      <c r="F379" t="s">
        <v>10</v>
      </c>
    </row>
    <row r="380" spans="1:6" hidden="1" x14ac:dyDescent="0.35">
      <c r="A380" t="s">
        <v>62</v>
      </c>
      <c r="B380" t="s">
        <v>33</v>
      </c>
      <c r="C380" t="s">
        <v>30</v>
      </c>
      <c r="D380">
        <v>29</v>
      </c>
      <c r="E380" t="s">
        <v>42</v>
      </c>
      <c r="F380" t="s">
        <v>10</v>
      </c>
    </row>
    <row r="381" spans="1:6" hidden="1" x14ac:dyDescent="0.35">
      <c r="A381" t="s">
        <v>63</v>
      </c>
      <c r="B381" t="s">
        <v>33</v>
      </c>
      <c r="C381" t="s">
        <v>30</v>
      </c>
      <c r="D381">
        <v>22</v>
      </c>
      <c r="E381" t="s">
        <v>42</v>
      </c>
      <c r="F381" t="s">
        <v>10</v>
      </c>
    </row>
    <row r="382" spans="1:6" hidden="1" x14ac:dyDescent="0.35">
      <c r="A382" t="s">
        <v>64</v>
      </c>
      <c r="B382" t="s">
        <v>33</v>
      </c>
      <c r="C382" t="s">
        <v>30</v>
      </c>
      <c r="D382">
        <v>29</v>
      </c>
      <c r="E382" t="s">
        <v>42</v>
      </c>
      <c r="F382" t="s">
        <v>10</v>
      </c>
    </row>
    <row r="383" spans="1:6" hidden="1" x14ac:dyDescent="0.35">
      <c r="A383" t="s">
        <v>65</v>
      </c>
      <c r="B383" t="s">
        <v>33</v>
      </c>
      <c r="C383" t="s">
        <v>30</v>
      </c>
      <c r="D383">
        <v>24</v>
      </c>
      <c r="E383" t="s">
        <v>42</v>
      </c>
      <c r="F383" t="s">
        <v>10</v>
      </c>
    </row>
    <row r="384" spans="1:6" hidden="1" x14ac:dyDescent="0.35">
      <c r="A384" t="s">
        <v>66</v>
      </c>
      <c r="B384" t="s">
        <v>33</v>
      </c>
      <c r="C384" t="s">
        <v>30</v>
      </c>
      <c r="D384">
        <v>22</v>
      </c>
      <c r="E384" t="s">
        <v>42</v>
      </c>
      <c r="F384" t="s">
        <v>10</v>
      </c>
    </row>
    <row r="385" spans="1:6" hidden="1" x14ac:dyDescent="0.35">
      <c r="A385" t="s">
        <v>67</v>
      </c>
      <c r="B385" t="s">
        <v>33</v>
      </c>
      <c r="C385" t="s">
        <v>30</v>
      </c>
      <c r="D385">
        <v>21</v>
      </c>
      <c r="E385" t="s">
        <v>42</v>
      </c>
      <c r="F385" t="s">
        <v>10</v>
      </c>
    </row>
    <row r="386" spans="1:6" hidden="1" x14ac:dyDescent="0.35">
      <c r="A386" t="s">
        <v>57</v>
      </c>
      <c r="B386" t="s">
        <v>33</v>
      </c>
      <c r="C386" t="s">
        <v>52</v>
      </c>
      <c r="D386">
        <v>17</v>
      </c>
      <c r="E386" t="s">
        <v>42</v>
      </c>
      <c r="F386" t="s">
        <v>10</v>
      </c>
    </row>
    <row r="387" spans="1:6" hidden="1" x14ac:dyDescent="0.35">
      <c r="A387" t="s">
        <v>11</v>
      </c>
      <c r="B387" t="s">
        <v>33</v>
      </c>
      <c r="C387" t="s">
        <v>52</v>
      </c>
      <c r="D387">
        <v>10</v>
      </c>
      <c r="E387" t="s">
        <v>42</v>
      </c>
      <c r="F387" t="s">
        <v>10</v>
      </c>
    </row>
    <row r="388" spans="1:6" hidden="1" x14ac:dyDescent="0.35">
      <c r="A388" t="s">
        <v>58</v>
      </c>
      <c r="B388" t="s">
        <v>33</v>
      </c>
      <c r="C388" t="s">
        <v>52</v>
      </c>
      <c r="D388">
        <v>22</v>
      </c>
      <c r="E388" t="s">
        <v>42</v>
      </c>
      <c r="F388" t="s">
        <v>10</v>
      </c>
    </row>
    <row r="389" spans="1:6" hidden="1" x14ac:dyDescent="0.35">
      <c r="A389" t="s">
        <v>59</v>
      </c>
      <c r="B389" t="s">
        <v>33</v>
      </c>
      <c r="C389" t="s">
        <v>52</v>
      </c>
      <c r="D389">
        <v>8</v>
      </c>
      <c r="E389" t="s">
        <v>42</v>
      </c>
      <c r="F389" t="s">
        <v>10</v>
      </c>
    </row>
    <row r="390" spans="1:6" hidden="1" x14ac:dyDescent="0.35">
      <c r="A390" t="s">
        <v>60</v>
      </c>
      <c r="B390" t="s">
        <v>33</v>
      </c>
      <c r="C390" t="s">
        <v>52</v>
      </c>
      <c r="D390">
        <v>18</v>
      </c>
      <c r="E390" t="s">
        <v>42</v>
      </c>
      <c r="F390" t="s">
        <v>10</v>
      </c>
    </row>
    <row r="391" spans="1:6" hidden="1" x14ac:dyDescent="0.35">
      <c r="A391" t="s">
        <v>61</v>
      </c>
      <c r="B391" t="s">
        <v>33</v>
      </c>
      <c r="C391" t="s">
        <v>52</v>
      </c>
      <c r="D391">
        <v>10</v>
      </c>
      <c r="E391" t="s">
        <v>42</v>
      </c>
      <c r="F391" t="s">
        <v>10</v>
      </c>
    </row>
    <row r="392" spans="1:6" hidden="1" x14ac:dyDescent="0.35">
      <c r="A392" t="s">
        <v>62</v>
      </c>
      <c r="B392" t="s">
        <v>33</v>
      </c>
      <c r="C392" t="s">
        <v>52</v>
      </c>
      <c r="D392">
        <v>1</v>
      </c>
      <c r="E392" t="s">
        <v>42</v>
      </c>
      <c r="F392" t="s">
        <v>10</v>
      </c>
    </row>
    <row r="393" spans="1:6" hidden="1" x14ac:dyDescent="0.35">
      <c r="A393" t="s">
        <v>63</v>
      </c>
      <c r="B393" t="s">
        <v>33</v>
      </c>
      <c r="C393" t="s">
        <v>52</v>
      </c>
      <c r="D393">
        <v>5</v>
      </c>
      <c r="E393" t="s">
        <v>42</v>
      </c>
      <c r="F393" t="s">
        <v>10</v>
      </c>
    </row>
    <row r="394" spans="1:6" hidden="1" x14ac:dyDescent="0.35">
      <c r="A394" t="s">
        <v>64</v>
      </c>
      <c r="B394" t="s">
        <v>33</v>
      </c>
      <c r="C394" t="s">
        <v>52</v>
      </c>
      <c r="D394">
        <v>1</v>
      </c>
      <c r="E394" t="s">
        <v>42</v>
      </c>
      <c r="F394" t="s">
        <v>10</v>
      </c>
    </row>
    <row r="395" spans="1:6" hidden="1" x14ac:dyDescent="0.35">
      <c r="A395" t="s">
        <v>65</v>
      </c>
      <c r="B395" t="s">
        <v>33</v>
      </c>
      <c r="C395" t="s">
        <v>52</v>
      </c>
      <c r="D395">
        <v>2</v>
      </c>
      <c r="E395" t="s">
        <v>42</v>
      </c>
      <c r="F395" t="s">
        <v>10</v>
      </c>
    </row>
    <row r="396" spans="1:6" hidden="1" x14ac:dyDescent="0.35">
      <c r="A396" t="s">
        <v>66</v>
      </c>
      <c r="B396" t="s">
        <v>33</v>
      </c>
      <c r="C396" t="s">
        <v>52</v>
      </c>
      <c r="D396">
        <v>3</v>
      </c>
      <c r="E396" t="s">
        <v>42</v>
      </c>
      <c r="F396" t="s">
        <v>10</v>
      </c>
    </row>
    <row r="397" spans="1:6" hidden="1" x14ac:dyDescent="0.35">
      <c r="A397" t="s">
        <v>67</v>
      </c>
      <c r="B397" t="s">
        <v>33</v>
      </c>
      <c r="C397" t="s">
        <v>52</v>
      </c>
      <c r="D397">
        <v>5</v>
      </c>
      <c r="E397" t="s">
        <v>42</v>
      </c>
      <c r="F397" t="s">
        <v>10</v>
      </c>
    </row>
    <row r="398" spans="1:6" hidden="1" x14ac:dyDescent="0.35">
      <c r="A398" t="s">
        <v>57</v>
      </c>
      <c r="B398" t="s">
        <v>53</v>
      </c>
      <c r="C398" t="s">
        <v>44</v>
      </c>
      <c r="D398">
        <v>1820.6324195121961</v>
      </c>
      <c r="E398" t="s">
        <v>42</v>
      </c>
      <c r="F398" t="s">
        <v>10</v>
      </c>
    </row>
    <row r="399" spans="1:6" hidden="1" x14ac:dyDescent="0.35">
      <c r="A399" t="s">
        <v>11</v>
      </c>
      <c r="B399" t="s">
        <v>53</v>
      </c>
      <c r="C399" t="s">
        <v>44</v>
      </c>
      <c r="E399" t="s">
        <v>42</v>
      </c>
      <c r="F399" t="s">
        <v>10</v>
      </c>
    </row>
    <row r="400" spans="1:6" hidden="1" x14ac:dyDescent="0.35">
      <c r="A400" t="s">
        <v>58</v>
      </c>
      <c r="B400" t="s">
        <v>53</v>
      </c>
      <c r="C400" t="s">
        <v>44</v>
      </c>
      <c r="D400">
        <v>51018.940569105689</v>
      </c>
      <c r="E400" t="s">
        <v>42</v>
      </c>
      <c r="F400" t="s">
        <v>10</v>
      </c>
    </row>
    <row r="401" spans="1:6" hidden="1" x14ac:dyDescent="0.35">
      <c r="A401" t="s">
        <v>59</v>
      </c>
      <c r="B401" t="s">
        <v>53</v>
      </c>
      <c r="C401" t="s">
        <v>44</v>
      </c>
      <c r="D401">
        <v>50369.958845528447</v>
      </c>
      <c r="E401" t="s">
        <v>42</v>
      </c>
      <c r="F401" t="s">
        <v>10</v>
      </c>
    </row>
    <row r="402" spans="1:6" hidden="1" x14ac:dyDescent="0.35">
      <c r="A402" t="s">
        <v>60</v>
      </c>
      <c r="B402" t="s">
        <v>53</v>
      </c>
      <c r="C402" t="s">
        <v>44</v>
      </c>
      <c r="D402">
        <v>44837.149616260162</v>
      </c>
      <c r="E402" t="s">
        <v>42</v>
      </c>
      <c r="F402" t="s">
        <v>10</v>
      </c>
    </row>
    <row r="403" spans="1:6" hidden="1" x14ac:dyDescent="0.35">
      <c r="A403" t="s">
        <v>61</v>
      </c>
      <c r="B403" t="s">
        <v>53</v>
      </c>
      <c r="C403" t="s">
        <v>44</v>
      </c>
      <c r="D403">
        <v>49357.965626558267</v>
      </c>
      <c r="E403" t="s">
        <v>42</v>
      </c>
      <c r="F403" t="s">
        <v>10</v>
      </c>
    </row>
    <row r="404" spans="1:6" hidden="1" x14ac:dyDescent="0.35">
      <c r="A404" t="s">
        <v>62</v>
      </c>
      <c r="B404" t="s">
        <v>53</v>
      </c>
      <c r="C404" t="s">
        <v>44</v>
      </c>
      <c r="D404">
        <v>39548.152967479677</v>
      </c>
      <c r="E404" t="s">
        <v>42</v>
      </c>
      <c r="F404" t="s">
        <v>10</v>
      </c>
    </row>
    <row r="405" spans="1:6" hidden="1" x14ac:dyDescent="0.35">
      <c r="A405" t="s">
        <v>63</v>
      </c>
      <c r="B405" t="s">
        <v>53</v>
      </c>
      <c r="C405" t="s">
        <v>44</v>
      </c>
      <c r="D405">
        <v>10843.99890406504</v>
      </c>
      <c r="E405" t="s">
        <v>42</v>
      </c>
      <c r="F405" t="s">
        <v>10</v>
      </c>
    </row>
    <row r="406" spans="1:6" hidden="1" x14ac:dyDescent="0.35">
      <c r="A406" t="s">
        <v>64</v>
      </c>
      <c r="B406" t="s">
        <v>53</v>
      </c>
      <c r="C406" t="s">
        <v>44</v>
      </c>
      <c r="D406">
        <v>0</v>
      </c>
      <c r="E406" t="s">
        <v>42</v>
      </c>
      <c r="F406" t="s">
        <v>10</v>
      </c>
    </row>
    <row r="407" spans="1:6" hidden="1" x14ac:dyDescent="0.35">
      <c r="A407" t="s">
        <v>65</v>
      </c>
      <c r="B407" t="s">
        <v>53</v>
      </c>
      <c r="C407" t="s">
        <v>44</v>
      </c>
      <c r="D407">
        <v>79229.618771815716</v>
      </c>
      <c r="E407" t="s">
        <v>42</v>
      </c>
      <c r="F407" t="s">
        <v>10</v>
      </c>
    </row>
    <row r="408" spans="1:6" hidden="1" x14ac:dyDescent="0.35">
      <c r="A408" t="s">
        <v>66</v>
      </c>
      <c r="B408" t="s">
        <v>53</v>
      </c>
      <c r="C408" t="s">
        <v>44</v>
      </c>
      <c r="E408" t="s">
        <v>42</v>
      </c>
      <c r="F408" t="s">
        <v>10</v>
      </c>
    </row>
    <row r="409" spans="1:6" hidden="1" x14ac:dyDescent="0.35">
      <c r="A409" t="s">
        <v>67</v>
      </c>
      <c r="B409" t="s">
        <v>53</v>
      </c>
      <c r="C409" t="s">
        <v>44</v>
      </c>
      <c r="D409">
        <v>32002.061138211378</v>
      </c>
      <c r="E409" t="s">
        <v>42</v>
      </c>
      <c r="F409" t="s">
        <v>10</v>
      </c>
    </row>
    <row r="410" spans="1:6" hidden="1" x14ac:dyDescent="0.35">
      <c r="A410" t="s">
        <v>57</v>
      </c>
      <c r="B410" t="s">
        <v>53</v>
      </c>
      <c r="C410" t="s">
        <v>22</v>
      </c>
      <c r="D410">
        <v>0</v>
      </c>
      <c r="E410" t="s">
        <v>42</v>
      </c>
      <c r="F410" t="s">
        <v>10</v>
      </c>
    </row>
    <row r="411" spans="1:6" hidden="1" x14ac:dyDescent="0.35">
      <c r="A411" t="s">
        <v>11</v>
      </c>
      <c r="B411" t="s">
        <v>53</v>
      </c>
      <c r="C411" t="s">
        <v>22</v>
      </c>
      <c r="D411">
        <v>0</v>
      </c>
      <c r="E411" t="s">
        <v>42</v>
      </c>
      <c r="F411" t="s">
        <v>10</v>
      </c>
    </row>
    <row r="412" spans="1:6" hidden="1" x14ac:dyDescent="0.35">
      <c r="A412" t="s">
        <v>58</v>
      </c>
      <c r="B412" t="s">
        <v>53</v>
      </c>
      <c r="C412" t="s">
        <v>22</v>
      </c>
      <c r="D412">
        <v>0</v>
      </c>
      <c r="E412" t="s">
        <v>42</v>
      </c>
      <c r="F412" t="s">
        <v>10</v>
      </c>
    </row>
    <row r="413" spans="1:6" hidden="1" x14ac:dyDescent="0.35">
      <c r="A413" t="s">
        <v>59</v>
      </c>
      <c r="B413" t="s">
        <v>53</v>
      </c>
      <c r="C413" t="s">
        <v>22</v>
      </c>
      <c r="D413">
        <v>0</v>
      </c>
      <c r="E413" t="s">
        <v>42</v>
      </c>
      <c r="F413" t="s">
        <v>10</v>
      </c>
    </row>
    <row r="414" spans="1:6" hidden="1" x14ac:dyDescent="0.35">
      <c r="A414" t="s">
        <v>60</v>
      </c>
      <c r="B414" t="s">
        <v>53</v>
      </c>
      <c r="C414" t="s">
        <v>22</v>
      </c>
      <c r="D414">
        <v>0</v>
      </c>
      <c r="E414" t="s">
        <v>42</v>
      </c>
      <c r="F414" t="s">
        <v>10</v>
      </c>
    </row>
    <row r="415" spans="1:6" hidden="1" x14ac:dyDescent="0.35">
      <c r="A415" t="s">
        <v>61</v>
      </c>
      <c r="B415" t="s">
        <v>53</v>
      </c>
      <c r="C415" t="s">
        <v>22</v>
      </c>
      <c r="D415">
        <v>0</v>
      </c>
      <c r="E415" t="s">
        <v>42</v>
      </c>
      <c r="F415" t="s">
        <v>10</v>
      </c>
    </row>
    <row r="416" spans="1:6" hidden="1" x14ac:dyDescent="0.35">
      <c r="A416" t="s">
        <v>62</v>
      </c>
      <c r="B416" t="s">
        <v>53</v>
      </c>
      <c r="C416" t="s">
        <v>22</v>
      </c>
      <c r="D416">
        <v>0</v>
      </c>
      <c r="E416" t="s">
        <v>42</v>
      </c>
      <c r="F416" t="s">
        <v>10</v>
      </c>
    </row>
    <row r="417" spans="1:6" hidden="1" x14ac:dyDescent="0.35">
      <c r="A417" t="s">
        <v>63</v>
      </c>
      <c r="B417" t="s">
        <v>53</v>
      </c>
      <c r="C417" t="s">
        <v>22</v>
      </c>
      <c r="D417">
        <v>0</v>
      </c>
      <c r="E417" t="s">
        <v>42</v>
      </c>
      <c r="F417" t="s">
        <v>10</v>
      </c>
    </row>
    <row r="418" spans="1:6" hidden="1" x14ac:dyDescent="0.35">
      <c r="A418" t="s">
        <v>64</v>
      </c>
      <c r="B418" t="s">
        <v>53</v>
      </c>
      <c r="C418" t="s">
        <v>22</v>
      </c>
      <c r="D418">
        <v>0</v>
      </c>
      <c r="E418" t="s">
        <v>42</v>
      </c>
      <c r="F418" t="s">
        <v>10</v>
      </c>
    </row>
    <row r="419" spans="1:6" hidden="1" x14ac:dyDescent="0.35">
      <c r="A419" t="s">
        <v>65</v>
      </c>
      <c r="B419" t="s">
        <v>53</v>
      </c>
      <c r="C419" t="s">
        <v>22</v>
      </c>
      <c r="D419">
        <v>0</v>
      </c>
      <c r="E419" t="s">
        <v>42</v>
      </c>
      <c r="F419" t="s">
        <v>10</v>
      </c>
    </row>
    <row r="420" spans="1:6" hidden="1" x14ac:dyDescent="0.35">
      <c r="A420" t="s">
        <v>66</v>
      </c>
      <c r="B420" t="s">
        <v>53</v>
      </c>
      <c r="C420" t="s">
        <v>22</v>
      </c>
      <c r="D420">
        <v>0</v>
      </c>
      <c r="E420" t="s">
        <v>42</v>
      </c>
      <c r="F420" t="s">
        <v>10</v>
      </c>
    </row>
    <row r="421" spans="1:6" hidden="1" x14ac:dyDescent="0.35">
      <c r="A421" t="s">
        <v>67</v>
      </c>
      <c r="B421" t="s">
        <v>53</v>
      </c>
      <c r="C421" t="s">
        <v>22</v>
      </c>
      <c r="D421">
        <v>0</v>
      </c>
      <c r="E421" t="s">
        <v>42</v>
      </c>
      <c r="F421" t="s">
        <v>10</v>
      </c>
    </row>
    <row r="422" spans="1:6" hidden="1" x14ac:dyDescent="0.35">
      <c r="A422" t="s">
        <v>57</v>
      </c>
      <c r="B422" t="s">
        <v>53</v>
      </c>
      <c r="C422" t="s">
        <v>46</v>
      </c>
      <c r="D422">
        <v>18488.09756097561</v>
      </c>
      <c r="E422" t="s">
        <v>42</v>
      </c>
      <c r="F422" t="s">
        <v>10</v>
      </c>
    </row>
    <row r="423" spans="1:6" hidden="1" x14ac:dyDescent="0.35">
      <c r="A423" t="s">
        <v>11</v>
      </c>
      <c r="B423" t="s">
        <v>53</v>
      </c>
      <c r="C423" t="s">
        <v>46</v>
      </c>
      <c r="E423" t="s">
        <v>42</v>
      </c>
      <c r="F423" t="s">
        <v>10</v>
      </c>
    </row>
    <row r="424" spans="1:6" hidden="1" x14ac:dyDescent="0.35">
      <c r="A424" t="s">
        <v>58</v>
      </c>
      <c r="B424" t="s">
        <v>53</v>
      </c>
      <c r="C424" t="s">
        <v>46</v>
      </c>
      <c r="D424">
        <v>57381.181261788617</v>
      </c>
      <c r="E424" t="s">
        <v>42</v>
      </c>
      <c r="F424" t="s">
        <v>10</v>
      </c>
    </row>
    <row r="425" spans="1:6" hidden="1" x14ac:dyDescent="0.35">
      <c r="A425" t="s">
        <v>59</v>
      </c>
      <c r="B425" t="s">
        <v>53</v>
      </c>
      <c r="C425" t="s">
        <v>46</v>
      </c>
      <c r="D425">
        <v>108920.8943089431</v>
      </c>
      <c r="E425" t="s">
        <v>42</v>
      </c>
      <c r="F425" t="s">
        <v>10</v>
      </c>
    </row>
    <row r="426" spans="1:6" hidden="1" x14ac:dyDescent="0.35">
      <c r="A426" t="s">
        <v>60</v>
      </c>
      <c r="B426" t="s">
        <v>53</v>
      </c>
      <c r="C426" t="s">
        <v>46</v>
      </c>
      <c r="D426">
        <v>23613.514367479671</v>
      </c>
      <c r="E426" t="s">
        <v>42</v>
      </c>
      <c r="F426" t="s">
        <v>10</v>
      </c>
    </row>
    <row r="427" spans="1:6" hidden="1" x14ac:dyDescent="0.35">
      <c r="A427" t="s">
        <v>61</v>
      </c>
      <c r="B427" t="s">
        <v>53</v>
      </c>
      <c r="C427" t="s">
        <v>46</v>
      </c>
      <c r="D427">
        <v>4466.6883468834676</v>
      </c>
      <c r="E427" t="s">
        <v>42</v>
      </c>
      <c r="F427" t="s">
        <v>10</v>
      </c>
    </row>
    <row r="428" spans="1:6" hidden="1" x14ac:dyDescent="0.35">
      <c r="A428" t="s">
        <v>62</v>
      </c>
      <c r="B428" t="s">
        <v>53</v>
      </c>
      <c r="C428" t="s">
        <v>46</v>
      </c>
      <c r="D428">
        <v>147341.76806504061</v>
      </c>
      <c r="E428" t="s">
        <v>42</v>
      </c>
      <c r="F428" t="s">
        <v>10</v>
      </c>
    </row>
    <row r="429" spans="1:6" hidden="1" x14ac:dyDescent="0.35">
      <c r="A429" t="s">
        <v>63</v>
      </c>
      <c r="B429" t="s">
        <v>53</v>
      </c>
      <c r="C429" t="s">
        <v>46</v>
      </c>
      <c r="D429">
        <v>93147.186991869923</v>
      </c>
      <c r="E429" t="s">
        <v>42</v>
      </c>
      <c r="F429" t="s">
        <v>10</v>
      </c>
    </row>
    <row r="430" spans="1:6" hidden="1" x14ac:dyDescent="0.35">
      <c r="A430" t="s">
        <v>64</v>
      </c>
      <c r="B430" t="s">
        <v>53</v>
      </c>
      <c r="C430" t="s">
        <v>46</v>
      </c>
      <c r="D430">
        <v>302510.41239999997</v>
      </c>
      <c r="E430" t="s">
        <v>42</v>
      </c>
      <c r="F430" t="s">
        <v>10</v>
      </c>
    </row>
    <row r="431" spans="1:6" hidden="1" x14ac:dyDescent="0.35">
      <c r="A431" t="s">
        <v>65</v>
      </c>
      <c r="B431" t="s">
        <v>53</v>
      </c>
      <c r="C431" t="s">
        <v>46</v>
      </c>
      <c r="D431">
        <v>181372.17405636859</v>
      </c>
      <c r="E431" t="s">
        <v>42</v>
      </c>
      <c r="F431" t="s">
        <v>10</v>
      </c>
    </row>
    <row r="432" spans="1:6" hidden="1" x14ac:dyDescent="0.35">
      <c r="A432" t="s">
        <v>66</v>
      </c>
      <c r="B432" t="s">
        <v>53</v>
      </c>
      <c r="C432" t="s">
        <v>46</v>
      </c>
      <c r="E432" t="s">
        <v>42</v>
      </c>
      <c r="F432" t="s">
        <v>10</v>
      </c>
    </row>
    <row r="433" spans="1:6" hidden="1" x14ac:dyDescent="0.35">
      <c r="A433" t="s">
        <v>67</v>
      </c>
      <c r="B433" t="s">
        <v>53</v>
      </c>
      <c r="C433" t="s">
        <v>46</v>
      </c>
      <c r="D433">
        <v>4260.3577235772364</v>
      </c>
      <c r="E433" t="s">
        <v>42</v>
      </c>
      <c r="F433" t="s">
        <v>10</v>
      </c>
    </row>
    <row r="434" spans="1:6" hidden="1" x14ac:dyDescent="0.35">
      <c r="A434" t="s">
        <v>57</v>
      </c>
      <c r="B434" t="s">
        <v>53</v>
      </c>
      <c r="C434" t="s">
        <v>24</v>
      </c>
      <c r="D434">
        <v>0</v>
      </c>
      <c r="E434" t="s">
        <v>42</v>
      </c>
      <c r="F434" t="s">
        <v>10</v>
      </c>
    </row>
    <row r="435" spans="1:6" hidden="1" x14ac:dyDescent="0.35">
      <c r="A435" t="s">
        <v>11</v>
      </c>
      <c r="B435" t="s">
        <v>53</v>
      </c>
      <c r="C435" t="s">
        <v>24</v>
      </c>
      <c r="D435">
        <v>0</v>
      </c>
      <c r="E435" t="s">
        <v>42</v>
      </c>
      <c r="F435" t="s">
        <v>10</v>
      </c>
    </row>
    <row r="436" spans="1:6" hidden="1" x14ac:dyDescent="0.35">
      <c r="A436" t="s">
        <v>58</v>
      </c>
      <c r="B436" t="s">
        <v>53</v>
      </c>
      <c r="C436" t="s">
        <v>24</v>
      </c>
      <c r="D436">
        <v>0</v>
      </c>
      <c r="E436" t="s">
        <v>42</v>
      </c>
      <c r="F436" t="s">
        <v>10</v>
      </c>
    </row>
    <row r="437" spans="1:6" hidden="1" x14ac:dyDescent="0.35">
      <c r="A437" t="s">
        <v>59</v>
      </c>
      <c r="B437" t="s">
        <v>53</v>
      </c>
      <c r="C437" t="s">
        <v>24</v>
      </c>
      <c r="D437">
        <v>0</v>
      </c>
      <c r="E437" t="s">
        <v>42</v>
      </c>
      <c r="F437" t="s">
        <v>10</v>
      </c>
    </row>
    <row r="438" spans="1:6" hidden="1" x14ac:dyDescent="0.35">
      <c r="A438" t="s">
        <v>60</v>
      </c>
      <c r="B438" t="s">
        <v>53</v>
      </c>
      <c r="C438" t="s">
        <v>24</v>
      </c>
      <c r="D438">
        <v>0</v>
      </c>
      <c r="E438" t="s">
        <v>42</v>
      </c>
      <c r="F438" t="s">
        <v>10</v>
      </c>
    </row>
    <row r="439" spans="1:6" hidden="1" x14ac:dyDescent="0.35">
      <c r="A439" t="s">
        <v>61</v>
      </c>
      <c r="B439" t="s">
        <v>53</v>
      </c>
      <c r="C439" t="s">
        <v>24</v>
      </c>
      <c r="D439">
        <v>0</v>
      </c>
      <c r="E439" t="s">
        <v>42</v>
      </c>
      <c r="F439" t="s">
        <v>10</v>
      </c>
    </row>
    <row r="440" spans="1:6" hidden="1" x14ac:dyDescent="0.35">
      <c r="A440" t="s">
        <v>62</v>
      </c>
      <c r="B440" t="s">
        <v>53</v>
      </c>
      <c r="C440" t="s">
        <v>24</v>
      </c>
      <c r="D440">
        <v>0</v>
      </c>
      <c r="E440" t="s">
        <v>42</v>
      </c>
      <c r="F440" t="s">
        <v>10</v>
      </c>
    </row>
    <row r="441" spans="1:6" hidden="1" x14ac:dyDescent="0.35">
      <c r="A441" t="s">
        <v>63</v>
      </c>
      <c r="B441" t="s">
        <v>53</v>
      </c>
      <c r="C441" t="s">
        <v>24</v>
      </c>
      <c r="D441">
        <v>0</v>
      </c>
      <c r="E441" t="s">
        <v>42</v>
      </c>
      <c r="F441" t="s">
        <v>10</v>
      </c>
    </row>
    <row r="442" spans="1:6" hidden="1" x14ac:dyDescent="0.35">
      <c r="A442" t="s">
        <v>64</v>
      </c>
      <c r="B442" t="s">
        <v>53</v>
      </c>
      <c r="C442" t="s">
        <v>24</v>
      </c>
      <c r="D442">
        <v>0</v>
      </c>
      <c r="E442" t="s">
        <v>42</v>
      </c>
      <c r="F442" t="s">
        <v>10</v>
      </c>
    </row>
    <row r="443" spans="1:6" hidden="1" x14ac:dyDescent="0.35">
      <c r="A443" t="s">
        <v>65</v>
      </c>
      <c r="B443" t="s">
        <v>53</v>
      </c>
      <c r="C443" t="s">
        <v>24</v>
      </c>
      <c r="D443">
        <v>0</v>
      </c>
      <c r="E443" t="s">
        <v>42</v>
      </c>
      <c r="F443" t="s">
        <v>10</v>
      </c>
    </row>
    <row r="444" spans="1:6" hidden="1" x14ac:dyDescent="0.35">
      <c r="A444" t="s">
        <v>66</v>
      </c>
      <c r="B444" t="s">
        <v>53</v>
      </c>
      <c r="C444" t="s">
        <v>24</v>
      </c>
      <c r="D444">
        <v>0</v>
      </c>
      <c r="E444" t="s">
        <v>42</v>
      </c>
      <c r="F444" t="s">
        <v>10</v>
      </c>
    </row>
    <row r="445" spans="1:6" hidden="1" x14ac:dyDescent="0.35">
      <c r="A445" t="s">
        <v>67</v>
      </c>
      <c r="B445" t="s">
        <v>53</v>
      </c>
      <c r="C445" t="s">
        <v>24</v>
      </c>
      <c r="D445">
        <v>0</v>
      </c>
      <c r="E445" t="s">
        <v>42</v>
      </c>
      <c r="F445" t="s">
        <v>10</v>
      </c>
    </row>
    <row r="446" spans="1:6" hidden="1" x14ac:dyDescent="0.35">
      <c r="A446" t="s">
        <v>57</v>
      </c>
      <c r="B446" t="s">
        <v>53</v>
      </c>
      <c r="C446" t="s">
        <v>47</v>
      </c>
      <c r="E446" t="s">
        <v>42</v>
      </c>
      <c r="F446" t="s">
        <v>10</v>
      </c>
    </row>
    <row r="447" spans="1:6" hidden="1" x14ac:dyDescent="0.35">
      <c r="A447" t="s">
        <v>11</v>
      </c>
      <c r="B447" t="s">
        <v>53</v>
      </c>
      <c r="C447" t="s">
        <v>47</v>
      </c>
      <c r="E447" t="s">
        <v>42</v>
      </c>
      <c r="F447" t="s">
        <v>10</v>
      </c>
    </row>
    <row r="448" spans="1:6" hidden="1" x14ac:dyDescent="0.35">
      <c r="A448" t="s">
        <v>58</v>
      </c>
      <c r="B448" t="s">
        <v>53</v>
      </c>
      <c r="C448" t="s">
        <v>47</v>
      </c>
      <c r="E448" t="s">
        <v>42</v>
      </c>
      <c r="F448" t="s">
        <v>10</v>
      </c>
    </row>
    <row r="449" spans="1:6" hidden="1" x14ac:dyDescent="0.35">
      <c r="A449" t="s">
        <v>59</v>
      </c>
      <c r="B449" t="s">
        <v>53</v>
      </c>
      <c r="C449" t="s">
        <v>47</v>
      </c>
      <c r="E449" t="s">
        <v>42</v>
      </c>
      <c r="F449" t="s">
        <v>10</v>
      </c>
    </row>
    <row r="450" spans="1:6" hidden="1" x14ac:dyDescent="0.35">
      <c r="A450" t="s">
        <v>60</v>
      </c>
      <c r="B450" t="s">
        <v>53</v>
      </c>
      <c r="C450" t="s">
        <v>47</v>
      </c>
      <c r="E450" t="s">
        <v>42</v>
      </c>
      <c r="F450" t="s">
        <v>10</v>
      </c>
    </row>
    <row r="451" spans="1:6" hidden="1" x14ac:dyDescent="0.35">
      <c r="A451" t="s">
        <v>61</v>
      </c>
      <c r="B451" t="s">
        <v>53</v>
      </c>
      <c r="C451" t="s">
        <v>47</v>
      </c>
      <c r="E451" t="s">
        <v>42</v>
      </c>
      <c r="F451" t="s">
        <v>10</v>
      </c>
    </row>
    <row r="452" spans="1:6" hidden="1" x14ac:dyDescent="0.35">
      <c r="A452" t="s">
        <v>62</v>
      </c>
      <c r="B452" t="s">
        <v>53</v>
      </c>
      <c r="C452" t="s">
        <v>47</v>
      </c>
      <c r="E452" t="s">
        <v>42</v>
      </c>
      <c r="F452" t="s">
        <v>10</v>
      </c>
    </row>
    <row r="453" spans="1:6" hidden="1" x14ac:dyDescent="0.35">
      <c r="A453" t="s">
        <v>63</v>
      </c>
      <c r="B453" t="s">
        <v>53</v>
      </c>
      <c r="C453" t="s">
        <v>47</v>
      </c>
      <c r="E453" t="s">
        <v>42</v>
      </c>
      <c r="F453" t="s">
        <v>10</v>
      </c>
    </row>
    <row r="454" spans="1:6" hidden="1" x14ac:dyDescent="0.35">
      <c r="A454" t="s">
        <v>64</v>
      </c>
      <c r="B454" t="s">
        <v>53</v>
      </c>
      <c r="C454" t="s">
        <v>47</v>
      </c>
      <c r="E454" t="s">
        <v>42</v>
      </c>
      <c r="F454" t="s">
        <v>10</v>
      </c>
    </row>
    <row r="455" spans="1:6" hidden="1" x14ac:dyDescent="0.35">
      <c r="A455" t="s">
        <v>65</v>
      </c>
      <c r="B455" t="s">
        <v>53</v>
      </c>
      <c r="C455" t="s">
        <v>47</v>
      </c>
      <c r="E455" t="s">
        <v>42</v>
      </c>
      <c r="F455" t="s">
        <v>10</v>
      </c>
    </row>
    <row r="456" spans="1:6" hidden="1" x14ac:dyDescent="0.35">
      <c r="A456" t="s">
        <v>66</v>
      </c>
      <c r="B456" t="s">
        <v>53</v>
      </c>
      <c r="C456" t="s">
        <v>47</v>
      </c>
      <c r="E456" t="s">
        <v>42</v>
      </c>
      <c r="F456" t="s">
        <v>10</v>
      </c>
    </row>
    <row r="457" spans="1:6" hidden="1" x14ac:dyDescent="0.35">
      <c r="A457" t="s">
        <v>67</v>
      </c>
      <c r="B457" t="s">
        <v>53</v>
      </c>
      <c r="C457" t="s">
        <v>47</v>
      </c>
      <c r="E457" t="s">
        <v>42</v>
      </c>
      <c r="F457" t="s">
        <v>10</v>
      </c>
    </row>
    <row r="458" spans="1:6" hidden="1" x14ac:dyDescent="0.35">
      <c r="A458" t="s">
        <v>57</v>
      </c>
      <c r="B458" t="s">
        <v>53</v>
      </c>
      <c r="C458" t="s">
        <v>48</v>
      </c>
      <c r="D458">
        <v>0</v>
      </c>
      <c r="E458" t="s">
        <v>42</v>
      </c>
      <c r="F458" t="s">
        <v>10</v>
      </c>
    </row>
    <row r="459" spans="1:6" hidden="1" x14ac:dyDescent="0.35">
      <c r="A459" t="s">
        <v>11</v>
      </c>
      <c r="B459" t="s">
        <v>53</v>
      </c>
      <c r="C459" t="s">
        <v>48</v>
      </c>
      <c r="D459">
        <v>0</v>
      </c>
      <c r="E459" t="s">
        <v>42</v>
      </c>
      <c r="F459" t="s">
        <v>10</v>
      </c>
    </row>
    <row r="460" spans="1:6" hidden="1" x14ac:dyDescent="0.35">
      <c r="A460" t="s">
        <v>58</v>
      </c>
      <c r="B460" t="s">
        <v>53</v>
      </c>
      <c r="C460" t="s">
        <v>48</v>
      </c>
      <c r="D460">
        <v>0</v>
      </c>
      <c r="E460" t="s">
        <v>42</v>
      </c>
      <c r="F460" t="s">
        <v>10</v>
      </c>
    </row>
    <row r="461" spans="1:6" hidden="1" x14ac:dyDescent="0.35">
      <c r="A461" t="s">
        <v>59</v>
      </c>
      <c r="B461" t="s">
        <v>53</v>
      </c>
      <c r="C461" t="s">
        <v>48</v>
      </c>
      <c r="D461">
        <v>0</v>
      </c>
      <c r="E461" t="s">
        <v>42</v>
      </c>
      <c r="F461" t="s">
        <v>10</v>
      </c>
    </row>
    <row r="462" spans="1:6" hidden="1" x14ac:dyDescent="0.35">
      <c r="A462" t="s">
        <v>60</v>
      </c>
      <c r="B462" t="s">
        <v>53</v>
      </c>
      <c r="C462" t="s">
        <v>48</v>
      </c>
      <c r="D462">
        <v>0</v>
      </c>
      <c r="E462" t="s">
        <v>42</v>
      </c>
      <c r="F462" t="s">
        <v>10</v>
      </c>
    </row>
    <row r="463" spans="1:6" hidden="1" x14ac:dyDescent="0.35">
      <c r="A463" t="s">
        <v>61</v>
      </c>
      <c r="B463" t="s">
        <v>53</v>
      </c>
      <c r="C463" t="s">
        <v>48</v>
      </c>
      <c r="D463">
        <v>0</v>
      </c>
      <c r="E463" t="s">
        <v>42</v>
      </c>
      <c r="F463" t="s">
        <v>10</v>
      </c>
    </row>
    <row r="464" spans="1:6" hidden="1" x14ac:dyDescent="0.35">
      <c r="A464" t="s">
        <v>62</v>
      </c>
      <c r="B464" t="s">
        <v>53</v>
      </c>
      <c r="C464" t="s">
        <v>48</v>
      </c>
      <c r="D464">
        <v>0</v>
      </c>
      <c r="E464" t="s">
        <v>42</v>
      </c>
      <c r="F464" t="s">
        <v>10</v>
      </c>
    </row>
    <row r="465" spans="1:6" hidden="1" x14ac:dyDescent="0.35">
      <c r="A465" t="s">
        <v>63</v>
      </c>
      <c r="B465" t="s">
        <v>53</v>
      </c>
      <c r="C465" t="s">
        <v>48</v>
      </c>
      <c r="D465">
        <v>0</v>
      </c>
      <c r="E465" t="s">
        <v>42</v>
      </c>
      <c r="F465" t="s">
        <v>10</v>
      </c>
    </row>
    <row r="466" spans="1:6" hidden="1" x14ac:dyDescent="0.35">
      <c r="A466" t="s">
        <v>64</v>
      </c>
      <c r="B466" t="s">
        <v>53</v>
      </c>
      <c r="C466" t="s">
        <v>48</v>
      </c>
      <c r="D466">
        <v>0</v>
      </c>
      <c r="E466" t="s">
        <v>42</v>
      </c>
      <c r="F466" t="s">
        <v>10</v>
      </c>
    </row>
    <row r="467" spans="1:6" hidden="1" x14ac:dyDescent="0.35">
      <c r="A467" t="s">
        <v>65</v>
      </c>
      <c r="B467" t="s">
        <v>53</v>
      </c>
      <c r="C467" t="s">
        <v>48</v>
      </c>
      <c r="D467">
        <v>0</v>
      </c>
      <c r="E467" t="s">
        <v>42</v>
      </c>
      <c r="F467" t="s">
        <v>10</v>
      </c>
    </row>
    <row r="468" spans="1:6" hidden="1" x14ac:dyDescent="0.35">
      <c r="A468" t="s">
        <v>66</v>
      </c>
      <c r="B468" t="s">
        <v>53</v>
      </c>
      <c r="C468" t="s">
        <v>48</v>
      </c>
      <c r="D468">
        <v>0</v>
      </c>
      <c r="E468" t="s">
        <v>42</v>
      </c>
      <c r="F468" t="s">
        <v>10</v>
      </c>
    </row>
    <row r="469" spans="1:6" hidden="1" x14ac:dyDescent="0.35">
      <c r="A469" t="s">
        <v>67</v>
      </c>
      <c r="B469" t="s">
        <v>53</v>
      </c>
      <c r="C469" t="s">
        <v>48</v>
      </c>
      <c r="D469">
        <v>0</v>
      </c>
      <c r="E469" t="s">
        <v>42</v>
      </c>
      <c r="F469" t="s">
        <v>10</v>
      </c>
    </row>
    <row r="470" spans="1:6" hidden="1" x14ac:dyDescent="0.35">
      <c r="A470" t="s">
        <v>57</v>
      </c>
      <c r="B470" t="s">
        <v>53</v>
      </c>
      <c r="C470" t="s">
        <v>49</v>
      </c>
      <c r="D470">
        <v>125</v>
      </c>
      <c r="E470" t="s">
        <v>42</v>
      </c>
      <c r="F470" t="s">
        <v>10</v>
      </c>
    </row>
    <row r="471" spans="1:6" hidden="1" x14ac:dyDescent="0.35">
      <c r="A471" t="s">
        <v>11</v>
      </c>
      <c r="B471" t="s">
        <v>53</v>
      </c>
      <c r="C471" t="s">
        <v>49</v>
      </c>
      <c r="E471" t="s">
        <v>42</v>
      </c>
      <c r="F471" t="s">
        <v>10</v>
      </c>
    </row>
    <row r="472" spans="1:6" hidden="1" x14ac:dyDescent="0.35">
      <c r="A472" t="s">
        <v>58</v>
      </c>
      <c r="B472" t="s">
        <v>53</v>
      </c>
      <c r="C472" t="s">
        <v>49</v>
      </c>
      <c r="D472">
        <v>5930.4483999999993</v>
      </c>
      <c r="E472" t="s">
        <v>42</v>
      </c>
      <c r="F472" t="s">
        <v>10</v>
      </c>
    </row>
    <row r="473" spans="1:6" hidden="1" x14ac:dyDescent="0.35">
      <c r="A473" t="s">
        <v>59</v>
      </c>
      <c r="B473" t="s">
        <v>53</v>
      </c>
      <c r="C473" t="s">
        <v>49</v>
      </c>
      <c r="D473">
        <v>2693.7096000000001</v>
      </c>
      <c r="E473" t="s">
        <v>42</v>
      </c>
      <c r="F473" t="s">
        <v>10</v>
      </c>
    </row>
    <row r="474" spans="1:6" hidden="1" x14ac:dyDescent="0.35">
      <c r="A474" t="s">
        <v>60</v>
      </c>
      <c r="B474" t="s">
        <v>53</v>
      </c>
      <c r="C474" t="s">
        <v>49</v>
      </c>
      <c r="D474">
        <v>14179.170400000001</v>
      </c>
      <c r="E474" t="s">
        <v>42</v>
      </c>
      <c r="F474" t="s">
        <v>10</v>
      </c>
    </row>
    <row r="475" spans="1:6" hidden="1" x14ac:dyDescent="0.35">
      <c r="A475" t="s">
        <v>61</v>
      </c>
      <c r="B475" t="s">
        <v>53</v>
      </c>
      <c r="C475" t="s">
        <v>49</v>
      </c>
      <c r="D475">
        <v>20023.577600000001</v>
      </c>
      <c r="E475" t="s">
        <v>42</v>
      </c>
      <c r="F475" t="s">
        <v>10</v>
      </c>
    </row>
    <row r="476" spans="1:6" hidden="1" x14ac:dyDescent="0.35">
      <c r="A476" t="s">
        <v>62</v>
      </c>
      <c r="B476" t="s">
        <v>53</v>
      </c>
      <c r="C476" t="s">
        <v>49</v>
      </c>
      <c r="D476">
        <v>12870.5216</v>
      </c>
      <c r="E476" t="s">
        <v>42</v>
      </c>
      <c r="F476" t="s">
        <v>10</v>
      </c>
    </row>
    <row r="477" spans="1:6" hidden="1" x14ac:dyDescent="0.35">
      <c r="A477" t="s">
        <v>63</v>
      </c>
      <c r="B477" t="s">
        <v>53</v>
      </c>
      <c r="C477" t="s">
        <v>49</v>
      </c>
      <c r="D477">
        <v>7504.9492</v>
      </c>
      <c r="E477" t="s">
        <v>42</v>
      </c>
      <c r="F477" t="s">
        <v>10</v>
      </c>
    </row>
    <row r="478" spans="1:6" hidden="1" x14ac:dyDescent="0.35">
      <c r="A478" t="s">
        <v>64</v>
      </c>
      <c r="B478" t="s">
        <v>53</v>
      </c>
      <c r="C478" t="s">
        <v>49</v>
      </c>
      <c r="D478">
        <v>3249.9412000000002</v>
      </c>
      <c r="E478" t="s">
        <v>42</v>
      </c>
      <c r="F478" t="s">
        <v>10</v>
      </c>
    </row>
    <row r="479" spans="1:6" hidden="1" x14ac:dyDescent="0.35">
      <c r="A479" t="s">
        <v>65</v>
      </c>
      <c r="B479" t="s">
        <v>53</v>
      </c>
      <c r="C479" t="s">
        <v>49</v>
      </c>
      <c r="D479">
        <v>16694.998800000001</v>
      </c>
      <c r="E479" t="s">
        <v>42</v>
      </c>
      <c r="F479" t="s">
        <v>10</v>
      </c>
    </row>
    <row r="480" spans="1:6" hidden="1" x14ac:dyDescent="0.35">
      <c r="A480" t="s">
        <v>66</v>
      </c>
      <c r="B480" t="s">
        <v>53</v>
      </c>
      <c r="C480" t="s">
        <v>49</v>
      </c>
      <c r="E480" t="s">
        <v>42</v>
      </c>
      <c r="F480" t="s">
        <v>10</v>
      </c>
    </row>
    <row r="481" spans="1:6" hidden="1" x14ac:dyDescent="0.35">
      <c r="A481" t="s">
        <v>67</v>
      </c>
      <c r="B481" t="s">
        <v>53</v>
      </c>
      <c r="C481" t="s">
        <v>49</v>
      </c>
      <c r="D481">
        <v>7523.2919999999986</v>
      </c>
      <c r="E481" t="s">
        <v>42</v>
      </c>
      <c r="F481" t="s">
        <v>10</v>
      </c>
    </row>
    <row r="482" spans="1:6" hidden="1" x14ac:dyDescent="0.35">
      <c r="A482" t="s">
        <v>57</v>
      </c>
      <c r="B482" t="s">
        <v>53</v>
      </c>
      <c r="C482" t="s">
        <v>50</v>
      </c>
      <c r="D482">
        <v>22129.362400000002</v>
      </c>
      <c r="E482" t="s">
        <v>42</v>
      </c>
      <c r="F482" t="s">
        <v>10</v>
      </c>
    </row>
    <row r="483" spans="1:6" hidden="1" x14ac:dyDescent="0.35">
      <c r="A483" t="s">
        <v>11</v>
      </c>
      <c r="B483" t="s">
        <v>53</v>
      </c>
      <c r="C483" t="s">
        <v>50</v>
      </c>
      <c r="E483" t="s">
        <v>42</v>
      </c>
      <c r="F483" t="s">
        <v>10</v>
      </c>
    </row>
    <row r="484" spans="1:6" hidden="1" x14ac:dyDescent="0.35">
      <c r="A484" t="s">
        <v>58</v>
      </c>
      <c r="B484" t="s">
        <v>53</v>
      </c>
      <c r="C484" t="s">
        <v>50</v>
      </c>
      <c r="D484">
        <v>159419.0624</v>
      </c>
      <c r="E484" t="s">
        <v>42</v>
      </c>
      <c r="F484" t="s">
        <v>10</v>
      </c>
    </row>
    <row r="485" spans="1:6" hidden="1" x14ac:dyDescent="0.35">
      <c r="A485" t="s">
        <v>59</v>
      </c>
      <c r="B485" t="s">
        <v>53</v>
      </c>
      <c r="C485" t="s">
        <v>50</v>
      </c>
      <c r="D485">
        <v>209660.81200000001</v>
      </c>
      <c r="E485" t="s">
        <v>42</v>
      </c>
      <c r="F485" t="s">
        <v>10</v>
      </c>
    </row>
    <row r="486" spans="1:6" hidden="1" x14ac:dyDescent="0.35">
      <c r="A486" t="s">
        <v>60</v>
      </c>
      <c r="B486" t="s">
        <v>53</v>
      </c>
      <c r="C486" t="s">
        <v>50</v>
      </c>
      <c r="D486">
        <v>113287.81359999999</v>
      </c>
      <c r="E486" t="s">
        <v>42</v>
      </c>
      <c r="F486" t="s">
        <v>10</v>
      </c>
    </row>
    <row r="487" spans="1:6" hidden="1" x14ac:dyDescent="0.35">
      <c r="A487" t="s">
        <v>61</v>
      </c>
      <c r="B487" t="s">
        <v>53</v>
      </c>
      <c r="C487" t="s">
        <v>50</v>
      </c>
      <c r="D487">
        <v>103182.61960000001</v>
      </c>
      <c r="E487" t="s">
        <v>42</v>
      </c>
      <c r="F487" t="s">
        <v>10</v>
      </c>
    </row>
    <row r="488" spans="1:6" hidden="1" x14ac:dyDescent="0.35">
      <c r="A488" t="s">
        <v>62</v>
      </c>
      <c r="B488" t="s">
        <v>53</v>
      </c>
      <c r="C488" t="s">
        <v>50</v>
      </c>
      <c r="D488">
        <v>226438.07399999999</v>
      </c>
      <c r="E488" t="s">
        <v>42</v>
      </c>
      <c r="F488" t="s">
        <v>10</v>
      </c>
    </row>
    <row r="489" spans="1:6" hidden="1" x14ac:dyDescent="0.35">
      <c r="A489" t="s">
        <v>63</v>
      </c>
      <c r="B489" t="s">
        <v>53</v>
      </c>
      <c r="C489" t="s">
        <v>50</v>
      </c>
      <c r="D489">
        <v>114835.1848</v>
      </c>
      <c r="E489" t="s">
        <v>42</v>
      </c>
      <c r="F489" t="s">
        <v>10</v>
      </c>
    </row>
    <row r="490" spans="1:6" hidden="1" x14ac:dyDescent="0.35">
      <c r="A490" t="s">
        <v>64</v>
      </c>
      <c r="B490" t="s">
        <v>53</v>
      </c>
      <c r="C490" t="s">
        <v>50</v>
      </c>
      <c r="D490">
        <v>302510.41239999997</v>
      </c>
      <c r="E490" t="s">
        <v>42</v>
      </c>
      <c r="F490" t="s">
        <v>10</v>
      </c>
    </row>
    <row r="491" spans="1:6" hidden="1" x14ac:dyDescent="0.35">
      <c r="A491" t="s">
        <v>65</v>
      </c>
      <c r="B491" t="s">
        <v>53</v>
      </c>
      <c r="C491" t="s">
        <v>50</v>
      </c>
      <c r="D491">
        <v>339831.41159999999</v>
      </c>
      <c r="E491" t="s">
        <v>42</v>
      </c>
      <c r="F491" t="s">
        <v>10</v>
      </c>
    </row>
    <row r="492" spans="1:6" hidden="1" x14ac:dyDescent="0.35">
      <c r="A492" t="s">
        <v>66</v>
      </c>
      <c r="B492" t="s">
        <v>53</v>
      </c>
      <c r="C492" t="s">
        <v>50</v>
      </c>
      <c r="E492" t="s">
        <v>42</v>
      </c>
      <c r="F492" t="s">
        <v>10</v>
      </c>
    </row>
    <row r="493" spans="1:6" hidden="1" x14ac:dyDescent="0.35">
      <c r="A493" t="s">
        <v>67</v>
      </c>
      <c r="B493" t="s">
        <v>53</v>
      </c>
      <c r="C493" t="s">
        <v>50</v>
      </c>
      <c r="D493">
        <v>68264.48000000001</v>
      </c>
      <c r="E493" t="s">
        <v>42</v>
      </c>
      <c r="F493" t="s">
        <v>10</v>
      </c>
    </row>
    <row r="494" spans="1:6" hidden="1" x14ac:dyDescent="0.35">
      <c r="A494" t="s">
        <v>57</v>
      </c>
      <c r="B494" t="s">
        <v>53</v>
      </c>
      <c r="C494" t="s">
        <v>51</v>
      </c>
      <c r="D494">
        <v>5</v>
      </c>
      <c r="E494" t="s">
        <v>42</v>
      </c>
      <c r="F494" t="s">
        <v>10</v>
      </c>
    </row>
    <row r="495" spans="1:6" hidden="1" x14ac:dyDescent="0.35">
      <c r="A495" t="s">
        <v>11</v>
      </c>
      <c r="B495" t="s">
        <v>53</v>
      </c>
      <c r="C495" t="s">
        <v>51</v>
      </c>
      <c r="D495">
        <v>2</v>
      </c>
      <c r="E495" t="s">
        <v>42</v>
      </c>
      <c r="F495" t="s">
        <v>10</v>
      </c>
    </row>
    <row r="496" spans="1:6" hidden="1" x14ac:dyDescent="0.35">
      <c r="A496" t="s">
        <v>58</v>
      </c>
      <c r="B496" t="s">
        <v>53</v>
      </c>
      <c r="C496" t="s">
        <v>51</v>
      </c>
      <c r="D496">
        <v>3</v>
      </c>
      <c r="E496" t="s">
        <v>42</v>
      </c>
      <c r="F496" t="s">
        <v>10</v>
      </c>
    </row>
    <row r="497" spans="1:6" hidden="1" x14ac:dyDescent="0.35">
      <c r="A497" t="s">
        <v>59</v>
      </c>
      <c r="B497" t="s">
        <v>53</v>
      </c>
      <c r="C497" t="s">
        <v>51</v>
      </c>
      <c r="D497">
        <v>4</v>
      </c>
      <c r="E497" t="s">
        <v>42</v>
      </c>
      <c r="F497" t="s">
        <v>10</v>
      </c>
    </row>
    <row r="498" spans="1:6" hidden="1" x14ac:dyDescent="0.35">
      <c r="A498" t="s">
        <v>60</v>
      </c>
      <c r="B498" t="s">
        <v>53</v>
      </c>
      <c r="C498" t="s">
        <v>51</v>
      </c>
      <c r="D498">
        <v>1</v>
      </c>
      <c r="E498" t="s">
        <v>42</v>
      </c>
      <c r="F498" t="s">
        <v>10</v>
      </c>
    </row>
    <row r="499" spans="1:6" hidden="1" x14ac:dyDescent="0.35">
      <c r="A499" t="s">
        <v>61</v>
      </c>
      <c r="B499" t="s">
        <v>53</v>
      </c>
      <c r="C499" t="s">
        <v>51</v>
      </c>
      <c r="D499">
        <v>3</v>
      </c>
      <c r="E499" t="s">
        <v>42</v>
      </c>
      <c r="F499" t="s">
        <v>10</v>
      </c>
    </row>
    <row r="500" spans="1:6" hidden="1" x14ac:dyDescent="0.35">
      <c r="A500" t="s">
        <v>62</v>
      </c>
      <c r="B500" t="s">
        <v>53</v>
      </c>
      <c r="C500" t="s">
        <v>51</v>
      </c>
      <c r="D500">
        <v>4</v>
      </c>
      <c r="E500" t="s">
        <v>42</v>
      </c>
      <c r="F500" t="s">
        <v>10</v>
      </c>
    </row>
    <row r="501" spans="1:6" hidden="1" x14ac:dyDescent="0.35">
      <c r="A501" t="s">
        <v>63</v>
      </c>
      <c r="B501" t="s">
        <v>53</v>
      </c>
      <c r="C501" t="s">
        <v>51</v>
      </c>
      <c r="E501" t="s">
        <v>42</v>
      </c>
      <c r="F501" t="s">
        <v>10</v>
      </c>
    </row>
    <row r="502" spans="1:6" hidden="1" x14ac:dyDescent="0.35">
      <c r="A502" t="s">
        <v>64</v>
      </c>
      <c r="B502" t="s">
        <v>53</v>
      </c>
      <c r="C502" t="s">
        <v>51</v>
      </c>
      <c r="E502" t="s">
        <v>42</v>
      </c>
      <c r="F502" t="s">
        <v>10</v>
      </c>
    </row>
    <row r="503" spans="1:6" hidden="1" x14ac:dyDescent="0.35">
      <c r="A503" t="s">
        <v>65</v>
      </c>
      <c r="B503" t="s">
        <v>53</v>
      </c>
      <c r="C503" t="s">
        <v>51</v>
      </c>
      <c r="E503" t="s">
        <v>42</v>
      </c>
      <c r="F503" t="s">
        <v>10</v>
      </c>
    </row>
    <row r="504" spans="1:6" hidden="1" x14ac:dyDescent="0.35">
      <c r="A504" t="s">
        <v>66</v>
      </c>
      <c r="B504" t="s">
        <v>53</v>
      </c>
      <c r="C504" t="s">
        <v>51</v>
      </c>
      <c r="E504" t="s">
        <v>42</v>
      </c>
      <c r="F504" t="s">
        <v>10</v>
      </c>
    </row>
    <row r="505" spans="1:6" hidden="1" x14ac:dyDescent="0.35">
      <c r="A505" t="s">
        <v>67</v>
      </c>
      <c r="B505" t="s">
        <v>53</v>
      </c>
      <c r="C505" t="s">
        <v>51</v>
      </c>
      <c r="E505" t="s">
        <v>42</v>
      </c>
      <c r="F505" t="s">
        <v>10</v>
      </c>
    </row>
    <row r="506" spans="1:6" hidden="1" x14ac:dyDescent="0.35">
      <c r="A506" t="s">
        <v>57</v>
      </c>
      <c r="B506" t="s">
        <v>53</v>
      </c>
      <c r="C506" t="s">
        <v>30</v>
      </c>
      <c r="E506" t="s">
        <v>42</v>
      </c>
      <c r="F506" t="s">
        <v>10</v>
      </c>
    </row>
    <row r="507" spans="1:6" hidden="1" x14ac:dyDescent="0.35">
      <c r="A507" t="s">
        <v>11</v>
      </c>
      <c r="B507" t="s">
        <v>53</v>
      </c>
      <c r="C507" t="s">
        <v>30</v>
      </c>
      <c r="D507">
        <v>1</v>
      </c>
      <c r="E507" t="s">
        <v>42</v>
      </c>
      <c r="F507" t="s">
        <v>10</v>
      </c>
    </row>
    <row r="508" spans="1:6" hidden="1" x14ac:dyDescent="0.35">
      <c r="A508" t="s">
        <v>58</v>
      </c>
      <c r="B508" t="s">
        <v>53</v>
      </c>
      <c r="C508" t="s">
        <v>30</v>
      </c>
      <c r="E508" t="s">
        <v>42</v>
      </c>
      <c r="F508" t="s">
        <v>10</v>
      </c>
    </row>
    <row r="509" spans="1:6" hidden="1" x14ac:dyDescent="0.35">
      <c r="A509" t="s">
        <v>59</v>
      </c>
      <c r="B509" t="s">
        <v>53</v>
      </c>
      <c r="C509" t="s">
        <v>30</v>
      </c>
      <c r="D509">
        <v>5</v>
      </c>
      <c r="E509" t="s">
        <v>42</v>
      </c>
      <c r="F509" t="s">
        <v>10</v>
      </c>
    </row>
    <row r="510" spans="1:6" hidden="1" x14ac:dyDescent="0.35">
      <c r="A510" t="s">
        <v>60</v>
      </c>
      <c r="B510" t="s">
        <v>53</v>
      </c>
      <c r="C510" t="s">
        <v>30</v>
      </c>
      <c r="D510">
        <v>2</v>
      </c>
      <c r="E510" t="s">
        <v>42</v>
      </c>
      <c r="F510" t="s">
        <v>10</v>
      </c>
    </row>
    <row r="511" spans="1:6" hidden="1" x14ac:dyDescent="0.35">
      <c r="A511" t="s">
        <v>61</v>
      </c>
      <c r="B511" t="s">
        <v>53</v>
      </c>
      <c r="C511" t="s">
        <v>30</v>
      </c>
      <c r="D511">
        <v>2</v>
      </c>
      <c r="E511" t="s">
        <v>42</v>
      </c>
      <c r="F511" t="s">
        <v>10</v>
      </c>
    </row>
    <row r="512" spans="1:6" hidden="1" x14ac:dyDescent="0.35">
      <c r="A512" t="s">
        <v>62</v>
      </c>
      <c r="B512" t="s">
        <v>53</v>
      </c>
      <c r="C512" t="s">
        <v>30</v>
      </c>
      <c r="D512">
        <v>2</v>
      </c>
      <c r="E512" t="s">
        <v>42</v>
      </c>
      <c r="F512" t="s">
        <v>10</v>
      </c>
    </row>
    <row r="513" spans="1:6" hidden="1" x14ac:dyDescent="0.35">
      <c r="A513" t="s">
        <v>63</v>
      </c>
      <c r="B513" t="s">
        <v>53</v>
      </c>
      <c r="C513" t="s">
        <v>30</v>
      </c>
      <c r="E513" t="s">
        <v>42</v>
      </c>
      <c r="F513" t="s">
        <v>10</v>
      </c>
    </row>
    <row r="514" spans="1:6" hidden="1" x14ac:dyDescent="0.35">
      <c r="A514" t="s">
        <v>64</v>
      </c>
      <c r="B514" t="s">
        <v>53</v>
      </c>
      <c r="C514" t="s">
        <v>30</v>
      </c>
      <c r="D514">
        <v>6</v>
      </c>
      <c r="E514" t="s">
        <v>42</v>
      </c>
      <c r="F514" t="s">
        <v>10</v>
      </c>
    </row>
    <row r="515" spans="1:6" hidden="1" x14ac:dyDescent="0.35">
      <c r="A515" t="s">
        <v>65</v>
      </c>
      <c r="B515" t="s">
        <v>53</v>
      </c>
      <c r="C515" t="s">
        <v>30</v>
      </c>
      <c r="D515">
        <v>2</v>
      </c>
      <c r="E515" t="s">
        <v>42</v>
      </c>
      <c r="F515" t="s">
        <v>10</v>
      </c>
    </row>
    <row r="516" spans="1:6" hidden="1" x14ac:dyDescent="0.35">
      <c r="A516" t="s">
        <v>66</v>
      </c>
      <c r="B516" t="s">
        <v>53</v>
      </c>
      <c r="C516" t="s">
        <v>30</v>
      </c>
      <c r="E516" t="s">
        <v>42</v>
      </c>
      <c r="F516" t="s">
        <v>10</v>
      </c>
    </row>
    <row r="517" spans="1:6" hidden="1" x14ac:dyDescent="0.35">
      <c r="A517" t="s">
        <v>67</v>
      </c>
      <c r="B517" t="s">
        <v>53</v>
      </c>
      <c r="C517" t="s">
        <v>30</v>
      </c>
      <c r="D517">
        <v>2</v>
      </c>
      <c r="E517" t="s">
        <v>42</v>
      </c>
      <c r="F517" t="s">
        <v>10</v>
      </c>
    </row>
    <row r="518" spans="1:6" hidden="1" x14ac:dyDescent="0.35">
      <c r="A518" t="s">
        <v>57</v>
      </c>
      <c r="B518" t="s">
        <v>53</v>
      </c>
      <c r="C518" t="s">
        <v>52</v>
      </c>
      <c r="D518">
        <v>5</v>
      </c>
      <c r="E518" t="s">
        <v>42</v>
      </c>
      <c r="F518" t="s">
        <v>10</v>
      </c>
    </row>
    <row r="519" spans="1:6" hidden="1" x14ac:dyDescent="0.35">
      <c r="A519" t="s">
        <v>11</v>
      </c>
      <c r="B519" t="s">
        <v>53</v>
      </c>
      <c r="C519" t="s">
        <v>52</v>
      </c>
      <c r="E519" t="s">
        <v>42</v>
      </c>
      <c r="F519" t="s">
        <v>10</v>
      </c>
    </row>
    <row r="520" spans="1:6" hidden="1" x14ac:dyDescent="0.35">
      <c r="A520" t="s">
        <v>58</v>
      </c>
      <c r="B520" t="s">
        <v>53</v>
      </c>
      <c r="C520" t="s">
        <v>52</v>
      </c>
      <c r="D520">
        <v>2</v>
      </c>
      <c r="E520" t="s">
        <v>42</v>
      </c>
      <c r="F520" t="s">
        <v>10</v>
      </c>
    </row>
    <row r="521" spans="1:6" hidden="1" x14ac:dyDescent="0.35">
      <c r="A521" t="s">
        <v>59</v>
      </c>
      <c r="B521" t="s">
        <v>53</v>
      </c>
      <c r="C521" t="s">
        <v>52</v>
      </c>
      <c r="D521">
        <v>2</v>
      </c>
      <c r="E521" t="s">
        <v>42</v>
      </c>
      <c r="F521" t="s">
        <v>10</v>
      </c>
    </row>
    <row r="522" spans="1:6" hidden="1" x14ac:dyDescent="0.35">
      <c r="A522" t="s">
        <v>60</v>
      </c>
      <c r="B522" t="s">
        <v>53</v>
      </c>
      <c r="C522" t="s">
        <v>52</v>
      </c>
      <c r="D522">
        <v>1</v>
      </c>
      <c r="E522" t="s">
        <v>42</v>
      </c>
      <c r="F522" t="s">
        <v>10</v>
      </c>
    </row>
    <row r="523" spans="1:6" hidden="1" x14ac:dyDescent="0.35">
      <c r="A523" t="s">
        <v>61</v>
      </c>
      <c r="B523" t="s">
        <v>53</v>
      </c>
      <c r="C523" t="s">
        <v>52</v>
      </c>
      <c r="D523">
        <v>3</v>
      </c>
      <c r="E523" t="s">
        <v>42</v>
      </c>
      <c r="F523" t="s">
        <v>10</v>
      </c>
    </row>
    <row r="524" spans="1:6" hidden="1" x14ac:dyDescent="0.35">
      <c r="A524" t="s">
        <v>62</v>
      </c>
      <c r="B524" t="s">
        <v>53</v>
      </c>
      <c r="C524" t="s">
        <v>52</v>
      </c>
      <c r="D524">
        <v>2</v>
      </c>
      <c r="E524" t="s">
        <v>42</v>
      </c>
      <c r="F524" t="s">
        <v>10</v>
      </c>
    </row>
    <row r="525" spans="1:6" hidden="1" x14ac:dyDescent="0.35">
      <c r="A525" t="s">
        <v>63</v>
      </c>
      <c r="B525" t="s">
        <v>53</v>
      </c>
      <c r="C525" t="s">
        <v>52</v>
      </c>
      <c r="E525" t="s">
        <v>42</v>
      </c>
      <c r="F525" t="s">
        <v>10</v>
      </c>
    </row>
    <row r="526" spans="1:6" hidden="1" x14ac:dyDescent="0.35">
      <c r="A526" t="s">
        <v>64</v>
      </c>
      <c r="B526" t="s">
        <v>53</v>
      </c>
      <c r="C526" t="s">
        <v>52</v>
      </c>
      <c r="E526" t="s">
        <v>42</v>
      </c>
      <c r="F526" t="s">
        <v>10</v>
      </c>
    </row>
    <row r="527" spans="1:6" hidden="1" x14ac:dyDescent="0.35">
      <c r="A527" t="s">
        <v>65</v>
      </c>
      <c r="B527" t="s">
        <v>53</v>
      </c>
      <c r="C527" t="s">
        <v>52</v>
      </c>
      <c r="E527" t="s">
        <v>42</v>
      </c>
      <c r="F527" t="s">
        <v>10</v>
      </c>
    </row>
    <row r="528" spans="1:6" hidden="1" x14ac:dyDescent="0.35">
      <c r="A528" t="s">
        <v>66</v>
      </c>
      <c r="B528" t="s">
        <v>53</v>
      </c>
      <c r="C528" t="s">
        <v>52</v>
      </c>
      <c r="E528" t="s">
        <v>42</v>
      </c>
      <c r="F528" t="s">
        <v>10</v>
      </c>
    </row>
    <row r="529" spans="1:6" hidden="1" x14ac:dyDescent="0.35">
      <c r="A529" t="s">
        <v>67</v>
      </c>
      <c r="B529" t="s">
        <v>53</v>
      </c>
      <c r="C529" t="s">
        <v>52</v>
      </c>
      <c r="E529" t="s">
        <v>42</v>
      </c>
      <c r="F529" t="s">
        <v>10</v>
      </c>
    </row>
    <row r="530" spans="1:6" hidden="1" x14ac:dyDescent="0.35">
      <c r="A530" t="s">
        <v>57</v>
      </c>
      <c r="B530" t="s">
        <v>68</v>
      </c>
      <c r="C530" t="s">
        <v>44</v>
      </c>
      <c r="D530">
        <v>126788.1542482385</v>
      </c>
      <c r="E530" t="s">
        <v>42</v>
      </c>
      <c r="F530" t="s">
        <v>10</v>
      </c>
    </row>
    <row r="531" spans="1:6" hidden="1" x14ac:dyDescent="0.35">
      <c r="A531" t="s">
        <v>11</v>
      </c>
      <c r="B531" t="s">
        <v>68</v>
      </c>
      <c r="C531" t="s">
        <v>44</v>
      </c>
      <c r="D531">
        <v>40541.2048</v>
      </c>
      <c r="E531" t="s">
        <v>42</v>
      </c>
      <c r="F531" t="s">
        <v>10</v>
      </c>
    </row>
    <row r="532" spans="1:6" hidden="1" x14ac:dyDescent="0.35">
      <c r="A532" t="s">
        <v>58</v>
      </c>
      <c r="B532" t="s">
        <v>68</v>
      </c>
      <c r="C532" t="s">
        <v>44</v>
      </c>
      <c r="D532">
        <v>32617.735806504061</v>
      </c>
      <c r="E532" t="s">
        <v>42</v>
      </c>
      <c r="F532" t="s">
        <v>10</v>
      </c>
    </row>
    <row r="533" spans="1:6" hidden="1" x14ac:dyDescent="0.35">
      <c r="A533" t="s">
        <v>59</v>
      </c>
      <c r="B533" t="s">
        <v>68</v>
      </c>
      <c r="C533" t="s">
        <v>44</v>
      </c>
      <c r="D533">
        <v>69359.67033008131</v>
      </c>
      <c r="E533" t="s">
        <v>42</v>
      </c>
      <c r="F533" t="s">
        <v>10</v>
      </c>
    </row>
    <row r="534" spans="1:6" hidden="1" x14ac:dyDescent="0.35">
      <c r="A534" t="s">
        <v>60</v>
      </c>
      <c r="B534" t="s">
        <v>68</v>
      </c>
      <c r="C534" t="s">
        <v>44</v>
      </c>
      <c r="D534">
        <v>13581.373774525749</v>
      </c>
      <c r="E534" t="s">
        <v>42</v>
      </c>
      <c r="F534" t="s">
        <v>10</v>
      </c>
    </row>
    <row r="535" spans="1:6" hidden="1" x14ac:dyDescent="0.35">
      <c r="A535" t="s">
        <v>61</v>
      </c>
      <c r="B535" t="s">
        <v>68</v>
      </c>
      <c r="C535" t="s">
        <v>44</v>
      </c>
      <c r="D535">
        <v>0</v>
      </c>
      <c r="E535" t="s">
        <v>42</v>
      </c>
      <c r="F535" t="s">
        <v>10</v>
      </c>
    </row>
    <row r="536" spans="1:6" hidden="1" x14ac:dyDescent="0.35">
      <c r="A536" t="s">
        <v>62</v>
      </c>
      <c r="B536" t="s">
        <v>68</v>
      </c>
      <c r="C536" t="s">
        <v>44</v>
      </c>
      <c r="D536">
        <v>67442.616401084</v>
      </c>
      <c r="E536" t="s">
        <v>42</v>
      </c>
      <c r="F536" t="s">
        <v>10</v>
      </c>
    </row>
    <row r="537" spans="1:6" hidden="1" x14ac:dyDescent="0.35">
      <c r="A537" t="s">
        <v>63</v>
      </c>
      <c r="B537" t="s">
        <v>68</v>
      </c>
      <c r="C537" t="s">
        <v>44</v>
      </c>
      <c r="D537">
        <v>2454.365016260163</v>
      </c>
      <c r="E537" t="s">
        <v>42</v>
      </c>
      <c r="F537" t="s">
        <v>10</v>
      </c>
    </row>
    <row r="538" spans="1:6" hidden="1" x14ac:dyDescent="0.35">
      <c r="A538" t="s">
        <v>64</v>
      </c>
      <c r="B538" t="s">
        <v>68</v>
      </c>
      <c r="C538" t="s">
        <v>44</v>
      </c>
      <c r="D538">
        <v>0</v>
      </c>
      <c r="E538" t="s">
        <v>42</v>
      </c>
      <c r="F538" t="s">
        <v>10</v>
      </c>
    </row>
    <row r="539" spans="1:6" hidden="1" x14ac:dyDescent="0.35">
      <c r="A539" t="s">
        <v>65</v>
      </c>
      <c r="B539" t="s">
        <v>68</v>
      </c>
      <c r="C539" t="s">
        <v>44</v>
      </c>
      <c r="D539">
        <v>13022.22087696477</v>
      </c>
      <c r="E539" t="s">
        <v>42</v>
      </c>
      <c r="F539" t="s">
        <v>10</v>
      </c>
    </row>
    <row r="540" spans="1:6" hidden="1" x14ac:dyDescent="0.35">
      <c r="A540" t="s">
        <v>66</v>
      </c>
      <c r="B540" t="s">
        <v>68</v>
      </c>
      <c r="C540" t="s">
        <v>44</v>
      </c>
      <c r="D540">
        <v>44667.733532520317</v>
      </c>
      <c r="E540" t="s">
        <v>42</v>
      </c>
      <c r="F540" t="s">
        <v>10</v>
      </c>
    </row>
    <row r="541" spans="1:6" hidden="1" x14ac:dyDescent="0.35">
      <c r="A541" t="s">
        <v>67</v>
      </c>
      <c r="B541" t="s">
        <v>68</v>
      </c>
      <c r="C541" t="s">
        <v>44</v>
      </c>
      <c r="D541">
        <v>0</v>
      </c>
      <c r="E541" t="s">
        <v>42</v>
      </c>
      <c r="F541" t="s">
        <v>10</v>
      </c>
    </row>
    <row r="542" spans="1:6" hidden="1" x14ac:dyDescent="0.35">
      <c r="A542" t="s">
        <v>57</v>
      </c>
      <c r="B542" t="s">
        <v>68</v>
      </c>
      <c r="C542" t="s">
        <v>22</v>
      </c>
      <c r="D542">
        <v>0</v>
      </c>
      <c r="E542" t="s">
        <v>42</v>
      </c>
      <c r="F542" t="s">
        <v>10</v>
      </c>
    </row>
    <row r="543" spans="1:6" hidden="1" x14ac:dyDescent="0.35">
      <c r="A543" t="s">
        <v>11</v>
      </c>
      <c r="B543" t="s">
        <v>68</v>
      </c>
      <c r="C543" t="s">
        <v>22</v>
      </c>
      <c r="D543">
        <v>0</v>
      </c>
      <c r="E543" t="s">
        <v>42</v>
      </c>
      <c r="F543" t="s">
        <v>10</v>
      </c>
    </row>
    <row r="544" spans="1:6" hidden="1" x14ac:dyDescent="0.35">
      <c r="A544" t="s">
        <v>58</v>
      </c>
      <c r="B544" t="s">
        <v>68</v>
      </c>
      <c r="C544" t="s">
        <v>22</v>
      </c>
      <c r="D544">
        <v>0</v>
      </c>
      <c r="E544" t="s">
        <v>42</v>
      </c>
      <c r="F544" t="s">
        <v>10</v>
      </c>
    </row>
    <row r="545" spans="1:6" hidden="1" x14ac:dyDescent="0.35">
      <c r="A545" t="s">
        <v>59</v>
      </c>
      <c r="B545" t="s">
        <v>68</v>
      </c>
      <c r="C545" t="s">
        <v>22</v>
      </c>
      <c r="D545">
        <v>0</v>
      </c>
      <c r="E545" t="s">
        <v>42</v>
      </c>
      <c r="F545" t="s">
        <v>10</v>
      </c>
    </row>
    <row r="546" spans="1:6" hidden="1" x14ac:dyDescent="0.35">
      <c r="A546" t="s">
        <v>60</v>
      </c>
      <c r="B546" t="s">
        <v>68</v>
      </c>
      <c r="C546" t="s">
        <v>22</v>
      </c>
      <c r="D546">
        <v>0</v>
      </c>
      <c r="E546" t="s">
        <v>42</v>
      </c>
      <c r="F546" t="s">
        <v>10</v>
      </c>
    </row>
    <row r="547" spans="1:6" hidden="1" x14ac:dyDescent="0.35">
      <c r="A547" t="s">
        <v>61</v>
      </c>
      <c r="B547" t="s">
        <v>68</v>
      </c>
      <c r="C547" t="s">
        <v>22</v>
      </c>
      <c r="D547">
        <v>0</v>
      </c>
      <c r="E547" t="s">
        <v>42</v>
      </c>
      <c r="F547" t="s">
        <v>10</v>
      </c>
    </row>
    <row r="548" spans="1:6" hidden="1" x14ac:dyDescent="0.35">
      <c r="A548" t="s">
        <v>62</v>
      </c>
      <c r="B548" t="s">
        <v>68</v>
      </c>
      <c r="C548" t="s">
        <v>22</v>
      </c>
      <c r="D548">
        <v>0</v>
      </c>
      <c r="E548" t="s">
        <v>42</v>
      </c>
      <c r="F548" t="s">
        <v>10</v>
      </c>
    </row>
    <row r="549" spans="1:6" hidden="1" x14ac:dyDescent="0.35">
      <c r="A549" t="s">
        <v>63</v>
      </c>
      <c r="B549" t="s">
        <v>68</v>
      </c>
      <c r="C549" t="s">
        <v>22</v>
      </c>
      <c r="D549">
        <v>0</v>
      </c>
      <c r="E549" t="s">
        <v>42</v>
      </c>
      <c r="F549" t="s">
        <v>10</v>
      </c>
    </row>
    <row r="550" spans="1:6" hidden="1" x14ac:dyDescent="0.35">
      <c r="A550" t="s">
        <v>64</v>
      </c>
      <c r="B550" t="s">
        <v>68</v>
      </c>
      <c r="C550" t="s">
        <v>22</v>
      </c>
      <c r="D550">
        <v>0</v>
      </c>
      <c r="E550" t="s">
        <v>42</v>
      </c>
      <c r="F550" t="s">
        <v>10</v>
      </c>
    </row>
    <row r="551" spans="1:6" hidden="1" x14ac:dyDescent="0.35">
      <c r="A551" t="s">
        <v>65</v>
      </c>
      <c r="B551" t="s">
        <v>68</v>
      </c>
      <c r="C551" t="s">
        <v>22</v>
      </c>
      <c r="D551">
        <v>0</v>
      </c>
      <c r="E551" t="s">
        <v>42</v>
      </c>
      <c r="F551" t="s">
        <v>10</v>
      </c>
    </row>
    <row r="552" spans="1:6" hidden="1" x14ac:dyDescent="0.35">
      <c r="A552" t="s">
        <v>66</v>
      </c>
      <c r="B552" t="s">
        <v>68</v>
      </c>
      <c r="C552" t="s">
        <v>22</v>
      </c>
      <c r="D552">
        <v>0</v>
      </c>
      <c r="E552" t="s">
        <v>42</v>
      </c>
      <c r="F552" t="s">
        <v>10</v>
      </c>
    </row>
    <row r="553" spans="1:6" hidden="1" x14ac:dyDescent="0.35">
      <c r="A553" t="s">
        <v>67</v>
      </c>
      <c r="B553" t="s">
        <v>68</v>
      </c>
      <c r="C553" t="s">
        <v>22</v>
      </c>
      <c r="D553">
        <v>0</v>
      </c>
      <c r="E553" t="s">
        <v>42</v>
      </c>
      <c r="F553" t="s">
        <v>10</v>
      </c>
    </row>
    <row r="554" spans="1:6" hidden="1" x14ac:dyDescent="0.35">
      <c r="A554" t="s">
        <v>57</v>
      </c>
      <c r="B554" t="s">
        <v>68</v>
      </c>
      <c r="C554" t="s">
        <v>46</v>
      </c>
      <c r="D554">
        <v>56679.763903523017</v>
      </c>
      <c r="E554" t="s">
        <v>42</v>
      </c>
      <c r="F554" t="s">
        <v>10</v>
      </c>
    </row>
    <row r="555" spans="1:6" hidden="1" x14ac:dyDescent="0.35">
      <c r="A555" t="s">
        <v>11</v>
      </c>
      <c r="B555" t="s">
        <v>68</v>
      </c>
      <c r="C555" t="s">
        <v>46</v>
      </c>
      <c r="D555">
        <v>191626.72320000001</v>
      </c>
      <c r="E555" t="s">
        <v>42</v>
      </c>
      <c r="F555" t="s">
        <v>10</v>
      </c>
    </row>
    <row r="556" spans="1:6" hidden="1" x14ac:dyDescent="0.35">
      <c r="A556" t="s">
        <v>58</v>
      </c>
      <c r="B556" t="s">
        <v>68</v>
      </c>
      <c r="C556" t="s">
        <v>46</v>
      </c>
      <c r="D556">
        <v>80753.646786991885</v>
      </c>
      <c r="E556" t="s">
        <v>42</v>
      </c>
      <c r="F556" t="s">
        <v>10</v>
      </c>
    </row>
    <row r="557" spans="1:6" hidden="1" x14ac:dyDescent="0.35">
      <c r="A557" t="s">
        <v>59</v>
      </c>
      <c r="B557" t="s">
        <v>68</v>
      </c>
      <c r="C557" t="s">
        <v>46</v>
      </c>
      <c r="D557">
        <v>38716.983739837407</v>
      </c>
      <c r="E557" t="s">
        <v>42</v>
      </c>
      <c r="F557" t="s">
        <v>10</v>
      </c>
    </row>
    <row r="558" spans="1:6" hidden="1" x14ac:dyDescent="0.35">
      <c r="A558" t="s">
        <v>60</v>
      </c>
      <c r="B558" t="s">
        <v>68</v>
      </c>
      <c r="C558" t="s">
        <v>46</v>
      </c>
      <c r="D558">
        <v>101024.9308509485</v>
      </c>
      <c r="E558" t="s">
        <v>42</v>
      </c>
      <c r="F558" t="s">
        <v>10</v>
      </c>
    </row>
    <row r="559" spans="1:6" hidden="1" x14ac:dyDescent="0.35">
      <c r="A559" t="s">
        <v>61</v>
      </c>
      <c r="B559" t="s">
        <v>68</v>
      </c>
      <c r="C559" t="s">
        <v>46</v>
      </c>
      <c r="D559">
        <v>0</v>
      </c>
      <c r="E559" t="s">
        <v>42</v>
      </c>
      <c r="F559" t="s">
        <v>10</v>
      </c>
    </row>
    <row r="560" spans="1:6" hidden="1" x14ac:dyDescent="0.35">
      <c r="A560" t="s">
        <v>62</v>
      </c>
      <c r="B560" t="s">
        <v>68</v>
      </c>
      <c r="C560" t="s">
        <v>46</v>
      </c>
      <c r="D560">
        <v>27589.214397831969</v>
      </c>
      <c r="E560" t="s">
        <v>42</v>
      </c>
      <c r="F560" t="s">
        <v>10</v>
      </c>
    </row>
    <row r="561" spans="1:6" hidden="1" x14ac:dyDescent="0.35">
      <c r="A561" t="s">
        <v>63</v>
      </c>
      <c r="B561" t="s">
        <v>68</v>
      </c>
      <c r="C561" t="s">
        <v>46</v>
      </c>
      <c r="D561">
        <v>44755.997967479678</v>
      </c>
      <c r="E561" t="s">
        <v>42</v>
      </c>
      <c r="F561" t="s">
        <v>10</v>
      </c>
    </row>
    <row r="562" spans="1:6" hidden="1" x14ac:dyDescent="0.35">
      <c r="A562" t="s">
        <v>64</v>
      </c>
      <c r="B562" t="s">
        <v>68</v>
      </c>
      <c r="C562" t="s">
        <v>46</v>
      </c>
      <c r="D562">
        <v>7760.2300000000014</v>
      </c>
      <c r="E562" t="s">
        <v>42</v>
      </c>
      <c r="F562" t="s">
        <v>10</v>
      </c>
    </row>
    <row r="563" spans="1:6" hidden="1" x14ac:dyDescent="0.35">
      <c r="A563" t="s">
        <v>65</v>
      </c>
      <c r="B563" t="s">
        <v>68</v>
      </c>
      <c r="C563" t="s">
        <v>46</v>
      </c>
      <c r="D563">
        <v>170950.29104607049</v>
      </c>
      <c r="E563" t="s">
        <v>42</v>
      </c>
      <c r="F563" t="s">
        <v>10</v>
      </c>
    </row>
    <row r="564" spans="1:6" hidden="1" x14ac:dyDescent="0.35">
      <c r="A564" t="s">
        <v>66</v>
      </c>
      <c r="B564" t="s">
        <v>68</v>
      </c>
      <c r="C564" t="s">
        <v>46</v>
      </c>
      <c r="D564">
        <v>111656.87693495931</v>
      </c>
      <c r="E564" t="s">
        <v>42</v>
      </c>
      <c r="F564" t="s">
        <v>10</v>
      </c>
    </row>
    <row r="565" spans="1:6" hidden="1" x14ac:dyDescent="0.35">
      <c r="A565" t="s">
        <v>67</v>
      </c>
      <c r="B565" t="s">
        <v>68</v>
      </c>
      <c r="C565" t="s">
        <v>46</v>
      </c>
      <c r="D565">
        <v>17995.7356</v>
      </c>
      <c r="E565" t="s">
        <v>42</v>
      </c>
      <c r="F565" t="s">
        <v>10</v>
      </c>
    </row>
    <row r="566" spans="1:6" hidden="1" x14ac:dyDescent="0.35">
      <c r="A566" t="s">
        <v>57</v>
      </c>
      <c r="B566" t="s">
        <v>68</v>
      </c>
      <c r="C566" t="s">
        <v>24</v>
      </c>
      <c r="D566">
        <v>0</v>
      </c>
      <c r="E566" t="s">
        <v>42</v>
      </c>
      <c r="F566" t="s">
        <v>10</v>
      </c>
    </row>
    <row r="567" spans="1:6" hidden="1" x14ac:dyDescent="0.35">
      <c r="A567" t="s">
        <v>11</v>
      </c>
      <c r="B567" t="s">
        <v>68</v>
      </c>
      <c r="C567" t="s">
        <v>24</v>
      </c>
      <c r="D567">
        <v>0</v>
      </c>
      <c r="E567" t="s">
        <v>42</v>
      </c>
      <c r="F567" t="s">
        <v>10</v>
      </c>
    </row>
    <row r="568" spans="1:6" hidden="1" x14ac:dyDescent="0.35">
      <c r="A568" t="s">
        <v>58</v>
      </c>
      <c r="B568" t="s">
        <v>68</v>
      </c>
      <c r="C568" t="s">
        <v>24</v>
      </c>
      <c r="D568">
        <v>0</v>
      </c>
      <c r="E568" t="s">
        <v>42</v>
      </c>
      <c r="F568" t="s">
        <v>10</v>
      </c>
    </row>
    <row r="569" spans="1:6" hidden="1" x14ac:dyDescent="0.35">
      <c r="A569" t="s">
        <v>59</v>
      </c>
      <c r="B569" t="s">
        <v>68</v>
      </c>
      <c r="C569" t="s">
        <v>24</v>
      </c>
      <c r="D569">
        <v>0</v>
      </c>
      <c r="E569" t="s">
        <v>42</v>
      </c>
      <c r="F569" t="s">
        <v>10</v>
      </c>
    </row>
    <row r="570" spans="1:6" hidden="1" x14ac:dyDescent="0.35">
      <c r="A570" t="s">
        <v>60</v>
      </c>
      <c r="B570" t="s">
        <v>68</v>
      </c>
      <c r="C570" t="s">
        <v>24</v>
      </c>
      <c r="D570">
        <v>0</v>
      </c>
      <c r="E570" t="s">
        <v>42</v>
      </c>
      <c r="F570" t="s">
        <v>10</v>
      </c>
    </row>
    <row r="571" spans="1:6" hidden="1" x14ac:dyDescent="0.35">
      <c r="A571" t="s">
        <v>61</v>
      </c>
      <c r="B571" t="s">
        <v>68</v>
      </c>
      <c r="C571" t="s">
        <v>24</v>
      </c>
      <c r="D571">
        <v>0</v>
      </c>
      <c r="E571" t="s">
        <v>42</v>
      </c>
      <c r="F571" t="s">
        <v>10</v>
      </c>
    </row>
    <row r="572" spans="1:6" hidden="1" x14ac:dyDescent="0.35">
      <c r="A572" t="s">
        <v>62</v>
      </c>
      <c r="B572" t="s">
        <v>68</v>
      </c>
      <c r="C572" t="s">
        <v>24</v>
      </c>
      <c r="D572">
        <v>0</v>
      </c>
      <c r="E572" t="s">
        <v>42</v>
      </c>
      <c r="F572" t="s">
        <v>10</v>
      </c>
    </row>
    <row r="573" spans="1:6" hidden="1" x14ac:dyDescent="0.35">
      <c r="A573" t="s">
        <v>63</v>
      </c>
      <c r="B573" t="s">
        <v>68</v>
      </c>
      <c r="C573" t="s">
        <v>24</v>
      </c>
      <c r="D573">
        <v>0</v>
      </c>
      <c r="E573" t="s">
        <v>42</v>
      </c>
      <c r="F573" t="s">
        <v>10</v>
      </c>
    </row>
    <row r="574" spans="1:6" hidden="1" x14ac:dyDescent="0.35">
      <c r="A574" t="s">
        <v>64</v>
      </c>
      <c r="B574" t="s">
        <v>68</v>
      </c>
      <c r="C574" t="s">
        <v>24</v>
      </c>
      <c r="D574">
        <v>0</v>
      </c>
      <c r="E574" t="s">
        <v>42</v>
      </c>
      <c r="F574" t="s">
        <v>10</v>
      </c>
    </row>
    <row r="575" spans="1:6" hidden="1" x14ac:dyDescent="0.35">
      <c r="A575" t="s">
        <v>65</v>
      </c>
      <c r="B575" t="s">
        <v>68</v>
      </c>
      <c r="C575" t="s">
        <v>24</v>
      </c>
      <c r="D575">
        <v>0</v>
      </c>
      <c r="E575" t="s">
        <v>42</v>
      </c>
      <c r="F575" t="s">
        <v>10</v>
      </c>
    </row>
    <row r="576" spans="1:6" hidden="1" x14ac:dyDescent="0.35">
      <c r="A576" t="s">
        <v>66</v>
      </c>
      <c r="B576" t="s">
        <v>68</v>
      </c>
      <c r="C576" t="s">
        <v>24</v>
      </c>
      <c r="D576">
        <v>0</v>
      </c>
      <c r="E576" t="s">
        <v>42</v>
      </c>
      <c r="F576" t="s">
        <v>10</v>
      </c>
    </row>
    <row r="577" spans="1:6" hidden="1" x14ac:dyDescent="0.35">
      <c r="A577" t="s">
        <v>67</v>
      </c>
      <c r="B577" t="s">
        <v>68</v>
      </c>
      <c r="C577" t="s">
        <v>24</v>
      </c>
      <c r="D577">
        <v>0</v>
      </c>
      <c r="E577" t="s">
        <v>42</v>
      </c>
      <c r="F577" t="s">
        <v>10</v>
      </c>
    </row>
    <row r="578" spans="1:6" hidden="1" x14ac:dyDescent="0.35">
      <c r="A578" t="s">
        <v>57</v>
      </c>
      <c r="B578" t="s">
        <v>68</v>
      </c>
      <c r="C578" t="s">
        <v>47</v>
      </c>
      <c r="D578">
        <v>782.71</v>
      </c>
      <c r="E578" t="s">
        <v>42</v>
      </c>
      <c r="F578" t="s">
        <v>10</v>
      </c>
    </row>
    <row r="579" spans="1:6" hidden="1" x14ac:dyDescent="0.35">
      <c r="A579" t="s">
        <v>11</v>
      </c>
      <c r="B579" t="s">
        <v>68</v>
      </c>
      <c r="C579" t="s">
        <v>47</v>
      </c>
      <c r="D579">
        <v>1505.05</v>
      </c>
      <c r="E579" t="s">
        <v>42</v>
      </c>
      <c r="F579" t="s">
        <v>10</v>
      </c>
    </row>
    <row r="580" spans="1:6" hidden="1" x14ac:dyDescent="0.35">
      <c r="A580" t="s">
        <v>58</v>
      </c>
      <c r="B580" t="s">
        <v>68</v>
      </c>
      <c r="C580" t="s">
        <v>47</v>
      </c>
      <c r="D580">
        <v>17003.3</v>
      </c>
      <c r="E580" t="s">
        <v>42</v>
      </c>
      <c r="F580" t="s">
        <v>10</v>
      </c>
    </row>
    <row r="581" spans="1:6" hidden="1" x14ac:dyDescent="0.35">
      <c r="A581" t="s">
        <v>59</v>
      </c>
      <c r="B581" t="s">
        <v>68</v>
      </c>
      <c r="C581" t="s">
        <v>47</v>
      </c>
      <c r="D581">
        <v>28955.89</v>
      </c>
      <c r="E581" t="s">
        <v>42</v>
      </c>
      <c r="F581" t="s">
        <v>10</v>
      </c>
    </row>
    <row r="582" spans="1:6" hidden="1" x14ac:dyDescent="0.35">
      <c r="A582" t="s">
        <v>60</v>
      </c>
      <c r="B582" t="s">
        <v>68</v>
      </c>
      <c r="C582" t="s">
        <v>47</v>
      </c>
      <c r="E582" t="s">
        <v>42</v>
      </c>
      <c r="F582" t="s">
        <v>10</v>
      </c>
    </row>
    <row r="583" spans="1:6" hidden="1" x14ac:dyDescent="0.35">
      <c r="A583" t="s">
        <v>61</v>
      </c>
      <c r="B583" t="s">
        <v>68</v>
      </c>
      <c r="C583" t="s">
        <v>47</v>
      </c>
      <c r="D583">
        <v>3775.1</v>
      </c>
      <c r="E583" t="s">
        <v>42</v>
      </c>
      <c r="F583" t="s">
        <v>10</v>
      </c>
    </row>
    <row r="584" spans="1:6" hidden="1" x14ac:dyDescent="0.35">
      <c r="A584" t="s">
        <v>62</v>
      </c>
      <c r="B584" t="s">
        <v>68</v>
      </c>
      <c r="C584" t="s">
        <v>47</v>
      </c>
      <c r="E584" t="s">
        <v>42</v>
      </c>
      <c r="F584" t="s">
        <v>10</v>
      </c>
    </row>
    <row r="585" spans="1:6" hidden="1" x14ac:dyDescent="0.35">
      <c r="A585" t="s">
        <v>63</v>
      </c>
      <c r="B585" t="s">
        <v>68</v>
      </c>
      <c r="C585" t="s">
        <v>47</v>
      </c>
      <c r="E585" t="s">
        <v>42</v>
      </c>
      <c r="F585" t="s">
        <v>10</v>
      </c>
    </row>
    <row r="586" spans="1:6" hidden="1" x14ac:dyDescent="0.35">
      <c r="A586" t="s">
        <v>64</v>
      </c>
      <c r="B586" t="s">
        <v>68</v>
      </c>
      <c r="C586" t="s">
        <v>47</v>
      </c>
      <c r="E586" t="s">
        <v>42</v>
      </c>
      <c r="F586" t="s">
        <v>10</v>
      </c>
    </row>
    <row r="587" spans="1:6" hidden="1" x14ac:dyDescent="0.35">
      <c r="A587" t="s">
        <v>65</v>
      </c>
      <c r="B587" t="s">
        <v>68</v>
      </c>
      <c r="C587" t="s">
        <v>47</v>
      </c>
      <c r="E587" t="s">
        <v>42</v>
      </c>
      <c r="F587" t="s">
        <v>10</v>
      </c>
    </row>
    <row r="588" spans="1:6" hidden="1" x14ac:dyDescent="0.35">
      <c r="A588" t="s">
        <v>66</v>
      </c>
      <c r="B588" t="s">
        <v>68</v>
      </c>
      <c r="C588" t="s">
        <v>47</v>
      </c>
      <c r="E588" t="s">
        <v>42</v>
      </c>
      <c r="F588" t="s">
        <v>10</v>
      </c>
    </row>
    <row r="589" spans="1:6" hidden="1" x14ac:dyDescent="0.35">
      <c r="A589" t="s">
        <v>67</v>
      </c>
      <c r="B589" t="s">
        <v>68</v>
      </c>
      <c r="C589" t="s">
        <v>47</v>
      </c>
      <c r="E589" t="s">
        <v>42</v>
      </c>
      <c r="F589" t="s">
        <v>10</v>
      </c>
    </row>
    <row r="590" spans="1:6" hidden="1" x14ac:dyDescent="0.35">
      <c r="A590" t="s">
        <v>57</v>
      </c>
      <c r="B590" t="s">
        <v>68</v>
      </c>
      <c r="C590" t="s">
        <v>48</v>
      </c>
      <c r="D590">
        <v>0</v>
      </c>
      <c r="E590" t="s">
        <v>42</v>
      </c>
      <c r="F590" t="s">
        <v>10</v>
      </c>
    </row>
    <row r="591" spans="1:6" hidden="1" x14ac:dyDescent="0.35">
      <c r="A591" t="s">
        <v>11</v>
      </c>
      <c r="B591" t="s">
        <v>68</v>
      </c>
      <c r="C591" t="s">
        <v>48</v>
      </c>
      <c r="D591">
        <v>0</v>
      </c>
      <c r="E591" t="s">
        <v>42</v>
      </c>
      <c r="F591" t="s">
        <v>10</v>
      </c>
    </row>
    <row r="592" spans="1:6" hidden="1" x14ac:dyDescent="0.35">
      <c r="A592" t="s">
        <v>58</v>
      </c>
      <c r="B592" t="s">
        <v>68</v>
      </c>
      <c r="C592" t="s">
        <v>48</v>
      </c>
      <c r="D592">
        <v>0</v>
      </c>
      <c r="E592" t="s">
        <v>42</v>
      </c>
      <c r="F592" t="s">
        <v>10</v>
      </c>
    </row>
    <row r="593" spans="1:6" hidden="1" x14ac:dyDescent="0.35">
      <c r="A593" t="s">
        <v>59</v>
      </c>
      <c r="B593" t="s">
        <v>68</v>
      </c>
      <c r="C593" t="s">
        <v>48</v>
      </c>
      <c r="D593">
        <v>0</v>
      </c>
      <c r="E593" t="s">
        <v>42</v>
      </c>
      <c r="F593" t="s">
        <v>10</v>
      </c>
    </row>
    <row r="594" spans="1:6" hidden="1" x14ac:dyDescent="0.35">
      <c r="A594" t="s">
        <v>60</v>
      </c>
      <c r="B594" t="s">
        <v>68</v>
      </c>
      <c r="C594" t="s">
        <v>48</v>
      </c>
      <c r="D594">
        <v>0</v>
      </c>
      <c r="E594" t="s">
        <v>42</v>
      </c>
      <c r="F594" t="s">
        <v>10</v>
      </c>
    </row>
    <row r="595" spans="1:6" hidden="1" x14ac:dyDescent="0.35">
      <c r="A595" t="s">
        <v>61</v>
      </c>
      <c r="B595" t="s">
        <v>68</v>
      </c>
      <c r="C595" t="s">
        <v>48</v>
      </c>
      <c r="D595">
        <v>0</v>
      </c>
      <c r="E595" t="s">
        <v>42</v>
      </c>
      <c r="F595" t="s">
        <v>10</v>
      </c>
    </row>
    <row r="596" spans="1:6" hidden="1" x14ac:dyDescent="0.35">
      <c r="A596" t="s">
        <v>62</v>
      </c>
      <c r="B596" t="s">
        <v>68</v>
      </c>
      <c r="C596" t="s">
        <v>48</v>
      </c>
      <c r="D596">
        <v>0</v>
      </c>
      <c r="E596" t="s">
        <v>42</v>
      </c>
      <c r="F596" t="s">
        <v>10</v>
      </c>
    </row>
    <row r="597" spans="1:6" hidden="1" x14ac:dyDescent="0.35">
      <c r="A597" t="s">
        <v>63</v>
      </c>
      <c r="B597" t="s">
        <v>68</v>
      </c>
      <c r="C597" t="s">
        <v>48</v>
      </c>
      <c r="D597">
        <v>0</v>
      </c>
      <c r="E597" t="s">
        <v>42</v>
      </c>
      <c r="F597" t="s">
        <v>10</v>
      </c>
    </row>
    <row r="598" spans="1:6" hidden="1" x14ac:dyDescent="0.35">
      <c r="A598" t="s">
        <v>64</v>
      </c>
      <c r="B598" t="s">
        <v>68</v>
      </c>
      <c r="C598" t="s">
        <v>48</v>
      </c>
      <c r="D598">
        <v>0</v>
      </c>
      <c r="E598" t="s">
        <v>42</v>
      </c>
      <c r="F598" t="s">
        <v>10</v>
      </c>
    </row>
    <row r="599" spans="1:6" hidden="1" x14ac:dyDescent="0.35">
      <c r="A599" t="s">
        <v>65</v>
      </c>
      <c r="B599" t="s">
        <v>68</v>
      </c>
      <c r="C599" t="s">
        <v>48</v>
      </c>
      <c r="D599">
        <v>0</v>
      </c>
      <c r="E599" t="s">
        <v>42</v>
      </c>
      <c r="F599" t="s">
        <v>10</v>
      </c>
    </row>
    <row r="600" spans="1:6" hidden="1" x14ac:dyDescent="0.35">
      <c r="A600" t="s">
        <v>66</v>
      </c>
      <c r="B600" t="s">
        <v>68</v>
      </c>
      <c r="C600" t="s">
        <v>48</v>
      </c>
      <c r="D600">
        <v>0</v>
      </c>
      <c r="E600" t="s">
        <v>42</v>
      </c>
      <c r="F600" t="s">
        <v>10</v>
      </c>
    </row>
    <row r="601" spans="1:6" hidden="1" x14ac:dyDescent="0.35">
      <c r="A601" t="s">
        <v>67</v>
      </c>
      <c r="B601" t="s">
        <v>68</v>
      </c>
      <c r="C601" t="s">
        <v>48</v>
      </c>
      <c r="D601">
        <v>0</v>
      </c>
      <c r="E601" t="s">
        <v>42</v>
      </c>
      <c r="F601" t="s">
        <v>10</v>
      </c>
    </row>
    <row r="602" spans="1:6" hidden="1" x14ac:dyDescent="0.35">
      <c r="A602" t="s">
        <v>57</v>
      </c>
      <c r="B602" t="s">
        <v>68</v>
      </c>
      <c r="C602" t="s">
        <v>49</v>
      </c>
      <c r="D602">
        <v>22809.067999999999</v>
      </c>
      <c r="E602" t="s">
        <v>42</v>
      </c>
      <c r="F602" t="s">
        <v>10</v>
      </c>
    </row>
    <row r="603" spans="1:6" hidden="1" x14ac:dyDescent="0.35">
      <c r="A603" t="s">
        <v>11</v>
      </c>
      <c r="B603" t="s">
        <v>68</v>
      </c>
      <c r="C603" t="s">
        <v>49</v>
      </c>
      <c r="D603">
        <v>45645.162399999987</v>
      </c>
      <c r="E603" t="s">
        <v>42</v>
      </c>
      <c r="F603" t="s">
        <v>10</v>
      </c>
    </row>
    <row r="604" spans="1:6" hidden="1" x14ac:dyDescent="0.35">
      <c r="A604" t="s">
        <v>58</v>
      </c>
      <c r="B604" t="s">
        <v>68</v>
      </c>
      <c r="C604" t="s">
        <v>49</v>
      </c>
      <c r="D604">
        <v>7658.1036000000004</v>
      </c>
      <c r="E604" t="s">
        <v>42</v>
      </c>
      <c r="F604" t="s">
        <v>10</v>
      </c>
    </row>
    <row r="605" spans="1:6" hidden="1" x14ac:dyDescent="0.35">
      <c r="A605" t="s">
        <v>59</v>
      </c>
      <c r="B605" t="s">
        <v>68</v>
      </c>
      <c r="C605" t="s">
        <v>49</v>
      </c>
      <c r="D605">
        <v>23654.162</v>
      </c>
      <c r="E605" t="s">
        <v>42</v>
      </c>
      <c r="F605" t="s">
        <v>10</v>
      </c>
    </row>
    <row r="606" spans="1:6" hidden="1" x14ac:dyDescent="0.35">
      <c r="A606" t="s">
        <v>60</v>
      </c>
      <c r="B606" t="s">
        <v>68</v>
      </c>
      <c r="C606" t="s">
        <v>49</v>
      </c>
      <c r="D606">
        <v>9944.9380000000001</v>
      </c>
      <c r="E606" t="s">
        <v>42</v>
      </c>
      <c r="F606" t="s">
        <v>10</v>
      </c>
    </row>
    <row r="607" spans="1:6" hidden="1" x14ac:dyDescent="0.35">
      <c r="A607" t="s">
        <v>61</v>
      </c>
      <c r="B607" t="s">
        <v>68</v>
      </c>
      <c r="C607" t="s">
        <v>49</v>
      </c>
      <c r="D607">
        <v>138170.76879999999</v>
      </c>
      <c r="E607" t="s">
        <v>42</v>
      </c>
      <c r="F607" t="s">
        <v>10</v>
      </c>
    </row>
    <row r="608" spans="1:6" hidden="1" x14ac:dyDescent="0.35">
      <c r="A608" t="s">
        <v>62</v>
      </c>
      <c r="B608" t="s">
        <v>68</v>
      </c>
      <c r="C608" t="s">
        <v>49</v>
      </c>
      <c r="D608">
        <v>19609.485199999999</v>
      </c>
      <c r="E608" t="s">
        <v>42</v>
      </c>
      <c r="F608" t="s">
        <v>10</v>
      </c>
    </row>
    <row r="609" spans="1:6" hidden="1" x14ac:dyDescent="0.35">
      <c r="A609" t="s">
        <v>63</v>
      </c>
      <c r="B609" t="s">
        <v>68</v>
      </c>
      <c r="C609" t="s">
        <v>49</v>
      </c>
      <c r="D609">
        <v>9409.1703999999991</v>
      </c>
      <c r="E609" t="s">
        <v>42</v>
      </c>
      <c r="F609" t="s">
        <v>10</v>
      </c>
    </row>
    <row r="610" spans="1:6" hidden="1" x14ac:dyDescent="0.35">
      <c r="A610" t="s">
        <v>64</v>
      </c>
      <c r="B610" t="s">
        <v>68</v>
      </c>
      <c r="C610" t="s">
        <v>49</v>
      </c>
      <c r="D610">
        <v>400</v>
      </c>
      <c r="E610" t="s">
        <v>42</v>
      </c>
      <c r="F610" t="s">
        <v>10</v>
      </c>
    </row>
    <row r="611" spans="1:6" hidden="1" x14ac:dyDescent="0.35">
      <c r="A611" t="s">
        <v>65</v>
      </c>
      <c r="B611" t="s">
        <v>68</v>
      </c>
      <c r="C611" t="s">
        <v>49</v>
      </c>
      <c r="D611">
        <v>17985.8128</v>
      </c>
      <c r="E611" t="s">
        <v>42</v>
      </c>
      <c r="F611" t="s">
        <v>10</v>
      </c>
    </row>
    <row r="612" spans="1:6" hidden="1" x14ac:dyDescent="0.35">
      <c r="A612" t="s">
        <v>66</v>
      </c>
      <c r="B612" t="s">
        <v>68</v>
      </c>
      <c r="C612" t="s">
        <v>49</v>
      </c>
      <c r="D612">
        <v>20994.686799999999</v>
      </c>
      <c r="E612" t="s">
        <v>42</v>
      </c>
      <c r="F612" t="s">
        <v>10</v>
      </c>
    </row>
    <row r="613" spans="1:6" hidden="1" x14ac:dyDescent="0.35">
      <c r="A613" t="s">
        <v>67</v>
      </c>
      <c r="B613" t="s">
        <v>68</v>
      </c>
      <c r="C613" t="s">
        <v>49</v>
      </c>
      <c r="D613">
        <v>3835.75</v>
      </c>
      <c r="E613" t="s">
        <v>42</v>
      </c>
      <c r="F613" t="s">
        <v>10</v>
      </c>
    </row>
    <row r="614" spans="1:6" hidden="1" x14ac:dyDescent="0.35">
      <c r="A614" t="s">
        <v>57</v>
      </c>
      <c r="B614" t="s">
        <v>68</v>
      </c>
      <c r="C614" t="s">
        <v>50</v>
      </c>
      <c r="D614">
        <v>310256.0724</v>
      </c>
      <c r="E614" t="s">
        <v>42</v>
      </c>
      <c r="F614" t="s">
        <v>10</v>
      </c>
    </row>
    <row r="615" spans="1:6" hidden="1" x14ac:dyDescent="0.35">
      <c r="A615" t="s">
        <v>11</v>
      </c>
      <c r="B615" t="s">
        <v>68</v>
      </c>
      <c r="C615" t="s">
        <v>50</v>
      </c>
      <c r="D615">
        <v>272709.13280000002</v>
      </c>
      <c r="E615" t="s">
        <v>42</v>
      </c>
      <c r="F615" t="s">
        <v>10</v>
      </c>
    </row>
    <row r="616" spans="1:6" hidden="1" x14ac:dyDescent="0.35">
      <c r="A616" t="s">
        <v>58</v>
      </c>
      <c r="B616" t="s">
        <v>68</v>
      </c>
      <c r="C616" t="s">
        <v>50</v>
      </c>
      <c r="D616">
        <v>145989.11840000001</v>
      </c>
      <c r="E616" t="s">
        <v>42</v>
      </c>
      <c r="F616" t="s">
        <v>10</v>
      </c>
    </row>
    <row r="617" spans="1:6" hidden="1" x14ac:dyDescent="0.35">
      <c r="A617" t="s">
        <v>59</v>
      </c>
      <c r="B617" t="s">
        <v>68</v>
      </c>
      <c r="C617" t="s">
        <v>50</v>
      </c>
      <c r="D617">
        <v>177436.32440000001</v>
      </c>
      <c r="E617" t="s">
        <v>42</v>
      </c>
      <c r="F617" t="s">
        <v>10</v>
      </c>
    </row>
    <row r="618" spans="1:6" hidden="1" x14ac:dyDescent="0.35">
      <c r="A618" t="s">
        <v>60</v>
      </c>
      <c r="B618" t="s">
        <v>68</v>
      </c>
      <c r="C618" t="s">
        <v>50</v>
      </c>
      <c r="D618">
        <v>128187.6784</v>
      </c>
      <c r="E618" t="s">
        <v>42</v>
      </c>
      <c r="F618" t="s">
        <v>10</v>
      </c>
    </row>
    <row r="619" spans="1:6" hidden="1" x14ac:dyDescent="0.35">
      <c r="A619" t="s">
        <v>61</v>
      </c>
      <c r="B619" t="s">
        <v>68</v>
      </c>
      <c r="C619" t="s">
        <v>50</v>
      </c>
      <c r="D619">
        <v>0</v>
      </c>
      <c r="E619" t="s">
        <v>42</v>
      </c>
      <c r="F619" t="s">
        <v>10</v>
      </c>
    </row>
    <row r="620" spans="1:6" hidden="1" x14ac:dyDescent="0.35">
      <c r="A620" t="s">
        <v>62</v>
      </c>
      <c r="B620" t="s">
        <v>68</v>
      </c>
      <c r="C620" t="s">
        <v>50</v>
      </c>
      <c r="D620">
        <v>162474.4472</v>
      </c>
      <c r="E620" t="s">
        <v>42</v>
      </c>
      <c r="F620" t="s">
        <v>10</v>
      </c>
    </row>
    <row r="621" spans="1:6" hidden="1" x14ac:dyDescent="0.35">
      <c r="A621" t="s">
        <v>63</v>
      </c>
      <c r="B621" t="s">
        <v>68</v>
      </c>
      <c r="C621" t="s">
        <v>50</v>
      </c>
      <c r="D621">
        <v>49664.728000000003</v>
      </c>
      <c r="E621" t="s">
        <v>42</v>
      </c>
      <c r="F621" t="s">
        <v>10</v>
      </c>
    </row>
    <row r="622" spans="1:6" hidden="1" x14ac:dyDescent="0.35">
      <c r="A622" t="s">
        <v>64</v>
      </c>
      <c r="B622" t="s">
        <v>68</v>
      </c>
      <c r="C622" t="s">
        <v>50</v>
      </c>
      <c r="D622">
        <v>7760.2300000000014</v>
      </c>
      <c r="E622" t="s">
        <v>42</v>
      </c>
      <c r="F622" t="s">
        <v>10</v>
      </c>
    </row>
    <row r="623" spans="1:6" hidden="1" x14ac:dyDescent="0.35">
      <c r="A623" t="s">
        <v>65</v>
      </c>
      <c r="B623" t="s">
        <v>68</v>
      </c>
      <c r="C623" t="s">
        <v>50</v>
      </c>
      <c r="D623">
        <v>196994.7328</v>
      </c>
      <c r="E623" t="s">
        <v>42</v>
      </c>
      <c r="F623" t="s">
        <v>10</v>
      </c>
    </row>
    <row r="624" spans="1:6" hidden="1" x14ac:dyDescent="0.35">
      <c r="A624" t="s">
        <v>66</v>
      </c>
      <c r="B624" t="s">
        <v>68</v>
      </c>
      <c r="C624" t="s">
        <v>50</v>
      </c>
      <c r="D624">
        <v>200992.34400000001</v>
      </c>
      <c r="E624" t="s">
        <v>42</v>
      </c>
      <c r="F624" t="s">
        <v>10</v>
      </c>
    </row>
    <row r="625" spans="1:6" hidden="1" x14ac:dyDescent="0.35">
      <c r="A625" t="s">
        <v>67</v>
      </c>
      <c r="B625" t="s">
        <v>68</v>
      </c>
      <c r="C625" t="s">
        <v>50</v>
      </c>
      <c r="D625">
        <v>17995.7356</v>
      </c>
      <c r="E625" t="s">
        <v>42</v>
      </c>
      <c r="F625" t="s">
        <v>10</v>
      </c>
    </row>
    <row r="626" spans="1:6" hidden="1" x14ac:dyDescent="0.35">
      <c r="A626" t="s">
        <v>57</v>
      </c>
      <c r="B626" t="s">
        <v>68</v>
      </c>
      <c r="C626" t="s">
        <v>51</v>
      </c>
      <c r="D626">
        <v>3</v>
      </c>
      <c r="E626" t="s">
        <v>42</v>
      </c>
      <c r="F626" t="s">
        <v>10</v>
      </c>
    </row>
    <row r="627" spans="1:6" hidden="1" x14ac:dyDescent="0.35">
      <c r="A627" t="s">
        <v>11</v>
      </c>
      <c r="B627" t="s">
        <v>68</v>
      </c>
      <c r="C627" t="s">
        <v>51</v>
      </c>
      <c r="D627">
        <v>6</v>
      </c>
      <c r="E627" t="s">
        <v>42</v>
      </c>
      <c r="F627" t="s">
        <v>10</v>
      </c>
    </row>
    <row r="628" spans="1:6" hidden="1" x14ac:dyDescent="0.35">
      <c r="A628" t="s">
        <v>58</v>
      </c>
      <c r="B628" t="s">
        <v>68</v>
      </c>
      <c r="C628" t="s">
        <v>51</v>
      </c>
      <c r="D628">
        <v>10</v>
      </c>
      <c r="E628" t="s">
        <v>42</v>
      </c>
      <c r="F628" t="s">
        <v>10</v>
      </c>
    </row>
    <row r="629" spans="1:6" hidden="1" x14ac:dyDescent="0.35">
      <c r="A629" t="s">
        <v>59</v>
      </c>
      <c r="B629" t="s">
        <v>68</v>
      </c>
      <c r="C629" t="s">
        <v>51</v>
      </c>
      <c r="D629">
        <v>10</v>
      </c>
      <c r="E629" t="s">
        <v>42</v>
      </c>
      <c r="F629" t="s">
        <v>10</v>
      </c>
    </row>
    <row r="630" spans="1:6" hidden="1" x14ac:dyDescent="0.35">
      <c r="A630" t="s">
        <v>60</v>
      </c>
      <c r="B630" t="s">
        <v>68</v>
      </c>
      <c r="C630" t="s">
        <v>51</v>
      </c>
      <c r="D630">
        <v>9</v>
      </c>
      <c r="E630" t="s">
        <v>42</v>
      </c>
      <c r="F630" t="s">
        <v>10</v>
      </c>
    </row>
    <row r="631" spans="1:6" hidden="1" x14ac:dyDescent="0.35">
      <c r="A631" t="s">
        <v>61</v>
      </c>
      <c r="B631" t="s">
        <v>68</v>
      </c>
      <c r="C631" t="s">
        <v>51</v>
      </c>
      <c r="D631">
        <v>11</v>
      </c>
      <c r="E631" t="s">
        <v>42</v>
      </c>
      <c r="F631" t="s">
        <v>10</v>
      </c>
    </row>
    <row r="632" spans="1:6" hidden="1" x14ac:dyDescent="0.35">
      <c r="A632" t="s">
        <v>62</v>
      </c>
      <c r="B632" t="s">
        <v>68</v>
      </c>
      <c r="C632" t="s">
        <v>51</v>
      </c>
      <c r="D632">
        <v>13</v>
      </c>
      <c r="E632" t="s">
        <v>42</v>
      </c>
      <c r="F632" t="s">
        <v>10</v>
      </c>
    </row>
    <row r="633" spans="1:6" hidden="1" x14ac:dyDescent="0.35">
      <c r="A633" t="s">
        <v>63</v>
      </c>
      <c r="B633" t="s">
        <v>68</v>
      </c>
      <c r="C633" t="s">
        <v>51</v>
      </c>
      <c r="D633">
        <v>15</v>
      </c>
      <c r="E633" t="s">
        <v>42</v>
      </c>
      <c r="F633" t="s">
        <v>10</v>
      </c>
    </row>
    <row r="634" spans="1:6" hidden="1" x14ac:dyDescent="0.35">
      <c r="A634" t="s">
        <v>64</v>
      </c>
      <c r="B634" t="s">
        <v>68</v>
      </c>
      <c r="C634" t="s">
        <v>51</v>
      </c>
      <c r="D634">
        <v>5</v>
      </c>
      <c r="E634" t="s">
        <v>42</v>
      </c>
      <c r="F634" t="s">
        <v>10</v>
      </c>
    </row>
    <row r="635" spans="1:6" hidden="1" x14ac:dyDescent="0.35">
      <c r="A635" t="s">
        <v>65</v>
      </c>
      <c r="B635" t="s">
        <v>68</v>
      </c>
      <c r="C635" t="s">
        <v>51</v>
      </c>
      <c r="D635">
        <v>10</v>
      </c>
      <c r="E635" t="s">
        <v>42</v>
      </c>
      <c r="F635" t="s">
        <v>10</v>
      </c>
    </row>
    <row r="636" spans="1:6" hidden="1" x14ac:dyDescent="0.35">
      <c r="A636" t="s">
        <v>66</v>
      </c>
      <c r="B636" t="s">
        <v>68</v>
      </c>
      <c r="C636" t="s">
        <v>51</v>
      </c>
      <c r="D636">
        <v>7</v>
      </c>
      <c r="E636" t="s">
        <v>42</v>
      </c>
      <c r="F636" t="s">
        <v>10</v>
      </c>
    </row>
    <row r="637" spans="1:6" hidden="1" x14ac:dyDescent="0.35">
      <c r="A637" t="s">
        <v>67</v>
      </c>
      <c r="B637" t="s">
        <v>68</v>
      </c>
      <c r="C637" t="s">
        <v>51</v>
      </c>
      <c r="D637">
        <v>10</v>
      </c>
      <c r="E637" t="s">
        <v>42</v>
      </c>
      <c r="F637" t="s">
        <v>10</v>
      </c>
    </row>
    <row r="638" spans="1:6" hidden="1" x14ac:dyDescent="0.35">
      <c r="A638" t="s">
        <v>57</v>
      </c>
      <c r="B638" t="s">
        <v>68</v>
      </c>
      <c r="C638" t="s">
        <v>30</v>
      </c>
      <c r="D638">
        <v>7</v>
      </c>
      <c r="E638" t="s">
        <v>42</v>
      </c>
      <c r="F638" t="s">
        <v>10</v>
      </c>
    </row>
    <row r="639" spans="1:6" hidden="1" x14ac:dyDescent="0.35">
      <c r="A639" t="s">
        <v>11</v>
      </c>
      <c r="B639" t="s">
        <v>68</v>
      </c>
      <c r="C639" t="s">
        <v>30</v>
      </c>
      <c r="D639">
        <v>8</v>
      </c>
      <c r="E639" t="s">
        <v>42</v>
      </c>
      <c r="F639" t="s">
        <v>10</v>
      </c>
    </row>
    <row r="640" spans="1:6" hidden="1" x14ac:dyDescent="0.35">
      <c r="A640" t="s">
        <v>58</v>
      </c>
      <c r="B640" t="s">
        <v>68</v>
      </c>
      <c r="C640" t="s">
        <v>30</v>
      </c>
      <c r="D640">
        <v>3</v>
      </c>
      <c r="E640" t="s">
        <v>42</v>
      </c>
      <c r="F640" t="s">
        <v>10</v>
      </c>
    </row>
    <row r="641" spans="1:6" hidden="1" x14ac:dyDescent="0.35">
      <c r="A641" t="s">
        <v>59</v>
      </c>
      <c r="B641" t="s">
        <v>68</v>
      </c>
      <c r="C641" t="s">
        <v>30</v>
      </c>
      <c r="D641">
        <v>12</v>
      </c>
      <c r="E641" t="s">
        <v>42</v>
      </c>
      <c r="F641" t="s">
        <v>10</v>
      </c>
    </row>
    <row r="642" spans="1:6" hidden="1" x14ac:dyDescent="0.35">
      <c r="A642" t="s">
        <v>60</v>
      </c>
      <c r="B642" t="s">
        <v>68</v>
      </c>
      <c r="C642" t="s">
        <v>30</v>
      </c>
      <c r="D642">
        <v>5</v>
      </c>
      <c r="E642" t="s">
        <v>42</v>
      </c>
      <c r="F642" t="s">
        <v>10</v>
      </c>
    </row>
    <row r="643" spans="1:6" hidden="1" x14ac:dyDescent="0.35">
      <c r="A643" t="s">
        <v>61</v>
      </c>
      <c r="B643" t="s">
        <v>68</v>
      </c>
      <c r="C643" t="s">
        <v>30</v>
      </c>
      <c r="D643">
        <v>7</v>
      </c>
      <c r="E643" t="s">
        <v>42</v>
      </c>
      <c r="F643" t="s">
        <v>10</v>
      </c>
    </row>
    <row r="644" spans="1:6" hidden="1" x14ac:dyDescent="0.35">
      <c r="A644" t="s">
        <v>62</v>
      </c>
      <c r="B644" t="s">
        <v>68</v>
      </c>
      <c r="C644" t="s">
        <v>30</v>
      </c>
      <c r="D644">
        <v>4</v>
      </c>
      <c r="E644" t="s">
        <v>42</v>
      </c>
      <c r="F644" t="s">
        <v>10</v>
      </c>
    </row>
    <row r="645" spans="1:6" hidden="1" x14ac:dyDescent="0.35">
      <c r="A645" t="s">
        <v>63</v>
      </c>
      <c r="B645" t="s">
        <v>68</v>
      </c>
      <c r="C645" t="s">
        <v>30</v>
      </c>
      <c r="D645">
        <v>3</v>
      </c>
      <c r="E645" t="s">
        <v>42</v>
      </c>
      <c r="F645" t="s">
        <v>10</v>
      </c>
    </row>
    <row r="646" spans="1:6" hidden="1" x14ac:dyDescent="0.35">
      <c r="A646" t="s">
        <v>64</v>
      </c>
      <c r="B646" t="s">
        <v>68</v>
      </c>
      <c r="C646" t="s">
        <v>30</v>
      </c>
      <c r="D646">
        <v>11</v>
      </c>
      <c r="E646" t="s">
        <v>42</v>
      </c>
      <c r="F646" t="s">
        <v>10</v>
      </c>
    </row>
    <row r="647" spans="1:6" hidden="1" x14ac:dyDescent="0.35">
      <c r="A647" t="s">
        <v>65</v>
      </c>
      <c r="B647" t="s">
        <v>68</v>
      </c>
      <c r="C647" t="s">
        <v>30</v>
      </c>
      <c r="D647">
        <v>4</v>
      </c>
      <c r="E647" t="s">
        <v>42</v>
      </c>
      <c r="F647" t="s">
        <v>10</v>
      </c>
    </row>
    <row r="648" spans="1:6" hidden="1" x14ac:dyDescent="0.35">
      <c r="A648" t="s">
        <v>66</v>
      </c>
      <c r="B648" t="s">
        <v>68</v>
      </c>
      <c r="C648" t="s">
        <v>30</v>
      </c>
      <c r="D648">
        <v>3</v>
      </c>
      <c r="E648" t="s">
        <v>42</v>
      </c>
      <c r="F648" t="s">
        <v>10</v>
      </c>
    </row>
    <row r="649" spans="1:6" hidden="1" x14ac:dyDescent="0.35">
      <c r="A649" t="s">
        <v>67</v>
      </c>
      <c r="B649" t="s">
        <v>68</v>
      </c>
      <c r="C649" t="s">
        <v>30</v>
      </c>
      <c r="D649">
        <v>2</v>
      </c>
      <c r="E649" t="s">
        <v>42</v>
      </c>
      <c r="F649" t="s">
        <v>10</v>
      </c>
    </row>
    <row r="650" spans="1:6" hidden="1" x14ac:dyDescent="0.35">
      <c r="A650" t="s">
        <v>57</v>
      </c>
      <c r="B650" t="s">
        <v>68</v>
      </c>
      <c r="C650" t="s">
        <v>52</v>
      </c>
      <c r="D650">
        <v>2</v>
      </c>
      <c r="E650" t="s">
        <v>42</v>
      </c>
      <c r="F650" t="s">
        <v>10</v>
      </c>
    </row>
    <row r="651" spans="1:6" hidden="1" x14ac:dyDescent="0.35">
      <c r="A651" t="s">
        <v>11</v>
      </c>
      <c r="B651" t="s">
        <v>68</v>
      </c>
      <c r="C651" t="s">
        <v>52</v>
      </c>
      <c r="D651">
        <v>2</v>
      </c>
      <c r="E651" t="s">
        <v>42</v>
      </c>
      <c r="F651" t="s">
        <v>10</v>
      </c>
    </row>
    <row r="652" spans="1:6" hidden="1" x14ac:dyDescent="0.35">
      <c r="A652" t="s">
        <v>58</v>
      </c>
      <c r="B652" t="s">
        <v>68</v>
      </c>
      <c r="C652" t="s">
        <v>52</v>
      </c>
      <c r="D652">
        <v>4</v>
      </c>
      <c r="E652" t="s">
        <v>42</v>
      </c>
      <c r="F652" t="s">
        <v>10</v>
      </c>
    </row>
    <row r="653" spans="1:6" hidden="1" x14ac:dyDescent="0.35">
      <c r="A653" t="s">
        <v>59</v>
      </c>
      <c r="B653" t="s">
        <v>68</v>
      </c>
      <c r="C653" t="s">
        <v>52</v>
      </c>
      <c r="D653">
        <v>2</v>
      </c>
      <c r="E653" t="s">
        <v>42</v>
      </c>
      <c r="F653" t="s">
        <v>10</v>
      </c>
    </row>
    <row r="654" spans="1:6" hidden="1" x14ac:dyDescent="0.35">
      <c r="A654" t="s">
        <v>60</v>
      </c>
      <c r="B654" t="s">
        <v>68</v>
      </c>
      <c r="C654" t="s">
        <v>52</v>
      </c>
      <c r="D654">
        <v>1</v>
      </c>
      <c r="E654" t="s">
        <v>42</v>
      </c>
      <c r="F654" t="s">
        <v>10</v>
      </c>
    </row>
    <row r="655" spans="1:6" hidden="1" x14ac:dyDescent="0.35">
      <c r="A655" t="s">
        <v>61</v>
      </c>
      <c r="B655" t="s">
        <v>68</v>
      </c>
      <c r="C655" t="s">
        <v>52</v>
      </c>
      <c r="D655">
        <v>2</v>
      </c>
      <c r="E655" t="s">
        <v>42</v>
      </c>
      <c r="F655" t="s">
        <v>10</v>
      </c>
    </row>
    <row r="656" spans="1:6" hidden="1" x14ac:dyDescent="0.35">
      <c r="A656" t="s">
        <v>62</v>
      </c>
      <c r="B656" t="s">
        <v>68</v>
      </c>
      <c r="C656" t="s">
        <v>52</v>
      </c>
      <c r="D656">
        <v>5</v>
      </c>
      <c r="E656" t="s">
        <v>42</v>
      </c>
      <c r="F656" t="s">
        <v>10</v>
      </c>
    </row>
    <row r="657" spans="1:6" hidden="1" x14ac:dyDescent="0.35">
      <c r="A657" t="s">
        <v>63</v>
      </c>
      <c r="B657" t="s">
        <v>68</v>
      </c>
      <c r="C657" t="s">
        <v>52</v>
      </c>
      <c r="D657">
        <v>1</v>
      </c>
      <c r="E657" t="s">
        <v>42</v>
      </c>
      <c r="F657" t="s">
        <v>10</v>
      </c>
    </row>
    <row r="658" spans="1:6" hidden="1" x14ac:dyDescent="0.35">
      <c r="A658" t="s">
        <v>64</v>
      </c>
      <c r="B658" t="s">
        <v>68</v>
      </c>
      <c r="C658" t="s">
        <v>52</v>
      </c>
      <c r="E658" t="s">
        <v>42</v>
      </c>
      <c r="F658" t="s">
        <v>10</v>
      </c>
    </row>
    <row r="659" spans="1:6" hidden="1" x14ac:dyDescent="0.35">
      <c r="A659" t="s">
        <v>65</v>
      </c>
      <c r="B659" t="s">
        <v>68</v>
      </c>
      <c r="C659" t="s">
        <v>52</v>
      </c>
      <c r="D659">
        <v>4</v>
      </c>
      <c r="E659" t="s">
        <v>42</v>
      </c>
      <c r="F659" t="s">
        <v>10</v>
      </c>
    </row>
    <row r="660" spans="1:6" hidden="1" x14ac:dyDescent="0.35">
      <c r="A660" t="s">
        <v>66</v>
      </c>
      <c r="B660" t="s">
        <v>68</v>
      </c>
      <c r="C660" t="s">
        <v>52</v>
      </c>
      <c r="D660">
        <v>3</v>
      </c>
      <c r="E660" t="s">
        <v>42</v>
      </c>
      <c r="F660" t="s">
        <v>10</v>
      </c>
    </row>
    <row r="661" spans="1:6" hidden="1" x14ac:dyDescent="0.35">
      <c r="A661" t="s">
        <v>67</v>
      </c>
      <c r="B661" t="s">
        <v>68</v>
      </c>
      <c r="C661" t="s">
        <v>52</v>
      </c>
      <c r="D661">
        <v>3</v>
      </c>
      <c r="E661" t="s">
        <v>42</v>
      </c>
      <c r="F661" t="s">
        <v>10</v>
      </c>
    </row>
    <row r="662" spans="1:6" hidden="1" x14ac:dyDescent="0.35">
      <c r="A662" t="s">
        <v>57</v>
      </c>
      <c r="B662" t="s">
        <v>54</v>
      </c>
      <c r="C662" t="s">
        <v>44</v>
      </c>
      <c r="D662">
        <v>122971.20157181571</v>
      </c>
      <c r="E662" t="s">
        <v>42</v>
      </c>
      <c r="F662" t="s">
        <v>10</v>
      </c>
    </row>
    <row r="663" spans="1:6" hidden="1" x14ac:dyDescent="0.35">
      <c r="A663" t="s">
        <v>11</v>
      </c>
      <c r="B663" t="s">
        <v>54</v>
      </c>
      <c r="C663" t="s">
        <v>44</v>
      </c>
      <c r="D663">
        <v>89634.616598436187</v>
      </c>
      <c r="E663" t="s">
        <v>42</v>
      </c>
      <c r="F663" t="s">
        <v>10</v>
      </c>
    </row>
    <row r="664" spans="1:6" hidden="1" x14ac:dyDescent="0.35">
      <c r="A664" t="s">
        <v>58</v>
      </c>
      <c r="B664" t="s">
        <v>54</v>
      </c>
      <c r="C664" t="s">
        <v>44</v>
      </c>
      <c r="D664">
        <v>31234.281416260161</v>
      </c>
      <c r="E664" t="s">
        <v>42</v>
      </c>
      <c r="F664" t="s">
        <v>10</v>
      </c>
    </row>
    <row r="665" spans="1:6" hidden="1" x14ac:dyDescent="0.35">
      <c r="A665" t="s">
        <v>59</v>
      </c>
      <c r="B665" t="s">
        <v>54</v>
      </c>
      <c r="C665" t="s">
        <v>44</v>
      </c>
      <c r="D665">
        <v>112563.821</v>
      </c>
      <c r="E665" t="s">
        <v>42</v>
      </c>
      <c r="F665" t="s">
        <v>10</v>
      </c>
    </row>
    <row r="666" spans="1:6" hidden="1" x14ac:dyDescent="0.35">
      <c r="A666" t="s">
        <v>60</v>
      </c>
      <c r="B666" t="s">
        <v>54</v>
      </c>
      <c r="C666" t="s">
        <v>44</v>
      </c>
      <c r="D666">
        <v>48339.579905149039</v>
      </c>
      <c r="E666" t="s">
        <v>42</v>
      </c>
      <c r="F666" t="s">
        <v>10</v>
      </c>
    </row>
    <row r="667" spans="1:6" hidden="1" x14ac:dyDescent="0.35">
      <c r="A667" t="s">
        <v>61</v>
      </c>
      <c r="B667" t="s">
        <v>54</v>
      </c>
      <c r="C667" t="s">
        <v>44</v>
      </c>
      <c r="D667">
        <v>39031.163799999988</v>
      </c>
      <c r="E667" t="s">
        <v>42</v>
      </c>
      <c r="F667" t="s">
        <v>10</v>
      </c>
    </row>
    <row r="668" spans="1:6" hidden="1" x14ac:dyDescent="0.35">
      <c r="A668" t="s">
        <v>62</v>
      </c>
      <c r="B668" t="s">
        <v>54</v>
      </c>
      <c r="C668" t="s">
        <v>44</v>
      </c>
      <c r="D668">
        <v>144718.97240379409</v>
      </c>
      <c r="E668" t="s">
        <v>42</v>
      </c>
      <c r="F668" t="s">
        <v>10</v>
      </c>
    </row>
    <row r="669" spans="1:6" hidden="1" x14ac:dyDescent="0.35">
      <c r="A669" t="s">
        <v>63</v>
      </c>
      <c r="B669" t="s">
        <v>54</v>
      </c>
      <c r="C669" t="s">
        <v>44</v>
      </c>
      <c r="D669">
        <v>61221.229895934957</v>
      </c>
      <c r="E669" t="s">
        <v>42</v>
      </c>
      <c r="F669" t="s">
        <v>10</v>
      </c>
    </row>
    <row r="670" spans="1:6" hidden="1" x14ac:dyDescent="0.35">
      <c r="A670" t="s">
        <v>64</v>
      </c>
      <c r="B670" t="s">
        <v>54</v>
      </c>
      <c r="C670" t="s">
        <v>44</v>
      </c>
      <c r="D670">
        <v>70055.066816260165</v>
      </c>
      <c r="E670" t="s">
        <v>42</v>
      </c>
      <c r="F670" t="s">
        <v>10</v>
      </c>
    </row>
    <row r="671" spans="1:6" hidden="1" x14ac:dyDescent="0.35">
      <c r="A671" t="s">
        <v>65</v>
      </c>
      <c r="B671" t="s">
        <v>54</v>
      </c>
      <c r="C671" t="s">
        <v>44</v>
      </c>
      <c r="D671">
        <v>95038.150144715444</v>
      </c>
      <c r="E671" t="s">
        <v>42</v>
      </c>
      <c r="F671" t="s">
        <v>10</v>
      </c>
    </row>
    <row r="672" spans="1:6" hidden="1" x14ac:dyDescent="0.35">
      <c r="A672" t="s">
        <v>66</v>
      </c>
      <c r="B672" t="s">
        <v>54</v>
      </c>
      <c r="C672" t="s">
        <v>44</v>
      </c>
      <c r="D672">
        <v>131035.8579734417</v>
      </c>
      <c r="E672" t="s">
        <v>42</v>
      </c>
      <c r="F672" t="s">
        <v>10</v>
      </c>
    </row>
    <row r="673" spans="1:6" hidden="1" x14ac:dyDescent="0.35">
      <c r="A673" t="s">
        <v>67</v>
      </c>
      <c r="B673" t="s">
        <v>54</v>
      </c>
      <c r="C673" t="s">
        <v>44</v>
      </c>
      <c r="D673">
        <v>58534.231453658533</v>
      </c>
      <c r="E673" t="s">
        <v>42</v>
      </c>
      <c r="F673" t="s">
        <v>10</v>
      </c>
    </row>
    <row r="674" spans="1:6" hidden="1" x14ac:dyDescent="0.35">
      <c r="A674" t="s">
        <v>57</v>
      </c>
      <c r="B674" t="s">
        <v>54</v>
      </c>
      <c r="C674" t="s">
        <v>22</v>
      </c>
      <c r="D674">
        <v>0</v>
      </c>
      <c r="E674" t="s">
        <v>42</v>
      </c>
      <c r="F674" t="s">
        <v>10</v>
      </c>
    </row>
    <row r="675" spans="1:6" hidden="1" x14ac:dyDescent="0.35">
      <c r="A675" t="s">
        <v>11</v>
      </c>
      <c r="B675" t="s">
        <v>54</v>
      </c>
      <c r="C675" t="s">
        <v>22</v>
      </c>
      <c r="D675">
        <v>0</v>
      </c>
      <c r="E675" t="s">
        <v>42</v>
      </c>
      <c r="F675" t="s">
        <v>10</v>
      </c>
    </row>
    <row r="676" spans="1:6" hidden="1" x14ac:dyDescent="0.35">
      <c r="A676" t="s">
        <v>58</v>
      </c>
      <c r="B676" t="s">
        <v>54</v>
      </c>
      <c r="C676" t="s">
        <v>22</v>
      </c>
      <c r="D676">
        <v>0</v>
      </c>
      <c r="E676" t="s">
        <v>42</v>
      </c>
      <c r="F676" t="s">
        <v>10</v>
      </c>
    </row>
    <row r="677" spans="1:6" hidden="1" x14ac:dyDescent="0.35">
      <c r="A677" t="s">
        <v>59</v>
      </c>
      <c r="B677" t="s">
        <v>54</v>
      </c>
      <c r="C677" t="s">
        <v>22</v>
      </c>
      <c r="D677">
        <v>0</v>
      </c>
      <c r="E677" t="s">
        <v>42</v>
      </c>
      <c r="F677" t="s">
        <v>10</v>
      </c>
    </row>
    <row r="678" spans="1:6" hidden="1" x14ac:dyDescent="0.35">
      <c r="A678" t="s">
        <v>60</v>
      </c>
      <c r="B678" t="s">
        <v>54</v>
      </c>
      <c r="C678" t="s">
        <v>22</v>
      </c>
      <c r="D678">
        <v>0</v>
      </c>
      <c r="E678" t="s">
        <v>42</v>
      </c>
      <c r="F678" t="s">
        <v>10</v>
      </c>
    </row>
    <row r="679" spans="1:6" hidden="1" x14ac:dyDescent="0.35">
      <c r="A679" t="s">
        <v>61</v>
      </c>
      <c r="B679" t="s">
        <v>54</v>
      </c>
      <c r="C679" t="s">
        <v>22</v>
      </c>
      <c r="D679">
        <v>0</v>
      </c>
      <c r="E679" t="s">
        <v>42</v>
      </c>
      <c r="F679" t="s">
        <v>10</v>
      </c>
    </row>
    <row r="680" spans="1:6" hidden="1" x14ac:dyDescent="0.35">
      <c r="A680" t="s">
        <v>62</v>
      </c>
      <c r="B680" t="s">
        <v>54</v>
      </c>
      <c r="C680" t="s">
        <v>22</v>
      </c>
      <c r="D680">
        <v>0</v>
      </c>
      <c r="E680" t="s">
        <v>42</v>
      </c>
      <c r="F680" t="s">
        <v>10</v>
      </c>
    </row>
    <row r="681" spans="1:6" hidden="1" x14ac:dyDescent="0.35">
      <c r="A681" t="s">
        <v>63</v>
      </c>
      <c r="B681" t="s">
        <v>54</v>
      </c>
      <c r="C681" t="s">
        <v>22</v>
      </c>
      <c r="D681">
        <v>0</v>
      </c>
      <c r="E681" t="s">
        <v>42</v>
      </c>
      <c r="F681" t="s">
        <v>10</v>
      </c>
    </row>
    <row r="682" spans="1:6" hidden="1" x14ac:dyDescent="0.35">
      <c r="A682" t="s">
        <v>64</v>
      </c>
      <c r="B682" t="s">
        <v>54</v>
      </c>
      <c r="C682" t="s">
        <v>22</v>
      </c>
      <c r="D682">
        <v>0</v>
      </c>
      <c r="E682" t="s">
        <v>42</v>
      </c>
      <c r="F682" t="s">
        <v>10</v>
      </c>
    </row>
    <row r="683" spans="1:6" hidden="1" x14ac:dyDescent="0.35">
      <c r="A683" t="s">
        <v>65</v>
      </c>
      <c r="B683" t="s">
        <v>54</v>
      </c>
      <c r="C683" t="s">
        <v>22</v>
      </c>
      <c r="D683">
        <v>0</v>
      </c>
      <c r="E683" t="s">
        <v>42</v>
      </c>
      <c r="F683" t="s">
        <v>10</v>
      </c>
    </row>
    <row r="684" spans="1:6" hidden="1" x14ac:dyDescent="0.35">
      <c r="A684" t="s">
        <v>66</v>
      </c>
      <c r="B684" t="s">
        <v>54</v>
      </c>
      <c r="C684" t="s">
        <v>22</v>
      </c>
      <c r="D684">
        <v>0</v>
      </c>
      <c r="E684" t="s">
        <v>42</v>
      </c>
      <c r="F684" t="s">
        <v>10</v>
      </c>
    </row>
    <row r="685" spans="1:6" hidden="1" x14ac:dyDescent="0.35">
      <c r="A685" t="s">
        <v>67</v>
      </c>
      <c r="B685" t="s">
        <v>54</v>
      </c>
      <c r="C685" t="s">
        <v>22</v>
      </c>
      <c r="D685">
        <v>0</v>
      </c>
      <c r="E685" t="s">
        <v>42</v>
      </c>
      <c r="F685" t="s">
        <v>10</v>
      </c>
    </row>
    <row r="686" spans="1:6" hidden="1" x14ac:dyDescent="0.35">
      <c r="A686" t="s">
        <v>57</v>
      </c>
      <c r="B686" t="s">
        <v>54</v>
      </c>
      <c r="C686" t="s">
        <v>46</v>
      </c>
      <c r="D686">
        <v>32074.388456368561</v>
      </c>
      <c r="E686" t="s">
        <v>42</v>
      </c>
      <c r="F686" t="s">
        <v>10</v>
      </c>
    </row>
    <row r="687" spans="1:6" hidden="1" x14ac:dyDescent="0.35">
      <c r="A687" t="s">
        <v>11</v>
      </c>
      <c r="B687" t="s">
        <v>54</v>
      </c>
      <c r="C687" t="s">
        <v>46</v>
      </c>
      <c r="D687">
        <v>67976.040803127631</v>
      </c>
      <c r="E687" t="s">
        <v>42</v>
      </c>
      <c r="F687" t="s">
        <v>10</v>
      </c>
    </row>
    <row r="688" spans="1:6" hidden="1" x14ac:dyDescent="0.35">
      <c r="A688" t="s">
        <v>58</v>
      </c>
      <c r="B688" t="s">
        <v>54</v>
      </c>
      <c r="C688" t="s">
        <v>46</v>
      </c>
      <c r="D688">
        <v>14181.404767479669</v>
      </c>
      <c r="E688" t="s">
        <v>42</v>
      </c>
      <c r="F688" t="s">
        <v>10</v>
      </c>
    </row>
    <row r="689" spans="1:6" hidden="1" x14ac:dyDescent="0.35">
      <c r="A689" t="s">
        <v>59</v>
      </c>
      <c r="B689" t="s">
        <v>54</v>
      </c>
      <c r="C689" t="s">
        <v>46</v>
      </c>
      <c r="D689">
        <v>35389.674400000004</v>
      </c>
      <c r="E689" t="s">
        <v>42</v>
      </c>
      <c r="F689" t="s">
        <v>10</v>
      </c>
    </row>
    <row r="690" spans="1:6" hidden="1" x14ac:dyDescent="0.35">
      <c r="A690" t="s">
        <v>60</v>
      </c>
      <c r="B690" t="s">
        <v>54</v>
      </c>
      <c r="C690" t="s">
        <v>46</v>
      </c>
      <c r="D690">
        <v>3726.3309897018971</v>
      </c>
      <c r="E690" t="s">
        <v>42</v>
      </c>
      <c r="F690" t="s">
        <v>10</v>
      </c>
    </row>
    <row r="691" spans="1:6" hidden="1" x14ac:dyDescent="0.35">
      <c r="A691" t="s">
        <v>61</v>
      </c>
      <c r="B691" t="s">
        <v>54</v>
      </c>
      <c r="C691" t="s">
        <v>46</v>
      </c>
      <c r="D691">
        <v>1258.0296000000001</v>
      </c>
      <c r="E691" t="s">
        <v>42</v>
      </c>
      <c r="F691" t="s">
        <v>10</v>
      </c>
    </row>
    <row r="692" spans="1:6" hidden="1" x14ac:dyDescent="0.35">
      <c r="A692" t="s">
        <v>62</v>
      </c>
      <c r="B692" t="s">
        <v>54</v>
      </c>
      <c r="C692" t="s">
        <v>46</v>
      </c>
      <c r="D692">
        <v>12359.021192411919</v>
      </c>
      <c r="E692" t="s">
        <v>42</v>
      </c>
      <c r="F692" t="s">
        <v>10</v>
      </c>
    </row>
    <row r="693" spans="1:6" hidden="1" x14ac:dyDescent="0.35">
      <c r="A693" t="s">
        <v>63</v>
      </c>
      <c r="B693" t="s">
        <v>54</v>
      </c>
      <c r="C693" t="s">
        <v>46</v>
      </c>
      <c r="D693">
        <v>50184.078208130093</v>
      </c>
      <c r="E693" t="s">
        <v>42</v>
      </c>
      <c r="F693" t="s">
        <v>10</v>
      </c>
    </row>
    <row r="694" spans="1:6" hidden="1" x14ac:dyDescent="0.35">
      <c r="A694" t="s">
        <v>64</v>
      </c>
      <c r="B694" t="s">
        <v>54</v>
      </c>
      <c r="C694" t="s">
        <v>46</v>
      </c>
      <c r="D694">
        <v>21820.660367479679</v>
      </c>
      <c r="E694" t="s">
        <v>42</v>
      </c>
      <c r="F694" t="s">
        <v>10</v>
      </c>
    </row>
    <row r="695" spans="1:6" hidden="1" x14ac:dyDescent="0.35">
      <c r="A695" t="s">
        <v>65</v>
      </c>
      <c r="B695" t="s">
        <v>54</v>
      </c>
      <c r="C695" t="s">
        <v>46</v>
      </c>
      <c r="D695">
        <v>90141.44171056911</v>
      </c>
      <c r="E695" t="s">
        <v>42</v>
      </c>
      <c r="F695" t="s">
        <v>10</v>
      </c>
    </row>
    <row r="696" spans="1:6" hidden="1" x14ac:dyDescent="0.35">
      <c r="A696" t="s">
        <v>66</v>
      </c>
      <c r="B696" t="s">
        <v>54</v>
      </c>
      <c r="C696" t="s">
        <v>46</v>
      </c>
      <c r="D696">
        <v>414600.36365311663</v>
      </c>
      <c r="E696" t="s">
        <v>42</v>
      </c>
      <c r="F696" t="s">
        <v>10</v>
      </c>
    </row>
    <row r="697" spans="1:6" hidden="1" x14ac:dyDescent="0.35">
      <c r="A697" t="s">
        <v>67</v>
      </c>
      <c r="B697" t="s">
        <v>54</v>
      </c>
      <c r="C697" t="s">
        <v>46</v>
      </c>
      <c r="D697">
        <v>61736.486692682927</v>
      </c>
      <c r="E697" t="s">
        <v>42</v>
      </c>
      <c r="F697" t="s">
        <v>10</v>
      </c>
    </row>
    <row r="698" spans="1:6" hidden="1" x14ac:dyDescent="0.35">
      <c r="A698" t="s">
        <v>57</v>
      </c>
      <c r="B698" t="s">
        <v>54</v>
      </c>
      <c r="C698" t="s">
        <v>24</v>
      </c>
      <c r="D698">
        <v>0</v>
      </c>
      <c r="E698" t="s">
        <v>42</v>
      </c>
      <c r="F698" t="s">
        <v>10</v>
      </c>
    </row>
    <row r="699" spans="1:6" hidden="1" x14ac:dyDescent="0.35">
      <c r="A699" t="s">
        <v>11</v>
      </c>
      <c r="B699" t="s">
        <v>54</v>
      </c>
      <c r="C699" t="s">
        <v>24</v>
      </c>
      <c r="D699">
        <v>0</v>
      </c>
      <c r="E699" t="s">
        <v>42</v>
      </c>
      <c r="F699" t="s">
        <v>10</v>
      </c>
    </row>
    <row r="700" spans="1:6" hidden="1" x14ac:dyDescent="0.35">
      <c r="A700" t="s">
        <v>58</v>
      </c>
      <c r="B700" t="s">
        <v>54</v>
      </c>
      <c r="C700" t="s">
        <v>24</v>
      </c>
      <c r="D700">
        <v>0</v>
      </c>
      <c r="E700" t="s">
        <v>42</v>
      </c>
      <c r="F700" t="s">
        <v>10</v>
      </c>
    </row>
    <row r="701" spans="1:6" hidden="1" x14ac:dyDescent="0.35">
      <c r="A701" t="s">
        <v>59</v>
      </c>
      <c r="B701" t="s">
        <v>54</v>
      </c>
      <c r="C701" t="s">
        <v>24</v>
      </c>
      <c r="D701">
        <v>0</v>
      </c>
      <c r="E701" t="s">
        <v>42</v>
      </c>
      <c r="F701" t="s">
        <v>10</v>
      </c>
    </row>
    <row r="702" spans="1:6" hidden="1" x14ac:dyDescent="0.35">
      <c r="A702" t="s">
        <v>60</v>
      </c>
      <c r="B702" t="s">
        <v>54</v>
      </c>
      <c r="C702" t="s">
        <v>24</v>
      </c>
      <c r="D702">
        <v>0</v>
      </c>
      <c r="E702" t="s">
        <v>42</v>
      </c>
      <c r="F702" t="s">
        <v>10</v>
      </c>
    </row>
    <row r="703" spans="1:6" hidden="1" x14ac:dyDescent="0.35">
      <c r="A703" t="s">
        <v>61</v>
      </c>
      <c r="B703" t="s">
        <v>54</v>
      </c>
      <c r="C703" t="s">
        <v>24</v>
      </c>
      <c r="D703">
        <v>0</v>
      </c>
      <c r="E703" t="s">
        <v>42</v>
      </c>
      <c r="F703" t="s">
        <v>10</v>
      </c>
    </row>
    <row r="704" spans="1:6" hidden="1" x14ac:dyDescent="0.35">
      <c r="A704" t="s">
        <v>62</v>
      </c>
      <c r="B704" t="s">
        <v>54</v>
      </c>
      <c r="C704" t="s">
        <v>24</v>
      </c>
      <c r="D704">
        <v>0</v>
      </c>
      <c r="E704" t="s">
        <v>42</v>
      </c>
      <c r="F704" t="s">
        <v>10</v>
      </c>
    </row>
    <row r="705" spans="1:6" hidden="1" x14ac:dyDescent="0.35">
      <c r="A705" t="s">
        <v>63</v>
      </c>
      <c r="B705" t="s">
        <v>54</v>
      </c>
      <c r="C705" t="s">
        <v>24</v>
      </c>
      <c r="D705">
        <v>0</v>
      </c>
      <c r="E705" t="s">
        <v>42</v>
      </c>
      <c r="F705" t="s">
        <v>10</v>
      </c>
    </row>
    <row r="706" spans="1:6" hidden="1" x14ac:dyDescent="0.35">
      <c r="A706" t="s">
        <v>64</v>
      </c>
      <c r="B706" t="s">
        <v>54</v>
      </c>
      <c r="C706" t="s">
        <v>24</v>
      </c>
      <c r="D706">
        <v>0</v>
      </c>
      <c r="E706" t="s">
        <v>42</v>
      </c>
      <c r="F706" t="s">
        <v>10</v>
      </c>
    </row>
    <row r="707" spans="1:6" hidden="1" x14ac:dyDescent="0.35">
      <c r="A707" t="s">
        <v>65</v>
      </c>
      <c r="B707" t="s">
        <v>54</v>
      </c>
      <c r="C707" t="s">
        <v>24</v>
      </c>
      <c r="D707">
        <v>0</v>
      </c>
      <c r="E707" t="s">
        <v>42</v>
      </c>
      <c r="F707" t="s">
        <v>10</v>
      </c>
    </row>
    <row r="708" spans="1:6" hidden="1" x14ac:dyDescent="0.35">
      <c r="A708" t="s">
        <v>66</v>
      </c>
      <c r="B708" t="s">
        <v>54</v>
      </c>
      <c r="C708" t="s">
        <v>24</v>
      </c>
      <c r="D708">
        <v>0</v>
      </c>
      <c r="E708" t="s">
        <v>42</v>
      </c>
      <c r="F708" t="s">
        <v>10</v>
      </c>
    </row>
    <row r="709" spans="1:6" hidden="1" x14ac:dyDescent="0.35">
      <c r="A709" t="s">
        <v>67</v>
      </c>
      <c r="B709" t="s">
        <v>54</v>
      </c>
      <c r="C709" t="s">
        <v>24</v>
      </c>
      <c r="D709">
        <v>0</v>
      </c>
      <c r="E709" t="s">
        <v>42</v>
      </c>
      <c r="F709" t="s">
        <v>10</v>
      </c>
    </row>
    <row r="710" spans="1:6" hidden="1" x14ac:dyDescent="0.35">
      <c r="A710" t="s">
        <v>57</v>
      </c>
      <c r="B710" t="s">
        <v>54</v>
      </c>
      <c r="C710" t="s">
        <v>47</v>
      </c>
      <c r="E710" t="s">
        <v>42</v>
      </c>
      <c r="F710" t="s">
        <v>10</v>
      </c>
    </row>
    <row r="711" spans="1:6" hidden="1" x14ac:dyDescent="0.35">
      <c r="A711" t="s">
        <v>11</v>
      </c>
      <c r="B711" t="s">
        <v>54</v>
      </c>
      <c r="C711" t="s">
        <v>47</v>
      </c>
      <c r="E711" t="s">
        <v>42</v>
      </c>
      <c r="F711" t="s">
        <v>10</v>
      </c>
    </row>
    <row r="712" spans="1:6" hidden="1" x14ac:dyDescent="0.35">
      <c r="A712" t="s">
        <v>58</v>
      </c>
      <c r="B712" t="s">
        <v>54</v>
      </c>
      <c r="C712" t="s">
        <v>47</v>
      </c>
      <c r="E712" t="s">
        <v>42</v>
      </c>
      <c r="F712" t="s">
        <v>10</v>
      </c>
    </row>
    <row r="713" spans="1:6" hidden="1" x14ac:dyDescent="0.35">
      <c r="A713" t="s">
        <v>59</v>
      </c>
      <c r="B713" t="s">
        <v>54</v>
      </c>
      <c r="C713" t="s">
        <v>47</v>
      </c>
      <c r="E713" t="s">
        <v>42</v>
      </c>
      <c r="F713" t="s">
        <v>10</v>
      </c>
    </row>
    <row r="714" spans="1:6" hidden="1" x14ac:dyDescent="0.35">
      <c r="A714" t="s">
        <v>60</v>
      </c>
      <c r="B714" t="s">
        <v>54</v>
      </c>
      <c r="C714" t="s">
        <v>47</v>
      </c>
      <c r="E714" t="s">
        <v>42</v>
      </c>
      <c r="F714" t="s">
        <v>10</v>
      </c>
    </row>
    <row r="715" spans="1:6" hidden="1" x14ac:dyDescent="0.35">
      <c r="A715" t="s">
        <v>61</v>
      </c>
      <c r="B715" t="s">
        <v>54</v>
      </c>
      <c r="C715" t="s">
        <v>47</v>
      </c>
      <c r="E715" t="s">
        <v>42</v>
      </c>
      <c r="F715" t="s">
        <v>10</v>
      </c>
    </row>
    <row r="716" spans="1:6" hidden="1" x14ac:dyDescent="0.35">
      <c r="A716" t="s">
        <v>62</v>
      </c>
      <c r="B716" t="s">
        <v>54</v>
      </c>
      <c r="C716" t="s">
        <v>47</v>
      </c>
      <c r="E716" t="s">
        <v>42</v>
      </c>
      <c r="F716" t="s">
        <v>10</v>
      </c>
    </row>
    <row r="717" spans="1:6" hidden="1" x14ac:dyDescent="0.35">
      <c r="A717" t="s">
        <v>63</v>
      </c>
      <c r="B717" t="s">
        <v>54</v>
      </c>
      <c r="C717" t="s">
        <v>47</v>
      </c>
      <c r="E717" t="s">
        <v>42</v>
      </c>
      <c r="F717" t="s">
        <v>10</v>
      </c>
    </row>
    <row r="718" spans="1:6" hidden="1" x14ac:dyDescent="0.35">
      <c r="A718" t="s">
        <v>64</v>
      </c>
      <c r="B718" t="s">
        <v>54</v>
      </c>
      <c r="C718" t="s">
        <v>47</v>
      </c>
      <c r="E718" t="s">
        <v>42</v>
      </c>
      <c r="F718" t="s">
        <v>10</v>
      </c>
    </row>
    <row r="719" spans="1:6" hidden="1" x14ac:dyDescent="0.35">
      <c r="A719" t="s">
        <v>65</v>
      </c>
      <c r="B719" t="s">
        <v>54</v>
      </c>
      <c r="C719" t="s">
        <v>47</v>
      </c>
      <c r="E719" t="s">
        <v>42</v>
      </c>
      <c r="F719" t="s">
        <v>10</v>
      </c>
    </row>
    <row r="720" spans="1:6" hidden="1" x14ac:dyDescent="0.35">
      <c r="A720" t="s">
        <v>66</v>
      </c>
      <c r="B720" t="s">
        <v>54</v>
      </c>
      <c r="C720" t="s">
        <v>47</v>
      </c>
      <c r="E720" t="s">
        <v>42</v>
      </c>
      <c r="F720" t="s">
        <v>10</v>
      </c>
    </row>
    <row r="721" spans="1:6" hidden="1" x14ac:dyDescent="0.35">
      <c r="A721" t="s">
        <v>67</v>
      </c>
      <c r="B721" t="s">
        <v>54</v>
      </c>
      <c r="C721" t="s">
        <v>47</v>
      </c>
      <c r="E721" t="s">
        <v>42</v>
      </c>
      <c r="F721" t="s">
        <v>10</v>
      </c>
    </row>
    <row r="722" spans="1:6" hidden="1" x14ac:dyDescent="0.35">
      <c r="A722" t="s">
        <v>57</v>
      </c>
      <c r="B722" t="s">
        <v>54</v>
      </c>
      <c r="C722" t="s">
        <v>48</v>
      </c>
      <c r="D722">
        <v>0</v>
      </c>
      <c r="E722" t="s">
        <v>42</v>
      </c>
      <c r="F722" t="s">
        <v>10</v>
      </c>
    </row>
    <row r="723" spans="1:6" hidden="1" x14ac:dyDescent="0.35">
      <c r="A723" t="s">
        <v>11</v>
      </c>
      <c r="B723" t="s">
        <v>54</v>
      </c>
      <c r="C723" t="s">
        <v>48</v>
      </c>
      <c r="D723">
        <v>0</v>
      </c>
      <c r="E723" t="s">
        <v>42</v>
      </c>
      <c r="F723" t="s">
        <v>10</v>
      </c>
    </row>
    <row r="724" spans="1:6" hidden="1" x14ac:dyDescent="0.35">
      <c r="A724" t="s">
        <v>58</v>
      </c>
      <c r="B724" t="s">
        <v>54</v>
      </c>
      <c r="C724" t="s">
        <v>48</v>
      </c>
      <c r="D724">
        <v>0</v>
      </c>
      <c r="E724" t="s">
        <v>42</v>
      </c>
      <c r="F724" t="s">
        <v>10</v>
      </c>
    </row>
    <row r="725" spans="1:6" hidden="1" x14ac:dyDescent="0.35">
      <c r="A725" t="s">
        <v>59</v>
      </c>
      <c r="B725" t="s">
        <v>54</v>
      </c>
      <c r="C725" t="s">
        <v>48</v>
      </c>
      <c r="D725">
        <v>0</v>
      </c>
      <c r="E725" t="s">
        <v>42</v>
      </c>
      <c r="F725" t="s">
        <v>10</v>
      </c>
    </row>
    <row r="726" spans="1:6" hidden="1" x14ac:dyDescent="0.35">
      <c r="A726" t="s">
        <v>60</v>
      </c>
      <c r="B726" t="s">
        <v>54</v>
      </c>
      <c r="C726" t="s">
        <v>48</v>
      </c>
      <c r="D726">
        <v>0</v>
      </c>
      <c r="E726" t="s">
        <v>42</v>
      </c>
      <c r="F726" t="s">
        <v>10</v>
      </c>
    </row>
    <row r="727" spans="1:6" hidden="1" x14ac:dyDescent="0.35">
      <c r="A727" t="s">
        <v>61</v>
      </c>
      <c r="B727" t="s">
        <v>54</v>
      </c>
      <c r="C727" t="s">
        <v>48</v>
      </c>
      <c r="D727">
        <v>0</v>
      </c>
      <c r="E727" t="s">
        <v>42</v>
      </c>
      <c r="F727" t="s">
        <v>10</v>
      </c>
    </row>
    <row r="728" spans="1:6" hidden="1" x14ac:dyDescent="0.35">
      <c r="A728" t="s">
        <v>62</v>
      </c>
      <c r="B728" t="s">
        <v>54</v>
      </c>
      <c r="C728" t="s">
        <v>48</v>
      </c>
      <c r="D728">
        <v>0</v>
      </c>
      <c r="E728" t="s">
        <v>42</v>
      </c>
      <c r="F728" t="s">
        <v>10</v>
      </c>
    </row>
    <row r="729" spans="1:6" hidden="1" x14ac:dyDescent="0.35">
      <c r="A729" t="s">
        <v>63</v>
      </c>
      <c r="B729" t="s">
        <v>54</v>
      </c>
      <c r="C729" t="s">
        <v>48</v>
      </c>
      <c r="D729">
        <v>0</v>
      </c>
      <c r="E729" t="s">
        <v>42</v>
      </c>
      <c r="F729" t="s">
        <v>10</v>
      </c>
    </row>
    <row r="730" spans="1:6" hidden="1" x14ac:dyDescent="0.35">
      <c r="A730" t="s">
        <v>64</v>
      </c>
      <c r="B730" t="s">
        <v>54</v>
      </c>
      <c r="C730" t="s">
        <v>48</v>
      </c>
      <c r="D730">
        <v>0</v>
      </c>
      <c r="E730" t="s">
        <v>42</v>
      </c>
      <c r="F730" t="s">
        <v>10</v>
      </c>
    </row>
    <row r="731" spans="1:6" hidden="1" x14ac:dyDescent="0.35">
      <c r="A731" t="s">
        <v>65</v>
      </c>
      <c r="B731" t="s">
        <v>54</v>
      </c>
      <c r="C731" t="s">
        <v>48</v>
      </c>
      <c r="D731">
        <v>0</v>
      </c>
      <c r="E731" t="s">
        <v>42</v>
      </c>
      <c r="F731" t="s">
        <v>10</v>
      </c>
    </row>
    <row r="732" spans="1:6" hidden="1" x14ac:dyDescent="0.35">
      <c r="A732" t="s">
        <v>66</v>
      </c>
      <c r="B732" t="s">
        <v>54</v>
      </c>
      <c r="C732" t="s">
        <v>48</v>
      </c>
      <c r="D732">
        <v>0</v>
      </c>
      <c r="E732" t="s">
        <v>42</v>
      </c>
      <c r="F732" t="s">
        <v>10</v>
      </c>
    </row>
    <row r="733" spans="1:6" hidden="1" x14ac:dyDescent="0.35">
      <c r="A733" t="s">
        <v>67</v>
      </c>
      <c r="B733" t="s">
        <v>54</v>
      </c>
      <c r="C733" t="s">
        <v>48</v>
      </c>
      <c r="D733">
        <v>0</v>
      </c>
      <c r="E733" t="s">
        <v>42</v>
      </c>
      <c r="F733" t="s">
        <v>10</v>
      </c>
    </row>
    <row r="734" spans="1:6" hidden="1" x14ac:dyDescent="0.35">
      <c r="A734" t="s">
        <v>57</v>
      </c>
      <c r="B734" t="s">
        <v>54</v>
      </c>
      <c r="C734" t="s">
        <v>49</v>
      </c>
      <c r="D734">
        <v>931829.05760000017</v>
      </c>
      <c r="E734" t="s">
        <v>42</v>
      </c>
      <c r="F734" t="s">
        <v>10</v>
      </c>
    </row>
    <row r="735" spans="1:6" hidden="1" x14ac:dyDescent="0.35">
      <c r="A735" t="s">
        <v>11</v>
      </c>
      <c r="B735" t="s">
        <v>54</v>
      </c>
      <c r="C735" t="s">
        <v>49</v>
      </c>
      <c r="D735">
        <v>945975.9427999995</v>
      </c>
      <c r="E735" t="s">
        <v>42</v>
      </c>
      <c r="F735" t="s">
        <v>10</v>
      </c>
    </row>
    <row r="736" spans="1:6" hidden="1" x14ac:dyDescent="0.35">
      <c r="A736" t="s">
        <v>58</v>
      </c>
      <c r="B736" t="s">
        <v>54</v>
      </c>
      <c r="C736" t="s">
        <v>49</v>
      </c>
      <c r="D736">
        <v>1000458.8324</v>
      </c>
      <c r="E736" t="s">
        <v>42</v>
      </c>
      <c r="F736" t="s">
        <v>10</v>
      </c>
    </row>
    <row r="737" spans="1:6" hidden="1" x14ac:dyDescent="0.35">
      <c r="A737" t="s">
        <v>59</v>
      </c>
      <c r="B737" t="s">
        <v>54</v>
      </c>
      <c r="C737" t="s">
        <v>49</v>
      </c>
      <c r="D737">
        <v>1176671.3228</v>
      </c>
      <c r="E737" t="s">
        <v>42</v>
      </c>
      <c r="F737" t="s">
        <v>10</v>
      </c>
    </row>
    <row r="738" spans="1:6" hidden="1" x14ac:dyDescent="0.35">
      <c r="A738" t="s">
        <v>60</v>
      </c>
      <c r="B738" t="s">
        <v>54</v>
      </c>
      <c r="C738" t="s">
        <v>49</v>
      </c>
      <c r="D738">
        <v>1456738.639999998</v>
      </c>
      <c r="E738" t="s">
        <v>42</v>
      </c>
      <c r="F738" t="s">
        <v>10</v>
      </c>
    </row>
    <row r="739" spans="1:6" hidden="1" x14ac:dyDescent="0.35">
      <c r="A739" t="s">
        <v>61</v>
      </c>
      <c r="B739" t="s">
        <v>54</v>
      </c>
      <c r="C739" t="s">
        <v>49</v>
      </c>
      <c r="D739">
        <v>1406727.3455999999</v>
      </c>
      <c r="E739" t="s">
        <v>42</v>
      </c>
      <c r="F739" t="s">
        <v>10</v>
      </c>
    </row>
    <row r="740" spans="1:6" hidden="1" x14ac:dyDescent="0.35">
      <c r="A740" t="s">
        <v>62</v>
      </c>
      <c r="B740" t="s">
        <v>54</v>
      </c>
      <c r="C740" t="s">
        <v>49</v>
      </c>
      <c r="D740">
        <v>1495582.2644</v>
      </c>
      <c r="E740" t="s">
        <v>42</v>
      </c>
      <c r="F740" t="s">
        <v>10</v>
      </c>
    </row>
    <row r="741" spans="1:6" hidden="1" x14ac:dyDescent="0.35">
      <c r="A741" t="s">
        <v>63</v>
      </c>
      <c r="B741" t="s">
        <v>54</v>
      </c>
      <c r="C741" t="s">
        <v>49</v>
      </c>
      <c r="D741">
        <v>1671929.0836</v>
      </c>
      <c r="E741" t="s">
        <v>42</v>
      </c>
      <c r="F741" t="s">
        <v>10</v>
      </c>
    </row>
    <row r="742" spans="1:6" hidden="1" x14ac:dyDescent="0.35">
      <c r="A742" t="s">
        <v>64</v>
      </c>
      <c r="B742" t="s">
        <v>54</v>
      </c>
      <c r="C742" t="s">
        <v>49</v>
      </c>
      <c r="D742">
        <v>997660.83360000025</v>
      </c>
      <c r="E742" t="s">
        <v>42</v>
      </c>
      <c r="F742" t="s">
        <v>10</v>
      </c>
    </row>
    <row r="743" spans="1:6" hidden="1" x14ac:dyDescent="0.35">
      <c r="A743" t="s">
        <v>65</v>
      </c>
      <c r="B743" t="s">
        <v>54</v>
      </c>
      <c r="C743" t="s">
        <v>49</v>
      </c>
      <c r="D743">
        <v>1286769.6155999999</v>
      </c>
      <c r="E743" t="s">
        <v>42</v>
      </c>
      <c r="F743" t="s">
        <v>10</v>
      </c>
    </row>
    <row r="744" spans="1:6" hidden="1" x14ac:dyDescent="0.35">
      <c r="A744" t="s">
        <v>66</v>
      </c>
      <c r="B744" t="s">
        <v>54</v>
      </c>
      <c r="C744" t="s">
        <v>49</v>
      </c>
      <c r="D744">
        <v>1156911.179999999</v>
      </c>
      <c r="E744" t="s">
        <v>42</v>
      </c>
      <c r="F744" t="s">
        <v>10</v>
      </c>
    </row>
    <row r="745" spans="1:6" hidden="1" x14ac:dyDescent="0.35">
      <c r="A745" t="s">
        <v>67</v>
      </c>
      <c r="B745" t="s">
        <v>54</v>
      </c>
      <c r="C745" t="s">
        <v>49</v>
      </c>
      <c r="D745">
        <v>1030141.501200001</v>
      </c>
      <c r="E745" t="s">
        <v>42</v>
      </c>
      <c r="F745" t="s">
        <v>10</v>
      </c>
    </row>
    <row r="746" spans="1:6" hidden="1" x14ac:dyDescent="0.35">
      <c r="A746" t="s">
        <v>57</v>
      </c>
      <c r="B746" t="s">
        <v>54</v>
      </c>
      <c r="C746" t="s">
        <v>50</v>
      </c>
      <c r="D746">
        <v>278016.7916</v>
      </c>
      <c r="E746" t="s">
        <v>42</v>
      </c>
      <c r="F746" t="s">
        <v>10</v>
      </c>
    </row>
    <row r="747" spans="1:6" hidden="1" x14ac:dyDescent="0.35">
      <c r="A747" t="s">
        <v>11</v>
      </c>
      <c r="B747" t="s">
        <v>54</v>
      </c>
      <c r="C747" t="s">
        <v>50</v>
      </c>
      <c r="D747">
        <v>247245.274</v>
      </c>
      <c r="E747" t="s">
        <v>42</v>
      </c>
      <c r="F747" t="s">
        <v>10</v>
      </c>
    </row>
    <row r="748" spans="1:6" hidden="1" x14ac:dyDescent="0.35">
      <c r="A748" t="s">
        <v>58</v>
      </c>
      <c r="B748" t="s">
        <v>54</v>
      </c>
      <c r="C748" t="s">
        <v>50</v>
      </c>
      <c r="D748">
        <v>76649.967600000004</v>
      </c>
      <c r="E748" t="s">
        <v>42</v>
      </c>
      <c r="F748" t="s">
        <v>10</v>
      </c>
    </row>
    <row r="749" spans="1:6" hidden="1" x14ac:dyDescent="0.35">
      <c r="A749" t="s">
        <v>59</v>
      </c>
      <c r="B749" t="s">
        <v>54</v>
      </c>
      <c r="C749" t="s">
        <v>50</v>
      </c>
      <c r="D749">
        <v>260517.31640000001</v>
      </c>
      <c r="E749" t="s">
        <v>42</v>
      </c>
      <c r="F749" t="s">
        <v>10</v>
      </c>
    </row>
    <row r="750" spans="1:6" hidden="1" x14ac:dyDescent="0.35">
      <c r="A750" t="s">
        <v>60</v>
      </c>
      <c r="B750" t="s">
        <v>54</v>
      </c>
      <c r="C750" t="s">
        <v>50</v>
      </c>
      <c r="D750">
        <v>100405.4908</v>
      </c>
      <c r="E750" t="s">
        <v>42</v>
      </c>
      <c r="F750" t="s">
        <v>10</v>
      </c>
    </row>
    <row r="751" spans="1:6" hidden="1" x14ac:dyDescent="0.35">
      <c r="A751" t="s">
        <v>61</v>
      </c>
      <c r="B751" t="s">
        <v>54</v>
      </c>
      <c r="C751" t="s">
        <v>50</v>
      </c>
      <c r="D751">
        <v>79320.357199999999</v>
      </c>
      <c r="E751" t="s">
        <v>42</v>
      </c>
      <c r="F751" t="s">
        <v>10</v>
      </c>
    </row>
    <row r="752" spans="1:6" hidden="1" x14ac:dyDescent="0.35">
      <c r="A752" t="s">
        <v>62</v>
      </c>
      <c r="B752" t="s">
        <v>54</v>
      </c>
      <c r="C752" t="s">
        <v>50</v>
      </c>
      <c r="D752">
        <v>301796.96600000001</v>
      </c>
      <c r="E752" t="s">
        <v>42</v>
      </c>
      <c r="F752" t="s">
        <v>10</v>
      </c>
    </row>
    <row r="753" spans="1:6" hidden="1" x14ac:dyDescent="0.35">
      <c r="A753" t="s">
        <v>63</v>
      </c>
      <c r="B753" t="s">
        <v>54</v>
      </c>
      <c r="C753" t="s">
        <v>50</v>
      </c>
      <c r="D753">
        <v>172626.538</v>
      </c>
      <c r="E753" t="s">
        <v>42</v>
      </c>
      <c r="F753" t="s">
        <v>10</v>
      </c>
    </row>
    <row r="754" spans="1:6" hidden="1" x14ac:dyDescent="0.35">
      <c r="A754" t="s">
        <v>64</v>
      </c>
      <c r="B754" t="s">
        <v>54</v>
      </c>
      <c r="C754" t="s">
        <v>50</v>
      </c>
      <c r="D754">
        <v>161930.79399999999</v>
      </c>
      <c r="E754" t="s">
        <v>42</v>
      </c>
      <c r="F754" t="s">
        <v>10</v>
      </c>
    </row>
    <row r="755" spans="1:6" hidden="1" x14ac:dyDescent="0.35">
      <c r="A755" t="s">
        <v>65</v>
      </c>
      <c r="B755" t="s">
        <v>54</v>
      </c>
      <c r="C755" t="s">
        <v>50</v>
      </c>
      <c r="D755">
        <v>280217.74200000003</v>
      </c>
      <c r="E755" t="s">
        <v>42</v>
      </c>
      <c r="F755" t="s">
        <v>10</v>
      </c>
    </row>
    <row r="756" spans="1:6" hidden="1" x14ac:dyDescent="0.35">
      <c r="A756" t="s">
        <v>66</v>
      </c>
      <c r="B756" t="s">
        <v>54</v>
      </c>
      <c r="C756" t="s">
        <v>50</v>
      </c>
      <c r="D756">
        <v>676672.07959999994</v>
      </c>
      <c r="E756" t="s">
        <v>42</v>
      </c>
      <c r="F756" t="s">
        <v>10</v>
      </c>
    </row>
    <row r="757" spans="1:6" hidden="1" x14ac:dyDescent="0.35">
      <c r="A757" t="s">
        <v>67</v>
      </c>
      <c r="B757" t="s">
        <v>54</v>
      </c>
      <c r="C757" t="s">
        <v>50</v>
      </c>
      <c r="D757">
        <v>178804.94959999999</v>
      </c>
      <c r="E757" t="s">
        <v>42</v>
      </c>
      <c r="F757" t="s">
        <v>10</v>
      </c>
    </row>
    <row r="758" spans="1:6" hidden="1" x14ac:dyDescent="0.35">
      <c r="A758" t="s">
        <v>57</v>
      </c>
      <c r="B758" t="s">
        <v>54</v>
      </c>
      <c r="C758" t="s">
        <v>51</v>
      </c>
      <c r="D758">
        <v>568</v>
      </c>
      <c r="E758" t="s">
        <v>42</v>
      </c>
      <c r="F758" t="s">
        <v>10</v>
      </c>
    </row>
    <row r="759" spans="1:6" hidden="1" x14ac:dyDescent="0.35">
      <c r="A759" t="s">
        <v>11</v>
      </c>
      <c r="B759" t="s">
        <v>54</v>
      </c>
      <c r="C759" t="s">
        <v>51</v>
      </c>
      <c r="D759">
        <v>576</v>
      </c>
      <c r="E759" t="s">
        <v>42</v>
      </c>
      <c r="F759" t="s">
        <v>10</v>
      </c>
    </row>
    <row r="760" spans="1:6" hidden="1" x14ac:dyDescent="0.35">
      <c r="A760" t="s">
        <v>58</v>
      </c>
      <c r="B760" t="s">
        <v>54</v>
      </c>
      <c r="C760" t="s">
        <v>51</v>
      </c>
      <c r="D760">
        <v>903</v>
      </c>
      <c r="E760" t="s">
        <v>42</v>
      </c>
      <c r="F760" t="s">
        <v>10</v>
      </c>
    </row>
    <row r="761" spans="1:6" hidden="1" x14ac:dyDescent="0.35">
      <c r="A761" t="s">
        <v>59</v>
      </c>
      <c r="B761" t="s">
        <v>54</v>
      </c>
      <c r="C761" t="s">
        <v>51</v>
      </c>
      <c r="D761">
        <v>756</v>
      </c>
      <c r="E761" t="s">
        <v>42</v>
      </c>
      <c r="F761" t="s">
        <v>10</v>
      </c>
    </row>
    <row r="762" spans="1:6" hidden="1" x14ac:dyDescent="0.35">
      <c r="A762" t="s">
        <v>60</v>
      </c>
      <c r="B762" t="s">
        <v>54</v>
      </c>
      <c r="C762" t="s">
        <v>51</v>
      </c>
      <c r="D762">
        <v>603</v>
      </c>
      <c r="E762" t="s">
        <v>42</v>
      </c>
      <c r="F762" t="s">
        <v>10</v>
      </c>
    </row>
    <row r="763" spans="1:6" hidden="1" x14ac:dyDescent="0.35">
      <c r="A763" t="s">
        <v>61</v>
      </c>
      <c r="B763" t="s">
        <v>54</v>
      </c>
      <c r="C763" t="s">
        <v>51</v>
      </c>
      <c r="D763">
        <v>326</v>
      </c>
      <c r="E763" t="s">
        <v>42</v>
      </c>
      <c r="F763" t="s">
        <v>10</v>
      </c>
    </row>
    <row r="764" spans="1:6" hidden="1" x14ac:dyDescent="0.35">
      <c r="A764" t="s">
        <v>62</v>
      </c>
      <c r="B764" t="s">
        <v>54</v>
      </c>
      <c r="C764" t="s">
        <v>51</v>
      </c>
      <c r="D764">
        <v>65</v>
      </c>
      <c r="E764" t="s">
        <v>42</v>
      </c>
      <c r="F764" t="s">
        <v>10</v>
      </c>
    </row>
    <row r="765" spans="1:6" hidden="1" x14ac:dyDescent="0.35">
      <c r="A765" t="s">
        <v>63</v>
      </c>
      <c r="B765" t="s">
        <v>54</v>
      </c>
      <c r="C765" t="s">
        <v>51</v>
      </c>
      <c r="D765">
        <v>48</v>
      </c>
      <c r="E765" t="s">
        <v>42</v>
      </c>
      <c r="F765" t="s">
        <v>10</v>
      </c>
    </row>
    <row r="766" spans="1:6" hidden="1" x14ac:dyDescent="0.35">
      <c r="A766" t="s">
        <v>64</v>
      </c>
      <c r="B766" t="s">
        <v>54</v>
      </c>
      <c r="C766" t="s">
        <v>51</v>
      </c>
      <c r="D766">
        <v>44</v>
      </c>
      <c r="E766" t="s">
        <v>42</v>
      </c>
      <c r="F766" t="s">
        <v>10</v>
      </c>
    </row>
    <row r="767" spans="1:6" hidden="1" x14ac:dyDescent="0.35">
      <c r="A767" t="s">
        <v>65</v>
      </c>
      <c r="B767" t="s">
        <v>54</v>
      </c>
      <c r="C767" t="s">
        <v>51</v>
      </c>
      <c r="D767">
        <v>55</v>
      </c>
      <c r="E767" t="s">
        <v>42</v>
      </c>
      <c r="F767" t="s">
        <v>10</v>
      </c>
    </row>
    <row r="768" spans="1:6" hidden="1" x14ac:dyDescent="0.35">
      <c r="A768" t="s">
        <v>66</v>
      </c>
      <c r="B768" t="s">
        <v>54</v>
      </c>
      <c r="C768" t="s">
        <v>51</v>
      </c>
      <c r="D768">
        <v>43</v>
      </c>
      <c r="E768" t="s">
        <v>42</v>
      </c>
      <c r="F768" t="s">
        <v>10</v>
      </c>
    </row>
    <row r="769" spans="1:6" hidden="1" x14ac:dyDescent="0.35">
      <c r="A769" t="s">
        <v>67</v>
      </c>
      <c r="B769" t="s">
        <v>54</v>
      </c>
      <c r="C769" t="s">
        <v>51</v>
      </c>
      <c r="D769">
        <v>25</v>
      </c>
      <c r="E769" t="s">
        <v>42</v>
      </c>
      <c r="F769" t="s">
        <v>10</v>
      </c>
    </row>
    <row r="770" spans="1:6" hidden="1" x14ac:dyDescent="0.35">
      <c r="A770" t="s">
        <v>57</v>
      </c>
      <c r="B770" t="s">
        <v>54</v>
      </c>
      <c r="C770" t="s">
        <v>30</v>
      </c>
      <c r="D770">
        <v>119</v>
      </c>
      <c r="E770" t="s">
        <v>42</v>
      </c>
      <c r="F770" t="s">
        <v>10</v>
      </c>
    </row>
    <row r="771" spans="1:6" hidden="1" x14ac:dyDescent="0.35">
      <c r="A771" t="s">
        <v>11</v>
      </c>
      <c r="B771" t="s">
        <v>54</v>
      </c>
      <c r="C771" t="s">
        <v>30</v>
      </c>
      <c r="D771">
        <v>205</v>
      </c>
      <c r="E771" t="s">
        <v>42</v>
      </c>
      <c r="F771" t="s">
        <v>10</v>
      </c>
    </row>
    <row r="772" spans="1:6" hidden="1" x14ac:dyDescent="0.35">
      <c r="A772" t="s">
        <v>58</v>
      </c>
      <c r="B772" t="s">
        <v>54</v>
      </c>
      <c r="C772" t="s">
        <v>30</v>
      </c>
      <c r="D772">
        <v>124</v>
      </c>
      <c r="E772" t="s">
        <v>42</v>
      </c>
      <c r="F772" t="s">
        <v>10</v>
      </c>
    </row>
    <row r="773" spans="1:6" hidden="1" x14ac:dyDescent="0.35">
      <c r="A773" t="s">
        <v>59</v>
      </c>
      <c r="B773" t="s">
        <v>54</v>
      </c>
      <c r="C773" t="s">
        <v>30</v>
      </c>
      <c r="D773">
        <v>374</v>
      </c>
      <c r="E773" t="s">
        <v>42</v>
      </c>
      <c r="F773" t="s">
        <v>10</v>
      </c>
    </row>
    <row r="774" spans="1:6" hidden="1" x14ac:dyDescent="0.35">
      <c r="A774" t="s">
        <v>60</v>
      </c>
      <c r="B774" t="s">
        <v>54</v>
      </c>
      <c r="C774" t="s">
        <v>30</v>
      </c>
      <c r="D774">
        <v>433</v>
      </c>
      <c r="E774" t="s">
        <v>42</v>
      </c>
      <c r="F774" t="s">
        <v>10</v>
      </c>
    </row>
    <row r="775" spans="1:6" hidden="1" x14ac:dyDescent="0.35">
      <c r="A775" t="s">
        <v>61</v>
      </c>
      <c r="B775" t="s">
        <v>54</v>
      </c>
      <c r="C775" t="s">
        <v>30</v>
      </c>
      <c r="D775">
        <v>349</v>
      </c>
      <c r="E775" t="s">
        <v>42</v>
      </c>
      <c r="F775" t="s">
        <v>10</v>
      </c>
    </row>
    <row r="776" spans="1:6" hidden="1" x14ac:dyDescent="0.35">
      <c r="A776" t="s">
        <v>62</v>
      </c>
      <c r="B776" t="s">
        <v>54</v>
      </c>
      <c r="C776" t="s">
        <v>30</v>
      </c>
      <c r="D776">
        <v>257</v>
      </c>
      <c r="E776" t="s">
        <v>42</v>
      </c>
      <c r="F776" t="s">
        <v>10</v>
      </c>
    </row>
    <row r="777" spans="1:6" hidden="1" x14ac:dyDescent="0.35">
      <c r="A777" t="s">
        <v>63</v>
      </c>
      <c r="B777" t="s">
        <v>54</v>
      </c>
      <c r="C777" t="s">
        <v>30</v>
      </c>
      <c r="D777">
        <v>361</v>
      </c>
      <c r="E777" t="s">
        <v>42</v>
      </c>
      <c r="F777" t="s">
        <v>10</v>
      </c>
    </row>
    <row r="778" spans="1:6" hidden="1" x14ac:dyDescent="0.35">
      <c r="A778" t="s">
        <v>64</v>
      </c>
      <c r="B778" t="s">
        <v>54</v>
      </c>
      <c r="C778" t="s">
        <v>30</v>
      </c>
      <c r="D778">
        <v>343</v>
      </c>
      <c r="E778" t="s">
        <v>42</v>
      </c>
      <c r="F778" t="s">
        <v>10</v>
      </c>
    </row>
    <row r="779" spans="1:6" hidden="1" x14ac:dyDescent="0.35">
      <c r="A779" t="s">
        <v>65</v>
      </c>
      <c r="B779" t="s">
        <v>54</v>
      </c>
      <c r="C779" t="s">
        <v>30</v>
      </c>
      <c r="D779">
        <v>419</v>
      </c>
      <c r="E779" t="s">
        <v>42</v>
      </c>
      <c r="F779" t="s">
        <v>10</v>
      </c>
    </row>
    <row r="780" spans="1:6" hidden="1" x14ac:dyDescent="0.35">
      <c r="A780" t="s">
        <v>66</v>
      </c>
      <c r="B780" t="s">
        <v>54</v>
      </c>
      <c r="C780" t="s">
        <v>30</v>
      </c>
      <c r="D780">
        <v>293</v>
      </c>
      <c r="E780" t="s">
        <v>42</v>
      </c>
      <c r="F780" t="s">
        <v>10</v>
      </c>
    </row>
    <row r="781" spans="1:6" hidden="1" x14ac:dyDescent="0.35">
      <c r="A781" t="s">
        <v>67</v>
      </c>
      <c r="B781" t="s">
        <v>54</v>
      </c>
      <c r="C781" t="s">
        <v>30</v>
      </c>
      <c r="D781">
        <v>300</v>
      </c>
      <c r="E781" t="s">
        <v>42</v>
      </c>
      <c r="F781" t="s">
        <v>10</v>
      </c>
    </row>
    <row r="782" spans="1:6" hidden="1" x14ac:dyDescent="0.35">
      <c r="A782" t="s">
        <v>57</v>
      </c>
      <c r="B782" t="s">
        <v>54</v>
      </c>
      <c r="C782" t="s">
        <v>52</v>
      </c>
      <c r="D782">
        <v>465</v>
      </c>
      <c r="E782" t="s">
        <v>42</v>
      </c>
      <c r="F782" t="s">
        <v>10</v>
      </c>
    </row>
    <row r="783" spans="1:6" hidden="1" x14ac:dyDescent="0.35">
      <c r="A783" t="s">
        <v>11</v>
      </c>
      <c r="B783" t="s">
        <v>54</v>
      </c>
      <c r="C783" t="s">
        <v>52</v>
      </c>
      <c r="D783">
        <v>509</v>
      </c>
      <c r="E783" t="s">
        <v>42</v>
      </c>
      <c r="F783" t="s">
        <v>10</v>
      </c>
    </row>
    <row r="784" spans="1:6" hidden="1" x14ac:dyDescent="0.35">
      <c r="A784" t="s">
        <v>58</v>
      </c>
      <c r="B784" t="s">
        <v>54</v>
      </c>
      <c r="C784" t="s">
        <v>52</v>
      </c>
      <c r="D784">
        <v>744</v>
      </c>
      <c r="E784" t="s">
        <v>42</v>
      </c>
      <c r="F784" t="s">
        <v>10</v>
      </c>
    </row>
    <row r="785" spans="1:6" hidden="1" x14ac:dyDescent="0.35">
      <c r="A785" t="s">
        <v>59</v>
      </c>
      <c r="B785" t="s">
        <v>54</v>
      </c>
      <c r="C785" t="s">
        <v>52</v>
      </c>
      <c r="D785">
        <v>688</v>
      </c>
      <c r="E785" t="s">
        <v>42</v>
      </c>
      <c r="F785" t="s">
        <v>10</v>
      </c>
    </row>
    <row r="786" spans="1:6" hidden="1" x14ac:dyDescent="0.35">
      <c r="A786" t="s">
        <v>60</v>
      </c>
      <c r="B786" t="s">
        <v>54</v>
      </c>
      <c r="C786" t="s">
        <v>52</v>
      </c>
      <c r="D786">
        <v>541</v>
      </c>
      <c r="E786" t="s">
        <v>42</v>
      </c>
      <c r="F786" t="s">
        <v>10</v>
      </c>
    </row>
    <row r="787" spans="1:6" hidden="1" x14ac:dyDescent="0.35">
      <c r="A787" t="s">
        <v>61</v>
      </c>
      <c r="B787" t="s">
        <v>54</v>
      </c>
      <c r="C787" t="s">
        <v>52</v>
      </c>
      <c r="D787">
        <v>272</v>
      </c>
      <c r="E787" t="s">
        <v>42</v>
      </c>
      <c r="F787" t="s">
        <v>10</v>
      </c>
    </row>
    <row r="788" spans="1:6" hidden="1" x14ac:dyDescent="0.35">
      <c r="A788" t="s">
        <v>62</v>
      </c>
      <c r="B788" t="s">
        <v>54</v>
      </c>
      <c r="C788" t="s">
        <v>52</v>
      </c>
      <c r="D788">
        <v>35</v>
      </c>
      <c r="E788" t="s">
        <v>42</v>
      </c>
      <c r="F788" t="s">
        <v>10</v>
      </c>
    </row>
    <row r="789" spans="1:6" hidden="1" x14ac:dyDescent="0.35">
      <c r="A789" t="s">
        <v>63</v>
      </c>
      <c r="B789" t="s">
        <v>54</v>
      </c>
      <c r="C789" t="s">
        <v>52</v>
      </c>
      <c r="D789">
        <v>29</v>
      </c>
      <c r="E789" t="s">
        <v>42</v>
      </c>
      <c r="F789" t="s">
        <v>10</v>
      </c>
    </row>
    <row r="790" spans="1:6" hidden="1" x14ac:dyDescent="0.35">
      <c r="A790" t="s">
        <v>64</v>
      </c>
      <c r="B790" t="s">
        <v>54</v>
      </c>
      <c r="C790" t="s">
        <v>52</v>
      </c>
      <c r="D790">
        <v>25</v>
      </c>
      <c r="E790" t="s">
        <v>42</v>
      </c>
      <c r="F790" t="s">
        <v>10</v>
      </c>
    </row>
    <row r="791" spans="1:6" hidden="1" x14ac:dyDescent="0.35">
      <c r="A791" t="s">
        <v>65</v>
      </c>
      <c r="B791" t="s">
        <v>54</v>
      </c>
      <c r="C791" t="s">
        <v>52</v>
      </c>
      <c r="D791">
        <v>32</v>
      </c>
      <c r="E791" t="s">
        <v>42</v>
      </c>
      <c r="F791" t="s">
        <v>10</v>
      </c>
    </row>
    <row r="792" spans="1:6" hidden="1" x14ac:dyDescent="0.35">
      <c r="A792" t="s">
        <v>66</v>
      </c>
      <c r="B792" t="s">
        <v>54</v>
      </c>
      <c r="C792" t="s">
        <v>52</v>
      </c>
      <c r="D792">
        <v>16</v>
      </c>
      <c r="E792" t="s">
        <v>42</v>
      </c>
      <c r="F792" t="s">
        <v>10</v>
      </c>
    </row>
    <row r="793" spans="1:6" hidden="1" x14ac:dyDescent="0.35">
      <c r="A793" t="s">
        <v>67</v>
      </c>
      <c r="B793" t="s">
        <v>54</v>
      </c>
      <c r="C793" t="s">
        <v>52</v>
      </c>
      <c r="D793">
        <v>7</v>
      </c>
      <c r="E793" t="s">
        <v>42</v>
      </c>
      <c r="F793" t="s">
        <v>10</v>
      </c>
    </row>
    <row r="794" spans="1:6" hidden="1" x14ac:dyDescent="0.35">
      <c r="A794" t="s">
        <v>57</v>
      </c>
      <c r="B794" t="s">
        <v>69</v>
      </c>
      <c r="C794" t="s">
        <v>44</v>
      </c>
      <c r="E794" t="s">
        <v>42</v>
      </c>
      <c r="F794" t="s">
        <v>10</v>
      </c>
    </row>
    <row r="795" spans="1:6" hidden="1" x14ac:dyDescent="0.35">
      <c r="A795" t="s">
        <v>11</v>
      </c>
      <c r="B795" t="s">
        <v>69</v>
      </c>
      <c r="C795" t="s">
        <v>44</v>
      </c>
      <c r="D795">
        <v>10898.38061626016</v>
      </c>
      <c r="E795" t="s">
        <v>42</v>
      </c>
      <c r="F795" t="s">
        <v>10</v>
      </c>
    </row>
    <row r="796" spans="1:6" hidden="1" x14ac:dyDescent="0.35">
      <c r="A796" t="s">
        <v>58</v>
      </c>
      <c r="B796" t="s">
        <v>69</v>
      </c>
      <c r="C796" t="s">
        <v>44</v>
      </c>
      <c r="D796">
        <v>0</v>
      </c>
      <c r="E796" t="s">
        <v>42</v>
      </c>
      <c r="F796" t="s">
        <v>10</v>
      </c>
    </row>
    <row r="797" spans="1:6" hidden="1" x14ac:dyDescent="0.35">
      <c r="A797" t="s">
        <v>59</v>
      </c>
      <c r="B797" t="s">
        <v>69</v>
      </c>
      <c r="C797" t="s">
        <v>44</v>
      </c>
      <c r="E797" t="s">
        <v>42</v>
      </c>
      <c r="F797" t="s">
        <v>10</v>
      </c>
    </row>
    <row r="798" spans="1:6" hidden="1" x14ac:dyDescent="0.35">
      <c r="A798" t="s">
        <v>60</v>
      </c>
      <c r="B798" t="s">
        <v>69</v>
      </c>
      <c r="C798" t="s">
        <v>44</v>
      </c>
      <c r="D798">
        <v>0</v>
      </c>
      <c r="E798" t="s">
        <v>42</v>
      </c>
      <c r="F798" t="s">
        <v>10</v>
      </c>
    </row>
    <row r="799" spans="1:6" hidden="1" x14ac:dyDescent="0.35">
      <c r="A799" t="s">
        <v>61</v>
      </c>
      <c r="B799" t="s">
        <v>69</v>
      </c>
      <c r="C799" t="s">
        <v>44</v>
      </c>
      <c r="E799" t="s">
        <v>42</v>
      </c>
      <c r="F799" t="s">
        <v>10</v>
      </c>
    </row>
    <row r="800" spans="1:6" hidden="1" x14ac:dyDescent="0.35">
      <c r="A800" t="s">
        <v>62</v>
      </c>
      <c r="B800" t="s">
        <v>69</v>
      </c>
      <c r="C800" t="s">
        <v>44</v>
      </c>
      <c r="D800">
        <v>3814.5558303523039</v>
      </c>
      <c r="E800" t="s">
        <v>42</v>
      </c>
      <c r="F800" t="s">
        <v>10</v>
      </c>
    </row>
    <row r="801" spans="1:6" hidden="1" x14ac:dyDescent="0.35">
      <c r="A801" t="s">
        <v>63</v>
      </c>
      <c r="B801" t="s">
        <v>69</v>
      </c>
      <c r="C801" t="s">
        <v>44</v>
      </c>
      <c r="E801" t="s">
        <v>42</v>
      </c>
      <c r="F801" t="s">
        <v>10</v>
      </c>
    </row>
    <row r="802" spans="1:6" hidden="1" x14ac:dyDescent="0.35">
      <c r="A802" t="s">
        <v>64</v>
      </c>
      <c r="B802" t="s">
        <v>69</v>
      </c>
      <c r="C802" t="s">
        <v>44</v>
      </c>
      <c r="D802">
        <v>0</v>
      </c>
      <c r="E802" t="s">
        <v>42</v>
      </c>
      <c r="F802" t="s">
        <v>10</v>
      </c>
    </row>
    <row r="803" spans="1:6" hidden="1" x14ac:dyDescent="0.35">
      <c r="A803" t="s">
        <v>65</v>
      </c>
      <c r="B803" t="s">
        <v>69</v>
      </c>
      <c r="C803" t="s">
        <v>44</v>
      </c>
      <c r="D803">
        <v>1543.776661788618</v>
      </c>
      <c r="E803" t="s">
        <v>42</v>
      </c>
      <c r="F803" t="s">
        <v>10</v>
      </c>
    </row>
    <row r="804" spans="1:6" hidden="1" x14ac:dyDescent="0.35">
      <c r="A804" t="s">
        <v>66</v>
      </c>
      <c r="B804" t="s">
        <v>69</v>
      </c>
      <c r="C804" t="s">
        <v>44</v>
      </c>
      <c r="E804" t="s">
        <v>42</v>
      </c>
      <c r="F804" t="s">
        <v>10</v>
      </c>
    </row>
    <row r="805" spans="1:6" hidden="1" x14ac:dyDescent="0.35">
      <c r="A805" t="s">
        <v>67</v>
      </c>
      <c r="B805" t="s">
        <v>69</v>
      </c>
      <c r="C805" t="s">
        <v>44</v>
      </c>
      <c r="D805">
        <v>4217.5644162601629</v>
      </c>
      <c r="E805" t="s">
        <v>42</v>
      </c>
      <c r="F805" t="s">
        <v>10</v>
      </c>
    </row>
    <row r="806" spans="1:6" hidden="1" x14ac:dyDescent="0.35">
      <c r="A806" t="s">
        <v>57</v>
      </c>
      <c r="B806" t="s">
        <v>69</v>
      </c>
      <c r="C806" t="s">
        <v>22</v>
      </c>
      <c r="D806">
        <v>0</v>
      </c>
      <c r="E806" t="s">
        <v>42</v>
      </c>
      <c r="F806" t="s">
        <v>10</v>
      </c>
    </row>
    <row r="807" spans="1:6" hidden="1" x14ac:dyDescent="0.35">
      <c r="A807" t="s">
        <v>11</v>
      </c>
      <c r="B807" t="s">
        <v>69</v>
      </c>
      <c r="C807" t="s">
        <v>22</v>
      </c>
      <c r="D807">
        <v>0</v>
      </c>
      <c r="E807" t="s">
        <v>42</v>
      </c>
      <c r="F807" t="s">
        <v>10</v>
      </c>
    </row>
    <row r="808" spans="1:6" hidden="1" x14ac:dyDescent="0.35">
      <c r="A808" t="s">
        <v>58</v>
      </c>
      <c r="B808" t="s">
        <v>69</v>
      </c>
      <c r="C808" t="s">
        <v>22</v>
      </c>
      <c r="D808">
        <v>0</v>
      </c>
      <c r="E808" t="s">
        <v>42</v>
      </c>
      <c r="F808" t="s">
        <v>10</v>
      </c>
    </row>
    <row r="809" spans="1:6" hidden="1" x14ac:dyDescent="0.35">
      <c r="A809" t="s">
        <v>59</v>
      </c>
      <c r="B809" t="s">
        <v>69</v>
      </c>
      <c r="C809" t="s">
        <v>22</v>
      </c>
      <c r="D809">
        <v>0</v>
      </c>
      <c r="E809" t="s">
        <v>42</v>
      </c>
      <c r="F809" t="s">
        <v>10</v>
      </c>
    </row>
    <row r="810" spans="1:6" hidden="1" x14ac:dyDescent="0.35">
      <c r="A810" t="s">
        <v>60</v>
      </c>
      <c r="B810" t="s">
        <v>69</v>
      </c>
      <c r="C810" t="s">
        <v>22</v>
      </c>
      <c r="D810">
        <v>0</v>
      </c>
      <c r="E810" t="s">
        <v>42</v>
      </c>
      <c r="F810" t="s">
        <v>10</v>
      </c>
    </row>
    <row r="811" spans="1:6" hidden="1" x14ac:dyDescent="0.35">
      <c r="A811" t="s">
        <v>61</v>
      </c>
      <c r="B811" t="s">
        <v>69</v>
      </c>
      <c r="C811" t="s">
        <v>22</v>
      </c>
      <c r="D811">
        <v>0</v>
      </c>
      <c r="E811" t="s">
        <v>42</v>
      </c>
      <c r="F811" t="s">
        <v>10</v>
      </c>
    </row>
    <row r="812" spans="1:6" hidden="1" x14ac:dyDescent="0.35">
      <c r="A812" t="s">
        <v>62</v>
      </c>
      <c r="B812" t="s">
        <v>69</v>
      </c>
      <c r="C812" t="s">
        <v>22</v>
      </c>
      <c r="D812">
        <v>0</v>
      </c>
      <c r="E812" t="s">
        <v>42</v>
      </c>
      <c r="F812" t="s">
        <v>10</v>
      </c>
    </row>
    <row r="813" spans="1:6" hidden="1" x14ac:dyDescent="0.35">
      <c r="A813" t="s">
        <v>63</v>
      </c>
      <c r="B813" t="s">
        <v>69</v>
      </c>
      <c r="C813" t="s">
        <v>22</v>
      </c>
      <c r="D813">
        <v>0</v>
      </c>
      <c r="E813" t="s">
        <v>42</v>
      </c>
      <c r="F813" t="s">
        <v>10</v>
      </c>
    </row>
    <row r="814" spans="1:6" hidden="1" x14ac:dyDescent="0.35">
      <c r="A814" t="s">
        <v>64</v>
      </c>
      <c r="B814" t="s">
        <v>69</v>
      </c>
      <c r="C814" t="s">
        <v>22</v>
      </c>
      <c r="D814">
        <v>0</v>
      </c>
      <c r="E814" t="s">
        <v>42</v>
      </c>
      <c r="F814" t="s">
        <v>10</v>
      </c>
    </row>
    <row r="815" spans="1:6" hidden="1" x14ac:dyDescent="0.35">
      <c r="A815" t="s">
        <v>65</v>
      </c>
      <c r="B815" t="s">
        <v>69</v>
      </c>
      <c r="C815" t="s">
        <v>22</v>
      </c>
      <c r="D815">
        <v>0</v>
      </c>
      <c r="E815" t="s">
        <v>42</v>
      </c>
      <c r="F815" t="s">
        <v>10</v>
      </c>
    </row>
    <row r="816" spans="1:6" hidden="1" x14ac:dyDescent="0.35">
      <c r="A816" t="s">
        <v>66</v>
      </c>
      <c r="B816" t="s">
        <v>69</v>
      </c>
      <c r="C816" t="s">
        <v>22</v>
      </c>
      <c r="D816">
        <v>0</v>
      </c>
      <c r="E816" t="s">
        <v>42</v>
      </c>
      <c r="F816" t="s">
        <v>10</v>
      </c>
    </row>
    <row r="817" spans="1:6" hidden="1" x14ac:dyDescent="0.35">
      <c r="A817" t="s">
        <v>67</v>
      </c>
      <c r="B817" t="s">
        <v>69</v>
      </c>
      <c r="C817" t="s">
        <v>22</v>
      </c>
      <c r="D817">
        <v>0</v>
      </c>
      <c r="E817" t="s">
        <v>42</v>
      </c>
      <c r="F817" t="s">
        <v>10</v>
      </c>
    </row>
    <row r="818" spans="1:6" hidden="1" x14ac:dyDescent="0.35">
      <c r="A818" t="s">
        <v>57</v>
      </c>
      <c r="B818" t="s">
        <v>69</v>
      </c>
      <c r="C818" t="s">
        <v>46</v>
      </c>
      <c r="E818" t="s">
        <v>42</v>
      </c>
      <c r="F818" t="s">
        <v>10</v>
      </c>
    </row>
    <row r="819" spans="1:6" hidden="1" x14ac:dyDescent="0.35">
      <c r="A819" t="s">
        <v>11</v>
      </c>
      <c r="B819" t="s">
        <v>69</v>
      </c>
      <c r="C819" t="s">
        <v>46</v>
      </c>
      <c r="D819">
        <v>712.74796747967468</v>
      </c>
      <c r="E819" t="s">
        <v>42</v>
      </c>
      <c r="F819" t="s">
        <v>10</v>
      </c>
    </row>
    <row r="820" spans="1:6" hidden="1" x14ac:dyDescent="0.35">
      <c r="A820" t="s">
        <v>58</v>
      </c>
      <c r="B820" t="s">
        <v>69</v>
      </c>
      <c r="C820" t="s">
        <v>46</v>
      </c>
      <c r="D820">
        <v>11910.9316</v>
      </c>
      <c r="E820" t="s">
        <v>42</v>
      </c>
      <c r="F820" t="s">
        <v>10</v>
      </c>
    </row>
    <row r="821" spans="1:6" hidden="1" x14ac:dyDescent="0.35">
      <c r="A821" t="s">
        <v>59</v>
      </c>
      <c r="B821" t="s">
        <v>69</v>
      </c>
      <c r="C821" t="s">
        <v>46</v>
      </c>
      <c r="E821" t="s">
        <v>42</v>
      </c>
      <c r="F821" t="s">
        <v>10</v>
      </c>
    </row>
    <row r="822" spans="1:6" hidden="1" x14ac:dyDescent="0.35">
      <c r="A822" t="s">
        <v>60</v>
      </c>
      <c r="B822" t="s">
        <v>69</v>
      </c>
      <c r="C822" t="s">
        <v>46</v>
      </c>
      <c r="D822">
        <v>0</v>
      </c>
      <c r="E822" t="s">
        <v>42</v>
      </c>
      <c r="F822" t="s">
        <v>10</v>
      </c>
    </row>
    <row r="823" spans="1:6" hidden="1" x14ac:dyDescent="0.35">
      <c r="A823" t="s">
        <v>61</v>
      </c>
      <c r="B823" t="s">
        <v>69</v>
      </c>
      <c r="C823" t="s">
        <v>46</v>
      </c>
      <c r="E823" t="s">
        <v>42</v>
      </c>
      <c r="F823" t="s">
        <v>10</v>
      </c>
    </row>
    <row r="824" spans="1:6" hidden="1" x14ac:dyDescent="0.35">
      <c r="A824" t="s">
        <v>62</v>
      </c>
      <c r="B824" t="s">
        <v>69</v>
      </c>
      <c r="C824" t="s">
        <v>46</v>
      </c>
      <c r="D824">
        <v>31817.92953929539</v>
      </c>
      <c r="E824" t="s">
        <v>42</v>
      </c>
      <c r="F824" t="s">
        <v>10</v>
      </c>
    </row>
    <row r="825" spans="1:6" hidden="1" x14ac:dyDescent="0.35">
      <c r="A825" t="s">
        <v>63</v>
      </c>
      <c r="B825" t="s">
        <v>69</v>
      </c>
      <c r="C825" t="s">
        <v>46</v>
      </c>
      <c r="E825" t="s">
        <v>42</v>
      </c>
      <c r="F825" t="s">
        <v>10</v>
      </c>
    </row>
    <row r="826" spans="1:6" hidden="1" x14ac:dyDescent="0.35">
      <c r="A826" t="s">
        <v>64</v>
      </c>
      <c r="B826" t="s">
        <v>69</v>
      </c>
      <c r="C826" t="s">
        <v>46</v>
      </c>
      <c r="D826">
        <v>0</v>
      </c>
      <c r="E826" t="s">
        <v>42</v>
      </c>
      <c r="F826" t="s">
        <v>10</v>
      </c>
    </row>
    <row r="827" spans="1:6" hidden="1" x14ac:dyDescent="0.35">
      <c r="A827" t="s">
        <v>65</v>
      </c>
      <c r="B827" t="s">
        <v>69</v>
      </c>
      <c r="C827" t="s">
        <v>46</v>
      </c>
      <c r="D827">
        <v>1443.6422764227641</v>
      </c>
      <c r="E827" t="s">
        <v>42</v>
      </c>
      <c r="F827" t="s">
        <v>10</v>
      </c>
    </row>
    <row r="828" spans="1:6" hidden="1" x14ac:dyDescent="0.35">
      <c r="A828" t="s">
        <v>66</v>
      </c>
      <c r="B828" t="s">
        <v>69</v>
      </c>
      <c r="C828" t="s">
        <v>46</v>
      </c>
      <c r="E828" t="s">
        <v>42</v>
      </c>
      <c r="F828" t="s">
        <v>10</v>
      </c>
    </row>
    <row r="829" spans="1:6" hidden="1" x14ac:dyDescent="0.35">
      <c r="A829" t="s">
        <v>67</v>
      </c>
      <c r="B829" t="s">
        <v>69</v>
      </c>
      <c r="C829" t="s">
        <v>46</v>
      </c>
      <c r="D829">
        <v>712.74796747967468</v>
      </c>
      <c r="E829" t="s">
        <v>42</v>
      </c>
      <c r="F829" t="s">
        <v>10</v>
      </c>
    </row>
    <row r="830" spans="1:6" hidden="1" x14ac:dyDescent="0.35">
      <c r="A830" t="s">
        <v>57</v>
      </c>
      <c r="B830" t="s">
        <v>69</v>
      </c>
      <c r="C830" t="s">
        <v>24</v>
      </c>
      <c r="D830">
        <v>0</v>
      </c>
      <c r="E830" t="s">
        <v>42</v>
      </c>
      <c r="F830" t="s">
        <v>10</v>
      </c>
    </row>
    <row r="831" spans="1:6" hidden="1" x14ac:dyDescent="0.35">
      <c r="A831" t="s">
        <v>11</v>
      </c>
      <c r="B831" t="s">
        <v>69</v>
      </c>
      <c r="C831" t="s">
        <v>24</v>
      </c>
      <c r="D831">
        <v>0</v>
      </c>
      <c r="E831" t="s">
        <v>42</v>
      </c>
      <c r="F831" t="s">
        <v>10</v>
      </c>
    </row>
    <row r="832" spans="1:6" hidden="1" x14ac:dyDescent="0.35">
      <c r="A832" t="s">
        <v>58</v>
      </c>
      <c r="B832" t="s">
        <v>69</v>
      </c>
      <c r="C832" t="s">
        <v>24</v>
      </c>
      <c r="D832">
        <v>0</v>
      </c>
      <c r="E832" t="s">
        <v>42</v>
      </c>
      <c r="F832" t="s">
        <v>10</v>
      </c>
    </row>
    <row r="833" spans="1:6" hidden="1" x14ac:dyDescent="0.35">
      <c r="A833" t="s">
        <v>59</v>
      </c>
      <c r="B833" t="s">
        <v>69</v>
      </c>
      <c r="C833" t="s">
        <v>24</v>
      </c>
      <c r="D833">
        <v>0</v>
      </c>
      <c r="E833" t="s">
        <v>42</v>
      </c>
      <c r="F833" t="s">
        <v>10</v>
      </c>
    </row>
    <row r="834" spans="1:6" hidden="1" x14ac:dyDescent="0.35">
      <c r="A834" t="s">
        <v>60</v>
      </c>
      <c r="B834" t="s">
        <v>69</v>
      </c>
      <c r="C834" t="s">
        <v>24</v>
      </c>
      <c r="D834">
        <v>0</v>
      </c>
      <c r="E834" t="s">
        <v>42</v>
      </c>
      <c r="F834" t="s">
        <v>10</v>
      </c>
    </row>
    <row r="835" spans="1:6" hidden="1" x14ac:dyDescent="0.35">
      <c r="A835" t="s">
        <v>61</v>
      </c>
      <c r="B835" t="s">
        <v>69</v>
      </c>
      <c r="C835" t="s">
        <v>24</v>
      </c>
      <c r="D835">
        <v>0</v>
      </c>
      <c r="E835" t="s">
        <v>42</v>
      </c>
      <c r="F835" t="s">
        <v>10</v>
      </c>
    </row>
    <row r="836" spans="1:6" hidden="1" x14ac:dyDescent="0.35">
      <c r="A836" t="s">
        <v>62</v>
      </c>
      <c r="B836" t="s">
        <v>69</v>
      </c>
      <c r="C836" t="s">
        <v>24</v>
      </c>
      <c r="D836">
        <v>0</v>
      </c>
      <c r="E836" t="s">
        <v>42</v>
      </c>
      <c r="F836" t="s">
        <v>10</v>
      </c>
    </row>
    <row r="837" spans="1:6" hidden="1" x14ac:dyDescent="0.35">
      <c r="A837" t="s">
        <v>63</v>
      </c>
      <c r="B837" t="s">
        <v>69</v>
      </c>
      <c r="C837" t="s">
        <v>24</v>
      </c>
      <c r="D837">
        <v>0</v>
      </c>
      <c r="E837" t="s">
        <v>42</v>
      </c>
      <c r="F837" t="s">
        <v>10</v>
      </c>
    </row>
    <row r="838" spans="1:6" hidden="1" x14ac:dyDescent="0.35">
      <c r="A838" t="s">
        <v>64</v>
      </c>
      <c r="B838" t="s">
        <v>69</v>
      </c>
      <c r="C838" t="s">
        <v>24</v>
      </c>
      <c r="D838">
        <v>0</v>
      </c>
      <c r="E838" t="s">
        <v>42</v>
      </c>
      <c r="F838" t="s">
        <v>10</v>
      </c>
    </row>
    <row r="839" spans="1:6" hidden="1" x14ac:dyDescent="0.35">
      <c r="A839" t="s">
        <v>65</v>
      </c>
      <c r="B839" t="s">
        <v>69</v>
      </c>
      <c r="C839" t="s">
        <v>24</v>
      </c>
      <c r="D839">
        <v>0</v>
      </c>
      <c r="E839" t="s">
        <v>42</v>
      </c>
      <c r="F839" t="s">
        <v>10</v>
      </c>
    </row>
    <row r="840" spans="1:6" hidden="1" x14ac:dyDescent="0.35">
      <c r="A840" t="s">
        <v>66</v>
      </c>
      <c r="B840" t="s">
        <v>69</v>
      </c>
      <c r="C840" t="s">
        <v>24</v>
      </c>
      <c r="D840">
        <v>0</v>
      </c>
      <c r="E840" t="s">
        <v>42</v>
      </c>
      <c r="F840" t="s">
        <v>10</v>
      </c>
    </row>
    <row r="841" spans="1:6" hidden="1" x14ac:dyDescent="0.35">
      <c r="A841" t="s">
        <v>67</v>
      </c>
      <c r="B841" t="s">
        <v>69</v>
      </c>
      <c r="C841" t="s">
        <v>24</v>
      </c>
      <c r="D841">
        <v>0</v>
      </c>
      <c r="E841" t="s">
        <v>42</v>
      </c>
      <c r="F841" t="s">
        <v>10</v>
      </c>
    </row>
    <row r="842" spans="1:6" hidden="1" x14ac:dyDescent="0.35">
      <c r="A842" t="s">
        <v>57</v>
      </c>
      <c r="B842" t="s">
        <v>69</v>
      </c>
      <c r="C842" t="s">
        <v>47</v>
      </c>
      <c r="E842" t="s">
        <v>42</v>
      </c>
      <c r="F842" t="s">
        <v>10</v>
      </c>
    </row>
    <row r="843" spans="1:6" hidden="1" x14ac:dyDescent="0.35">
      <c r="A843" t="s">
        <v>11</v>
      </c>
      <c r="B843" t="s">
        <v>69</v>
      </c>
      <c r="C843" t="s">
        <v>47</v>
      </c>
      <c r="E843" t="s">
        <v>42</v>
      </c>
      <c r="F843" t="s">
        <v>10</v>
      </c>
    </row>
    <row r="844" spans="1:6" hidden="1" x14ac:dyDescent="0.35">
      <c r="A844" t="s">
        <v>58</v>
      </c>
      <c r="B844" t="s">
        <v>69</v>
      </c>
      <c r="C844" t="s">
        <v>47</v>
      </c>
      <c r="E844" t="s">
        <v>42</v>
      </c>
      <c r="F844" t="s">
        <v>10</v>
      </c>
    </row>
    <row r="845" spans="1:6" hidden="1" x14ac:dyDescent="0.35">
      <c r="A845" t="s">
        <v>59</v>
      </c>
      <c r="B845" t="s">
        <v>69</v>
      </c>
      <c r="C845" t="s">
        <v>47</v>
      </c>
      <c r="E845" t="s">
        <v>42</v>
      </c>
      <c r="F845" t="s">
        <v>10</v>
      </c>
    </row>
    <row r="846" spans="1:6" hidden="1" x14ac:dyDescent="0.35">
      <c r="A846" t="s">
        <v>60</v>
      </c>
      <c r="B846" t="s">
        <v>69</v>
      </c>
      <c r="C846" t="s">
        <v>47</v>
      </c>
      <c r="E846" t="s">
        <v>42</v>
      </c>
      <c r="F846" t="s">
        <v>10</v>
      </c>
    </row>
    <row r="847" spans="1:6" hidden="1" x14ac:dyDescent="0.35">
      <c r="A847" t="s">
        <v>61</v>
      </c>
      <c r="B847" t="s">
        <v>69</v>
      </c>
      <c r="C847" t="s">
        <v>47</v>
      </c>
      <c r="E847" t="s">
        <v>42</v>
      </c>
      <c r="F847" t="s">
        <v>10</v>
      </c>
    </row>
    <row r="848" spans="1:6" hidden="1" x14ac:dyDescent="0.35">
      <c r="A848" t="s">
        <v>62</v>
      </c>
      <c r="B848" t="s">
        <v>69</v>
      </c>
      <c r="C848" t="s">
        <v>47</v>
      </c>
      <c r="E848" t="s">
        <v>42</v>
      </c>
      <c r="F848" t="s">
        <v>10</v>
      </c>
    </row>
    <row r="849" spans="1:6" hidden="1" x14ac:dyDescent="0.35">
      <c r="A849" t="s">
        <v>63</v>
      </c>
      <c r="B849" t="s">
        <v>69</v>
      </c>
      <c r="C849" t="s">
        <v>47</v>
      </c>
      <c r="E849" t="s">
        <v>42</v>
      </c>
      <c r="F849" t="s">
        <v>10</v>
      </c>
    </row>
    <row r="850" spans="1:6" hidden="1" x14ac:dyDescent="0.35">
      <c r="A850" t="s">
        <v>64</v>
      </c>
      <c r="B850" t="s">
        <v>69</v>
      </c>
      <c r="C850" t="s">
        <v>47</v>
      </c>
      <c r="E850" t="s">
        <v>42</v>
      </c>
      <c r="F850" t="s">
        <v>10</v>
      </c>
    </row>
    <row r="851" spans="1:6" hidden="1" x14ac:dyDescent="0.35">
      <c r="A851" t="s">
        <v>65</v>
      </c>
      <c r="B851" t="s">
        <v>69</v>
      </c>
      <c r="C851" t="s">
        <v>47</v>
      </c>
      <c r="E851" t="s">
        <v>42</v>
      </c>
      <c r="F851" t="s">
        <v>10</v>
      </c>
    </row>
    <row r="852" spans="1:6" hidden="1" x14ac:dyDescent="0.35">
      <c r="A852" t="s">
        <v>66</v>
      </c>
      <c r="B852" t="s">
        <v>69</v>
      </c>
      <c r="C852" t="s">
        <v>47</v>
      </c>
      <c r="E852" t="s">
        <v>42</v>
      </c>
      <c r="F852" t="s">
        <v>10</v>
      </c>
    </row>
    <row r="853" spans="1:6" hidden="1" x14ac:dyDescent="0.35">
      <c r="A853" t="s">
        <v>67</v>
      </c>
      <c r="B853" t="s">
        <v>69</v>
      </c>
      <c r="C853" t="s">
        <v>47</v>
      </c>
      <c r="E853" t="s">
        <v>42</v>
      </c>
      <c r="F853" t="s">
        <v>10</v>
      </c>
    </row>
    <row r="854" spans="1:6" hidden="1" x14ac:dyDescent="0.35">
      <c r="A854" t="s">
        <v>57</v>
      </c>
      <c r="B854" t="s">
        <v>69</v>
      </c>
      <c r="C854" t="s">
        <v>48</v>
      </c>
      <c r="D854">
        <v>0</v>
      </c>
      <c r="E854" t="s">
        <v>42</v>
      </c>
      <c r="F854" t="s">
        <v>10</v>
      </c>
    </row>
    <row r="855" spans="1:6" hidden="1" x14ac:dyDescent="0.35">
      <c r="A855" t="s">
        <v>11</v>
      </c>
      <c r="B855" t="s">
        <v>69</v>
      </c>
      <c r="C855" t="s">
        <v>48</v>
      </c>
      <c r="D855">
        <v>0</v>
      </c>
      <c r="E855" t="s">
        <v>42</v>
      </c>
      <c r="F855" t="s">
        <v>10</v>
      </c>
    </row>
    <row r="856" spans="1:6" hidden="1" x14ac:dyDescent="0.35">
      <c r="A856" t="s">
        <v>58</v>
      </c>
      <c r="B856" t="s">
        <v>69</v>
      </c>
      <c r="C856" t="s">
        <v>48</v>
      </c>
      <c r="D856">
        <v>0</v>
      </c>
      <c r="E856" t="s">
        <v>42</v>
      </c>
      <c r="F856" t="s">
        <v>10</v>
      </c>
    </row>
    <row r="857" spans="1:6" hidden="1" x14ac:dyDescent="0.35">
      <c r="A857" t="s">
        <v>59</v>
      </c>
      <c r="B857" t="s">
        <v>69</v>
      </c>
      <c r="C857" t="s">
        <v>48</v>
      </c>
      <c r="D857">
        <v>0</v>
      </c>
      <c r="E857" t="s">
        <v>42</v>
      </c>
      <c r="F857" t="s">
        <v>10</v>
      </c>
    </row>
    <row r="858" spans="1:6" hidden="1" x14ac:dyDescent="0.35">
      <c r="A858" t="s">
        <v>60</v>
      </c>
      <c r="B858" t="s">
        <v>69</v>
      </c>
      <c r="C858" t="s">
        <v>48</v>
      </c>
      <c r="D858">
        <v>0</v>
      </c>
      <c r="E858" t="s">
        <v>42</v>
      </c>
      <c r="F858" t="s">
        <v>10</v>
      </c>
    </row>
    <row r="859" spans="1:6" hidden="1" x14ac:dyDescent="0.35">
      <c r="A859" t="s">
        <v>61</v>
      </c>
      <c r="B859" t="s">
        <v>69</v>
      </c>
      <c r="C859" t="s">
        <v>48</v>
      </c>
      <c r="D859">
        <v>0</v>
      </c>
      <c r="E859" t="s">
        <v>42</v>
      </c>
      <c r="F859" t="s">
        <v>10</v>
      </c>
    </row>
    <row r="860" spans="1:6" hidden="1" x14ac:dyDescent="0.35">
      <c r="A860" t="s">
        <v>62</v>
      </c>
      <c r="B860" t="s">
        <v>69</v>
      </c>
      <c r="C860" t="s">
        <v>48</v>
      </c>
      <c r="D860">
        <v>0</v>
      </c>
      <c r="E860" t="s">
        <v>42</v>
      </c>
      <c r="F860" t="s">
        <v>10</v>
      </c>
    </row>
    <row r="861" spans="1:6" hidden="1" x14ac:dyDescent="0.35">
      <c r="A861" t="s">
        <v>63</v>
      </c>
      <c r="B861" t="s">
        <v>69</v>
      </c>
      <c r="C861" t="s">
        <v>48</v>
      </c>
      <c r="D861">
        <v>0</v>
      </c>
      <c r="E861" t="s">
        <v>42</v>
      </c>
      <c r="F861" t="s">
        <v>10</v>
      </c>
    </row>
    <row r="862" spans="1:6" hidden="1" x14ac:dyDescent="0.35">
      <c r="A862" t="s">
        <v>64</v>
      </c>
      <c r="B862" t="s">
        <v>69</v>
      </c>
      <c r="C862" t="s">
        <v>48</v>
      </c>
      <c r="D862">
        <v>0</v>
      </c>
      <c r="E862" t="s">
        <v>42</v>
      </c>
      <c r="F862" t="s">
        <v>10</v>
      </c>
    </row>
    <row r="863" spans="1:6" hidden="1" x14ac:dyDescent="0.35">
      <c r="A863" t="s">
        <v>65</v>
      </c>
      <c r="B863" t="s">
        <v>69</v>
      </c>
      <c r="C863" t="s">
        <v>48</v>
      </c>
      <c r="D863">
        <v>0</v>
      </c>
      <c r="E863" t="s">
        <v>42</v>
      </c>
      <c r="F863" t="s">
        <v>10</v>
      </c>
    </row>
    <row r="864" spans="1:6" hidden="1" x14ac:dyDescent="0.35">
      <c r="A864" t="s">
        <v>66</v>
      </c>
      <c r="B864" t="s">
        <v>69</v>
      </c>
      <c r="C864" t="s">
        <v>48</v>
      </c>
      <c r="D864">
        <v>0</v>
      </c>
      <c r="E864" t="s">
        <v>42</v>
      </c>
      <c r="F864" t="s">
        <v>10</v>
      </c>
    </row>
    <row r="865" spans="1:6" hidden="1" x14ac:dyDescent="0.35">
      <c r="A865" t="s">
        <v>67</v>
      </c>
      <c r="B865" t="s">
        <v>69</v>
      </c>
      <c r="C865" t="s">
        <v>48</v>
      </c>
      <c r="D865">
        <v>0</v>
      </c>
      <c r="E865" t="s">
        <v>42</v>
      </c>
      <c r="F865" t="s">
        <v>10</v>
      </c>
    </row>
    <row r="866" spans="1:6" hidden="1" x14ac:dyDescent="0.35">
      <c r="A866" t="s">
        <v>57</v>
      </c>
      <c r="B866" t="s">
        <v>69</v>
      </c>
      <c r="C866" t="s">
        <v>49</v>
      </c>
      <c r="D866">
        <v>10501.6096</v>
      </c>
      <c r="E866" t="s">
        <v>42</v>
      </c>
      <c r="F866" t="s">
        <v>10</v>
      </c>
    </row>
    <row r="867" spans="1:6" hidden="1" x14ac:dyDescent="0.35">
      <c r="A867" t="s">
        <v>11</v>
      </c>
      <c r="B867" t="s">
        <v>69</v>
      </c>
      <c r="C867" t="s">
        <v>49</v>
      </c>
      <c r="D867">
        <v>46326.828800000003</v>
      </c>
      <c r="E867" t="s">
        <v>42</v>
      </c>
      <c r="F867" t="s">
        <v>10</v>
      </c>
    </row>
    <row r="868" spans="1:6" hidden="1" x14ac:dyDescent="0.35">
      <c r="A868" t="s">
        <v>58</v>
      </c>
      <c r="B868" t="s">
        <v>69</v>
      </c>
      <c r="C868" t="s">
        <v>49</v>
      </c>
      <c r="D868">
        <v>6819.6531999999997</v>
      </c>
      <c r="E868" t="s">
        <v>42</v>
      </c>
      <c r="F868" t="s">
        <v>10</v>
      </c>
    </row>
    <row r="869" spans="1:6" hidden="1" x14ac:dyDescent="0.35">
      <c r="A869" t="s">
        <v>59</v>
      </c>
      <c r="B869" t="s">
        <v>69</v>
      </c>
      <c r="C869" t="s">
        <v>49</v>
      </c>
      <c r="D869">
        <v>20003.655200000001</v>
      </c>
      <c r="E869" t="s">
        <v>42</v>
      </c>
      <c r="F869" t="s">
        <v>10</v>
      </c>
    </row>
    <row r="870" spans="1:6" hidden="1" x14ac:dyDescent="0.35">
      <c r="A870" t="s">
        <v>60</v>
      </c>
      <c r="B870" t="s">
        <v>69</v>
      </c>
      <c r="C870" t="s">
        <v>49</v>
      </c>
      <c r="D870">
        <v>9216.5651999999991</v>
      </c>
      <c r="E870" t="s">
        <v>42</v>
      </c>
      <c r="F870" t="s">
        <v>10</v>
      </c>
    </row>
    <row r="871" spans="1:6" hidden="1" x14ac:dyDescent="0.35">
      <c r="A871" t="s">
        <v>61</v>
      </c>
      <c r="B871" t="s">
        <v>69</v>
      </c>
      <c r="C871" t="s">
        <v>49</v>
      </c>
      <c r="D871">
        <v>9605.4740000000002</v>
      </c>
      <c r="E871" t="s">
        <v>42</v>
      </c>
      <c r="F871" t="s">
        <v>10</v>
      </c>
    </row>
    <row r="872" spans="1:6" hidden="1" x14ac:dyDescent="0.35">
      <c r="A872" t="s">
        <v>62</v>
      </c>
      <c r="B872" t="s">
        <v>69</v>
      </c>
      <c r="C872" t="s">
        <v>49</v>
      </c>
      <c r="D872">
        <v>3960.2575999999999</v>
      </c>
      <c r="E872" t="s">
        <v>42</v>
      </c>
      <c r="F872" t="s">
        <v>10</v>
      </c>
    </row>
    <row r="873" spans="1:6" hidden="1" x14ac:dyDescent="0.35">
      <c r="A873" t="s">
        <v>63</v>
      </c>
      <c r="B873" t="s">
        <v>69</v>
      </c>
      <c r="C873" t="s">
        <v>49</v>
      </c>
      <c r="D873">
        <v>208695.796</v>
      </c>
      <c r="E873" t="s">
        <v>42</v>
      </c>
      <c r="F873" t="s">
        <v>10</v>
      </c>
    </row>
    <row r="874" spans="1:6" hidden="1" x14ac:dyDescent="0.35">
      <c r="A874" t="s">
        <v>64</v>
      </c>
      <c r="B874" t="s">
        <v>69</v>
      </c>
      <c r="C874" t="s">
        <v>49</v>
      </c>
      <c r="D874">
        <v>97772.7408</v>
      </c>
      <c r="E874" t="s">
        <v>42</v>
      </c>
      <c r="F874" t="s">
        <v>10</v>
      </c>
    </row>
    <row r="875" spans="1:6" hidden="1" x14ac:dyDescent="0.35">
      <c r="A875" t="s">
        <v>65</v>
      </c>
      <c r="B875" t="s">
        <v>69</v>
      </c>
      <c r="C875" t="s">
        <v>49</v>
      </c>
      <c r="D875">
        <v>125</v>
      </c>
      <c r="E875" t="s">
        <v>42</v>
      </c>
      <c r="F875" t="s">
        <v>10</v>
      </c>
    </row>
    <row r="876" spans="1:6" hidden="1" x14ac:dyDescent="0.35">
      <c r="A876" t="s">
        <v>66</v>
      </c>
      <c r="B876" t="s">
        <v>69</v>
      </c>
      <c r="C876" t="s">
        <v>49</v>
      </c>
      <c r="E876" t="s">
        <v>42</v>
      </c>
      <c r="F876" t="s">
        <v>10</v>
      </c>
    </row>
    <row r="877" spans="1:6" hidden="1" x14ac:dyDescent="0.35">
      <c r="A877" t="s">
        <v>67</v>
      </c>
      <c r="B877" t="s">
        <v>69</v>
      </c>
      <c r="C877" t="s">
        <v>49</v>
      </c>
      <c r="D877">
        <v>3845.4216000000001</v>
      </c>
      <c r="E877" t="s">
        <v>42</v>
      </c>
      <c r="F877" t="s">
        <v>10</v>
      </c>
    </row>
    <row r="878" spans="1:6" hidden="1" x14ac:dyDescent="0.35">
      <c r="A878" t="s">
        <v>57</v>
      </c>
      <c r="B878" t="s">
        <v>69</v>
      </c>
      <c r="C878" t="s">
        <v>50</v>
      </c>
      <c r="E878" t="s">
        <v>42</v>
      </c>
      <c r="F878" t="s">
        <v>10</v>
      </c>
    </row>
    <row r="879" spans="1:6" hidden="1" x14ac:dyDescent="0.35">
      <c r="A879" t="s">
        <v>11</v>
      </c>
      <c r="B879" t="s">
        <v>69</v>
      </c>
      <c r="C879" t="s">
        <v>50</v>
      </c>
      <c r="D879">
        <v>22509.5092</v>
      </c>
      <c r="E879" t="s">
        <v>42</v>
      </c>
      <c r="F879" t="s">
        <v>10</v>
      </c>
    </row>
    <row r="880" spans="1:6" hidden="1" x14ac:dyDescent="0.35">
      <c r="A880" t="s">
        <v>58</v>
      </c>
      <c r="B880" t="s">
        <v>69</v>
      </c>
      <c r="C880" t="s">
        <v>50</v>
      </c>
      <c r="D880">
        <v>11910.9316</v>
      </c>
      <c r="E880" t="s">
        <v>42</v>
      </c>
      <c r="F880" t="s">
        <v>10</v>
      </c>
    </row>
    <row r="881" spans="1:6" hidden="1" x14ac:dyDescent="0.35">
      <c r="A881" t="s">
        <v>59</v>
      </c>
      <c r="B881" t="s">
        <v>69</v>
      </c>
      <c r="C881" t="s">
        <v>50</v>
      </c>
      <c r="E881" t="s">
        <v>42</v>
      </c>
      <c r="F881" t="s">
        <v>10</v>
      </c>
    </row>
    <row r="882" spans="1:6" hidden="1" x14ac:dyDescent="0.35">
      <c r="A882" t="s">
        <v>60</v>
      </c>
      <c r="B882" t="s">
        <v>69</v>
      </c>
      <c r="C882" t="s">
        <v>50</v>
      </c>
      <c r="D882">
        <v>0</v>
      </c>
      <c r="E882" t="s">
        <v>42</v>
      </c>
      <c r="F882" t="s">
        <v>10</v>
      </c>
    </row>
    <row r="883" spans="1:6" hidden="1" x14ac:dyDescent="0.35">
      <c r="A883" t="s">
        <v>61</v>
      </c>
      <c r="B883" t="s">
        <v>69</v>
      </c>
      <c r="C883" t="s">
        <v>50</v>
      </c>
      <c r="E883" t="s">
        <v>42</v>
      </c>
      <c r="F883" t="s">
        <v>10</v>
      </c>
    </row>
    <row r="884" spans="1:6" hidden="1" x14ac:dyDescent="0.35">
      <c r="A884" t="s">
        <v>62</v>
      </c>
      <c r="B884" t="s">
        <v>69</v>
      </c>
      <c r="C884" t="s">
        <v>50</v>
      </c>
      <c r="D884">
        <v>39447.0412</v>
      </c>
      <c r="E884" t="s">
        <v>42</v>
      </c>
      <c r="F884" t="s">
        <v>10</v>
      </c>
    </row>
    <row r="885" spans="1:6" hidden="1" x14ac:dyDescent="0.35">
      <c r="A885" t="s">
        <v>63</v>
      </c>
      <c r="B885" t="s">
        <v>69</v>
      </c>
      <c r="C885" t="s">
        <v>50</v>
      </c>
      <c r="E885" t="s">
        <v>42</v>
      </c>
      <c r="F885" t="s">
        <v>10</v>
      </c>
    </row>
    <row r="886" spans="1:6" hidden="1" x14ac:dyDescent="0.35">
      <c r="A886" t="s">
        <v>64</v>
      </c>
      <c r="B886" t="s">
        <v>69</v>
      </c>
      <c r="C886" t="s">
        <v>50</v>
      </c>
      <c r="D886">
        <v>0</v>
      </c>
      <c r="E886" t="s">
        <v>42</v>
      </c>
      <c r="F886" t="s">
        <v>10</v>
      </c>
    </row>
    <row r="887" spans="1:6" hidden="1" x14ac:dyDescent="0.35">
      <c r="A887" t="s">
        <v>65</v>
      </c>
      <c r="B887" t="s">
        <v>69</v>
      </c>
      <c r="C887" t="s">
        <v>50</v>
      </c>
      <c r="D887">
        <v>4531.1956</v>
      </c>
      <c r="E887" t="s">
        <v>42</v>
      </c>
      <c r="F887" t="s">
        <v>10</v>
      </c>
    </row>
    <row r="888" spans="1:6" hidden="1" x14ac:dyDescent="0.35">
      <c r="A888" t="s">
        <v>66</v>
      </c>
      <c r="B888" t="s">
        <v>69</v>
      </c>
      <c r="C888" t="s">
        <v>50</v>
      </c>
      <c r="E888" t="s">
        <v>42</v>
      </c>
      <c r="F888" t="s">
        <v>10</v>
      </c>
    </row>
    <row r="889" spans="1:6" hidden="1" x14ac:dyDescent="0.35">
      <c r="A889" t="s">
        <v>67</v>
      </c>
      <c r="B889" t="s">
        <v>69</v>
      </c>
      <c r="C889" t="s">
        <v>50</v>
      </c>
      <c r="D889">
        <v>9147.8768</v>
      </c>
      <c r="E889" t="s">
        <v>42</v>
      </c>
      <c r="F889" t="s">
        <v>10</v>
      </c>
    </row>
    <row r="890" spans="1:6" hidden="1" x14ac:dyDescent="0.35">
      <c r="A890" t="s">
        <v>57</v>
      </c>
      <c r="B890" t="s">
        <v>69</v>
      </c>
      <c r="C890" t="s">
        <v>51</v>
      </c>
      <c r="D890">
        <v>1</v>
      </c>
      <c r="E890" t="s">
        <v>42</v>
      </c>
      <c r="F890" t="s">
        <v>10</v>
      </c>
    </row>
    <row r="891" spans="1:6" hidden="1" x14ac:dyDescent="0.35">
      <c r="A891" t="s">
        <v>11</v>
      </c>
      <c r="B891" t="s">
        <v>69</v>
      </c>
      <c r="C891" t="s">
        <v>51</v>
      </c>
      <c r="D891">
        <v>2</v>
      </c>
      <c r="E891" t="s">
        <v>42</v>
      </c>
      <c r="F891" t="s">
        <v>10</v>
      </c>
    </row>
    <row r="892" spans="1:6" hidden="1" x14ac:dyDescent="0.35">
      <c r="A892" t="s">
        <v>58</v>
      </c>
      <c r="B892" t="s">
        <v>69</v>
      </c>
      <c r="C892" t="s">
        <v>51</v>
      </c>
      <c r="D892">
        <v>3</v>
      </c>
      <c r="E892" t="s">
        <v>42</v>
      </c>
      <c r="F892" t="s">
        <v>10</v>
      </c>
    </row>
    <row r="893" spans="1:6" hidden="1" x14ac:dyDescent="0.35">
      <c r="A893" t="s">
        <v>59</v>
      </c>
      <c r="B893" t="s">
        <v>69</v>
      </c>
      <c r="C893" t="s">
        <v>51</v>
      </c>
      <c r="D893">
        <v>2</v>
      </c>
      <c r="E893" t="s">
        <v>42</v>
      </c>
      <c r="F893" t="s">
        <v>10</v>
      </c>
    </row>
    <row r="894" spans="1:6" hidden="1" x14ac:dyDescent="0.35">
      <c r="A894" t="s">
        <v>60</v>
      </c>
      <c r="B894" t="s">
        <v>69</v>
      </c>
      <c r="C894" t="s">
        <v>51</v>
      </c>
      <c r="D894">
        <v>3</v>
      </c>
      <c r="E894" t="s">
        <v>42</v>
      </c>
      <c r="F894" t="s">
        <v>10</v>
      </c>
    </row>
    <row r="895" spans="1:6" hidden="1" x14ac:dyDescent="0.35">
      <c r="A895" t="s">
        <v>61</v>
      </c>
      <c r="B895" t="s">
        <v>69</v>
      </c>
      <c r="C895" t="s">
        <v>51</v>
      </c>
      <c r="D895">
        <v>1</v>
      </c>
      <c r="E895" t="s">
        <v>42</v>
      </c>
      <c r="F895" t="s">
        <v>10</v>
      </c>
    </row>
    <row r="896" spans="1:6" hidden="1" x14ac:dyDescent="0.35">
      <c r="A896" t="s">
        <v>62</v>
      </c>
      <c r="B896" t="s">
        <v>69</v>
      </c>
      <c r="C896" t="s">
        <v>51</v>
      </c>
      <c r="D896">
        <v>3</v>
      </c>
      <c r="E896" t="s">
        <v>42</v>
      </c>
      <c r="F896" t="s">
        <v>10</v>
      </c>
    </row>
    <row r="897" spans="1:6" hidden="1" x14ac:dyDescent="0.35">
      <c r="A897" t="s">
        <v>63</v>
      </c>
      <c r="B897" t="s">
        <v>69</v>
      </c>
      <c r="C897" t="s">
        <v>51</v>
      </c>
      <c r="D897">
        <v>7</v>
      </c>
      <c r="E897" t="s">
        <v>42</v>
      </c>
      <c r="F897" t="s">
        <v>10</v>
      </c>
    </row>
    <row r="898" spans="1:6" hidden="1" x14ac:dyDescent="0.35">
      <c r="A898" t="s">
        <v>64</v>
      </c>
      <c r="B898" t="s">
        <v>69</v>
      </c>
      <c r="C898" t="s">
        <v>51</v>
      </c>
      <c r="D898">
        <v>2</v>
      </c>
      <c r="E898" t="s">
        <v>42</v>
      </c>
      <c r="F898" t="s">
        <v>10</v>
      </c>
    </row>
    <row r="899" spans="1:6" hidden="1" x14ac:dyDescent="0.35">
      <c r="A899" t="s">
        <v>65</v>
      </c>
      <c r="B899" t="s">
        <v>69</v>
      </c>
      <c r="C899" t="s">
        <v>51</v>
      </c>
      <c r="D899">
        <v>1</v>
      </c>
      <c r="E899" t="s">
        <v>42</v>
      </c>
      <c r="F899" t="s">
        <v>10</v>
      </c>
    </row>
    <row r="900" spans="1:6" hidden="1" x14ac:dyDescent="0.35">
      <c r="A900" t="s">
        <v>66</v>
      </c>
      <c r="B900" t="s">
        <v>69</v>
      </c>
      <c r="C900" t="s">
        <v>51</v>
      </c>
      <c r="D900">
        <v>1</v>
      </c>
      <c r="E900" t="s">
        <v>42</v>
      </c>
      <c r="F900" t="s">
        <v>10</v>
      </c>
    </row>
    <row r="901" spans="1:6" hidden="1" x14ac:dyDescent="0.35">
      <c r="A901" t="s">
        <v>67</v>
      </c>
      <c r="B901" t="s">
        <v>69</v>
      </c>
      <c r="C901" t="s">
        <v>51</v>
      </c>
      <c r="D901">
        <v>1</v>
      </c>
      <c r="E901" t="s">
        <v>42</v>
      </c>
      <c r="F901" t="s">
        <v>10</v>
      </c>
    </row>
    <row r="902" spans="1:6" hidden="1" x14ac:dyDescent="0.35">
      <c r="A902" t="s">
        <v>57</v>
      </c>
      <c r="B902" t="s">
        <v>69</v>
      </c>
      <c r="C902" t="s">
        <v>30</v>
      </c>
      <c r="E902" t="s">
        <v>42</v>
      </c>
      <c r="F902" t="s">
        <v>10</v>
      </c>
    </row>
    <row r="903" spans="1:6" hidden="1" x14ac:dyDescent="0.35">
      <c r="A903" t="s">
        <v>11</v>
      </c>
      <c r="B903" t="s">
        <v>69</v>
      </c>
      <c r="C903" t="s">
        <v>30</v>
      </c>
      <c r="E903" t="s">
        <v>42</v>
      </c>
      <c r="F903" t="s">
        <v>10</v>
      </c>
    </row>
    <row r="904" spans="1:6" hidden="1" x14ac:dyDescent="0.35">
      <c r="A904" t="s">
        <v>58</v>
      </c>
      <c r="B904" t="s">
        <v>69</v>
      </c>
      <c r="C904" t="s">
        <v>30</v>
      </c>
      <c r="E904" t="s">
        <v>42</v>
      </c>
      <c r="F904" t="s">
        <v>10</v>
      </c>
    </row>
    <row r="905" spans="1:6" hidden="1" x14ac:dyDescent="0.35">
      <c r="A905" t="s">
        <v>59</v>
      </c>
      <c r="B905" t="s">
        <v>69</v>
      </c>
      <c r="C905" t="s">
        <v>30</v>
      </c>
      <c r="E905" t="s">
        <v>42</v>
      </c>
      <c r="F905" t="s">
        <v>10</v>
      </c>
    </row>
    <row r="906" spans="1:6" hidden="1" x14ac:dyDescent="0.35">
      <c r="A906" t="s">
        <v>60</v>
      </c>
      <c r="B906" t="s">
        <v>69</v>
      </c>
      <c r="C906" t="s">
        <v>30</v>
      </c>
      <c r="D906">
        <v>2</v>
      </c>
      <c r="E906" t="s">
        <v>42</v>
      </c>
      <c r="F906" t="s">
        <v>10</v>
      </c>
    </row>
    <row r="907" spans="1:6" hidden="1" x14ac:dyDescent="0.35">
      <c r="A907" t="s">
        <v>61</v>
      </c>
      <c r="B907" t="s">
        <v>69</v>
      </c>
      <c r="C907" t="s">
        <v>30</v>
      </c>
      <c r="D907">
        <v>1</v>
      </c>
      <c r="E907" t="s">
        <v>42</v>
      </c>
      <c r="F907" t="s">
        <v>10</v>
      </c>
    </row>
    <row r="908" spans="1:6" hidden="1" x14ac:dyDescent="0.35">
      <c r="A908" t="s">
        <v>62</v>
      </c>
      <c r="B908" t="s">
        <v>69</v>
      </c>
      <c r="C908" t="s">
        <v>30</v>
      </c>
      <c r="E908" t="s">
        <v>42</v>
      </c>
      <c r="F908" t="s">
        <v>10</v>
      </c>
    </row>
    <row r="909" spans="1:6" hidden="1" x14ac:dyDescent="0.35">
      <c r="A909" t="s">
        <v>63</v>
      </c>
      <c r="B909" t="s">
        <v>69</v>
      </c>
      <c r="C909" t="s">
        <v>30</v>
      </c>
      <c r="D909">
        <v>2</v>
      </c>
      <c r="E909" t="s">
        <v>42</v>
      </c>
      <c r="F909" t="s">
        <v>10</v>
      </c>
    </row>
    <row r="910" spans="1:6" hidden="1" x14ac:dyDescent="0.35">
      <c r="A910" t="s">
        <v>64</v>
      </c>
      <c r="B910" t="s">
        <v>69</v>
      </c>
      <c r="C910" t="s">
        <v>30</v>
      </c>
      <c r="D910">
        <v>2</v>
      </c>
      <c r="E910" t="s">
        <v>42</v>
      </c>
      <c r="F910" t="s">
        <v>10</v>
      </c>
    </row>
    <row r="911" spans="1:6" hidden="1" x14ac:dyDescent="0.35">
      <c r="A911" t="s">
        <v>65</v>
      </c>
      <c r="B911" t="s">
        <v>69</v>
      </c>
      <c r="C911" t="s">
        <v>30</v>
      </c>
      <c r="D911">
        <v>1</v>
      </c>
      <c r="E911" t="s">
        <v>42</v>
      </c>
      <c r="F911" t="s">
        <v>10</v>
      </c>
    </row>
    <row r="912" spans="1:6" hidden="1" x14ac:dyDescent="0.35">
      <c r="A912" t="s">
        <v>66</v>
      </c>
      <c r="B912" t="s">
        <v>69</v>
      </c>
      <c r="C912" t="s">
        <v>30</v>
      </c>
      <c r="D912">
        <v>1</v>
      </c>
      <c r="E912" t="s">
        <v>42</v>
      </c>
      <c r="F912" t="s">
        <v>10</v>
      </c>
    </row>
    <row r="913" spans="1:6" hidden="1" x14ac:dyDescent="0.35">
      <c r="A913" t="s">
        <v>67</v>
      </c>
      <c r="B913" t="s">
        <v>69</v>
      </c>
      <c r="C913" t="s">
        <v>30</v>
      </c>
      <c r="D913">
        <v>1</v>
      </c>
      <c r="E913" t="s">
        <v>42</v>
      </c>
      <c r="F913" t="s">
        <v>10</v>
      </c>
    </row>
    <row r="914" spans="1:6" hidden="1" x14ac:dyDescent="0.35">
      <c r="A914" t="s">
        <v>57</v>
      </c>
      <c r="B914" t="s">
        <v>69</v>
      </c>
      <c r="C914" t="s">
        <v>52</v>
      </c>
      <c r="D914">
        <v>1</v>
      </c>
      <c r="E914" t="s">
        <v>42</v>
      </c>
      <c r="F914" t="s">
        <v>10</v>
      </c>
    </row>
    <row r="915" spans="1:6" hidden="1" x14ac:dyDescent="0.35">
      <c r="A915" t="s">
        <v>11</v>
      </c>
      <c r="B915" t="s">
        <v>69</v>
      </c>
      <c r="C915" t="s">
        <v>52</v>
      </c>
      <c r="E915" t="s">
        <v>42</v>
      </c>
      <c r="F915" t="s">
        <v>10</v>
      </c>
    </row>
    <row r="916" spans="1:6" hidden="1" x14ac:dyDescent="0.35">
      <c r="A916" t="s">
        <v>58</v>
      </c>
      <c r="B916" t="s">
        <v>69</v>
      </c>
      <c r="C916" t="s">
        <v>52</v>
      </c>
      <c r="E916" t="s">
        <v>42</v>
      </c>
      <c r="F916" t="s">
        <v>10</v>
      </c>
    </row>
    <row r="917" spans="1:6" hidden="1" x14ac:dyDescent="0.35">
      <c r="A917" t="s">
        <v>59</v>
      </c>
      <c r="B917" t="s">
        <v>69</v>
      </c>
      <c r="C917" t="s">
        <v>52</v>
      </c>
      <c r="E917" t="s">
        <v>42</v>
      </c>
      <c r="F917" t="s">
        <v>10</v>
      </c>
    </row>
    <row r="918" spans="1:6" hidden="1" x14ac:dyDescent="0.35">
      <c r="A918" t="s">
        <v>60</v>
      </c>
      <c r="B918" t="s">
        <v>69</v>
      </c>
      <c r="C918" t="s">
        <v>52</v>
      </c>
      <c r="E918" t="s">
        <v>42</v>
      </c>
      <c r="F918" t="s">
        <v>10</v>
      </c>
    </row>
    <row r="919" spans="1:6" hidden="1" x14ac:dyDescent="0.35">
      <c r="A919" t="s">
        <v>61</v>
      </c>
      <c r="B919" t="s">
        <v>69</v>
      </c>
      <c r="C919" t="s">
        <v>52</v>
      </c>
      <c r="E919" t="s">
        <v>42</v>
      </c>
      <c r="F919" t="s">
        <v>10</v>
      </c>
    </row>
    <row r="920" spans="1:6" hidden="1" x14ac:dyDescent="0.35">
      <c r="A920" t="s">
        <v>62</v>
      </c>
      <c r="B920" t="s">
        <v>69</v>
      </c>
      <c r="C920" t="s">
        <v>52</v>
      </c>
      <c r="D920">
        <v>1</v>
      </c>
      <c r="E920" t="s">
        <v>42</v>
      </c>
      <c r="F920" t="s">
        <v>10</v>
      </c>
    </row>
    <row r="921" spans="1:6" hidden="1" x14ac:dyDescent="0.35">
      <c r="A921" t="s">
        <v>63</v>
      </c>
      <c r="B921" t="s">
        <v>69</v>
      </c>
      <c r="C921" t="s">
        <v>52</v>
      </c>
      <c r="D921">
        <v>4</v>
      </c>
      <c r="E921" t="s">
        <v>42</v>
      </c>
      <c r="F921" t="s">
        <v>10</v>
      </c>
    </row>
    <row r="922" spans="1:6" hidden="1" x14ac:dyDescent="0.35">
      <c r="A922" t="s">
        <v>64</v>
      </c>
      <c r="B922" t="s">
        <v>69</v>
      </c>
      <c r="C922" t="s">
        <v>52</v>
      </c>
      <c r="E922" t="s">
        <v>42</v>
      </c>
      <c r="F922" t="s">
        <v>10</v>
      </c>
    </row>
    <row r="923" spans="1:6" hidden="1" x14ac:dyDescent="0.35">
      <c r="A923" t="s">
        <v>65</v>
      </c>
      <c r="B923" t="s">
        <v>69</v>
      </c>
      <c r="C923" t="s">
        <v>52</v>
      </c>
      <c r="D923">
        <v>1</v>
      </c>
      <c r="E923" t="s">
        <v>42</v>
      </c>
      <c r="F923" t="s">
        <v>10</v>
      </c>
    </row>
    <row r="924" spans="1:6" hidden="1" x14ac:dyDescent="0.35">
      <c r="A924" t="s">
        <v>66</v>
      </c>
      <c r="B924" t="s">
        <v>69</v>
      </c>
      <c r="C924" t="s">
        <v>52</v>
      </c>
      <c r="E924" t="s">
        <v>42</v>
      </c>
      <c r="F924" t="s">
        <v>10</v>
      </c>
    </row>
    <row r="925" spans="1:6" hidden="1" x14ac:dyDescent="0.35">
      <c r="A925" t="s">
        <v>67</v>
      </c>
      <c r="B925" t="s">
        <v>69</v>
      </c>
      <c r="C925" t="s">
        <v>52</v>
      </c>
      <c r="E925" t="s">
        <v>42</v>
      </c>
      <c r="F925" t="s">
        <v>10</v>
      </c>
    </row>
    <row r="926" spans="1:6" hidden="1" x14ac:dyDescent="0.35">
      <c r="A926" t="s">
        <v>57</v>
      </c>
      <c r="B926" t="s">
        <v>70</v>
      </c>
      <c r="C926" t="s">
        <v>44</v>
      </c>
      <c r="D926">
        <v>3265.666016260162</v>
      </c>
      <c r="E926" t="s">
        <v>42</v>
      </c>
      <c r="F926" t="s">
        <v>10</v>
      </c>
    </row>
    <row r="927" spans="1:6" hidden="1" x14ac:dyDescent="0.35">
      <c r="A927" t="s">
        <v>11</v>
      </c>
      <c r="B927" t="s">
        <v>70</v>
      </c>
      <c r="C927" t="s">
        <v>44</v>
      </c>
      <c r="D927">
        <v>334.29981626016257</v>
      </c>
      <c r="E927" t="s">
        <v>42</v>
      </c>
      <c r="F927" t="s">
        <v>10</v>
      </c>
    </row>
    <row r="928" spans="1:6" hidden="1" x14ac:dyDescent="0.35">
      <c r="A928" t="s">
        <v>58</v>
      </c>
      <c r="B928" t="s">
        <v>70</v>
      </c>
      <c r="C928" t="s">
        <v>44</v>
      </c>
      <c r="D928">
        <v>100748.3360813008</v>
      </c>
      <c r="E928" t="s">
        <v>42</v>
      </c>
      <c r="F928" t="s">
        <v>10</v>
      </c>
    </row>
    <row r="929" spans="1:6" hidden="1" x14ac:dyDescent="0.35">
      <c r="A929" t="s">
        <v>59</v>
      </c>
      <c r="B929" t="s">
        <v>70</v>
      </c>
      <c r="C929" t="s">
        <v>44</v>
      </c>
      <c r="D929">
        <v>32567.223448780489</v>
      </c>
      <c r="E929" t="s">
        <v>42</v>
      </c>
      <c r="F929" t="s">
        <v>10</v>
      </c>
    </row>
    <row r="930" spans="1:6" hidden="1" x14ac:dyDescent="0.35">
      <c r="A930" t="s">
        <v>60</v>
      </c>
      <c r="B930" t="s">
        <v>70</v>
      </c>
      <c r="C930" t="s">
        <v>44</v>
      </c>
      <c r="D930">
        <v>5377.456232520326</v>
      </c>
      <c r="E930" t="s">
        <v>42</v>
      </c>
      <c r="F930" t="s">
        <v>10</v>
      </c>
    </row>
    <row r="931" spans="1:6" hidden="1" x14ac:dyDescent="0.35">
      <c r="A931" t="s">
        <v>61</v>
      </c>
      <c r="B931" t="s">
        <v>70</v>
      </c>
      <c r="C931" t="s">
        <v>44</v>
      </c>
      <c r="D931">
        <v>10366.118832520329</v>
      </c>
      <c r="E931" t="s">
        <v>42</v>
      </c>
      <c r="F931" t="s">
        <v>10</v>
      </c>
    </row>
    <row r="932" spans="1:6" hidden="1" x14ac:dyDescent="0.35">
      <c r="A932" t="s">
        <v>62</v>
      </c>
      <c r="B932" t="s">
        <v>70</v>
      </c>
      <c r="C932" t="s">
        <v>44</v>
      </c>
      <c r="D932">
        <v>23238.631216260161</v>
      </c>
      <c r="E932" t="s">
        <v>42</v>
      </c>
      <c r="F932" t="s">
        <v>10</v>
      </c>
    </row>
    <row r="933" spans="1:6" hidden="1" x14ac:dyDescent="0.35">
      <c r="A933" t="s">
        <v>63</v>
      </c>
      <c r="B933" t="s">
        <v>70</v>
      </c>
      <c r="C933" t="s">
        <v>44</v>
      </c>
      <c r="D933">
        <v>41609.144416260162</v>
      </c>
      <c r="E933" t="s">
        <v>42</v>
      </c>
      <c r="F933" t="s">
        <v>10</v>
      </c>
    </row>
    <row r="934" spans="1:6" hidden="1" x14ac:dyDescent="0.35">
      <c r="A934" t="s">
        <v>64</v>
      </c>
      <c r="B934" t="s">
        <v>70</v>
      </c>
      <c r="C934" t="s">
        <v>44</v>
      </c>
      <c r="D934">
        <v>61299.00924878048</v>
      </c>
      <c r="E934" t="s">
        <v>42</v>
      </c>
      <c r="F934" t="s">
        <v>10</v>
      </c>
    </row>
    <row r="935" spans="1:6" hidden="1" x14ac:dyDescent="0.35">
      <c r="A935" t="s">
        <v>65</v>
      </c>
      <c r="B935" t="s">
        <v>70</v>
      </c>
      <c r="C935" t="s">
        <v>44</v>
      </c>
      <c r="D935">
        <v>23093.044681300809</v>
      </c>
      <c r="E935" t="s">
        <v>42</v>
      </c>
      <c r="F935" t="s">
        <v>10</v>
      </c>
    </row>
    <row r="936" spans="1:6" hidden="1" x14ac:dyDescent="0.35">
      <c r="A936" t="s">
        <v>66</v>
      </c>
      <c r="B936" t="s">
        <v>70</v>
      </c>
      <c r="C936" t="s">
        <v>44</v>
      </c>
      <c r="D936">
        <v>16067.46508130081</v>
      </c>
      <c r="E936" t="s">
        <v>42</v>
      </c>
      <c r="F936" t="s">
        <v>10</v>
      </c>
    </row>
    <row r="937" spans="1:6" hidden="1" x14ac:dyDescent="0.35">
      <c r="A937" t="s">
        <v>67</v>
      </c>
      <c r="B937" t="s">
        <v>70</v>
      </c>
      <c r="C937" t="s">
        <v>44</v>
      </c>
      <c r="D937">
        <v>68755.600448780475</v>
      </c>
      <c r="E937" t="s">
        <v>42</v>
      </c>
      <c r="F937" t="s">
        <v>10</v>
      </c>
    </row>
    <row r="938" spans="1:6" hidden="1" x14ac:dyDescent="0.35">
      <c r="A938" t="s">
        <v>57</v>
      </c>
      <c r="B938" t="s">
        <v>70</v>
      </c>
      <c r="C938" t="s">
        <v>22</v>
      </c>
      <c r="D938">
        <v>0</v>
      </c>
      <c r="E938" t="s">
        <v>42</v>
      </c>
      <c r="F938" t="s">
        <v>10</v>
      </c>
    </row>
    <row r="939" spans="1:6" hidden="1" x14ac:dyDescent="0.35">
      <c r="A939" t="s">
        <v>11</v>
      </c>
      <c r="B939" t="s">
        <v>70</v>
      </c>
      <c r="C939" t="s">
        <v>22</v>
      </c>
      <c r="D939">
        <v>0</v>
      </c>
      <c r="E939" t="s">
        <v>42</v>
      </c>
      <c r="F939" t="s">
        <v>10</v>
      </c>
    </row>
    <row r="940" spans="1:6" hidden="1" x14ac:dyDescent="0.35">
      <c r="A940" t="s">
        <v>58</v>
      </c>
      <c r="B940" t="s">
        <v>70</v>
      </c>
      <c r="C940" t="s">
        <v>22</v>
      </c>
      <c r="D940">
        <v>0</v>
      </c>
      <c r="E940" t="s">
        <v>42</v>
      </c>
      <c r="F940" t="s">
        <v>10</v>
      </c>
    </row>
    <row r="941" spans="1:6" hidden="1" x14ac:dyDescent="0.35">
      <c r="A941" t="s">
        <v>59</v>
      </c>
      <c r="B941" t="s">
        <v>70</v>
      </c>
      <c r="C941" t="s">
        <v>22</v>
      </c>
      <c r="D941">
        <v>0</v>
      </c>
      <c r="E941" t="s">
        <v>42</v>
      </c>
      <c r="F941" t="s">
        <v>10</v>
      </c>
    </row>
    <row r="942" spans="1:6" hidden="1" x14ac:dyDescent="0.35">
      <c r="A942" t="s">
        <v>60</v>
      </c>
      <c r="B942" t="s">
        <v>70</v>
      </c>
      <c r="C942" t="s">
        <v>22</v>
      </c>
      <c r="D942">
        <v>0</v>
      </c>
      <c r="E942" t="s">
        <v>42</v>
      </c>
      <c r="F942" t="s">
        <v>10</v>
      </c>
    </row>
    <row r="943" spans="1:6" hidden="1" x14ac:dyDescent="0.35">
      <c r="A943" t="s">
        <v>61</v>
      </c>
      <c r="B943" t="s">
        <v>70</v>
      </c>
      <c r="C943" t="s">
        <v>22</v>
      </c>
      <c r="D943">
        <v>0</v>
      </c>
      <c r="E943" t="s">
        <v>42</v>
      </c>
      <c r="F943" t="s">
        <v>10</v>
      </c>
    </row>
    <row r="944" spans="1:6" hidden="1" x14ac:dyDescent="0.35">
      <c r="A944" t="s">
        <v>62</v>
      </c>
      <c r="B944" t="s">
        <v>70</v>
      </c>
      <c r="C944" t="s">
        <v>22</v>
      </c>
      <c r="D944">
        <v>0</v>
      </c>
      <c r="E944" t="s">
        <v>42</v>
      </c>
      <c r="F944" t="s">
        <v>10</v>
      </c>
    </row>
    <row r="945" spans="1:6" hidden="1" x14ac:dyDescent="0.35">
      <c r="A945" t="s">
        <v>63</v>
      </c>
      <c r="B945" t="s">
        <v>70</v>
      </c>
      <c r="C945" t="s">
        <v>22</v>
      </c>
      <c r="D945">
        <v>0</v>
      </c>
      <c r="E945" t="s">
        <v>42</v>
      </c>
      <c r="F945" t="s">
        <v>10</v>
      </c>
    </row>
    <row r="946" spans="1:6" hidden="1" x14ac:dyDescent="0.35">
      <c r="A946" t="s">
        <v>64</v>
      </c>
      <c r="B946" t="s">
        <v>70</v>
      </c>
      <c r="C946" t="s">
        <v>22</v>
      </c>
      <c r="D946">
        <v>0</v>
      </c>
      <c r="E946" t="s">
        <v>42</v>
      </c>
      <c r="F946" t="s">
        <v>10</v>
      </c>
    </row>
    <row r="947" spans="1:6" hidden="1" x14ac:dyDescent="0.35">
      <c r="A947" t="s">
        <v>65</v>
      </c>
      <c r="B947" t="s">
        <v>70</v>
      </c>
      <c r="C947" t="s">
        <v>22</v>
      </c>
      <c r="D947">
        <v>0</v>
      </c>
      <c r="E947" t="s">
        <v>42</v>
      </c>
      <c r="F947" t="s">
        <v>10</v>
      </c>
    </row>
    <row r="948" spans="1:6" hidden="1" x14ac:dyDescent="0.35">
      <c r="A948" t="s">
        <v>66</v>
      </c>
      <c r="B948" t="s">
        <v>70</v>
      </c>
      <c r="C948" t="s">
        <v>22</v>
      </c>
      <c r="D948">
        <v>0</v>
      </c>
      <c r="E948" t="s">
        <v>42</v>
      </c>
      <c r="F948" t="s">
        <v>10</v>
      </c>
    </row>
    <row r="949" spans="1:6" hidden="1" x14ac:dyDescent="0.35">
      <c r="A949" t="s">
        <v>67</v>
      </c>
      <c r="B949" t="s">
        <v>70</v>
      </c>
      <c r="C949" t="s">
        <v>22</v>
      </c>
      <c r="D949">
        <v>0</v>
      </c>
      <c r="E949" t="s">
        <v>42</v>
      </c>
      <c r="F949" t="s">
        <v>10</v>
      </c>
    </row>
    <row r="950" spans="1:6" hidden="1" x14ac:dyDescent="0.35">
      <c r="A950" t="s">
        <v>57</v>
      </c>
      <c r="B950" t="s">
        <v>70</v>
      </c>
      <c r="C950" t="s">
        <v>46</v>
      </c>
      <c r="D950">
        <v>712.74796747967468</v>
      </c>
      <c r="E950" t="s">
        <v>42</v>
      </c>
      <c r="F950" t="s">
        <v>10</v>
      </c>
    </row>
    <row r="951" spans="1:6" hidden="1" x14ac:dyDescent="0.35">
      <c r="A951" t="s">
        <v>11</v>
      </c>
      <c r="B951" t="s">
        <v>70</v>
      </c>
      <c r="C951" t="s">
        <v>46</v>
      </c>
      <c r="D951">
        <v>712.74796747967468</v>
      </c>
      <c r="E951" t="s">
        <v>42</v>
      </c>
      <c r="F951" t="s">
        <v>10</v>
      </c>
    </row>
    <row r="952" spans="1:6" hidden="1" x14ac:dyDescent="0.35">
      <c r="A952" t="s">
        <v>58</v>
      </c>
      <c r="B952" t="s">
        <v>70</v>
      </c>
      <c r="C952" t="s">
        <v>46</v>
      </c>
      <c r="D952">
        <v>3563.7398373983729</v>
      </c>
      <c r="E952" t="s">
        <v>42</v>
      </c>
      <c r="F952" t="s">
        <v>10</v>
      </c>
    </row>
    <row r="953" spans="1:6" hidden="1" x14ac:dyDescent="0.35">
      <c r="A953" t="s">
        <v>59</v>
      </c>
      <c r="B953" t="s">
        <v>70</v>
      </c>
      <c r="C953" t="s">
        <v>46</v>
      </c>
      <c r="D953">
        <v>2138.2439024390242</v>
      </c>
      <c r="E953" t="s">
        <v>42</v>
      </c>
      <c r="F953" t="s">
        <v>10</v>
      </c>
    </row>
    <row r="954" spans="1:6" hidden="1" x14ac:dyDescent="0.35">
      <c r="A954" t="s">
        <v>60</v>
      </c>
      <c r="B954" t="s">
        <v>70</v>
      </c>
      <c r="C954" t="s">
        <v>46</v>
      </c>
      <c r="D954">
        <v>1425.4959349593489</v>
      </c>
      <c r="E954" t="s">
        <v>42</v>
      </c>
      <c r="F954" t="s">
        <v>10</v>
      </c>
    </row>
    <row r="955" spans="1:6" hidden="1" x14ac:dyDescent="0.35">
      <c r="A955" t="s">
        <v>61</v>
      </c>
      <c r="B955" t="s">
        <v>70</v>
      </c>
      <c r="C955" t="s">
        <v>46</v>
      </c>
      <c r="D955">
        <v>1425.4959349593489</v>
      </c>
      <c r="E955" t="s">
        <v>42</v>
      </c>
      <c r="F955" t="s">
        <v>10</v>
      </c>
    </row>
    <row r="956" spans="1:6" hidden="1" x14ac:dyDescent="0.35">
      <c r="A956" t="s">
        <v>62</v>
      </c>
      <c r="B956" t="s">
        <v>70</v>
      </c>
      <c r="C956" t="s">
        <v>46</v>
      </c>
      <c r="D956">
        <v>712.74796747967468</v>
      </c>
      <c r="E956" t="s">
        <v>42</v>
      </c>
      <c r="F956" t="s">
        <v>10</v>
      </c>
    </row>
    <row r="957" spans="1:6" hidden="1" x14ac:dyDescent="0.35">
      <c r="A957" t="s">
        <v>63</v>
      </c>
      <c r="B957" t="s">
        <v>70</v>
      </c>
      <c r="C957" t="s">
        <v>46</v>
      </c>
      <c r="D957">
        <v>712.74796747967468</v>
      </c>
      <c r="E957" t="s">
        <v>42</v>
      </c>
      <c r="F957" t="s">
        <v>10</v>
      </c>
    </row>
    <row r="958" spans="1:6" hidden="1" x14ac:dyDescent="0.35">
      <c r="A958" t="s">
        <v>64</v>
      </c>
      <c r="B958" t="s">
        <v>70</v>
      </c>
      <c r="C958" t="s">
        <v>46</v>
      </c>
      <c r="D958">
        <v>2138.2439024390242</v>
      </c>
      <c r="E958" t="s">
        <v>42</v>
      </c>
      <c r="F958" t="s">
        <v>10</v>
      </c>
    </row>
    <row r="959" spans="1:6" hidden="1" x14ac:dyDescent="0.35">
      <c r="A959" t="s">
        <v>65</v>
      </c>
      <c r="B959" t="s">
        <v>70</v>
      </c>
      <c r="C959" t="s">
        <v>46</v>
      </c>
      <c r="D959">
        <v>3563.7398373983729</v>
      </c>
      <c r="E959" t="s">
        <v>42</v>
      </c>
      <c r="F959" t="s">
        <v>10</v>
      </c>
    </row>
    <row r="960" spans="1:6" hidden="1" x14ac:dyDescent="0.35">
      <c r="A960" t="s">
        <v>66</v>
      </c>
      <c r="B960" t="s">
        <v>70</v>
      </c>
      <c r="C960" t="s">
        <v>46</v>
      </c>
      <c r="D960">
        <v>3813.6370373983732</v>
      </c>
      <c r="E960" t="s">
        <v>42</v>
      </c>
      <c r="F960" t="s">
        <v>10</v>
      </c>
    </row>
    <row r="961" spans="1:6" hidden="1" x14ac:dyDescent="0.35">
      <c r="A961" t="s">
        <v>67</v>
      </c>
      <c r="B961" t="s">
        <v>70</v>
      </c>
      <c r="C961" t="s">
        <v>46</v>
      </c>
      <c r="D961">
        <v>2138.2439024390242</v>
      </c>
      <c r="E961" t="s">
        <v>42</v>
      </c>
      <c r="F961" t="s">
        <v>10</v>
      </c>
    </row>
    <row r="962" spans="1:6" hidden="1" x14ac:dyDescent="0.35">
      <c r="A962" t="s">
        <v>57</v>
      </c>
      <c r="B962" t="s">
        <v>70</v>
      </c>
      <c r="C962" t="s">
        <v>24</v>
      </c>
      <c r="D962">
        <v>0</v>
      </c>
      <c r="E962" t="s">
        <v>42</v>
      </c>
      <c r="F962" t="s">
        <v>10</v>
      </c>
    </row>
    <row r="963" spans="1:6" hidden="1" x14ac:dyDescent="0.35">
      <c r="A963" t="s">
        <v>11</v>
      </c>
      <c r="B963" t="s">
        <v>70</v>
      </c>
      <c r="C963" t="s">
        <v>24</v>
      </c>
      <c r="D963">
        <v>0</v>
      </c>
      <c r="E963" t="s">
        <v>42</v>
      </c>
      <c r="F963" t="s">
        <v>10</v>
      </c>
    </row>
    <row r="964" spans="1:6" hidden="1" x14ac:dyDescent="0.35">
      <c r="A964" t="s">
        <v>58</v>
      </c>
      <c r="B964" t="s">
        <v>70</v>
      </c>
      <c r="C964" t="s">
        <v>24</v>
      </c>
      <c r="D964">
        <v>0</v>
      </c>
      <c r="E964" t="s">
        <v>42</v>
      </c>
      <c r="F964" t="s">
        <v>10</v>
      </c>
    </row>
    <row r="965" spans="1:6" hidden="1" x14ac:dyDescent="0.35">
      <c r="A965" t="s">
        <v>59</v>
      </c>
      <c r="B965" t="s">
        <v>70</v>
      </c>
      <c r="C965" t="s">
        <v>24</v>
      </c>
      <c r="D965">
        <v>0</v>
      </c>
      <c r="E965" t="s">
        <v>42</v>
      </c>
      <c r="F965" t="s">
        <v>10</v>
      </c>
    </row>
    <row r="966" spans="1:6" hidden="1" x14ac:dyDescent="0.35">
      <c r="A966" t="s">
        <v>60</v>
      </c>
      <c r="B966" t="s">
        <v>70</v>
      </c>
      <c r="C966" t="s">
        <v>24</v>
      </c>
      <c r="D966">
        <v>0</v>
      </c>
      <c r="E966" t="s">
        <v>42</v>
      </c>
      <c r="F966" t="s">
        <v>10</v>
      </c>
    </row>
    <row r="967" spans="1:6" hidden="1" x14ac:dyDescent="0.35">
      <c r="A967" t="s">
        <v>61</v>
      </c>
      <c r="B967" t="s">
        <v>70</v>
      </c>
      <c r="C967" t="s">
        <v>24</v>
      </c>
      <c r="D967">
        <v>0</v>
      </c>
      <c r="E967" t="s">
        <v>42</v>
      </c>
      <c r="F967" t="s">
        <v>10</v>
      </c>
    </row>
    <row r="968" spans="1:6" hidden="1" x14ac:dyDescent="0.35">
      <c r="A968" t="s">
        <v>62</v>
      </c>
      <c r="B968" t="s">
        <v>70</v>
      </c>
      <c r="C968" t="s">
        <v>24</v>
      </c>
      <c r="D968">
        <v>0</v>
      </c>
      <c r="E968" t="s">
        <v>42</v>
      </c>
      <c r="F968" t="s">
        <v>10</v>
      </c>
    </row>
    <row r="969" spans="1:6" hidden="1" x14ac:dyDescent="0.35">
      <c r="A969" t="s">
        <v>63</v>
      </c>
      <c r="B969" t="s">
        <v>70</v>
      </c>
      <c r="C969" t="s">
        <v>24</v>
      </c>
      <c r="D969">
        <v>0</v>
      </c>
      <c r="E969" t="s">
        <v>42</v>
      </c>
      <c r="F969" t="s">
        <v>10</v>
      </c>
    </row>
    <row r="970" spans="1:6" hidden="1" x14ac:dyDescent="0.35">
      <c r="A970" t="s">
        <v>64</v>
      </c>
      <c r="B970" t="s">
        <v>70</v>
      </c>
      <c r="C970" t="s">
        <v>24</v>
      </c>
      <c r="D970">
        <v>0</v>
      </c>
      <c r="E970" t="s">
        <v>42</v>
      </c>
      <c r="F970" t="s">
        <v>10</v>
      </c>
    </row>
    <row r="971" spans="1:6" hidden="1" x14ac:dyDescent="0.35">
      <c r="A971" t="s">
        <v>65</v>
      </c>
      <c r="B971" t="s">
        <v>70</v>
      </c>
      <c r="C971" t="s">
        <v>24</v>
      </c>
      <c r="D971">
        <v>0</v>
      </c>
      <c r="E971" t="s">
        <v>42</v>
      </c>
      <c r="F971" t="s">
        <v>10</v>
      </c>
    </row>
    <row r="972" spans="1:6" hidden="1" x14ac:dyDescent="0.35">
      <c r="A972" t="s">
        <v>66</v>
      </c>
      <c r="B972" t="s">
        <v>70</v>
      </c>
      <c r="C972" t="s">
        <v>24</v>
      </c>
      <c r="D972">
        <v>0</v>
      </c>
      <c r="E972" t="s">
        <v>42</v>
      </c>
      <c r="F972" t="s">
        <v>10</v>
      </c>
    </row>
    <row r="973" spans="1:6" hidden="1" x14ac:dyDescent="0.35">
      <c r="A973" t="s">
        <v>67</v>
      </c>
      <c r="B973" t="s">
        <v>70</v>
      </c>
      <c r="C973" t="s">
        <v>24</v>
      </c>
      <c r="D973">
        <v>0</v>
      </c>
      <c r="E973" t="s">
        <v>42</v>
      </c>
      <c r="F973" t="s">
        <v>10</v>
      </c>
    </row>
    <row r="974" spans="1:6" hidden="1" x14ac:dyDescent="0.35">
      <c r="A974" t="s">
        <v>57</v>
      </c>
      <c r="B974" t="s">
        <v>70</v>
      </c>
      <c r="C974" t="s">
        <v>47</v>
      </c>
      <c r="E974" t="s">
        <v>42</v>
      </c>
      <c r="F974" t="s">
        <v>10</v>
      </c>
    </row>
    <row r="975" spans="1:6" hidden="1" x14ac:dyDescent="0.35">
      <c r="A975" t="s">
        <v>11</v>
      </c>
      <c r="B975" t="s">
        <v>70</v>
      </c>
      <c r="C975" t="s">
        <v>47</v>
      </c>
      <c r="E975" t="s">
        <v>42</v>
      </c>
      <c r="F975" t="s">
        <v>10</v>
      </c>
    </row>
    <row r="976" spans="1:6" hidden="1" x14ac:dyDescent="0.35">
      <c r="A976" t="s">
        <v>58</v>
      </c>
      <c r="B976" t="s">
        <v>70</v>
      </c>
      <c r="C976" t="s">
        <v>47</v>
      </c>
      <c r="E976" t="s">
        <v>42</v>
      </c>
      <c r="F976" t="s">
        <v>10</v>
      </c>
    </row>
    <row r="977" spans="1:6" hidden="1" x14ac:dyDescent="0.35">
      <c r="A977" t="s">
        <v>59</v>
      </c>
      <c r="B977" t="s">
        <v>70</v>
      </c>
      <c r="C977" t="s">
        <v>47</v>
      </c>
      <c r="E977" t="s">
        <v>42</v>
      </c>
      <c r="F977" t="s">
        <v>10</v>
      </c>
    </row>
    <row r="978" spans="1:6" hidden="1" x14ac:dyDescent="0.35">
      <c r="A978" t="s">
        <v>60</v>
      </c>
      <c r="B978" t="s">
        <v>70</v>
      </c>
      <c r="C978" t="s">
        <v>47</v>
      </c>
      <c r="E978" t="s">
        <v>42</v>
      </c>
      <c r="F978" t="s">
        <v>10</v>
      </c>
    </row>
    <row r="979" spans="1:6" hidden="1" x14ac:dyDescent="0.35">
      <c r="A979" t="s">
        <v>61</v>
      </c>
      <c r="B979" t="s">
        <v>70</v>
      </c>
      <c r="C979" t="s">
        <v>47</v>
      </c>
      <c r="E979" t="s">
        <v>42</v>
      </c>
      <c r="F979" t="s">
        <v>10</v>
      </c>
    </row>
    <row r="980" spans="1:6" hidden="1" x14ac:dyDescent="0.35">
      <c r="A980" t="s">
        <v>62</v>
      </c>
      <c r="B980" t="s">
        <v>70</v>
      </c>
      <c r="C980" t="s">
        <v>47</v>
      </c>
      <c r="E980" t="s">
        <v>42</v>
      </c>
      <c r="F980" t="s">
        <v>10</v>
      </c>
    </row>
    <row r="981" spans="1:6" hidden="1" x14ac:dyDescent="0.35">
      <c r="A981" t="s">
        <v>63</v>
      </c>
      <c r="B981" t="s">
        <v>70</v>
      </c>
      <c r="C981" t="s">
        <v>47</v>
      </c>
      <c r="E981" t="s">
        <v>42</v>
      </c>
      <c r="F981" t="s">
        <v>10</v>
      </c>
    </row>
    <row r="982" spans="1:6" hidden="1" x14ac:dyDescent="0.35">
      <c r="A982" t="s">
        <v>64</v>
      </c>
      <c r="B982" t="s">
        <v>70</v>
      </c>
      <c r="C982" t="s">
        <v>47</v>
      </c>
      <c r="E982" t="s">
        <v>42</v>
      </c>
      <c r="F982" t="s">
        <v>10</v>
      </c>
    </row>
    <row r="983" spans="1:6" hidden="1" x14ac:dyDescent="0.35">
      <c r="A983" t="s">
        <v>65</v>
      </c>
      <c r="B983" t="s">
        <v>70</v>
      </c>
      <c r="C983" t="s">
        <v>47</v>
      </c>
      <c r="E983" t="s">
        <v>42</v>
      </c>
      <c r="F983" t="s">
        <v>10</v>
      </c>
    </row>
    <row r="984" spans="1:6" hidden="1" x14ac:dyDescent="0.35">
      <c r="A984" t="s">
        <v>66</v>
      </c>
      <c r="B984" t="s">
        <v>70</v>
      </c>
      <c r="C984" t="s">
        <v>47</v>
      </c>
      <c r="E984" t="s">
        <v>42</v>
      </c>
      <c r="F984" t="s">
        <v>10</v>
      </c>
    </row>
    <row r="985" spans="1:6" hidden="1" x14ac:dyDescent="0.35">
      <c r="A985" t="s">
        <v>67</v>
      </c>
      <c r="B985" t="s">
        <v>70</v>
      </c>
      <c r="C985" t="s">
        <v>47</v>
      </c>
      <c r="E985" t="s">
        <v>42</v>
      </c>
      <c r="F985" t="s">
        <v>10</v>
      </c>
    </row>
    <row r="986" spans="1:6" hidden="1" x14ac:dyDescent="0.35">
      <c r="A986" t="s">
        <v>57</v>
      </c>
      <c r="B986" t="s">
        <v>70</v>
      </c>
      <c r="C986" t="s">
        <v>48</v>
      </c>
      <c r="D986">
        <v>0</v>
      </c>
      <c r="E986" t="s">
        <v>42</v>
      </c>
      <c r="F986" t="s">
        <v>10</v>
      </c>
    </row>
    <row r="987" spans="1:6" hidden="1" x14ac:dyDescent="0.35">
      <c r="A987" t="s">
        <v>11</v>
      </c>
      <c r="B987" t="s">
        <v>70</v>
      </c>
      <c r="C987" t="s">
        <v>48</v>
      </c>
      <c r="D987">
        <v>0</v>
      </c>
      <c r="E987" t="s">
        <v>42</v>
      </c>
      <c r="F987" t="s">
        <v>10</v>
      </c>
    </row>
    <row r="988" spans="1:6" hidden="1" x14ac:dyDescent="0.35">
      <c r="A988" t="s">
        <v>58</v>
      </c>
      <c r="B988" t="s">
        <v>70</v>
      </c>
      <c r="C988" t="s">
        <v>48</v>
      </c>
      <c r="D988">
        <v>0</v>
      </c>
      <c r="E988" t="s">
        <v>42</v>
      </c>
      <c r="F988" t="s">
        <v>10</v>
      </c>
    </row>
    <row r="989" spans="1:6" hidden="1" x14ac:dyDescent="0.35">
      <c r="A989" t="s">
        <v>59</v>
      </c>
      <c r="B989" t="s">
        <v>70</v>
      </c>
      <c r="C989" t="s">
        <v>48</v>
      </c>
      <c r="D989">
        <v>0</v>
      </c>
      <c r="E989" t="s">
        <v>42</v>
      </c>
      <c r="F989" t="s">
        <v>10</v>
      </c>
    </row>
    <row r="990" spans="1:6" hidden="1" x14ac:dyDescent="0.35">
      <c r="A990" t="s">
        <v>60</v>
      </c>
      <c r="B990" t="s">
        <v>70</v>
      </c>
      <c r="C990" t="s">
        <v>48</v>
      </c>
      <c r="D990">
        <v>0</v>
      </c>
      <c r="E990" t="s">
        <v>42</v>
      </c>
      <c r="F990" t="s">
        <v>10</v>
      </c>
    </row>
    <row r="991" spans="1:6" hidden="1" x14ac:dyDescent="0.35">
      <c r="A991" t="s">
        <v>61</v>
      </c>
      <c r="B991" t="s">
        <v>70</v>
      </c>
      <c r="C991" t="s">
        <v>48</v>
      </c>
      <c r="D991">
        <v>0</v>
      </c>
      <c r="E991" t="s">
        <v>42</v>
      </c>
      <c r="F991" t="s">
        <v>10</v>
      </c>
    </row>
    <row r="992" spans="1:6" hidden="1" x14ac:dyDescent="0.35">
      <c r="A992" t="s">
        <v>62</v>
      </c>
      <c r="B992" t="s">
        <v>70</v>
      </c>
      <c r="C992" t="s">
        <v>48</v>
      </c>
      <c r="D992">
        <v>0</v>
      </c>
      <c r="E992" t="s">
        <v>42</v>
      </c>
      <c r="F992" t="s">
        <v>10</v>
      </c>
    </row>
    <row r="993" spans="1:6" hidden="1" x14ac:dyDescent="0.35">
      <c r="A993" t="s">
        <v>63</v>
      </c>
      <c r="B993" t="s">
        <v>70</v>
      </c>
      <c r="C993" t="s">
        <v>48</v>
      </c>
      <c r="D993">
        <v>0</v>
      </c>
      <c r="E993" t="s">
        <v>42</v>
      </c>
      <c r="F993" t="s">
        <v>10</v>
      </c>
    </row>
    <row r="994" spans="1:6" hidden="1" x14ac:dyDescent="0.35">
      <c r="A994" t="s">
        <v>64</v>
      </c>
      <c r="B994" t="s">
        <v>70</v>
      </c>
      <c r="C994" t="s">
        <v>48</v>
      </c>
      <c r="D994">
        <v>0</v>
      </c>
      <c r="E994" t="s">
        <v>42</v>
      </c>
      <c r="F994" t="s">
        <v>10</v>
      </c>
    </row>
    <row r="995" spans="1:6" hidden="1" x14ac:dyDescent="0.35">
      <c r="A995" t="s">
        <v>65</v>
      </c>
      <c r="B995" t="s">
        <v>70</v>
      </c>
      <c r="C995" t="s">
        <v>48</v>
      </c>
      <c r="D995">
        <v>0</v>
      </c>
      <c r="E995" t="s">
        <v>42</v>
      </c>
      <c r="F995" t="s">
        <v>10</v>
      </c>
    </row>
    <row r="996" spans="1:6" hidden="1" x14ac:dyDescent="0.35">
      <c r="A996" t="s">
        <v>66</v>
      </c>
      <c r="B996" t="s">
        <v>70</v>
      </c>
      <c r="C996" t="s">
        <v>48</v>
      </c>
      <c r="D996">
        <v>0</v>
      </c>
      <c r="E996" t="s">
        <v>42</v>
      </c>
      <c r="F996" t="s">
        <v>10</v>
      </c>
    </row>
    <row r="997" spans="1:6" hidden="1" x14ac:dyDescent="0.35">
      <c r="A997" t="s">
        <v>67</v>
      </c>
      <c r="B997" t="s">
        <v>70</v>
      </c>
      <c r="C997" t="s">
        <v>48</v>
      </c>
      <c r="D997">
        <v>0</v>
      </c>
      <c r="E997" t="s">
        <v>42</v>
      </c>
      <c r="F997" t="s">
        <v>10</v>
      </c>
    </row>
    <row r="998" spans="1:6" hidden="1" x14ac:dyDescent="0.35">
      <c r="A998" t="s">
        <v>57</v>
      </c>
      <c r="B998" t="s">
        <v>70</v>
      </c>
      <c r="C998" t="s">
        <v>49</v>
      </c>
      <c r="D998">
        <v>2615.6268</v>
      </c>
      <c r="E998" t="s">
        <v>42</v>
      </c>
      <c r="F998" t="s">
        <v>10</v>
      </c>
    </row>
    <row r="999" spans="1:6" hidden="1" x14ac:dyDescent="0.35">
      <c r="A999" t="s">
        <v>11</v>
      </c>
      <c r="B999" t="s">
        <v>70</v>
      </c>
      <c r="C999" t="s">
        <v>49</v>
      </c>
      <c r="D999">
        <v>125</v>
      </c>
      <c r="E999" t="s">
        <v>42</v>
      </c>
      <c r="F999" t="s">
        <v>10</v>
      </c>
    </row>
    <row r="1000" spans="1:6" hidden="1" x14ac:dyDescent="0.35">
      <c r="A1000" t="s">
        <v>58</v>
      </c>
      <c r="B1000" t="s">
        <v>70</v>
      </c>
      <c r="C1000" t="s">
        <v>49</v>
      </c>
      <c r="D1000">
        <v>15437.119199999999</v>
      </c>
      <c r="E1000" t="s">
        <v>42</v>
      </c>
      <c r="F1000" t="s">
        <v>10</v>
      </c>
    </row>
    <row r="1001" spans="1:6" hidden="1" x14ac:dyDescent="0.35">
      <c r="A1001" t="s">
        <v>59</v>
      </c>
      <c r="B1001" t="s">
        <v>70</v>
      </c>
      <c r="C1001" t="s">
        <v>49</v>
      </c>
      <c r="D1001">
        <v>4889.6540000000005</v>
      </c>
      <c r="E1001" t="s">
        <v>42</v>
      </c>
      <c r="F1001" t="s">
        <v>10</v>
      </c>
    </row>
    <row r="1002" spans="1:6" hidden="1" x14ac:dyDescent="0.35">
      <c r="A1002" t="s">
        <v>60</v>
      </c>
      <c r="B1002" t="s">
        <v>70</v>
      </c>
      <c r="C1002" t="s">
        <v>49</v>
      </c>
      <c r="D1002">
        <v>5942.2187999999996</v>
      </c>
      <c r="E1002" t="s">
        <v>42</v>
      </c>
      <c r="F1002" t="s">
        <v>10</v>
      </c>
    </row>
    <row r="1003" spans="1:6" hidden="1" x14ac:dyDescent="0.35">
      <c r="A1003" t="s">
        <v>61</v>
      </c>
      <c r="B1003" t="s">
        <v>70</v>
      </c>
      <c r="C1003" t="s">
        <v>49</v>
      </c>
      <c r="D1003">
        <v>2243.982</v>
      </c>
      <c r="E1003" t="s">
        <v>42</v>
      </c>
      <c r="F1003" t="s">
        <v>10</v>
      </c>
    </row>
    <row r="1004" spans="1:6" hidden="1" x14ac:dyDescent="0.35">
      <c r="A1004" t="s">
        <v>62</v>
      </c>
      <c r="B1004" t="s">
        <v>70</v>
      </c>
      <c r="C1004" t="s">
        <v>49</v>
      </c>
      <c r="D1004">
        <v>5801.3652000000002</v>
      </c>
      <c r="E1004" t="s">
        <v>42</v>
      </c>
      <c r="F1004" t="s">
        <v>10</v>
      </c>
    </row>
    <row r="1005" spans="1:6" hidden="1" x14ac:dyDescent="0.35">
      <c r="A1005" t="s">
        <v>63</v>
      </c>
      <c r="B1005" t="s">
        <v>70</v>
      </c>
      <c r="C1005" t="s">
        <v>49</v>
      </c>
      <c r="D1005">
        <v>4490.3580000000002</v>
      </c>
      <c r="E1005" t="s">
        <v>42</v>
      </c>
      <c r="F1005" t="s">
        <v>10</v>
      </c>
    </row>
    <row r="1006" spans="1:6" hidden="1" x14ac:dyDescent="0.35">
      <c r="A1006" t="s">
        <v>64</v>
      </c>
      <c r="B1006" t="s">
        <v>70</v>
      </c>
      <c r="C1006" t="s">
        <v>49</v>
      </c>
      <c r="D1006">
        <v>16136.301600000001</v>
      </c>
      <c r="E1006" t="s">
        <v>42</v>
      </c>
      <c r="F1006" t="s">
        <v>10</v>
      </c>
    </row>
    <row r="1007" spans="1:6" hidden="1" x14ac:dyDescent="0.35">
      <c r="A1007" t="s">
        <v>65</v>
      </c>
      <c r="B1007" t="s">
        <v>70</v>
      </c>
      <c r="C1007" t="s">
        <v>49</v>
      </c>
      <c r="D1007">
        <v>9842.4827999999998</v>
      </c>
      <c r="E1007" t="s">
        <v>42</v>
      </c>
      <c r="F1007" t="s">
        <v>10</v>
      </c>
    </row>
    <row r="1008" spans="1:6" hidden="1" x14ac:dyDescent="0.35">
      <c r="A1008" t="s">
        <v>66</v>
      </c>
      <c r="B1008" t="s">
        <v>70</v>
      </c>
      <c r="C1008" t="s">
        <v>49</v>
      </c>
      <c r="D1008">
        <v>8561.6563999999998</v>
      </c>
      <c r="E1008" t="s">
        <v>42</v>
      </c>
      <c r="F1008" t="s">
        <v>10</v>
      </c>
    </row>
    <row r="1009" spans="1:6" hidden="1" x14ac:dyDescent="0.35">
      <c r="A1009" t="s">
        <v>67</v>
      </c>
      <c r="B1009" t="s">
        <v>70</v>
      </c>
      <c r="C1009" t="s">
        <v>49</v>
      </c>
      <c r="D1009">
        <v>23749.5556</v>
      </c>
      <c r="E1009" t="s">
        <v>42</v>
      </c>
      <c r="F1009" t="s">
        <v>10</v>
      </c>
    </row>
    <row r="1010" spans="1:6" hidden="1" x14ac:dyDescent="0.35">
      <c r="A1010" t="s">
        <v>57</v>
      </c>
      <c r="B1010" t="s">
        <v>70</v>
      </c>
      <c r="C1010" t="s">
        <v>50</v>
      </c>
      <c r="D1010">
        <v>7244.08</v>
      </c>
      <c r="E1010" t="s">
        <v>42</v>
      </c>
      <c r="F1010" t="s">
        <v>10</v>
      </c>
    </row>
    <row r="1011" spans="1:6" hidden="1" x14ac:dyDescent="0.35">
      <c r="A1011" t="s">
        <v>11</v>
      </c>
      <c r="B1011" t="s">
        <v>70</v>
      </c>
      <c r="C1011" t="s">
        <v>50</v>
      </c>
      <c r="D1011">
        <v>1381.3476000000001</v>
      </c>
      <c r="E1011" t="s">
        <v>42</v>
      </c>
      <c r="F1011" t="s">
        <v>10</v>
      </c>
    </row>
    <row r="1012" spans="1:6" hidden="1" x14ac:dyDescent="0.35">
      <c r="A1012" t="s">
        <v>58</v>
      </c>
      <c r="B1012" t="s">
        <v>70</v>
      </c>
      <c r="C1012" t="s">
        <v>50</v>
      </c>
      <c r="D1012">
        <v>205060.41200000001</v>
      </c>
      <c r="E1012" t="s">
        <v>42</v>
      </c>
      <c r="F1012" t="s">
        <v>10</v>
      </c>
    </row>
    <row r="1013" spans="1:6" hidden="1" x14ac:dyDescent="0.35">
      <c r="A1013" t="s">
        <v>59</v>
      </c>
      <c r="B1013" t="s">
        <v>70</v>
      </c>
      <c r="C1013" t="s">
        <v>50</v>
      </c>
      <c r="D1013">
        <v>67272.690799999997</v>
      </c>
      <c r="E1013" t="s">
        <v>42</v>
      </c>
      <c r="F1013" t="s">
        <v>10</v>
      </c>
    </row>
    <row r="1014" spans="1:6" hidden="1" x14ac:dyDescent="0.35">
      <c r="A1014" t="s">
        <v>60</v>
      </c>
      <c r="B1014" t="s">
        <v>70</v>
      </c>
      <c r="C1014" t="s">
        <v>50</v>
      </c>
      <c r="D1014">
        <v>12180.4084</v>
      </c>
      <c r="E1014" t="s">
        <v>42</v>
      </c>
      <c r="F1014" t="s">
        <v>10</v>
      </c>
    </row>
    <row r="1015" spans="1:6" hidden="1" x14ac:dyDescent="0.35">
      <c r="A1015" t="s">
        <v>61</v>
      </c>
      <c r="B1015" t="s">
        <v>70</v>
      </c>
      <c r="C1015" t="s">
        <v>50</v>
      </c>
      <c r="D1015">
        <v>22157.7336</v>
      </c>
      <c r="E1015" t="s">
        <v>42</v>
      </c>
      <c r="F1015" t="s">
        <v>10</v>
      </c>
    </row>
    <row r="1016" spans="1:6" hidden="1" x14ac:dyDescent="0.35">
      <c r="A1016" t="s">
        <v>62</v>
      </c>
      <c r="B1016" t="s">
        <v>70</v>
      </c>
      <c r="C1016" t="s">
        <v>50</v>
      </c>
      <c r="D1016">
        <v>47190.010399999999</v>
      </c>
      <c r="E1016" t="s">
        <v>42</v>
      </c>
      <c r="F1016" t="s">
        <v>10</v>
      </c>
    </row>
    <row r="1017" spans="1:6" hidden="1" x14ac:dyDescent="0.35">
      <c r="A1017" t="s">
        <v>63</v>
      </c>
      <c r="B1017" t="s">
        <v>70</v>
      </c>
      <c r="C1017" t="s">
        <v>50</v>
      </c>
      <c r="D1017">
        <v>83931.036800000002</v>
      </c>
      <c r="E1017" t="s">
        <v>42</v>
      </c>
      <c r="F1017" t="s">
        <v>10</v>
      </c>
    </row>
    <row r="1018" spans="1:6" hidden="1" x14ac:dyDescent="0.35">
      <c r="A1018" t="s">
        <v>64</v>
      </c>
      <c r="B1018" t="s">
        <v>70</v>
      </c>
      <c r="C1018" t="s">
        <v>50</v>
      </c>
      <c r="D1018">
        <v>124736.26240000001</v>
      </c>
      <c r="E1018" t="s">
        <v>42</v>
      </c>
      <c r="F1018" t="s">
        <v>10</v>
      </c>
    </row>
    <row r="1019" spans="1:6" hidden="1" x14ac:dyDescent="0.35">
      <c r="A1019" t="s">
        <v>65</v>
      </c>
      <c r="B1019" t="s">
        <v>70</v>
      </c>
      <c r="C1019" t="s">
        <v>50</v>
      </c>
      <c r="D1019">
        <v>49749.829200000007</v>
      </c>
      <c r="E1019" t="s">
        <v>42</v>
      </c>
      <c r="F1019" t="s">
        <v>10</v>
      </c>
    </row>
    <row r="1020" spans="1:6" hidden="1" x14ac:dyDescent="0.35">
      <c r="A1020" t="s">
        <v>66</v>
      </c>
      <c r="B1020" t="s">
        <v>70</v>
      </c>
      <c r="C1020" t="s">
        <v>50</v>
      </c>
      <c r="D1020">
        <v>35948.567199999998</v>
      </c>
      <c r="E1020" t="s">
        <v>42</v>
      </c>
      <c r="F1020" t="s">
        <v>10</v>
      </c>
    </row>
    <row r="1021" spans="1:6" hidden="1" x14ac:dyDescent="0.35">
      <c r="A1021" t="s">
        <v>67</v>
      </c>
      <c r="B1021" t="s">
        <v>70</v>
      </c>
      <c r="C1021" t="s">
        <v>50</v>
      </c>
      <c r="D1021">
        <v>139649.4448</v>
      </c>
      <c r="E1021" t="s">
        <v>42</v>
      </c>
      <c r="F1021" t="s">
        <v>10</v>
      </c>
    </row>
    <row r="1022" spans="1:6" hidden="1" x14ac:dyDescent="0.35">
      <c r="A1022" t="s">
        <v>57</v>
      </c>
      <c r="B1022" t="s">
        <v>70</v>
      </c>
      <c r="C1022" t="s">
        <v>51</v>
      </c>
      <c r="D1022">
        <v>15</v>
      </c>
      <c r="E1022" t="s">
        <v>42</v>
      </c>
      <c r="F1022" t="s">
        <v>10</v>
      </c>
    </row>
    <row r="1023" spans="1:6" hidden="1" x14ac:dyDescent="0.35">
      <c r="A1023" t="s">
        <v>11</v>
      </c>
      <c r="B1023" t="s">
        <v>70</v>
      </c>
      <c r="C1023" t="s">
        <v>51</v>
      </c>
      <c r="D1023">
        <v>17</v>
      </c>
      <c r="E1023" t="s">
        <v>42</v>
      </c>
      <c r="F1023" t="s">
        <v>10</v>
      </c>
    </row>
    <row r="1024" spans="1:6" hidden="1" x14ac:dyDescent="0.35">
      <c r="A1024" t="s">
        <v>58</v>
      </c>
      <c r="B1024" t="s">
        <v>70</v>
      </c>
      <c r="C1024" t="s">
        <v>51</v>
      </c>
      <c r="D1024">
        <v>15</v>
      </c>
      <c r="E1024" t="s">
        <v>42</v>
      </c>
      <c r="F1024" t="s">
        <v>10</v>
      </c>
    </row>
    <row r="1025" spans="1:6" hidden="1" x14ac:dyDescent="0.35">
      <c r="A1025" t="s">
        <v>59</v>
      </c>
      <c r="B1025" t="s">
        <v>70</v>
      </c>
      <c r="C1025" t="s">
        <v>51</v>
      </c>
      <c r="D1025">
        <v>28</v>
      </c>
      <c r="E1025" t="s">
        <v>42</v>
      </c>
      <c r="F1025" t="s">
        <v>10</v>
      </c>
    </row>
    <row r="1026" spans="1:6" hidden="1" x14ac:dyDescent="0.35">
      <c r="A1026" t="s">
        <v>60</v>
      </c>
      <c r="B1026" t="s">
        <v>70</v>
      </c>
      <c r="C1026" t="s">
        <v>51</v>
      </c>
      <c r="D1026">
        <v>10</v>
      </c>
      <c r="E1026" t="s">
        <v>42</v>
      </c>
      <c r="F1026" t="s">
        <v>10</v>
      </c>
    </row>
    <row r="1027" spans="1:6" hidden="1" x14ac:dyDescent="0.35">
      <c r="A1027" t="s">
        <v>61</v>
      </c>
      <c r="B1027" t="s">
        <v>70</v>
      </c>
      <c r="C1027" t="s">
        <v>51</v>
      </c>
      <c r="D1027">
        <v>8</v>
      </c>
      <c r="E1027" t="s">
        <v>42</v>
      </c>
      <c r="F1027" t="s">
        <v>10</v>
      </c>
    </row>
    <row r="1028" spans="1:6" hidden="1" x14ac:dyDescent="0.35">
      <c r="A1028" t="s">
        <v>62</v>
      </c>
      <c r="B1028" t="s">
        <v>70</v>
      </c>
      <c r="C1028" t="s">
        <v>51</v>
      </c>
      <c r="D1028">
        <v>16</v>
      </c>
      <c r="E1028" t="s">
        <v>42</v>
      </c>
      <c r="F1028" t="s">
        <v>10</v>
      </c>
    </row>
    <row r="1029" spans="1:6" hidden="1" x14ac:dyDescent="0.35">
      <c r="A1029" t="s">
        <v>63</v>
      </c>
      <c r="B1029" t="s">
        <v>70</v>
      </c>
      <c r="C1029" t="s">
        <v>51</v>
      </c>
      <c r="D1029">
        <v>2</v>
      </c>
      <c r="E1029" t="s">
        <v>42</v>
      </c>
      <c r="F1029" t="s">
        <v>10</v>
      </c>
    </row>
    <row r="1030" spans="1:6" hidden="1" x14ac:dyDescent="0.35">
      <c r="A1030" t="s">
        <v>64</v>
      </c>
      <c r="B1030" t="s">
        <v>70</v>
      </c>
      <c r="C1030" t="s">
        <v>51</v>
      </c>
      <c r="D1030">
        <v>7</v>
      </c>
      <c r="E1030" t="s">
        <v>42</v>
      </c>
      <c r="F1030" t="s">
        <v>10</v>
      </c>
    </row>
    <row r="1031" spans="1:6" hidden="1" x14ac:dyDescent="0.35">
      <c r="A1031" t="s">
        <v>65</v>
      </c>
      <c r="B1031" t="s">
        <v>70</v>
      </c>
      <c r="C1031" t="s">
        <v>51</v>
      </c>
      <c r="D1031">
        <v>8</v>
      </c>
      <c r="E1031" t="s">
        <v>42</v>
      </c>
      <c r="F1031" t="s">
        <v>10</v>
      </c>
    </row>
    <row r="1032" spans="1:6" hidden="1" x14ac:dyDescent="0.35">
      <c r="A1032" t="s">
        <v>66</v>
      </c>
      <c r="B1032" t="s">
        <v>70</v>
      </c>
      <c r="C1032" t="s">
        <v>51</v>
      </c>
      <c r="D1032">
        <v>7</v>
      </c>
      <c r="E1032" t="s">
        <v>42</v>
      </c>
      <c r="F1032" t="s">
        <v>10</v>
      </c>
    </row>
    <row r="1033" spans="1:6" hidden="1" x14ac:dyDescent="0.35">
      <c r="A1033" t="s">
        <v>67</v>
      </c>
      <c r="B1033" t="s">
        <v>70</v>
      </c>
      <c r="C1033" t="s">
        <v>51</v>
      </c>
      <c r="D1033">
        <v>8</v>
      </c>
      <c r="E1033" t="s">
        <v>42</v>
      </c>
      <c r="F1033" t="s">
        <v>10</v>
      </c>
    </row>
    <row r="1034" spans="1:6" hidden="1" x14ac:dyDescent="0.35">
      <c r="A1034" t="s">
        <v>57</v>
      </c>
      <c r="B1034" t="s">
        <v>70</v>
      </c>
      <c r="C1034" t="s">
        <v>30</v>
      </c>
      <c r="E1034" t="s">
        <v>42</v>
      </c>
      <c r="F1034" t="s">
        <v>10</v>
      </c>
    </row>
    <row r="1035" spans="1:6" hidden="1" x14ac:dyDescent="0.35">
      <c r="A1035" t="s">
        <v>11</v>
      </c>
      <c r="B1035" t="s">
        <v>70</v>
      </c>
      <c r="C1035" t="s">
        <v>30</v>
      </c>
      <c r="E1035" t="s">
        <v>42</v>
      </c>
      <c r="F1035" t="s">
        <v>10</v>
      </c>
    </row>
    <row r="1036" spans="1:6" hidden="1" x14ac:dyDescent="0.35">
      <c r="A1036" t="s">
        <v>58</v>
      </c>
      <c r="B1036" t="s">
        <v>70</v>
      </c>
      <c r="C1036" t="s">
        <v>30</v>
      </c>
      <c r="D1036">
        <v>1</v>
      </c>
      <c r="E1036" t="s">
        <v>42</v>
      </c>
      <c r="F1036" t="s">
        <v>10</v>
      </c>
    </row>
    <row r="1037" spans="1:6" hidden="1" x14ac:dyDescent="0.35">
      <c r="A1037" t="s">
        <v>59</v>
      </c>
      <c r="B1037" t="s">
        <v>70</v>
      </c>
      <c r="C1037" t="s">
        <v>30</v>
      </c>
      <c r="D1037">
        <v>1</v>
      </c>
      <c r="E1037" t="s">
        <v>42</v>
      </c>
      <c r="F1037" t="s">
        <v>10</v>
      </c>
    </row>
    <row r="1038" spans="1:6" hidden="1" x14ac:dyDescent="0.35">
      <c r="A1038" t="s">
        <v>60</v>
      </c>
      <c r="B1038" t="s">
        <v>70</v>
      </c>
      <c r="C1038" t="s">
        <v>30</v>
      </c>
      <c r="D1038">
        <v>2</v>
      </c>
      <c r="E1038" t="s">
        <v>42</v>
      </c>
      <c r="F1038" t="s">
        <v>10</v>
      </c>
    </row>
    <row r="1039" spans="1:6" hidden="1" x14ac:dyDescent="0.35">
      <c r="A1039" t="s">
        <v>61</v>
      </c>
      <c r="B1039" t="s">
        <v>70</v>
      </c>
      <c r="C1039" t="s">
        <v>30</v>
      </c>
      <c r="E1039" t="s">
        <v>42</v>
      </c>
      <c r="F1039" t="s">
        <v>10</v>
      </c>
    </row>
    <row r="1040" spans="1:6" hidden="1" x14ac:dyDescent="0.35">
      <c r="A1040" t="s">
        <v>62</v>
      </c>
      <c r="B1040" t="s">
        <v>70</v>
      </c>
      <c r="C1040" t="s">
        <v>30</v>
      </c>
      <c r="D1040">
        <v>2</v>
      </c>
      <c r="E1040" t="s">
        <v>42</v>
      </c>
      <c r="F1040" t="s">
        <v>10</v>
      </c>
    </row>
    <row r="1041" spans="1:6" hidden="1" x14ac:dyDescent="0.35">
      <c r="A1041" t="s">
        <v>63</v>
      </c>
      <c r="B1041" t="s">
        <v>70</v>
      </c>
      <c r="C1041" t="s">
        <v>30</v>
      </c>
      <c r="D1041">
        <v>3</v>
      </c>
      <c r="E1041" t="s">
        <v>42</v>
      </c>
      <c r="F1041" t="s">
        <v>10</v>
      </c>
    </row>
    <row r="1042" spans="1:6" hidden="1" x14ac:dyDescent="0.35">
      <c r="A1042" t="s">
        <v>64</v>
      </c>
      <c r="B1042" t="s">
        <v>70</v>
      </c>
      <c r="C1042" t="s">
        <v>30</v>
      </c>
      <c r="E1042" t="s">
        <v>42</v>
      </c>
      <c r="F1042" t="s">
        <v>10</v>
      </c>
    </row>
    <row r="1043" spans="1:6" hidden="1" x14ac:dyDescent="0.35">
      <c r="A1043" t="s">
        <v>65</v>
      </c>
      <c r="B1043" t="s">
        <v>70</v>
      </c>
      <c r="C1043" t="s">
        <v>30</v>
      </c>
      <c r="D1043">
        <v>2</v>
      </c>
      <c r="E1043" t="s">
        <v>42</v>
      </c>
      <c r="F1043" t="s">
        <v>10</v>
      </c>
    </row>
    <row r="1044" spans="1:6" hidden="1" x14ac:dyDescent="0.35">
      <c r="A1044" t="s">
        <v>66</v>
      </c>
      <c r="B1044" t="s">
        <v>70</v>
      </c>
      <c r="C1044" t="s">
        <v>30</v>
      </c>
      <c r="E1044" t="s">
        <v>42</v>
      </c>
      <c r="F1044" t="s">
        <v>10</v>
      </c>
    </row>
    <row r="1045" spans="1:6" hidden="1" x14ac:dyDescent="0.35">
      <c r="A1045" t="s">
        <v>67</v>
      </c>
      <c r="B1045" t="s">
        <v>70</v>
      </c>
      <c r="C1045" t="s">
        <v>30</v>
      </c>
      <c r="E1045" t="s">
        <v>42</v>
      </c>
      <c r="F1045" t="s">
        <v>10</v>
      </c>
    </row>
    <row r="1046" spans="1:6" hidden="1" x14ac:dyDescent="0.35">
      <c r="A1046" t="s">
        <v>57</v>
      </c>
      <c r="B1046" t="s">
        <v>70</v>
      </c>
      <c r="C1046" t="s">
        <v>52</v>
      </c>
      <c r="D1046">
        <v>5</v>
      </c>
      <c r="E1046" t="s">
        <v>42</v>
      </c>
      <c r="F1046" t="s">
        <v>10</v>
      </c>
    </row>
    <row r="1047" spans="1:6" hidden="1" x14ac:dyDescent="0.35">
      <c r="A1047" t="s">
        <v>11</v>
      </c>
      <c r="B1047" t="s">
        <v>70</v>
      </c>
      <c r="C1047" t="s">
        <v>52</v>
      </c>
      <c r="E1047" t="s">
        <v>42</v>
      </c>
      <c r="F1047" t="s">
        <v>10</v>
      </c>
    </row>
    <row r="1048" spans="1:6" hidden="1" x14ac:dyDescent="0.35">
      <c r="A1048" t="s">
        <v>58</v>
      </c>
      <c r="B1048" t="s">
        <v>70</v>
      </c>
      <c r="C1048" t="s">
        <v>52</v>
      </c>
      <c r="D1048">
        <v>4</v>
      </c>
      <c r="E1048" t="s">
        <v>42</v>
      </c>
      <c r="F1048" t="s">
        <v>10</v>
      </c>
    </row>
    <row r="1049" spans="1:6" hidden="1" x14ac:dyDescent="0.35">
      <c r="A1049" t="s">
        <v>59</v>
      </c>
      <c r="B1049" t="s">
        <v>70</v>
      </c>
      <c r="C1049" t="s">
        <v>52</v>
      </c>
      <c r="D1049">
        <v>20</v>
      </c>
      <c r="E1049" t="s">
        <v>42</v>
      </c>
      <c r="F1049" t="s">
        <v>10</v>
      </c>
    </row>
    <row r="1050" spans="1:6" hidden="1" x14ac:dyDescent="0.35">
      <c r="A1050" t="s">
        <v>60</v>
      </c>
      <c r="B1050" t="s">
        <v>70</v>
      </c>
      <c r="C1050" t="s">
        <v>52</v>
      </c>
      <c r="D1050">
        <v>1</v>
      </c>
      <c r="E1050" t="s">
        <v>42</v>
      </c>
      <c r="F1050" t="s">
        <v>10</v>
      </c>
    </row>
    <row r="1051" spans="1:6" hidden="1" x14ac:dyDescent="0.35">
      <c r="A1051" t="s">
        <v>61</v>
      </c>
      <c r="B1051" t="s">
        <v>70</v>
      </c>
      <c r="C1051" t="s">
        <v>52</v>
      </c>
      <c r="D1051">
        <v>2</v>
      </c>
      <c r="E1051" t="s">
        <v>42</v>
      </c>
      <c r="F1051" t="s">
        <v>10</v>
      </c>
    </row>
    <row r="1052" spans="1:6" hidden="1" x14ac:dyDescent="0.35">
      <c r="A1052" t="s">
        <v>62</v>
      </c>
      <c r="B1052" t="s">
        <v>70</v>
      </c>
      <c r="C1052" t="s">
        <v>52</v>
      </c>
      <c r="D1052">
        <v>8</v>
      </c>
      <c r="E1052" t="s">
        <v>42</v>
      </c>
      <c r="F1052" t="s">
        <v>10</v>
      </c>
    </row>
    <row r="1053" spans="1:6" hidden="1" x14ac:dyDescent="0.35">
      <c r="A1053" t="s">
        <v>63</v>
      </c>
      <c r="B1053" t="s">
        <v>70</v>
      </c>
      <c r="C1053" t="s">
        <v>52</v>
      </c>
      <c r="E1053" t="s">
        <v>42</v>
      </c>
      <c r="F1053" t="s">
        <v>10</v>
      </c>
    </row>
    <row r="1054" spans="1:6" hidden="1" x14ac:dyDescent="0.35">
      <c r="A1054" t="s">
        <v>64</v>
      </c>
      <c r="B1054" t="s">
        <v>70</v>
      </c>
      <c r="C1054" t="s">
        <v>52</v>
      </c>
      <c r="D1054">
        <v>1</v>
      </c>
      <c r="E1054" t="s">
        <v>42</v>
      </c>
      <c r="F1054" t="s">
        <v>10</v>
      </c>
    </row>
    <row r="1055" spans="1:6" hidden="1" x14ac:dyDescent="0.35">
      <c r="A1055" t="s">
        <v>65</v>
      </c>
      <c r="B1055" t="s">
        <v>70</v>
      </c>
      <c r="C1055" t="s">
        <v>52</v>
      </c>
      <c r="D1055">
        <v>3</v>
      </c>
      <c r="E1055" t="s">
        <v>42</v>
      </c>
      <c r="F1055" t="s">
        <v>10</v>
      </c>
    </row>
    <row r="1056" spans="1:6" hidden="1" x14ac:dyDescent="0.35">
      <c r="A1056" t="s">
        <v>66</v>
      </c>
      <c r="B1056" t="s">
        <v>70</v>
      </c>
      <c r="C1056" t="s">
        <v>52</v>
      </c>
      <c r="D1056">
        <v>1</v>
      </c>
      <c r="E1056" t="s">
        <v>42</v>
      </c>
      <c r="F1056" t="s">
        <v>10</v>
      </c>
    </row>
    <row r="1057" spans="1:6" hidden="1" x14ac:dyDescent="0.35">
      <c r="A1057" t="s">
        <v>67</v>
      </c>
      <c r="B1057" t="s">
        <v>70</v>
      </c>
      <c r="C1057" t="s">
        <v>52</v>
      </c>
      <c r="D1057">
        <v>2</v>
      </c>
      <c r="E1057" t="s">
        <v>42</v>
      </c>
      <c r="F1057" t="s">
        <v>10</v>
      </c>
    </row>
    <row r="1058" spans="1:6" hidden="1" x14ac:dyDescent="0.35">
      <c r="A1058" t="s">
        <v>57</v>
      </c>
      <c r="B1058" t="s">
        <v>39</v>
      </c>
      <c r="C1058" t="s">
        <v>44</v>
      </c>
      <c r="E1058" t="s">
        <v>42</v>
      </c>
      <c r="F1058" t="s">
        <v>10</v>
      </c>
    </row>
    <row r="1059" spans="1:6" hidden="1" x14ac:dyDescent="0.35">
      <c r="A1059" t="s">
        <v>11</v>
      </c>
      <c r="B1059" t="s">
        <v>39</v>
      </c>
      <c r="C1059" t="s">
        <v>44</v>
      </c>
      <c r="E1059" t="s">
        <v>42</v>
      </c>
      <c r="F1059" t="s">
        <v>10</v>
      </c>
    </row>
    <row r="1060" spans="1:6" hidden="1" x14ac:dyDescent="0.35">
      <c r="A1060" t="s">
        <v>58</v>
      </c>
      <c r="B1060" t="s">
        <v>39</v>
      </c>
      <c r="C1060" t="s">
        <v>44</v>
      </c>
      <c r="E1060" t="s">
        <v>42</v>
      </c>
      <c r="F1060" t="s">
        <v>10</v>
      </c>
    </row>
    <row r="1061" spans="1:6" hidden="1" x14ac:dyDescent="0.35">
      <c r="A1061" t="s">
        <v>59</v>
      </c>
      <c r="B1061" t="s">
        <v>39</v>
      </c>
      <c r="C1061" t="s">
        <v>44</v>
      </c>
      <c r="E1061" t="s">
        <v>42</v>
      </c>
      <c r="F1061" t="s">
        <v>10</v>
      </c>
    </row>
    <row r="1062" spans="1:6" hidden="1" x14ac:dyDescent="0.35">
      <c r="A1062" t="s">
        <v>60</v>
      </c>
      <c r="B1062" t="s">
        <v>39</v>
      </c>
      <c r="C1062" t="s">
        <v>44</v>
      </c>
      <c r="E1062" t="s">
        <v>42</v>
      </c>
      <c r="F1062" t="s">
        <v>10</v>
      </c>
    </row>
    <row r="1063" spans="1:6" hidden="1" x14ac:dyDescent="0.35">
      <c r="A1063" t="s">
        <v>61</v>
      </c>
      <c r="B1063" t="s">
        <v>39</v>
      </c>
      <c r="C1063" t="s">
        <v>44</v>
      </c>
      <c r="E1063" t="s">
        <v>42</v>
      </c>
      <c r="F1063" t="s">
        <v>10</v>
      </c>
    </row>
    <row r="1064" spans="1:6" hidden="1" x14ac:dyDescent="0.35">
      <c r="A1064" t="s">
        <v>62</v>
      </c>
      <c r="B1064" t="s">
        <v>39</v>
      </c>
      <c r="C1064" t="s">
        <v>44</v>
      </c>
      <c r="E1064" t="s">
        <v>42</v>
      </c>
      <c r="F1064" t="s">
        <v>10</v>
      </c>
    </row>
    <row r="1065" spans="1:6" hidden="1" x14ac:dyDescent="0.35">
      <c r="A1065" t="s">
        <v>63</v>
      </c>
      <c r="B1065" t="s">
        <v>39</v>
      </c>
      <c r="C1065" t="s">
        <v>44</v>
      </c>
      <c r="E1065" t="s">
        <v>42</v>
      </c>
      <c r="F1065" t="s">
        <v>10</v>
      </c>
    </row>
    <row r="1066" spans="1:6" hidden="1" x14ac:dyDescent="0.35">
      <c r="A1066" t="s">
        <v>64</v>
      </c>
      <c r="B1066" t="s">
        <v>39</v>
      </c>
      <c r="C1066" t="s">
        <v>44</v>
      </c>
      <c r="E1066" t="s">
        <v>42</v>
      </c>
      <c r="F1066" t="s">
        <v>10</v>
      </c>
    </row>
    <row r="1067" spans="1:6" hidden="1" x14ac:dyDescent="0.35">
      <c r="A1067" t="s">
        <v>65</v>
      </c>
      <c r="B1067" t="s">
        <v>39</v>
      </c>
      <c r="C1067" t="s">
        <v>44</v>
      </c>
      <c r="E1067" t="s">
        <v>42</v>
      </c>
      <c r="F1067" t="s">
        <v>10</v>
      </c>
    </row>
    <row r="1068" spans="1:6" hidden="1" x14ac:dyDescent="0.35">
      <c r="A1068" t="s">
        <v>66</v>
      </c>
      <c r="B1068" t="s">
        <v>39</v>
      </c>
      <c r="C1068" t="s">
        <v>44</v>
      </c>
      <c r="E1068" t="s">
        <v>42</v>
      </c>
      <c r="F1068" t="s">
        <v>10</v>
      </c>
    </row>
    <row r="1069" spans="1:6" hidden="1" x14ac:dyDescent="0.35">
      <c r="A1069" t="s">
        <v>67</v>
      </c>
      <c r="B1069" t="s">
        <v>39</v>
      </c>
      <c r="C1069" t="s">
        <v>44</v>
      </c>
      <c r="E1069" t="s">
        <v>42</v>
      </c>
      <c r="F1069" t="s">
        <v>10</v>
      </c>
    </row>
    <row r="1070" spans="1:6" hidden="1" x14ac:dyDescent="0.35">
      <c r="A1070" t="s">
        <v>57</v>
      </c>
      <c r="B1070" t="s">
        <v>39</v>
      </c>
      <c r="C1070" t="s">
        <v>22</v>
      </c>
      <c r="D1070">
        <v>0</v>
      </c>
      <c r="E1070" t="s">
        <v>42</v>
      </c>
      <c r="F1070" t="s">
        <v>10</v>
      </c>
    </row>
    <row r="1071" spans="1:6" hidden="1" x14ac:dyDescent="0.35">
      <c r="A1071" t="s">
        <v>11</v>
      </c>
      <c r="B1071" t="s">
        <v>39</v>
      </c>
      <c r="C1071" t="s">
        <v>22</v>
      </c>
      <c r="D1071">
        <v>0</v>
      </c>
      <c r="E1071" t="s">
        <v>42</v>
      </c>
      <c r="F1071" t="s">
        <v>10</v>
      </c>
    </row>
    <row r="1072" spans="1:6" hidden="1" x14ac:dyDescent="0.35">
      <c r="A1072" t="s">
        <v>58</v>
      </c>
      <c r="B1072" t="s">
        <v>39</v>
      </c>
      <c r="C1072" t="s">
        <v>22</v>
      </c>
      <c r="D1072">
        <v>0</v>
      </c>
      <c r="E1072" t="s">
        <v>42</v>
      </c>
      <c r="F1072" t="s">
        <v>10</v>
      </c>
    </row>
    <row r="1073" spans="1:6" hidden="1" x14ac:dyDescent="0.35">
      <c r="A1073" t="s">
        <v>59</v>
      </c>
      <c r="B1073" t="s">
        <v>39</v>
      </c>
      <c r="C1073" t="s">
        <v>22</v>
      </c>
      <c r="D1073">
        <v>0</v>
      </c>
      <c r="E1073" t="s">
        <v>42</v>
      </c>
      <c r="F1073" t="s">
        <v>10</v>
      </c>
    </row>
    <row r="1074" spans="1:6" hidden="1" x14ac:dyDescent="0.35">
      <c r="A1074" t="s">
        <v>60</v>
      </c>
      <c r="B1074" t="s">
        <v>39</v>
      </c>
      <c r="C1074" t="s">
        <v>22</v>
      </c>
      <c r="D1074">
        <v>0</v>
      </c>
      <c r="E1074" t="s">
        <v>42</v>
      </c>
      <c r="F1074" t="s">
        <v>10</v>
      </c>
    </row>
    <row r="1075" spans="1:6" hidden="1" x14ac:dyDescent="0.35">
      <c r="A1075" t="s">
        <v>61</v>
      </c>
      <c r="B1075" t="s">
        <v>39</v>
      </c>
      <c r="C1075" t="s">
        <v>22</v>
      </c>
      <c r="D1075">
        <v>0</v>
      </c>
      <c r="E1075" t="s">
        <v>42</v>
      </c>
      <c r="F1075" t="s">
        <v>10</v>
      </c>
    </row>
    <row r="1076" spans="1:6" hidden="1" x14ac:dyDescent="0.35">
      <c r="A1076" t="s">
        <v>62</v>
      </c>
      <c r="B1076" t="s">
        <v>39</v>
      </c>
      <c r="C1076" t="s">
        <v>22</v>
      </c>
      <c r="D1076">
        <v>0</v>
      </c>
      <c r="E1076" t="s">
        <v>42</v>
      </c>
      <c r="F1076" t="s">
        <v>10</v>
      </c>
    </row>
    <row r="1077" spans="1:6" hidden="1" x14ac:dyDescent="0.35">
      <c r="A1077" t="s">
        <v>63</v>
      </c>
      <c r="B1077" t="s">
        <v>39</v>
      </c>
      <c r="C1077" t="s">
        <v>22</v>
      </c>
      <c r="D1077">
        <v>0</v>
      </c>
      <c r="E1077" t="s">
        <v>42</v>
      </c>
      <c r="F1077" t="s">
        <v>10</v>
      </c>
    </row>
    <row r="1078" spans="1:6" hidden="1" x14ac:dyDescent="0.35">
      <c r="A1078" t="s">
        <v>64</v>
      </c>
      <c r="B1078" t="s">
        <v>39</v>
      </c>
      <c r="C1078" t="s">
        <v>22</v>
      </c>
      <c r="D1078">
        <v>0</v>
      </c>
      <c r="E1078" t="s">
        <v>42</v>
      </c>
      <c r="F1078" t="s">
        <v>10</v>
      </c>
    </row>
    <row r="1079" spans="1:6" hidden="1" x14ac:dyDescent="0.35">
      <c r="A1079" t="s">
        <v>65</v>
      </c>
      <c r="B1079" t="s">
        <v>39</v>
      </c>
      <c r="C1079" t="s">
        <v>22</v>
      </c>
      <c r="D1079">
        <v>0</v>
      </c>
      <c r="E1079" t="s">
        <v>42</v>
      </c>
      <c r="F1079" t="s">
        <v>10</v>
      </c>
    </row>
    <row r="1080" spans="1:6" hidden="1" x14ac:dyDescent="0.35">
      <c r="A1080" t="s">
        <v>66</v>
      </c>
      <c r="B1080" t="s">
        <v>39</v>
      </c>
      <c r="C1080" t="s">
        <v>22</v>
      </c>
      <c r="D1080">
        <v>0</v>
      </c>
      <c r="E1080" t="s">
        <v>42</v>
      </c>
      <c r="F1080" t="s">
        <v>10</v>
      </c>
    </row>
    <row r="1081" spans="1:6" hidden="1" x14ac:dyDescent="0.35">
      <c r="A1081" t="s">
        <v>67</v>
      </c>
      <c r="B1081" t="s">
        <v>39</v>
      </c>
      <c r="C1081" t="s">
        <v>22</v>
      </c>
      <c r="D1081">
        <v>0</v>
      </c>
      <c r="E1081" t="s">
        <v>42</v>
      </c>
      <c r="F1081" t="s">
        <v>10</v>
      </c>
    </row>
    <row r="1082" spans="1:6" hidden="1" x14ac:dyDescent="0.35">
      <c r="A1082" t="s">
        <v>57</v>
      </c>
      <c r="B1082" t="s">
        <v>39</v>
      </c>
      <c r="C1082" t="s">
        <v>46</v>
      </c>
      <c r="E1082" t="s">
        <v>42</v>
      </c>
      <c r="F1082" t="s">
        <v>10</v>
      </c>
    </row>
    <row r="1083" spans="1:6" hidden="1" x14ac:dyDescent="0.35">
      <c r="A1083" t="s">
        <v>11</v>
      </c>
      <c r="B1083" t="s">
        <v>39</v>
      </c>
      <c r="C1083" t="s">
        <v>46</v>
      </c>
      <c r="E1083" t="s">
        <v>42</v>
      </c>
      <c r="F1083" t="s">
        <v>10</v>
      </c>
    </row>
    <row r="1084" spans="1:6" hidden="1" x14ac:dyDescent="0.35">
      <c r="A1084" t="s">
        <v>58</v>
      </c>
      <c r="B1084" t="s">
        <v>39</v>
      </c>
      <c r="C1084" t="s">
        <v>46</v>
      </c>
      <c r="E1084" t="s">
        <v>42</v>
      </c>
      <c r="F1084" t="s">
        <v>10</v>
      </c>
    </row>
    <row r="1085" spans="1:6" hidden="1" x14ac:dyDescent="0.35">
      <c r="A1085" t="s">
        <v>59</v>
      </c>
      <c r="B1085" t="s">
        <v>39</v>
      </c>
      <c r="C1085" t="s">
        <v>46</v>
      </c>
      <c r="E1085" t="s">
        <v>42</v>
      </c>
      <c r="F1085" t="s">
        <v>10</v>
      </c>
    </row>
    <row r="1086" spans="1:6" hidden="1" x14ac:dyDescent="0.35">
      <c r="A1086" t="s">
        <v>60</v>
      </c>
      <c r="B1086" t="s">
        <v>39</v>
      </c>
      <c r="C1086" t="s">
        <v>46</v>
      </c>
      <c r="E1086" t="s">
        <v>42</v>
      </c>
      <c r="F1086" t="s">
        <v>10</v>
      </c>
    </row>
    <row r="1087" spans="1:6" hidden="1" x14ac:dyDescent="0.35">
      <c r="A1087" t="s">
        <v>61</v>
      </c>
      <c r="B1087" t="s">
        <v>39</v>
      </c>
      <c r="C1087" t="s">
        <v>46</v>
      </c>
      <c r="E1087" t="s">
        <v>42</v>
      </c>
      <c r="F1087" t="s">
        <v>10</v>
      </c>
    </row>
    <row r="1088" spans="1:6" hidden="1" x14ac:dyDescent="0.35">
      <c r="A1088" t="s">
        <v>62</v>
      </c>
      <c r="B1088" t="s">
        <v>39</v>
      </c>
      <c r="C1088" t="s">
        <v>46</v>
      </c>
      <c r="E1088" t="s">
        <v>42</v>
      </c>
      <c r="F1088" t="s">
        <v>10</v>
      </c>
    </row>
    <row r="1089" spans="1:6" hidden="1" x14ac:dyDescent="0.35">
      <c r="A1089" t="s">
        <v>63</v>
      </c>
      <c r="B1089" t="s">
        <v>39</v>
      </c>
      <c r="C1089" t="s">
        <v>46</v>
      </c>
      <c r="E1089" t="s">
        <v>42</v>
      </c>
      <c r="F1089" t="s">
        <v>10</v>
      </c>
    </row>
    <row r="1090" spans="1:6" hidden="1" x14ac:dyDescent="0.35">
      <c r="A1090" t="s">
        <v>64</v>
      </c>
      <c r="B1090" t="s">
        <v>39</v>
      </c>
      <c r="C1090" t="s">
        <v>46</v>
      </c>
      <c r="E1090" t="s">
        <v>42</v>
      </c>
      <c r="F1090" t="s">
        <v>10</v>
      </c>
    </row>
    <row r="1091" spans="1:6" hidden="1" x14ac:dyDescent="0.35">
      <c r="A1091" t="s">
        <v>65</v>
      </c>
      <c r="B1091" t="s">
        <v>39</v>
      </c>
      <c r="C1091" t="s">
        <v>46</v>
      </c>
      <c r="E1091" t="s">
        <v>42</v>
      </c>
      <c r="F1091" t="s">
        <v>10</v>
      </c>
    </row>
    <row r="1092" spans="1:6" hidden="1" x14ac:dyDescent="0.35">
      <c r="A1092" t="s">
        <v>66</v>
      </c>
      <c r="B1092" t="s">
        <v>39</v>
      </c>
      <c r="C1092" t="s">
        <v>46</v>
      </c>
      <c r="E1092" t="s">
        <v>42</v>
      </c>
      <c r="F1092" t="s">
        <v>10</v>
      </c>
    </row>
    <row r="1093" spans="1:6" hidden="1" x14ac:dyDescent="0.35">
      <c r="A1093" t="s">
        <v>67</v>
      </c>
      <c r="B1093" t="s">
        <v>39</v>
      </c>
      <c r="C1093" t="s">
        <v>46</v>
      </c>
      <c r="E1093" t="s">
        <v>42</v>
      </c>
      <c r="F1093" t="s">
        <v>10</v>
      </c>
    </row>
    <row r="1094" spans="1:6" hidden="1" x14ac:dyDescent="0.35">
      <c r="A1094" t="s">
        <v>57</v>
      </c>
      <c r="B1094" t="s">
        <v>39</v>
      </c>
      <c r="C1094" t="s">
        <v>24</v>
      </c>
      <c r="D1094">
        <v>0</v>
      </c>
      <c r="E1094" t="s">
        <v>42</v>
      </c>
      <c r="F1094" t="s">
        <v>10</v>
      </c>
    </row>
    <row r="1095" spans="1:6" hidden="1" x14ac:dyDescent="0.35">
      <c r="A1095" t="s">
        <v>11</v>
      </c>
      <c r="B1095" t="s">
        <v>39</v>
      </c>
      <c r="C1095" t="s">
        <v>24</v>
      </c>
      <c r="D1095">
        <v>0</v>
      </c>
      <c r="E1095" t="s">
        <v>42</v>
      </c>
      <c r="F1095" t="s">
        <v>10</v>
      </c>
    </row>
    <row r="1096" spans="1:6" hidden="1" x14ac:dyDescent="0.35">
      <c r="A1096" t="s">
        <v>58</v>
      </c>
      <c r="B1096" t="s">
        <v>39</v>
      </c>
      <c r="C1096" t="s">
        <v>24</v>
      </c>
      <c r="D1096">
        <v>0</v>
      </c>
      <c r="E1096" t="s">
        <v>42</v>
      </c>
      <c r="F1096" t="s">
        <v>10</v>
      </c>
    </row>
    <row r="1097" spans="1:6" hidden="1" x14ac:dyDescent="0.35">
      <c r="A1097" t="s">
        <v>59</v>
      </c>
      <c r="B1097" t="s">
        <v>39</v>
      </c>
      <c r="C1097" t="s">
        <v>24</v>
      </c>
      <c r="D1097">
        <v>0</v>
      </c>
      <c r="E1097" t="s">
        <v>42</v>
      </c>
      <c r="F1097" t="s">
        <v>10</v>
      </c>
    </row>
    <row r="1098" spans="1:6" hidden="1" x14ac:dyDescent="0.35">
      <c r="A1098" t="s">
        <v>60</v>
      </c>
      <c r="B1098" t="s">
        <v>39</v>
      </c>
      <c r="C1098" t="s">
        <v>24</v>
      </c>
      <c r="D1098">
        <v>0</v>
      </c>
      <c r="E1098" t="s">
        <v>42</v>
      </c>
      <c r="F1098" t="s">
        <v>10</v>
      </c>
    </row>
    <row r="1099" spans="1:6" hidden="1" x14ac:dyDescent="0.35">
      <c r="A1099" t="s">
        <v>61</v>
      </c>
      <c r="B1099" t="s">
        <v>39</v>
      </c>
      <c r="C1099" t="s">
        <v>24</v>
      </c>
      <c r="D1099">
        <v>0</v>
      </c>
      <c r="E1099" t="s">
        <v>42</v>
      </c>
      <c r="F1099" t="s">
        <v>10</v>
      </c>
    </row>
    <row r="1100" spans="1:6" hidden="1" x14ac:dyDescent="0.35">
      <c r="A1100" t="s">
        <v>62</v>
      </c>
      <c r="B1100" t="s">
        <v>39</v>
      </c>
      <c r="C1100" t="s">
        <v>24</v>
      </c>
      <c r="D1100">
        <v>0</v>
      </c>
      <c r="E1100" t="s">
        <v>42</v>
      </c>
      <c r="F1100" t="s">
        <v>10</v>
      </c>
    </row>
    <row r="1101" spans="1:6" hidden="1" x14ac:dyDescent="0.35">
      <c r="A1101" t="s">
        <v>63</v>
      </c>
      <c r="B1101" t="s">
        <v>39</v>
      </c>
      <c r="C1101" t="s">
        <v>24</v>
      </c>
      <c r="D1101">
        <v>0</v>
      </c>
      <c r="E1101" t="s">
        <v>42</v>
      </c>
      <c r="F1101" t="s">
        <v>10</v>
      </c>
    </row>
    <row r="1102" spans="1:6" hidden="1" x14ac:dyDescent="0.35">
      <c r="A1102" t="s">
        <v>64</v>
      </c>
      <c r="B1102" t="s">
        <v>39</v>
      </c>
      <c r="C1102" t="s">
        <v>24</v>
      </c>
      <c r="D1102">
        <v>0</v>
      </c>
      <c r="E1102" t="s">
        <v>42</v>
      </c>
      <c r="F1102" t="s">
        <v>10</v>
      </c>
    </row>
    <row r="1103" spans="1:6" hidden="1" x14ac:dyDescent="0.35">
      <c r="A1103" t="s">
        <v>65</v>
      </c>
      <c r="B1103" t="s">
        <v>39</v>
      </c>
      <c r="C1103" t="s">
        <v>24</v>
      </c>
      <c r="D1103">
        <v>0</v>
      </c>
      <c r="E1103" t="s">
        <v>42</v>
      </c>
      <c r="F1103" t="s">
        <v>10</v>
      </c>
    </row>
    <row r="1104" spans="1:6" hidden="1" x14ac:dyDescent="0.35">
      <c r="A1104" t="s">
        <v>66</v>
      </c>
      <c r="B1104" t="s">
        <v>39</v>
      </c>
      <c r="C1104" t="s">
        <v>24</v>
      </c>
      <c r="D1104">
        <v>0</v>
      </c>
      <c r="E1104" t="s">
        <v>42</v>
      </c>
      <c r="F1104" t="s">
        <v>10</v>
      </c>
    </row>
    <row r="1105" spans="1:6" hidden="1" x14ac:dyDescent="0.35">
      <c r="A1105" t="s">
        <v>67</v>
      </c>
      <c r="B1105" t="s">
        <v>39</v>
      </c>
      <c r="C1105" t="s">
        <v>24</v>
      </c>
      <c r="D1105">
        <v>0</v>
      </c>
      <c r="E1105" t="s">
        <v>42</v>
      </c>
      <c r="F1105" t="s">
        <v>10</v>
      </c>
    </row>
    <row r="1106" spans="1:6" hidden="1" x14ac:dyDescent="0.35">
      <c r="A1106" t="s">
        <v>57</v>
      </c>
      <c r="B1106" t="s">
        <v>39</v>
      </c>
      <c r="C1106" t="s">
        <v>47</v>
      </c>
      <c r="E1106" t="s">
        <v>42</v>
      </c>
      <c r="F1106" t="s">
        <v>10</v>
      </c>
    </row>
    <row r="1107" spans="1:6" hidden="1" x14ac:dyDescent="0.35">
      <c r="A1107" t="s">
        <v>11</v>
      </c>
      <c r="B1107" t="s">
        <v>39</v>
      </c>
      <c r="C1107" t="s">
        <v>47</v>
      </c>
      <c r="E1107" t="s">
        <v>42</v>
      </c>
      <c r="F1107" t="s">
        <v>10</v>
      </c>
    </row>
    <row r="1108" spans="1:6" hidden="1" x14ac:dyDescent="0.35">
      <c r="A1108" t="s">
        <v>58</v>
      </c>
      <c r="B1108" t="s">
        <v>39</v>
      </c>
      <c r="C1108" t="s">
        <v>47</v>
      </c>
      <c r="E1108" t="s">
        <v>42</v>
      </c>
      <c r="F1108" t="s">
        <v>10</v>
      </c>
    </row>
    <row r="1109" spans="1:6" hidden="1" x14ac:dyDescent="0.35">
      <c r="A1109" t="s">
        <v>59</v>
      </c>
      <c r="B1109" t="s">
        <v>39</v>
      </c>
      <c r="C1109" t="s">
        <v>47</v>
      </c>
      <c r="E1109" t="s">
        <v>42</v>
      </c>
      <c r="F1109" t="s">
        <v>10</v>
      </c>
    </row>
    <row r="1110" spans="1:6" hidden="1" x14ac:dyDescent="0.35">
      <c r="A1110" t="s">
        <v>60</v>
      </c>
      <c r="B1110" t="s">
        <v>39</v>
      </c>
      <c r="C1110" t="s">
        <v>47</v>
      </c>
      <c r="E1110" t="s">
        <v>42</v>
      </c>
      <c r="F1110" t="s">
        <v>10</v>
      </c>
    </row>
    <row r="1111" spans="1:6" hidden="1" x14ac:dyDescent="0.35">
      <c r="A1111" t="s">
        <v>61</v>
      </c>
      <c r="B1111" t="s">
        <v>39</v>
      </c>
      <c r="C1111" t="s">
        <v>47</v>
      </c>
      <c r="E1111" t="s">
        <v>42</v>
      </c>
      <c r="F1111" t="s">
        <v>10</v>
      </c>
    </row>
    <row r="1112" spans="1:6" hidden="1" x14ac:dyDescent="0.35">
      <c r="A1112" t="s">
        <v>62</v>
      </c>
      <c r="B1112" t="s">
        <v>39</v>
      </c>
      <c r="C1112" t="s">
        <v>47</v>
      </c>
      <c r="E1112" t="s">
        <v>42</v>
      </c>
      <c r="F1112" t="s">
        <v>10</v>
      </c>
    </row>
    <row r="1113" spans="1:6" hidden="1" x14ac:dyDescent="0.35">
      <c r="A1113" t="s">
        <v>63</v>
      </c>
      <c r="B1113" t="s">
        <v>39</v>
      </c>
      <c r="C1113" t="s">
        <v>47</v>
      </c>
      <c r="E1113" t="s">
        <v>42</v>
      </c>
      <c r="F1113" t="s">
        <v>10</v>
      </c>
    </row>
    <row r="1114" spans="1:6" hidden="1" x14ac:dyDescent="0.35">
      <c r="A1114" t="s">
        <v>64</v>
      </c>
      <c r="B1114" t="s">
        <v>39</v>
      </c>
      <c r="C1114" t="s">
        <v>47</v>
      </c>
      <c r="E1114" t="s">
        <v>42</v>
      </c>
      <c r="F1114" t="s">
        <v>10</v>
      </c>
    </row>
    <row r="1115" spans="1:6" hidden="1" x14ac:dyDescent="0.35">
      <c r="A1115" t="s">
        <v>65</v>
      </c>
      <c r="B1115" t="s">
        <v>39</v>
      </c>
      <c r="C1115" t="s">
        <v>47</v>
      </c>
      <c r="E1115" t="s">
        <v>42</v>
      </c>
      <c r="F1115" t="s">
        <v>10</v>
      </c>
    </row>
    <row r="1116" spans="1:6" hidden="1" x14ac:dyDescent="0.35">
      <c r="A1116" t="s">
        <v>66</v>
      </c>
      <c r="B1116" t="s">
        <v>39</v>
      </c>
      <c r="C1116" t="s">
        <v>47</v>
      </c>
      <c r="E1116" t="s">
        <v>42</v>
      </c>
      <c r="F1116" t="s">
        <v>10</v>
      </c>
    </row>
    <row r="1117" spans="1:6" hidden="1" x14ac:dyDescent="0.35">
      <c r="A1117" t="s">
        <v>67</v>
      </c>
      <c r="B1117" t="s">
        <v>39</v>
      </c>
      <c r="C1117" t="s">
        <v>47</v>
      </c>
      <c r="E1117" t="s">
        <v>42</v>
      </c>
      <c r="F1117" t="s">
        <v>10</v>
      </c>
    </row>
    <row r="1118" spans="1:6" hidden="1" x14ac:dyDescent="0.35">
      <c r="A1118" t="s">
        <v>57</v>
      </c>
      <c r="B1118" t="s">
        <v>39</v>
      </c>
      <c r="C1118" t="s">
        <v>48</v>
      </c>
      <c r="D1118">
        <v>0</v>
      </c>
      <c r="E1118" t="s">
        <v>42</v>
      </c>
      <c r="F1118" t="s">
        <v>10</v>
      </c>
    </row>
    <row r="1119" spans="1:6" hidden="1" x14ac:dyDescent="0.35">
      <c r="A1119" t="s">
        <v>11</v>
      </c>
      <c r="B1119" t="s">
        <v>39</v>
      </c>
      <c r="C1119" t="s">
        <v>48</v>
      </c>
      <c r="D1119">
        <v>0</v>
      </c>
      <c r="E1119" t="s">
        <v>42</v>
      </c>
      <c r="F1119" t="s">
        <v>10</v>
      </c>
    </row>
    <row r="1120" spans="1:6" hidden="1" x14ac:dyDescent="0.35">
      <c r="A1120" t="s">
        <v>58</v>
      </c>
      <c r="B1120" t="s">
        <v>39</v>
      </c>
      <c r="C1120" t="s">
        <v>48</v>
      </c>
      <c r="D1120">
        <v>0</v>
      </c>
      <c r="E1120" t="s">
        <v>42</v>
      </c>
      <c r="F1120" t="s">
        <v>10</v>
      </c>
    </row>
    <row r="1121" spans="1:6" hidden="1" x14ac:dyDescent="0.35">
      <c r="A1121" t="s">
        <v>59</v>
      </c>
      <c r="B1121" t="s">
        <v>39</v>
      </c>
      <c r="C1121" t="s">
        <v>48</v>
      </c>
      <c r="D1121">
        <v>0</v>
      </c>
      <c r="E1121" t="s">
        <v>42</v>
      </c>
      <c r="F1121" t="s">
        <v>10</v>
      </c>
    </row>
    <row r="1122" spans="1:6" hidden="1" x14ac:dyDescent="0.35">
      <c r="A1122" t="s">
        <v>60</v>
      </c>
      <c r="B1122" t="s">
        <v>39</v>
      </c>
      <c r="C1122" t="s">
        <v>48</v>
      </c>
      <c r="D1122">
        <v>0</v>
      </c>
      <c r="E1122" t="s">
        <v>42</v>
      </c>
      <c r="F1122" t="s">
        <v>10</v>
      </c>
    </row>
    <row r="1123" spans="1:6" hidden="1" x14ac:dyDescent="0.35">
      <c r="A1123" t="s">
        <v>61</v>
      </c>
      <c r="B1123" t="s">
        <v>39</v>
      </c>
      <c r="C1123" t="s">
        <v>48</v>
      </c>
      <c r="D1123">
        <v>0</v>
      </c>
      <c r="E1123" t="s">
        <v>42</v>
      </c>
      <c r="F1123" t="s">
        <v>10</v>
      </c>
    </row>
    <row r="1124" spans="1:6" hidden="1" x14ac:dyDescent="0.35">
      <c r="A1124" t="s">
        <v>62</v>
      </c>
      <c r="B1124" t="s">
        <v>39</v>
      </c>
      <c r="C1124" t="s">
        <v>48</v>
      </c>
      <c r="D1124">
        <v>0</v>
      </c>
      <c r="E1124" t="s">
        <v>42</v>
      </c>
      <c r="F1124" t="s">
        <v>10</v>
      </c>
    </row>
    <row r="1125" spans="1:6" hidden="1" x14ac:dyDescent="0.35">
      <c r="A1125" t="s">
        <v>63</v>
      </c>
      <c r="B1125" t="s">
        <v>39</v>
      </c>
      <c r="C1125" t="s">
        <v>48</v>
      </c>
      <c r="D1125">
        <v>0</v>
      </c>
      <c r="E1125" t="s">
        <v>42</v>
      </c>
      <c r="F1125" t="s">
        <v>10</v>
      </c>
    </row>
    <row r="1126" spans="1:6" hidden="1" x14ac:dyDescent="0.35">
      <c r="A1126" t="s">
        <v>64</v>
      </c>
      <c r="B1126" t="s">
        <v>39</v>
      </c>
      <c r="C1126" t="s">
        <v>48</v>
      </c>
      <c r="D1126">
        <v>0</v>
      </c>
      <c r="E1126" t="s">
        <v>42</v>
      </c>
      <c r="F1126" t="s">
        <v>10</v>
      </c>
    </row>
    <row r="1127" spans="1:6" hidden="1" x14ac:dyDescent="0.35">
      <c r="A1127" t="s">
        <v>65</v>
      </c>
      <c r="B1127" t="s">
        <v>39</v>
      </c>
      <c r="C1127" t="s">
        <v>48</v>
      </c>
      <c r="D1127">
        <v>0</v>
      </c>
      <c r="E1127" t="s">
        <v>42</v>
      </c>
      <c r="F1127" t="s">
        <v>10</v>
      </c>
    </row>
    <row r="1128" spans="1:6" hidden="1" x14ac:dyDescent="0.35">
      <c r="A1128" t="s">
        <v>66</v>
      </c>
      <c r="B1128" t="s">
        <v>39</v>
      </c>
      <c r="C1128" t="s">
        <v>48</v>
      </c>
      <c r="D1128">
        <v>0</v>
      </c>
      <c r="E1128" t="s">
        <v>42</v>
      </c>
      <c r="F1128" t="s">
        <v>10</v>
      </c>
    </row>
    <row r="1129" spans="1:6" hidden="1" x14ac:dyDescent="0.35">
      <c r="A1129" t="s">
        <v>67</v>
      </c>
      <c r="B1129" t="s">
        <v>39</v>
      </c>
      <c r="C1129" t="s">
        <v>48</v>
      </c>
      <c r="D1129">
        <v>0</v>
      </c>
      <c r="E1129" t="s">
        <v>42</v>
      </c>
      <c r="F1129" t="s">
        <v>10</v>
      </c>
    </row>
    <row r="1130" spans="1:6" hidden="1" x14ac:dyDescent="0.35">
      <c r="A1130" t="s">
        <v>57</v>
      </c>
      <c r="B1130" t="s">
        <v>39</v>
      </c>
      <c r="C1130" t="s">
        <v>49</v>
      </c>
      <c r="E1130" t="s">
        <v>42</v>
      </c>
      <c r="F1130" t="s">
        <v>10</v>
      </c>
    </row>
    <row r="1131" spans="1:6" hidden="1" x14ac:dyDescent="0.35">
      <c r="A1131" t="s">
        <v>11</v>
      </c>
      <c r="B1131" t="s">
        <v>39</v>
      </c>
      <c r="C1131" t="s">
        <v>49</v>
      </c>
      <c r="E1131" t="s">
        <v>42</v>
      </c>
      <c r="F1131" t="s">
        <v>10</v>
      </c>
    </row>
    <row r="1132" spans="1:6" hidden="1" x14ac:dyDescent="0.35">
      <c r="A1132" t="s">
        <v>58</v>
      </c>
      <c r="B1132" t="s">
        <v>39</v>
      </c>
      <c r="C1132" t="s">
        <v>49</v>
      </c>
      <c r="E1132" t="s">
        <v>42</v>
      </c>
      <c r="F1132" t="s">
        <v>10</v>
      </c>
    </row>
    <row r="1133" spans="1:6" hidden="1" x14ac:dyDescent="0.35">
      <c r="A1133" t="s">
        <v>59</v>
      </c>
      <c r="B1133" t="s">
        <v>39</v>
      </c>
      <c r="C1133" t="s">
        <v>49</v>
      </c>
      <c r="E1133" t="s">
        <v>42</v>
      </c>
      <c r="F1133" t="s">
        <v>10</v>
      </c>
    </row>
    <row r="1134" spans="1:6" hidden="1" x14ac:dyDescent="0.35">
      <c r="A1134" t="s">
        <v>60</v>
      </c>
      <c r="B1134" t="s">
        <v>39</v>
      </c>
      <c r="C1134" t="s">
        <v>49</v>
      </c>
      <c r="E1134" t="s">
        <v>42</v>
      </c>
      <c r="F1134" t="s">
        <v>10</v>
      </c>
    </row>
    <row r="1135" spans="1:6" hidden="1" x14ac:dyDescent="0.35">
      <c r="A1135" t="s">
        <v>61</v>
      </c>
      <c r="B1135" t="s">
        <v>39</v>
      </c>
      <c r="C1135" t="s">
        <v>49</v>
      </c>
      <c r="E1135" t="s">
        <v>42</v>
      </c>
      <c r="F1135" t="s">
        <v>10</v>
      </c>
    </row>
    <row r="1136" spans="1:6" hidden="1" x14ac:dyDescent="0.35">
      <c r="A1136" t="s">
        <v>62</v>
      </c>
      <c r="B1136" t="s">
        <v>39</v>
      </c>
      <c r="C1136" t="s">
        <v>49</v>
      </c>
      <c r="E1136" t="s">
        <v>42</v>
      </c>
      <c r="F1136" t="s">
        <v>10</v>
      </c>
    </row>
    <row r="1137" spans="1:6" hidden="1" x14ac:dyDescent="0.35">
      <c r="A1137" t="s">
        <v>63</v>
      </c>
      <c r="B1137" t="s">
        <v>39</v>
      </c>
      <c r="C1137" t="s">
        <v>49</v>
      </c>
      <c r="E1137" t="s">
        <v>42</v>
      </c>
      <c r="F1137" t="s">
        <v>10</v>
      </c>
    </row>
    <row r="1138" spans="1:6" hidden="1" x14ac:dyDescent="0.35">
      <c r="A1138" t="s">
        <v>64</v>
      </c>
      <c r="B1138" t="s">
        <v>39</v>
      </c>
      <c r="C1138" t="s">
        <v>49</v>
      </c>
      <c r="E1138" t="s">
        <v>42</v>
      </c>
      <c r="F1138" t="s">
        <v>10</v>
      </c>
    </row>
    <row r="1139" spans="1:6" hidden="1" x14ac:dyDescent="0.35">
      <c r="A1139" t="s">
        <v>65</v>
      </c>
      <c r="B1139" t="s">
        <v>39</v>
      </c>
      <c r="C1139" t="s">
        <v>49</v>
      </c>
      <c r="E1139" t="s">
        <v>42</v>
      </c>
      <c r="F1139" t="s">
        <v>10</v>
      </c>
    </row>
    <row r="1140" spans="1:6" hidden="1" x14ac:dyDescent="0.35">
      <c r="A1140" t="s">
        <v>66</v>
      </c>
      <c r="B1140" t="s">
        <v>39</v>
      </c>
      <c r="C1140" t="s">
        <v>49</v>
      </c>
      <c r="E1140" t="s">
        <v>42</v>
      </c>
      <c r="F1140" t="s">
        <v>10</v>
      </c>
    </row>
    <row r="1141" spans="1:6" hidden="1" x14ac:dyDescent="0.35">
      <c r="A1141" t="s">
        <v>67</v>
      </c>
      <c r="B1141" t="s">
        <v>39</v>
      </c>
      <c r="C1141" t="s">
        <v>49</v>
      </c>
      <c r="E1141" t="s">
        <v>42</v>
      </c>
      <c r="F1141" t="s">
        <v>10</v>
      </c>
    </row>
    <row r="1142" spans="1:6" hidden="1" x14ac:dyDescent="0.35">
      <c r="A1142" t="s">
        <v>57</v>
      </c>
      <c r="B1142" t="s">
        <v>39</v>
      </c>
      <c r="C1142" t="s">
        <v>50</v>
      </c>
      <c r="E1142" t="s">
        <v>42</v>
      </c>
      <c r="F1142" t="s">
        <v>10</v>
      </c>
    </row>
    <row r="1143" spans="1:6" hidden="1" x14ac:dyDescent="0.35">
      <c r="A1143" t="s">
        <v>11</v>
      </c>
      <c r="B1143" t="s">
        <v>39</v>
      </c>
      <c r="C1143" t="s">
        <v>50</v>
      </c>
      <c r="E1143" t="s">
        <v>42</v>
      </c>
      <c r="F1143" t="s">
        <v>10</v>
      </c>
    </row>
    <row r="1144" spans="1:6" hidden="1" x14ac:dyDescent="0.35">
      <c r="A1144" t="s">
        <v>58</v>
      </c>
      <c r="B1144" t="s">
        <v>39</v>
      </c>
      <c r="C1144" t="s">
        <v>50</v>
      </c>
      <c r="E1144" t="s">
        <v>42</v>
      </c>
      <c r="F1144" t="s">
        <v>10</v>
      </c>
    </row>
    <row r="1145" spans="1:6" hidden="1" x14ac:dyDescent="0.35">
      <c r="A1145" t="s">
        <v>59</v>
      </c>
      <c r="B1145" t="s">
        <v>39</v>
      </c>
      <c r="C1145" t="s">
        <v>50</v>
      </c>
      <c r="E1145" t="s">
        <v>42</v>
      </c>
      <c r="F1145" t="s">
        <v>10</v>
      </c>
    </row>
    <row r="1146" spans="1:6" hidden="1" x14ac:dyDescent="0.35">
      <c r="A1146" t="s">
        <v>60</v>
      </c>
      <c r="B1146" t="s">
        <v>39</v>
      </c>
      <c r="C1146" t="s">
        <v>50</v>
      </c>
      <c r="E1146" t="s">
        <v>42</v>
      </c>
      <c r="F1146" t="s">
        <v>10</v>
      </c>
    </row>
    <row r="1147" spans="1:6" hidden="1" x14ac:dyDescent="0.35">
      <c r="A1147" t="s">
        <v>61</v>
      </c>
      <c r="B1147" t="s">
        <v>39</v>
      </c>
      <c r="C1147" t="s">
        <v>50</v>
      </c>
      <c r="E1147" t="s">
        <v>42</v>
      </c>
      <c r="F1147" t="s">
        <v>10</v>
      </c>
    </row>
    <row r="1148" spans="1:6" hidden="1" x14ac:dyDescent="0.35">
      <c r="A1148" t="s">
        <v>62</v>
      </c>
      <c r="B1148" t="s">
        <v>39</v>
      </c>
      <c r="C1148" t="s">
        <v>50</v>
      </c>
      <c r="E1148" t="s">
        <v>42</v>
      </c>
      <c r="F1148" t="s">
        <v>10</v>
      </c>
    </row>
    <row r="1149" spans="1:6" hidden="1" x14ac:dyDescent="0.35">
      <c r="A1149" t="s">
        <v>63</v>
      </c>
      <c r="B1149" t="s">
        <v>39</v>
      </c>
      <c r="C1149" t="s">
        <v>50</v>
      </c>
      <c r="E1149" t="s">
        <v>42</v>
      </c>
      <c r="F1149" t="s">
        <v>10</v>
      </c>
    </row>
    <row r="1150" spans="1:6" hidden="1" x14ac:dyDescent="0.35">
      <c r="A1150" t="s">
        <v>64</v>
      </c>
      <c r="B1150" t="s">
        <v>39</v>
      </c>
      <c r="C1150" t="s">
        <v>50</v>
      </c>
      <c r="E1150" t="s">
        <v>42</v>
      </c>
      <c r="F1150" t="s">
        <v>10</v>
      </c>
    </row>
    <row r="1151" spans="1:6" hidden="1" x14ac:dyDescent="0.35">
      <c r="A1151" t="s">
        <v>65</v>
      </c>
      <c r="B1151" t="s">
        <v>39</v>
      </c>
      <c r="C1151" t="s">
        <v>50</v>
      </c>
      <c r="E1151" t="s">
        <v>42</v>
      </c>
      <c r="F1151" t="s">
        <v>10</v>
      </c>
    </row>
    <row r="1152" spans="1:6" hidden="1" x14ac:dyDescent="0.35">
      <c r="A1152" t="s">
        <v>66</v>
      </c>
      <c r="B1152" t="s">
        <v>39</v>
      </c>
      <c r="C1152" t="s">
        <v>50</v>
      </c>
      <c r="E1152" t="s">
        <v>42</v>
      </c>
      <c r="F1152" t="s">
        <v>10</v>
      </c>
    </row>
    <row r="1153" spans="1:6" hidden="1" x14ac:dyDescent="0.35">
      <c r="A1153" t="s">
        <v>67</v>
      </c>
      <c r="B1153" t="s">
        <v>39</v>
      </c>
      <c r="C1153" t="s">
        <v>50</v>
      </c>
      <c r="E1153" t="s">
        <v>42</v>
      </c>
      <c r="F1153" t="s">
        <v>10</v>
      </c>
    </row>
    <row r="1154" spans="1:6" hidden="1" x14ac:dyDescent="0.35">
      <c r="A1154" t="s">
        <v>57</v>
      </c>
      <c r="B1154" t="s">
        <v>39</v>
      </c>
      <c r="C1154" t="s">
        <v>51</v>
      </c>
      <c r="E1154" t="s">
        <v>42</v>
      </c>
      <c r="F1154" t="s">
        <v>10</v>
      </c>
    </row>
    <row r="1155" spans="1:6" hidden="1" x14ac:dyDescent="0.35">
      <c r="A1155" t="s">
        <v>11</v>
      </c>
      <c r="B1155" t="s">
        <v>39</v>
      </c>
      <c r="C1155" t="s">
        <v>51</v>
      </c>
      <c r="E1155" t="s">
        <v>42</v>
      </c>
      <c r="F1155" t="s">
        <v>10</v>
      </c>
    </row>
    <row r="1156" spans="1:6" hidden="1" x14ac:dyDescent="0.35">
      <c r="A1156" t="s">
        <v>58</v>
      </c>
      <c r="B1156" t="s">
        <v>39</v>
      </c>
      <c r="C1156" t="s">
        <v>51</v>
      </c>
      <c r="E1156" t="s">
        <v>42</v>
      </c>
      <c r="F1156" t="s">
        <v>10</v>
      </c>
    </row>
    <row r="1157" spans="1:6" hidden="1" x14ac:dyDescent="0.35">
      <c r="A1157" t="s">
        <v>59</v>
      </c>
      <c r="B1157" t="s">
        <v>39</v>
      </c>
      <c r="C1157" t="s">
        <v>51</v>
      </c>
      <c r="E1157" t="s">
        <v>42</v>
      </c>
      <c r="F1157" t="s">
        <v>10</v>
      </c>
    </row>
    <row r="1158" spans="1:6" hidden="1" x14ac:dyDescent="0.35">
      <c r="A1158" t="s">
        <v>60</v>
      </c>
      <c r="B1158" t="s">
        <v>39</v>
      </c>
      <c r="C1158" t="s">
        <v>51</v>
      </c>
      <c r="E1158" t="s">
        <v>42</v>
      </c>
      <c r="F1158" t="s">
        <v>10</v>
      </c>
    </row>
    <row r="1159" spans="1:6" hidden="1" x14ac:dyDescent="0.35">
      <c r="A1159" t="s">
        <v>61</v>
      </c>
      <c r="B1159" t="s">
        <v>39</v>
      </c>
      <c r="C1159" t="s">
        <v>51</v>
      </c>
      <c r="E1159" t="s">
        <v>42</v>
      </c>
      <c r="F1159" t="s">
        <v>10</v>
      </c>
    </row>
    <row r="1160" spans="1:6" hidden="1" x14ac:dyDescent="0.35">
      <c r="A1160" t="s">
        <v>62</v>
      </c>
      <c r="B1160" t="s">
        <v>39</v>
      </c>
      <c r="C1160" t="s">
        <v>51</v>
      </c>
      <c r="E1160" t="s">
        <v>42</v>
      </c>
      <c r="F1160" t="s">
        <v>10</v>
      </c>
    </row>
    <row r="1161" spans="1:6" hidden="1" x14ac:dyDescent="0.35">
      <c r="A1161" t="s">
        <v>63</v>
      </c>
      <c r="B1161" t="s">
        <v>39</v>
      </c>
      <c r="C1161" t="s">
        <v>51</v>
      </c>
      <c r="E1161" t="s">
        <v>42</v>
      </c>
      <c r="F1161" t="s">
        <v>10</v>
      </c>
    </row>
    <row r="1162" spans="1:6" hidden="1" x14ac:dyDescent="0.35">
      <c r="A1162" t="s">
        <v>64</v>
      </c>
      <c r="B1162" t="s">
        <v>39</v>
      </c>
      <c r="C1162" t="s">
        <v>51</v>
      </c>
      <c r="E1162" t="s">
        <v>42</v>
      </c>
      <c r="F1162" t="s">
        <v>10</v>
      </c>
    </row>
    <row r="1163" spans="1:6" hidden="1" x14ac:dyDescent="0.35">
      <c r="A1163" t="s">
        <v>65</v>
      </c>
      <c r="B1163" t="s">
        <v>39</v>
      </c>
      <c r="C1163" t="s">
        <v>51</v>
      </c>
      <c r="E1163" t="s">
        <v>42</v>
      </c>
      <c r="F1163" t="s">
        <v>10</v>
      </c>
    </row>
    <row r="1164" spans="1:6" hidden="1" x14ac:dyDescent="0.35">
      <c r="A1164" t="s">
        <v>66</v>
      </c>
      <c r="B1164" t="s">
        <v>39</v>
      </c>
      <c r="C1164" t="s">
        <v>51</v>
      </c>
      <c r="E1164" t="s">
        <v>42</v>
      </c>
      <c r="F1164" t="s">
        <v>10</v>
      </c>
    </row>
    <row r="1165" spans="1:6" hidden="1" x14ac:dyDescent="0.35">
      <c r="A1165" t="s">
        <v>67</v>
      </c>
      <c r="B1165" t="s">
        <v>39</v>
      </c>
      <c r="C1165" t="s">
        <v>51</v>
      </c>
      <c r="E1165" t="s">
        <v>42</v>
      </c>
      <c r="F1165" t="s">
        <v>10</v>
      </c>
    </row>
    <row r="1166" spans="1:6" hidden="1" x14ac:dyDescent="0.35">
      <c r="A1166" t="s">
        <v>57</v>
      </c>
      <c r="B1166" t="s">
        <v>39</v>
      </c>
      <c r="C1166" t="s">
        <v>30</v>
      </c>
      <c r="E1166" t="s">
        <v>42</v>
      </c>
      <c r="F1166" t="s">
        <v>10</v>
      </c>
    </row>
    <row r="1167" spans="1:6" hidden="1" x14ac:dyDescent="0.35">
      <c r="A1167" t="s">
        <v>11</v>
      </c>
      <c r="B1167" t="s">
        <v>39</v>
      </c>
      <c r="C1167" t="s">
        <v>30</v>
      </c>
      <c r="E1167" t="s">
        <v>42</v>
      </c>
      <c r="F1167" t="s">
        <v>10</v>
      </c>
    </row>
    <row r="1168" spans="1:6" hidden="1" x14ac:dyDescent="0.35">
      <c r="A1168" t="s">
        <v>58</v>
      </c>
      <c r="B1168" t="s">
        <v>39</v>
      </c>
      <c r="C1168" t="s">
        <v>30</v>
      </c>
      <c r="E1168" t="s">
        <v>42</v>
      </c>
      <c r="F1168" t="s">
        <v>10</v>
      </c>
    </row>
    <row r="1169" spans="1:6" hidden="1" x14ac:dyDescent="0.35">
      <c r="A1169" t="s">
        <v>59</v>
      </c>
      <c r="B1169" t="s">
        <v>39</v>
      </c>
      <c r="C1169" t="s">
        <v>30</v>
      </c>
      <c r="E1169" t="s">
        <v>42</v>
      </c>
      <c r="F1169" t="s">
        <v>10</v>
      </c>
    </row>
    <row r="1170" spans="1:6" hidden="1" x14ac:dyDescent="0.35">
      <c r="A1170" t="s">
        <v>60</v>
      </c>
      <c r="B1170" t="s">
        <v>39</v>
      </c>
      <c r="C1170" t="s">
        <v>30</v>
      </c>
      <c r="E1170" t="s">
        <v>42</v>
      </c>
      <c r="F1170" t="s">
        <v>10</v>
      </c>
    </row>
    <row r="1171" spans="1:6" hidden="1" x14ac:dyDescent="0.35">
      <c r="A1171" t="s">
        <v>61</v>
      </c>
      <c r="B1171" t="s">
        <v>39</v>
      </c>
      <c r="C1171" t="s">
        <v>30</v>
      </c>
      <c r="E1171" t="s">
        <v>42</v>
      </c>
      <c r="F1171" t="s">
        <v>10</v>
      </c>
    </row>
    <row r="1172" spans="1:6" hidden="1" x14ac:dyDescent="0.35">
      <c r="A1172" t="s">
        <v>62</v>
      </c>
      <c r="B1172" t="s">
        <v>39</v>
      </c>
      <c r="C1172" t="s">
        <v>30</v>
      </c>
      <c r="E1172" t="s">
        <v>42</v>
      </c>
      <c r="F1172" t="s">
        <v>10</v>
      </c>
    </row>
    <row r="1173" spans="1:6" hidden="1" x14ac:dyDescent="0.35">
      <c r="A1173" t="s">
        <v>63</v>
      </c>
      <c r="B1173" t="s">
        <v>39</v>
      </c>
      <c r="C1173" t="s">
        <v>30</v>
      </c>
      <c r="E1173" t="s">
        <v>42</v>
      </c>
      <c r="F1173" t="s">
        <v>10</v>
      </c>
    </row>
    <row r="1174" spans="1:6" hidden="1" x14ac:dyDescent="0.35">
      <c r="A1174" t="s">
        <v>64</v>
      </c>
      <c r="B1174" t="s">
        <v>39</v>
      </c>
      <c r="C1174" t="s">
        <v>30</v>
      </c>
      <c r="E1174" t="s">
        <v>42</v>
      </c>
      <c r="F1174" t="s">
        <v>10</v>
      </c>
    </row>
    <row r="1175" spans="1:6" hidden="1" x14ac:dyDescent="0.35">
      <c r="A1175" t="s">
        <v>65</v>
      </c>
      <c r="B1175" t="s">
        <v>39</v>
      </c>
      <c r="C1175" t="s">
        <v>30</v>
      </c>
      <c r="E1175" t="s">
        <v>42</v>
      </c>
      <c r="F1175" t="s">
        <v>10</v>
      </c>
    </row>
    <row r="1176" spans="1:6" hidden="1" x14ac:dyDescent="0.35">
      <c r="A1176" t="s">
        <v>66</v>
      </c>
      <c r="B1176" t="s">
        <v>39</v>
      </c>
      <c r="C1176" t="s">
        <v>30</v>
      </c>
      <c r="E1176" t="s">
        <v>42</v>
      </c>
      <c r="F1176" t="s">
        <v>10</v>
      </c>
    </row>
    <row r="1177" spans="1:6" hidden="1" x14ac:dyDescent="0.35">
      <c r="A1177" t="s">
        <v>67</v>
      </c>
      <c r="B1177" t="s">
        <v>39</v>
      </c>
      <c r="C1177" t="s">
        <v>30</v>
      </c>
      <c r="E1177" t="s">
        <v>42</v>
      </c>
      <c r="F1177" t="s">
        <v>10</v>
      </c>
    </row>
    <row r="1178" spans="1:6" hidden="1" x14ac:dyDescent="0.35">
      <c r="A1178" t="s">
        <v>57</v>
      </c>
      <c r="B1178" t="s">
        <v>39</v>
      </c>
      <c r="C1178" t="s">
        <v>52</v>
      </c>
      <c r="E1178" t="s">
        <v>42</v>
      </c>
      <c r="F1178" t="s">
        <v>10</v>
      </c>
    </row>
    <row r="1179" spans="1:6" hidden="1" x14ac:dyDescent="0.35">
      <c r="A1179" t="s">
        <v>11</v>
      </c>
      <c r="B1179" t="s">
        <v>39</v>
      </c>
      <c r="C1179" t="s">
        <v>52</v>
      </c>
      <c r="E1179" t="s">
        <v>42</v>
      </c>
      <c r="F1179" t="s">
        <v>10</v>
      </c>
    </row>
    <row r="1180" spans="1:6" hidden="1" x14ac:dyDescent="0.35">
      <c r="A1180" t="s">
        <v>58</v>
      </c>
      <c r="B1180" t="s">
        <v>39</v>
      </c>
      <c r="C1180" t="s">
        <v>52</v>
      </c>
      <c r="E1180" t="s">
        <v>42</v>
      </c>
      <c r="F1180" t="s">
        <v>10</v>
      </c>
    </row>
    <row r="1181" spans="1:6" hidden="1" x14ac:dyDescent="0.35">
      <c r="A1181" t="s">
        <v>59</v>
      </c>
      <c r="B1181" t="s">
        <v>39</v>
      </c>
      <c r="C1181" t="s">
        <v>52</v>
      </c>
      <c r="E1181" t="s">
        <v>42</v>
      </c>
      <c r="F1181" t="s">
        <v>10</v>
      </c>
    </row>
    <row r="1182" spans="1:6" hidden="1" x14ac:dyDescent="0.35">
      <c r="A1182" t="s">
        <v>60</v>
      </c>
      <c r="B1182" t="s">
        <v>39</v>
      </c>
      <c r="C1182" t="s">
        <v>52</v>
      </c>
      <c r="E1182" t="s">
        <v>42</v>
      </c>
      <c r="F1182" t="s">
        <v>10</v>
      </c>
    </row>
    <row r="1183" spans="1:6" hidden="1" x14ac:dyDescent="0.35">
      <c r="A1183" t="s">
        <v>61</v>
      </c>
      <c r="B1183" t="s">
        <v>39</v>
      </c>
      <c r="C1183" t="s">
        <v>52</v>
      </c>
      <c r="E1183" t="s">
        <v>42</v>
      </c>
      <c r="F1183" t="s">
        <v>10</v>
      </c>
    </row>
    <row r="1184" spans="1:6" hidden="1" x14ac:dyDescent="0.35">
      <c r="A1184" t="s">
        <v>62</v>
      </c>
      <c r="B1184" t="s">
        <v>39</v>
      </c>
      <c r="C1184" t="s">
        <v>52</v>
      </c>
      <c r="E1184" t="s">
        <v>42</v>
      </c>
      <c r="F1184" t="s">
        <v>10</v>
      </c>
    </row>
    <row r="1185" spans="1:6" hidden="1" x14ac:dyDescent="0.35">
      <c r="A1185" t="s">
        <v>63</v>
      </c>
      <c r="B1185" t="s">
        <v>39</v>
      </c>
      <c r="C1185" t="s">
        <v>52</v>
      </c>
      <c r="E1185" t="s">
        <v>42</v>
      </c>
      <c r="F1185" t="s">
        <v>10</v>
      </c>
    </row>
    <row r="1186" spans="1:6" hidden="1" x14ac:dyDescent="0.35">
      <c r="A1186" t="s">
        <v>64</v>
      </c>
      <c r="B1186" t="s">
        <v>39</v>
      </c>
      <c r="C1186" t="s">
        <v>52</v>
      </c>
      <c r="E1186" t="s">
        <v>42</v>
      </c>
      <c r="F1186" t="s">
        <v>10</v>
      </c>
    </row>
    <row r="1187" spans="1:6" hidden="1" x14ac:dyDescent="0.35">
      <c r="A1187" t="s">
        <v>65</v>
      </c>
      <c r="B1187" t="s">
        <v>39</v>
      </c>
      <c r="C1187" t="s">
        <v>52</v>
      </c>
      <c r="E1187" t="s">
        <v>42</v>
      </c>
      <c r="F1187" t="s">
        <v>10</v>
      </c>
    </row>
    <row r="1188" spans="1:6" hidden="1" x14ac:dyDescent="0.35">
      <c r="A1188" t="s">
        <v>66</v>
      </c>
      <c r="B1188" t="s">
        <v>39</v>
      </c>
      <c r="C1188" t="s">
        <v>52</v>
      </c>
      <c r="E1188" t="s">
        <v>42</v>
      </c>
      <c r="F1188" t="s">
        <v>10</v>
      </c>
    </row>
    <row r="1189" spans="1:6" hidden="1" x14ac:dyDescent="0.35">
      <c r="A1189" t="s">
        <v>67</v>
      </c>
      <c r="B1189" t="s">
        <v>39</v>
      </c>
      <c r="C1189" t="s">
        <v>52</v>
      </c>
      <c r="E1189" t="s">
        <v>42</v>
      </c>
      <c r="F1189" t="s">
        <v>10</v>
      </c>
    </row>
    <row r="1190" spans="1:6" hidden="1" x14ac:dyDescent="0.35">
      <c r="A1190" t="s">
        <v>57</v>
      </c>
      <c r="B1190" t="s">
        <v>7</v>
      </c>
      <c r="C1190" t="s">
        <v>44</v>
      </c>
      <c r="D1190">
        <v>0</v>
      </c>
      <c r="E1190" t="s">
        <v>41</v>
      </c>
      <c r="F1190" t="s">
        <v>10</v>
      </c>
    </row>
    <row r="1191" spans="1:6" hidden="1" x14ac:dyDescent="0.35">
      <c r="A1191" t="s">
        <v>11</v>
      </c>
      <c r="B1191" t="s">
        <v>7</v>
      </c>
      <c r="C1191" t="s">
        <v>44</v>
      </c>
      <c r="E1191" t="s">
        <v>41</v>
      </c>
      <c r="F1191" t="s">
        <v>10</v>
      </c>
    </row>
    <row r="1192" spans="1:6" hidden="1" x14ac:dyDescent="0.35">
      <c r="A1192" t="s">
        <v>58</v>
      </c>
      <c r="B1192" t="s">
        <v>7</v>
      </c>
      <c r="C1192" t="s">
        <v>44</v>
      </c>
      <c r="E1192" t="s">
        <v>41</v>
      </c>
      <c r="F1192" t="s">
        <v>10</v>
      </c>
    </row>
    <row r="1193" spans="1:6" hidden="1" x14ac:dyDescent="0.35">
      <c r="A1193" t="s">
        <v>59</v>
      </c>
      <c r="B1193" t="s">
        <v>7</v>
      </c>
      <c r="C1193" t="s">
        <v>44</v>
      </c>
      <c r="D1193">
        <v>18795.138144715449</v>
      </c>
      <c r="E1193" t="s">
        <v>41</v>
      </c>
      <c r="F1193" t="s">
        <v>10</v>
      </c>
    </row>
    <row r="1194" spans="1:6" hidden="1" x14ac:dyDescent="0.35">
      <c r="A1194" t="s">
        <v>60</v>
      </c>
      <c r="B1194" t="s">
        <v>7</v>
      </c>
      <c r="C1194" t="s">
        <v>44</v>
      </c>
      <c r="E1194" t="s">
        <v>41</v>
      </c>
      <c r="F1194" t="s">
        <v>10</v>
      </c>
    </row>
    <row r="1195" spans="1:6" hidden="1" x14ac:dyDescent="0.35">
      <c r="A1195" t="s">
        <v>61</v>
      </c>
      <c r="B1195" t="s">
        <v>7</v>
      </c>
      <c r="C1195" t="s">
        <v>44</v>
      </c>
      <c r="E1195" t="s">
        <v>41</v>
      </c>
      <c r="F1195" t="s">
        <v>10</v>
      </c>
    </row>
    <row r="1196" spans="1:6" hidden="1" x14ac:dyDescent="0.35">
      <c r="A1196" t="s">
        <v>62</v>
      </c>
      <c r="B1196" t="s">
        <v>7</v>
      </c>
      <c r="C1196" t="s">
        <v>44</v>
      </c>
      <c r="E1196" t="s">
        <v>41</v>
      </c>
      <c r="F1196" t="s">
        <v>10</v>
      </c>
    </row>
    <row r="1197" spans="1:6" hidden="1" x14ac:dyDescent="0.35">
      <c r="A1197" t="s">
        <v>63</v>
      </c>
      <c r="B1197" t="s">
        <v>7</v>
      </c>
      <c r="C1197" t="s">
        <v>44</v>
      </c>
      <c r="E1197" t="s">
        <v>41</v>
      </c>
      <c r="F1197" t="s">
        <v>10</v>
      </c>
    </row>
    <row r="1198" spans="1:6" hidden="1" x14ac:dyDescent="0.35">
      <c r="A1198" t="s">
        <v>64</v>
      </c>
      <c r="B1198" t="s">
        <v>7</v>
      </c>
      <c r="C1198" t="s">
        <v>44</v>
      </c>
      <c r="E1198" t="s">
        <v>41</v>
      </c>
      <c r="F1198" t="s">
        <v>10</v>
      </c>
    </row>
    <row r="1199" spans="1:6" hidden="1" x14ac:dyDescent="0.35">
      <c r="A1199" t="s">
        <v>65</v>
      </c>
      <c r="B1199" t="s">
        <v>7</v>
      </c>
      <c r="C1199" t="s">
        <v>44</v>
      </c>
      <c r="E1199" t="s">
        <v>41</v>
      </c>
      <c r="F1199" t="s">
        <v>10</v>
      </c>
    </row>
    <row r="1200" spans="1:6" hidden="1" x14ac:dyDescent="0.35">
      <c r="A1200" t="s">
        <v>66</v>
      </c>
      <c r="B1200" t="s">
        <v>7</v>
      </c>
      <c r="C1200" t="s">
        <v>44</v>
      </c>
      <c r="D1200">
        <v>20134.099721951221</v>
      </c>
      <c r="E1200" t="s">
        <v>41</v>
      </c>
      <c r="F1200" t="s">
        <v>10</v>
      </c>
    </row>
    <row r="1201" spans="1:6" hidden="1" x14ac:dyDescent="0.35">
      <c r="A1201" t="s">
        <v>67</v>
      </c>
      <c r="B1201" t="s">
        <v>7</v>
      </c>
      <c r="C1201" t="s">
        <v>44</v>
      </c>
      <c r="E1201" t="s">
        <v>41</v>
      </c>
      <c r="F1201" t="s">
        <v>10</v>
      </c>
    </row>
    <row r="1202" spans="1:6" hidden="1" x14ac:dyDescent="0.35">
      <c r="A1202" t="s">
        <v>57</v>
      </c>
      <c r="B1202" t="s">
        <v>7</v>
      </c>
      <c r="C1202" t="s">
        <v>22</v>
      </c>
      <c r="D1202">
        <v>0</v>
      </c>
      <c r="E1202" t="s">
        <v>41</v>
      </c>
      <c r="F1202" t="s">
        <v>10</v>
      </c>
    </row>
    <row r="1203" spans="1:6" hidden="1" x14ac:dyDescent="0.35">
      <c r="A1203" t="s">
        <v>11</v>
      </c>
      <c r="B1203" t="s">
        <v>7</v>
      </c>
      <c r="C1203" t="s">
        <v>22</v>
      </c>
      <c r="D1203">
        <v>0</v>
      </c>
      <c r="E1203" t="s">
        <v>41</v>
      </c>
      <c r="F1203" t="s">
        <v>10</v>
      </c>
    </row>
    <row r="1204" spans="1:6" hidden="1" x14ac:dyDescent="0.35">
      <c r="A1204" t="s">
        <v>58</v>
      </c>
      <c r="B1204" t="s">
        <v>7</v>
      </c>
      <c r="C1204" t="s">
        <v>22</v>
      </c>
      <c r="D1204">
        <v>0</v>
      </c>
      <c r="E1204" t="s">
        <v>41</v>
      </c>
      <c r="F1204" t="s">
        <v>10</v>
      </c>
    </row>
    <row r="1205" spans="1:6" hidden="1" x14ac:dyDescent="0.35">
      <c r="A1205" t="s">
        <v>59</v>
      </c>
      <c r="B1205" t="s">
        <v>7</v>
      </c>
      <c r="C1205" t="s">
        <v>22</v>
      </c>
      <c r="D1205">
        <v>0</v>
      </c>
      <c r="E1205" t="s">
        <v>41</v>
      </c>
      <c r="F1205" t="s">
        <v>10</v>
      </c>
    </row>
    <row r="1206" spans="1:6" hidden="1" x14ac:dyDescent="0.35">
      <c r="A1206" t="s">
        <v>60</v>
      </c>
      <c r="B1206" t="s">
        <v>7</v>
      </c>
      <c r="C1206" t="s">
        <v>22</v>
      </c>
      <c r="D1206">
        <v>0</v>
      </c>
      <c r="E1206" t="s">
        <v>41</v>
      </c>
      <c r="F1206" t="s">
        <v>10</v>
      </c>
    </row>
    <row r="1207" spans="1:6" hidden="1" x14ac:dyDescent="0.35">
      <c r="A1207" t="s">
        <v>61</v>
      </c>
      <c r="B1207" t="s">
        <v>7</v>
      </c>
      <c r="C1207" t="s">
        <v>22</v>
      </c>
      <c r="D1207">
        <v>0</v>
      </c>
      <c r="E1207" t="s">
        <v>41</v>
      </c>
      <c r="F1207" t="s">
        <v>10</v>
      </c>
    </row>
    <row r="1208" spans="1:6" hidden="1" x14ac:dyDescent="0.35">
      <c r="A1208" t="s">
        <v>62</v>
      </c>
      <c r="B1208" t="s">
        <v>7</v>
      </c>
      <c r="C1208" t="s">
        <v>22</v>
      </c>
      <c r="D1208">
        <v>0</v>
      </c>
      <c r="E1208" t="s">
        <v>41</v>
      </c>
      <c r="F1208" t="s">
        <v>10</v>
      </c>
    </row>
    <row r="1209" spans="1:6" hidden="1" x14ac:dyDescent="0.35">
      <c r="A1209" t="s">
        <v>63</v>
      </c>
      <c r="B1209" t="s">
        <v>7</v>
      </c>
      <c r="C1209" t="s">
        <v>22</v>
      </c>
      <c r="D1209">
        <v>0</v>
      </c>
      <c r="E1209" t="s">
        <v>41</v>
      </c>
      <c r="F1209" t="s">
        <v>10</v>
      </c>
    </row>
    <row r="1210" spans="1:6" hidden="1" x14ac:dyDescent="0.35">
      <c r="A1210" t="s">
        <v>64</v>
      </c>
      <c r="B1210" t="s">
        <v>7</v>
      </c>
      <c r="C1210" t="s">
        <v>22</v>
      </c>
      <c r="D1210">
        <v>0</v>
      </c>
      <c r="E1210" t="s">
        <v>41</v>
      </c>
      <c r="F1210" t="s">
        <v>10</v>
      </c>
    </row>
    <row r="1211" spans="1:6" hidden="1" x14ac:dyDescent="0.35">
      <c r="A1211" t="s">
        <v>65</v>
      </c>
      <c r="B1211" t="s">
        <v>7</v>
      </c>
      <c r="C1211" t="s">
        <v>22</v>
      </c>
      <c r="D1211">
        <v>0</v>
      </c>
      <c r="E1211" t="s">
        <v>41</v>
      </c>
      <c r="F1211" t="s">
        <v>10</v>
      </c>
    </row>
    <row r="1212" spans="1:6" hidden="1" x14ac:dyDescent="0.35">
      <c r="A1212" t="s">
        <v>66</v>
      </c>
      <c r="B1212" t="s">
        <v>7</v>
      </c>
      <c r="C1212" t="s">
        <v>22</v>
      </c>
      <c r="D1212">
        <v>0</v>
      </c>
      <c r="E1212" t="s">
        <v>41</v>
      </c>
      <c r="F1212" t="s">
        <v>10</v>
      </c>
    </row>
    <row r="1213" spans="1:6" hidden="1" x14ac:dyDescent="0.35">
      <c r="A1213" t="s">
        <v>67</v>
      </c>
      <c r="B1213" t="s">
        <v>7</v>
      </c>
      <c r="C1213" t="s">
        <v>22</v>
      </c>
      <c r="D1213">
        <v>0</v>
      </c>
      <c r="E1213" t="s">
        <v>41</v>
      </c>
      <c r="F1213" t="s">
        <v>10</v>
      </c>
    </row>
    <row r="1214" spans="1:6" hidden="1" x14ac:dyDescent="0.35">
      <c r="A1214" t="s">
        <v>57</v>
      </c>
      <c r="B1214" t="s">
        <v>7</v>
      </c>
      <c r="C1214" t="s">
        <v>46</v>
      </c>
      <c r="D1214">
        <v>369.86720000000003</v>
      </c>
      <c r="E1214" t="s">
        <v>41</v>
      </c>
      <c r="F1214" t="s">
        <v>10</v>
      </c>
    </row>
    <row r="1215" spans="1:6" hidden="1" x14ac:dyDescent="0.35">
      <c r="A1215" t="s">
        <v>11</v>
      </c>
      <c r="B1215" t="s">
        <v>7</v>
      </c>
      <c r="C1215" t="s">
        <v>46</v>
      </c>
      <c r="E1215" t="s">
        <v>41</v>
      </c>
      <c r="F1215" t="s">
        <v>10</v>
      </c>
    </row>
    <row r="1216" spans="1:6" hidden="1" x14ac:dyDescent="0.35">
      <c r="A1216" t="s">
        <v>58</v>
      </c>
      <c r="B1216" t="s">
        <v>7</v>
      </c>
      <c r="C1216" t="s">
        <v>46</v>
      </c>
      <c r="E1216" t="s">
        <v>41</v>
      </c>
      <c r="F1216" t="s">
        <v>10</v>
      </c>
    </row>
    <row r="1217" spans="1:6" hidden="1" x14ac:dyDescent="0.35">
      <c r="A1217" t="s">
        <v>59</v>
      </c>
      <c r="B1217" t="s">
        <v>7</v>
      </c>
      <c r="C1217" t="s">
        <v>46</v>
      </c>
      <c r="D1217">
        <v>67959.056910569096</v>
      </c>
      <c r="E1217" t="s">
        <v>41</v>
      </c>
      <c r="F1217" t="s">
        <v>10</v>
      </c>
    </row>
    <row r="1218" spans="1:6" hidden="1" x14ac:dyDescent="0.35">
      <c r="A1218" t="s">
        <v>60</v>
      </c>
      <c r="B1218" t="s">
        <v>7</v>
      </c>
      <c r="C1218" t="s">
        <v>46</v>
      </c>
      <c r="E1218" t="s">
        <v>41</v>
      </c>
      <c r="F1218" t="s">
        <v>10</v>
      </c>
    </row>
    <row r="1219" spans="1:6" hidden="1" x14ac:dyDescent="0.35">
      <c r="A1219" t="s">
        <v>61</v>
      </c>
      <c r="B1219" t="s">
        <v>7</v>
      </c>
      <c r="C1219" t="s">
        <v>46</v>
      </c>
      <c r="E1219" t="s">
        <v>41</v>
      </c>
      <c r="F1219" t="s">
        <v>10</v>
      </c>
    </row>
    <row r="1220" spans="1:6" hidden="1" x14ac:dyDescent="0.35">
      <c r="A1220" t="s">
        <v>62</v>
      </c>
      <c r="B1220" t="s">
        <v>7</v>
      </c>
      <c r="C1220" t="s">
        <v>46</v>
      </c>
      <c r="E1220" t="s">
        <v>41</v>
      </c>
      <c r="F1220" t="s">
        <v>10</v>
      </c>
    </row>
    <row r="1221" spans="1:6" hidden="1" x14ac:dyDescent="0.35">
      <c r="A1221" t="s">
        <v>63</v>
      </c>
      <c r="B1221" t="s">
        <v>7</v>
      </c>
      <c r="C1221" t="s">
        <v>46</v>
      </c>
      <c r="E1221" t="s">
        <v>41</v>
      </c>
      <c r="F1221" t="s">
        <v>10</v>
      </c>
    </row>
    <row r="1222" spans="1:6" hidden="1" x14ac:dyDescent="0.35">
      <c r="A1222" t="s">
        <v>64</v>
      </c>
      <c r="B1222" t="s">
        <v>7</v>
      </c>
      <c r="C1222" t="s">
        <v>46</v>
      </c>
      <c r="E1222" t="s">
        <v>41</v>
      </c>
      <c r="F1222" t="s">
        <v>10</v>
      </c>
    </row>
    <row r="1223" spans="1:6" hidden="1" x14ac:dyDescent="0.35">
      <c r="A1223" t="s">
        <v>65</v>
      </c>
      <c r="B1223" t="s">
        <v>7</v>
      </c>
      <c r="C1223" t="s">
        <v>46</v>
      </c>
      <c r="E1223" t="s">
        <v>41</v>
      </c>
      <c r="F1223" t="s">
        <v>10</v>
      </c>
    </row>
    <row r="1224" spans="1:6" hidden="1" x14ac:dyDescent="0.35">
      <c r="A1224" t="s">
        <v>66</v>
      </c>
      <c r="B1224" t="s">
        <v>7</v>
      </c>
      <c r="C1224" t="s">
        <v>46</v>
      </c>
      <c r="D1224">
        <v>54511.609756097561</v>
      </c>
      <c r="E1224" t="s">
        <v>41</v>
      </c>
      <c r="F1224" t="s">
        <v>10</v>
      </c>
    </row>
    <row r="1225" spans="1:6" hidden="1" x14ac:dyDescent="0.35">
      <c r="A1225" t="s">
        <v>67</v>
      </c>
      <c r="B1225" t="s">
        <v>7</v>
      </c>
      <c r="C1225" t="s">
        <v>46</v>
      </c>
      <c r="E1225" t="s">
        <v>41</v>
      </c>
      <c r="F1225" t="s">
        <v>10</v>
      </c>
    </row>
    <row r="1226" spans="1:6" hidden="1" x14ac:dyDescent="0.35">
      <c r="A1226" t="s">
        <v>57</v>
      </c>
      <c r="B1226" t="s">
        <v>7</v>
      </c>
      <c r="C1226" t="s">
        <v>24</v>
      </c>
      <c r="D1226">
        <v>0</v>
      </c>
      <c r="E1226" t="s">
        <v>41</v>
      </c>
      <c r="F1226" t="s">
        <v>10</v>
      </c>
    </row>
    <row r="1227" spans="1:6" hidden="1" x14ac:dyDescent="0.35">
      <c r="A1227" t="s">
        <v>11</v>
      </c>
      <c r="B1227" t="s">
        <v>7</v>
      </c>
      <c r="C1227" t="s">
        <v>24</v>
      </c>
      <c r="D1227">
        <v>0</v>
      </c>
      <c r="E1227" t="s">
        <v>41</v>
      </c>
      <c r="F1227" t="s">
        <v>10</v>
      </c>
    </row>
    <row r="1228" spans="1:6" hidden="1" x14ac:dyDescent="0.35">
      <c r="A1228" t="s">
        <v>58</v>
      </c>
      <c r="B1228" t="s">
        <v>7</v>
      </c>
      <c r="C1228" t="s">
        <v>24</v>
      </c>
      <c r="D1228">
        <v>0</v>
      </c>
      <c r="E1228" t="s">
        <v>41</v>
      </c>
      <c r="F1228" t="s">
        <v>10</v>
      </c>
    </row>
    <row r="1229" spans="1:6" hidden="1" x14ac:dyDescent="0.35">
      <c r="A1229" t="s">
        <v>59</v>
      </c>
      <c r="B1229" t="s">
        <v>7</v>
      </c>
      <c r="C1229" t="s">
        <v>24</v>
      </c>
      <c r="D1229">
        <v>0</v>
      </c>
      <c r="E1229" t="s">
        <v>41</v>
      </c>
      <c r="F1229" t="s">
        <v>10</v>
      </c>
    </row>
    <row r="1230" spans="1:6" hidden="1" x14ac:dyDescent="0.35">
      <c r="A1230" t="s">
        <v>60</v>
      </c>
      <c r="B1230" t="s">
        <v>7</v>
      </c>
      <c r="C1230" t="s">
        <v>24</v>
      </c>
      <c r="D1230">
        <v>0</v>
      </c>
      <c r="E1230" t="s">
        <v>41</v>
      </c>
      <c r="F1230" t="s">
        <v>10</v>
      </c>
    </row>
    <row r="1231" spans="1:6" hidden="1" x14ac:dyDescent="0.35">
      <c r="A1231" t="s">
        <v>61</v>
      </c>
      <c r="B1231" t="s">
        <v>7</v>
      </c>
      <c r="C1231" t="s">
        <v>24</v>
      </c>
      <c r="D1231">
        <v>0</v>
      </c>
      <c r="E1231" t="s">
        <v>41</v>
      </c>
      <c r="F1231" t="s">
        <v>10</v>
      </c>
    </row>
    <row r="1232" spans="1:6" hidden="1" x14ac:dyDescent="0.35">
      <c r="A1232" t="s">
        <v>62</v>
      </c>
      <c r="B1232" t="s">
        <v>7</v>
      </c>
      <c r="C1232" t="s">
        <v>24</v>
      </c>
      <c r="D1232">
        <v>0</v>
      </c>
      <c r="E1232" t="s">
        <v>41</v>
      </c>
      <c r="F1232" t="s">
        <v>10</v>
      </c>
    </row>
    <row r="1233" spans="1:6" hidden="1" x14ac:dyDescent="0.35">
      <c r="A1233" t="s">
        <v>63</v>
      </c>
      <c r="B1233" t="s">
        <v>7</v>
      </c>
      <c r="C1233" t="s">
        <v>24</v>
      </c>
      <c r="D1233">
        <v>0</v>
      </c>
      <c r="E1233" t="s">
        <v>41</v>
      </c>
      <c r="F1233" t="s">
        <v>10</v>
      </c>
    </row>
    <row r="1234" spans="1:6" hidden="1" x14ac:dyDescent="0.35">
      <c r="A1234" t="s">
        <v>64</v>
      </c>
      <c r="B1234" t="s">
        <v>7</v>
      </c>
      <c r="C1234" t="s">
        <v>24</v>
      </c>
      <c r="D1234">
        <v>0</v>
      </c>
      <c r="E1234" t="s">
        <v>41</v>
      </c>
      <c r="F1234" t="s">
        <v>10</v>
      </c>
    </row>
    <row r="1235" spans="1:6" hidden="1" x14ac:dyDescent="0.35">
      <c r="A1235" t="s">
        <v>65</v>
      </c>
      <c r="B1235" t="s">
        <v>7</v>
      </c>
      <c r="C1235" t="s">
        <v>24</v>
      </c>
      <c r="D1235">
        <v>0</v>
      </c>
      <c r="E1235" t="s">
        <v>41</v>
      </c>
      <c r="F1235" t="s">
        <v>10</v>
      </c>
    </row>
    <row r="1236" spans="1:6" hidden="1" x14ac:dyDescent="0.35">
      <c r="A1236" t="s">
        <v>66</v>
      </c>
      <c r="B1236" t="s">
        <v>7</v>
      </c>
      <c r="C1236" t="s">
        <v>24</v>
      </c>
      <c r="D1236">
        <v>0</v>
      </c>
      <c r="E1236" t="s">
        <v>41</v>
      </c>
      <c r="F1236" t="s">
        <v>10</v>
      </c>
    </row>
    <row r="1237" spans="1:6" hidden="1" x14ac:dyDescent="0.35">
      <c r="A1237" t="s">
        <v>67</v>
      </c>
      <c r="B1237" t="s">
        <v>7</v>
      </c>
      <c r="C1237" t="s">
        <v>24</v>
      </c>
      <c r="D1237">
        <v>0</v>
      </c>
      <c r="E1237" t="s">
        <v>41</v>
      </c>
      <c r="F1237" t="s">
        <v>10</v>
      </c>
    </row>
    <row r="1238" spans="1:6" hidden="1" x14ac:dyDescent="0.35">
      <c r="A1238" t="s">
        <v>57</v>
      </c>
      <c r="B1238" t="s">
        <v>7</v>
      </c>
      <c r="C1238" t="s">
        <v>47</v>
      </c>
      <c r="E1238" t="s">
        <v>41</v>
      </c>
      <c r="F1238" t="s">
        <v>10</v>
      </c>
    </row>
    <row r="1239" spans="1:6" hidden="1" x14ac:dyDescent="0.35">
      <c r="A1239" t="s">
        <v>11</v>
      </c>
      <c r="B1239" t="s">
        <v>7</v>
      </c>
      <c r="C1239" t="s">
        <v>47</v>
      </c>
      <c r="E1239" t="s">
        <v>41</v>
      </c>
      <c r="F1239" t="s">
        <v>10</v>
      </c>
    </row>
    <row r="1240" spans="1:6" hidden="1" x14ac:dyDescent="0.35">
      <c r="A1240" t="s">
        <v>58</v>
      </c>
      <c r="B1240" t="s">
        <v>7</v>
      </c>
      <c r="C1240" t="s">
        <v>47</v>
      </c>
      <c r="E1240" t="s">
        <v>41</v>
      </c>
      <c r="F1240" t="s">
        <v>10</v>
      </c>
    </row>
    <row r="1241" spans="1:6" hidden="1" x14ac:dyDescent="0.35">
      <c r="A1241" t="s">
        <v>59</v>
      </c>
      <c r="B1241" t="s">
        <v>7</v>
      </c>
      <c r="C1241" t="s">
        <v>47</v>
      </c>
      <c r="E1241" t="s">
        <v>41</v>
      </c>
      <c r="F1241" t="s">
        <v>10</v>
      </c>
    </row>
    <row r="1242" spans="1:6" hidden="1" x14ac:dyDescent="0.35">
      <c r="A1242" t="s">
        <v>60</v>
      </c>
      <c r="B1242" t="s">
        <v>7</v>
      </c>
      <c r="C1242" t="s">
        <v>47</v>
      </c>
      <c r="E1242" t="s">
        <v>41</v>
      </c>
      <c r="F1242" t="s">
        <v>10</v>
      </c>
    </row>
    <row r="1243" spans="1:6" hidden="1" x14ac:dyDescent="0.35">
      <c r="A1243" t="s">
        <v>61</v>
      </c>
      <c r="B1243" t="s">
        <v>7</v>
      </c>
      <c r="C1243" t="s">
        <v>47</v>
      </c>
      <c r="E1243" t="s">
        <v>41</v>
      </c>
      <c r="F1243" t="s">
        <v>10</v>
      </c>
    </row>
    <row r="1244" spans="1:6" hidden="1" x14ac:dyDescent="0.35">
      <c r="A1244" t="s">
        <v>62</v>
      </c>
      <c r="B1244" t="s">
        <v>7</v>
      </c>
      <c r="C1244" t="s">
        <v>47</v>
      </c>
      <c r="E1244" t="s">
        <v>41</v>
      </c>
      <c r="F1244" t="s">
        <v>10</v>
      </c>
    </row>
    <row r="1245" spans="1:6" hidden="1" x14ac:dyDescent="0.35">
      <c r="A1245" t="s">
        <v>63</v>
      </c>
      <c r="B1245" t="s">
        <v>7</v>
      </c>
      <c r="C1245" t="s">
        <v>47</v>
      </c>
      <c r="E1245" t="s">
        <v>41</v>
      </c>
      <c r="F1245" t="s">
        <v>10</v>
      </c>
    </row>
    <row r="1246" spans="1:6" hidden="1" x14ac:dyDescent="0.35">
      <c r="A1246" t="s">
        <v>64</v>
      </c>
      <c r="B1246" t="s">
        <v>7</v>
      </c>
      <c r="C1246" t="s">
        <v>47</v>
      </c>
      <c r="E1246" t="s">
        <v>41</v>
      </c>
      <c r="F1246" t="s">
        <v>10</v>
      </c>
    </row>
    <row r="1247" spans="1:6" hidden="1" x14ac:dyDescent="0.35">
      <c r="A1247" t="s">
        <v>65</v>
      </c>
      <c r="B1247" t="s">
        <v>7</v>
      </c>
      <c r="C1247" t="s">
        <v>47</v>
      </c>
      <c r="E1247" t="s">
        <v>41</v>
      </c>
      <c r="F1247" t="s">
        <v>10</v>
      </c>
    </row>
    <row r="1248" spans="1:6" hidden="1" x14ac:dyDescent="0.35">
      <c r="A1248" t="s">
        <v>66</v>
      </c>
      <c r="B1248" t="s">
        <v>7</v>
      </c>
      <c r="C1248" t="s">
        <v>47</v>
      </c>
      <c r="E1248" t="s">
        <v>41</v>
      </c>
      <c r="F1248" t="s">
        <v>10</v>
      </c>
    </row>
    <row r="1249" spans="1:6" hidden="1" x14ac:dyDescent="0.35">
      <c r="A1249" t="s">
        <v>67</v>
      </c>
      <c r="B1249" t="s">
        <v>7</v>
      </c>
      <c r="C1249" t="s">
        <v>47</v>
      </c>
      <c r="E1249" t="s">
        <v>41</v>
      </c>
      <c r="F1249" t="s">
        <v>10</v>
      </c>
    </row>
    <row r="1250" spans="1:6" hidden="1" x14ac:dyDescent="0.35">
      <c r="A1250" t="s">
        <v>57</v>
      </c>
      <c r="B1250" t="s">
        <v>7</v>
      </c>
      <c r="C1250" t="s">
        <v>48</v>
      </c>
      <c r="D1250">
        <v>0</v>
      </c>
      <c r="E1250" t="s">
        <v>41</v>
      </c>
      <c r="F1250" t="s">
        <v>10</v>
      </c>
    </row>
    <row r="1251" spans="1:6" hidden="1" x14ac:dyDescent="0.35">
      <c r="A1251" t="s">
        <v>11</v>
      </c>
      <c r="B1251" t="s">
        <v>7</v>
      </c>
      <c r="C1251" t="s">
        <v>48</v>
      </c>
      <c r="D1251">
        <v>0</v>
      </c>
      <c r="E1251" t="s">
        <v>41</v>
      </c>
      <c r="F1251" t="s">
        <v>10</v>
      </c>
    </row>
    <row r="1252" spans="1:6" hidden="1" x14ac:dyDescent="0.35">
      <c r="A1252" t="s">
        <v>58</v>
      </c>
      <c r="B1252" t="s">
        <v>7</v>
      </c>
      <c r="C1252" t="s">
        <v>48</v>
      </c>
      <c r="D1252">
        <v>0</v>
      </c>
      <c r="E1252" t="s">
        <v>41</v>
      </c>
      <c r="F1252" t="s">
        <v>10</v>
      </c>
    </row>
    <row r="1253" spans="1:6" hidden="1" x14ac:dyDescent="0.35">
      <c r="A1253" t="s">
        <v>59</v>
      </c>
      <c r="B1253" t="s">
        <v>7</v>
      </c>
      <c r="C1253" t="s">
        <v>48</v>
      </c>
      <c r="D1253">
        <v>0</v>
      </c>
      <c r="E1253" t="s">
        <v>41</v>
      </c>
      <c r="F1253" t="s">
        <v>10</v>
      </c>
    </row>
    <row r="1254" spans="1:6" hidden="1" x14ac:dyDescent="0.35">
      <c r="A1254" t="s">
        <v>60</v>
      </c>
      <c r="B1254" t="s">
        <v>7</v>
      </c>
      <c r="C1254" t="s">
        <v>48</v>
      </c>
      <c r="D1254">
        <v>0</v>
      </c>
      <c r="E1254" t="s">
        <v>41</v>
      </c>
      <c r="F1254" t="s">
        <v>10</v>
      </c>
    </row>
    <row r="1255" spans="1:6" hidden="1" x14ac:dyDescent="0.35">
      <c r="A1255" t="s">
        <v>61</v>
      </c>
      <c r="B1255" t="s">
        <v>7</v>
      </c>
      <c r="C1255" t="s">
        <v>48</v>
      </c>
      <c r="D1255">
        <v>0</v>
      </c>
      <c r="E1255" t="s">
        <v>41</v>
      </c>
      <c r="F1255" t="s">
        <v>10</v>
      </c>
    </row>
    <row r="1256" spans="1:6" hidden="1" x14ac:dyDescent="0.35">
      <c r="A1256" t="s">
        <v>62</v>
      </c>
      <c r="B1256" t="s">
        <v>7</v>
      </c>
      <c r="C1256" t="s">
        <v>48</v>
      </c>
      <c r="D1256">
        <v>0</v>
      </c>
      <c r="E1256" t="s">
        <v>41</v>
      </c>
      <c r="F1256" t="s">
        <v>10</v>
      </c>
    </row>
    <row r="1257" spans="1:6" hidden="1" x14ac:dyDescent="0.35">
      <c r="A1257" t="s">
        <v>63</v>
      </c>
      <c r="B1257" t="s">
        <v>7</v>
      </c>
      <c r="C1257" t="s">
        <v>48</v>
      </c>
      <c r="D1257">
        <v>0</v>
      </c>
      <c r="E1257" t="s">
        <v>41</v>
      </c>
      <c r="F1257" t="s">
        <v>10</v>
      </c>
    </row>
    <row r="1258" spans="1:6" hidden="1" x14ac:dyDescent="0.35">
      <c r="A1258" t="s">
        <v>64</v>
      </c>
      <c r="B1258" t="s">
        <v>7</v>
      </c>
      <c r="C1258" t="s">
        <v>48</v>
      </c>
      <c r="D1258">
        <v>0</v>
      </c>
      <c r="E1258" t="s">
        <v>41</v>
      </c>
      <c r="F1258" t="s">
        <v>10</v>
      </c>
    </row>
    <row r="1259" spans="1:6" hidden="1" x14ac:dyDescent="0.35">
      <c r="A1259" t="s">
        <v>65</v>
      </c>
      <c r="B1259" t="s">
        <v>7</v>
      </c>
      <c r="C1259" t="s">
        <v>48</v>
      </c>
      <c r="D1259">
        <v>0</v>
      </c>
      <c r="E1259" t="s">
        <v>41</v>
      </c>
      <c r="F1259" t="s">
        <v>10</v>
      </c>
    </row>
    <row r="1260" spans="1:6" hidden="1" x14ac:dyDescent="0.35">
      <c r="A1260" t="s">
        <v>66</v>
      </c>
      <c r="B1260" t="s">
        <v>7</v>
      </c>
      <c r="C1260" t="s">
        <v>48</v>
      </c>
      <c r="D1260">
        <v>0</v>
      </c>
      <c r="E1260" t="s">
        <v>41</v>
      </c>
      <c r="F1260" t="s">
        <v>10</v>
      </c>
    </row>
    <row r="1261" spans="1:6" hidden="1" x14ac:dyDescent="0.35">
      <c r="A1261" t="s">
        <v>67</v>
      </c>
      <c r="B1261" t="s">
        <v>7</v>
      </c>
      <c r="C1261" t="s">
        <v>48</v>
      </c>
      <c r="D1261">
        <v>0</v>
      </c>
      <c r="E1261" t="s">
        <v>41</v>
      </c>
      <c r="F1261" t="s">
        <v>10</v>
      </c>
    </row>
    <row r="1262" spans="1:6" hidden="1" x14ac:dyDescent="0.35">
      <c r="A1262" t="s">
        <v>57</v>
      </c>
      <c r="B1262" t="s">
        <v>7</v>
      </c>
      <c r="C1262" t="s">
        <v>49</v>
      </c>
      <c r="D1262">
        <v>125</v>
      </c>
      <c r="E1262" t="s">
        <v>41</v>
      </c>
      <c r="F1262" t="s">
        <v>10</v>
      </c>
    </row>
    <row r="1263" spans="1:6" hidden="1" x14ac:dyDescent="0.35">
      <c r="A1263" t="s">
        <v>11</v>
      </c>
      <c r="B1263" t="s">
        <v>7</v>
      </c>
      <c r="C1263" t="s">
        <v>49</v>
      </c>
      <c r="E1263" t="s">
        <v>41</v>
      </c>
      <c r="F1263" t="s">
        <v>10</v>
      </c>
    </row>
    <row r="1264" spans="1:6" hidden="1" x14ac:dyDescent="0.35">
      <c r="A1264" t="s">
        <v>58</v>
      </c>
      <c r="B1264" t="s">
        <v>7</v>
      </c>
      <c r="C1264" t="s">
        <v>49</v>
      </c>
      <c r="E1264" t="s">
        <v>41</v>
      </c>
      <c r="F1264" t="s">
        <v>10</v>
      </c>
    </row>
    <row r="1265" spans="1:6" hidden="1" x14ac:dyDescent="0.35">
      <c r="A1265" t="s">
        <v>59</v>
      </c>
      <c r="B1265" t="s">
        <v>7</v>
      </c>
      <c r="C1265" t="s">
        <v>49</v>
      </c>
      <c r="D1265">
        <v>11841.210800000001</v>
      </c>
      <c r="E1265" t="s">
        <v>41</v>
      </c>
      <c r="F1265" t="s">
        <v>10</v>
      </c>
    </row>
    <row r="1266" spans="1:6" hidden="1" x14ac:dyDescent="0.35">
      <c r="A1266" t="s">
        <v>60</v>
      </c>
      <c r="B1266" t="s">
        <v>7</v>
      </c>
      <c r="C1266" t="s">
        <v>49</v>
      </c>
      <c r="E1266" t="s">
        <v>41</v>
      </c>
      <c r="F1266" t="s">
        <v>10</v>
      </c>
    </row>
    <row r="1267" spans="1:6" hidden="1" x14ac:dyDescent="0.35">
      <c r="A1267" t="s">
        <v>61</v>
      </c>
      <c r="B1267" t="s">
        <v>7</v>
      </c>
      <c r="C1267" t="s">
        <v>49</v>
      </c>
      <c r="E1267" t="s">
        <v>41</v>
      </c>
      <c r="F1267" t="s">
        <v>10</v>
      </c>
    </row>
    <row r="1268" spans="1:6" hidden="1" x14ac:dyDescent="0.35">
      <c r="A1268" t="s">
        <v>62</v>
      </c>
      <c r="B1268" t="s">
        <v>7</v>
      </c>
      <c r="C1268" t="s">
        <v>49</v>
      </c>
      <c r="E1268" t="s">
        <v>41</v>
      </c>
      <c r="F1268" t="s">
        <v>10</v>
      </c>
    </row>
    <row r="1269" spans="1:6" hidden="1" x14ac:dyDescent="0.35">
      <c r="A1269" t="s">
        <v>63</v>
      </c>
      <c r="B1269" t="s">
        <v>7</v>
      </c>
      <c r="C1269" t="s">
        <v>49</v>
      </c>
      <c r="E1269" t="s">
        <v>41</v>
      </c>
      <c r="F1269" t="s">
        <v>10</v>
      </c>
    </row>
    <row r="1270" spans="1:6" hidden="1" x14ac:dyDescent="0.35">
      <c r="A1270" t="s">
        <v>64</v>
      </c>
      <c r="B1270" t="s">
        <v>7</v>
      </c>
      <c r="C1270" t="s">
        <v>49</v>
      </c>
      <c r="E1270" t="s">
        <v>41</v>
      </c>
      <c r="F1270" t="s">
        <v>10</v>
      </c>
    </row>
    <row r="1271" spans="1:6" hidden="1" x14ac:dyDescent="0.35">
      <c r="A1271" t="s">
        <v>65</v>
      </c>
      <c r="B1271" t="s">
        <v>7</v>
      </c>
      <c r="C1271" t="s">
        <v>49</v>
      </c>
      <c r="E1271" t="s">
        <v>41</v>
      </c>
      <c r="F1271" t="s">
        <v>10</v>
      </c>
    </row>
    <row r="1272" spans="1:6" hidden="1" x14ac:dyDescent="0.35">
      <c r="A1272" t="s">
        <v>66</v>
      </c>
      <c r="B1272" t="s">
        <v>7</v>
      </c>
      <c r="C1272" t="s">
        <v>49</v>
      </c>
      <c r="D1272">
        <v>4779.7791999999999</v>
      </c>
      <c r="E1272" t="s">
        <v>41</v>
      </c>
      <c r="F1272" t="s">
        <v>10</v>
      </c>
    </row>
    <row r="1273" spans="1:6" hidden="1" x14ac:dyDescent="0.35">
      <c r="A1273" t="s">
        <v>67</v>
      </c>
      <c r="B1273" t="s">
        <v>7</v>
      </c>
      <c r="C1273" t="s">
        <v>49</v>
      </c>
      <c r="E1273" t="s">
        <v>41</v>
      </c>
      <c r="F1273" t="s">
        <v>10</v>
      </c>
    </row>
    <row r="1274" spans="1:6" hidden="1" x14ac:dyDescent="0.35">
      <c r="A1274" t="s">
        <v>57</v>
      </c>
      <c r="B1274" t="s">
        <v>7</v>
      </c>
      <c r="C1274" t="s">
        <v>50</v>
      </c>
      <c r="D1274">
        <v>369.86720000000003</v>
      </c>
      <c r="E1274" t="s">
        <v>41</v>
      </c>
      <c r="F1274" t="s">
        <v>10</v>
      </c>
    </row>
    <row r="1275" spans="1:6" hidden="1" x14ac:dyDescent="0.35">
      <c r="A1275" t="s">
        <v>11</v>
      </c>
      <c r="B1275" t="s">
        <v>7</v>
      </c>
      <c r="C1275" t="s">
        <v>50</v>
      </c>
      <c r="E1275" t="s">
        <v>41</v>
      </c>
      <c r="F1275" t="s">
        <v>10</v>
      </c>
    </row>
    <row r="1276" spans="1:6" hidden="1" x14ac:dyDescent="0.35">
      <c r="A1276" t="s">
        <v>58</v>
      </c>
      <c r="B1276" t="s">
        <v>7</v>
      </c>
      <c r="C1276" t="s">
        <v>50</v>
      </c>
      <c r="E1276" t="s">
        <v>41</v>
      </c>
      <c r="F1276" t="s">
        <v>10</v>
      </c>
    </row>
    <row r="1277" spans="1:6" hidden="1" x14ac:dyDescent="0.35">
      <c r="A1277" t="s">
        <v>59</v>
      </c>
      <c r="B1277" t="s">
        <v>7</v>
      </c>
      <c r="C1277" t="s">
        <v>50</v>
      </c>
      <c r="D1277">
        <v>105549.33319999999</v>
      </c>
      <c r="E1277" t="s">
        <v>41</v>
      </c>
      <c r="F1277" t="s">
        <v>10</v>
      </c>
    </row>
    <row r="1278" spans="1:6" hidden="1" x14ac:dyDescent="0.35">
      <c r="A1278" t="s">
        <v>60</v>
      </c>
      <c r="B1278" t="s">
        <v>7</v>
      </c>
      <c r="C1278" t="s">
        <v>50</v>
      </c>
      <c r="E1278" t="s">
        <v>41</v>
      </c>
      <c r="F1278" t="s">
        <v>10</v>
      </c>
    </row>
    <row r="1279" spans="1:6" hidden="1" x14ac:dyDescent="0.35">
      <c r="A1279" t="s">
        <v>61</v>
      </c>
      <c r="B1279" t="s">
        <v>7</v>
      </c>
      <c r="C1279" t="s">
        <v>50</v>
      </c>
      <c r="E1279" t="s">
        <v>41</v>
      </c>
      <c r="F1279" t="s">
        <v>10</v>
      </c>
    </row>
    <row r="1280" spans="1:6" hidden="1" x14ac:dyDescent="0.35">
      <c r="A1280" t="s">
        <v>62</v>
      </c>
      <c r="B1280" t="s">
        <v>7</v>
      </c>
      <c r="C1280" t="s">
        <v>50</v>
      </c>
      <c r="E1280" t="s">
        <v>41</v>
      </c>
      <c r="F1280" t="s">
        <v>10</v>
      </c>
    </row>
    <row r="1281" spans="1:6" hidden="1" x14ac:dyDescent="0.35">
      <c r="A1281" t="s">
        <v>63</v>
      </c>
      <c r="B1281" t="s">
        <v>7</v>
      </c>
      <c r="C1281" t="s">
        <v>50</v>
      </c>
      <c r="E1281" t="s">
        <v>41</v>
      </c>
      <c r="F1281" t="s">
        <v>10</v>
      </c>
    </row>
    <row r="1282" spans="1:6" hidden="1" x14ac:dyDescent="0.35">
      <c r="A1282" t="s">
        <v>64</v>
      </c>
      <c r="B1282" t="s">
        <v>7</v>
      </c>
      <c r="C1282" t="s">
        <v>50</v>
      </c>
      <c r="E1282" t="s">
        <v>41</v>
      </c>
      <c r="F1282" t="s">
        <v>10</v>
      </c>
    </row>
    <row r="1283" spans="1:6" hidden="1" x14ac:dyDescent="0.35">
      <c r="A1283" t="s">
        <v>65</v>
      </c>
      <c r="B1283" t="s">
        <v>7</v>
      </c>
      <c r="C1283" t="s">
        <v>50</v>
      </c>
      <c r="E1283" t="s">
        <v>41</v>
      </c>
      <c r="F1283" t="s">
        <v>10</v>
      </c>
    </row>
    <row r="1284" spans="1:6" hidden="1" x14ac:dyDescent="0.35">
      <c r="A1284" t="s">
        <v>66</v>
      </c>
      <c r="B1284" t="s">
        <v>7</v>
      </c>
      <c r="C1284" t="s">
        <v>50</v>
      </c>
      <c r="D1284">
        <v>94779.809200000003</v>
      </c>
      <c r="E1284" t="s">
        <v>41</v>
      </c>
      <c r="F1284" t="s">
        <v>10</v>
      </c>
    </row>
    <row r="1285" spans="1:6" hidden="1" x14ac:dyDescent="0.35">
      <c r="A1285" t="s">
        <v>67</v>
      </c>
      <c r="B1285" t="s">
        <v>7</v>
      </c>
      <c r="C1285" t="s">
        <v>50</v>
      </c>
      <c r="E1285" t="s">
        <v>41</v>
      </c>
      <c r="F1285" t="s">
        <v>10</v>
      </c>
    </row>
    <row r="1286" spans="1:6" hidden="1" x14ac:dyDescent="0.35">
      <c r="A1286" t="s">
        <v>57</v>
      </c>
      <c r="B1286" t="s">
        <v>7</v>
      </c>
      <c r="C1286" t="s">
        <v>51</v>
      </c>
      <c r="E1286" t="s">
        <v>41</v>
      </c>
      <c r="F1286" t="s">
        <v>10</v>
      </c>
    </row>
    <row r="1287" spans="1:6" hidden="1" x14ac:dyDescent="0.35">
      <c r="A1287" t="s">
        <v>11</v>
      </c>
      <c r="B1287" t="s">
        <v>7</v>
      </c>
      <c r="C1287" t="s">
        <v>51</v>
      </c>
      <c r="E1287" t="s">
        <v>41</v>
      </c>
      <c r="F1287" t="s">
        <v>10</v>
      </c>
    </row>
    <row r="1288" spans="1:6" hidden="1" x14ac:dyDescent="0.35">
      <c r="A1288" t="s">
        <v>58</v>
      </c>
      <c r="B1288" t="s">
        <v>7</v>
      </c>
      <c r="C1288" t="s">
        <v>51</v>
      </c>
      <c r="E1288" t="s">
        <v>41</v>
      </c>
      <c r="F1288" t="s">
        <v>10</v>
      </c>
    </row>
    <row r="1289" spans="1:6" hidden="1" x14ac:dyDescent="0.35">
      <c r="A1289" t="s">
        <v>59</v>
      </c>
      <c r="B1289" t="s">
        <v>7</v>
      </c>
      <c r="C1289" t="s">
        <v>51</v>
      </c>
      <c r="E1289" t="s">
        <v>41</v>
      </c>
      <c r="F1289" t="s">
        <v>10</v>
      </c>
    </row>
    <row r="1290" spans="1:6" hidden="1" x14ac:dyDescent="0.35">
      <c r="A1290" t="s">
        <v>60</v>
      </c>
      <c r="B1290" t="s">
        <v>7</v>
      </c>
      <c r="C1290" t="s">
        <v>51</v>
      </c>
      <c r="E1290" t="s">
        <v>41</v>
      </c>
      <c r="F1290" t="s">
        <v>10</v>
      </c>
    </row>
    <row r="1291" spans="1:6" hidden="1" x14ac:dyDescent="0.35">
      <c r="A1291" t="s">
        <v>61</v>
      </c>
      <c r="B1291" t="s">
        <v>7</v>
      </c>
      <c r="C1291" t="s">
        <v>51</v>
      </c>
      <c r="E1291" t="s">
        <v>41</v>
      </c>
      <c r="F1291" t="s">
        <v>10</v>
      </c>
    </row>
    <row r="1292" spans="1:6" hidden="1" x14ac:dyDescent="0.35">
      <c r="A1292" t="s">
        <v>62</v>
      </c>
      <c r="B1292" t="s">
        <v>7</v>
      </c>
      <c r="C1292" t="s">
        <v>51</v>
      </c>
      <c r="E1292" t="s">
        <v>41</v>
      </c>
      <c r="F1292" t="s">
        <v>10</v>
      </c>
    </row>
    <row r="1293" spans="1:6" hidden="1" x14ac:dyDescent="0.35">
      <c r="A1293" t="s">
        <v>63</v>
      </c>
      <c r="B1293" t="s">
        <v>7</v>
      </c>
      <c r="C1293" t="s">
        <v>51</v>
      </c>
      <c r="E1293" t="s">
        <v>41</v>
      </c>
      <c r="F1293" t="s">
        <v>10</v>
      </c>
    </row>
    <row r="1294" spans="1:6" hidden="1" x14ac:dyDescent="0.35">
      <c r="A1294" t="s">
        <v>64</v>
      </c>
      <c r="B1294" t="s">
        <v>7</v>
      </c>
      <c r="C1294" t="s">
        <v>51</v>
      </c>
      <c r="E1294" t="s">
        <v>41</v>
      </c>
      <c r="F1294" t="s">
        <v>10</v>
      </c>
    </row>
    <row r="1295" spans="1:6" hidden="1" x14ac:dyDescent="0.35">
      <c r="A1295" t="s">
        <v>65</v>
      </c>
      <c r="B1295" t="s">
        <v>7</v>
      </c>
      <c r="C1295" t="s">
        <v>51</v>
      </c>
      <c r="E1295" t="s">
        <v>41</v>
      </c>
      <c r="F1295" t="s">
        <v>10</v>
      </c>
    </row>
    <row r="1296" spans="1:6" hidden="1" x14ac:dyDescent="0.35">
      <c r="A1296" t="s">
        <v>66</v>
      </c>
      <c r="B1296" t="s">
        <v>7</v>
      </c>
      <c r="C1296" t="s">
        <v>51</v>
      </c>
      <c r="E1296" t="s">
        <v>41</v>
      </c>
      <c r="F1296" t="s">
        <v>10</v>
      </c>
    </row>
    <row r="1297" spans="1:6" hidden="1" x14ac:dyDescent="0.35">
      <c r="A1297" t="s">
        <v>67</v>
      </c>
      <c r="B1297" t="s">
        <v>7</v>
      </c>
      <c r="C1297" t="s">
        <v>51</v>
      </c>
      <c r="E1297" t="s">
        <v>41</v>
      </c>
      <c r="F1297" t="s">
        <v>10</v>
      </c>
    </row>
    <row r="1298" spans="1:6" hidden="1" x14ac:dyDescent="0.35">
      <c r="A1298" t="s">
        <v>57</v>
      </c>
      <c r="B1298" t="s">
        <v>7</v>
      </c>
      <c r="C1298" t="s">
        <v>30</v>
      </c>
      <c r="E1298" t="s">
        <v>41</v>
      </c>
      <c r="F1298" t="s">
        <v>10</v>
      </c>
    </row>
    <row r="1299" spans="1:6" hidden="1" x14ac:dyDescent="0.35">
      <c r="A1299" t="s">
        <v>11</v>
      </c>
      <c r="B1299" t="s">
        <v>7</v>
      </c>
      <c r="C1299" t="s">
        <v>30</v>
      </c>
      <c r="E1299" t="s">
        <v>41</v>
      </c>
      <c r="F1299" t="s">
        <v>10</v>
      </c>
    </row>
    <row r="1300" spans="1:6" hidden="1" x14ac:dyDescent="0.35">
      <c r="A1300" t="s">
        <v>58</v>
      </c>
      <c r="B1300" t="s">
        <v>7</v>
      </c>
      <c r="C1300" t="s">
        <v>30</v>
      </c>
      <c r="E1300" t="s">
        <v>41</v>
      </c>
      <c r="F1300" t="s">
        <v>10</v>
      </c>
    </row>
    <row r="1301" spans="1:6" hidden="1" x14ac:dyDescent="0.35">
      <c r="A1301" t="s">
        <v>59</v>
      </c>
      <c r="B1301" t="s">
        <v>7</v>
      </c>
      <c r="C1301" t="s">
        <v>30</v>
      </c>
      <c r="E1301" t="s">
        <v>41</v>
      </c>
      <c r="F1301" t="s">
        <v>10</v>
      </c>
    </row>
    <row r="1302" spans="1:6" hidden="1" x14ac:dyDescent="0.35">
      <c r="A1302" t="s">
        <v>60</v>
      </c>
      <c r="B1302" t="s">
        <v>7</v>
      </c>
      <c r="C1302" t="s">
        <v>30</v>
      </c>
      <c r="E1302" t="s">
        <v>41</v>
      </c>
      <c r="F1302" t="s">
        <v>10</v>
      </c>
    </row>
    <row r="1303" spans="1:6" hidden="1" x14ac:dyDescent="0.35">
      <c r="A1303" t="s">
        <v>61</v>
      </c>
      <c r="B1303" t="s">
        <v>7</v>
      </c>
      <c r="C1303" t="s">
        <v>30</v>
      </c>
      <c r="D1303">
        <v>1</v>
      </c>
      <c r="E1303" t="s">
        <v>41</v>
      </c>
      <c r="F1303" t="s">
        <v>10</v>
      </c>
    </row>
    <row r="1304" spans="1:6" hidden="1" x14ac:dyDescent="0.35">
      <c r="A1304" t="s">
        <v>62</v>
      </c>
      <c r="B1304" t="s">
        <v>7</v>
      </c>
      <c r="C1304" t="s">
        <v>30</v>
      </c>
      <c r="E1304" t="s">
        <v>41</v>
      </c>
      <c r="F1304" t="s">
        <v>10</v>
      </c>
    </row>
    <row r="1305" spans="1:6" hidden="1" x14ac:dyDescent="0.35">
      <c r="A1305" t="s">
        <v>63</v>
      </c>
      <c r="B1305" t="s">
        <v>7</v>
      </c>
      <c r="C1305" t="s">
        <v>30</v>
      </c>
      <c r="E1305" t="s">
        <v>41</v>
      </c>
      <c r="F1305" t="s">
        <v>10</v>
      </c>
    </row>
    <row r="1306" spans="1:6" hidden="1" x14ac:dyDescent="0.35">
      <c r="A1306" t="s">
        <v>64</v>
      </c>
      <c r="B1306" t="s">
        <v>7</v>
      </c>
      <c r="C1306" t="s">
        <v>30</v>
      </c>
      <c r="E1306" t="s">
        <v>41</v>
      </c>
      <c r="F1306" t="s">
        <v>10</v>
      </c>
    </row>
    <row r="1307" spans="1:6" hidden="1" x14ac:dyDescent="0.35">
      <c r="A1307" t="s">
        <v>65</v>
      </c>
      <c r="B1307" t="s">
        <v>7</v>
      </c>
      <c r="C1307" t="s">
        <v>30</v>
      </c>
      <c r="E1307" t="s">
        <v>41</v>
      </c>
      <c r="F1307" t="s">
        <v>10</v>
      </c>
    </row>
    <row r="1308" spans="1:6" hidden="1" x14ac:dyDescent="0.35">
      <c r="A1308" t="s">
        <v>66</v>
      </c>
      <c r="B1308" t="s">
        <v>7</v>
      </c>
      <c r="C1308" t="s">
        <v>30</v>
      </c>
      <c r="E1308" t="s">
        <v>41</v>
      </c>
      <c r="F1308" t="s">
        <v>10</v>
      </c>
    </row>
    <row r="1309" spans="1:6" hidden="1" x14ac:dyDescent="0.35">
      <c r="A1309" t="s">
        <v>67</v>
      </c>
      <c r="B1309" t="s">
        <v>7</v>
      </c>
      <c r="C1309" t="s">
        <v>30</v>
      </c>
      <c r="E1309" t="s">
        <v>41</v>
      </c>
      <c r="F1309" t="s">
        <v>10</v>
      </c>
    </row>
    <row r="1310" spans="1:6" hidden="1" x14ac:dyDescent="0.35">
      <c r="A1310" t="s">
        <v>57</v>
      </c>
      <c r="B1310" t="s">
        <v>7</v>
      </c>
      <c r="C1310" t="s">
        <v>52</v>
      </c>
      <c r="E1310" t="s">
        <v>41</v>
      </c>
      <c r="F1310" t="s">
        <v>10</v>
      </c>
    </row>
    <row r="1311" spans="1:6" hidden="1" x14ac:dyDescent="0.35">
      <c r="A1311" t="s">
        <v>11</v>
      </c>
      <c r="B1311" t="s">
        <v>7</v>
      </c>
      <c r="C1311" t="s">
        <v>52</v>
      </c>
      <c r="E1311" t="s">
        <v>41</v>
      </c>
      <c r="F1311" t="s">
        <v>10</v>
      </c>
    </row>
    <row r="1312" spans="1:6" hidden="1" x14ac:dyDescent="0.35">
      <c r="A1312" t="s">
        <v>58</v>
      </c>
      <c r="B1312" t="s">
        <v>7</v>
      </c>
      <c r="C1312" t="s">
        <v>52</v>
      </c>
      <c r="E1312" t="s">
        <v>41</v>
      </c>
      <c r="F1312" t="s">
        <v>10</v>
      </c>
    </row>
    <row r="1313" spans="1:6" hidden="1" x14ac:dyDescent="0.35">
      <c r="A1313" t="s">
        <v>59</v>
      </c>
      <c r="B1313" t="s">
        <v>7</v>
      </c>
      <c r="C1313" t="s">
        <v>52</v>
      </c>
      <c r="E1313" t="s">
        <v>41</v>
      </c>
      <c r="F1313" t="s">
        <v>10</v>
      </c>
    </row>
    <row r="1314" spans="1:6" hidden="1" x14ac:dyDescent="0.35">
      <c r="A1314" t="s">
        <v>60</v>
      </c>
      <c r="B1314" t="s">
        <v>7</v>
      </c>
      <c r="C1314" t="s">
        <v>52</v>
      </c>
      <c r="E1314" t="s">
        <v>41</v>
      </c>
      <c r="F1314" t="s">
        <v>10</v>
      </c>
    </row>
    <row r="1315" spans="1:6" hidden="1" x14ac:dyDescent="0.35">
      <c r="A1315" t="s">
        <v>61</v>
      </c>
      <c r="B1315" t="s">
        <v>7</v>
      </c>
      <c r="C1315" t="s">
        <v>52</v>
      </c>
      <c r="E1315" t="s">
        <v>41</v>
      </c>
      <c r="F1315" t="s">
        <v>10</v>
      </c>
    </row>
    <row r="1316" spans="1:6" hidden="1" x14ac:dyDescent="0.35">
      <c r="A1316" t="s">
        <v>62</v>
      </c>
      <c r="B1316" t="s">
        <v>7</v>
      </c>
      <c r="C1316" t="s">
        <v>52</v>
      </c>
      <c r="E1316" t="s">
        <v>41</v>
      </c>
      <c r="F1316" t="s">
        <v>10</v>
      </c>
    </row>
    <row r="1317" spans="1:6" hidden="1" x14ac:dyDescent="0.35">
      <c r="A1317" t="s">
        <v>63</v>
      </c>
      <c r="B1317" t="s">
        <v>7</v>
      </c>
      <c r="C1317" t="s">
        <v>52</v>
      </c>
      <c r="E1317" t="s">
        <v>41</v>
      </c>
      <c r="F1317" t="s">
        <v>10</v>
      </c>
    </row>
    <row r="1318" spans="1:6" hidden="1" x14ac:dyDescent="0.35">
      <c r="A1318" t="s">
        <v>64</v>
      </c>
      <c r="B1318" t="s">
        <v>7</v>
      </c>
      <c r="C1318" t="s">
        <v>52</v>
      </c>
      <c r="E1318" t="s">
        <v>41</v>
      </c>
      <c r="F1318" t="s">
        <v>10</v>
      </c>
    </row>
    <row r="1319" spans="1:6" hidden="1" x14ac:dyDescent="0.35">
      <c r="A1319" t="s">
        <v>65</v>
      </c>
      <c r="B1319" t="s">
        <v>7</v>
      </c>
      <c r="C1319" t="s">
        <v>52</v>
      </c>
      <c r="E1319" t="s">
        <v>41</v>
      </c>
      <c r="F1319" t="s">
        <v>10</v>
      </c>
    </row>
    <row r="1320" spans="1:6" hidden="1" x14ac:dyDescent="0.35">
      <c r="A1320" t="s">
        <v>66</v>
      </c>
      <c r="B1320" t="s">
        <v>7</v>
      </c>
      <c r="C1320" t="s">
        <v>52</v>
      </c>
      <c r="E1320" t="s">
        <v>41</v>
      </c>
      <c r="F1320" t="s">
        <v>10</v>
      </c>
    </row>
    <row r="1321" spans="1:6" hidden="1" x14ac:dyDescent="0.35">
      <c r="A1321" t="s">
        <v>67</v>
      </c>
      <c r="B1321" t="s">
        <v>7</v>
      </c>
      <c r="C1321" t="s">
        <v>52</v>
      </c>
      <c r="E1321" t="s">
        <v>41</v>
      </c>
      <c r="F1321" t="s">
        <v>10</v>
      </c>
    </row>
    <row r="1322" spans="1:6" hidden="1" x14ac:dyDescent="0.35">
      <c r="A1322" t="s">
        <v>57</v>
      </c>
      <c r="B1322" t="s">
        <v>32</v>
      </c>
      <c r="C1322" t="s">
        <v>44</v>
      </c>
      <c r="E1322" t="s">
        <v>41</v>
      </c>
      <c r="F1322" t="s">
        <v>10</v>
      </c>
    </row>
    <row r="1323" spans="1:6" hidden="1" x14ac:dyDescent="0.35">
      <c r="A1323" t="s">
        <v>11</v>
      </c>
      <c r="B1323" t="s">
        <v>32</v>
      </c>
      <c r="C1323" t="s">
        <v>44</v>
      </c>
      <c r="E1323" t="s">
        <v>41</v>
      </c>
      <c r="F1323" t="s">
        <v>10</v>
      </c>
    </row>
    <row r="1324" spans="1:6" hidden="1" x14ac:dyDescent="0.35">
      <c r="A1324" t="s">
        <v>58</v>
      </c>
      <c r="B1324" t="s">
        <v>32</v>
      </c>
      <c r="C1324" t="s">
        <v>44</v>
      </c>
      <c r="E1324" t="s">
        <v>41</v>
      </c>
      <c r="F1324" t="s">
        <v>10</v>
      </c>
    </row>
    <row r="1325" spans="1:6" hidden="1" x14ac:dyDescent="0.35">
      <c r="A1325" t="s">
        <v>59</v>
      </c>
      <c r="B1325" t="s">
        <v>32</v>
      </c>
      <c r="C1325" t="s">
        <v>44</v>
      </c>
      <c r="E1325" t="s">
        <v>41</v>
      </c>
      <c r="F1325" t="s">
        <v>10</v>
      </c>
    </row>
    <row r="1326" spans="1:6" hidden="1" x14ac:dyDescent="0.35">
      <c r="A1326" t="s">
        <v>60</v>
      </c>
      <c r="B1326" t="s">
        <v>32</v>
      </c>
      <c r="C1326" t="s">
        <v>44</v>
      </c>
      <c r="E1326" t="s">
        <v>41</v>
      </c>
      <c r="F1326" t="s">
        <v>10</v>
      </c>
    </row>
    <row r="1327" spans="1:6" hidden="1" x14ac:dyDescent="0.35">
      <c r="A1327" t="s">
        <v>61</v>
      </c>
      <c r="B1327" t="s">
        <v>32</v>
      </c>
      <c r="C1327" t="s">
        <v>44</v>
      </c>
      <c r="E1327" t="s">
        <v>41</v>
      </c>
      <c r="F1327" t="s">
        <v>10</v>
      </c>
    </row>
    <row r="1328" spans="1:6" hidden="1" x14ac:dyDescent="0.35">
      <c r="A1328" t="s">
        <v>62</v>
      </c>
      <c r="B1328" t="s">
        <v>32</v>
      </c>
      <c r="C1328" t="s">
        <v>44</v>
      </c>
      <c r="E1328" t="s">
        <v>41</v>
      </c>
      <c r="F1328" t="s">
        <v>10</v>
      </c>
    </row>
    <row r="1329" spans="1:6" hidden="1" x14ac:dyDescent="0.35">
      <c r="A1329" t="s">
        <v>63</v>
      </c>
      <c r="B1329" t="s">
        <v>32</v>
      </c>
      <c r="C1329" t="s">
        <v>44</v>
      </c>
      <c r="E1329" t="s">
        <v>41</v>
      </c>
      <c r="F1329" t="s">
        <v>10</v>
      </c>
    </row>
    <row r="1330" spans="1:6" hidden="1" x14ac:dyDescent="0.35">
      <c r="A1330" t="s">
        <v>64</v>
      </c>
      <c r="B1330" t="s">
        <v>32</v>
      </c>
      <c r="C1330" t="s">
        <v>44</v>
      </c>
      <c r="E1330" t="s">
        <v>41</v>
      </c>
      <c r="F1330" t="s">
        <v>10</v>
      </c>
    </row>
    <row r="1331" spans="1:6" hidden="1" x14ac:dyDescent="0.35">
      <c r="A1331" t="s">
        <v>65</v>
      </c>
      <c r="B1331" t="s">
        <v>32</v>
      </c>
      <c r="C1331" t="s">
        <v>44</v>
      </c>
      <c r="E1331" t="s">
        <v>41</v>
      </c>
      <c r="F1331" t="s">
        <v>10</v>
      </c>
    </row>
    <row r="1332" spans="1:6" hidden="1" x14ac:dyDescent="0.35">
      <c r="A1332" t="s">
        <v>66</v>
      </c>
      <c r="B1332" t="s">
        <v>32</v>
      </c>
      <c r="C1332" t="s">
        <v>44</v>
      </c>
      <c r="E1332" t="s">
        <v>41</v>
      </c>
      <c r="F1332" t="s">
        <v>10</v>
      </c>
    </row>
    <row r="1333" spans="1:6" hidden="1" x14ac:dyDescent="0.35">
      <c r="A1333" t="s">
        <v>67</v>
      </c>
      <c r="B1333" t="s">
        <v>32</v>
      </c>
      <c r="C1333" t="s">
        <v>44</v>
      </c>
      <c r="E1333" t="s">
        <v>41</v>
      </c>
      <c r="F1333" t="s">
        <v>10</v>
      </c>
    </row>
    <row r="1334" spans="1:6" hidden="1" x14ac:dyDescent="0.35">
      <c r="A1334" t="s">
        <v>57</v>
      </c>
      <c r="B1334" t="s">
        <v>32</v>
      </c>
      <c r="C1334" t="s">
        <v>22</v>
      </c>
      <c r="D1334">
        <v>0</v>
      </c>
      <c r="E1334" t="s">
        <v>41</v>
      </c>
      <c r="F1334" t="s">
        <v>10</v>
      </c>
    </row>
    <row r="1335" spans="1:6" hidden="1" x14ac:dyDescent="0.35">
      <c r="A1335" t="s">
        <v>11</v>
      </c>
      <c r="B1335" t="s">
        <v>32</v>
      </c>
      <c r="C1335" t="s">
        <v>22</v>
      </c>
      <c r="D1335">
        <v>0</v>
      </c>
      <c r="E1335" t="s">
        <v>41</v>
      </c>
      <c r="F1335" t="s">
        <v>10</v>
      </c>
    </row>
    <row r="1336" spans="1:6" hidden="1" x14ac:dyDescent="0.35">
      <c r="A1336" t="s">
        <v>58</v>
      </c>
      <c r="B1336" t="s">
        <v>32</v>
      </c>
      <c r="C1336" t="s">
        <v>22</v>
      </c>
      <c r="D1336">
        <v>0</v>
      </c>
      <c r="E1336" t="s">
        <v>41</v>
      </c>
      <c r="F1336" t="s">
        <v>10</v>
      </c>
    </row>
    <row r="1337" spans="1:6" hidden="1" x14ac:dyDescent="0.35">
      <c r="A1337" t="s">
        <v>59</v>
      </c>
      <c r="B1337" t="s">
        <v>32</v>
      </c>
      <c r="C1337" t="s">
        <v>22</v>
      </c>
      <c r="D1337">
        <v>0</v>
      </c>
      <c r="E1337" t="s">
        <v>41</v>
      </c>
      <c r="F1337" t="s">
        <v>10</v>
      </c>
    </row>
    <row r="1338" spans="1:6" hidden="1" x14ac:dyDescent="0.35">
      <c r="A1338" t="s">
        <v>60</v>
      </c>
      <c r="B1338" t="s">
        <v>32</v>
      </c>
      <c r="C1338" t="s">
        <v>22</v>
      </c>
      <c r="D1338">
        <v>0</v>
      </c>
      <c r="E1338" t="s">
        <v>41</v>
      </c>
      <c r="F1338" t="s">
        <v>10</v>
      </c>
    </row>
    <row r="1339" spans="1:6" hidden="1" x14ac:dyDescent="0.35">
      <c r="A1339" t="s">
        <v>61</v>
      </c>
      <c r="B1339" t="s">
        <v>32</v>
      </c>
      <c r="C1339" t="s">
        <v>22</v>
      </c>
      <c r="D1339">
        <v>0</v>
      </c>
      <c r="E1339" t="s">
        <v>41</v>
      </c>
      <c r="F1339" t="s">
        <v>10</v>
      </c>
    </row>
    <row r="1340" spans="1:6" hidden="1" x14ac:dyDescent="0.35">
      <c r="A1340" t="s">
        <v>62</v>
      </c>
      <c r="B1340" t="s">
        <v>32</v>
      </c>
      <c r="C1340" t="s">
        <v>22</v>
      </c>
      <c r="D1340">
        <v>0</v>
      </c>
      <c r="E1340" t="s">
        <v>41</v>
      </c>
      <c r="F1340" t="s">
        <v>10</v>
      </c>
    </row>
    <row r="1341" spans="1:6" hidden="1" x14ac:dyDescent="0.35">
      <c r="A1341" t="s">
        <v>63</v>
      </c>
      <c r="B1341" t="s">
        <v>32</v>
      </c>
      <c r="C1341" t="s">
        <v>22</v>
      </c>
      <c r="D1341">
        <v>0</v>
      </c>
      <c r="E1341" t="s">
        <v>41</v>
      </c>
      <c r="F1341" t="s">
        <v>10</v>
      </c>
    </row>
    <row r="1342" spans="1:6" hidden="1" x14ac:dyDescent="0.35">
      <c r="A1342" t="s">
        <v>64</v>
      </c>
      <c r="B1342" t="s">
        <v>32</v>
      </c>
      <c r="C1342" t="s">
        <v>22</v>
      </c>
      <c r="D1342">
        <v>0</v>
      </c>
      <c r="E1342" t="s">
        <v>41</v>
      </c>
      <c r="F1342" t="s">
        <v>10</v>
      </c>
    </row>
    <row r="1343" spans="1:6" hidden="1" x14ac:dyDescent="0.35">
      <c r="A1343" t="s">
        <v>65</v>
      </c>
      <c r="B1343" t="s">
        <v>32</v>
      </c>
      <c r="C1343" t="s">
        <v>22</v>
      </c>
      <c r="D1343">
        <v>0</v>
      </c>
      <c r="E1343" t="s">
        <v>41</v>
      </c>
      <c r="F1343" t="s">
        <v>10</v>
      </c>
    </row>
    <row r="1344" spans="1:6" hidden="1" x14ac:dyDescent="0.35">
      <c r="A1344" t="s">
        <v>66</v>
      </c>
      <c r="B1344" t="s">
        <v>32</v>
      </c>
      <c r="C1344" t="s">
        <v>22</v>
      </c>
      <c r="D1344">
        <v>0</v>
      </c>
      <c r="E1344" t="s">
        <v>41</v>
      </c>
      <c r="F1344" t="s">
        <v>10</v>
      </c>
    </row>
    <row r="1345" spans="1:6" hidden="1" x14ac:dyDescent="0.35">
      <c r="A1345" t="s">
        <v>67</v>
      </c>
      <c r="B1345" t="s">
        <v>32</v>
      </c>
      <c r="C1345" t="s">
        <v>22</v>
      </c>
      <c r="D1345">
        <v>0</v>
      </c>
      <c r="E1345" t="s">
        <v>41</v>
      </c>
      <c r="F1345" t="s">
        <v>10</v>
      </c>
    </row>
    <row r="1346" spans="1:6" hidden="1" x14ac:dyDescent="0.35">
      <c r="A1346" t="s">
        <v>57</v>
      </c>
      <c r="B1346" t="s">
        <v>32</v>
      </c>
      <c r="C1346" t="s">
        <v>46</v>
      </c>
      <c r="E1346" t="s">
        <v>41</v>
      </c>
      <c r="F1346" t="s">
        <v>10</v>
      </c>
    </row>
    <row r="1347" spans="1:6" hidden="1" x14ac:dyDescent="0.35">
      <c r="A1347" t="s">
        <v>11</v>
      </c>
      <c r="B1347" t="s">
        <v>32</v>
      </c>
      <c r="C1347" t="s">
        <v>46</v>
      </c>
      <c r="E1347" t="s">
        <v>41</v>
      </c>
      <c r="F1347" t="s">
        <v>10</v>
      </c>
    </row>
    <row r="1348" spans="1:6" hidden="1" x14ac:dyDescent="0.35">
      <c r="A1348" t="s">
        <v>58</v>
      </c>
      <c r="B1348" t="s">
        <v>32</v>
      </c>
      <c r="C1348" t="s">
        <v>46</v>
      </c>
      <c r="E1348" t="s">
        <v>41</v>
      </c>
      <c r="F1348" t="s">
        <v>10</v>
      </c>
    </row>
    <row r="1349" spans="1:6" hidden="1" x14ac:dyDescent="0.35">
      <c r="A1349" t="s">
        <v>59</v>
      </c>
      <c r="B1349" t="s">
        <v>32</v>
      </c>
      <c r="C1349" t="s">
        <v>46</v>
      </c>
      <c r="E1349" t="s">
        <v>41</v>
      </c>
      <c r="F1349" t="s">
        <v>10</v>
      </c>
    </row>
    <row r="1350" spans="1:6" hidden="1" x14ac:dyDescent="0.35">
      <c r="A1350" t="s">
        <v>60</v>
      </c>
      <c r="B1350" t="s">
        <v>32</v>
      </c>
      <c r="C1350" t="s">
        <v>46</v>
      </c>
      <c r="E1350" t="s">
        <v>41</v>
      </c>
      <c r="F1350" t="s">
        <v>10</v>
      </c>
    </row>
    <row r="1351" spans="1:6" hidden="1" x14ac:dyDescent="0.35">
      <c r="A1351" t="s">
        <v>61</v>
      </c>
      <c r="B1351" t="s">
        <v>32</v>
      </c>
      <c r="C1351" t="s">
        <v>46</v>
      </c>
      <c r="E1351" t="s">
        <v>41</v>
      </c>
      <c r="F1351" t="s">
        <v>10</v>
      </c>
    </row>
    <row r="1352" spans="1:6" hidden="1" x14ac:dyDescent="0.35">
      <c r="A1352" t="s">
        <v>62</v>
      </c>
      <c r="B1352" t="s">
        <v>32</v>
      </c>
      <c r="C1352" t="s">
        <v>46</v>
      </c>
      <c r="E1352" t="s">
        <v>41</v>
      </c>
      <c r="F1352" t="s">
        <v>10</v>
      </c>
    </row>
    <row r="1353" spans="1:6" hidden="1" x14ac:dyDescent="0.35">
      <c r="A1353" t="s">
        <v>63</v>
      </c>
      <c r="B1353" t="s">
        <v>32</v>
      </c>
      <c r="C1353" t="s">
        <v>46</v>
      </c>
      <c r="E1353" t="s">
        <v>41</v>
      </c>
      <c r="F1353" t="s">
        <v>10</v>
      </c>
    </row>
    <row r="1354" spans="1:6" hidden="1" x14ac:dyDescent="0.35">
      <c r="A1354" t="s">
        <v>64</v>
      </c>
      <c r="B1354" t="s">
        <v>32</v>
      </c>
      <c r="C1354" t="s">
        <v>46</v>
      </c>
      <c r="E1354" t="s">
        <v>41</v>
      </c>
      <c r="F1354" t="s">
        <v>10</v>
      </c>
    </row>
    <row r="1355" spans="1:6" hidden="1" x14ac:dyDescent="0.35">
      <c r="A1355" t="s">
        <v>65</v>
      </c>
      <c r="B1355" t="s">
        <v>32</v>
      </c>
      <c r="C1355" t="s">
        <v>46</v>
      </c>
      <c r="E1355" t="s">
        <v>41</v>
      </c>
      <c r="F1355" t="s">
        <v>10</v>
      </c>
    </row>
    <row r="1356" spans="1:6" hidden="1" x14ac:dyDescent="0.35">
      <c r="A1356" t="s">
        <v>66</v>
      </c>
      <c r="B1356" t="s">
        <v>32</v>
      </c>
      <c r="C1356" t="s">
        <v>46</v>
      </c>
      <c r="E1356" t="s">
        <v>41</v>
      </c>
      <c r="F1356" t="s">
        <v>10</v>
      </c>
    </row>
    <row r="1357" spans="1:6" hidden="1" x14ac:dyDescent="0.35">
      <c r="A1357" t="s">
        <v>67</v>
      </c>
      <c r="B1357" t="s">
        <v>32</v>
      </c>
      <c r="C1357" t="s">
        <v>46</v>
      </c>
      <c r="E1357" t="s">
        <v>41</v>
      </c>
      <c r="F1357" t="s">
        <v>10</v>
      </c>
    </row>
    <row r="1358" spans="1:6" hidden="1" x14ac:dyDescent="0.35">
      <c r="A1358" t="s">
        <v>57</v>
      </c>
      <c r="B1358" t="s">
        <v>32</v>
      </c>
      <c r="C1358" t="s">
        <v>24</v>
      </c>
      <c r="D1358">
        <v>0</v>
      </c>
      <c r="E1358" t="s">
        <v>41</v>
      </c>
      <c r="F1358" t="s">
        <v>10</v>
      </c>
    </row>
    <row r="1359" spans="1:6" hidden="1" x14ac:dyDescent="0.35">
      <c r="A1359" t="s">
        <v>11</v>
      </c>
      <c r="B1359" t="s">
        <v>32</v>
      </c>
      <c r="C1359" t="s">
        <v>24</v>
      </c>
      <c r="D1359">
        <v>0</v>
      </c>
      <c r="E1359" t="s">
        <v>41</v>
      </c>
      <c r="F1359" t="s">
        <v>10</v>
      </c>
    </row>
    <row r="1360" spans="1:6" hidden="1" x14ac:dyDescent="0.35">
      <c r="A1360" t="s">
        <v>58</v>
      </c>
      <c r="B1360" t="s">
        <v>32</v>
      </c>
      <c r="C1360" t="s">
        <v>24</v>
      </c>
      <c r="D1360">
        <v>0</v>
      </c>
      <c r="E1360" t="s">
        <v>41</v>
      </c>
      <c r="F1360" t="s">
        <v>10</v>
      </c>
    </row>
    <row r="1361" spans="1:6" hidden="1" x14ac:dyDescent="0.35">
      <c r="A1361" t="s">
        <v>59</v>
      </c>
      <c r="B1361" t="s">
        <v>32</v>
      </c>
      <c r="C1361" t="s">
        <v>24</v>
      </c>
      <c r="D1361">
        <v>0</v>
      </c>
      <c r="E1361" t="s">
        <v>41</v>
      </c>
      <c r="F1361" t="s">
        <v>10</v>
      </c>
    </row>
    <row r="1362" spans="1:6" hidden="1" x14ac:dyDescent="0.35">
      <c r="A1362" t="s">
        <v>60</v>
      </c>
      <c r="B1362" t="s">
        <v>32</v>
      </c>
      <c r="C1362" t="s">
        <v>24</v>
      </c>
      <c r="D1362">
        <v>0</v>
      </c>
      <c r="E1362" t="s">
        <v>41</v>
      </c>
      <c r="F1362" t="s">
        <v>10</v>
      </c>
    </row>
    <row r="1363" spans="1:6" hidden="1" x14ac:dyDescent="0.35">
      <c r="A1363" t="s">
        <v>61</v>
      </c>
      <c r="B1363" t="s">
        <v>32</v>
      </c>
      <c r="C1363" t="s">
        <v>24</v>
      </c>
      <c r="D1363">
        <v>0</v>
      </c>
      <c r="E1363" t="s">
        <v>41</v>
      </c>
      <c r="F1363" t="s">
        <v>10</v>
      </c>
    </row>
    <row r="1364" spans="1:6" hidden="1" x14ac:dyDescent="0.35">
      <c r="A1364" t="s">
        <v>62</v>
      </c>
      <c r="B1364" t="s">
        <v>32</v>
      </c>
      <c r="C1364" t="s">
        <v>24</v>
      </c>
      <c r="D1364">
        <v>0</v>
      </c>
      <c r="E1364" t="s">
        <v>41</v>
      </c>
      <c r="F1364" t="s">
        <v>10</v>
      </c>
    </row>
    <row r="1365" spans="1:6" hidden="1" x14ac:dyDescent="0.35">
      <c r="A1365" t="s">
        <v>63</v>
      </c>
      <c r="B1365" t="s">
        <v>32</v>
      </c>
      <c r="C1365" t="s">
        <v>24</v>
      </c>
      <c r="D1365">
        <v>0</v>
      </c>
      <c r="E1365" t="s">
        <v>41</v>
      </c>
      <c r="F1365" t="s">
        <v>10</v>
      </c>
    </row>
    <row r="1366" spans="1:6" hidden="1" x14ac:dyDescent="0.35">
      <c r="A1366" t="s">
        <v>64</v>
      </c>
      <c r="B1366" t="s">
        <v>32</v>
      </c>
      <c r="C1366" t="s">
        <v>24</v>
      </c>
      <c r="D1366">
        <v>0</v>
      </c>
      <c r="E1366" t="s">
        <v>41</v>
      </c>
      <c r="F1366" t="s">
        <v>10</v>
      </c>
    </row>
    <row r="1367" spans="1:6" hidden="1" x14ac:dyDescent="0.35">
      <c r="A1367" t="s">
        <v>65</v>
      </c>
      <c r="B1367" t="s">
        <v>32</v>
      </c>
      <c r="C1367" t="s">
        <v>24</v>
      </c>
      <c r="D1367">
        <v>0</v>
      </c>
      <c r="E1367" t="s">
        <v>41</v>
      </c>
      <c r="F1367" t="s">
        <v>10</v>
      </c>
    </row>
    <row r="1368" spans="1:6" hidden="1" x14ac:dyDescent="0.35">
      <c r="A1368" t="s">
        <v>66</v>
      </c>
      <c r="B1368" t="s">
        <v>32</v>
      </c>
      <c r="C1368" t="s">
        <v>24</v>
      </c>
      <c r="D1368">
        <v>0</v>
      </c>
      <c r="E1368" t="s">
        <v>41</v>
      </c>
      <c r="F1368" t="s">
        <v>10</v>
      </c>
    </row>
    <row r="1369" spans="1:6" hidden="1" x14ac:dyDescent="0.35">
      <c r="A1369" t="s">
        <v>67</v>
      </c>
      <c r="B1369" t="s">
        <v>32</v>
      </c>
      <c r="C1369" t="s">
        <v>24</v>
      </c>
      <c r="D1369">
        <v>0</v>
      </c>
      <c r="E1369" t="s">
        <v>41</v>
      </c>
      <c r="F1369" t="s">
        <v>10</v>
      </c>
    </row>
    <row r="1370" spans="1:6" hidden="1" x14ac:dyDescent="0.35">
      <c r="A1370" t="s">
        <v>57</v>
      </c>
      <c r="B1370" t="s">
        <v>32</v>
      </c>
      <c r="C1370" t="s">
        <v>47</v>
      </c>
      <c r="E1370" t="s">
        <v>41</v>
      </c>
      <c r="F1370" t="s">
        <v>10</v>
      </c>
    </row>
    <row r="1371" spans="1:6" hidden="1" x14ac:dyDescent="0.35">
      <c r="A1371" t="s">
        <v>11</v>
      </c>
      <c r="B1371" t="s">
        <v>32</v>
      </c>
      <c r="C1371" t="s">
        <v>47</v>
      </c>
      <c r="E1371" t="s">
        <v>41</v>
      </c>
      <c r="F1371" t="s">
        <v>10</v>
      </c>
    </row>
    <row r="1372" spans="1:6" hidden="1" x14ac:dyDescent="0.35">
      <c r="A1372" t="s">
        <v>58</v>
      </c>
      <c r="B1372" t="s">
        <v>32</v>
      </c>
      <c r="C1372" t="s">
        <v>47</v>
      </c>
      <c r="E1372" t="s">
        <v>41</v>
      </c>
      <c r="F1372" t="s">
        <v>10</v>
      </c>
    </row>
    <row r="1373" spans="1:6" hidden="1" x14ac:dyDescent="0.35">
      <c r="A1373" t="s">
        <v>59</v>
      </c>
      <c r="B1373" t="s">
        <v>32</v>
      </c>
      <c r="C1373" t="s">
        <v>47</v>
      </c>
      <c r="E1373" t="s">
        <v>41</v>
      </c>
      <c r="F1373" t="s">
        <v>10</v>
      </c>
    </row>
    <row r="1374" spans="1:6" hidden="1" x14ac:dyDescent="0.35">
      <c r="A1374" t="s">
        <v>60</v>
      </c>
      <c r="B1374" t="s">
        <v>32</v>
      </c>
      <c r="C1374" t="s">
        <v>47</v>
      </c>
      <c r="E1374" t="s">
        <v>41</v>
      </c>
      <c r="F1374" t="s">
        <v>10</v>
      </c>
    </row>
    <row r="1375" spans="1:6" hidden="1" x14ac:dyDescent="0.35">
      <c r="A1375" t="s">
        <v>61</v>
      </c>
      <c r="B1375" t="s">
        <v>32</v>
      </c>
      <c r="C1375" t="s">
        <v>47</v>
      </c>
      <c r="E1375" t="s">
        <v>41</v>
      </c>
      <c r="F1375" t="s">
        <v>10</v>
      </c>
    </row>
    <row r="1376" spans="1:6" hidden="1" x14ac:dyDescent="0.35">
      <c r="A1376" t="s">
        <v>62</v>
      </c>
      <c r="B1376" t="s">
        <v>32</v>
      </c>
      <c r="C1376" t="s">
        <v>47</v>
      </c>
      <c r="E1376" t="s">
        <v>41</v>
      </c>
      <c r="F1376" t="s">
        <v>10</v>
      </c>
    </row>
    <row r="1377" spans="1:6" hidden="1" x14ac:dyDescent="0.35">
      <c r="A1377" t="s">
        <v>63</v>
      </c>
      <c r="B1377" t="s">
        <v>32</v>
      </c>
      <c r="C1377" t="s">
        <v>47</v>
      </c>
      <c r="E1377" t="s">
        <v>41</v>
      </c>
      <c r="F1377" t="s">
        <v>10</v>
      </c>
    </row>
    <row r="1378" spans="1:6" hidden="1" x14ac:dyDescent="0.35">
      <c r="A1378" t="s">
        <v>64</v>
      </c>
      <c r="B1378" t="s">
        <v>32</v>
      </c>
      <c r="C1378" t="s">
        <v>47</v>
      </c>
      <c r="E1378" t="s">
        <v>41</v>
      </c>
      <c r="F1378" t="s">
        <v>10</v>
      </c>
    </row>
    <row r="1379" spans="1:6" hidden="1" x14ac:dyDescent="0.35">
      <c r="A1379" t="s">
        <v>65</v>
      </c>
      <c r="B1379" t="s">
        <v>32</v>
      </c>
      <c r="C1379" t="s">
        <v>47</v>
      </c>
      <c r="E1379" t="s">
        <v>41</v>
      </c>
      <c r="F1379" t="s">
        <v>10</v>
      </c>
    </row>
    <row r="1380" spans="1:6" hidden="1" x14ac:dyDescent="0.35">
      <c r="A1380" t="s">
        <v>66</v>
      </c>
      <c r="B1380" t="s">
        <v>32</v>
      </c>
      <c r="C1380" t="s">
        <v>47</v>
      </c>
      <c r="E1380" t="s">
        <v>41</v>
      </c>
      <c r="F1380" t="s">
        <v>10</v>
      </c>
    </row>
    <row r="1381" spans="1:6" hidden="1" x14ac:dyDescent="0.35">
      <c r="A1381" t="s">
        <v>67</v>
      </c>
      <c r="B1381" t="s">
        <v>32</v>
      </c>
      <c r="C1381" t="s">
        <v>47</v>
      </c>
      <c r="E1381" t="s">
        <v>41</v>
      </c>
      <c r="F1381" t="s">
        <v>10</v>
      </c>
    </row>
    <row r="1382" spans="1:6" hidden="1" x14ac:dyDescent="0.35">
      <c r="A1382" t="s">
        <v>57</v>
      </c>
      <c r="B1382" t="s">
        <v>32</v>
      </c>
      <c r="C1382" t="s">
        <v>48</v>
      </c>
      <c r="D1382">
        <v>0</v>
      </c>
      <c r="E1382" t="s">
        <v>41</v>
      </c>
      <c r="F1382" t="s">
        <v>10</v>
      </c>
    </row>
    <row r="1383" spans="1:6" hidden="1" x14ac:dyDescent="0.35">
      <c r="A1383" t="s">
        <v>11</v>
      </c>
      <c r="B1383" t="s">
        <v>32</v>
      </c>
      <c r="C1383" t="s">
        <v>48</v>
      </c>
      <c r="D1383">
        <v>0</v>
      </c>
      <c r="E1383" t="s">
        <v>41</v>
      </c>
      <c r="F1383" t="s">
        <v>10</v>
      </c>
    </row>
    <row r="1384" spans="1:6" hidden="1" x14ac:dyDescent="0.35">
      <c r="A1384" t="s">
        <v>58</v>
      </c>
      <c r="B1384" t="s">
        <v>32</v>
      </c>
      <c r="C1384" t="s">
        <v>48</v>
      </c>
      <c r="D1384">
        <v>0</v>
      </c>
      <c r="E1384" t="s">
        <v>41</v>
      </c>
      <c r="F1384" t="s">
        <v>10</v>
      </c>
    </row>
    <row r="1385" spans="1:6" hidden="1" x14ac:dyDescent="0.35">
      <c r="A1385" t="s">
        <v>59</v>
      </c>
      <c r="B1385" t="s">
        <v>32</v>
      </c>
      <c r="C1385" t="s">
        <v>48</v>
      </c>
      <c r="D1385">
        <v>0</v>
      </c>
      <c r="E1385" t="s">
        <v>41</v>
      </c>
      <c r="F1385" t="s">
        <v>10</v>
      </c>
    </row>
    <row r="1386" spans="1:6" hidden="1" x14ac:dyDescent="0.35">
      <c r="A1386" t="s">
        <v>60</v>
      </c>
      <c r="B1386" t="s">
        <v>32</v>
      </c>
      <c r="C1386" t="s">
        <v>48</v>
      </c>
      <c r="D1386">
        <v>0</v>
      </c>
      <c r="E1386" t="s">
        <v>41</v>
      </c>
      <c r="F1386" t="s">
        <v>10</v>
      </c>
    </row>
    <row r="1387" spans="1:6" hidden="1" x14ac:dyDescent="0.35">
      <c r="A1387" t="s">
        <v>61</v>
      </c>
      <c r="B1387" t="s">
        <v>32</v>
      </c>
      <c r="C1387" t="s">
        <v>48</v>
      </c>
      <c r="D1387">
        <v>0</v>
      </c>
      <c r="E1387" t="s">
        <v>41</v>
      </c>
      <c r="F1387" t="s">
        <v>10</v>
      </c>
    </row>
    <row r="1388" spans="1:6" hidden="1" x14ac:dyDescent="0.35">
      <c r="A1388" t="s">
        <v>62</v>
      </c>
      <c r="B1388" t="s">
        <v>32</v>
      </c>
      <c r="C1388" t="s">
        <v>48</v>
      </c>
      <c r="D1388">
        <v>0</v>
      </c>
      <c r="E1388" t="s">
        <v>41</v>
      </c>
      <c r="F1388" t="s">
        <v>10</v>
      </c>
    </row>
    <row r="1389" spans="1:6" hidden="1" x14ac:dyDescent="0.35">
      <c r="A1389" t="s">
        <v>63</v>
      </c>
      <c r="B1389" t="s">
        <v>32</v>
      </c>
      <c r="C1389" t="s">
        <v>48</v>
      </c>
      <c r="D1389">
        <v>0</v>
      </c>
      <c r="E1389" t="s">
        <v>41</v>
      </c>
      <c r="F1389" t="s">
        <v>10</v>
      </c>
    </row>
    <row r="1390" spans="1:6" hidden="1" x14ac:dyDescent="0.35">
      <c r="A1390" t="s">
        <v>64</v>
      </c>
      <c r="B1390" t="s">
        <v>32</v>
      </c>
      <c r="C1390" t="s">
        <v>48</v>
      </c>
      <c r="D1390">
        <v>0</v>
      </c>
      <c r="E1390" t="s">
        <v>41</v>
      </c>
      <c r="F1390" t="s">
        <v>10</v>
      </c>
    </row>
    <row r="1391" spans="1:6" hidden="1" x14ac:dyDescent="0.35">
      <c r="A1391" t="s">
        <v>65</v>
      </c>
      <c r="B1391" t="s">
        <v>32</v>
      </c>
      <c r="C1391" t="s">
        <v>48</v>
      </c>
      <c r="D1391">
        <v>0</v>
      </c>
      <c r="E1391" t="s">
        <v>41</v>
      </c>
      <c r="F1391" t="s">
        <v>10</v>
      </c>
    </row>
    <row r="1392" spans="1:6" hidden="1" x14ac:dyDescent="0.35">
      <c r="A1392" t="s">
        <v>66</v>
      </c>
      <c r="B1392" t="s">
        <v>32</v>
      </c>
      <c r="C1392" t="s">
        <v>48</v>
      </c>
      <c r="D1392">
        <v>0</v>
      </c>
      <c r="E1392" t="s">
        <v>41</v>
      </c>
      <c r="F1392" t="s">
        <v>10</v>
      </c>
    </row>
    <row r="1393" spans="1:6" hidden="1" x14ac:dyDescent="0.35">
      <c r="A1393" t="s">
        <v>67</v>
      </c>
      <c r="B1393" t="s">
        <v>32</v>
      </c>
      <c r="C1393" t="s">
        <v>48</v>
      </c>
      <c r="D1393">
        <v>0</v>
      </c>
      <c r="E1393" t="s">
        <v>41</v>
      </c>
      <c r="F1393" t="s">
        <v>10</v>
      </c>
    </row>
    <row r="1394" spans="1:6" hidden="1" x14ac:dyDescent="0.35">
      <c r="A1394" t="s">
        <v>57</v>
      </c>
      <c r="B1394" t="s">
        <v>32</v>
      </c>
      <c r="C1394" t="s">
        <v>49</v>
      </c>
      <c r="E1394" t="s">
        <v>41</v>
      </c>
      <c r="F1394" t="s">
        <v>10</v>
      </c>
    </row>
    <row r="1395" spans="1:6" hidden="1" x14ac:dyDescent="0.35">
      <c r="A1395" t="s">
        <v>11</v>
      </c>
      <c r="B1395" t="s">
        <v>32</v>
      </c>
      <c r="C1395" t="s">
        <v>49</v>
      </c>
      <c r="E1395" t="s">
        <v>41</v>
      </c>
      <c r="F1395" t="s">
        <v>10</v>
      </c>
    </row>
    <row r="1396" spans="1:6" hidden="1" x14ac:dyDescent="0.35">
      <c r="A1396" t="s">
        <v>58</v>
      </c>
      <c r="B1396" t="s">
        <v>32</v>
      </c>
      <c r="C1396" t="s">
        <v>49</v>
      </c>
      <c r="E1396" t="s">
        <v>41</v>
      </c>
      <c r="F1396" t="s">
        <v>10</v>
      </c>
    </row>
    <row r="1397" spans="1:6" hidden="1" x14ac:dyDescent="0.35">
      <c r="A1397" t="s">
        <v>59</v>
      </c>
      <c r="B1397" t="s">
        <v>32</v>
      </c>
      <c r="C1397" t="s">
        <v>49</v>
      </c>
      <c r="E1397" t="s">
        <v>41</v>
      </c>
      <c r="F1397" t="s">
        <v>10</v>
      </c>
    </row>
    <row r="1398" spans="1:6" hidden="1" x14ac:dyDescent="0.35">
      <c r="A1398" t="s">
        <v>60</v>
      </c>
      <c r="B1398" t="s">
        <v>32</v>
      </c>
      <c r="C1398" t="s">
        <v>49</v>
      </c>
      <c r="E1398" t="s">
        <v>41</v>
      </c>
      <c r="F1398" t="s">
        <v>10</v>
      </c>
    </row>
    <row r="1399" spans="1:6" hidden="1" x14ac:dyDescent="0.35">
      <c r="A1399" t="s">
        <v>61</v>
      </c>
      <c r="B1399" t="s">
        <v>32</v>
      </c>
      <c r="C1399" t="s">
        <v>49</v>
      </c>
      <c r="E1399" t="s">
        <v>41</v>
      </c>
      <c r="F1399" t="s">
        <v>10</v>
      </c>
    </row>
    <row r="1400" spans="1:6" hidden="1" x14ac:dyDescent="0.35">
      <c r="A1400" t="s">
        <v>62</v>
      </c>
      <c r="B1400" t="s">
        <v>32</v>
      </c>
      <c r="C1400" t="s">
        <v>49</v>
      </c>
      <c r="E1400" t="s">
        <v>41</v>
      </c>
      <c r="F1400" t="s">
        <v>10</v>
      </c>
    </row>
    <row r="1401" spans="1:6" hidden="1" x14ac:dyDescent="0.35">
      <c r="A1401" t="s">
        <v>63</v>
      </c>
      <c r="B1401" t="s">
        <v>32</v>
      </c>
      <c r="C1401" t="s">
        <v>49</v>
      </c>
      <c r="E1401" t="s">
        <v>41</v>
      </c>
      <c r="F1401" t="s">
        <v>10</v>
      </c>
    </row>
    <row r="1402" spans="1:6" hidden="1" x14ac:dyDescent="0.35">
      <c r="A1402" t="s">
        <v>64</v>
      </c>
      <c r="B1402" t="s">
        <v>32</v>
      </c>
      <c r="C1402" t="s">
        <v>49</v>
      </c>
      <c r="E1402" t="s">
        <v>41</v>
      </c>
      <c r="F1402" t="s">
        <v>10</v>
      </c>
    </row>
    <row r="1403" spans="1:6" hidden="1" x14ac:dyDescent="0.35">
      <c r="A1403" t="s">
        <v>65</v>
      </c>
      <c r="B1403" t="s">
        <v>32</v>
      </c>
      <c r="C1403" t="s">
        <v>49</v>
      </c>
      <c r="E1403" t="s">
        <v>41</v>
      </c>
      <c r="F1403" t="s">
        <v>10</v>
      </c>
    </row>
    <row r="1404" spans="1:6" hidden="1" x14ac:dyDescent="0.35">
      <c r="A1404" t="s">
        <v>66</v>
      </c>
      <c r="B1404" t="s">
        <v>32</v>
      </c>
      <c r="C1404" t="s">
        <v>49</v>
      </c>
      <c r="E1404" t="s">
        <v>41</v>
      </c>
      <c r="F1404" t="s">
        <v>10</v>
      </c>
    </row>
    <row r="1405" spans="1:6" hidden="1" x14ac:dyDescent="0.35">
      <c r="A1405" t="s">
        <v>67</v>
      </c>
      <c r="B1405" t="s">
        <v>32</v>
      </c>
      <c r="C1405" t="s">
        <v>49</v>
      </c>
      <c r="E1405" t="s">
        <v>41</v>
      </c>
      <c r="F1405" t="s">
        <v>10</v>
      </c>
    </row>
    <row r="1406" spans="1:6" hidden="1" x14ac:dyDescent="0.35">
      <c r="A1406" t="s">
        <v>57</v>
      </c>
      <c r="B1406" t="s">
        <v>32</v>
      </c>
      <c r="C1406" t="s">
        <v>50</v>
      </c>
      <c r="E1406" t="s">
        <v>41</v>
      </c>
      <c r="F1406" t="s">
        <v>10</v>
      </c>
    </row>
    <row r="1407" spans="1:6" hidden="1" x14ac:dyDescent="0.35">
      <c r="A1407" t="s">
        <v>11</v>
      </c>
      <c r="B1407" t="s">
        <v>32</v>
      </c>
      <c r="C1407" t="s">
        <v>50</v>
      </c>
      <c r="E1407" t="s">
        <v>41</v>
      </c>
      <c r="F1407" t="s">
        <v>10</v>
      </c>
    </row>
    <row r="1408" spans="1:6" hidden="1" x14ac:dyDescent="0.35">
      <c r="A1408" t="s">
        <v>58</v>
      </c>
      <c r="B1408" t="s">
        <v>32</v>
      </c>
      <c r="C1408" t="s">
        <v>50</v>
      </c>
      <c r="E1408" t="s">
        <v>41</v>
      </c>
      <c r="F1408" t="s">
        <v>10</v>
      </c>
    </row>
    <row r="1409" spans="1:6" hidden="1" x14ac:dyDescent="0.35">
      <c r="A1409" t="s">
        <v>59</v>
      </c>
      <c r="B1409" t="s">
        <v>32</v>
      </c>
      <c r="C1409" t="s">
        <v>50</v>
      </c>
      <c r="E1409" t="s">
        <v>41</v>
      </c>
      <c r="F1409" t="s">
        <v>10</v>
      </c>
    </row>
    <row r="1410" spans="1:6" hidden="1" x14ac:dyDescent="0.35">
      <c r="A1410" t="s">
        <v>60</v>
      </c>
      <c r="B1410" t="s">
        <v>32</v>
      </c>
      <c r="C1410" t="s">
        <v>50</v>
      </c>
      <c r="E1410" t="s">
        <v>41</v>
      </c>
      <c r="F1410" t="s">
        <v>10</v>
      </c>
    </row>
    <row r="1411" spans="1:6" hidden="1" x14ac:dyDescent="0.35">
      <c r="A1411" t="s">
        <v>61</v>
      </c>
      <c r="B1411" t="s">
        <v>32</v>
      </c>
      <c r="C1411" t="s">
        <v>50</v>
      </c>
      <c r="E1411" t="s">
        <v>41</v>
      </c>
      <c r="F1411" t="s">
        <v>10</v>
      </c>
    </row>
    <row r="1412" spans="1:6" hidden="1" x14ac:dyDescent="0.35">
      <c r="A1412" t="s">
        <v>62</v>
      </c>
      <c r="B1412" t="s">
        <v>32</v>
      </c>
      <c r="C1412" t="s">
        <v>50</v>
      </c>
      <c r="E1412" t="s">
        <v>41</v>
      </c>
      <c r="F1412" t="s">
        <v>10</v>
      </c>
    </row>
    <row r="1413" spans="1:6" hidden="1" x14ac:dyDescent="0.35">
      <c r="A1413" t="s">
        <v>63</v>
      </c>
      <c r="B1413" t="s">
        <v>32</v>
      </c>
      <c r="C1413" t="s">
        <v>50</v>
      </c>
      <c r="E1413" t="s">
        <v>41</v>
      </c>
      <c r="F1413" t="s">
        <v>10</v>
      </c>
    </row>
    <row r="1414" spans="1:6" hidden="1" x14ac:dyDescent="0.35">
      <c r="A1414" t="s">
        <v>64</v>
      </c>
      <c r="B1414" t="s">
        <v>32</v>
      </c>
      <c r="C1414" t="s">
        <v>50</v>
      </c>
      <c r="E1414" t="s">
        <v>41</v>
      </c>
      <c r="F1414" t="s">
        <v>10</v>
      </c>
    </row>
    <row r="1415" spans="1:6" hidden="1" x14ac:dyDescent="0.35">
      <c r="A1415" t="s">
        <v>65</v>
      </c>
      <c r="B1415" t="s">
        <v>32</v>
      </c>
      <c r="C1415" t="s">
        <v>50</v>
      </c>
      <c r="E1415" t="s">
        <v>41</v>
      </c>
      <c r="F1415" t="s">
        <v>10</v>
      </c>
    </row>
    <row r="1416" spans="1:6" hidden="1" x14ac:dyDescent="0.35">
      <c r="A1416" t="s">
        <v>66</v>
      </c>
      <c r="B1416" t="s">
        <v>32</v>
      </c>
      <c r="C1416" t="s">
        <v>50</v>
      </c>
      <c r="E1416" t="s">
        <v>41</v>
      </c>
      <c r="F1416" t="s">
        <v>10</v>
      </c>
    </row>
    <row r="1417" spans="1:6" hidden="1" x14ac:dyDescent="0.35">
      <c r="A1417" t="s">
        <v>67</v>
      </c>
      <c r="B1417" t="s">
        <v>32</v>
      </c>
      <c r="C1417" t="s">
        <v>50</v>
      </c>
      <c r="E1417" t="s">
        <v>41</v>
      </c>
      <c r="F1417" t="s">
        <v>10</v>
      </c>
    </row>
    <row r="1418" spans="1:6" hidden="1" x14ac:dyDescent="0.35">
      <c r="A1418" t="s">
        <v>57</v>
      </c>
      <c r="B1418" t="s">
        <v>32</v>
      </c>
      <c r="C1418" t="s">
        <v>51</v>
      </c>
      <c r="E1418" t="s">
        <v>41</v>
      </c>
      <c r="F1418" t="s">
        <v>10</v>
      </c>
    </row>
    <row r="1419" spans="1:6" hidden="1" x14ac:dyDescent="0.35">
      <c r="A1419" t="s">
        <v>11</v>
      </c>
      <c r="B1419" t="s">
        <v>32</v>
      </c>
      <c r="C1419" t="s">
        <v>51</v>
      </c>
      <c r="E1419" t="s">
        <v>41</v>
      </c>
      <c r="F1419" t="s">
        <v>10</v>
      </c>
    </row>
    <row r="1420" spans="1:6" hidden="1" x14ac:dyDescent="0.35">
      <c r="A1420" t="s">
        <v>58</v>
      </c>
      <c r="B1420" t="s">
        <v>32</v>
      </c>
      <c r="C1420" t="s">
        <v>51</v>
      </c>
      <c r="E1420" t="s">
        <v>41</v>
      </c>
      <c r="F1420" t="s">
        <v>10</v>
      </c>
    </row>
    <row r="1421" spans="1:6" hidden="1" x14ac:dyDescent="0.35">
      <c r="A1421" t="s">
        <v>59</v>
      </c>
      <c r="B1421" t="s">
        <v>32</v>
      </c>
      <c r="C1421" t="s">
        <v>51</v>
      </c>
      <c r="E1421" t="s">
        <v>41</v>
      </c>
      <c r="F1421" t="s">
        <v>10</v>
      </c>
    </row>
    <row r="1422" spans="1:6" hidden="1" x14ac:dyDescent="0.35">
      <c r="A1422" t="s">
        <v>60</v>
      </c>
      <c r="B1422" t="s">
        <v>32</v>
      </c>
      <c r="C1422" t="s">
        <v>51</v>
      </c>
      <c r="E1422" t="s">
        <v>41</v>
      </c>
      <c r="F1422" t="s">
        <v>10</v>
      </c>
    </row>
    <row r="1423" spans="1:6" hidden="1" x14ac:dyDescent="0.35">
      <c r="A1423" t="s">
        <v>61</v>
      </c>
      <c r="B1423" t="s">
        <v>32</v>
      </c>
      <c r="C1423" t="s">
        <v>51</v>
      </c>
      <c r="E1423" t="s">
        <v>41</v>
      </c>
      <c r="F1423" t="s">
        <v>10</v>
      </c>
    </row>
    <row r="1424" spans="1:6" hidden="1" x14ac:dyDescent="0.35">
      <c r="A1424" t="s">
        <v>62</v>
      </c>
      <c r="B1424" t="s">
        <v>32</v>
      </c>
      <c r="C1424" t="s">
        <v>51</v>
      </c>
      <c r="E1424" t="s">
        <v>41</v>
      </c>
      <c r="F1424" t="s">
        <v>10</v>
      </c>
    </row>
    <row r="1425" spans="1:6" hidden="1" x14ac:dyDescent="0.35">
      <c r="A1425" t="s">
        <v>63</v>
      </c>
      <c r="B1425" t="s">
        <v>32</v>
      </c>
      <c r="C1425" t="s">
        <v>51</v>
      </c>
      <c r="E1425" t="s">
        <v>41</v>
      </c>
      <c r="F1425" t="s">
        <v>10</v>
      </c>
    </row>
    <row r="1426" spans="1:6" hidden="1" x14ac:dyDescent="0.35">
      <c r="A1426" t="s">
        <v>64</v>
      </c>
      <c r="B1426" t="s">
        <v>32</v>
      </c>
      <c r="C1426" t="s">
        <v>51</v>
      </c>
      <c r="E1426" t="s">
        <v>41</v>
      </c>
      <c r="F1426" t="s">
        <v>10</v>
      </c>
    </row>
    <row r="1427" spans="1:6" hidden="1" x14ac:dyDescent="0.35">
      <c r="A1427" t="s">
        <v>65</v>
      </c>
      <c r="B1427" t="s">
        <v>32</v>
      </c>
      <c r="C1427" t="s">
        <v>51</v>
      </c>
      <c r="E1427" t="s">
        <v>41</v>
      </c>
      <c r="F1427" t="s">
        <v>10</v>
      </c>
    </row>
    <row r="1428" spans="1:6" hidden="1" x14ac:dyDescent="0.35">
      <c r="A1428" t="s">
        <v>66</v>
      </c>
      <c r="B1428" t="s">
        <v>32</v>
      </c>
      <c r="C1428" t="s">
        <v>51</v>
      </c>
      <c r="E1428" t="s">
        <v>41</v>
      </c>
      <c r="F1428" t="s">
        <v>10</v>
      </c>
    </row>
    <row r="1429" spans="1:6" hidden="1" x14ac:dyDescent="0.35">
      <c r="A1429" t="s">
        <v>67</v>
      </c>
      <c r="B1429" t="s">
        <v>32</v>
      </c>
      <c r="C1429" t="s">
        <v>51</v>
      </c>
      <c r="E1429" t="s">
        <v>41</v>
      </c>
      <c r="F1429" t="s">
        <v>10</v>
      </c>
    </row>
    <row r="1430" spans="1:6" hidden="1" x14ac:dyDescent="0.35">
      <c r="A1430" t="s">
        <v>57</v>
      </c>
      <c r="B1430" t="s">
        <v>32</v>
      </c>
      <c r="C1430" t="s">
        <v>30</v>
      </c>
      <c r="E1430" t="s">
        <v>41</v>
      </c>
      <c r="F1430" t="s">
        <v>10</v>
      </c>
    </row>
    <row r="1431" spans="1:6" hidden="1" x14ac:dyDescent="0.35">
      <c r="A1431" t="s">
        <v>11</v>
      </c>
      <c r="B1431" t="s">
        <v>32</v>
      </c>
      <c r="C1431" t="s">
        <v>30</v>
      </c>
      <c r="E1431" t="s">
        <v>41</v>
      </c>
      <c r="F1431" t="s">
        <v>10</v>
      </c>
    </row>
    <row r="1432" spans="1:6" hidden="1" x14ac:dyDescent="0.35">
      <c r="A1432" t="s">
        <v>58</v>
      </c>
      <c r="B1432" t="s">
        <v>32</v>
      </c>
      <c r="C1432" t="s">
        <v>30</v>
      </c>
      <c r="E1432" t="s">
        <v>41</v>
      </c>
      <c r="F1432" t="s">
        <v>10</v>
      </c>
    </row>
    <row r="1433" spans="1:6" hidden="1" x14ac:dyDescent="0.35">
      <c r="A1433" t="s">
        <v>59</v>
      </c>
      <c r="B1433" t="s">
        <v>32</v>
      </c>
      <c r="C1433" t="s">
        <v>30</v>
      </c>
      <c r="E1433" t="s">
        <v>41</v>
      </c>
      <c r="F1433" t="s">
        <v>10</v>
      </c>
    </row>
    <row r="1434" spans="1:6" hidden="1" x14ac:dyDescent="0.35">
      <c r="A1434" t="s">
        <v>60</v>
      </c>
      <c r="B1434" t="s">
        <v>32</v>
      </c>
      <c r="C1434" t="s">
        <v>30</v>
      </c>
      <c r="E1434" t="s">
        <v>41</v>
      </c>
      <c r="F1434" t="s">
        <v>10</v>
      </c>
    </row>
    <row r="1435" spans="1:6" hidden="1" x14ac:dyDescent="0.35">
      <c r="A1435" t="s">
        <v>61</v>
      </c>
      <c r="B1435" t="s">
        <v>32</v>
      </c>
      <c r="C1435" t="s">
        <v>30</v>
      </c>
      <c r="E1435" t="s">
        <v>41</v>
      </c>
      <c r="F1435" t="s">
        <v>10</v>
      </c>
    </row>
    <row r="1436" spans="1:6" hidden="1" x14ac:dyDescent="0.35">
      <c r="A1436" t="s">
        <v>62</v>
      </c>
      <c r="B1436" t="s">
        <v>32</v>
      </c>
      <c r="C1436" t="s">
        <v>30</v>
      </c>
      <c r="E1436" t="s">
        <v>41</v>
      </c>
      <c r="F1436" t="s">
        <v>10</v>
      </c>
    </row>
    <row r="1437" spans="1:6" hidden="1" x14ac:dyDescent="0.35">
      <c r="A1437" t="s">
        <v>63</v>
      </c>
      <c r="B1437" t="s">
        <v>32</v>
      </c>
      <c r="C1437" t="s">
        <v>30</v>
      </c>
      <c r="E1437" t="s">
        <v>41</v>
      </c>
      <c r="F1437" t="s">
        <v>10</v>
      </c>
    </row>
    <row r="1438" spans="1:6" hidden="1" x14ac:dyDescent="0.35">
      <c r="A1438" t="s">
        <v>64</v>
      </c>
      <c r="B1438" t="s">
        <v>32</v>
      </c>
      <c r="C1438" t="s">
        <v>30</v>
      </c>
      <c r="E1438" t="s">
        <v>41</v>
      </c>
      <c r="F1438" t="s">
        <v>10</v>
      </c>
    </row>
    <row r="1439" spans="1:6" hidden="1" x14ac:dyDescent="0.35">
      <c r="A1439" t="s">
        <v>65</v>
      </c>
      <c r="B1439" t="s">
        <v>32</v>
      </c>
      <c r="C1439" t="s">
        <v>30</v>
      </c>
      <c r="E1439" t="s">
        <v>41</v>
      </c>
      <c r="F1439" t="s">
        <v>10</v>
      </c>
    </row>
    <row r="1440" spans="1:6" hidden="1" x14ac:dyDescent="0.35">
      <c r="A1440" t="s">
        <v>66</v>
      </c>
      <c r="B1440" t="s">
        <v>32</v>
      </c>
      <c r="C1440" t="s">
        <v>30</v>
      </c>
      <c r="E1440" t="s">
        <v>41</v>
      </c>
      <c r="F1440" t="s">
        <v>10</v>
      </c>
    </row>
    <row r="1441" spans="1:6" hidden="1" x14ac:dyDescent="0.35">
      <c r="A1441" t="s">
        <v>67</v>
      </c>
      <c r="B1441" t="s">
        <v>32</v>
      </c>
      <c r="C1441" t="s">
        <v>30</v>
      </c>
      <c r="E1441" t="s">
        <v>41</v>
      </c>
      <c r="F1441" t="s">
        <v>10</v>
      </c>
    </row>
    <row r="1442" spans="1:6" hidden="1" x14ac:dyDescent="0.35">
      <c r="A1442" t="s">
        <v>57</v>
      </c>
      <c r="B1442" t="s">
        <v>32</v>
      </c>
      <c r="C1442" t="s">
        <v>52</v>
      </c>
      <c r="E1442" t="s">
        <v>41</v>
      </c>
      <c r="F1442" t="s">
        <v>10</v>
      </c>
    </row>
    <row r="1443" spans="1:6" hidden="1" x14ac:dyDescent="0.35">
      <c r="A1443" t="s">
        <v>11</v>
      </c>
      <c r="B1443" t="s">
        <v>32</v>
      </c>
      <c r="C1443" t="s">
        <v>52</v>
      </c>
      <c r="E1443" t="s">
        <v>41</v>
      </c>
      <c r="F1443" t="s">
        <v>10</v>
      </c>
    </row>
    <row r="1444" spans="1:6" hidden="1" x14ac:dyDescent="0.35">
      <c r="A1444" t="s">
        <v>58</v>
      </c>
      <c r="B1444" t="s">
        <v>32</v>
      </c>
      <c r="C1444" t="s">
        <v>52</v>
      </c>
      <c r="E1444" t="s">
        <v>41</v>
      </c>
      <c r="F1444" t="s">
        <v>10</v>
      </c>
    </row>
    <row r="1445" spans="1:6" hidden="1" x14ac:dyDescent="0.35">
      <c r="A1445" t="s">
        <v>59</v>
      </c>
      <c r="B1445" t="s">
        <v>32</v>
      </c>
      <c r="C1445" t="s">
        <v>52</v>
      </c>
      <c r="E1445" t="s">
        <v>41</v>
      </c>
      <c r="F1445" t="s">
        <v>10</v>
      </c>
    </row>
    <row r="1446" spans="1:6" hidden="1" x14ac:dyDescent="0.35">
      <c r="A1446" t="s">
        <v>60</v>
      </c>
      <c r="B1446" t="s">
        <v>32</v>
      </c>
      <c r="C1446" t="s">
        <v>52</v>
      </c>
      <c r="E1446" t="s">
        <v>41</v>
      </c>
      <c r="F1446" t="s">
        <v>10</v>
      </c>
    </row>
    <row r="1447" spans="1:6" hidden="1" x14ac:dyDescent="0.35">
      <c r="A1447" t="s">
        <v>61</v>
      </c>
      <c r="B1447" t="s">
        <v>32</v>
      </c>
      <c r="C1447" t="s">
        <v>52</v>
      </c>
      <c r="E1447" t="s">
        <v>41</v>
      </c>
      <c r="F1447" t="s">
        <v>10</v>
      </c>
    </row>
    <row r="1448" spans="1:6" hidden="1" x14ac:dyDescent="0.35">
      <c r="A1448" t="s">
        <v>62</v>
      </c>
      <c r="B1448" t="s">
        <v>32</v>
      </c>
      <c r="C1448" t="s">
        <v>52</v>
      </c>
      <c r="E1448" t="s">
        <v>41</v>
      </c>
      <c r="F1448" t="s">
        <v>10</v>
      </c>
    </row>
    <row r="1449" spans="1:6" hidden="1" x14ac:dyDescent="0.35">
      <c r="A1449" t="s">
        <v>63</v>
      </c>
      <c r="B1449" t="s">
        <v>32</v>
      </c>
      <c r="C1449" t="s">
        <v>52</v>
      </c>
      <c r="E1449" t="s">
        <v>41</v>
      </c>
      <c r="F1449" t="s">
        <v>10</v>
      </c>
    </row>
    <row r="1450" spans="1:6" hidden="1" x14ac:dyDescent="0.35">
      <c r="A1450" t="s">
        <v>64</v>
      </c>
      <c r="B1450" t="s">
        <v>32</v>
      </c>
      <c r="C1450" t="s">
        <v>52</v>
      </c>
      <c r="E1450" t="s">
        <v>41</v>
      </c>
      <c r="F1450" t="s">
        <v>10</v>
      </c>
    </row>
    <row r="1451" spans="1:6" hidden="1" x14ac:dyDescent="0.35">
      <c r="A1451" t="s">
        <v>65</v>
      </c>
      <c r="B1451" t="s">
        <v>32</v>
      </c>
      <c r="C1451" t="s">
        <v>52</v>
      </c>
      <c r="E1451" t="s">
        <v>41</v>
      </c>
      <c r="F1451" t="s">
        <v>10</v>
      </c>
    </row>
    <row r="1452" spans="1:6" hidden="1" x14ac:dyDescent="0.35">
      <c r="A1452" t="s">
        <v>66</v>
      </c>
      <c r="B1452" t="s">
        <v>32</v>
      </c>
      <c r="C1452" t="s">
        <v>52</v>
      </c>
      <c r="E1452" t="s">
        <v>41</v>
      </c>
      <c r="F1452" t="s">
        <v>10</v>
      </c>
    </row>
    <row r="1453" spans="1:6" hidden="1" x14ac:dyDescent="0.35">
      <c r="A1453" t="s">
        <v>67</v>
      </c>
      <c r="B1453" t="s">
        <v>32</v>
      </c>
      <c r="C1453" t="s">
        <v>52</v>
      </c>
      <c r="E1453" t="s">
        <v>41</v>
      </c>
      <c r="F1453" t="s">
        <v>10</v>
      </c>
    </row>
    <row r="1454" spans="1:6" hidden="1" x14ac:dyDescent="0.35">
      <c r="A1454" t="s">
        <v>57</v>
      </c>
      <c r="B1454" t="s">
        <v>33</v>
      </c>
      <c r="C1454" t="s">
        <v>44</v>
      </c>
      <c r="E1454" t="s">
        <v>41</v>
      </c>
      <c r="F1454" t="s">
        <v>10</v>
      </c>
    </row>
    <row r="1455" spans="1:6" hidden="1" x14ac:dyDescent="0.35">
      <c r="A1455" t="s">
        <v>11</v>
      </c>
      <c r="B1455" t="s">
        <v>33</v>
      </c>
      <c r="C1455" t="s">
        <v>44</v>
      </c>
      <c r="D1455">
        <v>3244.821616260163</v>
      </c>
      <c r="E1455" t="s">
        <v>41</v>
      </c>
      <c r="F1455" t="s">
        <v>10</v>
      </c>
    </row>
    <row r="1456" spans="1:6" hidden="1" x14ac:dyDescent="0.35">
      <c r="A1456" t="s">
        <v>58</v>
      </c>
      <c r="B1456" t="s">
        <v>33</v>
      </c>
      <c r="C1456" t="s">
        <v>44</v>
      </c>
      <c r="D1456">
        <v>0</v>
      </c>
      <c r="E1456" t="s">
        <v>41</v>
      </c>
      <c r="F1456" t="s">
        <v>10</v>
      </c>
    </row>
    <row r="1457" spans="1:6" hidden="1" x14ac:dyDescent="0.35">
      <c r="A1457" t="s">
        <v>59</v>
      </c>
      <c r="B1457" t="s">
        <v>33</v>
      </c>
      <c r="C1457" t="s">
        <v>44</v>
      </c>
      <c r="D1457">
        <v>10966.24556422764</v>
      </c>
      <c r="E1457" t="s">
        <v>41</v>
      </c>
      <c r="F1457" t="s">
        <v>10</v>
      </c>
    </row>
    <row r="1458" spans="1:6" hidden="1" x14ac:dyDescent="0.35">
      <c r="A1458" t="s">
        <v>60</v>
      </c>
      <c r="B1458" t="s">
        <v>33</v>
      </c>
      <c r="C1458" t="s">
        <v>44</v>
      </c>
      <c r="D1458">
        <v>25945.29610894309</v>
      </c>
      <c r="E1458" t="s">
        <v>41</v>
      </c>
      <c r="F1458" t="s">
        <v>10</v>
      </c>
    </row>
    <row r="1459" spans="1:6" hidden="1" x14ac:dyDescent="0.35">
      <c r="A1459" t="s">
        <v>61</v>
      </c>
      <c r="B1459" t="s">
        <v>33</v>
      </c>
      <c r="C1459" t="s">
        <v>44</v>
      </c>
      <c r="D1459">
        <v>101431.8728243902</v>
      </c>
      <c r="E1459" t="s">
        <v>41</v>
      </c>
      <c r="F1459" t="s">
        <v>10</v>
      </c>
    </row>
    <row r="1460" spans="1:6" hidden="1" x14ac:dyDescent="0.35">
      <c r="A1460" t="s">
        <v>62</v>
      </c>
      <c r="B1460" t="s">
        <v>33</v>
      </c>
      <c r="C1460" t="s">
        <v>44</v>
      </c>
      <c r="D1460">
        <v>31011.785343089428</v>
      </c>
      <c r="E1460" t="s">
        <v>41</v>
      </c>
      <c r="F1460" t="s">
        <v>10</v>
      </c>
    </row>
    <row r="1461" spans="1:6" hidden="1" x14ac:dyDescent="0.35">
      <c r="A1461" t="s">
        <v>63</v>
      </c>
      <c r="B1461" t="s">
        <v>33</v>
      </c>
      <c r="C1461" t="s">
        <v>44</v>
      </c>
      <c r="D1461">
        <v>148527.22642981031</v>
      </c>
      <c r="E1461" t="s">
        <v>41</v>
      </c>
      <c r="F1461" t="s">
        <v>10</v>
      </c>
    </row>
    <row r="1462" spans="1:6" hidden="1" x14ac:dyDescent="0.35">
      <c r="A1462" t="s">
        <v>64</v>
      </c>
      <c r="B1462" t="s">
        <v>33</v>
      </c>
      <c r="C1462" t="s">
        <v>44</v>
      </c>
      <c r="D1462">
        <v>146018.50846666671</v>
      </c>
      <c r="E1462" t="s">
        <v>41</v>
      </c>
      <c r="F1462" t="s">
        <v>10</v>
      </c>
    </row>
    <row r="1463" spans="1:6" hidden="1" x14ac:dyDescent="0.35">
      <c r="A1463" t="s">
        <v>65</v>
      </c>
      <c r="B1463" t="s">
        <v>33</v>
      </c>
      <c r="C1463" t="s">
        <v>44</v>
      </c>
      <c r="D1463">
        <v>39206.826971815717</v>
      </c>
      <c r="E1463" t="s">
        <v>41</v>
      </c>
      <c r="F1463" t="s">
        <v>10</v>
      </c>
    </row>
    <row r="1464" spans="1:6" hidden="1" x14ac:dyDescent="0.35">
      <c r="A1464" t="s">
        <v>66</v>
      </c>
      <c r="B1464" t="s">
        <v>33</v>
      </c>
      <c r="C1464" t="s">
        <v>44</v>
      </c>
      <c r="D1464">
        <v>65806.386767479678</v>
      </c>
      <c r="E1464" t="s">
        <v>41</v>
      </c>
      <c r="F1464" t="s">
        <v>10</v>
      </c>
    </row>
    <row r="1465" spans="1:6" hidden="1" x14ac:dyDescent="0.35">
      <c r="A1465" t="s">
        <v>67</v>
      </c>
      <c r="B1465" t="s">
        <v>33</v>
      </c>
      <c r="C1465" t="s">
        <v>44</v>
      </c>
      <c r="D1465">
        <v>9877.7490162601625</v>
      </c>
      <c r="E1465" t="s">
        <v>41</v>
      </c>
      <c r="F1465" t="s">
        <v>10</v>
      </c>
    </row>
    <row r="1466" spans="1:6" hidden="1" x14ac:dyDescent="0.35">
      <c r="A1466" t="s">
        <v>57</v>
      </c>
      <c r="B1466" t="s">
        <v>33</v>
      </c>
      <c r="C1466" t="s">
        <v>22</v>
      </c>
      <c r="D1466">
        <v>0</v>
      </c>
      <c r="E1466" t="s">
        <v>41</v>
      </c>
      <c r="F1466" t="s">
        <v>10</v>
      </c>
    </row>
    <row r="1467" spans="1:6" hidden="1" x14ac:dyDescent="0.35">
      <c r="A1467" t="s">
        <v>11</v>
      </c>
      <c r="B1467" t="s">
        <v>33</v>
      </c>
      <c r="C1467" t="s">
        <v>22</v>
      </c>
      <c r="D1467">
        <v>0</v>
      </c>
      <c r="E1467" t="s">
        <v>41</v>
      </c>
      <c r="F1467" t="s">
        <v>10</v>
      </c>
    </row>
    <row r="1468" spans="1:6" hidden="1" x14ac:dyDescent="0.35">
      <c r="A1468" t="s">
        <v>58</v>
      </c>
      <c r="B1468" t="s">
        <v>33</v>
      </c>
      <c r="C1468" t="s">
        <v>22</v>
      </c>
      <c r="D1468">
        <v>0</v>
      </c>
      <c r="E1468" t="s">
        <v>41</v>
      </c>
      <c r="F1468" t="s">
        <v>10</v>
      </c>
    </row>
    <row r="1469" spans="1:6" hidden="1" x14ac:dyDescent="0.35">
      <c r="A1469" t="s">
        <v>59</v>
      </c>
      <c r="B1469" t="s">
        <v>33</v>
      </c>
      <c r="C1469" t="s">
        <v>22</v>
      </c>
      <c r="D1469">
        <v>0</v>
      </c>
      <c r="E1469" t="s">
        <v>41</v>
      </c>
      <c r="F1469" t="s">
        <v>10</v>
      </c>
    </row>
    <row r="1470" spans="1:6" hidden="1" x14ac:dyDescent="0.35">
      <c r="A1470" t="s">
        <v>60</v>
      </c>
      <c r="B1470" t="s">
        <v>33</v>
      </c>
      <c r="C1470" t="s">
        <v>22</v>
      </c>
      <c r="D1470">
        <v>0</v>
      </c>
      <c r="E1470" t="s">
        <v>41</v>
      </c>
      <c r="F1470" t="s">
        <v>10</v>
      </c>
    </row>
    <row r="1471" spans="1:6" hidden="1" x14ac:dyDescent="0.35">
      <c r="A1471" t="s">
        <v>61</v>
      </c>
      <c r="B1471" t="s">
        <v>33</v>
      </c>
      <c r="C1471" t="s">
        <v>22</v>
      </c>
      <c r="D1471">
        <v>0</v>
      </c>
      <c r="E1471" t="s">
        <v>41</v>
      </c>
      <c r="F1471" t="s">
        <v>10</v>
      </c>
    </row>
    <row r="1472" spans="1:6" hidden="1" x14ac:dyDescent="0.35">
      <c r="A1472" t="s">
        <v>62</v>
      </c>
      <c r="B1472" t="s">
        <v>33</v>
      </c>
      <c r="C1472" t="s">
        <v>22</v>
      </c>
      <c r="D1472">
        <v>0</v>
      </c>
      <c r="E1472" t="s">
        <v>41</v>
      </c>
      <c r="F1472" t="s">
        <v>10</v>
      </c>
    </row>
    <row r="1473" spans="1:6" hidden="1" x14ac:dyDescent="0.35">
      <c r="A1473" t="s">
        <v>63</v>
      </c>
      <c r="B1473" t="s">
        <v>33</v>
      </c>
      <c r="C1473" t="s">
        <v>22</v>
      </c>
      <c r="D1473">
        <v>0</v>
      </c>
      <c r="E1473" t="s">
        <v>41</v>
      </c>
      <c r="F1473" t="s">
        <v>10</v>
      </c>
    </row>
    <row r="1474" spans="1:6" hidden="1" x14ac:dyDescent="0.35">
      <c r="A1474" t="s">
        <v>64</v>
      </c>
      <c r="B1474" t="s">
        <v>33</v>
      </c>
      <c r="C1474" t="s">
        <v>22</v>
      </c>
      <c r="D1474">
        <v>0</v>
      </c>
      <c r="E1474" t="s">
        <v>41</v>
      </c>
      <c r="F1474" t="s">
        <v>10</v>
      </c>
    </row>
    <row r="1475" spans="1:6" hidden="1" x14ac:dyDescent="0.35">
      <c r="A1475" t="s">
        <v>65</v>
      </c>
      <c r="B1475" t="s">
        <v>33</v>
      </c>
      <c r="C1475" t="s">
        <v>22</v>
      </c>
      <c r="D1475">
        <v>0</v>
      </c>
      <c r="E1475" t="s">
        <v>41</v>
      </c>
      <c r="F1475" t="s">
        <v>10</v>
      </c>
    </row>
    <row r="1476" spans="1:6" hidden="1" x14ac:dyDescent="0.35">
      <c r="A1476" t="s">
        <v>66</v>
      </c>
      <c r="B1476" t="s">
        <v>33</v>
      </c>
      <c r="C1476" t="s">
        <v>22</v>
      </c>
      <c r="D1476">
        <v>0</v>
      </c>
      <c r="E1476" t="s">
        <v>41</v>
      </c>
      <c r="F1476" t="s">
        <v>10</v>
      </c>
    </row>
    <row r="1477" spans="1:6" hidden="1" x14ac:dyDescent="0.35">
      <c r="A1477" t="s">
        <v>67</v>
      </c>
      <c r="B1477" t="s">
        <v>33</v>
      </c>
      <c r="C1477" t="s">
        <v>22</v>
      </c>
      <c r="D1477">
        <v>0</v>
      </c>
      <c r="E1477" t="s">
        <v>41</v>
      </c>
      <c r="F1477" t="s">
        <v>10</v>
      </c>
    </row>
    <row r="1478" spans="1:6" hidden="1" x14ac:dyDescent="0.35">
      <c r="A1478" t="s">
        <v>57</v>
      </c>
      <c r="B1478" t="s">
        <v>33</v>
      </c>
      <c r="C1478" t="s">
        <v>46</v>
      </c>
      <c r="E1478" t="s">
        <v>41</v>
      </c>
      <c r="F1478" t="s">
        <v>10</v>
      </c>
    </row>
    <row r="1479" spans="1:6" hidden="1" x14ac:dyDescent="0.35">
      <c r="A1479" t="s">
        <v>11</v>
      </c>
      <c r="B1479" t="s">
        <v>33</v>
      </c>
      <c r="C1479" t="s">
        <v>46</v>
      </c>
      <c r="D1479">
        <v>181794.98236747959</v>
      </c>
      <c r="E1479" t="s">
        <v>41</v>
      </c>
      <c r="F1479" t="s">
        <v>10</v>
      </c>
    </row>
    <row r="1480" spans="1:6" hidden="1" x14ac:dyDescent="0.35">
      <c r="A1480" t="s">
        <v>58</v>
      </c>
      <c r="B1480" t="s">
        <v>33</v>
      </c>
      <c r="C1480" t="s">
        <v>46</v>
      </c>
      <c r="D1480">
        <v>109047.15</v>
      </c>
      <c r="E1480" t="s">
        <v>41</v>
      </c>
      <c r="F1480" t="s">
        <v>10</v>
      </c>
    </row>
    <row r="1481" spans="1:6" hidden="1" x14ac:dyDescent="0.35">
      <c r="A1481" t="s">
        <v>59</v>
      </c>
      <c r="B1481" t="s">
        <v>33</v>
      </c>
      <c r="C1481" t="s">
        <v>46</v>
      </c>
      <c r="D1481">
        <v>175562.19727154469</v>
      </c>
      <c r="E1481" t="s">
        <v>41</v>
      </c>
      <c r="F1481" t="s">
        <v>10</v>
      </c>
    </row>
    <row r="1482" spans="1:6" hidden="1" x14ac:dyDescent="0.35">
      <c r="A1482" t="s">
        <v>60</v>
      </c>
      <c r="B1482" t="s">
        <v>33</v>
      </c>
      <c r="C1482" t="s">
        <v>46</v>
      </c>
      <c r="D1482">
        <v>18874.211382113819</v>
      </c>
      <c r="E1482" t="s">
        <v>41</v>
      </c>
      <c r="F1482" t="s">
        <v>10</v>
      </c>
    </row>
    <row r="1483" spans="1:6" hidden="1" x14ac:dyDescent="0.35">
      <c r="A1483" t="s">
        <v>61</v>
      </c>
      <c r="B1483" t="s">
        <v>33</v>
      </c>
      <c r="C1483" t="s">
        <v>46</v>
      </c>
      <c r="D1483">
        <v>13035.121951219509</v>
      </c>
      <c r="E1483" t="s">
        <v>41</v>
      </c>
      <c r="F1483" t="s">
        <v>10</v>
      </c>
    </row>
    <row r="1484" spans="1:6" hidden="1" x14ac:dyDescent="0.35">
      <c r="A1484" t="s">
        <v>62</v>
      </c>
      <c r="B1484" t="s">
        <v>33</v>
      </c>
      <c r="C1484" t="s">
        <v>46</v>
      </c>
      <c r="D1484">
        <v>28939.382113821139</v>
      </c>
      <c r="E1484" t="s">
        <v>41</v>
      </c>
      <c r="F1484" t="s">
        <v>10</v>
      </c>
    </row>
    <row r="1485" spans="1:6" hidden="1" x14ac:dyDescent="0.35">
      <c r="A1485" t="s">
        <v>63</v>
      </c>
      <c r="B1485" t="s">
        <v>33</v>
      </c>
      <c r="C1485" t="s">
        <v>46</v>
      </c>
      <c r="D1485">
        <v>231106.0879403794</v>
      </c>
      <c r="E1485" t="s">
        <v>41</v>
      </c>
      <c r="F1485" t="s">
        <v>10</v>
      </c>
    </row>
    <row r="1486" spans="1:6" hidden="1" x14ac:dyDescent="0.35">
      <c r="A1486" t="s">
        <v>64</v>
      </c>
      <c r="B1486" t="s">
        <v>33</v>
      </c>
      <c r="C1486" t="s">
        <v>46</v>
      </c>
      <c r="D1486">
        <v>101895.9666666667</v>
      </c>
      <c r="E1486" t="s">
        <v>41</v>
      </c>
      <c r="F1486" t="s">
        <v>10</v>
      </c>
    </row>
    <row r="1487" spans="1:6" hidden="1" x14ac:dyDescent="0.35">
      <c r="A1487" t="s">
        <v>65</v>
      </c>
      <c r="B1487" t="s">
        <v>33</v>
      </c>
      <c r="C1487" t="s">
        <v>46</v>
      </c>
      <c r="D1487">
        <v>132810.63685636851</v>
      </c>
      <c r="E1487" t="s">
        <v>41</v>
      </c>
      <c r="F1487" t="s">
        <v>10</v>
      </c>
    </row>
    <row r="1488" spans="1:6" hidden="1" x14ac:dyDescent="0.35">
      <c r="A1488" t="s">
        <v>66</v>
      </c>
      <c r="B1488" t="s">
        <v>33</v>
      </c>
      <c r="C1488" t="s">
        <v>46</v>
      </c>
      <c r="D1488">
        <v>46198.31606504065</v>
      </c>
      <c r="E1488" t="s">
        <v>41</v>
      </c>
      <c r="F1488" t="s">
        <v>10</v>
      </c>
    </row>
    <row r="1489" spans="1:6" hidden="1" x14ac:dyDescent="0.35">
      <c r="A1489" t="s">
        <v>67</v>
      </c>
      <c r="B1489" t="s">
        <v>33</v>
      </c>
      <c r="C1489" t="s">
        <v>46</v>
      </c>
      <c r="D1489">
        <v>712.74796747967468</v>
      </c>
      <c r="E1489" t="s">
        <v>41</v>
      </c>
      <c r="F1489" t="s">
        <v>10</v>
      </c>
    </row>
    <row r="1490" spans="1:6" hidden="1" x14ac:dyDescent="0.35">
      <c r="A1490" t="s">
        <v>57</v>
      </c>
      <c r="B1490" t="s">
        <v>33</v>
      </c>
      <c r="C1490" t="s">
        <v>24</v>
      </c>
      <c r="D1490">
        <v>0</v>
      </c>
      <c r="E1490" t="s">
        <v>41</v>
      </c>
      <c r="F1490" t="s">
        <v>10</v>
      </c>
    </row>
    <row r="1491" spans="1:6" hidden="1" x14ac:dyDescent="0.35">
      <c r="A1491" t="s">
        <v>11</v>
      </c>
      <c r="B1491" t="s">
        <v>33</v>
      </c>
      <c r="C1491" t="s">
        <v>24</v>
      </c>
      <c r="D1491">
        <v>0</v>
      </c>
      <c r="E1491" t="s">
        <v>41</v>
      </c>
      <c r="F1491" t="s">
        <v>10</v>
      </c>
    </row>
    <row r="1492" spans="1:6" hidden="1" x14ac:dyDescent="0.35">
      <c r="A1492" t="s">
        <v>58</v>
      </c>
      <c r="B1492" t="s">
        <v>33</v>
      </c>
      <c r="C1492" t="s">
        <v>24</v>
      </c>
      <c r="D1492">
        <v>0</v>
      </c>
      <c r="E1492" t="s">
        <v>41</v>
      </c>
      <c r="F1492" t="s">
        <v>10</v>
      </c>
    </row>
    <row r="1493" spans="1:6" hidden="1" x14ac:dyDescent="0.35">
      <c r="A1493" t="s">
        <v>59</v>
      </c>
      <c r="B1493" t="s">
        <v>33</v>
      </c>
      <c r="C1493" t="s">
        <v>24</v>
      </c>
      <c r="D1493">
        <v>0</v>
      </c>
      <c r="E1493" t="s">
        <v>41</v>
      </c>
      <c r="F1493" t="s">
        <v>10</v>
      </c>
    </row>
    <row r="1494" spans="1:6" hidden="1" x14ac:dyDescent="0.35">
      <c r="A1494" t="s">
        <v>60</v>
      </c>
      <c r="B1494" t="s">
        <v>33</v>
      </c>
      <c r="C1494" t="s">
        <v>24</v>
      </c>
      <c r="D1494">
        <v>0</v>
      </c>
      <c r="E1494" t="s">
        <v>41</v>
      </c>
      <c r="F1494" t="s">
        <v>10</v>
      </c>
    </row>
    <row r="1495" spans="1:6" hidden="1" x14ac:dyDescent="0.35">
      <c r="A1495" t="s">
        <v>61</v>
      </c>
      <c r="B1495" t="s">
        <v>33</v>
      </c>
      <c r="C1495" t="s">
        <v>24</v>
      </c>
      <c r="D1495">
        <v>0</v>
      </c>
      <c r="E1495" t="s">
        <v>41</v>
      </c>
      <c r="F1495" t="s">
        <v>10</v>
      </c>
    </row>
    <row r="1496" spans="1:6" hidden="1" x14ac:dyDescent="0.35">
      <c r="A1496" t="s">
        <v>62</v>
      </c>
      <c r="B1496" t="s">
        <v>33</v>
      </c>
      <c r="C1496" t="s">
        <v>24</v>
      </c>
      <c r="D1496">
        <v>0</v>
      </c>
      <c r="E1496" t="s">
        <v>41</v>
      </c>
      <c r="F1496" t="s">
        <v>10</v>
      </c>
    </row>
    <row r="1497" spans="1:6" hidden="1" x14ac:dyDescent="0.35">
      <c r="A1497" t="s">
        <v>63</v>
      </c>
      <c r="B1497" t="s">
        <v>33</v>
      </c>
      <c r="C1497" t="s">
        <v>24</v>
      </c>
      <c r="D1497">
        <v>0</v>
      </c>
      <c r="E1497" t="s">
        <v>41</v>
      </c>
      <c r="F1497" t="s">
        <v>10</v>
      </c>
    </row>
    <row r="1498" spans="1:6" hidden="1" x14ac:dyDescent="0.35">
      <c r="A1498" t="s">
        <v>64</v>
      </c>
      <c r="B1498" t="s">
        <v>33</v>
      </c>
      <c r="C1498" t="s">
        <v>24</v>
      </c>
      <c r="D1498">
        <v>0</v>
      </c>
      <c r="E1498" t="s">
        <v>41</v>
      </c>
      <c r="F1498" t="s">
        <v>10</v>
      </c>
    </row>
    <row r="1499" spans="1:6" hidden="1" x14ac:dyDescent="0.35">
      <c r="A1499" t="s">
        <v>65</v>
      </c>
      <c r="B1499" t="s">
        <v>33</v>
      </c>
      <c r="C1499" t="s">
        <v>24</v>
      </c>
      <c r="D1499">
        <v>0</v>
      </c>
      <c r="E1499" t="s">
        <v>41</v>
      </c>
      <c r="F1499" t="s">
        <v>10</v>
      </c>
    </row>
    <row r="1500" spans="1:6" hidden="1" x14ac:dyDescent="0.35">
      <c r="A1500" t="s">
        <v>66</v>
      </c>
      <c r="B1500" t="s">
        <v>33</v>
      </c>
      <c r="C1500" t="s">
        <v>24</v>
      </c>
      <c r="D1500">
        <v>0</v>
      </c>
      <c r="E1500" t="s">
        <v>41</v>
      </c>
      <c r="F1500" t="s">
        <v>10</v>
      </c>
    </row>
    <row r="1501" spans="1:6" hidden="1" x14ac:dyDescent="0.35">
      <c r="A1501" t="s">
        <v>67</v>
      </c>
      <c r="B1501" t="s">
        <v>33</v>
      </c>
      <c r="C1501" t="s">
        <v>24</v>
      </c>
      <c r="D1501">
        <v>0</v>
      </c>
      <c r="E1501" t="s">
        <v>41</v>
      </c>
      <c r="F1501" t="s">
        <v>10</v>
      </c>
    </row>
    <row r="1502" spans="1:6" hidden="1" x14ac:dyDescent="0.35">
      <c r="A1502" t="s">
        <v>57</v>
      </c>
      <c r="B1502" t="s">
        <v>33</v>
      </c>
      <c r="C1502" t="s">
        <v>47</v>
      </c>
      <c r="E1502" t="s">
        <v>41</v>
      </c>
      <c r="F1502" t="s">
        <v>10</v>
      </c>
    </row>
    <row r="1503" spans="1:6" hidden="1" x14ac:dyDescent="0.35">
      <c r="A1503" t="s">
        <v>11</v>
      </c>
      <c r="B1503" t="s">
        <v>33</v>
      </c>
      <c r="C1503" t="s">
        <v>47</v>
      </c>
      <c r="E1503" t="s">
        <v>41</v>
      </c>
      <c r="F1503" t="s">
        <v>10</v>
      </c>
    </row>
    <row r="1504" spans="1:6" hidden="1" x14ac:dyDescent="0.35">
      <c r="A1504" t="s">
        <v>58</v>
      </c>
      <c r="B1504" t="s">
        <v>33</v>
      </c>
      <c r="C1504" t="s">
        <v>47</v>
      </c>
      <c r="E1504" t="s">
        <v>41</v>
      </c>
      <c r="F1504" t="s">
        <v>10</v>
      </c>
    </row>
    <row r="1505" spans="1:6" hidden="1" x14ac:dyDescent="0.35">
      <c r="A1505" t="s">
        <v>59</v>
      </c>
      <c r="B1505" t="s">
        <v>33</v>
      </c>
      <c r="C1505" t="s">
        <v>47</v>
      </c>
      <c r="E1505" t="s">
        <v>41</v>
      </c>
      <c r="F1505" t="s">
        <v>10</v>
      </c>
    </row>
    <row r="1506" spans="1:6" hidden="1" x14ac:dyDescent="0.35">
      <c r="A1506" t="s">
        <v>60</v>
      </c>
      <c r="B1506" t="s">
        <v>33</v>
      </c>
      <c r="C1506" t="s">
        <v>47</v>
      </c>
      <c r="E1506" t="s">
        <v>41</v>
      </c>
      <c r="F1506" t="s">
        <v>10</v>
      </c>
    </row>
    <row r="1507" spans="1:6" hidden="1" x14ac:dyDescent="0.35">
      <c r="A1507" t="s">
        <v>61</v>
      </c>
      <c r="B1507" t="s">
        <v>33</v>
      </c>
      <c r="C1507" t="s">
        <v>47</v>
      </c>
      <c r="E1507" t="s">
        <v>41</v>
      </c>
      <c r="F1507" t="s">
        <v>10</v>
      </c>
    </row>
    <row r="1508" spans="1:6" hidden="1" x14ac:dyDescent="0.35">
      <c r="A1508" t="s">
        <v>62</v>
      </c>
      <c r="B1508" t="s">
        <v>33</v>
      </c>
      <c r="C1508" t="s">
        <v>47</v>
      </c>
      <c r="E1508" t="s">
        <v>41</v>
      </c>
      <c r="F1508" t="s">
        <v>10</v>
      </c>
    </row>
    <row r="1509" spans="1:6" hidden="1" x14ac:dyDescent="0.35">
      <c r="A1509" t="s">
        <v>63</v>
      </c>
      <c r="B1509" t="s">
        <v>33</v>
      </c>
      <c r="C1509" t="s">
        <v>47</v>
      </c>
      <c r="E1509" t="s">
        <v>41</v>
      </c>
      <c r="F1509" t="s">
        <v>10</v>
      </c>
    </row>
    <row r="1510" spans="1:6" hidden="1" x14ac:dyDescent="0.35">
      <c r="A1510" t="s">
        <v>64</v>
      </c>
      <c r="B1510" t="s">
        <v>33</v>
      </c>
      <c r="C1510" t="s">
        <v>47</v>
      </c>
      <c r="E1510" t="s">
        <v>41</v>
      </c>
      <c r="F1510" t="s">
        <v>10</v>
      </c>
    </row>
    <row r="1511" spans="1:6" hidden="1" x14ac:dyDescent="0.35">
      <c r="A1511" t="s">
        <v>65</v>
      </c>
      <c r="B1511" t="s">
        <v>33</v>
      </c>
      <c r="C1511" t="s">
        <v>47</v>
      </c>
      <c r="E1511" t="s">
        <v>41</v>
      </c>
      <c r="F1511" t="s">
        <v>10</v>
      </c>
    </row>
    <row r="1512" spans="1:6" hidden="1" x14ac:dyDescent="0.35">
      <c r="A1512" t="s">
        <v>66</v>
      </c>
      <c r="B1512" t="s">
        <v>33</v>
      </c>
      <c r="C1512" t="s">
        <v>47</v>
      </c>
      <c r="E1512" t="s">
        <v>41</v>
      </c>
      <c r="F1512" t="s">
        <v>10</v>
      </c>
    </row>
    <row r="1513" spans="1:6" hidden="1" x14ac:dyDescent="0.35">
      <c r="A1513" t="s">
        <v>67</v>
      </c>
      <c r="B1513" t="s">
        <v>33</v>
      </c>
      <c r="C1513" t="s">
        <v>47</v>
      </c>
      <c r="E1513" t="s">
        <v>41</v>
      </c>
      <c r="F1513" t="s">
        <v>10</v>
      </c>
    </row>
    <row r="1514" spans="1:6" hidden="1" x14ac:dyDescent="0.35">
      <c r="A1514" t="s">
        <v>57</v>
      </c>
      <c r="B1514" t="s">
        <v>33</v>
      </c>
      <c r="C1514" t="s">
        <v>48</v>
      </c>
      <c r="D1514">
        <v>0</v>
      </c>
      <c r="E1514" t="s">
        <v>41</v>
      </c>
      <c r="F1514" t="s">
        <v>10</v>
      </c>
    </row>
    <row r="1515" spans="1:6" hidden="1" x14ac:dyDescent="0.35">
      <c r="A1515" t="s">
        <v>11</v>
      </c>
      <c r="B1515" t="s">
        <v>33</v>
      </c>
      <c r="C1515" t="s">
        <v>48</v>
      </c>
      <c r="D1515">
        <v>0</v>
      </c>
      <c r="E1515" t="s">
        <v>41</v>
      </c>
      <c r="F1515" t="s">
        <v>10</v>
      </c>
    </row>
    <row r="1516" spans="1:6" hidden="1" x14ac:dyDescent="0.35">
      <c r="A1516" t="s">
        <v>58</v>
      </c>
      <c r="B1516" t="s">
        <v>33</v>
      </c>
      <c r="C1516" t="s">
        <v>48</v>
      </c>
      <c r="D1516">
        <v>0</v>
      </c>
      <c r="E1516" t="s">
        <v>41</v>
      </c>
      <c r="F1516" t="s">
        <v>10</v>
      </c>
    </row>
    <row r="1517" spans="1:6" hidden="1" x14ac:dyDescent="0.35">
      <c r="A1517" t="s">
        <v>59</v>
      </c>
      <c r="B1517" t="s">
        <v>33</v>
      </c>
      <c r="C1517" t="s">
        <v>48</v>
      </c>
      <c r="D1517">
        <v>0</v>
      </c>
      <c r="E1517" t="s">
        <v>41</v>
      </c>
      <c r="F1517" t="s">
        <v>10</v>
      </c>
    </row>
    <row r="1518" spans="1:6" hidden="1" x14ac:dyDescent="0.35">
      <c r="A1518" t="s">
        <v>60</v>
      </c>
      <c r="B1518" t="s">
        <v>33</v>
      </c>
      <c r="C1518" t="s">
        <v>48</v>
      </c>
      <c r="D1518">
        <v>0</v>
      </c>
      <c r="E1518" t="s">
        <v>41</v>
      </c>
      <c r="F1518" t="s">
        <v>10</v>
      </c>
    </row>
    <row r="1519" spans="1:6" hidden="1" x14ac:dyDescent="0.35">
      <c r="A1519" t="s">
        <v>61</v>
      </c>
      <c r="B1519" t="s">
        <v>33</v>
      </c>
      <c r="C1519" t="s">
        <v>48</v>
      </c>
      <c r="D1519">
        <v>0</v>
      </c>
      <c r="E1519" t="s">
        <v>41</v>
      </c>
      <c r="F1519" t="s">
        <v>10</v>
      </c>
    </row>
    <row r="1520" spans="1:6" hidden="1" x14ac:dyDescent="0.35">
      <c r="A1520" t="s">
        <v>62</v>
      </c>
      <c r="B1520" t="s">
        <v>33</v>
      </c>
      <c r="C1520" t="s">
        <v>48</v>
      </c>
      <c r="D1520">
        <v>0</v>
      </c>
      <c r="E1520" t="s">
        <v>41</v>
      </c>
      <c r="F1520" t="s">
        <v>10</v>
      </c>
    </row>
    <row r="1521" spans="1:6" hidden="1" x14ac:dyDescent="0.35">
      <c r="A1521" t="s">
        <v>63</v>
      </c>
      <c r="B1521" t="s">
        <v>33</v>
      </c>
      <c r="C1521" t="s">
        <v>48</v>
      </c>
      <c r="D1521">
        <v>0</v>
      </c>
      <c r="E1521" t="s">
        <v>41</v>
      </c>
      <c r="F1521" t="s">
        <v>10</v>
      </c>
    </row>
    <row r="1522" spans="1:6" hidden="1" x14ac:dyDescent="0.35">
      <c r="A1522" t="s">
        <v>64</v>
      </c>
      <c r="B1522" t="s">
        <v>33</v>
      </c>
      <c r="C1522" t="s">
        <v>48</v>
      </c>
      <c r="D1522">
        <v>0</v>
      </c>
      <c r="E1522" t="s">
        <v>41</v>
      </c>
      <c r="F1522" t="s">
        <v>10</v>
      </c>
    </row>
    <row r="1523" spans="1:6" hidden="1" x14ac:dyDescent="0.35">
      <c r="A1523" t="s">
        <v>65</v>
      </c>
      <c r="B1523" t="s">
        <v>33</v>
      </c>
      <c r="C1523" t="s">
        <v>48</v>
      </c>
      <c r="D1523">
        <v>0</v>
      </c>
      <c r="E1523" t="s">
        <v>41</v>
      </c>
      <c r="F1523" t="s">
        <v>10</v>
      </c>
    </row>
    <row r="1524" spans="1:6" hidden="1" x14ac:dyDescent="0.35">
      <c r="A1524" t="s">
        <v>66</v>
      </c>
      <c r="B1524" t="s">
        <v>33</v>
      </c>
      <c r="C1524" t="s">
        <v>48</v>
      </c>
      <c r="D1524">
        <v>0</v>
      </c>
      <c r="E1524" t="s">
        <v>41</v>
      </c>
      <c r="F1524" t="s">
        <v>10</v>
      </c>
    </row>
    <row r="1525" spans="1:6" hidden="1" x14ac:dyDescent="0.35">
      <c r="A1525" t="s">
        <v>67</v>
      </c>
      <c r="B1525" t="s">
        <v>33</v>
      </c>
      <c r="C1525" t="s">
        <v>48</v>
      </c>
      <c r="D1525">
        <v>0</v>
      </c>
      <c r="E1525" t="s">
        <v>41</v>
      </c>
      <c r="F1525" t="s">
        <v>10</v>
      </c>
    </row>
    <row r="1526" spans="1:6" hidden="1" x14ac:dyDescent="0.35">
      <c r="A1526" t="s">
        <v>57</v>
      </c>
      <c r="B1526" t="s">
        <v>33</v>
      </c>
      <c r="C1526" t="s">
        <v>49</v>
      </c>
      <c r="E1526" t="s">
        <v>41</v>
      </c>
      <c r="F1526" t="s">
        <v>10</v>
      </c>
    </row>
    <row r="1527" spans="1:6" hidden="1" x14ac:dyDescent="0.35">
      <c r="A1527" t="s">
        <v>11</v>
      </c>
      <c r="B1527" t="s">
        <v>33</v>
      </c>
      <c r="C1527" t="s">
        <v>49</v>
      </c>
      <c r="D1527">
        <v>8303.7512000000006</v>
      </c>
      <c r="E1527" t="s">
        <v>41</v>
      </c>
      <c r="F1527" t="s">
        <v>10</v>
      </c>
    </row>
    <row r="1528" spans="1:6" hidden="1" x14ac:dyDescent="0.35">
      <c r="A1528" t="s">
        <v>58</v>
      </c>
      <c r="B1528" t="s">
        <v>33</v>
      </c>
      <c r="C1528" t="s">
        <v>49</v>
      </c>
      <c r="D1528">
        <v>47293.962800000001</v>
      </c>
      <c r="E1528" t="s">
        <v>41</v>
      </c>
      <c r="F1528" t="s">
        <v>10</v>
      </c>
    </row>
    <row r="1529" spans="1:6" hidden="1" x14ac:dyDescent="0.35">
      <c r="A1529" t="s">
        <v>59</v>
      </c>
      <c r="B1529" t="s">
        <v>33</v>
      </c>
      <c r="C1529" t="s">
        <v>49</v>
      </c>
      <c r="D1529">
        <v>53894.210400000004</v>
      </c>
      <c r="E1529" t="s">
        <v>41</v>
      </c>
      <c r="F1529" t="s">
        <v>10</v>
      </c>
    </row>
    <row r="1530" spans="1:6" hidden="1" x14ac:dyDescent="0.35">
      <c r="A1530" t="s">
        <v>60</v>
      </c>
      <c r="B1530" t="s">
        <v>33</v>
      </c>
      <c r="C1530" t="s">
        <v>49</v>
      </c>
      <c r="D1530">
        <v>2432.2556</v>
      </c>
      <c r="E1530" t="s">
        <v>41</v>
      </c>
      <c r="F1530" t="s">
        <v>10</v>
      </c>
    </row>
    <row r="1531" spans="1:6" hidden="1" x14ac:dyDescent="0.35">
      <c r="A1531" t="s">
        <v>61</v>
      </c>
      <c r="B1531" t="s">
        <v>33</v>
      </c>
      <c r="C1531" t="s">
        <v>49</v>
      </c>
      <c r="D1531">
        <v>125</v>
      </c>
      <c r="E1531" t="s">
        <v>41</v>
      </c>
      <c r="F1531" t="s">
        <v>10</v>
      </c>
    </row>
    <row r="1532" spans="1:6" hidden="1" x14ac:dyDescent="0.35">
      <c r="A1532" t="s">
        <v>62</v>
      </c>
      <c r="B1532" t="s">
        <v>33</v>
      </c>
      <c r="C1532" t="s">
        <v>49</v>
      </c>
      <c r="D1532">
        <v>5298.7003999999997</v>
      </c>
      <c r="E1532" t="s">
        <v>41</v>
      </c>
      <c r="F1532" t="s">
        <v>10</v>
      </c>
    </row>
    <row r="1533" spans="1:6" hidden="1" x14ac:dyDescent="0.35">
      <c r="A1533" t="s">
        <v>63</v>
      </c>
      <c r="B1533" t="s">
        <v>33</v>
      </c>
      <c r="C1533" t="s">
        <v>49</v>
      </c>
      <c r="D1533">
        <v>48882.787600000003</v>
      </c>
      <c r="E1533" t="s">
        <v>41</v>
      </c>
      <c r="F1533" t="s">
        <v>10</v>
      </c>
    </row>
    <row r="1534" spans="1:6" hidden="1" x14ac:dyDescent="0.35">
      <c r="A1534" t="s">
        <v>64</v>
      </c>
      <c r="B1534" t="s">
        <v>33</v>
      </c>
      <c r="C1534" t="s">
        <v>49</v>
      </c>
      <c r="D1534">
        <v>24939.7948</v>
      </c>
      <c r="E1534" t="s">
        <v>41</v>
      </c>
      <c r="F1534" t="s">
        <v>10</v>
      </c>
    </row>
    <row r="1535" spans="1:6" hidden="1" x14ac:dyDescent="0.35">
      <c r="A1535" t="s">
        <v>65</v>
      </c>
      <c r="B1535" t="s">
        <v>33</v>
      </c>
      <c r="C1535" t="s">
        <v>49</v>
      </c>
      <c r="D1535">
        <v>53059.172400000003</v>
      </c>
      <c r="E1535" t="s">
        <v>41</v>
      </c>
      <c r="F1535" t="s">
        <v>10</v>
      </c>
    </row>
    <row r="1536" spans="1:6" hidden="1" x14ac:dyDescent="0.35">
      <c r="A1536" t="s">
        <v>66</v>
      </c>
      <c r="B1536" t="s">
        <v>33</v>
      </c>
      <c r="C1536" t="s">
        <v>49</v>
      </c>
      <c r="D1536">
        <v>14699.5808</v>
      </c>
      <c r="E1536" t="s">
        <v>41</v>
      </c>
      <c r="F1536" t="s">
        <v>10</v>
      </c>
    </row>
    <row r="1537" spans="1:6" hidden="1" x14ac:dyDescent="0.35">
      <c r="A1537" t="s">
        <v>67</v>
      </c>
      <c r="B1537" t="s">
        <v>33</v>
      </c>
      <c r="C1537" t="s">
        <v>49</v>
      </c>
      <c r="D1537">
        <v>13862.18</v>
      </c>
      <c r="E1537" t="s">
        <v>41</v>
      </c>
      <c r="F1537" t="s">
        <v>10</v>
      </c>
    </row>
    <row r="1538" spans="1:6" hidden="1" x14ac:dyDescent="0.35">
      <c r="A1538" t="s">
        <v>57</v>
      </c>
      <c r="B1538" t="s">
        <v>33</v>
      </c>
      <c r="C1538" t="s">
        <v>50</v>
      </c>
      <c r="E1538" t="s">
        <v>41</v>
      </c>
      <c r="F1538" t="s">
        <v>10</v>
      </c>
    </row>
    <row r="1539" spans="1:6" hidden="1" x14ac:dyDescent="0.35">
      <c r="A1539" t="s">
        <v>11</v>
      </c>
      <c r="B1539" t="s">
        <v>33</v>
      </c>
      <c r="C1539" t="s">
        <v>50</v>
      </c>
      <c r="D1539">
        <v>188284.6256</v>
      </c>
      <c r="E1539" t="s">
        <v>41</v>
      </c>
      <c r="F1539" t="s">
        <v>10</v>
      </c>
    </row>
    <row r="1540" spans="1:6" hidden="1" x14ac:dyDescent="0.35">
      <c r="A1540" t="s">
        <v>58</v>
      </c>
      <c r="B1540" t="s">
        <v>33</v>
      </c>
      <c r="C1540" t="s">
        <v>50</v>
      </c>
      <c r="D1540">
        <v>109047.15</v>
      </c>
      <c r="E1540" t="s">
        <v>41</v>
      </c>
      <c r="F1540" t="s">
        <v>10</v>
      </c>
    </row>
    <row r="1541" spans="1:6" hidden="1" x14ac:dyDescent="0.35">
      <c r="A1541" t="s">
        <v>59</v>
      </c>
      <c r="B1541" t="s">
        <v>33</v>
      </c>
      <c r="C1541" t="s">
        <v>50</v>
      </c>
      <c r="D1541">
        <v>197494.68840000001</v>
      </c>
      <c r="E1541" t="s">
        <v>41</v>
      </c>
      <c r="F1541" t="s">
        <v>10</v>
      </c>
    </row>
    <row r="1542" spans="1:6" hidden="1" x14ac:dyDescent="0.35">
      <c r="A1542" t="s">
        <v>60</v>
      </c>
      <c r="B1542" t="s">
        <v>33</v>
      </c>
      <c r="C1542" t="s">
        <v>50</v>
      </c>
      <c r="D1542">
        <v>70764.803599999999</v>
      </c>
      <c r="E1542" t="s">
        <v>41</v>
      </c>
      <c r="F1542" t="s">
        <v>10</v>
      </c>
    </row>
    <row r="1543" spans="1:6" hidden="1" x14ac:dyDescent="0.35">
      <c r="A1543" t="s">
        <v>61</v>
      </c>
      <c r="B1543" t="s">
        <v>33</v>
      </c>
      <c r="C1543" t="s">
        <v>50</v>
      </c>
      <c r="D1543">
        <v>215898.8676</v>
      </c>
      <c r="E1543" t="s">
        <v>41</v>
      </c>
      <c r="F1543" t="s">
        <v>10</v>
      </c>
    </row>
    <row r="1544" spans="1:6" hidden="1" x14ac:dyDescent="0.35">
      <c r="A1544" t="s">
        <v>62</v>
      </c>
      <c r="B1544" t="s">
        <v>33</v>
      </c>
      <c r="C1544" t="s">
        <v>50</v>
      </c>
      <c r="D1544">
        <v>90962.952799999999</v>
      </c>
      <c r="E1544" t="s">
        <v>41</v>
      </c>
      <c r="F1544" t="s">
        <v>10</v>
      </c>
    </row>
    <row r="1545" spans="1:6" hidden="1" x14ac:dyDescent="0.35">
      <c r="A1545" t="s">
        <v>63</v>
      </c>
      <c r="B1545" t="s">
        <v>33</v>
      </c>
      <c r="C1545" t="s">
        <v>50</v>
      </c>
      <c r="D1545">
        <v>528160.54079999996</v>
      </c>
      <c r="E1545" t="s">
        <v>41</v>
      </c>
      <c r="F1545" t="s">
        <v>10</v>
      </c>
    </row>
    <row r="1546" spans="1:6" hidden="1" x14ac:dyDescent="0.35">
      <c r="A1546" t="s">
        <v>64</v>
      </c>
      <c r="B1546" t="s">
        <v>33</v>
      </c>
      <c r="C1546" t="s">
        <v>50</v>
      </c>
      <c r="D1546">
        <v>393932.98359999998</v>
      </c>
      <c r="E1546" t="s">
        <v>41</v>
      </c>
      <c r="F1546" t="s">
        <v>10</v>
      </c>
    </row>
    <row r="1547" spans="1:6" hidden="1" x14ac:dyDescent="0.35">
      <c r="A1547" t="s">
        <v>65</v>
      </c>
      <c r="B1547" t="s">
        <v>33</v>
      </c>
      <c r="C1547" t="s">
        <v>50</v>
      </c>
      <c r="D1547">
        <v>211224.29079999999</v>
      </c>
      <c r="E1547" t="s">
        <v>41</v>
      </c>
      <c r="F1547" t="s">
        <v>10</v>
      </c>
    </row>
    <row r="1548" spans="1:6" hidden="1" x14ac:dyDescent="0.35">
      <c r="A1548" t="s">
        <v>66</v>
      </c>
      <c r="B1548" t="s">
        <v>33</v>
      </c>
      <c r="C1548" t="s">
        <v>50</v>
      </c>
      <c r="D1548">
        <v>177811.08960000001</v>
      </c>
      <c r="E1548" t="s">
        <v>41</v>
      </c>
      <c r="F1548" t="s">
        <v>10</v>
      </c>
    </row>
    <row r="1549" spans="1:6" hidden="1" x14ac:dyDescent="0.35">
      <c r="A1549" t="s">
        <v>67</v>
      </c>
      <c r="B1549" t="s">
        <v>33</v>
      </c>
      <c r="C1549" t="s">
        <v>50</v>
      </c>
      <c r="D1549">
        <v>20468.245999999999</v>
      </c>
      <c r="E1549" t="s">
        <v>41</v>
      </c>
      <c r="F1549" t="s">
        <v>10</v>
      </c>
    </row>
    <row r="1550" spans="1:6" hidden="1" x14ac:dyDescent="0.35">
      <c r="A1550" t="s">
        <v>57</v>
      </c>
      <c r="B1550" t="s">
        <v>33</v>
      </c>
      <c r="C1550" t="s">
        <v>51</v>
      </c>
      <c r="D1550">
        <v>2</v>
      </c>
      <c r="E1550" t="s">
        <v>41</v>
      </c>
      <c r="F1550" t="s">
        <v>10</v>
      </c>
    </row>
    <row r="1551" spans="1:6" hidden="1" x14ac:dyDescent="0.35">
      <c r="A1551" t="s">
        <v>11</v>
      </c>
      <c r="B1551" t="s">
        <v>33</v>
      </c>
      <c r="C1551" t="s">
        <v>51</v>
      </c>
      <c r="D1551">
        <v>2</v>
      </c>
      <c r="E1551" t="s">
        <v>41</v>
      </c>
      <c r="F1551" t="s">
        <v>10</v>
      </c>
    </row>
    <row r="1552" spans="1:6" hidden="1" x14ac:dyDescent="0.35">
      <c r="A1552" t="s">
        <v>58</v>
      </c>
      <c r="B1552" t="s">
        <v>33</v>
      </c>
      <c r="C1552" t="s">
        <v>51</v>
      </c>
      <c r="E1552" t="s">
        <v>41</v>
      </c>
      <c r="F1552" t="s">
        <v>10</v>
      </c>
    </row>
    <row r="1553" spans="1:6" hidden="1" x14ac:dyDescent="0.35">
      <c r="A1553" t="s">
        <v>59</v>
      </c>
      <c r="B1553" t="s">
        <v>33</v>
      </c>
      <c r="C1553" t="s">
        <v>51</v>
      </c>
      <c r="E1553" t="s">
        <v>41</v>
      </c>
      <c r="F1553" t="s">
        <v>10</v>
      </c>
    </row>
    <row r="1554" spans="1:6" hidden="1" x14ac:dyDescent="0.35">
      <c r="A1554" t="s">
        <v>60</v>
      </c>
      <c r="B1554" t="s">
        <v>33</v>
      </c>
      <c r="C1554" t="s">
        <v>51</v>
      </c>
      <c r="E1554" t="s">
        <v>41</v>
      </c>
      <c r="F1554" t="s">
        <v>10</v>
      </c>
    </row>
    <row r="1555" spans="1:6" hidden="1" x14ac:dyDescent="0.35">
      <c r="A1555" t="s">
        <v>61</v>
      </c>
      <c r="B1555" t="s">
        <v>33</v>
      </c>
      <c r="C1555" t="s">
        <v>51</v>
      </c>
      <c r="D1555">
        <v>1</v>
      </c>
      <c r="E1555" t="s">
        <v>41</v>
      </c>
      <c r="F1555" t="s">
        <v>10</v>
      </c>
    </row>
    <row r="1556" spans="1:6" hidden="1" x14ac:dyDescent="0.35">
      <c r="A1556" t="s">
        <v>62</v>
      </c>
      <c r="B1556" t="s">
        <v>33</v>
      </c>
      <c r="C1556" t="s">
        <v>51</v>
      </c>
      <c r="E1556" t="s">
        <v>41</v>
      </c>
      <c r="F1556" t="s">
        <v>10</v>
      </c>
    </row>
    <row r="1557" spans="1:6" hidden="1" x14ac:dyDescent="0.35">
      <c r="A1557" t="s">
        <v>63</v>
      </c>
      <c r="B1557" t="s">
        <v>33</v>
      </c>
      <c r="C1557" t="s">
        <v>51</v>
      </c>
      <c r="D1557">
        <v>2</v>
      </c>
      <c r="E1557" t="s">
        <v>41</v>
      </c>
      <c r="F1557" t="s">
        <v>10</v>
      </c>
    </row>
    <row r="1558" spans="1:6" hidden="1" x14ac:dyDescent="0.35">
      <c r="A1558" t="s">
        <v>64</v>
      </c>
      <c r="B1558" t="s">
        <v>33</v>
      </c>
      <c r="C1558" t="s">
        <v>51</v>
      </c>
      <c r="E1558" t="s">
        <v>41</v>
      </c>
      <c r="F1558" t="s">
        <v>10</v>
      </c>
    </row>
    <row r="1559" spans="1:6" hidden="1" x14ac:dyDescent="0.35">
      <c r="A1559" t="s">
        <v>65</v>
      </c>
      <c r="B1559" t="s">
        <v>33</v>
      </c>
      <c r="C1559" t="s">
        <v>51</v>
      </c>
      <c r="E1559" t="s">
        <v>41</v>
      </c>
      <c r="F1559" t="s">
        <v>10</v>
      </c>
    </row>
    <row r="1560" spans="1:6" hidden="1" x14ac:dyDescent="0.35">
      <c r="A1560" t="s">
        <v>66</v>
      </c>
      <c r="B1560" t="s">
        <v>33</v>
      </c>
      <c r="C1560" t="s">
        <v>51</v>
      </c>
      <c r="E1560" t="s">
        <v>41</v>
      </c>
      <c r="F1560" t="s">
        <v>10</v>
      </c>
    </row>
    <row r="1561" spans="1:6" hidden="1" x14ac:dyDescent="0.35">
      <c r="A1561" t="s">
        <v>67</v>
      </c>
      <c r="B1561" t="s">
        <v>33</v>
      </c>
      <c r="C1561" t="s">
        <v>51</v>
      </c>
      <c r="D1561">
        <v>1</v>
      </c>
      <c r="E1561" t="s">
        <v>41</v>
      </c>
      <c r="F1561" t="s">
        <v>10</v>
      </c>
    </row>
    <row r="1562" spans="1:6" hidden="1" x14ac:dyDescent="0.35">
      <c r="A1562" t="s">
        <v>57</v>
      </c>
      <c r="B1562" t="s">
        <v>33</v>
      </c>
      <c r="C1562" t="s">
        <v>30</v>
      </c>
      <c r="E1562" t="s">
        <v>41</v>
      </c>
      <c r="F1562" t="s">
        <v>10</v>
      </c>
    </row>
    <row r="1563" spans="1:6" hidden="1" x14ac:dyDescent="0.35">
      <c r="A1563" t="s">
        <v>11</v>
      </c>
      <c r="B1563" t="s">
        <v>33</v>
      </c>
      <c r="C1563" t="s">
        <v>30</v>
      </c>
      <c r="D1563">
        <v>2</v>
      </c>
      <c r="E1563" t="s">
        <v>41</v>
      </c>
      <c r="F1563" t="s">
        <v>10</v>
      </c>
    </row>
    <row r="1564" spans="1:6" hidden="1" x14ac:dyDescent="0.35">
      <c r="A1564" t="s">
        <v>58</v>
      </c>
      <c r="B1564" t="s">
        <v>33</v>
      </c>
      <c r="C1564" t="s">
        <v>30</v>
      </c>
      <c r="D1564">
        <v>1</v>
      </c>
      <c r="E1564" t="s">
        <v>41</v>
      </c>
      <c r="F1564" t="s">
        <v>10</v>
      </c>
    </row>
    <row r="1565" spans="1:6" hidden="1" x14ac:dyDescent="0.35">
      <c r="A1565" t="s">
        <v>59</v>
      </c>
      <c r="B1565" t="s">
        <v>33</v>
      </c>
      <c r="C1565" t="s">
        <v>30</v>
      </c>
      <c r="D1565">
        <v>2</v>
      </c>
      <c r="E1565" t="s">
        <v>41</v>
      </c>
      <c r="F1565" t="s">
        <v>10</v>
      </c>
    </row>
    <row r="1566" spans="1:6" hidden="1" x14ac:dyDescent="0.35">
      <c r="A1566" t="s">
        <v>60</v>
      </c>
      <c r="B1566" t="s">
        <v>33</v>
      </c>
      <c r="C1566" t="s">
        <v>30</v>
      </c>
      <c r="D1566">
        <v>6</v>
      </c>
      <c r="E1566" t="s">
        <v>41</v>
      </c>
      <c r="F1566" t="s">
        <v>10</v>
      </c>
    </row>
    <row r="1567" spans="1:6" hidden="1" x14ac:dyDescent="0.35">
      <c r="A1567" t="s">
        <v>61</v>
      </c>
      <c r="B1567" t="s">
        <v>33</v>
      </c>
      <c r="C1567" t="s">
        <v>30</v>
      </c>
      <c r="D1567">
        <v>2</v>
      </c>
      <c r="E1567" t="s">
        <v>41</v>
      </c>
      <c r="F1567" t="s">
        <v>10</v>
      </c>
    </row>
    <row r="1568" spans="1:6" hidden="1" x14ac:dyDescent="0.35">
      <c r="A1568" t="s">
        <v>62</v>
      </c>
      <c r="B1568" t="s">
        <v>33</v>
      </c>
      <c r="C1568" t="s">
        <v>30</v>
      </c>
      <c r="D1568">
        <v>2</v>
      </c>
      <c r="E1568" t="s">
        <v>41</v>
      </c>
      <c r="F1568" t="s">
        <v>10</v>
      </c>
    </row>
    <row r="1569" spans="1:6" hidden="1" x14ac:dyDescent="0.35">
      <c r="A1569" t="s">
        <v>63</v>
      </c>
      <c r="B1569" t="s">
        <v>33</v>
      </c>
      <c r="C1569" t="s">
        <v>30</v>
      </c>
      <c r="D1569">
        <v>1</v>
      </c>
      <c r="E1569" t="s">
        <v>41</v>
      </c>
      <c r="F1569" t="s">
        <v>10</v>
      </c>
    </row>
    <row r="1570" spans="1:6" hidden="1" x14ac:dyDescent="0.35">
      <c r="A1570" t="s">
        <v>64</v>
      </c>
      <c r="B1570" t="s">
        <v>33</v>
      </c>
      <c r="C1570" t="s">
        <v>30</v>
      </c>
      <c r="D1570">
        <v>3</v>
      </c>
      <c r="E1570" t="s">
        <v>41</v>
      </c>
      <c r="F1570" t="s">
        <v>10</v>
      </c>
    </row>
    <row r="1571" spans="1:6" hidden="1" x14ac:dyDescent="0.35">
      <c r="A1571" t="s">
        <v>65</v>
      </c>
      <c r="B1571" t="s">
        <v>33</v>
      </c>
      <c r="C1571" t="s">
        <v>30</v>
      </c>
      <c r="D1571">
        <v>3</v>
      </c>
      <c r="E1571" t="s">
        <v>41</v>
      </c>
      <c r="F1571" t="s">
        <v>10</v>
      </c>
    </row>
    <row r="1572" spans="1:6" hidden="1" x14ac:dyDescent="0.35">
      <c r="A1572" t="s">
        <v>66</v>
      </c>
      <c r="B1572" t="s">
        <v>33</v>
      </c>
      <c r="C1572" t="s">
        <v>30</v>
      </c>
      <c r="D1572">
        <v>1</v>
      </c>
      <c r="E1572" t="s">
        <v>41</v>
      </c>
      <c r="F1572" t="s">
        <v>10</v>
      </c>
    </row>
    <row r="1573" spans="1:6" hidden="1" x14ac:dyDescent="0.35">
      <c r="A1573" t="s">
        <v>67</v>
      </c>
      <c r="B1573" t="s">
        <v>33</v>
      </c>
      <c r="C1573" t="s">
        <v>30</v>
      </c>
      <c r="D1573">
        <v>2</v>
      </c>
      <c r="E1573" t="s">
        <v>41</v>
      </c>
      <c r="F1573" t="s">
        <v>10</v>
      </c>
    </row>
    <row r="1574" spans="1:6" hidden="1" x14ac:dyDescent="0.35">
      <c r="A1574" t="s">
        <v>57</v>
      </c>
      <c r="B1574" t="s">
        <v>33</v>
      </c>
      <c r="C1574" t="s">
        <v>52</v>
      </c>
      <c r="D1574">
        <v>2</v>
      </c>
      <c r="E1574" t="s">
        <v>41</v>
      </c>
      <c r="F1574" t="s">
        <v>10</v>
      </c>
    </row>
    <row r="1575" spans="1:6" hidden="1" x14ac:dyDescent="0.35">
      <c r="A1575" t="s">
        <v>11</v>
      </c>
      <c r="B1575" t="s">
        <v>33</v>
      </c>
      <c r="C1575" t="s">
        <v>52</v>
      </c>
      <c r="D1575">
        <v>2</v>
      </c>
      <c r="E1575" t="s">
        <v>41</v>
      </c>
      <c r="F1575" t="s">
        <v>10</v>
      </c>
    </row>
    <row r="1576" spans="1:6" hidden="1" x14ac:dyDescent="0.35">
      <c r="A1576" t="s">
        <v>58</v>
      </c>
      <c r="B1576" t="s">
        <v>33</v>
      </c>
      <c r="C1576" t="s">
        <v>52</v>
      </c>
      <c r="E1576" t="s">
        <v>41</v>
      </c>
      <c r="F1576" t="s">
        <v>10</v>
      </c>
    </row>
    <row r="1577" spans="1:6" hidden="1" x14ac:dyDescent="0.35">
      <c r="A1577" t="s">
        <v>59</v>
      </c>
      <c r="B1577" t="s">
        <v>33</v>
      </c>
      <c r="C1577" t="s">
        <v>52</v>
      </c>
      <c r="E1577" t="s">
        <v>41</v>
      </c>
      <c r="F1577" t="s">
        <v>10</v>
      </c>
    </row>
    <row r="1578" spans="1:6" hidden="1" x14ac:dyDescent="0.35">
      <c r="A1578" t="s">
        <v>60</v>
      </c>
      <c r="B1578" t="s">
        <v>33</v>
      </c>
      <c r="C1578" t="s">
        <v>52</v>
      </c>
      <c r="E1578" t="s">
        <v>41</v>
      </c>
      <c r="F1578" t="s">
        <v>10</v>
      </c>
    </row>
    <row r="1579" spans="1:6" hidden="1" x14ac:dyDescent="0.35">
      <c r="A1579" t="s">
        <v>61</v>
      </c>
      <c r="B1579" t="s">
        <v>33</v>
      </c>
      <c r="C1579" t="s">
        <v>52</v>
      </c>
      <c r="D1579">
        <v>1</v>
      </c>
      <c r="E1579" t="s">
        <v>41</v>
      </c>
      <c r="F1579" t="s">
        <v>10</v>
      </c>
    </row>
    <row r="1580" spans="1:6" hidden="1" x14ac:dyDescent="0.35">
      <c r="A1580" t="s">
        <v>62</v>
      </c>
      <c r="B1580" t="s">
        <v>33</v>
      </c>
      <c r="C1580" t="s">
        <v>52</v>
      </c>
      <c r="E1580" t="s">
        <v>41</v>
      </c>
      <c r="F1580" t="s">
        <v>10</v>
      </c>
    </row>
    <row r="1581" spans="1:6" hidden="1" x14ac:dyDescent="0.35">
      <c r="A1581" t="s">
        <v>63</v>
      </c>
      <c r="B1581" t="s">
        <v>33</v>
      </c>
      <c r="C1581" t="s">
        <v>52</v>
      </c>
      <c r="E1581" t="s">
        <v>41</v>
      </c>
      <c r="F1581" t="s">
        <v>10</v>
      </c>
    </row>
    <row r="1582" spans="1:6" hidden="1" x14ac:dyDescent="0.35">
      <c r="A1582" t="s">
        <v>64</v>
      </c>
      <c r="B1582" t="s">
        <v>33</v>
      </c>
      <c r="C1582" t="s">
        <v>52</v>
      </c>
      <c r="E1582" t="s">
        <v>41</v>
      </c>
      <c r="F1582" t="s">
        <v>10</v>
      </c>
    </row>
    <row r="1583" spans="1:6" hidden="1" x14ac:dyDescent="0.35">
      <c r="A1583" t="s">
        <v>65</v>
      </c>
      <c r="B1583" t="s">
        <v>33</v>
      </c>
      <c r="C1583" t="s">
        <v>52</v>
      </c>
      <c r="E1583" t="s">
        <v>41</v>
      </c>
      <c r="F1583" t="s">
        <v>10</v>
      </c>
    </row>
    <row r="1584" spans="1:6" hidden="1" x14ac:dyDescent="0.35">
      <c r="A1584" t="s">
        <v>66</v>
      </c>
      <c r="B1584" t="s">
        <v>33</v>
      </c>
      <c r="C1584" t="s">
        <v>52</v>
      </c>
      <c r="E1584" t="s">
        <v>41</v>
      </c>
      <c r="F1584" t="s">
        <v>10</v>
      </c>
    </row>
    <row r="1585" spans="1:6" hidden="1" x14ac:dyDescent="0.35">
      <c r="A1585" t="s">
        <v>67</v>
      </c>
      <c r="B1585" t="s">
        <v>33</v>
      </c>
      <c r="C1585" t="s">
        <v>52</v>
      </c>
      <c r="E1585" t="s">
        <v>41</v>
      </c>
      <c r="F1585" t="s">
        <v>10</v>
      </c>
    </row>
    <row r="1586" spans="1:6" hidden="1" x14ac:dyDescent="0.35">
      <c r="A1586" t="s">
        <v>57</v>
      </c>
      <c r="B1586" t="s">
        <v>53</v>
      </c>
      <c r="C1586" t="s">
        <v>44</v>
      </c>
      <c r="E1586" t="s">
        <v>41</v>
      </c>
      <c r="F1586" t="s">
        <v>10</v>
      </c>
    </row>
    <row r="1587" spans="1:6" hidden="1" x14ac:dyDescent="0.35">
      <c r="A1587" t="s">
        <v>11</v>
      </c>
      <c r="B1587" t="s">
        <v>53</v>
      </c>
      <c r="C1587" t="s">
        <v>44</v>
      </c>
      <c r="E1587" t="s">
        <v>41</v>
      </c>
      <c r="F1587" t="s">
        <v>10</v>
      </c>
    </row>
    <row r="1588" spans="1:6" hidden="1" x14ac:dyDescent="0.35">
      <c r="A1588" t="s">
        <v>58</v>
      </c>
      <c r="B1588" t="s">
        <v>53</v>
      </c>
      <c r="C1588" t="s">
        <v>44</v>
      </c>
      <c r="D1588">
        <v>17075.543882384842</v>
      </c>
      <c r="E1588" t="s">
        <v>41</v>
      </c>
      <c r="F1588" t="s">
        <v>10</v>
      </c>
    </row>
    <row r="1589" spans="1:6" hidden="1" x14ac:dyDescent="0.35">
      <c r="A1589" t="s">
        <v>59</v>
      </c>
      <c r="B1589" t="s">
        <v>53</v>
      </c>
      <c r="C1589" t="s">
        <v>44</v>
      </c>
      <c r="E1589" t="s">
        <v>41</v>
      </c>
      <c r="F1589" t="s">
        <v>10</v>
      </c>
    </row>
    <row r="1590" spans="1:6" hidden="1" x14ac:dyDescent="0.35">
      <c r="A1590" t="s">
        <v>60</v>
      </c>
      <c r="B1590" t="s">
        <v>53</v>
      </c>
      <c r="C1590" t="s">
        <v>44</v>
      </c>
      <c r="E1590" t="s">
        <v>41</v>
      </c>
      <c r="F1590" t="s">
        <v>10</v>
      </c>
    </row>
    <row r="1591" spans="1:6" hidden="1" x14ac:dyDescent="0.35">
      <c r="A1591" t="s">
        <v>61</v>
      </c>
      <c r="B1591" t="s">
        <v>53</v>
      </c>
      <c r="C1591" t="s">
        <v>44</v>
      </c>
      <c r="E1591" t="s">
        <v>41</v>
      </c>
      <c r="F1591" t="s">
        <v>10</v>
      </c>
    </row>
    <row r="1592" spans="1:6" hidden="1" x14ac:dyDescent="0.35">
      <c r="A1592" t="s">
        <v>62</v>
      </c>
      <c r="B1592" t="s">
        <v>53</v>
      </c>
      <c r="C1592" t="s">
        <v>44</v>
      </c>
      <c r="E1592" t="s">
        <v>41</v>
      </c>
      <c r="F1592" t="s">
        <v>10</v>
      </c>
    </row>
    <row r="1593" spans="1:6" hidden="1" x14ac:dyDescent="0.35">
      <c r="A1593" t="s">
        <v>63</v>
      </c>
      <c r="B1593" t="s">
        <v>53</v>
      </c>
      <c r="C1593" t="s">
        <v>44</v>
      </c>
      <c r="E1593" t="s">
        <v>41</v>
      </c>
      <c r="F1593" t="s">
        <v>10</v>
      </c>
    </row>
    <row r="1594" spans="1:6" hidden="1" x14ac:dyDescent="0.35">
      <c r="A1594" t="s">
        <v>64</v>
      </c>
      <c r="B1594" t="s">
        <v>53</v>
      </c>
      <c r="C1594" t="s">
        <v>44</v>
      </c>
      <c r="E1594" t="s">
        <v>41</v>
      </c>
      <c r="F1594" t="s">
        <v>10</v>
      </c>
    </row>
    <row r="1595" spans="1:6" hidden="1" x14ac:dyDescent="0.35">
      <c r="A1595" t="s">
        <v>65</v>
      </c>
      <c r="B1595" t="s">
        <v>53</v>
      </c>
      <c r="C1595" t="s">
        <v>44</v>
      </c>
      <c r="E1595" t="s">
        <v>41</v>
      </c>
      <c r="F1595" t="s">
        <v>10</v>
      </c>
    </row>
    <row r="1596" spans="1:6" hidden="1" x14ac:dyDescent="0.35">
      <c r="A1596" t="s">
        <v>66</v>
      </c>
      <c r="B1596" t="s">
        <v>53</v>
      </c>
      <c r="C1596" t="s">
        <v>44</v>
      </c>
      <c r="E1596" t="s">
        <v>41</v>
      </c>
      <c r="F1596" t="s">
        <v>10</v>
      </c>
    </row>
    <row r="1597" spans="1:6" hidden="1" x14ac:dyDescent="0.35">
      <c r="A1597" t="s">
        <v>67</v>
      </c>
      <c r="B1597" t="s">
        <v>53</v>
      </c>
      <c r="C1597" t="s">
        <v>44</v>
      </c>
      <c r="E1597" t="s">
        <v>41</v>
      </c>
      <c r="F1597" t="s">
        <v>10</v>
      </c>
    </row>
    <row r="1598" spans="1:6" hidden="1" x14ac:dyDescent="0.35">
      <c r="A1598" t="s">
        <v>57</v>
      </c>
      <c r="B1598" t="s">
        <v>53</v>
      </c>
      <c r="C1598" t="s">
        <v>22</v>
      </c>
      <c r="D1598">
        <v>0</v>
      </c>
      <c r="E1598" t="s">
        <v>41</v>
      </c>
      <c r="F1598" t="s">
        <v>10</v>
      </c>
    </row>
    <row r="1599" spans="1:6" hidden="1" x14ac:dyDescent="0.35">
      <c r="A1599" t="s">
        <v>11</v>
      </c>
      <c r="B1599" t="s">
        <v>53</v>
      </c>
      <c r="C1599" t="s">
        <v>22</v>
      </c>
      <c r="D1599">
        <v>0</v>
      </c>
      <c r="E1599" t="s">
        <v>41</v>
      </c>
      <c r="F1599" t="s">
        <v>10</v>
      </c>
    </row>
    <row r="1600" spans="1:6" hidden="1" x14ac:dyDescent="0.35">
      <c r="A1600" t="s">
        <v>58</v>
      </c>
      <c r="B1600" t="s">
        <v>53</v>
      </c>
      <c r="C1600" t="s">
        <v>22</v>
      </c>
      <c r="D1600">
        <v>0</v>
      </c>
      <c r="E1600" t="s">
        <v>41</v>
      </c>
      <c r="F1600" t="s">
        <v>10</v>
      </c>
    </row>
    <row r="1601" spans="1:6" hidden="1" x14ac:dyDescent="0.35">
      <c r="A1601" t="s">
        <v>59</v>
      </c>
      <c r="B1601" t="s">
        <v>53</v>
      </c>
      <c r="C1601" t="s">
        <v>22</v>
      </c>
      <c r="D1601">
        <v>0</v>
      </c>
      <c r="E1601" t="s">
        <v>41</v>
      </c>
      <c r="F1601" t="s">
        <v>10</v>
      </c>
    </row>
    <row r="1602" spans="1:6" hidden="1" x14ac:dyDescent="0.35">
      <c r="A1602" t="s">
        <v>60</v>
      </c>
      <c r="B1602" t="s">
        <v>53</v>
      </c>
      <c r="C1602" t="s">
        <v>22</v>
      </c>
      <c r="D1602">
        <v>0</v>
      </c>
      <c r="E1602" t="s">
        <v>41</v>
      </c>
      <c r="F1602" t="s">
        <v>10</v>
      </c>
    </row>
    <row r="1603" spans="1:6" hidden="1" x14ac:dyDescent="0.35">
      <c r="A1603" t="s">
        <v>61</v>
      </c>
      <c r="B1603" t="s">
        <v>53</v>
      </c>
      <c r="C1603" t="s">
        <v>22</v>
      </c>
      <c r="D1603">
        <v>0</v>
      </c>
      <c r="E1603" t="s">
        <v>41</v>
      </c>
      <c r="F1603" t="s">
        <v>10</v>
      </c>
    </row>
    <row r="1604" spans="1:6" hidden="1" x14ac:dyDescent="0.35">
      <c r="A1604" t="s">
        <v>62</v>
      </c>
      <c r="B1604" t="s">
        <v>53</v>
      </c>
      <c r="C1604" t="s">
        <v>22</v>
      </c>
      <c r="D1604">
        <v>0</v>
      </c>
      <c r="E1604" t="s">
        <v>41</v>
      </c>
      <c r="F1604" t="s">
        <v>10</v>
      </c>
    </row>
    <row r="1605" spans="1:6" hidden="1" x14ac:dyDescent="0.35">
      <c r="A1605" t="s">
        <v>63</v>
      </c>
      <c r="B1605" t="s">
        <v>53</v>
      </c>
      <c r="C1605" t="s">
        <v>22</v>
      </c>
      <c r="D1605">
        <v>0</v>
      </c>
      <c r="E1605" t="s">
        <v>41</v>
      </c>
      <c r="F1605" t="s">
        <v>10</v>
      </c>
    </row>
    <row r="1606" spans="1:6" hidden="1" x14ac:dyDescent="0.35">
      <c r="A1606" t="s">
        <v>64</v>
      </c>
      <c r="B1606" t="s">
        <v>53</v>
      </c>
      <c r="C1606" t="s">
        <v>22</v>
      </c>
      <c r="D1606">
        <v>0</v>
      </c>
      <c r="E1606" t="s">
        <v>41</v>
      </c>
      <c r="F1606" t="s">
        <v>10</v>
      </c>
    </row>
    <row r="1607" spans="1:6" hidden="1" x14ac:dyDescent="0.35">
      <c r="A1607" t="s">
        <v>65</v>
      </c>
      <c r="B1607" t="s">
        <v>53</v>
      </c>
      <c r="C1607" t="s">
        <v>22</v>
      </c>
      <c r="D1607">
        <v>0</v>
      </c>
      <c r="E1607" t="s">
        <v>41</v>
      </c>
      <c r="F1607" t="s">
        <v>10</v>
      </c>
    </row>
    <row r="1608" spans="1:6" hidden="1" x14ac:dyDescent="0.35">
      <c r="A1608" t="s">
        <v>66</v>
      </c>
      <c r="B1608" t="s">
        <v>53</v>
      </c>
      <c r="C1608" t="s">
        <v>22</v>
      </c>
      <c r="D1608">
        <v>0</v>
      </c>
      <c r="E1608" t="s">
        <v>41</v>
      </c>
      <c r="F1608" t="s">
        <v>10</v>
      </c>
    </row>
    <row r="1609" spans="1:6" hidden="1" x14ac:dyDescent="0.35">
      <c r="A1609" t="s">
        <v>67</v>
      </c>
      <c r="B1609" t="s">
        <v>53</v>
      </c>
      <c r="C1609" t="s">
        <v>22</v>
      </c>
      <c r="D1609">
        <v>0</v>
      </c>
      <c r="E1609" t="s">
        <v>41</v>
      </c>
      <c r="F1609" t="s">
        <v>10</v>
      </c>
    </row>
    <row r="1610" spans="1:6" hidden="1" x14ac:dyDescent="0.35">
      <c r="A1610" t="s">
        <v>57</v>
      </c>
      <c r="B1610" t="s">
        <v>53</v>
      </c>
      <c r="C1610" t="s">
        <v>46</v>
      </c>
      <c r="E1610" t="s">
        <v>41</v>
      </c>
      <c r="F1610" t="s">
        <v>10</v>
      </c>
    </row>
    <row r="1611" spans="1:6" hidden="1" x14ac:dyDescent="0.35">
      <c r="A1611" t="s">
        <v>11</v>
      </c>
      <c r="B1611" t="s">
        <v>53</v>
      </c>
      <c r="C1611" t="s">
        <v>46</v>
      </c>
      <c r="E1611" t="s">
        <v>41</v>
      </c>
      <c r="F1611" t="s">
        <v>10</v>
      </c>
    </row>
    <row r="1612" spans="1:6" hidden="1" x14ac:dyDescent="0.35">
      <c r="A1612" t="s">
        <v>58</v>
      </c>
      <c r="B1612" t="s">
        <v>53</v>
      </c>
      <c r="C1612" t="s">
        <v>46</v>
      </c>
      <c r="D1612">
        <v>163703.52303523029</v>
      </c>
      <c r="E1612" t="s">
        <v>41</v>
      </c>
      <c r="F1612" t="s">
        <v>10</v>
      </c>
    </row>
    <row r="1613" spans="1:6" hidden="1" x14ac:dyDescent="0.35">
      <c r="A1613" t="s">
        <v>59</v>
      </c>
      <c r="B1613" t="s">
        <v>53</v>
      </c>
      <c r="C1613" t="s">
        <v>46</v>
      </c>
      <c r="E1613" t="s">
        <v>41</v>
      </c>
      <c r="F1613" t="s">
        <v>10</v>
      </c>
    </row>
    <row r="1614" spans="1:6" hidden="1" x14ac:dyDescent="0.35">
      <c r="A1614" t="s">
        <v>60</v>
      </c>
      <c r="B1614" t="s">
        <v>53</v>
      </c>
      <c r="C1614" t="s">
        <v>46</v>
      </c>
      <c r="E1614" t="s">
        <v>41</v>
      </c>
      <c r="F1614" t="s">
        <v>10</v>
      </c>
    </row>
    <row r="1615" spans="1:6" hidden="1" x14ac:dyDescent="0.35">
      <c r="A1615" t="s">
        <v>61</v>
      </c>
      <c r="B1615" t="s">
        <v>53</v>
      </c>
      <c r="C1615" t="s">
        <v>46</v>
      </c>
      <c r="E1615" t="s">
        <v>41</v>
      </c>
      <c r="F1615" t="s">
        <v>10</v>
      </c>
    </row>
    <row r="1616" spans="1:6" hidden="1" x14ac:dyDescent="0.35">
      <c r="A1616" t="s">
        <v>62</v>
      </c>
      <c r="B1616" t="s">
        <v>53</v>
      </c>
      <c r="C1616" t="s">
        <v>46</v>
      </c>
      <c r="E1616" t="s">
        <v>41</v>
      </c>
      <c r="F1616" t="s">
        <v>10</v>
      </c>
    </row>
    <row r="1617" spans="1:6" hidden="1" x14ac:dyDescent="0.35">
      <c r="A1617" t="s">
        <v>63</v>
      </c>
      <c r="B1617" t="s">
        <v>53</v>
      </c>
      <c r="C1617" t="s">
        <v>46</v>
      </c>
      <c r="E1617" t="s">
        <v>41</v>
      </c>
      <c r="F1617" t="s">
        <v>10</v>
      </c>
    </row>
    <row r="1618" spans="1:6" hidden="1" x14ac:dyDescent="0.35">
      <c r="A1618" t="s">
        <v>64</v>
      </c>
      <c r="B1618" t="s">
        <v>53</v>
      </c>
      <c r="C1618" t="s">
        <v>46</v>
      </c>
      <c r="E1618" t="s">
        <v>41</v>
      </c>
      <c r="F1618" t="s">
        <v>10</v>
      </c>
    </row>
    <row r="1619" spans="1:6" hidden="1" x14ac:dyDescent="0.35">
      <c r="A1619" t="s">
        <v>65</v>
      </c>
      <c r="B1619" t="s">
        <v>53</v>
      </c>
      <c r="C1619" t="s">
        <v>46</v>
      </c>
      <c r="E1619" t="s">
        <v>41</v>
      </c>
      <c r="F1619" t="s">
        <v>10</v>
      </c>
    </row>
    <row r="1620" spans="1:6" hidden="1" x14ac:dyDescent="0.35">
      <c r="A1620" t="s">
        <v>66</v>
      </c>
      <c r="B1620" t="s">
        <v>53</v>
      </c>
      <c r="C1620" t="s">
        <v>46</v>
      </c>
      <c r="E1620" t="s">
        <v>41</v>
      </c>
      <c r="F1620" t="s">
        <v>10</v>
      </c>
    </row>
    <row r="1621" spans="1:6" hidden="1" x14ac:dyDescent="0.35">
      <c r="A1621" t="s">
        <v>67</v>
      </c>
      <c r="B1621" t="s">
        <v>53</v>
      </c>
      <c r="C1621" t="s">
        <v>46</v>
      </c>
      <c r="E1621" t="s">
        <v>41</v>
      </c>
      <c r="F1621" t="s">
        <v>10</v>
      </c>
    </row>
    <row r="1622" spans="1:6" hidden="1" x14ac:dyDescent="0.35">
      <c r="A1622" t="s">
        <v>57</v>
      </c>
      <c r="B1622" t="s">
        <v>53</v>
      </c>
      <c r="C1622" t="s">
        <v>24</v>
      </c>
      <c r="D1622">
        <v>0</v>
      </c>
      <c r="E1622" t="s">
        <v>41</v>
      </c>
      <c r="F1622" t="s">
        <v>10</v>
      </c>
    </row>
    <row r="1623" spans="1:6" hidden="1" x14ac:dyDescent="0.35">
      <c r="A1623" t="s">
        <v>11</v>
      </c>
      <c r="B1623" t="s">
        <v>53</v>
      </c>
      <c r="C1623" t="s">
        <v>24</v>
      </c>
      <c r="D1623">
        <v>0</v>
      </c>
      <c r="E1623" t="s">
        <v>41</v>
      </c>
      <c r="F1623" t="s">
        <v>10</v>
      </c>
    </row>
    <row r="1624" spans="1:6" hidden="1" x14ac:dyDescent="0.35">
      <c r="A1624" t="s">
        <v>58</v>
      </c>
      <c r="B1624" t="s">
        <v>53</v>
      </c>
      <c r="C1624" t="s">
        <v>24</v>
      </c>
      <c r="D1624">
        <v>0</v>
      </c>
      <c r="E1624" t="s">
        <v>41</v>
      </c>
      <c r="F1624" t="s">
        <v>10</v>
      </c>
    </row>
    <row r="1625" spans="1:6" hidden="1" x14ac:dyDescent="0.35">
      <c r="A1625" t="s">
        <v>59</v>
      </c>
      <c r="B1625" t="s">
        <v>53</v>
      </c>
      <c r="C1625" t="s">
        <v>24</v>
      </c>
      <c r="D1625">
        <v>0</v>
      </c>
      <c r="E1625" t="s">
        <v>41</v>
      </c>
      <c r="F1625" t="s">
        <v>10</v>
      </c>
    </row>
    <row r="1626" spans="1:6" hidden="1" x14ac:dyDescent="0.35">
      <c r="A1626" t="s">
        <v>60</v>
      </c>
      <c r="B1626" t="s">
        <v>53</v>
      </c>
      <c r="C1626" t="s">
        <v>24</v>
      </c>
      <c r="D1626">
        <v>0</v>
      </c>
      <c r="E1626" t="s">
        <v>41</v>
      </c>
      <c r="F1626" t="s">
        <v>10</v>
      </c>
    </row>
    <row r="1627" spans="1:6" hidden="1" x14ac:dyDescent="0.35">
      <c r="A1627" t="s">
        <v>61</v>
      </c>
      <c r="B1627" t="s">
        <v>53</v>
      </c>
      <c r="C1627" t="s">
        <v>24</v>
      </c>
      <c r="D1627">
        <v>0</v>
      </c>
      <c r="E1627" t="s">
        <v>41</v>
      </c>
      <c r="F1627" t="s">
        <v>10</v>
      </c>
    </row>
    <row r="1628" spans="1:6" hidden="1" x14ac:dyDescent="0.35">
      <c r="A1628" t="s">
        <v>62</v>
      </c>
      <c r="B1628" t="s">
        <v>53</v>
      </c>
      <c r="C1628" t="s">
        <v>24</v>
      </c>
      <c r="D1628">
        <v>0</v>
      </c>
      <c r="E1628" t="s">
        <v>41</v>
      </c>
      <c r="F1628" t="s">
        <v>10</v>
      </c>
    </row>
    <row r="1629" spans="1:6" hidden="1" x14ac:dyDescent="0.35">
      <c r="A1629" t="s">
        <v>63</v>
      </c>
      <c r="B1629" t="s">
        <v>53</v>
      </c>
      <c r="C1629" t="s">
        <v>24</v>
      </c>
      <c r="D1629">
        <v>0</v>
      </c>
      <c r="E1629" t="s">
        <v>41</v>
      </c>
      <c r="F1629" t="s">
        <v>10</v>
      </c>
    </row>
    <row r="1630" spans="1:6" hidden="1" x14ac:dyDescent="0.35">
      <c r="A1630" t="s">
        <v>64</v>
      </c>
      <c r="B1630" t="s">
        <v>53</v>
      </c>
      <c r="C1630" t="s">
        <v>24</v>
      </c>
      <c r="D1630">
        <v>0</v>
      </c>
      <c r="E1630" t="s">
        <v>41</v>
      </c>
      <c r="F1630" t="s">
        <v>10</v>
      </c>
    </row>
    <row r="1631" spans="1:6" hidden="1" x14ac:dyDescent="0.35">
      <c r="A1631" t="s">
        <v>65</v>
      </c>
      <c r="B1631" t="s">
        <v>53</v>
      </c>
      <c r="C1631" t="s">
        <v>24</v>
      </c>
      <c r="D1631">
        <v>0</v>
      </c>
      <c r="E1631" t="s">
        <v>41</v>
      </c>
      <c r="F1631" t="s">
        <v>10</v>
      </c>
    </row>
    <row r="1632" spans="1:6" hidden="1" x14ac:dyDescent="0.35">
      <c r="A1632" t="s">
        <v>66</v>
      </c>
      <c r="B1632" t="s">
        <v>53</v>
      </c>
      <c r="C1632" t="s">
        <v>24</v>
      </c>
      <c r="D1632">
        <v>0</v>
      </c>
      <c r="E1632" t="s">
        <v>41</v>
      </c>
      <c r="F1632" t="s">
        <v>10</v>
      </c>
    </row>
    <row r="1633" spans="1:6" hidden="1" x14ac:dyDescent="0.35">
      <c r="A1633" t="s">
        <v>67</v>
      </c>
      <c r="B1633" t="s">
        <v>53</v>
      </c>
      <c r="C1633" t="s">
        <v>24</v>
      </c>
      <c r="D1633">
        <v>0</v>
      </c>
      <c r="E1633" t="s">
        <v>41</v>
      </c>
      <c r="F1633" t="s">
        <v>10</v>
      </c>
    </row>
    <row r="1634" spans="1:6" hidden="1" x14ac:dyDescent="0.35">
      <c r="A1634" t="s">
        <v>57</v>
      </c>
      <c r="B1634" t="s">
        <v>53</v>
      </c>
      <c r="C1634" t="s">
        <v>47</v>
      </c>
      <c r="E1634" t="s">
        <v>41</v>
      </c>
      <c r="F1634" t="s">
        <v>10</v>
      </c>
    </row>
    <row r="1635" spans="1:6" hidden="1" x14ac:dyDescent="0.35">
      <c r="A1635" t="s">
        <v>11</v>
      </c>
      <c r="B1635" t="s">
        <v>53</v>
      </c>
      <c r="C1635" t="s">
        <v>47</v>
      </c>
      <c r="E1635" t="s">
        <v>41</v>
      </c>
      <c r="F1635" t="s">
        <v>10</v>
      </c>
    </row>
    <row r="1636" spans="1:6" hidden="1" x14ac:dyDescent="0.35">
      <c r="A1636" t="s">
        <v>58</v>
      </c>
      <c r="B1636" t="s">
        <v>53</v>
      </c>
      <c r="C1636" t="s">
        <v>47</v>
      </c>
      <c r="E1636" t="s">
        <v>41</v>
      </c>
      <c r="F1636" t="s">
        <v>10</v>
      </c>
    </row>
    <row r="1637" spans="1:6" hidden="1" x14ac:dyDescent="0.35">
      <c r="A1637" t="s">
        <v>59</v>
      </c>
      <c r="B1637" t="s">
        <v>53</v>
      </c>
      <c r="C1637" t="s">
        <v>47</v>
      </c>
      <c r="E1637" t="s">
        <v>41</v>
      </c>
      <c r="F1637" t="s">
        <v>10</v>
      </c>
    </row>
    <row r="1638" spans="1:6" hidden="1" x14ac:dyDescent="0.35">
      <c r="A1638" t="s">
        <v>60</v>
      </c>
      <c r="B1638" t="s">
        <v>53</v>
      </c>
      <c r="C1638" t="s">
        <v>47</v>
      </c>
      <c r="E1638" t="s">
        <v>41</v>
      </c>
      <c r="F1638" t="s">
        <v>10</v>
      </c>
    </row>
    <row r="1639" spans="1:6" hidden="1" x14ac:dyDescent="0.35">
      <c r="A1639" t="s">
        <v>61</v>
      </c>
      <c r="B1639" t="s">
        <v>53</v>
      </c>
      <c r="C1639" t="s">
        <v>47</v>
      </c>
      <c r="E1639" t="s">
        <v>41</v>
      </c>
      <c r="F1639" t="s">
        <v>10</v>
      </c>
    </row>
    <row r="1640" spans="1:6" hidden="1" x14ac:dyDescent="0.35">
      <c r="A1640" t="s">
        <v>62</v>
      </c>
      <c r="B1640" t="s">
        <v>53</v>
      </c>
      <c r="C1640" t="s">
        <v>47</v>
      </c>
      <c r="E1640" t="s">
        <v>41</v>
      </c>
      <c r="F1640" t="s">
        <v>10</v>
      </c>
    </row>
    <row r="1641" spans="1:6" hidden="1" x14ac:dyDescent="0.35">
      <c r="A1641" t="s">
        <v>63</v>
      </c>
      <c r="B1641" t="s">
        <v>53</v>
      </c>
      <c r="C1641" t="s">
        <v>47</v>
      </c>
      <c r="E1641" t="s">
        <v>41</v>
      </c>
      <c r="F1641" t="s">
        <v>10</v>
      </c>
    </row>
    <row r="1642" spans="1:6" hidden="1" x14ac:dyDescent="0.35">
      <c r="A1642" t="s">
        <v>64</v>
      </c>
      <c r="B1642" t="s">
        <v>53</v>
      </c>
      <c r="C1642" t="s">
        <v>47</v>
      </c>
      <c r="E1642" t="s">
        <v>41</v>
      </c>
      <c r="F1642" t="s">
        <v>10</v>
      </c>
    </row>
    <row r="1643" spans="1:6" hidden="1" x14ac:dyDescent="0.35">
      <c r="A1643" t="s">
        <v>65</v>
      </c>
      <c r="B1643" t="s">
        <v>53</v>
      </c>
      <c r="C1643" t="s">
        <v>47</v>
      </c>
      <c r="E1643" t="s">
        <v>41</v>
      </c>
      <c r="F1643" t="s">
        <v>10</v>
      </c>
    </row>
    <row r="1644" spans="1:6" hidden="1" x14ac:dyDescent="0.35">
      <c r="A1644" t="s">
        <v>66</v>
      </c>
      <c r="B1644" t="s">
        <v>53</v>
      </c>
      <c r="C1644" t="s">
        <v>47</v>
      </c>
      <c r="E1644" t="s">
        <v>41</v>
      </c>
      <c r="F1644" t="s">
        <v>10</v>
      </c>
    </row>
    <row r="1645" spans="1:6" hidden="1" x14ac:dyDescent="0.35">
      <c r="A1645" t="s">
        <v>67</v>
      </c>
      <c r="B1645" t="s">
        <v>53</v>
      </c>
      <c r="C1645" t="s">
        <v>47</v>
      </c>
      <c r="E1645" t="s">
        <v>41</v>
      </c>
      <c r="F1645" t="s">
        <v>10</v>
      </c>
    </row>
    <row r="1646" spans="1:6" hidden="1" x14ac:dyDescent="0.35">
      <c r="A1646" t="s">
        <v>57</v>
      </c>
      <c r="B1646" t="s">
        <v>53</v>
      </c>
      <c r="C1646" t="s">
        <v>48</v>
      </c>
      <c r="D1646">
        <v>0</v>
      </c>
      <c r="E1646" t="s">
        <v>41</v>
      </c>
      <c r="F1646" t="s">
        <v>10</v>
      </c>
    </row>
    <row r="1647" spans="1:6" hidden="1" x14ac:dyDescent="0.35">
      <c r="A1647" t="s">
        <v>11</v>
      </c>
      <c r="B1647" t="s">
        <v>53</v>
      </c>
      <c r="C1647" t="s">
        <v>48</v>
      </c>
      <c r="D1647">
        <v>0</v>
      </c>
      <c r="E1647" t="s">
        <v>41</v>
      </c>
      <c r="F1647" t="s">
        <v>10</v>
      </c>
    </row>
    <row r="1648" spans="1:6" hidden="1" x14ac:dyDescent="0.35">
      <c r="A1648" t="s">
        <v>58</v>
      </c>
      <c r="B1648" t="s">
        <v>53</v>
      </c>
      <c r="C1648" t="s">
        <v>48</v>
      </c>
      <c r="D1648">
        <v>0</v>
      </c>
      <c r="E1648" t="s">
        <v>41</v>
      </c>
      <c r="F1648" t="s">
        <v>10</v>
      </c>
    </row>
    <row r="1649" spans="1:6" hidden="1" x14ac:dyDescent="0.35">
      <c r="A1649" t="s">
        <v>59</v>
      </c>
      <c r="B1649" t="s">
        <v>53</v>
      </c>
      <c r="C1649" t="s">
        <v>48</v>
      </c>
      <c r="D1649">
        <v>0</v>
      </c>
      <c r="E1649" t="s">
        <v>41</v>
      </c>
      <c r="F1649" t="s">
        <v>10</v>
      </c>
    </row>
    <row r="1650" spans="1:6" hidden="1" x14ac:dyDescent="0.35">
      <c r="A1650" t="s">
        <v>60</v>
      </c>
      <c r="B1650" t="s">
        <v>53</v>
      </c>
      <c r="C1650" t="s">
        <v>48</v>
      </c>
      <c r="D1650">
        <v>0</v>
      </c>
      <c r="E1650" t="s">
        <v>41</v>
      </c>
      <c r="F1650" t="s">
        <v>10</v>
      </c>
    </row>
    <row r="1651" spans="1:6" hidden="1" x14ac:dyDescent="0.35">
      <c r="A1651" t="s">
        <v>61</v>
      </c>
      <c r="B1651" t="s">
        <v>53</v>
      </c>
      <c r="C1651" t="s">
        <v>48</v>
      </c>
      <c r="D1651">
        <v>0</v>
      </c>
      <c r="E1651" t="s">
        <v>41</v>
      </c>
      <c r="F1651" t="s">
        <v>10</v>
      </c>
    </row>
    <row r="1652" spans="1:6" hidden="1" x14ac:dyDescent="0.35">
      <c r="A1652" t="s">
        <v>62</v>
      </c>
      <c r="B1652" t="s">
        <v>53</v>
      </c>
      <c r="C1652" t="s">
        <v>48</v>
      </c>
      <c r="D1652">
        <v>0</v>
      </c>
      <c r="E1652" t="s">
        <v>41</v>
      </c>
      <c r="F1652" t="s">
        <v>10</v>
      </c>
    </row>
    <row r="1653" spans="1:6" hidden="1" x14ac:dyDescent="0.35">
      <c r="A1653" t="s">
        <v>63</v>
      </c>
      <c r="B1653" t="s">
        <v>53</v>
      </c>
      <c r="C1653" t="s">
        <v>48</v>
      </c>
      <c r="D1653">
        <v>0</v>
      </c>
      <c r="E1653" t="s">
        <v>41</v>
      </c>
      <c r="F1653" t="s">
        <v>10</v>
      </c>
    </row>
    <row r="1654" spans="1:6" hidden="1" x14ac:dyDescent="0.35">
      <c r="A1654" t="s">
        <v>64</v>
      </c>
      <c r="B1654" t="s">
        <v>53</v>
      </c>
      <c r="C1654" t="s">
        <v>48</v>
      </c>
      <c r="D1654">
        <v>0</v>
      </c>
      <c r="E1654" t="s">
        <v>41</v>
      </c>
      <c r="F1654" t="s">
        <v>10</v>
      </c>
    </row>
    <row r="1655" spans="1:6" hidden="1" x14ac:dyDescent="0.35">
      <c r="A1655" t="s">
        <v>65</v>
      </c>
      <c r="B1655" t="s">
        <v>53</v>
      </c>
      <c r="C1655" t="s">
        <v>48</v>
      </c>
      <c r="D1655">
        <v>0</v>
      </c>
      <c r="E1655" t="s">
        <v>41</v>
      </c>
      <c r="F1655" t="s">
        <v>10</v>
      </c>
    </row>
    <row r="1656" spans="1:6" hidden="1" x14ac:dyDescent="0.35">
      <c r="A1656" t="s">
        <v>66</v>
      </c>
      <c r="B1656" t="s">
        <v>53</v>
      </c>
      <c r="C1656" t="s">
        <v>48</v>
      </c>
      <c r="D1656">
        <v>0</v>
      </c>
      <c r="E1656" t="s">
        <v>41</v>
      </c>
      <c r="F1656" t="s">
        <v>10</v>
      </c>
    </row>
    <row r="1657" spans="1:6" hidden="1" x14ac:dyDescent="0.35">
      <c r="A1657" t="s">
        <v>67</v>
      </c>
      <c r="B1657" t="s">
        <v>53</v>
      </c>
      <c r="C1657" t="s">
        <v>48</v>
      </c>
      <c r="D1657">
        <v>0</v>
      </c>
      <c r="E1657" t="s">
        <v>41</v>
      </c>
      <c r="F1657" t="s">
        <v>10</v>
      </c>
    </row>
    <row r="1658" spans="1:6" hidden="1" x14ac:dyDescent="0.35">
      <c r="A1658" t="s">
        <v>57</v>
      </c>
      <c r="B1658" t="s">
        <v>53</v>
      </c>
      <c r="C1658" t="s">
        <v>49</v>
      </c>
      <c r="E1658" t="s">
        <v>41</v>
      </c>
      <c r="F1658" t="s">
        <v>10</v>
      </c>
    </row>
    <row r="1659" spans="1:6" hidden="1" x14ac:dyDescent="0.35">
      <c r="A1659" t="s">
        <v>11</v>
      </c>
      <c r="B1659" t="s">
        <v>53</v>
      </c>
      <c r="C1659" t="s">
        <v>49</v>
      </c>
      <c r="E1659" t="s">
        <v>41</v>
      </c>
      <c r="F1659" t="s">
        <v>10</v>
      </c>
    </row>
    <row r="1660" spans="1:6" hidden="1" x14ac:dyDescent="0.35">
      <c r="A1660" t="s">
        <v>58</v>
      </c>
      <c r="B1660" t="s">
        <v>53</v>
      </c>
      <c r="C1660" t="s">
        <v>49</v>
      </c>
      <c r="D1660">
        <v>7830.1500000000005</v>
      </c>
      <c r="E1660" t="s">
        <v>41</v>
      </c>
      <c r="F1660" t="s">
        <v>10</v>
      </c>
    </row>
    <row r="1661" spans="1:6" hidden="1" x14ac:dyDescent="0.35">
      <c r="A1661" t="s">
        <v>59</v>
      </c>
      <c r="B1661" t="s">
        <v>53</v>
      </c>
      <c r="C1661" t="s">
        <v>49</v>
      </c>
      <c r="E1661" t="s">
        <v>41</v>
      </c>
      <c r="F1661" t="s">
        <v>10</v>
      </c>
    </row>
    <row r="1662" spans="1:6" hidden="1" x14ac:dyDescent="0.35">
      <c r="A1662" t="s">
        <v>60</v>
      </c>
      <c r="B1662" t="s">
        <v>53</v>
      </c>
      <c r="C1662" t="s">
        <v>49</v>
      </c>
      <c r="E1662" t="s">
        <v>41</v>
      </c>
      <c r="F1662" t="s">
        <v>10</v>
      </c>
    </row>
    <row r="1663" spans="1:6" hidden="1" x14ac:dyDescent="0.35">
      <c r="A1663" t="s">
        <v>61</v>
      </c>
      <c r="B1663" t="s">
        <v>53</v>
      </c>
      <c r="C1663" t="s">
        <v>49</v>
      </c>
      <c r="E1663" t="s">
        <v>41</v>
      </c>
      <c r="F1663" t="s">
        <v>10</v>
      </c>
    </row>
    <row r="1664" spans="1:6" hidden="1" x14ac:dyDescent="0.35">
      <c r="A1664" t="s">
        <v>62</v>
      </c>
      <c r="B1664" t="s">
        <v>53</v>
      </c>
      <c r="C1664" t="s">
        <v>49</v>
      </c>
      <c r="E1664" t="s">
        <v>41</v>
      </c>
      <c r="F1664" t="s">
        <v>10</v>
      </c>
    </row>
    <row r="1665" spans="1:6" hidden="1" x14ac:dyDescent="0.35">
      <c r="A1665" t="s">
        <v>63</v>
      </c>
      <c r="B1665" t="s">
        <v>53</v>
      </c>
      <c r="C1665" t="s">
        <v>49</v>
      </c>
      <c r="E1665" t="s">
        <v>41</v>
      </c>
      <c r="F1665" t="s">
        <v>10</v>
      </c>
    </row>
    <row r="1666" spans="1:6" hidden="1" x14ac:dyDescent="0.35">
      <c r="A1666" t="s">
        <v>64</v>
      </c>
      <c r="B1666" t="s">
        <v>53</v>
      </c>
      <c r="C1666" t="s">
        <v>49</v>
      </c>
      <c r="E1666" t="s">
        <v>41</v>
      </c>
      <c r="F1666" t="s">
        <v>10</v>
      </c>
    </row>
    <row r="1667" spans="1:6" hidden="1" x14ac:dyDescent="0.35">
      <c r="A1667" t="s">
        <v>65</v>
      </c>
      <c r="B1667" t="s">
        <v>53</v>
      </c>
      <c r="C1667" t="s">
        <v>49</v>
      </c>
      <c r="E1667" t="s">
        <v>41</v>
      </c>
      <c r="F1667" t="s">
        <v>10</v>
      </c>
    </row>
    <row r="1668" spans="1:6" hidden="1" x14ac:dyDescent="0.35">
      <c r="A1668" t="s">
        <v>66</v>
      </c>
      <c r="B1668" t="s">
        <v>53</v>
      </c>
      <c r="C1668" t="s">
        <v>49</v>
      </c>
      <c r="E1668" t="s">
        <v>41</v>
      </c>
      <c r="F1668" t="s">
        <v>10</v>
      </c>
    </row>
    <row r="1669" spans="1:6" hidden="1" x14ac:dyDescent="0.35">
      <c r="A1669" t="s">
        <v>67</v>
      </c>
      <c r="B1669" t="s">
        <v>53</v>
      </c>
      <c r="C1669" t="s">
        <v>49</v>
      </c>
      <c r="E1669" t="s">
        <v>41</v>
      </c>
      <c r="F1669" t="s">
        <v>10</v>
      </c>
    </row>
    <row r="1670" spans="1:6" hidden="1" x14ac:dyDescent="0.35">
      <c r="A1670" t="s">
        <v>57</v>
      </c>
      <c r="B1670" t="s">
        <v>53</v>
      </c>
      <c r="C1670" t="s">
        <v>50</v>
      </c>
      <c r="E1670" t="s">
        <v>41</v>
      </c>
      <c r="F1670" t="s">
        <v>10</v>
      </c>
    </row>
    <row r="1671" spans="1:6" hidden="1" x14ac:dyDescent="0.35">
      <c r="A1671" t="s">
        <v>11</v>
      </c>
      <c r="B1671" t="s">
        <v>53</v>
      </c>
      <c r="C1671" t="s">
        <v>50</v>
      </c>
      <c r="E1671" t="s">
        <v>41</v>
      </c>
      <c r="F1671" t="s">
        <v>10</v>
      </c>
    </row>
    <row r="1672" spans="1:6" hidden="1" x14ac:dyDescent="0.35">
      <c r="A1672" t="s">
        <v>58</v>
      </c>
      <c r="B1672" t="s">
        <v>53</v>
      </c>
      <c r="C1672" t="s">
        <v>50</v>
      </c>
      <c r="D1672">
        <v>197854.61079999999</v>
      </c>
      <c r="E1672" t="s">
        <v>41</v>
      </c>
      <c r="F1672" t="s">
        <v>10</v>
      </c>
    </row>
    <row r="1673" spans="1:6" hidden="1" x14ac:dyDescent="0.35">
      <c r="A1673" t="s">
        <v>59</v>
      </c>
      <c r="B1673" t="s">
        <v>53</v>
      </c>
      <c r="C1673" t="s">
        <v>50</v>
      </c>
      <c r="E1673" t="s">
        <v>41</v>
      </c>
      <c r="F1673" t="s">
        <v>10</v>
      </c>
    </row>
    <row r="1674" spans="1:6" hidden="1" x14ac:dyDescent="0.35">
      <c r="A1674" t="s">
        <v>60</v>
      </c>
      <c r="B1674" t="s">
        <v>53</v>
      </c>
      <c r="C1674" t="s">
        <v>50</v>
      </c>
      <c r="E1674" t="s">
        <v>41</v>
      </c>
      <c r="F1674" t="s">
        <v>10</v>
      </c>
    </row>
    <row r="1675" spans="1:6" hidden="1" x14ac:dyDescent="0.35">
      <c r="A1675" t="s">
        <v>61</v>
      </c>
      <c r="B1675" t="s">
        <v>53</v>
      </c>
      <c r="C1675" t="s">
        <v>50</v>
      </c>
      <c r="E1675" t="s">
        <v>41</v>
      </c>
      <c r="F1675" t="s">
        <v>10</v>
      </c>
    </row>
    <row r="1676" spans="1:6" hidden="1" x14ac:dyDescent="0.35">
      <c r="A1676" t="s">
        <v>62</v>
      </c>
      <c r="B1676" t="s">
        <v>53</v>
      </c>
      <c r="C1676" t="s">
        <v>50</v>
      </c>
      <c r="E1676" t="s">
        <v>41</v>
      </c>
      <c r="F1676" t="s">
        <v>10</v>
      </c>
    </row>
    <row r="1677" spans="1:6" hidden="1" x14ac:dyDescent="0.35">
      <c r="A1677" t="s">
        <v>63</v>
      </c>
      <c r="B1677" t="s">
        <v>53</v>
      </c>
      <c r="C1677" t="s">
        <v>50</v>
      </c>
      <c r="E1677" t="s">
        <v>41</v>
      </c>
      <c r="F1677" t="s">
        <v>10</v>
      </c>
    </row>
    <row r="1678" spans="1:6" hidden="1" x14ac:dyDescent="0.35">
      <c r="A1678" t="s">
        <v>64</v>
      </c>
      <c r="B1678" t="s">
        <v>53</v>
      </c>
      <c r="C1678" t="s">
        <v>50</v>
      </c>
      <c r="E1678" t="s">
        <v>41</v>
      </c>
      <c r="F1678" t="s">
        <v>10</v>
      </c>
    </row>
    <row r="1679" spans="1:6" hidden="1" x14ac:dyDescent="0.35">
      <c r="A1679" t="s">
        <v>65</v>
      </c>
      <c r="B1679" t="s">
        <v>53</v>
      </c>
      <c r="C1679" t="s">
        <v>50</v>
      </c>
      <c r="E1679" t="s">
        <v>41</v>
      </c>
      <c r="F1679" t="s">
        <v>10</v>
      </c>
    </row>
    <row r="1680" spans="1:6" hidden="1" x14ac:dyDescent="0.35">
      <c r="A1680" t="s">
        <v>66</v>
      </c>
      <c r="B1680" t="s">
        <v>53</v>
      </c>
      <c r="C1680" t="s">
        <v>50</v>
      </c>
      <c r="E1680" t="s">
        <v>41</v>
      </c>
      <c r="F1680" t="s">
        <v>10</v>
      </c>
    </row>
    <row r="1681" spans="1:6" hidden="1" x14ac:dyDescent="0.35">
      <c r="A1681" t="s">
        <v>67</v>
      </c>
      <c r="B1681" t="s">
        <v>53</v>
      </c>
      <c r="C1681" t="s">
        <v>50</v>
      </c>
      <c r="E1681" t="s">
        <v>41</v>
      </c>
      <c r="F1681" t="s">
        <v>10</v>
      </c>
    </row>
    <row r="1682" spans="1:6" hidden="1" x14ac:dyDescent="0.35">
      <c r="A1682" t="s">
        <v>57</v>
      </c>
      <c r="B1682" t="s">
        <v>53</v>
      </c>
      <c r="C1682" t="s">
        <v>51</v>
      </c>
      <c r="E1682" t="s">
        <v>41</v>
      </c>
      <c r="F1682" t="s">
        <v>10</v>
      </c>
    </row>
    <row r="1683" spans="1:6" hidden="1" x14ac:dyDescent="0.35">
      <c r="A1683" t="s">
        <v>11</v>
      </c>
      <c r="B1683" t="s">
        <v>53</v>
      </c>
      <c r="C1683" t="s">
        <v>51</v>
      </c>
      <c r="E1683" t="s">
        <v>41</v>
      </c>
      <c r="F1683" t="s">
        <v>10</v>
      </c>
    </row>
    <row r="1684" spans="1:6" hidden="1" x14ac:dyDescent="0.35">
      <c r="A1684" t="s">
        <v>58</v>
      </c>
      <c r="B1684" t="s">
        <v>53</v>
      </c>
      <c r="C1684" t="s">
        <v>51</v>
      </c>
      <c r="E1684" t="s">
        <v>41</v>
      </c>
      <c r="F1684" t="s">
        <v>10</v>
      </c>
    </row>
    <row r="1685" spans="1:6" hidden="1" x14ac:dyDescent="0.35">
      <c r="A1685" t="s">
        <v>59</v>
      </c>
      <c r="B1685" t="s">
        <v>53</v>
      </c>
      <c r="C1685" t="s">
        <v>51</v>
      </c>
      <c r="E1685" t="s">
        <v>41</v>
      </c>
      <c r="F1685" t="s">
        <v>10</v>
      </c>
    </row>
    <row r="1686" spans="1:6" hidden="1" x14ac:dyDescent="0.35">
      <c r="A1686" t="s">
        <v>60</v>
      </c>
      <c r="B1686" t="s">
        <v>53</v>
      </c>
      <c r="C1686" t="s">
        <v>51</v>
      </c>
      <c r="E1686" t="s">
        <v>41</v>
      </c>
      <c r="F1686" t="s">
        <v>10</v>
      </c>
    </row>
    <row r="1687" spans="1:6" hidden="1" x14ac:dyDescent="0.35">
      <c r="A1687" t="s">
        <v>61</v>
      </c>
      <c r="B1687" t="s">
        <v>53</v>
      </c>
      <c r="C1687" t="s">
        <v>51</v>
      </c>
      <c r="E1687" t="s">
        <v>41</v>
      </c>
      <c r="F1687" t="s">
        <v>10</v>
      </c>
    </row>
    <row r="1688" spans="1:6" hidden="1" x14ac:dyDescent="0.35">
      <c r="A1688" t="s">
        <v>62</v>
      </c>
      <c r="B1688" t="s">
        <v>53</v>
      </c>
      <c r="C1688" t="s">
        <v>51</v>
      </c>
      <c r="E1688" t="s">
        <v>41</v>
      </c>
      <c r="F1688" t="s">
        <v>10</v>
      </c>
    </row>
    <row r="1689" spans="1:6" hidden="1" x14ac:dyDescent="0.35">
      <c r="A1689" t="s">
        <v>63</v>
      </c>
      <c r="B1689" t="s">
        <v>53</v>
      </c>
      <c r="C1689" t="s">
        <v>51</v>
      </c>
      <c r="E1689" t="s">
        <v>41</v>
      </c>
      <c r="F1689" t="s">
        <v>10</v>
      </c>
    </row>
    <row r="1690" spans="1:6" hidden="1" x14ac:dyDescent="0.35">
      <c r="A1690" t="s">
        <v>64</v>
      </c>
      <c r="B1690" t="s">
        <v>53</v>
      </c>
      <c r="C1690" t="s">
        <v>51</v>
      </c>
      <c r="E1690" t="s">
        <v>41</v>
      </c>
      <c r="F1690" t="s">
        <v>10</v>
      </c>
    </row>
    <row r="1691" spans="1:6" hidden="1" x14ac:dyDescent="0.35">
      <c r="A1691" t="s">
        <v>65</v>
      </c>
      <c r="B1691" t="s">
        <v>53</v>
      </c>
      <c r="C1691" t="s">
        <v>51</v>
      </c>
      <c r="E1691" t="s">
        <v>41</v>
      </c>
      <c r="F1691" t="s">
        <v>10</v>
      </c>
    </row>
    <row r="1692" spans="1:6" hidden="1" x14ac:dyDescent="0.35">
      <c r="A1692" t="s">
        <v>66</v>
      </c>
      <c r="B1692" t="s">
        <v>53</v>
      </c>
      <c r="C1692" t="s">
        <v>51</v>
      </c>
      <c r="E1692" t="s">
        <v>41</v>
      </c>
      <c r="F1692" t="s">
        <v>10</v>
      </c>
    </row>
    <row r="1693" spans="1:6" hidden="1" x14ac:dyDescent="0.35">
      <c r="A1693" t="s">
        <v>67</v>
      </c>
      <c r="B1693" t="s">
        <v>53</v>
      </c>
      <c r="C1693" t="s">
        <v>51</v>
      </c>
      <c r="E1693" t="s">
        <v>41</v>
      </c>
      <c r="F1693" t="s">
        <v>10</v>
      </c>
    </row>
    <row r="1694" spans="1:6" hidden="1" x14ac:dyDescent="0.35">
      <c r="A1694" t="s">
        <v>57</v>
      </c>
      <c r="B1694" t="s">
        <v>53</v>
      </c>
      <c r="C1694" t="s">
        <v>30</v>
      </c>
      <c r="E1694" t="s">
        <v>41</v>
      </c>
      <c r="F1694" t="s">
        <v>10</v>
      </c>
    </row>
    <row r="1695" spans="1:6" hidden="1" x14ac:dyDescent="0.35">
      <c r="A1695" t="s">
        <v>11</v>
      </c>
      <c r="B1695" t="s">
        <v>53</v>
      </c>
      <c r="C1695" t="s">
        <v>30</v>
      </c>
      <c r="E1695" t="s">
        <v>41</v>
      </c>
      <c r="F1695" t="s">
        <v>10</v>
      </c>
    </row>
    <row r="1696" spans="1:6" hidden="1" x14ac:dyDescent="0.35">
      <c r="A1696" t="s">
        <v>58</v>
      </c>
      <c r="B1696" t="s">
        <v>53</v>
      </c>
      <c r="C1696" t="s">
        <v>30</v>
      </c>
      <c r="E1696" t="s">
        <v>41</v>
      </c>
      <c r="F1696" t="s">
        <v>10</v>
      </c>
    </row>
    <row r="1697" spans="1:6" hidden="1" x14ac:dyDescent="0.35">
      <c r="A1697" t="s">
        <v>59</v>
      </c>
      <c r="B1697" t="s">
        <v>53</v>
      </c>
      <c r="C1697" t="s">
        <v>30</v>
      </c>
      <c r="E1697" t="s">
        <v>41</v>
      </c>
      <c r="F1697" t="s">
        <v>10</v>
      </c>
    </row>
    <row r="1698" spans="1:6" hidden="1" x14ac:dyDescent="0.35">
      <c r="A1698" t="s">
        <v>60</v>
      </c>
      <c r="B1698" t="s">
        <v>53</v>
      </c>
      <c r="C1698" t="s">
        <v>30</v>
      </c>
      <c r="E1698" t="s">
        <v>41</v>
      </c>
      <c r="F1698" t="s">
        <v>10</v>
      </c>
    </row>
    <row r="1699" spans="1:6" hidden="1" x14ac:dyDescent="0.35">
      <c r="A1699" t="s">
        <v>61</v>
      </c>
      <c r="B1699" t="s">
        <v>53</v>
      </c>
      <c r="C1699" t="s">
        <v>30</v>
      </c>
      <c r="D1699">
        <v>1</v>
      </c>
      <c r="E1699" t="s">
        <v>41</v>
      </c>
      <c r="F1699" t="s">
        <v>10</v>
      </c>
    </row>
    <row r="1700" spans="1:6" hidden="1" x14ac:dyDescent="0.35">
      <c r="A1700" t="s">
        <v>62</v>
      </c>
      <c r="B1700" t="s">
        <v>53</v>
      </c>
      <c r="C1700" t="s">
        <v>30</v>
      </c>
      <c r="E1700" t="s">
        <v>41</v>
      </c>
      <c r="F1700" t="s">
        <v>10</v>
      </c>
    </row>
    <row r="1701" spans="1:6" hidden="1" x14ac:dyDescent="0.35">
      <c r="A1701" t="s">
        <v>63</v>
      </c>
      <c r="B1701" t="s">
        <v>53</v>
      </c>
      <c r="C1701" t="s">
        <v>30</v>
      </c>
      <c r="E1701" t="s">
        <v>41</v>
      </c>
      <c r="F1701" t="s">
        <v>10</v>
      </c>
    </row>
    <row r="1702" spans="1:6" hidden="1" x14ac:dyDescent="0.35">
      <c r="A1702" t="s">
        <v>64</v>
      </c>
      <c r="B1702" t="s">
        <v>53</v>
      </c>
      <c r="C1702" t="s">
        <v>30</v>
      </c>
      <c r="E1702" t="s">
        <v>41</v>
      </c>
      <c r="F1702" t="s">
        <v>10</v>
      </c>
    </row>
    <row r="1703" spans="1:6" hidden="1" x14ac:dyDescent="0.35">
      <c r="A1703" t="s">
        <v>65</v>
      </c>
      <c r="B1703" t="s">
        <v>53</v>
      </c>
      <c r="C1703" t="s">
        <v>30</v>
      </c>
      <c r="E1703" t="s">
        <v>41</v>
      </c>
      <c r="F1703" t="s">
        <v>10</v>
      </c>
    </row>
    <row r="1704" spans="1:6" hidden="1" x14ac:dyDescent="0.35">
      <c r="A1704" t="s">
        <v>66</v>
      </c>
      <c r="B1704" t="s">
        <v>53</v>
      </c>
      <c r="C1704" t="s">
        <v>30</v>
      </c>
      <c r="E1704" t="s">
        <v>41</v>
      </c>
      <c r="F1704" t="s">
        <v>10</v>
      </c>
    </row>
    <row r="1705" spans="1:6" hidden="1" x14ac:dyDescent="0.35">
      <c r="A1705" t="s">
        <v>67</v>
      </c>
      <c r="B1705" t="s">
        <v>53</v>
      </c>
      <c r="C1705" t="s">
        <v>30</v>
      </c>
      <c r="E1705" t="s">
        <v>41</v>
      </c>
      <c r="F1705" t="s">
        <v>10</v>
      </c>
    </row>
    <row r="1706" spans="1:6" hidden="1" x14ac:dyDescent="0.35">
      <c r="A1706" t="s">
        <v>57</v>
      </c>
      <c r="B1706" t="s">
        <v>53</v>
      </c>
      <c r="C1706" t="s">
        <v>52</v>
      </c>
      <c r="E1706" t="s">
        <v>41</v>
      </c>
      <c r="F1706" t="s">
        <v>10</v>
      </c>
    </row>
    <row r="1707" spans="1:6" hidden="1" x14ac:dyDescent="0.35">
      <c r="A1707" t="s">
        <v>11</v>
      </c>
      <c r="B1707" t="s">
        <v>53</v>
      </c>
      <c r="C1707" t="s">
        <v>52</v>
      </c>
      <c r="E1707" t="s">
        <v>41</v>
      </c>
      <c r="F1707" t="s">
        <v>10</v>
      </c>
    </row>
    <row r="1708" spans="1:6" hidden="1" x14ac:dyDescent="0.35">
      <c r="A1708" t="s">
        <v>58</v>
      </c>
      <c r="B1708" t="s">
        <v>53</v>
      </c>
      <c r="C1708" t="s">
        <v>52</v>
      </c>
      <c r="E1708" t="s">
        <v>41</v>
      </c>
      <c r="F1708" t="s">
        <v>10</v>
      </c>
    </row>
    <row r="1709" spans="1:6" hidden="1" x14ac:dyDescent="0.35">
      <c r="A1709" t="s">
        <v>59</v>
      </c>
      <c r="B1709" t="s">
        <v>53</v>
      </c>
      <c r="C1709" t="s">
        <v>52</v>
      </c>
      <c r="E1709" t="s">
        <v>41</v>
      </c>
      <c r="F1709" t="s">
        <v>10</v>
      </c>
    </row>
    <row r="1710" spans="1:6" hidden="1" x14ac:dyDescent="0.35">
      <c r="A1710" t="s">
        <v>60</v>
      </c>
      <c r="B1710" t="s">
        <v>53</v>
      </c>
      <c r="C1710" t="s">
        <v>52</v>
      </c>
      <c r="E1710" t="s">
        <v>41</v>
      </c>
      <c r="F1710" t="s">
        <v>10</v>
      </c>
    </row>
    <row r="1711" spans="1:6" hidden="1" x14ac:dyDescent="0.35">
      <c r="A1711" t="s">
        <v>61</v>
      </c>
      <c r="B1711" t="s">
        <v>53</v>
      </c>
      <c r="C1711" t="s">
        <v>52</v>
      </c>
      <c r="E1711" t="s">
        <v>41</v>
      </c>
      <c r="F1711" t="s">
        <v>10</v>
      </c>
    </row>
    <row r="1712" spans="1:6" hidden="1" x14ac:dyDescent="0.35">
      <c r="A1712" t="s">
        <v>62</v>
      </c>
      <c r="B1712" t="s">
        <v>53</v>
      </c>
      <c r="C1712" t="s">
        <v>52</v>
      </c>
      <c r="E1712" t="s">
        <v>41</v>
      </c>
      <c r="F1712" t="s">
        <v>10</v>
      </c>
    </row>
    <row r="1713" spans="1:6" hidden="1" x14ac:dyDescent="0.35">
      <c r="A1713" t="s">
        <v>63</v>
      </c>
      <c r="B1713" t="s">
        <v>53</v>
      </c>
      <c r="C1713" t="s">
        <v>52</v>
      </c>
      <c r="E1713" t="s">
        <v>41</v>
      </c>
      <c r="F1713" t="s">
        <v>10</v>
      </c>
    </row>
    <row r="1714" spans="1:6" hidden="1" x14ac:dyDescent="0.35">
      <c r="A1714" t="s">
        <v>64</v>
      </c>
      <c r="B1714" t="s">
        <v>53</v>
      </c>
      <c r="C1714" t="s">
        <v>52</v>
      </c>
      <c r="E1714" t="s">
        <v>41</v>
      </c>
      <c r="F1714" t="s">
        <v>10</v>
      </c>
    </row>
    <row r="1715" spans="1:6" hidden="1" x14ac:dyDescent="0.35">
      <c r="A1715" t="s">
        <v>65</v>
      </c>
      <c r="B1715" t="s">
        <v>53</v>
      </c>
      <c r="C1715" t="s">
        <v>52</v>
      </c>
      <c r="E1715" t="s">
        <v>41</v>
      </c>
      <c r="F1715" t="s">
        <v>10</v>
      </c>
    </row>
    <row r="1716" spans="1:6" hidden="1" x14ac:dyDescent="0.35">
      <c r="A1716" t="s">
        <v>66</v>
      </c>
      <c r="B1716" t="s">
        <v>53</v>
      </c>
      <c r="C1716" t="s">
        <v>52</v>
      </c>
      <c r="E1716" t="s">
        <v>41</v>
      </c>
      <c r="F1716" t="s">
        <v>10</v>
      </c>
    </row>
    <row r="1717" spans="1:6" hidden="1" x14ac:dyDescent="0.35">
      <c r="A1717" t="s">
        <v>67</v>
      </c>
      <c r="B1717" t="s">
        <v>53</v>
      </c>
      <c r="C1717" t="s">
        <v>52</v>
      </c>
      <c r="E1717" t="s">
        <v>41</v>
      </c>
      <c r="F1717" t="s">
        <v>10</v>
      </c>
    </row>
    <row r="1718" spans="1:6" hidden="1" x14ac:dyDescent="0.35">
      <c r="A1718" t="s">
        <v>57</v>
      </c>
      <c r="B1718" t="s">
        <v>68</v>
      </c>
      <c r="C1718" t="s">
        <v>44</v>
      </c>
      <c r="E1718" t="s">
        <v>41</v>
      </c>
      <c r="F1718" t="s">
        <v>10</v>
      </c>
    </row>
    <row r="1719" spans="1:6" hidden="1" x14ac:dyDescent="0.35">
      <c r="A1719" t="s">
        <v>11</v>
      </c>
      <c r="B1719" t="s">
        <v>68</v>
      </c>
      <c r="C1719" t="s">
        <v>44</v>
      </c>
      <c r="E1719" t="s">
        <v>41</v>
      </c>
      <c r="F1719" t="s">
        <v>10</v>
      </c>
    </row>
    <row r="1720" spans="1:6" hidden="1" x14ac:dyDescent="0.35">
      <c r="A1720" t="s">
        <v>58</v>
      </c>
      <c r="B1720" t="s">
        <v>68</v>
      </c>
      <c r="C1720" t="s">
        <v>44</v>
      </c>
      <c r="D1720">
        <v>1513.3412146341459</v>
      </c>
      <c r="E1720" t="s">
        <v>41</v>
      </c>
      <c r="F1720" t="s">
        <v>10</v>
      </c>
    </row>
    <row r="1721" spans="1:6" hidden="1" x14ac:dyDescent="0.35">
      <c r="A1721" t="s">
        <v>59</v>
      </c>
      <c r="B1721" t="s">
        <v>68</v>
      </c>
      <c r="C1721" t="s">
        <v>44</v>
      </c>
      <c r="E1721" t="s">
        <v>41</v>
      </c>
      <c r="F1721" t="s">
        <v>10</v>
      </c>
    </row>
    <row r="1722" spans="1:6" hidden="1" x14ac:dyDescent="0.35">
      <c r="A1722" t="s">
        <v>60</v>
      </c>
      <c r="B1722" t="s">
        <v>68</v>
      </c>
      <c r="C1722" t="s">
        <v>44</v>
      </c>
      <c r="E1722" t="s">
        <v>41</v>
      </c>
      <c r="F1722" t="s">
        <v>10</v>
      </c>
    </row>
    <row r="1723" spans="1:6" hidden="1" x14ac:dyDescent="0.35">
      <c r="A1723" t="s">
        <v>61</v>
      </c>
      <c r="B1723" t="s">
        <v>68</v>
      </c>
      <c r="C1723" t="s">
        <v>44</v>
      </c>
      <c r="E1723" t="s">
        <v>41</v>
      </c>
      <c r="F1723" t="s">
        <v>10</v>
      </c>
    </row>
    <row r="1724" spans="1:6" hidden="1" x14ac:dyDescent="0.35">
      <c r="A1724" t="s">
        <v>62</v>
      </c>
      <c r="B1724" t="s">
        <v>68</v>
      </c>
      <c r="C1724" t="s">
        <v>44</v>
      </c>
      <c r="E1724" t="s">
        <v>41</v>
      </c>
      <c r="F1724" t="s">
        <v>10</v>
      </c>
    </row>
    <row r="1725" spans="1:6" hidden="1" x14ac:dyDescent="0.35">
      <c r="A1725" t="s">
        <v>63</v>
      </c>
      <c r="B1725" t="s">
        <v>68</v>
      </c>
      <c r="C1725" t="s">
        <v>44</v>
      </c>
      <c r="E1725" t="s">
        <v>41</v>
      </c>
      <c r="F1725" t="s">
        <v>10</v>
      </c>
    </row>
    <row r="1726" spans="1:6" hidden="1" x14ac:dyDescent="0.35">
      <c r="A1726" t="s">
        <v>64</v>
      </c>
      <c r="B1726" t="s">
        <v>68</v>
      </c>
      <c r="C1726" t="s">
        <v>44</v>
      </c>
      <c r="D1726">
        <v>5515.768</v>
      </c>
      <c r="E1726" t="s">
        <v>41</v>
      </c>
      <c r="F1726" t="s">
        <v>10</v>
      </c>
    </row>
    <row r="1727" spans="1:6" hidden="1" x14ac:dyDescent="0.35">
      <c r="A1727" t="s">
        <v>65</v>
      </c>
      <c r="B1727" t="s">
        <v>68</v>
      </c>
      <c r="C1727" t="s">
        <v>44</v>
      </c>
      <c r="E1727" t="s">
        <v>41</v>
      </c>
      <c r="F1727" t="s">
        <v>10</v>
      </c>
    </row>
    <row r="1728" spans="1:6" hidden="1" x14ac:dyDescent="0.35">
      <c r="A1728" t="s">
        <v>66</v>
      </c>
      <c r="B1728" t="s">
        <v>68</v>
      </c>
      <c r="C1728" t="s">
        <v>44</v>
      </c>
      <c r="D1728">
        <v>0</v>
      </c>
      <c r="E1728" t="s">
        <v>41</v>
      </c>
      <c r="F1728" t="s">
        <v>10</v>
      </c>
    </row>
    <row r="1729" spans="1:6" hidden="1" x14ac:dyDescent="0.35">
      <c r="A1729" t="s">
        <v>67</v>
      </c>
      <c r="B1729" t="s">
        <v>68</v>
      </c>
      <c r="C1729" t="s">
        <v>44</v>
      </c>
      <c r="E1729" t="s">
        <v>41</v>
      </c>
      <c r="F1729" t="s">
        <v>10</v>
      </c>
    </row>
    <row r="1730" spans="1:6" hidden="1" x14ac:dyDescent="0.35">
      <c r="A1730" t="s">
        <v>57</v>
      </c>
      <c r="B1730" t="s">
        <v>68</v>
      </c>
      <c r="C1730" t="s">
        <v>22</v>
      </c>
      <c r="D1730">
        <v>0</v>
      </c>
      <c r="E1730" t="s">
        <v>41</v>
      </c>
      <c r="F1730" t="s">
        <v>10</v>
      </c>
    </row>
    <row r="1731" spans="1:6" hidden="1" x14ac:dyDescent="0.35">
      <c r="A1731" t="s">
        <v>11</v>
      </c>
      <c r="B1731" t="s">
        <v>68</v>
      </c>
      <c r="C1731" t="s">
        <v>22</v>
      </c>
      <c r="D1731">
        <v>0</v>
      </c>
      <c r="E1731" t="s">
        <v>41</v>
      </c>
      <c r="F1731" t="s">
        <v>10</v>
      </c>
    </row>
    <row r="1732" spans="1:6" hidden="1" x14ac:dyDescent="0.35">
      <c r="A1732" t="s">
        <v>58</v>
      </c>
      <c r="B1732" t="s">
        <v>68</v>
      </c>
      <c r="C1732" t="s">
        <v>22</v>
      </c>
      <c r="D1732">
        <v>0</v>
      </c>
      <c r="E1732" t="s">
        <v>41</v>
      </c>
      <c r="F1732" t="s">
        <v>10</v>
      </c>
    </row>
    <row r="1733" spans="1:6" hidden="1" x14ac:dyDescent="0.35">
      <c r="A1733" t="s">
        <v>59</v>
      </c>
      <c r="B1733" t="s">
        <v>68</v>
      </c>
      <c r="C1733" t="s">
        <v>22</v>
      </c>
      <c r="D1733">
        <v>0</v>
      </c>
      <c r="E1733" t="s">
        <v>41</v>
      </c>
      <c r="F1733" t="s">
        <v>10</v>
      </c>
    </row>
    <row r="1734" spans="1:6" hidden="1" x14ac:dyDescent="0.35">
      <c r="A1734" t="s">
        <v>60</v>
      </c>
      <c r="B1734" t="s">
        <v>68</v>
      </c>
      <c r="C1734" t="s">
        <v>22</v>
      </c>
      <c r="D1734">
        <v>0</v>
      </c>
      <c r="E1734" t="s">
        <v>41</v>
      </c>
      <c r="F1734" t="s">
        <v>10</v>
      </c>
    </row>
    <row r="1735" spans="1:6" hidden="1" x14ac:dyDescent="0.35">
      <c r="A1735" t="s">
        <v>61</v>
      </c>
      <c r="B1735" t="s">
        <v>68</v>
      </c>
      <c r="C1735" t="s">
        <v>22</v>
      </c>
      <c r="D1735">
        <v>0</v>
      </c>
      <c r="E1735" t="s">
        <v>41</v>
      </c>
      <c r="F1735" t="s">
        <v>10</v>
      </c>
    </row>
    <row r="1736" spans="1:6" hidden="1" x14ac:dyDescent="0.35">
      <c r="A1736" t="s">
        <v>62</v>
      </c>
      <c r="B1736" t="s">
        <v>68</v>
      </c>
      <c r="C1736" t="s">
        <v>22</v>
      </c>
      <c r="D1736">
        <v>0</v>
      </c>
      <c r="E1736" t="s">
        <v>41</v>
      </c>
      <c r="F1736" t="s">
        <v>10</v>
      </c>
    </row>
    <row r="1737" spans="1:6" hidden="1" x14ac:dyDescent="0.35">
      <c r="A1737" t="s">
        <v>63</v>
      </c>
      <c r="B1737" t="s">
        <v>68</v>
      </c>
      <c r="C1737" t="s">
        <v>22</v>
      </c>
      <c r="D1737">
        <v>0</v>
      </c>
      <c r="E1737" t="s">
        <v>41</v>
      </c>
      <c r="F1737" t="s">
        <v>10</v>
      </c>
    </row>
    <row r="1738" spans="1:6" hidden="1" x14ac:dyDescent="0.35">
      <c r="A1738" t="s">
        <v>64</v>
      </c>
      <c r="B1738" t="s">
        <v>68</v>
      </c>
      <c r="C1738" t="s">
        <v>22</v>
      </c>
      <c r="D1738">
        <v>0</v>
      </c>
      <c r="E1738" t="s">
        <v>41</v>
      </c>
      <c r="F1738" t="s">
        <v>10</v>
      </c>
    </row>
    <row r="1739" spans="1:6" hidden="1" x14ac:dyDescent="0.35">
      <c r="A1739" t="s">
        <v>65</v>
      </c>
      <c r="B1739" t="s">
        <v>68</v>
      </c>
      <c r="C1739" t="s">
        <v>22</v>
      </c>
      <c r="D1739">
        <v>0</v>
      </c>
      <c r="E1739" t="s">
        <v>41</v>
      </c>
      <c r="F1739" t="s">
        <v>10</v>
      </c>
    </row>
    <row r="1740" spans="1:6" hidden="1" x14ac:dyDescent="0.35">
      <c r="A1740" t="s">
        <v>66</v>
      </c>
      <c r="B1740" t="s">
        <v>68</v>
      </c>
      <c r="C1740" t="s">
        <v>22</v>
      </c>
      <c r="D1740">
        <v>0</v>
      </c>
      <c r="E1740" t="s">
        <v>41</v>
      </c>
      <c r="F1740" t="s">
        <v>10</v>
      </c>
    </row>
    <row r="1741" spans="1:6" hidden="1" x14ac:dyDescent="0.35">
      <c r="A1741" t="s">
        <v>67</v>
      </c>
      <c r="B1741" t="s">
        <v>68</v>
      </c>
      <c r="C1741" t="s">
        <v>22</v>
      </c>
      <c r="D1741">
        <v>0</v>
      </c>
      <c r="E1741" t="s">
        <v>41</v>
      </c>
      <c r="F1741" t="s">
        <v>10</v>
      </c>
    </row>
    <row r="1742" spans="1:6" hidden="1" x14ac:dyDescent="0.35">
      <c r="A1742" t="s">
        <v>57</v>
      </c>
      <c r="B1742" t="s">
        <v>68</v>
      </c>
      <c r="C1742" t="s">
        <v>46</v>
      </c>
      <c r="E1742" t="s">
        <v>41</v>
      </c>
      <c r="F1742" t="s">
        <v>10</v>
      </c>
    </row>
    <row r="1743" spans="1:6" hidden="1" x14ac:dyDescent="0.35">
      <c r="A1743" t="s">
        <v>11</v>
      </c>
      <c r="B1743" t="s">
        <v>68</v>
      </c>
      <c r="C1743" t="s">
        <v>46</v>
      </c>
      <c r="E1743" t="s">
        <v>41</v>
      </c>
      <c r="F1743" t="s">
        <v>10</v>
      </c>
    </row>
    <row r="1744" spans="1:6" hidden="1" x14ac:dyDescent="0.35">
      <c r="A1744" t="s">
        <v>58</v>
      </c>
      <c r="B1744" t="s">
        <v>68</v>
      </c>
      <c r="C1744" t="s">
        <v>46</v>
      </c>
      <c r="D1744">
        <v>303371.6879707317</v>
      </c>
      <c r="E1744" t="s">
        <v>41</v>
      </c>
      <c r="F1744" t="s">
        <v>10</v>
      </c>
    </row>
    <row r="1745" spans="1:6" hidden="1" x14ac:dyDescent="0.35">
      <c r="A1745" t="s">
        <v>59</v>
      </c>
      <c r="B1745" t="s">
        <v>68</v>
      </c>
      <c r="C1745" t="s">
        <v>46</v>
      </c>
      <c r="E1745" t="s">
        <v>41</v>
      </c>
      <c r="F1745" t="s">
        <v>10</v>
      </c>
    </row>
    <row r="1746" spans="1:6" hidden="1" x14ac:dyDescent="0.35">
      <c r="A1746" t="s">
        <v>60</v>
      </c>
      <c r="B1746" t="s">
        <v>68</v>
      </c>
      <c r="C1746" t="s">
        <v>46</v>
      </c>
      <c r="E1746" t="s">
        <v>41</v>
      </c>
      <c r="F1746" t="s">
        <v>10</v>
      </c>
    </row>
    <row r="1747" spans="1:6" hidden="1" x14ac:dyDescent="0.35">
      <c r="A1747" t="s">
        <v>61</v>
      </c>
      <c r="B1747" t="s">
        <v>68</v>
      </c>
      <c r="C1747" t="s">
        <v>46</v>
      </c>
      <c r="E1747" t="s">
        <v>41</v>
      </c>
      <c r="F1747" t="s">
        <v>10</v>
      </c>
    </row>
    <row r="1748" spans="1:6" hidden="1" x14ac:dyDescent="0.35">
      <c r="A1748" t="s">
        <v>62</v>
      </c>
      <c r="B1748" t="s">
        <v>68</v>
      </c>
      <c r="C1748" t="s">
        <v>46</v>
      </c>
      <c r="E1748" t="s">
        <v>41</v>
      </c>
      <c r="F1748" t="s">
        <v>10</v>
      </c>
    </row>
    <row r="1749" spans="1:6" hidden="1" x14ac:dyDescent="0.35">
      <c r="A1749" t="s">
        <v>63</v>
      </c>
      <c r="B1749" t="s">
        <v>68</v>
      </c>
      <c r="C1749" t="s">
        <v>46</v>
      </c>
      <c r="E1749" t="s">
        <v>41</v>
      </c>
      <c r="F1749" t="s">
        <v>10</v>
      </c>
    </row>
    <row r="1750" spans="1:6" hidden="1" x14ac:dyDescent="0.35">
      <c r="A1750" t="s">
        <v>64</v>
      </c>
      <c r="B1750" t="s">
        <v>68</v>
      </c>
      <c r="C1750" t="s">
        <v>46</v>
      </c>
      <c r="D1750">
        <v>0</v>
      </c>
      <c r="E1750" t="s">
        <v>41</v>
      </c>
      <c r="F1750" t="s">
        <v>10</v>
      </c>
    </row>
    <row r="1751" spans="1:6" hidden="1" x14ac:dyDescent="0.35">
      <c r="A1751" t="s">
        <v>65</v>
      </c>
      <c r="B1751" t="s">
        <v>68</v>
      </c>
      <c r="C1751" t="s">
        <v>46</v>
      </c>
      <c r="E1751" t="s">
        <v>41</v>
      </c>
      <c r="F1751" t="s">
        <v>10</v>
      </c>
    </row>
    <row r="1752" spans="1:6" hidden="1" x14ac:dyDescent="0.35">
      <c r="A1752" t="s">
        <v>66</v>
      </c>
      <c r="B1752" t="s">
        <v>68</v>
      </c>
      <c r="C1752" t="s">
        <v>46</v>
      </c>
      <c r="D1752">
        <v>25235.326799999999</v>
      </c>
      <c r="E1752" t="s">
        <v>41</v>
      </c>
      <c r="F1752" t="s">
        <v>10</v>
      </c>
    </row>
    <row r="1753" spans="1:6" hidden="1" x14ac:dyDescent="0.35">
      <c r="A1753" t="s">
        <v>67</v>
      </c>
      <c r="B1753" t="s">
        <v>68</v>
      </c>
      <c r="C1753" t="s">
        <v>46</v>
      </c>
      <c r="E1753" t="s">
        <v>41</v>
      </c>
      <c r="F1753" t="s">
        <v>10</v>
      </c>
    </row>
    <row r="1754" spans="1:6" hidden="1" x14ac:dyDescent="0.35">
      <c r="A1754" t="s">
        <v>57</v>
      </c>
      <c r="B1754" t="s">
        <v>68</v>
      </c>
      <c r="C1754" t="s">
        <v>24</v>
      </c>
      <c r="D1754">
        <v>0</v>
      </c>
      <c r="E1754" t="s">
        <v>41</v>
      </c>
      <c r="F1754" t="s">
        <v>10</v>
      </c>
    </row>
    <row r="1755" spans="1:6" hidden="1" x14ac:dyDescent="0.35">
      <c r="A1755" t="s">
        <v>11</v>
      </c>
      <c r="B1755" t="s">
        <v>68</v>
      </c>
      <c r="C1755" t="s">
        <v>24</v>
      </c>
      <c r="D1755">
        <v>0</v>
      </c>
      <c r="E1755" t="s">
        <v>41</v>
      </c>
      <c r="F1755" t="s">
        <v>10</v>
      </c>
    </row>
    <row r="1756" spans="1:6" hidden="1" x14ac:dyDescent="0.35">
      <c r="A1756" t="s">
        <v>58</v>
      </c>
      <c r="B1756" t="s">
        <v>68</v>
      </c>
      <c r="C1756" t="s">
        <v>24</v>
      </c>
      <c r="D1756">
        <v>0</v>
      </c>
      <c r="E1756" t="s">
        <v>41</v>
      </c>
      <c r="F1756" t="s">
        <v>10</v>
      </c>
    </row>
    <row r="1757" spans="1:6" hidden="1" x14ac:dyDescent="0.35">
      <c r="A1757" t="s">
        <v>59</v>
      </c>
      <c r="B1757" t="s">
        <v>68</v>
      </c>
      <c r="C1757" t="s">
        <v>24</v>
      </c>
      <c r="D1757">
        <v>0</v>
      </c>
      <c r="E1757" t="s">
        <v>41</v>
      </c>
      <c r="F1757" t="s">
        <v>10</v>
      </c>
    </row>
    <row r="1758" spans="1:6" hidden="1" x14ac:dyDescent="0.35">
      <c r="A1758" t="s">
        <v>60</v>
      </c>
      <c r="B1758" t="s">
        <v>68</v>
      </c>
      <c r="C1758" t="s">
        <v>24</v>
      </c>
      <c r="D1758">
        <v>0</v>
      </c>
      <c r="E1758" t="s">
        <v>41</v>
      </c>
      <c r="F1758" t="s">
        <v>10</v>
      </c>
    </row>
    <row r="1759" spans="1:6" hidden="1" x14ac:dyDescent="0.35">
      <c r="A1759" t="s">
        <v>61</v>
      </c>
      <c r="B1759" t="s">
        <v>68</v>
      </c>
      <c r="C1759" t="s">
        <v>24</v>
      </c>
      <c r="D1759">
        <v>0</v>
      </c>
      <c r="E1759" t="s">
        <v>41</v>
      </c>
      <c r="F1759" t="s">
        <v>10</v>
      </c>
    </row>
    <row r="1760" spans="1:6" hidden="1" x14ac:dyDescent="0.35">
      <c r="A1760" t="s">
        <v>62</v>
      </c>
      <c r="B1760" t="s">
        <v>68</v>
      </c>
      <c r="C1760" t="s">
        <v>24</v>
      </c>
      <c r="D1760">
        <v>0</v>
      </c>
      <c r="E1760" t="s">
        <v>41</v>
      </c>
      <c r="F1760" t="s">
        <v>10</v>
      </c>
    </row>
    <row r="1761" spans="1:6" hidden="1" x14ac:dyDescent="0.35">
      <c r="A1761" t="s">
        <v>63</v>
      </c>
      <c r="B1761" t="s">
        <v>68</v>
      </c>
      <c r="C1761" t="s">
        <v>24</v>
      </c>
      <c r="D1761">
        <v>0</v>
      </c>
      <c r="E1761" t="s">
        <v>41</v>
      </c>
      <c r="F1761" t="s">
        <v>10</v>
      </c>
    </row>
    <row r="1762" spans="1:6" hidden="1" x14ac:dyDescent="0.35">
      <c r="A1762" t="s">
        <v>64</v>
      </c>
      <c r="B1762" t="s">
        <v>68</v>
      </c>
      <c r="C1762" t="s">
        <v>24</v>
      </c>
      <c r="D1762">
        <v>0</v>
      </c>
      <c r="E1762" t="s">
        <v>41</v>
      </c>
      <c r="F1762" t="s">
        <v>10</v>
      </c>
    </row>
    <row r="1763" spans="1:6" hidden="1" x14ac:dyDescent="0.35">
      <c r="A1763" t="s">
        <v>65</v>
      </c>
      <c r="B1763" t="s">
        <v>68</v>
      </c>
      <c r="C1763" t="s">
        <v>24</v>
      </c>
      <c r="D1763">
        <v>0</v>
      </c>
      <c r="E1763" t="s">
        <v>41</v>
      </c>
      <c r="F1763" t="s">
        <v>10</v>
      </c>
    </row>
    <row r="1764" spans="1:6" hidden="1" x14ac:dyDescent="0.35">
      <c r="A1764" t="s">
        <v>66</v>
      </c>
      <c r="B1764" t="s">
        <v>68</v>
      </c>
      <c r="C1764" t="s">
        <v>24</v>
      </c>
      <c r="D1764">
        <v>0</v>
      </c>
      <c r="E1764" t="s">
        <v>41</v>
      </c>
      <c r="F1764" t="s">
        <v>10</v>
      </c>
    </row>
    <row r="1765" spans="1:6" hidden="1" x14ac:dyDescent="0.35">
      <c r="A1765" t="s">
        <v>67</v>
      </c>
      <c r="B1765" t="s">
        <v>68</v>
      </c>
      <c r="C1765" t="s">
        <v>24</v>
      </c>
      <c r="D1765">
        <v>0</v>
      </c>
      <c r="E1765" t="s">
        <v>41</v>
      </c>
      <c r="F1765" t="s">
        <v>10</v>
      </c>
    </row>
    <row r="1766" spans="1:6" hidden="1" x14ac:dyDescent="0.35">
      <c r="A1766" t="s">
        <v>57</v>
      </c>
      <c r="B1766" t="s">
        <v>68</v>
      </c>
      <c r="C1766" t="s">
        <v>47</v>
      </c>
      <c r="E1766" t="s">
        <v>41</v>
      </c>
      <c r="F1766" t="s">
        <v>10</v>
      </c>
    </row>
    <row r="1767" spans="1:6" hidden="1" x14ac:dyDescent="0.35">
      <c r="A1767" t="s">
        <v>11</v>
      </c>
      <c r="B1767" t="s">
        <v>68</v>
      </c>
      <c r="C1767" t="s">
        <v>47</v>
      </c>
      <c r="E1767" t="s">
        <v>41</v>
      </c>
      <c r="F1767" t="s">
        <v>10</v>
      </c>
    </row>
    <row r="1768" spans="1:6" hidden="1" x14ac:dyDescent="0.35">
      <c r="A1768" t="s">
        <v>58</v>
      </c>
      <c r="B1768" t="s">
        <v>68</v>
      </c>
      <c r="C1768" t="s">
        <v>47</v>
      </c>
      <c r="E1768" t="s">
        <v>41</v>
      </c>
      <c r="F1768" t="s">
        <v>10</v>
      </c>
    </row>
    <row r="1769" spans="1:6" hidden="1" x14ac:dyDescent="0.35">
      <c r="A1769" t="s">
        <v>59</v>
      </c>
      <c r="B1769" t="s">
        <v>68</v>
      </c>
      <c r="C1769" t="s">
        <v>47</v>
      </c>
      <c r="E1769" t="s">
        <v>41</v>
      </c>
      <c r="F1769" t="s">
        <v>10</v>
      </c>
    </row>
    <row r="1770" spans="1:6" hidden="1" x14ac:dyDescent="0.35">
      <c r="A1770" t="s">
        <v>60</v>
      </c>
      <c r="B1770" t="s">
        <v>68</v>
      </c>
      <c r="C1770" t="s">
        <v>47</v>
      </c>
      <c r="E1770" t="s">
        <v>41</v>
      </c>
      <c r="F1770" t="s">
        <v>10</v>
      </c>
    </row>
    <row r="1771" spans="1:6" hidden="1" x14ac:dyDescent="0.35">
      <c r="A1771" t="s">
        <v>61</v>
      </c>
      <c r="B1771" t="s">
        <v>68</v>
      </c>
      <c r="C1771" t="s">
        <v>47</v>
      </c>
      <c r="D1771">
        <v>27694.97</v>
      </c>
      <c r="E1771" t="s">
        <v>41</v>
      </c>
      <c r="F1771" t="s">
        <v>10</v>
      </c>
    </row>
    <row r="1772" spans="1:6" hidden="1" x14ac:dyDescent="0.35">
      <c r="A1772" t="s">
        <v>62</v>
      </c>
      <c r="B1772" t="s">
        <v>68</v>
      </c>
      <c r="C1772" t="s">
        <v>47</v>
      </c>
      <c r="E1772" t="s">
        <v>41</v>
      </c>
      <c r="F1772" t="s">
        <v>10</v>
      </c>
    </row>
    <row r="1773" spans="1:6" hidden="1" x14ac:dyDescent="0.35">
      <c r="A1773" t="s">
        <v>63</v>
      </c>
      <c r="B1773" t="s">
        <v>68</v>
      </c>
      <c r="C1773" t="s">
        <v>47</v>
      </c>
      <c r="E1773" t="s">
        <v>41</v>
      </c>
      <c r="F1773" t="s">
        <v>10</v>
      </c>
    </row>
    <row r="1774" spans="1:6" hidden="1" x14ac:dyDescent="0.35">
      <c r="A1774" t="s">
        <v>64</v>
      </c>
      <c r="B1774" t="s">
        <v>68</v>
      </c>
      <c r="C1774" t="s">
        <v>47</v>
      </c>
      <c r="E1774" t="s">
        <v>41</v>
      </c>
      <c r="F1774" t="s">
        <v>10</v>
      </c>
    </row>
    <row r="1775" spans="1:6" hidden="1" x14ac:dyDescent="0.35">
      <c r="A1775" t="s">
        <v>65</v>
      </c>
      <c r="B1775" t="s">
        <v>68</v>
      </c>
      <c r="C1775" t="s">
        <v>47</v>
      </c>
      <c r="E1775" t="s">
        <v>41</v>
      </c>
      <c r="F1775" t="s">
        <v>10</v>
      </c>
    </row>
    <row r="1776" spans="1:6" hidden="1" x14ac:dyDescent="0.35">
      <c r="A1776" t="s">
        <v>66</v>
      </c>
      <c r="B1776" t="s">
        <v>68</v>
      </c>
      <c r="C1776" t="s">
        <v>47</v>
      </c>
      <c r="E1776" t="s">
        <v>41</v>
      </c>
      <c r="F1776" t="s">
        <v>10</v>
      </c>
    </row>
    <row r="1777" spans="1:6" hidden="1" x14ac:dyDescent="0.35">
      <c r="A1777" t="s">
        <v>67</v>
      </c>
      <c r="B1777" t="s">
        <v>68</v>
      </c>
      <c r="C1777" t="s">
        <v>47</v>
      </c>
      <c r="E1777" t="s">
        <v>41</v>
      </c>
      <c r="F1777" t="s">
        <v>10</v>
      </c>
    </row>
    <row r="1778" spans="1:6" hidden="1" x14ac:dyDescent="0.35">
      <c r="A1778" t="s">
        <v>57</v>
      </c>
      <c r="B1778" t="s">
        <v>68</v>
      </c>
      <c r="C1778" t="s">
        <v>48</v>
      </c>
      <c r="D1778">
        <v>0</v>
      </c>
      <c r="E1778" t="s">
        <v>41</v>
      </c>
      <c r="F1778" t="s">
        <v>10</v>
      </c>
    </row>
    <row r="1779" spans="1:6" hidden="1" x14ac:dyDescent="0.35">
      <c r="A1779" t="s">
        <v>11</v>
      </c>
      <c r="B1779" t="s">
        <v>68</v>
      </c>
      <c r="C1779" t="s">
        <v>48</v>
      </c>
      <c r="D1779">
        <v>0</v>
      </c>
      <c r="E1779" t="s">
        <v>41</v>
      </c>
      <c r="F1779" t="s">
        <v>10</v>
      </c>
    </row>
    <row r="1780" spans="1:6" hidden="1" x14ac:dyDescent="0.35">
      <c r="A1780" t="s">
        <v>58</v>
      </c>
      <c r="B1780" t="s">
        <v>68</v>
      </c>
      <c r="C1780" t="s">
        <v>48</v>
      </c>
      <c r="D1780">
        <v>0</v>
      </c>
      <c r="E1780" t="s">
        <v>41</v>
      </c>
      <c r="F1780" t="s">
        <v>10</v>
      </c>
    </row>
    <row r="1781" spans="1:6" hidden="1" x14ac:dyDescent="0.35">
      <c r="A1781" t="s">
        <v>59</v>
      </c>
      <c r="B1781" t="s">
        <v>68</v>
      </c>
      <c r="C1781" t="s">
        <v>48</v>
      </c>
      <c r="D1781">
        <v>0</v>
      </c>
      <c r="E1781" t="s">
        <v>41</v>
      </c>
      <c r="F1781" t="s">
        <v>10</v>
      </c>
    </row>
    <row r="1782" spans="1:6" hidden="1" x14ac:dyDescent="0.35">
      <c r="A1782" t="s">
        <v>60</v>
      </c>
      <c r="B1782" t="s">
        <v>68</v>
      </c>
      <c r="C1782" t="s">
        <v>48</v>
      </c>
      <c r="D1782">
        <v>0</v>
      </c>
      <c r="E1782" t="s">
        <v>41</v>
      </c>
      <c r="F1782" t="s">
        <v>10</v>
      </c>
    </row>
    <row r="1783" spans="1:6" hidden="1" x14ac:dyDescent="0.35">
      <c r="A1783" t="s">
        <v>61</v>
      </c>
      <c r="B1783" t="s">
        <v>68</v>
      </c>
      <c r="C1783" t="s">
        <v>48</v>
      </c>
      <c r="D1783">
        <v>0</v>
      </c>
      <c r="E1783" t="s">
        <v>41</v>
      </c>
      <c r="F1783" t="s">
        <v>10</v>
      </c>
    </row>
    <row r="1784" spans="1:6" hidden="1" x14ac:dyDescent="0.35">
      <c r="A1784" t="s">
        <v>62</v>
      </c>
      <c r="B1784" t="s">
        <v>68</v>
      </c>
      <c r="C1784" t="s">
        <v>48</v>
      </c>
      <c r="D1784">
        <v>0</v>
      </c>
      <c r="E1784" t="s">
        <v>41</v>
      </c>
      <c r="F1784" t="s">
        <v>10</v>
      </c>
    </row>
    <row r="1785" spans="1:6" hidden="1" x14ac:dyDescent="0.35">
      <c r="A1785" t="s">
        <v>63</v>
      </c>
      <c r="B1785" t="s">
        <v>68</v>
      </c>
      <c r="C1785" t="s">
        <v>48</v>
      </c>
      <c r="D1785">
        <v>0</v>
      </c>
      <c r="E1785" t="s">
        <v>41</v>
      </c>
      <c r="F1785" t="s">
        <v>10</v>
      </c>
    </row>
    <row r="1786" spans="1:6" hidden="1" x14ac:dyDescent="0.35">
      <c r="A1786" t="s">
        <v>64</v>
      </c>
      <c r="B1786" t="s">
        <v>68</v>
      </c>
      <c r="C1786" t="s">
        <v>48</v>
      </c>
      <c r="D1786">
        <v>0</v>
      </c>
      <c r="E1786" t="s">
        <v>41</v>
      </c>
      <c r="F1786" t="s">
        <v>10</v>
      </c>
    </row>
    <row r="1787" spans="1:6" hidden="1" x14ac:dyDescent="0.35">
      <c r="A1787" t="s">
        <v>65</v>
      </c>
      <c r="B1787" t="s">
        <v>68</v>
      </c>
      <c r="C1787" t="s">
        <v>48</v>
      </c>
      <c r="D1787">
        <v>0</v>
      </c>
      <c r="E1787" t="s">
        <v>41</v>
      </c>
      <c r="F1787" t="s">
        <v>10</v>
      </c>
    </row>
    <row r="1788" spans="1:6" hidden="1" x14ac:dyDescent="0.35">
      <c r="A1788" t="s">
        <v>66</v>
      </c>
      <c r="B1788" t="s">
        <v>68</v>
      </c>
      <c r="C1788" t="s">
        <v>48</v>
      </c>
      <c r="D1788">
        <v>0</v>
      </c>
      <c r="E1788" t="s">
        <v>41</v>
      </c>
      <c r="F1788" t="s">
        <v>10</v>
      </c>
    </row>
    <row r="1789" spans="1:6" hidden="1" x14ac:dyDescent="0.35">
      <c r="A1789" t="s">
        <v>67</v>
      </c>
      <c r="B1789" t="s">
        <v>68</v>
      </c>
      <c r="C1789" t="s">
        <v>48</v>
      </c>
      <c r="D1789">
        <v>0</v>
      </c>
      <c r="E1789" t="s">
        <v>41</v>
      </c>
      <c r="F1789" t="s">
        <v>10</v>
      </c>
    </row>
    <row r="1790" spans="1:6" hidden="1" x14ac:dyDescent="0.35">
      <c r="A1790" t="s">
        <v>57</v>
      </c>
      <c r="B1790" t="s">
        <v>68</v>
      </c>
      <c r="C1790" t="s">
        <v>49</v>
      </c>
      <c r="E1790" t="s">
        <v>41</v>
      </c>
      <c r="F1790" t="s">
        <v>10</v>
      </c>
    </row>
    <row r="1791" spans="1:6" hidden="1" x14ac:dyDescent="0.35">
      <c r="A1791" t="s">
        <v>11</v>
      </c>
      <c r="B1791" t="s">
        <v>68</v>
      </c>
      <c r="C1791" t="s">
        <v>49</v>
      </c>
      <c r="E1791" t="s">
        <v>41</v>
      </c>
      <c r="F1791" t="s">
        <v>10</v>
      </c>
    </row>
    <row r="1792" spans="1:6" hidden="1" x14ac:dyDescent="0.35">
      <c r="A1792" t="s">
        <v>58</v>
      </c>
      <c r="B1792" t="s">
        <v>68</v>
      </c>
      <c r="C1792" t="s">
        <v>49</v>
      </c>
      <c r="D1792">
        <v>53870.675999999999</v>
      </c>
      <c r="E1792" t="s">
        <v>41</v>
      </c>
      <c r="F1792" t="s">
        <v>10</v>
      </c>
    </row>
    <row r="1793" spans="1:6" hidden="1" x14ac:dyDescent="0.35">
      <c r="A1793" t="s">
        <v>59</v>
      </c>
      <c r="B1793" t="s">
        <v>68</v>
      </c>
      <c r="C1793" t="s">
        <v>49</v>
      </c>
      <c r="E1793" t="s">
        <v>41</v>
      </c>
      <c r="F1793" t="s">
        <v>10</v>
      </c>
    </row>
    <row r="1794" spans="1:6" hidden="1" x14ac:dyDescent="0.35">
      <c r="A1794" t="s">
        <v>60</v>
      </c>
      <c r="B1794" t="s">
        <v>68</v>
      </c>
      <c r="C1794" t="s">
        <v>49</v>
      </c>
      <c r="E1794" t="s">
        <v>41</v>
      </c>
      <c r="F1794" t="s">
        <v>10</v>
      </c>
    </row>
    <row r="1795" spans="1:6" hidden="1" x14ac:dyDescent="0.35">
      <c r="A1795" t="s">
        <v>61</v>
      </c>
      <c r="B1795" t="s">
        <v>68</v>
      </c>
      <c r="C1795" t="s">
        <v>49</v>
      </c>
      <c r="E1795" t="s">
        <v>41</v>
      </c>
      <c r="F1795" t="s">
        <v>10</v>
      </c>
    </row>
    <row r="1796" spans="1:6" hidden="1" x14ac:dyDescent="0.35">
      <c r="A1796" t="s">
        <v>62</v>
      </c>
      <c r="B1796" t="s">
        <v>68</v>
      </c>
      <c r="C1796" t="s">
        <v>49</v>
      </c>
      <c r="E1796" t="s">
        <v>41</v>
      </c>
      <c r="F1796" t="s">
        <v>10</v>
      </c>
    </row>
    <row r="1797" spans="1:6" hidden="1" x14ac:dyDescent="0.35">
      <c r="A1797" t="s">
        <v>63</v>
      </c>
      <c r="B1797" t="s">
        <v>68</v>
      </c>
      <c r="C1797" t="s">
        <v>49</v>
      </c>
      <c r="E1797" t="s">
        <v>41</v>
      </c>
      <c r="F1797" t="s">
        <v>10</v>
      </c>
    </row>
    <row r="1798" spans="1:6" hidden="1" x14ac:dyDescent="0.35">
      <c r="A1798" t="s">
        <v>64</v>
      </c>
      <c r="B1798" t="s">
        <v>68</v>
      </c>
      <c r="C1798" t="s">
        <v>49</v>
      </c>
      <c r="D1798">
        <v>5019.0072</v>
      </c>
      <c r="E1798" t="s">
        <v>41</v>
      </c>
      <c r="F1798" t="s">
        <v>10</v>
      </c>
    </row>
    <row r="1799" spans="1:6" hidden="1" x14ac:dyDescent="0.35">
      <c r="A1799" t="s">
        <v>65</v>
      </c>
      <c r="B1799" t="s">
        <v>68</v>
      </c>
      <c r="C1799" t="s">
        <v>49</v>
      </c>
      <c r="E1799" t="s">
        <v>41</v>
      </c>
      <c r="F1799" t="s">
        <v>10</v>
      </c>
    </row>
    <row r="1800" spans="1:6" hidden="1" x14ac:dyDescent="0.35">
      <c r="A1800" t="s">
        <v>66</v>
      </c>
      <c r="B1800" t="s">
        <v>68</v>
      </c>
      <c r="C1800" t="s">
        <v>49</v>
      </c>
      <c r="D1800">
        <v>2056.9623999999999</v>
      </c>
      <c r="E1800" t="s">
        <v>41</v>
      </c>
      <c r="F1800" t="s">
        <v>10</v>
      </c>
    </row>
    <row r="1801" spans="1:6" hidden="1" x14ac:dyDescent="0.35">
      <c r="A1801" t="s">
        <v>67</v>
      </c>
      <c r="B1801" t="s">
        <v>68</v>
      </c>
      <c r="C1801" t="s">
        <v>49</v>
      </c>
      <c r="E1801" t="s">
        <v>41</v>
      </c>
      <c r="F1801" t="s">
        <v>10</v>
      </c>
    </row>
    <row r="1802" spans="1:6" hidden="1" x14ac:dyDescent="0.35">
      <c r="A1802" t="s">
        <v>57</v>
      </c>
      <c r="B1802" t="s">
        <v>68</v>
      </c>
      <c r="C1802" t="s">
        <v>50</v>
      </c>
      <c r="E1802" t="s">
        <v>41</v>
      </c>
      <c r="F1802" t="s">
        <v>10</v>
      </c>
    </row>
    <row r="1803" spans="1:6" hidden="1" x14ac:dyDescent="0.35">
      <c r="A1803" t="s">
        <v>11</v>
      </c>
      <c r="B1803" t="s">
        <v>68</v>
      </c>
      <c r="C1803" t="s">
        <v>50</v>
      </c>
      <c r="E1803" t="s">
        <v>41</v>
      </c>
      <c r="F1803" t="s">
        <v>10</v>
      </c>
    </row>
    <row r="1804" spans="1:6" hidden="1" x14ac:dyDescent="0.35">
      <c r="A1804" t="s">
        <v>58</v>
      </c>
      <c r="B1804" t="s">
        <v>68</v>
      </c>
      <c r="C1804" t="s">
        <v>50</v>
      </c>
      <c r="D1804">
        <v>306398.37040000001</v>
      </c>
      <c r="E1804" t="s">
        <v>41</v>
      </c>
      <c r="F1804" t="s">
        <v>10</v>
      </c>
    </row>
    <row r="1805" spans="1:6" hidden="1" x14ac:dyDescent="0.35">
      <c r="A1805" t="s">
        <v>59</v>
      </c>
      <c r="B1805" t="s">
        <v>68</v>
      </c>
      <c r="C1805" t="s">
        <v>50</v>
      </c>
      <c r="E1805" t="s">
        <v>41</v>
      </c>
      <c r="F1805" t="s">
        <v>10</v>
      </c>
    </row>
    <row r="1806" spans="1:6" hidden="1" x14ac:dyDescent="0.35">
      <c r="A1806" t="s">
        <v>60</v>
      </c>
      <c r="B1806" t="s">
        <v>68</v>
      </c>
      <c r="C1806" t="s">
        <v>50</v>
      </c>
      <c r="E1806" t="s">
        <v>41</v>
      </c>
      <c r="F1806" t="s">
        <v>10</v>
      </c>
    </row>
    <row r="1807" spans="1:6" hidden="1" x14ac:dyDescent="0.35">
      <c r="A1807" t="s">
        <v>61</v>
      </c>
      <c r="B1807" t="s">
        <v>68</v>
      </c>
      <c r="C1807" t="s">
        <v>50</v>
      </c>
      <c r="E1807" t="s">
        <v>41</v>
      </c>
      <c r="F1807" t="s">
        <v>10</v>
      </c>
    </row>
    <row r="1808" spans="1:6" hidden="1" x14ac:dyDescent="0.35">
      <c r="A1808" t="s">
        <v>62</v>
      </c>
      <c r="B1808" t="s">
        <v>68</v>
      </c>
      <c r="C1808" t="s">
        <v>50</v>
      </c>
      <c r="E1808" t="s">
        <v>41</v>
      </c>
      <c r="F1808" t="s">
        <v>10</v>
      </c>
    </row>
    <row r="1809" spans="1:6" hidden="1" x14ac:dyDescent="0.35">
      <c r="A1809" t="s">
        <v>63</v>
      </c>
      <c r="B1809" t="s">
        <v>68</v>
      </c>
      <c r="C1809" t="s">
        <v>50</v>
      </c>
      <c r="E1809" t="s">
        <v>41</v>
      </c>
      <c r="F1809" t="s">
        <v>10</v>
      </c>
    </row>
    <row r="1810" spans="1:6" hidden="1" x14ac:dyDescent="0.35">
      <c r="A1810" t="s">
        <v>64</v>
      </c>
      <c r="B1810" t="s">
        <v>68</v>
      </c>
      <c r="C1810" t="s">
        <v>50</v>
      </c>
      <c r="D1810">
        <v>11031.536</v>
      </c>
      <c r="E1810" t="s">
        <v>41</v>
      </c>
      <c r="F1810" t="s">
        <v>10</v>
      </c>
    </row>
    <row r="1811" spans="1:6" hidden="1" x14ac:dyDescent="0.35">
      <c r="A1811" t="s">
        <v>65</v>
      </c>
      <c r="B1811" t="s">
        <v>68</v>
      </c>
      <c r="C1811" t="s">
        <v>50</v>
      </c>
      <c r="E1811" t="s">
        <v>41</v>
      </c>
      <c r="F1811" t="s">
        <v>10</v>
      </c>
    </row>
    <row r="1812" spans="1:6" hidden="1" x14ac:dyDescent="0.35">
      <c r="A1812" t="s">
        <v>66</v>
      </c>
      <c r="B1812" t="s">
        <v>68</v>
      </c>
      <c r="C1812" t="s">
        <v>50</v>
      </c>
      <c r="D1812">
        <v>25235.326799999999</v>
      </c>
      <c r="E1812" t="s">
        <v>41</v>
      </c>
      <c r="F1812" t="s">
        <v>10</v>
      </c>
    </row>
    <row r="1813" spans="1:6" hidden="1" x14ac:dyDescent="0.35">
      <c r="A1813" t="s">
        <v>67</v>
      </c>
      <c r="B1813" t="s">
        <v>68</v>
      </c>
      <c r="C1813" t="s">
        <v>50</v>
      </c>
      <c r="E1813" t="s">
        <v>41</v>
      </c>
      <c r="F1813" t="s">
        <v>10</v>
      </c>
    </row>
    <row r="1814" spans="1:6" hidden="1" x14ac:dyDescent="0.35">
      <c r="A1814" t="s">
        <v>57</v>
      </c>
      <c r="B1814" t="s">
        <v>68</v>
      </c>
      <c r="C1814" t="s">
        <v>51</v>
      </c>
      <c r="E1814" t="s">
        <v>41</v>
      </c>
      <c r="F1814" t="s">
        <v>10</v>
      </c>
    </row>
    <row r="1815" spans="1:6" hidden="1" x14ac:dyDescent="0.35">
      <c r="A1815" t="s">
        <v>11</v>
      </c>
      <c r="B1815" t="s">
        <v>68</v>
      </c>
      <c r="C1815" t="s">
        <v>51</v>
      </c>
      <c r="E1815" t="s">
        <v>41</v>
      </c>
      <c r="F1815" t="s">
        <v>10</v>
      </c>
    </row>
    <row r="1816" spans="1:6" hidden="1" x14ac:dyDescent="0.35">
      <c r="A1816" t="s">
        <v>58</v>
      </c>
      <c r="B1816" t="s">
        <v>68</v>
      </c>
      <c r="C1816" t="s">
        <v>51</v>
      </c>
      <c r="E1816" t="s">
        <v>41</v>
      </c>
      <c r="F1816" t="s">
        <v>10</v>
      </c>
    </row>
    <row r="1817" spans="1:6" hidden="1" x14ac:dyDescent="0.35">
      <c r="A1817" t="s">
        <v>59</v>
      </c>
      <c r="B1817" t="s">
        <v>68</v>
      </c>
      <c r="C1817" t="s">
        <v>51</v>
      </c>
      <c r="E1817" t="s">
        <v>41</v>
      </c>
      <c r="F1817" t="s">
        <v>10</v>
      </c>
    </row>
    <row r="1818" spans="1:6" hidden="1" x14ac:dyDescent="0.35">
      <c r="A1818" t="s">
        <v>60</v>
      </c>
      <c r="B1818" t="s">
        <v>68</v>
      </c>
      <c r="C1818" t="s">
        <v>51</v>
      </c>
      <c r="E1818" t="s">
        <v>41</v>
      </c>
      <c r="F1818" t="s">
        <v>10</v>
      </c>
    </row>
    <row r="1819" spans="1:6" hidden="1" x14ac:dyDescent="0.35">
      <c r="A1819" t="s">
        <v>61</v>
      </c>
      <c r="B1819" t="s">
        <v>68</v>
      </c>
      <c r="C1819" t="s">
        <v>51</v>
      </c>
      <c r="D1819">
        <v>1</v>
      </c>
      <c r="E1819" t="s">
        <v>41</v>
      </c>
      <c r="F1819" t="s">
        <v>10</v>
      </c>
    </row>
    <row r="1820" spans="1:6" hidden="1" x14ac:dyDescent="0.35">
      <c r="A1820" t="s">
        <v>62</v>
      </c>
      <c r="B1820" t="s">
        <v>68</v>
      </c>
      <c r="C1820" t="s">
        <v>51</v>
      </c>
      <c r="E1820" t="s">
        <v>41</v>
      </c>
      <c r="F1820" t="s">
        <v>10</v>
      </c>
    </row>
    <row r="1821" spans="1:6" hidden="1" x14ac:dyDescent="0.35">
      <c r="A1821" t="s">
        <v>63</v>
      </c>
      <c r="B1821" t="s">
        <v>68</v>
      </c>
      <c r="C1821" t="s">
        <v>51</v>
      </c>
      <c r="E1821" t="s">
        <v>41</v>
      </c>
      <c r="F1821" t="s">
        <v>10</v>
      </c>
    </row>
    <row r="1822" spans="1:6" hidden="1" x14ac:dyDescent="0.35">
      <c r="A1822" t="s">
        <v>64</v>
      </c>
      <c r="B1822" t="s">
        <v>68</v>
      </c>
      <c r="C1822" t="s">
        <v>51</v>
      </c>
      <c r="E1822" t="s">
        <v>41</v>
      </c>
      <c r="F1822" t="s">
        <v>10</v>
      </c>
    </row>
    <row r="1823" spans="1:6" hidden="1" x14ac:dyDescent="0.35">
      <c r="A1823" t="s">
        <v>65</v>
      </c>
      <c r="B1823" t="s">
        <v>68</v>
      </c>
      <c r="C1823" t="s">
        <v>51</v>
      </c>
      <c r="E1823" t="s">
        <v>41</v>
      </c>
      <c r="F1823" t="s">
        <v>10</v>
      </c>
    </row>
    <row r="1824" spans="1:6" hidden="1" x14ac:dyDescent="0.35">
      <c r="A1824" t="s">
        <v>66</v>
      </c>
      <c r="B1824" t="s">
        <v>68</v>
      </c>
      <c r="C1824" t="s">
        <v>51</v>
      </c>
      <c r="E1824" t="s">
        <v>41</v>
      </c>
      <c r="F1824" t="s">
        <v>10</v>
      </c>
    </row>
    <row r="1825" spans="1:6" hidden="1" x14ac:dyDescent="0.35">
      <c r="A1825" t="s">
        <v>67</v>
      </c>
      <c r="B1825" t="s">
        <v>68</v>
      </c>
      <c r="C1825" t="s">
        <v>51</v>
      </c>
      <c r="E1825" t="s">
        <v>41</v>
      </c>
      <c r="F1825" t="s">
        <v>10</v>
      </c>
    </row>
    <row r="1826" spans="1:6" hidden="1" x14ac:dyDescent="0.35">
      <c r="A1826" t="s">
        <v>57</v>
      </c>
      <c r="B1826" t="s">
        <v>68</v>
      </c>
      <c r="C1826" t="s">
        <v>30</v>
      </c>
      <c r="E1826" t="s">
        <v>41</v>
      </c>
      <c r="F1826" t="s">
        <v>10</v>
      </c>
    </row>
    <row r="1827" spans="1:6" hidden="1" x14ac:dyDescent="0.35">
      <c r="A1827" t="s">
        <v>11</v>
      </c>
      <c r="B1827" t="s">
        <v>68</v>
      </c>
      <c r="C1827" t="s">
        <v>30</v>
      </c>
      <c r="E1827" t="s">
        <v>41</v>
      </c>
      <c r="F1827" t="s">
        <v>10</v>
      </c>
    </row>
    <row r="1828" spans="1:6" hidden="1" x14ac:dyDescent="0.35">
      <c r="A1828" t="s">
        <v>58</v>
      </c>
      <c r="B1828" t="s">
        <v>68</v>
      </c>
      <c r="C1828" t="s">
        <v>30</v>
      </c>
      <c r="E1828" t="s">
        <v>41</v>
      </c>
      <c r="F1828" t="s">
        <v>10</v>
      </c>
    </row>
    <row r="1829" spans="1:6" hidden="1" x14ac:dyDescent="0.35">
      <c r="A1829" t="s">
        <v>59</v>
      </c>
      <c r="B1829" t="s">
        <v>68</v>
      </c>
      <c r="C1829" t="s">
        <v>30</v>
      </c>
      <c r="E1829" t="s">
        <v>41</v>
      </c>
      <c r="F1829" t="s">
        <v>10</v>
      </c>
    </row>
    <row r="1830" spans="1:6" hidden="1" x14ac:dyDescent="0.35">
      <c r="A1830" t="s">
        <v>60</v>
      </c>
      <c r="B1830" t="s">
        <v>68</v>
      </c>
      <c r="C1830" t="s">
        <v>30</v>
      </c>
      <c r="D1830">
        <v>1</v>
      </c>
      <c r="E1830" t="s">
        <v>41</v>
      </c>
      <c r="F1830" t="s">
        <v>10</v>
      </c>
    </row>
    <row r="1831" spans="1:6" hidden="1" x14ac:dyDescent="0.35">
      <c r="A1831" t="s">
        <v>61</v>
      </c>
      <c r="B1831" t="s">
        <v>68</v>
      </c>
      <c r="C1831" t="s">
        <v>30</v>
      </c>
      <c r="E1831" t="s">
        <v>41</v>
      </c>
      <c r="F1831" t="s">
        <v>10</v>
      </c>
    </row>
    <row r="1832" spans="1:6" hidden="1" x14ac:dyDescent="0.35">
      <c r="A1832" t="s">
        <v>62</v>
      </c>
      <c r="B1832" t="s">
        <v>68</v>
      </c>
      <c r="C1832" t="s">
        <v>30</v>
      </c>
      <c r="E1832" t="s">
        <v>41</v>
      </c>
      <c r="F1832" t="s">
        <v>10</v>
      </c>
    </row>
    <row r="1833" spans="1:6" hidden="1" x14ac:dyDescent="0.35">
      <c r="A1833" t="s">
        <v>63</v>
      </c>
      <c r="B1833" t="s">
        <v>68</v>
      </c>
      <c r="C1833" t="s">
        <v>30</v>
      </c>
      <c r="E1833" t="s">
        <v>41</v>
      </c>
      <c r="F1833" t="s">
        <v>10</v>
      </c>
    </row>
    <row r="1834" spans="1:6" hidden="1" x14ac:dyDescent="0.35">
      <c r="A1834" t="s">
        <v>64</v>
      </c>
      <c r="B1834" t="s">
        <v>68</v>
      </c>
      <c r="C1834" t="s">
        <v>30</v>
      </c>
      <c r="E1834" t="s">
        <v>41</v>
      </c>
      <c r="F1834" t="s">
        <v>10</v>
      </c>
    </row>
    <row r="1835" spans="1:6" hidden="1" x14ac:dyDescent="0.35">
      <c r="A1835" t="s">
        <v>65</v>
      </c>
      <c r="B1835" t="s">
        <v>68</v>
      </c>
      <c r="C1835" t="s">
        <v>30</v>
      </c>
      <c r="D1835">
        <v>1</v>
      </c>
      <c r="E1835" t="s">
        <v>41</v>
      </c>
      <c r="F1835" t="s">
        <v>10</v>
      </c>
    </row>
    <row r="1836" spans="1:6" hidden="1" x14ac:dyDescent="0.35">
      <c r="A1836" t="s">
        <v>66</v>
      </c>
      <c r="B1836" t="s">
        <v>68</v>
      </c>
      <c r="C1836" t="s">
        <v>30</v>
      </c>
      <c r="D1836">
        <v>1</v>
      </c>
      <c r="E1836" t="s">
        <v>41</v>
      </c>
      <c r="F1836" t="s">
        <v>10</v>
      </c>
    </row>
    <row r="1837" spans="1:6" hidden="1" x14ac:dyDescent="0.35">
      <c r="A1837" t="s">
        <v>67</v>
      </c>
      <c r="B1837" t="s">
        <v>68</v>
      </c>
      <c r="C1837" t="s">
        <v>30</v>
      </c>
      <c r="E1837" t="s">
        <v>41</v>
      </c>
      <c r="F1837" t="s">
        <v>10</v>
      </c>
    </row>
    <row r="1838" spans="1:6" hidden="1" x14ac:dyDescent="0.35">
      <c r="A1838" t="s">
        <v>57</v>
      </c>
      <c r="B1838" t="s">
        <v>68</v>
      </c>
      <c r="C1838" t="s">
        <v>52</v>
      </c>
      <c r="E1838" t="s">
        <v>41</v>
      </c>
      <c r="F1838" t="s">
        <v>10</v>
      </c>
    </row>
    <row r="1839" spans="1:6" hidden="1" x14ac:dyDescent="0.35">
      <c r="A1839" t="s">
        <v>11</v>
      </c>
      <c r="B1839" t="s">
        <v>68</v>
      </c>
      <c r="C1839" t="s">
        <v>52</v>
      </c>
      <c r="E1839" t="s">
        <v>41</v>
      </c>
      <c r="F1839" t="s">
        <v>10</v>
      </c>
    </row>
    <row r="1840" spans="1:6" hidden="1" x14ac:dyDescent="0.35">
      <c r="A1840" t="s">
        <v>58</v>
      </c>
      <c r="B1840" t="s">
        <v>68</v>
      </c>
      <c r="C1840" t="s">
        <v>52</v>
      </c>
      <c r="E1840" t="s">
        <v>41</v>
      </c>
      <c r="F1840" t="s">
        <v>10</v>
      </c>
    </row>
    <row r="1841" spans="1:6" hidden="1" x14ac:dyDescent="0.35">
      <c r="A1841" t="s">
        <v>59</v>
      </c>
      <c r="B1841" t="s">
        <v>68</v>
      </c>
      <c r="C1841" t="s">
        <v>52</v>
      </c>
      <c r="E1841" t="s">
        <v>41</v>
      </c>
      <c r="F1841" t="s">
        <v>10</v>
      </c>
    </row>
    <row r="1842" spans="1:6" hidden="1" x14ac:dyDescent="0.35">
      <c r="A1842" t="s">
        <v>60</v>
      </c>
      <c r="B1842" t="s">
        <v>68</v>
      </c>
      <c r="C1842" t="s">
        <v>52</v>
      </c>
      <c r="E1842" t="s">
        <v>41</v>
      </c>
      <c r="F1842" t="s">
        <v>10</v>
      </c>
    </row>
    <row r="1843" spans="1:6" hidden="1" x14ac:dyDescent="0.35">
      <c r="A1843" t="s">
        <v>61</v>
      </c>
      <c r="B1843" t="s">
        <v>68</v>
      </c>
      <c r="C1843" t="s">
        <v>52</v>
      </c>
      <c r="D1843">
        <v>1</v>
      </c>
      <c r="E1843" t="s">
        <v>41</v>
      </c>
      <c r="F1843" t="s">
        <v>10</v>
      </c>
    </row>
    <row r="1844" spans="1:6" hidden="1" x14ac:dyDescent="0.35">
      <c r="A1844" t="s">
        <v>62</v>
      </c>
      <c r="B1844" t="s">
        <v>68</v>
      </c>
      <c r="C1844" t="s">
        <v>52</v>
      </c>
      <c r="E1844" t="s">
        <v>41</v>
      </c>
      <c r="F1844" t="s">
        <v>10</v>
      </c>
    </row>
    <row r="1845" spans="1:6" hidden="1" x14ac:dyDescent="0.35">
      <c r="A1845" t="s">
        <v>63</v>
      </c>
      <c r="B1845" t="s">
        <v>68</v>
      </c>
      <c r="C1845" t="s">
        <v>52</v>
      </c>
      <c r="E1845" t="s">
        <v>41</v>
      </c>
      <c r="F1845" t="s">
        <v>10</v>
      </c>
    </row>
    <row r="1846" spans="1:6" hidden="1" x14ac:dyDescent="0.35">
      <c r="A1846" t="s">
        <v>64</v>
      </c>
      <c r="B1846" t="s">
        <v>68</v>
      </c>
      <c r="C1846" t="s">
        <v>52</v>
      </c>
      <c r="E1846" t="s">
        <v>41</v>
      </c>
      <c r="F1846" t="s">
        <v>10</v>
      </c>
    </row>
    <row r="1847" spans="1:6" hidden="1" x14ac:dyDescent="0.35">
      <c r="A1847" t="s">
        <v>65</v>
      </c>
      <c r="B1847" t="s">
        <v>68</v>
      </c>
      <c r="C1847" t="s">
        <v>52</v>
      </c>
      <c r="E1847" t="s">
        <v>41</v>
      </c>
      <c r="F1847" t="s">
        <v>10</v>
      </c>
    </row>
    <row r="1848" spans="1:6" hidden="1" x14ac:dyDescent="0.35">
      <c r="A1848" t="s">
        <v>66</v>
      </c>
      <c r="B1848" t="s">
        <v>68</v>
      </c>
      <c r="C1848" t="s">
        <v>52</v>
      </c>
      <c r="E1848" t="s">
        <v>41</v>
      </c>
      <c r="F1848" t="s">
        <v>10</v>
      </c>
    </row>
    <row r="1849" spans="1:6" hidden="1" x14ac:dyDescent="0.35">
      <c r="A1849" t="s">
        <v>67</v>
      </c>
      <c r="B1849" t="s">
        <v>68</v>
      </c>
      <c r="C1849" t="s">
        <v>52</v>
      </c>
      <c r="E1849" t="s">
        <v>41</v>
      </c>
      <c r="F1849" t="s">
        <v>10</v>
      </c>
    </row>
    <row r="1850" spans="1:6" hidden="1" x14ac:dyDescent="0.35">
      <c r="A1850" t="s">
        <v>57</v>
      </c>
      <c r="B1850" t="s">
        <v>54</v>
      </c>
      <c r="C1850" t="s">
        <v>44</v>
      </c>
      <c r="D1850">
        <v>2989.857</v>
      </c>
      <c r="E1850" t="s">
        <v>41</v>
      </c>
      <c r="F1850" t="s">
        <v>10</v>
      </c>
    </row>
    <row r="1851" spans="1:6" hidden="1" x14ac:dyDescent="0.35">
      <c r="A1851" t="s">
        <v>11</v>
      </c>
      <c r="B1851" t="s">
        <v>54</v>
      </c>
      <c r="C1851" t="s">
        <v>44</v>
      </c>
      <c r="D1851">
        <v>19340.3482</v>
      </c>
      <c r="E1851" t="s">
        <v>41</v>
      </c>
      <c r="F1851" t="s">
        <v>10</v>
      </c>
    </row>
    <row r="1852" spans="1:6" hidden="1" x14ac:dyDescent="0.35">
      <c r="A1852" t="s">
        <v>58</v>
      </c>
      <c r="B1852" t="s">
        <v>54</v>
      </c>
      <c r="C1852" t="s">
        <v>44</v>
      </c>
      <c r="D1852">
        <v>0</v>
      </c>
      <c r="E1852" t="s">
        <v>41</v>
      </c>
      <c r="F1852" t="s">
        <v>10</v>
      </c>
    </row>
    <row r="1853" spans="1:6" hidden="1" x14ac:dyDescent="0.35">
      <c r="A1853" t="s">
        <v>59</v>
      </c>
      <c r="B1853" t="s">
        <v>54</v>
      </c>
      <c r="C1853" t="s">
        <v>44</v>
      </c>
      <c r="D1853">
        <v>4894.2056000000002</v>
      </c>
      <c r="E1853" t="s">
        <v>41</v>
      </c>
      <c r="F1853" t="s">
        <v>10</v>
      </c>
    </row>
    <row r="1854" spans="1:6" hidden="1" x14ac:dyDescent="0.35">
      <c r="A1854" t="s">
        <v>60</v>
      </c>
      <c r="B1854" t="s">
        <v>54</v>
      </c>
      <c r="C1854" t="s">
        <v>44</v>
      </c>
      <c r="D1854">
        <v>6287.5254000000004</v>
      </c>
      <c r="E1854" t="s">
        <v>41</v>
      </c>
      <c r="F1854" t="s">
        <v>10</v>
      </c>
    </row>
    <row r="1855" spans="1:6" hidden="1" x14ac:dyDescent="0.35">
      <c r="A1855" t="s">
        <v>61</v>
      </c>
      <c r="B1855" t="s">
        <v>54</v>
      </c>
      <c r="C1855" t="s">
        <v>44</v>
      </c>
      <c r="D1855">
        <v>1653.4718</v>
      </c>
      <c r="E1855" t="s">
        <v>41</v>
      </c>
      <c r="F1855" t="s">
        <v>10</v>
      </c>
    </row>
    <row r="1856" spans="1:6" hidden="1" x14ac:dyDescent="0.35">
      <c r="A1856" t="s">
        <v>62</v>
      </c>
      <c r="B1856" t="s">
        <v>54</v>
      </c>
      <c r="C1856" t="s">
        <v>44</v>
      </c>
      <c r="D1856">
        <v>5457.7794000000004</v>
      </c>
      <c r="E1856" t="s">
        <v>41</v>
      </c>
      <c r="F1856" t="s">
        <v>10</v>
      </c>
    </row>
    <row r="1857" spans="1:6" hidden="1" x14ac:dyDescent="0.35">
      <c r="A1857" t="s">
        <v>63</v>
      </c>
      <c r="B1857" t="s">
        <v>54</v>
      </c>
      <c r="C1857" t="s">
        <v>44</v>
      </c>
      <c r="D1857">
        <v>28945.239399999999</v>
      </c>
      <c r="E1857" t="s">
        <v>41</v>
      </c>
      <c r="F1857" t="s">
        <v>10</v>
      </c>
    </row>
    <row r="1858" spans="1:6" hidden="1" x14ac:dyDescent="0.35">
      <c r="A1858" t="s">
        <v>64</v>
      </c>
      <c r="B1858" t="s">
        <v>54</v>
      </c>
      <c r="C1858" t="s">
        <v>44</v>
      </c>
      <c r="D1858">
        <v>2624.3236000000002</v>
      </c>
      <c r="E1858" t="s">
        <v>41</v>
      </c>
      <c r="F1858" t="s">
        <v>10</v>
      </c>
    </row>
    <row r="1859" spans="1:6" hidden="1" x14ac:dyDescent="0.35">
      <c r="A1859" t="s">
        <v>65</v>
      </c>
      <c r="B1859" t="s">
        <v>54</v>
      </c>
      <c r="C1859" t="s">
        <v>44</v>
      </c>
      <c r="D1859">
        <v>30369.045255284549</v>
      </c>
      <c r="E1859" t="s">
        <v>41</v>
      </c>
      <c r="F1859" t="s">
        <v>10</v>
      </c>
    </row>
    <row r="1860" spans="1:6" hidden="1" x14ac:dyDescent="0.35">
      <c r="A1860" t="s">
        <v>66</v>
      </c>
      <c r="B1860" t="s">
        <v>54</v>
      </c>
      <c r="C1860" t="s">
        <v>44</v>
      </c>
      <c r="D1860">
        <v>28839.603800000001</v>
      </c>
      <c r="E1860" t="s">
        <v>41</v>
      </c>
      <c r="F1860" t="s">
        <v>10</v>
      </c>
    </row>
    <row r="1861" spans="1:6" hidden="1" x14ac:dyDescent="0.35">
      <c r="A1861" t="s">
        <v>67</v>
      </c>
      <c r="B1861" t="s">
        <v>54</v>
      </c>
      <c r="C1861" t="s">
        <v>44</v>
      </c>
      <c r="D1861">
        <v>0</v>
      </c>
      <c r="E1861" t="s">
        <v>41</v>
      </c>
      <c r="F1861" t="s">
        <v>10</v>
      </c>
    </row>
    <row r="1862" spans="1:6" hidden="1" x14ac:dyDescent="0.35">
      <c r="A1862" t="s">
        <v>57</v>
      </c>
      <c r="B1862" t="s">
        <v>54</v>
      </c>
      <c r="C1862" t="s">
        <v>22</v>
      </c>
      <c r="D1862">
        <v>0</v>
      </c>
      <c r="E1862" t="s">
        <v>41</v>
      </c>
      <c r="F1862" t="s">
        <v>10</v>
      </c>
    </row>
    <row r="1863" spans="1:6" hidden="1" x14ac:dyDescent="0.35">
      <c r="A1863" t="s">
        <v>11</v>
      </c>
      <c r="B1863" t="s">
        <v>54</v>
      </c>
      <c r="C1863" t="s">
        <v>22</v>
      </c>
      <c r="D1863">
        <v>0</v>
      </c>
      <c r="E1863" t="s">
        <v>41</v>
      </c>
      <c r="F1863" t="s">
        <v>10</v>
      </c>
    </row>
    <row r="1864" spans="1:6" hidden="1" x14ac:dyDescent="0.35">
      <c r="A1864" t="s">
        <v>58</v>
      </c>
      <c r="B1864" t="s">
        <v>54</v>
      </c>
      <c r="C1864" t="s">
        <v>22</v>
      </c>
      <c r="D1864">
        <v>0</v>
      </c>
      <c r="E1864" t="s">
        <v>41</v>
      </c>
      <c r="F1864" t="s">
        <v>10</v>
      </c>
    </row>
    <row r="1865" spans="1:6" hidden="1" x14ac:dyDescent="0.35">
      <c r="A1865" t="s">
        <v>59</v>
      </c>
      <c r="B1865" t="s">
        <v>54</v>
      </c>
      <c r="C1865" t="s">
        <v>22</v>
      </c>
      <c r="D1865">
        <v>0</v>
      </c>
      <c r="E1865" t="s">
        <v>41</v>
      </c>
      <c r="F1865" t="s">
        <v>10</v>
      </c>
    </row>
    <row r="1866" spans="1:6" hidden="1" x14ac:dyDescent="0.35">
      <c r="A1866" t="s">
        <v>60</v>
      </c>
      <c r="B1866" t="s">
        <v>54</v>
      </c>
      <c r="C1866" t="s">
        <v>22</v>
      </c>
      <c r="D1866">
        <v>0</v>
      </c>
      <c r="E1866" t="s">
        <v>41</v>
      </c>
      <c r="F1866" t="s">
        <v>10</v>
      </c>
    </row>
    <row r="1867" spans="1:6" hidden="1" x14ac:dyDescent="0.35">
      <c r="A1867" t="s">
        <v>61</v>
      </c>
      <c r="B1867" t="s">
        <v>54</v>
      </c>
      <c r="C1867" t="s">
        <v>22</v>
      </c>
      <c r="D1867">
        <v>0</v>
      </c>
      <c r="E1867" t="s">
        <v>41</v>
      </c>
      <c r="F1867" t="s">
        <v>10</v>
      </c>
    </row>
    <row r="1868" spans="1:6" hidden="1" x14ac:dyDescent="0.35">
      <c r="A1868" t="s">
        <v>62</v>
      </c>
      <c r="B1868" t="s">
        <v>54</v>
      </c>
      <c r="C1868" t="s">
        <v>22</v>
      </c>
      <c r="D1868">
        <v>0</v>
      </c>
      <c r="E1868" t="s">
        <v>41</v>
      </c>
      <c r="F1868" t="s">
        <v>10</v>
      </c>
    </row>
    <row r="1869" spans="1:6" hidden="1" x14ac:dyDescent="0.35">
      <c r="A1869" t="s">
        <v>63</v>
      </c>
      <c r="B1869" t="s">
        <v>54</v>
      </c>
      <c r="C1869" t="s">
        <v>22</v>
      </c>
      <c r="D1869">
        <v>0</v>
      </c>
      <c r="E1869" t="s">
        <v>41</v>
      </c>
      <c r="F1869" t="s">
        <v>10</v>
      </c>
    </row>
    <row r="1870" spans="1:6" hidden="1" x14ac:dyDescent="0.35">
      <c r="A1870" t="s">
        <v>64</v>
      </c>
      <c r="B1870" t="s">
        <v>54</v>
      </c>
      <c r="C1870" t="s">
        <v>22</v>
      </c>
      <c r="D1870">
        <v>0</v>
      </c>
      <c r="E1870" t="s">
        <v>41</v>
      </c>
      <c r="F1870" t="s">
        <v>10</v>
      </c>
    </row>
    <row r="1871" spans="1:6" hidden="1" x14ac:dyDescent="0.35">
      <c r="A1871" t="s">
        <v>65</v>
      </c>
      <c r="B1871" t="s">
        <v>54</v>
      </c>
      <c r="C1871" t="s">
        <v>22</v>
      </c>
      <c r="D1871">
        <v>0</v>
      </c>
      <c r="E1871" t="s">
        <v>41</v>
      </c>
      <c r="F1871" t="s">
        <v>10</v>
      </c>
    </row>
    <row r="1872" spans="1:6" hidden="1" x14ac:dyDescent="0.35">
      <c r="A1872" t="s">
        <v>66</v>
      </c>
      <c r="B1872" t="s">
        <v>54</v>
      </c>
      <c r="C1872" t="s">
        <v>22</v>
      </c>
      <c r="D1872">
        <v>0</v>
      </c>
      <c r="E1872" t="s">
        <v>41</v>
      </c>
      <c r="F1872" t="s">
        <v>10</v>
      </c>
    </row>
    <row r="1873" spans="1:6" hidden="1" x14ac:dyDescent="0.35">
      <c r="A1873" t="s">
        <v>67</v>
      </c>
      <c r="B1873" t="s">
        <v>54</v>
      </c>
      <c r="C1873" t="s">
        <v>22</v>
      </c>
      <c r="D1873">
        <v>0</v>
      </c>
      <c r="E1873" t="s">
        <v>41</v>
      </c>
      <c r="F1873" t="s">
        <v>10</v>
      </c>
    </row>
    <row r="1874" spans="1:6" hidden="1" x14ac:dyDescent="0.35">
      <c r="A1874" t="s">
        <v>57</v>
      </c>
      <c r="B1874" t="s">
        <v>54</v>
      </c>
      <c r="C1874" t="s">
        <v>46</v>
      </c>
      <c r="D1874">
        <v>0</v>
      </c>
      <c r="E1874" t="s">
        <v>41</v>
      </c>
      <c r="F1874" t="s">
        <v>10</v>
      </c>
    </row>
    <row r="1875" spans="1:6" hidden="1" x14ac:dyDescent="0.35">
      <c r="A1875" t="s">
        <v>11</v>
      </c>
      <c r="B1875" t="s">
        <v>54</v>
      </c>
      <c r="C1875" t="s">
        <v>46</v>
      </c>
      <c r="D1875">
        <v>13076.9656</v>
      </c>
      <c r="E1875" t="s">
        <v>41</v>
      </c>
      <c r="F1875" t="s">
        <v>10</v>
      </c>
    </row>
    <row r="1876" spans="1:6" hidden="1" x14ac:dyDescent="0.35">
      <c r="A1876" t="s">
        <v>58</v>
      </c>
      <c r="B1876" t="s">
        <v>54</v>
      </c>
      <c r="C1876" t="s">
        <v>46</v>
      </c>
      <c r="D1876">
        <v>0</v>
      </c>
      <c r="E1876" t="s">
        <v>41</v>
      </c>
      <c r="F1876" t="s">
        <v>10</v>
      </c>
    </row>
    <row r="1877" spans="1:6" hidden="1" x14ac:dyDescent="0.35">
      <c r="A1877" t="s">
        <v>59</v>
      </c>
      <c r="B1877" t="s">
        <v>54</v>
      </c>
      <c r="C1877" t="s">
        <v>46</v>
      </c>
      <c r="D1877">
        <v>0</v>
      </c>
      <c r="E1877" t="s">
        <v>41</v>
      </c>
      <c r="F1877" t="s">
        <v>10</v>
      </c>
    </row>
    <row r="1878" spans="1:6" hidden="1" x14ac:dyDescent="0.35">
      <c r="A1878" t="s">
        <v>60</v>
      </c>
      <c r="B1878" t="s">
        <v>54</v>
      </c>
      <c r="C1878" t="s">
        <v>46</v>
      </c>
      <c r="D1878">
        <v>0</v>
      </c>
      <c r="E1878" t="s">
        <v>41</v>
      </c>
      <c r="F1878" t="s">
        <v>10</v>
      </c>
    </row>
    <row r="1879" spans="1:6" hidden="1" x14ac:dyDescent="0.35">
      <c r="A1879" t="s">
        <v>61</v>
      </c>
      <c r="B1879" t="s">
        <v>54</v>
      </c>
      <c r="C1879" t="s">
        <v>46</v>
      </c>
      <c r="D1879">
        <v>0</v>
      </c>
      <c r="E1879" t="s">
        <v>41</v>
      </c>
      <c r="F1879" t="s">
        <v>10</v>
      </c>
    </row>
    <row r="1880" spans="1:6" hidden="1" x14ac:dyDescent="0.35">
      <c r="A1880" t="s">
        <v>62</v>
      </c>
      <c r="B1880" t="s">
        <v>54</v>
      </c>
      <c r="C1880" t="s">
        <v>46</v>
      </c>
      <c r="D1880">
        <v>0</v>
      </c>
      <c r="E1880" t="s">
        <v>41</v>
      </c>
      <c r="F1880" t="s">
        <v>10</v>
      </c>
    </row>
    <row r="1881" spans="1:6" hidden="1" x14ac:dyDescent="0.35">
      <c r="A1881" t="s">
        <v>63</v>
      </c>
      <c r="B1881" t="s">
        <v>54</v>
      </c>
      <c r="C1881" t="s">
        <v>46</v>
      </c>
      <c r="D1881">
        <v>0</v>
      </c>
      <c r="E1881" t="s">
        <v>41</v>
      </c>
      <c r="F1881" t="s">
        <v>10</v>
      </c>
    </row>
    <row r="1882" spans="1:6" hidden="1" x14ac:dyDescent="0.35">
      <c r="A1882" t="s">
        <v>64</v>
      </c>
      <c r="B1882" t="s">
        <v>54</v>
      </c>
      <c r="C1882" t="s">
        <v>46</v>
      </c>
      <c r="D1882">
        <v>0</v>
      </c>
      <c r="E1882" t="s">
        <v>41</v>
      </c>
      <c r="F1882" t="s">
        <v>10</v>
      </c>
    </row>
    <row r="1883" spans="1:6" hidden="1" x14ac:dyDescent="0.35">
      <c r="A1883" t="s">
        <v>65</v>
      </c>
      <c r="B1883" t="s">
        <v>54</v>
      </c>
      <c r="C1883" t="s">
        <v>46</v>
      </c>
      <c r="D1883">
        <v>9709.0250894308938</v>
      </c>
      <c r="E1883" t="s">
        <v>41</v>
      </c>
      <c r="F1883" t="s">
        <v>10</v>
      </c>
    </row>
    <row r="1884" spans="1:6" hidden="1" x14ac:dyDescent="0.35">
      <c r="A1884" t="s">
        <v>66</v>
      </c>
      <c r="B1884" t="s">
        <v>54</v>
      </c>
      <c r="C1884" t="s">
        <v>46</v>
      </c>
      <c r="D1884">
        <v>44667.912400000001</v>
      </c>
      <c r="E1884" t="s">
        <v>41</v>
      </c>
      <c r="F1884" t="s">
        <v>10</v>
      </c>
    </row>
    <row r="1885" spans="1:6" hidden="1" x14ac:dyDescent="0.35">
      <c r="A1885" t="s">
        <v>67</v>
      </c>
      <c r="B1885" t="s">
        <v>54</v>
      </c>
      <c r="C1885" t="s">
        <v>46</v>
      </c>
      <c r="D1885">
        <v>0</v>
      </c>
      <c r="E1885" t="s">
        <v>41</v>
      </c>
      <c r="F1885" t="s">
        <v>10</v>
      </c>
    </row>
    <row r="1886" spans="1:6" hidden="1" x14ac:dyDescent="0.35">
      <c r="A1886" t="s">
        <v>57</v>
      </c>
      <c r="B1886" t="s">
        <v>54</v>
      </c>
      <c r="C1886" t="s">
        <v>24</v>
      </c>
      <c r="D1886">
        <v>0</v>
      </c>
      <c r="E1886" t="s">
        <v>41</v>
      </c>
      <c r="F1886" t="s">
        <v>10</v>
      </c>
    </row>
    <row r="1887" spans="1:6" hidden="1" x14ac:dyDescent="0.35">
      <c r="A1887" t="s">
        <v>11</v>
      </c>
      <c r="B1887" t="s">
        <v>54</v>
      </c>
      <c r="C1887" t="s">
        <v>24</v>
      </c>
      <c r="D1887">
        <v>0</v>
      </c>
      <c r="E1887" t="s">
        <v>41</v>
      </c>
      <c r="F1887" t="s">
        <v>10</v>
      </c>
    </row>
    <row r="1888" spans="1:6" hidden="1" x14ac:dyDescent="0.35">
      <c r="A1888" t="s">
        <v>58</v>
      </c>
      <c r="B1888" t="s">
        <v>54</v>
      </c>
      <c r="C1888" t="s">
        <v>24</v>
      </c>
      <c r="D1888">
        <v>0</v>
      </c>
      <c r="E1888" t="s">
        <v>41</v>
      </c>
      <c r="F1888" t="s">
        <v>10</v>
      </c>
    </row>
    <row r="1889" spans="1:6" hidden="1" x14ac:dyDescent="0.35">
      <c r="A1889" t="s">
        <v>59</v>
      </c>
      <c r="B1889" t="s">
        <v>54</v>
      </c>
      <c r="C1889" t="s">
        <v>24</v>
      </c>
      <c r="D1889">
        <v>0</v>
      </c>
      <c r="E1889" t="s">
        <v>41</v>
      </c>
      <c r="F1889" t="s">
        <v>10</v>
      </c>
    </row>
    <row r="1890" spans="1:6" hidden="1" x14ac:dyDescent="0.35">
      <c r="A1890" t="s">
        <v>60</v>
      </c>
      <c r="B1890" t="s">
        <v>54</v>
      </c>
      <c r="C1890" t="s">
        <v>24</v>
      </c>
      <c r="D1890">
        <v>0</v>
      </c>
      <c r="E1890" t="s">
        <v>41</v>
      </c>
      <c r="F1890" t="s">
        <v>10</v>
      </c>
    </row>
    <row r="1891" spans="1:6" hidden="1" x14ac:dyDescent="0.35">
      <c r="A1891" t="s">
        <v>61</v>
      </c>
      <c r="B1891" t="s">
        <v>54</v>
      </c>
      <c r="C1891" t="s">
        <v>24</v>
      </c>
      <c r="D1891">
        <v>0</v>
      </c>
      <c r="E1891" t="s">
        <v>41</v>
      </c>
      <c r="F1891" t="s">
        <v>10</v>
      </c>
    </row>
    <row r="1892" spans="1:6" hidden="1" x14ac:dyDescent="0.35">
      <c r="A1892" t="s">
        <v>62</v>
      </c>
      <c r="B1892" t="s">
        <v>54</v>
      </c>
      <c r="C1892" t="s">
        <v>24</v>
      </c>
      <c r="D1892">
        <v>0</v>
      </c>
      <c r="E1892" t="s">
        <v>41</v>
      </c>
      <c r="F1892" t="s">
        <v>10</v>
      </c>
    </row>
    <row r="1893" spans="1:6" hidden="1" x14ac:dyDescent="0.35">
      <c r="A1893" t="s">
        <v>63</v>
      </c>
      <c r="B1893" t="s">
        <v>54</v>
      </c>
      <c r="C1893" t="s">
        <v>24</v>
      </c>
      <c r="D1893">
        <v>0</v>
      </c>
      <c r="E1893" t="s">
        <v>41</v>
      </c>
      <c r="F1893" t="s">
        <v>10</v>
      </c>
    </row>
    <row r="1894" spans="1:6" hidden="1" x14ac:dyDescent="0.35">
      <c r="A1894" t="s">
        <v>64</v>
      </c>
      <c r="B1894" t="s">
        <v>54</v>
      </c>
      <c r="C1894" t="s">
        <v>24</v>
      </c>
      <c r="D1894">
        <v>0</v>
      </c>
      <c r="E1894" t="s">
        <v>41</v>
      </c>
      <c r="F1894" t="s">
        <v>10</v>
      </c>
    </row>
    <row r="1895" spans="1:6" hidden="1" x14ac:dyDescent="0.35">
      <c r="A1895" t="s">
        <v>65</v>
      </c>
      <c r="B1895" t="s">
        <v>54</v>
      </c>
      <c r="C1895" t="s">
        <v>24</v>
      </c>
      <c r="D1895">
        <v>0</v>
      </c>
      <c r="E1895" t="s">
        <v>41</v>
      </c>
      <c r="F1895" t="s">
        <v>10</v>
      </c>
    </row>
    <row r="1896" spans="1:6" hidden="1" x14ac:dyDescent="0.35">
      <c r="A1896" t="s">
        <v>66</v>
      </c>
      <c r="B1896" t="s">
        <v>54</v>
      </c>
      <c r="C1896" t="s">
        <v>24</v>
      </c>
      <c r="D1896">
        <v>0</v>
      </c>
      <c r="E1896" t="s">
        <v>41</v>
      </c>
      <c r="F1896" t="s">
        <v>10</v>
      </c>
    </row>
    <row r="1897" spans="1:6" hidden="1" x14ac:dyDescent="0.35">
      <c r="A1897" t="s">
        <v>67</v>
      </c>
      <c r="B1897" t="s">
        <v>54</v>
      </c>
      <c r="C1897" t="s">
        <v>24</v>
      </c>
      <c r="D1897">
        <v>0</v>
      </c>
      <c r="E1897" t="s">
        <v>41</v>
      </c>
      <c r="F1897" t="s">
        <v>10</v>
      </c>
    </row>
    <row r="1898" spans="1:6" hidden="1" x14ac:dyDescent="0.35">
      <c r="A1898" t="s">
        <v>57</v>
      </c>
      <c r="B1898" t="s">
        <v>54</v>
      </c>
      <c r="C1898" t="s">
        <v>47</v>
      </c>
      <c r="E1898" t="s">
        <v>41</v>
      </c>
      <c r="F1898" t="s">
        <v>10</v>
      </c>
    </row>
    <row r="1899" spans="1:6" hidden="1" x14ac:dyDescent="0.35">
      <c r="A1899" t="s">
        <v>11</v>
      </c>
      <c r="B1899" t="s">
        <v>54</v>
      </c>
      <c r="C1899" t="s">
        <v>47</v>
      </c>
      <c r="E1899" t="s">
        <v>41</v>
      </c>
      <c r="F1899" t="s">
        <v>10</v>
      </c>
    </row>
    <row r="1900" spans="1:6" hidden="1" x14ac:dyDescent="0.35">
      <c r="A1900" t="s">
        <v>58</v>
      </c>
      <c r="B1900" t="s">
        <v>54</v>
      </c>
      <c r="C1900" t="s">
        <v>47</v>
      </c>
      <c r="E1900" t="s">
        <v>41</v>
      </c>
      <c r="F1900" t="s">
        <v>10</v>
      </c>
    </row>
    <row r="1901" spans="1:6" hidden="1" x14ac:dyDescent="0.35">
      <c r="A1901" t="s">
        <v>59</v>
      </c>
      <c r="B1901" t="s">
        <v>54</v>
      </c>
      <c r="C1901" t="s">
        <v>47</v>
      </c>
      <c r="E1901" t="s">
        <v>41</v>
      </c>
      <c r="F1901" t="s">
        <v>10</v>
      </c>
    </row>
    <row r="1902" spans="1:6" hidden="1" x14ac:dyDescent="0.35">
      <c r="A1902" t="s">
        <v>60</v>
      </c>
      <c r="B1902" t="s">
        <v>54</v>
      </c>
      <c r="C1902" t="s">
        <v>47</v>
      </c>
      <c r="E1902" t="s">
        <v>41</v>
      </c>
      <c r="F1902" t="s">
        <v>10</v>
      </c>
    </row>
    <row r="1903" spans="1:6" hidden="1" x14ac:dyDescent="0.35">
      <c r="A1903" t="s">
        <v>61</v>
      </c>
      <c r="B1903" t="s">
        <v>54</v>
      </c>
      <c r="C1903" t="s">
        <v>47</v>
      </c>
      <c r="E1903" t="s">
        <v>41</v>
      </c>
      <c r="F1903" t="s">
        <v>10</v>
      </c>
    </row>
    <row r="1904" spans="1:6" hidden="1" x14ac:dyDescent="0.35">
      <c r="A1904" t="s">
        <v>62</v>
      </c>
      <c r="B1904" t="s">
        <v>54</v>
      </c>
      <c r="C1904" t="s">
        <v>47</v>
      </c>
      <c r="E1904" t="s">
        <v>41</v>
      </c>
      <c r="F1904" t="s">
        <v>10</v>
      </c>
    </row>
    <row r="1905" spans="1:6" hidden="1" x14ac:dyDescent="0.35">
      <c r="A1905" t="s">
        <v>63</v>
      </c>
      <c r="B1905" t="s">
        <v>54</v>
      </c>
      <c r="C1905" t="s">
        <v>47</v>
      </c>
      <c r="E1905" t="s">
        <v>41</v>
      </c>
      <c r="F1905" t="s">
        <v>10</v>
      </c>
    </row>
    <row r="1906" spans="1:6" hidden="1" x14ac:dyDescent="0.35">
      <c r="A1906" t="s">
        <v>64</v>
      </c>
      <c r="B1906" t="s">
        <v>54</v>
      </c>
      <c r="C1906" t="s">
        <v>47</v>
      </c>
      <c r="E1906" t="s">
        <v>41</v>
      </c>
      <c r="F1906" t="s">
        <v>10</v>
      </c>
    </row>
    <row r="1907" spans="1:6" hidden="1" x14ac:dyDescent="0.35">
      <c r="A1907" t="s">
        <v>65</v>
      </c>
      <c r="B1907" t="s">
        <v>54</v>
      </c>
      <c r="C1907" t="s">
        <v>47</v>
      </c>
      <c r="E1907" t="s">
        <v>41</v>
      </c>
      <c r="F1907" t="s">
        <v>10</v>
      </c>
    </row>
    <row r="1908" spans="1:6" hidden="1" x14ac:dyDescent="0.35">
      <c r="A1908" t="s">
        <v>66</v>
      </c>
      <c r="B1908" t="s">
        <v>54</v>
      </c>
      <c r="C1908" t="s">
        <v>47</v>
      </c>
      <c r="E1908" t="s">
        <v>41</v>
      </c>
      <c r="F1908" t="s">
        <v>10</v>
      </c>
    </row>
    <row r="1909" spans="1:6" hidden="1" x14ac:dyDescent="0.35">
      <c r="A1909" t="s">
        <v>67</v>
      </c>
      <c r="B1909" t="s">
        <v>54</v>
      </c>
      <c r="C1909" t="s">
        <v>47</v>
      </c>
      <c r="E1909" t="s">
        <v>41</v>
      </c>
      <c r="F1909" t="s">
        <v>10</v>
      </c>
    </row>
    <row r="1910" spans="1:6" hidden="1" x14ac:dyDescent="0.35">
      <c r="A1910" t="s">
        <v>57</v>
      </c>
      <c r="B1910" t="s">
        <v>54</v>
      </c>
      <c r="C1910" t="s">
        <v>48</v>
      </c>
      <c r="D1910">
        <v>0</v>
      </c>
      <c r="E1910" t="s">
        <v>41</v>
      </c>
      <c r="F1910" t="s">
        <v>10</v>
      </c>
    </row>
    <row r="1911" spans="1:6" hidden="1" x14ac:dyDescent="0.35">
      <c r="A1911" t="s">
        <v>11</v>
      </c>
      <c r="B1911" t="s">
        <v>54</v>
      </c>
      <c r="C1911" t="s">
        <v>48</v>
      </c>
      <c r="D1911">
        <v>0</v>
      </c>
      <c r="E1911" t="s">
        <v>41</v>
      </c>
      <c r="F1911" t="s">
        <v>10</v>
      </c>
    </row>
    <row r="1912" spans="1:6" hidden="1" x14ac:dyDescent="0.35">
      <c r="A1912" t="s">
        <v>58</v>
      </c>
      <c r="B1912" t="s">
        <v>54</v>
      </c>
      <c r="C1912" t="s">
        <v>48</v>
      </c>
      <c r="D1912">
        <v>0</v>
      </c>
      <c r="E1912" t="s">
        <v>41</v>
      </c>
      <c r="F1912" t="s">
        <v>10</v>
      </c>
    </row>
    <row r="1913" spans="1:6" hidden="1" x14ac:dyDescent="0.35">
      <c r="A1913" t="s">
        <v>59</v>
      </c>
      <c r="B1913" t="s">
        <v>54</v>
      </c>
      <c r="C1913" t="s">
        <v>48</v>
      </c>
      <c r="D1913">
        <v>0</v>
      </c>
      <c r="E1913" t="s">
        <v>41</v>
      </c>
      <c r="F1913" t="s">
        <v>10</v>
      </c>
    </row>
    <row r="1914" spans="1:6" hidden="1" x14ac:dyDescent="0.35">
      <c r="A1914" t="s">
        <v>60</v>
      </c>
      <c r="B1914" t="s">
        <v>54</v>
      </c>
      <c r="C1914" t="s">
        <v>48</v>
      </c>
      <c r="D1914">
        <v>0</v>
      </c>
      <c r="E1914" t="s">
        <v>41</v>
      </c>
      <c r="F1914" t="s">
        <v>10</v>
      </c>
    </row>
    <row r="1915" spans="1:6" hidden="1" x14ac:dyDescent="0.35">
      <c r="A1915" t="s">
        <v>61</v>
      </c>
      <c r="B1915" t="s">
        <v>54</v>
      </c>
      <c r="C1915" t="s">
        <v>48</v>
      </c>
      <c r="D1915">
        <v>0</v>
      </c>
      <c r="E1915" t="s">
        <v>41</v>
      </c>
      <c r="F1915" t="s">
        <v>10</v>
      </c>
    </row>
    <row r="1916" spans="1:6" hidden="1" x14ac:dyDescent="0.35">
      <c r="A1916" t="s">
        <v>62</v>
      </c>
      <c r="B1916" t="s">
        <v>54</v>
      </c>
      <c r="C1916" t="s">
        <v>48</v>
      </c>
      <c r="D1916">
        <v>0</v>
      </c>
      <c r="E1916" t="s">
        <v>41</v>
      </c>
      <c r="F1916" t="s">
        <v>10</v>
      </c>
    </row>
    <row r="1917" spans="1:6" hidden="1" x14ac:dyDescent="0.35">
      <c r="A1917" t="s">
        <v>63</v>
      </c>
      <c r="B1917" t="s">
        <v>54</v>
      </c>
      <c r="C1917" t="s">
        <v>48</v>
      </c>
      <c r="D1917">
        <v>0</v>
      </c>
      <c r="E1917" t="s">
        <v>41</v>
      </c>
      <c r="F1917" t="s">
        <v>10</v>
      </c>
    </row>
    <row r="1918" spans="1:6" hidden="1" x14ac:dyDescent="0.35">
      <c r="A1918" t="s">
        <v>64</v>
      </c>
      <c r="B1918" t="s">
        <v>54</v>
      </c>
      <c r="C1918" t="s">
        <v>48</v>
      </c>
      <c r="D1918">
        <v>0</v>
      </c>
      <c r="E1918" t="s">
        <v>41</v>
      </c>
      <c r="F1918" t="s">
        <v>10</v>
      </c>
    </row>
    <row r="1919" spans="1:6" hidden="1" x14ac:dyDescent="0.35">
      <c r="A1919" t="s">
        <v>65</v>
      </c>
      <c r="B1919" t="s">
        <v>54</v>
      </c>
      <c r="C1919" t="s">
        <v>48</v>
      </c>
      <c r="D1919">
        <v>0</v>
      </c>
      <c r="E1919" t="s">
        <v>41</v>
      </c>
      <c r="F1919" t="s">
        <v>10</v>
      </c>
    </row>
    <row r="1920" spans="1:6" hidden="1" x14ac:dyDescent="0.35">
      <c r="A1920" t="s">
        <v>66</v>
      </c>
      <c r="B1920" t="s">
        <v>54</v>
      </c>
      <c r="C1920" t="s">
        <v>48</v>
      </c>
      <c r="D1920">
        <v>0</v>
      </c>
      <c r="E1920" t="s">
        <v>41</v>
      </c>
      <c r="F1920" t="s">
        <v>10</v>
      </c>
    </row>
    <row r="1921" spans="1:6" hidden="1" x14ac:dyDescent="0.35">
      <c r="A1921" t="s">
        <v>67</v>
      </c>
      <c r="B1921" t="s">
        <v>54</v>
      </c>
      <c r="C1921" t="s">
        <v>48</v>
      </c>
      <c r="D1921">
        <v>0</v>
      </c>
      <c r="E1921" t="s">
        <v>41</v>
      </c>
      <c r="F1921" t="s">
        <v>10</v>
      </c>
    </row>
    <row r="1922" spans="1:6" hidden="1" x14ac:dyDescent="0.35">
      <c r="A1922" t="s">
        <v>57</v>
      </c>
      <c r="B1922" t="s">
        <v>54</v>
      </c>
      <c r="C1922" t="s">
        <v>49</v>
      </c>
      <c r="D1922">
        <v>105881.12519999999</v>
      </c>
      <c r="E1922" t="s">
        <v>41</v>
      </c>
      <c r="F1922" t="s">
        <v>10</v>
      </c>
    </row>
    <row r="1923" spans="1:6" hidden="1" x14ac:dyDescent="0.35">
      <c r="A1923" t="s">
        <v>11</v>
      </c>
      <c r="B1923" t="s">
        <v>54</v>
      </c>
      <c r="C1923" t="s">
        <v>49</v>
      </c>
      <c r="D1923">
        <v>128386.754</v>
      </c>
      <c r="E1923" t="s">
        <v>41</v>
      </c>
      <c r="F1923" t="s">
        <v>10</v>
      </c>
    </row>
    <row r="1924" spans="1:6" hidden="1" x14ac:dyDescent="0.35">
      <c r="A1924" t="s">
        <v>58</v>
      </c>
      <c r="B1924" t="s">
        <v>54</v>
      </c>
      <c r="C1924" t="s">
        <v>49</v>
      </c>
      <c r="D1924">
        <v>47945.059599999993</v>
      </c>
      <c r="E1924" t="s">
        <v>41</v>
      </c>
      <c r="F1924" t="s">
        <v>10</v>
      </c>
    </row>
    <row r="1925" spans="1:6" hidden="1" x14ac:dyDescent="0.35">
      <c r="A1925" t="s">
        <v>59</v>
      </c>
      <c r="B1925" t="s">
        <v>54</v>
      </c>
      <c r="C1925" t="s">
        <v>49</v>
      </c>
      <c r="D1925">
        <v>133507.48879999999</v>
      </c>
      <c r="E1925" t="s">
        <v>41</v>
      </c>
      <c r="F1925" t="s">
        <v>10</v>
      </c>
    </row>
    <row r="1926" spans="1:6" hidden="1" x14ac:dyDescent="0.35">
      <c r="A1926" t="s">
        <v>60</v>
      </c>
      <c r="B1926" t="s">
        <v>54</v>
      </c>
      <c r="C1926" t="s">
        <v>49</v>
      </c>
      <c r="D1926">
        <v>165305.78200000001</v>
      </c>
      <c r="E1926" t="s">
        <v>41</v>
      </c>
      <c r="F1926" t="s">
        <v>10</v>
      </c>
    </row>
    <row r="1927" spans="1:6" hidden="1" x14ac:dyDescent="0.35">
      <c r="A1927" t="s">
        <v>61</v>
      </c>
      <c r="B1927" t="s">
        <v>54</v>
      </c>
      <c r="C1927" t="s">
        <v>49</v>
      </c>
      <c r="D1927">
        <v>131179.4748</v>
      </c>
      <c r="E1927" t="s">
        <v>41</v>
      </c>
      <c r="F1927" t="s">
        <v>10</v>
      </c>
    </row>
    <row r="1928" spans="1:6" hidden="1" x14ac:dyDescent="0.35">
      <c r="A1928" t="s">
        <v>62</v>
      </c>
      <c r="B1928" t="s">
        <v>54</v>
      </c>
      <c r="C1928" t="s">
        <v>49</v>
      </c>
      <c r="D1928">
        <v>168038.20079999999</v>
      </c>
      <c r="E1928" t="s">
        <v>41</v>
      </c>
      <c r="F1928" t="s">
        <v>10</v>
      </c>
    </row>
    <row r="1929" spans="1:6" hidden="1" x14ac:dyDescent="0.35">
      <c r="A1929" t="s">
        <v>63</v>
      </c>
      <c r="B1929" t="s">
        <v>54</v>
      </c>
      <c r="C1929" t="s">
        <v>49</v>
      </c>
      <c r="D1929">
        <v>99601.519199999981</v>
      </c>
      <c r="E1929" t="s">
        <v>41</v>
      </c>
      <c r="F1929" t="s">
        <v>10</v>
      </c>
    </row>
    <row r="1930" spans="1:6" hidden="1" x14ac:dyDescent="0.35">
      <c r="A1930" t="s">
        <v>64</v>
      </c>
      <c r="B1930" t="s">
        <v>54</v>
      </c>
      <c r="C1930" t="s">
        <v>49</v>
      </c>
      <c r="D1930">
        <v>336622.5024</v>
      </c>
      <c r="E1930" t="s">
        <v>41</v>
      </c>
      <c r="F1930" t="s">
        <v>10</v>
      </c>
    </row>
    <row r="1931" spans="1:6" hidden="1" x14ac:dyDescent="0.35">
      <c r="A1931" t="s">
        <v>65</v>
      </c>
      <c r="B1931" t="s">
        <v>54</v>
      </c>
      <c r="C1931" t="s">
        <v>49</v>
      </c>
      <c r="D1931">
        <v>246158.94440000001</v>
      </c>
      <c r="E1931" t="s">
        <v>41</v>
      </c>
      <c r="F1931" t="s">
        <v>10</v>
      </c>
    </row>
    <row r="1932" spans="1:6" hidden="1" x14ac:dyDescent="0.35">
      <c r="A1932" t="s">
        <v>66</v>
      </c>
      <c r="B1932" t="s">
        <v>54</v>
      </c>
      <c r="C1932" t="s">
        <v>49</v>
      </c>
      <c r="D1932">
        <v>167097.5484</v>
      </c>
      <c r="E1932" t="s">
        <v>41</v>
      </c>
      <c r="F1932" t="s">
        <v>10</v>
      </c>
    </row>
    <row r="1933" spans="1:6" hidden="1" x14ac:dyDescent="0.35">
      <c r="A1933" t="s">
        <v>67</v>
      </c>
      <c r="B1933" t="s">
        <v>54</v>
      </c>
      <c r="C1933" t="s">
        <v>49</v>
      </c>
      <c r="D1933">
        <v>134923.06200000001</v>
      </c>
      <c r="E1933" t="s">
        <v>41</v>
      </c>
      <c r="F1933" t="s">
        <v>10</v>
      </c>
    </row>
    <row r="1934" spans="1:6" hidden="1" x14ac:dyDescent="0.35">
      <c r="A1934" t="s">
        <v>57</v>
      </c>
      <c r="B1934" t="s">
        <v>54</v>
      </c>
      <c r="C1934" t="s">
        <v>50</v>
      </c>
      <c r="D1934">
        <v>5979.7139999999999</v>
      </c>
      <c r="E1934" t="s">
        <v>41</v>
      </c>
      <c r="F1934" t="s">
        <v>10</v>
      </c>
    </row>
    <row r="1935" spans="1:6" hidden="1" x14ac:dyDescent="0.35">
      <c r="A1935" t="s">
        <v>11</v>
      </c>
      <c r="B1935" t="s">
        <v>54</v>
      </c>
      <c r="C1935" t="s">
        <v>50</v>
      </c>
      <c r="D1935">
        <v>51757.661999999997</v>
      </c>
      <c r="E1935" t="s">
        <v>41</v>
      </c>
      <c r="F1935" t="s">
        <v>10</v>
      </c>
    </row>
    <row r="1936" spans="1:6" hidden="1" x14ac:dyDescent="0.35">
      <c r="A1936" t="s">
        <v>58</v>
      </c>
      <c r="B1936" t="s">
        <v>54</v>
      </c>
      <c r="C1936" t="s">
        <v>50</v>
      </c>
      <c r="D1936">
        <v>0</v>
      </c>
      <c r="E1936" t="s">
        <v>41</v>
      </c>
      <c r="F1936" t="s">
        <v>10</v>
      </c>
    </row>
    <row r="1937" spans="1:6" hidden="1" x14ac:dyDescent="0.35">
      <c r="A1937" t="s">
        <v>59</v>
      </c>
      <c r="B1937" t="s">
        <v>54</v>
      </c>
      <c r="C1937" t="s">
        <v>50</v>
      </c>
      <c r="D1937">
        <v>9788.4112000000005</v>
      </c>
      <c r="E1937" t="s">
        <v>41</v>
      </c>
      <c r="F1937" t="s">
        <v>10</v>
      </c>
    </row>
    <row r="1938" spans="1:6" hidden="1" x14ac:dyDescent="0.35">
      <c r="A1938" t="s">
        <v>60</v>
      </c>
      <c r="B1938" t="s">
        <v>54</v>
      </c>
      <c r="C1938" t="s">
        <v>50</v>
      </c>
      <c r="D1938">
        <v>12575.050800000001</v>
      </c>
      <c r="E1938" t="s">
        <v>41</v>
      </c>
      <c r="F1938" t="s">
        <v>10</v>
      </c>
    </row>
    <row r="1939" spans="1:6" hidden="1" x14ac:dyDescent="0.35">
      <c r="A1939" t="s">
        <v>61</v>
      </c>
      <c r="B1939" t="s">
        <v>54</v>
      </c>
      <c r="C1939" t="s">
        <v>50</v>
      </c>
      <c r="D1939">
        <v>3306.9436000000001</v>
      </c>
      <c r="E1939" t="s">
        <v>41</v>
      </c>
      <c r="F1939" t="s">
        <v>10</v>
      </c>
    </row>
    <row r="1940" spans="1:6" hidden="1" x14ac:dyDescent="0.35">
      <c r="A1940" t="s">
        <v>62</v>
      </c>
      <c r="B1940" t="s">
        <v>54</v>
      </c>
      <c r="C1940" t="s">
        <v>50</v>
      </c>
      <c r="D1940">
        <v>10915.558800000001</v>
      </c>
      <c r="E1940" t="s">
        <v>41</v>
      </c>
      <c r="F1940" t="s">
        <v>10</v>
      </c>
    </row>
    <row r="1941" spans="1:6" hidden="1" x14ac:dyDescent="0.35">
      <c r="A1941" t="s">
        <v>63</v>
      </c>
      <c r="B1941" t="s">
        <v>54</v>
      </c>
      <c r="C1941" t="s">
        <v>50</v>
      </c>
      <c r="D1941">
        <v>57890.478799999997</v>
      </c>
      <c r="E1941" t="s">
        <v>41</v>
      </c>
      <c r="F1941" t="s">
        <v>10</v>
      </c>
    </row>
    <row r="1942" spans="1:6" hidden="1" x14ac:dyDescent="0.35">
      <c r="A1942" t="s">
        <v>64</v>
      </c>
      <c r="B1942" t="s">
        <v>54</v>
      </c>
      <c r="C1942" t="s">
        <v>50</v>
      </c>
      <c r="D1942">
        <v>5248.6472000000003</v>
      </c>
      <c r="E1942" t="s">
        <v>41</v>
      </c>
      <c r="F1942" t="s">
        <v>10</v>
      </c>
    </row>
    <row r="1943" spans="1:6" hidden="1" x14ac:dyDescent="0.35">
      <c r="A1943" t="s">
        <v>65</v>
      </c>
      <c r="B1943" t="s">
        <v>54</v>
      </c>
      <c r="C1943" t="s">
        <v>50</v>
      </c>
      <c r="D1943">
        <v>70447.115600000005</v>
      </c>
      <c r="E1943" t="s">
        <v>41</v>
      </c>
      <c r="F1943" t="s">
        <v>10</v>
      </c>
    </row>
    <row r="1944" spans="1:6" hidden="1" x14ac:dyDescent="0.35">
      <c r="A1944" t="s">
        <v>66</v>
      </c>
      <c r="B1944" t="s">
        <v>54</v>
      </c>
      <c r="C1944" t="s">
        <v>50</v>
      </c>
      <c r="D1944">
        <v>102347.12</v>
      </c>
      <c r="E1944" t="s">
        <v>41</v>
      </c>
      <c r="F1944" t="s">
        <v>10</v>
      </c>
    </row>
    <row r="1945" spans="1:6" hidden="1" x14ac:dyDescent="0.35">
      <c r="A1945" t="s">
        <v>67</v>
      </c>
      <c r="B1945" t="s">
        <v>54</v>
      </c>
      <c r="C1945" t="s">
        <v>50</v>
      </c>
      <c r="D1945">
        <v>0</v>
      </c>
      <c r="E1945" t="s">
        <v>41</v>
      </c>
      <c r="F1945" t="s">
        <v>10</v>
      </c>
    </row>
    <row r="1946" spans="1:6" hidden="1" x14ac:dyDescent="0.35">
      <c r="A1946" t="s">
        <v>57</v>
      </c>
      <c r="B1946" t="s">
        <v>54</v>
      </c>
      <c r="C1946" t="s">
        <v>51</v>
      </c>
      <c r="D1946">
        <v>4</v>
      </c>
      <c r="E1946" t="s">
        <v>41</v>
      </c>
      <c r="F1946" t="s">
        <v>10</v>
      </c>
    </row>
    <row r="1947" spans="1:6" hidden="1" x14ac:dyDescent="0.35">
      <c r="A1947" t="s">
        <v>11</v>
      </c>
      <c r="B1947" t="s">
        <v>54</v>
      </c>
      <c r="C1947" t="s">
        <v>51</v>
      </c>
      <c r="D1947">
        <v>9</v>
      </c>
      <c r="E1947" t="s">
        <v>41</v>
      </c>
      <c r="F1947" t="s">
        <v>10</v>
      </c>
    </row>
    <row r="1948" spans="1:6" hidden="1" x14ac:dyDescent="0.35">
      <c r="A1948" t="s">
        <v>58</v>
      </c>
      <c r="B1948" t="s">
        <v>54</v>
      </c>
      <c r="C1948" t="s">
        <v>51</v>
      </c>
      <c r="D1948">
        <v>8</v>
      </c>
      <c r="E1948" t="s">
        <v>41</v>
      </c>
      <c r="F1948" t="s">
        <v>10</v>
      </c>
    </row>
    <row r="1949" spans="1:6" hidden="1" x14ac:dyDescent="0.35">
      <c r="A1949" t="s">
        <v>59</v>
      </c>
      <c r="B1949" t="s">
        <v>54</v>
      </c>
      <c r="C1949" t="s">
        <v>51</v>
      </c>
      <c r="D1949">
        <v>11</v>
      </c>
      <c r="E1949" t="s">
        <v>41</v>
      </c>
      <c r="F1949" t="s">
        <v>10</v>
      </c>
    </row>
    <row r="1950" spans="1:6" hidden="1" x14ac:dyDescent="0.35">
      <c r="A1950" t="s">
        <v>60</v>
      </c>
      <c r="B1950" t="s">
        <v>54</v>
      </c>
      <c r="C1950" t="s">
        <v>51</v>
      </c>
      <c r="D1950">
        <v>14</v>
      </c>
      <c r="E1950" t="s">
        <v>41</v>
      </c>
      <c r="F1950" t="s">
        <v>10</v>
      </c>
    </row>
    <row r="1951" spans="1:6" hidden="1" x14ac:dyDescent="0.35">
      <c r="A1951" t="s">
        <v>61</v>
      </c>
      <c r="B1951" t="s">
        <v>54</v>
      </c>
      <c r="C1951" t="s">
        <v>51</v>
      </c>
      <c r="D1951">
        <v>6</v>
      </c>
      <c r="E1951" t="s">
        <v>41</v>
      </c>
      <c r="F1951" t="s">
        <v>10</v>
      </c>
    </row>
    <row r="1952" spans="1:6" hidden="1" x14ac:dyDescent="0.35">
      <c r="A1952" t="s">
        <v>62</v>
      </c>
      <c r="B1952" t="s">
        <v>54</v>
      </c>
      <c r="C1952" t="s">
        <v>51</v>
      </c>
      <c r="D1952">
        <v>1</v>
      </c>
      <c r="E1952" t="s">
        <v>41</v>
      </c>
      <c r="F1952" t="s">
        <v>10</v>
      </c>
    </row>
    <row r="1953" spans="1:6" hidden="1" x14ac:dyDescent="0.35">
      <c r="A1953" t="s">
        <v>63</v>
      </c>
      <c r="B1953" t="s">
        <v>54</v>
      </c>
      <c r="C1953" t="s">
        <v>51</v>
      </c>
      <c r="E1953" t="s">
        <v>41</v>
      </c>
      <c r="F1953" t="s">
        <v>10</v>
      </c>
    </row>
    <row r="1954" spans="1:6" hidden="1" x14ac:dyDescent="0.35">
      <c r="A1954" t="s">
        <v>64</v>
      </c>
      <c r="B1954" t="s">
        <v>54</v>
      </c>
      <c r="C1954" t="s">
        <v>51</v>
      </c>
      <c r="D1954">
        <v>1</v>
      </c>
      <c r="E1954" t="s">
        <v>41</v>
      </c>
      <c r="F1954" t="s">
        <v>10</v>
      </c>
    </row>
    <row r="1955" spans="1:6" hidden="1" x14ac:dyDescent="0.35">
      <c r="A1955" t="s">
        <v>65</v>
      </c>
      <c r="B1955" t="s">
        <v>54</v>
      </c>
      <c r="C1955" t="s">
        <v>51</v>
      </c>
      <c r="D1955">
        <v>1</v>
      </c>
      <c r="E1955" t="s">
        <v>41</v>
      </c>
      <c r="F1955" t="s">
        <v>10</v>
      </c>
    </row>
    <row r="1956" spans="1:6" hidden="1" x14ac:dyDescent="0.35">
      <c r="A1956" t="s">
        <v>66</v>
      </c>
      <c r="B1956" t="s">
        <v>54</v>
      </c>
      <c r="C1956" t="s">
        <v>51</v>
      </c>
      <c r="D1956">
        <v>1</v>
      </c>
      <c r="E1956" t="s">
        <v>41</v>
      </c>
      <c r="F1956" t="s">
        <v>10</v>
      </c>
    </row>
    <row r="1957" spans="1:6" hidden="1" x14ac:dyDescent="0.35">
      <c r="A1957" t="s">
        <v>67</v>
      </c>
      <c r="B1957" t="s">
        <v>54</v>
      </c>
      <c r="C1957" t="s">
        <v>51</v>
      </c>
      <c r="D1957">
        <v>1</v>
      </c>
      <c r="E1957" t="s">
        <v>41</v>
      </c>
      <c r="F1957" t="s">
        <v>10</v>
      </c>
    </row>
    <row r="1958" spans="1:6" hidden="1" x14ac:dyDescent="0.35">
      <c r="A1958" t="s">
        <v>57</v>
      </c>
      <c r="B1958" t="s">
        <v>54</v>
      </c>
      <c r="C1958" t="s">
        <v>30</v>
      </c>
      <c r="D1958">
        <v>15</v>
      </c>
      <c r="E1958" t="s">
        <v>41</v>
      </c>
      <c r="F1958" t="s">
        <v>10</v>
      </c>
    </row>
    <row r="1959" spans="1:6" hidden="1" x14ac:dyDescent="0.35">
      <c r="A1959" t="s">
        <v>11</v>
      </c>
      <c r="B1959" t="s">
        <v>54</v>
      </c>
      <c r="C1959" t="s">
        <v>30</v>
      </c>
      <c r="D1959">
        <v>13</v>
      </c>
      <c r="E1959" t="s">
        <v>41</v>
      </c>
      <c r="F1959" t="s">
        <v>10</v>
      </c>
    </row>
    <row r="1960" spans="1:6" hidden="1" x14ac:dyDescent="0.35">
      <c r="A1960" t="s">
        <v>58</v>
      </c>
      <c r="B1960" t="s">
        <v>54</v>
      </c>
      <c r="C1960" t="s">
        <v>30</v>
      </c>
      <c r="D1960">
        <v>12</v>
      </c>
      <c r="E1960" t="s">
        <v>41</v>
      </c>
      <c r="F1960" t="s">
        <v>10</v>
      </c>
    </row>
    <row r="1961" spans="1:6" hidden="1" x14ac:dyDescent="0.35">
      <c r="A1961" t="s">
        <v>59</v>
      </c>
      <c r="B1961" t="s">
        <v>54</v>
      </c>
      <c r="C1961" t="s">
        <v>30</v>
      </c>
      <c r="D1961">
        <v>33</v>
      </c>
      <c r="E1961" t="s">
        <v>41</v>
      </c>
      <c r="F1961" t="s">
        <v>10</v>
      </c>
    </row>
    <row r="1962" spans="1:6" hidden="1" x14ac:dyDescent="0.35">
      <c r="A1962" t="s">
        <v>60</v>
      </c>
      <c r="B1962" t="s">
        <v>54</v>
      </c>
      <c r="C1962" t="s">
        <v>30</v>
      </c>
      <c r="D1962">
        <v>37</v>
      </c>
      <c r="E1962" t="s">
        <v>41</v>
      </c>
      <c r="F1962" t="s">
        <v>10</v>
      </c>
    </row>
    <row r="1963" spans="1:6" hidden="1" x14ac:dyDescent="0.35">
      <c r="A1963" t="s">
        <v>61</v>
      </c>
      <c r="B1963" t="s">
        <v>54</v>
      </c>
      <c r="C1963" t="s">
        <v>30</v>
      </c>
      <c r="D1963">
        <v>21</v>
      </c>
      <c r="E1963" t="s">
        <v>41</v>
      </c>
      <c r="F1963" t="s">
        <v>10</v>
      </c>
    </row>
    <row r="1964" spans="1:6" hidden="1" x14ac:dyDescent="0.35">
      <c r="A1964" t="s">
        <v>62</v>
      </c>
      <c r="B1964" t="s">
        <v>54</v>
      </c>
      <c r="C1964" t="s">
        <v>30</v>
      </c>
      <c r="D1964">
        <v>15</v>
      </c>
      <c r="E1964" t="s">
        <v>41</v>
      </c>
      <c r="F1964" t="s">
        <v>10</v>
      </c>
    </row>
    <row r="1965" spans="1:6" hidden="1" x14ac:dyDescent="0.35">
      <c r="A1965" t="s">
        <v>63</v>
      </c>
      <c r="B1965" t="s">
        <v>54</v>
      </c>
      <c r="C1965" t="s">
        <v>30</v>
      </c>
      <c r="D1965">
        <v>35</v>
      </c>
      <c r="E1965" t="s">
        <v>41</v>
      </c>
      <c r="F1965" t="s">
        <v>10</v>
      </c>
    </row>
    <row r="1966" spans="1:6" hidden="1" x14ac:dyDescent="0.35">
      <c r="A1966" t="s">
        <v>64</v>
      </c>
      <c r="B1966" t="s">
        <v>54</v>
      </c>
      <c r="C1966" t="s">
        <v>30</v>
      </c>
      <c r="D1966">
        <v>17</v>
      </c>
      <c r="E1966" t="s">
        <v>41</v>
      </c>
      <c r="F1966" t="s">
        <v>10</v>
      </c>
    </row>
    <row r="1967" spans="1:6" hidden="1" x14ac:dyDescent="0.35">
      <c r="A1967" t="s">
        <v>65</v>
      </c>
      <c r="B1967" t="s">
        <v>54</v>
      </c>
      <c r="C1967" t="s">
        <v>30</v>
      </c>
      <c r="D1967">
        <v>29</v>
      </c>
      <c r="E1967" t="s">
        <v>41</v>
      </c>
      <c r="F1967" t="s">
        <v>10</v>
      </c>
    </row>
    <row r="1968" spans="1:6" hidden="1" x14ac:dyDescent="0.35">
      <c r="A1968" t="s">
        <v>66</v>
      </c>
      <c r="B1968" t="s">
        <v>54</v>
      </c>
      <c r="C1968" t="s">
        <v>30</v>
      </c>
      <c r="D1968">
        <v>21</v>
      </c>
      <c r="E1968" t="s">
        <v>41</v>
      </c>
      <c r="F1968" t="s">
        <v>10</v>
      </c>
    </row>
    <row r="1969" spans="1:6" hidden="1" x14ac:dyDescent="0.35">
      <c r="A1969" t="s">
        <v>67</v>
      </c>
      <c r="B1969" t="s">
        <v>54</v>
      </c>
      <c r="C1969" t="s">
        <v>30</v>
      </c>
      <c r="D1969">
        <v>17</v>
      </c>
      <c r="E1969" t="s">
        <v>41</v>
      </c>
      <c r="F1969" t="s">
        <v>10</v>
      </c>
    </row>
    <row r="1970" spans="1:6" hidden="1" x14ac:dyDescent="0.35">
      <c r="A1970" t="s">
        <v>57</v>
      </c>
      <c r="B1970" t="s">
        <v>54</v>
      </c>
      <c r="C1970" t="s">
        <v>52</v>
      </c>
      <c r="D1970">
        <v>3</v>
      </c>
      <c r="E1970" t="s">
        <v>41</v>
      </c>
      <c r="F1970" t="s">
        <v>10</v>
      </c>
    </row>
    <row r="1971" spans="1:6" hidden="1" x14ac:dyDescent="0.35">
      <c r="A1971" t="s">
        <v>11</v>
      </c>
      <c r="B1971" t="s">
        <v>54</v>
      </c>
      <c r="C1971" t="s">
        <v>52</v>
      </c>
      <c r="D1971">
        <v>4</v>
      </c>
      <c r="E1971" t="s">
        <v>41</v>
      </c>
      <c r="F1971" t="s">
        <v>10</v>
      </c>
    </row>
    <row r="1972" spans="1:6" hidden="1" x14ac:dyDescent="0.35">
      <c r="A1972" t="s">
        <v>58</v>
      </c>
      <c r="B1972" t="s">
        <v>54</v>
      </c>
      <c r="C1972" t="s">
        <v>52</v>
      </c>
      <c r="D1972">
        <v>4</v>
      </c>
      <c r="E1972" t="s">
        <v>41</v>
      </c>
      <c r="F1972" t="s">
        <v>10</v>
      </c>
    </row>
    <row r="1973" spans="1:6" hidden="1" x14ac:dyDescent="0.35">
      <c r="A1973" t="s">
        <v>59</v>
      </c>
      <c r="B1973" t="s">
        <v>54</v>
      </c>
      <c r="C1973" t="s">
        <v>52</v>
      </c>
      <c r="D1973">
        <v>3</v>
      </c>
      <c r="E1973" t="s">
        <v>41</v>
      </c>
      <c r="F1973" t="s">
        <v>10</v>
      </c>
    </row>
    <row r="1974" spans="1:6" hidden="1" x14ac:dyDescent="0.35">
      <c r="A1974" t="s">
        <v>60</v>
      </c>
      <c r="B1974" t="s">
        <v>54</v>
      </c>
      <c r="C1974" t="s">
        <v>52</v>
      </c>
      <c r="D1974">
        <v>8</v>
      </c>
      <c r="E1974" t="s">
        <v>41</v>
      </c>
      <c r="F1974" t="s">
        <v>10</v>
      </c>
    </row>
    <row r="1975" spans="1:6" hidden="1" x14ac:dyDescent="0.35">
      <c r="A1975" t="s">
        <v>61</v>
      </c>
      <c r="B1975" t="s">
        <v>54</v>
      </c>
      <c r="C1975" t="s">
        <v>52</v>
      </c>
      <c r="D1975">
        <v>3</v>
      </c>
      <c r="E1975" t="s">
        <v>41</v>
      </c>
      <c r="F1975" t="s">
        <v>10</v>
      </c>
    </row>
    <row r="1976" spans="1:6" hidden="1" x14ac:dyDescent="0.35">
      <c r="A1976" t="s">
        <v>62</v>
      </c>
      <c r="B1976" t="s">
        <v>54</v>
      </c>
      <c r="C1976" t="s">
        <v>52</v>
      </c>
      <c r="D1976">
        <v>1</v>
      </c>
      <c r="E1976" t="s">
        <v>41</v>
      </c>
      <c r="F1976" t="s">
        <v>10</v>
      </c>
    </row>
    <row r="1977" spans="1:6" hidden="1" x14ac:dyDescent="0.35">
      <c r="A1977" t="s">
        <v>63</v>
      </c>
      <c r="B1977" t="s">
        <v>54</v>
      </c>
      <c r="C1977" t="s">
        <v>52</v>
      </c>
      <c r="E1977" t="s">
        <v>41</v>
      </c>
      <c r="F1977" t="s">
        <v>10</v>
      </c>
    </row>
    <row r="1978" spans="1:6" hidden="1" x14ac:dyDescent="0.35">
      <c r="A1978" t="s">
        <v>64</v>
      </c>
      <c r="B1978" t="s">
        <v>54</v>
      </c>
      <c r="C1978" t="s">
        <v>52</v>
      </c>
      <c r="D1978">
        <v>1</v>
      </c>
      <c r="E1978" t="s">
        <v>41</v>
      </c>
      <c r="F1978" t="s">
        <v>10</v>
      </c>
    </row>
    <row r="1979" spans="1:6" hidden="1" x14ac:dyDescent="0.35">
      <c r="A1979" t="s">
        <v>65</v>
      </c>
      <c r="B1979" t="s">
        <v>54</v>
      </c>
      <c r="C1979" t="s">
        <v>52</v>
      </c>
      <c r="E1979" t="s">
        <v>41</v>
      </c>
      <c r="F1979" t="s">
        <v>10</v>
      </c>
    </row>
    <row r="1980" spans="1:6" hidden="1" x14ac:dyDescent="0.35">
      <c r="A1980" t="s">
        <v>66</v>
      </c>
      <c r="B1980" t="s">
        <v>54</v>
      </c>
      <c r="C1980" t="s">
        <v>52</v>
      </c>
      <c r="D1980">
        <v>1</v>
      </c>
      <c r="E1980" t="s">
        <v>41</v>
      </c>
      <c r="F1980" t="s">
        <v>10</v>
      </c>
    </row>
    <row r="1981" spans="1:6" hidden="1" x14ac:dyDescent="0.35">
      <c r="A1981" t="s">
        <v>67</v>
      </c>
      <c r="B1981" t="s">
        <v>54</v>
      </c>
      <c r="C1981" t="s">
        <v>52</v>
      </c>
      <c r="D1981">
        <v>1</v>
      </c>
      <c r="E1981" t="s">
        <v>41</v>
      </c>
      <c r="F1981" t="s">
        <v>10</v>
      </c>
    </row>
    <row r="1982" spans="1:6" hidden="1" x14ac:dyDescent="0.35">
      <c r="A1982" t="s">
        <v>57</v>
      </c>
      <c r="B1982" t="s">
        <v>69</v>
      </c>
      <c r="C1982" t="s">
        <v>44</v>
      </c>
      <c r="E1982" t="s">
        <v>41</v>
      </c>
      <c r="F1982" t="s">
        <v>10</v>
      </c>
    </row>
    <row r="1983" spans="1:6" hidden="1" x14ac:dyDescent="0.35">
      <c r="A1983" t="s">
        <v>11</v>
      </c>
      <c r="B1983" t="s">
        <v>69</v>
      </c>
      <c r="C1983" t="s">
        <v>44</v>
      </c>
      <c r="E1983" t="s">
        <v>41</v>
      </c>
      <c r="F1983" t="s">
        <v>10</v>
      </c>
    </row>
    <row r="1984" spans="1:6" hidden="1" x14ac:dyDescent="0.35">
      <c r="A1984" t="s">
        <v>58</v>
      </c>
      <c r="B1984" t="s">
        <v>69</v>
      </c>
      <c r="C1984" t="s">
        <v>44</v>
      </c>
      <c r="E1984" t="s">
        <v>41</v>
      </c>
      <c r="F1984" t="s">
        <v>10</v>
      </c>
    </row>
    <row r="1985" spans="1:6" hidden="1" x14ac:dyDescent="0.35">
      <c r="A1985" t="s">
        <v>59</v>
      </c>
      <c r="B1985" t="s">
        <v>69</v>
      </c>
      <c r="C1985" t="s">
        <v>44</v>
      </c>
      <c r="E1985" t="s">
        <v>41</v>
      </c>
      <c r="F1985" t="s">
        <v>10</v>
      </c>
    </row>
    <row r="1986" spans="1:6" hidden="1" x14ac:dyDescent="0.35">
      <c r="A1986" t="s">
        <v>60</v>
      </c>
      <c r="B1986" t="s">
        <v>69</v>
      </c>
      <c r="C1986" t="s">
        <v>44</v>
      </c>
      <c r="E1986" t="s">
        <v>41</v>
      </c>
      <c r="F1986" t="s">
        <v>10</v>
      </c>
    </row>
    <row r="1987" spans="1:6" hidden="1" x14ac:dyDescent="0.35">
      <c r="A1987" t="s">
        <v>61</v>
      </c>
      <c r="B1987" t="s">
        <v>69</v>
      </c>
      <c r="C1987" t="s">
        <v>44</v>
      </c>
      <c r="E1987" t="s">
        <v>41</v>
      </c>
      <c r="F1987" t="s">
        <v>10</v>
      </c>
    </row>
    <row r="1988" spans="1:6" hidden="1" x14ac:dyDescent="0.35">
      <c r="A1988" t="s">
        <v>62</v>
      </c>
      <c r="B1988" t="s">
        <v>69</v>
      </c>
      <c r="C1988" t="s">
        <v>44</v>
      </c>
      <c r="E1988" t="s">
        <v>41</v>
      </c>
      <c r="F1988" t="s">
        <v>10</v>
      </c>
    </row>
    <row r="1989" spans="1:6" hidden="1" x14ac:dyDescent="0.35">
      <c r="A1989" t="s">
        <v>63</v>
      </c>
      <c r="B1989" t="s">
        <v>69</v>
      </c>
      <c r="C1989" t="s">
        <v>44</v>
      </c>
      <c r="E1989" t="s">
        <v>41</v>
      </c>
      <c r="F1989" t="s">
        <v>10</v>
      </c>
    </row>
    <row r="1990" spans="1:6" hidden="1" x14ac:dyDescent="0.35">
      <c r="A1990" t="s">
        <v>64</v>
      </c>
      <c r="B1990" t="s">
        <v>69</v>
      </c>
      <c r="C1990" t="s">
        <v>44</v>
      </c>
      <c r="E1990" t="s">
        <v>41</v>
      </c>
      <c r="F1990" t="s">
        <v>10</v>
      </c>
    </row>
    <row r="1991" spans="1:6" hidden="1" x14ac:dyDescent="0.35">
      <c r="A1991" t="s">
        <v>65</v>
      </c>
      <c r="B1991" t="s">
        <v>69</v>
      </c>
      <c r="C1991" t="s">
        <v>44</v>
      </c>
      <c r="E1991" t="s">
        <v>41</v>
      </c>
      <c r="F1991" t="s">
        <v>10</v>
      </c>
    </row>
    <row r="1992" spans="1:6" hidden="1" x14ac:dyDescent="0.35">
      <c r="A1992" t="s">
        <v>66</v>
      </c>
      <c r="B1992" t="s">
        <v>69</v>
      </c>
      <c r="C1992" t="s">
        <v>44</v>
      </c>
      <c r="E1992" t="s">
        <v>41</v>
      </c>
      <c r="F1992" t="s">
        <v>10</v>
      </c>
    </row>
    <row r="1993" spans="1:6" hidden="1" x14ac:dyDescent="0.35">
      <c r="A1993" t="s">
        <v>67</v>
      </c>
      <c r="B1993" t="s">
        <v>69</v>
      </c>
      <c r="C1993" t="s">
        <v>44</v>
      </c>
      <c r="E1993" t="s">
        <v>41</v>
      </c>
      <c r="F1993" t="s">
        <v>10</v>
      </c>
    </row>
    <row r="1994" spans="1:6" hidden="1" x14ac:dyDescent="0.35">
      <c r="A1994" t="s">
        <v>57</v>
      </c>
      <c r="B1994" t="s">
        <v>69</v>
      </c>
      <c r="C1994" t="s">
        <v>22</v>
      </c>
      <c r="D1994">
        <v>0</v>
      </c>
      <c r="E1994" t="s">
        <v>41</v>
      </c>
      <c r="F1994" t="s">
        <v>10</v>
      </c>
    </row>
    <row r="1995" spans="1:6" hidden="1" x14ac:dyDescent="0.35">
      <c r="A1995" t="s">
        <v>11</v>
      </c>
      <c r="B1995" t="s">
        <v>69</v>
      </c>
      <c r="C1995" t="s">
        <v>22</v>
      </c>
      <c r="D1995">
        <v>0</v>
      </c>
      <c r="E1995" t="s">
        <v>41</v>
      </c>
      <c r="F1995" t="s">
        <v>10</v>
      </c>
    </row>
    <row r="1996" spans="1:6" hidden="1" x14ac:dyDescent="0.35">
      <c r="A1996" t="s">
        <v>58</v>
      </c>
      <c r="B1996" t="s">
        <v>69</v>
      </c>
      <c r="C1996" t="s">
        <v>22</v>
      </c>
      <c r="D1996">
        <v>0</v>
      </c>
      <c r="E1996" t="s">
        <v>41</v>
      </c>
      <c r="F1996" t="s">
        <v>10</v>
      </c>
    </row>
    <row r="1997" spans="1:6" hidden="1" x14ac:dyDescent="0.35">
      <c r="A1997" t="s">
        <v>59</v>
      </c>
      <c r="B1997" t="s">
        <v>69</v>
      </c>
      <c r="C1997" t="s">
        <v>22</v>
      </c>
      <c r="D1997">
        <v>0</v>
      </c>
      <c r="E1997" t="s">
        <v>41</v>
      </c>
      <c r="F1997" t="s">
        <v>10</v>
      </c>
    </row>
    <row r="1998" spans="1:6" hidden="1" x14ac:dyDescent="0.35">
      <c r="A1998" t="s">
        <v>60</v>
      </c>
      <c r="B1998" t="s">
        <v>69</v>
      </c>
      <c r="C1998" t="s">
        <v>22</v>
      </c>
      <c r="D1998">
        <v>0</v>
      </c>
      <c r="E1998" t="s">
        <v>41</v>
      </c>
      <c r="F1998" t="s">
        <v>10</v>
      </c>
    </row>
    <row r="1999" spans="1:6" hidden="1" x14ac:dyDescent="0.35">
      <c r="A1999" t="s">
        <v>61</v>
      </c>
      <c r="B1999" t="s">
        <v>69</v>
      </c>
      <c r="C1999" t="s">
        <v>22</v>
      </c>
      <c r="D1999">
        <v>0</v>
      </c>
      <c r="E1999" t="s">
        <v>41</v>
      </c>
      <c r="F1999" t="s">
        <v>10</v>
      </c>
    </row>
    <row r="2000" spans="1:6" hidden="1" x14ac:dyDescent="0.35">
      <c r="A2000" t="s">
        <v>62</v>
      </c>
      <c r="B2000" t="s">
        <v>69</v>
      </c>
      <c r="C2000" t="s">
        <v>22</v>
      </c>
      <c r="D2000">
        <v>0</v>
      </c>
      <c r="E2000" t="s">
        <v>41</v>
      </c>
      <c r="F2000" t="s">
        <v>10</v>
      </c>
    </row>
    <row r="2001" spans="1:6" hidden="1" x14ac:dyDescent="0.35">
      <c r="A2001" t="s">
        <v>63</v>
      </c>
      <c r="B2001" t="s">
        <v>69</v>
      </c>
      <c r="C2001" t="s">
        <v>22</v>
      </c>
      <c r="D2001">
        <v>0</v>
      </c>
      <c r="E2001" t="s">
        <v>41</v>
      </c>
      <c r="F2001" t="s">
        <v>10</v>
      </c>
    </row>
    <row r="2002" spans="1:6" hidden="1" x14ac:dyDescent="0.35">
      <c r="A2002" t="s">
        <v>64</v>
      </c>
      <c r="B2002" t="s">
        <v>69</v>
      </c>
      <c r="C2002" t="s">
        <v>22</v>
      </c>
      <c r="D2002">
        <v>0</v>
      </c>
      <c r="E2002" t="s">
        <v>41</v>
      </c>
      <c r="F2002" t="s">
        <v>10</v>
      </c>
    </row>
    <row r="2003" spans="1:6" hidden="1" x14ac:dyDescent="0.35">
      <c r="A2003" t="s">
        <v>65</v>
      </c>
      <c r="B2003" t="s">
        <v>69</v>
      </c>
      <c r="C2003" t="s">
        <v>22</v>
      </c>
      <c r="D2003">
        <v>0</v>
      </c>
      <c r="E2003" t="s">
        <v>41</v>
      </c>
      <c r="F2003" t="s">
        <v>10</v>
      </c>
    </row>
    <row r="2004" spans="1:6" hidden="1" x14ac:dyDescent="0.35">
      <c r="A2004" t="s">
        <v>66</v>
      </c>
      <c r="B2004" t="s">
        <v>69</v>
      </c>
      <c r="C2004" t="s">
        <v>22</v>
      </c>
      <c r="D2004">
        <v>0</v>
      </c>
      <c r="E2004" t="s">
        <v>41</v>
      </c>
      <c r="F2004" t="s">
        <v>10</v>
      </c>
    </row>
    <row r="2005" spans="1:6" hidden="1" x14ac:dyDescent="0.35">
      <c r="A2005" t="s">
        <v>67</v>
      </c>
      <c r="B2005" t="s">
        <v>69</v>
      </c>
      <c r="C2005" t="s">
        <v>22</v>
      </c>
      <c r="D2005">
        <v>0</v>
      </c>
      <c r="E2005" t="s">
        <v>41</v>
      </c>
      <c r="F2005" t="s">
        <v>10</v>
      </c>
    </row>
    <row r="2006" spans="1:6" hidden="1" x14ac:dyDescent="0.35">
      <c r="A2006" t="s">
        <v>57</v>
      </c>
      <c r="B2006" t="s">
        <v>69</v>
      </c>
      <c r="C2006" t="s">
        <v>46</v>
      </c>
      <c r="E2006" t="s">
        <v>41</v>
      </c>
      <c r="F2006" t="s">
        <v>10</v>
      </c>
    </row>
    <row r="2007" spans="1:6" hidden="1" x14ac:dyDescent="0.35">
      <c r="A2007" t="s">
        <v>11</v>
      </c>
      <c r="B2007" t="s">
        <v>69</v>
      </c>
      <c r="C2007" t="s">
        <v>46</v>
      </c>
      <c r="E2007" t="s">
        <v>41</v>
      </c>
      <c r="F2007" t="s">
        <v>10</v>
      </c>
    </row>
    <row r="2008" spans="1:6" hidden="1" x14ac:dyDescent="0.35">
      <c r="A2008" t="s">
        <v>58</v>
      </c>
      <c r="B2008" t="s">
        <v>69</v>
      </c>
      <c r="C2008" t="s">
        <v>46</v>
      </c>
      <c r="E2008" t="s">
        <v>41</v>
      </c>
      <c r="F2008" t="s">
        <v>10</v>
      </c>
    </row>
    <row r="2009" spans="1:6" hidden="1" x14ac:dyDescent="0.35">
      <c r="A2009" t="s">
        <v>59</v>
      </c>
      <c r="B2009" t="s">
        <v>69</v>
      </c>
      <c r="C2009" t="s">
        <v>46</v>
      </c>
      <c r="E2009" t="s">
        <v>41</v>
      </c>
      <c r="F2009" t="s">
        <v>10</v>
      </c>
    </row>
    <row r="2010" spans="1:6" hidden="1" x14ac:dyDescent="0.35">
      <c r="A2010" t="s">
        <v>60</v>
      </c>
      <c r="B2010" t="s">
        <v>69</v>
      </c>
      <c r="C2010" t="s">
        <v>46</v>
      </c>
      <c r="E2010" t="s">
        <v>41</v>
      </c>
      <c r="F2010" t="s">
        <v>10</v>
      </c>
    </row>
    <row r="2011" spans="1:6" hidden="1" x14ac:dyDescent="0.35">
      <c r="A2011" t="s">
        <v>61</v>
      </c>
      <c r="B2011" t="s">
        <v>69</v>
      </c>
      <c r="C2011" t="s">
        <v>46</v>
      </c>
      <c r="E2011" t="s">
        <v>41</v>
      </c>
      <c r="F2011" t="s">
        <v>10</v>
      </c>
    </row>
    <row r="2012" spans="1:6" hidden="1" x14ac:dyDescent="0.35">
      <c r="A2012" t="s">
        <v>62</v>
      </c>
      <c r="B2012" t="s">
        <v>69</v>
      </c>
      <c r="C2012" t="s">
        <v>46</v>
      </c>
      <c r="E2012" t="s">
        <v>41</v>
      </c>
      <c r="F2012" t="s">
        <v>10</v>
      </c>
    </row>
    <row r="2013" spans="1:6" hidden="1" x14ac:dyDescent="0.35">
      <c r="A2013" t="s">
        <v>63</v>
      </c>
      <c r="B2013" t="s">
        <v>69</v>
      </c>
      <c r="C2013" t="s">
        <v>46</v>
      </c>
      <c r="E2013" t="s">
        <v>41</v>
      </c>
      <c r="F2013" t="s">
        <v>10</v>
      </c>
    </row>
    <row r="2014" spans="1:6" hidden="1" x14ac:dyDescent="0.35">
      <c r="A2014" t="s">
        <v>64</v>
      </c>
      <c r="B2014" t="s">
        <v>69</v>
      </c>
      <c r="C2014" t="s">
        <v>46</v>
      </c>
      <c r="E2014" t="s">
        <v>41</v>
      </c>
      <c r="F2014" t="s">
        <v>10</v>
      </c>
    </row>
    <row r="2015" spans="1:6" hidden="1" x14ac:dyDescent="0.35">
      <c r="A2015" t="s">
        <v>65</v>
      </c>
      <c r="B2015" t="s">
        <v>69</v>
      </c>
      <c r="C2015" t="s">
        <v>46</v>
      </c>
      <c r="E2015" t="s">
        <v>41</v>
      </c>
      <c r="F2015" t="s">
        <v>10</v>
      </c>
    </row>
    <row r="2016" spans="1:6" hidden="1" x14ac:dyDescent="0.35">
      <c r="A2016" t="s">
        <v>66</v>
      </c>
      <c r="B2016" t="s">
        <v>69</v>
      </c>
      <c r="C2016" t="s">
        <v>46</v>
      </c>
      <c r="E2016" t="s">
        <v>41</v>
      </c>
      <c r="F2016" t="s">
        <v>10</v>
      </c>
    </row>
    <row r="2017" spans="1:6" hidden="1" x14ac:dyDescent="0.35">
      <c r="A2017" t="s">
        <v>67</v>
      </c>
      <c r="B2017" t="s">
        <v>69</v>
      </c>
      <c r="C2017" t="s">
        <v>46</v>
      </c>
      <c r="E2017" t="s">
        <v>41</v>
      </c>
      <c r="F2017" t="s">
        <v>10</v>
      </c>
    </row>
    <row r="2018" spans="1:6" hidden="1" x14ac:dyDescent="0.35">
      <c r="A2018" t="s">
        <v>57</v>
      </c>
      <c r="B2018" t="s">
        <v>69</v>
      </c>
      <c r="C2018" t="s">
        <v>24</v>
      </c>
      <c r="D2018">
        <v>0</v>
      </c>
      <c r="E2018" t="s">
        <v>41</v>
      </c>
      <c r="F2018" t="s">
        <v>10</v>
      </c>
    </row>
    <row r="2019" spans="1:6" hidden="1" x14ac:dyDescent="0.35">
      <c r="A2019" t="s">
        <v>11</v>
      </c>
      <c r="B2019" t="s">
        <v>69</v>
      </c>
      <c r="C2019" t="s">
        <v>24</v>
      </c>
      <c r="D2019">
        <v>0</v>
      </c>
      <c r="E2019" t="s">
        <v>41</v>
      </c>
      <c r="F2019" t="s">
        <v>10</v>
      </c>
    </row>
    <row r="2020" spans="1:6" hidden="1" x14ac:dyDescent="0.35">
      <c r="A2020" t="s">
        <v>58</v>
      </c>
      <c r="B2020" t="s">
        <v>69</v>
      </c>
      <c r="C2020" t="s">
        <v>24</v>
      </c>
      <c r="D2020">
        <v>0</v>
      </c>
      <c r="E2020" t="s">
        <v>41</v>
      </c>
      <c r="F2020" t="s">
        <v>10</v>
      </c>
    </row>
    <row r="2021" spans="1:6" hidden="1" x14ac:dyDescent="0.35">
      <c r="A2021" t="s">
        <v>59</v>
      </c>
      <c r="B2021" t="s">
        <v>69</v>
      </c>
      <c r="C2021" t="s">
        <v>24</v>
      </c>
      <c r="D2021">
        <v>0</v>
      </c>
      <c r="E2021" t="s">
        <v>41</v>
      </c>
      <c r="F2021" t="s">
        <v>10</v>
      </c>
    </row>
    <row r="2022" spans="1:6" hidden="1" x14ac:dyDescent="0.35">
      <c r="A2022" t="s">
        <v>60</v>
      </c>
      <c r="B2022" t="s">
        <v>69</v>
      </c>
      <c r="C2022" t="s">
        <v>24</v>
      </c>
      <c r="D2022">
        <v>0</v>
      </c>
      <c r="E2022" t="s">
        <v>41</v>
      </c>
      <c r="F2022" t="s">
        <v>10</v>
      </c>
    </row>
    <row r="2023" spans="1:6" hidden="1" x14ac:dyDescent="0.35">
      <c r="A2023" t="s">
        <v>61</v>
      </c>
      <c r="B2023" t="s">
        <v>69</v>
      </c>
      <c r="C2023" t="s">
        <v>24</v>
      </c>
      <c r="D2023">
        <v>0</v>
      </c>
      <c r="E2023" t="s">
        <v>41</v>
      </c>
      <c r="F2023" t="s">
        <v>10</v>
      </c>
    </row>
    <row r="2024" spans="1:6" hidden="1" x14ac:dyDescent="0.35">
      <c r="A2024" t="s">
        <v>62</v>
      </c>
      <c r="B2024" t="s">
        <v>69</v>
      </c>
      <c r="C2024" t="s">
        <v>24</v>
      </c>
      <c r="D2024">
        <v>0</v>
      </c>
      <c r="E2024" t="s">
        <v>41</v>
      </c>
      <c r="F2024" t="s">
        <v>10</v>
      </c>
    </row>
    <row r="2025" spans="1:6" hidden="1" x14ac:dyDescent="0.35">
      <c r="A2025" t="s">
        <v>63</v>
      </c>
      <c r="B2025" t="s">
        <v>69</v>
      </c>
      <c r="C2025" t="s">
        <v>24</v>
      </c>
      <c r="D2025">
        <v>0</v>
      </c>
      <c r="E2025" t="s">
        <v>41</v>
      </c>
      <c r="F2025" t="s">
        <v>10</v>
      </c>
    </row>
    <row r="2026" spans="1:6" hidden="1" x14ac:dyDescent="0.35">
      <c r="A2026" t="s">
        <v>64</v>
      </c>
      <c r="B2026" t="s">
        <v>69</v>
      </c>
      <c r="C2026" t="s">
        <v>24</v>
      </c>
      <c r="D2026">
        <v>0</v>
      </c>
      <c r="E2026" t="s">
        <v>41</v>
      </c>
      <c r="F2026" t="s">
        <v>10</v>
      </c>
    </row>
    <row r="2027" spans="1:6" hidden="1" x14ac:dyDescent="0.35">
      <c r="A2027" t="s">
        <v>65</v>
      </c>
      <c r="B2027" t="s">
        <v>69</v>
      </c>
      <c r="C2027" t="s">
        <v>24</v>
      </c>
      <c r="D2027">
        <v>0</v>
      </c>
      <c r="E2027" t="s">
        <v>41</v>
      </c>
      <c r="F2027" t="s">
        <v>10</v>
      </c>
    </row>
    <row r="2028" spans="1:6" hidden="1" x14ac:dyDescent="0.35">
      <c r="A2028" t="s">
        <v>66</v>
      </c>
      <c r="B2028" t="s">
        <v>69</v>
      </c>
      <c r="C2028" t="s">
        <v>24</v>
      </c>
      <c r="D2028">
        <v>0</v>
      </c>
      <c r="E2028" t="s">
        <v>41</v>
      </c>
      <c r="F2028" t="s">
        <v>10</v>
      </c>
    </row>
    <row r="2029" spans="1:6" hidden="1" x14ac:dyDescent="0.35">
      <c r="A2029" t="s">
        <v>67</v>
      </c>
      <c r="B2029" t="s">
        <v>69</v>
      </c>
      <c r="C2029" t="s">
        <v>24</v>
      </c>
      <c r="D2029">
        <v>0</v>
      </c>
      <c r="E2029" t="s">
        <v>41</v>
      </c>
      <c r="F2029" t="s">
        <v>10</v>
      </c>
    </row>
    <row r="2030" spans="1:6" hidden="1" x14ac:dyDescent="0.35">
      <c r="A2030" t="s">
        <v>57</v>
      </c>
      <c r="B2030" t="s">
        <v>69</v>
      </c>
      <c r="C2030" t="s">
        <v>47</v>
      </c>
      <c r="E2030" t="s">
        <v>41</v>
      </c>
      <c r="F2030" t="s">
        <v>10</v>
      </c>
    </row>
    <row r="2031" spans="1:6" hidden="1" x14ac:dyDescent="0.35">
      <c r="A2031" t="s">
        <v>11</v>
      </c>
      <c r="B2031" t="s">
        <v>69</v>
      </c>
      <c r="C2031" t="s">
        <v>47</v>
      </c>
      <c r="E2031" t="s">
        <v>41</v>
      </c>
      <c r="F2031" t="s">
        <v>10</v>
      </c>
    </row>
    <row r="2032" spans="1:6" hidden="1" x14ac:dyDescent="0.35">
      <c r="A2032" t="s">
        <v>58</v>
      </c>
      <c r="B2032" t="s">
        <v>69</v>
      </c>
      <c r="C2032" t="s">
        <v>47</v>
      </c>
      <c r="E2032" t="s">
        <v>41</v>
      </c>
      <c r="F2032" t="s">
        <v>10</v>
      </c>
    </row>
    <row r="2033" spans="1:6" hidden="1" x14ac:dyDescent="0.35">
      <c r="A2033" t="s">
        <v>59</v>
      </c>
      <c r="B2033" t="s">
        <v>69</v>
      </c>
      <c r="C2033" t="s">
        <v>47</v>
      </c>
      <c r="E2033" t="s">
        <v>41</v>
      </c>
      <c r="F2033" t="s">
        <v>10</v>
      </c>
    </row>
    <row r="2034" spans="1:6" hidden="1" x14ac:dyDescent="0.35">
      <c r="A2034" t="s">
        <v>60</v>
      </c>
      <c r="B2034" t="s">
        <v>69</v>
      </c>
      <c r="C2034" t="s">
        <v>47</v>
      </c>
      <c r="E2034" t="s">
        <v>41</v>
      </c>
      <c r="F2034" t="s">
        <v>10</v>
      </c>
    </row>
    <row r="2035" spans="1:6" hidden="1" x14ac:dyDescent="0.35">
      <c r="A2035" t="s">
        <v>61</v>
      </c>
      <c r="B2035" t="s">
        <v>69</v>
      </c>
      <c r="C2035" t="s">
        <v>47</v>
      </c>
      <c r="E2035" t="s">
        <v>41</v>
      </c>
      <c r="F2035" t="s">
        <v>10</v>
      </c>
    </row>
    <row r="2036" spans="1:6" hidden="1" x14ac:dyDescent="0.35">
      <c r="A2036" t="s">
        <v>62</v>
      </c>
      <c r="B2036" t="s">
        <v>69</v>
      </c>
      <c r="C2036" t="s">
        <v>47</v>
      </c>
      <c r="E2036" t="s">
        <v>41</v>
      </c>
      <c r="F2036" t="s">
        <v>10</v>
      </c>
    </row>
    <row r="2037" spans="1:6" hidden="1" x14ac:dyDescent="0.35">
      <c r="A2037" t="s">
        <v>63</v>
      </c>
      <c r="B2037" t="s">
        <v>69</v>
      </c>
      <c r="C2037" t="s">
        <v>47</v>
      </c>
      <c r="E2037" t="s">
        <v>41</v>
      </c>
      <c r="F2037" t="s">
        <v>10</v>
      </c>
    </row>
    <row r="2038" spans="1:6" hidden="1" x14ac:dyDescent="0.35">
      <c r="A2038" t="s">
        <v>64</v>
      </c>
      <c r="B2038" t="s">
        <v>69</v>
      </c>
      <c r="C2038" t="s">
        <v>47</v>
      </c>
      <c r="E2038" t="s">
        <v>41</v>
      </c>
      <c r="F2038" t="s">
        <v>10</v>
      </c>
    </row>
    <row r="2039" spans="1:6" hidden="1" x14ac:dyDescent="0.35">
      <c r="A2039" t="s">
        <v>65</v>
      </c>
      <c r="B2039" t="s">
        <v>69</v>
      </c>
      <c r="C2039" t="s">
        <v>47</v>
      </c>
      <c r="E2039" t="s">
        <v>41</v>
      </c>
      <c r="F2039" t="s">
        <v>10</v>
      </c>
    </row>
    <row r="2040" spans="1:6" hidden="1" x14ac:dyDescent="0.35">
      <c r="A2040" t="s">
        <v>66</v>
      </c>
      <c r="B2040" t="s">
        <v>69</v>
      </c>
      <c r="C2040" t="s">
        <v>47</v>
      </c>
      <c r="E2040" t="s">
        <v>41</v>
      </c>
      <c r="F2040" t="s">
        <v>10</v>
      </c>
    </row>
    <row r="2041" spans="1:6" hidden="1" x14ac:dyDescent="0.35">
      <c r="A2041" t="s">
        <v>67</v>
      </c>
      <c r="B2041" t="s">
        <v>69</v>
      </c>
      <c r="C2041" t="s">
        <v>47</v>
      </c>
      <c r="E2041" t="s">
        <v>41</v>
      </c>
      <c r="F2041" t="s">
        <v>10</v>
      </c>
    </row>
    <row r="2042" spans="1:6" hidden="1" x14ac:dyDescent="0.35">
      <c r="A2042" t="s">
        <v>57</v>
      </c>
      <c r="B2042" t="s">
        <v>69</v>
      </c>
      <c r="C2042" t="s">
        <v>48</v>
      </c>
      <c r="D2042">
        <v>0</v>
      </c>
      <c r="E2042" t="s">
        <v>41</v>
      </c>
      <c r="F2042" t="s">
        <v>10</v>
      </c>
    </row>
    <row r="2043" spans="1:6" hidden="1" x14ac:dyDescent="0.35">
      <c r="A2043" t="s">
        <v>11</v>
      </c>
      <c r="B2043" t="s">
        <v>69</v>
      </c>
      <c r="C2043" t="s">
        <v>48</v>
      </c>
      <c r="D2043">
        <v>0</v>
      </c>
      <c r="E2043" t="s">
        <v>41</v>
      </c>
      <c r="F2043" t="s">
        <v>10</v>
      </c>
    </row>
    <row r="2044" spans="1:6" hidden="1" x14ac:dyDescent="0.35">
      <c r="A2044" t="s">
        <v>58</v>
      </c>
      <c r="B2044" t="s">
        <v>69</v>
      </c>
      <c r="C2044" t="s">
        <v>48</v>
      </c>
      <c r="D2044">
        <v>0</v>
      </c>
      <c r="E2044" t="s">
        <v>41</v>
      </c>
      <c r="F2044" t="s">
        <v>10</v>
      </c>
    </row>
    <row r="2045" spans="1:6" hidden="1" x14ac:dyDescent="0.35">
      <c r="A2045" t="s">
        <v>59</v>
      </c>
      <c r="B2045" t="s">
        <v>69</v>
      </c>
      <c r="C2045" t="s">
        <v>48</v>
      </c>
      <c r="D2045">
        <v>0</v>
      </c>
      <c r="E2045" t="s">
        <v>41</v>
      </c>
      <c r="F2045" t="s">
        <v>10</v>
      </c>
    </row>
    <row r="2046" spans="1:6" hidden="1" x14ac:dyDescent="0.35">
      <c r="A2046" t="s">
        <v>60</v>
      </c>
      <c r="B2046" t="s">
        <v>69</v>
      </c>
      <c r="C2046" t="s">
        <v>48</v>
      </c>
      <c r="D2046">
        <v>0</v>
      </c>
      <c r="E2046" t="s">
        <v>41</v>
      </c>
      <c r="F2046" t="s">
        <v>10</v>
      </c>
    </row>
    <row r="2047" spans="1:6" hidden="1" x14ac:dyDescent="0.35">
      <c r="A2047" t="s">
        <v>61</v>
      </c>
      <c r="B2047" t="s">
        <v>69</v>
      </c>
      <c r="C2047" t="s">
        <v>48</v>
      </c>
      <c r="D2047">
        <v>0</v>
      </c>
      <c r="E2047" t="s">
        <v>41</v>
      </c>
      <c r="F2047" t="s">
        <v>10</v>
      </c>
    </row>
    <row r="2048" spans="1:6" hidden="1" x14ac:dyDescent="0.35">
      <c r="A2048" t="s">
        <v>62</v>
      </c>
      <c r="B2048" t="s">
        <v>69</v>
      </c>
      <c r="C2048" t="s">
        <v>48</v>
      </c>
      <c r="D2048">
        <v>0</v>
      </c>
      <c r="E2048" t="s">
        <v>41</v>
      </c>
      <c r="F2048" t="s">
        <v>10</v>
      </c>
    </row>
    <row r="2049" spans="1:6" hidden="1" x14ac:dyDescent="0.35">
      <c r="A2049" t="s">
        <v>63</v>
      </c>
      <c r="B2049" t="s">
        <v>69</v>
      </c>
      <c r="C2049" t="s">
        <v>48</v>
      </c>
      <c r="D2049">
        <v>0</v>
      </c>
      <c r="E2049" t="s">
        <v>41</v>
      </c>
      <c r="F2049" t="s">
        <v>10</v>
      </c>
    </row>
    <row r="2050" spans="1:6" hidden="1" x14ac:dyDescent="0.35">
      <c r="A2050" t="s">
        <v>64</v>
      </c>
      <c r="B2050" t="s">
        <v>69</v>
      </c>
      <c r="C2050" t="s">
        <v>48</v>
      </c>
      <c r="D2050">
        <v>0</v>
      </c>
      <c r="E2050" t="s">
        <v>41</v>
      </c>
      <c r="F2050" t="s">
        <v>10</v>
      </c>
    </row>
    <row r="2051" spans="1:6" hidden="1" x14ac:dyDescent="0.35">
      <c r="A2051" t="s">
        <v>65</v>
      </c>
      <c r="B2051" t="s">
        <v>69</v>
      </c>
      <c r="C2051" t="s">
        <v>48</v>
      </c>
      <c r="D2051">
        <v>0</v>
      </c>
      <c r="E2051" t="s">
        <v>41</v>
      </c>
      <c r="F2051" t="s">
        <v>10</v>
      </c>
    </row>
    <row r="2052" spans="1:6" hidden="1" x14ac:dyDescent="0.35">
      <c r="A2052" t="s">
        <v>66</v>
      </c>
      <c r="B2052" t="s">
        <v>69</v>
      </c>
      <c r="C2052" t="s">
        <v>48</v>
      </c>
      <c r="D2052">
        <v>0</v>
      </c>
      <c r="E2052" t="s">
        <v>41</v>
      </c>
      <c r="F2052" t="s">
        <v>10</v>
      </c>
    </row>
    <row r="2053" spans="1:6" hidden="1" x14ac:dyDescent="0.35">
      <c r="A2053" t="s">
        <v>67</v>
      </c>
      <c r="B2053" t="s">
        <v>69</v>
      </c>
      <c r="C2053" t="s">
        <v>48</v>
      </c>
      <c r="D2053">
        <v>0</v>
      </c>
      <c r="E2053" t="s">
        <v>41</v>
      </c>
      <c r="F2053" t="s">
        <v>10</v>
      </c>
    </row>
    <row r="2054" spans="1:6" hidden="1" x14ac:dyDescent="0.35">
      <c r="A2054" t="s">
        <v>57</v>
      </c>
      <c r="B2054" t="s">
        <v>69</v>
      </c>
      <c r="C2054" t="s">
        <v>49</v>
      </c>
      <c r="E2054" t="s">
        <v>41</v>
      </c>
      <c r="F2054" t="s">
        <v>10</v>
      </c>
    </row>
    <row r="2055" spans="1:6" hidden="1" x14ac:dyDescent="0.35">
      <c r="A2055" t="s">
        <v>11</v>
      </c>
      <c r="B2055" t="s">
        <v>69</v>
      </c>
      <c r="C2055" t="s">
        <v>49</v>
      </c>
      <c r="E2055" t="s">
        <v>41</v>
      </c>
      <c r="F2055" t="s">
        <v>10</v>
      </c>
    </row>
    <row r="2056" spans="1:6" hidden="1" x14ac:dyDescent="0.35">
      <c r="A2056" t="s">
        <v>58</v>
      </c>
      <c r="B2056" t="s">
        <v>69</v>
      </c>
      <c r="C2056" t="s">
        <v>49</v>
      </c>
      <c r="E2056" t="s">
        <v>41</v>
      </c>
      <c r="F2056" t="s">
        <v>10</v>
      </c>
    </row>
    <row r="2057" spans="1:6" hidden="1" x14ac:dyDescent="0.35">
      <c r="A2057" t="s">
        <v>59</v>
      </c>
      <c r="B2057" t="s">
        <v>69</v>
      </c>
      <c r="C2057" t="s">
        <v>49</v>
      </c>
      <c r="E2057" t="s">
        <v>41</v>
      </c>
      <c r="F2057" t="s">
        <v>10</v>
      </c>
    </row>
    <row r="2058" spans="1:6" hidden="1" x14ac:dyDescent="0.35">
      <c r="A2058" t="s">
        <v>60</v>
      </c>
      <c r="B2058" t="s">
        <v>69</v>
      </c>
      <c r="C2058" t="s">
        <v>49</v>
      </c>
      <c r="E2058" t="s">
        <v>41</v>
      </c>
      <c r="F2058" t="s">
        <v>10</v>
      </c>
    </row>
    <row r="2059" spans="1:6" hidden="1" x14ac:dyDescent="0.35">
      <c r="A2059" t="s">
        <v>61</v>
      </c>
      <c r="B2059" t="s">
        <v>69</v>
      </c>
      <c r="C2059" t="s">
        <v>49</v>
      </c>
      <c r="E2059" t="s">
        <v>41</v>
      </c>
      <c r="F2059" t="s">
        <v>10</v>
      </c>
    </row>
    <row r="2060" spans="1:6" hidden="1" x14ac:dyDescent="0.35">
      <c r="A2060" t="s">
        <v>62</v>
      </c>
      <c r="B2060" t="s">
        <v>69</v>
      </c>
      <c r="C2060" t="s">
        <v>49</v>
      </c>
      <c r="E2060" t="s">
        <v>41</v>
      </c>
      <c r="F2060" t="s">
        <v>10</v>
      </c>
    </row>
    <row r="2061" spans="1:6" hidden="1" x14ac:dyDescent="0.35">
      <c r="A2061" t="s">
        <v>63</v>
      </c>
      <c r="B2061" t="s">
        <v>69</v>
      </c>
      <c r="C2061" t="s">
        <v>49</v>
      </c>
      <c r="E2061" t="s">
        <v>41</v>
      </c>
      <c r="F2061" t="s">
        <v>10</v>
      </c>
    </row>
    <row r="2062" spans="1:6" hidden="1" x14ac:dyDescent="0.35">
      <c r="A2062" t="s">
        <v>64</v>
      </c>
      <c r="B2062" t="s">
        <v>69</v>
      </c>
      <c r="C2062" t="s">
        <v>49</v>
      </c>
      <c r="E2062" t="s">
        <v>41</v>
      </c>
      <c r="F2062" t="s">
        <v>10</v>
      </c>
    </row>
    <row r="2063" spans="1:6" hidden="1" x14ac:dyDescent="0.35">
      <c r="A2063" t="s">
        <v>65</v>
      </c>
      <c r="B2063" t="s">
        <v>69</v>
      </c>
      <c r="C2063" t="s">
        <v>49</v>
      </c>
      <c r="E2063" t="s">
        <v>41</v>
      </c>
      <c r="F2063" t="s">
        <v>10</v>
      </c>
    </row>
    <row r="2064" spans="1:6" hidden="1" x14ac:dyDescent="0.35">
      <c r="A2064" t="s">
        <v>66</v>
      </c>
      <c r="B2064" t="s">
        <v>69</v>
      </c>
      <c r="C2064" t="s">
        <v>49</v>
      </c>
      <c r="E2064" t="s">
        <v>41</v>
      </c>
      <c r="F2064" t="s">
        <v>10</v>
      </c>
    </row>
    <row r="2065" spans="1:6" hidden="1" x14ac:dyDescent="0.35">
      <c r="A2065" t="s">
        <v>67</v>
      </c>
      <c r="B2065" t="s">
        <v>69</v>
      </c>
      <c r="C2065" t="s">
        <v>49</v>
      </c>
      <c r="E2065" t="s">
        <v>41</v>
      </c>
      <c r="F2065" t="s">
        <v>10</v>
      </c>
    </row>
    <row r="2066" spans="1:6" hidden="1" x14ac:dyDescent="0.35">
      <c r="A2066" t="s">
        <v>57</v>
      </c>
      <c r="B2066" t="s">
        <v>69</v>
      </c>
      <c r="C2066" t="s">
        <v>50</v>
      </c>
      <c r="E2066" t="s">
        <v>41</v>
      </c>
      <c r="F2066" t="s">
        <v>10</v>
      </c>
    </row>
    <row r="2067" spans="1:6" hidden="1" x14ac:dyDescent="0.35">
      <c r="A2067" t="s">
        <v>11</v>
      </c>
      <c r="B2067" t="s">
        <v>69</v>
      </c>
      <c r="C2067" t="s">
        <v>50</v>
      </c>
      <c r="E2067" t="s">
        <v>41</v>
      </c>
      <c r="F2067" t="s">
        <v>10</v>
      </c>
    </row>
    <row r="2068" spans="1:6" hidden="1" x14ac:dyDescent="0.35">
      <c r="A2068" t="s">
        <v>58</v>
      </c>
      <c r="B2068" t="s">
        <v>69</v>
      </c>
      <c r="C2068" t="s">
        <v>50</v>
      </c>
      <c r="E2068" t="s">
        <v>41</v>
      </c>
      <c r="F2068" t="s">
        <v>10</v>
      </c>
    </row>
    <row r="2069" spans="1:6" hidden="1" x14ac:dyDescent="0.35">
      <c r="A2069" t="s">
        <v>59</v>
      </c>
      <c r="B2069" t="s">
        <v>69</v>
      </c>
      <c r="C2069" t="s">
        <v>50</v>
      </c>
      <c r="E2069" t="s">
        <v>41</v>
      </c>
      <c r="F2069" t="s">
        <v>10</v>
      </c>
    </row>
    <row r="2070" spans="1:6" hidden="1" x14ac:dyDescent="0.35">
      <c r="A2070" t="s">
        <v>60</v>
      </c>
      <c r="B2070" t="s">
        <v>69</v>
      </c>
      <c r="C2070" t="s">
        <v>50</v>
      </c>
      <c r="E2070" t="s">
        <v>41</v>
      </c>
      <c r="F2070" t="s">
        <v>10</v>
      </c>
    </row>
    <row r="2071" spans="1:6" hidden="1" x14ac:dyDescent="0.35">
      <c r="A2071" t="s">
        <v>61</v>
      </c>
      <c r="B2071" t="s">
        <v>69</v>
      </c>
      <c r="C2071" t="s">
        <v>50</v>
      </c>
      <c r="E2071" t="s">
        <v>41</v>
      </c>
      <c r="F2071" t="s">
        <v>10</v>
      </c>
    </row>
    <row r="2072" spans="1:6" hidden="1" x14ac:dyDescent="0.35">
      <c r="A2072" t="s">
        <v>62</v>
      </c>
      <c r="B2072" t="s">
        <v>69</v>
      </c>
      <c r="C2072" t="s">
        <v>50</v>
      </c>
      <c r="E2072" t="s">
        <v>41</v>
      </c>
      <c r="F2072" t="s">
        <v>10</v>
      </c>
    </row>
    <row r="2073" spans="1:6" hidden="1" x14ac:dyDescent="0.35">
      <c r="A2073" t="s">
        <v>63</v>
      </c>
      <c r="B2073" t="s">
        <v>69</v>
      </c>
      <c r="C2073" t="s">
        <v>50</v>
      </c>
      <c r="E2073" t="s">
        <v>41</v>
      </c>
      <c r="F2073" t="s">
        <v>10</v>
      </c>
    </row>
    <row r="2074" spans="1:6" hidden="1" x14ac:dyDescent="0.35">
      <c r="A2074" t="s">
        <v>64</v>
      </c>
      <c r="B2074" t="s">
        <v>69</v>
      </c>
      <c r="C2074" t="s">
        <v>50</v>
      </c>
      <c r="E2074" t="s">
        <v>41</v>
      </c>
      <c r="F2074" t="s">
        <v>10</v>
      </c>
    </row>
    <row r="2075" spans="1:6" hidden="1" x14ac:dyDescent="0.35">
      <c r="A2075" t="s">
        <v>65</v>
      </c>
      <c r="B2075" t="s">
        <v>69</v>
      </c>
      <c r="C2075" t="s">
        <v>50</v>
      </c>
      <c r="E2075" t="s">
        <v>41</v>
      </c>
      <c r="F2075" t="s">
        <v>10</v>
      </c>
    </row>
    <row r="2076" spans="1:6" hidden="1" x14ac:dyDescent="0.35">
      <c r="A2076" t="s">
        <v>66</v>
      </c>
      <c r="B2076" t="s">
        <v>69</v>
      </c>
      <c r="C2076" t="s">
        <v>50</v>
      </c>
      <c r="E2076" t="s">
        <v>41</v>
      </c>
      <c r="F2076" t="s">
        <v>10</v>
      </c>
    </row>
    <row r="2077" spans="1:6" hidden="1" x14ac:dyDescent="0.35">
      <c r="A2077" t="s">
        <v>67</v>
      </c>
      <c r="B2077" t="s">
        <v>69</v>
      </c>
      <c r="C2077" t="s">
        <v>50</v>
      </c>
      <c r="E2077" t="s">
        <v>41</v>
      </c>
      <c r="F2077" t="s">
        <v>10</v>
      </c>
    </row>
    <row r="2078" spans="1:6" x14ac:dyDescent="0.35">
      <c r="A2078" t="s">
        <v>57</v>
      </c>
      <c r="B2078" t="s">
        <v>69</v>
      </c>
      <c r="C2078" t="s">
        <v>51</v>
      </c>
      <c r="E2078" t="s">
        <v>41</v>
      </c>
      <c r="F2078" t="s">
        <v>10</v>
      </c>
    </row>
    <row r="2079" spans="1:6" x14ac:dyDescent="0.35">
      <c r="A2079" t="s">
        <v>11</v>
      </c>
      <c r="B2079" t="s">
        <v>69</v>
      </c>
      <c r="C2079" t="s">
        <v>51</v>
      </c>
      <c r="E2079" t="s">
        <v>41</v>
      </c>
      <c r="F2079" t="s">
        <v>10</v>
      </c>
    </row>
    <row r="2080" spans="1:6" x14ac:dyDescent="0.35">
      <c r="A2080" t="s">
        <v>58</v>
      </c>
      <c r="B2080" t="s">
        <v>69</v>
      </c>
      <c r="C2080" t="s">
        <v>51</v>
      </c>
      <c r="E2080" t="s">
        <v>41</v>
      </c>
      <c r="F2080" t="s">
        <v>10</v>
      </c>
    </row>
    <row r="2081" spans="1:6" x14ac:dyDescent="0.35">
      <c r="A2081" t="s">
        <v>59</v>
      </c>
      <c r="B2081" t="s">
        <v>69</v>
      </c>
      <c r="C2081" t="s">
        <v>51</v>
      </c>
      <c r="E2081" t="s">
        <v>41</v>
      </c>
      <c r="F2081" t="s">
        <v>10</v>
      </c>
    </row>
    <row r="2082" spans="1:6" x14ac:dyDescent="0.35">
      <c r="A2082" t="s">
        <v>60</v>
      </c>
      <c r="B2082" t="s">
        <v>69</v>
      </c>
      <c r="C2082" t="s">
        <v>51</v>
      </c>
      <c r="E2082" t="s">
        <v>41</v>
      </c>
      <c r="F2082" t="s">
        <v>10</v>
      </c>
    </row>
    <row r="2083" spans="1:6" x14ac:dyDescent="0.35">
      <c r="A2083" t="s">
        <v>61</v>
      </c>
      <c r="B2083" t="s">
        <v>69</v>
      </c>
      <c r="C2083" t="s">
        <v>51</v>
      </c>
      <c r="E2083" t="s">
        <v>41</v>
      </c>
      <c r="F2083" t="s">
        <v>10</v>
      </c>
    </row>
    <row r="2084" spans="1:6" x14ac:dyDescent="0.35">
      <c r="A2084" t="s">
        <v>62</v>
      </c>
      <c r="B2084" t="s">
        <v>69</v>
      </c>
      <c r="C2084" t="s">
        <v>51</v>
      </c>
      <c r="E2084" t="s">
        <v>41</v>
      </c>
      <c r="F2084" t="s">
        <v>10</v>
      </c>
    </row>
    <row r="2085" spans="1:6" x14ac:dyDescent="0.35">
      <c r="A2085" t="s">
        <v>63</v>
      </c>
      <c r="B2085" t="s">
        <v>69</v>
      </c>
      <c r="C2085" t="s">
        <v>51</v>
      </c>
      <c r="E2085" t="s">
        <v>41</v>
      </c>
      <c r="F2085" t="s">
        <v>10</v>
      </c>
    </row>
    <row r="2086" spans="1:6" x14ac:dyDescent="0.35">
      <c r="A2086" t="s">
        <v>64</v>
      </c>
      <c r="B2086" t="s">
        <v>69</v>
      </c>
      <c r="C2086" t="s">
        <v>51</v>
      </c>
      <c r="E2086" t="s">
        <v>41</v>
      </c>
      <c r="F2086" t="s">
        <v>10</v>
      </c>
    </row>
    <row r="2087" spans="1:6" x14ac:dyDescent="0.35">
      <c r="A2087" t="s">
        <v>65</v>
      </c>
      <c r="B2087" t="s">
        <v>69</v>
      </c>
      <c r="C2087" t="s">
        <v>51</v>
      </c>
      <c r="E2087" t="s">
        <v>41</v>
      </c>
      <c r="F2087" t="s">
        <v>10</v>
      </c>
    </row>
    <row r="2088" spans="1:6" x14ac:dyDescent="0.35">
      <c r="A2088" t="s">
        <v>66</v>
      </c>
      <c r="B2088" t="s">
        <v>69</v>
      </c>
      <c r="C2088" t="s">
        <v>51</v>
      </c>
      <c r="E2088" t="s">
        <v>41</v>
      </c>
      <c r="F2088" t="s">
        <v>10</v>
      </c>
    </row>
    <row r="2089" spans="1:6" x14ac:dyDescent="0.35">
      <c r="A2089" t="s">
        <v>67</v>
      </c>
      <c r="B2089" t="s">
        <v>69</v>
      </c>
      <c r="C2089" t="s">
        <v>51</v>
      </c>
      <c r="E2089" t="s">
        <v>41</v>
      </c>
      <c r="F2089" t="s">
        <v>10</v>
      </c>
    </row>
    <row r="2090" spans="1:6" hidden="1" x14ac:dyDescent="0.35">
      <c r="A2090" t="s">
        <v>57</v>
      </c>
      <c r="B2090" t="s">
        <v>69</v>
      </c>
      <c r="C2090" t="s">
        <v>30</v>
      </c>
      <c r="E2090" t="s">
        <v>41</v>
      </c>
      <c r="F2090" t="s">
        <v>10</v>
      </c>
    </row>
    <row r="2091" spans="1:6" hidden="1" x14ac:dyDescent="0.35">
      <c r="A2091" t="s">
        <v>11</v>
      </c>
      <c r="B2091" t="s">
        <v>69</v>
      </c>
      <c r="C2091" t="s">
        <v>30</v>
      </c>
      <c r="E2091" t="s">
        <v>41</v>
      </c>
      <c r="F2091" t="s">
        <v>10</v>
      </c>
    </row>
    <row r="2092" spans="1:6" hidden="1" x14ac:dyDescent="0.35">
      <c r="A2092" t="s">
        <v>58</v>
      </c>
      <c r="B2092" t="s">
        <v>69</v>
      </c>
      <c r="C2092" t="s">
        <v>30</v>
      </c>
      <c r="E2092" t="s">
        <v>41</v>
      </c>
      <c r="F2092" t="s">
        <v>10</v>
      </c>
    </row>
    <row r="2093" spans="1:6" hidden="1" x14ac:dyDescent="0.35">
      <c r="A2093" t="s">
        <v>59</v>
      </c>
      <c r="B2093" t="s">
        <v>69</v>
      </c>
      <c r="C2093" t="s">
        <v>30</v>
      </c>
      <c r="E2093" t="s">
        <v>41</v>
      </c>
      <c r="F2093" t="s">
        <v>10</v>
      </c>
    </row>
    <row r="2094" spans="1:6" hidden="1" x14ac:dyDescent="0.35">
      <c r="A2094" t="s">
        <v>60</v>
      </c>
      <c r="B2094" t="s">
        <v>69</v>
      </c>
      <c r="C2094" t="s">
        <v>30</v>
      </c>
      <c r="E2094" t="s">
        <v>41</v>
      </c>
      <c r="F2094" t="s">
        <v>10</v>
      </c>
    </row>
    <row r="2095" spans="1:6" hidden="1" x14ac:dyDescent="0.35">
      <c r="A2095" t="s">
        <v>61</v>
      </c>
      <c r="B2095" t="s">
        <v>69</v>
      </c>
      <c r="C2095" t="s">
        <v>30</v>
      </c>
      <c r="E2095" t="s">
        <v>41</v>
      </c>
      <c r="F2095" t="s">
        <v>10</v>
      </c>
    </row>
    <row r="2096" spans="1:6" hidden="1" x14ac:dyDescent="0.35">
      <c r="A2096" t="s">
        <v>62</v>
      </c>
      <c r="B2096" t="s">
        <v>69</v>
      </c>
      <c r="C2096" t="s">
        <v>30</v>
      </c>
      <c r="E2096" t="s">
        <v>41</v>
      </c>
      <c r="F2096" t="s">
        <v>10</v>
      </c>
    </row>
    <row r="2097" spans="1:6" hidden="1" x14ac:dyDescent="0.35">
      <c r="A2097" t="s">
        <v>63</v>
      </c>
      <c r="B2097" t="s">
        <v>69</v>
      </c>
      <c r="C2097" t="s">
        <v>30</v>
      </c>
      <c r="E2097" t="s">
        <v>41</v>
      </c>
      <c r="F2097" t="s">
        <v>10</v>
      </c>
    </row>
    <row r="2098" spans="1:6" hidden="1" x14ac:dyDescent="0.35">
      <c r="A2098" t="s">
        <v>64</v>
      </c>
      <c r="B2098" t="s">
        <v>69</v>
      </c>
      <c r="C2098" t="s">
        <v>30</v>
      </c>
      <c r="E2098" t="s">
        <v>41</v>
      </c>
      <c r="F2098" t="s">
        <v>10</v>
      </c>
    </row>
    <row r="2099" spans="1:6" hidden="1" x14ac:dyDescent="0.35">
      <c r="A2099" t="s">
        <v>65</v>
      </c>
      <c r="B2099" t="s">
        <v>69</v>
      </c>
      <c r="C2099" t="s">
        <v>30</v>
      </c>
      <c r="E2099" t="s">
        <v>41</v>
      </c>
      <c r="F2099" t="s">
        <v>10</v>
      </c>
    </row>
    <row r="2100" spans="1:6" hidden="1" x14ac:dyDescent="0.35">
      <c r="A2100" t="s">
        <v>66</v>
      </c>
      <c r="B2100" t="s">
        <v>69</v>
      </c>
      <c r="C2100" t="s">
        <v>30</v>
      </c>
      <c r="E2100" t="s">
        <v>41</v>
      </c>
      <c r="F2100" t="s">
        <v>10</v>
      </c>
    </row>
    <row r="2101" spans="1:6" hidden="1" x14ac:dyDescent="0.35">
      <c r="A2101" t="s">
        <v>67</v>
      </c>
      <c r="B2101" t="s">
        <v>69</v>
      </c>
      <c r="C2101" t="s">
        <v>30</v>
      </c>
      <c r="E2101" t="s">
        <v>41</v>
      </c>
      <c r="F2101" t="s">
        <v>10</v>
      </c>
    </row>
    <row r="2102" spans="1:6" x14ac:dyDescent="0.35">
      <c r="A2102" t="s">
        <v>57</v>
      </c>
      <c r="B2102" t="s">
        <v>69</v>
      </c>
      <c r="C2102" t="s">
        <v>52</v>
      </c>
      <c r="E2102" t="s">
        <v>41</v>
      </c>
      <c r="F2102" t="s">
        <v>10</v>
      </c>
    </row>
    <row r="2103" spans="1:6" x14ac:dyDescent="0.35">
      <c r="A2103" t="s">
        <v>11</v>
      </c>
      <c r="B2103" t="s">
        <v>69</v>
      </c>
      <c r="C2103" t="s">
        <v>52</v>
      </c>
      <c r="E2103" t="s">
        <v>41</v>
      </c>
      <c r="F2103" t="s">
        <v>10</v>
      </c>
    </row>
    <row r="2104" spans="1:6" x14ac:dyDescent="0.35">
      <c r="A2104" t="s">
        <v>58</v>
      </c>
      <c r="B2104" t="s">
        <v>69</v>
      </c>
      <c r="C2104" t="s">
        <v>52</v>
      </c>
      <c r="E2104" t="s">
        <v>41</v>
      </c>
      <c r="F2104" t="s">
        <v>10</v>
      </c>
    </row>
    <row r="2105" spans="1:6" x14ac:dyDescent="0.35">
      <c r="A2105" t="s">
        <v>59</v>
      </c>
      <c r="B2105" t="s">
        <v>69</v>
      </c>
      <c r="C2105" t="s">
        <v>52</v>
      </c>
      <c r="E2105" t="s">
        <v>41</v>
      </c>
      <c r="F2105" t="s">
        <v>10</v>
      </c>
    </row>
    <row r="2106" spans="1:6" x14ac:dyDescent="0.35">
      <c r="A2106" t="s">
        <v>60</v>
      </c>
      <c r="B2106" t="s">
        <v>69</v>
      </c>
      <c r="C2106" t="s">
        <v>52</v>
      </c>
      <c r="E2106" t="s">
        <v>41</v>
      </c>
      <c r="F2106" t="s">
        <v>10</v>
      </c>
    </row>
    <row r="2107" spans="1:6" x14ac:dyDescent="0.35">
      <c r="A2107" t="s">
        <v>61</v>
      </c>
      <c r="B2107" t="s">
        <v>69</v>
      </c>
      <c r="C2107" t="s">
        <v>52</v>
      </c>
      <c r="E2107" t="s">
        <v>41</v>
      </c>
      <c r="F2107" t="s">
        <v>10</v>
      </c>
    </row>
    <row r="2108" spans="1:6" x14ac:dyDescent="0.35">
      <c r="A2108" t="s">
        <v>62</v>
      </c>
      <c r="B2108" t="s">
        <v>69</v>
      </c>
      <c r="C2108" t="s">
        <v>52</v>
      </c>
      <c r="E2108" t="s">
        <v>41</v>
      </c>
      <c r="F2108" t="s">
        <v>10</v>
      </c>
    </row>
    <row r="2109" spans="1:6" x14ac:dyDescent="0.35">
      <c r="A2109" t="s">
        <v>63</v>
      </c>
      <c r="B2109" t="s">
        <v>69</v>
      </c>
      <c r="C2109" t="s">
        <v>52</v>
      </c>
      <c r="E2109" t="s">
        <v>41</v>
      </c>
      <c r="F2109" t="s">
        <v>10</v>
      </c>
    </row>
    <row r="2110" spans="1:6" x14ac:dyDescent="0.35">
      <c r="A2110" t="s">
        <v>64</v>
      </c>
      <c r="B2110" t="s">
        <v>69</v>
      </c>
      <c r="C2110" t="s">
        <v>52</v>
      </c>
      <c r="E2110" t="s">
        <v>41</v>
      </c>
      <c r="F2110" t="s">
        <v>10</v>
      </c>
    </row>
    <row r="2111" spans="1:6" x14ac:dyDescent="0.35">
      <c r="A2111" t="s">
        <v>65</v>
      </c>
      <c r="B2111" t="s">
        <v>69</v>
      </c>
      <c r="C2111" t="s">
        <v>52</v>
      </c>
      <c r="E2111" t="s">
        <v>41</v>
      </c>
      <c r="F2111" t="s">
        <v>10</v>
      </c>
    </row>
    <row r="2112" spans="1:6" x14ac:dyDescent="0.35">
      <c r="A2112" t="s">
        <v>66</v>
      </c>
      <c r="B2112" t="s">
        <v>69</v>
      </c>
      <c r="C2112" t="s">
        <v>52</v>
      </c>
      <c r="E2112" t="s">
        <v>41</v>
      </c>
      <c r="F2112" t="s">
        <v>10</v>
      </c>
    </row>
    <row r="2113" spans="1:6" x14ac:dyDescent="0.35">
      <c r="A2113" t="s">
        <v>67</v>
      </c>
      <c r="B2113" t="s">
        <v>69</v>
      </c>
      <c r="C2113" t="s">
        <v>52</v>
      </c>
      <c r="E2113" t="s">
        <v>41</v>
      </c>
      <c r="F2113" t="s">
        <v>10</v>
      </c>
    </row>
    <row r="2114" spans="1:6" hidden="1" x14ac:dyDescent="0.35">
      <c r="A2114" t="s">
        <v>57</v>
      </c>
      <c r="B2114" t="s">
        <v>70</v>
      </c>
      <c r="C2114" t="s">
        <v>44</v>
      </c>
      <c r="E2114" t="s">
        <v>41</v>
      </c>
      <c r="F2114" t="s">
        <v>10</v>
      </c>
    </row>
    <row r="2115" spans="1:6" hidden="1" x14ac:dyDescent="0.35">
      <c r="A2115" t="s">
        <v>11</v>
      </c>
      <c r="B2115" t="s">
        <v>70</v>
      </c>
      <c r="C2115" t="s">
        <v>44</v>
      </c>
      <c r="E2115" t="s">
        <v>41</v>
      </c>
      <c r="F2115" t="s">
        <v>10</v>
      </c>
    </row>
    <row r="2116" spans="1:6" hidden="1" x14ac:dyDescent="0.35">
      <c r="A2116" t="s">
        <v>58</v>
      </c>
      <c r="B2116" t="s">
        <v>70</v>
      </c>
      <c r="C2116" t="s">
        <v>44</v>
      </c>
      <c r="E2116" t="s">
        <v>41</v>
      </c>
      <c r="F2116" t="s">
        <v>10</v>
      </c>
    </row>
    <row r="2117" spans="1:6" hidden="1" x14ac:dyDescent="0.35">
      <c r="A2117" t="s">
        <v>59</v>
      </c>
      <c r="B2117" t="s">
        <v>70</v>
      </c>
      <c r="C2117" t="s">
        <v>44</v>
      </c>
      <c r="E2117" t="s">
        <v>41</v>
      </c>
      <c r="F2117" t="s">
        <v>10</v>
      </c>
    </row>
    <row r="2118" spans="1:6" hidden="1" x14ac:dyDescent="0.35">
      <c r="A2118" t="s">
        <v>60</v>
      </c>
      <c r="B2118" t="s">
        <v>70</v>
      </c>
      <c r="C2118" t="s">
        <v>44</v>
      </c>
      <c r="E2118" t="s">
        <v>41</v>
      </c>
      <c r="F2118" t="s">
        <v>10</v>
      </c>
    </row>
    <row r="2119" spans="1:6" hidden="1" x14ac:dyDescent="0.35">
      <c r="A2119" t="s">
        <v>61</v>
      </c>
      <c r="B2119" t="s">
        <v>70</v>
      </c>
      <c r="C2119" t="s">
        <v>44</v>
      </c>
      <c r="E2119" t="s">
        <v>41</v>
      </c>
      <c r="F2119" t="s">
        <v>10</v>
      </c>
    </row>
    <row r="2120" spans="1:6" hidden="1" x14ac:dyDescent="0.35">
      <c r="A2120" t="s">
        <v>62</v>
      </c>
      <c r="B2120" t="s">
        <v>70</v>
      </c>
      <c r="C2120" t="s">
        <v>44</v>
      </c>
      <c r="E2120" t="s">
        <v>41</v>
      </c>
      <c r="F2120" t="s">
        <v>10</v>
      </c>
    </row>
    <row r="2121" spans="1:6" hidden="1" x14ac:dyDescent="0.35">
      <c r="A2121" t="s">
        <v>63</v>
      </c>
      <c r="B2121" t="s">
        <v>70</v>
      </c>
      <c r="C2121" t="s">
        <v>44</v>
      </c>
      <c r="E2121" t="s">
        <v>41</v>
      </c>
      <c r="F2121" t="s">
        <v>10</v>
      </c>
    </row>
    <row r="2122" spans="1:6" hidden="1" x14ac:dyDescent="0.35">
      <c r="A2122" t="s">
        <v>64</v>
      </c>
      <c r="B2122" t="s">
        <v>70</v>
      </c>
      <c r="C2122" t="s">
        <v>44</v>
      </c>
      <c r="E2122" t="s">
        <v>41</v>
      </c>
      <c r="F2122" t="s">
        <v>10</v>
      </c>
    </row>
    <row r="2123" spans="1:6" hidden="1" x14ac:dyDescent="0.35">
      <c r="A2123" t="s">
        <v>65</v>
      </c>
      <c r="B2123" t="s">
        <v>70</v>
      </c>
      <c r="C2123" t="s">
        <v>44</v>
      </c>
      <c r="E2123" t="s">
        <v>41</v>
      </c>
      <c r="F2123" t="s">
        <v>10</v>
      </c>
    </row>
    <row r="2124" spans="1:6" hidden="1" x14ac:dyDescent="0.35">
      <c r="A2124" t="s">
        <v>66</v>
      </c>
      <c r="B2124" t="s">
        <v>70</v>
      </c>
      <c r="C2124" t="s">
        <v>44</v>
      </c>
      <c r="E2124" t="s">
        <v>41</v>
      </c>
      <c r="F2124" t="s">
        <v>10</v>
      </c>
    </row>
    <row r="2125" spans="1:6" hidden="1" x14ac:dyDescent="0.35">
      <c r="A2125" t="s">
        <v>67</v>
      </c>
      <c r="B2125" t="s">
        <v>70</v>
      </c>
      <c r="C2125" t="s">
        <v>44</v>
      </c>
      <c r="E2125" t="s">
        <v>41</v>
      </c>
      <c r="F2125" t="s">
        <v>10</v>
      </c>
    </row>
    <row r="2126" spans="1:6" hidden="1" x14ac:dyDescent="0.35">
      <c r="A2126" t="s">
        <v>57</v>
      </c>
      <c r="B2126" t="s">
        <v>70</v>
      </c>
      <c r="C2126" t="s">
        <v>22</v>
      </c>
      <c r="D2126">
        <v>0</v>
      </c>
      <c r="E2126" t="s">
        <v>41</v>
      </c>
      <c r="F2126" t="s">
        <v>10</v>
      </c>
    </row>
    <row r="2127" spans="1:6" hidden="1" x14ac:dyDescent="0.35">
      <c r="A2127" t="s">
        <v>11</v>
      </c>
      <c r="B2127" t="s">
        <v>70</v>
      </c>
      <c r="C2127" t="s">
        <v>22</v>
      </c>
      <c r="D2127">
        <v>0</v>
      </c>
      <c r="E2127" t="s">
        <v>41</v>
      </c>
      <c r="F2127" t="s">
        <v>10</v>
      </c>
    </row>
    <row r="2128" spans="1:6" hidden="1" x14ac:dyDescent="0.35">
      <c r="A2128" t="s">
        <v>58</v>
      </c>
      <c r="B2128" t="s">
        <v>70</v>
      </c>
      <c r="C2128" t="s">
        <v>22</v>
      </c>
      <c r="D2128">
        <v>0</v>
      </c>
      <c r="E2128" t="s">
        <v>41</v>
      </c>
      <c r="F2128" t="s">
        <v>10</v>
      </c>
    </row>
    <row r="2129" spans="1:6" hidden="1" x14ac:dyDescent="0.35">
      <c r="A2129" t="s">
        <v>59</v>
      </c>
      <c r="B2129" t="s">
        <v>70</v>
      </c>
      <c r="C2129" t="s">
        <v>22</v>
      </c>
      <c r="D2129">
        <v>0</v>
      </c>
      <c r="E2129" t="s">
        <v>41</v>
      </c>
      <c r="F2129" t="s">
        <v>10</v>
      </c>
    </row>
    <row r="2130" spans="1:6" hidden="1" x14ac:dyDescent="0.35">
      <c r="A2130" t="s">
        <v>60</v>
      </c>
      <c r="B2130" t="s">
        <v>70</v>
      </c>
      <c r="C2130" t="s">
        <v>22</v>
      </c>
      <c r="D2130">
        <v>0</v>
      </c>
      <c r="E2130" t="s">
        <v>41</v>
      </c>
      <c r="F2130" t="s">
        <v>10</v>
      </c>
    </row>
    <row r="2131" spans="1:6" hidden="1" x14ac:dyDescent="0.35">
      <c r="A2131" t="s">
        <v>61</v>
      </c>
      <c r="B2131" t="s">
        <v>70</v>
      </c>
      <c r="C2131" t="s">
        <v>22</v>
      </c>
      <c r="D2131">
        <v>0</v>
      </c>
      <c r="E2131" t="s">
        <v>41</v>
      </c>
      <c r="F2131" t="s">
        <v>10</v>
      </c>
    </row>
    <row r="2132" spans="1:6" hidden="1" x14ac:dyDescent="0.35">
      <c r="A2132" t="s">
        <v>62</v>
      </c>
      <c r="B2132" t="s">
        <v>70</v>
      </c>
      <c r="C2132" t="s">
        <v>22</v>
      </c>
      <c r="D2132">
        <v>0</v>
      </c>
      <c r="E2132" t="s">
        <v>41</v>
      </c>
      <c r="F2132" t="s">
        <v>10</v>
      </c>
    </row>
    <row r="2133" spans="1:6" hidden="1" x14ac:dyDescent="0.35">
      <c r="A2133" t="s">
        <v>63</v>
      </c>
      <c r="B2133" t="s">
        <v>70</v>
      </c>
      <c r="C2133" t="s">
        <v>22</v>
      </c>
      <c r="D2133">
        <v>0</v>
      </c>
      <c r="E2133" t="s">
        <v>41</v>
      </c>
      <c r="F2133" t="s">
        <v>10</v>
      </c>
    </row>
    <row r="2134" spans="1:6" hidden="1" x14ac:dyDescent="0.35">
      <c r="A2134" t="s">
        <v>64</v>
      </c>
      <c r="B2134" t="s">
        <v>70</v>
      </c>
      <c r="C2134" t="s">
        <v>22</v>
      </c>
      <c r="D2134">
        <v>0</v>
      </c>
      <c r="E2134" t="s">
        <v>41</v>
      </c>
      <c r="F2134" t="s">
        <v>10</v>
      </c>
    </row>
    <row r="2135" spans="1:6" hidden="1" x14ac:dyDescent="0.35">
      <c r="A2135" t="s">
        <v>65</v>
      </c>
      <c r="B2135" t="s">
        <v>70</v>
      </c>
      <c r="C2135" t="s">
        <v>22</v>
      </c>
      <c r="D2135">
        <v>0</v>
      </c>
      <c r="E2135" t="s">
        <v>41</v>
      </c>
      <c r="F2135" t="s">
        <v>10</v>
      </c>
    </row>
    <row r="2136" spans="1:6" hidden="1" x14ac:dyDescent="0.35">
      <c r="A2136" t="s">
        <v>66</v>
      </c>
      <c r="B2136" t="s">
        <v>70</v>
      </c>
      <c r="C2136" t="s">
        <v>22</v>
      </c>
      <c r="D2136">
        <v>0</v>
      </c>
      <c r="E2136" t="s">
        <v>41</v>
      </c>
      <c r="F2136" t="s">
        <v>10</v>
      </c>
    </row>
    <row r="2137" spans="1:6" hidden="1" x14ac:dyDescent="0.35">
      <c r="A2137" t="s">
        <v>67</v>
      </c>
      <c r="B2137" t="s">
        <v>70</v>
      </c>
      <c r="C2137" t="s">
        <v>22</v>
      </c>
      <c r="D2137">
        <v>0</v>
      </c>
      <c r="E2137" t="s">
        <v>41</v>
      </c>
      <c r="F2137" t="s">
        <v>10</v>
      </c>
    </row>
    <row r="2138" spans="1:6" hidden="1" x14ac:dyDescent="0.35">
      <c r="A2138" t="s">
        <v>57</v>
      </c>
      <c r="B2138" t="s">
        <v>70</v>
      </c>
      <c r="C2138" t="s">
        <v>46</v>
      </c>
      <c r="E2138" t="s">
        <v>41</v>
      </c>
      <c r="F2138" t="s">
        <v>10</v>
      </c>
    </row>
    <row r="2139" spans="1:6" hidden="1" x14ac:dyDescent="0.35">
      <c r="A2139" t="s">
        <v>11</v>
      </c>
      <c r="B2139" t="s">
        <v>70</v>
      </c>
      <c r="C2139" t="s">
        <v>46</v>
      </c>
      <c r="E2139" t="s">
        <v>41</v>
      </c>
      <c r="F2139" t="s">
        <v>10</v>
      </c>
    </row>
    <row r="2140" spans="1:6" hidden="1" x14ac:dyDescent="0.35">
      <c r="A2140" t="s">
        <v>58</v>
      </c>
      <c r="B2140" t="s">
        <v>70</v>
      </c>
      <c r="C2140" t="s">
        <v>46</v>
      </c>
      <c r="E2140" t="s">
        <v>41</v>
      </c>
      <c r="F2140" t="s">
        <v>10</v>
      </c>
    </row>
    <row r="2141" spans="1:6" hidden="1" x14ac:dyDescent="0.35">
      <c r="A2141" t="s">
        <v>59</v>
      </c>
      <c r="B2141" t="s">
        <v>70</v>
      </c>
      <c r="C2141" t="s">
        <v>46</v>
      </c>
      <c r="E2141" t="s">
        <v>41</v>
      </c>
      <c r="F2141" t="s">
        <v>10</v>
      </c>
    </row>
    <row r="2142" spans="1:6" hidden="1" x14ac:dyDescent="0.35">
      <c r="A2142" t="s">
        <v>60</v>
      </c>
      <c r="B2142" t="s">
        <v>70</v>
      </c>
      <c r="C2142" t="s">
        <v>46</v>
      </c>
      <c r="E2142" t="s">
        <v>41</v>
      </c>
      <c r="F2142" t="s">
        <v>10</v>
      </c>
    </row>
    <row r="2143" spans="1:6" hidden="1" x14ac:dyDescent="0.35">
      <c r="A2143" t="s">
        <v>61</v>
      </c>
      <c r="B2143" t="s">
        <v>70</v>
      </c>
      <c r="C2143" t="s">
        <v>46</v>
      </c>
      <c r="E2143" t="s">
        <v>41</v>
      </c>
      <c r="F2143" t="s">
        <v>10</v>
      </c>
    </row>
    <row r="2144" spans="1:6" hidden="1" x14ac:dyDescent="0.35">
      <c r="A2144" t="s">
        <v>62</v>
      </c>
      <c r="B2144" t="s">
        <v>70</v>
      </c>
      <c r="C2144" t="s">
        <v>46</v>
      </c>
      <c r="E2144" t="s">
        <v>41</v>
      </c>
      <c r="F2144" t="s">
        <v>10</v>
      </c>
    </row>
    <row r="2145" spans="1:6" hidden="1" x14ac:dyDescent="0.35">
      <c r="A2145" t="s">
        <v>63</v>
      </c>
      <c r="B2145" t="s">
        <v>70</v>
      </c>
      <c r="C2145" t="s">
        <v>46</v>
      </c>
      <c r="E2145" t="s">
        <v>41</v>
      </c>
      <c r="F2145" t="s">
        <v>10</v>
      </c>
    </row>
    <row r="2146" spans="1:6" hidden="1" x14ac:dyDescent="0.35">
      <c r="A2146" t="s">
        <v>64</v>
      </c>
      <c r="B2146" t="s">
        <v>70</v>
      </c>
      <c r="C2146" t="s">
        <v>46</v>
      </c>
      <c r="E2146" t="s">
        <v>41</v>
      </c>
      <c r="F2146" t="s">
        <v>10</v>
      </c>
    </row>
    <row r="2147" spans="1:6" hidden="1" x14ac:dyDescent="0.35">
      <c r="A2147" t="s">
        <v>65</v>
      </c>
      <c r="B2147" t="s">
        <v>70</v>
      </c>
      <c r="C2147" t="s">
        <v>46</v>
      </c>
      <c r="E2147" t="s">
        <v>41</v>
      </c>
      <c r="F2147" t="s">
        <v>10</v>
      </c>
    </row>
    <row r="2148" spans="1:6" hidden="1" x14ac:dyDescent="0.35">
      <c r="A2148" t="s">
        <v>66</v>
      </c>
      <c r="B2148" t="s">
        <v>70</v>
      </c>
      <c r="C2148" t="s">
        <v>46</v>
      </c>
      <c r="E2148" t="s">
        <v>41</v>
      </c>
      <c r="F2148" t="s">
        <v>10</v>
      </c>
    </row>
    <row r="2149" spans="1:6" hidden="1" x14ac:dyDescent="0.35">
      <c r="A2149" t="s">
        <v>67</v>
      </c>
      <c r="B2149" t="s">
        <v>70</v>
      </c>
      <c r="C2149" t="s">
        <v>46</v>
      </c>
      <c r="E2149" t="s">
        <v>41</v>
      </c>
      <c r="F2149" t="s">
        <v>10</v>
      </c>
    </row>
    <row r="2150" spans="1:6" hidden="1" x14ac:dyDescent="0.35">
      <c r="A2150" t="s">
        <v>57</v>
      </c>
      <c r="B2150" t="s">
        <v>70</v>
      </c>
      <c r="C2150" t="s">
        <v>24</v>
      </c>
      <c r="D2150">
        <v>0</v>
      </c>
      <c r="E2150" t="s">
        <v>41</v>
      </c>
      <c r="F2150" t="s">
        <v>10</v>
      </c>
    </row>
    <row r="2151" spans="1:6" hidden="1" x14ac:dyDescent="0.35">
      <c r="A2151" t="s">
        <v>11</v>
      </c>
      <c r="B2151" t="s">
        <v>70</v>
      </c>
      <c r="C2151" t="s">
        <v>24</v>
      </c>
      <c r="D2151">
        <v>0</v>
      </c>
      <c r="E2151" t="s">
        <v>41</v>
      </c>
      <c r="F2151" t="s">
        <v>10</v>
      </c>
    </row>
    <row r="2152" spans="1:6" hidden="1" x14ac:dyDescent="0.35">
      <c r="A2152" t="s">
        <v>58</v>
      </c>
      <c r="B2152" t="s">
        <v>70</v>
      </c>
      <c r="C2152" t="s">
        <v>24</v>
      </c>
      <c r="D2152">
        <v>0</v>
      </c>
      <c r="E2152" t="s">
        <v>41</v>
      </c>
      <c r="F2152" t="s">
        <v>10</v>
      </c>
    </row>
    <row r="2153" spans="1:6" hidden="1" x14ac:dyDescent="0.35">
      <c r="A2153" t="s">
        <v>59</v>
      </c>
      <c r="B2153" t="s">
        <v>70</v>
      </c>
      <c r="C2153" t="s">
        <v>24</v>
      </c>
      <c r="D2153">
        <v>0</v>
      </c>
      <c r="E2153" t="s">
        <v>41</v>
      </c>
      <c r="F2153" t="s">
        <v>10</v>
      </c>
    </row>
    <row r="2154" spans="1:6" hidden="1" x14ac:dyDescent="0.35">
      <c r="A2154" t="s">
        <v>60</v>
      </c>
      <c r="B2154" t="s">
        <v>70</v>
      </c>
      <c r="C2154" t="s">
        <v>24</v>
      </c>
      <c r="D2154">
        <v>0</v>
      </c>
      <c r="E2154" t="s">
        <v>41</v>
      </c>
      <c r="F2154" t="s">
        <v>10</v>
      </c>
    </row>
    <row r="2155" spans="1:6" hidden="1" x14ac:dyDescent="0.35">
      <c r="A2155" t="s">
        <v>61</v>
      </c>
      <c r="B2155" t="s">
        <v>70</v>
      </c>
      <c r="C2155" t="s">
        <v>24</v>
      </c>
      <c r="D2155">
        <v>0</v>
      </c>
      <c r="E2155" t="s">
        <v>41</v>
      </c>
      <c r="F2155" t="s">
        <v>10</v>
      </c>
    </row>
    <row r="2156" spans="1:6" hidden="1" x14ac:dyDescent="0.35">
      <c r="A2156" t="s">
        <v>62</v>
      </c>
      <c r="B2156" t="s">
        <v>70</v>
      </c>
      <c r="C2156" t="s">
        <v>24</v>
      </c>
      <c r="D2156">
        <v>0</v>
      </c>
      <c r="E2156" t="s">
        <v>41</v>
      </c>
      <c r="F2156" t="s">
        <v>10</v>
      </c>
    </row>
    <row r="2157" spans="1:6" hidden="1" x14ac:dyDescent="0.35">
      <c r="A2157" t="s">
        <v>63</v>
      </c>
      <c r="B2157" t="s">
        <v>70</v>
      </c>
      <c r="C2157" t="s">
        <v>24</v>
      </c>
      <c r="D2157">
        <v>0</v>
      </c>
      <c r="E2157" t="s">
        <v>41</v>
      </c>
      <c r="F2157" t="s">
        <v>10</v>
      </c>
    </row>
    <row r="2158" spans="1:6" hidden="1" x14ac:dyDescent="0.35">
      <c r="A2158" t="s">
        <v>64</v>
      </c>
      <c r="B2158" t="s">
        <v>70</v>
      </c>
      <c r="C2158" t="s">
        <v>24</v>
      </c>
      <c r="D2158">
        <v>0</v>
      </c>
      <c r="E2158" t="s">
        <v>41</v>
      </c>
      <c r="F2158" t="s">
        <v>10</v>
      </c>
    </row>
    <row r="2159" spans="1:6" hidden="1" x14ac:dyDescent="0.35">
      <c r="A2159" t="s">
        <v>65</v>
      </c>
      <c r="B2159" t="s">
        <v>70</v>
      </c>
      <c r="C2159" t="s">
        <v>24</v>
      </c>
      <c r="D2159">
        <v>0</v>
      </c>
      <c r="E2159" t="s">
        <v>41</v>
      </c>
      <c r="F2159" t="s">
        <v>10</v>
      </c>
    </row>
    <row r="2160" spans="1:6" hidden="1" x14ac:dyDescent="0.35">
      <c r="A2160" t="s">
        <v>66</v>
      </c>
      <c r="B2160" t="s">
        <v>70</v>
      </c>
      <c r="C2160" t="s">
        <v>24</v>
      </c>
      <c r="D2160">
        <v>0</v>
      </c>
      <c r="E2160" t="s">
        <v>41</v>
      </c>
      <c r="F2160" t="s">
        <v>10</v>
      </c>
    </row>
    <row r="2161" spans="1:6" hidden="1" x14ac:dyDescent="0.35">
      <c r="A2161" t="s">
        <v>67</v>
      </c>
      <c r="B2161" t="s">
        <v>70</v>
      </c>
      <c r="C2161" t="s">
        <v>24</v>
      </c>
      <c r="D2161">
        <v>0</v>
      </c>
      <c r="E2161" t="s">
        <v>41</v>
      </c>
      <c r="F2161" t="s">
        <v>10</v>
      </c>
    </row>
    <row r="2162" spans="1:6" hidden="1" x14ac:dyDescent="0.35">
      <c r="A2162" t="s">
        <v>57</v>
      </c>
      <c r="B2162" t="s">
        <v>70</v>
      </c>
      <c r="C2162" t="s">
        <v>47</v>
      </c>
      <c r="E2162" t="s">
        <v>41</v>
      </c>
      <c r="F2162" t="s">
        <v>10</v>
      </c>
    </row>
    <row r="2163" spans="1:6" hidden="1" x14ac:dyDescent="0.35">
      <c r="A2163" t="s">
        <v>11</v>
      </c>
      <c r="B2163" t="s">
        <v>70</v>
      </c>
      <c r="C2163" t="s">
        <v>47</v>
      </c>
      <c r="E2163" t="s">
        <v>41</v>
      </c>
      <c r="F2163" t="s">
        <v>10</v>
      </c>
    </row>
    <row r="2164" spans="1:6" hidden="1" x14ac:dyDescent="0.35">
      <c r="A2164" t="s">
        <v>58</v>
      </c>
      <c r="B2164" t="s">
        <v>70</v>
      </c>
      <c r="C2164" t="s">
        <v>47</v>
      </c>
      <c r="E2164" t="s">
        <v>41</v>
      </c>
      <c r="F2164" t="s">
        <v>10</v>
      </c>
    </row>
    <row r="2165" spans="1:6" hidden="1" x14ac:dyDescent="0.35">
      <c r="A2165" t="s">
        <v>59</v>
      </c>
      <c r="B2165" t="s">
        <v>70</v>
      </c>
      <c r="C2165" t="s">
        <v>47</v>
      </c>
      <c r="E2165" t="s">
        <v>41</v>
      </c>
      <c r="F2165" t="s">
        <v>10</v>
      </c>
    </row>
    <row r="2166" spans="1:6" hidden="1" x14ac:dyDescent="0.35">
      <c r="A2166" t="s">
        <v>60</v>
      </c>
      <c r="B2166" t="s">
        <v>70</v>
      </c>
      <c r="C2166" t="s">
        <v>47</v>
      </c>
      <c r="E2166" t="s">
        <v>41</v>
      </c>
      <c r="F2166" t="s">
        <v>10</v>
      </c>
    </row>
    <row r="2167" spans="1:6" hidden="1" x14ac:dyDescent="0.35">
      <c r="A2167" t="s">
        <v>61</v>
      </c>
      <c r="B2167" t="s">
        <v>70</v>
      </c>
      <c r="C2167" t="s">
        <v>47</v>
      </c>
      <c r="E2167" t="s">
        <v>41</v>
      </c>
      <c r="F2167" t="s">
        <v>10</v>
      </c>
    </row>
    <row r="2168" spans="1:6" hidden="1" x14ac:dyDescent="0.35">
      <c r="A2168" t="s">
        <v>62</v>
      </c>
      <c r="B2168" t="s">
        <v>70</v>
      </c>
      <c r="C2168" t="s">
        <v>47</v>
      </c>
      <c r="E2168" t="s">
        <v>41</v>
      </c>
      <c r="F2168" t="s">
        <v>10</v>
      </c>
    </row>
    <row r="2169" spans="1:6" hidden="1" x14ac:dyDescent="0.35">
      <c r="A2169" t="s">
        <v>63</v>
      </c>
      <c r="B2169" t="s">
        <v>70</v>
      </c>
      <c r="C2169" t="s">
        <v>47</v>
      </c>
      <c r="E2169" t="s">
        <v>41</v>
      </c>
      <c r="F2169" t="s">
        <v>10</v>
      </c>
    </row>
    <row r="2170" spans="1:6" hidden="1" x14ac:dyDescent="0.35">
      <c r="A2170" t="s">
        <v>64</v>
      </c>
      <c r="B2170" t="s">
        <v>70</v>
      </c>
      <c r="C2170" t="s">
        <v>47</v>
      </c>
      <c r="E2170" t="s">
        <v>41</v>
      </c>
      <c r="F2170" t="s">
        <v>10</v>
      </c>
    </row>
    <row r="2171" spans="1:6" hidden="1" x14ac:dyDescent="0.35">
      <c r="A2171" t="s">
        <v>65</v>
      </c>
      <c r="B2171" t="s">
        <v>70</v>
      </c>
      <c r="C2171" t="s">
        <v>47</v>
      </c>
      <c r="E2171" t="s">
        <v>41</v>
      </c>
      <c r="F2171" t="s">
        <v>10</v>
      </c>
    </row>
    <row r="2172" spans="1:6" hidden="1" x14ac:dyDescent="0.35">
      <c r="A2172" t="s">
        <v>66</v>
      </c>
      <c r="B2172" t="s">
        <v>70</v>
      </c>
      <c r="C2172" t="s">
        <v>47</v>
      </c>
      <c r="E2172" t="s">
        <v>41</v>
      </c>
      <c r="F2172" t="s">
        <v>10</v>
      </c>
    </row>
    <row r="2173" spans="1:6" hidden="1" x14ac:dyDescent="0.35">
      <c r="A2173" t="s">
        <v>67</v>
      </c>
      <c r="B2173" t="s">
        <v>70</v>
      </c>
      <c r="C2173" t="s">
        <v>47</v>
      </c>
      <c r="E2173" t="s">
        <v>41</v>
      </c>
      <c r="F2173" t="s">
        <v>10</v>
      </c>
    </row>
    <row r="2174" spans="1:6" hidden="1" x14ac:dyDescent="0.35">
      <c r="A2174" t="s">
        <v>57</v>
      </c>
      <c r="B2174" t="s">
        <v>70</v>
      </c>
      <c r="C2174" t="s">
        <v>48</v>
      </c>
      <c r="D2174">
        <v>0</v>
      </c>
      <c r="E2174" t="s">
        <v>41</v>
      </c>
      <c r="F2174" t="s">
        <v>10</v>
      </c>
    </row>
    <row r="2175" spans="1:6" hidden="1" x14ac:dyDescent="0.35">
      <c r="A2175" t="s">
        <v>11</v>
      </c>
      <c r="B2175" t="s">
        <v>70</v>
      </c>
      <c r="C2175" t="s">
        <v>48</v>
      </c>
      <c r="D2175">
        <v>0</v>
      </c>
      <c r="E2175" t="s">
        <v>41</v>
      </c>
      <c r="F2175" t="s">
        <v>10</v>
      </c>
    </row>
    <row r="2176" spans="1:6" hidden="1" x14ac:dyDescent="0.35">
      <c r="A2176" t="s">
        <v>58</v>
      </c>
      <c r="B2176" t="s">
        <v>70</v>
      </c>
      <c r="C2176" t="s">
        <v>48</v>
      </c>
      <c r="D2176">
        <v>0</v>
      </c>
      <c r="E2176" t="s">
        <v>41</v>
      </c>
      <c r="F2176" t="s">
        <v>10</v>
      </c>
    </row>
    <row r="2177" spans="1:6" hidden="1" x14ac:dyDescent="0.35">
      <c r="A2177" t="s">
        <v>59</v>
      </c>
      <c r="B2177" t="s">
        <v>70</v>
      </c>
      <c r="C2177" t="s">
        <v>48</v>
      </c>
      <c r="D2177">
        <v>0</v>
      </c>
      <c r="E2177" t="s">
        <v>41</v>
      </c>
      <c r="F2177" t="s">
        <v>10</v>
      </c>
    </row>
    <row r="2178" spans="1:6" hidden="1" x14ac:dyDescent="0.35">
      <c r="A2178" t="s">
        <v>60</v>
      </c>
      <c r="B2178" t="s">
        <v>70</v>
      </c>
      <c r="C2178" t="s">
        <v>48</v>
      </c>
      <c r="D2178">
        <v>0</v>
      </c>
      <c r="E2178" t="s">
        <v>41</v>
      </c>
      <c r="F2178" t="s">
        <v>10</v>
      </c>
    </row>
    <row r="2179" spans="1:6" hidden="1" x14ac:dyDescent="0.35">
      <c r="A2179" t="s">
        <v>61</v>
      </c>
      <c r="B2179" t="s">
        <v>70</v>
      </c>
      <c r="C2179" t="s">
        <v>48</v>
      </c>
      <c r="D2179">
        <v>0</v>
      </c>
      <c r="E2179" t="s">
        <v>41</v>
      </c>
      <c r="F2179" t="s">
        <v>10</v>
      </c>
    </row>
    <row r="2180" spans="1:6" hidden="1" x14ac:dyDescent="0.35">
      <c r="A2180" t="s">
        <v>62</v>
      </c>
      <c r="B2180" t="s">
        <v>70</v>
      </c>
      <c r="C2180" t="s">
        <v>48</v>
      </c>
      <c r="D2180">
        <v>0</v>
      </c>
      <c r="E2180" t="s">
        <v>41</v>
      </c>
      <c r="F2180" t="s">
        <v>10</v>
      </c>
    </row>
    <row r="2181" spans="1:6" hidden="1" x14ac:dyDescent="0.35">
      <c r="A2181" t="s">
        <v>63</v>
      </c>
      <c r="B2181" t="s">
        <v>70</v>
      </c>
      <c r="C2181" t="s">
        <v>48</v>
      </c>
      <c r="D2181">
        <v>0</v>
      </c>
      <c r="E2181" t="s">
        <v>41</v>
      </c>
      <c r="F2181" t="s">
        <v>10</v>
      </c>
    </row>
    <row r="2182" spans="1:6" hidden="1" x14ac:dyDescent="0.35">
      <c r="A2182" t="s">
        <v>64</v>
      </c>
      <c r="B2182" t="s">
        <v>70</v>
      </c>
      <c r="C2182" t="s">
        <v>48</v>
      </c>
      <c r="D2182">
        <v>0</v>
      </c>
      <c r="E2182" t="s">
        <v>41</v>
      </c>
      <c r="F2182" t="s">
        <v>10</v>
      </c>
    </row>
    <row r="2183" spans="1:6" hidden="1" x14ac:dyDescent="0.35">
      <c r="A2183" t="s">
        <v>65</v>
      </c>
      <c r="B2183" t="s">
        <v>70</v>
      </c>
      <c r="C2183" t="s">
        <v>48</v>
      </c>
      <c r="D2183">
        <v>0</v>
      </c>
      <c r="E2183" t="s">
        <v>41</v>
      </c>
      <c r="F2183" t="s">
        <v>10</v>
      </c>
    </row>
    <row r="2184" spans="1:6" hidden="1" x14ac:dyDescent="0.35">
      <c r="A2184" t="s">
        <v>66</v>
      </c>
      <c r="B2184" t="s">
        <v>70</v>
      </c>
      <c r="C2184" t="s">
        <v>48</v>
      </c>
      <c r="D2184">
        <v>0</v>
      </c>
      <c r="E2184" t="s">
        <v>41</v>
      </c>
      <c r="F2184" t="s">
        <v>10</v>
      </c>
    </row>
    <row r="2185" spans="1:6" hidden="1" x14ac:dyDescent="0.35">
      <c r="A2185" t="s">
        <v>67</v>
      </c>
      <c r="B2185" t="s">
        <v>70</v>
      </c>
      <c r="C2185" t="s">
        <v>48</v>
      </c>
      <c r="D2185">
        <v>0</v>
      </c>
      <c r="E2185" t="s">
        <v>41</v>
      </c>
      <c r="F2185" t="s">
        <v>10</v>
      </c>
    </row>
    <row r="2186" spans="1:6" hidden="1" x14ac:dyDescent="0.35">
      <c r="A2186" t="s">
        <v>57</v>
      </c>
      <c r="B2186" t="s">
        <v>70</v>
      </c>
      <c r="C2186" t="s">
        <v>49</v>
      </c>
      <c r="E2186" t="s">
        <v>41</v>
      </c>
      <c r="F2186" t="s">
        <v>10</v>
      </c>
    </row>
    <row r="2187" spans="1:6" hidden="1" x14ac:dyDescent="0.35">
      <c r="A2187" t="s">
        <v>11</v>
      </c>
      <c r="B2187" t="s">
        <v>70</v>
      </c>
      <c r="C2187" t="s">
        <v>49</v>
      </c>
      <c r="E2187" t="s">
        <v>41</v>
      </c>
      <c r="F2187" t="s">
        <v>10</v>
      </c>
    </row>
    <row r="2188" spans="1:6" hidden="1" x14ac:dyDescent="0.35">
      <c r="A2188" t="s">
        <v>58</v>
      </c>
      <c r="B2188" t="s">
        <v>70</v>
      </c>
      <c r="C2188" t="s">
        <v>49</v>
      </c>
      <c r="E2188" t="s">
        <v>41</v>
      </c>
      <c r="F2188" t="s">
        <v>10</v>
      </c>
    </row>
    <row r="2189" spans="1:6" hidden="1" x14ac:dyDescent="0.35">
      <c r="A2189" t="s">
        <v>59</v>
      </c>
      <c r="B2189" t="s">
        <v>70</v>
      </c>
      <c r="C2189" t="s">
        <v>49</v>
      </c>
      <c r="E2189" t="s">
        <v>41</v>
      </c>
      <c r="F2189" t="s">
        <v>10</v>
      </c>
    </row>
    <row r="2190" spans="1:6" hidden="1" x14ac:dyDescent="0.35">
      <c r="A2190" t="s">
        <v>60</v>
      </c>
      <c r="B2190" t="s">
        <v>70</v>
      </c>
      <c r="C2190" t="s">
        <v>49</v>
      </c>
      <c r="E2190" t="s">
        <v>41</v>
      </c>
      <c r="F2190" t="s">
        <v>10</v>
      </c>
    </row>
    <row r="2191" spans="1:6" hidden="1" x14ac:dyDescent="0.35">
      <c r="A2191" t="s">
        <v>61</v>
      </c>
      <c r="B2191" t="s">
        <v>70</v>
      </c>
      <c r="C2191" t="s">
        <v>49</v>
      </c>
      <c r="E2191" t="s">
        <v>41</v>
      </c>
      <c r="F2191" t="s">
        <v>10</v>
      </c>
    </row>
    <row r="2192" spans="1:6" hidden="1" x14ac:dyDescent="0.35">
      <c r="A2192" t="s">
        <v>62</v>
      </c>
      <c r="B2192" t="s">
        <v>70</v>
      </c>
      <c r="C2192" t="s">
        <v>49</v>
      </c>
      <c r="E2192" t="s">
        <v>41</v>
      </c>
      <c r="F2192" t="s">
        <v>10</v>
      </c>
    </row>
    <row r="2193" spans="1:6" hidden="1" x14ac:dyDescent="0.35">
      <c r="A2193" t="s">
        <v>63</v>
      </c>
      <c r="B2193" t="s">
        <v>70</v>
      </c>
      <c r="C2193" t="s">
        <v>49</v>
      </c>
      <c r="E2193" t="s">
        <v>41</v>
      </c>
      <c r="F2193" t="s">
        <v>10</v>
      </c>
    </row>
    <row r="2194" spans="1:6" hidden="1" x14ac:dyDescent="0.35">
      <c r="A2194" t="s">
        <v>64</v>
      </c>
      <c r="B2194" t="s">
        <v>70</v>
      </c>
      <c r="C2194" t="s">
        <v>49</v>
      </c>
      <c r="E2194" t="s">
        <v>41</v>
      </c>
      <c r="F2194" t="s">
        <v>10</v>
      </c>
    </row>
    <row r="2195" spans="1:6" hidden="1" x14ac:dyDescent="0.35">
      <c r="A2195" t="s">
        <v>65</v>
      </c>
      <c r="B2195" t="s">
        <v>70</v>
      </c>
      <c r="C2195" t="s">
        <v>49</v>
      </c>
      <c r="E2195" t="s">
        <v>41</v>
      </c>
      <c r="F2195" t="s">
        <v>10</v>
      </c>
    </row>
    <row r="2196" spans="1:6" hidden="1" x14ac:dyDescent="0.35">
      <c r="A2196" t="s">
        <v>66</v>
      </c>
      <c r="B2196" t="s">
        <v>70</v>
      </c>
      <c r="C2196" t="s">
        <v>49</v>
      </c>
      <c r="E2196" t="s">
        <v>41</v>
      </c>
      <c r="F2196" t="s">
        <v>10</v>
      </c>
    </row>
    <row r="2197" spans="1:6" hidden="1" x14ac:dyDescent="0.35">
      <c r="A2197" t="s">
        <v>67</v>
      </c>
      <c r="B2197" t="s">
        <v>70</v>
      </c>
      <c r="C2197" t="s">
        <v>49</v>
      </c>
      <c r="E2197" t="s">
        <v>41</v>
      </c>
      <c r="F2197" t="s">
        <v>10</v>
      </c>
    </row>
    <row r="2198" spans="1:6" hidden="1" x14ac:dyDescent="0.35">
      <c r="A2198" t="s">
        <v>57</v>
      </c>
      <c r="B2198" t="s">
        <v>70</v>
      </c>
      <c r="C2198" t="s">
        <v>50</v>
      </c>
      <c r="E2198" t="s">
        <v>41</v>
      </c>
      <c r="F2198" t="s">
        <v>10</v>
      </c>
    </row>
    <row r="2199" spans="1:6" hidden="1" x14ac:dyDescent="0.35">
      <c r="A2199" t="s">
        <v>11</v>
      </c>
      <c r="B2199" t="s">
        <v>70</v>
      </c>
      <c r="C2199" t="s">
        <v>50</v>
      </c>
      <c r="E2199" t="s">
        <v>41</v>
      </c>
      <c r="F2199" t="s">
        <v>10</v>
      </c>
    </row>
    <row r="2200" spans="1:6" hidden="1" x14ac:dyDescent="0.35">
      <c r="A2200" t="s">
        <v>58</v>
      </c>
      <c r="B2200" t="s">
        <v>70</v>
      </c>
      <c r="C2200" t="s">
        <v>50</v>
      </c>
      <c r="E2200" t="s">
        <v>41</v>
      </c>
      <c r="F2200" t="s">
        <v>10</v>
      </c>
    </row>
    <row r="2201" spans="1:6" hidden="1" x14ac:dyDescent="0.35">
      <c r="A2201" t="s">
        <v>59</v>
      </c>
      <c r="B2201" t="s">
        <v>70</v>
      </c>
      <c r="C2201" t="s">
        <v>50</v>
      </c>
      <c r="E2201" t="s">
        <v>41</v>
      </c>
      <c r="F2201" t="s">
        <v>10</v>
      </c>
    </row>
    <row r="2202" spans="1:6" hidden="1" x14ac:dyDescent="0.35">
      <c r="A2202" t="s">
        <v>60</v>
      </c>
      <c r="B2202" t="s">
        <v>70</v>
      </c>
      <c r="C2202" t="s">
        <v>50</v>
      </c>
      <c r="E2202" t="s">
        <v>41</v>
      </c>
      <c r="F2202" t="s">
        <v>10</v>
      </c>
    </row>
    <row r="2203" spans="1:6" hidden="1" x14ac:dyDescent="0.35">
      <c r="A2203" t="s">
        <v>61</v>
      </c>
      <c r="B2203" t="s">
        <v>70</v>
      </c>
      <c r="C2203" t="s">
        <v>50</v>
      </c>
      <c r="E2203" t="s">
        <v>41</v>
      </c>
      <c r="F2203" t="s">
        <v>10</v>
      </c>
    </row>
    <row r="2204" spans="1:6" hidden="1" x14ac:dyDescent="0.35">
      <c r="A2204" t="s">
        <v>62</v>
      </c>
      <c r="B2204" t="s">
        <v>70</v>
      </c>
      <c r="C2204" t="s">
        <v>50</v>
      </c>
      <c r="E2204" t="s">
        <v>41</v>
      </c>
      <c r="F2204" t="s">
        <v>10</v>
      </c>
    </row>
    <row r="2205" spans="1:6" hidden="1" x14ac:dyDescent="0.35">
      <c r="A2205" t="s">
        <v>63</v>
      </c>
      <c r="B2205" t="s">
        <v>70</v>
      </c>
      <c r="C2205" t="s">
        <v>50</v>
      </c>
      <c r="E2205" t="s">
        <v>41</v>
      </c>
      <c r="F2205" t="s">
        <v>10</v>
      </c>
    </row>
    <row r="2206" spans="1:6" hidden="1" x14ac:dyDescent="0.35">
      <c r="A2206" t="s">
        <v>64</v>
      </c>
      <c r="B2206" t="s">
        <v>70</v>
      </c>
      <c r="C2206" t="s">
        <v>50</v>
      </c>
      <c r="E2206" t="s">
        <v>41</v>
      </c>
      <c r="F2206" t="s">
        <v>10</v>
      </c>
    </row>
    <row r="2207" spans="1:6" hidden="1" x14ac:dyDescent="0.35">
      <c r="A2207" t="s">
        <v>65</v>
      </c>
      <c r="B2207" t="s">
        <v>70</v>
      </c>
      <c r="C2207" t="s">
        <v>50</v>
      </c>
      <c r="E2207" t="s">
        <v>41</v>
      </c>
      <c r="F2207" t="s">
        <v>10</v>
      </c>
    </row>
    <row r="2208" spans="1:6" hidden="1" x14ac:dyDescent="0.35">
      <c r="A2208" t="s">
        <v>66</v>
      </c>
      <c r="B2208" t="s">
        <v>70</v>
      </c>
      <c r="C2208" t="s">
        <v>50</v>
      </c>
      <c r="E2208" t="s">
        <v>41</v>
      </c>
      <c r="F2208" t="s">
        <v>10</v>
      </c>
    </row>
    <row r="2209" spans="1:6" hidden="1" x14ac:dyDescent="0.35">
      <c r="A2209" t="s">
        <v>67</v>
      </c>
      <c r="B2209" t="s">
        <v>70</v>
      </c>
      <c r="C2209" t="s">
        <v>50</v>
      </c>
      <c r="E2209" t="s">
        <v>41</v>
      </c>
      <c r="F2209" t="s">
        <v>10</v>
      </c>
    </row>
    <row r="2210" spans="1:6" x14ac:dyDescent="0.35">
      <c r="A2210" t="s">
        <v>57</v>
      </c>
      <c r="B2210" t="s">
        <v>70</v>
      </c>
      <c r="C2210" t="s">
        <v>51</v>
      </c>
      <c r="E2210" t="s">
        <v>41</v>
      </c>
      <c r="F2210" t="s">
        <v>10</v>
      </c>
    </row>
    <row r="2211" spans="1:6" x14ac:dyDescent="0.35">
      <c r="A2211" t="s">
        <v>11</v>
      </c>
      <c r="B2211" t="s">
        <v>70</v>
      </c>
      <c r="C2211" t="s">
        <v>51</v>
      </c>
      <c r="E2211" t="s">
        <v>41</v>
      </c>
      <c r="F2211" t="s">
        <v>10</v>
      </c>
    </row>
    <row r="2212" spans="1:6" x14ac:dyDescent="0.35">
      <c r="A2212" t="s">
        <v>58</v>
      </c>
      <c r="B2212" t="s">
        <v>70</v>
      </c>
      <c r="C2212" t="s">
        <v>51</v>
      </c>
      <c r="E2212" t="s">
        <v>41</v>
      </c>
      <c r="F2212" t="s">
        <v>10</v>
      </c>
    </row>
    <row r="2213" spans="1:6" x14ac:dyDescent="0.35">
      <c r="A2213" t="s">
        <v>59</v>
      </c>
      <c r="B2213" t="s">
        <v>70</v>
      </c>
      <c r="C2213" t="s">
        <v>51</v>
      </c>
      <c r="E2213" t="s">
        <v>41</v>
      </c>
      <c r="F2213" t="s">
        <v>10</v>
      </c>
    </row>
    <row r="2214" spans="1:6" x14ac:dyDescent="0.35">
      <c r="A2214" t="s">
        <v>60</v>
      </c>
      <c r="B2214" t="s">
        <v>70</v>
      </c>
      <c r="C2214" t="s">
        <v>51</v>
      </c>
      <c r="E2214" t="s">
        <v>41</v>
      </c>
      <c r="F2214" t="s">
        <v>10</v>
      </c>
    </row>
    <row r="2215" spans="1:6" x14ac:dyDescent="0.35">
      <c r="A2215" t="s">
        <v>61</v>
      </c>
      <c r="B2215" t="s">
        <v>70</v>
      </c>
      <c r="C2215" t="s">
        <v>51</v>
      </c>
      <c r="E2215" t="s">
        <v>41</v>
      </c>
      <c r="F2215" t="s">
        <v>10</v>
      </c>
    </row>
    <row r="2216" spans="1:6" x14ac:dyDescent="0.35">
      <c r="A2216" t="s">
        <v>62</v>
      </c>
      <c r="B2216" t="s">
        <v>70</v>
      </c>
      <c r="C2216" t="s">
        <v>51</v>
      </c>
      <c r="E2216" t="s">
        <v>41</v>
      </c>
      <c r="F2216" t="s">
        <v>10</v>
      </c>
    </row>
    <row r="2217" spans="1:6" x14ac:dyDescent="0.35">
      <c r="A2217" t="s">
        <v>63</v>
      </c>
      <c r="B2217" t="s">
        <v>70</v>
      </c>
      <c r="C2217" t="s">
        <v>51</v>
      </c>
      <c r="E2217" t="s">
        <v>41</v>
      </c>
      <c r="F2217" t="s">
        <v>10</v>
      </c>
    </row>
    <row r="2218" spans="1:6" x14ac:dyDescent="0.35">
      <c r="A2218" t="s">
        <v>64</v>
      </c>
      <c r="B2218" t="s">
        <v>70</v>
      </c>
      <c r="C2218" t="s">
        <v>51</v>
      </c>
      <c r="E2218" t="s">
        <v>41</v>
      </c>
      <c r="F2218" t="s">
        <v>10</v>
      </c>
    </row>
    <row r="2219" spans="1:6" x14ac:dyDescent="0.35">
      <c r="A2219" t="s">
        <v>65</v>
      </c>
      <c r="B2219" t="s">
        <v>70</v>
      </c>
      <c r="C2219" t="s">
        <v>51</v>
      </c>
      <c r="E2219" t="s">
        <v>41</v>
      </c>
      <c r="F2219" t="s">
        <v>10</v>
      </c>
    </row>
    <row r="2220" spans="1:6" x14ac:dyDescent="0.35">
      <c r="A2220" t="s">
        <v>66</v>
      </c>
      <c r="B2220" t="s">
        <v>70</v>
      </c>
      <c r="C2220" t="s">
        <v>51</v>
      </c>
      <c r="E2220" t="s">
        <v>41</v>
      </c>
      <c r="F2220" t="s">
        <v>10</v>
      </c>
    </row>
    <row r="2221" spans="1:6" x14ac:dyDescent="0.35">
      <c r="A2221" t="s">
        <v>67</v>
      </c>
      <c r="B2221" t="s">
        <v>70</v>
      </c>
      <c r="C2221" t="s">
        <v>51</v>
      </c>
      <c r="E2221" t="s">
        <v>41</v>
      </c>
      <c r="F2221" t="s">
        <v>10</v>
      </c>
    </row>
    <row r="2222" spans="1:6" hidden="1" x14ac:dyDescent="0.35">
      <c r="A2222" t="s">
        <v>57</v>
      </c>
      <c r="B2222" t="s">
        <v>70</v>
      </c>
      <c r="C2222" t="s">
        <v>30</v>
      </c>
      <c r="E2222" t="s">
        <v>41</v>
      </c>
      <c r="F2222" t="s">
        <v>10</v>
      </c>
    </row>
    <row r="2223" spans="1:6" hidden="1" x14ac:dyDescent="0.35">
      <c r="A2223" t="s">
        <v>11</v>
      </c>
      <c r="B2223" t="s">
        <v>70</v>
      </c>
      <c r="C2223" t="s">
        <v>30</v>
      </c>
      <c r="E2223" t="s">
        <v>41</v>
      </c>
      <c r="F2223" t="s">
        <v>10</v>
      </c>
    </row>
    <row r="2224" spans="1:6" hidden="1" x14ac:dyDescent="0.35">
      <c r="A2224" t="s">
        <v>58</v>
      </c>
      <c r="B2224" t="s">
        <v>70</v>
      </c>
      <c r="C2224" t="s">
        <v>30</v>
      </c>
      <c r="E2224" t="s">
        <v>41</v>
      </c>
      <c r="F2224" t="s">
        <v>10</v>
      </c>
    </row>
    <row r="2225" spans="1:6" hidden="1" x14ac:dyDescent="0.35">
      <c r="A2225" t="s">
        <v>59</v>
      </c>
      <c r="B2225" t="s">
        <v>70</v>
      </c>
      <c r="C2225" t="s">
        <v>30</v>
      </c>
      <c r="E2225" t="s">
        <v>41</v>
      </c>
      <c r="F2225" t="s">
        <v>10</v>
      </c>
    </row>
    <row r="2226" spans="1:6" hidden="1" x14ac:dyDescent="0.35">
      <c r="A2226" t="s">
        <v>60</v>
      </c>
      <c r="B2226" t="s">
        <v>70</v>
      </c>
      <c r="C2226" t="s">
        <v>30</v>
      </c>
      <c r="E2226" t="s">
        <v>41</v>
      </c>
      <c r="F2226" t="s">
        <v>10</v>
      </c>
    </row>
    <row r="2227" spans="1:6" hidden="1" x14ac:dyDescent="0.35">
      <c r="A2227" t="s">
        <v>61</v>
      </c>
      <c r="B2227" t="s">
        <v>70</v>
      </c>
      <c r="C2227" t="s">
        <v>30</v>
      </c>
      <c r="E2227" t="s">
        <v>41</v>
      </c>
      <c r="F2227" t="s">
        <v>10</v>
      </c>
    </row>
    <row r="2228" spans="1:6" hidden="1" x14ac:dyDescent="0.35">
      <c r="A2228" t="s">
        <v>62</v>
      </c>
      <c r="B2228" t="s">
        <v>70</v>
      </c>
      <c r="C2228" t="s">
        <v>30</v>
      </c>
      <c r="E2228" t="s">
        <v>41</v>
      </c>
      <c r="F2228" t="s">
        <v>10</v>
      </c>
    </row>
    <row r="2229" spans="1:6" hidden="1" x14ac:dyDescent="0.35">
      <c r="A2229" t="s">
        <v>63</v>
      </c>
      <c r="B2229" t="s">
        <v>70</v>
      </c>
      <c r="C2229" t="s">
        <v>30</v>
      </c>
      <c r="E2229" t="s">
        <v>41</v>
      </c>
      <c r="F2229" t="s">
        <v>10</v>
      </c>
    </row>
    <row r="2230" spans="1:6" hidden="1" x14ac:dyDescent="0.35">
      <c r="A2230" t="s">
        <v>64</v>
      </c>
      <c r="B2230" t="s">
        <v>70</v>
      </c>
      <c r="C2230" t="s">
        <v>30</v>
      </c>
      <c r="E2230" t="s">
        <v>41</v>
      </c>
      <c r="F2230" t="s">
        <v>10</v>
      </c>
    </row>
    <row r="2231" spans="1:6" hidden="1" x14ac:dyDescent="0.35">
      <c r="A2231" t="s">
        <v>65</v>
      </c>
      <c r="B2231" t="s">
        <v>70</v>
      </c>
      <c r="C2231" t="s">
        <v>30</v>
      </c>
      <c r="E2231" t="s">
        <v>41</v>
      </c>
      <c r="F2231" t="s">
        <v>10</v>
      </c>
    </row>
    <row r="2232" spans="1:6" hidden="1" x14ac:dyDescent="0.35">
      <c r="A2232" t="s">
        <v>66</v>
      </c>
      <c r="B2232" t="s">
        <v>70</v>
      </c>
      <c r="C2232" t="s">
        <v>30</v>
      </c>
      <c r="E2232" t="s">
        <v>41</v>
      </c>
      <c r="F2232" t="s">
        <v>10</v>
      </c>
    </row>
    <row r="2233" spans="1:6" hidden="1" x14ac:dyDescent="0.35">
      <c r="A2233" t="s">
        <v>67</v>
      </c>
      <c r="B2233" t="s">
        <v>70</v>
      </c>
      <c r="C2233" t="s">
        <v>30</v>
      </c>
      <c r="E2233" t="s">
        <v>41</v>
      </c>
      <c r="F2233" t="s">
        <v>10</v>
      </c>
    </row>
    <row r="2234" spans="1:6" x14ac:dyDescent="0.35">
      <c r="A2234" t="s">
        <v>57</v>
      </c>
      <c r="B2234" t="s">
        <v>70</v>
      </c>
      <c r="C2234" t="s">
        <v>52</v>
      </c>
      <c r="E2234" t="s">
        <v>41</v>
      </c>
      <c r="F2234" t="s">
        <v>10</v>
      </c>
    </row>
    <row r="2235" spans="1:6" x14ac:dyDescent="0.35">
      <c r="A2235" t="s">
        <v>11</v>
      </c>
      <c r="B2235" t="s">
        <v>70</v>
      </c>
      <c r="C2235" t="s">
        <v>52</v>
      </c>
      <c r="E2235" t="s">
        <v>41</v>
      </c>
      <c r="F2235" t="s">
        <v>10</v>
      </c>
    </row>
    <row r="2236" spans="1:6" x14ac:dyDescent="0.35">
      <c r="A2236" t="s">
        <v>58</v>
      </c>
      <c r="B2236" t="s">
        <v>70</v>
      </c>
      <c r="C2236" t="s">
        <v>52</v>
      </c>
      <c r="E2236" t="s">
        <v>41</v>
      </c>
      <c r="F2236" t="s">
        <v>10</v>
      </c>
    </row>
    <row r="2237" spans="1:6" x14ac:dyDescent="0.35">
      <c r="A2237" t="s">
        <v>59</v>
      </c>
      <c r="B2237" t="s">
        <v>70</v>
      </c>
      <c r="C2237" t="s">
        <v>52</v>
      </c>
      <c r="E2237" t="s">
        <v>41</v>
      </c>
      <c r="F2237" t="s">
        <v>10</v>
      </c>
    </row>
    <row r="2238" spans="1:6" x14ac:dyDescent="0.35">
      <c r="A2238" t="s">
        <v>60</v>
      </c>
      <c r="B2238" t="s">
        <v>70</v>
      </c>
      <c r="C2238" t="s">
        <v>52</v>
      </c>
      <c r="E2238" t="s">
        <v>41</v>
      </c>
      <c r="F2238" t="s">
        <v>10</v>
      </c>
    </row>
    <row r="2239" spans="1:6" x14ac:dyDescent="0.35">
      <c r="A2239" t="s">
        <v>61</v>
      </c>
      <c r="B2239" t="s">
        <v>70</v>
      </c>
      <c r="C2239" t="s">
        <v>52</v>
      </c>
      <c r="E2239" t="s">
        <v>41</v>
      </c>
      <c r="F2239" t="s">
        <v>10</v>
      </c>
    </row>
    <row r="2240" spans="1:6" x14ac:dyDescent="0.35">
      <c r="A2240" t="s">
        <v>62</v>
      </c>
      <c r="B2240" t="s">
        <v>70</v>
      </c>
      <c r="C2240" t="s">
        <v>52</v>
      </c>
      <c r="E2240" t="s">
        <v>41</v>
      </c>
      <c r="F2240" t="s">
        <v>10</v>
      </c>
    </row>
    <row r="2241" spans="1:6" x14ac:dyDescent="0.35">
      <c r="A2241" t="s">
        <v>63</v>
      </c>
      <c r="B2241" t="s">
        <v>70</v>
      </c>
      <c r="C2241" t="s">
        <v>52</v>
      </c>
      <c r="E2241" t="s">
        <v>41</v>
      </c>
      <c r="F2241" t="s">
        <v>10</v>
      </c>
    </row>
    <row r="2242" spans="1:6" x14ac:dyDescent="0.35">
      <c r="A2242" t="s">
        <v>64</v>
      </c>
      <c r="B2242" t="s">
        <v>70</v>
      </c>
      <c r="C2242" t="s">
        <v>52</v>
      </c>
      <c r="E2242" t="s">
        <v>41</v>
      </c>
      <c r="F2242" t="s">
        <v>10</v>
      </c>
    </row>
    <row r="2243" spans="1:6" x14ac:dyDescent="0.35">
      <c r="A2243" t="s">
        <v>65</v>
      </c>
      <c r="B2243" t="s">
        <v>70</v>
      </c>
      <c r="C2243" t="s">
        <v>52</v>
      </c>
      <c r="E2243" t="s">
        <v>41</v>
      </c>
      <c r="F2243" t="s">
        <v>10</v>
      </c>
    </row>
    <row r="2244" spans="1:6" x14ac:dyDescent="0.35">
      <c r="A2244" t="s">
        <v>66</v>
      </c>
      <c r="B2244" t="s">
        <v>70</v>
      </c>
      <c r="C2244" t="s">
        <v>52</v>
      </c>
      <c r="E2244" t="s">
        <v>41</v>
      </c>
      <c r="F2244" t="s">
        <v>10</v>
      </c>
    </row>
    <row r="2245" spans="1:6" x14ac:dyDescent="0.35">
      <c r="A2245" t="s">
        <v>67</v>
      </c>
      <c r="B2245" t="s">
        <v>70</v>
      </c>
      <c r="C2245" t="s">
        <v>52</v>
      </c>
      <c r="E2245" t="s">
        <v>41</v>
      </c>
      <c r="F2245" t="s">
        <v>10</v>
      </c>
    </row>
    <row r="2246" spans="1:6" hidden="1" x14ac:dyDescent="0.35">
      <c r="A2246" t="s">
        <v>57</v>
      </c>
      <c r="B2246" t="s">
        <v>39</v>
      </c>
      <c r="C2246" t="s">
        <v>44</v>
      </c>
      <c r="E2246" t="s">
        <v>41</v>
      </c>
      <c r="F2246" t="s">
        <v>10</v>
      </c>
    </row>
    <row r="2247" spans="1:6" hidden="1" x14ac:dyDescent="0.35">
      <c r="A2247" t="s">
        <v>11</v>
      </c>
      <c r="B2247" t="s">
        <v>39</v>
      </c>
      <c r="C2247" t="s">
        <v>44</v>
      </c>
      <c r="E2247" t="s">
        <v>41</v>
      </c>
      <c r="F2247" t="s">
        <v>10</v>
      </c>
    </row>
    <row r="2248" spans="1:6" hidden="1" x14ac:dyDescent="0.35">
      <c r="A2248" t="s">
        <v>58</v>
      </c>
      <c r="B2248" t="s">
        <v>39</v>
      </c>
      <c r="C2248" t="s">
        <v>44</v>
      </c>
      <c r="E2248" t="s">
        <v>41</v>
      </c>
      <c r="F2248" t="s">
        <v>10</v>
      </c>
    </row>
    <row r="2249" spans="1:6" hidden="1" x14ac:dyDescent="0.35">
      <c r="A2249" t="s">
        <v>59</v>
      </c>
      <c r="B2249" t="s">
        <v>39</v>
      </c>
      <c r="C2249" t="s">
        <v>44</v>
      </c>
      <c r="E2249" t="s">
        <v>41</v>
      </c>
      <c r="F2249" t="s">
        <v>10</v>
      </c>
    </row>
    <row r="2250" spans="1:6" hidden="1" x14ac:dyDescent="0.35">
      <c r="A2250" t="s">
        <v>60</v>
      </c>
      <c r="B2250" t="s">
        <v>39</v>
      </c>
      <c r="C2250" t="s">
        <v>44</v>
      </c>
      <c r="E2250" t="s">
        <v>41</v>
      </c>
      <c r="F2250" t="s">
        <v>10</v>
      </c>
    </row>
    <row r="2251" spans="1:6" hidden="1" x14ac:dyDescent="0.35">
      <c r="A2251" t="s">
        <v>61</v>
      </c>
      <c r="B2251" t="s">
        <v>39</v>
      </c>
      <c r="C2251" t="s">
        <v>44</v>
      </c>
      <c r="E2251" t="s">
        <v>41</v>
      </c>
      <c r="F2251" t="s">
        <v>10</v>
      </c>
    </row>
    <row r="2252" spans="1:6" hidden="1" x14ac:dyDescent="0.35">
      <c r="A2252" t="s">
        <v>62</v>
      </c>
      <c r="B2252" t="s">
        <v>39</v>
      </c>
      <c r="C2252" t="s">
        <v>44</v>
      </c>
      <c r="E2252" t="s">
        <v>41</v>
      </c>
      <c r="F2252" t="s">
        <v>10</v>
      </c>
    </row>
    <row r="2253" spans="1:6" hidden="1" x14ac:dyDescent="0.35">
      <c r="A2253" t="s">
        <v>63</v>
      </c>
      <c r="B2253" t="s">
        <v>39</v>
      </c>
      <c r="C2253" t="s">
        <v>44</v>
      </c>
      <c r="E2253" t="s">
        <v>41</v>
      </c>
      <c r="F2253" t="s">
        <v>10</v>
      </c>
    </row>
    <row r="2254" spans="1:6" hidden="1" x14ac:dyDescent="0.35">
      <c r="A2254" t="s">
        <v>64</v>
      </c>
      <c r="B2254" t="s">
        <v>39</v>
      </c>
      <c r="C2254" t="s">
        <v>44</v>
      </c>
      <c r="E2254" t="s">
        <v>41</v>
      </c>
      <c r="F2254" t="s">
        <v>10</v>
      </c>
    </row>
    <row r="2255" spans="1:6" hidden="1" x14ac:dyDescent="0.35">
      <c r="A2255" t="s">
        <v>65</v>
      </c>
      <c r="B2255" t="s">
        <v>39</v>
      </c>
      <c r="C2255" t="s">
        <v>44</v>
      </c>
      <c r="E2255" t="s">
        <v>41</v>
      </c>
      <c r="F2255" t="s">
        <v>10</v>
      </c>
    </row>
    <row r="2256" spans="1:6" hidden="1" x14ac:dyDescent="0.35">
      <c r="A2256" t="s">
        <v>66</v>
      </c>
      <c r="B2256" t="s">
        <v>39</v>
      </c>
      <c r="C2256" t="s">
        <v>44</v>
      </c>
      <c r="E2256" t="s">
        <v>41</v>
      </c>
      <c r="F2256" t="s">
        <v>10</v>
      </c>
    </row>
    <row r="2257" spans="1:6" hidden="1" x14ac:dyDescent="0.35">
      <c r="A2257" t="s">
        <v>67</v>
      </c>
      <c r="B2257" t="s">
        <v>39</v>
      </c>
      <c r="C2257" t="s">
        <v>44</v>
      </c>
      <c r="E2257" t="s">
        <v>41</v>
      </c>
      <c r="F2257" t="s">
        <v>10</v>
      </c>
    </row>
    <row r="2258" spans="1:6" hidden="1" x14ac:dyDescent="0.35">
      <c r="A2258" t="s">
        <v>57</v>
      </c>
      <c r="B2258" t="s">
        <v>39</v>
      </c>
      <c r="C2258" t="s">
        <v>22</v>
      </c>
      <c r="D2258">
        <v>0</v>
      </c>
      <c r="E2258" t="s">
        <v>41</v>
      </c>
      <c r="F2258" t="s">
        <v>10</v>
      </c>
    </row>
    <row r="2259" spans="1:6" hidden="1" x14ac:dyDescent="0.35">
      <c r="A2259" t="s">
        <v>11</v>
      </c>
      <c r="B2259" t="s">
        <v>39</v>
      </c>
      <c r="C2259" t="s">
        <v>22</v>
      </c>
      <c r="D2259">
        <v>0</v>
      </c>
      <c r="E2259" t="s">
        <v>41</v>
      </c>
      <c r="F2259" t="s">
        <v>10</v>
      </c>
    </row>
    <row r="2260" spans="1:6" hidden="1" x14ac:dyDescent="0.35">
      <c r="A2260" t="s">
        <v>58</v>
      </c>
      <c r="B2260" t="s">
        <v>39</v>
      </c>
      <c r="C2260" t="s">
        <v>22</v>
      </c>
      <c r="D2260">
        <v>0</v>
      </c>
      <c r="E2260" t="s">
        <v>41</v>
      </c>
      <c r="F2260" t="s">
        <v>10</v>
      </c>
    </row>
    <row r="2261" spans="1:6" hidden="1" x14ac:dyDescent="0.35">
      <c r="A2261" t="s">
        <v>59</v>
      </c>
      <c r="B2261" t="s">
        <v>39</v>
      </c>
      <c r="C2261" t="s">
        <v>22</v>
      </c>
      <c r="D2261">
        <v>0</v>
      </c>
      <c r="E2261" t="s">
        <v>41</v>
      </c>
      <c r="F2261" t="s">
        <v>10</v>
      </c>
    </row>
    <row r="2262" spans="1:6" hidden="1" x14ac:dyDescent="0.35">
      <c r="A2262" t="s">
        <v>60</v>
      </c>
      <c r="B2262" t="s">
        <v>39</v>
      </c>
      <c r="C2262" t="s">
        <v>22</v>
      </c>
      <c r="D2262">
        <v>0</v>
      </c>
      <c r="E2262" t="s">
        <v>41</v>
      </c>
      <c r="F2262" t="s">
        <v>10</v>
      </c>
    </row>
    <row r="2263" spans="1:6" hidden="1" x14ac:dyDescent="0.35">
      <c r="A2263" t="s">
        <v>61</v>
      </c>
      <c r="B2263" t="s">
        <v>39</v>
      </c>
      <c r="C2263" t="s">
        <v>22</v>
      </c>
      <c r="D2263">
        <v>0</v>
      </c>
      <c r="E2263" t="s">
        <v>41</v>
      </c>
      <c r="F2263" t="s">
        <v>10</v>
      </c>
    </row>
    <row r="2264" spans="1:6" hidden="1" x14ac:dyDescent="0.35">
      <c r="A2264" t="s">
        <v>62</v>
      </c>
      <c r="B2264" t="s">
        <v>39</v>
      </c>
      <c r="C2264" t="s">
        <v>22</v>
      </c>
      <c r="D2264">
        <v>0</v>
      </c>
      <c r="E2264" t="s">
        <v>41</v>
      </c>
      <c r="F2264" t="s">
        <v>10</v>
      </c>
    </row>
    <row r="2265" spans="1:6" hidden="1" x14ac:dyDescent="0.35">
      <c r="A2265" t="s">
        <v>63</v>
      </c>
      <c r="B2265" t="s">
        <v>39</v>
      </c>
      <c r="C2265" t="s">
        <v>22</v>
      </c>
      <c r="D2265">
        <v>0</v>
      </c>
      <c r="E2265" t="s">
        <v>41</v>
      </c>
      <c r="F2265" t="s">
        <v>10</v>
      </c>
    </row>
    <row r="2266" spans="1:6" hidden="1" x14ac:dyDescent="0.35">
      <c r="A2266" t="s">
        <v>64</v>
      </c>
      <c r="B2266" t="s">
        <v>39</v>
      </c>
      <c r="C2266" t="s">
        <v>22</v>
      </c>
      <c r="D2266">
        <v>0</v>
      </c>
      <c r="E2266" t="s">
        <v>41</v>
      </c>
      <c r="F2266" t="s">
        <v>10</v>
      </c>
    </row>
    <row r="2267" spans="1:6" hidden="1" x14ac:dyDescent="0.35">
      <c r="A2267" t="s">
        <v>65</v>
      </c>
      <c r="B2267" t="s">
        <v>39</v>
      </c>
      <c r="C2267" t="s">
        <v>22</v>
      </c>
      <c r="D2267">
        <v>0</v>
      </c>
      <c r="E2267" t="s">
        <v>41</v>
      </c>
      <c r="F2267" t="s">
        <v>10</v>
      </c>
    </row>
    <row r="2268" spans="1:6" hidden="1" x14ac:dyDescent="0.35">
      <c r="A2268" t="s">
        <v>66</v>
      </c>
      <c r="B2268" t="s">
        <v>39</v>
      </c>
      <c r="C2268" t="s">
        <v>22</v>
      </c>
      <c r="D2268">
        <v>0</v>
      </c>
      <c r="E2268" t="s">
        <v>41</v>
      </c>
      <c r="F2268" t="s">
        <v>10</v>
      </c>
    </row>
    <row r="2269" spans="1:6" hidden="1" x14ac:dyDescent="0.35">
      <c r="A2269" t="s">
        <v>67</v>
      </c>
      <c r="B2269" t="s">
        <v>39</v>
      </c>
      <c r="C2269" t="s">
        <v>22</v>
      </c>
      <c r="D2269">
        <v>0</v>
      </c>
      <c r="E2269" t="s">
        <v>41</v>
      </c>
      <c r="F2269" t="s">
        <v>10</v>
      </c>
    </row>
    <row r="2270" spans="1:6" hidden="1" x14ac:dyDescent="0.35">
      <c r="A2270" t="s">
        <v>57</v>
      </c>
      <c r="B2270" t="s">
        <v>39</v>
      </c>
      <c r="C2270" t="s">
        <v>46</v>
      </c>
      <c r="E2270" t="s">
        <v>41</v>
      </c>
      <c r="F2270" t="s">
        <v>10</v>
      </c>
    </row>
    <row r="2271" spans="1:6" hidden="1" x14ac:dyDescent="0.35">
      <c r="A2271" t="s">
        <v>11</v>
      </c>
      <c r="B2271" t="s">
        <v>39</v>
      </c>
      <c r="C2271" t="s">
        <v>46</v>
      </c>
      <c r="E2271" t="s">
        <v>41</v>
      </c>
      <c r="F2271" t="s">
        <v>10</v>
      </c>
    </row>
    <row r="2272" spans="1:6" hidden="1" x14ac:dyDescent="0.35">
      <c r="A2272" t="s">
        <v>58</v>
      </c>
      <c r="B2272" t="s">
        <v>39</v>
      </c>
      <c r="C2272" t="s">
        <v>46</v>
      </c>
      <c r="E2272" t="s">
        <v>41</v>
      </c>
      <c r="F2272" t="s">
        <v>10</v>
      </c>
    </row>
    <row r="2273" spans="1:6" hidden="1" x14ac:dyDescent="0.35">
      <c r="A2273" t="s">
        <v>59</v>
      </c>
      <c r="B2273" t="s">
        <v>39</v>
      </c>
      <c r="C2273" t="s">
        <v>46</v>
      </c>
      <c r="E2273" t="s">
        <v>41</v>
      </c>
      <c r="F2273" t="s">
        <v>10</v>
      </c>
    </row>
    <row r="2274" spans="1:6" hidden="1" x14ac:dyDescent="0.35">
      <c r="A2274" t="s">
        <v>60</v>
      </c>
      <c r="B2274" t="s">
        <v>39</v>
      </c>
      <c r="C2274" t="s">
        <v>46</v>
      </c>
      <c r="E2274" t="s">
        <v>41</v>
      </c>
      <c r="F2274" t="s">
        <v>10</v>
      </c>
    </row>
    <row r="2275" spans="1:6" hidden="1" x14ac:dyDescent="0.35">
      <c r="A2275" t="s">
        <v>61</v>
      </c>
      <c r="B2275" t="s">
        <v>39</v>
      </c>
      <c r="C2275" t="s">
        <v>46</v>
      </c>
      <c r="E2275" t="s">
        <v>41</v>
      </c>
      <c r="F2275" t="s">
        <v>10</v>
      </c>
    </row>
    <row r="2276" spans="1:6" hidden="1" x14ac:dyDescent="0.35">
      <c r="A2276" t="s">
        <v>62</v>
      </c>
      <c r="B2276" t="s">
        <v>39</v>
      </c>
      <c r="C2276" t="s">
        <v>46</v>
      </c>
      <c r="E2276" t="s">
        <v>41</v>
      </c>
      <c r="F2276" t="s">
        <v>10</v>
      </c>
    </row>
    <row r="2277" spans="1:6" hidden="1" x14ac:dyDescent="0.35">
      <c r="A2277" t="s">
        <v>63</v>
      </c>
      <c r="B2277" t="s">
        <v>39</v>
      </c>
      <c r="C2277" t="s">
        <v>46</v>
      </c>
      <c r="E2277" t="s">
        <v>41</v>
      </c>
      <c r="F2277" t="s">
        <v>10</v>
      </c>
    </row>
    <row r="2278" spans="1:6" hidden="1" x14ac:dyDescent="0.35">
      <c r="A2278" t="s">
        <v>64</v>
      </c>
      <c r="B2278" t="s">
        <v>39</v>
      </c>
      <c r="C2278" t="s">
        <v>46</v>
      </c>
      <c r="E2278" t="s">
        <v>41</v>
      </c>
      <c r="F2278" t="s">
        <v>10</v>
      </c>
    </row>
    <row r="2279" spans="1:6" hidden="1" x14ac:dyDescent="0.35">
      <c r="A2279" t="s">
        <v>65</v>
      </c>
      <c r="B2279" t="s">
        <v>39</v>
      </c>
      <c r="C2279" t="s">
        <v>46</v>
      </c>
      <c r="E2279" t="s">
        <v>41</v>
      </c>
      <c r="F2279" t="s">
        <v>10</v>
      </c>
    </row>
    <row r="2280" spans="1:6" hidden="1" x14ac:dyDescent="0.35">
      <c r="A2280" t="s">
        <v>66</v>
      </c>
      <c r="B2280" t="s">
        <v>39</v>
      </c>
      <c r="C2280" t="s">
        <v>46</v>
      </c>
      <c r="E2280" t="s">
        <v>41</v>
      </c>
      <c r="F2280" t="s">
        <v>10</v>
      </c>
    </row>
    <row r="2281" spans="1:6" hidden="1" x14ac:dyDescent="0.35">
      <c r="A2281" t="s">
        <v>67</v>
      </c>
      <c r="B2281" t="s">
        <v>39</v>
      </c>
      <c r="C2281" t="s">
        <v>46</v>
      </c>
      <c r="E2281" t="s">
        <v>41</v>
      </c>
      <c r="F2281" t="s">
        <v>10</v>
      </c>
    </row>
    <row r="2282" spans="1:6" hidden="1" x14ac:dyDescent="0.35">
      <c r="A2282" t="s">
        <v>57</v>
      </c>
      <c r="B2282" t="s">
        <v>39</v>
      </c>
      <c r="C2282" t="s">
        <v>24</v>
      </c>
      <c r="D2282">
        <v>0</v>
      </c>
      <c r="E2282" t="s">
        <v>41</v>
      </c>
      <c r="F2282" t="s">
        <v>10</v>
      </c>
    </row>
    <row r="2283" spans="1:6" hidden="1" x14ac:dyDescent="0.35">
      <c r="A2283" t="s">
        <v>11</v>
      </c>
      <c r="B2283" t="s">
        <v>39</v>
      </c>
      <c r="C2283" t="s">
        <v>24</v>
      </c>
      <c r="D2283">
        <v>0</v>
      </c>
      <c r="E2283" t="s">
        <v>41</v>
      </c>
      <c r="F2283" t="s">
        <v>10</v>
      </c>
    </row>
    <row r="2284" spans="1:6" hidden="1" x14ac:dyDescent="0.35">
      <c r="A2284" t="s">
        <v>58</v>
      </c>
      <c r="B2284" t="s">
        <v>39</v>
      </c>
      <c r="C2284" t="s">
        <v>24</v>
      </c>
      <c r="D2284">
        <v>0</v>
      </c>
      <c r="E2284" t="s">
        <v>41</v>
      </c>
      <c r="F2284" t="s">
        <v>10</v>
      </c>
    </row>
    <row r="2285" spans="1:6" hidden="1" x14ac:dyDescent="0.35">
      <c r="A2285" t="s">
        <v>59</v>
      </c>
      <c r="B2285" t="s">
        <v>39</v>
      </c>
      <c r="C2285" t="s">
        <v>24</v>
      </c>
      <c r="D2285">
        <v>0</v>
      </c>
      <c r="E2285" t="s">
        <v>41</v>
      </c>
      <c r="F2285" t="s">
        <v>10</v>
      </c>
    </row>
    <row r="2286" spans="1:6" hidden="1" x14ac:dyDescent="0.35">
      <c r="A2286" t="s">
        <v>60</v>
      </c>
      <c r="B2286" t="s">
        <v>39</v>
      </c>
      <c r="C2286" t="s">
        <v>24</v>
      </c>
      <c r="D2286">
        <v>0</v>
      </c>
      <c r="E2286" t="s">
        <v>41</v>
      </c>
      <c r="F2286" t="s">
        <v>10</v>
      </c>
    </row>
    <row r="2287" spans="1:6" hidden="1" x14ac:dyDescent="0.35">
      <c r="A2287" t="s">
        <v>61</v>
      </c>
      <c r="B2287" t="s">
        <v>39</v>
      </c>
      <c r="C2287" t="s">
        <v>24</v>
      </c>
      <c r="D2287">
        <v>0</v>
      </c>
      <c r="E2287" t="s">
        <v>41</v>
      </c>
      <c r="F2287" t="s">
        <v>10</v>
      </c>
    </row>
    <row r="2288" spans="1:6" hidden="1" x14ac:dyDescent="0.35">
      <c r="A2288" t="s">
        <v>62</v>
      </c>
      <c r="B2288" t="s">
        <v>39</v>
      </c>
      <c r="C2288" t="s">
        <v>24</v>
      </c>
      <c r="D2288">
        <v>0</v>
      </c>
      <c r="E2288" t="s">
        <v>41</v>
      </c>
      <c r="F2288" t="s">
        <v>10</v>
      </c>
    </row>
    <row r="2289" spans="1:6" hidden="1" x14ac:dyDescent="0.35">
      <c r="A2289" t="s">
        <v>63</v>
      </c>
      <c r="B2289" t="s">
        <v>39</v>
      </c>
      <c r="C2289" t="s">
        <v>24</v>
      </c>
      <c r="D2289">
        <v>0</v>
      </c>
      <c r="E2289" t="s">
        <v>41</v>
      </c>
      <c r="F2289" t="s">
        <v>10</v>
      </c>
    </row>
    <row r="2290" spans="1:6" hidden="1" x14ac:dyDescent="0.35">
      <c r="A2290" t="s">
        <v>64</v>
      </c>
      <c r="B2290" t="s">
        <v>39</v>
      </c>
      <c r="C2290" t="s">
        <v>24</v>
      </c>
      <c r="D2290">
        <v>0</v>
      </c>
      <c r="E2290" t="s">
        <v>41</v>
      </c>
      <c r="F2290" t="s">
        <v>10</v>
      </c>
    </row>
    <row r="2291" spans="1:6" hidden="1" x14ac:dyDescent="0.35">
      <c r="A2291" t="s">
        <v>65</v>
      </c>
      <c r="B2291" t="s">
        <v>39</v>
      </c>
      <c r="C2291" t="s">
        <v>24</v>
      </c>
      <c r="D2291">
        <v>0</v>
      </c>
      <c r="E2291" t="s">
        <v>41</v>
      </c>
      <c r="F2291" t="s">
        <v>10</v>
      </c>
    </row>
    <row r="2292" spans="1:6" hidden="1" x14ac:dyDescent="0.35">
      <c r="A2292" t="s">
        <v>66</v>
      </c>
      <c r="B2292" t="s">
        <v>39</v>
      </c>
      <c r="C2292" t="s">
        <v>24</v>
      </c>
      <c r="D2292">
        <v>0</v>
      </c>
      <c r="E2292" t="s">
        <v>41</v>
      </c>
      <c r="F2292" t="s">
        <v>10</v>
      </c>
    </row>
    <row r="2293" spans="1:6" hidden="1" x14ac:dyDescent="0.35">
      <c r="A2293" t="s">
        <v>67</v>
      </c>
      <c r="B2293" t="s">
        <v>39</v>
      </c>
      <c r="C2293" t="s">
        <v>24</v>
      </c>
      <c r="D2293">
        <v>0</v>
      </c>
      <c r="E2293" t="s">
        <v>41</v>
      </c>
      <c r="F2293" t="s">
        <v>10</v>
      </c>
    </row>
    <row r="2294" spans="1:6" hidden="1" x14ac:dyDescent="0.35">
      <c r="A2294" t="s">
        <v>57</v>
      </c>
      <c r="B2294" t="s">
        <v>39</v>
      </c>
      <c r="C2294" t="s">
        <v>47</v>
      </c>
      <c r="E2294" t="s">
        <v>41</v>
      </c>
      <c r="F2294" t="s">
        <v>10</v>
      </c>
    </row>
    <row r="2295" spans="1:6" hidden="1" x14ac:dyDescent="0.35">
      <c r="A2295" t="s">
        <v>11</v>
      </c>
      <c r="B2295" t="s">
        <v>39</v>
      </c>
      <c r="C2295" t="s">
        <v>47</v>
      </c>
      <c r="E2295" t="s">
        <v>41</v>
      </c>
      <c r="F2295" t="s">
        <v>10</v>
      </c>
    </row>
    <row r="2296" spans="1:6" hidden="1" x14ac:dyDescent="0.35">
      <c r="A2296" t="s">
        <v>58</v>
      </c>
      <c r="B2296" t="s">
        <v>39</v>
      </c>
      <c r="C2296" t="s">
        <v>47</v>
      </c>
      <c r="E2296" t="s">
        <v>41</v>
      </c>
      <c r="F2296" t="s">
        <v>10</v>
      </c>
    </row>
    <row r="2297" spans="1:6" hidden="1" x14ac:dyDescent="0.35">
      <c r="A2297" t="s">
        <v>59</v>
      </c>
      <c r="B2297" t="s">
        <v>39</v>
      </c>
      <c r="C2297" t="s">
        <v>47</v>
      </c>
      <c r="E2297" t="s">
        <v>41</v>
      </c>
      <c r="F2297" t="s">
        <v>10</v>
      </c>
    </row>
    <row r="2298" spans="1:6" hidden="1" x14ac:dyDescent="0.35">
      <c r="A2298" t="s">
        <v>60</v>
      </c>
      <c r="B2298" t="s">
        <v>39</v>
      </c>
      <c r="C2298" t="s">
        <v>47</v>
      </c>
      <c r="E2298" t="s">
        <v>41</v>
      </c>
      <c r="F2298" t="s">
        <v>10</v>
      </c>
    </row>
    <row r="2299" spans="1:6" hidden="1" x14ac:dyDescent="0.35">
      <c r="A2299" t="s">
        <v>61</v>
      </c>
      <c r="B2299" t="s">
        <v>39</v>
      </c>
      <c r="C2299" t="s">
        <v>47</v>
      </c>
      <c r="E2299" t="s">
        <v>41</v>
      </c>
      <c r="F2299" t="s">
        <v>10</v>
      </c>
    </row>
    <row r="2300" spans="1:6" hidden="1" x14ac:dyDescent="0.35">
      <c r="A2300" t="s">
        <v>62</v>
      </c>
      <c r="B2300" t="s">
        <v>39</v>
      </c>
      <c r="C2300" t="s">
        <v>47</v>
      </c>
      <c r="E2300" t="s">
        <v>41</v>
      </c>
      <c r="F2300" t="s">
        <v>10</v>
      </c>
    </row>
    <row r="2301" spans="1:6" hidden="1" x14ac:dyDescent="0.35">
      <c r="A2301" t="s">
        <v>63</v>
      </c>
      <c r="B2301" t="s">
        <v>39</v>
      </c>
      <c r="C2301" t="s">
        <v>47</v>
      </c>
      <c r="E2301" t="s">
        <v>41</v>
      </c>
      <c r="F2301" t="s">
        <v>10</v>
      </c>
    </row>
    <row r="2302" spans="1:6" hidden="1" x14ac:dyDescent="0.35">
      <c r="A2302" t="s">
        <v>64</v>
      </c>
      <c r="B2302" t="s">
        <v>39</v>
      </c>
      <c r="C2302" t="s">
        <v>47</v>
      </c>
      <c r="E2302" t="s">
        <v>41</v>
      </c>
      <c r="F2302" t="s">
        <v>10</v>
      </c>
    </row>
    <row r="2303" spans="1:6" hidden="1" x14ac:dyDescent="0.35">
      <c r="A2303" t="s">
        <v>65</v>
      </c>
      <c r="B2303" t="s">
        <v>39</v>
      </c>
      <c r="C2303" t="s">
        <v>47</v>
      </c>
      <c r="E2303" t="s">
        <v>41</v>
      </c>
      <c r="F2303" t="s">
        <v>10</v>
      </c>
    </row>
    <row r="2304" spans="1:6" hidden="1" x14ac:dyDescent="0.35">
      <c r="A2304" t="s">
        <v>66</v>
      </c>
      <c r="B2304" t="s">
        <v>39</v>
      </c>
      <c r="C2304" t="s">
        <v>47</v>
      </c>
      <c r="E2304" t="s">
        <v>41</v>
      </c>
      <c r="F2304" t="s">
        <v>10</v>
      </c>
    </row>
    <row r="2305" spans="1:6" hidden="1" x14ac:dyDescent="0.35">
      <c r="A2305" t="s">
        <v>67</v>
      </c>
      <c r="B2305" t="s">
        <v>39</v>
      </c>
      <c r="C2305" t="s">
        <v>47</v>
      </c>
      <c r="E2305" t="s">
        <v>41</v>
      </c>
      <c r="F2305" t="s">
        <v>10</v>
      </c>
    </row>
    <row r="2306" spans="1:6" hidden="1" x14ac:dyDescent="0.35">
      <c r="A2306" t="s">
        <v>57</v>
      </c>
      <c r="B2306" t="s">
        <v>39</v>
      </c>
      <c r="C2306" t="s">
        <v>48</v>
      </c>
      <c r="D2306">
        <v>0</v>
      </c>
      <c r="E2306" t="s">
        <v>41</v>
      </c>
      <c r="F2306" t="s">
        <v>10</v>
      </c>
    </row>
    <row r="2307" spans="1:6" hidden="1" x14ac:dyDescent="0.35">
      <c r="A2307" t="s">
        <v>11</v>
      </c>
      <c r="B2307" t="s">
        <v>39</v>
      </c>
      <c r="C2307" t="s">
        <v>48</v>
      </c>
      <c r="D2307">
        <v>0</v>
      </c>
      <c r="E2307" t="s">
        <v>41</v>
      </c>
      <c r="F2307" t="s">
        <v>10</v>
      </c>
    </row>
    <row r="2308" spans="1:6" hidden="1" x14ac:dyDescent="0.35">
      <c r="A2308" t="s">
        <v>58</v>
      </c>
      <c r="B2308" t="s">
        <v>39</v>
      </c>
      <c r="C2308" t="s">
        <v>48</v>
      </c>
      <c r="D2308">
        <v>0</v>
      </c>
      <c r="E2308" t="s">
        <v>41</v>
      </c>
      <c r="F2308" t="s">
        <v>10</v>
      </c>
    </row>
    <row r="2309" spans="1:6" hidden="1" x14ac:dyDescent="0.35">
      <c r="A2309" t="s">
        <v>59</v>
      </c>
      <c r="B2309" t="s">
        <v>39</v>
      </c>
      <c r="C2309" t="s">
        <v>48</v>
      </c>
      <c r="D2309">
        <v>0</v>
      </c>
      <c r="E2309" t="s">
        <v>41</v>
      </c>
      <c r="F2309" t="s">
        <v>10</v>
      </c>
    </row>
    <row r="2310" spans="1:6" hidden="1" x14ac:dyDescent="0.35">
      <c r="A2310" t="s">
        <v>60</v>
      </c>
      <c r="B2310" t="s">
        <v>39</v>
      </c>
      <c r="C2310" t="s">
        <v>48</v>
      </c>
      <c r="D2310">
        <v>0</v>
      </c>
      <c r="E2310" t="s">
        <v>41</v>
      </c>
      <c r="F2310" t="s">
        <v>10</v>
      </c>
    </row>
    <row r="2311" spans="1:6" hidden="1" x14ac:dyDescent="0.35">
      <c r="A2311" t="s">
        <v>61</v>
      </c>
      <c r="B2311" t="s">
        <v>39</v>
      </c>
      <c r="C2311" t="s">
        <v>48</v>
      </c>
      <c r="D2311">
        <v>0</v>
      </c>
      <c r="E2311" t="s">
        <v>41</v>
      </c>
      <c r="F2311" t="s">
        <v>10</v>
      </c>
    </row>
    <row r="2312" spans="1:6" hidden="1" x14ac:dyDescent="0.35">
      <c r="A2312" t="s">
        <v>62</v>
      </c>
      <c r="B2312" t="s">
        <v>39</v>
      </c>
      <c r="C2312" t="s">
        <v>48</v>
      </c>
      <c r="D2312">
        <v>0</v>
      </c>
      <c r="E2312" t="s">
        <v>41</v>
      </c>
      <c r="F2312" t="s">
        <v>10</v>
      </c>
    </row>
    <row r="2313" spans="1:6" hidden="1" x14ac:dyDescent="0.35">
      <c r="A2313" t="s">
        <v>63</v>
      </c>
      <c r="B2313" t="s">
        <v>39</v>
      </c>
      <c r="C2313" t="s">
        <v>48</v>
      </c>
      <c r="D2313">
        <v>0</v>
      </c>
      <c r="E2313" t="s">
        <v>41</v>
      </c>
      <c r="F2313" t="s">
        <v>10</v>
      </c>
    </row>
    <row r="2314" spans="1:6" hidden="1" x14ac:dyDescent="0.35">
      <c r="A2314" t="s">
        <v>64</v>
      </c>
      <c r="B2314" t="s">
        <v>39</v>
      </c>
      <c r="C2314" t="s">
        <v>48</v>
      </c>
      <c r="D2314">
        <v>0</v>
      </c>
      <c r="E2314" t="s">
        <v>41</v>
      </c>
      <c r="F2314" t="s">
        <v>10</v>
      </c>
    </row>
    <row r="2315" spans="1:6" hidden="1" x14ac:dyDescent="0.35">
      <c r="A2315" t="s">
        <v>65</v>
      </c>
      <c r="B2315" t="s">
        <v>39</v>
      </c>
      <c r="C2315" t="s">
        <v>48</v>
      </c>
      <c r="D2315">
        <v>0</v>
      </c>
      <c r="E2315" t="s">
        <v>41</v>
      </c>
      <c r="F2315" t="s">
        <v>10</v>
      </c>
    </row>
    <row r="2316" spans="1:6" hidden="1" x14ac:dyDescent="0.35">
      <c r="A2316" t="s">
        <v>66</v>
      </c>
      <c r="B2316" t="s">
        <v>39</v>
      </c>
      <c r="C2316" t="s">
        <v>48</v>
      </c>
      <c r="D2316">
        <v>0</v>
      </c>
      <c r="E2316" t="s">
        <v>41</v>
      </c>
      <c r="F2316" t="s">
        <v>10</v>
      </c>
    </row>
    <row r="2317" spans="1:6" hidden="1" x14ac:dyDescent="0.35">
      <c r="A2317" t="s">
        <v>67</v>
      </c>
      <c r="B2317" t="s">
        <v>39</v>
      </c>
      <c r="C2317" t="s">
        <v>48</v>
      </c>
      <c r="D2317">
        <v>0</v>
      </c>
      <c r="E2317" t="s">
        <v>41</v>
      </c>
      <c r="F2317" t="s">
        <v>10</v>
      </c>
    </row>
    <row r="2318" spans="1:6" hidden="1" x14ac:dyDescent="0.35">
      <c r="A2318" t="s">
        <v>57</v>
      </c>
      <c r="B2318" t="s">
        <v>39</v>
      </c>
      <c r="C2318" t="s">
        <v>49</v>
      </c>
      <c r="E2318" t="s">
        <v>41</v>
      </c>
      <c r="F2318" t="s">
        <v>10</v>
      </c>
    </row>
    <row r="2319" spans="1:6" hidden="1" x14ac:dyDescent="0.35">
      <c r="A2319" t="s">
        <v>11</v>
      </c>
      <c r="B2319" t="s">
        <v>39</v>
      </c>
      <c r="C2319" t="s">
        <v>49</v>
      </c>
      <c r="E2319" t="s">
        <v>41</v>
      </c>
      <c r="F2319" t="s">
        <v>10</v>
      </c>
    </row>
    <row r="2320" spans="1:6" hidden="1" x14ac:dyDescent="0.35">
      <c r="A2320" t="s">
        <v>58</v>
      </c>
      <c r="B2320" t="s">
        <v>39</v>
      </c>
      <c r="C2320" t="s">
        <v>49</v>
      </c>
      <c r="E2320" t="s">
        <v>41</v>
      </c>
      <c r="F2320" t="s">
        <v>10</v>
      </c>
    </row>
    <row r="2321" spans="1:6" hidden="1" x14ac:dyDescent="0.35">
      <c r="A2321" t="s">
        <v>59</v>
      </c>
      <c r="B2321" t="s">
        <v>39</v>
      </c>
      <c r="C2321" t="s">
        <v>49</v>
      </c>
      <c r="E2321" t="s">
        <v>41</v>
      </c>
      <c r="F2321" t="s">
        <v>10</v>
      </c>
    </row>
    <row r="2322" spans="1:6" hidden="1" x14ac:dyDescent="0.35">
      <c r="A2322" t="s">
        <v>60</v>
      </c>
      <c r="B2322" t="s">
        <v>39</v>
      </c>
      <c r="C2322" t="s">
        <v>49</v>
      </c>
      <c r="E2322" t="s">
        <v>41</v>
      </c>
      <c r="F2322" t="s">
        <v>10</v>
      </c>
    </row>
    <row r="2323" spans="1:6" hidden="1" x14ac:dyDescent="0.35">
      <c r="A2323" t="s">
        <v>61</v>
      </c>
      <c r="B2323" t="s">
        <v>39</v>
      </c>
      <c r="C2323" t="s">
        <v>49</v>
      </c>
      <c r="E2323" t="s">
        <v>41</v>
      </c>
      <c r="F2323" t="s">
        <v>10</v>
      </c>
    </row>
    <row r="2324" spans="1:6" hidden="1" x14ac:dyDescent="0.35">
      <c r="A2324" t="s">
        <v>62</v>
      </c>
      <c r="B2324" t="s">
        <v>39</v>
      </c>
      <c r="C2324" t="s">
        <v>49</v>
      </c>
      <c r="E2324" t="s">
        <v>41</v>
      </c>
      <c r="F2324" t="s">
        <v>10</v>
      </c>
    </row>
    <row r="2325" spans="1:6" hidden="1" x14ac:dyDescent="0.35">
      <c r="A2325" t="s">
        <v>63</v>
      </c>
      <c r="B2325" t="s">
        <v>39</v>
      </c>
      <c r="C2325" t="s">
        <v>49</v>
      </c>
      <c r="E2325" t="s">
        <v>41</v>
      </c>
      <c r="F2325" t="s">
        <v>10</v>
      </c>
    </row>
    <row r="2326" spans="1:6" hidden="1" x14ac:dyDescent="0.35">
      <c r="A2326" t="s">
        <v>64</v>
      </c>
      <c r="B2326" t="s">
        <v>39</v>
      </c>
      <c r="C2326" t="s">
        <v>49</v>
      </c>
      <c r="E2326" t="s">
        <v>41</v>
      </c>
      <c r="F2326" t="s">
        <v>10</v>
      </c>
    </row>
    <row r="2327" spans="1:6" hidden="1" x14ac:dyDescent="0.35">
      <c r="A2327" t="s">
        <v>65</v>
      </c>
      <c r="B2327" t="s">
        <v>39</v>
      </c>
      <c r="C2327" t="s">
        <v>49</v>
      </c>
      <c r="E2327" t="s">
        <v>41</v>
      </c>
      <c r="F2327" t="s">
        <v>10</v>
      </c>
    </row>
    <row r="2328" spans="1:6" hidden="1" x14ac:dyDescent="0.35">
      <c r="A2328" t="s">
        <v>66</v>
      </c>
      <c r="B2328" t="s">
        <v>39</v>
      </c>
      <c r="C2328" t="s">
        <v>49</v>
      </c>
      <c r="E2328" t="s">
        <v>41</v>
      </c>
      <c r="F2328" t="s">
        <v>10</v>
      </c>
    </row>
    <row r="2329" spans="1:6" hidden="1" x14ac:dyDescent="0.35">
      <c r="A2329" t="s">
        <v>67</v>
      </c>
      <c r="B2329" t="s">
        <v>39</v>
      </c>
      <c r="C2329" t="s">
        <v>49</v>
      </c>
      <c r="E2329" t="s">
        <v>41</v>
      </c>
      <c r="F2329" t="s">
        <v>10</v>
      </c>
    </row>
    <row r="2330" spans="1:6" hidden="1" x14ac:dyDescent="0.35">
      <c r="A2330" t="s">
        <v>57</v>
      </c>
      <c r="B2330" t="s">
        <v>39</v>
      </c>
      <c r="C2330" t="s">
        <v>50</v>
      </c>
      <c r="E2330" t="s">
        <v>41</v>
      </c>
      <c r="F2330" t="s">
        <v>10</v>
      </c>
    </row>
    <row r="2331" spans="1:6" hidden="1" x14ac:dyDescent="0.35">
      <c r="A2331" t="s">
        <v>11</v>
      </c>
      <c r="B2331" t="s">
        <v>39</v>
      </c>
      <c r="C2331" t="s">
        <v>50</v>
      </c>
      <c r="E2331" t="s">
        <v>41</v>
      </c>
      <c r="F2331" t="s">
        <v>10</v>
      </c>
    </row>
    <row r="2332" spans="1:6" hidden="1" x14ac:dyDescent="0.35">
      <c r="A2332" t="s">
        <v>58</v>
      </c>
      <c r="B2332" t="s">
        <v>39</v>
      </c>
      <c r="C2332" t="s">
        <v>50</v>
      </c>
      <c r="E2332" t="s">
        <v>41</v>
      </c>
      <c r="F2332" t="s">
        <v>10</v>
      </c>
    </row>
    <row r="2333" spans="1:6" hidden="1" x14ac:dyDescent="0.35">
      <c r="A2333" t="s">
        <v>59</v>
      </c>
      <c r="B2333" t="s">
        <v>39</v>
      </c>
      <c r="C2333" t="s">
        <v>50</v>
      </c>
      <c r="E2333" t="s">
        <v>41</v>
      </c>
      <c r="F2333" t="s">
        <v>10</v>
      </c>
    </row>
    <row r="2334" spans="1:6" hidden="1" x14ac:dyDescent="0.35">
      <c r="A2334" t="s">
        <v>60</v>
      </c>
      <c r="B2334" t="s">
        <v>39</v>
      </c>
      <c r="C2334" t="s">
        <v>50</v>
      </c>
      <c r="E2334" t="s">
        <v>41</v>
      </c>
      <c r="F2334" t="s">
        <v>10</v>
      </c>
    </row>
    <row r="2335" spans="1:6" hidden="1" x14ac:dyDescent="0.35">
      <c r="A2335" t="s">
        <v>61</v>
      </c>
      <c r="B2335" t="s">
        <v>39</v>
      </c>
      <c r="C2335" t="s">
        <v>50</v>
      </c>
      <c r="E2335" t="s">
        <v>41</v>
      </c>
      <c r="F2335" t="s">
        <v>10</v>
      </c>
    </row>
    <row r="2336" spans="1:6" hidden="1" x14ac:dyDescent="0.35">
      <c r="A2336" t="s">
        <v>62</v>
      </c>
      <c r="B2336" t="s">
        <v>39</v>
      </c>
      <c r="C2336" t="s">
        <v>50</v>
      </c>
      <c r="E2336" t="s">
        <v>41</v>
      </c>
      <c r="F2336" t="s">
        <v>10</v>
      </c>
    </row>
    <row r="2337" spans="1:6" hidden="1" x14ac:dyDescent="0.35">
      <c r="A2337" t="s">
        <v>63</v>
      </c>
      <c r="B2337" t="s">
        <v>39</v>
      </c>
      <c r="C2337" t="s">
        <v>50</v>
      </c>
      <c r="E2337" t="s">
        <v>41</v>
      </c>
      <c r="F2337" t="s">
        <v>10</v>
      </c>
    </row>
    <row r="2338" spans="1:6" hidden="1" x14ac:dyDescent="0.35">
      <c r="A2338" t="s">
        <v>64</v>
      </c>
      <c r="B2338" t="s">
        <v>39</v>
      </c>
      <c r="C2338" t="s">
        <v>50</v>
      </c>
      <c r="E2338" t="s">
        <v>41</v>
      </c>
      <c r="F2338" t="s">
        <v>10</v>
      </c>
    </row>
    <row r="2339" spans="1:6" hidden="1" x14ac:dyDescent="0.35">
      <c r="A2339" t="s">
        <v>65</v>
      </c>
      <c r="B2339" t="s">
        <v>39</v>
      </c>
      <c r="C2339" t="s">
        <v>50</v>
      </c>
      <c r="E2339" t="s">
        <v>41</v>
      </c>
      <c r="F2339" t="s">
        <v>10</v>
      </c>
    </row>
    <row r="2340" spans="1:6" hidden="1" x14ac:dyDescent="0.35">
      <c r="A2340" t="s">
        <v>66</v>
      </c>
      <c r="B2340" t="s">
        <v>39</v>
      </c>
      <c r="C2340" t="s">
        <v>50</v>
      </c>
      <c r="E2340" t="s">
        <v>41</v>
      </c>
      <c r="F2340" t="s">
        <v>10</v>
      </c>
    </row>
    <row r="2341" spans="1:6" hidden="1" x14ac:dyDescent="0.35">
      <c r="A2341" t="s">
        <v>67</v>
      </c>
      <c r="B2341" t="s">
        <v>39</v>
      </c>
      <c r="C2341" t="s">
        <v>50</v>
      </c>
      <c r="E2341" t="s">
        <v>41</v>
      </c>
      <c r="F2341" t="s">
        <v>10</v>
      </c>
    </row>
    <row r="2342" spans="1:6" x14ac:dyDescent="0.35">
      <c r="A2342" t="s">
        <v>57</v>
      </c>
      <c r="B2342" t="s">
        <v>39</v>
      </c>
      <c r="C2342" t="s">
        <v>51</v>
      </c>
      <c r="E2342" t="s">
        <v>41</v>
      </c>
      <c r="F2342" t="s">
        <v>10</v>
      </c>
    </row>
    <row r="2343" spans="1:6" x14ac:dyDescent="0.35">
      <c r="A2343" t="s">
        <v>11</v>
      </c>
      <c r="B2343" t="s">
        <v>39</v>
      </c>
      <c r="C2343" t="s">
        <v>51</v>
      </c>
      <c r="E2343" t="s">
        <v>41</v>
      </c>
      <c r="F2343" t="s">
        <v>10</v>
      </c>
    </row>
    <row r="2344" spans="1:6" x14ac:dyDescent="0.35">
      <c r="A2344" t="s">
        <v>58</v>
      </c>
      <c r="B2344" t="s">
        <v>39</v>
      </c>
      <c r="C2344" t="s">
        <v>51</v>
      </c>
      <c r="E2344" t="s">
        <v>41</v>
      </c>
      <c r="F2344" t="s">
        <v>10</v>
      </c>
    </row>
    <row r="2345" spans="1:6" x14ac:dyDescent="0.35">
      <c r="A2345" t="s">
        <v>59</v>
      </c>
      <c r="B2345" t="s">
        <v>39</v>
      </c>
      <c r="C2345" t="s">
        <v>51</v>
      </c>
      <c r="E2345" t="s">
        <v>41</v>
      </c>
      <c r="F2345" t="s">
        <v>10</v>
      </c>
    </row>
    <row r="2346" spans="1:6" x14ac:dyDescent="0.35">
      <c r="A2346" t="s">
        <v>60</v>
      </c>
      <c r="B2346" t="s">
        <v>39</v>
      </c>
      <c r="C2346" t="s">
        <v>51</v>
      </c>
      <c r="E2346" t="s">
        <v>41</v>
      </c>
      <c r="F2346" t="s">
        <v>10</v>
      </c>
    </row>
    <row r="2347" spans="1:6" x14ac:dyDescent="0.35">
      <c r="A2347" t="s">
        <v>61</v>
      </c>
      <c r="B2347" t="s">
        <v>39</v>
      </c>
      <c r="C2347" t="s">
        <v>51</v>
      </c>
      <c r="E2347" t="s">
        <v>41</v>
      </c>
      <c r="F2347" t="s">
        <v>10</v>
      </c>
    </row>
    <row r="2348" spans="1:6" x14ac:dyDescent="0.35">
      <c r="A2348" t="s">
        <v>62</v>
      </c>
      <c r="B2348" t="s">
        <v>39</v>
      </c>
      <c r="C2348" t="s">
        <v>51</v>
      </c>
      <c r="E2348" t="s">
        <v>41</v>
      </c>
      <c r="F2348" t="s">
        <v>10</v>
      </c>
    </row>
    <row r="2349" spans="1:6" x14ac:dyDescent="0.35">
      <c r="A2349" t="s">
        <v>63</v>
      </c>
      <c r="B2349" t="s">
        <v>39</v>
      </c>
      <c r="C2349" t="s">
        <v>51</v>
      </c>
      <c r="E2349" t="s">
        <v>41</v>
      </c>
      <c r="F2349" t="s">
        <v>10</v>
      </c>
    </row>
    <row r="2350" spans="1:6" x14ac:dyDescent="0.35">
      <c r="A2350" t="s">
        <v>64</v>
      </c>
      <c r="B2350" t="s">
        <v>39</v>
      </c>
      <c r="C2350" t="s">
        <v>51</v>
      </c>
      <c r="E2350" t="s">
        <v>41</v>
      </c>
      <c r="F2350" t="s">
        <v>10</v>
      </c>
    </row>
    <row r="2351" spans="1:6" x14ac:dyDescent="0.35">
      <c r="A2351" t="s">
        <v>65</v>
      </c>
      <c r="B2351" t="s">
        <v>39</v>
      </c>
      <c r="C2351" t="s">
        <v>51</v>
      </c>
      <c r="E2351" t="s">
        <v>41</v>
      </c>
      <c r="F2351" t="s">
        <v>10</v>
      </c>
    </row>
    <row r="2352" spans="1:6" x14ac:dyDescent="0.35">
      <c r="A2352" t="s">
        <v>66</v>
      </c>
      <c r="B2352" t="s">
        <v>39</v>
      </c>
      <c r="C2352" t="s">
        <v>51</v>
      </c>
      <c r="E2352" t="s">
        <v>41</v>
      </c>
      <c r="F2352" t="s">
        <v>10</v>
      </c>
    </row>
    <row r="2353" spans="1:6" x14ac:dyDescent="0.35">
      <c r="A2353" t="s">
        <v>67</v>
      </c>
      <c r="B2353" t="s">
        <v>39</v>
      </c>
      <c r="C2353" t="s">
        <v>51</v>
      </c>
      <c r="E2353" t="s">
        <v>41</v>
      </c>
      <c r="F2353" t="s">
        <v>10</v>
      </c>
    </row>
    <row r="2354" spans="1:6" hidden="1" x14ac:dyDescent="0.35">
      <c r="A2354" t="s">
        <v>57</v>
      </c>
      <c r="B2354" t="s">
        <v>39</v>
      </c>
      <c r="C2354" t="s">
        <v>30</v>
      </c>
      <c r="E2354" t="s">
        <v>41</v>
      </c>
      <c r="F2354" t="s">
        <v>10</v>
      </c>
    </row>
    <row r="2355" spans="1:6" hidden="1" x14ac:dyDescent="0.35">
      <c r="A2355" t="s">
        <v>11</v>
      </c>
      <c r="B2355" t="s">
        <v>39</v>
      </c>
      <c r="C2355" t="s">
        <v>30</v>
      </c>
      <c r="E2355" t="s">
        <v>41</v>
      </c>
      <c r="F2355" t="s">
        <v>10</v>
      </c>
    </row>
    <row r="2356" spans="1:6" hidden="1" x14ac:dyDescent="0.35">
      <c r="A2356" t="s">
        <v>58</v>
      </c>
      <c r="B2356" t="s">
        <v>39</v>
      </c>
      <c r="C2356" t="s">
        <v>30</v>
      </c>
      <c r="E2356" t="s">
        <v>41</v>
      </c>
      <c r="F2356" t="s">
        <v>10</v>
      </c>
    </row>
    <row r="2357" spans="1:6" hidden="1" x14ac:dyDescent="0.35">
      <c r="A2357" t="s">
        <v>59</v>
      </c>
      <c r="B2357" t="s">
        <v>39</v>
      </c>
      <c r="C2357" t="s">
        <v>30</v>
      </c>
      <c r="E2357" t="s">
        <v>41</v>
      </c>
      <c r="F2357" t="s">
        <v>10</v>
      </c>
    </row>
    <row r="2358" spans="1:6" hidden="1" x14ac:dyDescent="0.35">
      <c r="A2358" t="s">
        <v>60</v>
      </c>
      <c r="B2358" t="s">
        <v>39</v>
      </c>
      <c r="C2358" t="s">
        <v>30</v>
      </c>
      <c r="E2358" t="s">
        <v>41</v>
      </c>
      <c r="F2358" t="s">
        <v>10</v>
      </c>
    </row>
    <row r="2359" spans="1:6" hidden="1" x14ac:dyDescent="0.35">
      <c r="A2359" t="s">
        <v>61</v>
      </c>
      <c r="B2359" t="s">
        <v>39</v>
      </c>
      <c r="C2359" t="s">
        <v>30</v>
      </c>
      <c r="E2359" t="s">
        <v>41</v>
      </c>
      <c r="F2359" t="s">
        <v>10</v>
      </c>
    </row>
    <row r="2360" spans="1:6" hidden="1" x14ac:dyDescent="0.35">
      <c r="A2360" t="s">
        <v>62</v>
      </c>
      <c r="B2360" t="s">
        <v>39</v>
      </c>
      <c r="C2360" t="s">
        <v>30</v>
      </c>
      <c r="E2360" t="s">
        <v>41</v>
      </c>
      <c r="F2360" t="s">
        <v>10</v>
      </c>
    </row>
    <row r="2361" spans="1:6" hidden="1" x14ac:dyDescent="0.35">
      <c r="A2361" t="s">
        <v>63</v>
      </c>
      <c r="B2361" t="s">
        <v>39</v>
      </c>
      <c r="C2361" t="s">
        <v>30</v>
      </c>
      <c r="E2361" t="s">
        <v>41</v>
      </c>
      <c r="F2361" t="s">
        <v>10</v>
      </c>
    </row>
    <row r="2362" spans="1:6" hidden="1" x14ac:dyDescent="0.35">
      <c r="A2362" t="s">
        <v>64</v>
      </c>
      <c r="B2362" t="s">
        <v>39</v>
      </c>
      <c r="C2362" t="s">
        <v>30</v>
      </c>
      <c r="E2362" t="s">
        <v>41</v>
      </c>
      <c r="F2362" t="s">
        <v>10</v>
      </c>
    </row>
    <row r="2363" spans="1:6" hidden="1" x14ac:dyDescent="0.35">
      <c r="A2363" t="s">
        <v>65</v>
      </c>
      <c r="B2363" t="s">
        <v>39</v>
      </c>
      <c r="C2363" t="s">
        <v>30</v>
      </c>
      <c r="E2363" t="s">
        <v>41</v>
      </c>
      <c r="F2363" t="s">
        <v>10</v>
      </c>
    </row>
    <row r="2364" spans="1:6" hidden="1" x14ac:dyDescent="0.35">
      <c r="A2364" t="s">
        <v>66</v>
      </c>
      <c r="B2364" t="s">
        <v>39</v>
      </c>
      <c r="C2364" t="s">
        <v>30</v>
      </c>
      <c r="E2364" t="s">
        <v>41</v>
      </c>
      <c r="F2364" t="s">
        <v>10</v>
      </c>
    </row>
    <row r="2365" spans="1:6" hidden="1" x14ac:dyDescent="0.35">
      <c r="A2365" t="s">
        <v>67</v>
      </c>
      <c r="B2365" t="s">
        <v>39</v>
      </c>
      <c r="C2365" t="s">
        <v>30</v>
      </c>
      <c r="E2365" t="s">
        <v>41</v>
      </c>
      <c r="F2365" t="s">
        <v>10</v>
      </c>
    </row>
    <row r="2366" spans="1:6" x14ac:dyDescent="0.35">
      <c r="A2366" t="s">
        <v>57</v>
      </c>
      <c r="B2366" t="s">
        <v>39</v>
      </c>
      <c r="C2366" t="s">
        <v>52</v>
      </c>
      <c r="E2366" t="s">
        <v>41</v>
      </c>
      <c r="F2366" t="s">
        <v>10</v>
      </c>
    </row>
    <row r="2367" spans="1:6" x14ac:dyDescent="0.35">
      <c r="A2367" t="s">
        <v>11</v>
      </c>
      <c r="B2367" t="s">
        <v>39</v>
      </c>
      <c r="C2367" t="s">
        <v>52</v>
      </c>
      <c r="E2367" t="s">
        <v>41</v>
      </c>
      <c r="F2367" t="s">
        <v>10</v>
      </c>
    </row>
    <row r="2368" spans="1:6" x14ac:dyDescent="0.35">
      <c r="A2368" t="s">
        <v>58</v>
      </c>
      <c r="B2368" t="s">
        <v>39</v>
      </c>
      <c r="C2368" t="s">
        <v>52</v>
      </c>
      <c r="E2368" t="s">
        <v>41</v>
      </c>
      <c r="F2368" t="s">
        <v>10</v>
      </c>
    </row>
    <row r="2369" spans="1:6" x14ac:dyDescent="0.35">
      <c r="A2369" t="s">
        <v>59</v>
      </c>
      <c r="B2369" t="s">
        <v>39</v>
      </c>
      <c r="C2369" t="s">
        <v>52</v>
      </c>
      <c r="E2369" t="s">
        <v>41</v>
      </c>
      <c r="F2369" t="s">
        <v>10</v>
      </c>
    </row>
    <row r="2370" spans="1:6" x14ac:dyDescent="0.35">
      <c r="A2370" t="s">
        <v>60</v>
      </c>
      <c r="B2370" t="s">
        <v>39</v>
      </c>
      <c r="C2370" t="s">
        <v>52</v>
      </c>
      <c r="E2370" t="s">
        <v>41</v>
      </c>
      <c r="F2370" t="s">
        <v>10</v>
      </c>
    </row>
    <row r="2371" spans="1:6" x14ac:dyDescent="0.35">
      <c r="A2371" t="s">
        <v>61</v>
      </c>
      <c r="B2371" t="s">
        <v>39</v>
      </c>
      <c r="C2371" t="s">
        <v>52</v>
      </c>
      <c r="E2371" t="s">
        <v>41</v>
      </c>
      <c r="F2371" t="s">
        <v>10</v>
      </c>
    </row>
    <row r="2372" spans="1:6" x14ac:dyDescent="0.35">
      <c r="A2372" t="s">
        <v>62</v>
      </c>
      <c r="B2372" t="s">
        <v>39</v>
      </c>
      <c r="C2372" t="s">
        <v>52</v>
      </c>
      <c r="E2372" t="s">
        <v>41</v>
      </c>
      <c r="F2372" t="s">
        <v>10</v>
      </c>
    </row>
    <row r="2373" spans="1:6" x14ac:dyDescent="0.35">
      <c r="A2373" t="s">
        <v>63</v>
      </c>
      <c r="B2373" t="s">
        <v>39</v>
      </c>
      <c r="C2373" t="s">
        <v>52</v>
      </c>
      <c r="E2373" t="s">
        <v>41</v>
      </c>
      <c r="F2373" t="s">
        <v>10</v>
      </c>
    </row>
    <row r="2374" spans="1:6" x14ac:dyDescent="0.35">
      <c r="A2374" t="s">
        <v>64</v>
      </c>
      <c r="B2374" t="s">
        <v>39</v>
      </c>
      <c r="C2374" t="s">
        <v>52</v>
      </c>
      <c r="E2374" t="s">
        <v>41</v>
      </c>
      <c r="F2374" t="s">
        <v>10</v>
      </c>
    </row>
    <row r="2375" spans="1:6" x14ac:dyDescent="0.35">
      <c r="A2375" t="s">
        <v>65</v>
      </c>
      <c r="B2375" t="s">
        <v>39</v>
      </c>
      <c r="C2375" t="s">
        <v>52</v>
      </c>
      <c r="E2375" t="s">
        <v>41</v>
      </c>
      <c r="F2375" t="s">
        <v>10</v>
      </c>
    </row>
    <row r="2376" spans="1:6" x14ac:dyDescent="0.35">
      <c r="A2376" t="s">
        <v>66</v>
      </c>
      <c r="B2376" t="s">
        <v>39</v>
      </c>
      <c r="C2376" t="s">
        <v>52</v>
      </c>
      <c r="E2376" t="s">
        <v>41</v>
      </c>
      <c r="F2376" t="s">
        <v>10</v>
      </c>
    </row>
    <row r="2377" spans="1:6" x14ac:dyDescent="0.35">
      <c r="A2377" t="s">
        <v>67</v>
      </c>
      <c r="B2377" t="s">
        <v>39</v>
      </c>
      <c r="C2377" t="s">
        <v>52</v>
      </c>
      <c r="E2377" t="s">
        <v>41</v>
      </c>
      <c r="F2377" t="s">
        <v>10</v>
      </c>
    </row>
    <row r="2378" spans="1:6" hidden="1" x14ac:dyDescent="0.35">
      <c r="A2378" t="s">
        <v>57</v>
      </c>
      <c r="B2378" t="s">
        <v>7</v>
      </c>
      <c r="C2378" t="s">
        <v>44</v>
      </c>
      <c r="E2378" t="s">
        <v>9</v>
      </c>
      <c r="F2378" t="s">
        <v>10</v>
      </c>
    </row>
    <row r="2379" spans="1:6" hidden="1" x14ac:dyDescent="0.35">
      <c r="A2379" t="s">
        <v>11</v>
      </c>
      <c r="B2379" t="s">
        <v>7</v>
      </c>
      <c r="C2379" t="s">
        <v>44</v>
      </c>
      <c r="E2379" t="s">
        <v>9</v>
      </c>
      <c r="F2379" t="s">
        <v>10</v>
      </c>
    </row>
    <row r="2380" spans="1:6" hidden="1" x14ac:dyDescent="0.35">
      <c r="A2380" t="s">
        <v>58</v>
      </c>
      <c r="B2380" t="s">
        <v>7</v>
      </c>
      <c r="C2380" t="s">
        <v>44</v>
      </c>
      <c r="E2380" t="s">
        <v>9</v>
      </c>
      <c r="F2380" t="s">
        <v>10</v>
      </c>
    </row>
    <row r="2381" spans="1:6" hidden="1" x14ac:dyDescent="0.35">
      <c r="A2381" t="s">
        <v>59</v>
      </c>
      <c r="B2381" t="s">
        <v>7</v>
      </c>
      <c r="C2381" t="s">
        <v>44</v>
      </c>
      <c r="E2381" t="s">
        <v>9</v>
      </c>
      <c r="F2381" t="s">
        <v>10</v>
      </c>
    </row>
    <row r="2382" spans="1:6" hidden="1" x14ac:dyDescent="0.35">
      <c r="A2382" t="s">
        <v>60</v>
      </c>
      <c r="B2382" t="s">
        <v>7</v>
      </c>
      <c r="C2382" t="s">
        <v>44</v>
      </c>
      <c r="E2382" t="s">
        <v>9</v>
      </c>
      <c r="F2382" t="s">
        <v>10</v>
      </c>
    </row>
    <row r="2383" spans="1:6" hidden="1" x14ac:dyDescent="0.35">
      <c r="A2383" t="s">
        <v>61</v>
      </c>
      <c r="B2383" t="s">
        <v>7</v>
      </c>
      <c r="C2383" t="s">
        <v>44</v>
      </c>
      <c r="E2383" t="s">
        <v>9</v>
      </c>
      <c r="F2383" t="s">
        <v>10</v>
      </c>
    </row>
    <row r="2384" spans="1:6" hidden="1" x14ac:dyDescent="0.35">
      <c r="A2384" t="s">
        <v>62</v>
      </c>
      <c r="B2384" t="s">
        <v>7</v>
      </c>
      <c r="C2384" t="s">
        <v>44</v>
      </c>
      <c r="D2384">
        <v>0</v>
      </c>
      <c r="E2384" t="s">
        <v>9</v>
      </c>
      <c r="F2384" t="s">
        <v>10</v>
      </c>
    </row>
    <row r="2385" spans="1:6" hidden="1" x14ac:dyDescent="0.35">
      <c r="A2385" t="s">
        <v>63</v>
      </c>
      <c r="B2385" t="s">
        <v>7</v>
      </c>
      <c r="C2385" t="s">
        <v>44</v>
      </c>
      <c r="E2385" t="s">
        <v>9</v>
      </c>
      <c r="F2385" t="s">
        <v>10</v>
      </c>
    </row>
    <row r="2386" spans="1:6" hidden="1" x14ac:dyDescent="0.35">
      <c r="A2386" t="s">
        <v>64</v>
      </c>
      <c r="B2386" t="s">
        <v>7</v>
      </c>
      <c r="C2386" t="s">
        <v>44</v>
      </c>
      <c r="D2386">
        <v>39916.408318699192</v>
      </c>
      <c r="E2386" t="s">
        <v>9</v>
      </c>
      <c r="F2386" t="s">
        <v>10</v>
      </c>
    </row>
    <row r="2387" spans="1:6" hidden="1" x14ac:dyDescent="0.35">
      <c r="A2387" t="s">
        <v>65</v>
      </c>
      <c r="B2387" t="s">
        <v>7</v>
      </c>
      <c r="C2387" t="s">
        <v>44</v>
      </c>
      <c r="E2387" t="s">
        <v>9</v>
      </c>
      <c r="F2387" t="s">
        <v>10</v>
      </c>
    </row>
    <row r="2388" spans="1:6" hidden="1" x14ac:dyDescent="0.35">
      <c r="A2388" t="s">
        <v>66</v>
      </c>
      <c r="B2388" t="s">
        <v>7</v>
      </c>
      <c r="C2388" t="s">
        <v>44</v>
      </c>
      <c r="E2388" t="s">
        <v>9</v>
      </c>
      <c r="F2388" t="s">
        <v>10</v>
      </c>
    </row>
    <row r="2389" spans="1:6" hidden="1" x14ac:dyDescent="0.35">
      <c r="A2389" t="s">
        <v>67</v>
      </c>
      <c r="B2389" t="s">
        <v>7</v>
      </c>
      <c r="C2389" t="s">
        <v>44</v>
      </c>
      <c r="D2389">
        <v>0</v>
      </c>
      <c r="E2389" t="s">
        <v>9</v>
      </c>
      <c r="F2389" t="s">
        <v>10</v>
      </c>
    </row>
    <row r="2390" spans="1:6" hidden="1" x14ac:dyDescent="0.35">
      <c r="A2390" t="s">
        <v>57</v>
      </c>
      <c r="B2390" t="s">
        <v>7</v>
      </c>
      <c r="C2390" t="s">
        <v>22</v>
      </c>
      <c r="D2390">
        <v>0</v>
      </c>
      <c r="E2390" t="s">
        <v>9</v>
      </c>
      <c r="F2390" t="s">
        <v>10</v>
      </c>
    </row>
    <row r="2391" spans="1:6" hidden="1" x14ac:dyDescent="0.35">
      <c r="A2391" t="s">
        <v>11</v>
      </c>
      <c r="B2391" t="s">
        <v>7</v>
      </c>
      <c r="C2391" t="s">
        <v>22</v>
      </c>
      <c r="D2391">
        <v>0</v>
      </c>
      <c r="E2391" t="s">
        <v>9</v>
      </c>
      <c r="F2391" t="s">
        <v>10</v>
      </c>
    </row>
    <row r="2392" spans="1:6" hidden="1" x14ac:dyDescent="0.35">
      <c r="A2392" t="s">
        <v>58</v>
      </c>
      <c r="B2392" t="s">
        <v>7</v>
      </c>
      <c r="C2392" t="s">
        <v>22</v>
      </c>
      <c r="D2392">
        <v>0</v>
      </c>
      <c r="E2392" t="s">
        <v>9</v>
      </c>
      <c r="F2392" t="s">
        <v>10</v>
      </c>
    </row>
    <row r="2393" spans="1:6" hidden="1" x14ac:dyDescent="0.35">
      <c r="A2393" t="s">
        <v>59</v>
      </c>
      <c r="B2393" t="s">
        <v>7</v>
      </c>
      <c r="C2393" t="s">
        <v>22</v>
      </c>
      <c r="D2393">
        <v>0</v>
      </c>
      <c r="E2393" t="s">
        <v>9</v>
      </c>
      <c r="F2393" t="s">
        <v>10</v>
      </c>
    </row>
    <row r="2394" spans="1:6" hidden="1" x14ac:dyDescent="0.35">
      <c r="A2394" t="s">
        <v>60</v>
      </c>
      <c r="B2394" t="s">
        <v>7</v>
      </c>
      <c r="C2394" t="s">
        <v>22</v>
      </c>
      <c r="D2394">
        <v>0</v>
      </c>
      <c r="E2394" t="s">
        <v>9</v>
      </c>
      <c r="F2394" t="s">
        <v>10</v>
      </c>
    </row>
    <row r="2395" spans="1:6" hidden="1" x14ac:dyDescent="0.35">
      <c r="A2395" t="s">
        <v>61</v>
      </c>
      <c r="B2395" t="s">
        <v>7</v>
      </c>
      <c r="C2395" t="s">
        <v>22</v>
      </c>
      <c r="D2395">
        <v>0</v>
      </c>
      <c r="E2395" t="s">
        <v>9</v>
      </c>
      <c r="F2395" t="s">
        <v>10</v>
      </c>
    </row>
    <row r="2396" spans="1:6" hidden="1" x14ac:dyDescent="0.35">
      <c r="A2396" t="s">
        <v>62</v>
      </c>
      <c r="B2396" t="s">
        <v>7</v>
      </c>
      <c r="C2396" t="s">
        <v>22</v>
      </c>
      <c r="D2396">
        <v>0</v>
      </c>
      <c r="E2396" t="s">
        <v>9</v>
      </c>
      <c r="F2396" t="s">
        <v>10</v>
      </c>
    </row>
    <row r="2397" spans="1:6" hidden="1" x14ac:dyDescent="0.35">
      <c r="A2397" t="s">
        <v>63</v>
      </c>
      <c r="B2397" t="s">
        <v>7</v>
      </c>
      <c r="C2397" t="s">
        <v>22</v>
      </c>
      <c r="D2397">
        <v>0</v>
      </c>
      <c r="E2397" t="s">
        <v>9</v>
      </c>
      <c r="F2397" t="s">
        <v>10</v>
      </c>
    </row>
    <row r="2398" spans="1:6" hidden="1" x14ac:dyDescent="0.35">
      <c r="A2398" t="s">
        <v>64</v>
      </c>
      <c r="B2398" t="s">
        <v>7</v>
      </c>
      <c r="C2398" t="s">
        <v>22</v>
      </c>
      <c r="D2398">
        <v>0</v>
      </c>
      <c r="E2398" t="s">
        <v>9</v>
      </c>
      <c r="F2398" t="s">
        <v>10</v>
      </c>
    </row>
    <row r="2399" spans="1:6" hidden="1" x14ac:dyDescent="0.35">
      <c r="A2399" t="s">
        <v>65</v>
      </c>
      <c r="B2399" t="s">
        <v>7</v>
      </c>
      <c r="C2399" t="s">
        <v>22</v>
      </c>
      <c r="D2399">
        <v>0</v>
      </c>
      <c r="E2399" t="s">
        <v>9</v>
      </c>
      <c r="F2399" t="s">
        <v>10</v>
      </c>
    </row>
    <row r="2400" spans="1:6" hidden="1" x14ac:dyDescent="0.35">
      <c r="A2400" t="s">
        <v>66</v>
      </c>
      <c r="B2400" t="s">
        <v>7</v>
      </c>
      <c r="C2400" t="s">
        <v>22</v>
      </c>
      <c r="D2400">
        <v>0</v>
      </c>
      <c r="E2400" t="s">
        <v>9</v>
      </c>
      <c r="F2400" t="s">
        <v>10</v>
      </c>
    </row>
    <row r="2401" spans="1:6" hidden="1" x14ac:dyDescent="0.35">
      <c r="A2401" t="s">
        <v>67</v>
      </c>
      <c r="B2401" t="s">
        <v>7</v>
      </c>
      <c r="C2401" t="s">
        <v>22</v>
      </c>
      <c r="D2401">
        <v>0</v>
      </c>
      <c r="E2401" t="s">
        <v>9</v>
      </c>
      <c r="F2401" t="s">
        <v>10</v>
      </c>
    </row>
    <row r="2402" spans="1:6" hidden="1" x14ac:dyDescent="0.35">
      <c r="A2402" t="s">
        <v>57</v>
      </c>
      <c r="B2402" t="s">
        <v>7</v>
      </c>
      <c r="C2402" t="s">
        <v>46</v>
      </c>
      <c r="E2402" t="s">
        <v>9</v>
      </c>
      <c r="F2402" t="s">
        <v>10</v>
      </c>
    </row>
    <row r="2403" spans="1:6" hidden="1" x14ac:dyDescent="0.35">
      <c r="A2403" t="s">
        <v>11</v>
      </c>
      <c r="B2403" t="s">
        <v>7</v>
      </c>
      <c r="C2403" t="s">
        <v>46</v>
      </c>
      <c r="E2403" t="s">
        <v>9</v>
      </c>
      <c r="F2403" t="s">
        <v>10</v>
      </c>
    </row>
    <row r="2404" spans="1:6" hidden="1" x14ac:dyDescent="0.35">
      <c r="A2404" t="s">
        <v>58</v>
      </c>
      <c r="B2404" t="s">
        <v>7</v>
      </c>
      <c r="C2404" t="s">
        <v>46</v>
      </c>
      <c r="E2404" t="s">
        <v>9</v>
      </c>
      <c r="F2404" t="s">
        <v>10</v>
      </c>
    </row>
    <row r="2405" spans="1:6" hidden="1" x14ac:dyDescent="0.35">
      <c r="A2405" t="s">
        <v>59</v>
      </c>
      <c r="B2405" t="s">
        <v>7</v>
      </c>
      <c r="C2405" t="s">
        <v>46</v>
      </c>
      <c r="E2405" t="s">
        <v>9</v>
      </c>
      <c r="F2405" t="s">
        <v>10</v>
      </c>
    </row>
    <row r="2406" spans="1:6" hidden="1" x14ac:dyDescent="0.35">
      <c r="A2406" t="s">
        <v>60</v>
      </c>
      <c r="B2406" t="s">
        <v>7</v>
      </c>
      <c r="C2406" t="s">
        <v>46</v>
      </c>
      <c r="E2406" t="s">
        <v>9</v>
      </c>
      <c r="F2406" t="s">
        <v>10</v>
      </c>
    </row>
    <row r="2407" spans="1:6" hidden="1" x14ac:dyDescent="0.35">
      <c r="A2407" t="s">
        <v>61</v>
      </c>
      <c r="B2407" t="s">
        <v>7</v>
      </c>
      <c r="C2407" t="s">
        <v>46</v>
      </c>
      <c r="E2407" t="s">
        <v>9</v>
      </c>
      <c r="F2407" t="s">
        <v>10</v>
      </c>
    </row>
    <row r="2408" spans="1:6" hidden="1" x14ac:dyDescent="0.35">
      <c r="A2408" t="s">
        <v>62</v>
      </c>
      <c r="B2408" t="s">
        <v>7</v>
      </c>
      <c r="C2408" t="s">
        <v>46</v>
      </c>
      <c r="D2408">
        <v>318406.4436</v>
      </c>
      <c r="E2408" t="s">
        <v>9</v>
      </c>
      <c r="F2408" t="s">
        <v>10</v>
      </c>
    </row>
    <row r="2409" spans="1:6" hidden="1" x14ac:dyDescent="0.35">
      <c r="A2409" t="s">
        <v>63</v>
      </c>
      <c r="B2409" t="s">
        <v>7</v>
      </c>
      <c r="C2409" t="s">
        <v>46</v>
      </c>
      <c r="E2409" t="s">
        <v>9</v>
      </c>
      <c r="F2409" t="s">
        <v>10</v>
      </c>
    </row>
    <row r="2410" spans="1:6" hidden="1" x14ac:dyDescent="0.35">
      <c r="A2410" t="s">
        <v>64</v>
      </c>
      <c r="B2410" t="s">
        <v>7</v>
      </c>
      <c r="C2410" t="s">
        <v>46</v>
      </c>
      <c r="D2410">
        <v>10913.260162601629</v>
      </c>
      <c r="E2410" t="s">
        <v>9</v>
      </c>
      <c r="F2410" t="s">
        <v>10</v>
      </c>
    </row>
    <row r="2411" spans="1:6" hidden="1" x14ac:dyDescent="0.35">
      <c r="A2411" t="s">
        <v>65</v>
      </c>
      <c r="B2411" t="s">
        <v>7</v>
      </c>
      <c r="C2411" t="s">
        <v>46</v>
      </c>
      <c r="E2411" t="s">
        <v>9</v>
      </c>
      <c r="F2411" t="s">
        <v>10</v>
      </c>
    </row>
    <row r="2412" spans="1:6" hidden="1" x14ac:dyDescent="0.35">
      <c r="A2412" t="s">
        <v>66</v>
      </c>
      <c r="B2412" t="s">
        <v>7</v>
      </c>
      <c r="C2412" t="s">
        <v>46</v>
      </c>
      <c r="E2412" t="s">
        <v>9</v>
      </c>
      <c r="F2412" t="s">
        <v>10</v>
      </c>
    </row>
    <row r="2413" spans="1:6" hidden="1" x14ac:dyDescent="0.35">
      <c r="A2413" t="s">
        <v>67</v>
      </c>
      <c r="B2413" t="s">
        <v>7</v>
      </c>
      <c r="C2413" t="s">
        <v>46</v>
      </c>
      <c r="D2413">
        <v>44431.245999999999</v>
      </c>
      <c r="E2413" t="s">
        <v>9</v>
      </c>
      <c r="F2413" t="s">
        <v>10</v>
      </c>
    </row>
    <row r="2414" spans="1:6" hidden="1" x14ac:dyDescent="0.35">
      <c r="A2414" t="s">
        <v>57</v>
      </c>
      <c r="B2414" t="s">
        <v>7</v>
      </c>
      <c r="C2414" t="s">
        <v>24</v>
      </c>
      <c r="D2414">
        <v>0</v>
      </c>
      <c r="E2414" t="s">
        <v>9</v>
      </c>
      <c r="F2414" t="s">
        <v>10</v>
      </c>
    </row>
    <row r="2415" spans="1:6" hidden="1" x14ac:dyDescent="0.35">
      <c r="A2415" t="s">
        <v>11</v>
      </c>
      <c r="B2415" t="s">
        <v>7</v>
      </c>
      <c r="C2415" t="s">
        <v>24</v>
      </c>
      <c r="D2415">
        <v>0</v>
      </c>
      <c r="E2415" t="s">
        <v>9</v>
      </c>
      <c r="F2415" t="s">
        <v>10</v>
      </c>
    </row>
    <row r="2416" spans="1:6" hidden="1" x14ac:dyDescent="0.35">
      <c r="A2416" t="s">
        <v>58</v>
      </c>
      <c r="B2416" t="s">
        <v>7</v>
      </c>
      <c r="C2416" t="s">
        <v>24</v>
      </c>
      <c r="D2416">
        <v>0</v>
      </c>
      <c r="E2416" t="s">
        <v>9</v>
      </c>
      <c r="F2416" t="s">
        <v>10</v>
      </c>
    </row>
    <row r="2417" spans="1:6" hidden="1" x14ac:dyDescent="0.35">
      <c r="A2417" t="s">
        <v>59</v>
      </c>
      <c r="B2417" t="s">
        <v>7</v>
      </c>
      <c r="C2417" t="s">
        <v>24</v>
      </c>
      <c r="D2417">
        <v>0</v>
      </c>
      <c r="E2417" t="s">
        <v>9</v>
      </c>
      <c r="F2417" t="s">
        <v>10</v>
      </c>
    </row>
    <row r="2418" spans="1:6" hidden="1" x14ac:dyDescent="0.35">
      <c r="A2418" t="s">
        <v>60</v>
      </c>
      <c r="B2418" t="s">
        <v>7</v>
      </c>
      <c r="C2418" t="s">
        <v>24</v>
      </c>
      <c r="D2418">
        <v>0</v>
      </c>
      <c r="E2418" t="s">
        <v>9</v>
      </c>
      <c r="F2418" t="s">
        <v>10</v>
      </c>
    </row>
    <row r="2419" spans="1:6" hidden="1" x14ac:dyDescent="0.35">
      <c r="A2419" t="s">
        <v>61</v>
      </c>
      <c r="B2419" t="s">
        <v>7</v>
      </c>
      <c r="C2419" t="s">
        <v>24</v>
      </c>
      <c r="D2419">
        <v>0</v>
      </c>
      <c r="E2419" t="s">
        <v>9</v>
      </c>
      <c r="F2419" t="s">
        <v>10</v>
      </c>
    </row>
    <row r="2420" spans="1:6" hidden="1" x14ac:dyDescent="0.35">
      <c r="A2420" t="s">
        <v>62</v>
      </c>
      <c r="B2420" t="s">
        <v>7</v>
      </c>
      <c r="C2420" t="s">
        <v>24</v>
      </c>
      <c r="D2420">
        <v>0</v>
      </c>
      <c r="E2420" t="s">
        <v>9</v>
      </c>
      <c r="F2420" t="s">
        <v>10</v>
      </c>
    </row>
    <row r="2421" spans="1:6" hidden="1" x14ac:dyDescent="0.35">
      <c r="A2421" t="s">
        <v>63</v>
      </c>
      <c r="B2421" t="s">
        <v>7</v>
      </c>
      <c r="C2421" t="s">
        <v>24</v>
      </c>
      <c r="D2421">
        <v>0</v>
      </c>
      <c r="E2421" t="s">
        <v>9</v>
      </c>
      <c r="F2421" t="s">
        <v>10</v>
      </c>
    </row>
    <row r="2422" spans="1:6" hidden="1" x14ac:dyDescent="0.35">
      <c r="A2422" t="s">
        <v>64</v>
      </c>
      <c r="B2422" t="s">
        <v>7</v>
      </c>
      <c r="C2422" t="s">
        <v>24</v>
      </c>
      <c r="D2422">
        <v>0</v>
      </c>
      <c r="E2422" t="s">
        <v>9</v>
      </c>
      <c r="F2422" t="s">
        <v>10</v>
      </c>
    </row>
    <row r="2423" spans="1:6" hidden="1" x14ac:dyDescent="0.35">
      <c r="A2423" t="s">
        <v>65</v>
      </c>
      <c r="B2423" t="s">
        <v>7</v>
      </c>
      <c r="C2423" t="s">
        <v>24</v>
      </c>
      <c r="D2423">
        <v>0</v>
      </c>
      <c r="E2423" t="s">
        <v>9</v>
      </c>
      <c r="F2423" t="s">
        <v>10</v>
      </c>
    </row>
    <row r="2424" spans="1:6" hidden="1" x14ac:dyDescent="0.35">
      <c r="A2424" t="s">
        <v>66</v>
      </c>
      <c r="B2424" t="s">
        <v>7</v>
      </c>
      <c r="C2424" t="s">
        <v>24</v>
      </c>
      <c r="D2424">
        <v>0</v>
      </c>
      <c r="E2424" t="s">
        <v>9</v>
      </c>
      <c r="F2424" t="s">
        <v>10</v>
      </c>
    </row>
    <row r="2425" spans="1:6" hidden="1" x14ac:dyDescent="0.35">
      <c r="A2425" t="s">
        <v>67</v>
      </c>
      <c r="B2425" t="s">
        <v>7</v>
      </c>
      <c r="C2425" t="s">
        <v>24</v>
      </c>
      <c r="D2425">
        <v>0</v>
      </c>
      <c r="E2425" t="s">
        <v>9</v>
      </c>
      <c r="F2425" t="s">
        <v>10</v>
      </c>
    </row>
    <row r="2426" spans="1:6" hidden="1" x14ac:dyDescent="0.35">
      <c r="A2426" t="s">
        <v>57</v>
      </c>
      <c r="B2426" t="s">
        <v>7</v>
      </c>
      <c r="C2426" t="s">
        <v>47</v>
      </c>
      <c r="E2426" t="s">
        <v>9</v>
      </c>
      <c r="F2426" t="s">
        <v>10</v>
      </c>
    </row>
    <row r="2427" spans="1:6" hidden="1" x14ac:dyDescent="0.35">
      <c r="A2427" t="s">
        <v>11</v>
      </c>
      <c r="B2427" t="s">
        <v>7</v>
      </c>
      <c r="C2427" t="s">
        <v>47</v>
      </c>
      <c r="E2427" t="s">
        <v>9</v>
      </c>
      <c r="F2427" t="s">
        <v>10</v>
      </c>
    </row>
    <row r="2428" spans="1:6" hidden="1" x14ac:dyDescent="0.35">
      <c r="A2428" t="s">
        <v>58</v>
      </c>
      <c r="B2428" t="s">
        <v>7</v>
      </c>
      <c r="C2428" t="s">
        <v>47</v>
      </c>
      <c r="E2428" t="s">
        <v>9</v>
      </c>
      <c r="F2428" t="s">
        <v>10</v>
      </c>
    </row>
    <row r="2429" spans="1:6" hidden="1" x14ac:dyDescent="0.35">
      <c r="A2429" t="s">
        <v>59</v>
      </c>
      <c r="B2429" t="s">
        <v>7</v>
      </c>
      <c r="C2429" t="s">
        <v>47</v>
      </c>
      <c r="E2429" t="s">
        <v>9</v>
      </c>
      <c r="F2429" t="s">
        <v>10</v>
      </c>
    </row>
    <row r="2430" spans="1:6" hidden="1" x14ac:dyDescent="0.35">
      <c r="A2430" t="s">
        <v>60</v>
      </c>
      <c r="B2430" t="s">
        <v>7</v>
      </c>
      <c r="C2430" t="s">
        <v>47</v>
      </c>
      <c r="E2430" t="s">
        <v>9</v>
      </c>
      <c r="F2430" t="s">
        <v>10</v>
      </c>
    </row>
    <row r="2431" spans="1:6" hidden="1" x14ac:dyDescent="0.35">
      <c r="A2431" t="s">
        <v>61</v>
      </c>
      <c r="B2431" t="s">
        <v>7</v>
      </c>
      <c r="C2431" t="s">
        <v>47</v>
      </c>
      <c r="E2431" t="s">
        <v>9</v>
      </c>
      <c r="F2431" t="s">
        <v>10</v>
      </c>
    </row>
    <row r="2432" spans="1:6" hidden="1" x14ac:dyDescent="0.35">
      <c r="A2432" t="s">
        <v>62</v>
      </c>
      <c r="B2432" t="s">
        <v>7</v>
      </c>
      <c r="C2432" t="s">
        <v>47</v>
      </c>
      <c r="E2432" t="s">
        <v>9</v>
      </c>
      <c r="F2432" t="s">
        <v>10</v>
      </c>
    </row>
    <row r="2433" spans="1:6" hidden="1" x14ac:dyDescent="0.35">
      <c r="A2433" t="s">
        <v>63</v>
      </c>
      <c r="B2433" t="s">
        <v>7</v>
      </c>
      <c r="C2433" t="s">
        <v>47</v>
      </c>
      <c r="E2433" t="s">
        <v>9</v>
      </c>
      <c r="F2433" t="s">
        <v>10</v>
      </c>
    </row>
    <row r="2434" spans="1:6" hidden="1" x14ac:dyDescent="0.35">
      <c r="A2434" t="s">
        <v>64</v>
      </c>
      <c r="B2434" t="s">
        <v>7</v>
      </c>
      <c r="C2434" t="s">
        <v>47</v>
      </c>
      <c r="E2434" t="s">
        <v>9</v>
      </c>
      <c r="F2434" t="s">
        <v>10</v>
      </c>
    </row>
    <row r="2435" spans="1:6" hidden="1" x14ac:dyDescent="0.35">
      <c r="A2435" t="s">
        <v>65</v>
      </c>
      <c r="B2435" t="s">
        <v>7</v>
      </c>
      <c r="C2435" t="s">
        <v>47</v>
      </c>
      <c r="E2435" t="s">
        <v>9</v>
      </c>
      <c r="F2435" t="s">
        <v>10</v>
      </c>
    </row>
    <row r="2436" spans="1:6" hidden="1" x14ac:dyDescent="0.35">
      <c r="A2436" t="s">
        <v>66</v>
      </c>
      <c r="B2436" t="s">
        <v>7</v>
      </c>
      <c r="C2436" t="s">
        <v>47</v>
      </c>
      <c r="E2436" t="s">
        <v>9</v>
      </c>
      <c r="F2436" t="s">
        <v>10</v>
      </c>
    </row>
    <row r="2437" spans="1:6" hidden="1" x14ac:dyDescent="0.35">
      <c r="A2437" t="s">
        <v>67</v>
      </c>
      <c r="B2437" t="s">
        <v>7</v>
      </c>
      <c r="C2437" t="s">
        <v>47</v>
      </c>
      <c r="E2437" t="s">
        <v>9</v>
      </c>
      <c r="F2437" t="s">
        <v>10</v>
      </c>
    </row>
    <row r="2438" spans="1:6" hidden="1" x14ac:dyDescent="0.35">
      <c r="A2438" t="s">
        <v>57</v>
      </c>
      <c r="B2438" t="s">
        <v>7</v>
      </c>
      <c r="C2438" t="s">
        <v>48</v>
      </c>
      <c r="D2438">
        <v>0</v>
      </c>
      <c r="E2438" t="s">
        <v>9</v>
      </c>
      <c r="F2438" t="s">
        <v>10</v>
      </c>
    </row>
    <row r="2439" spans="1:6" hidden="1" x14ac:dyDescent="0.35">
      <c r="A2439" t="s">
        <v>11</v>
      </c>
      <c r="B2439" t="s">
        <v>7</v>
      </c>
      <c r="C2439" t="s">
        <v>48</v>
      </c>
      <c r="D2439">
        <v>0</v>
      </c>
      <c r="E2439" t="s">
        <v>9</v>
      </c>
      <c r="F2439" t="s">
        <v>10</v>
      </c>
    </row>
    <row r="2440" spans="1:6" hidden="1" x14ac:dyDescent="0.35">
      <c r="A2440" t="s">
        <v>58</v>
      </c>
      <c r="B2440" t="s">
        <v>7</v>
      </c>
      <c r="C2440" t="s">
        <v>48</v>
      </c>
      <c r="D2440">
        <v>0</v>
      </c>
      <c r="E2440" t="s">
        <v>9</v>
      </c>
      <c r="F2440" t="s">
        <v>10</v>
      </c>
    </row>
    <row r="2441" spans="1:6" hidden="1" x14ac:dyDescent="0.35">
      <c r="A2441" t="s">
        <v>59</v>
      </c>
      <c r="B2441" t="s">
        <v>7</v>
      </c>
      <c r="C2441" t="s">
        <v>48</v>
      </c>
      <c r="D2441">
        <v>0</v>
      </c>
      <c r="E2441" t="s">
        <v>9</v>
      </c>
      <c r="F2441" t="s">
        <v>10</v>
      </c>
    </row>
    <row r="2442" spans="1:6" hidden="1" x14ac:dyDescent="0.35">
      <c r="A2442" t="s">
        <v>60</v>
      </c>
      <c r="B2442" t="s">
        <v>7</v>
      </c>
      <c r="C2442" t="s">
        <v>48</v>
      </c>
      <c r="D2442">
        <v>0</v>
      </c>
      <c r="E2442" t="s">
        <v>9</v>
      </c>
      <c r="F2442" t="s">
        <v>10</v>
      </c>
    </row>
    <row r="2443" spans="1:6" hidden="1" x14ac:dyDescent="0.35">
      <c r="A2443" t="s">
        <v>61</v>
      </c>
      <c r="B2443" t="s">
        <v>7</v>
      </c>
      <c r="C2443" t="s">
        <v>48</v>
      </c>
      <c r="D2443">
        <v>0</v>
      </c>
      <c r="E2443" t="s">
        <v>9</v>
      </c>
      <c r="F2443" t="s">
        <v>10</v>
      </c>
    </row>
    <row r="2444" spans="1:6" hidden="1" x14ac:dyDescent="0.35">
      <c r="A2444" t="s">
        <v>62</v>
      </c>
      <c r="B2444" t="s">
        <v>7</v>
      </c>
      <c r="C2444" t="s">
        <v>48</v>
      </c>
      <c r="D2444">
        <v>0</v>
      </c>
      <c r="E2444" t="s">
        <v>9</v>
      </c>
      <c r="F2444" t="s">
        <v>10</v>
      </c>
    </row>
    <row r="2445" spans="1:6" hidden="1" x14ac:dyDescent="0.35">
      <c r="A2445" t="s">
        <v>63</v>
      </c>
      <c r="B2445" t="s">
        <v>7</v>
      </c>
      <c r="C2445" t="s">
        <v>48</v>
      </c>
      <c r="D2445">
        <v>0</v>
      </c>
      <c r="E2445" t="s">
        <v>9</v>
      </c>
      <c r="F2445" t="s">
        <v>10</v>
      </c>
    </row>
    <row r="2446" spans="1:6" hidden="1" x14ac:dyDescent="0.35">
      <c r="A2446" t="s">
        <v>64</v>
      </c>
      <c r="B2446" t="s">
        <v>7</v>
      </c>
      <c r="C2446" t="s">
        <v>48</v>
      </c>
      <c r="D2446">
        <v>0</v>
      </c>
      <c r="E2446" t="s">
        <v>9</v>
      </c>
      <c r="F2446" t="s">
        <v>10</v>
      </c>
    </row>
    <row r="2447" spans="1:6" hidden="1" x14ac:dyDescent="0.35">
      <c r="A2447" t="s">
        <v>65</v>
      </c>
      <c r="B2447" t="s">
        <v>7</v>
      </c>
      <c r="C2447" t="s">
        <v>48</v>
      </c>
      <c r="D2447">
        <v>0</v>
      </c>
      <c r="E2447" t="s">
        <v>9</v>
      </c>
      <c r="F2447" t="s">
        <v>10</v>
      </c>
    </row>
    <row r="2448" spans="1:6" hidden="1" x14ac:dyDescent="0.35">
      <c r="A2448" t="s">
        <v>66</v>
      </c>
      <c r="B2448" t="s">
        <v>7</v>
      </c>
      <c r="C2448" t="s">
        <v>48</v>
      </c>
      <c r="D2448">
        <v>0</v>
      </c>
      <c r="E2448" t="s">
        <v>9</v>
      </c>
      <c r="F2448" t="s">
        <v>10</v>
      </c>
    </row>
    <row r="2449" spans="1:6" hidden="1" x14ac:dyDescent="0.35">
      <c r="A2449" t="s">
        <v>67</v>
      </c>
      <c r="B2449" t="s">
        <v>7</v>
      </c>
      <c r="C2449" t="s">
        <v>48</v>
      </c>
      <c r="D2449">
        <v>0</v>
      </c>
      <c r="E2449" t="s">
        <v>9</v>
      </c>
      <c r="F2449" t="s">
        <v>10</v>
      </c>
    </row>
    <row r="2450" spans="1:6" hidden="1" x14ac:dyDescent="0.35">
      <c r="A2450" t="s">
        <v>57</v>
      </c>
      <c r="B2450" t="s">
        <v>7</v>
      </c>
      <c r="C2450" t="s">
        <v>49</v>
      </c>
      <c r="E2450" t="s">
        <v>9</v>
      </c>
      <c r="F2450" t="s">
        <v>10</v>
      </c>
    </row>
    <row r="2451" spans="1:6" hidden="1" x14ac:dyDescent="0.35">
      <c r="A2451" t="s">
        <v>11</v>
      </c>
      <c r="B2451" t="s">
        <v>7</v>
      </c>
      <c r="C2451" t="s">
        <v>49</v>
      </c>
      <c r="E2451" t="s">
        <v>9</v>
      </c>
      <c r="F2451" t="s">
        <v>10</v>
      </c>
    </row>
    <row r="2452" spans="1:6" hidden="1" x14ac:dyDescent="0.35">
      <c r="A2452" t="s">
        <v>58</v>
      </c>
      <c r="B2452" t="s">
        <v>7</v>
      </c>
      <c r="C2452" t="s">
        <v>49</v>
      </c>
      <c r="E2452" t="s">
        <v>9</v>
      </c>
      <c r="F2452" t="s">
        <v>10</v>
      </c>
    </row>
    <row r="2453" spans="1:6" hidden="1" x14ac:dyDescent="0.35">
      <c r="A2453" t="s">
        <v>59</v>
      </c>
      <c r="B2453" t="s">
        <v>7</v>
      </c>
      <c r="C2453" t="s">
        <v>49</v>
      </c>
      <c r="E2453" t="s">
        <v>9</v>
      </c>
      <c r="F2453" t="s">
        <v>10</v>
      </c>
    </row>
    <row r="2454" spans="1:6" hidden="1" x14ac:dyDescent="0.35">
      <c r="A2454" t="s">
        <v>60</v>
      </c>
      <c r="B2454" t="s">
        <v>7</v>
      </c>
      <c r="C2454" t="s">
        <v>49</v>
      </c>
      <c r="E2454" t="s">
        <v>9</v>
      </c>
      <c r="F2454" t="s">
        <v>10</v>
      </c>
    </row>
    <row r="2455" spans="1:6" hidden="1" x14ac:dyDescent="0.35">
      <c r="A2455" t="s">
        <v>61</v>
      </c>
      <c r="B2455" t="s">
        <v>7</v>
      </c>
      <c r="C2455" t="s">
        <v>49</v>
      </c>
      <c r="E2455" t="s">
        <v>9</v>
      </c>
      <c r="F2455" t="s">
        <v>10</v>
      </c>
    </row>
    <row r="2456" spans="1:6" hidden="1" x14ac:dyDescent="0.35">
      <c r="A2456" t="s">
        <v>62</v>
      </c>
      <c r="B2456" t="s">
        <v>7</v>
      </c>
      <c r="C2456" t="s">
        <v>49</v>
      </c>
      <c r="D2456">
        <v>14829.022800000001</v>
      </c>
      <c r="E2456" t="s">
        <v>9</v>
      </c>
      <c r="F2456" t="s">
        <v>10</v>
      </c>
    </row>
    <row r="2457" spans="1:6" hidden="1" x14ac:dyDescent="0.35">
      <c r="A2457" t="s">
        <v>63</v>
      </c>
      <c r="B2457" t="s">
        <v>7</v>
      </c>
      <c r="C2457" t="s">
        <v>49</v>
      </c>
      <c r="E2457" t="s">
        <v>9</v>
      </c>
      <c r="F2457" t="s">
        <v>10</v>
      </c>
    </row>
    <row r="2458" spans="1:6" hidden="1" x14ac:dyDescent="0.35">
      <c r="A2458" t="s">
        <v>64</v>
      </c>
      <c r="B2458" t="s">
        <v>7</v>
      </c>
      <c r="C2458" t="s">
        <v>49</v>
      </c>
      <c r="D2458">
        <v>7055.9367999999986</v>
      </c>
      <c r="E2458" t="s">
        <v>9</v>
      </c>
      <c r="F2458" t="s">
        <v>10</v>
      </c>
    </row>
    <row r="2459" spans="1:6" hidden="1" x14ac:dyDescent="0.35">
      <c r="A2459" t="s">
        <v>65</v>
      </c>
      <c r="B2459" t="s">
        <v>7</v>
      </c>
      <c r="C2459" t="s">
        <v>49</v>
      </c>
      <c r="E2459" t="s">
        <v>9</v>
      </c>
      <c r="F2459" t="s">
        <v>10</v>
      </c>
    </row>
    <row r="2460" spans="1:6" hidden="1" x14ac:dyDescent="0.35">
      <c r="A2460" t="s">
        <v>66</v>
      </c>
      <c r="B2460" t="s">
        <v>7</v>
      </c>
      <c r="C2460" t="s">
        <v>49</v>
      </c>
      <c r="E2460" t="s">
        <v>9</v>
      </c>
      <c r="F2460" t="s">
        <v>10</v>
      </c>
    </row>
    <row r="2461" spans="1:6" hidden="1" x14ac:dyDescent="0.35">
      <c r="A2461" t="s">
        <v>67</v>
      </c>
      <c r="B2461" t="s">
        <v>7</v>
      </c>
      <c r="C2461" t="s">
        <v>49</v>
      </c>
      <c r="D2461">
        <v>1374.8332</v>
      </c>
      <c r="E2461" t="s">
        <v>9</v>
      </c>
      <c r="F2461" t="s">
        <v>10</v>
      </c>
    </row>
    <row r="2462" spans="1:6" hidden="1" x14ac:dyDescent="0.35">
      <c r="A2462" t="s">
        <v>57</v>
      </c>
      <c r="B2462" t="s">
        <v>7</v>
      </c>
      <c r="C2462" t="s">
        <v>50</v>
      </c>
      <c r="E2462" t="s">
        <v>9</v>
      </c>
      <c r="F2462" t="s">
        <v>10</v>
      </c>
    </row>
    <row r="2463" spans="1:6" hidden="1" x14ac:dyDescent="0.35">
      <c r="A2463" t="s">
        <v>11</v>
      </c>
      <c r="B2463" t="s">
        <v>7</v>
      </c>
      <c r="C2463" t="s">
        <v>50</v>
      </c>
      <c r="E2463" t="s">
        <v>9</v>
      </c>
      <c r="F2463" t="s">
        <v>10</v>
      </c>
    </row>
    <row r="2464" spans="1:6" hidden="1" x14ac:dyDescent="0.35">
      <c r="A2464" t="s">
        <v>58</v>
      </c>
      <c r="B2464" t="s">
        <v>7</v>
      </c>
      <c r="C2464" t="s">
        <v>50</v>
      </c>
      <c r="E2464" t="s">
        <v>9</v>
      </c>
      <c r="F2464" t="s">
        <v>10</v>
      </c>
    </row>
    <row r="2465" spans="1:6" hidden="1" x14ac:dyDescent="0.35">
      <c r="A2465" t="s">
        <v>59</v>
      </c>
      <c r="B2465" t="s">
        <v>7</v>
      </c>
      <c r="C2465" t="s">
        <v>50</v>
      </c>
      <c r="E2465" t="s">
        <v>9</v>
      </c>
      <c r="F2465" t="s">
        <v>10</v>
      </c>
    </row>
    <row r="2466" spans="1:6" hidden="1" x14ac:dyDescent="0.35">
      <c r="A2466" t="s">
        <v>60</v>
      </c>
      <c r="B2466" t="s">
        <v>7</v>
      </c>
      <c r="C2466" t="s">
        <v>50</v>
      </c>
      <c r="E2466" t="s">
        <v>9</v>
      </c>
      <c r="F2466" t="s">
        <v>10</v>
      </c>
    </row>
    <row r="2467" spans="1:6" hidden="1" x14ac:dyDescent="0.35">
      <c r="A2467" t="s">
        <v>61</v>
      </c>
      <c r="B2467" t="s">
        <v>7</v>
      </c>
      <c r="C2467" t="s">
        <v>50</v>
      </c>
      <c r="E2467" t="s">
        <v>9</v>
      </c>
      <c r="F2467" t="s">
        <v>10</v>
      </c>
    </row>
    <row r="2468" spans="1:6" hidden="1" x14ac:dyDescent="0.35">
      <c r="A2468" t="s">
        <v>62</v>
      </c>
      <c r="B2468" t="s">
        <v>7</v>
      </c>
      <c r="C2468" t="s">
        <v>50</v>
      </c>
      <c r="D2468">
        <v>318406.4436</v>
      </c>
      <c r="E2468" t="s">
        <v>9</v>
      </c>
      <c r="F2468" t="s">
        <v>10</v>
      </c>
    </row>
    <row r="2469" spans="1:6" hidden="1" x14ac:dyDescent="0.35">
      <c r="A2469" t="s">
        <v>63</v>
      </c>
      <c r="B2469" t="s">
        <v>7</v>
      </c>
      <c r="C2469" t="s">
        <v>50</v>
      </c>
      <c r="E2469" t="s">
        <v>9</v>
      </c>
      <c r="F2469" t="s">
        <v>10</v>
      </c>
    </row>
    <row r="2470" spans="1:6" hidden="1" x14ac:dyDescent="0.35">
      <c r="A2470" t="s">
        <v>64</v>
      </c>
      <c r="B2470" t="s">
        <v>7</v>
      </c>
      <c r="C2470" t="s">
        <v>50</v>
      </c>
      <c r="D2470">
        <v>90746.07680000001</v>
      </c>
      <c r="E2470" t="s">
        <v>9</v>
      </c>
      <c r="F2470" t="s">
        <v>10</v>
      </c>
    </row>
    <row r="2471" spans="1:6" hidden="1" x14ac:dyDescent="0.35">
      <c r="A2471" t="s">
        <v>65</v>
      </c>
      <c r="B2471" t="s">
        <v>7</v>
      </c>
      <c r="C2471" t="s">
        <v>50</v>
      </c>
      <c r="E2471" t="s">
        <v>9</v>
      </c>
      <c r="F2471" t="s">
        <v>10</v>
      </c>
    </row>
    <row r="2472" spans="1:6" hidden="1" x14ac:dyDescent="0.35">
      <c r="A2472" t="s">
        <v>66</v>
      </c>
      <c r="B2472" t="s">
        <v>7</v>
      </c>
      <c r="C2472" t="s">
        <v>50</v>
      </c>
      <c r="E2472" t="s">
        <v>9</v>
      </c>
      <c r="F2472" t="s">
        <v>10</v>
      </c>
    </row>
    <row r="2473" spans="1:6" hidden="1" x14ac:dyDescent="0.35">
      <c r="A2473" t="s">
        <v>67</v>
      </c>
      <c r="B2473" t="s">
        <v>7</v>
      </c>
      <c r="C2473" t="s">
        <v>50</v>
      </c>
      <c r="D2473">
        <v>44431.245999999999</v>
      </c>
      <c r="E2473" t="s">
        <v>9</v>
      </c>
      <c r="F2473" t="s">
        <v>10</v>
      </c>
    </row>
    <row r="2474" spans="1:6" hidden="1" x14ac:dyDescent="0.35">
      <c r="A2474" t="s">
        <v>57</v>
      </c>
      <c r="B2474" t="s">
        <v>7</v>
      </c>
      <c r="C2474" t="s">
        <v>51</v>
      </c>
      <c r="D2474">
        <v>2</v>
      </c>
      <c r="E2474" t="s">
        <v>9</v>
      </c>
      <c r="F2474" t="s">
        <v>10</v>
      </c>
    </row>
    <row r="2475" spans="1:6" hidden="1" x14ac:dyDescent="0.35">
      <c r="A2475" t="s">
        <v>11</v>
      </c>
      <c r="B2475" t="s">
        <v>7</v>
      </c>
      <c r="C2475" t="s">
        <v>51</v>
      </c>
      <c r="D2475">
        <v>1</v>
      </c>
      <c r="E2475" t="s">
        <v>9</v>
      </c>
      <c r="F2475" t="s">
        <v>10</v>
      </c>
    </row>
    <row r="2476" spans="1:6" hidden="1" x14ac:dyDescent="0.35">
      <c r="A2476" t="s">
        <v>58</v>
      </c>
      <c r="B2476" t="s">
        <v>7</v>
      </c>
      <c r="C2476" t="s">
        <v>51</v>
      </c>
      <c r="D2476">
        <v>2</v>
      </c>
      <c r="E2476" t="s">
        <v>9</v>
      </c>
      <c r="F2476" t="s">
        <v>10</v>
      </c>
    </row>
    <row r="2477" spans="1:6" hidden="1" x14ac:dyDescent="0.35">
      <c r="A2477" t="s">
        <v>59</v>
      </c>
      <c r="B2477" t="s">
        <v>7</v>
      </c>
      <c r="C2477" t="s">
        <v>51</v>
      </c>
      <c r="D2477">
        <v>5</v>
      </c>
      <c r="E2477" t="s">
        <v>9</v>
      </c>
      <c r="F2477" t="s">
        <v>10</v>
      </c>
    </row>
    <row r="2478" spans="1:6" hidden="1" x14ac:dyDescent="0.35">
      <c r="A2478" t="s">
        <v>60</v>
      </c>
      <c r="B2478" t="s">
        <v>7</v>
      </c>
      <c r="C2478" t="s">
        <v>51</v>
      </c>
      <c r="D2478">
        <v>1</v>
      </c>
      <c r="E2478" t="s">
        <v>9</v>
      </c>
      <c r="F2478" t="s">
        <v>10</v>
      </c>
    </row>
    <row r="2479" spans="1:6" hidden="1" x14ac:dyDescent="0.35">
      <c r="A2479" t="s">
        <v>61</v>
      </c>
      <c r="B2479" t="s">
        <v>7</v>
      </c>
      <c r="C2479" t="s">
        <v>51</v>
      </c>
      <c r="D2479">
        <v>2</v>
      </c>
      <c r="E2479" t="s">
        <v>9</v>
      </c>
      <c r="F2479" t="s">
        <v>10</v>
      </c>
    </row>
    <row r="2480" spans="1:6" hidden="1" x14ac:dyDescent="0.35">
      <c r="A2480" t="s">
        <v>62</v>
      </c>
      <c r="B2480" t="s">
        <v>7</v>
      </c>
      <c r="C2480" t="s">
        <v>51</v>
      </c>
      <c r="D2480">
        <v>1</v>
      </c>
      <c r="E2480" t="s">
        <v>9</v>
      </c>
      <c r="F2480" t="s">
        <v>10</v>
      </c>
    </row>
    <row r="2481" spans="1:6" hidden="1" x14ac:dyDescent="0.35">
      <c r="A2481" t="s">
        <v>63</v>
      </c>
      <c r="B2481" t="s">
        <v>7</v>
      </c>
      <c r="C2481" t="s">
        <v>51</v>
      </c>
      <c r="E2481" t="s">
        <v>9</v>
      </c>
      <c r="F2481" t="s">
        <v>10</v>
      </c>
    </row>
    <row r="2482" spans="1:6" hidden="1" x14ac:dyDescent="0.35">
      <c r="A2482" t="s">
        <v>64</v>
      </c>
      <c r="B2482" t="s">
        <v>7</v>
      </c>
      <c r="C2482" t="s">
        <v>51</v>
      </c>
      <c r="D2482">
        <v>5</v>
      </c>
      <c r="E2482" t="s">
        <v>9</v>
      </c>
      <c r="F2482" t="s">
        <v>10</v>
      </c>
    </row>
    <row r="2483" spans="1:6" hidden="1" x14ac:dyDescent="0.35">
      <c r="A2483" t="s">
        <v>65</v>
      </c>
      <c r="B2483" t="s">
        <v>7</v>
      </c>
      <c r="C2483" t="s">
        <v>51</v>
      </c>
      <c r="D2483">
        <v>3</v>
      </c>
      <c r="E2483" t="s">
        <v>9</v>
      </c>
      <c r="F2483" t="s">
        <v>10</v>
      </c>
    </row>
    <row r="2484" spans="1:6" hidden="1" x14ac:dyDescent="0.35">
      <c r="A2484" t="s">
        <v>66</v>
      </c>
      <c r="B2484" t="s">
        <v>7</v>
      </c>
      <c r="C2484" t="s">
        <v>51</v>
      </c>
      <c r="D2484">
        <v>4</v>
      </c>
      <c r="E2484" t="s">
        <v>9</v>
      </c>
      <c r="F2484" t="s">
        <v>10</v>
      </c>
    </row>
    <row r="2485" spans="1:6" hidden="1" x14ac:dyDescent="0.35">
      <c r="A2485" t="s">
        <v>67</v>
      </c>
      <c r="B2485" t="s">
        <v>7</v>
      </c>
      <c r="C2485" t="s">
        <v>51</v>
      </c>
      <c r="D2485">
        <v>2</v>
      </c>
      <c r="E2485" t="s">
        <v>9</v>
      </c>
      <c r="F2485" t="s">
        <v>10</v>
      </c>
    </row>
    <row r="2486" spans="1:6" hidden="1" x14ac:dyDescent="0.35">
      <c r="A2486" t="s">
        <v>57</v>
      </c>
      <c r="B2486" t="s">
        <v>7</v>
      </c>
      <c r="C2486" t="s">
        <v>30</v>
      </c>
      <c r="E2486" t="s">
        <v>9</v>
      </c>
      <c r="F2486" t="s">
        <v>10</v>
      </c>
    </row>
    <row r="2487" spans="1:6" hidden="1" x14ac:dyDescent="0.35">
      <c r="A2487" t="s">
        <v>11</v>
      </c>
      <c r="B2487" t="s">
        <v>7</v>
      </c>
      <c r="C2487" t="s">
        <v>30</v>
      </c>
      <c r="E2487" t="s">
        <v>9</v>
      </c>
      <c r="F2487" t="s">
        <v>10</v>
      </c>
    </row>
    <row r="2488" spans="1:6" hidden="1" x14ac:dyDescent="0.35">
      <c r="A2488" t="s">
        <v>58</v>
      </c>
      <c r="B2488" t="s">
        <v>7</v>
      </c>
      <c r="C2488" t="s">
        <v>30</v>
      </c>
      <c r="E2488" t="s">
        <v>9</v>
      </c>
      <c r="F2488" t="s">
        <v>10</v>
      </c>
    </row>
    <row r="2489" spans="1:6" hidden="1" x14ac:dyDescent="0.35">
      <c r="A2489" t="s">
        <v>59</v>
      </c>
      <c r="B2489" t="s">
        <v>7</v>
      </c>
      <c r="C2489" t="s">
        <v>30</v>
      </c>
      <c r="E2489" t="s">
        <v>9</v>
      </c>
      <c r="F2489" t="s">
        <v>10</v>
      </c>
    </row>
    <row r="2490" spans="1:6" hidden="1" x14ac:dyDescent="0.35">
      <c r="A2490" t="s">
        <v>60</v>
      </c>
      <c r="B2490" t="s">
        <v>7</v>
      </c>
      <c r="C2490" t="s">
        <v>30</v>
      </c>
      <c r="E2490" t="s">
        <v>9</v>
      </c>
      <c r="F2490" t="s">
        <v>10</v>
      </c>
    </row>
    <row r="2491" spans="1:6" hidden="1" x14ac:dyDescent="0.35">
      <c r="A2491" t="s">
        <v>61</v>
      </c>
      <c r="B2491" t="s">
        <v>7</v>
      </c>
      <c r="C2491" t="s">
        <v>30</v>
      </c>
      <c r="E2491" t="s">
        <v>9</v>
      </c>
      <c r="F2491" t="s">
        <v>10</v>
      </c>
    </row>
    <row r="2492" spans="1:6" hidden="1" x14ac:dyDescent="0.35">
      <c r="A2492" t="s">
        <v>62</v>
      </c>
      <c r="B2492" t="s">
        <v>7</v>
      </c>
      <c r="C2492" t="s">
        <v>30</v>
      </c>
      <c r="E2492" t="s">
        <v>9</v>
      </c>
      <c r="F2492" t="s">
        <v>10</v>
      </c>
    </row>
    <row r="2493" spans="1:6" hidden="1" x14ac:dyDescent="0.35">
      <c r="A2493" t="s">
        <v>63</v>
      </c>
      <c r="B2493" t="s">
        <v>7</v>
      </c>
      <c r="C2493" t="s">
        <v>30</v>
      </c>
      <c r="E2493" t="s">
        <v>9</v>
      </c>
      <c r="F2493" t="s">
        <v>10</v>
      </c>
    </row>
    <row r="2494" spans="1:6" hidden="1" x14ac:dyDescent="0.35">
      <c r="A2494" t="s">
        <v>64</v>
      </c>
      <c r="B2494" t="s">
        <v>7</v>
      </c>
      <c r="C2494" t="s">
        <v>30</v>
      </c>
      <c r="E2494" t="s">
        <v>9</v>
      </c>
      <c r="F2494" t="s">
        <v>10</v>
      </c>
    </row>
    <row r="2495" spans="1:6" hidden="1" x14ac:dyDescent="0.35">
      <c r="A2495" t="s">
        <v>65</v>
      </c>
      <c r="B2495" t="s">
        <v>7</v>
      </c>
      <c r="C2495" t="s">
        <v>30</v>
      </c>
      <c r="E2495" t="s">
        <v>9</v>
      </c>
      <c r="F2495" t="s">
        <v>10</v>
      </c>
    </row>
    <row r="2496" spans="1:6" hidden="1" x14ac:dyDescent="0.35">
      <c r="A2496" t="s">
        <v>66</v>
      </c>
      <c r="B2496" t="s">
        <v>7</v>
      </c>
      <c r="C2496" t="s">
        <v>30</v>
      </c>
      <c r="E2496" t="s">
        <v>9</v>
      </c>
      <c r="F2496" t="s">
        <v>10</v>
      </c>
    </row>
    <row r="2497" spans="1:6" hidden="1" x14ac:dyDescent="0.35">
      <c r="A2497" t="s">
        <v>67</v>
      </c>
      <c r="B2497" t="s">
        <v>7</v>
      </c>
      <c r="C2497" t="s">
        <v>30</v>
      </c>
      <c r="D2497">
        <v>1</v>
      </c>
      <c r="E2497" t="s">
        <v>9</v>
      </c>
      <c r="F2497" t="s">
        <v>10</v>
      </c>
    </row>
    <row r="2498" spans="1:6" hidden="1" x14ac:dyDescent="0.35">
      <c r="A2498" t="s">
        <v>57</v>
      </c>
      <c r="B2498" t="s">
        <v>7</v>
      </c>
      <c r="C2498" t="s">
        <v>52</v>
      </c>
      <c r="E2498" t="s">
        <v>9</v>
      </c>
      <c r="F2498" t="s">
        <v>10</v>
      </c>
    </row>
    <row r="2499" spans="1:6" hidden="1" x14ac:dyDescent="0.35">
      <c r="A2499" t="s">
        <v>11</v>
      </c>
      <c r="B2499" t="s">
        <v>7</v>
      </c>
      <c r="C2499" t="s">
        <v>52</v>
      </c>
      <c r="D2499">
        <v>1</v>
      </c>
      <c r="E2499" t="s">
        <v>9</v>
      </c>
      <c r="F2499" t="s">
        <v>10</v>
      </c>
    </row>
    <row r="2500" spans="1:6" hidden="1" x14ac:dyDescent="0.35">
      <c r="A2500" t="s">
        <v>58</v>
      </c>
      <c r="B2500" t="s">
        <v>7</v>
      </c>
      <c r="C2500" t="s">
        <v>52</v>
      </c>
      <c r="D2500">
        <v>2</v>
      </c>
      <c r="E2500" t="s">
        <v>9</v>
      </c>
      <c r="F2500" t="s">
        <v>10</v>
      </c>
    </row>
    <row r="2501" spans="1:6" hidden="1" x14ac:dyDescent="0.35">
      <c r="A2501" t="s">
        <v>59</v>
      </c>
      <c r="B2501" t="s">
        <v>7</v>
      </c>
      <c r="C2501" t="s">
        <v>52</v>
      </c>
      <c r="D2501">
        <v>1</v>
      </c>
      <c r="E2501" t="s">
        <v>9</v>
      </c>
      <c r="F2501" t="s">
        <v>10</v>
      </c>
    </row>
    <row r="2502" spans="1:6" hidden="1" x14ac:dyDescent="0.35">
      <c r="A2502" t="s">
        <v>60</v>
      </c>
      <c r="B2502" t="s">
        <v>7</v>
      </c>
      <c r="C2502" t="s">
        <v>52</v>
      </c>
      <c r="E2502" t="s">
        <v>9</v>
      </c>
      <c r="F2502" t="s">
        <v>10</v>
      </c>
    </row>
    <row r="2503" spans="1:6" hidden="1" x14ac:dyDescent="0.35">
      <c r="A2503" t="s">
        <v>61</v>
      </c>
      <c r="B2503" t="s">
        <v>7</v>
      </c>
      <c r="C2503" t="s">
        <v>52</v>
      </c>
      <c r="D2503">
        <v>2</v>
      </c>
      <c r="E2503" t="s">
        <v>9</v>
      </c>
      <c r="F2503" t="s">
        <v>10</v>
      </c>
    </row>
    <row r="2504" spans="1:6" hidden="1" x14ac:dyDescent="0.35">
      <c r="A2504" t="s">
        <v>62</v>
      </c>
      <c r="B2504" t="s">
        <v>7</v>
      </c>
      <c r="C2504" t="s">
        <v>52</v>
      </c>
      <c r="D2504">
        <v>1</v>
      </c>
      <c r="E2504" t="s">
        <v>9</v>
      </c>
      <c r="F2504" t="s">
        <v>10</v>
      </c>
    </row>
    <row r="2505" spans="1:6" hidden="1" x14ac:dyDescent="0.35">
      <c r="A2505" t="s">
        <v>63</v>
      </c>
      <c r="B2505" t="s">
        <v>7</v>
      </c>
      <c r="C2505" t="s">
        <v>52</v>
      </c>
      <c r="E2505" t="s">
        <v>9</v>
      </c>
      <c r="F2505" t="s">
        <v>10</v>
      </c>
    </row>
    <row r="2506" spans="1:6" hidden="1" x14ac:dyDescent="0.35">
      <c r="A2506" t="s">
        <v>64</v>
      </c>
      <c r="B2506" t="s">
        <v>7</v>
      </c>
      <c r="C2506" t="s">
        <v>52</v>
      </c>
      <c r="D2506">
        <v>1</v>
      </c>
      <c r="E2506" t="s">
        <v>9</v>
      </c>
      <c r="F2506" t="s">
        <v>10</v>
      </c>
    </row>
    <row r="2507" spans="1:6" hidden="1" x14ac:dyDescent="0.35">
      <c r="A2507" t="s">
        <v>65</v>
      </c>
      <c r="B2507" t="s">
        <v>7</v>
      </c>
      <c r="C2507" t="s">
        <v>52</v>
      </c>
      <c r="E2507" t="s">
        <v>9</v>
      </c>
      <c r="F2507" t="s">
        <v>10</v>
      </c>
    </row>
    <row r="2508" spans="1:6" hidden="1" x14ac:dyDescent="0.35">
      <c r="A2508" t="s">
        <v>66</v>
      </c>
      <c r="B2508" t="s">
        <v>7</v>
      </c>
      <c r="C2508" t="s">
        <v>52</v>
      </c>
      <c r="D2508">
        <v>2</v>
      </c>
      <c r="E2508" t="s">
        <v>9</v>
      </c>
      <c r="F2508" t="s">
        <v>10</v>
      </c>
    </row>
    <row r="2509" spans="1:6" hidden="1" x14ac:dyDescent="0.35">
      <c r="A2509" t="s">
        <v>67</v>
      </c>
      <c r="B2509" t="s">
        <v>7</v>
      </c>
      <c r="C2509" t="s">
        <v>52</v>
      </c>
      <c r="D2509">
        <v>2</v>
      </c>
      <c r="E2509" t="s">
        <v>9</v>
      </c>
      <c r="F2509" t="s">
        <v>10</v>
      </c>
    </row>
    <row r="2510" spans="1:6" hidden="1" x14ac:dyDescent="0.35">
      <c r="A2510" t="s">
        <v>57</v>
      </c>
      <c r="B2510" t="s">
        <v>32</v>
      </c>
      <c r="C2510" t="s">
        <v>44</v>
      </c>
      <c r="E2510" t="s">
        <v>9</v>
      </c>
      <c r="F2510" t="s">
        <v>10</v>
      </c>
    </row>
    <row r="2511" spans="1:6" hidden="1" x14ac:dyDescent="0.35">
      <c r="A2511" t="s">
        <v>11</v>
      </c>
      <c r="B2511" t="s">
        <v>32</v>
      </c>
      <c r="C2511" t="s">
        <v>44</v>
      </c>
      <c r="E2511" t="s">
        <v>9</v>
      </c>
      <c r="F2511" t="s">
        <v>10</v>
      </c>
    </row>
    <row r="2512" spans="1:6" hidden="1" x14ac:dyDescent="0.35">
      <c r="A2512" t="s">
        <v>58</v>
      </c>
      <c r="B2512" t="s">
        <v>32</v>
      </c>
      <c r="C2512" t="s">
        <v>44</v>
      </c>
      <c r="E2512" t="s">
        <v>9</v>
      </c>
      <c r="F2512" t="s">
        <v>10</v>
      </c>
    </row>
    <row r="2513" spans="1:6" hidden="1" x14ac:dyDescent="0.35">
      <c r="A2513" t="s">
        <v>59</v>
      </c>
      <c r="B2513" t="s">
        <v>32</v>
      </c>
      <c r="C2513" t="s">
        <v>44</v>
      </c>
      <c r="E2513" t="s">
        <v>9</v>
      </c>
      <c r="F2513" t="s">
        <v>10</v>
      </c>
    </row>
    <row r="2514" spans="1:6" hidden="1" x14ac:dyDescent="0.35">
      <c r="A2514" t="s">
        <v>60</v>
      </c>
      <c r="B2514" t="s">
        <v>32</v>
      </c>
      <c r="C2514" t="s">
        <v>44</v>
      </c>
      <c r="E2514" t="s">
        <v>9</v>
      </c>
      <c r="F2514" t="s">
        <v>10</v>
      </c>
    </row>
    <row r="2515" spans="1:6" hidden="1" x14ac:dyDescent="0.35">
      <c r="A2515" t="s">
        <v>61</v>
      </c>
      <c r="B2515" t="s">
        <v>32</v>
      </c>
      <c r="C2515" t="s">
        <v>44</v>
      </c>
      <c r="D2515">
        <v>50414.487800000003</v>
      </c>
      <c r="E2515" t="s">
        <v>9</v>
      </c>
      <c r="F2515" t="s">
        <v>10</v>
      </c>
    </row>
    <row r="2516" spans="1:6" hidden="1" x14ac:dyDescent="0.35">
      <c r="A2516" t="s">
        <v>62</v>
      </c>
      <c r="B2516" t="s">
        <v>32</v>
      </c>
      <c r="C2516" t="s">
        <v>44</v>
      </c>
      <c r="E2516" t="s">
        <v>9</v>
      </c>
      <c r="F2516" t="s">
        <v>10</v>
      </c>
    </row>
    <row r="2517" spans="1:6" hidden="1" x14ac:dyDescent="0.35">
      <c r="A2517" t="s">
        <v>63</v>
      </c>
      <c r="B2517" t="s">
        <v>32</v>
      </c>
      <c r="C2517" t="s">
        <v>44</v>
      </c>
      <c r="D2517">
        <v>0</v>
      </c>
      <c r="E2517" t="s">
        <v>9</v>
      </c>
      <c r="F2517" t="s">
        <v>10</v>
      </c>
    </row>
    <row r="2518" spans="1:6" hidden="1" x14ac:dyDescent="0.35">
      <c r="A2518" t="s">
        <v>64</v>
      </c>
      <c r="B2518" t="s">
        <v>32</v>
      </c>
      <c r="C2518" t="s">
        <v>44</v>
      </c>
      <c r="E2518" t="s">
        <v>9</v>
      </c>
      <c r="F2518" t="s">
        <v>10</v>
      </c>
    </row>
    <row r="2519" spans="1:6" hidden="1" x14ac:dyDescent="0.35">
      <c r="A2519" t="s">
        <v>65</v>
      </c>
      <c r="B2519" t="s">
        <v>32</v>
      </c>
      <c r="C2519" t="s">
        <v>44</v>
      </c>
      <c r="E2519" t="s">
        <v>9</v>
      </c>
      <c r="F2519" t="s">
        <v>10</v>
      </c>
    </row>
    <row r="2520" spans="1:6" hidden="1" x14ac:dyDescent="0.35">
      <c r="A2520" t="s">
        <v>66</v>
      </c>
      <c r="B2520" t="s">
        <v>32</v>
      </c>
      <c r="C2520" t="s">
        <v>44</v>
      </c>
      <c r="E2520" t="s">
        <v>9</v>
      </c>
      <c r="F2520" t="s">
        <v>10</v>
      </c>
    </row>
    <row r="2521" spans="1:6" hidden="1" x14ac:dyDescent="0.35">
      <c r="A2521" t="s">
        <v>67</v>
      </c>
      <c r="B2521" t="s">
        <v>32</v>
      </c>
      <c r="C2521" t="s">
        <v>44</v>
      </c>
      <c r="D2521">
        <v>0</v>
      </c>
      <c r="E2521" t="s">
        <v>9</v>
      </c>
      <c r="F2521" t="s">
        <v>10</v>
      </c>
    </row>
    <row r="2522" spans="1:6" hidden="1" x14ac:dyDescent="0.35">
      <c r="A2522" t="s">
        <v>57</v>
      </c>
      <c r="B2522" t="s">
        <v>32</v>
      </c>
      <c r="C2522" t="s">
        <v>22</v>
      </c>
      <c r="D2522">
        <v>0</v>
      </c>
      <c r="E2522" t="s">
        <v>9</v>
      </c>
      <c r="F2522" t="s">
        <v>10</v>
      </c>
    </row>
    <row r="2523" spans="1:6" hidden="1" x14ac:dyDescent="0.35">
      <c r="A2523" t="s">
        <v>11</v>
      </c>
      <c r="B2523" t="s">
        <v>32</v>
      </c>
      <c r="C2523" t="s">
        <v>22</v>
      </c>
      <c r="D2523">
        <v>0</v>
      </c>
      <c r="E2523" t="s">
        <v>9</v>
      </c>
      <c r="F2523" t="s">
        <v>10</v>
      </c>
    </row>
    <row r="2524" spans="1:6" hidden="1" x14ac:dyDescent="0.35">
      <c r="A2524" t="s">
        <v>58</v>
      </c>
      <c r="B2524" t="s">
        <v>32</v>
      </c>
      <c r="C2524" t="s">
        <v>22</v>
      </c>
      <c r="D2524">
        <v>0</v>
      </c>
      <c r="E2524" t="s">
        <v>9</v>
      </c>
      <c r="F2524" t="s">
        <v>10</v>
      </c>
    </row>
    <row r="2525" spans="1:6" hidden="1" x14ac:dyDescent="0.35">
      <c r="A2525" t="s">
        <v>59</v>
      </c>
      <c r="B2525" t="s">
        <v>32</v>
      </c>
      <c r="C2525" t="s">
        <v>22</v>
      </c>
      <c r="D2525">
        <v>0</v>
      </c>
      <c r="E2525" t="s">
        <v>9</v>
      </c>
      <c r="F2525" t="s">
        <v>10</v>
      </c>
    </row>
    <row r="2526" spans="1:6" hidden="1" x14ac:dyDescent="0.35">
      <c r="A2526" t="s">
        <v>60</v>
      </c>
      <c r="B2526" t="s">
        <v>32</v>
      </c>
      <c r="C2526" t="s">
        <v>22</v>
      </c>
      <c r="D2526">
        <v>0</v>
      </c>
      <c r="E2526" t="s">
        <v>9</v>
      </c>
      <c r="F2526" t="s">
        <v>10</v>
      </c>
    </row>
    <row r="2527" spans="1:6" hidden="1" x14ac:dyDescent="0.35">
      <c r="A2527" t="s">
        <v>61</v>
      </c>
      <c r="B2527" t="s">
        <v>32</v>
      </c>
      <c r="C2527" t="s">
        <v>22</v>
      </c>
      <c r="D2527">
        <v>0</v>
      </c>
      <c r="E2527" t="s">
        <v>9</v>
      </c>
      <c r="F2527" t="s">
        <v>10</v>
      </c>
    </row>
    <row r="2528" spans="1:6" hidden="1" x14ac:dyDescent="0.35">
      <c r="A2528" t="s">
        <v>62</v>
      </c>
      <c r="B2528" t="s">
        <v>32</v>
      </c>
      <c r="C2528" t="s">
        <v>22</v>
      </c>
      <c r="D2528">
        <v>0</v>
      </c>
      <c r="E2528" t="s">
        <v>9</v>
      </c>
      <c r="F2528" t="s">
        <v>10</v>
      </c>
    </row>
    <row r="2529" spans="1:6" hidden="1" x14ac:dyDescent="0.35">
      <c r="A2529" t="s">
        <v>63</v>
      </c>
      <c r="B2529" t="s">
        <v>32</v>
      </c>
      <c r="C2529" t="s">
        <v>22</v>
      </c>
      <c r="D2529">
        <v>0</v>
      </c>
      <c r="E2529" t="s">
        <v>9</v>
      </c>
      <c r="F2529" t="s">
        <v>10</v>
      </c>
    </row>
    <row r="2530" spans="1:6" hidden="1" x14ac:dyDescent="0.35">
      <c r="A2530" t="s">
        <v>64</v>
      </c>
      <c r="B2530" t="s">
        <v>32</v>
      </c>
      <c r="C2530" t="s">
        <v>22</v>
      </c>
      <c r="D2530">
        <v>0</v>
      </c>
      <c r="E2530" t="s">
        <v>9</v>
      </c>
      <c r="F2530" t="s">
        <v>10</v>
      </c>
    </row>
    <row r="2531" spans="1:6" hidden="1" x14ac:dyDescent="0.35">
      <c r="A2531" t="s">
        <v>65</v>
      </c>
      <c r="B2531" t="s">
        <v>32</v>
      </c>
      <c r="C2531" t="s">
        <v>22</v>
      </c>
      <c r="D2531">
        <v>0</v>
      </c>
      <c r="E2531" t="s">
        <v>9</v>
      </c>
      <c r="F2531" t="s">
        <v>10</v>
      </c>
    </row>
    <row r="2532" spans="1:6" hidden="1" x14ac:dyDescent="0.35">
      <c r="A2532" t="s">
        <v>66</v>
      </c>
      <c r="B2532" t="s">
        <v>32</v>
      </c>
      <c r="C2532" t="s">
        <v>22</v>
      </c>
      <c r="D2532">
        <v>0</v>
      </c>
      <c r="E2532" t="s">
        <v>9</v>
      </c>
      <c r="F2532" t="s">
        <v>10</v>
      </c>
    </row>
    <row r="2533" spans="1:6" hidden="1" x14ac:dyDescent="0.35">
      <c r="A2533" t="s">
        <v>67</v>
      </c>
      <c r="B2533" t="s">
        <v>32</v>
      </c>
      <c r="C2533" t="s">
        <v>22</v>
      </c>
      <c r="D2533">
        <v>0</v>
      </c>
      <c r="E2533" t="s">
        <v>9</v>
      </c>
      <c r="F2533" t="s">
        <v>10</v>
      </c>
    </row>
    <row r="2534" spans="1:6" hidden="1" x14ac:dyDescent="0.35">
      <c r="A2534" t="s">
        <v>57</v>
      </c>
      <c r="B2534" t="s">
        <v>32</v>
      </c>
      <c r="C2534" t="s">
        <v>46</v>
      </c>
      <c r="E2534" t="s">
        <v>9</v>
      </c>
      <c r="F2534" t="s">
        <v>10</v>
      </c>
    </row>
    <row r="2535" spans="1:6" hidden="1" x14ac:dyDescent="0.35">
      <c r="A2535" t="s">
        <v>11</v>
      </c>
      <c r="B2535" t="s">
        <v>32</v>
      </c>
      <c r="C2535" t="s">
        <v>46</v>
      </c>
      <c r="E2535" t="s">
        <v>9</v>
      </c>
      <c r="F2535" t="s">
        <v>10</v>
      </c>
    </row>
    <row r="2536" spans="1:6" hidden="1" x14ac:dyDescent="0.35">
      <c r="A2536" t="s">
        <v>58</v>
      </c>
      <c r="B2536" t="s">
        <v>32</v>
      </c>
      <c r="C2536" t="s">
        <v>46</v>
      </c>
      <c r="E2536" t="s">
        <v>9</v>
      </c>
      <c r="F2536" t="s">
        <v>10</v>
      </c>
    </row>
    <row r="2537" spans="1:6" hidden="1" x14ac:dyDescent="0.35">
      <c r="A2537" t="s">
        <v>59</v>
      </c>
      <c r="B2537" t="s">
        <v>32</v>
      </c>
      <c r="C2537" t="s">
        <v>46</v>
      </c>
      <c r="E2537" t="s">
        <v>9</v>
      </c>
      <c r="F2537" t="s">
        <v>10</v>
      </c>
    </row>
    <row r="2538" spans="1:6" hidden="1" x14ac:dyDescent="0.35">
      <c r="A2538" t="s">
        <v>60</v>
      </c>
      <c r="B2538" t="s">
        <v>32</v>
      </c>
      <c r="C2538" t="s">
        <v>46</v>
      </c>
      <c r="E2538" t="s">
        <v>9</v>
      </c>
      <c r="F2538" t="s">
        <v>10</v>
      </c>
    </row>
    <row r="2539" spans="1:6" hidden="1" x14ac:dyDescent="0.35">
      <c r="A2539" t="s">
        <v>61</v>
      </c>
      <c r="B2539" t="s">
        <v>32</v>
      </c>
      <c r="C2539" t="s">
        <v>46</v>
      </c>
      <c r="D2539">
        <v>105009.9828</v>
      </c>
      <c r="E2539" t="s">
        <v>9</v>
      </c>
      <c r="F2539" t="s">
        <v>10</v>
      </c>
    </row>
    <row r="2540" spans="1:6" hidden="1" x14ac:dyDescent="0.35">
      <c r="A2540" t="s">
        <v>62</v>
      </c>
      <c r="B2540" t="s">
        <v>32</v>
      </c>
      <c r="C2540" t="s">
        <v>46</v>
      </c>
      <c r="E2540" t="s">
        <v>9</v>
      </c>
      <c r="F2540" t="s">
        <v>10</v>
      </c>
    </row>
    <row r="2541" spans="1:6" hidden="1" x14ac:dyDescent="0.35">
      <c r="A2541" t="s">
        <v>63</v>
      </c>
      <c r="B2541" t="s">
        <v>32</v>
      </c>
      <c r="C2541" t="s">
        <v>46</v>
      </c>
      <c r="D2541">
        <v>0</v>
      </c>
      <c r="E2541" t="s">
        <v>9</v>
      </c>
      <c r="F2541" t="s">
        <v>10</v>
      </c>
    </row>
    <row r="2542" spans="1:6" hidden="1" x14ac:dyDescent="0.35">
      <c r="A2542" t="s">
        <v>64</v>
      </c>
      <c r="B2542" t="s">
        <v>32</v>
      </c>
      <c r="C2542" t="s">
        <v>46</v>
      </c>
      <c r="E2542" t="s">
        <v>9</v>
      </c>
      <c r="F2542" t="s">
        <v>10</v>
      </c>
    </row>
    <row r="2543" spans="1:6" hidden="1" x14ac:dyDescent="0.35">
      <c r="A2543" t="s">
        <v>65</v>
      </c>
      <c r="B2543" t="s">
        <v>32</v>
      </c>
      <c r="C2543" t="s">
        <v>46</v>
      </c>
      <c r="E2543" t="s">
        <v>9</v>
      </c>
      <c r="F2543" t="s">
        <v>10</v>
      </c>
    </row>
    <row r="2544" spans="1:6" hidden="1" x14ac:dyDescent="0.35">
      <c r="A2544" t="s">
        <v>66</v>
      </c>
      <c r="B2544" t="s">
        <v>32</v>
      </c>
      <c r="C2544" t="s">
        <v>46</v>
      </c>
      <c r="E2544" t="s">
        <v>9</v>
      </c>
      <c r="F2544" t="s">
        <v>10</v>
      </c>
    </row>
    <row r="2545" spans="1:6" hidden="1" x14ac:dyDescent="0.35">
      <c r="A2545" t="s">
        <v>67</v>
      </c>
      <c r="B2545" t="s">
        <v>32</v>
      </c>
      <c r="C2545" t="s">
        <v>46</v>
      </c>
      <c r="D2545">
        <v>68899.223599999998</v>
      </c>
      <c r="E2545" t="s">
        <v>9</v>
      </c>
      <c r="F2545" t="s">
        <v>10</v>
      </c>
    </row>
    <row r="2546" spans="1:6" hidden="1" x14ac:dyDescent="0.35">
      <c r="A2546" t="s">
        <v>57</v>
      </c>
      <c r="B2546" t="s">
        <v>32</v>
      </c>
      <c r="C2546" t="s">
        <v>24</v>
      </c>
      <c r="D2546">
        <v>0</v>
      </c>
      <c r="E2546" t="s">
        <v>9</v>
      </c>
      <c r="F2546" t="s">
        <v>10</v>
      </c>
    </row>
    <row r="2547" spans="1:6" hidden="1" x14ac:dyDescent="0.35">
      <c r="A2547" t="s">
        <v>11</v>
      </c>
      <c r="B2547" t="s">
        <v>32</v>
      </c>
      <c r="C2547" t="s">
        <v>24</v>
      </c>
      <c r="D2547">
        <v>0</v>
      </c>
      <c r="E2547" t="s">
        <v>9</v>
      </c>
      <c r="F2547" t="s">
        <v>10</v>
      </c>
    </row>
    <row r="2548" spans="1:6" hidden="1" x14ac:dyDescent="0.35">
      <c r="A2548" t="s">
        <v>58</v>
      </c>
      <c r="B2548" t="s">
        <v>32</v>
      </c>
      <c r="C2548" t="s">
        <v>24</v>
      </c>
      <c r="D2548">
        <v>0</v>
      </c>
      <c r="E2548" t="s">
        <v>9</v>
      </c>
      <c r="F2548" t="s">
        <v>10</v>
      </c>
    </row>
    <row r="2549" spans="1:6" hidden="1" x14ac:dyDescent="0.35">
      <c r="A2549" t="s">
        <v>59</v>
      </c>
      <c r="B2549" t="s">
        <v>32</v>
      </c>
      <c r="C2549" t="s">
        <v>24</v>
      </c>
      <c r="D2549">
        <v>0</v>
      </c>
      <c r="E2549" t="s">
        <v>9</v>
      </c>
      <c r="F2549" t="s">
        <v>10</v>
      </c>
    </row>
    <row r="2550" spans="1:6" hidden="1" x14ac:dyDescent="0.35">
      <c r="A2550" t="s">
        <v>60</v>
      </c>
      <c r="B2550" t="s">
        <v>32</v>
      </c>
      <c r="C2550" t="s">
        <v>24</v>
      </c>
      <c r="D2550">
        <v>0</v>
      </c>
      <c r="E2550" t="s">
        <v>9</v>
      </c>
      <c r="F2550" t="s">
        <v>10</v>
      </c>
    </row>
    <row r="2551" spans="1:6" hidden="1" x14ac:dyDescent="0.35">
      <c r="A2551" t="s">
        <v>61</v>
      </c>
      <c r="B2551" t="s">
        <v>32</v>
      </c>
      <c r="C2551" t="s">
        <v>24</v>
      </c>
      <c r="D2551">
        <v>0</v>
      </c>
      <c r="E2551" t="s">
        <v>9</v>
      </c>
      <c r="F2551" t="s">
        <v>10</v>
      </c>
    </row>
    <row r="2552" spans="1:6" hidden="1" x14ac:dyDescent="0.35">
      <c r="A2552" t="s">
        <v>62</v>
      </c>
      <c r="B2552" t="s">
        <v>32</v>
      </c>
      <c r="C2552" t="s">
        <v>24</v>
      </c>
      <c r="D2552">
        <v>0</v>
      </c>
      <c r="E2552" t="s">
        <v>9</v>
      </c>
      <c r="F2552" t="s">
        <v>10</v>
      </c>
    </row>
    <row r="2553" spans="1:6" hidden="1" x14ac:dyDescent="0.35">
      <c r="A2553" t="s">
        <v>63</v>
      </c>
      <c r="B2553" t="s">
        <v>32</v>
      </c>
      <c r="C2553" t="s">
        <v>24</v>
      </c>
      <c r="D2553">
        <v>0</v>
      </c>
      <c r="E2553" t="s">
        <v>9</v>
      </c>
      <c r="F2553" t="s">
        <v>10</v>
      </c>
    </row>
    <row r="2554" spans="1:6" hidden="1" x14ac:dyDescent="0.35">
      <c r="A2554" t="s">
        <v>64</v>
      </c>
      <c r="B2554" t="s">
        <v>32</v>
      </c>
      <c r="C2554" t="s">
        <v>24</v>
      </c>
      <c r="D2554">
        <v>0</v>
      </c>
      <c r="E2554" t="s">
        <v>9</v>
      </c>
      <c r="F2554" t="s">
        <v>10</v>
      </c>
    </row>
    <row r="2555" spans="1:6" hidden="1" x14ac:dyDescent="0.35">
      <c r="A2555" t="s">
        <v>65</v>
      </c>
      <c r="B2555" t="s">
        <v>32</v>
      </c>
      <c r="C2555" t="s">
        <v>24</v>
      </c>
      <c r="D2555">
        <v>0</v>
      </c>
      <c r="E2555" t="s">
        <v>9</v>
      </c>
      <c r="F2555" t="s">
        <v>10</v>
      </c>
    </row>
    <row r="2556" spans="1:6" hidden="1" x14ac:dyDescent="0.35">
      <c r="A2556" t="s">
        <v>66</v>
      </c>
      <c r="B2556" t="s">
        <v>32</v>
      </c>
      <c r="C2556" t="s">
        <v>24</v>
      </c>
      <c r="D2556">
        <v>0</v>
      </c>
      <c r="E2556" t="s">
        <v>9</v>
      </c>
      <c r="F2556" t="s">
        <v>10</v>
      </c>
    </row>
    <row r="2557" spans="1:6" hidden="1" x14ac:dyDescent="0.35">
      <c r="A2557" t="s">
        <v>67</v>
      </c>
      <c r="B2557" t="s">
        <v>32</v>
      </c>
      <c r="C2557" t="s">
        <v>24</v>
      </c>
      <c r="D2557">
        <v>0</v>
      </c>
      <c r="E2557" t="s">
        <v>9</v>
      </c>
      <c r="F2557" t="s">
        <v>10</v>
      </c>
    </row>
    <row r="2558" spans="1:6" hidden="1" x14ac:dyDescent="0.35">
      <c r="A2558" t="s">
        <v>57</v>
      </c>
      <c r="B2558" t="s">
        <v>32</v>
      </c>
      <c r="C2558" t="s">
        <v>47</v>
      </c>
      <c r="E2558" t="s">
        <v>9</v>
      </c>
      <c r="F2558" t="s">
        <v>10</v>
      </c>
    </row>
    <row r="2559" spans="1:6" hidden="1" x14ac:dyDescent="0.35">
      <c r="A2559" t="s">
        <v>11</v>
      </c>
      <c r="B2559" t="s">
        <v>32</v>
      </c>
      <c r="C2559" t="s">
        <v>47</v>
      </c>
      <c r="E2559" t="s">
        <v>9</v>
      </c>
      <c r="F2559" t="s">
        <v>10</v>
      </c>
    </row>
    <row r="2560" spans="1:6" hidden="1" x14ac:dyDescent="0.35">
      <c r="A2560" t="s">
        <v>58</v>
      </c>
      <c r="B2560" t="s">
        <v>32</v>
      </c>
      <c r="C2560" t="s">
        <v>47</v>
      </c>
      <c r="E2560" t="s">
        <v>9</v>
      </c>
      <c r="F2560" t="s">
        <v>10</v>
      </c>
    </row>
    <row r="2561" spans="1:6" hidden="1" x14ac:dyDescent="0.35">
      <c r="A2561" t="s">
        <v>59</v>
      </c>
      <c r="B2561" t="s">
        <v>32</v>
      </c>
      <c r="C2561" t="s">
        <v>47</v>
      </c>
      <c r="E2561" t="s">
        <v>9</v>
      </c>
      <c r="F2561" t="s">
        <v>10</v>
      </c>
    </row>
    <row r="2562" spans="1:6" hidden="1" x14ac:dyDescent="0.35">
      <c r="A2562" t="s">
        <v>60</v>
      </c>
      <c r="B2562" t="s">
        <v>32</v>
      </c>
      <c r="C2562" t="s">
        <v>47</v>
      </c>
      <c r="E2562" t="s">
        <v>9</v>
      </c>
      <c r="F2562" t="s">
        <v>10</v>
      </c>
    </row>
    <row r="2563" spans="1:6" hidden="1" x14ac:dyDescent="0.35">
      <c r="A2563" t="s">
        <v>61</v>
      </c>
      <c r="B2563" t="s">
        <v>32</v>
      </c>
      <c r="C2563" t="s">
        <v>47</v>
      </c>
      <c r="E2563" t="s">
        <v>9</v>
      </c>
      <c r="F2563" t="s">
        <v>10</v>
      </c>
    </row>
    <row r="2564" spans="1:6" hidden="1" x14ac:dyDescent="0.35">
      <c r="A2564" t="s">
        <v>62</v>
      </c>
      <c r="B2564" t="s">
        <v>32</v>
      </c>
      <c r="C2564" t="s">
        <v>47</v>
      </c>
      <c r="E2564" t="s">
        <v>9</v>
      </c>
      <c r="F2564" t="s">
        <v>10</v>
      </c>
    </row>
    <row r="2565" spans="1:6" hidden="1" x14ac:dyDescent="0.35">
      <c r="A2565" t="s">
        <v>63</v>
      </c>
      <c r="B2565" t="s">
        <v>32</v>
      </c>
      <c r="C2565" t="s">
        <v>47</v>
      </c>
      <c r="E2565" t="s">
        <v>9</v>
      </c>
      <c r="F2565" t="s">
        <v>10</v>
      </c>
    </row>
    <row r="2566" spans="1:6" hidden="1" x14ac:dyDescent="0.35">
      <c r="A2566" t="s">
        <v>64</v>
      </c>
      <c r="B2566" t="s">
        <v>32</v>
      </c>
      <c r="C2566" t="s">
        <v>47</v>
      </c>
      <c r="E2566" t="s">
        <v>9</v>
      </c>
      <c r="F2566" t="s">
        <v>10</v>
      </c>
    </row>
    <row r="2567" spans="1:6" hidden="1" x14ac:dyDescent="0.35">
      <c r="A2567" t="s">
        <v>65</v>
      </c>
      <c r="B2567" t="s">
        <v>32</v>
      </c>
      <c r="C2567" t="s">
        <v>47</v>
      </c>
      <c r="E2567" t="s">
        <v>9</v>
      </c>
      <c r="F2567" t="s">
        <v>10</v>
      </c>
    </row>
    <row r="2568" spans="1:6" hidden="1" x14ac:dyDescent="0.35">
      <c r="A2568" t="s">
        <v>66</v>
      </c>
      <c r="B2568" t="s">
        <v>32</v>
      </c>
      <c r="C2568" t="s">
        <v>47</v>
      </c>
      <c r="E2568" t="s">
        <v>9</v>
      </c>
      <c r="F2568" t="s">
        <v>10</v>
      </c>
    </row>
    <row r="2569" spans="1:6" hidden="1" x14ac:dyDescent="0.35">
      <c r="A2569" t="s">
        <v>67</v>
      </c>
      <c r="B2569" t="s">
        <v>32</v>
      </c>
      <c r="C2569" t="s">
        <v>47</v>
      </c>
      <c r="E2569" t="s">
        <v>9</v>
      </c>
      <c r="F2569" t="s">
        <v>10</v>
      </c>
    </row>
    <row r="2570" spans="1:6" hidden="1" x14ac:dyDescent="0.35">
      <c r="A2570" t="s">
        <v>57</v>
      </c>
      <c r="B2570" t="s">
        <v>32</v>
      </c>
      <c r="C2570" t="s">
        <v>48</v>
      </c>
      <c r="D2570">
        <v>0</v>
      </c>
      <c r="E2570" t="s">
        <v>9</v>
      </c>
      <c r="F2570" t="s">
        <v>10</v>
      </c>
    </row>
    <row r="2571" spans="1:6" hidden="1" x14ac:dyDescent="0.35">
      <c r="A2571" t="s">
        <v>11</v>
      </c>
      <c r="B2571" t="s">
        <v>32</v>
      </c>
      <c r="C2571" t="s">
        <v>48</v>
      </c>
      <c r="D2571">
        <v>0</v>
      </c>
      <c r="E2571" t="s">
        <v>9</v>
      </c>
      <c r="F2571" t="s">
        <v>10</v>
      </c>
    </row>
    <row r="2572" spans="1:6" hidden="1" x14ac:dyDescent="0.35">
      <c r="A2572" t="s">
        <v>58</v>
      </c>
      <c r="B2572" t="s">
        <v>32</v>
      </c>
      <c r="C2572" t="s">
        <v>48</v>
      </c>
      <c r="D2572">
        <v>0</v>
      </c>
      <c r="E2572" t="s">
        <v>9</v>
      </c>
      <c r="F2572" t="s">
        <v>10</v>
      </c>
    </row>
    <row r="2573" spans="1:6" hidden="1" x14ac:dyDescent="0.35">
      <c r="A2573" t="s">
        <v>59</v>
      </c>
      <c r="B2573" t="s">
        <v>32</v>
      </c>
      <c r="C2573" t="s">
        <v>48</v>
      </c>
      <c r="D2573">
        <v>0</v>
      </c>
      <c r="E2573" t="s">
        <v>9</v>
      </c>
      <c r="F2573" t="s">
        <v>10</v>
      </c>
    </row>
    <row r="2574" spans="1:6" hidden="1" x14ac:dyDescent="0.35">
      <c r="A2574" t="s">
        <v>60</v>
      </c>
      <c r="B2574" t="s">
        <v>32</v>
      </c>
      <c r="C2574" t="s">
        <v>48</v>
      </c>
      <c r="D2574">
        <v>0</v>
      </c>
      <c r="E2574" t="s">
        <v>9</v>
      </c>
      <c r="F2574" t="s">
        <v>10</v>
      </c>
    </row>
    <row r="2575" spans="1:6" hidden="1" x14ac:dyDescent="0.35">
      <c r="A2575" t="s">
        <v>61</v>
      </c>
      <c r="B2575" t="s">
        <v>32</v>
      </c>
      <c r="C2575" t="s">
        <v>48</v>
      </c>
      <c r="D2575">
        <v>0</v>
      </c>
      <c r="E2575" t="s">
        <v>9</v>
      </c>
      <c r="F2575" t="s">
        <v>10</v>
      </c>
    </row>
    <row r="2576" spans="1:6" hidden="1" x14ac:dyDescent="0.35">
      <c r="A2576" t="s">
        <v>62</v>
      </c>
      <c r="B2576" t="s">
        <v>32</v>
      </c>
      <c r="C2576" t="s">
        <v>48</v>
      </c>
      <c r="D2576">
        <v>0</v>
      </c>
      <c r="E2576" t="s">
        <v>9</v>
      </c>
      <c r="F2576" t="s">
        <v>10</v>
      </c>
    </row>
    <row r="2577" spans="1:6" hidden="1" x14ac:dyDescent="0.35">
      <c r="A2577" t="s">
        <v>63</v>
      </c>
      <c r="B2577" t="s">
        <v>32</v>
      </c>
      <c r="C2577" t="s">
        <v>48</v>
      </c>
      <c r="D2577">
        <v>0</v>
      </c>
      <c r="E2577" t="s">
        <v>9</v>
      </c>
      <c r="F2577" t="s">
        <v>10</v>
      </c>
    </row>
    <row r="2578" spans="1:6" hidden="1" x14ac:dyDescent="0.35">
      <c r="A2578" t="s">
        <v>64</v>
      </c>
      <c r="B2578" t="s">
        <v>32</v>
      </c>
      <c r="C2578" t="s">
        <v>48</v>
      </c>
      <c r="D2578">
        <v>0</v>
      </c>
      <c r="E2578" t="s">
        <v>9</v>
      </c>
      <c r="F2578" t="s">
        <v>10</v>
      </c>
    </row>
    <row r="2579" spans="1:6" hidden="1" x14ac:dyDescent="0.35">
      <c r="A2579" t="s">
        <v>65</v>
      </c>
      <c r="B2579" t="s">
        <v>32</v>
      </c>
      <c r="C2579" t="s">
        <v>48</v>
      </c>
      <c r="D2579">
        <v>0</v>
      </c>
      <c r="E2579" t="s">
        <v>9</v>
      </c>
      <c r="F2579" t="s">
        <v>10</v>
      </c>
    </row>
    <row r="2580" spans="1:6" hidden="1" x14ac:dyDescent="0.35">
      <c r="A2580" t="s">
        <v>66</v>
      </c>
      <c r="B2580" t="s">
        <v>32</v>
      </c>
      <c r="C2580" t="s">
        <v>48</v>
      </c>
      <c r="D2580">
        <v>0</v>
      </c>
      <c r="E2580" t="s">
        <v>9</v>
      </c>
      <c r="F2580" t="s">
        <v>10</v>
      </c>
    </row>
    <row r="2581" spans="1:6" hidden="1" x14ac:dyDescent="0.35">
      <c r="A2581" t="s">
        <v>67</v>
      </c>
      <c r="B2581" t="s">
        <v>32</v>
      </c>
      <c r="C2581" t="s">
        <v>48</v>
      </c>
      <c r="D2581">
        <v>0</v>
      </c>
      <c r="E2581" t="s">
        <v>9</v>
      </c>
      <c r="F2581" t="s">
        <v>10</v>
      </c>
    </row>
    <row r="2582" spans="1:6" hidden="1" x14ac:dyDescent="0.35">
      <c r="A2582" t="s">
        <v>57</v>
      </c>
      <c r="B2582" t="s">
        <v>32</v>
      </c>
      <c r="C2582" t="s">
        <v>49</v>
      </c>
      <c r="E2582" t="s">
        <v>9</v>
      </c>
      <c r="F2582" t="s">
        <v>10</v>
      </c>
    </row>
    <row r="2583" spans="1:6" hidden="1" x14ac:dyDescent="0.35">
      <c r="A2583" t="s">
        <v>11</v>
      </c>
      <c r="B2583" t="s">
        <v>32</v>
      </c>
      <c r="C2583" t="s">
        <v>49</v>
      </c>
      <c r="E2583" t="s">
        <v>9</v>
      </c>
      <c r="F2583" t="s">
        <v>10</v>
      </c>
    </row>
    <row r="2584" spans="1:6" hidden="1" x14ac:dyDescent="0.35">
      <c r="A2584" t="s">
        <v>58</v>
      </c>
      <c r="B2584" t="s">
        <v>32</v>
      </c>
      <c r="C2584" t="s">
        <v>49</v>
      </c>
      <c r="E2584" t="s">
        <v>9</v>
      </c>
      <c r="F2584" t="s">
        <v>10</v>
      </c>
    </row>
    <row r="2585" spans="1:6" hidden="1" x14ac:dyDescent="0.35">
      <c r="A2585" t="s">
        <v>59</v>
      </c>
      <c r="B2585" t="s">
        <v>32</v>
      </c>
      <c r="C2585" t="s">
        <v>49</v>
      </c>
      <c r="E2585" t="s">
        <v>9</v>
      </c>
      <c r="F2585" t="s">
        <v>10</v>
      </c>
    </row>
    <row r="2586" spans="1:6" hidden="1" x14ac:dyDescent="0.35">
      <c r="A2586" t="s">
        <v>60</v>
      </c>
      <c r="B2586" t="s">
        <v>32</v>
      </c>
      <c r="C2586" t="s">
        <v>49</v>
      </c>
      <c r="E2586" t="s">
        <v>9</v>
      </c>
      <c r="F2586" t="s">
        <v>10</v>
      </c>
    </row>
    <row r="2587" spans="1:6" hidden="1" x14ac:dyDescent="0.35">
      <c r="A2587" t="s">
        <v>61</v>
      </c>
      <c r="B2587" t="s">
        <v>32</v>
      </c>
      <c r="C2587" t="s">
        <v>49</v>
      </c>
      <c r="D2587">
        <v>15156.808800000001</v>
      </c>
      <c r="E2587" t="s">
        <v>9</v>
      </c>
      <c r="F2587" t="s">
        <v>10</v>
      </c>
    </row>
    <row r="2588" spans="1:6" hidden="1" x14ac:dyDescent="0.35">
      <c r="A2588" t="s">
        <v>62</v>
      </c>
      <c r="B2588" t="s">
        <v>32</v>
      </c>
      <c r="C2588" t="s">
        <v>49</v>
      </c>
      <c r="E2588" t="s">
        <v>9</v>
      </c>
      <c r="F2588" t="s">
        <v>10</v>
      </c>
    </row>
    <row r="2589" spans="1:6" hidden="1" x14ac:dyDescent="0.35">
      <c r="A2589" t="s">
        <v>63</v>
      </c>
      <c r="B2589" t="s">
        <v>32</v>
      </c>
      <c r="C2589" t="s">
        <v>49</v>
      </c>
      <c r="D2589">
        <v>1994.0239999999999</v>
      </c>
      <c r="E2589" t="s">
        <v>9</v>
      </c>
      <c r="F2589" t="s">
        <v>10</v>
      </c>
    </row>
    <row r="2590" spans="1:6" hidden="1" x14ac:dyDescent="0.35">
      <c r="A2590" t="s">
        <v>64</v>
      </c>
      <c r="B2590" t="s">
        <v>32</v>
      </c>
      <c r="C2590" t="s">
        <v>49</v>
      </c>
      <c r="E2590" t="s">
        <v>9</v>
      </c>
      <c r="F2590" t="s">
        <v>10</v>
      </c>
    </row>
    <row r="2591" spans="1:6" hidden="1" x14ac:dyDescent="0.35">
      <c r="A2591" t="s">
        <v>65</v>
      </c>
      <c r="B2591" t="s">
        <v>32</v>
      </c>
      <c r="C2591" t="s">
        <v>49</v>
      </c>
      <c r="E2591" t="s">
        <v>9</v>
      </c>
      <c r="F2591" t="s">
        <v>10</v>
      </c>
    </row>
    <row r="2592" spans="1:6" hidden="1" x14ac:dyDescent="0.35">
      <c r="A2592" t="s">
        <v>66</v>
      </c>
      <c r="B2592" t="s">
        <v>32</v>
      </c>
      <c r="C2592" t="s">
        <v>49</v>
      </c>
      <c r="E2592" t="s">
        <v>9</v>
      </c>
      <c r="F2592" t="s">
        <v>10</v>
      </c>
    </row>
    <row r="2593" spans="1:6" hidden="1" x14ac:dyDescent="0.35">
      <c r="A2593" t="s">
        <v>67</v>
      </c>
      <c r="B2593" t="s">
        <v>32</v>
      </c>
      <c r="C2593" t="s">
        <v>49</v>
      </c>
      <c r="D2593">
        <v>3252.2808</v>
      </c>
      <c r="E2593" t="s">
        <v>9</v>
      </c>
      <c r="F2593" t="s">
        <v>10</v>
      </c>
    </row>
    <row r="2594" spans="1:6" hidden="1" x14ac:dyDescent="0.35">
      <c r="A2594" t="s">
        <v>57</v>
      </c>
      <c r="B2594" t="s">
        <v>32</v>
      </c>
      <c r="C2594" t="s">
        <v>50</v>
      </c>
      <c r="E2594" t="s">
        <v>9</v>
      </c>
      <c r="F2594" t="s">
        <v>10</v>
      </c>
    </row>
    <row r="2595" spans="1:6" hidden="1" x14ac:dyDescent="0.35">
      <c r="A2595" t="s">
        <v>11</v>
      </c>
      <c r="B2595" t="s">
        <v>32</v>
      </c>
      <c r="C2595" t="s">
        <v>50</v>
      </c>
      <c r="E2595" t="s">
        <v>9</v>
      </c>
      <c r="F2595" t="s">
        <v>10</v>
      </c>
    </row>
    <row r="2596" spans="1:6" hidden="1" x14ac:dyDescent="0.35">
      <c r="A2596" t="s">
        <v>58</v>
      </c>
      <c r="B2596" t="s">
        <v>32</v>
      </c>
      <c r="C2596" t="s">
        <v>50</v>
      </c>
      <c r="E2596" t="s">
        <v>9</v>
      </c>
      <c r="F2596" t="s">
        <v>10</v>
      </c>
    </row>
    <row r="2597" spans="1:6" hidden="1" x14ac:dyDescent="0.35">
      <c r="A2597" t="s">
        <v>59</v>
      </c>
      <c r="B2597" t="s">
        <v>32</v>
      </c>
      <c r="C2597" t="s">
        <v>50</v>
      </c>
      <c r="E2597" t="s">
        <v>9</v>
      </c>
      <c r="F2597" t="s">
        <v>10</v>
      </c>
    </row>
    <row r="2598" spans="1:6" hidden="1" x14ac:dyDescent="0.35">
      <c r="A2598" t="s">
        <v>60</v>
      </c>
      <c r="B2598" t="s">
        <v>32</v>
      </c>
      <c r="C2598" t="s">
        <v>50</v>
      </c>
      <c r="E2598" t="s">
        <v>9</v>
      </c>
      <c r="F2598" t="s">
        <v>10</v>
      </c>
    </row>
    <row r="2599" spans="1:6" hidden="1" x14ac:dyDescent="0.35">
      <c r="A2599" t="s">
        <v>61</v>
      </c>
      <c r="B2599" t="s">
        <v>32</v>
      </c>
      <c r="C2599" t="s">
        <v>50</v>
      </c>
      <c r="D2599">
        <v>205838.9584</v>
      </c>
      <c r="E2599" t="s">
        <v>9</v>
      </c>
      <c r="F2599" t="s">
        <v>10</v>
      </c>
    </row>
    <row r="2600" spans="1:6" hidden="1" x14ac:dyDescent="0.35">
      <c r="A2600" t="s">
        <v>62</v>
      </c>
      <c r="B2600" t="s">
        <v>32</v>
      </c>
      <c r="C2600" t="s">
        <v>50</v>
      </c>
      <c r="E2600" t="s">
        <v>9</v>
      </c>
      <c r="F2600" t="s">
        <v>10</v>
      </c>
    </row>
    <row r="2601" spans="1:6" hidden="1" x14ac:dyDescent="0.35">
      <c r="A2601" t="s">
        <v>63</v>
      </c>
      <c r="B2601" t="s">
        <v>32</v>
      </c>
      <c r="C2601" t="s">
        <v>50</v>
      </c>
      <c r="D2601">
        <v>0</v>
      </c>
      <c r="E2601" t="s">
        <v>9</v>
      </c>
      <c r="F2601" t="s">
        <v>10</v>
      </c>
    </row>
    <row r="2602" spans="1:6" hidden="1" x14ac:dyDescent="0.35">
      <c r="A2602" t="s">
        <v>64</v>
      </c>
      <c r="B2602" t="s">
        <v>32</v>
      </c>
      <c r="C2602" t="s">
        <v>50</v>
      </c>
      <c r="E2602" t="s">
        <v>9</v>
      </c>
      <c r="F2602" t="s">
        <v>10</v>
      </c>
    </row>
    <row r="2603" spans="1:6" hidden="1" x14ac:dyDescent="0.35">
      <c r="A2603" t="s">
        <v>65</v>
      </c>
      <c r="B2603" t="s">
        <v>32</v>
      </c>
      <c r="C2603" t="s">
        <v>50</v>
      </c>
      <c r="E2603" t="s">
        <v>9</v>
      </c>
      <c r="F2603" t="s">
        <v>10</v>
      </c>
    </row>
    <row r="2604" spans="1:6" hidden="1" x14ac:dyDescent="0.35">
      <c r="A2604" t="s">
        <v>66</v>
      </c>
      <c r="B2604" t="s">
        <v>32</v>
      </c>
      <c r="C2604" t="s">
        <v>50</v>
      </c>
      <c r="E2604" t="s">
        <v>9</v>
      </c>
      <c r="F2604" t="s">
        <v>10</v>
      </c>
    </row>
    <row r="2605" spans="1:6" hidden="1" x14ac:dyDescent="0.35">
      <c r="A2605" t="s">
        <v>67</v>
      </c>
      <c r="B2605" t="s">
        <v>32</v>
      </c>
      <c r="C2605" t="s">
        <v>50</v>
      </c>
      <c r="D2605">
        <v>68899.223599999998</v>
      </c>
      <c r="E2605" t="s">
        <v>9</v>
      </c>
      <c r="F2605" t="s">
        <v>10</v>
      </c>
    </row>
    <row r="2606" spans="1:6" hidden="1" x14ac:dyDescent="0.35">
      <c r="A2606" t="s">
        <v>57</v>
      </c>
      <c r="B2606" t="s">
        <v>32</v>
      </c>
      <c r="C2606" t="s">
        <v>51</v>
      </c>
      <c r="E2606" t="s">
        <v>9</v>
      </c>
      <c r="F2606" t="s">
        <v>10</v>
      </c>
    </row>
    <row r="2607" spans="1:6" hidden="1" x14ac:dyDescent="0.35">
      <c r="A2607" t="s">
        <v>11</v>
      </c>
      <c r="B2607" t="s">
        <v>32</v>
      </c>
      <c r="C2607" t="s">
        <v>51</v>
      </c>
      <c r="D2607">
        <v>2</v>
      </c>
      <c r="E2607" t="s">
        <v>9</v>
      </c>
      <c r="F2607" t="s">
        <v>10</v>
      </c>
    </row>
    <row r="2608" spans="1:6" hidden="1" x14ac:dyDescent="0.35">
      <c r="A2608" t="s">
        <v>58</v>
      </c>
      <c r="B2608" t="s">
        <v>32</v>
      </c>
      <c r="C2608" t="s">
        <v>51</v>
      </c>
      <c r="D2608">
        <v>1</v>
      </c>
      <c r="E2608" t="s">
        <v>9</v>
      </c>
      <c r="F2608" t="s">
        <v>10</v>
      </c>
    </row>
    <row r="2609" spans="1:6" hidden="1" x14ac:dyDescent="0.35">
      <c r="A2609" t="s">
        <v>59</v>
      </c>
      <c r="B2609" t="s">
        <v>32</v>
      </c>
      <c r="C2609" t="s">
        <v>51</v>
      </c>
      <c r="D2609">
        <v>2</v>
      </c>
      <c r="E2609" t="s">
        <v>9</v>
      </c>
      <c r="F2609" t="s">
        <v>10</v>
      </c>
    </row>
    <row r="2610" spans="1:6" hidden="1" x14ac:dyDescent="0.35">
      <c r="A2610" t="s">
        <v>60</v>
      </c>
      <c r="B2610" t="s">
        <v>32</v>
      </c>
      <c r="C2610" t="s">
        <v>51</v>
      </c>
      <c r="D2610">
        <v>1</v>
      </c>
      <c r="E2610" t="s">
        <v>9</v>
      </c>
      <c r="F2610" t="s">
        <v>10</v>
      </c>
    </row>
    <row r="2611" spans="1:6" hidden="1" x14ac:dyDescent="0.35">
      <c r="A2611" t="s">
        <v>61</v>
      </c>
      <c r="B2611" t="s">
        <v>32</v>
      </c>
      <c r="C2611" t="s">
        <v>51</v>
      </c>
      <c r="D2611">
        <v>3</v>
      </c>
      <c r="E2611" t="s">
        <v>9</v>
      </c>
      <c r="F2611" t="s">
        <v>10</v>
      </c>
    </row>
    <row r="2612" spans="1:6" hidden="1" x14ac:dyDescent="0.35">
      <c r="A2612" t="s">
        <v>62</v>
      </c>
      <c r="B2612" t="s">
        <v>32</v>
      </c>
      <c r="C2612" t="s">
        <v>51</v>
      </c>
      <c r="D2612">
        <v>2</v>
      </c>
      <c r="E2612" t="s">
        <v>9</v>
      </c>
      <c r="F2612" t="s">
        <v>10</v>
      </c>
    </row>
    <row r="2613" spans="1:6" hidden="1" x14ac:dyDescent="0.35">
      <c r="A2613" t="s">
        <v>63</v>
      </c>
      <c r="B2613" t="s">
        <v>32</v>
      </c>
      <c r="C2613" t="s">
        <v>51</v>
      </c>
      <c r="D2613">
        <v>2</v>
      </c>
      <c r="E2613" t="s">
        <v>9</v>
      </c>
      <c r="F2613" t="s">
        <v>10</v>
      </c>
    </row>
    <row r="2614" spans="1:6" hidden="1" x14ac:dyDescent="0.35">
      <c r="A2614" t="s">
        <v>64</v>
      </c>
      <c r="B2614" t="s">
        <v>32</v>
      </c>
      <c r="C2614" t="s">
        <v>51</v>
      </c>
      <c r="E2614" t="s">
        <v>9</v>
      </c>
      <c r="F2614" t="s">
        <v>10</v>
      </c>
    </row>
    <row r="2615" spans="1:6" hidden="1" x14ac:dyDescent="0.35">
      <c r="A2615" t="s">
        <v>65</v>
      </c>
      <c r="B2615" t="s">
        <v>32</v>
      </c>
      <c r="C2615" t="s">
        <v>51</v>
      </c>
      <c r="D2615">
        <v>1</v>
      </c>
      <c r="E2615" t="s">
        <v>9</v>
      </c>
      <c r="F2615" t="s">
        <v>10</v>
      </c>
    </row>
    <row r="2616" spans="1:6" hidden="1" x14ac:dyDescent="0.35">
      <c r="A2616" t="s">
        <v>66</v>
      </c>
      <c r="B2616" t="s">
        <v>32</v>
      </c>
      <c r="C2616" t="s">
        <v>51</v>
      </c>
      <c r="D2616">
        <v>2</v>
      </c>
      <c r="E2616" t="s">
        <v>9</v>
      </c>
      <c r="F2616" t="s">
        <v>10</v>
      </c>
    </row>
    <row r="2617" spans="1:6" hidden="1" x14ac:dyDescent="0.35">
      <c r="A2617" t="s">
        <v>67</v>
      </c>
      <c r="B2617" t="s">
        <v>32</v>
      </c>
      <c r="C2617" t="s">
        <v>51</v>
      </c>
      <c r="E2617" t="s">
        <v>9</v>
      </c>
      <c r="F2617" t="s">
        <v>10</v>
      </c>
    </row>
    <row r="2618" spans="1:6" hidden="1" x14ac:dyDescent="0.35">
      <c r="A2618" t="s">
        <v>57</v>
      </c>
      <c r="B2618" t="s">
        <v>32</v>
      </c>
      <c r="C2618" t="s">
        <v>30</v>
      </c>
      <c r="E2618" t="s">
        <v>9</v>
      </c>
      <c r="F2618" t="s">
        <v>10</v>
      </c>
    </row>
    <row r="2619" spans="1:6" hidden="1" x14ac:dyDescent="0.35">
      <c r="A2619" t="s">
        <v>11</v>
      </c>
      <c r="B2619" t="s">
        <v>32</v>
      </c>
      <c r="C2619" t="s">
        <v>30</v>
      </c>
      <c r="E2619" t="s">
        <v>9</v>
      </c>
      <c r="F2619" t="s">
        <v>10</v>
      </c>
    </row>
    <row r="2620" spans="1:6" hidden="1" x14ac:dyDescent="0.35">
      <c r="A2620" t="s">
        <v>58</v>
      </c>
      <c r="B2620" t="s">
        <v>32</v>
      </c>
      <c r="C2620" t="s">
        <v>30</v>
      </c>
      <c r="E2620" t="s">
        <v>9</v>
      </c>
      <c r="F2620" t="s">
        <v>10</v>
      </c>
    </row>
    <row r="2621" spans="1:6" hidden="1" x14ac:dyDescent="0.35">
      <c r="A2621" t="s">
        <v>59</v>
      </c>
      <c r="B2621" t="s">
        <v>32</v>
      </c>
      <c r="C2621" t="s">
        <v>30</v>
      </c>
      <c r="E2621" t="s">
        <v>9</v>
      </c>
      <c r="F2621" t="s">
        <v>10</v>
      </c>
    </row>
    <row r="2622" spans="1:6" hidden="1" x14ac:dyDescent="0.35">
      <c r="A2622" t="s">
        <v>60</v>
      </c>
      <c r="B2622" t="s">
        <v>32</v>
      </c>
      <c r="C2622" t="s">
        <v>30</v>
      </c>
      <c r="E2622" t="s">
        <v>9</v>
      </c>
      <c r="F2622" t="s">
        <v>10</v>
      </c>
    </row>
    <row r="2623" spans="1:6" hidden="1" x14ac:dyDescent="0.35">
      <c r="A2623" t="s">
        <v>61</v>
      </c>
      <c r="B2623" t="s">
        <v>32</v>
      </c>
      <c r="C2623" t="s">
        <v>30</v>
      </c>
      <c r="E2623" t="s">
        <v>9</v>
      </c>
      <c r="F2623" t="s">
        <v>10</v>
      </c>
    </row>
    <row r="2624" spans="1:6" hidden="1" x14ac:dyDescent="0.35">
      <c r="A2624" t="s">
        <v>62</v>
      </c>
      <c r="B2624" t="s">
        <v>32</v>
      </c>
      <c r="C2624" t="s">
        <v>30</v>
      </c>
      <c r="E2624" t="s">
        <v>9</v>
      </c>
      <c r="F2624" t="s">
        <v>10</v>
      </c>
    </row>
    <row r="2625" spans="1:6" hidden="1" x14ac:dyDescent="0.35">
      <c r="A2625" t="s">
        <v>63</v>
      </c>
      <c r="B2625" t="s">
        <v>32</v>
      </c>
      <c r="C2625" t="s">
        <v>30</v>
      </c>
      <c r="E2625" t="s">
        <v>9</v>
      </c>
      <c r="F2625" t="s">
        <v>10</v>
      </c>
    </row>
    <row r="2626" spans="1:6" hidden="1" x14ac:dyDescent="0.35">
      <c r="A2626" t="s">
        <v>64</v>
      </c>
      <c r="B2626" t="s">
        <v>32</v>
      </c>
      <c r="C2626" t="s">
        <v>30</v>
      </c>
      <c r="E2626" t="s">
        <v>9</v>
      </c>
      <c r="F2626" t="s">
        <v>10</v>
      </c>
    </row>
    <row r="2627" spans="1:6" hidden="1" x14ac:dyDescent="0.35">
      <c r="A2627" t="s">
        <v>65</v>
      </c>
      <c r="B2627" t="s">
        <v>32</v>
      </c>
      <c r="C2627" t="s">
        <v>30</v>
      </c>
      <c r="E2627" t="s">
        <v>9</v>
      </c>
      <c r="F2627" t="s">
        <v>10</v>
      </c>
    </row>
    <row r="2628" spans="1:6" hidden="1" x14ac:dyDescent="0.35">
      <c r="A2628" t="s">
        <v>66</v>
      </c>
      <c r="B2628" t="s">
        <v>32</v>
      </c>
      <c r="C2628" t="s">
        <v>30</v>
      </c>
      <c r="D2628">
        <v>1</v>
      </c>
      <c r="E2628" t="s">
        <v>9</v>
      </c>
      <c r="F2628" t="s">
        <v>10</v>
      </c>
    </row>
    <row r="2629" spans="1:6" hidden="1" x14ac:dyDescent="0.35">
      <c r="A2629" t="s">
        <v>67</v>
      </c>
      <c r="B2629" t="s">
        <v>32</v>
      </c>
      <c r="C2629" t="s">
        <v>30</v>
      </c>
      <c r="E2629" t="s">
        <v>9</v>
      </c>
      <c r="F2629" t="s">
        <v>10</v>
      </c>
    </row>
    <row r="2630" spans="1:6" hidden="1" x14ac:dyDescent="0.35">
      <c r="A2630" t="s">
        <v>57</v>
      </c>
      <c r="B2630" t="s">
        <v>32</v>
      </c>
      <c r="C2630" t="s">
        <v>52</v>
      </c>
      <c r="E2630" t="s">
        <v>9</v>
      </c>
      <c r="F2630" t="s">
        <v>10</v>
      </c>
    </row>
    <row r="2631" spans="1:6" hidden="1" x14ac:dyDescent="0.35">
      <c r="A2631" t="s">
        <v>11</v>
      </c>
      <c r="B2631" t="s">
        <v>32</v>
      </c>
      <c r="C2631" t="s">
        <v>52</v>
      </c>
      <c r="E2631" t="s">
        <v>9</v>
      </c>
      <c r="F2631" t="s">
        <v>10</v>
      </c>
    </row>
    <row r="2632" spans="1:6" hidden="1" x14ac:dyDescent="0.35">
      <c r="A2632" t="s">
        <v>58</v>
      </c>
      <c r="B2632" t="s">
        <v>32</v>
      </c>
      <c r="C2632" t="s">
        <v>52</v>
      </c>
      <c r="D2632">
        <v>1</v>
      </c>
      <c r="E2632" t="s">
        <v>9</v>
      </c>
      <c r="F2632" t="s">
        <v>10</v>
      </c>
    </row>
    <row r="2633" spans="1:6" hidden="1" x14ac:dyDescent="0.35">
      <c r="A2633" t="s">
        <v>59</v>
      </c>
      <c r="B2633" t="s">
        <v>32</v>
      </c>
      <c r="C2633" t="s">
        <v>52</v>
      </c>
      <c r="E2633" t="s">
        <v>9</v>
      </c>
      <c r="F2633" t="s">
        <v>10</v>
      </c>
    </row>
    <row r="2634" spans="1:6" hidden="1" x14ac:dyDescent="0.35">
      <c r="A2634" t="s">
        <v>60</v>
      </c>
      <c r="B2634" t="s">
        <v>32</v>
      </c>
      <c r="C2634" t="s">
        <v>52</v>
      </c>
      <c r="E2634" t="s">
        <v>9</v>
      </c>
      <c r="F2634" t="s">
        <v>10</v>
      </c>
    </row>
    <row r="2635" spans="1:6" hidden="1" x14ac:dyDescent="0.35">
      <c r="A2635" t="s">
        <v>61</v>
      </c>
      <c r="B2635" t="s">
        <v>32</v>
      </c>
      <c r="C2635" t="s">
        <v>52</v>
      </c>
      <c r="D2635">
        <v>2</v>
      </c>
      <c r="E2635" t="s">
        <v>9</v>
      </c>
      <c r="F2635" t="s">
        <v>10</v>
      </c>
    </row>
    <row r="2636" spans="1:6" hidden="1" x14ac:dyDescent="0.35">
      <c r="A2636" t="s">
        <v>62</v>
      </c>
      <c r="B2636" t="s">
        <v>32</v>
      </c>
      <c r="C2636" t="s">
        <v>52</v>
      </c>
      <c r="E2636" t="s">
        <v>9</v>
      </c>
      <c r="F2636" t="s">
        <v>10</v>
      </c>
    </row>
    <row r="2637" spans="1:6" hidden="1" x14ac:dyDescent="0.35">
      <c r="A2637" t="s">
        <v>63</v>
      </c>
      <c r="B2637" t="s">
        <v>32</v>
      </c>
      <c r="C2637" t="s">
        <v>52</v>
      </c>
      <c r="E2637" t="s">
        <v>9</v>
      </c>
      <c r="F2637" t="s">
        <v>10</v>
      </c>
    </row>
    <row r="2638" spans="1:6" hidden="1" x14ac:dyDescent="0.35">
      <c r="A2638" t="s">
        <v>64</v>
      </c>
      <c r="B2638" t="s">
        <v>32</v>
      </c>
      <c r="C2638" t="s">
        <v>52</v>
      </c>
      <c r="E2638" t="s">
        <v>9</v>
      </c>
      <c r="F2638" t="s">
        <v>10</v>
      </c>
    </row>
    <row r="2639" spans="1:6" hidden="1" x14ac:dyDescent="0.35">
      <c r="A2639" t="s">
        <v>65</v>
      </c>
      <c r="B2639" t="s">
        <v>32</v>
      </c>
      <c r="C2639" t="s">
        <v>52</v>
      </c>
      <c r="E2639" t="s">
        <v>9</v>
      </c>
      <c r="F2639" t="s">
        <v>10</v>
      </c>
    </row>
    <row r="2640" spans="1:6" hidden="1" x14ac:dyDescent="0.35">
      <c r="A2640" t="s">
        <v>66</v>
      </c>
      <c r="B2640" t="s">
        <v>32</v>
      </c>
      <c r="C2640" t="s">
        <v>52</v>
      </c>
      <c r="E2640" t="s">
        <v>9</v>
      </c>
      <c r="F2640" t="s">
        <v>10</v>
      </c>
    </row>
    <row r="2641" spans="1:6" hidden="1" x14ac:dyDescent="0.35">
      <c r="A2641" t="s">
        <v>67</v>
      </c>
      <c r="B2641" t="s">
        <v>32</v>
      </c>
      <c r="C2641" t="s">
        <v>52</v>
      </c>
      <c r="E2641" t="s">
        <v>9</v>
      </c>
      <c r="F2641" t="s">
        <v>10</v>
      </c>
    </row>
    <row r="2642" spans="1:6" hidden="1" x14ac:dyDescent="0.35">
      <c r="A2642" t="s">
        <v>57</v>
      </c>
      <c r="B2642" t="s">
        <v>33</v>
      </c>
      <c r="C2642" t="s">
        <v>44</v>
      </c>
      <c r="D2642">
        <v>561528.82086612459</v>
      </c>
      <c r="E2642" t="s">
        <v>9</v>
      </c>
      <c r="F2642" t="s">
        <v>10</v>
      </c>
    </row>
    <row r="2643" spans="1:6" hidden="1" x14ac:dyDescent="0.35">
      <c r="A2643" t="s">
        <v>11</v>
      </c>
      <c r="B2643" t="s">
        <v>33</v>
      </c>
      <c r="C2643" t="s">
        <v>44</v>
      </c>
      <c r="D2643">
        <v>1250921.394965854</v>
      </c>
      <c r="E2643" t="s">
        <v>9</v>
      </c>
      <c r="F2643" t="s">
        <v>10</v>
      </c>
    </row>
    <row r="2644" spans="1:6" hidden="1" x14ac:dyDescent="0.35">
      <c r="A2644" t="s">
        <v>58</v>
      </c>
      <c r="B2644" t="s">
        <v>33</v>
      </c>
      <c r="C2644" t="s">
        <v>44</v>
      </c>
      <c r="D2644">
        <v>1001094.163545258</v>
      </c>
      <c r="E2644" t="s">
        <v>9</v>
      </c>
      <c r="F2644" t="s">
        <v>10</v>
      </c>
    </row>
    <row r="2645" spans="1:6" hidden="1" x14ac:dyDescent="0.35">
      <c r="A2645" t="s">
        <v>59</v>
      </c>
      <c r="B2645" t="s">
        <v>33</v>
      </c>
      <c r="C2645" t="s">
        <v>44</v>
      </c>
      <c r="D2645">
        <v>614645.81327479682</v>
      </c>
      <c r="E2645" t="s">
        <v>9</v>
      </c>
      <c r="F2645" t="s">
        <v>10</v>
      </c>
    </row>
    <row r="2646" spans="1:6" hidden="1" x14ac:dyDescent="0.35">
      <c r="A2646" t="s">
        <v>60</v>
      </c>
      <c r="B2646" t="s">
        <v>33</v>
      </c>
      <c r="C2646" t="s">
        <v>44</v>
      </c>
      <c r="D2646">
        <v>1887479.5358937669</v>
      </c>
      <c r="E2646" t="s">
        <v>9</v>
      </c>
      <c r="F2646" t="s">
        <v>10</v>
      </c>
    </row>
    <row r="2647" spans="1:6" hidden="1" x14ac:dyDescent="0.35">
      <c r="A2647" t="s">
        <v>61</v>
      </c>
      <c r="B2647" t="s">
        <v>33</v>
      </c>
      <c r="C2647" t="s">
        <v>44</v>
      </c>
      <c r="D2647">
        <v>2251153.6972336038</v>
      </c>
      <c r="E2647" t="s">
        <v>9</v>
      </c>
      <c r="F2647" t="s">
        <v>10</v>
      </c>
    </row>
    <row r="2648" spans="1:6" hidden="1" x14ac:dyDescent="0.35">
      <c r="A2648" t="s">
        <v>62</v>
      </c>
      <c r="B2648" t="s">
        <v>33</v>
      </c>
      <c r="C2648" t="s">
        <v>44</v>
      </c>
      <c r="D2648">
        <v>1241323.650349593</v>
      </c>
      <c r="E2648" t="s">
        <v>9</v>
      </c>
      <c r="F2648" t="s">
        <v>10</v>
      </c>
    </row>
    <row r="2649" spans="1:6" hidden="1" x14ac:dyDescent="0.35">
      <c r="A2649" t="s">
        <v>63</v>
      </c>
      <c r="B2649" t="s">
        <v>33</v>
      </c>
      <c r="C2649" t="s">
        <v>44</v>
      </c>
      <c r="D2649">
        <v>1694366.575442818</v>
      </c>
      <c r="E2649" t="s">
        <v>9</v>
      </c>
      <c r="F2649" t="s">
        <v>10</v>
      </c>
    </row>
    <row r="2650" spans="1:6" hidden="1" x14ac:dyDescent="0.35">
      <c r="A2650" t="s">
        <v>64</v>
      </c>
      <c r="B2650" t="s">
        <v>33</v>
      </c>
      <c r="C2650" t="s">
        <v>44</v>
      </c>
      <c r="D2650">
        <v>2316871.62337561</v>
      </c>
      <c r="E2650" t="s">
        <v>9</v>
      </c>
      <c r="F2650" t="s">
        <v>10</v>
      </c>
    </row>
    <row r="2651" spans="1:6" hidden="1" x14ac:dyDescent="0.35">
      <c r="A2651" t="s">
        <v>65</v>
      </c>
      <c r="B2651" t="s">
        <v>33</v>
      </c>
      <c r="C2651" t="s">
        <v>44</v>
      </c>
      <c r="D2651">
        <v>1086070.4680569109</v>
      </c>
      <c r="E2651" t="s">
        <v>9</v>
      </c>
      <c r="F2651" t="s">
        <v>10</v>
      </c>
    </row>
    <row r="2652" spans="1:6" hidden="1" x14ac:dyDescent="0.35">
      <c r="A2652" t="s">
        <v>66</v>
      </c>
      <c r="B2652" t="s">
        <v>33</v>
      </c>
      <c r="C2652" t="s">
        <v>44</v>
      </c>
      <c r="D2652">
        <v>740353.05754037958</v>
      </c>
      <c r="E2652" t="s">
        <v>9</v>
      </c>
      <c r="F2652" t="s">
        <v>10</v>
      </c>
    </row>
    <row r="2653" spans="1:6" hidden="1" x14ac:dyDescent="0.35">
      <c r="A2653" t="s">
        <v>67</v>
      </c>
      <c r="B2653" t="s">
        <v>33</v>
      </c>
      <c r="C2653" t="s">
        <v>44</v>
      </c>
      <c r="D2653">
        <v>1477867.656115989</v>
      </c>
      <c r="E2653" t="s">
        <v>9</v>
      </c>
      <c r="F2653" t="s">
        <v>10</v>
      </c>
    </row>
    <row r="2654" spans="1:6" hidden="1" x14ac:dyDescent="0.35">
      <c r="A2654" t="s">
        <v>57</v>
      </c>
      <c r="B2654" t="s">
        <v>33</v>
      </c>
      <c r="C2654" t="s">
        <v>22</v>
      </c>
      <c r="D2654">
        <v>0</v>
      </c>
      <c r="E2654" t="s">
        <v>9</v>
      </c>
      <c r="F2654" t="s">
        <v>10</v>
      </c>
    </row>
    <row r="2655" spans="1:6" hidden="1" x14ac:dyDescent="0.35">
      <c r="A2655" t="s">
        <v>11</v>
      </c>
      <c r="B2655" t="s">
        <v>33</v>
      </c>
      <c r="C2655" t="s">
        <v>22</v>
      </c>
      <c r="D2655">
        <v>0</v>
      </c>
      <c r="E2655" t="s">
        <v>9</v>
      </c>
      <c r="F2655" t="s">
        <v>10</v>
      </c>
    </row>
    <row r="2656" spans="1:6" hidden="1" x14ac:dyDescent="0.35">
      <c r="A2656" t="s">
        <v>58</v>
      </c>
      <c r="B2656" t="s">
        <v>33</v>
      </c>
      <c r="C2656" t="s">
        <v>22</v>
      </c>
      <c r="D2656">
        <v>0</v>
      </c>
      <c r="E2656" t="s">
        <v>9</v>
      </c>
      <c r="F2656" t="s">
        <v>10</v>
      </c>
    </row>
    <row r="2657" spans="1:6" hidden="1" x14ac:dyDescent="0.35">
      <c r="A2657" t="s">
        <v>59</v>
      </c>
      <c r="B2657" t="s">
        <v>33</v>
      </c>
      <c r="C2657" t="s">
        <v>22</v>
      </c>
      <c r="D2657">
        <v>0</v>
      </c>
      <c r="E2657" t="s">
        <v>9</v>
      </c>
      <c r="F2657" t="s">
        <v>10</v>
      </c>
    </row>
    <row r="2658" spans="1:6" hidden="1" x14ac:dyDescent="0.35">
      <c r="A2658" t="s">
        <v>60</v>
      </c>
      <c r="B2658" t="s">
        <v>33</v>
      </c>
      <c r="C2658" t="s">
        <v>22</v>
      </c>
      <c r="D2658">
        <v>0</v>
      </c>
      <c r="E2658" t="s">
        <v>9</v>
      </c>
      <c r="F2658" t="s">
        <v>10</v>
      </c>
    </row>
    <row r="2659" spans="1:6" hidden="1" x14ac:dyDescent="0.35">
      <c r="A2659" t="s">
        <v>61</v>
      </c>
      <c r="B2659" t="s">
        <v>33</v>
      </c>
      <c r="C2659" t="s">
        <v>22</v>
      </c>
      <c r="D2659">
        <v>0</v>
      </c>
      <c r="E2659" t="s">
        <v>9</v>
      </c>
      <c r="F2659" t="s">
        <v>10</v>
      </c>
    </row>
    <row r="2660" spans="1:6" hidden="1" x14ac:dyDescent="0.35">
      <c r="A2660" t="s">
        <v>62</v>
      </c>
      <c r="B2660" t="s">
        <v>33</v>
      </c>
      <c r="C2660" t="s">
        <v>22</v>
      </c>
      <c r="D2660">
        <v>0</v>
      </c>
      <c r="E2660" t="s">
        <v>9</v>
      </c>
      <c r="F2660" t="s">
        <v>10</v>
      </c>
    </row>
    <row r="2661" spans="1:6" hidden="1" x14ac:dyDescent="0.35">
      <c r="A2661" t="s">
        <v>63</v>
      </c>
      <c r="B2661" t="s">
        <v>33</v>
      </c>
      <c r="C2661" t="s">
        <v>22</v>
      </c>
      <c r="D2661">
        <v>0</v>
      </c>
      <c r="E2661" t="s">
        <v>9</v>
      </c>
      <c r="F2661" t="s">
        <v>10</v>
      </c>
    </row>
    <row r="2662" spans="1:6" hidden="1" x14ac:dyDescent="0.35">
      <c r="A2662" t="s">
        <v>64</v>
      </c>
      <c r="B2662" t="s">
        <v>33</v>
      </c>
      <c r="C2662" t="s">
        <v>22</v>
      </c>
      <c r="D2662">
        <v>0</v>
      </c>
      <c r="E2662" t="s">
        <v>9</v>
      </c>
      <c r="F2662" t="s">
        <v>10</v>
      </c>
    </row>
    <row r="2663" spans="1:6" hidden="1" x14ac:dyDescent="0.35">
      <c r="A2663" t="s">
        <v>65</v>
      </c>
      <c r="B2663" t="s">
        <v>33</v>
      </c>
      <c r="C2663" t="s">
        <v>22</v>
      </c>
      <c r="D2663">
        <v>0</v>
      </c>
      <c r="E2663" t="s">
        <v>9</v>
      </c>
      <c r="F2663" t="s">
        <v>10</v>
      </c>
    </row>
    <row r="2664" spans="1:6" hidden="1" x14ac:dyDescent="0.35">
      <c r="A2664" t="s">
        <v>66</v>
      </c>
      <c r="B2664" t="s">
        <v>33</v>
      </c>
      <c r="C2664" t="s">
        <v>22</v>
      </c>
      <c r="D2664">
        <v>0</v>
      </c>
      <c r="E2664" t="s">
        <v>9</v>
      </c>
      <c r="F2664" t="s">
        <v>10</v>
      </c>
    </row>
    <row r="2665" spans="1:6" hidden="1" x14ac:dyDescent="0.35">
      <c r="A2665" t="s">
        <v>67</v>
      </c>
      <c r="B2665" t="s">
        <v>33</v>
      </c>
      <c r="C2665" t="s">
        <v>22</v>
      </c>
      <c r="D2665">
        <v>0</v>
      </c>
      <c r="E2665" t="s">
        <v>9</v>
      </c>
      <c r="F2665" t="s">
        <v>10</v>
      </c>
    </row>
    <row r="2666" spans="1:6" hidden="1" x14ac:dyDescent="0.35">
      <c r="A2666" t="s">
        <v>57</v>
      </c>
      <c r="B2666" t="s">
        <v>33</v>
      </c>
      <c r="C2666" t="s">
        <v>46</v>
      </c>
      <c r="D2666">
        <v>645295.95466775098</v>
      </c>
      <c r="E2666" t="s">
        <v>9</v>
      </c>
      <c r="F2666" t="s">
        <v>10</v>
      </c>
    </row>
    <row r="2667" spans="1:6" hidden="1" x14ac:dyDescent="0.35">
      <c r="A2667" t="s">
        <v>11</v>
      </c>
      <c r="B2667" t="s">
        <v>33</v>
      </c>
      <c r="C2667" t="s">
        <v>46</v>
      </c>
      <c r="D2667">
        <v>607933.84126829263</v>
      </c>
      <c r="E2667" t="s">
        <v>9</v>
      </c>
      <c r="F2667" t="s">
        <v>10</v>
      </c>
    </row>
    <row r="2668" spans="1:6" hidden="1" x14ac:dyDescent="0.35">
      <c r="A2668" t="s">
        <v>58</v>
      </c>
      <c r="B2668" t="s">
        <v>33</v>
      </c>
      <c r="C2668" t="s">
        <v>46</v>
      </c>
      <c r="D2668">
        <v>393171.91410948511</v>
      </c>
      <c r="E2668" t="s">
        <v>9</v>
      </c>
      <c r="F2668" t="s">
        <v>10</v>
      </c>
    </row>
    <row r="2669" spans="1:6" hidden="1" x14ac:dyDescent="0.35">
      <c r="A2669" t="s">
        <v>59</v>
      </c>
      <c r="B2669" t="s">
        <v>33</v>
      </c>
      <c r="C2669" t="s">
        <v>46</v>
      </c>
      <c r="D2669">
        <v>1417069.278250407</v>
      </c>
      <c r="E2669" t="s">
        <v>9</v>
      </c>
      <c r="F2669" t="s">
        <v>10</v>
      </c>
    </row>
    <row r="2670" spans="1:6" hidden="1" x14ac:dyDescent="0.35">
      <c r="A2670" t="s">
        <v>60</v>
      </c>
      <c r="B2670" t="s">
        <v>33</v>
      </c>
      <c r="C2670" t="s">
        <v>46</v>
      </c>
      <c r="D2670">
        <v>674340.1330124659</v>
      </c>
      <c r="E2670" t="s">
        <v>9</v>
      </c>
      <c r="F2670" t="s">
        <v>10</v>
      </c>
    </row>
    <row r="2671" spans="1:6" hidden="1" x14ac:dyDescent="0.35">
      <c r="A2671" t="s">
        <v>61</v>
      </c>
      <c r="B2671" t="s">
        <v>33</v>
      </c>
      <c r="C2671" t="s">
        <v>46</v>
      </c>
      <c r="D2671">
        <v>1180166.019532792</v>
      </c>
      <c r="E2671" t="s">
        <v>9</v>
      </c>
      <c r="F2671" t="s">
        <v>10</v>
      </c>
    </row>
    <row r="2672" spans="1:6" hidden="1" x14ac:dyDescent="0.35">
      <c r="A2672" t="s">
        <v>62</v>
      </c>
      <c r="B2672" t="s">
        <v>33</v>
      </c>
      <c r="C2672" t="s">
        <v>46</v>
      </c>
      <c r="D2672">
        <v>695603.13490081276</v>
      </c>
      <c r="E2672" t="s">
        <v>9</v>
      </c>
      <c r="F2672" t="s">
        <v>10</v>
      </c>
    </row>
    <row r="2673" spans="1:6" hidden="1" x14ac:dyDescent="0.35">
      <c r="A2673" t="s">
        <v>63</v>
      </c>
      <c r="B2673" t="s">
        <v>33</v>
      </c>
      <c r="C2673" t="s">
        <v>46</v>
      </c>
      <c r="D2673">
        <v>1630810.632314364</v>
      </c>
      <c r="E2673" t="s">
        <v>9</v>
      </c>
      <c r="F2673" t="s">
        <v>10</v>
      </c>
    </row>
    <row r="2674" spans="1:6" hidden="1" x14ac:dyDescent="0.35">
      <c r="A2674" t="s">
        <v>64</v>
      </c>
      <c r="B2674" t="s">
        <v>33</v>
      </c>
      <c r="C2674" t="s">
        <v>46</v>
      </c>
      <c r="D2674">
        <v>916166.60324878059</v>
      </c>
      <c r="E2674" t="s">
        <v>9</v>
      </c>
      <c r="F2674" t="s">
        <v>10</v>
      </c>
    </row>
    <row r="2675" spans="1:6" hidden="1" x14ac:dyDescent="0.35">
      <c r="A2675" t="s">
        <v>65</v>
      </c>
      <c r="B2675" t="s">
        <v>33</v>
      </c>
      <c r="C2675" t="s">
        <v>46</v>
      </c>
      <c r="D2675">
        <v>1541696.375486179</v>
      </c>
      <c r="E2675" t="s">
        <v>9</v>
      </c>
      <c r="F2675" t="s">
        <v>10</v>
      </c>
    </row>
    <row r="2676" spans="1:6" hidden="1" x14ac:dyDescent="0.35">
      <c r="A2676" t="s">
        <v>66</v>
      </c>
      <c r="B2676" t="s">
        <v>33</v>
      </c>
      <c r="C2676" t="s">
        <v>46</v>
      </c>
      <c r="D2676">
        <v>793307.19291924115</v>
      </c>
      <c r="E2676" t="s">
        <v>9</v>
      </c>
      <c r="F2676" t="s">
        <v>10</v>
      </c>
    </row>
    <row r="2677" spans="1:6" hidden="1" x14ac:dyDescent="0.35">
      <c r="A2677" t="s">
        <v>67</v>
      </c>
      <c r="B2677" t="s">
        <v>33</v>
      </c>
      <c r="C2677" t="s">
        <v>46</v>
      </c>
      <c r="D2677">
        <v>727942.57056802162</v>
      </c>
      <c r="E2677" t="s">
        <v>9</v>
      </c>
      <c r="F2677" t="s">
        <v>10</v>
      </c>
    </row>
    <row r="2678" spans="1:6" hidden="1" x14ac:dyDescent="0.35">
      <c r="A2678" t="s">
        <v>57</v>
      </c>
      <c r="B2678" t="s">
        <v>33</v>
      </c>
      <c r="C2678" t="s">
        <v>24</v>
      </c>
      <c r="D2678">
        <v>0</v>
      </c>
      <c r="E2678" t="s">
        <v>9</v>
      </c>
      <c r="F2678" t="s">
        <v>10</v>
      </c>
    </row>
    <row r="2679" spans="1:6" hidden="1" x14ac:dyDescent="0.35">
      <c r="A2679" t="s">
        <v>11</v>
      </c>
      <c r="B2679" t="s">
        <v>33</v>
      </c>
      <c r="C2679" t="s">
        <v>24</v>
      </c>
      <c r="D2679">
        <v>0</v>
      </c>
      <c r="E2679" t="s">
        <v>9</v>
      </c>
      <c r="F2679" t="s">
        <v>10</v>
      </c>
    </row>
    <row r="2680" spans="1:6" hidden="1" x14ac:dyDescent="0.35">
      <c r="A2680" t="s">
        <v>58</v>
      </c>
      <c r="B2680" t="s">
        <v>33</v>
      </c>
      <c r="C2680" t="s">
        <v>24</v>
      </c>
      <c r="D2680">
        <v>0</v>
      </c>
      <c r="E2680" t="s">
        <v>9</v>
      </c>
      <c r="F2680" t="s">
        <v>10</v>
      </c>
    </row>
    <row r="2681" spans="1:6" hidden="1" x14ac:dyDescent="0.35">
      <c r="A2681" t="s">
        <v>59</v>
      </c>
      <c r="B2681" t="s">
        <v>33</v>
      </c>
      <c r="C2681" t="s">
        <v>24</v>
      </c>
      <c r="D2681">
        <v>0</v>
      </c>
      <c r="E2681" t="s">
        <v>9</v>
      </c>
      <c r="F2681" t="s">
        <v>10</v>
      </c>
    </row>
    <row r="2682" spans="1:6" hidden="1" x14ac:dyDescent="0.35">
      <c r="A2682" t="s">
        <v>60</v>
      </c>
      <c r="B2682" t="s">
        <v>33</v>
      </c>
      <c r="C2682" t="s">
        <v>24</v>
      </c>
      <c r="D2682">
        <v>0</v>
      </c>
      <c r="E2682" t="s">
        <v>9</v>
      </c>
      <c r="F2682" t="s">
        <v>10</v>
      </c>
    </row>
    <row r="2683" spans="1:6" hidden="1" x14ac:dyDescent="0.35">
      <c r="A2683" t="s">
        <v>61</v>
      </c>
      <c r="B2683" t="s">
        <v>33</v>
      </c>
      <c r="C2683" t="s">
        <v>24</v>
      </c>
      <c r="D2683">
        <v>0</v>
      </c>
      <c r="E2683" t="s">
        <v>9</v>
      </c>
      <c r="F2683" t="s">
        <v>10</v>
      </c>
    </row>
    <row r="2684" spans="1:6" hidden="1" x14ac:dyDescent="0.35">
      <c r="A2684" t="s">
        <v>62</v>
      </c>
      <c r="B2684" t="s">
        <v>33</v>
      </c>
      <c r="C2684" t="s">
        <v>24</v>
      </c>
      <c r="D2684">
        <v>0</v>
      </c>
      <c r="E2684" t="s">
        <v>9</v>
      </c>
      <c r="F2684" t="s">
        <v>10</v>
      </c>
    </row>
    <row r="2685" spans="1:6" hidden="1" x14ac:dyDescent="0.35">
      <c r="A2685" t="s">
        <v>63</v>
      </c>
      <c r="B2685" t="s">
        <v>33</v>
      </c>
      <c r="C2685" t="s">
        <v>24</v>
      </c>
      <c r="D2685">
        <v>0</v>
      </c>
      <c r="E2685" t="s">
        <v>9</v>
      </c>
      <c r="F2685" t="s">
        <v>10</v>
      </c>
    </row>
    <row r="2686" spans="1:6" hidden="1" x14ac:dyDescent="0.35">
      <c r="A2686" t="s">
        <v>64</v>
      </c>
      <c r="B2686" t="s">
        <v>33</v>
      </c>
      <c r="C2686" t="s">
        <v>24</v>
      </c>
      <c r="D2686">
        <v>0</v>
      </c>
      <c r="E2686" t="s">
        <v>9</v>
      </c>
      <c r="F2686" t="s">
        <v>10</v>
      </c>
    </row>
    <row r="2687" spans="1:6" hidden="1" x14ac:dyDescent="0.35">
      <c r="A2687" t="s">
        <v>65</v>
      </c>
      <c r="B2687" t="s">
        <v>33</v>
      </c>
      <c r="C2687" t="s">
        <v>24</v>
      </c>
      <c r="D2687">
        <v>0</v>
      </c>
      <c r="E2687" t="s">
        <v>9</v>
      </c>
      <c r="F2687" t="s">
        <v>10</v>
      </c>
    </row>
    <row r="2688" spans="1:6" hidden="1" x14ac:dyDescent="0.35">
      <c r="A2688" t="s">
        <v>66</v>
      </c>
      <c r="B2688" t="s">
        <v>33</v>
      </c>
      <c r="C2688" t="s">
        <v>24</v>
      </c>
      <c r="D2688">
        <v>0</v>
      </c>
      <c r="E2688" t="s">
        <v>9</v>
      </c>
      <c r="F2688" t="s">
        <v>10</v>
      </c>
    </row>
    <row r="2689" spans="1:6" hidden="1" x14ac:dyDescent="0.35">
      <c r="A2689" t="s">
        <v>67</v>
      </c>
      <c r="B2689" t="s">
        <v>33</v>
      </c>
      <c r="C2689" t="s">
        <v>24</v>
      </c>
      <c r="D2689">
        <v>0</v>
      </c>
      <c r="E2689" t="s">
        <v>9</v>
      </c>
      <c r="F2689" t="s">
        <v>10</v>
      </c>
    </row>
    <row r="2690" spans="1:6" hidden="1" x14ac:dyDescent="0.35">
      <c r="A2690" t="s">
        <v>57</v>
      </c>
      <c r="B2690" t="s">
        <v>33</v>
      </c>
      <c r="C2690" t="s">
        <v>47</v>
      </c>
      <c r="D2690">
        <v>24887.99</v>
      </c>
      <c r="E2690" t="s">
        <v>9</v>
      </c>
      <c r="F2690" t="s">
        <v>10</v>
      </c>
    </row>
    <row r="2691" spans="1:6" hidden="1" x14ac:dyDescent="0.35">
      <c r="A2691" t="s">
        <v>11</v>
      </c>
      <c r="B2691" t="s">
        <v>33</v>
      </c>
      <c r="C2691" t="s">
        <v>47</v>
      </c>
      <c r="D2691">
        <v>88153.49</v>
      </c>
      <c r="E2691" t="s">
        <v>9</v>
      </c>
      <c r="F2691" t="s">
        <v>10</v>
      </c>
    </row>
    <row r="2692" spans="1:6" hidden="1" x14ac:dyDescent="0.35">
      <c r="A2692" t="s">
        <v>58</v>
      </c>
      <c r="B2692" t="s">
        <v>33</v>
      </c>
      <c r="C2692" t="s">
        <v>47</v>
      </c>
      <c r="D2692">
        <v>1269.21</v>
      </c>
      <c r="E2692" t="s">
        <v>9</v>
      </c>
      <c r="F2692" t="s">
        <v>10</v>
      </c>
    </row>
    <row r="2693" spans="1:6" hidden="1" x14ac:dyDescent="0.35">
      <c r="A2693" t="s">
        <v>59</v>
      </c>
      <c r="B2693" t="s">
        <v>33</v>
      </c>
      <c r="C2693" t="s">
        <v>47</v>
      </c>
      <c r="D2693">
        <v>46001.68</v>
      </c>
      <c r="E2693" t="s">
        <v>9</v>
      </c>
      <c r="F2693" t="s">
        <v>10</v>
      </c>
    </row>
    <row r="2694" spans="1:6" hidden="1" x14ac:dyDescent="0.35">
      <c r="A2694" t="s">
        <v>60</v>
      </c>
      <c r="B2694" t="s">
        <v>33</v>
      </c>
      <c r="C2694" t="s">
        <v>47</v>
      </c>
      <c r="E2694" t="s">
        <v>9</v>
      </c>
      <c r="F2694" t="s">
        <v>10</v>
      </c>
    </row>
    <row r="2695" spans="1:6" hidden="1" x14ac:dyDescent="0.35">
      <c r="A2695" t="s">
        <v>61</v>
      </c>
      <c r="B2695" t="s">
        <v>33</v>
      </c>
      <c r="C2695" t="s">
        <v>47</v>
      </c>
      <c r="D2695">
        <v>949.51</v>
      </c>
      <c r="E2695" t="s">
        <v>9</v>
      </c>
      <c r="F2695" t="s">
        <v>10</v>
      </c>
    </row>
    <row r="2696" spans="1:6" hidden="1" x14ac:dyDescent="0.35">
      <c r="A2696" t="s">
        <v>62</v>
      </c>
      <c r="B2696" t="s">
        <v>33</v>
      </c>
      <c r="C2696" t="s">
        <v>47</v>
      </c>
      <c r="D2696">
        <v>18329.12</v>
      </c>
      <c r="E2696" t="s">
        <v>9</v>
      </c>
      <c r="F2696" t="s">
        <v>10</v>
      </c>
    </row>
    <row r="2697" spans="1:6" hidden="1" x14ac:dyDescent="0.35">
      <c r="A2697" t="s">
        <v>63</v>
      </c>
      <c r="B2697" t="s">
        <v>33</v>
      </c>
      <c r="C2697" t="s">
        <v>47</v>
      </c>
      <c r="E2697" t="s">
        <v>9</v>
      </c>
      <c r="F2697" t="s">
        <v>10</v>
      </c>
    </row>
    <row r="2698" spans="1:6" hidden="1" x14ac:dyDescent="0.35">
      <c r="A2698" t="s">
        <v>64</v>
      </c>
      <c r="B2698" t="s">
        <v>33</v>
      </c>
      <c r="C2698" t="s">
        <v>47</v>
      </c>
      <c r="E2698" t="s">
        <v>9</v>
      </c>
      <c r="F2698" t="s">
        <v>10</v>
      </c>
    </row>
    <row r="2699" spans="1:6" hidden="1" x14ac:dyDescent="0.35">
      <c r="A2699" t="s">
        <v>65</v>
      </c>
      <c r="B2699" t="s">
        <v>33</v>
      </c>
      <c r="C2699" t="s">
        <v>47</v>
      </c>
      <c r="D2699">
        <v>32990.269999999997</v>
      </c>
      <c r="E2699" t="s">
        <v>9</v>
      </c>
      <c r="F2699" t="s">
        <v>10</v>
      </c>
    </row>
    <row r="2700" spans="1:6" hidden="1" x14ac:dyDescent="0.35">
      <c r="A2700" t="s">
        <v>66</v>
      </c>
      <c r="B2700" t="s">
        <v>33</v>
      </c>
      <c r="C2700" t="s">
        <v>47</v>
      </c>
      <c r="E2700" t="s">
        <v>9</v>
      </c>
      <c r="F2700" t="s">
        <v>10</v>
      </c>
    </row>
    <row r="2701" spans="1:6" hidden="1" x14ac:dyDescent="0.35">
      <c r="A2701" t="s">
        <v>67</v>
      </c>
      <c r="B2701" t="s">
        <v>33</v>
      </c>
      <c r="C2701" t="s">
        <v>47</v>
      </c>
      <c r="D2701">
        <v>74846.899999999994</v>
      </c>
      <c r="E2701" t="s">
        <v>9</v>
      </c>
      <c r="F2701" t="s">
        <v>10</v>
      </c>
    </row>
    <row r="2702" spans="1:6" hidden="1" x14ac:dyDescent="0.35">
      <c r="A2702" t="s">
        <v>57</v>
      </c>
      <c r="B2702" t="s">
        <v>33</v>
      </c>
      <c r="C2702" t="s">
        <v>48</v>
      </c>
      <c r="D2702">
        <v>0</v>
      </c>
      <c r="E2702" t="s">
        <v>9</v>
      </c>
      <c r="F2702" t="s">
        <v>10</v>
      </c>
    </row>
    <row r="2703" spans="1:6" hidden="1" x14ac:dyDescent="0.35">
      <c r="A2703" t="s">
        <v>11</v>
      </c>
      <c r="B2703" t="s">
        <v>33</v>
      </c>
      <c r="C2703" t="s">
        <v>48</v>
      </c>
      <c r="D2703">
        <v>0</v>
      </c>
      <c r="E2703" t="s">
        <v>9</v>
      </c>
      <c r="F2703" t="s">
        <v>10</v>
      </c>
    </row>
    <row r="2704" spans="1:6" hidden="1" x14ac:dyDescent="0.35">
      <c r="A2704" t="s">
        <v>58</v>
      </c>
      <c r="B2704" t="s">
        <v>33</v>
      </c>
      <c r="C2704" t="s">
        <v>48</v>
      </c>
      <c r="D2704">
        <v>0</v>
      </c>
      <c r="E2704" t="s">
        <v>9</v>
      </c>
      <c r="F2704" t="s">
        <v>10</v>
      </c>
    </row>
    <row r="2705" spans="1:6" hidden="1" x14ac:dyDescent="0.35">
      <c r="A2705" t="s">
        <v>59</v>
      </c>
      <c r="B2705" t="s">
        <v>33</v>
      </c>
      <c r="C2705" t="s">
        <v>48</v>
      </c>
      <c r="D2705">
        <v>0</v>
      </c>
      <c r="E2705" t="s">
        <v>9</v>
      </c>
      <c r="F2705" t="s">
        <v>10</v>
      </c>
    </row>
    <row r="2706" spans="1:6" hidden="1" x14ac:dyDescent="0.35">
      <c r="A2706" t="s">
        <v>60</v>
      </c>
      <c r="B2706" t="s">
        <v>33</v>
      </c>
      <c r="C2706" t="s">
        <v>48</v>
      </c>
      <c r="D2706">
        <v>0</v>
      </c>
      <c r="E2706" t="s">
        <v>9</v>
      </c>
      <c r="F2706" t="s">
        <v>10</v>
      </c>
    </row>
    <row r="2707" spans="1:6" hidden="1" x14ac:dyDescent="0.35">
      <c r="A2707" t="s">
        <v>61</v>
      </c>
      <c r="B2707" t="s">
        <v>33</v>
      </c>
      <c r="C2707" t="s">
        <v>48</v>
      </c>
      <c r="D2707">
        <v>0</v>
      </c>
      <c r="E2707" t="s">
        <v>9</v>
      </c>
      <c r="F2707" t="s">
        <v>10</v>
      </c>
    </row>
    <row r="2708" spans="1:6" hidden="1" x14ac:dyDescent="0.35">
      <c r="A2708" t="s">
        <v>62</v>
      </c>
      <c r="B2708" t="s">
        <v>33</v>
      </c>
      <c r="C2708" t="s">
        <v>48</v>
      </c>
      <c r="D2708">
        <v>0</v>
      </c>
      <c r="E2708" t="s">
        <v>9</v>
      </c>
      <c r="F2708" t="s">
        <v>10</v>
      </c>
    </row>
    <row r="2709" spans="1:6" hidden="1" x14ac:dyDescent="0.35">
      <c r="A2709" t="s">
        <v>63</v>
      </c>
      <c r="B2709" t="s">
        <v>33</v>
      </c>
      <c r="C2709" t="s">
        <v>48</v>
      </c>
      <c r="D2709">
        <v>0</v>
      </c>
      <c r="E2709" t="s">
        <v>9</v>
      </c>
      <c r="F2709" t="s">
        <v>10</v>
      </c>
    </row>
    <row r="2710" spans="1:6" hidden="1" x14ac:dyDescent="0.35">
      <c r="A2710" t="s">
        <v>64</v>
      </c>
      <c r="B2710" t="s">
        <v>33</v>
      </c>
      <c r="C2710" t="s">
        <v>48</v>
      </c>
      <c r="D2710">
        <v>0</v>
      </c>
      <c r="E2710" t="s">
        <v>9</v>
      </c>
      <c r="F2710" t="s">
        <v>10</v>
      </c>
    </row>
    <row r="2711" spans="1:6" hidden="1" x14ac:dyDescent="0.35">
      <c r="A2711" t="s">
        <v>65</v>
      </c>
      <c r="B2711" t="s">
        <v>33</v>
      </c>
      <c r="C2711" t="s">
        <v>48</v>
      </c>
      <c r="D2711">
        <v>0</v>
      </c>
      <c r="E2711" t="s">
        <v>9</v>
      </c>
      <c r="F2711" t="s">
        <v>10</v>
      </c>
    </row>
    <row r="2712" spans="1:6" hidden="1" x14ac:dyDescent="0.35">
      <c r="A2712" t="s">
        <v>66</v>
      </c>
      <c r="B2712" t="s">
        <v>33</v>
      </c>
      <c r="C2712" t="s">
        <v>48</v>
      </c>
      <c r="D2712">
        <v>0</v>
      </c>
      <c r="E2712" t="s">
        <v>9</v>
      </c>
      <c r="F2712" t="s">
        <v>10</v>
      </c>
    </row>
    <row r="2713" spans="1:6" hidden="1" x14ac:dyDescent="0.35">
      <c r="A2713" t="s">
        <v>67</v>
      </c>
      <c r="B2713" t="s">
        <v>33</v>
      </c>
      <c r="C2713" t="s">
        <v>48</v>
      </c>
      <c r="D2713">
        <v>0</v>
      </c>
      <c r="E2713" t="s">
        <v>9</v>
      </c>
      <c r="F2713" t="s">
        <v>10</v>
      </c>
    </row>
    <row r="2714" spans="1:6" hidden="1" x14ac:dyDescent="0.35">
      <c r="A2714" t="s">
        <v>57</v>
      </c>
      <c r="B2714" t="s">
        <v>33</v>
      </c>
      <c r="C2714" t="s">
        <v>49</v>
      </c>
      <c r="D2714">
        <v>106956.71279999999</v>
      </c>
      <c r="E2714" t="s">
        <v>9</v>
      </c>
      <c r="F2714" t="s">
        <v>10</v>
      </c>
    </row>
    <row r="2715" spans="1:6" hidden="1" x14ac:dyDescent="0.35">
      <c r="A2715" t="s">
        <v>11</v>
      </c>
      <c r="B2715" t="s">
        <v>33</v>
      </c>
      <c r="C2715" t="s">
        <v>49</v>
      </c>
      <c r="D2715">
        <v>398885.40320000012</v>
      </c>
      <c r="E2715" t="s">
        <v>9</v>
      </c>
      <c r="F2715" t="s">
        <v>10</v>
      </c>
    </row>
    <row r="2716" spans="1:6" hidden="1" x14ac:dyDescent="0.35">
      <c r="A2716" t="s">
        <v>58</v>
      </c>
      <c r="B2716" t="s">
        <v>33</v>
      </c>
      <c r="C2716" t="s">
        <v>49</v>
      </c>
      <c r="D2716">
        <v>147700.97640000001</v>
      </c>
      <c r="E2716" t="s">
        <v>9</v>
      </c>
      <c r="F2716" t="s">
        <v>10</v>
      </c>
    </row>
    <row r="2717" spans="1:6" hidden="1" x14ac:dyDescent="0.35">
      <c r="A2717" t="s">
        <v>59</v>
      </c>
      <c r="B2717" t="s">
        <v>33</v>
      </c>
      <c r="C2717" t="s">
        <v>49</v>
      </c>
      <c r="D2717">
        <v>127461.71520000001</v>
      </c>
      <c r="E2717" t="s">
        <v>9</v>
      </c>
      <c r="F2717" t="s">
        <v>10</v>
      </c>
    </row>
    <row r="2718" spans="1:6" hidden="1" x14ac:dyDescent="0.35">
      <c r="A2718" t="s">
        <v>60</v>
      </c>
      <c r="B2718" t="s">
        <v>33</v>
      </c>
      <c r="C2718" t="s">
        <v>49</v>
      </c>
      <c r="D2718">
        <v>220857.97359999991</v>
      </c>
      <c r="E2718" t="s">
        <v>9</v>
      </c>
      <c r="F2718" t="s">
        <v>10</v>
      </c>
    </row>
    <row r="2719" spans="1:6" hidden="1" x14ac:dyDescent="0.35">
      <c r="A2719" t="s">
        <v>61</v>
      </c>
      <c r="B2719" t="s">
        <v>33</v>
      </c>
      <c r="C2719" t="s">
        <v>49</v>
      </c>
      <c r="D2719">
        <v>346656.95080000011</v>
      </c>
      <c r="E2719" t="s">
        <v>9</v>
      </c>
      <c r="F2719" t="s">
        <v>10</v>
      </c>
    </row>
    <row r="2720" spans="1:6" hidden="1" x14ac:dyDescent="0.35">
      <c r="A2720" t="s">
        <v>62</v>
      </c>
      <c r="B2720" t="s">
        <v>33</v>
      </c>
      <c r="C2720" t="s">
        <v>49</v>
      </c>
      <c r="D2720">
        <v>332233.44760000001</v>
      </c>
      <c r="E2720" t="s">
        <v>9</v>
      </c>
      <c r="F2720" t="s">
        <v>10</v>
      </c>
    </row>
    <row r="2721" spans="1:6" hidden="1" x14ac:dyDescent="0.35">
      <c r="A2721" t="s">
        <v>63</v>
      </c>
      <c r="B2721" t="s">
        <v>33</v>
      </c>
      <c r="C2721" t="s">
        <v>49</v>
      </c>
      <c r="D2721">
        <v>387299.74040000013</v>
      </c>
      <c r="E2721" t="s">
        <v>9</v>
      </c>
      <c r="F2721" t="s">
        <v>10</v>
      </c>
    </row>
    <row r="2722" spans="1:6" hidden="1" x14ac:dyDescent="0.35">
      <c r="A2722" t="s">
        <v>64</v>
      </c>
      <c r="B2722" t="s">
        <v>33</v>
      </c>
      <c r="C2722" t="s">
        <v>49</v>
      </c>
      <c r="D2722">
        <v>702175.37160000007</v>
      </c>
      <c r="E2722" t="s">
        <v>9</v>
      </c>
      <c r="F2722" t="s">
        <v>10</v>
      </c>
    </row>
    <row r="2723" spans="1:6" hidden="1" x14ac:dyDescent="0.35">
      <c r="A2723" t="s">
        <v>65</v>
      </c>
      <c r="B2723" t="s">
        <v>33</v>
      </c>
      <c r="C2723" t="s">
        <v>49</v>
      </c>
      <c r="D2723">
        <v>435042.69919999992</v>
      </c>
      <c r="E2723" t="s">
        <v>9</v>
      </c>
      <c r="F2723" t="s">
        <v>10</v>
      </c>
    </row>
    <row r="2724" spans="1:6" hidden="1" x14ac:dyDescent="0.35">
      <c r="A2724" t="s">
        <v>66</v>
      </c>
      <c r="B2724" t="s">
        <v>33</v>
      </c>
      <c r="C2724" t="s">
        <v>49</v>
      </c>
      <c r="D2724">
        <v>385236.09279999993</v>
      </c>
      <c r="E2724" t="s">
        <v>9</v>
      </c>
      <c r="F2724" t="s">
        <v>10</v>
      </c>
    </row>
    <row r="2725" spans="1:6" hidden="1" x14ac:dyDescent="0.35">
      <c r="A2725" t="s">
        <v>67</v>
      </c>
      <c r="B2725" t="s">
        <v>33</v>
      </c>
      <c r="C2725" t="s">
        <v>49</v>
      </c>
      <c r="D2725">
        <v>691409.02639999974</v>
      </c>
      <c r="E2725" t="s">
        <v>9</v>
      </c>
      <c r="F2725" t="s">
        <v>10</v>
      </c>
    </row>
    <row r="2726" spans="1:6" hidden="1" x14ac:dyDescent="0.35">
      <c r="A2726" t="s">
        <v>57</v>
      </c>
      <c r="B2726" t="s">
        <v>33</v>
      </c>
      <c r="C2726" t="s">
        <v>50</v>
      </c>
      <c r="D2726">
        <v>1768353.5963999999</v>
      </c>
      <c r="E2726" t="s">
        <v>9</v>
      </c>
      <c r="F2726" t="s">
        <v>10</v>
      </c>
    </row>
    <row r="2727" spans="1:6" hidden="1" x14ac:dyDescent="0.35">
      <c r="A2727" t="s">
        <v>11</v>
      </c>
      <c r="B2727" t="s">
        <v>33</v>
      </c>
      <c r="C2727" t="s">
        <v>50</v>
      </c>
      <c r="D2727">
        <v>3109776.6312000011</v>
      </c>
      <c r="E2727" t="s">
        <v>9</v>
      </c>
      <c r="F2727" t="s">
        <v>10</v>
      </c>
    </row>
    <row r="2728" spans="1:6" hidden="1" x14ac:dyDescent="0.35">
      <c r="A2728" t="s">
        <v>58</v>
      </c>
      <c r="B2728" t="s">
        <v>33</v>
      </c>
      <c r="C2728" t="s">
        <v>50</v>
      </c>
      <c r="D2728">
        <v>2395360.2412</v>
      </c>
      <c r="E2728" t="s">
        <v>9</v>
      </c>
      <c r="F2728" t="s">
        <v>10</v>
      </c>
    </row>
    <row r="2729" spans="1:6" hidden="1" x14ac:dyDescent="0.35">
      <c r="A2729" t="s">
        <v>59</v>
      </c>
      <c r="B2729" t="s">
        <v>33</v>
      </c>
      <c r="C2729" t="s">
        <v>50</v>
      </c>
      <c r="D2729">
        <v>2646360.9048000001</v>
      </c>
      <c r="E2729" t="s">
        <v>9</v>
      </c>
      <c r="F2729" t="s">
        <v>10</v>
      </c>
    </row>
    <row r="2730" spans="1:6" hidden="1" x14ac:dyDescent="0.35">
      <c r="A2730" t="s">
        <v>60</v>
      </c>
      <c r="B2730" t="s">
        <v>33</v>
      </c>
      <c r="C2730" t="s">
        <v>50</v>
      </c>
      <c r="D2730">
        <v>4449299.2048000004</v>
      </c>
      <c r="E2730" t="s">
        <v>9</v>
      </c>
      <c r="F2730" t="s">
        <v>10</v>
      </c>
    </row>
    <row r="2731" spans="1:6" hidden="1" x14ac:dyDescent="0.35">
      <c r="A2731" t="s">
        <v>61</v>
      </c>
      <c r="B2731" t="s">
        <v>33</v>
      </c>
      <c r="C2731" t="s">
        <v>50</v>
      </c>
      <c r="D2731">
        <v>5682473.4140000008</v>
      </c>
      <c r="E2731" t="s">
        <v>9</v>
      </c>
      <c r="F2731" t="s">
        <v>10</v>
      </c>
    </row>
    <row r="2732" spans="1:6" hidden="1" x14ac:dyDescent="0.35">
      <c r="A2732" t="s">
        <v>62</v>
      </c>
      <c r="B2732" t="s">
        <v>33</v>
      </c>
      <c r="C2732" t="s">
        <v>50</v>
      </c>
      <c r="D2732">
        <v>3178250.4356</v>
      </c>
      <c r="E2732" t="s">
        <v>9</v>
      </c>
      <c r="F2732" t="s">
        <v>10</v>
      </c>
    </row>
    <row r="2733" spans="1:6" hidden="1" x14ac:dyDescent="0.35">
      <c r="A2733" t="s">
        <v>63</v>
      </c>
      <c r="B2733" t="s">
        <v>33</v>
      </c>
      <c r="C2733" t="s">
        <v>50</v>
      </c>
      <c r="D2733">
        <v>5019543.7832000004</v>
      </c>
      <c r="E2733" t="s">
        <v>9</v>
      </c>
      <c r="F2733" t="s">
        <v>10</v>
      </c>
    </row>
    <row r="2734" spans="1:6" hidden="1" x14ac:dyDescent="0.35">
      <c r="A2734" t="s">
        <v>64</v>
      </c>
      <c r="B2734" t="s">
        <v>33</v>
      </c>
      <c r="C2734" t="s">
        <v>50</v>
      </c>
      <c r="D2734">
        <v>5549909.8499999996</v>
      </c>
      <c r="E2734" t="s">
        <v>9</v>
      </c>
      <c r="F2734" t="s">
        <v>10</v>
      </c>
    </row>
    <row r="2735" spans="1:6" hidden="1" x14ac:dyDescent="0.35">
      <c r="A2735" t="s">
        <v>65</v>
      </c>
      <c r="B2735" t="s">
        <v>33</v>
      </c>
      <c r="C2735" t="s">
        <v>50</v>
      </c>
      <c r="D2735">
        <v>3713837.3116000001</v>
      </c>
      <c r="E2735" t="s">
        <v>9</v>
      </c>
      <c r="F2735" t="s">
        <v>10</v>
      </c>
    </row>
    <row r="2736" spans="1:6" hidden="1" x14ac:dyDescent="0.35">
      <c r="A2736" t="s">
        <v>66</v>
      </c>
      <c r="B2736" t="s">
        <v>33</v>
      </c>
      <c r="C2736" t="s">
        <v>50</v>
      </c>
      <c r="D2736">
        <v>2274013.3080000002</v>
      </c>
      <c r="E2736" t="s">
        <v>9</v>
      </c>
      <c r="F2736" t="s">
        <v>10</v>
      </c>
    </row>
    <row r="2737" spans="1:6" hidden="1" x14ac:dyDescent="0.35">
      <c r="A2737" t="s">
        <v>67</v>
      </c>
      <c r="B2737" t="s">
        <v>33</v>
      </c>
      <c r="C2737" t="s">
        <v>50</v>
      </c>
      <c r="D2737">
        <v>3683677.8827999998</v>
      </c>
      <c r="E2737" t="s">
        <v>9</v>
      </c>
      <c r="F2737" t="s">
        <v>10</v>
      </c>
    </row>
    <row r="2738" spans="1:6" hidden="1" x14ac:dyDescent="0.35">
      <c r="A2738" t="s">
        <v>57</v>
      </c>
      <c r="B2738" t="s">
        <v>33</v>
      </c>
      <c r="C2738" t="s">
        <v>51</v>
      </c>
      <c r="D2738">
        <v>46</v>
      </c>
      <c r="E2738" t="s">
        <v>9</v>
      </c>
      <c r="F2738" t="s">
        <v>10</v>
      </c>
    </row>
    <row r="2739" spans="1:6" hidden="1" x14ac:dyDescent="0.35">
      <c r="A2739" t="s">
        <v>11</v>
      </c>
      <c r="B2739" t="s">
        <v>33</v>
      </c>
      <c r="C2739" t="s">
        <v>51</v>
      </c>
      <c r="D2739">
        <v>41</v>
      </c>
      <c r="E2739" t="s">
        <v>9</v>
      </c>
      <c r="F2739" t="s">
        <v>10</v>
      </c>
    </row>
    <row r="2740" spans="1:6" hidden="1" x14ac:dyDescent="0.35">
      <c r="A2740" t="s">
        <v>58</v>
      </c>
      <c r="B2740" t="s">
        <v>33</v>
      </c>
      <c r="C2740" t="s">
        <v>51</v>
      </c>
      <c r="D2740">
        <v>45</v>
      </c>
      <c r="E2740" t="s">
        <v>9</v>
      </c>
      <c r="F2740" t="s">
        <v>10</v>
      </c>
    </row>
    <row r="2741" spans="1:6" hidden="1" x14ac:dyDescent="0.35">
      <c r="A2741" t="s">
        <v>59</v>
      </c>
      <c r="B2741" t="s">
        <v>33</v>
      </c>
      <c r="C2741" t="s">
        <v>51</v>
      </c>
      <c r="D2741">
        <v>68</v>
      </c>
      <c r="E2741" t="s">
        <v>9</v>
      </c>
      <c r="F2741" t="s">
        <v>10</v>
      </c>
    </row>
    <row r="2742" spans="1:6" hidden="1" x14ac:dyDescent="0.35">
      <c r="A2742" t="s">
        <v>60</v>
      </c>
      <c r="B2742" t="s">
        <v>33</v>
      </c>
      <c r="C2742" t="s">
        <v>51</v>
      </c>
      <c r="D2742">
        <v>44</v>
      </c>
      <c r="E2742" t="s">
        <v>9</v>
      </c>
      <c r="F2742" t="s">
        <v>10</v>
      </c>
    </row>
    <row r="2743" spans="1:6" hidden="1" x14ac:dyDescent="0.35">
      <c r="A2743" t="s">
        <v>61</v>
      </c>
      <c r="B2743" t="s">
        <v>33</v>
      </c>
      <c r="C2743" t="s">
        <v>51</v>
      </c>
      <c r="D2743">
        <v>41</v>
      </c>
      <c r="E2743" t="s">
        <v>9</v>
      </c>
      <c r="F2743" t="s">
        <v>10</v>
      </c>
    </row>
    <row r="2744" spans="1:6" hidden="1" x14ac:dyDescent="0.35">
      <c r="A2744" t="s">
        <v>62</v>
      </c>
      <c r="B2744" t="s">
        <v>33</v>
      </c>
      <c r="C2744" t="s">
        <v>51</v>
      </c>
      <c r="D2744">
        <v>31</v>
      </c>
      <c r="E2744" t="s">
        <v>9</v>
      </c>
      <c r="F2744" t="s">
        <v>10</v>
      </c>
    </row>
    <row r="2745" spans="1:6" hidden="1" x14ac:dyDescent="0.35">
      <c r="A2745" t="s">
        <v>63</v>
      </c>
      <c r="B2745" t="s">
        <v>33</v>
      </c>
      <c r="C2745" t="s">
        <v>51</v>
      </c>
      <c r="D2745">
        <v>39</v>
      </c>
      <c r="E2745" t="s">
        <v>9</v>
      </c>
      <c r="F2745" t="s">
        <v>10</v>
      </c>
    </row>
    <row r="2746" spans="1:6" hidden="1" x14ac:dyDescent="0.35">
      <c r="A2746" t="s">
        <v>64</v>
      </c>
      <c r="B2746" t="s">
        <v>33</v>
      </c>
      <c r="C2746" t="s">
        <v>51</v>
      </c>
      <c r="D2746">
        <v>35</v>
      </c>
      <c r="E2746" t="s">
        <v>9</v>
      </c>
      <c r="F2746" t="s">
        <v>10</v>
      </c>
    </row>
    <row r="2747" spans="1:6" hidden="1" x14ac:dyDescent="0.35">
      <c r="A2747" t="s">
        <v>65</v>
      </c>
      <c r="B2747" t="s">
        <v>33</v>
      </c>
      <c r="C2747" t="s">
        <v>51</v>
      </c>
      <c r="D2747">
        <v>38</v>
      </c>
      <c r="E2747" t="s">
        <v>9</v>
      </c>
      <c r="F2747" t="s">
        <v>10</v>
      </c>
    </row>
    <row r="2748" spans="1:6" hidden="1" x14ac:dyDescent="0.35">
      <c r="A2748" t="s">
        <v>66</v>
      </c>
      <c r="B2748" t="s">
        <v>33</v>
      </c>
      <c r="C2748" t="s">
        <v>51</v>
      </c>
      <c r="D2748">
        <v>41</v>
      </c>
      <c r="E2748" t="s">
        <v>9</v>
      </c>
      <c r="F2748" t="s">
        <v>10</v>
      </c>
    </row>
    <row r="2749" spans="1:6" hidden="1" x14ac:dyDescent="0.35">
      <c r="A2749" t="s">
        <v>67</v>
      </c>
      <c r="B2749" t="s">
        <v>33</v>
      </c>
      <c r="C2749" t="s">
        <v>51</v>
      </c>
      <c r="D2749">
        <v>26</v>
      </c>
      <c r="E2749" t="s">
        <v>9</v>
      </c>
      <c r="F2749" t="s">
        <v>10</v>
      </c>
    </row>
    <row r="2750" spans="1:6" hidden="1" x14ac:dyDescent="0.35">
      <c r="A2750" t="s">
        <v>57</v>
      </c>
      <c r="B2750" t="s">
        <v>33</v>
      </c>
      <c r="C2750" t="s">
        <v>30</v>
      </c>
      <c r="D2750">
        <v>10</v>
      </c>
      <c r="E2750" t="s">
        <v>9</v>
      </c>
      <c r="F2750" t="s">
        <v>10</v>
      </c>
    </row>
    <row r="2751" spans="1:6" hidden="1" x14ac:dyDescent="0.35">
      <c r="A2751" t="s">
        <v>11</v>
      </c>
      <c r="B2751" t="s">
        <v>33</v>
      </c>
      <c r="C2751" t="s">
        <v>30</v>
      </c>
      <c r="D2751">
        <v>12</v>
      </c>
      <c r="E2751" t="s">
        <v>9</v>
      </c>
      <c r="F2751" t="s">
        <v>10</v>
      </c>
    </row>
    <row r="2752" spans="1:6" hidden="1" x14ac:dyDescent="0.35">
      <c r="A2752" t="s">
        <v>58</v>
      </c>
      <c r="B2752" t="s">
        <v>33</v>
      </c>
      <c r="C2752" t="s">
        <v>30</v>
      </c>
      <c r="D2752">
        <v>16</v>
      </c>
      <c r="E2752" t="s">
        <v>9</v>
      </c>
      <c r="F2752" t="s">
        <v>10</v>
      </c>
    </row>
    <row r="2753" spans="1:6" hidden="1" x14ac:dyDescent="0.35">
      <c r="A2753" t="s">
        <v>59</v>
      </c>
      <c r="B2753" t="s">
        <v>33</v>
      </c>
      <c r="C2753" t="s">
        <v>30</v>
      </c>
      <c r="D2753">
        <v>43</v>
      </c>
      <c r="E2753" t="s">
        <v>9</v>
      </c>
      <c r="F2753" t="s">
        <v>10</v>
      </c>
    </row>
    <row r="2754" spans="1:6" hidden="1" x14ac:dyDescent="0.35">
      <c r="A2754" t="s">
        <v>60</v>
      </c>
      <c r="B2754" t="s">
        <v>33</v>
      </c>
      <c r="C2754" t="s">
        <v>30</v>
      </c>
      <c r="D2754">
        <v>18</v>
      </c>
      <c r="E2754" t="s">
        <v>9</v>
      </c>
      <c r="F2754" t="s">
        <v>10</v>
      </c>
    </row>
    <row r="2755" spans="1:6" hidden="1" x14ac:dyDescent="0.35">
      <c r="A2755" t="s">
        <v>61</v>
      </c>
      <c r="B2755" t="s">
        <v>33</v>
      </c>
      <c r="C2755" t="s">
        <v>30</v>
      </c>
      <c r="D2755">
        <v>28</v>
      </c>
      <c r="E2755" t="s">
        <v>9</v>
      </c>
      <c r="F2755" t="s">
        <v>10</v>
      </c>
    </row>
    <row r="2756" spans="1:6" hidden="1" x14ac:dyDescent="0.35">
      <c r="A2756" t="s">
        <v>62</v>
      </c>
      <c r="B2756" t="s">
        <v>33</v>
      </c>
      <c r="C2756" t="s">
        <v>30</v>
      </c>
      <c r="D2756">
        <v>18</v>
      </c>
      <c r="E2756" t="s">
        <v>9</v>
      </c>
      <c r="F2756" t="s">
        <v>10</v>
      </c>
    </row>
    <row r="2757" spans="1:6" hidden="1" x14ac:dyDescent="0.35">
      <c r="A2757" t="s">
        <v>63</v>
      </c>
      <c r="B2757" t="s">
        <v>33</v>
      </c>
      <c r="C2757" t="s">
        <v>30</v>
      </c>
      <c r="D2757">
        <v>22</v>
      </c>
      <c r="E2757" t="s">
        <v>9</v>
      </c>
      <c r="F2757" t="s">
        <v>10</v>
      </c>
    </row>
    <row r="2758" spans="1:6" hidden="1" x14ac:dyDescent="0.35">
      <c r="A2758" t="s">
        <v>64</v>
      </c>
      <c r="B2758" t="s">
        <v>33</v>
      </c>
      <c r="C2758" t="s">
        <v>30</v>
      </c>
      <c r="D2758">
        <v>16</v>
      </c>
      <c r="E2758" t="s">
        <v>9</v>
      </c>
      <c r="F2758" t="s">
        <v>10</v>
      </c>
    </row>
    <row r="2759" spans="1:6" hidden="1" x14ac:dyDescent="0.35">
      <c r="A2759" t="s">
        <v>65</v>
      </c>
      <c r="B2759" t="s">
        <v>33</v>
      </c>
      <c r="C2759" t="s">
        <v>30</v>
      </c>
      <c r="D2759">
        <v>27</v>
      </c>
      <c r="E2759" t="s">
        <v>9</v>
      </c>
      <c r="F2759" t="s">
        <v>10</v>
      </c>
    </row>
    <row r="2760" spans="1:6" hidden="1" x14ac:dyDescent="0.35">
      <c r="A2760" t="s">
        <v>66</v>
      </c>
      <c r="B2760" t="s">
        <v>33</v>
      </c>
      <c r="C2760" t="s">
        <v>30</v>
      </c>
      <c r="D2760">
        <v>20</v>
      </c>
      <c r="E2760" t="s">
        <v>9</v>
      </c>
      <c r="F2760" t="s">
        <v>10</v>
      </c>
    </row>
    <row r="2761" spans="1:6" hidden="1" x14ac:dyDescent="0.35">
      <c r="A2761" t="s">
        <v>67</v>
      </c>
      <c r="B2761" t="s">
        <v>33</v>
      </c>
      <c r="C2761" t="s">
        <v>30</v>
      </c>
      <c r="D2761">
        <v>22</v>
      </c>
      <c r="E2761" t="s">
        <v>9</v>
      </c>
      <c r="F2761" t="s">
        <v>10</v>
      </c>
    </row>
    <row r="2762" spans="1:6" hidden="1" x14ac:dyDescent="0.35">
      <c r="A2762" t="s">
        <v>57</v>
      </c>
      <c r="B2762" t="s">
        <v>33</v>
      </c>
      <c r="C2762" t="s">
        <v>52</v>
      </c>
      <c r="D2762">
        <v>20</v>
      </c>
      <c r="E2762" t="s">
        <v>9</v>
      </c>
      <c r="F2762" t="s">
        <v>10</v>
      </c>
    </row>
    <row r="2763" spans="1:6" hidden="1" x14ac:dyDescent="0.35">
      <c r="A2763" t="s">
        <v>11</v>
      </c>
      <c r="B2763" t="s">
        <v>33</v>
      </c>
      <c r="C2763" t="s">
        <v>52</v>
      </c>
      <c r="D2763">
        <v>14</v>
      </c>
      <c r="E2763" t="s">
        <v>9</v>
      </c>
      <c r="F2763" t="s">
        <v>10</v>
      </c>
    </row>
    <row r="2764" spans="1:6" hidden="1" x14ac:dyDescent="0.35">
      <c r="A2764" t="s">
        <v>58</v>
      </c>
      <c r="B2764" t="s">
        <v>33</v>
      </c>
      <c r="C2764" t="s">
        <v>52</v>
      </c>
      <c r="D2764">
        <v>19</v>
      </c>
      <c r="E2764" t="s">
        <v>9</v>
      </c>
      <c r="F2764" t="s">
        <v>10</v>
      </c>
    </row>
    <row r="2765" spans="1:6" hidden="1" x14ac:dyDescent="0.35">
      <c r="A2765" t="s">
        <v>59</v>
      </c>
      <c r="B2765" t="s">
        <v>33</v>
      </c>
      <c r="C2765" t="s">
        <v>52</v>
      </c>
      <c r="D2765">
        <v>26</v>
      </c>
      <c r="E2765" t="s">
        <v>9</v>
      </c>
      <c r="F2765" t="s">
        <v>10</v>
      </c>
    </row>
    <row r="2766" spans="1:6" hidden="1" x14ac:dyDescent="0.35">
      <c r="A2766" t="s">
        <v>60</v>
      </c>
      <c r="B2766" t="s">
        <v>33</v>
      </c>
      <c r="C2766" t="s">
        <v>52</v>
      </c>
      <c r="D2766">
        <v>24</v>
      </c>
      <c r="E2766" t="s">
        <v>9</v>
      </c>
      <c r="F2766" t="s">
        <v>10</v>
      </c>
    </row>
    <row r="2767" spans="1:6" hidden="1" x14ac:dyDescent="0.35">
      <c r="A2767" t="s">
        <v>61</v>
      </c>
      <c r="B2767" t="s">
        <v>33</v>
      </c>
      <c r="C2767" t="s">
        <v>52</v>
      </c>
      <c r="D2767">
        <v>12</v>
      </c>
      <c r="E2767" t="s">
        <v>9</v>
      </c>
      <c r="F2767" t="s">
        <v>10</v>
      </c>
    </row>
    <row r="2768" spans="1:6" hidden="1" x14ac:dyDescent="0.35">
      <c r="A2768" t="s">
        <v>62</v>
      </c>
      <c r="B2768" t="s">
        <v>33</v>
      </c>
      <c r="C2768" t="s">
        <v>52</v>
      </c>
      <c r="D2768">
        <v>8</v>
      </c>
      <c r="E2768" t="s">
        <v>9</v>
      </c>
      <c r="F2768" t="s">
        <v>10</v>
      </c>
    </row>
    <row r="2769" spans="1:6" hidden="1" x14ac:dyDescent="0.35">
      <c r="A2769" t="s">
        <v>63</v>
      </c>
      <c r="B2769" t="s">
        <v>33</v>
      </c>
      <c r="C2769" t="s">
        <v>52</v>
      </c>
      <c r="D2769">
        <v>14</v>
      </c>
      <c r="E2769" t="s">
        <v>9</v>
      </c>
      <c r="F2769" t="s">
        <v>10</v>
      </c>
    </row>
    <row r="2770" spans="1:6" hidden="1" x14ac:dyDescent="0.35">
      <c r="A2770" t="s">
        <v>64</v>
      </c>
      <c r="B2770" t="s">
        <v>33</v>
      </c>
      <c r="C2770" t="s">
        <v>52</v>
      </c>
      <c r="D2770">
        <v>20</v>
      </c>
      <c r="E2770" t="s">
        <v>9</v>
      </c>
      <c r="F2770" t="s">
        <v>10</v>
      </c>
    </row>
    <row r="2771" spans="1:6" hidden="1" x14ac:dyDescent="0.35">
      <c r="A2771" t="s">
        <v>65</v>
      </c>
      <c r="B2771" t="s">
        <v>33</v>
      </c>
      <c r="C2771" t="s">
        <v>52</v>
      </c>
      <c r="D2771">
        <v>11</v>
      </c>
      <c r="E2771" t="s">
        <v>9</v>
      </c>
      <c r="F2771" t="s">
        <v>10</v>
      </c>
    </row>
    <row r="2772" spans="1:6" hidden="1" x14ac:dyDescent="0.35">
      <c r="A2772" t="s">
        <v>66</v>
      </c>
      <c r="B2772" t="s">
        <v>33</v>
      </c>
      <c r="C2772" t="s">
        <v>52</v>
      </c>
      <c r="D2772">
        <v>16</v>
      </c>
      <c r="E2772" t="s">
        <v>9</v>
      </c>
      <c r="F2772" t="s">
        <v>10</v>
      </c>
    </row>
    <row r="2773" spans="1:6" hidden="1" x14ac:dyDescent="0.35">
      <c r="A2773" t="s">
        <v>67</v>
      </c>
      <c r="B2773" t="s">
        <v>33</v>
      </c>
      <c r="C2773" t="s">
        <v>52</v>
      </c>
      <c r="D2773">
        <v>8</v>
      </c>
      <c r="E2773" t="s">
        <v>9</v>
      </c>
      <c r="F2773" t="s">
        <v>10</v>
      </c>
    </row>
    <row r="2774" spans="1:6" hidden="1" x14ac:dyDescent="0.35">
      <c r="A2774" t="s">
        <v>57</v>
      </c>
      <c r="B2774" t="s">
        <v>53</v>
      </c>
      <c r="C2774" t="s">
        <v>44</v>
      </c>
      <c r="E2774" t="s">
        <v>9</v>
      </c>
      <c r="F2774" t="s">
        <v>10</v>
      </c>
    </row>
    <row r="2775" spans="1:6" hidden="1" x14ac:dyDescent="0.35">
      <c r="A2775" t="s">
        <v>11</v>
      </c>
      <c r="B2775" t="s">
        <v>53</v>
      </c>
      <c r="C2775" t="s">
        <v>44</v>
      </c>
      <c r="D2775">
        <v>19985.33036910569</v>
      </c>
      <c r="E2775" t="s">
        <v>9</v>
      </c>
      <c r="F2775" t="s">
        <v>10</v>
      </c>
    </row>
    <row r="2776" spans="1:6" hidden="1" x14ac:dyDescent="0.35">
      <c r="A2776" t="s">
        <v>58</v>
      </c>
      <c r="B2776" t="s">
        <v>53</v>
      </c>
      <c r="C2776" t="s">
        <v>44</v>
      </c>
      <c r="E2776" t="s">
        <v>9</v>
      </c>
      <c r="F2776" t="s">
        <v>10</v>
      </c>
    </row>
    <row r="2777" spans="1:6" hidden="1" x14ac:dyDescent="0.35">
      <c r="A2777" t="s">
        <v>59</v>
      </c>
      <c r="B2777" t="s">
        <v>53</v>
      </c>
      <c r="C2777" t="s">
        <v>44</v>
      </c>
      <c r="D2777">
        <v>100498.34819999999</v>
      </c>
      <c r="E2777" t="s">
        <v>9</v>
      </c>
      <c r="F2777" t="s">
        <v>10</v>
      </c>
    </row>
    <row r="2778" spans="1:6" hidden="1" x14ac:dyDescent="0.35">
      <c r="A2778" t="s">
        <v>60</v>
      </c>
      <c r="B2778" t="s">
        <v>53</v>
      </c>
      <c r="C2778" t="s">
        <v>44</v>
      </c>
      <c r="D2778">
        <v>127948.0422</v>
      </c>
      <c r="E2778" t="s">
        <v>9</v>
      </c>
      <c r="F2778" t="s">
        <v>10</v>
      </c>
    </row>
    <row r="2779" spans="1:6" hidden="1" x14ac:dyDescent="0.35">
      <c r="A2779" t="s">
        <v>61</v>
      </c>
      <c r="B2779" t="s">
        <v>53</v>
      </c>
      <c r="C2779" t="s">
        <v>44</v>
      </c>
      <c r="E2779" t="s">
        <v>9</v>
      </c>
      <c r="F2779" t="s">
        <v>10</v>
      </c>
    </row>
    <row r="2780" spans="1:6" hidden="1" x14ac:dyDescent="0.35">
      <c r="A2780" t="s">
        <v>62</v>
      </c>
      <c r="B2780" t="s">
        <v>53</v>
      </c>
      <c r="C2780" t="s">
        <v>44</v>
      </c>
      <c r="D2780">
        <v>0</v>
      </c>
      <c r="E2780" t="s">
        <v>9</v>
      </c>
      <c r="F2780" t="s">
        <v>10</v>
      </c>
    </row>
    <row r="2781" spans="1:6" hidden="1" x14ac:dyDescent="0.35">
      <c r="A2781" t="s">
        <v>63</v>
      </c>
      <c r="B2781" t="s">
        <v>53</v>
      </c>
      <c r="C2781" t="s">
        <v>44</v>
      </c>
      <c r="D2781">
        <v>63557.808908401094</v>
      </c>
      <c r="E2781" t="s">
        <v>9</v>
      </c>
      <c r="F2781" t="s">
        <v>10</v>
      </c>
    </row>
    <row r="2782" spans="1:6" hidden="1" x14ac:dyDescent="0.35">
      <c r="A2782" t="s">
        <v>64</v>
      </c>
      <c r="B2782" t="s">
        <v>53</v>
      </c>
      <c r="C2782" t="s">
        <v>44</v>
      </c>
      <c r="D2782">
        <v>119424.2192590786</v>
      </c>
      <c r="E2782" t="s">
        <v>9</v>
      </c>
      <c r="F2782" t="s">
        <v>10</v>
      </c>
    </row>
    <row r="2783" spans="1:6" hidden="1" x14ac:dyDescent="0.35">
      <c r="A2783" t="s">
        <v>65</v>
      </c>
      <c r="B2783" t="s">
        <v>53</v>
      </c>
      <c r="C2783" t="s">
        <v>44</v>
      </c>
      <c r="D2783">
        <v>26149.764951219509</v>
      </c>
      <c r="E2783" t="s">
        <v>9</v>
      </c>
      <c r="F2783" t="s">
        <v>10</v>
      </c>
    </row>
    <row r="2784" spans="1:6" hidden="1" x14ac:dyDescent="0.35">
      <c r="A2784" t="s">
        <v>66</v>
      </c>
      <c r="B2784" t="s">
        <v>53</v>
      </c>
      <c r="C2784" t="s">
        <v>44</v>
      </c>
      <c r="E2784" t="s">
        <v>9</v>
      </c>
      <c r="F2784" t="s">
        <v>10</v>
      </c>
    </row>
    <row r="2785" spans="1:6" hidden="1" x14ac:dyDescent="0.35">
      <c r="A2785" t="s">
        <v>67</v>
      </c>
      <c r="B2785" t="s">
        <v>53</v>
      </c>
      <c r="C2785" t="s">
        <v>44</v>
      </c>
      <c r="D2785">
        <v>79126.464095934964</v>
      </c>
      <c r="E2785" t="s">
        <v>9</v>
      </c>
      <c r="F2785" t="s">
        <v>10</v>
      </c>
    </row>
    <row r="2786" spans="1:6" hidden="1" x14ac:dyDescent="0.35">
      <c r="A2786" t="s">
        <v>57</v>
      </c>
      <c r="B2786" t="s">
        <v>53</v>
      </c>
      <c r="C2786" t="s">
        <v>22</v>
      </c>
      <c r="D2786">
        <v>0</v>
      </c>
      <c r="E2786" t="s">
        <v>9</v>
      </c>
      <c r="F2786" t="s">
        <v>10</v>
      </c>
    </row>
    <row r="2787" spans="1:6" hidden="1" x14ac:dyDescent="0.35">
      <c r="A2787" t="s">
        <v>11</v>
      </c>
      <c r="B2787" t="s">
        <v>53</v>
      </c>
      <c r="C2787" t="s">
        <v>22</v>
      </c>
      <c r="D2787">
        <v>0</v>
      </c>
      <c r="E2787" t="s">
        <v>9</v>
      </c>
      <c r="F2787" t="s">
        <v>10</v>
      </c>
    </row>
    <row r="2788" spans="1:6" hidden="1" x14ac:dyDescent="0.35">
      <c r="A2788" t="s">
        <v>58</v>
      </c>
      <c r="B2788" t="s">
        <v>53</v>
      </c>
      <c r="C2788" t="s">
        <v>22</v>
      </c>
      <c r="D2788">
        <v>0</v>
      </c>
      <c r="E2788" t="s">
        <v>9</v>
      </c>
      <c r="F2788" t="s">
        <v>10</v>
      </c>
    </row>
    <row r="2789" spans="1:6" hidden="1" x14ac:dyDescent="0.35">
      <c r="A2789" t="s">
        <v>59</v>
      </c>
      <c r="B2789" t="s">
        <v>53</v>
      </c>
      <c r="C2789" t="s">
        <v>22</v>
      </c>
      <c r="D2789">
        <v>0</v>
      </c>
      <c r="E2789" t="s">
        <v>9</v>
      </c>
      <c r="F2789" t="s">
        <v>10</v>
      </c>
    </row>
    <row r="2790" spans="1:6" hidden="1" x14ac:dyDescent="0.35">
      <c r="A2790" t="s">
        <v>60</v>
      </c>
      <c r="B2790" t="s">
        <v>53</v>
      </c>
      <c r="C2790" t="s">
        <v>22</v>
      </c>
      <c r="D2790">
        <v>0</v>
      </c>
      <c r="E2790" t="s">
        <v>9</v>
      </c>
      <c r="F2790" t="s">
        <v>10</v>
      </c>
    </row>
    <row r="2791" spans="1:6" hidden="1" x14ac:dyDescent="0.35">
      <c r="A2791" t="s">
        <v>61</v>
      </c>
      <c r="B2791" t="s">
        <v>53</v>
      </c>
      <c r="C2791" t="s">
        <v>22</v>
      </c>
      <c r="D2791">
        <v>0</v>
      </c>
      <c r="E2791" t="s">
        <v>9</v>
      </c>
      <c r="F2791" t="s">
        <v>10</v>
      </c>
    </row>
    <row r="2792" spans="1:6" hidden="1" x14ac:dyDescent="0.35">
      <c r="A2792" t="s">
        <v>62</v>
      </c>
      <c r="B2792" t="s">
        <v>53</v>
      </c>
      <c r="C2792" t="s">
        <v>22</v>
      </c>
      <c r="D2792">
        <v>0</v>
      </c>
      <c r="E2792" t="s">
        <v>9</v>
      </c>
      <c r="F2792" t="s">
        <v>10</v>
      </c>
    </row>
    <row r="2793" spans="1:6" hidden="1" x14ac:dyDescent="0.35">
      <c r="A2793" t="s">
        <v>63</v>
      </c>
      <c r="B2793" t="s">
        <v>53</v>
      </c>
      <c r="C2793" t="s">
        <v>22</v>
      </c>
      <c r="D2793">
        <v>0</v>
      </c>
      <c r="E2793" t="s">
        <v>9</v>
      </c>
      <c r="F2793" t="s">
        <v>10</v>
      </c>
    </row>
    <row r="2794" spans="1:6" hidden="1" x14ac:dyDescent="0.35">
      <c r="A2794" t="s">
        <v>64</v>
      </c>
      <c r="B2794" t="s">
        <v>53</v>
      </c>
      <c r="C2794" t="s">
        <v>22</v>
      </c>
      <c r="D2794">
        <v>0</v>
      </c>
      <c r="E2794" t="s">
        <v>9</v>
      </c>
      <c r="F2794" t="s">
        <v>10</v>
      </c>
    </row>
    <row r="2795" spans="1:6" hidden="1" x14ac:dyDescent="0.35">
      <c r="A2795" t="s">
        <v>65</v>
      </c>
      <c r="B2795" t="s">
        <v>53</v>
      </c>
      <c r="C2795" t="s">
        <v>22</v>
      </c>
      <c r="D2795">
        <v>0</v>
      </c>
      <c r="E2795" t="s">
        <v>9</v>
      </c>
      <c r="F2795" t="s">
        <v>10</v>
      </c>
    </row>
    <row r="2796" spans="1:6" hidden="1" x14ac:dyDescent="0.35">
      <c r="A2796" t="s">
        <v>66</v>
      </c>
      <c r="B2796" t="s">
        <v>53</v>
      </c>
      <c r="C2796" t="s">
        <v>22</v>
      </c>
      <c r="D2796">
        <v>0</v>
      </c>
      <c r="E2796" t="s">
        <v>9</v>
      </c>
      <c r="F2796" t="s">
        <v>10</v>
      </c>
    </row>
    <row r="2797" spans="1:6" hidden="1" x14ac:dyDescent="0.35">
      <c r="A2797" t="s">
        <v>67</v>
      </c>
      <c r="B2797" t="s">
        <v>53</v>
      </c>
      <c r="C2797" t="s">
        <v>22</v>
      </c>
      <c r="D2797">
        <v>0</v>
      </c>
      <c r="E2797" t="s">
        <v>9</v>
      </c>
      <c r="F2797" t="s">
        <v>10</v>
      </c>
    </row>
    <row r="2798" spans="1:6" hidden="1" x14ac:dyDescent="0.35">
      <c r="A2798" t="s">
        <v>57</v>
      </c>
      <c r="B2798" t="s">
        <v>53</v>
      </c>
      <c r="C2798" t="s">
        <v>46</v>
      </c>
      <c r="E2798" t="s">
        <v>9</v>
      </c>
      <c r="F2798" t="s">
        <v>10</v>
      </c>
    </row>
    <row r="2799" spans="1:6" hidden="1" x14ac:dyDescent="0.35">
      <c r="A2799" t="s">
        <v>11</v>
      </c>
      <c r="B2799" t="s">
        <v>53</v>
      </c>
      <c r="C2799" t="s">
        <v>46</v>
      </c>
      <c r="D2799">
        <v>2130.1788617886182</v>
      </c>
      <c r="E2799" t="s">
        <v>9</v>
      </c>
      <c r="F2799" t="s">
        <v>10</v>
      </c>
    </row>
    <row r="2800" spans="1:6" hidden="1" x14ac:dyDescent="0.35">
      <c r="A2800" t="s">
        <v>58</v>
      </c>
      <c r="B2800" t="s">
        <v>53</v>
      </c>
      <c r="C2800" t="s">
        <v>46</v>
      </c>
      <c r="E2800" t="s">
        <v>9</v>
      </c>
      <c r="F2800" t="s">
        <v>10</v>
      </c>
    </row>
    <row r="2801" spans="1:6" hidden="1" x14ac:dyDescent="0.35">
      <c r="A2801" t="s">
        <v>59</v>
      </c>
      <c r="B2801" t="s">
        <v>53</v>
      </c>
      <c r="C2801" t="s">
        <v>46</v>
      </c>
      <c r="D2801">
        <v>0</v>
      </c>
      <c r="E2801" t="s">
        <v>9</v>
      </c>
      <c r="F2801" t="s">
        <v>10</v>
      </c>
    </row>
    <row r="2802" spans="1:6" hidden="1" x14ac:dyDescent="0.35">
      <c r="A2802" t="s">
        <v>60</v>
      </c>
      <c r="B2802" t="s">
        <v>53</v>
      </c>
      <c r="C2802" t="s">
        <v>46</v>
      </c>
      <c r="D2802">
        <v>0</v>
      </c>
      <c r="E2802" t="s">
        <v>9</v>
      </c>
      <c r="F2802" t="s">
        <v>10</v>
      </c>
    </row>
    <row r="2803" spans="1:6" hidden="1" x14ac:dyDescent="0.35">
      <c r="A2803" t="s">
        <v>61</v>
      </c>
      <c r="B2803" t="s">
        <v>53</v>
      </c>
      <c r="C2803" t="s">
        <v>46</v>
      </c>
      <c r="E2803" t="s">
        <v>9</v>
      </c>
      <c r="F2803" t="s">
        <v>10</v>
      </c>
    </row>
    <row r="2804" spans="1:6" hidden="1" x14ac:dyDescent="0.35">
      <c r="A2804" t="s">
        <v>62</v>
      </c>
      <c r="B2804" t="s">
        <v>53</v>
      </c>
      <c r="C2804" t="s">
        <v>46</v>
      </c>
      <c r="D2804">
        <v>0</v>
      </c>
      <c r="E2804" t="s">
        <v>9</v>
      </c>
      <c r="F2804" t="s">
        <v>10</v>
      </c>
    </row>
    <row r="2805" spans="1:6" hidden="1" x14ac:dyDescent="0.35">
      <c r="A2805" t="s">
        <v>63</v>
      </c>
      <c r="B2805" t="s">
        <v>53</v>
      </c>
      <c r="C2805" t="s">
        <v>46</v>
      </c>
      <c r="D2805">
        <v>44266.319783197832</v>
      </c>
      <c r="E2805" t="s">
        <v>9</v>
      </c>
      <c r="F2805" t="s">
        <v>10</v>
      </c>
    </row>
    <row r="2806" spans="1:6" hidden="1" x14ac:dyDescent="0.35">
      <c r="A2806" t="s">
        <v>64</v>
      </c>
      <c r="B2806" t="s">
        <v>53</v>
      </c>
      <c r="C2806" t="s">
        <v>46</v>
      </c>
      <c r="D2806">
        <v>117244.1842818428</v>
      </c>
      <c r="E2806" t="s">
        <v>9</v>
      </c>
      <c r="F2806" t="s">
        <v>10</v>
      </c>
    </row>
    <row r="2807" spans="1:6" hidden="1" x14ac:dyDescent="0.35">
      <c r="A2807" t="s">
        <v>65</v>
      </c>
      <c r="B2807" t="s">
        <v>53</v>
      </c>
      <c r="C2807" t="s">
        <v>46</v>
      </c>
      <c r="D2807">
        <v>42501.756097560967</v>
      </c>
      <c r="E2807" t="s">
        <v>9</v>
      </c>
      <c r="F2807" t="s">
        <v>10</v>
      </c>
    </row>
    <row r="2808" spans="1:6" hidden="1" x14ac:dyDescent="0.35">
      <c r="A2808" t="s">
        <v>66</v>
      </c>
      <c r="B2808" t="s">
        <v>53</v>
      </c>
      <c r="C2808" t="s">
        <v>46</v>
      </c>
      <c r="E2808" t="s">
        <v>9</v>
      </c>
      <c r="F2808" t="s">
        <v>10</v>
      </c>
    </row>
    <row r="2809" spans="1:6" hidden="1" x14ac:dyDescent="0.35">
      <c r="A2809" t="s">
        <v>67</v>
      </c>
      <c r="B2809" t="s">
        <v>53</v>
      </c>
      <c r="C2809" t="s">
        <v>46</v>
      </c>
      <c r="D2809">
        <v>23784.813008130081</v>
      </c>
      <c r="E2809" t="s">
        <v>9</v>
      </c>
      <c r="F2809" t="s">
        <v>10</v>
      </c>
    </row>
    <row r="2810" spans="1:6" hidden="1" x14ac:dyDescent="0.35">
      <c r="A2810" t="s">
        <v>57</v>
      </c>
      <c r="B2810" t="s">
        <v>53</v>
      </c>
      <c r="C2810" t="s">
        <v>24</v>
      </c>
      <c r="D2810">
        <v>0</v>
      </c>
      <c r="E2810" t="s">
        <v>9</v>
      </c>
      <c r="F2810" t="s">
        <v>10</v>
      </c>
    </row>
    <row r="2811" spans="1:6" hidden="1" x14ac:dyDescent="0.35">
      <c r="A2811" t="s">
        <v>11</v>
      </c>
      <c r="B2811" t="s">
        <v>53</v>
      </c>
      <c r="C2811" t="s">
        <v>24</v>
      </c>
      <c r="D2811">
        <v>0</v>
      </c>
      <c r="E2811" t="s">
        <v>9</v>
      </c>
      <c r="F2811" t="s">
        <v>10</v>
      </c>
    </row>
    <row r="2812" spans="1:6" hidden="1" x14ac:dyDescent="0.35">
      <c r="A2812" t="s">
        <v>58</v>
      </c>
      <c r="B2812" t="s">
        <v>53</v>
      </c>
      <c r="C2812" t="s">
        <v>24</v>
      </c>
      <c r="D2812">
        <v>0</v>
      </c>
      <c r="E2812" t="s">
        <v>9</v>
      </c>
      <c r="F2812" t="s">
        <v>10</v>
      </c>
    </row>
    <row r="2813" spans="1:6" hidden="1" x14ac:dyDescent="0.35">
      <c r="A2813" t="s">
        <v>59</v>
      </c>
      <c r="B2813" t="s">
        <v>53</v>
      </c>
      <c r="C2813" t="s">
        <v>24</v>
      </c>
      <c r="D2813">
        <v>0</v>
      </c>
      <c r="E2813" t="s">
        <v>9</v>
      </c>
      <c r="F2813" t="s">
        <v>10</v>
      </c>
    </row>
    <row r="2814" spans="1:6" hidden="1" x14ac:dyDescent="0.35">
      <c r="A2814" t="s">
        <v>60</v>
      </c>
      <c r="B2814" t="s">
        <v>53</v>
      </c>
      <c r="C2814" t="s">
        <v>24</v>
      </c>
      <c r="D2814">
        <v>0</v>
      </c>
      <c r="E2814" t="s">
        <v>9</v>
      </c>
      <c r="F2814" t="s">
        <v>10</v>
      </c>
    </row>
    <row r="2815" spans="1:6" hidden="1" x14ac:dyDescent="0.35">
      <c r="A2815" t="s">
        <v>61</v>
      </c>
      <c r="B2815" t="s">
        <v>53</v>
      </c>
      <c r="C2815" t="s">
        <v>24</v>
      </c>
      <c r="D2815">
        <v>0</v>
      </c>
      <c r="E2815" t="s">
        <v>9</v>
      </c>
      <c r="F2815" t="s">
        <v>10</v>
      </c>
    </row>
    <row r="2816" spans="1:6" hidden="1" x14ac:dyDescent="0.35">
      <c r="A2816" t="s">
        <v>62</v>
      </c>
      <c r="B2816" t="s">
        <v>53</v>
      </c>
      <c r="C2816" t="s">
        <v>24</v>
      </c>
      <c r="D2816">
        <v>0</v>
      </c>
      <c r="E2816" t="s">
        <v>9</v>
      </c>
      <c r="F2816" t="s">
        <v>10</v>
      </c>
    </row>
    <row r="2817" spans="1:6" hidden="1" x14ac:dyDescent="0.35">
      <c r="A2817" t="s">
        <v>63</v>
      </c>
      <c r="B2817" t="s">
        <v>53</v>
      </c>
      <c r="C2817" t="s">
        <v>24</v>
      </c>
      <c r="D2817">
        <v>0</v>
      </c>
      <c r="E2817" t="s">
        <v>9</v>
      </c>
      <c r="F2817" t="s">
        <v>10</v>
      </c>
    </row>
    <row r="2818" spans="1:6" hidden="1" x14ac:dyDescent="0.35">
      <c r="A2818" t="s">
        <v>64</v>
      </c>
      <c r="B2818" t="s">
        <v>53</v>
      </c>
      <c r="C2818" t="s">
        <v>24</v>
      </c>
      <c r="D2818">
        <v>0</v>
      </c>
      <c r="E2818" t="s">
        <v>9</v>
      </c>
      <c r="F2818" t="s">
        <v>10</v>
      </c>
    </row>
    <row r="2819" spans="1:6" hidden="1" x14ac:dyDescent="0.35">
      <c r="A2819" t="s">
        <v>65</v>
      </c>
      <c r="B2819" t="s">
        <v>53</v>
      </c>
      <c r="C2819" t="s">
        <v>24</v>
      </c>
      <c r="D2819">
        <v>0</v>
      </c>
      <c r="E2819" t="s">
        <v>9</v>
      </c>
      <c r="F2819" t="s">
        <v>10</v>
      </c>
    </row>
    <row r="2820" spans="1:6" hidden="1" x14ac:dyDescent="0.35">
      <c r="A2820" t="s">
        <v>66</v>
      </c>
      <c r="B2820" t="s">
        <v>53</v>
      </c>
      <c r="C2820" t="s">
        <v>24</v>
      </c>
      <c r="D2820">
        <v>0</v>
      </c>
      <c r="E2820" t="s">
        <v>9</v>
      </c>
      <c r="F2820" t="s">
        <v>10</v>
      </c>
    </row>
    <row r="2821" spans="1:6" hidden="1" x14ac:dyDescent="0.35">
      <c r="A2821" t="s">
        <v>67</v>
      </c>
      <c r="B2821" t="s">
        <v>53</v>
      </c>
      <c r="C2821" t="s">
        <v>24</v>
      </c>
      <c r="D2821">
        <v>0</v>
      </c>
      <c r="E2821" t="s">
        <v>9</v>
      </c>
      <c r="F2821" t="s">
        <v>10</v>
      </c>
    </row>
    <row r="2822" spans="1:6" hidden="1" x14ac:dyDescent="0.35">
      <c r="A2822" t="s">
        <v>57</v>
      </c>
      <c r="B2822" t="s">
        <v>53</v>
      </c>
      <c r="C2822" t="s">
        <v>47</v>
      </c>
      <c r="E2822" t="s">
        <v>9</v>
      </c>
      <c r="F2822" t="s">
        <v>10</v>
      </c>
    </row>
    <row r="2823" spans="1:6" hidden="1" x14ac:dyDescent="0.35">
      <c r="A2823" t="s">
        <v>11</v>
      </c>
      <c r="B2823" t="s">
        <v>53</v>
      </c>
      <c r="C2823" t="s">
        <v>47</v>
      </c>
      <c r="E2823" t="s">
        <v>9</v>
      </c>
      <c r="F2823" t="s">
        <v>10</v>
      </c>
    </row>
    <row r="2824" spans="1:6" hidden="1" x14ac:dyDescent="0.35">
      <c r="A2824" t="s">
        <v>58</v>
      </c>
      <c r="B2824" t="s">
        <v>53</v>
      </c>
      <c r="C2824" t="s">
        <v>47</v>
      </c>
      <c r="D2824">
        <v>27700.21</v>
      </c>
      <c r="E2824" t="s">
        <v>9</v>
      </c>
      <c r="F2824" t="s">
        <v>10</v>
      </c>
    </row>
    <row r="2825" spans="1:6" hidden="1" x14ac:dyDescent="0.35">
      <c r="A2825" t="s">
        <v>59</v>
      </c>
      <c r="B2825" t="s">
        <v>53</v>
      </c>
      <c r="C2825" t="s">
        <v>47</v>
      </c>
      <c r="E2825" t="s">
        <v>9</v>
      </c>
      <c r="F2825" t="s">
        <v>10</v>
      </c>
    </row>
    <row r="2826" spans="1:6" hidden="1" x14ac:dyDescent="0.35">
      <c r="A2826" t="s">
        <v>60</v>
      </c>
      <c r="B2826" t="s">
        <v>53</v>
      </c>
      <c r="C2826" t="s">
        <v>47</v>
      </c>
      <c r="E2826" t="s">
        <v>9</v>
      </c>
      <c r="F2826" t="s">
        <v>10</v>
      </c>
    </row>
    <row r="2827" spans="1:6" hidden="1" x14ac:dyDescent="0.35">
      <c r="A2827" t="s">
        <v>61</v>
      </c>
      <c r="B2827" t="s">
        <v>53</v>
      </c>
      <c r="C2827" t="s">
        <v>47</v>
      </c>
      <c r="E2827" t="s">
        <v>9</v>
      </c>
      <c r="F2827" t="s">
        <v>10</v>
      </c>
    </row>
    <row r="2828" spans="1:6" hidden="1" x14ac:dyDescent="0.35">
      <c r="A2828" t="s">
        <v>62</v>
      </c>
      <c r="B2828" t="s">
        <v>53</v>
      </c>
      <c r="C2828" t="s">
        <v>47</v>
      </c>
      <c r="E2828" t="s">
        <v>9</v>
      </c>
      <c r="F2828" t="s">
        <v>10</v>
      </c>
    </row>
    <row r="2829" spans="1:6" hidden="1" x14ac:dyDescent="0.35">
      <c r="A2829" t="s">
        <v>63</v>
      </c>
      <c r="B2829" t="s">
        <v>53</v>
      </c>
      <c r="C2829" t="s">
        <v>47</v>
      </c>
      <c r="E2829" t="s">
        <v>9</v>
      </c>
      <c r="F2829" t="s">
        <v>10</v>
      </c>
    </row>
    <row r="2830" spans="1:6" hidden="1" x14ac:dyDescent="0.35">
      <c r="A2830" t="s">
        <v>64</v>
      </c>
      <c r="B2830" t="s">
        <v>53</v>
      </c>
      <c r="C2830" t="s">
        <v>47</v>
      </c>
      <c r="E2830" t="s">
        <v>9</v>
      </c>
      <c r="F2830" t="s">
        <v>10</v>
      </c>
    </row>
    <row r="2831" spans="1:6" hidden="1" x14ac:dyDescent="0.35">
      <c r="A2831" t="s">
        <v>65</v>
      </c>
      <c r="B2831" t="s">
        <v>53</v>
      </c>
      <c r="C2831" t="s">
        <v>47</v>
      </c>
      <c r="E2831" t="s">
        <v>9</v>
      </c>
      <c r="F2831" t="s">
        <v>10</v>
      </c>
    </row>
    <row r="2832" spans="1:6" hidden="1" x14ac:dyDescent="0.35">
      <c r="A2832" t="s">
        <v>66</v>
      </c>
      <c r="B2832" t="s">
        <v>53</v>
      </c>
      <c r="C2832" t="s">
        <v>47</v>
      </c>
      <c r="E2832" t="s">
        <v>9</v>
      </c>
      <c r="F2832" t="s">
        <v>10</v>
      </c>
    </row>
    <row r="2833" spans="1:6" hidden="1" x14ac:dyDescent="0.35">
      <c r="A2833" t="s">
        <v>67</v>
      </c>
      <c r="B2833" t="s">
        <v>53</v>
      </c>
      <c r="C2833" t="s">
        <v>47</v>
      </c>
      <c r="E2833" t="s">
        <v>9</v>
      </c>
      <c r="F2833" t="s">
        <v>10</v>
      </c>
    </row>
    <row r="2834" spans="1:6" hidden="1" x14ac:dyDescent="0.35">
      <c r="A2834" t="s">
        <v>57</v>
      </c>
      <c r="B2834" t="s">
        <v>53</v>
      </c>
      <c r="C2834" t="s">
        <v>48</v>
      </c>
      <c r="D2834">
        <v>0</v>
      </c>
      <c r="E2834" t="s">
        <v>9</v>
      </c>
      <c r="F2834" t="s">
        <v>10</v>
      </c>
    </row>
    <row r="2835" spans="1:6" hidden="1" x14ac:dyDescent="0.35">
      <c r="A2835" t="s">
        <v>11</v>
      </c>
      <c r="B2835" t="s">
        <v>53</v>
      </c>
      <c r="C2835" t="s">
        <v>48</v>
      </c>
      <c r="D2835">
        <v>0</v>
      </c>
      <c r="E2835" t="s">
        <v>9</v>
      </c>
      <c r="F2835" t="s">
        <v>10</v>
      </c>
    </row>
    <row r="2836" spans="1:6" hidden="1" x14ac:dyDescent="0.35">
      <c r="A2836" t="s">
        <v>58</v>
      </c>
      <c r="B2836" t="s">
        <v>53</v>
      </c>
      <c r="C2836" t="s">
        <v>48</v>
      </c>
      <c r="D2836">
        <v>0</v>
      </c>
      <c r="E2836" t="s">
        <v>9</v>
      </c>
      <c r="F2836" t="s">
        <v>10</v>
      </c>
    </row>
    <row r="2837" spans="1:6" hidden="1" x14ac:dyDescent="0.35">
      <c r="A2837" t="s">
        <v>59</v>
      </c>
      <c r="B2837" t="s">
        <v>53</v>
      </c>
      <c r="C2837" t="s">
        <v>48</v>
      </c>
      <c r="D2837">
        <v>0</v>
      </c>
      <c r="E2837" t="s">
        <v>9</v>
      </c>
      <c r="F2837" t="s">
        <v>10</v>
      </c>
    </row>
    <row r="2838" spans="1:6" hidden="1" x14ac:dyDescent="0.35">
      <c r="A2838" t="s">
        <v>60</v>
      </c>
      <c r="B2838" t="s">
        <v>53</v>
      </c>
      <c r="C2838" t="s">
        <v>48</v>
      </c>
      <c r="D2838">
        <v>0</v>
      </c>
      <c r="E2838" t="s">
        <v>9</v>
      </c>
      <c r="F2838" t="s">
        <v>10</v>
      </c>
    </row>
    <row r="2839" spans="1:6" hidden="1" x14ac:dyDescent="0.35">
      <c r="A2839" t="s">
        <v>61</v>
      </c>
      <c r="B2839" t="s">
        <v>53</v>
      </c>
      <c r="C2839" t="s">
        <v>48</v>
      </c>
      <c r="D2839">
        <v>0</v>
      </c>
      <c r="E2839" t="s">
        <v>9</v>
      </c>
      <c r="F2839" t="s">
        <v>10</v>
      </c>
    </row>
    <row r="2840" spans="1:6" hidden="1" x14ac:dyDescent="0.35">
      <c r="A2840" t="s">
        <v>62</v>
      </c>
      <c r="B2840" t="s">
        <v>53</v>
      </c>
      <c r="C2840" t="s">
        <v>48</v>
      </c>
      <c r="D2840">
        <v>0</v>
      </c>
      <c r="E2840" t="s">
        <v>9</v>
      </c>
      <c r="F2840" t="s">
        <v>10</v>
      </c>
    </row>
    <row r="2841" spans="1:6" hidden="1" x14ac:dyDescent="0.35">
      <c r="A2841" t="s">
        <v>63</v>
      </c>
      <c r="B2841" t="s">
        <v>53</v>
      </c>
      <c r="C2841" t="s">
        <v>48</v>
      </c>
      <c r="D2841">
        <v>0</v>
      </c>
      <c r="E2841" t="s">
        <v>9</v>
      </c>
      <c r="F2841" t="s">
        <v>10</v>
      </c>
    </row>
    <row r="2842" spans="1:6" hidden="1" x14ac:dyDescent="0.35">
      <c r="A2842" t="s">
        <v>64</v>
      </c>
      <c r="B2842" t="s">
        <v>53</v>
      </c>
      <c r="C2842" t="s">
        <v>48</v>
      </c>
      <c r="D2842">
        <v>0</v>
      </c>
      <c r="E2842" t="s">
        <v>9</v>
      </c>
      <c r="F2842" t="s">
        <v>10</v>
      </c>
    </row>
    <row r="2843" spans="1:6" hidden="1" x14ac:dyDescent="0.35">
      <c r="A2843" t="s">
        <v>65</v>
      </c>
      <c r="B2843" t="s">
        <v>53</v>
      </c>
      <c r="C2843" t="s">
        <v>48</v>
      </c>
      <c r="D2843">
        <v>0</v>
      </c>
      <c r="E2843" t="s">
        <v>9</v>
      </c>
      <c r="F2843" t="s">
        <v>10</v>
      </c>
    </row>
    <row r="2844" spans="1:6" hidden="1" x14ac:dyDescent="0.35">
      <c r="A2844" t="s">
        <v>66</v>
      </c>
      <c r="B2844" t="s">
        <v>53</v>
      </c>
      <c r="C2844" t="s">
        <v>48</v>
      </c>
      <c r="D2844">
        <v>0</v>
      </c>
      <c r="E2844" t="s">
        <v>9</v>
      </c>
      <c r="F2844" t="s">
        <v>10</v>
      </c>
    </row>
    <row r="2845" spans="1:6" hidden="1" x14ac:dyDescent="0.35">
      <c r="A2845" t="s">
        <v>67</v>
      </c>
      <c r="B2845" t="s">
        <v>53</v>
      </c>
      <c r="C2845" t="s">
        <v>48</v>
      </c>
      <c r="D2845">
        <v>0</v>
      </c>
      <c r="E2845" t="s">
        <v>9</v>
      </c>
      <c r="F2845" t="s">
        <v>10</v>
      </c>
    </row>
    <row r="2846" spans="1:6" hidden="1" x14ac:dyDescent="0.35">
      <c r="A2846" t="s">
        <v>57</v>
      </c>
      <c r="B2846" t="s">
        <v>53</v>
      </c>
      <c r="C2846" t="s">
        <v>49</v>
      </c>
      <c r="E2846" t="s">
        <v>9</v>
      </c>
      <c r="F2846" t="s">
        <v>10</v>
      </c>
    </row>
    <row r="2847" spans="1:6" hidden="1" x14ac:dyDescent="0.35">
      <c r="A2847" t="s">
        <v>11</v>
      </c>
      <c r="B2847" t="s">
        <v>53</v>
      </c>
      <c r="C2847" t="s">
        <v>49</v>
      </c>
      <c r="D2847">
        <v>3922.3624</v>
      </c>
      <c r="E2847" t="s">
        <v>9</v>
      </c>
      <c r="F2847" t="s">
        <v>10</v>
      </c>
    </row>
    <row r="2848" spans="1:6" hidden="1" x14ac:dyDescent="0.35">
      <c r="A2848" t="s">
        <v>58</v>
      </c>
      <c r="B2848" t="s">
        <v>53</v>
      </c>
      <c r="C2848" t="s">
        <v>49</v>
      </c>
      <c r="E2848" t="s">
        <v>9</v>
      </c>
      <c r="F2848" t="s">
        <v>10</v>
      </c>
    </row>
    <row r="2849" spans="1:6" hidden="1" x14ac:dyDescent="0.35">
      <c r="A2849" t="s">
        <v>59</v>
      </c>
      <c r="B2849" t="s">
        <v>53</v>
      </c>
      <c r="C2849" t="s">
        <v>49</v>
      </c>
      <c r="D2849">
        <v>4098.7632000000003</v>
      </c>
      <c r="E2849" t="s">
        <v>9</v>
      </c>
      <c r="F2849" t="s">
        <v>10</v>
      </c>
    </row>
    <row r="2850" spans="1:6" hidden="1" x14ac:dyDescent="0.35">
      <c r="A2850" t="s">
        <v>60</v>
      </c>
      <c r="B2850" t="s">
        <v>53</v>
      </c>
      <c r="C2850" t="s">
        <v>49</v>
      </c>
      <c r="D2850">
        <v>10553.038399999999</v>
      </c>
      <c r="E2850" t="s">
        <v>9</v>
      </c>
      <c r="F2850" t="s">
        <v>10</v>
      </c>
    </row>
    <row r="2851" spans="1:6" hidden="1" x14ac:dyDescent="0.35">
      <c r="A2851" t="s">
        <v>61</v>
      </c>
      <c r="B2851" t="s">
        <v>53</v>
      </c>
      <c r="C2851" t="s">
        <v>49</v>
      </c>
      <c r="E2851" t="s">
        <v>9</v>
      </c>
      <c r="F2851" t="s">
        <v>10</v>
      </c>
    </row>
    <row r="2852" spans="1:6" hidden="1" x14ac:dyDescent="0.35">
      <c r="A2852" t="s">
        <v>62</v>
      </c>
      <c r="B2852" t="s">
        <v>53</v>
      </c>
      <c r="C2852" t="s">
        <v>49</v>
      </c>
      <c r="D2852">
        <v>150</v>
      </c>
      <c r="E2852" t="s">
        <v>9</v>
      </c>
      <c r="F2852" t="s">
        <v>10</v>
      </c>
    </row>
    <row r="2853" spans="1:6" hidden="1" x14ac:dyDescent="0.35">
      <c r="A2853" t="s">
        <v>63</v>
      </c>
      <c r="B2853" t="s">
        <v>53</v>
      </c>
      <c r="C2853" t="s">
        <v>49</v>
      </c>
      <c r="D2853">
        <v>4620.3843999999999</v>
      </c>
      <c r="E2853" t="s">
        <v>9</v>
      </c>
      <c r="F2853" t="s">
        <v>10</v>
      </c>
    </row>
    <row r="2854" spans="1:6" hidden="1" x14ac:dyDescent="0.35">
      <c r="A2854" t="s">
        <v>64</v>
      </c>
      <c r="B2854" t="s">
        <v>53</v>
      </c>
      <c r="C2854" t="s">
        <v>49</v>
      </c>
      <c r="D2854">
        <v>31412.714400000001</v>
      </c>
      <c r="E2854" t="s">
        <v>9</v>
      </c>
      <c r="F2854" t="s">
        <v>10</v>
      </c>
    </row>
    <row r="2855" spans="1:6" hidden="1" x14ac:dyDescent="0.35">
      <c r="A2855" t="s">
        <v>65</v>
      </c>
      <c r="B2855" t="s">
        <v>53</v>
      </c>
      <c r="C2855" t="s">
        <v>49</v>
      </c>
      <c r="D2855">
        <v>2611.0264000000002</v>
      </c>
      <c r="E2855" t="s">
        <v>9</v>
      </c>
      <c r="F2855" t="s">
        <v>10</v>
      </c>
    </row>
    <row r="2856" spans="1:6" hidden="1" x14ac:dyDescent="0.35">
      <c r="A2856" t="s">
        <v>66</v>
      </c>
      <c r="B2856" t="s">
        <v>53</v>
      </c>
      <c r="C2856" t="s">
        <v>49</v>
      </c>
      <c r="E2856" t="s">
        <v>9</v>
      </c>
      <c r="F2856" t="s">
        <v>10</v>
      </c>
    </row>
    <row r="2857" spans="1:6" hidden="1" x14ac:dyDescent="0.35">
      <c r="A2857" t="s">
        <v>67</v>
      </c>
      <c r="B2857" t="s">
        <v>53</v>
      </c>
      <c r="C2857" t="s">
        <v>49</v>
      </c>
      <c r="D2857">
        <v>4994.5551999999998</v>
      </c>
      <c r="E2857" t="s">
        <v>9</v>
      </c>
      <c r="F2857" t="s">
        <v>10</v>
      </c>
    </row>
    <row r="2858" spans="1:6" hidden="1" x14ac:dyDescent="0.35">
      <c r="A2858" t="s">
        <v>57</v>
      </c>
      <c r="B2858" t="s">
        <v>53</v>
      </c>
      <c r="C2858" t="s">
        <v>50</v>
      </c>
      <c r="E2858" t="s">
        <v>9</v>
      </c>
      <c r="F2858" t="s">
        <v>10</v>
      </c>
    </row>
    <row r="2859" spans="1:6" hidden="1" x14ac:dyDescent="0.35">
      <c r="A2859" t="s">
        <v>11</v>
      </c>
      <c r="B2859" t="s">
        <v>53</v>
      </c>
      <c r="C2859" t="s">
        <v>50</v>
      </c>
      <c r="D2859">
        <v>42100.839599999999</v>
      </c>
      <c r="E2859" t="s">
        <v>9</v>
      </c>
      <c r="F2859" t="s">
        <v>10</v>
      </c>
    </row>
    <row r="2860" spans="1:6" hidden="1" x14ac:dyDescent="0.35">
      <c r="A2860" t="s">
        <v>58</v>
      </c>
      <c r="B2860" t="s">
        <v>53</v>
      </c>
      <c r="C2860" t="s">
        <v>50</v>
      </c>
      <c r="E2860" t="s">
        <v>9</v>
      </c>
      <c r="F2860" t="s">
        <v>10</v>
      </c>
    </row>
    <row r="2861" spans="1:6" hidden="1" x14ac:dyDescent="0.35">
      <c r="A2861" t="s">
        <v>59</v>
      </c>
      <c r="B2861" t="s">
        <v>53</v>
      </c>
      <c r="C2861" t="s">
        <v>50</v>
      </c>
      <c r="D2861">
        <v>200996.69639999999</v>
      </c>
      <c r="E2861" t="s">
        <v>9</v>
      </c>
      <c r="F2861" t="s">
        <v>10</v>
      </c>
    </row>
    <row r="2862" spans="1:6" hidden="1" x14ac:dyDescent="0.35">
      <c r="A2862" t="s">
        <v>60</v>
      </c>
      <c r="B2862" t="s">
        <v>53</v>
      </c>
      <c r="C2862" t="s">
        <v>50</v>
      </c>
      <c r="D2862">
        <v>255896.08439999999</v>
      </c>
      <c r="E2862" t="s">
        <v>9</v>
      </c>
      <c r="F2862" t="s">
        <v>10</v>
      </c>
    </row>
    <row r="2863" spans="1:6" hidden="1" x14ac:dyDescent="0.35">
      <c r="A2863" t="s">
        <v>61</v>
      </c>
      <c r="B2863" t="s">
        <v>53</v>
      </c>
      <c r="C2863" t="s">
        <v>50</v>
      </c>
      <c r="E2863" t="s">
        <v>9</v>
      </c>
      <c r="F2863" t="s">
        <v>10</v>
      </c>
    </row>
    <row r="2864" spans="1:6" hidden="1" x14ac:dyDescent="0.35">
      <c r="A2864" t="s">
        <v>62</v>
      </c>
      <c r="B2864" t="s">
        <v>53</v>
      </c>
      <c r="C2864" t="s">
        <v>50</v>
      </c>
      <c r="D2864">
        <v>0</v>
      </c>
      <c r="E2864" t="s">
        <v>9</v>
      </c>
      <c r="F2864" t="s">
        <v>10</v>
      </c>
    </row>
    <row r="2865" spans="1:6" hidden="1" x14ac:dyDescent="0.35">
      <c r="A2865" t="s">
        <v>63</v>
      </c>
      <c r="B2865" t="s">
        <v>53</v>
      </c>
      <c r="C2865" t="s">
        <v>50</v>
      </c>
      <c r="D2865">
        <v>171381.9376</v>
      </c>
      <c r="E2865" t="s">
        <v>9</v>
      </c>
      <c r="F2865" t="s">
        <v>10</v>
      </c>
    </row>
    <row r="2866" spans="1:6" hidden="1" x14ac:dyDescent="0.35">
      <c r="A2866" t="s">
        <v>64</v>
      </c>
      <c r="B2866" t="s">
        <v>53</v>
      </c>
      <c r="C2866" t="s">
        <v>50</v>
      </c>
      <c r="D2866">
        <v>356092.62280000001</v>
      </c>
      <c r="E2866" t="s">
        <v>9</v>
      </c>
      <c r="F2866" t="s">
        <v>10</v>
      </c>
    </row>
    <row r="2867" spans="1:6" hidden="1" x14ac:dyDescent="0.35">
      <c r="A2867" t="s">
        <v>65</v>
      </c>
      <c r="B2867" t="s">
        <v>53</v>
      </c>
      <c r="C2867" t="s">
        <v>50</v>
      </c>
      <c r="D2867">
        <v>94801.285999999993</v>
      </c>
      <c r="E2867" t="s">
        <v>9</v>
      </c>
      <c r="F2867" t="s">
        <v>10</v>
      </c>
    </row>
    <row r="2868" spans="1:6" hidden="1" x14ac:dyDescent="0.35">
      <c r="A2868" t="s">
        <v>66</v>
      </c>
      <c r="B2868" t="s">
        <v>53</v>
      </c>
      <c r="C2868" t="s">
        <v>50</v>
      </c>
      <c r="E2868" t="s">
        <v>9</v>
      </c>
      <c r="F2868" t="s">
        <v>10</v>
      </c>
    </row>
    <row r="2869" spans="1:6" hidden="1" x14ac:dyDescent="0.35">
      <c r="A2869" t="s">
        <v>67</v>
      </c>
      <c r="B2869" t="s">
        <v>53</v>
      </c>
      <c r="C2869" t="s">
        <v>50</v>
      </c>
      <c r="D2869">
        <v>182037.74119999999</v>
      </c>
      <c r="E2869" t="s">
        <v>9</v>
      </c>
      <c r="F2869" t="s">
        <v>10</v>
      </c>
    </row>
    <row r="2870" spans="1:6" hidden="1" x14ac:dyDescent="0.35">
      <c r="A2870" t="s">
        <v>57</v>
      </c>
      <c r="B2870" t="s">
        <v>53</v>
      </c>
      <c r="C2870" t="s">
        <v>51</v>
      </c>
      <c r="D2870">
        <v>6</v>
      </c>
      <c r="E2870" t="s">
        <v>9</v>
      </c>
      <c r="F2870" t="s">
        <v>10</v>
      </c>
    </row>
    <row r="2871" spans="1:6" hidden="1" x14ac:dyDescent="0.35">
      <c r="A2871" t="s">
        <v>11</v>
      </c>
      <c r="B2871" t="s">
        <v>53</v>
      </c>
      <c r="C2871" t="s">
        <v>51</v>
      </c>
      <c r="D2871">
        <v>2</v>
      </c>
      <c r="E2871" t="s">
        <v>9</v>
      </c>
      <c r="F2871" t="s">
        <v>10</v>
      </c>
    </row>
    <row r="2872" spans="1:6" hidden="1" x14ac:dyDescent="0.35">
      <c r="A2872" t="s">
        <v>58</v>
      </c>
      <c r="B2872" t="s">
        <v>53</v>
      </c>
      <c r="C2872" t="s">
        <v>51</v>
      </c>
      <c r="D2872">
        <v>2</v>
      </c>
      <c r="E2872" t="s">
        <v>9</v>
      </c>
      <c r="F2872" t="s">
        <v>10</v>
      </c>
    </row>
    <row r="2873" spans="1:6" hidden="1" x14ac:dyDescent="0.35">
      <c r="A2873" t="s">
        <v>59</v>
      </c>
      <c r="B2873" t="s">
        <v>53</v>
      </c>
      <c r="C2873" t="s">
        <v>51</v>
      </c>
      <c r="D2873">
        <v>3</v>
      </c>
      <c r="E2873" t="s">
        <v>9</v>
      </c>
      <c r="F2873" t="s">
        <v>10</v>
      </c>
    </row>
    <row r="2874" spans="1:6" hidden="1" x14ac:dyDescent="0.35">
      <c r="A2874" t="s">
        <v>60</v>
      </c>
      <c r="B2874" t="s">
        <v>53</v>
      </c>
      <c r="C2874" t="s">
        <v>51</v>
      </c>
      <c r="D2874">
        <v>5</v>
      </c>
      <c r="E2874" t="s">
        <v>9</v>
      </c>
      <c r="F2874" t="s">
        <v>10</v>
      </c>
    </row>
    <row r="2875" spans="1:6" hidden="1" x14ac:dyDescent="0.35">
      <c r="A2875" t="s">
        <v>61</v>
      </c>
      <c r="B2875" t="s">
        <v>53</v>
      </c>
      <c r="C2875" t="s">
        <v>51</v>
      </c>
      <c r="D2875">
        <v>1</v>
      </c>
      <c r="E2875" t="s">
        <v>9</v>
      </c>
      <c r="F2875" t="s">
        <v>10</v>
      </c>
    </row>
    <row r="2876" spans="1:6" hidden="1" x14ac:dyDescent="0.35">
      <c r="A2876" t="s">
        <v>62</v>
      </c>
      <c r="B2876" t="s">
        <v>53</v>
      </c>
      <c r="C2876" t="s">
        <v>51</v>
      </c>
      <c r="E2876" t="s">
        <v>9</v>
      </c>
      <c r="F2876" t="s">
        <v>10</v>
      </c>
    </row>
    <row r="2877" spans="1:6" hidden="1" x14ac:dyDescent="0.35">
      <c r="A2877" t="s">
        <v>63</v>
      </c>
      <c r="B2877" t="s">
        <v>53</v>
      </c>
      <c r="C2877" t="s">
        <v>51</v>
      </c>
      <c r="E2877" t="s">
        <v>9</v>
      </c>
      <c r="F2877" t="s">
        <v>10</v>
      </c>
    </row>
    <row r="2878" spans="1:6" hidden="1" x14ac:dyDescent="0.35">
      <c r="A2878" t="s">
        <v>64</v>
      </c>
      <c r="B2878" t="s">
        <v>53</v>
      </c>
      <c r="C2878" t="s">
        <v>51</v>
      </c>
      <c r="D2878">
        <v>3</v>
      </c>
      <c r="E2878" t="s">
        <v>9</v>
      </c>
      <c r="F2878" t="s">
        <v>10</v>
      </c>
    </row>
    <row r="2879" spans="1:6" hidden="1" x14ac:dyDescent="0.35">
      <c r="A2879" t="s">
        <v>65</v>
      </c>
      <c r="B2879" t="s">
        <v>53</v>
      </c>
      <c r="C2879" t="s">
        <v>51</v>
      </c>
      <c r="E2879" t="s">
        <v>9</v>
      </c>
      <c r="F2879" t="s">
        <v>10</v>
      </c>
    </row>
    <row r="2880" spans="1:6" hidden="1" x14ac:dyDescent="0.35">
      <c r="A2880" t="s">
        <v>66</v>
      </c>
      <c r="B2880" t="s">
        <v>53</v>
      </c>
      <c r="C2880" t="s">
        <v>51</v>
      </c>
      <c r="D2880">
        <v>1</v>
      </c>
      <c r="E2880" t="s">
        <v>9</v>
      </c>
      <c r="F2880" t="s">
        <v>10</v>
      </c>
    </row>
    <row r="2881" spans="1:6" hidden="1" x14ac:dyDescent="0.35">
      <c r="A2881" t="s">
        <v>67</v>
      </c>
      <c r="B2881" t="s">
        <v>53</v>
      </c>
      <c r="C2881" t="s">
        <v>51</v>
      </c>
      <c r="D2881">
        <v>1</v>
      </c>
      <c r="E2881" t="s">
        <v>9</v>
      </c>
      <c r="F2881" t="s">
        <v>10</v>
      </c>
    </row>
    <row r="2882" spans="1:6" hidden="1" x14ac:dyDescent="0.35">
      <c r="A2882" t="s">
        <v>57</v>
      </c>
      <c r="B2882" t="s">
        <v>53</v>
      </c>
      <c r="C2882" t="s">
        <v>30</v>
      </c>
      <c r="E2882" t="s">
        <v>9</v>
      </c>
      <c r="F2882" t="s">
        <v>10</v>
      </c>
    </row>
    <row r="2883" spans="1:6" hidden="1" x14ac:dyDescent="0.35">
      <c r="A2883" t="s">
        <v>11</v>
      </c>
      <c r="B2883" t="s">
        <v>53</v>
      </c>
      <c r="C2883" t="s">
        <v>30</v>
      </c>
      <c r="D2883">
        <v>1</v>
      </c>
      <c r="E2883" t="s">
        <v>9</v>
      </c>
      <c r="F2883" t="s">
        <v>10</v>
      </c>
    </row>
    <row r="2884" spans="1:6" hidden="1" x14ac:dyDescent="0.35">
      <c r="A2884" t="s">
        <v>58</v>
      </c>
      <c r="B2884" t="s">
        <v>53</v>
      </c>
      <c r="C2884" t="s">
        <v>30</v>
      </c>
      <c r="D2884">
        <v>2</v>
      </c>
      <c r="E2884" t="s">
        <v>9</v>
      </c>
      <c r="F2884" t="s">
        <v>10</v>
      </c>
    </row>
    <row r="2885" spans="1:6" hidden="1" x14ac:dyDescent="0.35">
      <c r="A2885" t="s">
        <v>59</v>
      </c>
      <c r="B2885" t="s">
        <v>53</v>
      </c>
      <c r="C2885" t="s">
        <v>30</v>
      </c>
      <c r="E2885" t="s">
        <v>9</v>
      </c>
      <c r="F2885" t="s">
        <v>10</v>
      </c>
    </row>
    <row r="2886" spans="1:6" hidden="1" x14ac:dyDescent="0.35">
      <c r="A2886" t="s">
        <v>60</v>
      </c>
      <c r="B2886" t="s">
        <v>53</v>
      </c>
      <c r="C2886" t="s">
        <v>30</v>
      </c>
      <c r="E2886" t="s">
        <v>9</v>
      </c>
      <c r="F2886" t="s">
        <v>10</v>
      </c>
    </row>
    <row r="2887" spans="1:6" hidden="1" x14ac:dyDescent="0.35">
      <c r="A2887" t="s">
        <v>61</v>
      </c>
      <c r="B2887" t="s">
        <v>53</v>
      </c>
      <c r="C2887" t="s">
        <v>30</v>
      </c>
      <c r="D2887">
        <v>3</v>
      </c>
      <c r="E2887" t="s">
        <v>9</v>
      </c>
      <c r="F2887" t="s">
        <v>10</v>
      </c>
    </row>
    <row r="2888" spans="1:6" hidden="1" x14ac:dyDescent="0.35">
      <c r="A2888" t="s">
        <v>62</v>
      </c>
      <c r="B2888" t="s">
        <v>53</v>
      </c>
      <c r="C2888" t="s">
        <v>30</v>
      </c>
      <c r="D2888">
        <v>2</v>
      </c>
      <c r="E2888" t="s">
        <v>9</v>
      </c>
      <c r="F2888" t="s">
        <v>10</v>
      </c>
    </row>
    <row r="2889" spans="1:6" hidden="1" x14ac:dyDescent="0.35">
      <c r="A2889" t="s">
        <v>63</v>
      </c>
      <c r="B2889" t="s">
        <v>53</v>
      </c>
      <c r="C2889" t="s">
        <v>30</v>
      </c>
      <c r="D2889">
        <v>1</v>
      </c>
      <c r="E2889" t="s">
        <v>9</v>
      </c>
      <c r="F2889" t="s">
        <v>10</v>
      </c>
    </row>
    <row r="2890" spans="1:6" hidden="1" x14ac:dyDescent="0.35">
      <c r="A2890" t="s">
        <v>64</v>
      </c>
      <c r="B2890" t="s">
        <v>53</v>
      </c>
      <c r="C2890" t="s">
        <v>30</v>
      </c>
      <c r="E2890" t="s">
        <v>9</v>
      </c>
      <c r="F2890" t="s">
        <v>10</v>
      </c>
    </row>
    <row r="2891" spans="1:6" hidden="1" x14ac:dyDescent="0.35">
      <c r="A2891" t="s">
        <v>65</v>
      </c>
      <c r="B2891" t="s">
        <v>53</v>
      </c>
      <c r="C2891" t="s">
        <v>30</v>
      </c>
      <c r="E2891" t="s">
        <v>9</v>
      </c>
      <c r="F2891" t="s">
        <v>10</v>
      </c>
    </row>
    <row r="2892" spans="1:6" hidden="1" x14ac:dyDescent="0.35">
      <c r="A2892" t="s">
        <v>66</v>
      </c>
      <c r="B2892" t="s">
        <v>53</v>
      </c>
      <c r="C2892" t="s">
        <v>30</v>
      </c>
      <c r="E2892" t="s">
        <v>9</v>
      </c>
      <c r="F2892" t="s">
        <v>10</v>
      </c>
    </row>
    <row r="2893" spans="1:6" hidden="1" x14ac:dyDescent="0.35">
      <c r="A2893" t="s">
        <v>67</v>
      </c>
      <c r="B2893" t="s">
        <v>53</v>
      </c>
      <c r="C2893" t="s">
        <v>30</v>
      </c>
      <c r="D2893">
        <v>1</v>
      </c>
      <c r="E2893" t="s">
        <v>9</v>
      </c>
      <c r="F2893" t="s">
        <v>10</v>
      </c>
    </row>
    <row r="2894" spans="1:6" hidden="1" x14ac:dyDescent="0.35">
      <c r="A2894" t="s">
        <v>57</v>
      </c>
      <c r="B2894" t="s">
        <v>53</v>
      </c>
      <c r="C2894" t="s">
        <v>52</v>
      </c>
      <c r="D2894">
        <v>4</v>
      </c>
      <c r="E2894" t="s">
        <v>9</v>
      </c>
      <c r="F2894" t="s">
        <v>10</v>
      </c>
    </row>
    <row r="2895" spans="1:6" hidden="1" x14ac:dyDescent="0.35">
      <c r="A2895" t="s">
        <v>11</v>
      </c>
      <c r="B2895" t="s">
        <v>53</v>
      </c>
      <c r="C2895" t="s">
        <v>52</v>
      </c>
      <c r="D2895">
        <v>1</v>
      </c>
      <c r="E2895" t="s">
        <v>9</v>
      </c>
      <c r="F2895" t="s">
        <v>10</v>
      </c>
    </row>
    <row r="2896" spans="1:6" hidden="1" x14ac:dyDescent="0.35">
      <c r="A2896" t="s">
        <v>58</v>
      </c>
      <c r="B2896" t="s">
        <v>53</v>
      </c>
      <c r="C2896" t="s">
        <v>52</v>
      </c>
      <c r="D2896">
        <v>1</v>
      </c>
      <c r="E2896" t="s">
        <v>9</v>
      </c>
      <c r="F2896" t="s">
        <v>10</v>
      </c>
    </row>
    <row r="2897" spans="1:6" hidden="1" x14ac:dyDescent="0.35">
      <c r="A2897" t="s">
        <v>59</v>
      </c>
      <c r="B2897" t="s">
        <v>53</v>
      </c>
      <c r="C2897" t="s">
        <v>52</v>
      </c>
      <c r="D2897">
        <v>1</v>
      </c>
      <c r="E2897" t="s">
        <v>9</v>
      </c>
      <c r="F2897" t="s">
        <v>10</v>
      </c>
    </row>
    <row r="2898" spans="1:6" hidden="1" x14ac:dyDescent="0.35">
      <c r="A2898" t="s">
        <v>60</v>
      </c>
      <c r="B2898" t="s">
        <v>53</v>
      </c>
      <c r="C2898" t="s">
        <v>52</v>
      </c>
      <c r="D2898">
        <v>1</v>
      </c>
      <c r="E2898" t="s">
        <v>9</v>
      </c>
      <c r="F2898" t="s">
        <v>10</v>
      </c>
    </row>
    <row r="2899" spans="1:6" hidden="1" x14ac:dyDescent="0.35">
      <c r="A2899" t="s">
        <v>61</v>
      </c>
      <c r="B2899" t="s">
        <v>53</v>
      </c>
      <c r="C2899" t="s">
        <v>52</v>
      </c>
      <c r="D2899">
        <v>1</v>
      </c>
      <c r="E2899" t="s">
        <v>9</v>
      </c>
      <c r="F2899" t="s">
        <v>10</v>
      </c>
    </row>
    <row r="2900" spans="1:6" hidden="1" x14ac:dyDescent="0.35">
      <c r="A2900" t="s">
        <v>62</v>
      </c>
      <c r="B2900" t="s">
        <v>53</v>
      </c>
      <c r="C2900" t="s">
        <v>52</v>
      </c>
      <c r="E2900" t="s">
        <v>9</v>
      </c>
      <c r="F2900" t="s">
        <v>10</v>
      </c>
    </row>
    <row r="2901" spans="1:6" hidden="1" x14ac:dyDescent="0.35">
      <c r="A2901" t="s">
        <v>63</v>
      </c>
      <c r="B2901" t="s">
        <v>53</v>
      </c>
      <c r="C2901" t="s">
        <v>52</v>
      </c>
      <c r="E2901" t="s">
        <v>9</v>
      </c>
      <c r="F2901" t="s">
        <v>10</v>
      </c>
    </row>
    <row r="2902" spans="1:6" hidden="1" x14ac:dyDescent="0.35">
      <c r="A2902" t="s">
        <v>64</v>
      </c>
      <c r="B2902" t="s">
        <v>53</v>
      </c>
      <c r="C2902" t="s">
        <v>52</v>
      </c>
      <c r="D2902">
        <v>1</v>
      </c>
      <c r="E2902" t="s">
        <v>9</v>
      </c>
      <c r="F2902" t="s">
        <v>10</v>
      </c>
    </row>
    <row r="2903" spans="1:6" hidden="1" x14ac:dyDescent="0.35">
      <c r="A2903" t="s">
        <v>65</v>
      </c>
      <c r="B2903" t="s">
        <v>53</v>
      </c>
      <c r="C2903" t="s">
        <v>52</v>
      </c>
      <c r="E2903" t="s">
        <v>9</v>
      </c>
      <c r="F2903" t="s">
        <v>10</v>
      </c>
    </row>
    <row r="2904" spans="1:6" hidden="1" x14ac:dyDescent="0.35">
      <c r="A2904" t="s">
        <v>66</v>
      </c>
      <c r="B2904" t="s">
        <v>53</v>
      </c>
      <c r="C2904" t="s">
        <v>52</v>
      </c>
      <c r="E2904" t="s">
        <v>9</v>
      </c>
      <c r="F2904" t="s">
        <v>10</v>
      </c>
    </row>
    <row r="2905" spans="1:6" hidden="1" x14ac:dyDescent="0.35">
      <c r="A2905" t="s">
        <v>67</v>
      </c>
      <c r="B2905" t="s">
        <v>53</v>
      </c>
      <c r="C2905" t="s">
        <v>52</v>
      </c>
      <c r="D2905">
        <v>1</v>
      </c>
      <c r="E2905" t="s">
        <v>9</v>
      </c>
      <c r="F2905" t="s">
        <v>10</v>
      </c>
    </row>
    <row r="2906" spans="1:6" hidden="1" x14ac:dyDescent="0.35">
      <c r="A2906" t="s">
        <v>57</v>
      </c>
      <c r="B2906" t="s">
        <v>68</v>
      </c>
      <c r="C2906" t="s">
        <v>44</v>
      </c>
      <c r="D2906">
        <v>10376.3758</v>
      </c>
      <c r="E2906" t="s">
        <v>9</v>
      </c>
      <c r="F2906" t="s">
        <v>10</v>
      </c>
    </row>
    <row r="2907" spans="1:6" hidden="1" x14ac:dyDescent="0.35">
      <c r="A2907" t="s">
        <v>11</v>
      </c>
      <c r="B2907" t="s">
        <v>68</v>
      </c>
      <c r="C2907" t="s">
        <v>44</v>
      </c>
      <c r="D2907">
        <v>27084.663707317071</v>
      </c>
      <c r="E2907" t="s">
        <v>9</v>
      </c>
      <c r="F2907" t="s">
        <v>10</v>
      </c>
    </row>
    <row r="2908" spans="1:6" hidden="1" x14ac:dyDescent="0.35">
      <c r="A2908" t="s">
        <v>58</v>
      </c>
      <c r="B2908" t="s">
        <v>68</v>
      </c>
      <c r="C2908" t="s">
        <v>44</v>
      </c>
      <c r="D2908">
        <v>244574.5668726287</v>
      </c>
      <c r="E2908" t="s">
        <v>9</v>
      </c>
      <c r="F2908" t="s">
        <v>10</v>
      </c>
    </row>
    <row r="2909" spans="1:6" hidden="1" x14ac:dyDescent="0.35">
      <c r="A2909" t="s">
        <v>59</v>
      </c>
      <c r="B2909" t="s">
        <v>68</v>
      </c>
      <c r="C2909" t="s">
        <v>44</v>
      </c>
      <c r="D2909">
        <v>35091.392248780488</v>
      </c>
      <c r="E2909" t="s">
        <v>9</v>
      </c>
      <c r="F2909" t="s">
        <v>10</v>
      </c>
    </row>
    <row r="2910" spans="1:6" hidden="1" x14ac:dyDescent="0.35">
      <c r="A2910" t="s">
        <v>60</v>
      </c>
      <c r="B2910" t="s">
        <v>68</v>
      </c>
      <c r="C2910" t="s">
        <v>44</v>
      </c>
      <c r="D2910">
        <v>318921.70380175882</v>
      </c>
      <c r="E2910" t="s">
        <v>9</v>
      </c>
      <c r="F2910" t="s">
        <v>10</v>
      </c>
    </row>
    <row r="2911" spans="1:6" hidden="1" x14ac:dyDescent="0.35">
      <c r="A2911" t="s">
        <v>61</v>
      </c>
      <c r="B2911" t="s">
        <v>68</v>
      </c>
      <c r="C2911" t="s">
        <v>44</v>
      </c>
      <c r="D2911">
        <v>56274.365629268294</v>
      </c>
      <c r="E2911" t="s">
        <v>9</v>
      </c>
      <c r="F2911" t="s">
        <v>10</v>
      </c>
    </row>
    <row r="2912" spans="1:6" hidden="1" x14ac:dyDescent="0.35">
      <c r="A2912" t="s">
        <v>62</v>
      </c>
      <c r="B2912" t="s">
        <v>68</v>
      </c>
      <c r="C2912" t="s">
        <v>44</v>
      </c>
      <c r="D2912">
        <v>95196.729510569101</v>
      </c>
      <c r="E2912" t="s">
        <v>9</v>
      </c>
      <c r="F2912" t="s">
        <v>10</v>
      </c>
    </row>
    <row r="2913" spans="1:6" hidden="1" x14ac:dyDescent="0.35">
      <c r="A2913" t="s">
        <v>63</v>
      </c>
      <c r="B2913" t="s">
        <v>68</v>
      </c>
      <c r="C2913" t="s">
        <v>44</v>
      </c>
      <c r="D2913">
        <v>2205515.3347734418</v>
      </c>
      <c r="E2913" t="s">
        <v>9</v>
      </c>
      <c r="F2913" t="s">
        <v>10</v>
      </c>
    </row>
    <row r="2914" spans="1:6" hidden="1" x14ac:dyDescent="0.35">
      <c r="A2914" t="s">
        <v>64</v>
      </c>
      <c r="B2914" t="s">
        <v>68</v>
      </c>
      <c r="C2914" t="s">
        <v>44</v>
      </c>
      <c r="D2914">
        <v>748083.30845691066</v>
      </c>
      <c r="E2914" t="s">
        <v>9</v>
      </c>
      <c r="F2914" t="s">
        <v>10</v>
      </c>
    </row>
    <row r="2915" spans="1:6" hidden="1" x14ac:dyDescent="0.35">
      <c r="A2915" t="s">
        <v>65</v>
      </c>
      <c r="B2915" t="s">
        <v>68</v>
      </c>
      <c r="C2915" t="s">
        <v>44</v>
      </c>
      <c r="D2915">
        <v>0</v>
      </c>
      <c r="E2915" t="s">
        <v>9</v>
      </c>
      <c r="F2915" t="s">
        <v>10</v>
      </c>
    </row>
    <row r="2916" spans="1:6" hidden="1" x14ac:dyDescent="0.35">
      <c r="A2916" t="s">
        <v>66</v>
      </c>
      <c r="B2916" t="s">
        <v>68</v>
      </c>
      <c r="C2916" t="s">
        <v>44</v>
      </c>
      <c r="D2916">
        <v>283288.63768780488</v>
      </c>
      <c r="E2916" t="s">
        <v>9</v>
      </c>
      <c r="F2916" t="s">
        <v>10</v>
      </c>
    </row>
    <row r="2917" spans="1:6" hidden="1" x14ac:dyDescent="0.35">
      <c r="A2917" t="s">
        <v>67</v>
      </c>
      <c r="B2917" t="s">
        <v>68</v>
      </c>
      <c r="C2917" t="s">
        <v>44</v>
      </c>
      <c r="D2917">
        <v>10065.77021626016</v>
      </c>
      <c r="E2917" t="s">
        <v>9</v>
      </c>
      <c r="F2917" t="s">
        <v>10</v>
      </c>
    </row>
    <row r="2918" spans="1:6" hidden="1" x14ac:dyDescent="0.35">
      <c r="A2918" t="s">
        <v>57</v>
      </c>
      <c r="B2918" t="s">
        <v>68</v>
      </c>
      <c r="C2918" t="s">
        <v>22</v>
      </c>
      <c r="D2918">
        <v>0</v>
      </c>
      <c r="E2918" t="s">
        <v>9</v>
      </c>
      <c r="F2918" t="s">
        <v>10</v>
      </c>
    </row>
    <row r="2919" spans="1:6" hidden="1" x14ac:dyDescent="0.35">
      <c r="A2919" t="s">
        <v>11</v>
      </c>
      <c r="B2919" t="s">
        <v>68</v>
      </c>
      <c r="C2919" t="s">
        <v>22</v>
      </c>
      <c r="D2919">
        <v>0</v>
      </c>
      <c r="E2919" t="s">
        <v>9</v>
      </c>
      <c r="F2919" t="s">
        <v>10</v>
      </c>
    </row>
    <row r="2920" spans="1:6" hidden="1" x14ac:dyDescent="0.35">
      <c r="A2920" t="s">
        <v>58</v>
      </c>
      <c r="B2920" t="s">
        <v>68</v>
      </c>
      <c r="C2920" t="s">
        <v>22</v>
      </c>
      <c r="D2920">
        <v>0</v>
      </c>
      <c r="E2920" t="s">
        <v>9</v>
      </c>
      <c r="F2920" t="s">
        <v>10</v>
      </c>
    </row>
    <row r="2921" spans="1:6" hidden="1" x14ac:dyDescent="0.35">
      <c r="A2921" t="s">
        <v>59</v>
      </c>
      <c r="B2921" t="s">
        <v>68</v>
      </c>
      <c r="C2921" t="s">
        <v>22</v>
      </c>
      <c r="D2921">
        <v>0</v>
      </c>
      <c r="E2921" t="s">
        <v>9</v>
      </c>
      <c r="F2921" t="s">
        <v>10</v>
      </c>
    </row>
    <row r="2922" spans="1:6" hidden="1" x14ac:dyDescent="0.35">
      <c r="A2922" t="s">
        <v>60</v>
      </c>
      <c r="B2922" t="s">
        <v>68</v>
      </c>
      <c r="C2922" t="s">
        <v>22</v>
      </c>
      <c r="D2922">
        <v>0</v>
      </c>
      <c r="E2922" t="s">
        <v>9</v>
      </c>
      <c r="F2922" t="s">
        <v>10</v>
      </c>
    </row>
    <row r="2923" spans="1:6" hidden="1" x14ac:dyDescent="0.35">
      <c r="A2923" t="s">
        <v>61</v>
      </c>
      <c r="B2923" t="s">
        <v>68</v>
      </c>
      <c r="C2923" t="s">
        <v>22</v>
      </c>
      <c r="D2923">
        <v>0</v>
      </c>
      <c r="E2923" t="s">
        <v>9</v>
      </c>
      <c r="F2923" t="s">
        <v>10</v>
      </c>
    </row>
    <row r="2924" spans="1:6" hidden="1" x14ac:dyDescent="0.35">
      <c r="A2924" t="s">
        <v>62</v>
      </c>
      <c r="B2924" t="s">
        <v>68</v>
      </c>
      <c r="C2924" t="s">
        <v>22</v>
      </c>
      <c r="D2924">
        <v>0</v>
      </c>
      <c r="E2924" t="s">
        <v>9</v>
      </c>
      <c r="F2924" t="s">
        <v>10</v>
      </c>
    </row>
    <row r="2925" spans="1:6" hidden="1" x14ac:dyDescent="0.35">
      <c r="A2925" t="s">
        <v>63</v>
      </c>
      <c r="B2925" t="s">
        <v>68</v>
      </c>
      <c r="C2925" t="s">
        <v>22</v>
      </c>
      <c r="D2925">
        <v>0</v>
      </c>
      <c r="E2925" t="s">
        <v>9</v>
      </c>
      <c r="F2925" t="s">
        <v>10</v>
      </c>
    </row>
    <row r="2926" spans="1:6" hidden="1" x14ac:dyDescent="0.35">
      <c r="A2926" t="s">
        <v>64</v>
      </c>
      <c r="B2926" t="s">
        <v>68</v>
      </c>
      <c r="C2926" t="s">
        <v>22</v>
      </c>
      <c r="D2926">
        <v>0</v>
      </c>
      <c r="E2926" t="s">
        <v>9</v>
      </c>
      <c r="F2926" t="s">
        <v>10</v>
      </c>
    </row>
    <row r="2927" spans="1:6" hidden="1" x14ac:dyDescent="0.35">
      <c r="A2927" t="s">
        <v>65</v>
      </c>
      <c r="B2927" t="s">
        <v>68</v>
      </c>
      <c r="C2927" t="s">
        <v>22</v>
      </c>
      <c r="D2927">
        <v>0</v>
      </c>
      <c r="E2927" t="s">
        <v>9</v>
      </c>
      <c r="F2927" t="s">
        <v>10</v>
      </c>
    </row>
    <row r="2928" spans="1:6" hidden="1" x14ac:dyDescent="0.35">
      <c r="A2928" t="s">
        <v>66</v>
      </c>
      <c r="B2928" t="s">
        <v>68</v>
      </c>
      <c r="C2928" t="s">
        <v>22</v>
      </c>
      <c r="D2928">
        <v>0</v>
      </c>
      <c r="E2928" t="s">
        <v>9</v>
      </c>
      <c r="F2928" t="s">
        <v>10</v>
      </c>
    </row>
    <row r="2929" spans="1:6" hidden="1" x14ac:dyDescent="0.35">
      <c r="A2929" t="s">
        <v>67</v>
      </c>
      <c r="B2929" t="s">
        <v>68</v>
      </c>
      <c r="C2929" t="s">
        <v>22</v>
      </c>
      <c r="D2929">
        <v>0</v>
      </c>
      <c r="E2929" t="s">
        <v>9</v>
      </c>
      <c r="F2929" t="s">
        <v>10</v>
      </c>
    </row>
    <row r="2930" spans="1:6" hidden="1" x14ac:dyDescent="0.35">
      <c r="A2930" t="s">
        <v>57</v>
      </c>
      <c r="B2930" t="s">
        <v>68</v>
      </c>
      <c r="C2930" t="s">
        <v>46</v>
      </c>
      <c r="D2930">
        <v>273108.8468</v>
      </c>
      <c r="E2930" t="s">
        <v>9</v>
      </c>
      <c r="F2930" t="s">
        <v>10</v>
      </c>
    </row>
    <row r="2931" spans="1:6" hidden="1" x14ac:dyDescent="0.35">
      <c r="A2931" t="s">
        <v>11</v>
      </c>
      <c r="B2931" t="s">
        <v>68</v>
      </c>
      <c r="C2931" t="s">
        <v>46</v>
      </c>
      <c r="D2931">
        <v>557902.05058536585</v>
      </c>
      <c r="E2931" t="s">
        <v>9</v>
      </c>
      <c r="F2931" t="s">
        <v>10</v>
      </c>
    </row>
    <row r="2932" spans="1:6" hidden="1" x14ac:dyDescent="0.35">
      <c r="A2932" t="s">
        <v>58</v>
      </c>
      <c r="B2932" t="s">
        <v>68</v>
      </c>
      <c r="C2932" t="s">
        <v>46</v>
      </c>
      <c r="D2932">
        <v>124575.0898547425</v>
      </c>
      <c r="E2932" t="s">
        <v>9</v>
      </c>
      <c r="F2932" t="s">
        <v>10</v>
      </c>
    </row>
    <row r="2933" spans="1:6" hidden="1" x14ac:dyDescent="0.35">
      <c r="A2933" t="s">
        <v>59</v>
      </c>
      <c r="B2933" t="s">
        <v>68</v>
      </c>
      <c r="C2933" t="s">
        <v>46</v>
      </c>
      <c r="D2933">
        <v>619370.6011024391</v>
      </c>
      <c r="E2933" t="s">
        <v>9</v>
      </c>
      <c r="F2933" t="s">
        <v>10</v>
      </c>
    </row>
    <row r="2934" spans="1:6" hidden="1" x14ac:dyDescent="0.35">
      <c r="A2934" t="s">
        <v>60</v>
      </c>
      <c r="B2934" t="s">
        <v>68</v>
      </c>
      <c r="C2934" t="s">
        <v>46</v>
      </c>
      <c r="D2934">
        <v>64046.167596482497</v>
      </c>
      <c r="E2934" t="s">
        <v>9</v>
      </c>
      <c r="F2934" t="s">
        <v>10</v>
      </c>
    </row>
    <row r="2935" spans="1:6" hidden="1" x14ac:dyDescent="0.35">
      <c r="A2935" t="s">
        <v>61</v>
      </c>
      <c r="B2935" t="s">
        <v>68</v>
      </c>
      <c r="C2935" t="s">
        <v>46</v>
      </c>
      <c r="D2935">
        <v>264051.22234146338</v>
      </c>
      <c r="E2935" t="s">
        <v>9</v>
      </c>
      <c r="F2935" t="s">
        <v>10</v>
      </c>
    </row>
    <row r="2936" spans="1:6" hidden="1" x14ac:dyDescent="0.35">
      <c r="A2936" t="s">
        <v>62</v>
      </c>
      <c r="B2936" t="s">
        <v>68</v>
      </c>
      <c r="C2936" t="s">
        <v>46</v>
      </c>
      <c r="D2936">
        <v>35926.616578861787</v>
      </c>
      <c r="E2936" t="s">
        <v>9</v>
      </c>
      <c r="F2936" t="s">
        <v>10</v>
      </c>
    </row>
    <row r="2937" spans="1:6" hidden="1" x14ac:dyDescent="0.35">
      <c r="A2937" t="s">
        <v>63</v>
      </c>
      <c r="B2937" t="s">
        <v>68</v>
      </c>
      <c r="C2937" t="s">
        <v>46</v>
      </c>
      <c r="D2937">
        <v>864667.3288531166</v>
      </c>
      <c r="E2937" t="s">
        <v>9</v>
      </c>
      <c r="F2937" t="s">
        <v>10</v>
      </c>
    </row>
    <row r="2938" spans="1:6" hidden="1" x14ac:dyDescent="0.35">
      <c r="A2938" t="s">
        <v>64</v>
      </c>
      <c r="B2938" t="s">
        <v>68</v>
      </c>
      <c r="C2938" t="s">
        <v>46</v>
      </c>
      <c r="D2938">
        <v>1625911.483886179</v>
      </c>
      <c r="E2938" t="s">
        <v>9</v>
      </c>
      <c r="F2938" t="s">
        <v>10</v>
      </c>
    </row>
    <row r="2939" spans="1:6" hidden="1" x14ac:dyDescent="0.35">
      <c r="A2939" t="s">
        <v>65</v>
      </c>
      <c r="B2939" t="s">
        <v>68</v>
      </c>
      <c r="C2939" t="s">
        <v>46</v>
      </c>
      <c r="D2939">
        <v>49431.360000000001</v>
      </c>
      <c r="E2939" t="s">
        <v>9</v>
      </c>
      <c r="F2939" t="s">
        <v>10</v>
      </c>
    </row>
    <row r="2940" spans="1:6" hidden="1" x14ac:dyDescent="0.35">
      <c r="A2940" t="s">
        <v>66</v>
      </c>
      <c r="B2940" t="s">
        <v>68</v>
      </c>
      <c r="C2940" t="s">
        <v>46</v>
      </c>
      <c r="D2940">
        <v>184243.29502439019</v>
      </c>
      <c r="E2940" t="s">
        <v>9</v>
      </c>
      <c r="F2940" t="s">
        <v>10</v>
      </c>
    </row>
    <row r="2941" spans="1:6" hidden="1" x14ac:dyDescent="0.35">
      <c r="A2941" t="s">
        <v>67</v>
      </c>
      <c r="B2941" t="s">
        <v>68</v>
      </c>
      <c r="C2941" t="s">
        <v>46</v>
      </c>
      <c r="D2941">
        <v>79102.063567479665</v>
      </c>
      <c r="E2941" t="s">
        <v>9</v>
      </c>
      <c r="F2941" t="s">
        <v>10</v>
      </c>
    </row>
    <row r="2942" spans="1:6" hidden="1" x14ac:dyDescent="0.35">
      <c r="A2942" t="s">
        <v>57</v>
      </c>
      <c r="B2942" t="s">
        <v>68</v>
      </c>
      <c r="C2942" t="s">
        <v>24</v>
      </c>
      <c r="D2942">
        <v>0</v>
      </c>
      <c r="E2942" t="s">
        <v>9</v>
      </c>
      <c r="F2942" t="s">
        <v>10</v>
      </c>
    </row>
    <row r="2943" spans="1:6" hidden="1" x14ac:dyDescent="0.35">
      <c r="A2943" t="s">
        <v>11</v>
      </c>
      <c r="B2943" t="s">
        <v>68</v>
      </c>
      <c r="C2943" t="s">
        <v>24</v>
      </c>
      <c r="D2943">
        <v>0</v>
      </c>
      <c r="E2943" t="s">
        <v>9</v>
      </c>
      <c r="F2943" t="s">
        <v>10</v>
      </c>
    </row>
    <row r="2944" spans="1:6" hidden="1" x14ac:dyDescent="0.35">
      <c r="A2944" t="s">
        <v>58</v>
      </c>
      <c r="B2944" t="s">
        <v>68</v>
      </c>
      <c r="C2944" t="s">
        <v>24</v>
      </c>
      <c r="D2944">
        <v>0</v>
      </c>
      <c r="E2944" t="s">
        <v>9</v>
      </c>
      <c r="F2944" t="s">
        <v>10</v>
      </c>
    </row>
    <row r="2945" spans="1:6" hidden="1" x14ac:dyDescent="0.35">
      <c r="A2945" t="s">
        <v>59</v>
      </c>
      <c r="B2945" t="s">
        <v>68</v>
      </c>
      <c r="C2945" t="s">
        <v>24</v>
      </c>
      <c r="D2945">
        <v>0</v>
      </c>
      <c r="E2945" t="s">
        <v>9</v>
      </c>
      <c r="F2945" t="s">
        <v>10</v>
      </c>
    </row>
    <row r="2946" spans="1:6" hidden="1" x14ac:dyDescent="0.35">
      <c r="A2946" t="s">
        <v>60</v>
      </c>
      <c r="B2946" t="s">
        <v>68</v>
      </c>
      <c r="C2946" t="s">
        <v>24</v>
      </c>
      <c r="D2946">
        <v>0</v>
      </c>
      <c r="E2946" t="s">
        <v>9</v>
      </c>
      <c r="F2946" t="s">
        <v>10</v>
      </c>
    </row>
    <row r="2947" spans="1:6" hidden="1" x14ac:dyDescent="0.35">
      <c r="A2947" t="s">
        <v>61</v>
      </c>
      <c r="B2947" t="s">
        <v>68</v>
      </c>
      <c r="C2947" t="s">
        <v>24</v>
      </c>
      <c r="D2947">
        <v>0</v>
      </c>
      <c r="E2947" t="s">
        <v>9</v>
      </c>
      <c r="F2947" t="s">
        <v>10</v>
      </c>
    </row>
    <row r="2948" spans="1:6" hidden="1" x14ac:dyDescent="0.35">
      <c r="A2948" t="s">
        <v>62</v>
      </c>
      <c r="B2948" t="s">
        <v>68</v>
      </c>
      <c r="C2948" t="s">
        <v>24</v>
      </c>
      <c r="D2948">
        <v>0</v>
      </c>
      <c r="E2948" t="s">
        <v>9</v>
      </c>
      <c r="F2948" t="s">
        <v>10</v>
      </c>
    </row>
    <row r="2949" spans="1:6" hidden="1" x14ac:dyDescent="0.35">
      <c r="A2949" t="s">
        <v>63</v>
      </c>
      <c r="B2949" t="s">
        <v>68</v>
      </c>
      <c r="C2949" t="s">
        <v>24</v>
      </c>
      <c r="D2949">
        <v>0</v>
      </c>
      <c r="E2949" t="s">
        <v>9</v>
      </c>
      <c r="F2949" t="s">
        <v>10</v>
      </c>
    </row>
    <row r="2950" spans="1:6" hidden="1" x14ac:dyDescent="0.35">
      <c r="A2950" t="s">
        <v>64</v>
      </c>
      <c r="B2950" t="s">
        <v>68</v>
      </c>
      <c r="C2950" t="s">
        <v>24</v>
      </c>
      <c r="D2950">
        <v>0</v>
      </c>
      <c r="E2950" t="s">
        <v>9</v>
      </c>
      <c r="F2950" t="s">
        <v>10</v>
      </c>
    </row>
    <row r="2951" spans="1:6" hidden="1" x14ac:dyDescent="0.35">
      <c r="A2951" t="s">
        <v>65</v>
      </c>
      <c r="B2951" t="s">
        <v>68</v>
      </c>
      <c r="C2951" t="s">
        <v>24</v>
      </c>
      <c r="D2951">
        <v>0</v>
      </c>
      <c r="E2951" t="s">
        <v>9</v>
      </c>
      <c r="F2951" t="s">
        <v>10</v>
      </c>
    </row>
    <row r="2952" spans="1:6" hidden="1" x14ac:dyDescent="0.35">
      <c r="A2952" t="s">
        <v>66</v>
      </c>
      <c r="B2952" t="s">
        <v>68</v>
      </c>
      <c r="C2952" t="s">
        <v>24</v>
      </c>
      <c r="D2952">
        <v>0</v>
      </c>
      <c r="E2952" t="s">
        <v>9</v>
      </c>
      <c r="F2952" t="s">
        <v>10</v>
      </c>
    </row>
    <row r="2953" spans="1:6" hidden="1" x14ac:dyDescent="0.35">
      <c r="A2953" t="s">
        <v>67</v>
      </c>
      <c r="B2953" t="s">
        <v>68</v>
      </c>
      <c r="C2953" t="s">
        <v>24</v>
      </c>
      <c r="D2953">
        <v>0</v>
      </c>
      <c r="E2953" t="s">
        <v>9</v>
      </c>
      <c r="F2953" t="s">
        <v>10</v>
      </c>
    </row>
    <row r="2954" spans="1:6" hidden="1" x14ac:dyDescent="0.35">
      <c r="A2954" t="s">
        <v>57</v>
      </c>
      <c r="B2954" t="s">
        <v>68</v>
      </c>
      <c r="C2954" t="s">
        <v>47</v>
      </c>
      <c r="D2954">
        <v>80646.47000000003</v>
      </c>
      <c r="E2954" t="s">
        <v>9</v>
      </c>
      <c r="F2954" t="s">
        <v>10</v>
      </c>
    </row>
    <row r="2955" spans="1:6" hidden="1" x14ac:dyDescent="0.35">
      <c r="A2955" t="s">
        <v>11</v>
      </c>
      <c r="B2955" t="s">
        <v>68</v>
      </c>
      <c r="C2955" t="s">
        <v>47</v>
      </c>
      <c r="D2955">
        <v>18084.64</v>
      </c>
      <c r="E2955" t="s">
        <v>9</v>
      </c>
      <c r="F2955" t="s">
        <v>10</v>
      </c>
    </row>
    <row r="2956" spans="1:6" hidden="1" x14ac:dyDescent="0.35">
      <c r="A2956" t="s">
        <v>58</v>
      </c>
      <c r="B2956" t="s">
        <v>68</v>
      </c>
      <c r="C2956" t="s">
        <v>47</v>
      </c>
      <c r="E2956" t="s">
        <v>9</v>
      </c>
      <c r="F2956" t="s">
        <v>10</v>
      </c>
    </row>
    <row r="2957" spans="1:6" hidden="1" x14ac:dyDescent="0.35">
      <c r="A2957" t="s">
        <v>59</v>
      </c>
      <c r="B2957" t="s">
        <v>68</v>
      </c>
      <c r="C2957" t="s">
        <v>47</v>
      </c>
      <c r="E2957" t="s">
        <v>9</v>
      </c>
      <c r="F2957" t="s">
        <v>10</v>
      </c>
    </row>
    <row r="2958" spans="1:6" hidden="1" x14ac:dyDescent="0.35">
      <c r="A2958" t="s">
        <v>60</v>
      </c>
      <c r="B2958" t="s">
        <v>68</v>
      </c>
      <c r="C2958" t="s">
        <v>47</v>
      </c>
      <c r="D2958">
        <v>188115.91</v>
      </c>
      <c r="E2958" t="s">
        <v>9</v>
      </c>
      <c r="F2958" t="s">
        <v>10</v>
      </c>
    </row>
    <row r="2959" spans="1:6" hidden="1" x14ac:dyDescent="0.35">
      <c r="A2959" t="s">
        <v>61</v>
      </c>
      <c r="B2959" t="s">
        <v>68</v>
      </c>
      <c r="C2959" t="s">
        <v>47</v>
      </c>
      <c r="E2959" t="s">
        <v>9</v>
      </c>
      <c r="F2959" t="s">
        <v>10</v>
      </c>
    </row>
    <row r="2960" spans="1:6" hidden="1" x14ac:dyDescent="0.35">
      <c r="A2960" t="s">
        <v>62</v>
      </c>
      <c r="B2960" t="s">
        <v>68</v>
      </c>
      <c r="C2960" t="s">
        <v>47</v>
      </c>
      <c r="D2960">
        <v>9271.18</v>
      </c>
      <c r="E2960" t="s">
        <v>9</v>
      </c>
      <c r="F2960" t="s">
        <v>10</v>
      </c>
    </row>
    <row r="2961" spans="1:6" hidden="1" x14ac:dyDescent="0.35">
      <c r="A2961" t="s">
        <v>63</v>
      </c>
      <c r="B2961" t="s">
        <v>68</v>
      </c>
      <c r="C2961" t="s">
        <v>47</v>
      </c>
      <c r="D2961">
        <v>60557.45</v>
      </c>
      <c r="E2961" t="s">
        <v>9</v>
      </c>
      <c r="F2961" t="s">
        <v>10</v>
      </c>
    </row>
    <row r="2962" spans="1:6" hidden="1" x14ac:dyDescent="0.35">
      <c r="A2962" t="s">
        <v>64</v>
      </c>
      <c r="B2962" t="s">
        <v>68</v>
      </c>
      <c r="C2962" t="s">
        <v>47</v>
      </c>
      <c r="E2962" t="s">
        <v>9</v>
      </c>
      <c r="F2962" t="s">
        <v>10</v>
      </c>
    </row>
    <row r="2963" spans="1:6" hidden="1" x14ac:dyDescent="0.35">
      <c r="A2963" t="s">
        <v>65</v>
      </c>
      <c r="B2963" t="s">
        <v>68</v>
      </c>
      <c r="C2963" t="s">
        <v>47</v>
      </c>
      <c r="D2963">
        <v>49586.879999999997</v>
      </c>
      <c r="E2963" t="s">
        <v>9</v>
      </c>
      <c r="F2963" t="s">
        <v>10</v>
      </c>
    </row>
    <row r="2964" spans="1:6" hidden="1" x14ac:dyDescent="0.35">
      <c r="A2964" t="s">
        <v>66</v>
      </c>
      <c r="B2964" t="s">
        <v>68</v>
      </c>
      <c r="C2964" t="s">
        <v>47</v>
      </c>
      <c r="E2964" t="s">
        <v>9</v>
      </c>
      <c r="F2964" t="s">
        <v>10</v>
      </c>
    </row>
    <row r="2965" spans="1:6" hidden="1" x14ac:dyDescent="0.35">
      <c r="A2965" t="s">
        <v>67</v>
      </c>
      <c r="B2965" t="s">
        <v>68</v>
      </c>
      <c r="C2965" t="s">
        <v>47</v>
      </c>
      <c r="D2965">
        <v>33813.79</v>
      </c>
      <c r="E2965" t="s">
        <v>9</v>
      </c>
      <c r="F2965" t="s">
        <v>10</v>
      </c>
    </row>
    <row r="2966" spans="1:6" hidden="1" x14ac:dyDescent="0.35">
      <c r="A2966" t="s">
        <v>57</v>
      </c>
      <c r="B2966" t="s">
        <v>68</v>
      </c>
      <c r="C2966" t="s">
        <v>48</v>
      </c>
      <c r="D2966">
        <v>0</v>
      </c>
      <c r="E2966" t="s">
        <v>9</v>
      </c>
      <c r="F2966" t="s">
        <v>10</v>
      </c>
    </row>
    <row r="2967" spans="1:6" hidden="1" x14ac:dyDescent="0.35">
      <c r="A2967" t="s">
        <v>11</v>
      </c>
      <c r="B2967" t="s">
        <v>68</v>
      </c>
      <c r="C2967" t="s">
        <v>48</v>
      </c>
      <c r="D2967">
        <v>0</v>
      </c>
      <c r="E2967" t="s">
        <v>9</v>
      </c>
      <c r="F2967" t="s">
        <v>10</v>
      </c>
    </row>
    <row r="2968" spans="1:6" hidden="1" x14ac:dyDescent="0.35">
      <c r="A2968" t="s">
        <v>58</v>
      </c>
      <c r="B2968" t="s">
        <v>68</v>
      </c>
      <c r="C2968" t="s">
        <v>48</v>
      </c>
      <c r="D2968">
        <v>0</v>
      </c>
      <c r="E2968" t="s">
        <v>9</v>
      </c>
      <c r="F2968" t="s">
        <v>10</v>
      </c>
    </row>
    <row r="2969" spans="1:6" hidden="1" x14ac:dyDescent="0.35">
      <c r="A2969" t="s">
        <v>59</v>
      </c>
      <c r="B2969" t="s">
        <v>68</v>
      </c>
      <c r="C2969" t="s">
        <v>48</v>
      </c>
      <c r="D2969">
        <v>0</v>
      </c>
      <c r="E2969" t="s">
        <v>9</v>
      </c>
      <c r="F2969" t="s">
        <v>10</v>
      </c>
    </row>
    <row r="2970" spans="1:6" hidden="1" x14ac:dyDescent="0.35">
      <c r="A2970" t="s">
        <v>60</v>
      </c>
      <c r="B2970" t="s">
        <v>68</v>
      </c>
      <c r="C2970" t="s">
        <v>48</v>
      </c>
      <c r="D2970">
        <v>0</v>
      </c>
      <c r="E2970" t="s">
        <v>9</v>
      </c>
      <c r="F2970" t="s">
        <v>10</v>
      </c>
    </row>
    <row r="2971" spans="1:6" hidden="1" x14ac:dyDescent="0.35">
      <c r="A2971" t="s">
        <v>61</v>
      </c>
      <c r="B2971" t="s">
        <v>68</v>
      </c>
      <c r="C2971" t="s">
        <v>48</v>
      </c>
      <c r="D2971">
        <v>0</v>
      </c>
      <c r="E2971" t="s">
        <v>9</v>
      </c>
      <c r="F2971" t="s">
        <v>10</v>
      </c>
    </row>
    <row r="2972" spans="1:6" hidden="1" x14ac:dyDescent="0.35">
      <c r="A2972" t="s">
        <v>62</v>
      </c>
      <c r="B2972" t="s">
        <v>68</v>
      </c>
      <c r="C2972" t="s">
        <v>48</v>
      </c>
      <c r="D2972">
        <v>0</v>
      </c>
      <c r="E2972" t="s">
        <v>9</v>
      </c>
      <c r="F2972" t="s">
        <v>10</v>
      </c>
    </row>
    <row r="2973" spans="1:6" hidden="1" x14ac:dyDescent="0.35">
      <c r="A2973" t="s">
        <v>63</v>
      </c>
      <c r="B2973" t="s">
        <v>68</v>
      </c>
      <c r="C2973" t="s">
        <v>48</v>
      </c>
      <c r="D2973">
        <v>0</v>
      </c>
      <c r="E2973" t="s">
        <v>9</v>
      </c>
      <c r="F2973" t="s">
        <v>10</v>
      </c>
    </row>
    <row r="2974" spans="1:6" hidden="1" x14ac:dyDescent="0.35">
      <c r="A2974" t="s">
        <v>64</v>
      </c>
      <c r="B2974" t="s">
        <v>68</v>
      </c>
      <c r="C2974" t="s">
        <v>48</v>
      </c>
      <c r="D2974">
        <v>0</v>
      </c>
      <c r="E2974" t="s">
        <v>9</v>
      </c>
      <c r="F2974" t="s">
        <v>10</v>
      </c>
    </row>
    <row r="2975" spans="1:6" hidden="1" x14ac:dyDescent="0.35">
      <c r="A2975" t="s">
        <v>65</v>
      </c>
      <c r="B2975" t="s">
        <v>68</v>
      </c>
      <c r="C2975" t="s">
        <v>48</v>
      </c>
      <c r="D2975">
        <v>0</v>
      </c>
      <c r="E2975" t="s">
        <v>9</v>
      </c>
      <c r="F2975" t="s">
        <v>10</v>
      </c>
    </row>
    <row r="2976" spans="1:6" hidden="1" x14ac:dyDescent="0.35">
      <c r="A2976" t="s">
        <v>66</v>
      </c>
      <c r="B2976" t="s">
        <v>68</v>
      </c>
      <c r="C2976" t="s">
        <v>48</v>
      </c>
      <c r="D2976">
        <v>0</v>
      </c>
      <c r="E2976" t="s">
        <v>9</v>
      </c>
      <c r="F2976" t="s">
        <v>10</v>
      </c>
    </row>
    <row r="2977" spans="1:6" hidden="1" x14ac:dyDescent="0.35">
      <c r="A2977" t="s">
        <v>67</v>
      </c>
      <c r="B2977" t="s">
        <v>68</v>
      </c>
      <c r="C2977" t="s">
        <v>48</v>
      </c>
      <c r="D2977">
        <v>0</v>
      </c>
      <c r="E2977" t="s">
        <v>9</v>
      </c>
      <c r="F2977" t="s">
        <v>10</v>
      </c>
    </row>
    <row r="2978" spans="1:6" hidden="1" x14ac:dyDescent="0.35">
      <c r="A2978" t="s">
        <v>57</v>
      </c>
      <c r="B2978" t="s">
        <v>68</v>
      </c>
      <c r="C2978" t="s">
        <v>49</v>
      </c>
      <c r="D2978">
        <v>23309.455600000001</v>
      </c>
      <c r="E2978" t="s">
        <v>9</v>
      </c>
      <c r="F2978" t="s">
        <v>10</v>
      </c>
    </row>
    <row r="2979" spans="1:6" hidden="1" x14ac:dyDescent="0.35">
      <c r="A2979" t="s">
        <v>11</v>
      </c>
      <c r="B2979" t="s">
        <v>68</v>
      </c>
      <c r="C2979" t="s">
        <v>49</v>
      </c>
      <c r="D2979">
        <v>66985.834000000003</v>
      </c>
      <c r="E2979" t="s">
        <v>9</v>
      </c>
      <c r="F2979" t="s">
        <v>10</v>
      </c>
    </row>
    <row r="2980" spans="1:6" hidden="1" x14ac:dyDescent="0.35">
      <c r="A2980" t="s">
        <v>58</v>
      </c>
      <c r="B2980" t="s">
        <v>68</v>
      </c>
      <c r="C2980" t="s">
        <v>49</v>
      </c>
      <c r="D2980">
        <v>91186.971199999985</v>
      </c>
      <c r="E2980" t="s">
        <v>9</v>
      </c>
      <c r="F2980" t="s">
        <v>10</v>
      </c>
    </row>
    <row r="2981" spans="1:6" hidden="1" x14ac:dyDescent="0.35">
      <c r="A2981" t="s">
        <v>59</v>
      </c>
      <c r="B2981" t="s">
        <v>68</v>
      </c>
      <c r="C2981" t="s">
        <v>49</v>
      </c>
      <c r="D2981">
        <v>118928.302</v>
      </c>
      <c r="E2981" t="s">
        <v>9</v>
      </c>
      <c r="F2981" t="s">
        <v>10</v>
      </c>
    </row>
    <row r="2982" spans="1:6" hidden="1" x14ac:dyDescent="0.35">
      <c r="A2982" t="s">
        <v>60</v>
      </c>
      <c r="B2982" t="s">
        <v>68</v>
      </c>
      <c r="C2982" t="s">
        <v>49</v>
      </c>
      <c r="D2982">
        <v>89672.767999999996</v>
      </c>
      <c r="E2982" t="s">
        <v>9</v>
      </c>
      <c r="F2982" t="s">
        <v>10</v>
      </c>
    </row>
    <row r="2983" spans="1:6" hidden="1" x14ac:dyDescent="0.35">
      <c r="A2983" t="s">
        <v>61</v>
      </c>
      <c r="B2983" t="s">
        <v>68</v>
      </c>
      <c r="C2983" t="s">
        <v>49</v>
      </c>
      <c r="D2983">
        <v>49323.483200000002</v>
      </c>
      <c r="E2983" t="s">
        <v>9</v>
      </c>
      <c r="F2983" t="s">
        <v>10</v>
      </c>
    </row>
    <row r="2984" spans="1:6" hidden="1" x14ac:dyDescent="0.35">
      <c r="A2984" t="s">
        <v>62</v>
      </c>
      <c r="B2984" t="s">
        <v>68</v>
      </c>
      <c r="C2984" t="s">
        <v>49</v>
      </c>
      <c r="D2984">
        <v>48199.384400000003</v>
      </c>
      <c r="E2984" t="s">
        <v>9</v>
      </c>
      <c r="F2984" t="s">
        <v>10</v>
      </c>
    </row>
    <row r="2985" spans="1:6" hidden="1" x14ac:dyDescent="0.35">
      <c r="A2985" t="s">
        <v>63</v>
      </c>
      <c r="B2985" t="s">
        <v>68</v>
      </c>
      <c r="C2985" t="s">
        <v>49</v>
      </c>
      <c r="D2985">
        <v>505724.69640000002</v>
      </c>
      <c r="E2985" t="s">
        <v>9</v>
      </c>
      <c r="F2985" t="s">
        <v>10</v>
      </c>
    </row>
    <row r="2986" spans="1:6" hidden="1" x14ac:dyDescent="0.35">
      <c r="A2986" t="s">
        <v>64</v>
      </c>
      <c r="B2986" t="s">
        <v>68</v>
      </c>
      <c r="C2986" t="s">
        <v>49</v>
      </c>
      <c r="D2986">
        <v>234191.9056</v>
      </c>
      <c r="E2986" t="s">
        <v>9</v>
      </c>
      <c r="F2986" t="s">
        <v>10</v>
      </c>
    </row>
    <row r="2987" spans="1:6" hidden="1" x14ac:dyDescent="0.35">
      <c r="A2987" t="s">
        <v>65</v>
      </c>
      <c r="B2987" t="s">
        <v>68</v>
      </c>
      <c r="C2987" t="s">
        <v>49</v>
      </c>
      <c r="D2987">
        <v>8430.9031999999988</v>
      </c>
      <c r="E2987" t="s">
        <v>9</v>
      </c>
      <c r="F2987" t="s">
        <v>10</v>
      </c>
    </row>
    <row r="2988" spans="1:6" hidden="1" x14ac:dyDescent="0.35">
      <c r="A2988" t="s">
        <v>66</v>
      </c>
      <c r="B2988" t="s">
        <v>68</v>
      </c>
      <c r="C2988" t="s">
        <v>49</v>
      </c>
      <c r="D2988">
        <v>77767.999599999996</v>
      </c>
      <c r="E2988" t="s">
        <v>9</v>
      </c>
      <c r="F2988" t="s">
        <v>10</v>
      </c>
    </row>
    <row r="2989" spans="1:6" hidden="1" x14ac:dyDescent="0.35">
      <c r="A2989" t="s">
        <v>67</v>
      </c>
      <c r="B2989" t="s">
        <v>68</v>
      </c>
      <c r="C2989" t="s">
        <v>49</v>
      </c>
      <c r="D2989">
        <v>14222.676799999999</v>
      </c>
      <c r="E2989" t="s">
        <v>9</v>
      </c>
      <c r="F2989" t="s">
        <v>10</v>
      </c>
    </row>
    <row r="2990" spans="1:6" hidden="1" x14ac:dyDescent="0.35">
      <c r="A2990" t="s">
        <v>57</v>
      </c>
      <c r="B2990" t="s">
        <v>68</v>
      </c>
      <c r="C2990" t="s">
        <v>50</v>
      </c>
      <c r="D2990">
        <v>293861.59840000002</v>
      </c>
      <c r="E2990" t="s">
        <v>9</v>
      </c>
      <c r="F2990" t="s">
        <v>10</v>
      </c>
    </row>
    <row r="2991" spans="1:6" hidden="1" x14ac:dyDescent="0.35">
      <c r="A2991" t="s">
        <v>11</v>
      </c>
      <c r="B2991" t="s">
        <v>68</v>
      </c>
      <c r="C2991" t="s">
        <v>50</v>
      </c>
      <c r="D2991">
        <v>612071.37800000003</v>
      </c>
      <c r="E2991" t="s">
        <v>9</v>
      </c>
      <c r="F2991" t="s">
        <v>10</v>
      </c>
    </row>
    <row r="2992" spans="1:6" hidden="1" x14ac:dyDescent="0.35">
      <c r="A2992" t="s">
        <v>58</v>
      </c>
      <c r="B2992" t="s">
        <v>68</v>
      </c>
      <c r="C2992" t="s">
        <v>50</v>
      </c>
      <c r="D2992">
        <v>613724.22360000014</v>
      </c>
      <c r="E2992" t="s">
        <v>9</v>
      </c>
      <c r="F2992" t="s">
        <v>10</v>
      </c>
    </row>
    <row r="2993" spans="1:6" hidden="1" x14ac:dyDescent="0.35">
      <c r="A2993" t="s">
        <v>59</v>
      </c>
      <c r="B2993" t="s">
        <v>68</v>
      </c>
      <c r="C2993" t="s">
        <v>50</v>
      </c>
      <c r="D2993">
        <v>689553.38560000004</v>
      </c>
      <c r="E2993" t="s">
        <v>9</v>
      </c>
      <c r="F2993" t="s">
        <v>10</v>
      </c>
    </row>
    <row r="2994" spans="1:6" hidden="1" x14ac:dyDescent="0.35">
      <c r="A2994" t="s">
        <v>60</v>
      </c>
      <c r="B2994" t="s">
        <v>68</v>
      </c>
      <c r="C2994" t="s">
        <v>50</v>
      </c>
      <c r="D2994">
        <v>701889.57520000008</v>
      </c>
      <c r="E2994" t="s">
        <v>9</v>
      </c>
      <c r="F2994" t="s">
        <v>10</v>
      </c>
    </row>
    <row r="2995" spans="1:6" hidden="1" x14ac:dyDescent="0.35">
      <c r="A2995" t="s">
        <v>61</v>
      </c>
      <c r="B2995" t="s">
        <v>68</v>
      </c>
      <c r="C2995" t="s">
        <v>50</v>
      </c>
      <c r="D2995">
        <v>376599.95360000001</v>
      </c>
      <c r="E2995" t="s">
        <v>9</v>
      </c>
      <c r="F2995" t="s">
        <v>10</v>
      </c>
    </row>
    <row r="2996" spans="1:6" hidden="1" x14ac:dyDescent="0.35">
      <c r="A2996" t="s">
        <v>62</v>
      </c>
      <c r="B2996" t="s">
        <v>68</v>
      </c>
      <c r="C2996" t="s">
        <v>50</v>
      </c>
      <c r="D2996">
        <v>226320.07560000001</v>
      </c>
      <c r="E2996" t="s">
        <v>9</v>
      </c>
      <c r="F2996" t="s">
        <v>10</v>
      </c>
    </row>
    <row r="2997" spans="1:6" hidden="1" x14ac:dyDescent="0.35">
      <c r="A2997" t="s">
        <v>63</v>
      </c>
      <c r="B2997" t="s">
        <v>68</v>
      </c>
      <c r="C2997" t="s">
        <v>50</v>
      </c>
      <c r="D2997">
        <v>5275697.998399999</v>
      </c>
      <c r="E2997" t="s">
        <v>9</v>
      </c>
      <c r="F2997" t="s">
        <v>10</v>
      </c>
    </row>
    <row r="2998" spans="1:6" hidden="1" x14ac:dyDescent="0.35">
      <c r="A2998" t="s">
        <v>64</v>
      </c>
      <c r="B2998" t="s">
        <v>68</v>
      </c>
      <c r="C2998" t="s">
        <v>50</v>
      </c>
      <c r="D2998">
        <v>3122078.1008000001</v>
      </c>
      <c r="E2998" t="s">
        <v>9</v>
      </c>
      <c r="F2998" t="s">
        <v>10</v>
      </c>
    </row>
    <row r="2999" spans="1:6" hidden="1" x14ac:dyDescent="0.35">
      <c r="A2999" t="s">
        <v>65</v>
      </c>
      <c r="B2999" t="s">
        <v>68</v>
      </c>
      <c r="C2999" t="s">
        <v>50</v>
      </c>
      <c r="D2999">
        <v>49431.360000000001</v>
      </c>
      <c r="E2999" t="s">
        <v>9</v>
      </c>
      <c r="F2999" t="s">
        <v>10</v>
      </c>
    </row>
    <row r="3000" spans="1:6" hidden="1" x14ac:dyDescent="0.35">
      <c r="A3000" t="s">
        <v>66</v>
      </c>
      <c r="B3000" t="s">
        <v>68</v>
      </c>
      <c r="C3000" t="s">
        <v>50</v>
      </c>
      <c r="D3000">
        <v>750820.57039999997</v>
      </c>
      <c r="E3000" t="s">
        <v>9</v>
      </c>
      <c r="F3000" t="s">
        <v>10</v>
      </c>
    </row>
    <row r="3001" spans="1:6" hidden="1" x14ac:dyDescent="0.35">
      <c r="A3001" t="s">
        <v>67</v>
      </c>
      <c r="B3001" t="s">
        <v>68</v>
      </c>
      <c r="C3001" t="s">
        <v>50</v>
      </c>
      <c r="D3001">
        <v>99233.603999999992</v>
      </c>
      <c r="E3001" t="s">
        <v>9</v>
      </c>
      <c r="F3001" t="s">
        <v>10</v>
      </c>
    </row>
    <row r="3002" spans="1:6" hidden="1" x14ac:dyDescent="0.35">
      <c r="A3002" t="s">
        <v>57</v>
      </c>
      <c r="B3002" t="s">
        <v>68</v>
      </c>
      <c r="C3002" t="s">
        <v>51</v>
      </c>
      <c r="D3002">
        <v>11</v>
      </c>
      <c r="E3002" t="s">
        <v>9</v>
      </c>
      <c r="F3002" t="s">
        <v>10</v>
      </c>
    </row>
    <row r="3003" spans="1:6" hidden="1" x14ac:dyDescent="0.35">
      <c r="A3003" t="s">
        <v>11</v>
      </c>
      <c r="B3003" t="s">
        <v>68</v>
      </c>
      <c r="C3003" t="s">
        <v>51</v>
      </c>
      <c r="D3003">
        <v>5</v>
      </c>
      <c r="E3003" t="s">
        <v>9</v>
      </c>
      <c r="F3003" t="s">
        <v>10</v>
      </c>
    </row>
    <row r="3004" spans="1:6" hidden="1" x14ac:dyDescent="0.35">
      <c r="A3004" t="s">
        <v>58</v>
      </c>
      <c r="B3004" t="s">
        <v>68</v>
      </c>
      <c r="C3004" t="s">
        <v>51</v>
      </c>
      <c r="D3004">
        <v>8</v>
      </c>
      <c r="E3004" t="s">
        <v>9</v>
      </c>
      <c r="F3004" t="s">
        <v>10</v>
      </c>
    </row>
    <row r="3005" spans="1:6" hidden="1" x14ac:dyDescent="0.35">
      <c r="A3005" t="s">
        <v>59</v>
      </c>
      <c r="B3005" t="s">
        <v>68</v>
      </c>
      <c r="C3005" t="s">
        <v>51</v>
      </c>
      <c r="D3005">
        <v>7</v>
      </c>
      <c r="E3005" t="s">
        <v>9</v>
      </c>
      <c r="F3005" t="s">
        <v>10</v>
      </c>
    </row>
    <row r="3006" spans="1:6" hidden="1" x14ac:dyDescent="0.35">
      <c r="A3006" t="s">
        <v>60</v>
      </c>
      <c r="B3006" t="s">
        <v>68</v>
      </c>
      <c r="C3006" t="s">
        <v>51</v>
      </c>
      <c r="D3006">
        <v>4</v>
      </c>
      <c r="E3006" t="s">
        <v>9</v>
      </c>
      <c r="F3006" t="s">
        <v>10</v>
      </c>
    </row>
    <row r="3007" spans="1:6" hidden="1" x14ac:dyDescent="0.35">
      <c r="A3007" t="s">
        <v>61</v>
      </c>
      <c r="B3007" t="s">
        <v>68</v>
      </c>
      <c r="C3007" t="s">
        <v>51</v>
      </c>
      <c r="D3007">
        <v>3</v>
      </c>
      <c r="E3007" t="s">
        <v>9</v>
      </c>
      <c r="F3007" t="s">
        <v>10</v>
      </c>
    </row>
    <row r="3008" spans="1:6" hidden="1" x14ac:dyDescent="0.35">
      <c r="A3008" t="s">
        <v>62</v>
      </c>
      <c r="B3008" t="s">
        <v>68</v>
      </c>
      <c r="C3008" t="s">
        <v>51</v>
      </c>
      <c r="D3008">
        <v>7</v>
      </c>
      <c r="E3008" t="s">
        <v>9</v>
      </c>
      <c r="F3008" t="s">
        <v>10</v>
      </c>
    </row>
    <row r="3009" spans="1:6" hidden="1" x14ac:dyDescent="0.35">
      <c r="A3009" t="s">
        <v>63</v>
      </c>
      <c r="B3009" t="s">
        <v>68</v>
      </c>
      <c r="C3009" t="s">
        <v>51</v>
      </c>
      <c r="D3009">
        <v>1</v>
      </c>
      <c r="E3009" t="s">
        <v>9</v>
      </c>
      <c r="F3009" t="s">
        <v>10</v>
      </c>
    </row>
    <row r="3010" spans="1:6" hidden="1" x14ac:dyDescent="0.35">
      <c r="A3010" t="s">
        <v>64</v>
      </c>
      <c r="B3010" t="s">
        <v>68</v>
      </c>
      <c r="C3010" t="s">
        <v>51</v>
      </c>
      <c r="D3010">
        <v>5</v>
      </c>
      <c r="E3010" t="s">
        <v>9</v>
      </c>
      <c r="F3010" t="s">
        <v>10</v>
      </c>
    </row>
    <row r="3011" spans="1:6" hidden="1" x14ac:dyDescent="0.35">
      <c r="A3011" t="s">
        <v>65</v>
      </c>
      <c r="B3011" t="s">
        <v>68</v>
      </c>
      <c r="C3011" t="s">
        <v>51</v>
      </c>
      <c r="D3011">
        <v>3</v>
      </c>
      <c r="E3011" t="s">
        <v>9</v>
      </c>
      <c r="F3011" t="s">
        <v>10</v>
      </c>
    </row>
    <row r="3012" spans="1:6" hidden="1" x14ac:dyDescent="0.35">
      <c r="A3012" t="s">
        <v>66</v>
      </c>
      <c r="B3012" t="s">
        <v>68</v>
      </c>
      <c r="C3012" t="s">
        <v>51</v>
      </c>
      <c r="D3012">
        <v>6</v>
      </c>
      <c r="E3012" t="s">
        <v>9</v>
      </c>
      <c r="F3012" t="s">
        <v>10</v>
      </c>
    </row>
    <row r="3013" spans="1:6" hidden="1" x14ac:dyDescent="0.35">
      <c r="A3013" t="s">
        <v>67</v>
      </c>
      <c r="B3013" t="s">
        <v>68</v>
      </c>
      <c r="C3013" t="s">
        <v>51</v>
      </c>
      <c r="D3013">
        <v>11</v>
      </c>
      <c r="E3013" t="s">
        <v>9</v>
      </c>
      <c r="F3013" t="s">
        <v>10</v>
      </c>
    </row>
    <row r="3014" spans="1:6" hidden="1" x14ac:dyDescent="0.35">
      <c r="A3014" t="s">
        <v>57</v>
      </c>
      <c r="B3014" t="s">
        <v>68</v>
      </c>
      <c r="C3014" t="s">
        <v>30</v>
      </c>
      <c r="D3014">
        <v>1</v>
      </c>
      <c r="E3014" t="s">
        <v>9</v>
      </c>
      <c r="F3014" t="s">
        <v>10</v>
      </c>
    </row>
    <row r="3015" spans="1:6" hidden="1" x14ac:dyDescent="0.35">
      <c r="A3015" t="s">
        <v>11</v>
      </c>
      <c r="B3015" t="s">
        <v>68</v>
      </c>
      <c r="C3015" t="s">
        <v>30</v>
      </c>
      <c r="D3015">
        <v>3</v>
      </c>
      <c r="E3015" t="s">
        <v>9</v>
      </c>
      <c r="F3015" t="s">
        <v>10</v>
      </c>
    </row>
    <row r="3016" spans="1:6" hidden="1" x14ac:dyDescent="0.35">
      <c r="A3016" t="s">
        <v>58</v>
      </c>
      <c r="B3016" t="s">
        <v>68</v>
      </c>
      <c r="C3016" t="s">
        <v>30</v>
      </c>
      <c r="D3016">
        <v>2</v>
      </c>
      <c r="E3016" t="s">
        <v>9</v>
      </c>
      <c r="F3016" t="s">
        <v>10</v>
      </c>
    </row>
    <row r="3017" spans="1:6" hidden="1" x14ac:dyDescent="0.35">
      <c r="A3017" t="s">
        <v>59</v>
      </c>
      <c r="B3017" t="s">
        <v>68</v>
      </c>
      <c r="C3017" t="s">
        <v>30</v>
      </c>
      <c r="D3017">
        <v>9</v>
      </c>
      <c r="E3017" t="s">
        <v>9</v>
      </c>
      <c r="F3017" t="s">
        <v>10</v>
      </c>
    </row>
    <row r="3018" spans="1:6" hidden="1" x14ac:dyDescent="0.35">
      <c r="A3018" t="s">
        <v>60</v>
      </c>
      <c r="B3018" t="s">
        <v>68</v>
      </c>
      <c r="C3018" t="s">
        <v>30</v>
      </c>
      <c r="D3018">
        <v>3</v>
      </c>
      <c r="E3018" t="s">
        <v>9</v>
      </c>
      <c r="F3018" t="s">
        <v>10</v>
      </c>
    </row>
    <row r="3019" spans="1:6" hidden="1" x14ac:dyDescent="0.35">
      <c r="A3019" t="s">
        <v>61</v>
      </c>
      <c r="B3019" t="s">
        <v>68</v>
      </c>
      <c r="C3019" t="s">
        <v>30</v>
      </c>
      <c r="D3019">
        <v>3</v>
      </c>
      <c r="E3019" t="s">
        <v>9</v>
      </c>
      <c r="F3019" t="s">
        <v>10</v>
      </c>
    </row>
    <row r="3020" spans="1:6" hidden="1" x14ac:dyDescent="0.35">
      <c r="A3020" t="s">
        <v>62</v>
      </c>
      <c r="B3020" t="s">
        <v>68</v>
      </c>
      <c r="C3020" t="s">
        <v>30</v>
      </c>
      <c r="E3020" t="s">
        <v>9</v>
      </c>
      <c r="F3020" t="s">
        <v>10</v>
      </c>
    </row>
    <row r="3021" spans="1:6" hidden="1" x14ac:dyDescent="0.35">
      <c r="A3021" t="s">
        <v>63</v>
      </c>
      <c r="B3021" t="s">
        <v>68</v>
      </c>
      <c r="C3021" t="s">
        <v>30</v>
      </c>
      <c r="D3021">
        <v>4</v>
      </c>
      <c r="E3021" t="s">
        <v>9</v>
      </c>
      <c r="F3021" t="s">
        <v>10</v>
      </c>
    </row>
    <row r="3022" spans="1:6" hidden="1" x14ac:dyDescent="0.35">
      <c r="A3022" t="s">
        <v>64</v>
      </c>
      <c r="B3022" t="s">
        <v>68</v>
      </c>
      <c r="C3022" t="s">
        <v>30</v>
      </c>
      <c r="D3022">
        <v>3</v>
      </c>
      <c r="E3022" t="s">
        <v>9</v>
      </c>
      <c r="F3022" t="s">
        <v>10</v>
      </c>
    </row>
    <row r="3023" spans="1:6" hidden="1" x14ac:dyDescent="0.35">
      <c r="A3023" t="s">
        <v>65</v>
      </c>
      <c r="B3023" t="s">
        <v>68</v>
      </c>
      <c r="C3023" t="s">
        <v>30</v>
      </c>
      <c r="D3023">
        <v>2</v>
      </c>
      <c r="E3023" t="s">
        <v>9</v>
      </c>
      <c r="F3023" t="s">
        <v>10</v>
      </c>
    </row>
    <row r="3024" spans="1:6" hidden="1" x14ac:dyDescent="0.35">
      <c r="A3024" t="s">
        <v>66</v>
      </c>
      <c r="B3024" t="s">
        <v>68</v>
      </c>
      <c r="C3024" t="s">
        <v>30</v>
      </c>
      <c r="D3024">
        <v>3</v>
      </c>
      <c r="E3024" t="s">
        <v>9</v>
      </c>
      <c r="F3024" t="s">
        <v>10</v>
      </c>
    </row>
    <row r="3025" spans="1:6" hidden="1" x14ac:dyDescent="0.35">
      <c r="A3025" t="s">
        <v>67</v>
      </c>
      <c r="B3025" t="s">
        <v>68</v>
      </c>
      <c r="C3025" t="s">
        <v>30</v>
      </c>
      <c r="D3025">
        <v>1</v>
      </c>
      <c r="E3025" t="s">
        <v>9</v>
      </c>
      <c r="F3025" t="s">
        <v>10</v>
      </c>
    </row>
    <row r="3026" spans="1:6" hidden="1" x14ac:dyDescent="0.35">
      <c r="A3026" t="s">
        <v>57</v>
      </c>
      <c r="B3026" t="s">
        <v>68</v>
      </c>
      <c r="C3026" t="s">
        <v>52</v>
      </c>
      <c r="D3026">
        <v>4</v>
      </c>
      <c r="E3026" t="s">
        <v>9</v>
      </c>
      <c r="F3026" t="s">
        <v>10</v>
      </c>
    </row>
    <row r="3027" spans="1:6" hidden="1" x14ac:dyDescent="0.35">
      <c r="A3027" t="s">
        <v>11</v>
      </c>
      <c r="B3027" t="s">
        <v>68</v>
      </c>
      <c r="C3027" t="s">
        <v>52</v>
      </c>
      <c r="D3027">
        <v>4</v>
      </c>
      <c r="E3027" t="s">
        <v>9</v>
      </c>
      <c r="F3027" t="s">
        <v>10</v>
      </c>
    </row>
    <row r="3028" spans="1:6" hidden="1" x14ac:dyDescent="0.35">
      <c r="A3028" t="s">
        <v>58</v>
      </c>
      <c r="B3028" t="s">
        <v>68</v>
      </c>
      <c r="C3028" t="s">
        <v>52</v>
      </c>
      <c r="D3028">
        <v>5</v>
      </c>
      <c r="E3028" t="s">
        <v>9</v>
      </c>
      <c r="F3028" t="s">
        <v>10</v>
      </c>
    </row>
    <row r="3029" spans="1:6" hidden="1" x14ac:dyDescent="0.35">
      <c r="A3029" t="s">
        <v>59</v>
      </c>
      <c r="B3029" t="s">
        <v>68</v>
      </c>
      <c r="C3029" t="s">
        <v>52</v>
      </c>
      <c r="D3029">
        <v>4</v>
      </c>
      <c r="E3029" t="s">
        <v>9</v>
      </c>
      <c r="F3029" t="s">
        <v>10</v>
      </c>
    </row>
    <row r="3030" spans="1:6" hidden="1" x14ac:dyDescent="0.35">
      <c r="A3030" t="s">
        <v>60</v>
      </c>
      <c r="B3030" t="s">
        <v>68</v>
      </c>
      <c r="C3030" t="s">
        <v>52</v>
      </c>
      <c r="D3030">
        <v>1</v>
      </c>
      <c r="E3030" t="s">
        <v>9</v>
      </c>
      <c r="F3030" t="s">
        <v>10</v>
      </c>
    </row>
    <row r="3031" spans="1:6" hidden="1" x14ac:dyDescent="0.35">
      <c r="A3031" t="s">
        <v>61</v>
      </c>
      <c r="B3031" t="s">
        <v>68</v>
      </c>
      <c r="C3031" t="s">
        <v>52</v>
      </c>
      <c r="D3031">
        <v>2</v>
      </c>
      <c r="E3031" t="s">
        <v>9</v>
      </c>
      <c r="F3031" t="s">
        <v>10</v>
      </c>
    </row>
    <row r="3032" spans="1:6" hidden="1" x14ac:dyDescent="0.35">
      <c r="A3032" t="s">
        <v>62</v>
      </c>
      <c r="B3032" t="s">
        <v>68</v>
      </c>
      <c r="C3032" t="s">
        <v>52</v>
      </c>
      <c r="D3032">
        <v>4</v>
      </c>
      <c r="E3032" t="s">
        <v>9</v>
      </c>
      <c r="F3032" t="s">
        <v>10</v>
      </c>
    </row>
    <row r="3033" spans="1:6" hidden="1" x14ac:dyDescent="0.35">
      <c r="A3033" t="s">
        <v>63</v>
      </c>
      <c r="B3033" t="s">
        <v>68</v>
      </c>
      <c r="C3033" t="s">
        <v>52</v>
      </c>
      <c r="D3033">
        <v>1</v>
      </c>
      <c r="E3033" t="s">
        <v>9</v>
      </c>
      <c r="F3033" t="s">
        <v>10</v>
      </c>
    </row>
    <row r="3034" spans="1:6" hidden="1" x14ac:dyDescent="0.35">
      <c r="A3034" t="s">
        <v>64</v>
      </c>
      <c r="B3034" t="s">
        <v>68</v>
      </c>
      <c r="C3034" t="s">
        <v>52</v>
      </c>
      <c r="D3034">
        <v>2</v>
      </c>
      <c r="E3034" t="s">
        <v>9</v>
      </c>
      <c r="F3034" t="s">
        <v>10</v>
      </c>
    </row>
    <row r="3035" spans="1:6" hidden="1" x14ac:dyDescent="0.35">
      <c r="A3035" t="s">
        <v>65</v>
      </c>
      <c r="B3035" t="s">
        <v>68</v>
      </c>
      <c r="C3035" t="s">
        <v>52</v>
      </c>
      <c r="D3035">
        <v>2</v>
      </c>
      <c r="E3035" t="s">
        <v>9</v>
      </c>
      <c r="F3035" t="s">
        <v>10</v>
      </c>
    </row>
    <row r="3036" spans="1:6" hidden="1" x14ac:dyDescent="0.35">
      <c r="A3036" t="s">
        <v>66</v>
      </c>
      <c r="B3036" t="s">
        <v>68</v>
      </c>
      <c r="C3036" t="s">
        <v>52</v>
      </c>
      <c r="D3036">
        <v>2</v>
      </c>
      <c r="E3036" t="s">
        <v>9</v>
      </c>
      <c r="F3036" t="s">
        <v>10</v>
      </c>
    </row>
    <row r="3037" spans="1:6" hidden="1" x14ac:dyDescent="0.35">
      <c r="A3037" t="s">
        <v>67</v>
      </c>
      <c r="B3037" t="s">
        <v>68</v>
      </c>
      <c r="C3037" t="s">
        <v>52</v>
      </c>
      <c r="D3037">
        <v>5</v>
      </c>
      <c r="E3037" t="s">
        <v>9</v>
      </c>
      <c r="F3037" t="s">
        <v>10</v>
      </c>
    </row>
    <row r="3038" spans="1:6" hidden="1" x14ac:dyDescent="0.35">
      <c r="A3038" t="s">
        <v>57</v>
      </c>
      <c r="B3038" t="s">
        <v>54</v>
      </c>
      <c r="C3038" t="s">
        <v>44</v>
      </c>
      <c r="D3038">
        <v>2944811.9439099398</v>
      </c>
      <c r="E3038" t="s">
        <v>9</v>
      </c>
      <c r="F3038" t="s">
        <v>10</v>
      </c>
    </row>
    <row r="3039" spans="1:6" hidden="1" x14ac:dyDescent="0.35">
      <c r="A3039" t="s">
        <v>11</v>
      </c>
      <c r="B3039" t="s">
        <v>54</v>
      </c>
      <c r="C3039" t="s">
        <v>44</v>
      </c>
      <c r="D3039">
        <v>2759403.390240415</v>
      </c>
      <c r="E3039" t="s">
        <v>9</v>
      </c>
      <c r="F3039" t="s">
        <v>10</v>
      </c>
    </row>
    <row r="3040" spans="1:6" hidden="1" x14ac:dyDescent="0.35">
      <c r="A3040" t="s">
        <v>58</v>
      </c>
      <c r="B3040" t="s">
        <v>54</v>
      </c>
      <c r="C3040" t="s">
        <v>44</v>
      </c>
      <c r="D3040">
        <v>4401405.6075510932</v>
      </c>
      <c r="E3040" t="s">
        <v>9</v>
      </c>
      <c r="F3040" t="s">
        <v>10</v>
      </c>
    </row>
    <row r="3041" spans="1:6" hidden="1" x14ac:dyDescent="0.35">
      <c r="A3041" t="s">
        <v>59</v>
      </c>
      <c r="B3041" t="s">
        <v>54</v>
      </c>
      <c r="C3041" t="s">
        <v>44</v>
      </c>
      <c r="D3041">
        <v>5339128.511095833</v>
      </c>
      <c r="E3041" t="s">
        <v>9</v>
      </c>
      <c r="F3041" t="s">
        <v>10</v>
      </c>
    </row>
    <row r="3042" spans="1:6" hidden="1" x14ac:dyDescent="0.35">
      <c r="A3042" t="s">
        <v>60</v>
      </c>
      <c r="B3042" t="s">
        <v>54</v>
      </c>
      <c r="C3042" t="s">
        <v>44</v>
      </c>
      <c r="D3042">
        <v>3598721.8543722308</v>
      </c>
      <c r="E3042" t="s">
        <v>9</v>
      </c>
      <c r="F3042" t="s">
        <v>10</v>
      </c>
    </row>
    <row r="3043" spans="1:6" hidden="1" x14ac:dyDescent="0.35">
      <c r="A3043" t="s">
        <v>61</v>
      </c>
      <c r="B3043" t="s">
        <v>54</v>
      </c>
      <c r="C3043" t="s">
        <v>44</v>
      </c>
      <c r="D3043">
        <v>4994659.6197925564</v>
      </c>
      <c r="E3043" t="s">
        <v>9</v>
      </c>
      <c r="F3043" t="s">
        <v>10</v>
      </c>
    </row>
    <row r="3044" spans="1:6" hidden="1" x14ac:dyDescent="0.35">
      <c r="A3044" t="s">
        <v>62</v>
      </c>
      <c r="B3044" t="s">
        <v>54</v>
      </c>
      <c r="C3044" t="s">
        <v>44</v>
      </c>
      <c r="D3044">
        <v>4405042.0987008177</v>
      </c>
      <c r="E3044" t="s">
        <v>9</v>
      </c>
      <c r="F3044" t="s">
        <v>10</v>
      </c>
    </row>
    <row r="3045" spans="1:6" hidden="1" x14ac:dyDescent="0.35">
      <c r="A3045" t="s">
        <v>63</v>
      </c>
      <c r="B3045" t="s">
        <v>54</v>
      </c>
      <c r="C3045" t="s">
        <v>44</v>
      </c>
      <c r="D3045">
        <v>5795711.8594430638</v>
      </c>
      <c r="E3045" t="s">
        <v>9</v>
      </c>
      <c r="F3045" t="s">
        <v>10</v>
      </c>
    </row>
    <row r="3046" spans="1:6" hidden="1" x14ac:dyDescent="0.35">
      <c r="A3046" t="s">
        <v>64</v>
      </c>
      <c r="B3046" t="s">
        <v>54</v>
      </c>
      <c r="C3046" t="s">
        <v>44</v>
      </c>
      <c r="D3046">
        <v>6733240.2134112986</v>
      </c>
      <c r="E3046" t="s">
        <v>9</v>
      </c>
      <c r="F3046" t="s">
        <v>10</v>
      </c>
    </row>
    <row r="3047" spans="1:6" hidden="1" x14ac:dyDescent="0.35">
      <c r="A3047" t="s">
        <v>65</v>
      </c>
      <c r="B3047" t="s">
        <v>54</v>
      </c>
      <c r="C3047" t="s">
        <v>44</v>
      </c>
      <c r="D3047">
        <v>5442633.4562893147</v>
      </c>
      <c r="E3047" t="s">
        <v>9</v>
      </c>
      <c r="F3047" t="s">
        <v>10</v>
      </c>
    </row>
    <row r="3048" spans="1:6" hidden="1" x14ac:dyDescent="0.35">
      <c r="A3048" t="s">
        <v>66</v>
      </c>
      <c r="B3048" t="s">
        <v>54</v>
      </c>
      <c r="C3048" t="s">
        <v>44</v>
      </c>
      <c r="D3048">
        <v>4699621.6119671231</v>
      </c>
      <c r="E3048" t="s">
        <v>9</v>
      </c>
      <c r="F3048" t="s">
        <v>10</v>
      </c>
    </row>
    <row r="3049" spans="1:6" hidden="1" x14ac:dyDescent="0.35">
      <c r="A3049" t="s">
        <v>67</v>
      </c>
      <c r="B3049" t="s">
        <v>54</v>
      </c>
      <c r="C3049" t="s">
        <v>44</v>
      </c>
      <c r="D3049">
        <v>3764334.90493401</v>
      </c>
      <c r="E3049" t="s">
        <v>9</v>
      </c>
      <c r="F3049" t="s">
        <v>10</v>
      </c>
    </row>
    <row r="3050" spans="1:6" hidden="1" x14ac:dyDescent="0.35">
      <c r="A3050" t="s">
        <v>57</v>
      </c>
      <c r="B3050" t="s">
        <v>54</v>
      </c>
      <c r="C3050" t="s">
        <v>22</v>
      </c>
      <c r="D3050">
        <v>0</v>
      </c>
      <c r="E3050" t="s">
        <v>9</v>
      </c>
      <c r="F3050" t="s">
        <v>10</v>
      </c>
    </row>
    <row r="3051" spans="1:6" hidden="1" x14ac:dyDescent="0.35">
      <c r="A3051" t="s">
        <v>11</v>
      </c>
      <c r="B3051" t="s">
        <v>54</v>
      </c>
      <c r="C3051" t="s">
        <v>22</v>
      </c>
      <c r="D3051">
        <v>0</v>
      </c>
      <c r="E3051" t="s">
        <v>9</v>
      </c>
      <c r="F3051" t="s">
        <v>10</v>
      </c>
    </row>
    <row r="3052" spans="1:6" hidden="1" x14ac:dyDescent="0.35">
      <c r="A3052" t="s">
        <v>58</v>
      </c>
      <c r="B3052" t="s">
        <v>54</v>
      </c>
      <c r="C3052" t="s">
        <v>22</v>
      </c>
      <c r="D3052">
        <v>0</v>
      </c>
      <c r="E3052" t="s">
        <v>9</v>
      </c>
      <c r="F3052" t="s">
        <v>10</v>
      </c>
    </row>
    <row r="3053" spans="1:6" hidden="1" x14ac:dyDescent="0.35">
      <c r="A3053" t="s">
        <v>59</v>
      </c>
      <c r="B3053" t="s">
        <v>54</v>
      </c>
      <c r="C3053" t="s">
        <v>22</v>
      </c>
      <c r="D3053">
        <v>0</v>
      </c>
      <c r="E3053" t="s">
        <v>9</v>
      </c>
      <c r="F3053" t="s">
        <v>10</v>
      </c>
    </row>
    <row r="3054" spans="1:6" hidden="1" x14ac:dyDescent="0.35">
      <c r="A3054" t="s">
        <v>60</v>
      </c>
      <c r="B3054" t="s">
        <v>54</v>
      </c>
      <c r="C3054" t="s">
        <v>22</v>
      </c>
      <c r="D3054">
        <v>0</v>
      </c>
      <c r="E3054" t="s">
        <v>9</v>
      </c>
      <c r="F3054" t="s">
        <v>10</v>
      </c>
    </row>
    <row r="3055" spans="1:6" hidden="1" x14ac:dyDescent="0.35">
      <c r="A3055" t="s">
        <v>61</v>
      </c>
      <c r="B3055" t="s">
        <v>54</v>
      </c>
      <c r="C3055" t="s">
        <v>22</v>
      </c>
      <c r="D3055">
        <v>0</v>
      </c>
      <c r="E3055" t="s">
        <v>9</v>
      </c>
      <c r="F3055" t="s">
        <v>10</v>
      </c>
    </row>
    <row r="3056" spans="1:6" hidden="1" x14ac:dyDescent="0.35">
      <c r="A3056" t="s">
        <v>62</v>
      </c>
      <c r="B3056" t="s">
        <v>54</v>
      </c>
      <c r="C3056" t="s">
        <v>22</v>
      </c>
      <c r="D3056">
        <v>0</v>
      </c>
      <c r="E3056" t="s">
        <v>9</v>
      </c>
      <c r="F3056" t="s">
        <v>10</v>
      </c>
    </row>
    <row r="3057" spans="1:6" hidden="1" x14ac:dyDescent="0.35">
      <c r="A3057" t="s">
        <v>63</v>
      </c>
      <c r="B3057" t="s">
        <v>54</v>
      </c>
      <c r="C3057" t="s">
        <v>22</v>
      </c>
      <c r="D3057">
        <v>0</v>
      </c>
      <c r="E3057" t="s">
        <v>9</v>
      </c>
      <c r="F3057" t="s">
        <v>10</v>
      </c>
    </row>
    <row r="3058" spans="1:6" hidden="1" x14ac:dyDescent="0.35">
      <c r="A3058" t="s">
        <v>64</v>
      </c>
      <c r="B3058" t="s">
        <v>54</v>
      </c>
      <c r="C3058" t="s">
        <v>22</v>
      </c>
      <c r="D3058">
        <v>0</v>
      </c>
      <c r="E3058" t="s">
        <v>9</v>
      </c>
      <c r="F3058" t="s">
        <v>10</v>
      </c>
    </row>
    <row r="3059" spans="1:6" hidden="1" x14ac:dyDescent="0.35">
      <c r="A3059" t="s">
        <v>65</v>
      </c>
      <c r="B3059" t="s">
        <v>54</v>
      </c>
      <c r="C3059" t="s">
        <v>22</v>
      </c>
      <c r="D3059">
        <v>0</v>
      </c>
      <c r="E3059" t="s">
        <v>9</v>
      </c>
      <c r="F3059" t="s">
        <v>10</v>
      </c>
    </row>
    <row r="3060" spans="1:6" hidden="1" x14ac:dyDescent="0.35">
      <c r="A3060" t="s">
        <v>66</v>
      </c>
      <c r="B3060" t="s">
        <v>54</v>
      </c>
      <c r="C3060" t="s">
        <v>22</v>
      </c>
      <c r="D3060">
        <v>0</v>
      </c>
      <c r="E3060" t="s">
        <v>9</v>
      </c>
      <c r="F3060" t="s">
        <v>10</v>
      </c>
    </row>
    <row r="3061" spans="1:6" hidden="1" x14ac:dyDescent="0.35">
      <c r="A3061" t="s">
        <v>67</v>
      </c>
      <c r="B3061" t="s">
        <v>54</v>
      </c>
      <c r="C3061" t="s">
        <v>22</v>
      </c>
      <c r="D3061">
        <v>0</v>
      </c>
      <c r="E3061" t="s">
        <v>9</v>
      </c>
      <c r="F3061" t="s">
        <v>10</v>
      </c>
    </row>
    <row r="3062" spans="1:6" hidden="1" x14ac:dyDescent="0.35">
      <c r="A3062" t="s">
        <v>57</v>
      </c>
      <c r="B3062" t="s">
        <v>54</v>
      </c>
      <c r="C3062" t="s">
        <v>46</v>
      </c>
      <c r="D3062">
        <v>527015.8425801188</v>
      </c>
      <c r="E3062" t="s">
        <v>9</v>
      </c>
      <c r="F3062" t="s">
        <v>10</v>
      </c>
    </row>
    <row r="3063" spans="1:6" hidden="1" x14ac:dyDescent="0.35">
      <c r="A3063" t="s">
        <v>11</v>
      </c>
      <c r="B3063" t="s">
        <v>54</v>
      </c>
      <c r="C3063" t="s">
        <v>46</v>
      </c>
      <c r="D3063">
        <v>794196.10591917078</v>
      </c>
      <c r="E3063" t="s">
        <v>9</v>
      </c>
      <c r="F3063" t="s">
        <v>10</v>
      </c>
    </row>
    <row r="3064" spans="1:6" hidden="1" x14ac:dyDescent="0.35">
      <c r="A3064" t="s">
        <v>58</v>
      </c>
      <c r="B3064" t="s">
        <v>54</v>
      </c>
      <c r="C3064" t="s">
        <v>46</v>
      </c>
      <c r="D3064">
        <v>886275.98489781329</v>
      </c>
      <c r="E3064" t="s">
        <v>9</v>
      </c>
      <c r="F3064" t="s">
        <v>10</v>
      </c>
    </row>
    <row r="3065" spans="1:6" hidden="1" x14ac:dyDescent="0.35">
      <c r="A3065" t="s">
        <v>59</v>
      </c>
      <c r="B3065" t="s">
        <v>54</v>
      </c>
      <c r="C3065" t="s">
        <v>46</v>
      </c>
      <c r="D3065">
        <v>593799.95500833332</v>
      </c>
      <c r="E3065" t="s">
        <v>9</v>
      </c>
      <c r="F3065" t="s">
        <v>10</v>
      </c>
    </row>
    <row r="3066" spans="1:6" hidden="1" x14ac:dyDescent="0.35">
      <c r="A3066" t="s">
        <v>60</v>
      </c>
      <c r="B3066" t="s">
        <v>54</v>
      </c>
      <c r="C3066" t="s">
        <v>46</v>
      </c>
      <c r="D3066">
        <v>824872.97645553772</v>
      </c>
      <c r="E3066" t="s">
        <v>9</v>
      </c>
      <c r="F3066" t="s">
        <v>10</v>
      </c>
    </row>
    <row r="3067" spans="1:6" hidden="1" x14ac:dyDescent="0.35">
      <c r="A3067" t="s">
        <v>61</v>
      </c>
      <c r="B3067" t="s">
        <v>54</v>
      </c>
      <c r="C3067" t="s">
        <v>46</v>
      </c>
      <c r="D3067">
        <v>1091993.906814886</v>
      </c>
      <c r="E3067" t="s">
        <v>9</v>
      </c>
      <c r="F3067" t="s">
        <v>10</v>
      </c>
    </row>
    <row r="3068" spans="1:6" hidden="1" x14ac:dyDescent="0.35">
      <c r="A3068" t="s">
        <v>62</v>
      </c>
      <c r="B3068" t="s">
        <v>54</v>
      </c>
      <c r="C3068" t="s">
        <v>46</v>
      </c>
      <c r="D3068">
        <v>1295489.812998367</v>
      </c>
      <c r="E3068" t="s">
        <v>9</v>
      </c>
      <c r="F3068" t="s">
        <v>10</v>
      </c>
    </row>
    <row r="3069" spans="1:6" hidden="1" x14ac:dyDescent="0.35">
      <c r="A3069" t="s">
        <v>63</v>
      </c>
      <c r="B3069" t="s">
        <v>54</v>
      </c>
      <c r="C3069" t="s">
        <v>46</v>
      </c>
      <c r="D3069">
        <v>1472203.30031387</v>
      </c>
      <c r="E3069" t="s">
        <v>9</v>
      </c>
      <c r="F3069" t="s">
        <v>10</v>
      </c>
    </row>
    <row r="3070" spans="1:6" hidden="1" x14ac:dyDescent="0.35">
      <c r="A3070" t="s">
        <v>64</v>
      </c>
      <c r="B3070" t="s">
        <v>54</v>
      </c>
      <c r="C3070" t="s">
        <v>46</v>
      </c>
      <c r="D3070">
        <v>401809.69877739798</v>
      </c>
      <c r="E3070" t="s">
        <v>9</v>
      </c>
      <c r="F3070" t="s">
        <v>10</v>
      </c>
    </row>
    <row r="3071" spans="1:6" hidden="1" x14ac:dyDescent="0.35">
      <c r="A3071" t="s">
        <v>65</v>
      </c>
      <c r="B3071" t="s">
        <v>54</v>
      </c>
      <c r="C3071" t="s">
        <v>46</v>
      </c>
      <c r="D3071">
        <v>1349788.262621372</v>
      </c>
      <c r="E3071" t="s">
        <v>9</v>
      </c>
      <c r="F3071" t="s">
        <v>10</v>
      </c>
    </row>
    <row r="3072" spans="1:6" hidden="1" x14ac:dyDescent="0.35">
      <c r="A3072" t="s">
        <v>66</v>
      </c>
      <c r="B3072" t="s">
        <v>54</v>
      </c>
      <c r="C3072" t="s">
        <v>46</v>
      </c>
      <c r="D3072">
        <v>1250448.614465751</v>
      </c>
      <c r="E3072" t="s">
        <v>9</v>
      </c>
      <c r="F3072" t="s">
        <v>10</v>
      </c>
    </row>
    <row r="3073" spans="1:6" hidden="1" x14ac:dyDescent="0.35">
      <c r="A3073" t="s">
        <v>67</v>
      </c>
      <c r="B3073" t="s">
        <v>54</v>
      </c>
      <c r="C3073" t="s">
        <v>46</v>
      </c>
      <c r="D3073">
        <v>1061562.8205319799</v>
      </c>
      <c r="E3073" t="s">
        <v>9</v>
      </c>
      <c r="F3073" t="s">
        <v>10</v>
      </c>
    </row>
    <row r="3074" spans="1:6" hidden="1" x14ac:dyDescent="0.35">
      <c r="A3074" t="s">
        <v>57</v>
      </c>
      <c r="B3074" t="s">
        <v>54</v>
      </c>
      <c r="C3074" t="s">
        <v>24</v>
      </c>
      <c r="D3074">
        <v>0</v>
      </c>
      <c r="E3074" t="s">
        <v>9</v>
      </c>
      <c r="F3074" t="s">
        <v>10</v>
      </c>
    </row>
    <row r="3075" spans="1:6" hidden="1" x14ac:dyDescent="0.35">
      <c r="A3075" t="s">
        <v>11</v>
      </c>
      <c r="B3075" t="s">
        <v>54</v>
      </c>
      <c r="C3075" t="s">
        <v>24</v>
      </c>
      <c r="D3075">
        <v>0</v>
      </c>
      <c r="E3075" t="s">
        <v>9</v>
      </c>
      <c r="F3075" t="s">
        <v>10</v>
      </c>
    </row>
    <row r="3076" spans="1:6" hidden="1" x14ac:dyDescent="0.35">
      <c r="A3076" t="s">
        <v>58</v>
      </c>
      <c r="B3076" t="s">
        <v>54</v>
      </c>
      <c r="C3076" t="s">
        <v>24</v>
      </c>
      <c r="D3076">
        <v>0</v>
      </c>
      <c r="E3076" t="s">
        <v>9</v>
      </c>
      <c r="F3076" t="s">
        <v>10</v>
      </c>
    </row>
    <row r="3077" spans="1:6" hidden="1" x14ac:dyDescent="0.35">
      <c r="A3077" t="s">
        <v>59</v>
      </c>
      <c r="B3077" t="s">
        <v>54</v>
      </c>
      <c r="C3077" t="s">
        <v>24</v>
      </c>
      <c r="D3077">
        <v>0</v>
      </c>
      <c r="E3077" t="s">
        <v>9</v>
      </c>
      <c r="F3077" t="s">
        <v>10</v>
      </c>
    </row>
    <row r="3078" spans="1:6" hidden="1" x14ac:dyDescent="0.35">
      <c r="A3078" t="s">
        <v>60</v>
      </c>
      <c r="B3078" t="s">
        <v>54</v>
      </c>
      <c r="C3078" t="s">
        <v>24</v>
      </c>
      <c r="D3078">
        <v>0</v>
      </c>
      <c r="E3078" t="s">
        <v>9</v>
      </c>
      <c r="F3078" t="s">
        <v>10</v>
      </c>
    </row>
    <row r="3079" spans="1:6" hidden="1" x14ac:dyDescent="0.35">
      <c r="A3079" t="s">
        <v>61</v>
      </c>
      <c r="B3079" t="s">
        <v>54</v>
      </c>
      <c r="C3079" t="s">
        <v>24</v>
      </c>
      <c r="D3079">
        <v>0</v>
      </c>
      <c r="E3079" t="s">
        <v>9</v>
      </c>
      <c r="F3079" t="s">
        <v>10</v>
      </c>
    </row>
    <row r="3080" spans="1:6" hidden="1" x14ac:dyDescent="0.35">
      <c r="A3080" t="s">
        <v>62</v>
      </c>
      <c r="B3080" t="s">
        <v>54</v>
      </c>
      <c r="C3080" t="s">
        <v>24</v>
      </c>
      <c r="D3080">
        <v>0</v>
      </c>
      <c r="E3080" t="s">
        <v>9</v>
      </c>
      <c r="F3080" t="s">
        <v>10</v>
      </c>
    </row>
    <row r="3081" spans="1:6" hidden="1" x14ac:dyDescent="0.35">
      <c r="A3081" t="s">
        <v>63</v>
      </c>
      <c r="B3081" t="s">
        <v>54</v>
      </c>
      <c r="C3081" t="s">
        <v>24</v>
      </c>
      <c r="D3081">
        <v>0</v>
      </c>
      <c r="E3081" t="s">
        <v>9</v>
      </c>
      <c r="F3081" t="s">
        <v>10</v>
      </c>
    </row>
    <row r="3082" spans="1:6" hidden="1" x14ac:dyDescent="0.35">
      <c r="A3082" t="s">
        <v>64</v>
      </c>
      <c r="B3082" t="s">
        <v>54</v>
      </c>
      <c r="C3082" t="s">
        <v>24</v>
      </c>
      <c r="D3082">
        <v>0</v>
      </c>
      <c r="E3082" t="s">
        <v>9</v>
      </c>
      <c r="F3082" t="s">
        <v>10</v>
      </c>
    </row>
    <row r="3083" spans="1:6" hidden="1" x14ac:dyDescent="0.35">
      <c r="A3083" t="s">
        <v>65</v>
      </c>
      <c r="B3083" t="s">
        <v>54</v>
      </c>
      <c r="C3083" t="s">
        <v>24</v>
      </c>
      <c r="D3083">
        <v>0</v>
      </c>
      <c r="E3083" t="s">
        <v>9</v>
      </c>
      <c r="F3083" t="s">
        <v>10</v>
      </c>
    </row>
    <row r="3084" spans="1:6" hidden="1" x14ac:dyDescent="0.35">
      <c r="A3084" t="s">
        <v>66</v>
      </c>
      <c r="B3084" t="s">
        <v>54</v>
      </c>
      <c r="C3084" t="s">
        <v>24</v>
      </c>
      <c r="D3084">
        <v>0</v>
      </c>
      <c r="E3084" t="s">
        <v>9</v>
      </c>
      <c r="F3084" t="s">
        <v>10</v>
      </c>
    </row>
    <row r="3085" spans="1:6" hidden="1" x14ac:dyDescent="0.35">
      <c r="A3085" t="s">
        <v>67</v>
      </c>
      <c r="B3085" t="s">
        <v>54</v>
      </c>
      <c r="C3085" t="s">
        <v>24</v>
      </c>
      <c r="D3085">
        <v>0</v>
      </c>
      <c r="E3085" t="s">
        <v>9</v>
      </c>
      <c r="F3085" t="s">
        <v>10</v>
      </c>
    </row>
    <row r="3086" spans="1:6" hidden="1" x14ac:dyDescent="0.35">
      <c r="A3086" t="s">
        <v>57</v>
      </c>
      <c r="B3086" t="s">
        <v>54</v>
      </c>
      <c r="C3086" t="s">
        <v>47</v>
      </c>
      <c r="D3086">
        <v>39788.870000000003</v>
      </c>
      <c r="E3086" t="s">
        <v>9</v>
      </c>
      <c r="F3086" t="s">
        <v>10</v>
      </c>
    </row>
    <row r="3087" spans="1:6" hidden="1" x14ac:dyDescent="0.35">
      <c r="A3087" t="s">
        <v>11</v>
      </c>
      <c r="B3087" t="s">
        <v>54</v>
      </c>
      <c r="C3087" t="s">
        <v>47</v>
      </c>
      <c r="D3087">
        <v>74869.330000000031</v>
      </c>
      <c r="E3087" t="s">
        <v>9</v>
      </c>
      <c r="F3087" t="s">
        <v>10</v>
      </c>
    </row>
    <row r="3088" spans="1:6" hidden="1" x14ac:dyDescent="0.35">
      <c r="A3088" t="s">
        <v>58</v>
      </c>
      <c r="B3088" t="s">
        <v>54</v>
      </c>
      <c r="C3088" t="s">
        <v>47</v>
      </c>
      <c r="D3088">
        <v>6405.24</v>
      </c>
      <c r="E3088" t="s">
        <v>9</v>
      </c>
      <c r="F3088" t="s">
        <v>10</v>
      </c>
    </row>
    <row r="3089" spans="1:6" hidden="1" x14ac:dyDescent="0.35">
      <c r="A3089" t="s">
        <v>59</v>
      </c>
      <c r="B3089" t="s">
        <v>54</v>
      </c>
      <c r="C3089" t="s">
        <v>47</v>
      </c>
      <c r="D3089">
        <v>4640.08</v>
      </c>
      <c r="E3089" t="s">
        <v>9</v>
      </c>
      <c r="F3089" t="s">
        <v>10</v>
      </c>
    </row>
    <row r="3090" spans="1:6" hidden="1" x14ac:dyDescent="0.35">
      <c r="A3090" t="s">
        <v>60</v>
      </c>
      <c r="B3090" t="s">
        <v>54</v>
      </c>
      <c r="C3090" t="s">
        <v>47</v>
      </c>
      <c r="D3090">
        <v>8120.1400000000012</v>
      </c>
      <c r="E3090" t="s">
        <v>9</v>
      </c>
      <c r="F3090" t="s">
        <v>10</v>
      </c>
    </row>
    <row r="3091" spans="1:6" hidden="1" x14ac:dyDescent="0.35">
      <c r="A3091" t="s">
        <v>61</v>
      </c>
      <c r="B3091" t="s">
        <v>54</v>
      </c>
      <c r="C3091" t="s">
        <v>47</v>
      </c>
      <c r="D3091">
        <v>51281.240000000013</v>
      </c>
      <c r="E3091" t="s">
        <v>9</v>
      </c>
      <c r="F3091" t="s">
        <v>10</v>
      </c>
    </row>
    <row r="3092" spans="1:6" hidden="1" x14ac:dyDescent="0.35">
      <c r="A3092" t="s">
        <v>62</v>
      </c>
      <c r="B3092" t="s">
        <v>54</v>
      </c>
      <c r="C3092" t="s">
        <v>47</v>
      </c>
      <c r="D3092">
        <v>151274.54999999999</v>
      </c>
      <c r="E3092" t="s">
        <v>9</v>
      </c>
      <c r="F3092" t="s">
        <v>10</v>
      </c>
    </row>
    <row r="3093" spans="1:6" hidden="1" x14ac:dyDescent="0.35">
      <c r="A3093" t="s">
        <v>63</v>
      </c>
      <c r="B3093" t="s">
        <v>54</v>
      </c>
      <c r="C3093" t="s">
        <v>47</v>
      </c>
      <c r="D3093">
        <v>123343.4399999999</v>
      </c>
      <c r="E3093" t="s">
        <v>9</v>
      </c>
      <c r="F3093" t="s">
        <v>10</v>
      </c>
    </row>
    <row r="3094" spans="1:6" hidden="1" x14ac:dyDescent="0.35">
      <c r="A3094" t="s">
        <v>64</v>
      </c>
      <c r="B3094" t="s">
        <v>54</v>
      </c>
      <c r="C3094" t="s">
        <v>47</v>
      </c>
      <c r="D3094">
        <v>25166.65</v>
      </c>
      <c r="E3094" t="s">
        <v>9</v>
      </c>
      <c r="F3094" t="s">
        <v>10</v>
      </c>
    </row>
    <row r="3095" spans="1:6" hidden="1" x14ac:dyDescent="0.35">
      <c r="A3095" t="s">
        <v>65</v>
      </c>
      <c r="B3095" t="s">
        <v>54</v>
      </c>
      <c r="C3095" t="s">
        <v>47</v>
      </c>
      <c r="D3095">
        <v>221723.75000000009</v>
      </c>
      <c r="E3095" t="s">
        <v>9</v>
      </c>
      <c r="F3095" t="s">
        <v>10</v>
      </c>
    </row>
    <row r="3096" spans="1:6" hidden="1" x14ac:dyDescent="0.35">
      <c r="A3096" t="s">
        <v>66</v>
      </c>
      <c r="B3096" t="s">
        <v>54</v>
      </c>
      <c r="C3096" t="s">
        <v>47</v>
      </c>
      <c r="D3096">
        <v>59403.029999999977</v>
      </c>
      <c r="E3096" t="s">
        <v>9</v>
      </c>
      <c r="F3096" t="s">
        <v>10</v>
      </c>
    </row>
    <row r="3097" spans="1:6" hidden="1" x14ac:dyDescent="0.35">
      <c r="A3097" t="s">
        <v>67</v>
      </c>
      <c r="B3097" t="s">
        <v>54</v>
      </c>
      <c r="C3097" t="s">
        <v>47</v>
      </c>
      <c r="D3097">
        <v>44767.37000000001</v>
      </c>
      <c r="E3097" t="s">
        <v>9</v>
      </c>
      <c r="F3097" t="s">
        <v>10</v>
      </c>
    </row>
    <row r="3098" spans="1:6" hidden="1" x14ac:dyDescent="0.35">
      <c r="A3098" t="s">
        <v>57</v>
      </c>
      <c r="B3098" t="s">
        <v>54</v>
      </c>
      <c r="C3098" t="s">
        <v>48</v>
      </c>
      <c r="D3098">
        <v>0</v>
      </c>
      <c r="E3098" t="s">
        <v>9</v>
      </c>
      <c r="F3098" t="s">
        <v>10</v>
      </c>
    </row>
    <row r="3099" spans="1:6" hidden="1" x14ac:dyDescent="0.35">
      <c r="A3099" t="s">
        <v>11</v>
      </c>
      <c r="B3099" t="s">
        <v>54</v>
      </c>
      <c r="C3099" t="s">
        <v>48</v>
      </c>
      <c r="D3099">
        <v>0</v>
      </c>
      <c r="E3099" t="s">
        <v>9</v>
      </c>
      <c r="F3099" t="s">
        <v>10</v>
      </c>
    </row>
    <row r="3100" spans="1:6" hidden="1" x14ac:dyDescent="0.35">
      <c r="A3100" t="s">
        <v>58</v>
      </c>
      <c r="B3100" t="s">
        <v>54</v>
      </c>
      <c r="C3100" t="s">
        <v>48</v>
      </c>
      <c r="D3100">
        <v>0</v>
      </c>
      <c r="E3100" t="s">
        <v>9</v>
      </c>
      <c r="F3100" t="s">
        <v>10</v>
      </c>
    </row>
    <row r="3101" spans="1:6" hidden="1" x14ac:dyDescent="0.35">
      <c r="A3101" t="s">
        <v>59</v>
      </c>
      <c r="B3101" t="s">
        <v>54</v>
      </c>
      <c r="C3101" t="s">
        <v>48</v>
      </c>
      <c r="D3101">
        <v>0</v>
      </c>
      <c r="E3101" t="s">
        <v>9</v>
      </c>
      <c r="F3101" t="s">
        <v>10</v>
      </c>
    </row>
    <row r="3102" spans="1:6" hidden="1" x14ac:dyDescent="0.35">
      <c r="A3102" t="s">
        <v>60</v>
      </c>
      <c r="B3102" t="s">
        <v>54</v>
      </c>
      <c r="C3102" t="s">
        <v>48</v>
      </c>
      <c r="D3102">
        <v>0</v>
      </c>
      <c r="E3102" t="s">
        <v>9</v>
      </c>
      <c r="F3102" t="s">
        <v>10</v>
      </c>
    </row>
    <row r="3103" spans="1:6" hidden="1" x14ac:dyDescent="0.35">
      <c r="A3103" t="s">
        <v>61</v>
      </c>
      <c r="B3103" t="s">
        <v>54</v>
      </c>
      <c r="C3103" t="s">
        <v>48</v>
      </c>
      <c r="D3103">
        <v>0</v>
      </c>
      <c r="E3103" t="s">
        <v>9</v>
      </c>
      <c r="F3103" t="s">
        <v>10</v>
      </c>
    </row>
    <row r="3104" spans="1:6" hidden="1" x14ac:dyDescent="0.35">
      <c r="A3104" t="s">
        <v>62</v>
      </c>
      <c r="B3104" t="s">
        <v>54</v>
      </c>
      <c r="C3104" t="s">
        <v>48</v>
      </c>
      <c r="D3104">
        <v>0</v>
      </c>
      <c r="E3104" t="s">
        <v>9</v>
      </c>
      <c r="F3104" t="s">
        <v>10</v>
      </c>
    </row>
    <row r="3105" spans="1:6" hidden="1" x14ac:dyDescent="0.35">
      <c r="A3105" t="s">
        <v>63</v>
      </c>
      <c r="B3105" t="s">
        <v>54</v>
      </c>
      <c r="C3105" t="s">
        <v>48</v>
      </c>
      <c r="D3105">
        <v>0</v>
      </c>
      <c r="E3105" t="s">
        <v>9</v>
      </c>
      <c r="F3105" t="s">
        <v>10</v>
      </c>
    </row>
    <row r="3106" spans="1:6" hidden="1" x14ac:dyDescent="0.35">
      <c r="A3106" t="s">
        <v>64</v>
      </c>
      <c r="B3106" t="s">
        <v>54</v>
      </c>
      <c r="C3106" t="s">
        <v>48</v>
      </c>
      <c r="D3106">
        <v>0</v>
      </c>
      <c r="E3106" t="s">
        <v>9</v>
      </c>
      <c r="F3106" t="s">
        <v>10</v>
      </c>
    </row>
    <row r="3107" spans="1:6" hidden="1" x14ac:dyDescent="0.35">
      <c r="A3107" t="s">
        <v>65</v>
      </c>
      <c r="B3107" t="s">
        <v>54</v>
      </c>
      <c r="C3107" t="s">
        <v>48</v>
      </c>
      <c r="D3107">
        <v>0</v>
      </c>
      <c r="E3107" t="s">
        <v>9</v>
      </c>
      <c r="F3107" t="s">
        <v>10</v>
      </c>
    </row>
    <row r="3108" spans="1:6" hidden="1" x14ac:dyDescent="0.35">
      <c r="A3108" t="s">
        <v>66</v>
      </c>
      <c r="B3108" t="s">
        <v>54</v>
      </c>
      <c r="C3108" t="s">
        <v>48</v>
      </c>
      <c r="D3108">
        <v>0</v>
      </c>
      <c r="E3108" t="s">
        <v>9</v>
      </c>
      <c r="F3108" t="s">
        <v>10</v>
      </c>
    </row>
    <row r="3109" spans="1:6" hidden="1" x14ac:dyDescent="0.35">
      <c r="A3109" t="s">
        <v>67</v>
      </c>
      <c r="B3109" t="s">
        <v>54</v>
      </c>
      <c r="C3109" t="s">
        <v>48</v>
      </c>
      <c r="D3109">
        <v>0</v>
      </c>
      <c r="E3109" t="s">
        <v>9</v>
      </c>
      <c r="F3109" t="s">
        <v>10</v>
      </c>
    </row>
    <row r="3110" spans="1:6" hidden="1" x14ac:dyDescent="0.35">
      <c r="A3110" t="s">
        <v>57</v>
      </c>
      <c r="B3110" t="s">
        <v>54</v>
      </c>
      <c r="C3110" t="s">
        <v>49</v>
      </c>
      <c r="D3110">
        <v>1798704.03</v>
      </c>
      <c r="E3110" t="s">
        <v>9</v>
      </c>
      <c r="F3110" t="s">
        <v>10</v>
      </c>
    </row>
    <row r="3111" spans="1:6" hidden="1" x14ac:dyDescent="0.35">
      <c r="A3111" t="s">
        <v>11</v>
      </c>
      <c r="B3111" t="s">
        <v>54</v>
      </c>
      <c r="C3111" t="s">
        <v>49</v>
      </c>
      <c r="D3111">
        <v>1990732.1443999989</v>
      </c>
      <c r="E3111" t="s">
        <v>9</v>
      </c>
      <c r="F3111" t="s">
        <v>10</v>
      </c>
    </row>
    <row r="3112" spans="1:6" hidden="1" x14ac:dyDescent="0.35">
      <c r="A3112" t="s">
        <v>58</v>
      </c>
      <c r="B3112" t="s">
        <v>54</v>
      </c>
      <c r="C3112" t="s">
        <v>49</v>
      </c>
      <c r="D3112">
        <v>2547604.4123999979</v>
      </c>
      <c r="E3112" t="s">
        <v>9</v>
      </c>
      <c r="F3112" t="s">
        <v>10</v>
      </c>
    </row>
    <row r="3113" spans="1:6" hidden="1" x14ac:dyDescent="0.35">
      <c r="A3113" t="s">
        <v>59</v>
      </c>
      <c r="B3113" t="s">
        <v>54</v>
      </c>
      <c r="C3113" t="s">
        <v>49</v>
      </c>
      <c r="D3113">
        <v>2456256.0167999999</v>
      </c>
      <c r="E3113" t="s">
        <v>9</v>
      </c>
      <c r="F3113" t="s">
        <v>10</v>
      </c>
    </row>
    <row r="3114" spans="1:6" hidden="1" x14ac:dyDescent="0.35">
      <c r="A3114" t="s">
        <v>60</v>
      </c>
      <c r="B3114" t="s">
        <v>54</v>
      </c>
      <c r="C3114" t="s">
        <v>49</v>
      </c>
      <c r="D3114">
        <v>2328913.1147999992</v>
      </c>
      <c r="E3114" t="s">
        <v>9</v>
      </c>
      <c r="F3114" t="s">
        <v>10</v>
      </c>
    </row>
    <row r="3115" spans="1:6" hidden="1" x14ac:dyDescent="0.35">
      <c r="A3115" t="s">
        <v>61</v>
      </c>
      <c r="B3115" t="s">
        <v>54</v>
      </c>
      <c r="C3115" t="s">
        <v>49</v>
      </c>
      <c r="D3115">
        <v>2441232.114000001</v>
      </c>
      <c r="E3115" t="s">
        <v>9</v>
      </c>
      <c r="F3115" t="s">
        <v>10</v>
      </c>
    </row>
    <row r="3116" spans="1:6" hidden="1" x14ac:dyDescent="0.35">
      <c r="A3116" t="s">
        <v>62</v>
      </c>
      <c r="B3116" t="s">
        <v>54</v>
      </c>
      <c r="C3116" t="s">
        <v>49</v>
      </c>
      <c r="D3116">
        <v>2783625.548</v>
      </c>
      <c r="E3116" t="s">
        <v>9</v>
      </c>
      <c r="F3116" t="s">
        <v>10</v>
      </c>
    </row>
    <row r="3117" spans="1:6" hidden="1" x14ac:dyDescent="0.35">
      <c r="A3117" t="s">
        <v>63</v>
      </c>
      <c r="B3117" t="s">
        <v>54</v>
      </c>
      <c r="C3117" t="s">
        <v>49</v>
      </c>
      <c r="D3117">
        <v>3465758.7295999969</v>
      </c>
      <c r="E3117" t="s">
        <v>9</v>
      </c>
      <c r="F3117" t="s">
        <v>10</v>
      </c>
    </row>
    <row r="3118" spans="1:6" hidden="1" x14ac:dyDescent="0.35">
      <c r="A3118" t="s">
        <v>64</v>
      </c>
      <c r="B3118" t="s">
        <v>54</v>
      </c>
      <c r="C3118" t="s">
        <v>49</v>
      </c>
      <c r="D3118">
        <v>2921405.3152000001</v>
      </c>
      <c r="E3118" t="s">
        <v>9</v>
      </c>
      <c r="F3118" t="s">
        <v>10</v>
      </c>
    </row>
    <row r="3119" spans="1:6" hidden="1" x14ac:dyDescent="0.35">
      <c r="A3119" t="s">
        <v>65</v>
      </c>
      <c r="B3119" t="s">
        <v>54</v>
      </c>
      <c r="C3119" t="s">
        <v>49</v>
      </c>
      <c r="D3119">
        <v>4444429.0991999963</v>
      </c>
      <c r="E3119" t="s">
        <v>9</v>
      </c>
      <c r="F3119" t="s">
        <v>10</v>
      </c>
    </row>
    <row r="3120" spans="1:6" hidden="1" x14ac:dyDescent="0.35">
      <c r="A3120" t="s">
        <v>66</v>
      </c>
      <c r="B3120" t="s">
        <v>54</v>
      </c>
      <c r="C3120" t="s">
        <v>49</v>
      </c>
      <c r="D3120">
        <v>2802511.3112000008</v>
      </c>
      <c r="E3120" t="s">
        <v>9</v>
      </c>
      <c r="F3120" t="s">
        <v>10</v>
      </c>
    </row>
    <row r="3121" spans="1:6" hidden="1" x14ac:dyDescent="0.35">
      <c r="A3121" t="s">
        <v>67</v>
      </c>
      <c r="B3121" t="s">
        <v>54</v>
      </c>
      <c r="C3121" t="s">
        <v>49</v>
      </c>
      <c r="D3121">
        <v>2514844.4051999999</v>
      </c>
      <c r="E3121" t="s">
        <v>9</v>
      </c>
      <c r="F3121" t="s">
        <v>10</v>
      </c>
    </row>
    <row r="3122" spans="1:6" hidden="1" x14ac:dyDescent="0.35">
      <c r="A3122" t="s">
        <v>57</v>
      </c>
      <c r="B3122" t="s">
        <v>54</v>
      </c>
      <c r="C3122" t="s">
        <v>50</v>
      </c>
      <c r="D3122">
        <v>6416639.7304000007</v>
      </c>
      <c r="E3122" t="s">
        <v>9</v>
      </c>
      <c r="F3122" t="s">
        <v>10</v>
      </c>
    </row>
    <row r="3123" spans="1:6" hidden="1" x14ac:dyDescent="0.35">
      <c r="A3123" t="s">
        <v>11</v>
      </c>
      <c r="B3123" t="s">
        <v>54</v>
      </c>
      <c r="C3123" t="s">
        <v>50</v>
      </c>
      <c r="D3123">
        <v>6313002.8864000002</v>
      </c>
      <c r="E3123" t="s">
        <v>9</v>
      </c>
      <c r="F3123" t="s">
        <v>10</v>
      </c>
    </row>
    <row r="3124" spans="1:6" hidden="1" x14ac:dyDescent="0.35">
      <c r="A3124" t="s">
        <v>58</v>
      </c>
      <c r="B3124" t="s">
        <v>54</v>
      </c>
      <c r="C3124" t="s">
        <v>50</v>
      </c>
      <c r="D3124">
        <v>9689087.1999999974</v>
      </c>
      <c r="E3124" t="s">
        <v>9</v>
      </c>
      <c r="F3124" t="s">
        <v>10</v>
      </c>
    </row>
    <row r="3125" spans="1:6" hidden="1" x14ac:dyDescent="0.35">
      <c r="A3125" t="s">
        <v>59</v>
      </c>
      <c r="B3125" t="s">
        <v>54</v>
      </c>
      <c r="C3125" t="s">
        <v>50</v>
      </c>
      <c r="D3125">
        <v>11272056.9772</v>
      </c>
      <c r="E3125" t="s">
        <v>9</v>
      </c>
      <c r="F3125" t="s">
        <v>10</v>
      </c>
    </row>
    <row r="3126" spans="1:6" hidden="1" x14ac:dyDescent="0.35">
      <c r="A3126" t="s">
        <v>60</v>
      </c>
      <c r="B3126" t="s">
        <v>54</v>
      </c>
      <c r="C3126" t="s">
        <v>50</v>
      </c>
      <c r="D3126">
        <v>8022316.6852000002</v>
      </c>
      <c r="E3126" t="s">
        <v>9</v>
      </c>
      <c r="F3126" t="s">
        <v>10</v>
      </c>
    </row>
    <row r="3127" spans="1:6" hidden="1" x14ac:dyDescent="0.35">
      <c r="A3127" t="s">
        <v>61</v>
      </c>
      <c r="B3127" t="s">
        <v>54</v>
      </c>
      <c r="C3127" t="s">
        <v>50</v>
      </c>
      <c r="D3127">
        <v>11081313.146400001</v>
      </c>
      <c r="E3127" t="s">
        <v>9</v>
      </c>
      <c r="F3127" t="s">
        <v>10</v>
      </c>
    </row>
    <row r="3128" spans="1:6" hidden="1" x14ac:dyDescent="0.35">
      <c r="A3128" t="s">
        <v>62</v>
      </c>
      <c r="B3128" t="s">
        <v>54</v>
      </c>
      <c r="C3128" t="s">
        <v>50</v>
      </c>
      <c r="D3128">
        <v>10105574.010399999</v>
      </c>
      <c r="E3128" t="s">
        <v>9</v>
      </c>
      <c r="F3128" t="s">
        <v>10</v>
      </c>
    </row>
    <row r="3129" spans="1:6" hidden="1" x14ac:dyDescent="0.35">
      <c r="A3129" t="s">
        <v>63</v>
      </c>
      <c r="B3129" t="s">
        <v>54</v>
      </c>
      <c r="C3129" t="s">
        <v>50</v>
      </c>
      <c r="D3129">
        <v>13063627.019200001</v>
      </c>
      <c r="E3129" t="s">
        <v>9</v>
      </c>
      <c r="F3129" t="s">
        <v>10</v>
      </c>
    </row>
    <row r="3130" spans="1:6" hidden="1" x14ac:dyDescent="0.35">
      <c r="A3130" t="s">
        <v>64</v>
      </c>
      <c r="B3130" t="s">
        <v>54</v>
      </c>
      <c r="C3130" t="s">
        <v>50</v>
      </c>
      <c r="D3130">
        <v>13868290.125600001</v>
      </c>
      <c r="E3130" t="s">
        <v>9</v>
      </c>
      <c r="F3130" t="s">
        <v>10</v>
      </c>
    </row>
    <row r="3131" spans="1:6" hidden="1" x14ac:dyDescent="0.35">
      <c r="A3131" t="s">
        <v>65</v>
      </c>
      <c r="B3131" t="s">
        <v>54</v>
      </c>
      <c r="C3131" t="s">
        <v>50</v>
      </c>
      <c r="D3131">
        <v>12235055.1752</v>
      </c>
      <c r="E3131" t="s">
        <v>9</v>
      </c>
      <c r="F3131" t="s">
        <v>10</v>
      </c>
    </row>
    <row r="3132" spans="1:6" hidden="1" x14ac:dyDescent="0.35">
      <c r="A3132" t="s">
        <v>66</v>
      </c>
      <c r="B3132" t="s">
        <v>54</v>
      </c>
      <c r="C3132" t="s">
        <v>50</v>
      </c>
      <c r="D3132">
        <v>10649691.838400001</v>
      </c>
      <c r="E3132" t="s">
        <v>9</v>
      </c>
      <c r="F3132" t="s">
        <v>10</v>
      </c>
    </row>
    <row r="3133" spans="1:6" hidden="1" x14ac:dyDescent="0.35">
      <c r="A3133" t="s">
        <v>67</v>
      </c>
      <c r="B3133" t="s">
        <v>54</v>
      </c>
      <c r="C3133" t="s">
        <v>50</v>
      </c>
      <c r="D3133">
        <v>8590232.6304000001</v>
      </c>
      <c r="E3133" t="s">
        <v>9</v>
      </c>
      <c r="F3133" t="s">
        <v>10</v>
      </c>
    </row>
    <row r="3134" spans="1:6" hidden="1" x14ac:dyDescent="0.35">
      <c r="A3134" t="s">
        <v>57</v>
      </c>
      <c r="B3134" t="s">
        <v>54</v>
      </c>
      <c r="C3134" t="s">
        <v>51</v>
      </c>
      <c r="D3134">
        <v>291</v>
      </c>
      <c r="E3134" t="s">
        <v>9</v>
      </c>
      <c r="F3134" t="s">
        <v>10</v>
      </c>
    </row>
    <row r="3135" spans="1:6" hidden="1" x14ac:dyDescent="0.35">
      <c r="A3135" t="s">
        <v>11</v>
      </c>
      <c r="B3135" t="s">
        <v>54</v>
      </c>
      <c r="C3135" t="s">
        <v>51</v>
      </c>
      <c r="D3135">
        <v>317</v>
      </c>
      <c r="E3135" t="s">
        <v>9</v>
      </c>
      <c r="F3135" t="s">
        <v>10</v>
      </c>
    </row>
    <row r="3136" spans="1:6" hidden="1" x14ac:dyDescent="0.35">
      <c r="A3136" t="s">
        <v>58</v>
      </c>
      <c r="B3136" t="s">
        <v>54</v>
      </c>
      <c r="C3136" t="s">
        <v>51</v>
      </c>
      <c r="D3136">
        <v>377</v>
      </c>
      <c r="E3136" t="s">
        <v>9</v>
      </c>
      <c r="F3136" t="s">
        <v>10</v>
      </c>
    </row>
    <row r="3137" spans="1:6" hidden="1" x14ac:dyDescent="0.35">
      <c r="A3137" t="s">
        <v>59</v>
      </c>
      <c r="B3137" t="s">
        <v>54</v>
      </c>
      <c r="C3137" t="s">
        <v>51</v>
      </c>
      <c r="D3137">
        <v>375</v>
      </c>
      <c r="E3137" t="s">
        <v>9</v>
      </c>
      <c r="F3137" t="s">
        <v>10</v>
      </c>
    </row>
    <row r="3138" spans="1:6" hidden="1" x14ac:dyDescent="0.35">
      <c r="A3138" t="s">
        <v>60</v>
      </c>
      <c r="B3138" t="s">
        <v>54</v>
      </c>
      <c r="C3138" t="s">
        <v>51</v>
      </c>
      <c r="D3138">
        <v>250</v>
      </c>
      <c r="E3138" t="s">
        <v>9</v>
      </c>
      <c r="F3138" t="s">
        <v>10</v>
      </c>
    </row>
    <row r="3139" spans="1:6" hidden="1" x14ac:dyDescent="0.35">
      <c r="A3139" t="s">
        <v>61</v>
      </c>
      <c r="B3139" t="s">
        <v>54</v>
      </c>
      <c r="C3139" t="s">
        <v>51</v>
      </c>
      <c r="D3139">
        <v>276</v>
      </c>
      <c r="E3139" t="s">
        <v>9</v>
      </c>
      <c r="F3139" t="s">
        <v>10</v>
      </c>
    </row>
    <row r="3140" spans="1:6" hidden="1" x14ac:dyDescent="0.35">
      <c r="A3140" t="s">
        <v>62</v>
      </c>
      <c r="B3140" t="s">
        <v>54</v>
      </c>
      <c r="C3140" t="s">
        <v>51</v>
      </c>
      <c r="D3140">
        <v>236</v>
      </c>
      <c r="E3140" t="s">
        <v>9</v>
      </c>
      <c r="F3140" t="s">
        <v>10</v>
      </c>
    </row>
    <row r="3141" spans="1:6" hidden="1" x14ac:dyDescent="0.35">
      <c r="A3141" t="s">
        <v>63</v>
      </c>
      <c r="B3141" t="s">
        <v>54</v>
      </c>
      <c r="C3141" t="s">
        <v>51</v>
      </c>
      <c r="D3141">
        <v>225</v>
      </c>
      <c r="E3141" t="s">
        <v>9</v>
      </c>
      <c r="F3141" t="s">
        <v>10</v>
      </c>
    </row>
    <row r="3142" spans="1:6" hidden="1" x14ac:dyDescent="0.35">
      <c r="A3142" t="s">
        <v>64</v>
      </c>
      <c r="B3142" t="s">
        <v>54</v>
      </c>
      <c r="C3142" t="s">
        <v>51</v>
      </c>
      <c r="D3142">
        <v>199</v>
      </c>
      <c r="E3142" t="s">
        <v>9</v>
      </c>
      <c r="F3142" t="s">
        <v>10</v>
      </c>
    </row>
    <row r="3143" spans="1:6" hidden="1" x14ac:dyDescent="0.35">
      <c r="A3143" t="s">
        <v>65</v>
      </c>
      <c r="B3143" t="s">
        <v>54</v>
      </c>
      <c r="C3143" t="s">
        <v>51</v>
      </c>
      <c r="D3143">
        <v>218</v>
      </c>
      <c r="E3143" t="s">
        <v>9</v>
      </c>
      <c r="F3143" t="s">
        <v>10</v>
      </c>
    </row>
    <row r="3144" spans="1:6" hidden="1" x14ac:dyDescent="0.35">
      <c r="A3144" t="s">
        <v>66</v>
      </c>
      <c r="B3144" t="s">
        <v>54</v>
      </c>
      <c r="C3144" t="s">
        <v>51</v>
      </c>
      <c r="D3144">
        <v>196</v>
      </c>
      <c r="E3144" t="s">
        <v>9</v>
      </c>
      <c r="F3144" t="s">
        <v>10</v>
      </c>
    </row>
    <row r="3145" spans="1:6" hidden="1" x14ac:dyDescent="0.35">
      <c r="A3145" t="s">
        <v>67</v>
      </c>
      <c r="B3145" t="s">
        <v>54</v>
      </c>
      <c r="C3145" t="s">
        <v>51</v>
      </c>
      <c r="D3145">
        <v>156</v>
      </c>
      <c r="E3145" t="s">
        <v>9</v>
      </c>
      <c r="F3145" t="s">
        <v>10</v>
      </c>
    </row>
    <row r="3146" spans="1:6" hidden="1" x14ac:dyDescent="0.35">
      <c r="A3146" t="s">
        <v>57</v>
      </c>
      <c r="B3146" t="s">
        <v>54</v>
      </c>
      <c r="C3146" t="s">
        <v>30</v>
      </c>
      <c r="D3146">
        <v>55</v>
      </c>
      <c r="E3146" t="s">
        <v>9</v>
      </c>
      <c r="F3146" t="s">
        <v>10</v>
      </c>
    </row>
    <row r="3147" spans="1:6" hidden="1" x14ac:dyDescent="0.35">
      <c r="A3147" t="s">
        <v>11</v>
      </c>
      <c r="B3147" t="s">
        <v>54</v>
      </c>
      <c r="C3147" t="s">
        <v>30</v>
      </c>
      <c r="D3147">
        <v>88</v>
      </c>
      <c r="E3147" t="s">
        <v>9</v>
      </c>
      <c r="F3147" t="s">
        <v>10</v>
      </c>
    </row>
    <row r="3148" spans="1:6" hidden="1" x14ac:dyDescent="0.35">
      <c r="A3148" t="s">
        <v>58</v>
      </c>
      <c r="B3148" t="s">
        <v>54</v>
      </c>
      <c r="C3148" t="s">
        <v>30</v>
      </c>
      <c r="D3148">
        <v>56</v>
      </c>
      <c r="E3148" t="s">
        <v>9</v>
      </c>
      <c r="F3148" t="s">
        <v>10</v>
      </c>
    </row>
    <row r="3149" spans="1:6" hidden="1" x14ac:dyDescent="0.35">
      <c r="A3149" t="s">
        <v>59</v>
      </c>
      <c r="B3149" t="s">
        <v>54</v>
      </c>
      <c r="C3149" t="s">
        <v>30</v>
      </c>
      <c r="D3149">
        <v>149</v>
      </c>
      <c r="E3149" t="s">
        <v>9</v>
      </c>
      <c r="F3149" t="s">
        <v>10</v>
      </c>
    </row>
    <row r="3150" spans="1:6" hidden="1" x14ac:dyDescent="0.35">
      <c r="A3150" t="s">
        <v>60</v>
      </c>
      <c r="B3150" t="s">
        <v>54</v>
      </c>
      <c r="C3150" t="s">
        <v>30</v>
      </c>
      <c r="D3150">
        <v>134</v>
      </c>
      <c r="E3150" t="s">
        <v>9</v>
      </c>
      <c r="F3150" t="s">
        <v>10</v>
      </c>
    </row>
    <row r="3151" spans="1:6" hidden="1" x14ac:dyDescent="0.35">
      <c r="A3151" t="s">
        <v>61</v>
      </c>
      <c r="B3151" t="s">
        <v>54</v>
      </c>
      <c r="C3151" t="s">
        <v>30</v>
      </c>
      <c r="D3151">
        <v>99</v>
      </c>
      <c r="E3151" t="s">
        <v>9</v>
      </c>
      <c r="F3151" t="s">
        <v>10</v>
      </c>
    </row>
    <row r="3152" spans="1:6" hidden="1" x14ac:dyDescent="0.35">
      <c r="A3152" t="s">
        <v>62</v>
      </c>
      <c r="B3152" t="s">
        <v>54</v>
      </c>
      <c r="C3152" t="s">
        <v>30</v>
      </c>
      <c r="D3152">
        <v>102</v>
      </c>
      <c r="E3152" t="s">
        <v>9</v>
      </c>
      <c r="F3152" t="s">
        <v>10</v>
      </c>
    </row>
    <row r="3153" spans="1:6" hidden="1" x14ac:dyDescent="0.35">
      <c r="A3153" t="s">
        <v>63</v>
      </c>
      <c r="B3153" t="s">
        <v>54</v>
      </c>
      <c r="C3153" t="s">
        <v>30</v>
      </c>
      <c r="D3153">
        <v>126</v>
      </c>
      <c r="E3153" t="s">
        <v>9</v>
      </c>
      <c r="F3153" t="s">
        <v>10</v>
      </c>
    </row>
    <row r="3154" spans="1:6" hidden="1" x14ac:dyDescent="0.35">
      <c r="A3154" t="s">
        <v>64</v>
      </c>
      <c r="B3154" t="s">
        <v>54</v>
      </c>
      <c r="C3154" t="s">
        <v>30</v>
      </c>
      <c r="D3154">
        <v>107</v>
      </c>
      <c r="E3154" t="s">
        <v>9</v>
      </c>
      <c r="F3154" t="s">
        <v>10</v>
      </c>
    </row>
    <row r="3155" spans="1:6" hidden="1" x14ac:dyDescent="0.35">
      <c r="A3155" t="s">
        <v>65</v>
      </c>
      <c r="B3155" t="s">
        <v>54</v>
      </c>
      <c r="C3155" t="s">
        <v>30</v>
      </c>
      <c r="D3155">
        <v>109</v>
      </c>
      <c r="E3155" t="s">
        <v>9</v>
      </c>
      <c r="F3155" t="s">
        <v>10</v>
      </c>
    </row>
    <row r="3156" spans="1:6" hidden="1" x14ac:dyDescent="0.35">
      <c r="A3156" t="s">
        <v>66</v>
      </c>
      <c r="B3156" t="s">
        <v>54</v>
      </c>
      <c r="C3156" t="s">
        <v>30</v>
      </c>
      <c r="D3156">
        <v>80</v>
      </c>
      <c r="E3156" t="s">
        <v>9</v>
      </c>
      <c r="F3156" t="s">
        <v>10</v>
      </c>
    </row>
    <row r="3157" spans="1:6" hidden="1" x14ac:dyDescent="0.35">
      <c r="A3157" t="s">
        <v>67</v>
      </c>
      <c r="B3157" t="s">
        <v>54</v>
      </c>
      <c r="C3157" t="s">
        <v>30</v>
      </c>
      <c r="D3157">
        <v>84</v>
      </c>
      <c r="E3157" t="s">
        <v>9</v>
      </c>
      <c r="F3157" t="s">
        <v>10</v>
      </c>
    </row>
    <row r="3158" spans="1:6" hidden="1" x14ac:dyDescent="0.35">
      <c r="A3158" t="s">
        <v>57</v>
      </c>
      <c r="B3158" t="s">
        <v>54</v>
      </c>
      <c r="C3158" t="s">
        <v>52</v>
      </c>
      <c r="D3158">
        <v>75</v>
      </c>
      <c r="E3158" t="s">
        <v>9</v>
      </c>
      <c r="F3158" t="s">
        <v>10</v>
      </c>
    </row>
    <row r="3159" spans="1:6" hidden="1" x14ac:dyDescent="0.35">
      <c r="A3159" t="s">
        <v>11</v>
      </c>
      <c r="B3159" t="s">
        <v>54</v>
      </c>
      <c r="C3159" t="s">
        <v>52</v>
      </c>
      <c r="D3159">
        <v>81</v>
      </c>
      <c r="E3159" t="s">
        <v>9</v>
      </c>
      <c r="F3159" t="s">
        <v>10</v>
      </c>
    </row>
    <row r="3160" spans="1:6" hidden="1" x14ac:dyDescent="0.35">
      <c r="A3160" t="s">
        <v>58</v>
      </c>
      <c r="B3160" t="s">
        <v>54</v>
      </c>
      <c r="C3160" t="s">
        <v>52</v>
      </c>
      <c r="D3160">
        <v>108</v>
      </c>
      <c r="E3160" t="s">
        <v>9</v>
      </c>
      <c r="F3160" t="s">
        <v>10</v>
      </c>
    </row>
    <row r="3161" spans="1:6" hidden="1" x14ac:dyDescent="0.35">
      <c r="A3161" t="s">
        <v>59</v>
      </c>
      <c r="B3161" t="s">
        <v>54</v>
      </c>
      <c r="C3161" t="s">
        <v>52</v>
      </c>
      <c r="D3161">
        <v>112</v>
      </c>
      <c r="E3161" t="s">
        <v>9</v>
      </c>
      <c r="F3161" t="s">
        <v>10</v>
      </c>
    </row>
    <row r="3162" spans="1:6" hidden="1" x14ac:dyDescent="0.35">
      <c r="A3162" t="s">
        <v>60</v>
      </c>
      <c r="B3162" t="s">
        <v>54</v>
      </c>
      <c r="C3162" t="s">
        <v>52</v>
      </c>
      <c r="D3162">
        <v>68</v>
      </c>
      <c r="E3162" t="s">
        <v>9</v>
      </c>
      <c r="F3162" t="s">
        <v>10</v>
      </c>
    </row>
    <row r="3163" spans="1:6" hidden="1" x14ac:dyDescent="0.35">
      <c r="A3163" t="s">
        <v>61</v>
      </c>
      <c r="B3163" t="s">
        <v>54</v>
      </c>
      <c r="C3163" t="s">
        <v>52</v>
      </c>
      <c r="D3163">
        <v>62</v>
      </c>
      <c r="E3163" t="s">
        <v>9</v>
      </c>
      <c r="F3163" t="s">
        <v>10</v>
      </c>
    </row>
    <row r="3164" spans="1:6" hidden="1" x14ac:dyDescent="0.35">
      <c r="A3164" t="s">
        <v>62</v>
      </c>
      <c r="B3164" t="s">
        <v>54</v>
      </c>
      <c r="C3164" t="s">
        <v>52</v>
      </c>
      <c r="D3164">
        <v>56</v>
      </c>
      <c r="E3164" t="s">
        <v>9</v>
      </c>
      <c r="F3164" t="s">
        <v>10</v>
      </c>
    </row>
    <row r="3165" spans="1:6" hidden="1" x14ac:dyDescent="0.35">
      <c r="A3165" t="s">
        <v>63</v>
      </c>
      <c r="B3165" t="s">
        <v>54</v>
      </c>
      <c r="C3165" t="s">
        <v>52</v>
      </c>
      <c r="D3165">
        <v>55</v>
      </c>
      <c r="E3165" t="s">
        <v>9</v>
      </c>
      <c r="F3165" t="s">
        <v>10</v>
      </c>
    </row>
    <row r="3166" spans="1:6" hidden="1" x14ac:dyDescent="0.35">
      <c r="A3166" t="s">
        <v>64</v>
      </c>
      <c r="B3166" t="s">
        <v>54</v>
      </c>
      <c r="C3166" t="s">
        <v>52</v>
      </c>
      <c r="D3166">
        <v>47</v>
      </c>
      <c r="E3166" t="s">
        <v>9</v>
      </c>
      <c r="F3166" t="s">
        <v>10</v>
      </c>
    </row>
    <row r="3167" spans="1:6" hidden="1" x14ac:dyDescent="0.35">
      <c r="A3167" t="s">
        <v>65</v>
      </c>
      <c r="B3167" t="s">
        <v>54</v>
      </c>
      <c r="C3167" t="s">
        <v>52</v>
      </c>
      <c r="D3167">
        <v>56</v>
      </c>
      <c r="E3167" t="s">
        <v>9</v>
      </c>
      <c r="F3167" t="s">
        <v>10</v>
      </c>
    </row>
    <row r="3168" spans="1:6" hidden="1" x14ac:dyDescent="0.35">
      <c r="A3168" t="s">
        <v>66</v>
      </c>
      <c r="B3168" t="s">
        <v>54</v>
      </c>
      <c r="C3168" t="s">
        <v>52</v>
      </c>
      <c r="D3168">
        <v>39</v>
      </c>
      <c r="E3168" t="s">
        <v>9</v>
      </c>
      <c r="F3168" t="s">
        <v>10</v>
      </c>
    </row>
    <row r="3169" spans="1:6" hidden="1" x14ac:dyDescent="0.35">
      <c r="A3169" t="s">
        <v>67</v>
      </c>
      <c r="B3169" t="s">
        <v>54</v>
      </c>
      <c r="C3169" t="s">
        <v>52</v>
      </c>
      <c r="D3169">
        <v>40</v>
      </c>
      <c r="E3169" t="s">
        <v>9</v>
      </c>
      <c r="F3169" t="s">
        <v>10</v>
      </c>
    </row>
    <row r="3170" spans="1:6" hidden="1" x14ac:dyDescent="0.35">
      <c r="A3170" t="s">
        <v>57</v>
      </c>
      <c r="B3170" t="s">
        <v>69</v>
      </c>
      <c r="C3170" t="s">
        <v>44</v>
      </c>
      <c r="E3170" t="s">
        <v>9</v>
      </c>
      <c r="F3170" t="s">
        <v>10</v>
      </c>
    </row>
    <row r="3171" spans="1:6" hidden="1" x14ac:dyDescent="0.35">
      <c r="A3171" t="s">
        <v>11</v>
      </c>
      <c r="B3171" t="s">
        <v>69</v>
      </c>
      <c r="C3171" t="s">
        <v>44</v>
      </c>
      <c r="E3171" t="s">
        <v>9</v>
      </c>
      <c r="F3171" t="s">
        <v>10</v>
      </c>
    </row>
    <row r="3172" spans="1:6" hidden="1" x14ac:dyDescent="0.35">
      <c r="A3172" t="s">
        <v>58</v>
      </c>
      <c r="B3172" t="s">
        <v>69</v>
      </c>
      <c r="C3172" t="s">
        <v>44</v>
      </c>
      <c r="E3172" t="s">
        <v>9</v>
      </c>
      <c r="F3172" t="s">
        <v>10</v>
      </c>
    </row>
    <row r="3173" spans="1:6" hidden="1" x14ac:dyDescent="0.35">
      <c r="A3173" t="s">
        <v>59</v>
      </c>
      <c r="B3173" t="s">
        <v>69</v>
      </c>
      <c r="C3173" t="s">
        <v>44</v>
      </c>
      <c r="E3173" t="s">
        <v>9</v>
      </c>
      <c r="F3173" t="s">
        <v>10</v>
      </c>
    </row>
    <row r="3174" spans="1:6" hidden="1" x14ac:dyDescent="0.35">
      <c r="A3174" t="s">
        <v>60</v>
      </c>
      <c r="B3174" t="s">
        <v>69</v>
      </c>
      <c r="C3174" t="s">
        <v>44</v>
      </c>
      <c r="E3174" t="s">
        <v>9</v>
      </c>
      <c r="F3174" t="s">
        <v>10</v>
      </c>
    </row>
    <row r="3175" spans="1:6" hidden="1" x14ac:dyDescent="0.35">
      <c r="A3175" t="s">
        <v>61</v>
      </c>
      <c r="B3175" t="s">
        <v>69</v>
      </c>
      <c r="C3175" t="s">
        <v>44</v>
      </c>
      <c r="E3175" t="s">
        <v>9</v>
      </c>
      <c r="F3175" t="s">
        <v>10</v>
      </c>
    </row>
    <row r="3176" spans="1:6" hidden="1" x14ac:dyDescent="0.35">
      <c r="A3176" t="s">
        <v>62</v>
      </c>
      <c r="B3176" t="s">
        <v>69</v>
      </c>
      <c r="C3176" t="s">
        <v>44</v>
      </c>
      <c r="E3176" t="s">
        <v>9</v>
      </c>
      <c r="F3176" t="s">
        <v>10</v>
      </c>
    </row>
    <row r="3177" spans="1:6" hidden="1" x14ac:dyDescent="0.35">
      <c r="A3177" t="s">
        <v>63</v>
      </c>
      <c r="B3177" t="s">
        <v>69</v>
      </c>
      <c r="C3177" t="s">
        <v>44</v>
      </c>
      <c r="E3177" t="s">
        <v>9</v>
      </c>
      <c r="F3177" t="s">
        <v>10</v>
      </c>
    </row>
    <row r="3178" spans="1:6" hidden="1" x14ac:dyDescent="0.35">
      <c r="A3178" t="s">
        <v>64</v>
      </c>
      <c r="B3178" t="s">
        <v>69</v>
      </c>
      <c r="C3178" t="s">
        <v>44</v>
      </c>
      <c r="E3178" t="s">
        <v>9</v>
      </c>
      <c r="F3178" t="s">
        <v>10</v>
      </c>
    </row>
    <row r="3179" spans="1:6" hidden="1" x14ac:dyDescent="0.35">
      <c r="A3179" t="s">
        <v>65</v>
      </c>
      <c r="B3179" t="s">
        <v>69</v>
      </c>
      <c r="C3179" t="s">
        <v>44</v>
      </c>
      <c r="E3179" t="s">
        <v>9</v>
      </c>
      <c r="F3179" t="s">
        <v>10</v>
      </c>
    </row>
    <row r="3180" spans="1:6" hidden="1" x14ac:dyDescent="0.35">
      <c r="A3180" t="s">
        <v>66</v>
      </c>
      <c r="B3180" t="s">
        <v>69</v>
      </c>
      <c r="C3180" t="s">
        <v>44</v>
      </c>
      <c r="E3180" t="s">
        <v>9</v>
      </c>
      <c r="F3180" t="s">
        <v>10</v>
      </c>
    </row>
    <row r="3181" spans="1:6" hidden="1" x14ac:dyDescent="0.35">
      <c r="A3181" t="s">
        <v>67</v>
      </c>
      <c r="B3181" t="s">
        <v>69</v>
      </c>
      <c r="C3181" t="s">
        <v>44</v>
      </c>
      <c r="E3181" t="s">
        <v>9</v>
      </c>
      <c r="F3181" t="s">
        <v>10</v>
      </c>
    </row>
    <row r="3182" spans="1:6" hidden="1" x14ac:dyDescent="0.35">
      <c r="A3182" t="s">
        <v>57</v>
      </c>
      <c r="B3182" t="s">
        <v>69</v>
      </c>
      <c r="C3182" t="s">
        <v>22</v>
      </c>
      <c r="D3182">
        <v>0</v>
      </c>
      <c r="E3182" t="s">
        <v>9</v>
      </c>
      <c r="F3182" t="s">
        <v>10</v>
      </c>
    </row>
    <row r="3183" spans="1:6" hidden="1" x14ac:dyDescent="0.35">
      <c r="A3183" t="s">
        <v>11</v>
      </c>
      <c r="B3183" t="s">
        <v>69</v>
      </c>
      <c r="C3183" t="s">
        <v>22</v>
      </c>
      <c r="D3183">
        <v>0</v>
      </c>
      <c r="E3183" t="s">
        <v>9</v>
      </c>
      <c r="F3183" t="s">
        <v>10</v>
      </c>
    </row>
    <row r="3184" spans="1:6" hidden="1" x14ac:dyDescent="0.35">
      <c r="A3184" t="s">
        <v>58</v>
      </c>
      <c r="B3184" t="s">
        <v>69</v>
      </c>
      <c r="C3184" t="s">
        <v>22</v>
      </c>
      <c r="D3184">
        <v>0</v>
      </c>
      <c r="E3184" t="s">
        <v>9</v>
      </c>
      <c r="F3184" t="s">
        <v>10</v>
      </c>
    </row>
    <row r="3185" spans="1:6" hidden="1" x14ac:dyDescent="0.35">
      <c r="A3185" t="s">
        <v>59</v>
      </c>
      <c r="B3185" t="s">
        <v>69</v>
      </c>
      <c r="C3185" t="s">
        <v>22</v>
      </c>
      <c r="D3185">
        <v>0</v>
      </c>
      <c r="E3185" t="s">
        <v>9</v>
      </c>
      <c r="F3185" t="s">
        <v>10</v>
      </c>
    </row>
    <row r="3186" spans="1:6" hidden="1" x14ac:dyDescent="0.35">
      <c r="A3186" t="s">
        <v>60</v>
      </c>
      <c r="B3186" t="s">
        <v>69</v>
      </c>
      <c r="C3186" t="s">
        <v>22</v>
      </c>
      <c r="D3186">
        <v>0</v>
      </c>
      <c r="E3186" t="s">
        <v>9</v>
      </c>
      <c r="F3186" t="s">
        <v>10</v>
      </c>
    </row>
    <row r="3187" spans="1:6" hidden="1" x14ac:dyDescent="0.35">
      <c r="A3187" t="s">
        <v>61</v>
      </c>
      <c r="B3187" t="s">
        <v>69</v>
      </c>
      <c r="C3187" t="s">
        <v>22</v>
      </c>
      <c r="D3187">
        <v>0</v>
      </c>
      <c r="E3187" t="s">
        <v>9</v>
      </c>
      <c r="F3187" t="s">
        <v>10</v>
      </c>
    </row>
    <row r="3188" spans="1:6" hidden="1" x14ac:dyDescent="0.35">
      <c r="A3188" t="s">
        <v>62</v>
      </c>
      <c r="B3188" t="s">
        <v>69</v>
      </c>
      <c r="C3188" t="s">
        <v>22</v>
      </c>
      <c r="D3188">
        <v>0</v>
      </c>
      <c r="E3188" t="s">
        <v>9</v>
      </c>
      <c r="F3188" t="s">
        <v>10</v>
      </c>
    </row>
    <row r="3189" spans="1:6" hidden="1" x14ac:dyDescent="0.35">
      <c r="A3189" t="s">
        <v>63</v>
      </c>
      <c r="B3189" t="s">
        <v>69</v>
      </c>
      <c r="C3189" t="s">
        <v>22</v>
      </c>
      <c r="D3189">
        <v>0</v>
      </c>
      <c r="E3189" t="s">
        <v>9</v>
      </c>
      <c r="F3189" t="s">
        <v>10</v>
      </c>
    </row>
    <row r="3190" spans="1:6" hidden="1" x14ac:dyDescent="0.35">
      <c r="A3190" t="s">
        <v>64</v>
      </c>
      <c r="B3190" t="s">
        <v>69</v>
      </c>
      <c r="C3190" t="s">
        <v>22</v>
      </c>
      <c r="D3190">
        <v>0</v>
      </c>
      <c r="E3190" t="s">
        <v>9</v>
      </c>
      <c r="F3190" t="s">
        <v>10</v>
      </c>
    </row>
    <row r="3191" spans="1:6" hidden="1" x14ac:dyDescent="0.35">
      <c r="A3191" t="s">
        <v>65</v>
      </c>
      <c r="B3191" t="s">
        <v>69</v>
      </c>
      <c r="C3191" t="s">
        <v>22</v>
      </c>
      <c r="D3191">
        <v>0</v>
      </c>
      <c r="E3191" t="s">
        <v>9</v>
      </c>
      <c r="F3191" t="s">
        <v>10</v>
      </c>
    </row>
    <row r="3192" spans="1:6" hidden="1" x14ac:dyDescent="0.35">
      <c r="A3192" t="s">
        <v>66</v>
      </c>
      <c r="B3192" t="s">
        <v>69</v>
      </c>
      <c r="C3192" t="s">
        <v>22</v>
      </c>
      <c r="D3192">
        <v>0</v>
      </c>
      <c r="E3192" t="s">
        <v>9</v>
      </c>
      <c r="F3192" t="s">
        <v>10</v>
      </c>
    </row>
    <row r="3193" spans="1:6" hidden="1" x14ac:dyDescent="0.35">
      <c r="A3193" t="s">
        <v>67</v>
      </c>
      <c r="B3193" t="s">
        <v>69</v>
      </c>
      <c r="C3193" t="s">
        <v>22</v>
      </c>
      <c r="D3193">
        <v>0</v>
      </c>
      <c r="E3193" t="s">
        <v>9</v>
      </c>
      <c r="F3193" t="s">
        <v>10</v>
      </c>
    </row>
    <row r="3194" spans="1:6" hidden="1" x14ac:dyDescent="0.35">
      <c r="A3194" t="s">
        <v>57</v>
      </c>
      <c r="B3194" t="s">
        <v>69</v>
      </c>
      <c r="C3194" t="s">
        <v>46</v>
      </c>
      <c r="E3194" t="s">
        <v>9</v>
      </c>
      <c r="F3194" t="s">
        <v>10</v>
      </c>
    </row>
    <row r="3195" spans="1:6" hidden="1" x14ac:dyDescent="0.35">
      <c r="A3195" t="s">
        <v>11</v>
      </c>
      <c r="B3195" t="s">
        <v>69</v>
      </c>
      <c r="C3195" t="s">
        <v>46</v>
      </c>
      <c r="E3195" t="s">
        <v>9</v>
      </c>
      <c r="F3195" t="s">
        <v>10</v>
      </c>
    </row>
    <row r="3196" spans="1:6" hidden="1" x14ac:dyDescent="0.35">
      <c r="A3196" t="s">
        <v>58</v>
      </c>
      <c r="B3196" t="s">
        <v>69</v>
      </c>
      <c r="C3196" t="s">
        <v>46</v>
      </c>
      <c r="E3196" t="s">
        <v>9</v>
      </c>
      <c r="F3196" t="s">
        <v>10</v>
      </c>
    </row>
    <row r="3197" spans="1:6" hidden="1" x14ac:dyDescent="0.35">
      <c r="A3197" t="s">
        <v>59</v>
      </c>
      <c r="B3197" t="s">
        <v>69</v>
      </c>
      <c r="C3197" t="s">
        <v>46</v>
      </c>
      <c r="E3197" t="s">
        <v>9</v>
      </c>
      <c r="F3197" t="s">
        <v>10</v>
      </c>
    </row>
    <row r="3198" spans="1:6" hidden="1" x14ac:dyDescent="0.35">
      <c r="A3198" t="s">
        <v>60</v>
      </c>
      <c r="B3198" t="s">
        <v>69</v>
      </c>
      <c r="C3198" t="s">
        <v>46</v>
      </c>
      <c r="E3198" t="s">
        <v>9</v>
      </c>
      <c r="F3198" t="s">
        <v>10</v>
      </c>
    </row>
    <row r="3199" spans="1:6" hidden="1" x14ac:dyDescent="0.35">
      <c r="A3199" t="s">
        <v>61</v>
      </c>
      <c r="B3199" t="s">
        <v>69</v>
      </c>
      <c r="C3199" t="s">
        <v>46</v>
      </c>
      <c r="E3199" t="s">
        <v>9</v>
      </c>
      <c r="F3199" t="s">
        <v>10</v>
      </c>
    </row>
    <row r="3200" spans="1:6" hidden="1" x14ac:dyDescent="0.35">
      <c r="A3200" t="s">
        <v>62</v>
      </c>
      <c r="B3200" t="s">
        <v>69</v>
      </c>
      <c r="C3200" t="s">
        <v>46</v>
      </c>
      <c r="E3200" t="s">
        <v>9</v>
      </c>
      <c r="F3200" t="s">
        <v>10</v>
      </c>
    </row>
    <row r="3201" spans="1:6" hidden="1" x14ac:dyDescent="0.35">
      <c r="A3201" t="s">
        <v>63</v>
      </c>
      <c r="B3201" t="s">
        <v>69</v>
      </c>
      <c r="C3201" t="s">
        <v>46</v>
      </c>
      <c r="E3201" t="s">
        <v>9</v>
      </c>
      <c r="F3201" t="s">
        <v>10</v>
      </c>
    </row>
    <row r="3202" spans="1:6" hidden="1" x14ac:dyDescent="0.35">
      <c r="A3202" t="s">
        <v>64</v>
      </c>
      <c r="B3202" t="s">
        <v>69</v>
      </c>
      <c r="C3202" t="s">
        <v>46</v>
      </c>
      <c r="E3202" t="s">
        <v>9</v>
      </c>
      <c r="F3202" t="s">
        <v>10</v>
      </c>
    </row>
    <row r="3203" spans="1:6" hidden="1" x14ac:dyDescent="0.35">
      <c r="A3203" t="s">
        <v>65</v>
      </c>
      <c r="B3203" t="s">
        <v>69</v>
      </c>
      <c r="C3203" t="s">
        <v>46</v>
      </c>
      <c r="E3203" t="s">
        <v>9</v>
      </c>
      <c r="F3203" t="s">
        <v>10</v>
      </c>
    </row>
    <row r="3204" spans="1:6" hidden="1" x14ac:dyDescent="0.35">
      <c r="A3204" t="s">
        <v>66</v>
      </c>
      <c r="B3204" t="s">
        <v>69</v>
      </c>
      <c r="C3204" t="s">
        <v>46</v>
      </c>
      <c r="E3204" t="s">
        <v>9</v>
      </c>
      <c r="F3204" t="s">
        <v>10</v>
      </c>
    </row>
    <row r="3205" spans="1:6" hidden="1" x14ac:dyDescent="0.35">
      <c r="A3205" t="s">
        <v>67</v>
      </c>
      <c r="B3205" t="s">
        <v>69</v>
      </c>
      <c r="C3205" t="s">
        <v>46</v>
      </c>
      <c r="E3205" t="s">
        <v>9</v>
      </c>
      <c r="F3205" t="s">
        <v>10</v>
      </c>
    </row>
    <row r="3206" spans="1:6" hidden="1" x14ac:dyDescent="0.35">
      <c r="A3206" t="s">
        <v>57</v>
      </c>
      <c r="B3206" t="s">
        <v>69</v>
      </c>
      <c r="C3206" t="s">
        <v>24</v>
      </c>
      <c r="D3206">
        <v>0</v>
      </c>
      <c r="E3206" t="s">
        <v>9</v>
      </c>
      <c r="F3206" t="s">
        <v>10</v>
      </c>
    </row>
    <row r="3207" spans="1:6" hidden="1" x14ac:dyDescent="0.35">
      <c r="A3207" t="s">
        <v>11</v>
      </c>
      <c r="B3207" t="s">
        <v>69</v>
      </c>
      <c r="C3207" t="s">
        <v>24</v>
      </c>
      <c r="D3207">
        <v>0</v>
      </c>
      <c r="E3207" t="s">
        <v>9</v>
      </c>
      <c r="F3207" t="s">
        <v>10</v>
      </c>
    </row>
    <row r="3208" spans="1:6" hidden="1" x14ac:dyDescent="0.35">
      <c r="A3208" t="s">
        <v>58</v>
      </c>
      <c r="B3208" t="s">
        <v>69</v>
      </c>
      <c r="C3208" t="s">
        <v>24</v>
      </c>
      <c r="D3208">
        <v>0</v>
      </c>
      <c r="E3208" t="s">
        <v>9</v>
      </c>
      <c r="F3208" t="s">
        <v>10</v>
      </c>
    </row>
    <row r="3209" spans="1:6" hidden="1" x14ac:dyDescent="0.35">
      <c r="A3209" t="s">
        <v>59</v>
      </c>
      <c r="B3209" t="s">
        <v>69</v>
      </c>
      <c r="C3209" t="s">
        <v>24</v>
      </c>
      <c r="D3209">
        <v>0</v>
      </c>
      <c r="E3209" t="s">
        <v>9</v>
      </c>
      <c r="F3209" t="s">
        <v>10</v>
      </c>
    </row>
    <row r="3210" spans="1:6" hidden="1" x14ac:dyDescent="0.35">
      <c r="A3210" t="s">
        <v>60</v>
      </c>
      <c r="B3210" t="s">
        <v>69</v>
      </c>
      <c r="C3210" t="s">
        <v>24</v>
      </c>
      <c r="D3210">
        <v>0</v>
      </c>
      <c r="E3210" t="s">
        <v>9</v>
      </c>
      <c r="F3210" t="s">
        <v>10</v>
      </c>
    </row>
    <row r="3211" spans="1:6" hidden="1" x14ac:dyDescent="0.35">
      <c r="A3211" t="s">
        <v>61</v>
      </c>
      <c r="B3211" t="s">
        <v>69</v>
      </c>
      <c r="C3211" t="s">
        <v>24</v>
      </c>
      <c r="D3211">
        <v>0</v>
      </c>
      <c r="E3211" t="s">
        <v>9</v>
      </c>
      <c r="F3211" t="s">
        <v>10</v>
      </c>
    </row>
    <row r="3212" spans="1:6" hidden="1" x14ac:dyDescent="0.35">
      <c r="A3212" t="s">
        <v>62</v>
      </c>
      <c r="B3212" t="s">
        <v>69</v>
      </c>
      <c r="C3212" t="s">
        <v>24</v>
      </c>
      <c r="D3212">
        <v>0</v>
      </c>
      <c r="E3212" t="s">
        <v>9</v>
      </c>
      <c r="F3212" t="s">
        <v>10</v>
      </c>
    </row>
    <row r="3213" spans="1:6" hidden="1" x14ac:dyDescent="0.35">
      <c r="A3213" t="s">
        <v>63</v>
      </c>
      <c r="B3213" t="s">
        <v>69</v>
      </c>
      <c r="C3213" t="s">
        <v>24</v>
      </c>
      <c r="D3213">
        <v>0</v>
      </c>
      <c r="E3213" t="s">
        <v>9</v>
      </c>
      <c r="F3213" t="s">
        <v>10</v>
      </c>
    </row>
    <row r="3214" spans="1:6" hidden="1" x14ac:dyDescent="0.35">
      <c r="A3214" t="s">
        <v>64</v>
      </c>
      <c r="B3214" t="s">
        <v>69</v>
      </c>
      <c r="C3214" t="s">
        <v>24</v>
      </c>
      <c r="D3214">
        <v>0</v>
      </c>
      <c r="E3214" t="s">
        <v>9</v>
      </c>
      <c r="F3214" t="s">
        <v>10</v>
      </c>
    </row>
    <row r="3215" spans="1:6" hidden="1" x14ac:dyDescent="0.35">
      <c r="A3215" t="s">
        <v>65</v>
      </c>
      <c r="B3215" t="s">
        <v>69</v>
      </c>
      <c r="C3215" t="s">
        <v>24</v>
      </c>
      <c r="D3215">
        <v>0</v>
      </c>
      <c r="E3215" t="s">
        <v>9</v>
      </c>
      <c r="F3215" t="s">
        <v>10</v>
      </c>
    </row>
    <row r="3216" spans="1:6" hidden="1" x14ac:dyDescent="0.35">
      <c r="A3216" t="s">
        <v>66</v>
      </c>
      <c r="B3216" t="s">
        <v>69</v>
      </c>
      <c r="C3216" t="s">
        <v>24</v>
      </c>
      <c r="D3216">
        <v>0</v>
      </c>
      <c r="E3216" t="s">
        <v>9</v>
      </c>
      <c r="F3216" t="s">
        <v>10</v>
      </c>
    </row>
    <row r="3217" spans="1:6" hidden="1" x14ac:dyDescent="0.35">
      <c r="A3217" t="s">
        <v>67</v>
      </c>
      <c r="B3217" t="s">
        <v>69</v>
      </c>
      <c r="C3217" t="s">
        <v>24</v>
      </c>
      <c r="D3217">
        <v>0</v>
      </c>
      <c r="E3217" t="s">
        <v>9</v>
      </c>
      <c r="F3217" t="s">
        <v>10</v>
      </c>
    </row>
    <row r="3218" spans="1:6" hidden="1" x14ac:dyDescent="0.35">
      <c r="A3218" t="s">
        <v>57</v>
      </c>
      <c r="B3218" t="s">
        <v>69</v>
      </c>
      <c r="C3218" t="s">
        <v>47</v>
      </c>
      <c r="E3218" t="s">
        <v>9</v>
      </c>
      <c r="F3218" t="s">
        <v>10</v>
      </c>
    </row>
    <row r="3219" spans="1:6" hidden="1" x14ac:dyDescent="0.35">
      <c r="A3219" t="s">
        <v>11</v>
      </c>
      <c r="B3219" t="s">
        <v>69</v>
      </c>
      <c r="C3219" t="s">
        <v>47</v>
      </c>
      <c r="E3219" t="s">
        <v>9</v>
      </c>
      <c r="F3219" t="s">
        <v>10</v>
      </c>
    </row>
    <row r="3220" spans="1:6" hidden="1" x14ac:dyDescent="0.35">
      <c r="A3220" t="s">
        <v>58</v>
      </c>
      <c r="B3220" t="s">
        <v>69</v>
      </c>
      <c r="C3220" t="s">
        <v>47</v>
      </c>
      <c r="E3220" t="s">
        <v>9</v>
      </c>
      <c r="F3220" t="s">
        <v>10</v>
      </c>
    </row>
    <row r="3221" spans="1:6" hidden="1" x14ac:dyDescent="0.35">
      <c r="A3221" t="s">
        <v>59</v>
      </c>
      <c r="B3221" t="s">
        <v>69</v>
      </c>
      <c r="C3221" t="s">
        <v>47</v>
      </c>
      <c r="E3221" t="s">
        <v>9</v>
      </c>
      <c r="F3221" t="s">
        <v>10</v>
      </c>
    </row>
    <row r="3222" spans="1:6" hidden="1" x14ac:dyDescent="0.35">
      <c r="A3222" t="s">
        <v>60</v>
      </c>
      <c r="B3222" t="s">
        <v>69</v>
      </c>
      <c r="C3222" t="s">
        <v>47</v>
      </c>
      <c r="E3222" t="s">
        <v>9</v>
      </c>
      <c r="F3222" t="s">
        <v>10</v>
      </c>
    </row>
    <row r="3223" spans="1:6" hidden="1" x14ac:dyDescent="0.35">
      <c r="A3223" t="s">
        <v>61</v>
      </c>
      <c r="B3223" t="s">
        <v>69</v>
      </c>
      <c r="C3223" t="s">
        <v>47</v>
      </c>
      <c r="E3223" t="s">
        <v>9</v>
      </c>
      <c r="F3223" t="s">
        <v>10</v>
      </c>
    </row>
    <row r="3224" spans="1:6" hidden="1" x14ac:dyDescent="0.35">
      <c r="A3224" t="s">
        <v>62</v>
      </c>
      <c r="B3224" t="s">
        <v>69</v>
      </c>
      <c r="C3224" t="s">
        <v>47</v>
      </c>
      <c r="E3224" t="s">
        <v>9</v>
      </c>
      <c r="F3224" t="s">
        <v>10</v>
      </c>
    </row>
    <row r="3225" spans="1:6" hidden="1" x14ac:dyDescent="0.35">
      <c r="A3225" t="s">
        <v>63</v>
      </c>
      <c r="B3225" t="s">
        <v>69</v>
      </c>
      <c r="C3225" t="s">
        <v>47</v>
      </c>
      <c r="E3225" t="s">
        <v>9</v>
      </c>
      <c r="F3225" t="s">
        <v>10</v>
      </c>
    </row>
    <row r="3226" spans="1:6" hidden="1" x14ac:dyDescent="0.35">
      <c r="A3226" t="s">
        <v>64</v>
      </c>
      <c r="B3226" t="s">
        <v>69</v>
      </c>
      <c r="C3226" t="s">
        <v>47</v>
      </c>
      <c r="E3226" t="s">
        <v>9</v>
      </c>
      <c r="F3226" t="s">
        <v>10</v>
      </c>
    </row>
    <row r="3227" spans="1:6" hidden="1" x14ac:dyDescent="0.35">
      <c r="A3227" t="s">
        <v>65</v>
      </c>
      <c r="B3227" t="s">
        <v>69</v>
      </c>
      <c r="C3227" t="s">
        <v>47</v>
      </c>
      <c r="E3227" t="s">
        <v>9</v>
      </c>
      <c r="F3227" t="s">
        <v>10</v>
      </c>
    </row>
    <row r="3228" spans="1:6" hidden="1" x14ac:dyDescent="0.35">
      <c r="A3228" t="s">
        <v>66</v>
      </c>
      <c r="B3228" t="s">
        <v>69</v>
      </c>
      <c r="C3228" t="s">
        <v>47</v>
      </c>
      <c r="E3228" t="s">
        <v>9</v>
      </c>
      <c r="F3228" t="s">
        <v>10</v>
      </c>
    </row>
    <row r="3229" spans="1:6" hidden="1" x14ac:dyDescent="0.35">
      <c r="A3229" t="s">
        <v>67</v>
      </c>
      <c r="B3229" t="s">
        <v>69</v>
      </c>
      <c r="C3229" t="s">
        <v>47</v>
      </c>
      <c r="E3229" t="s">
        <v>9</v>
      </c>
      <c r="F3229" t="s">
        <v>10</v>
      </c>
    </row>
    <row r="3230" spans="1:6" hidden="1" x14ac:dyDescent="0.35">
      <c r="A3230" t="s">
        <v>57</v>
      </c>
      <c r="B3230" t="s">
        <v>69</v>
      </c>
      <c r="C3230" t="s">
        <v>48</v>
      </c>
      <c r="D3230">
        <v>0</v>
      </c>
      <c r="E3230" t="s">
        <v>9</v>
      </c>
      <c r="F3230" t="s">
        <v>10</v>
      </c>
    </row>
    <row r="3231" spans="1:6" hidden="1" x14ac:dyDescent="0.35">
      <c r="A3231" t="s">
        <v>11</v>
      </c>
      <c r="B3231" t="s">
        <v>69</v>
      </c>
      <c r="C3231" t="s">
        <v>48</v>
      </c>
      <c r="D3231">
        <v>0</v>
      </c>
      <c r="E3231" t="s">
        <v>9</v>
      </c>
      <c r="F3231" t="s">
        <v>10</v>
      </c>
    </row>
    <row r="3232" spans="1:6" hidden="1" x14ac:dyDescent="0.35">
      <c r="A3232" t="s">
        <v>58</v>
      </c>
      <c r="B3232" t="s">
        <v>69</v>
      </c>
      <c r="C3232" t="s">
        <v>48</v>
      </c>
      <c r="D3232">
        <v>0</v>
      </c>
      <c r="E3232" t="s">
        <v>9</v>
      </c>
      <c r="F3232" t="s">
        <v>10</v>
      </c>
    </row>
    <row r="3233" spans="1:6" hidden="1" x14ac:dyDescent="0.35">
      <c r="A3233" t="s">
        <v>59</v>
      </c>
      <c r="B3233" t="s">
        <v>69</v>
      </c>
      <c r="C3233" t="s">
        <v>48</v>
      </c>
      <c r="D3233">
        <v>0</v>
      </c>
      <c r="E3233" t="s">
        <v>9</v>
      </c>
      <c r="F3233" t="s">
        <v>10</v>
      </c>
    </row>
    <row r="3234" spans="1:6" hidden="1" x14ac:dyDescent="0.35">
      <c r="A3234" t="s">
        <v>60</v>
      </c>
      <c r="B3234" t="s">
        <v>69</v>
      </c>
      <c r="C3234" t="s">
        <v>48</v>
      </c>
      <c r="D3234">
        <v>0</v>
      </c>
      <c r="E3234" t="s">
        <v>9</v>
      </c>
      <c r="F3234" t="s">
        <v>10</v>
      </c>
    </row>
    <row r="3235" spans="1:6" hidden="1" x14ac:dyDescent="0.35">
      <c r="A3235" t="s">
        <v>61</v>
      </c>
      <c r="B3235" t="s">
        <v>69</v>
      </c>
      <c r="C3235" t="s">
        <v>48</v>
      </c>
      <c r="D3235">
        <v>0</v>
      </c>
      <c r="E3235" t="s">
        <v>9</v>
      </c>
      <c r="F3235" t="s">
        <v>10</v>
      </c>
    </row>
    <row r="3236" spans="1:6" hidden="1" x14ac:dyDescent="0.35">
      <c r="A3236" t="s">
        <v>62</v>
      </c>
      <c r="B3236" t="s">
        <v>69</v>
      </c>
      <c r="C3236" t="s">
        <v>48</v>
      </c>
      <c r="D3236">
        <v>0</v>
      </c>
      <c r="E3236" t="s">
        <v>9</v>
      </c>
      <c r="F3236" t="s">
        <v>10</v>
      </c>
    </row>
    <row r="3237" spans="1:6" hidden="1" x14ac:dyDescent="0.35">
      <c r="A3237" t="s">
        <v>63</v>
      </c>
      <c r="B3237" t="s">
        <v>69</v>
      </c>
      <c r="C3237" t="s">
        <v>48</v>
      </c>
      <c r="D3237">
        <v>0</v>
      </c>
      <c r="E3237" t="s">
        <v>9</v>
      </c>
      <c r="F3237" t="s">
        <v>10</v>
      </c>
    </row>
    <row r="3238" spans="1:6" hidden="1" x14ac:dyDescent="0.35">
      <c r="A3238" t="s">
        <v>64</v>
      </c>
      <c r="B3238" t="s">
        <v>69</v>
      </c>
      <c r="C3238" t="s">
        <v>48</v>
      </c>
      <c r="D3238">
        <v>0</v>
      </c>
      <c r="E3238" t="s">
        <v>9</v>
      </c>
      <c r="F3238" t="s">
        <v>10</v>
      </c>
    </row>
    <row r="3239" spans="1:6" hidden="1" x14ac:dyDescent="0.35">
      <c r="A3239" t="s">
        <v>65</v>
      </c>
      <c r="B3239" t="s">
        <v>69</v>
      </c>
      <c r="C3239" t="s">
        <v>48</v>
      </c>
      <c r="D3239">
        <v>0</v>
      </c>
      <c r="E3239" t="s">
        <v>9</v>
      </c>
      <c r="F3239" t="s">
        <v>10</v>
      </c>
    </row>
    <row r="3240" spans="1:6" hidden="1" x14ac:dyDescent="0.35">
      <c r="A3240" t="s">
        <v>66</v>
      </c>
      <c r="B3240" t="s">
        <v>69</v>
      </c>
      <c r="C3240" t="s">
        <v>48</v>
      </c>
      <c r="D3240">
        <v>0</v>
      </c>
      <c r="E3240" t="s">
        <v>9</v>
      </c>
      <c r="F3240" t="s">
        <v>10</v>
      </c>
    </row>
    <row r="3241" spans="1:6" hidden="1" x14ac:dyDescent="0.35">
      <c r="A3241" t="s">
        <v>67</v>
      </c>
      <c r="B3241" t="s">
        <v>69</v>
      </c>
      <c r="C3241" t="s">
        <v>48</v>
      </c>
      <c r="D3241">
        <v>0</v>
      </c>
      <c r="E3241" t="s">
        <v>9</v>
      </c>
      <c r="F3241" t="s">
        <v>10</v>
      </c>
    </row>
    <row r="3242" spans="1:6" hidden="1" x14ac:dyDescent="0.35">
      <c r="A3242" t="s">
        <v>57</v>
      </c>
      <c r="B3242" t="s">
        <v>69</v>
      </c>
      <c r="C3242" t="s">
        <v>49</v>
      </c>
      <c r="E3242" t="s">
        <v>9</v>
      </c>
      <c r="F3242" t="s">
        <v>10</v>
      </c>
    </row>
    <row r="3243" spans="1:6" hidden="1" x14ac:dyDescent="0.35">
      <c r="A3243" t="s">
        <v>11</v>
      </c>
      <c r="B3243" t="s">
        <v>69</v>
      </c>
      <c r="C3243" t="s">
        <v>49</v>
      </c>
      <c r="E3243" t="s">
        <v>9</v>
      </c>
      <c r="F3243" t="s">
        <v>10</v>
      </c>
    </row>
    <row r="3244" spans="1:6" hidden="1" x14ac:dyDescent="0.35">
      <c r="A3244" t="s">
        <v>58</v>
      </c>
      <c r="B3244" t="s">
        <v>69</v>
      </c>
      <c r="C3244" t="s">
        <v>49</v>
      </c>
      <c r="E3244" t="s">
        <v>9</v>
      </c>
      <c r="F3244" t="s">
        <v>10</v>
      </c>
    </row>
    <row r="3245" spans="1:6" hidden="1" x14ac:dyDescent="0.35">
      <c r="A3245" t="s">
        <v>59</v>
      </c>
      <c r="B3245" t="s">
        <v>69</v>
      </c>
      <c r="C3245" t="s">
        <v>49</v>
      </c>
      <c r="E3245" t="s">
        <v>9</v>
      </c>
      <c r="F3245" t="s">
        <v>10</v>
      </c>
    </row>
    <row r="3246" spans="1:6" hidden="1" x14ac:dyDescent="0.35">
      <c r="A3246" t="s">
        <v>60</v>
      </c>
      <c r="B3246" t="s">
        <v>69</v>
      </c>
      <c r="C3246" t="s">
        <v>49</v>
      </c>
      <c r="E3246" t="s">
        <v>9</v>
      </c>
      <c r="F3246" t="s">
        <v>10</v>
      </c>
    </row>
    <row r="3247" spans="1:6" hidden="1" x14ac:dyDescent="0.35">
      <c r="A3247" t="s">
        <v>61</v>
      </c>
      <c r="B3247" t="s">
        <v>69</v>
      </c>
      <c r="C3247" t="s">
        <v>49</v>
      </c>
      <c r="E3247" t="s">
        <v>9</v>
      </c>
      <c r="F3247" t="s">
        <v>10</v>
      </c>
    </row>
    <row r="3248" spans="1:6" hidden="1" x14ac:dyDescent="0.35">
      <c r="A3248" t="s">
        <v>62</v>
      </c>
      <c r="B3248" t="s">
        <v>69</v>
      </c>
      <c r="C3248" t="s">
        <v>49</v>
      </c>
      <c r="E3248" t="s">
        <v>9</v>
      </c>
      <c r="F3248" t="s">
        <v>10</v>
      </c>
    </row>
    <row r="3249" spans="1:6" hidden="1" x14ac:dyDescent="0.35">
      <c r="A3249" t="s">
        <v>63</v>
      </c>
      <c r="B3249" t="s">
        <v>69</v>
      </c>
      <c r="C3249" t="s">
        <v>49</v>
      </c>
      <c r="E3249" t="s">
        <v>9</v>
      </c>
      <c r="F3249" t="s">
        <v>10</v>
      </c>
    </row>
    <row r="3250" spans="1:6" hidden="1" x14ac:dyDescent="0.35">
      <c r="A3250" t="s">
        <v>64</v>
      </c>
      <c r="B3250" t="s">
        <v>69</v>
      </c>
      <c r="C3250" t="s">
        <v>49</v>
      </c>
      <c r="E3250" t="s">
        <v>9</v>
      </c>
      <c r="F3250" t="s">
        <v>10</v>
      </c>
    </row>
    <row r="3251" spans="1:6" hidden="1" x14ac:dyDescent="0.35">
      <c r="A3251" t="s">
        <v>65</v>
      </c>
      <c r="B3251" t="s">
        <v>69</v>
      </c>
      <c r="C3251" t="s">
        <v>49</v>
      </c>
      <c r="E3251" t="s">
        <v>9</v>
      </c>
      <c r="F3251" t="s">
        <v>10</v>
      </c>
    </row>
    <row r="3252" spans="1:6" hidden="1" x14ac:dyDescent="0.35">
      <c r="A3252" t="s">
        <v>66</v>
      </c>
      <c r="B3252" t="s">
        <v>69</v>
      </c>
      <c r="C3252" t="s">
        <v>49</v>
      </c>
      <c r="E3252" t="s">
        <v>9</v>
      </c>
      <c r="F3252" t="s">
        <v>10</v>
      </c>
    </row>
    <row r="3253" spans="1:6" hidden="1" x14ac:dyDescent="0.35">
      <c r="A3253" t="s">
        <v>67</v>
      </c>
      <c r="B3253" t="s">
        <v>69</v>
      </c>
      <c r="C3253" t="s">
        <v>49</v>
      </c>
      <c r="E3253" t="s">
        <v>9</v>
      </c>
      <c r="F3253" t="s">
        <v>10</v>
      </c>
    </row>
    <row r="3254" spans="1:6" hidden="1" x14ac:dyDescent="0.35">
      <c r="A3254" t="s">
        <v>57</v>
      </c>
      <c r="B3254" t="s">
        <v>69</v>
      </c>
      <c r="C3254" t="s">
        <v>50</v>
      </c>
      <c r="E3254" t="s">
        <v>9</v>
      </c>
      <c r="F3254" t="s">
        <v>10</v>
      </c>
    </row>
    <row r="3255" spans="1:6" hidden="1" x14ac:dyDescent="0.35">
      <c r="A3255" t="s">
        <v>11</v>
      </c>
      <c r="B3255" t="s">
        <v>69</v>
      </c>
      <c r="C3255" t="s">
        <v>50</v>
      </c>
      <c r="E3255" t="s">
        <v>9</v>
      </c>
      <c r="F3255" t="s">
        <v>10</v>
      </c>
    </row>
    <row r="3256" spans="1:6" hidden="1" x14ac:dyDescent="0.35">
      <c r="A3256" t="s">
        <v>58</v>
      </c>
      <c r="B3256" t="s">
        <v>69</v>
      </c>
      <c r="C3256" t="s">
        <v>50</v>
      </c>
      <c r="E3256" t="s">
        <v>9</v>
      </c>
      <c r="F3256" t="s">
        <v>10</v>
      </c>
    </row>
    <row r="3257" spans="1:6" hidden="1" x14ac:dyDescent="0.35">
      <c r="A3257" t="s">
        <v>59</v>
      </c>
      <c r="B3257" t="s">
        <v>69</v>
      </c>
      <c r="C3257" t="s">
        <v>50</v>
      </c>
      <c r="E3257" t="s">
        <v>9</v>
      </c>
      <c r="F3257" t="s">
        <v>10</v>
      </c>
    </row>
    <row r="3258" spans="1:6" hidden="1" x14ac:dyDescent="0.35">
      <c r="A3258" t="s">
        <v>60</v>
      </c>
      <c r="B3258" t="s">
        <v>69</v>
      </c>
      <c r="C3258" t="s">
        <v>50</v>
      </c>
      <c r="E3258" t="s">
        <v>9</v>
      </c>
      <c r="F3258" t="s">
        <v>10</v>
      </c>
    </row>
    <row r="3259" spans="1:6" hidden="1" x14ac:dyDescent="0.35">
      <c r="A3259" t="s">
        <v>61</v>
      </c>
      <c r="B3259" t="s">
        <v>69</v>
      </c>
      <c r="C3259" t="s">
        <v>50</v>
      </c>
      <c r="E3259" t="s">
        <v>9</v>
      </c>
      <c r="F3259" t="s">
        <v>10</v>
      </c>
    </row>
    <row r="3260" spans="1:6" hidden="1" x14ac:dyDescent="0.35">
      <c r="A3260" t="s">
        <v>62</v>
      </c>
      <c r="B3260" t="s">
        <v>69</v>
      </c>
      <c r="C3260" t="s">
        <v>50</v>
      </c>
      <c r="E3260" t="s">
        <v>9</v>
      </c>
      <c r="F3260" t="s">
        <v>10</v>
      </c>
    </row>
    <row r="3261" spans="1:6" hidden="1" x14ac:dyDescent="0.35">
      <c r="A3261" t="s">
        <v>63</v>
      </c>
      <c r="B3261" t="s">
        <v>69</v>
      </c>
      <c r="C3261" t="s">
        <v>50</v>
      </c>
      <c r="E3261" t="s">
        <v>9</v>
      </c>
      <c r="F3261" t="s">
        <v>10</v>
      </c>
    </row>
    <row r="3262" spans="1:6" hidden="1" x14ac:dyDescent="0.35">
      <c r="A3262" t="s">
        <v>64</v>
      </c>
      <c r="B3262" t="s">
        <v>69</v>
      </c>
      <c r="C3262" t="s">
        <v>50</v>
      </c>
      <c r="E3262" t="s">
        <v>9</v>
      </c>
      <c r="F3262" t="s">
        <v>10</v>
      </c>
    </row>
    <row r="3263" spans="1:6" hidden="1" x14ac:dyDescent="0.35">
      <c r="A3263" t="s">
        <v>65</v>
      </c>
      <c r="B3263" t="s">
        <v>69</v>
      </c>
      <c r="C3263" t="s">
        <v>50</v>
      </c>
      <c r="E3263" t="s">
        <v>9</v>
      </c>
      <c r="F3263" t="s">
        <v>10</v>
      </c>
    </row>
    <row r="3264" spans="1:6" hidden="1" x14ac:dyDescent="0.35">
      <c r="A3264" t="s">
        <v>66</v>
      </c>
      <c r="B3264" t="s">
        <v>69</v>
      </c>
      <c r="C3264" t="s">
        <v>50</v>
      </c>
      <c r="E3264" t="s">
        <v>9</v>
      </c>
      <c r="F3264" t="s">
        <v>10</v>
      </c>
    </row>
    <row r="3265" spans="1:6" hidden="1" x14ac:dyDescent="0.35">
      <c r="A3265" t="s">
        <v>67</v>
      </c>
      <c r="B3265" t="s">
        <v>69</v>
      </c>
      <c r="C3265" t="s">
        <v>50</v>
      </c>
      <c r="E3265" t="s">
        <v>9</v>
      </c>
      <c r="F3265" t="s">
        <v>10</v>
      </c>
    </row>
    <row r="3266" spans="1:6" hidden="1" x14ac:dyDescent="0.35">
      <c r="A3266" t="s">
        <v>57</v>
      </c>
      <c r="B3266" t="s">
        <v>69</v>
      </c>
      <c r="C3266" t="s">
        <v>51</v>
      </c>
      <c r="E3266" t="s">
        <v>9</v>
      </c>
      <c r="F3266" t="s">
        <v>10</v>
      </c>
    </row>
    <row r="3267" spans="1:6" hidden="1" x14ac:dyDescent="0.35">
      <c r="A3267" t="s">
        <v>11</v>
      </c>
      <c r="B3267" t="s">
        <v>69</v>
      </c>
      <c r="C3267" t="s">
        <v>51</v>
      </c>
      <c r="E3267" t="s">
        <v>9</v>
      </c>
      <c r="F3267" t="s">
        <v>10</v>
      </c>
    </row>
    <row r="3268" spans="1:6" hidden="1" x14ac:dyDescent="0.35">
      <c r="A3268" t="s">
        <v>58</v>
      </c>
      <c r="B3268" t="s">
        <v>69</v>
      </c>
      <c r="C3268" t="s">
        <v>51</v>
      </c>
      <c r="E3268" t="s">
        <v>9</v>
      </c>
      <c r="F3268" t="s">
        <v>10</v>
      </c>
    </row>
    <row r="3269" spans="1:6" hidden="1" x14ac:dyDescent="0.35">
      <c r="A3269" t="s">
        <v>59</v>
      </c>
      <c r="B3269" t="s">
        <v>69</v>
      </c>
      <c r="C3269" t="s">
        <v>51</v>
      </c>
      <c r="E3269" t="s">
        <v>9</v>
      </c>
      <c r="F3269" t="s">
        <v>10</v>
      </c>
    </row>
    <row r="3270" spans="1:6" hidden="1" x14ac:dyDescent="0.35">
      <c r="A3270" t="s">
        <v>60</v>
      </c>
      <c r="B3270" t="s">
        <v>69</v>
      </c>
      <c r="C3270" t="s">
        <v>51</v>
      </c>
      <c r="E3270" t="s">
        <v>9</v>
      </c>
      <c r="F3270" t="s">
        <v>10</v>
      </c>
    </row>
    <row r="3271" spans="1:6" hidden="1" x14ac:dyDescent="0.35">
      <c r="A3271" t="s">
        <v>61</v>
      </c>
      <c r="B3271" t="s">
        <v>69</v>
      </c>
      <c r="C3271" t="s">
        <v>51</v>
      </c>
      <c r="E3271" t="s">
        <v>9</v>
      </c>
      <c r="F3271" t="s">
        <v>10</v>
      </c>
    </row>
    <row r="3272" spans="1:6" hidden="1" x14ac:dyDescent="0.35">
      <c r="A3272" t="s">
        <v>62</v>
      </c>
      <c r="B3272" t="s">
        <v>69</v>
      </c>
      <c r="C3272" t="s">
        <v>51</v>
      </c>
      <c r="E3272" t="s">
        <v>9</v>
      </c>
      <c r="F3272" t="s">
        <v>10</v>
      </c>
    </row>
    <row r="3273" spans="1:6" hidden="1" x14ac:dyDescent="0.35">
      <c r="A3273" t="s">
        <v>63</v>
      </c>
      <c r="B3273" t="s">
        <v>69</v>
      </c>
      <c r="C3273" t="s">
        <v>51</v>
      </c>
      <c r="E3273" t="s">
        <v>9</v>
      </c>
      <c r="F3273" t="s">
        <v>10</v>
      </c>
    </row>
    <row r="3274" spans="1:6" hidden="1" x14ac:dyDescent="0.35">
      <c r="A3274" t="s">
        <v>64</v>
      </c>
      <c r="B3274" t="s">
        <v>69</v>
      </c>
      <c r="C3274" t="s">
        <v>51</v>
      </c>
      <c r="E3274" t="s">
        <v>9</v>
      </c>
      <c r="F3274" t="s">
        <v>10</v>
      </c>
    </row>
    <row r="3275" spans="1:6" hidden="1" x14ac:dyDescent="0.35">
      <c r="A3275" t="s">
        <v>65</v>
      </c>
      <c r="B3275" t="s">
        <v>69</v>
      </c>
      <c r="C3275" t="s">
        <v>51</v>
      </c>
      <c r="E3275" t="s">
        <v>9</v>
      </c>
      <c r="F3275" t="s">
        <v>10</v>
      </c>
    </row>
    <row r="3276" spans="1:6" hidden="1" x14ac:dyDescent="0.35">
      <c r="A3276" t="s">
        <v>66</v>
      </c>
      <c r="B3276" t="s">
        <v>69</v>
      </c>
      <c r="C3276" t="s">
        <v>51</v>
      </c>
      <c r="E3276" t="s">
        <v>9</v>
      </c>
      <c r="F3276" t="s">
        <v>10</v>
      </c>
    </row>
    <row r="3277" spans="1:6" hidden="1" x14ac:dyDescent="0.35">
      <c r="A3277" t="s">
        <v>67</v>
      </c>
      <c r="B3277" t="s">
        <v>69</v>
      </c>
      <c r="C3277" t="s">
        <v>51</v>
      </c>
      <c r="E3277" t="s">
        <v>9</v>
      </c>
      <c r="F3277" t="s">
        <v>10</v>
      </c>
    </row>
    <row r="3278" spans="1:6" hidden="1" x14ac:dyDescent="0.35">
      <c r="A3278" t="s">
        <v>57</v>
      </c>
      <c r="B3278" t="s">
        <v>69</v>
      </c>
      <c r="C3278" t="s">
        <v>30</v>
      </c>
      <c r="E3278" t="s">
        <v>9</v>
      </c>
      <c r="F3278" t="s">
        <v>10</v>
      </c>
    </row>
    <row r="3279" spans="1:6" hidden="1" x14ac:dyDescent="0.35">
      <c r="A3279" t="s">
        <v>11</v>
      </c>
      <c r="B3279" t="s">
        <v>69</v>
      </c>
      <c r="C3279" t="s">
        <v>30</v>
      </c>
      <c r="E3279" t="s">
        <v>9</v>
      </c>
      <c r="F3279" t="s">
        <v>10</v>
      </c>
    </row>
    <row r="3280" spans="1:6" hidden="1" x14ac:dyDescent="0.35">
      <c r="A3280" t="s">
        <v>58</v>
      </c>
      <c r="B3280" t="s">
        <v>69</v>
      </c>
      <c r="C3280" t="s">
        <v>30</v>
      </c>
      <c r="E3280" t="s">
        <v>9</v>
      </c>
      <c r="F3280" t="s">
        <v>10</v>
      </c>
    </row>
    <row r="3281" spans="1:6" hidden="1" x14ac:dyDescent="0.35">
      <c r="A3281" t="s">
        <v>59</v>
      </c>
      <c r="B3281" t="s">
        <v>69</v>
      </c>
      <c r="C3281" t="s">
        <v>30</v>
      </c>
      <c r="E3281" t="s">
        <v>9</v>
      </c>
      <c r="F3281" t="s">
        <v>10</v>
      </c>
    </row>
    <row r="3282" spans="1:6" hidden="1" x14ac:dyDescent="0.35">
      <c r="A3282" t="s">
        <v>60</v>
      </c>
      <c r="B3282" t="s">
        <v>69</v>
      </c>
      <c r="C3282" t="s">
        <v>30</v>
      </c>
      <c r="E3282" t="s">
        <v>9</v>
      </c>
      <c r="F3282" t="s">
        <v>10</v>
      </c>
    </row>
    <row r="3283" spans="1:6" hidden="1" x14ac:dyDescent="0.35">
      <c r="A3283" t="s">
        <v>61</v>
      </c>
      <c r="B3283" t="s">
        <v>69</v>
      </c>
      <c r="C3283" t="s">
        <v>30</v>
      </c>
      <c r="E3283" t="s">
        <v>9</v>
      </c>
      <c r="F3283" t="s">
        <v>10</v>
      </c>
    </row>
    <row r="3284" spans="1:6" hidden="1" x14ac:dyDescent="0.35">
      <c r="A3284" t="s">
        <v>62</v>
      </c>
      <c r="B3284" t="s">
        <v>69</v>
      </c>
      <c r="C3284" t="s">
        <v>30</v>
      </c>
      <c r="E3284" t="s">
        <v>9</v>
      </c>
      <c r="F3284" t="s">
        <v>10</v>
      </c>
    </row>
    <row r="3285" spans="1:6" hidden="1" x14ac:dyDescent="0.35">
      <c r="A3285" t="s">
        <v>63</v>
      </c>
      <c r="B3285" t="s">
        <v>69</v>
      </c>
      <c r="C3285" t="s">
        <v>30</v>
      </c>
      <c r="E3285" t="s">
        <v>9</v>
      </c>
      <c r="F3285" t="s">
        <v>10</v>
      </c>
    </row>
    <row r="3286" spans="1:6" hidden="1" x14ac:dyDescent="0.35">
      <c r="A3286" t="s">
        <v>64</v>
      </c>
      <c r="B3286" t="s">
        <v>69</v>
      </c>
      <c r="C3286" t="s">
        <v>30</v>
      </c>
      <c r="E3286" t="s">
        <v>9</v>
      </c>
      <c r="F3286" t="s">
        <v>10</v>
      </c>
    </row>
    <row r="3287" spans="1:6" hidden="1" x14ac:dyDescent="0.35">
      <c r="A3287" t="s">
        <v>65</v>
      </c>
      <c r="B3287" t="s">
        <v>69</v>
      </c>
      <c r="C3287" t="s">
        <v>30</v>
      </c>
      <c r="E3287" t="s">
        <v>9</v>
      </c>
      <c r="F3287" t="s">
        <v>10</v>
      </c>
    </row>
    <row r="3288" spans="1:6" hidden="1" x14ac:dyDescent="0.35">
      <c r="A3288" t="s">
        <v>66</v>
      </c>
      <c r="B3288" t="s">
        <v>69</v>
      </c>
      <c r="C3288" t="s">
        <v>30</v>
      </c>
      <c r="E3288" t="s">
        <v>9</v>
      </c>
      <c r="F3288" t="s">
        <v>10</v>
      </c>
    </row>
    <row r="3289" spans="1:6" hidden="1" x14ac:dyDescent="0.35">
      <c r="A3289" t="s">
        <v>67</v>
      </c>
      <c r="B3289" t="s">
        <v>69</v>
      </c>
      <c r="C3289" t="s">
        <v>30</v>
      </c>
      <c r="E3289" t="s">
        <v>9</v>
      </c>
      <c r="F3289" t="s">
        <v>10</v>
      </c>
    </row>
    <row r="3290" spans="1:6" hidden="1" x14ac:dyDescent="0.35">
      <c r="A3290" t="s">
        <v>57</v>
      </c>
      <c r="B3290" t="s">
        <v>69</v>
      </c>
      <c r="C3290" t="s">
        <v>52</v>
      </c>
      <c r="E3290" t="s">
        <v>9</v>
      </c>
      <c r="F3290" t="s">
        <v>10</v>
      </c>
    </row>
    <row r="3291" spans="1:6" hidden="1" x14ac:dyDescent="0.35">
      <c r="A3291" t="s">
        <v>11</v>
      </c>
      <c r="B3291" t="s">
        <v>69</v>
      </c>
      <c r="C3291" t="s">
        <v>52</v>
      </c>
      <c r="E3291" t="s">
        <v>9</v>
      </c>
      <c r="F3291" t="s">
        <v>10</v>
      </c>
    </row>
    <row r="3292" spans="1:6" hidden="1" x14ac:dyDescent="0.35">
      <c r="A3292" t="s">
        <v>58</v>
      </c>
      <c r="B3292" t="s">
        <v>69</v>
      </c>
      <c r="C3292" t="s">
        <v>52</v>
      </c>
      <c r="E3292" t="s">
        <v>9</v>
      </c>
      <c r="F3292" t="s">
        <v>10</v>
      </c>
    </row>
    <row r="3293" spans="1:6" hidden="1" x14ac:dyDescent="0.35">
      <c r="A3293" t="s">
        <v>59</v>
      </c>
      <c r="B3293" t="s">
        <v>69</v>
      </c>
      <c r="C3293" t="s">
        <v>52</v>
      </c>
      <c r="E3293" t="s">
        <v>9</v>
      </c>
      <c r="F3293" t="s">
        <v>10</v>
      </c>
    </row>
    <row r="3294" spans="1:6" hidden="1" x14ac:dyDescent="0.35">
      <c r="A3294" t="s">
        <v>60</v>
      </c>
      <c r="B3294" t="s">
        <v>69</v>
      </c>
      <c r="C3294" t="s">
        <v>52</v>
      </c>
      <c r="E3294" t="s">
        <v>9</v>
      </c>
      <c r="F3294" t="s">
        <v>10</v>
      </c>
    </row>
    <row r="3295" spans="1:6" hidden="1" x14ac:dyDescent="0.35">
      <c r="A3295" t="s">
        <v>61</v>
      </c>
      <c r="B3295" t="s">
        <v>69</v>
      </c>
      <c r="C3295" t="s">
        <v>52</v>
      </c>
      <c r="E3295" t="s">
        <v>9</v>
      </c>
      <c r="F3295" t="s">
        <v>10</v>
      </c>
    </row>
    <row r="3296" spans="1:6" hidden="1" x14ac:dyDescent="0.35">
      <c r="A3296" t="s">
        <v>62</v>
      </c>
      <c r="B3296" t="s">
        <v>69</v>
      </c>
      <c r="C3296" t="s">
        <v>52</v>
      </c>
      <c r="E3296" t="s">
        <v>9</v>
      </c>
      <c r="F3296" t="s">
        <v>10</v>
      </c>
    </row>
    <row r="3297" spans="1:6" hidden="1" x14ac:dyDescent="0.35">
      <c r="A3297" t="s">
        <v>63</v>
      </c>
      <c r="B3297" t="s">
        <v>69</v>
      </c>
      <c r="C3297" t="s">
        <v>52</v>
      </c>
      <c r="E3297" t="s">
        <v>9</v>
      </c>
      <c r="F3297" t="s">
        <v>10</v>
      </c>
    </row>
    <row r="3298" spans="1:6" hidden="1" x14ac:dyDescent="0.35">
      <c r="A3298" t="s">
        <v>64</v>
      </c>
      <c r="B3298" t="s">
        <v>69</v>
      </c>
      <c r="C3298" t="s">
        <v>52</v>
      </c>
      <c r="E3298" t="s">
        <v>9</v>
      </c>
      <c r="F3298" t="s">
        <v>10</v>
      </c>
    </row>
    <row r="3299" spans="1:6" hidden="1" x14ac:dyDescent="0.35">
      <c r="A3299" t="s">
        <v>65</v>
      </c>
      <c r="B3299" t="s">
        <v>69</v>
      </c>
      <c r="C3299" t="s">
        <v>52</v>
      </c>
      <c r="E3299" t="s">
        <v>9</v>
      </c>
      <c r="F3299" t="s">
        <v>10</v>
      </c>
    </row>
    <row r="3300" spans="1:6" hidden="1" x14ac:dyDescent="0.35">
      <c r="A3300" t="s">
        <v>66</v>
      </c>
      <c r="B3300" t="s">
        <v>69</v>
      </c>
      <c r="C3300" t="s">
        <v>52</v>
      </c>
      <c r="E3300" t="s">
        <v>9</v>
      </c>
      <c r="F3300" t="s">
        <v>10</v>
      </c>
    </row>
    <row r="3301" spans="1:6" hidden="1" x14ac:dyDescent="0.35">
      <c r="A3301" t="s">
        <v>67</v>
      </c>
      <c r="B3301" t="s">
        <v>69</v>
      </c>
      <c r="C3301" t="s">
        <v>52</v>
      </c>
      <c r="E3301" t="s">
        <v>9</v>
      </c>
      <c r="F3301" t="s">
        <v>10</v>
      </c>
    </row>
    <row r="3302" spans="1:6" hidden="1" x14ac:dyDescent="0.35">
      <c r="A3302" t="s">
        <v>57</v>
      </c>
      <c r="B3302" t="s">
        <v>70</v>
      </c>
      <c r="C3302" t="s">
        <v>44</v>
      </c>
      <c r="E3302" t="s">
        <v>9</v>
      </c>
      <c r="F3302" t="s">
        <v>10</v>
      </c>
    </row>
    <row r="3303" spans="1:6" hidden="1" x14ac:dyDescent="0.35">
      <c r="A3303" t="s">
        <v>11</v>
      </c>
      <c r="B3303" t="s">
        <v>70</v>
      </c>
      <c r="C3303" t="s">
        <v>44</v>
      </c>
      <c r="E3303" t="s">
        <v>9</v>
      </c>
      <c r="F3303" t="s">
        <v>10</v>
      </c>
    </row>
    <row r="3304" spans="1:6" hidden="1" x14ac:dyDescent="0.35">
      <c r="A3304" t="s">
        <v>58</v>
      </c>
      <c r="B3304" t="s">
        <v>70</v>
      </c>
      <c r="C3304" t="s">
        <v>44</v>
      </c>
      <c r="E3304" t="s">
        <v>9</v>
      </c>
      <c r="F3304" t="s">
        <v>10</v>
      </c>
    </row>
    <row r="3305" spans="1:6" hidden="1" x14ac:dyDescent="0.35">
      <c r="A3305" t="s">
        <v>59</v>
      </c>
      <c r="B3305" t="s">
        <v>70</v>
      </c>
      <c r="C3305" t="s">
        <v>44</v>
      </c>
      <c r="E3305" t="s">
        <v>9</v>
      </c>
      <c r="F3305" t="s">
        <v>10</v>
      </c>
    </row>
    <row r="3306" spans="1:6" hidden="1" x14ac:dyDescent="0.35">
      <c r="A3306" t="s">
        <v>60</v>
      </c>
      <c r="B3306" t="s">
        <v>70</v>
      </c>
      <c r="C3306" t="s">
        <v>44</v>
      </c>
      <c r="E3306" t="s">
        <v>9</v>
      </c>
      <c r="F3306" t="s">
        <v>10</v>
      </c>
    </row>
    <row r="3307" spans="1:6" hidden="1" x14ac:dyDescent="0.35">
      <c r="A3307" t="s">
        <v>61</v>
      </c>
      <c r="B3307" t="s">
        <v>70</v>
      </c>
      <c r="C3307" t="s">
        <v>44</v>
      </c>
      <c r="E3307" t="s">
        <v>9</v>
      </c>
      <c r="F3307" t="s">
        <v>10</v>
      </c>
    </row>
    <row r="3308" spans="1:6" hidden="1" x14ac:dyDescent="0.35">
      <c r="A3308" t="s">
        <v>62</v>
      </c>
      <c r="B3308" t="s">
        <v>70</v>
      </c>
      <c r="C3308" t="s">
        <v>44</v>
      </c>
      <c r="E3308" t="s">
        <v>9</v>
      </c>
      <c r="F3308" t="s">
        <v>10</v>
      </c>
    </row>
    <row r="3309" spans="1:6" hidden="1" x14ac:dyDescent="0.35">
      <c r="A3309" t="s">
        <v>63</v>
      </c>
      <c r="B3309" t="s">
        <v>70</v>
      </c>
      <c r="C3309" t="s">
        <v>44</v>
      </c>
      <c r="E3309" t="s">
        <v>9</v>
      </c>
      <c r="F3309" t="s">
        <v>10</v>
      </c>
    </row>
    <row r="3310" spans="1:6" hidden="1" x14ac:dyDescent="0.35">
      <c r="A3310" t="s">
        <v>64</v>
      </c>
      <c r="B3310" t="s">
        <v>70</v>
      </c>
      <c r="C3310" t="s">
        <v>44</v>
      </c>
      <c r="E3310" t="s">
        <v>9</v>
      </c>
      <c r="F3310" t="s">
        <v>10</v>
      </c>
    </row>
    <row r="3311" spans="1:6" hidden="1" x14ac:dyDescent="0.35">
      <c r="A3311" t="s">
        <v>65</v>
      </c>
      <c r="B3311" t="s">
        <v>70</v>
      </c>
      <c r="C3311" t="s">
        <v>44</v>
      </c>
      <c r="E3311" t="s">
        <v>9</v>
      </c>
      <c r="F3311" t="s">
        <v>10</v>
      </c>
    </row>
    <row r="3312" spans="1:6" hidden="1" x14ac:dyDescent="0.35">
      <c r="A3312" t="s">
        <v>66</v>
      </c>
      <c r="B3312" t="s">
        <v>70</v>
      </c>
      <c r="C3312" t="s">
        <v>44</v>
      </c>
      <c r="E3312" t="s">
        <v>9</v>
      </c>
      <c r="F3312" t="s">
        <v>10</v>
      </c>
    </row>
    <row r="3313" spans="1:6" hidden="1" x14ac:dyDescent="0.35">
      <c r="A3313" t="s">
        <v>67</v>
      </c>
      <c r="B3313" t="s">
        <v>70</v>
      </c>
      <c r="C3313" t="s">
        <v>44</v>
      </c>
      <c r="E3313" t="s">
        <v>9</v>
      </c>
      <c r="F3313" t="s">
        <v>10</v>
      </c>
    </row>
    <row r="3314" spans="1:6" hidden="1" x14ac:dyDescent="0.35">
      <c r="A3314" t="s">
        <v>57</v>
      </c>
      <c r="B3314" t="s">
        <v>70</v>
      </c>
      <c r="C3314" t="s">
        <v>22</v>
      </c>
      <c r="D3314">
        <v>0</v>
      </c>
      <c r="E3314" t="s">
        <v>9</v>
      </c>
      <c r="F3314" t="s">
        <v>10</v>
      </c>
    </row>
    <row r="3315" spans="1:6" hidden="1" x14ac:dyDescent="0.35">
      <c r="A3315" t="s">
        <v>11</v>
      </c>
      <c r="B3315" t="s">
        <v>70</v>
      </c>
      <c r="C3315" t="s">
        <v>22</v>
      </c>
      <c r="D3315">
        <v>0</v>
      </c>
      <c r="E3315" t="s">
        <v>9</v>
      </c>
      <c r="F3315" t="s">
        <v>10</v>
      </c>
    </row>
    <row r="3316" spans="1:6" hidden="1" x14ac:dyDescent="0.35">
      <c r="A3316" t="s">
        <v>58</v>
      </c>
      <c r="B3316" t="s">
        <v>70</v>
      </c>
      <c r="C3316" t="s">
        <v>22</v>
      </c>
      <c r="D3316">
        <v>0</v>
      </c>
      <c r="E3316" t="s">
        <v>9</v>
      </c>
      <c r="F3316" t="s">
        <v>10</v>
      </c>
    </row>
    <row r="3317" spans="1:6" hidden="1" x14ac:dyDescent="0.35">
      <c r="A3317" t="s">
        <v>59</v>
      </c>
      <c r="B3317" t="s">
        <v>70</v>
      </c>
      <c r="C3317" t="s">
        <v>22</v>
      </c>
      <c r="D3317">
        <v>0</v>
      </c>
      <c r="E3317" t="s">
        <v>9</v>
      </c>
      <c r="F3317" t="s">
        <v>10</v>
      </c>
    </row>
    <row r="3318" spans="1:6" hidden="1" x14ac:dyDescent="0.35">
      <c r="A3318" t="s">
        <v>60</v>
      </c>
      <c r="B3318" t="s">
        <v>70</v>
      </c>
      <c r="C3318" t="s">
        <v>22</v>
      </c>
      <c r="D3318">
        <v>0</v>
      </c>
      <c r="E3318" t="s">
        <v>9</v>
      </c>
      <c r="F3318" t="s">
        <v>10</v>
      </c>
    </row>
    <row r="3319" spans="1:6" hidden="1" x14ac:dyDescent="0.35">
      <c r="A3319" t="s">
        <v>61</v>
      </c>
      <c r="B3319" t="s">
        <v>70</v>
      </c>
      <c r="C3319" t="s">
        <v>22</v>
      </c>
      <c r="D3319">
        <v>0</v>
      </c>
      <c r="E3319" t="s">
        <v>9</v>
      </c>
      <c r="F3319" t="s">
        <v>10</v>
      </c>
    </row>
    <row r="3320" spans="1:6" hidden="1" x14ac:dyDescent="0.35">
      <c r="A3320" t="s">
        <v>62</v>
      </c>
      <c r="B3320" t="s">
        <v>70</v>
      </c>
      <c r="C3320" t="s">
        <v>22</v>
      </c>
      <c r="D3320">
        <v>0</v>
      </c>
      <c r="E3320" t="s">
        <v>9</v>
      </c>
      <c r="F3320" t="s">
        <v>10</v>
      </c>
    </row>
    <row r="3321" spans="1:6" hidden="1" x14ac:dyDescent="0.35">
      <c r="A3321" t="s">
        <v>63</v>
      </c>
      <c r="B3321" t="s">
        <v>70</v>
      </c>
      <c r="C3321" t="s">
        <v>22</v>
      </c>
      <c r="D3321">
        <v>0</v>
      </c>
      <c r="E3321" t="s">
        <v>9</v>
      </c>
      <c r="F3321" t="s">
        <v>10</v>
      </c>
    </row>
    <row r="3322" spans="1:6" hidden="1" x14ac:dyDescent="0.35">
      <c r="A3322" t="s">
        <v>64</v>
      </c>
      <c r="B3322" t="s">
        <v>70</v>
      </c>
      <c r="C3322" t="s">
        <v>22</v>
      </c>
      <c r="D3322">
        <v>0</v>
      </c>
      <c r="E3322" t="s">
        <v>9</v>
      </c>
      <c r="F3322" t="s">
        <v>10</v>
      </c>
    </row>
    <row r="3323" spans="1:6" hidden="1" x14ac:dyDescent="0.35">
      <c r="A3323" t="s">
        <v>65</v>
      </c>
      <c r="B3323" t="s">
        <v>70</v>
      </c>
      <c r="C3323" t="s">
        <v>22</v>
      </c>
      <c r="D3323">
        <v>0</v>
      </c>
      <c r="E3323" t="s">
        <v>9</v>
      </c>
      <c r="F3323" t="s">
        <v>10</v>
      </c>
    </row>
    <row r="3324" spans="1:6" hidden="1" x14ac:dyDescent="0.35">
      <c r="A3324" t="s">
        <v>66</v>
      </c>
      <c r="B3324" t="s">
        <v>70</v>
      </c>
      <c r="C3324" t="s">
        <v>22</v>
      </c>
      <c r="D3324">
        <v>0</v>
      </c>
      <c r="E3324" t="s">
        <v>9</v>
      </c>
      <c r="F3324" t="s">
        <v>10</v>
      </c>
    </row>
    <row r="3325" spans="1:6" hidden="1" x14ac:dyDescent="0.35">
      <c r="A3325" t="s">
        <v>67</v>
      </c>
      <c r="B3325" t="s">
        <v>70</v>
      </c>
      <c r="C3325" t="s">
        <v>22</v>
      </c>
      <c r="D3325">
        <v>0</v>
      </c>
      <c r="E3325" t="s">
        <v>9</v>
      </c>
      <c r="F3325" t="s">
        <v>10</v>
      </c>
    </row>
    <row r="3326" spans="1:6" hidden="1" x14ac:dyDescent="0.35">
      <c r="A3326" t="s">
        <v>57</v>
      </c>
      <c r="B3326" t="s">
        <v>70</v>
      </c>
      <c r="C3326" t="s">
        <v>46</v>
      </c>
      <c r="E3326" t="s">
        <v>9</v>
      </c>
      <c r="F3326" t="s">
        <v>10</v>
      </c>
    </row>
    <row r="3327" spans="1:6" hidden="1" x14ac:dyDescent="0.35">
      <c r="A3327" t="s">
        <v>11</v>
      </c>
      <c r="B3327" t="s">
        <v>70</v>
      </c>
      <c r="C3327" t="s">
        <v>46</v>
      </c>
      <c r="E3327" t="s">
        <v>9</v>
      </c>
      <c r="F3327" t="s">
        <v>10</v>
      </c>
    </row>
    <row r="3328" spans="1:6" hidden="1" x14ac:dyDescent="0.35">
      <c r="A3328" t="s">
        <v>58</v>
      </c>
      <c r="B3328" t="s">
        <v>70</v>
      </c>
      <c r="C3328" t="s">
        <v>46</v>
      </c>
      <c r="E3328" t="s">
        <v>9</v>
      </c>
      <c r="F3328" t="s">
        <v>10</v>
      </c>
    </row>
    <row r="3329" spans="1:6" hidden="1" x14ac:dyDescent="0.35">
      <c r="A3329" t="s">
        <v>59</v>
      </c>
      <c r="B3329" t="s">
        <v>70</v>
      </c>
      <c r="C3329" t="s">
        <v>46</v>
      </c>
      <c r="E3329" t="s">
        <v>9</v>
      </c>
      <c r="F3329" t="s">
        <v>10</v>
      </c>
    </row>
    <row r="3330" spans="1:6" hidden="1" x14ac:dyDescent="0.35">
      <c r="A3330" t="s">
        <v>60</v>
      </c>
      <c r="B3330" t="s">
        <v>70</v>
      </c>
      <c r="C3330" t="s">
        <v>46</v>
      </c>
      <c r="E3330" t="s">
        <v>9</v>
      </c>
      <c r="F3330" t="s">
        <v>10</v>
      </c>
    </row>
    <row r="3331" spans="1:6" hidden="1" x14ac:dyDescent="0.35">
      <c r="A3331" t="s">
        <v>61</v>
      </c>
      <c r="B3331" t="s">
        <v>70</v>
      </c>
      <c r="C3331" t="s">
        <v>46</v>
      </c>
      <c r="E3331" t="s">
        <v>9</v>
      </c>
      <c r="F3331" t="s">
        <v>10</v>
      </c>
    </row>
    <row r="3332" spans="1:6" hidden="1" x14ac:dyDescent="0.35">
      <c r="A3332" t="s">
        <v>62</v>
      </c>
      <c r="B3332" t="s">
        <v>70</v>
      </c>
      <c r="C3332" t="s">
        <v>46</v>
      </c>
      <c r="E3332" t="s">
        <v>9</v>
      </c>
      <c r="F3332" t="s">
        <v>10</v>
      </c>
    </row>
    <row r="3333" spans="1:6" hidden="1" x14ac:dyDescent="0.35">
      <c r="A3333" t="s">
        <v>63</v>
      </c>
      <c r="B3333" t="s">
        <v>70</v>
      </c>
      <c r="C3333" t="s">
        <v>46</v>
      </c>
      <c r="E3333" t="s">
        <v>9</v>
      </c>
      <c r="F3333" t="s">
        <v>10</v>
      </c>
    </row>
    <row r="3334" spans="1:6" hidden="1" x14ac:dyDescent="0.35">
      <c r="A3334" t="s">
        <v>64</v>
      </c>
      <c r="B3334" t="s">
        <v>70</v>
      </c>
      <c r="C3334" t="s">
        <v>46</v>
      </c>
      <c r="E3334" t="s">
        <v>9</v>
      </c>
      <c r="F3334" t="s">
        <v>10</v>
      </c>
    </row>
    <row r="3335" spans="1:6" hidden="1" x14ac:dyDescent="0.35">
      <c r="A3335" t="s">
        <v>65</v>
      </c>
      <c r="B3335" t="s">
        <v>70</v>
      </c>
      <c r="C3335" t="s">
        <v>46</v>
      </c>
      <c r="E3335" t="s">
        <v>9</v>
      </c>
      <c r="F3335" t="s">
        <v>10</v>
      </c>
    </row>
    <row r="3336" spans="1:6" hidden="1" x14ac:dyDescent="0.35">
      <c r="A3336" t="s">
        <v>66</v>
      </c>
      <c r="B3336" t="s">
        <v>70</v>
      </c>
      <c r="C3336" t="s">
        <v>46</v>
      </c>
      <c r="E3336" t="s">
        <v>9</v>
      </c>
      <c r="F3336" t="s">
        <v>10</v>
      </c>
    </row>
    <row r="3337" spans="1:6" hidden="1" x14ac:dyDescent="0.35">
      <c r="A3337" t="s">
        <v>67</v>
      </c>
      <c r="B3337" t="s">
        <v>70</v>
      </c>
      <c r="C3337" t="s">
        <v>46</v>
      </c>
      <c r="E3337" t="s">
        <v>9</v>
      </c>
      <c r="F3337" t="s">
        <v>10</v>
      </c>
    </row>
    <row r="3338" spans="1:6" hidden="1" x14ac:dyDescent="0.35">
      <c r="A3338" t="s">
        <v>57</v>
      </c>
      <c r="B3338" t="s">
        <v>70</v>
      </c>
      <c r="C3338" t="s">
        <v>24</v>
      </c>
      <c r="D3338">
        <v>0</v>
      </c>
      <c r="E3338" t="s">
        <v>9</v>
      </c>
      <c r="F3338" t="s">
        <v>10</v>
      </c>
    </row>
    <row r="3339" spans="1:6" hidden="1" x14ac:dyDescent="0.35">
      <c r="A3339" t="s">
        <v>11</v>
      </c>
      <c r="B3339" t="s">
        <v>70</v>
      </c>
      <c r="C3339" t="s">
        <v>24</v>
      </c>
      <c r="D3339">
        <v>0</v>
      </c>
      <c r="E3339" t="s">
        <v>9</v>
      </c>
      <c r="F3339" t="s">
        <v>10</v>
      </c>
    </row>
    <row r="3340" spans="1:6" hidden="1" x14ac:dyDescent="0.35">
      <c r="A3340" t="s">
        <v>58</v>
      </c>
      <c r="B3340" t="s">
        <v>70</v>
      </c>
      <c r="C3340" t="s">
        <v>24</v>
      </c>
      <c r="D3340">
        <v>0</v>
      </c>
      <c r="E3340" t="s">
        <v>9</v>
      </c>
      <c r="F3340" t="s">
        <v>10</v>
      </c>
    </row>
    <row r="3341" spans="1:6" hidden="1" x14ac:dyDescent="0.35">
      <c r="A3341" t="s">
        <v>59</v>
      </c>
      <c r="B3341" t="s">
        <v>70</v>
      </c>
      <c r="C3341" t="s">
        <v>24</v>
      </c>
      <c r="D3341">
        <v>0</v>
      </c>
      <c r="E3341" t="s">
        <v>9</v>
      </c>
      <c r="F3341" t="s">
        <v>10</v>
      </c>
    </row>
    <row r="3342" spans="1:6" hidden="1" x14ac:dyDescent="0.35">
      <c r="A3342" t="s">
        <v>60</v>
      </c>
      <c r="B3342" t="s">
        <v>70</v>
      </c>
      <c r="C3342" t="s">
        <v>24</v>
      </c>
      <c r="D3342">
        <v>0</v>
      </c>
      <c r="E3342" t="s">
        <v>9</v>
      </c>
      <c r="F3342" t="s">
        <v>10</v>
      </c>
    </row>
    <row r="3343" spans="1:6" hidden="1" x14ac:dyDescent="0.35">
      <c r="A3343" t="s">
        <v>61</v>
      </c>
      <c r="B3343" t="s">
        <v>70</v>
      </c>
      <c r="C3343" t="s">
        <v>24</v>
      </c>
      <c r="D3343">
        <v>0</v>
      </c>
      <c r="E3343" t="s">
        <v>9</v>
      </c>
      <c r="F3343" t="s">
        <v>10</v>
      </c>
    </row>
    <row r="3344" spans="1:6" hidden="1" x14ac:dyDescent="0.35">
      <c r="A3344" t="s">
        <v>62</v>
      </c>
      <c r="B3344" t="s">
        <v>70</v>
      </c>
      <c r="C3344" t="s">
        <v>24</v>
      </c>
      <c r="D3344">
        <v>0</v>
      </c>
      <c r="E3344" t="s">
        <v>9</v>
      </c>
      <c r="F3344" t="s">
        <v>10</v>
      </c>
    </row>
    <row r="3345" spans="1:6" hidden="1" x14ac:dyDescent="0.35">
      <c r="A3345" t="s">
        <v>63</v>
      </c>
      <c r="B3345" t="s">
        <v>70</v>
      </c>
      <c r="C3345" t="s">
        <v>24</v>
      </c>
      <c r="D3345">
        <v>0</v>
      </c>
      <c r="E3345" t="s">
        <v>9</v>
      </c>
      <c r="F3345" t="s">
        <v>10</v>
      </c>
    </row>
    <row r="3346" spans="1:6" hidden="1" x14ac:dyDescent="0.35">
      <c r="A3346" t="s">
        <v>64</v>
      </c>
      <c r="B3346" t="s">
        <v>70</v>
      </c>
      <c r="C3346" t="s">
        <v>24</v>
      </c>
      <c r="D3346">
        <v>0</v>
      </c>
      <c r="E3346" t="s">
        <v>9</v>
      </c>
      <c r="F3346" t="s">
        <v>10</v>
      </c>
    </row>
    <row r="3347" spans="1:6" hidden="1" x14ac:dyDescent="0.35">
      <c r="A3347" t="s">
        <v>65</v>
      </c>
      <c r="B3347" t="s">
        <v>70</v>
      </c>
      <c r="C3347" t="s">
        <v>24</v>
      </c>
      <c r="D3347">
        <v>0</v>
      </c>
      <c r="E3347" t="s">
        <v>9</v>
      </c>
      <c r="F3347" t="s">
        <v>10</v>
      </c>
    </row>
    <row r="3348" spans="1:6" hidden="1" x14ac:dyDescent="0.35">
      <c r="A3348" t="s">
        <v>66</v>
      </c>
      <c r="B3348" t="s">
        <v>70</v>
      </c>
      <c r="C3348" t="s">
        <v>24</v>
      </c>
      <c r="D3348">
        <v>0</v>
      </c>
      <c r="E3348" t="s">
        <v>9</v>
      </c>
      <c r="F3348" t="s">
        <v>10</v>
      </c>
    </row>
    <row r="3349" spans="1:6" hidden="1" x14ac:dyDescent="0.35">
      <c r="A3349" t="s">
        <v>67</v>
      </c>
      <c r="B3349" t="s">
        <v>70</v>
      </c>
      <c r="C3349" t="s">
        <v>24</v>
      </c>
      <c r="D3349">
        <v>0</v>
      </c>
      <c r="E3349" t="s">
        <v>9</v>
      </c>
      <c r="F3349" t="s">
        <v>10</v>
      </c>
    </row>
    <row r="3350" spans="1:6" hidden="1" x14ac:dyDescent="0.35">
      <c r="A3350" t="s">
        <v>57</v>
      </c>
      <c r="B3350" t="s">
        <v>70</v>
      </c>
      <c r="C3350" t="s">
        <v>47</v>
      </c>
      <c r="E3350" t="s">
        <v>9</v>
      </c>
      <c r="F3350" t="s">
        <v>10</v>
      </c>
    </row>
    <row r="3351" spans="1:6" hidden="1" x14ac:dyDescent="0.35">
      <c r="A3351" t="s">
        <v>11</v>
      </c>
      <c r="B3351" t="s">
        <v>70</v>
      </c>
      <c r="C3351" t="s">
        <v>47</v>
      </c>
      <c r="E3351" t="s">
        <v>9</v>
      </c>
      <c r="F3351" t="s">
        <v>10</v>
      </c>
    </row>
    <row r="3352" spans="1:6" hidden="1" x14ac:dyDescent="0.35">
      <c r="A3352" t="s">
        <v>58</v>
      </c>
      <c r="B3352" t="s">
        <v>70</v>
      </c>
      <c r="C3352" t="s">
        <v>47</v>
      </c>
      <c r="E3352" t="s">
        <v>9</v>
      </c>
      <c r="F3352" t="s">
        <v>10</v>
      </c>
    </row>
    <row r="3353" spans="1:6" hidden="1" x14ac:dyDescent="0.35">
      <c r="A3353" t="s">
        <v>59</v>
      </c>
      <c r="B3353" t="s">
        <v>70</v>
      </c>
      <c r="C3353" t="s">
        <v>47</v>
      </c>
      <c r="E3353" t="s">
        <v>9</v>
      </c>
      <c r="F3353" t="s">
        <v>10</v>
      </c>
    </row>
    <row r="3354" spans="1:6" hidden="1" x14ac:dyDescent="0.35">
      <c r="A3354" t="s">
        <v>60</v>
      </c>
      <c r="B3354" t="s">
        <v>70</v>
      </c>
      <c r="C3354" t="s">
        <v>47</v>
      </c>
      <c r="E3354" t="s">
        <v>9</v>
      </c>
      <c r="F3354" t="s">
        <v>10</v>
      </c>
    </row>
    <row r="3355" spans="1:6" hidden="1" x14ac:dyDescent="0.35">
      <c r="A3355" t="s">
        <v>61</v>
      </c>
      <c r="B3355" t="s">
        <v>70</v>
      </c>
      <c r="C3355" t="s">
        <v>47</v>
      </c>
      <c r="E3355" t="s">
        <v>9</v>
      </c>
      <c r="F3355" t="s">
        <v>10</v>
      </c>
    </row>
    <row r="3356" spans="1:6" hidden="1" x14ac:dyDescent="0.35">
      <c r="A3356" t="s">
        <v>62</v>
      </c>
      <c r="B3356" t="s">
        <v>70</v>
      </c>
      <c r="C3356" t="s">
        <v>47</v>
      </c>
      <c r="E3356" t="s">
        <v>9</v>
      </c>
      <c r="F3356" t="s">
        <v>10</v>
      </c>
    </row>
    <row r="3357" spans="1:6" hidden="1" x14ac:dyDescent="0.35">
      <c r="A3357" t="s">
        <v>63</v>
      </c>
      <c r="B3357" t="s">
        <v>70</v>
      </c>
      <c r="C3357" t="s">
        <v>47</v>
      </c>
      <c r="E3357" t="s">
        <v>9</v>
      </c>
      <c r="F3357" t="s">
        <v>10</v>
      </c>
    </row>
    <row r="3358" spans="1:6" hidden="1" x14ac:dyDescent="0.35">
      <c r="A3358" t="s">
        <v>64</v>
      </c>
      <c r="B3358" t="s">
        <v>70</v>
      </c>
      <c r="C3358" t="s">
        <v>47</v>
      </c>
      <c r="E3358" t="s">
        <v>9</v>
      </c>
      <c r="F3358" t="s">
        <v>10</v>
      </c>
    </row>
    <row r="3359" spans="1:6" hidden="1" x14ac:dyDescent="0.35">
      <c r="A3359" t="s">
        <v>65</v>
      </c>
      <c r="B3359" t="s">
        <v>70</v>
      </c>
      <c r="C3359" t="s">
        <v>47</v>
      </c>
      <c r="E3359" t="s">
        <v>9</v>
      </c>
      <c r="F3359" t="s">
        <v>10</v>
      </c>
    </row>
    <row r="3360" spans="1:6" hidden="1" x14ac:dyDescent="0.35">
      <c r="A3360" t="s">
        <v>66</v>
      </c>
      <c r="B3360" t="s">
        <v>70</v>
      </c>
      <c r="C3360" t="s">
        <v>47</v>
      </c>
      <c r="E3360" t="s">
        <v>9</v>
      </c>
      <c r="F3360" t="s">
        <v>10</v>
      </c>
    </row>
    <row r="3361" spans="1:6" hidden="1" x14ac:dyDescent="0.35">
      <c r="A3361" t="s">
        <v>67</v>
      </c>
      <c r="B3361" t="s">
        <v>70</v>
      </c>
      <c r="C3361" t="s">
        <v>47</v>
      </c>
      <c r="E3361" t="s">
        <v>9</v>
      </c>
      <c r="F3361" t="s">
        <v>10</v>
      </c>
    </row>
    <row r="3362" spans="1:6" hidden="1" x14ac:dyDescent="0.35">
      <c r="A3362" t="s">
        <v>57</v>
      </c>
      <c r="B3362" t="s">
        <v>70</v>
      </c>
      <c r="C3362" t="s">
        <v>48</v>
      </c>
      <c r="D3362">
        <v>0</v>
      </c>
      <c r="E3362" t="s">
        <v>9</v>
      </c>
      <c r="F3362" t="s">
        <v>10</v>
      </c>
    </row>
    <row r="3363" spans="1:6" hidden="1" x14ac:dyDescent="0.35">
      <c r="A3363" t="s">
        <v>11</v>
      </c>
      <c r="B3363" t="s">
        <v>70</v>
      </c>
      <c r="C3363" t="s">
        <v>48</v>
      </c>
      <c r="D3363">
        <v>0</v>
      </c>
      <c r="E3363" t="s">
        <v>9</v>
      </c>
      <c r="F3363" t="s">
        <v>10</v>
      </c>
    </row>
    <row r="3364" spans="1:6" hidden="1" x14ac:dyDescent="0.35">
      <c r="A3364" t="s">
        <v>58</v>
      </c>
      <c r="B3364" t="s">
        <v>70</v>
      </c>
      <c r="C3364" t="s">
        <v>48</v>
      </c>
      <c r="D3364">
        <v>0</v>
      </c>
      <c r="E3364" t="s">
        <v>9</v>
      </c>
      <c r="F3364" t="s">
        <v>10</v>
      </c>
    </row>
    <row r="3365" spans="1:6" hidden="1" x14ac:dyDescent="0.35">
      <c r="A3365" t="s">
        <v>59</v>
      </c>
      <c r="B3365" t="s">
        <v>70</v>
      </c>
      <c r="C3365" t="s">
        <v>48</v>
      </c>
      <c r="D3365">
        <v>0</v>
      </c>
      <c r="E3365" t="s">
        <v>9</v>
      </c>
      <c r="F3365" t="s">
        <v>10</v>
      </c>
    </row>
    <row r="3366" spans="1:6" hidden="1" x14ac:dyDescent="0.35">
      <c r="A3366" t="s">
        <v>60</v>
      </c>
      <c r="B3366" t="s">
        <v>70</v>
      </c>
      <c r="C3366" t="s">
        <v>48</v>
      </c>
      <c r="D3366">
        <v>0</v>
      </c>
      <c r="E3366" t="s">
        <v>9</v>
      </c>
      <c r="F3366" t="s">
        <v>10</v>
      </c>
    </row>
    <row r="3367" spans="1:6" hidden="1" x14ac:dyDescent="0.35">
      <c r="A3367" t="s">
        <v>61</v>
      </c>
      <c r="B3367" t="s">
        <v>70</v>
      </c>
      <c r="C3367" t="s">
        <v>48</v>
      </c>
      <c r="D3367">
        <v>0</v>
      </c>
      <c r="E3367" t="s">
        <v>9</v>
      </c>
      <c r="F3367" t="s">
        <v>10</v>
      </c>
    </row>
    <row r="3368" spans="1:6" hidden="1" x14ac:dyDescent="0.35">
      <c r="A3368" t="s">
        <v>62</v>
      </c>
      <c r="B3368" t="s">
        <v>70</v>
      </c>
      <c r="C3368" t="s">
        <v>48</v>
      </c>
      <c r="D3368">
        <v>0</v>
      </c>
      <c r="E3368" t="s">
        <v>9</v>
      </c>
      <c r="F3368" t="s">
        <v>10</v>
      </c>
    </row>
    <row r="3369" spans="1:6" hidden="1" x14ac:dyDescent="0.35">
      <c r="A3369" t="s">
        <v>63</v>
      </c>
      <c r="B3369" t="s">
        <v>70</v>
      </c>
      <c r="C3369" t="s">
        <v>48</v>
      </c>
      <c r="D3369">
        <v>0</v>
      </c>
      <c r="E3369" t="s">
        <v>9</v>
      </c>
      <c r="F3369" t="s">
        <v>10</v>
      </c>
    </row>
    <row r="3370" spans="1:6" hidden="1" x14ac:dyDescent="0.35">
      <c r="A3370" t="s">
        <v>64</v>
      </c>
      <c r="B3370" t="s">
        <v>70</v>
      </c>
      <c r="C3370" t="s">
        <v>48</v>
      </c>
      <c r="D3370">
        <v>0</v>
      </c>
      <c r="E3370" t="s">
        <v>9</v>
      </c>
      <c r="F3370" t="s">
        <v>10</v>
      </c>
    </row>
    <row r="3371" spans="1:6" hidden="1" x14ac:dyDescent="0.35">
      <c r="A3371" t="s">
        <v>65</v>
      </c>
      <c r="B3371" t="s">
        <v>70</v>
      </c>
      <c r="C3371" t="s">
        <v>48</v>
      </c>
      <c r="D3371">
        <v>0</v>
      </c>
      <c r="E3371" t="s">
        <v>9</v>
      </c>
      <c r="F3371" t="s">
        <v>10</v>
      </c>
    </row>
    <row r="3372" spans="1:6" hidden="1" x14ac:dyDescent="0.35">
      <c r="A3372" t="s">
        <v>66</v>
      </c>
      <c r="B3372" t="s">
        <v>70</v>
      </c>
      <c r="C3372" t="s">
        <v>48</v>
      </c>
      <c r="D3372">
        <v>0</v>
      </c>
      <c r="E3372" t="s">
        <v>9</v>
      </c>
      <c r="F3372" t="s">
        <v>10</v>
      </c>
    </row>
    <row r="3373" spans="1:6" hidden="1" x14ac:dyDescent="0.35">
      <c r="A3373" t="s">
        <v>67</v>
      </c>
      <c r="B3373" t="s">
        <v>70</v>
      </c>
      <c r="C3373" t="s">
        <v>48</v>
      </c>
      <c r="D3373">
        <v>0</v>
      </c>
      <c r="E3373" t="s">
        <v>9</v>
      </c>
      <c r="F3373" t="s">
        <v>10</v>
      </c>
    </row>
    <row r="3374" spans="1:6" hidden="1" x14ac:dyDescent="0.35">
      <c r="A3374" t="s">
        <v>57</v>
      </c>
      <c r="B3374" t="s">
        <v>70</v>
      </c>
      <c r="C3374" t="s">
        <v>49</v>
      </c>
      <c r="E3374" t="s">
        <v>9</v>
      </c>
      <c r="F3374" t="s">
        <v>10</v>
      </c>
    </row>
    <row r="3375" spans="1:6" hidden="1" x14ac:dyDescent="0.35">
      <c r="A3375" t="s">
        <v>11</v>
      </c>
      <c r="B3375" t="s">
        <v>70</v>
      </c>
      <c r="C3375" t="s">
        <v>49</v>
      </c>
      <c r="E3375" t="s">
        <v>9</v>
      </c>
      <c r="F3375" t="s">
        <v>10</v>
      </c>
    </row>
    <row r="3376" spans="1:6" hidden="1" x14ac:dyDescent="0.35">
      <c r="A3376" t="s">
        <v>58</v>
      </c>
      <c r="B3376" t="s">
        <v>70</v>
      </c>
      <c r="C3376" t="s">
        <v>49</v>
      </c>
      <c r="E3376" t="s">
        <v>9</v>
      </c>
      <c r="F3376" t="s">
        <v>10</v>
      </c>
    </row>
    <row r="3377" spans="1:6" hidden="1" x14ac:dyDescent="0.35">
      <c r="A3377" t="s">
        <v>59</v>
      </c>
      <c r="B3377" t="s">
        <v>70</v>
      </c>
      <c r="C3377" t="s">
        <v>49</v>
      </c>
      <c r="E3377" t="s">
        <v>9</v>
      </c>
      <c r="F3377" t="s">
        <v>10</v>
      </c>
    </row>
    <row r="3378" spans="1:6" hidden="1" x14ac:dyDescent="0.35">
      <c r="A3378" t="s">
        <v>60</v>
      </c>
      <c r="B3378" t="s">
        <v>70</v>
      </c>
      <c r="C3378" t="s">
        <v>49</v>
      </c>
      <c r="E3378" t="s">
        <v>9</v>
      </c>
      <c r="F3378" t="s">
        <v>10</v>
      </c>
    </row>
    <row r="3379" spans="1:6" hidden="1" x14ac:dyDescent="0.35">
      <c r="A3379" t="s">
        <v>61</v>
      </c>
      <c r="B3379" t="s">
        <v>70</v>
      </c>
      <c r="C3379" t="s">
        <v>49</v>
      </c>
      <c r="E3379" t="s">
        <v>9</v>
      </c>
      <c r="F3379" t="s">
        <v>10</v>
      </c>
    </row>
    <row r="3380" spans="1:6" hidden="1" x14ac:dyDescent="0.35">
      <c r="A3380" t="s">
        <v>62</v>
      </c>
      <c r="B3380" t="s">
        <v>70</v>
      </c>
      <c r="C3380" t="s">
        <v>49</v>
      </c>
      <c r="E3380" t="s">
        <v>9</v>
      </c>
      <c r="F3380" t="s">
        <v>10</v>
      </c>
    </row>
    <row r="3381" spans="1:6" hidden="1" x14ac:dyDescent="0.35">
      <c r="A3381" t="s">
        <v>63</v>
      </c>
      <c r="B3381" t="s">
        <v>70</v>
      </c>
      <c r="C3381" t="s">
        <v>49</v>
      </c>
      <c r="E3381" t="s">
        <v>9</v>
      </c>
      <c r="F3381" t="s">
        <v>10</v>
      </c>
    </row>
    <row r="3382" spans="1:6" hidden="1" x14ac:dyDescent="0.35">
      <c r="A3382" t="s">
        <v>64</v>
      </c>
      <c r="B3382" t="s">
        <v>70</v>
      </c>
      <c r="C3382" t="s">
        <v>49</v>
      </c>
      <c r="E3382" t="s">
        <v>9</v>
      </c>
      <c r="F3382" t="s">
        <v>10</v>
      </c>
    </row>
    <row r="3383" spans="1:6" hidden="1" x14ac:dyDescent="0.35">
      <c r="A3383" t="s">
        <v>65</v>
      </c>
      <c r="B3383" t="s">
        <v>70</v>
      </c>
      <c r="C3383" t="s">
        <v>49</v>
      </c>
      <c r="E3383" t="s">
        <v>9</v>
      </c>
      <c r="F3383" t="s">
        <v>10</v>
      </c>
    </row>
    <row r="3384" spans="1:6" hidden="1" x14ac:dyDescent="0.35">
      <c r="A3384" t="s">
        <v>66</v>
      </c>
      <c r="B3384" t="s">
        <v>70</v>
      </c>
      <c r="C3384" t="s">
        <v>49</v>
      </c>
      <c r="E3384" t="s">
        <v>9</v>
      </c>
      <c r="F3384" t="s">
        <v>10</v>
      </c>
    </row>
    <row r="3385" spans="1:6" hidden="1" x14ac:dyDescent="0.35">
      <c r="A3385" t="s">
        <v>67</v>
      </c>
      <c r="B3385" t="s">
        <v>70</v>
      </c>
      <c r="C3385" t="s">
        <v>49</v>
      </c>
      <c r="E3385" t="s">
        <v>9</v>
      </c>
      <c r="F3385" t="s">
        <v>10</v>
      </c>
    </row>
    <row r="3386" spans="1:6" hidden="1" x14ac:dyDescent="0.35">
      <c r="A3386" t="s">
        <v>57</v>
      </c>
      <c r="B3386" t="s">
        <v>70</v>
      </c>
      <c r="C3386" t="s">
        <v>50</v>
      </c>
      <c r="E3386" t="s">
        <v>9</v>
      </c>
      <c r="F3386" t="s">
        <v>10</v>
      </c>
    </row>
    <row r="3387" spans="1:6" hidden="1" x14ac:dyDescent="0.35">
      <c r="A3387" t="s">
        <v>11</v>
      </c>
      <c r="B3387" t="s">
        <v>70</v>
      </c>
      <c r="C3387" t="s">
        <v>50</v>
      </c>
      <c r="E3387" t="s">
        <v>9</v>
      </c>
      <c r="F3387" t="s">
        <v>10</v>
      </c>
    </row>
    <row r="3388" spans="1:6" hidden="1" x14ac:dyDescent="0.35">
      <c r="A3388" t="s">
        <v>58</v>
      </c>
      <c r="B3388" t="s">
        <v>70</v>
      </c>
      <c r="C3388" t="s">
        <v>50</v>
      </c>
      <c r="E3388" t="s">
        <v>9</v>
      </c>
      <c r="F3388" t="s">
        <v>10</v>
      </c>
    </row>
    <row r="3389" spans="1:6" hidden="1" x14ac:dyDescent="0.35">
      <c r="A3389" t="s">
        <v>59</v>
      </c>
      <c r="B3389" t="s">
        <v>70</v>
      </c>
      <c r="C3389" t="s">
        <v>50</v>
      </c>
      <c r="E3389" t="s">
        <v>9</v>
      </c>
      <c r="F3389" t="s">
        <v>10</v>
      </c>
    </row>
    <row r="3390" spans="1:6" hidden="1" x14ac:dyDescent="0.35">
      <c r="A3390" t="s">
        <v>60</v>
      </c>
      <c r="B3390" t="s">
        <v>70</v>
      </c>
      <c r="C3390" t="s">
        <v>50</v>
      </c>
      <c r="E3390" t="s">
        <v>9</v>
      </c>
      <c r="F3390" t="s">
        <v>10</v>
      </c>
    </row>
    <row r="3391" spans="1:6" hidden="1" x14ac:dyDescent="0.35">
      <c r="A3391" t="s">
        <v>61</v>
      </c>
      <c r="B3391" t="s">
        <v>70</v>
      </c>
      <c r="C3391" t="s">
        <v>50</v>
      </c>
      <c r="E3391" t="s">
        <v>9</v>
      </c>
      <c r="F3391" t="s">
        <v>10</v>
      </c>
    </row>
    <row r="3392" spans="1:6" hidden="1" x14ac:dyDescent="0.35">
      <c r="A3392" t="s">
        <v>62</v>
      </c>
      <c r="B3392" t="s">
        <v>70</v>
      </c>
      <c r="C3392" t="s">
        <v>50</v>
      </c>
      <c r="E3392" t="s">
        <v>9</v>
      </c>
      <c r="F3392" t="s">
        <v>10</v>
      </c>
    </row>
    <row r="3393" spans="1:6" hidden="1" x14ac:dyDescent="0.35">
      <c r="A3393" t="s">
        <v>63</v>
      </c>
      <c r="B3393" t="s">
        <v>70</v>
      </c>
      <c r="C3393" t="s">
        <v>50</v>
      </c>
      <c r="E3393" t="s">
        <v>9</v>
      </c>
      <c r="F3393" t="s">
        <v>10</v>
      </c>
    </row>
    <row r="3394" spans="1:6" hidden="1" x14ac:dyDescent="0.35">
      <c r="A3394" t="s">
        <v>64</v>
      </c>
      <c r="B3394" t="s">
        <v>70</v>
      </c>
      <c r="C3394" t="s">
        <v>50</v>
      </c>
      <c r="E3394" t="s">
        <v>9</v>
      </c>
      <c r="F3394" t="s">
        <v>10</v>
      </c>
    </row>
    <row r="3395" spans="1:6" hidden="1" x14ac:dyDescent="0.35">
      <c r="A3395" t="s">
        <v>65</v>
      </c>
      <c r="B3395" t="s">
        <v>70</v>
      </c>
      <c r="C3395" t="s">
        <v>50</v>
      </c>
      <c r="E3395" t="s">
        <v>9</v>
      </c>
      <c r="F3395" t="s">
        <v>10</v>
      </c>
    </row>
    <row r="3396" spans="1:6" hidden="1" x14ac:dyDescent="0.35">
      <c r="A3396" t="s">
        <v>66</v>
      </c>
      <c r="B3396" t="s">
        <v>70</v>
      </c>
      <c r="C3396" t="s">
        <v>50</v>
      </c>
      <c r="E3396" t="s">
        <v>9</v>
      </c>
      <c r="F3396" t="s">
        <v>10</v>
      </c>
    </row>
    <row r="3397" spans="1:6" hidden="1" x14ac:dyDescent="0.35">
      <c r="A3397" t="s">
        <v>67</v>
      </c>
      <c r="B3397" t="s">
        <v>70</v>
      </c>
      <c r="C3397" t="s">
        <v>50</v>
      </c>
      <c r="E3397" t="s">
        <v>9</v>
      </c>
      <c r="F3397" t="s">
        <v>10</v>
      </c>
    </row>
    <row r="3398" spans="1:6" hidden="1" x14ac:dyDescent="0.35">
      <c r="A3398" t="s">
        <v>57</v>
      </c>
      <c r="B3398" t="s">
        <v>70</v>
      </c>
      <c r="C3398" t="s">
        <v>51</v>
      </c>
      <c r="E3398" t="s">
        <v>9</v>
      </c>
      <c r="F3398" t="s">
        <v>10</v>
      </c>
    </row>
    <row r="3399" spans="1:6" hidden="1" x14ac:dyDescent="0.35">
      <c r="A3399" t="s">
        <v>11</v>
      </c>
      <c r="B3399" t="s">
        <v>70</v>
      </c>
      <c r="C3399" t="s">
        <v>51</v>
      </c>
      <c r="E3399" t="s">
        <v>9</v>
      </c>
      <c r="F3399" t="s">
        <v>10</v>
      </c>
    </row>
    <row r="3400" spans="1:6" hidden="1" x14ac:dyDescent="0.35">
      <c r="A3400" t="s">
        <v>58</v>
      </c>
      <c r="B3400" t="s">
        <v>70</v>
      </c>
      <c r="C3400" t="s">
        <v>51</v>
      </c>
      <c r="E3400" t="s">
        <v>9</v>
      </c>
      <c r="F3400" t="s">
        <v>10</v>
      </c>
    </row>
    <row r="3401" spans="1:6" hidden="1" x14ac:dyDescent="0.35">
      <c r="A3401" t="s">
        <v>59</v>
      </c>
      <c r="B3401" t="s">
        <v>70</v>
      </c>
      <c r="C3401" t="s">
        <v>51</v>
      </c>
      <c r="E3401" t="s">
        <v>9</v>
      </c>
      <c r="F3401" t="s">
        <v>10</v>
      </c>
    </row>
    <row r="3402" spans="1:6" hidden="1" x14ac:dyDescent="0.35">
      <c r="A3402" t="s">
        <v>60</v>
      </c>
      <c r="B3402" t="s">
        <v>70</v>
      </c>
      <c r="C3402" t="s">
        <v>51</v>
      </c>
      <c r="E3402" t="s">
        <v>9</v>
      </c>
      <c r="F3402" t="s">
        <v>10</v>
      </c>
    </row>
    <row r="3403" spans="1:6" hidden="1" x14ac:dyDescent="0.35">
      <c r="A3403" t="s">
        <v>61</v>
      </c>
      <c r="B3403" t="s">
        <v>70</v>
      </c>
      <c r="C3403" t="s">
        <v>51</v>
      </c>
      <c r="E3403" t="s">
        <v>9</v>
      </c>
      <c r="F3403" t="s">
        <v>10</v>
      </c>
    </row>
    <row r="3404" spans="1:6" hidden="1" x14ac:dyDescent="0.35">
      <c r="A3404" t="s">
        <v>62</v>
      </c>
      <c r="B3404" t="s">
        <v>70</v>
      </c>
      <c r="C3404" t="s">
        <v>51</v>
      </c>
      <c r="E3404" t="s">
        <v>9</v>
      </c>
      <c r="F3404" t="s">
        <v>10</v>
      </c>
    </row>
    <row r="3405" spans="1:6" hidden="1" x14ac:dyDescent="0.35">
      <c r="A3405" t="s">
        <v>63</v>
      </c>
      <c r="B3405" t="s">
        <v>70</v>
      </c>
      <c r="C3405" t="s">
        <v>51</v>
      </c>
      <c r="E3405" t="s">
        <v>9</v>
      </c>
      <c r="F3405" t="s">
        <v>10</v>
      </c>
    </row>
    <row r="3406" spans="1:6" hidden="1" x14ac:dyDescent="0.35">
      <c r="A3406" t="s">
        <v>64</v>
      </c>
      <c r="B3406" t="s">
        <v>70</v>
      </c>
      <c r="C3406" t="s">
        <v>51</v>
      </c>
      <c r="E3406" t="s">
        <v>9</v>
      </c>
      <c r="F3406" t="s">
        <v>10</v>
      </c>
    </row>
    <row r="3407" spans="1:6" hidden="1" x14ac:dyDescent="0.35">
      <c r="A3407" t="s">
        <v>65</v>
      </c>
      <c r="B3407" t="s">
        <v>70</v>
      </c>
      <c r="C3407" t="s">
        <v>51</v>
      </c>
      <c r="E3407" t="s">
        <v>9</v>
      </c>
      <c r="F3407" t="s">
        <v>10</v>
      </c>
    </row>
    <row r="3408" spans="1:6" hidden="1" x14ac:dyDescent="0.35">
      <c r="A3408" t="s">
        <v>66</v>
      </c>
      <c r="B3408" t="s">
        <v>70</v>
      </c>
      <c r="C3408" t="s">
        <v>51</v>
      </c>
      <c r="E3408" t="s">
        <v>9</v>
      </c>
      <c r="F3408" t="s">
        <v>10</v>
      </c>
    </row>
    <row r="3409" spans="1:6" hidden="1" x14ac:dyDescent="0.35">
      <c r="A3409" t="s">
        <v>67</v>
      </c>
      <c r="B3409" t="s">
        <v>70</v>
      </c>
      <c r="C3409" t="s">
        <v>51</v>
      </c>
      <c r="E3409" t="s">
        <v>9</v>
      </c>
      <c r="F3409" t="s">
        <v>10</v>
      </c>
    </row>
    <row r="3410" spans="1:6" hidden="1" x14ac:dyDescent="0.35">
      <c r="A3410" t="s">
        <v>57</v>
      </c>
      <c r="B3410" t="s">
        <v>70</v>
      </c>
      <c r="C3410" t="s">
        <v>30</v>
      </c>
      <c r="E3410" t="s">
        <v>9</v>
      </c>
      <c r="F3410" t="s">
        <v>10</v>
      </c>
    </row>
    <row r="3411" spans="1:6" hidden="1" x14ac:dyDescent="0.35">
      <c r="A3411" t="s">
        <v>11</v>
      </c>
      <c r="B3411" t="s">
        <v>70</v>
      </c>
      <c r="C3411" t="s">
        <v>30</v>
      </c>
      <c r="E3411" t="s">
        <v>9</v>
      </c>
      <c r="F3411" t="s">
        <v>10</v>
      </c>
    </row>
    <row r="3412" spans="1:6" hidden="1" x14ac:dyDescent="0.35">
      <c r="A3412" t="s">
        <v>58</v>
      </c>
      <c r="B3412" t="s">
        <v>70</v>
      </c>
      <c r="C3412" t="s">
        <v>30</v>
      </c>
      <c r="E3412" t="s">
        <v>9</v>
      </c>
      <c r="F3412" t="s">
        <v>10</v>
      </c>
    </row>
    <row r="3413" spans="1:6" hidden="1" x14ac:dyDescent="0.35">
      <c r="A3413" t="s">
        <v>59</v>
      </c>
      <c r="B3413" t="s">
        <v>70</v>
      </c>
      <c r="C3413" t="s">
        <v>30</v>
      </c>
      <c r="E3413" t="s">
        <v>9</v>
      </c>
      <c r="F3413" t="s">
        <v>10</v>
      </c>
    </row>
    <row r="3414" spans="1:6" hidden="1" x14ac:dyDescent="0.35">
      <c r="A3414" t="s">
        <v>60</v>
      </c>
      <c r="B3414" t="s">
        <v>70</v>
      </c>
      <c r="C3414" t="s">
        <v>30</v>
      </c>
      <c r="E3414" t="s">
        <v>9</v>
      </c>
      <c r="F3414" t="s">
        <v>10</v>
      </c>
    </row>
    <row r="3415" spans="1:6" hidden="1" x14ac:dyDescent="0.35">
      <c r="A3415" t="s">
        <v>61</v>
      </c>
      <c r="B3415" t="s">
        <v>70</v>
      </c>
      <c r="C3415" t="s">
        <v>30</v>
      </c>
      <c r="E3415" t="s">
        <v>9</v>
      </c>
      <c r="F3415" t="s">
        <v>10</v>
      </c>
    </row>
    <row r="3416" spans="1:6" hidden="1" x14ac:dyDescent="0.35">
      <c r="A3416" t="s">
        <v>62</v>
      </c>
      <c r="B3416" t="s">
        <v>70</v>
      </c>
      <c r="C3416" t="s">
        <v>30</v>
      </c>
      <c r="E3416" t="s">
        <v>9</v>
      </c>
      <c r="F3416" t="s">
        <v>10</v>
      </c>
    </row>
    <row r="3417" spans="1:6" hidden="1" x14ac:dyDescent="0.35">
      <c r="A3417" t="s">
        <v>63</v>
      </c>
      <c r="B3417" t="s">
        <v>70</v>
      </c>
      <c r="C3417" t="s">
        <v>30</v>
      </c>
      <c r="E3417" t="s">
        <v>9</v>
      </c>
      <c r="F3417" t="s">
        <v>10</v>
      </c>
    </row>
    <row r="3418" spans="1:6" hidden="1" x14ac:dyDescent="0.35">
      <c r="A3418" t="s">
        <v>64</v>
      </c>
      <c r="B3418" t="s">
        <v>70</v>
      </c>
      <c r="C3418" t="s">
        <v>30</v>
      </c>
      <c r="D3418">
        <v>1</v>
      </c>
      <c r="E3418" t="s">
        <v>9</v>
      </c>
      <c r="F3418" t="s">
        <v>10</v>
      </c>
    </row>
    <row r="3419" spans="1:6" hidden="1" x14ac:dyDescent="0.35">
      <c r="A3419" t="s">
        <v>65</v>
      </c>
      <c r="B3419" t="s">
        <v>70</v>
      </c>
      <c r="C3419" t="s">
        <v>30</v>
      </c>
      <c r="E3419" t="s">
        <v>9</v>
      </c>
      <c r="F3419" t="s">
        <v>10</v>
      </c>
    </row>
    <row r="3420" spans="1:6" hidden="1" x14ac:dyDescent="0.35">
      <c r="A3420" t="s">
        <v>66</v>
      </c>
      <c r="B3420" t="s">
        <v>70</v>
      </c>
      <c r="C3420" t="s">
        <v>30</v>
      </c>
      <c r="E3420" t="s">
        <v>9</v>
      </c>
      <c r="F3420" t="s">
        <v>10</v>
      </c>
    </row>
    <row r="3421" spans="1:6" hidden="1" x14ac:dyDescent="0.35">
      <c r="A3421" t="s">
        <v>67</v>
      </c>
      <c r="B3421" t="s">
        <v>70</v>
      </c>
      <c r="C3421" t="s">
        <v>30</v>
      </c>
      <c r="E3421" t="s">
        <v>9</v>
      </c>
      <c r="F3421" t="s">
        <v>10</v>
      </c>
    </row>
    <row r="3422" spans="1:6" hidden="1" x14ac:dyDescent="0.35">
      <c r="A3422" t="s">
        <v>57</v>
      </c>
      <c r="B3422" t="s">
        <v>70</v>
      </c>
      <c r="C3422" t="s">
        <v>52</v>
      </c>
      <c r="E3422" t="s">
        <v>9</v>
      </c>
      <c r="F3422" t="s">
        <v>10</v>
      </c>
    </row>
    <row r="3423" spans="1:6" hidden="1" x14ac:dyDescent="0.35">
      <c r="A3423" t="s">
        <v>11</v>
      </c>
      <c r="B3423" t="s">
        <v>70</v>
      </c>
      <c r="C3423" t="s">
        <v>52</v>
      </c>
      <c r="E3423" t="s">
        <v>9</v>
      </c>
      <c r="F3423" t="s">
        <v>10</v>
      </c>
    </row>
    <row r="3424" spans="1:6" hidden="1" x14ac:dyDescent="0.35">
      <c r="A3424" t="s">
        <v>58</v>
      </c>
      <c r="B3424" t="s">
        <v>70</v>
      </c>
      <c r="C3424" t="s">
        <v>52</v>
      </c>
      <c r="E3424" t="s">
        <v>9</v>
      </c>
      <c r="F3424" t="s">
        <v>10</v>
      </c>
    </row>
    <row r="3425" spans="1:6" hidden="1" x14ac:dyDescent="0.35">
      <c r="A3425" t="s">
        <v>59</v>
      </c>
      <c r="B3425" t="s">
        <v>70</v>
      </c>
      <c r="C3425" t="s">
        <v>52</v>
      </c>
      <c r="E3425" t="s">
        <v>9</v>
      </c>
      <c r="F3425" t="s">
        <v>10</v>
      </c>
    </row>
    <row r="3426" spans="1:6" hidden="1" x14ac:dyDescent="0.35">
      <c r="A3426" t="s">
        <v>60</v>
      </c>
      <c r="B3426" t="s">
        <v>70</v>
      </c>
      <c r="C3426" t="s">
        <v>52</v>
      </c>
      <c r="E3426" t="s">
        <v>9</v>
      </c>
      <c r="F3426" t="s">
        <v>10</v>
      </c>
    </row>
    <row r="3427" spans="1:6" hidden="1" x14ac:dyDescent="0.35">
      <c r="A3427" t="s">
        <v>61</v>
      </c>
      <c r="B3427" t="s">
        <v>70</v>
      </c>
      <c r="C3427" t="s">
        <v>52</v>
      </c>
      <c r="E3427" t="s">
        <v>9</v>
      </c>
      <c r="F3427" t="s">
        <v>10</v>
      </c>
    </row>
    <row r="3428" spans="1:6" hidden="1" x14ac:dyDescent="0.35">
      <c r="A3428" t="s">
        <v>62</v>
      </c>
      <c r="B3428" t="s">
        <v>70</v>
      </c>
      <c r="C3428" t="s">
        <v>52</v>
      </c>
      <c r="E3428" t="s">
        <v>9</v>
      </c>
      <c r="F3428" t="s">
        <v>10</v>
      </c>
    </row>
    <row r="3429" spans="1:6" hidden="1" x14ac:dyDescent="0.35">
      <c r="A3429" t="s">
        <v>63</v>
      </c>
      <c r="B3429" t="s">
        <v>70</v>
      </c>
      <c r="C3429" t="s">
        <v>52</v>
      </c>
      <c r="E3429" t="s">
        <v>9</v>
      </c>
      <c r="F3429" t="s">
        <v>10</v>
      </c>
    </row>
    <row r="3430" spans="1:6" hidden="1" x14ac:dyDescent="0.35">
      <c r="A3430" t="s">
        <v>64</v>
      </c>
      <c r="B3430" t="s">
        <v>70</v>
      </c>
      <c r="C3430" t="s">
        <v>52</v>
      </c>
      <c r="E3430" t="s">
        <v>9</v>
      </c>
      <c r="F3430" t="s">
        <v>10</v>
      </c>
    </row>
    <row r="3431" spans="1:6" hidden="1" x14ac:dyDescent="0.35">
      <c r="A3431" t="s">
        <v>65</v>
      </c>
      <c r="B3431" t="s">
        <v>70</v>
      </c>
      <c r="C3431" t="s">
        <v>52</v>
      </c>
      <c r="E3431" t="s">
        <v>9</v>
      </c>
      <c r="F3431" t="s">
        <v>10</v>
      </c>
    </row>
    <row r="3432" spans="1:6" hidden="1" x14ac:dyDescent="0.35">
      <c r="A3432" t="s">
        <v>66</v>
      </c>
      <c r="B3432" t="s">
        <v>70</v>
      </c>
      <c r="C3432" t="s">
        <v>52</v>
      </c>
      <c r="E3432" t="s">
        <v>9</v>
      </c>
      <c r="F3432" t="s">
        <v>10</v>
      </c>
    </row>
    <row r="3433" spans="1:6" hidden="1" x14ac:dyDescent="0.35">
      <c r="A3433" t="s">
        <v>67</v>
      </c>
      <c r="B3433" t="s">
        <v>70</v>
      </c>
      <c r="C3433" t="s">
        <v>52</v>
      </c>
      <c r="E3433" t="s">
        <v>9</v>
      </c>
      <c r="F3433" t="s">
        <v>10</v>
      </c>
    </row>
    <row r="3434" spans="1:6" hidden="1" x14ac:dyDescent="0.35">
      <c r="A3434" t="s">
        <v>57</v>
      </c>
      <c r="B3434" t="s">
        <v>39</v>
      </c>
      <c r="C3434" t="s">
        <v>44</v>
      </c>
      <c r="E3434" t="s">
        <v>9</v>
      </c>
      <c r="F3434" t="s">
        <v>10</v>
      </c>
    </row>
    <row r="3435" spans="1:6" hidden="1" x14ac:dyDescent="0.35">
      <c r="A3435" t="s">
        <v>11</v>
      </c>
      <c r="B3435" t="s">
        <v>39</v>
      </c>
      <c r="C3435" t="s">
        <v>44</v>
      </c>
      <c r="E3435" t="s">
        <v>9</v>
      </c>
      <c r="F3435" t="s">
        <v>10</v>
      </c>
    </row>
    <row r="3436" spans="1:6" hidden="1" x14ac:dyDescent="0.35">
      <c r="A3436" t="s">
        <v>58</v>
      </c>
      <c r="B3436" t="s">
        <v>39</v>
      </c>
      <c r="C3436" t="s">
        <v>44</v>
      </c>
      <c r="E3436" t="s">
        <v>9</v>
      </c>
      <c r="F3436" t="s">
        <v>10</v>
      </c>
    </row>
    <row r="3437" spans="1:6" hidden="1" x14ac:dyDescent="0.35">
      <c r="A3437" t="s">
        <v>59</v>
      </c>
      <c r="B3437" t="s">
        <v>39</v>
      </c>
      <c r="C3437" t="s">
        <v>44</v>
      </c>
      <c r="E3437" t="s">
        <v>9</v>
      </c>
      <c r="F3437" t="s">
        <v>10</v>
      </c>
    </row>
    <row r="3438" spans="1:6" hidden="1" x14ac:dyDescent="0.35">
      <c r="A3438" t="s">
        <v>60</v>
      </c>
      <c r="B3438" t="s">
        <v>39</v>
      </c>
      <c r="C3438" t="s">
        <v>44</v>
      </c>
      <c r="E3438" t="s">
        <v>9</v>
      </c>
      <c r="F3438" t="s">
        <v>10</v>
      </c>
    </row>
    <row r="3439" spans="1:6" hidden="1" x14ac:dyDescent="0.35">
      <c r="A3439" t="s">
        <v>61</v>
      </c>
      <c r="B3439" t="s">
        <v>39</v>
      </c>
      <c r="C3439" t="s">
        <v>44</v>
      </c>
      <c r="E3439" t="s">
        <v>9</v>
      </c>
      <c r="F3439" t="s">
        <v>10</v>
      </c>
    </row>
    <row r="3440" spans="1:6" hidden="1" x14ac:dyDescent="0.35">
      <c r="A3440" t="s">
        <v>62</v>
      </c>
      <c r="B3440" t="s">
        <v>39</v>
      </c>
      <c r="C3440" t="s">
        <v>44</v>
      </c>
      <c r="E3440" t="s">
        <v>9</v>
      </c>
      <c r="F3440" t="s">
        <v>10</v>
      </c>
    </row>
    <row r="3441" spans="1:6" hidden="1" x14ac:dyDescent="0.35">
      <c r="A3441" t="s">
        <v>63</v>
      </c>
      <c r="B3441" t="s">
        <v>39</v>
      </c>
      <c r="C3441" t="s">
        <v>44</v>
      </c>
      <c r="D3441">
        <v>41520.2592</v>
      </c>
      <c r="E3441" t="s">
        <v>9</v>
      </c>
      <c r="F3441" t="s">
        <v>10</v>
      </c>
    </row>
    <row r="3442" spans="1:6" hidden="1" x14ac:dyDescent="0.35">
      <c r="A3442" t="s">
        <v>64</v>
      </c>
      <c r="B3442" t="s">
        <v>39</v>
      </c>
      <c r="C3442" t="s">
        <v>44</v>
      </c>
      <c r="E3442" t="s">
        <v>9</v>
      </c>
      <c r="F3442" t="s">
        <v>10</v>
      </c>
    </row>
    <row r="3443" spans="1:6" hidden="1" x14ac:dyDescent="0.35">
      <c r="A3443" t="s">
        <v>65</v>
      </c>
      <c r="B3443" t="s">
        <v>39</v>
      </c>
      <c r="C3443" t="s">
        <v>44</v>
      </c>
      <c r="E3443" t="s">
        <v>9</v>
      </c>
      <c r="F3443" t="s">
        <v>10</v>
      </c>
    </row>
    <row r="3444" spans="1:6" hidden="1" x14ac:dyDescent="0.35">
      <c r="A3444" t="s">
        <v>66</v>
      </c>
      <c r="B3444" t="s">
        <v>39</v>
      </c>
      <c r="C3444" t="s">
        <v>44</v>
      </c>
      <c r="D3444">
        <v>0</v>
      </c>
      <c r="E3444" t="s">
        <v>9</v>
      </c>
      <c r="F3444" t="s">
        <v>10</v>
      </c>
    </row>
    <row r="3445" spans="1:6" hidden="1" x14ac:dyDescent="0.35">
      <c r="A3445" t="s">
        <v>67</v>
      </c>
      <c r="B3445" t="s">
        <v>39</v>
      </c>
      <c r="C3445" t="s">
        <v>44</v>
      </c>
      <c r="E3445" t="s">
        <v>9</v>
      </c>
      <c r="F3445" t="s">
        <v>10</v>
      </c>
    </row>
    <row r="3446" spans="1:6" hidden="1" x14ac:dyDescent="0.35">
      <c r="A3446" t="s">
        <v>57</v>
      </c>
      <c r="B3446" t="s">
        <v>39</v>
      </c>
      <c r="C3446" t="s">
        <v>22</v>
      </c>
      <c r="D3446">
        <v>0</v>
      </c>
      <c r="E3446" t="s">
        <v>9</v>
      </c>
      <c r="F3446" t="s">
        <v>10</v>
      </c>
    </row>
    <row r="3447" spans="1:6" hidden="1" x14ac:dyDescent="0.35">
      <c r="A3447" t="s">
        <v>11</v>
      </c>
      <c r="B3447" t="s">
        <v>39</v>
      </c>
      <c r="C3447" t="s">
        <v>22</v>
      </c>
      <c r="D3447">
        <v>0</v>
      </c>
      <c r="E3447" t="s">
        <v>9</v>
      </c>
      <c r="F3447" t="s">
        <v>10</v>
      </c>
    </row>
    <row r="3448" spans="1:6" hidden="1" x14ac:dyDescent="0.35">
      <c r="A3448" t="s">
        <v>58</v>
      </c>
      <c r="B3448" t="s">
        <v>39</v>
      </c>
      <c r="C3448" t="s">
        <v>22</v>
      </c>
      <c r="D3448">
        <v>0</v>
      </c>
      <c r="E3448" t="s">
        <v>9</v>
      </c>
      <c r="F3448" t="s">
        <v>10</v>
      </c>
    </row>
    <row r="3449" spans="1:6" hidden="1" x14ac:dyDescent="0.35">
      <c r="A3449" t="s">
        <v>59</v>
      </c>
      <c r="B3449" t="s">
        <v>39</v>
      </c>
      <c r="C3449" t="s">
        <v>22</v>
      </c>
      <c r="D3449">
        <v>0</v>
      </c>
      <c r="E3449" t="s">
        <v>9</v>
      </c>
      <c r="F3449" t="s">
        <v>10</v>
      </c>
    </row>
    <row r="3450" spans="1:6" hidden="1" x14ac:dyDescent="0.35">
      <c r="A3450" t="s">
        <v>60</v>
      </c>
      <c r="B3450" t="s">
        <v>39</v>
      </c>
      <c r="C3450" t="s">
        <v>22</v>
      </c>
      <c r="D3450">
        <v>0</v>
      </c>
      <c r="E3450" t="s">
        <v>9</v>
      </c>
      <c r="F3450" t="s">
        <v>10</v>
      </c>
    </row>
    <row r="3451" spans="1:6" hidden="1" x14ac:dyDescent="0.35">
      <c r="A3451" t="s">
        <v>61</v>
      </c>
      <c r="B3451" t="s">
        <v>39</v>
      </c>
      <c r="C3451" t="s">
        <v>22</v>
      </c>
      <c r="D3451">
        <v>0</v>
      </c>
      <c r="E3451" t="s">
        <v>9</v>
      </c>
      <c r="F3451" t="s">
        <v>10</v>
      </c>
    </row>
    <row r="3452" spans="1:6" hidden="1" x14ac:dyDescent="0.35">
      <c r="A3452" t="s">
        <v>62</v>
      </c>
      <c r="B3452" t="s">
        <v>39</v>
      </c>
      <c r="C3452" t="s">
        <v>22</v>
      </c>
      <c r="D3452">
        <v>0</v>
      </c>
      <c r="E3452" t="s">
        <v>9</v>
      </c>
      <c r="F3452" t="s">
        <v>10</v>
      </c>
    </row>
    <row r="3453" spans="1:6" hidden="1" x14ac:dyDescent="0.35">
      <c r="A3453" t="s">
        <v>63</v>
      </c>
      <c r="B3453" t="s">
        <v>39</v>
      </c>
      <c r="C3453" t="s">
        <v>22</v>
      </c>
      <c r="D3453">
        <v>0</v>
      </c>
      <c r="E3453" t="s">
        <v>9</v>
      </c>
      <c r="F3453" t="s">
        <v>10</v>
      </c>
    </row>
    <row r="3454" spans="1:6" hidden="1" x14ac:dyDescent="0.35">
      <c r="A3454" t="s">
        <v>64</v>
      </c>
      <c r="B3454" t="s">
        <v>39</v>
      </c>
      <c r="C3454" t="s">
        <v>22</v>
      </c>
      <c r="D3454">
        <v>0</v>
      </c>
      <c r="E3454" t="s">
        <v>9</v>
      </c>
      <c r="F3454" t="s">
        <v>10</v>
      </c>
    </row>
    <row r="3455" spans="1:6" hidden="1" x14ac:dyDescent="0.35">
      <c r="A3455" t="s">
        <v>65</v>
      </c>
      <c r="B3455" t="s">
        <v>39</v>
      </c>
      <c r="C3455" t="s">
        <v>22</v>
      </c>
      <c r="D3455">
        <v>0</v>
      </c>
      <c r="E3455" t="s">
        <v>9</v>
      </c>
      <c r="F3455" t="s">
        <v>10</v>
      </c>
    </row>
    <row r="3456" spans="1:6" hidden="1" x14ac:dyDescent="0.35">
      <c r="A3456" t="s">
        <v>66</v>
      </c>
      <c r="B3456" t="s">
        <v>39</v>
      </c>
      <c r="C3456" t="s">
        <v>22</v>
      </c>
      <c r="D3456">
        <v>0</v>
      </c>
      <c r="E3456" t="s">
        <v>9</v>
      </c>
      <c r="F3456" t="s">
        <v>10</v>
      </c>
    </row>
    <row r="3457" spans="1:6" hidden="1" x14ac:dyDescent="0.35">
      <c r="A3457" t="s">
        <v>67</v>
      </c>
      <c r="B3457" t="s">
        <v>39</v>
      </c>
      <c r="C3457" t="s">
        <v>22</v>
      </c>
      <c r="D3457">
        <v>0</v>
      </c>
      <c r="E3457" t="s">
        <v>9</v>
      </c>
      <c r="F3457" t="s">
        <v>10</v>
      </c>
    </row>
    <row r="3458" spans="1:6" hidden="1" x14ac:dyDescent="0.35">
      <c r="A3458" t="s">
        <v>57</v>
      </c>
      <c r="B3458" t="s">
        <v>39</v>
      </c>
      <c r="C3458" t="s">
        <v>46</v>
      </c>
      <c r="E3458" t="s">
        <v>9</v>
      </c>
      <c r="F3458" t="s">
        <v>10</v>
      </c>
    </row>
    <row r="3459" spans="1:6" hidden="1" x14ac:dyDescent="0.35">
      <c r="A3459" t="s">
        <v>11</v>
      </c>
      <c r="B3459" t="s">
        <v>39</v>
      </c>
      <c r="C3459" t="s">
        <v>46</v>
      </c>
      <c r="E3459" t="s">
        <v>9</v>
      </c>
      <c r="F3459" t="s">
        <v>10</v>
      </c>
    </row>
    <row r="3460" spans="1:6" hidden="1" x14ac:dyDescent="0.35">
      <c r="A3460" t="s">
        <v>58</v>
      </c>
      <c r="B3460" t="s">
        <v>39</v>
      </c>
      <c r="C3460" t="s">
        <v>46</v>
      </c>
      <c r="E3460" t="s">
        <v>9</v>
      </c>
      <c r="F3460" t="s">
        <v>10</v>
      </c>
    </row>
    <row r="3461" spans="1:6" hidden="1" x14ac:dyDescent="0.35">
      <c r="A3461" t="s">
        <v>59</v>
      </c>
      <c r="B3461" t="s">
        <v>39</v>
      </c>
      <c r="C3461" t="s">
        <v>46</v>
      </c>
      <c r="E3461" t="s">
        <v>9</v>
      </c>
      <c r="F3461" t="s">
        <v>10</v>
      </c>
    </row>
    <row r="3462" spans="1:6" hidden="1" x14ac:dyDescent="0.35">
      <c r="A3462" t="s">
        <v>60</v>
      </c>
      <c r="B3462" t="s">
        <v>39</v>
      </c>
      <c r="C3462" t="s">
        <v>46</v>
      </c>
      <c r="E3462" t="s">
        <v>9</v>
      </c>
      <c r="F3462" t="s">
        <v>10</v>
      </c>
    </row>
    <row r="3463" spans="1:6" hidden="1" x14ac:dyDescent="0.35">
      <c r="A3463" t="s">
        <v>61</v>
      </c>
      <c r="B3463" t="s">
        <v>39</v>
      </c>
      <c r="C3463" t="s">
        <v>46</v>
      </c>
      <c r="E3463" t="s">
        <v>9</v>
      </c>
      <c r="F3463" t="s">
        <v>10</v>
      </c>
    </row>
    <row r="3464" spans="1:6" hidden="1" x14ac:dyDescent="0.35">
      <c r="A3464" t="s">
        <v>62</v>
      </c>
      <c r="B3464" t="s">
        <v>39</v>
      </c>
      <c r="C3464" t="s">
        <v>46</v>
      </c>
      <c r="E3464" t="s">
        <v>9</v>
      </c>
      <c r="F3464" t="s">
        <v>10</v>
      </c>
    </row>
    <row r="3465" spans="1:6" hidden="1" x14ac:dyDescent="0.35">
      <c r="A3465" t="s">
        <v>63</v>
      </c>
      <c r="B3465" t="s">
        <v>39</v>
      </c>
      <c r="C3465" t="s">
        <v>46</v>
      </c>
      <c r="D3465">
        <v>0</v>
      </c>
      <c r="E3465" t="s">
        <v>9</v>
      </c>
      <c r="F3465" t="s">
        <v>10</v>
      </c>
    </row>
    <row r="3466" spans="1:6" hidden="1" x14ac:dyDescent="0.35">
      <c r="A3466" t="s">
        <v>64</v>
      </c>
      <c r="B3466" t="s">
        <v>39</v>
      </c>
      <c r="C3466" t="s">
        <v>46</v>
      </c>
      <c r="E3466" t="s">
        <v>9</v>
      </c>
      <c r="F3466" t="s">
        <v>10</v>
      </c>
    </row>
    <row r="3467" spans="1:6" hidden="1" x14ac:dyDescent="0.35">
      <c r="A3467" t="s">
        <v>65</v>
      </c>
      <c r="B3467" t="s">
        <v>39</v>
      </c>
      <c r="C3467" t="s">
        <v>46</v>
      </c>
      <c r="E3467" t="s">
        <v>9</v>
      </c>
      <c r="F3467" t="s">
        <v>10</v>
      </c>
    </row>
    <row r="3468" spans="1:6" hidden="1" x14ac:dyDescent="0.35">
      <c r="A3468" t="s">
        <v>66</v>
      </c>
      <c r="B3468" t="s">
        <v>39</v>
      </c>
      <c r="C3468" t="s">
        <v>46</v>
      </c>
      <c r="D3468">
        <v>0</v>
      </c>
      <c r="E3468" t="s">
        <v>9</v>
      </c>
      <c r="F3468" t="s">
        <v>10</v>
      </c>
    </row>
    <row r="3469" spans="1:6" hidden="1" x14ac:dyDescent="0.35">
      <c r="A3469" t="s">
        <v>67</v>
      </c>
      <c r="B3469" t="s">
        <v>39</v>
      </c>
      <c r="C3469" t="s">
        <v>46</v>
      </c>
      <c r="E3469" t="s">
        <v>9</v>
      </c>
      <c r="F3469" t="s">
        <v>10</v>
      </c>
    </row>
    <row r="3470" spans="1:6" hidden="1" x14ac:dyDescent="0.35">
      <c r="A3470" t="s">
        <v>57</v>
      </c>
      <c r="B3470" t="s">
        <v>39</v>
      </c>
      <c r="C3470" t="s">
        <v>24</v>
      </c>
      <c r="D3470">
        <v>0</v>
      </c>
      <c r="E3470" t="s">
        <v>9</v>
      </c>
      <c r="F3470" t="s">
        <v>10</v>
      </c>
    </row>
    <row r="3471" spans="1:6" hidden="1" x14ac:dyDescent="0.35">
      <c r="A3471" t="s">
        <v>11</v>
      </c>
      <c r="B3471" t="s">
        <v>39</v>
      </c>
      <c r="C3471" t="s">
        <v>24</v>
      </c>
      <c r="D3471">
        <v>0</v>
      </c>
      <c r="E3471" t="s">
        <v>9</v>
      </c>
      <c r="F3471" t="s">
        <v>10</v>
      </c>
    </row>
    <row r="3472" spans="1:6" hidden="1" x14ac:dyDescent="0.35">
      <c r="A3472" t="s">
        <v>58</v>
      </c>
      <c r="B3472" t="s">
        <v>39</v>
      </c>
      <c r="C3472" t="s">
        <v>24</v>
      </c>
      <c r="D3472">
        <v>0</v>
      </c>
      <c r="E3472" t="s">
        <v>9</v>
      </c>
      <c r="F3472" t="s">
        <v>10</v>
      </c>
    </row>
    <row r="3473" spans="1:6" hidden="1" x14ac:dyDescent="0.35">
      <c r="A3473" t="s">
        <v>59</v>
      </c>
      <c r="B3473" t="s">
        <v>39</v>
      </c>
      <c r="C3473" t="s">
        <v>24</v>
      </c>
      <c r="D3473">
        <v>0</v>
      </c>
      <c r="E3473" t="s">
        <v>9</v>
      </c>
      <c r="F3473" t="s">
        <v>10</v>
      </c>
    </row>
    <row r="3474" spans="1:6" hidden="1" x14ac:dyDescent="0.35">
      <c r="A3474" t="s">
        <v>60</v>
      </c>
      <c r="B3474" t="s">
        <v>39</v>
      </c>
      <c r="C3474" t="s">
        <v>24</v>
      </c>
      <c r="D3474">
        <v>0</v>
      </c>
      <c r="E3474" t="s">
        <v>9</v>
      </c>
      <c r="F3474" t="s">
        <v>10</v>
      </c>
    </row>
    <row r="3475" spans="1:6" hidden="1" x14ac:dyDescent="0.35">
      <c r="A3475" t="s">
        <v>61</v>
      </c>
      <c r="B3475" t="s">
        <v>39</v>
      </c>
      <c r="C3475" t="s">
        <v>24</v>
      </c>
      <c r="D3475">
        <v>0</v>
      </c>
      <c r="E3475" t="s">
        <v>9</v>
      </c>
      <c r="F3475" t="s">
        <v>10</v>
      </c>
    </row>
    <row r="3476" spans="1:6" hidden="1" x14ac:dyDescent="0.35">
      <c r="A3476" t="s">
        <v>62</v>
      </c>
      <c r="B3476" t="s">
        <v>39</v>
      </c>
      <c r="C3476" t="s">
        <v>24</v>
      </c>
      <c r="D3476">
        <v>0</v>
      </c>
      <c r="E3476" t="s">
        <v>9</v>
      </c>
      <c r="F3476" t="s">
        <v>10</v>
      </c>
    </row>
    <row r="3477" spans="1:6" hidden="1" x14ac:dyDescent="0.35">
      <c r="A3477" t="s">
        <v>63</v>
      </c>
      <c r="B3477" t="s">
        <v>39</v>
      </c>
      <c r="C3477" t="s">
        <v>24</v>
      </c>
      <c r="D3477">
        <v>0</v>
      </c>
      <c r="E3477" t="s">
        <v>9</v>
      </c>
      <c r="F3477" t="s">
        <v>10</v>
      </c>
    </row>
    <row r="3478" spans="1:6" hidden="1" x14ac:dyDescent="0.35">
      <c r="A3478" t="s">
        <v>64</v>
      </c>
      <c r="B3478" t="s">
        <v>39</v>
      </c>
      <c r="C3478" t="s">
        <v>24</v>
      </c>
      <c r="D3478">
        <v>0</v>
      </c>
      <c r="E3478" t="s">
        <v>9</v>
      </c>
      <c r="F3478" t="s">
        <v>10</v>
      </c>
    </row>
    <row r="3479" spans="1:6" hidden="1" x14ac:dyDescent="0.35">
      <c r="A3479" t="s">
        <v>65</v>
      </c>
      <c r="B3479" t="s">
        <v>39</v>
      </c>
      <c r="C3479" t="s">
        <v>24</v>
      </c>
      <c r="D3479">
        <v>0</v>
      </c>
      <c r="E3479" t="s">
        <v>9</v>
      </c>
      <c r="F3479" t="s">
        <v>10</v>
      </c>
    </row>
    <row r="3480" spans="1:6" hidden="1" x14ac:dyDescent="0.35">
      <c r="A3480" t="s">
        <v>66</v>
      </c>
      <c r="B3480" t="s">
        <v>39</v>
      </c>
      <c r="C3480" t="s">
        <v>24</v>
      </c>
      <c r="D3480">
        <v>0</v>
      </c>
      <c r="E3480" t="s">
        <v>9</v>
      </c>
      <c r="F3480" t="s">
        <v>10</v>
      </c>
    </row>
    <row r="3481" spans="1:6" hidden="1" x14ac:dyDescent="0.35">
      <c r="A3481" t="s">
        <v>67</v>
      </c>
      <c r="B3481" t="s">
        <v>39</v>
      </c>
      <c r="C3481" t="s">
        <v>24</v>
      </c>
      <c r="D3481">
        <v>0</v>
      </c>
      <c r="E3481" t="s">
        <v>9</v>
      </c>
      <c r="F3481" t="s">
        <v>10</v>
      </c>
    </row>
    <row r="3482" spans="1:6" hidden="1" x14ac:dyDescent="0.35">
      <c r="A3482" t="s">
        <v>57</v>
      </c>
      <c r="B3482" t="s">
        <v>39</v>
      </c>
      <c r="C3482" t="s">
        <v>47</v>
      </c>
      <c r="E3482" t="s">
        <v>9</v>
      </c>
      <c r="F3482" t="s">
        <v>10</v>
      </c>
    </row>
    <row r="3483" spans="1:6" hidden="1" x14ac:dyDescent="0.35">
      <c r="A3483" t="s">
        <v>11</v>
      </c>
      <c r="B3483" t="s">
        <v>39</v>
      </c>
      <c r="C3483" t="s">
        <v>47</v>
      </c>
      <c r="E3483" t="s">
        <v>9</v>
      </c>
      <c r="F3483" t="s">
        <v>10</v>
      </c>
    </row>
    <row r="3484" spans="1:6" hidden="1" x14ac:dyDescent="0.35">
      <c r="A3484" t="s">
        <v>58</v>
      </c>
      <c r="B3484" t="s">
        <v>39</v>
      </c>
      <c r="C3484" t="s">
        <v>47</v>
      </c>
      <c r="E3484" t="s">
        <v>9</v>
      </c>
      <c r="F3484" t="s">
        <v>10</v>
      </c>
    </row>
    <row r="3485" spans="1:6" hidden="1" x14ac:dyDescent="0.35">
      <c r="A3485" t="s">
        <v>59</v>
      </c>
      <c r="B3485" t="s">
        <v>39</v>
      </c>
      <c r="C3485" t="s">
        <v>47</v>
      </c>
      <c r="E3485" t="s">
        <v>9</v>
      </c>
      <c r="F3485" t="s">
        <v>10</v>
      </c>
    </row>
    <row r="3486" spans="1:6" hidden="1" x14ac:dyDescent="0.35">
      <c r="A3486" t="s">
        <v>60</v>
      </c>
      <c r="B3486" t="s">
        <v>39</v>
      </c>
      <c r="C3486" t="s">
        <v>47</v>
      </c>
      <c r="E3486" t="s">
        <v>9</v>
      </c>
      <c r="F3486" t="s">
        <v>10</v>
      </c>
    </row>
    <row r="3487" spans="1:6" hidden="1" x14ac:dyDescent="0.35">
      <c r="A3487" t="s">
        <v>61</v>
      </c>
      <c r="B3487" t="s">
        <v>39</v>
      </c>
      <c r="C3487" t="s">
        <v>47</v>
      </c>
      <c r="E3487" t="s">
        <v>9</v>
      </c>
      <c r="F3487" t="s">
        <v>10</v>
      </c>
    </row>
    <row r="3488" spans="1:6" hidden="1" x14ac:dyDescent="0.35">
      <c r="A3488" t="s">
        <v>62</v>
      </c>
      <c r="B3488" t="s">
        <v>39</v>
      </c>
      <c r="C3488" t="s">
        <v>47</v>
      </c>
      <c r="E3488" t="s">
        <v>9</v>
      </c>
      <c r="F3488" t="s">
        <v>10</v>
      </c>
    </row>
    <row r="3489" spans="1:6" hidden="1" x14ac:dyDescent="0.35">
      <c r="A3489" t="s">
        <v>63</v>
      </c>
      <c r="B3489" t="s">
        <v>39</v>
      </c>
      <c r="C3489" t="s">
        <v>47</v>
      </c>
      <c r="E3489" t="s">
        <v>9</v>
      </c>
      <c r="F3489" t="s">
        <v>10</v>
      </c>
    </row>
    <row r="3490" spans="1:6" hidden="1" x14ac:dyDescent="0.35">
      <c r="A3490" t="s">
        <v>64</v>
      </c>
      <c r="B3490" t="s">
        <v>39</v>
      </c>
      <c r="C3490" t="s">
        <v>47</v>
      </c>
      <c r="E3490" t="s">
        <v>9</v>
      </c>
      <c r="F3490" t="s">
        <v>10</v>
      </c>
    </row>
    <row r="3491" spans="1:6" hidden="1" x14ac:dyDescent="0.35">
      <c r="A3491" t="s">
        <v>65</v>
      </c>
      <c r="B3491" t="s">
        <v>39</v>
      </c>
      <c r="C3491" t="s">
        <v>47</v>
      </c>
      <c r="E3491" t="s">
        <v>9</v>
      </c>
      <c r="F3491" t="s">
        <v>10</v>
      </c>
    </row>
    <row r="3492" spans="1:6" hidden="1" x14ac:dyDescent="0.35">
      <c r="A3492" t="s">
        <v>66</v>
      </c>
      <c r="B3492" t="s">
        <v>39</v>
      </c>
      <c r="C3492" t="s">
        <v>47</v>
      </c>
      <c r="E3492" t="s">
        <v>9</v>
      </c>
      <c r="F3492" t="s">
        <v>10</v>
      </c>
    </row>
    <row r="3493" spans="1:6" hidden="1" x14ac:dyDescent="0.35">
      <c r="A3493" t="s">
        <v>67</v>
      </c>
      <c r="B3493" t="s">
        <v>39</v>
      </c>
      <c r="C3493" t="s">
        <v>47</v>
      </c>
      <c r="E3493" t="s">
        <v>9</v>
      </c>
      <c r="F3493" t="s">
        <v>10</v>
      </c>
    </row>
    <row r="3494" spans="1:6" hidden="1" x14ac:dyDescent="0.35">
      <c r="A3494" t="s">
        <v>57</v>
      </c>
      <c r="B3494" t="s">
        <v>39</v>
      </c>
      <c r="C3494" t="s">
        <v>48</v>
      </c>
      <c r="D3494">
        <v>0</v>
      </c>
      <c r="E3494" t="s">
        <v>9</v>
      </c>
      <c r="F3494" t="s">
        <v>10</v>
      </c>
    </row>
    <row r="3495" spans="1:6" hidden="1" x14ac:dyDescent="0.35">
      <c r="A3495" t="s">
        <v>11</v>
      </c>
      <c r="B3495" t="s">
        <v>39</v>
      </c>
      <c r="C3495" t="s">
        <v>48</v>
      </c>
      <c r="D3495">
        <v>0</v>
      </c>
      <c r="E3495" t="s">
        <v>9</v>
      </c>
      <c r="F3495" t="s">
        <v>10</v>
      </c>
    </row>
    <row r="3496" spans="1:6" hidden="1" x14ac:dyDescent="0.35">
      <c r="A3496" t="s">
        <v>58</v>
      </c>
      <c r="B3496" t="s">
        <v>39</v>
      </c>
      <c r="C3496" t="s">
        <v>48</v>
      </c>
      <c r="D3496">
        <v>0</v>
      </c>
      <c r="E3496" t="s">
        <v>9</v>
      </c>
      <c r="F3496" t="s">
        <v>10</v>
      </c>
    </row>
    <row r="3497" spans="1:6" hidden="1" x14ac:dyDescent="0.35">
      <c r="A3497" t="s">
        <v>59</v>
      </c>
      <c r="B3497" t="s">
        <v>39</v>
      </c>
      <c r="C3497" t="s">
        <v>48</v>
      </c>
      <c r="D3497">
        <v>0</v>
      </c>
      <c r="E3497" t="s">
        <v>9</v>
      </c>
      <c r="F3497" t="s">
        <v>10</v>
      </c>
    </row>
    <row r="3498" spans="1:6" hidden="1" x14ac:dyDescent="0.35">
      <c r="A3498" t="s">
        <v>60</v>
      </c>
      <c r="B3498" t="s">
        <v>39</v>
      </c>
      <c r="C3498" t="s">
        <v>48</v>
      </c>
      <c r="D3498">
        <v>0</v>
      </c>
      <c r="E3498" t="s">
        <v>9</v>
      </c>
      <c r="F3498" t="s">
        <v>10</v>
      </c>
    </row>
    <row r="3499" spans="1:6" hidden="1" x14ac:dyDescent="0.35">
      <c r="A3499" t="s">
        <v>61</v>
      </c>
      <c r="B3499" t="s">
        <v>39</v>
      </c>
      <c r="C3499" t="s">
        <v>48</v>
      </c>
      <c r="D3499">
        <v>0</v>
      </c>
      <c r="E3499" t="s">
        <v>9</v>
      </c>
      <c r="F3499" t="s">
        <v>10</v>
      </c>
    </row>
    <row r="3500" spans="1:6" hidden="1" x14ac:dyDescent="0.35">
      <c r="A3500" t="s">
        <v>62</v>
      </c>
      <c r="B3500" t="s">
        <v>39</v>
      </c>
      <c r="C3500" t="s">
        <v>48</v>
      </c>
      <c r="D3500">
        <v>0</v>
      </c>
      <c r="E3500" t="s">
        <v>9</v>
      </c>
      <c r="F3500" t="s">
        <v>10</v>
      </c>
    </row>
    <row r="3501" spans="1:6" hidden="1" x14ac:dyDescent="0.35">
      <c r="A3501" t="s">
        <v>63</v>
      </c>
      <c r="B3501" t="s">
        <v>39</v>
      </c>
      <c r="C3501" t="s">
        <v>48</v>
      </c>
      <c r="D3501">
        <v>0</v>
      </c>
      <c r="E3501" t="s">
        <v>9</v>
      </c>
      <c r="F3501" t="s">
        <v>10</v>
      </c>
    </row>
    <row r="3502" spans="1:6" hidden="1" x14ac:dyDescent="0.35">
      <c r="A3502" t="s">
        <v>64</v>
      </c>
      <c r="B3502" t="s">
        <v>39</v>
      </c>
      <c r="C3502" t="s">
        <v>48</v>
      </c>
      <c r="D3502">
        <v>0</v>
      </c>
      <c r="E3502" t="s">
        <v>9</v>
      </c>
      <c r="F3502" t="s">
        <v>10</v>
      </c>
    </row>
    <row r="3503" spans="1:6" hidden="1" x14ac:dyDescent="0.35">
      <c r="A3503" t="s">
        <v>65</v>
      </c>
      <c r="B3503" t="s">
        <v>39</v>
      </c>
      <c r="C3503" t="s">
        <v>48</v>
      </c>
      <c r="D3503">
        <v>0</v>
      </c>
      <c r="E3503" t="s">
        <v>9</v>
      </c>
      <c r="F3503" t="s">
        <v>10</v>
      </c>
    </row>
    <row r="3504" spans="1:6" hidden="1" x14ac:dyDescent="0.35">
      <c r="A3504" t="s">
        <v>66</v>
      </c>
      <c r="B3504" t="s">
        <v>39</v>
      </c>
      <c r="C3504" t="s">
        <v>48</v>
      </c>
      <c r="D3504">
        <v>0</v>
      </c>
      <c r="E3504" t="s">
        <v>9</v>
      </c>
      <c r="F3504" t="s">
        <v>10</v>
      </c>
    </row>
    <row r="3505" spans="1:6" hidden="1" x14ac:dyDescent="0.35">
      <c r="A3505" t="s">
        <v>67</v>
      </c>
      <c r="B3505" t="s">
        <v>39</v>
      </c>
      <c r="C3505" t="s">
        <v>48</v>
      </c>
      <c r="D3505">
        <v>0</v>
      </c>
      <c r="E3505" t="s">
        <v>9</v>
      </c>
      <c r="F3505" t="s">
        <v>10</v>
      </c>
    </row>
    <row r="3506" spans="1:6" hidden="1" x14ac:dyDescent="0.35">
      <c r="A3506" t="s">
        <v>57</v>
      </c>
      <c r="B3506" t="s">
        <v>39</v>
      </c>
      <c r="C3506" t="s">
        <v>49</v>
      </c>
      <c r="E3506" t="s">
        <v>9</v>
      </c>
      <c r="F3506" t="s">
        <v>10</v>
      </c>
    </row>
    <row r="3507" spans="1:6" hidden="1" x14ac:dyDescent="0.35">
      <c r="A3507" t="s">
        <v>11</v>
      </c>
      <c r="B3507" t="s">
        <v>39</v>
      </c>
      <c r="C3507" t="s">
        <v>49</v>
      </c>
      <c r="E3507" t="s">
        <v>9</v>
      </c>
      <c r="F3507" t="s">
        <v>10</v>
      </c>
    </row>
    <row r="3508" spans="1:6" hidden="1" x14ac:dyDescent="0.35">
      <c r="A3508" t="s">
        <v>58</v>
      </c>
      <c r="B3508" t="s">
        <v>39</v>
      </c>
      <c r="C3508" t="s">
        <v>49</v>
      </c>
      <c r="E3508" t="s">
        <v>9</v>
      </c>
      <c r="F3508" t="s">
        <v>10</v>
      </c>
    </row>
    <row r="3509" spans="1:6" hidden="1" x14ac:dyDescent="0.35">
      <c r="A3509" t="s">
        <v>59</v>
      </c>
      <c r="B3509" t="s">
        <v>39</v>
      </c>
      <c r="C3509" t="s">
        <v>49</v>
      </c>
      <c r="E3509" t="s">
        <v>9</v>
      </c>
      <c r="F3509" t="s">
        <v>10</v>
      </c>
    </row>
    <row r="3510" spans="1:6" hidden="1" x14ac:dyDescent="0.35">
      <c r="A3510" t="s">
        <v>60</v>
      </c>
      <c r="B3510" t="s">
        <v>39</v>
      </c>
      <c r="C3510" t="s">
        <v>49</v>
      </c>
      <c r="E3510" t="s">
        <v>9</v>
      </c>
      <c r="F3510" t="s">
        <v>10</v>
      </c>
    </row>
    <row r="3511" spans="1:6" hidden="1" x14ac:dyDescent="0.35">
      <c r="A3511" t="s">
        <v>61</v>
      </c>
      <c r="B3511" t="s">
        <v>39</v>
      </c>
      <c r="C3511" t="s">
        <v>49</v>
      </c>
      <c r="E3511" t="s">
        <v>9</v>
      </c>
      <c r="F3511" t="s">
        <v>10</v>
      </c>
    </row>
    <row r="3512" spans="1:6" hidden="1" x14ac:dyDescent="0.35">
      <c r="A3512" t="s">
        <v>62</v>
      </c>
      <c r="B3512" t="s">
        <v>39</v>
      </c>
      <c r="C3512" t="s">
        <v>49</v>
      </c>
      <c r="E3512" t="s">
        <v>9</v>
      </c>
      <c r="F3512" t="s">
        <v>10</v>
      </c>
    </row>
    <row r="3513" spans="1:6" hidden="1" x14ac:dyDescent="0.35">
      <c r="A3513" t="s">
        <v>63</v>
      </c>
      <c r="B3513" t="s">
        <v>39</v>
      </c>
      <c r="C3513" t="s">
        <v>49</v>
      </c>
      <c r="D3513">
        <v>3631.8896</v>
      </c>
      <c r="E3513" t="s">
        <v>9</v>
      </c>
      <c r="F3513" t="s">
        <v>10</v>
      </c>
    </row>
    <row r="3514" spans="1:6" hidden="1" x14ac:dyDescent="0.35">
      <c r="A3514" t="s">
        <v>64</v>
      </c>
      <c r="B3514" t="s">
        <v>39</v>
      </c>
      <c r="C3514" t="s">
        <v>49</v>
      </c>
      <c r="E3514" t="s">
        <v>9</v>
      </c>
      <c r="F3514" t="s">
        <v>10</v>
      </c>
    </row>
    <row r="3515" spans="1:6" hidden="1" x14ac:dyDescent="0.35">
      <c r="A3515" t="s">
        <v>65</v>
      </c>
      <c r="B3515" t="s">
        <v>39</v>
      </c>
      <c r="C3515" t="s">
        <v>49</v>
      </c>
      <c r="E3515" t="s">
        <v>9</v>
      </c>
      <c r="F3515" t="s">
        <v>10</v>
      </c>
    </row>
    <row r="3516" spans="1:6" hidden="1" x14ac:dyDescent="0.35">
      <c r="A3516" t="s">
        <v>66</v>
      </c>
      <c r="B3516" t="s">
        <v>39</v>
      </c>
      <c r="C3516" t="s">
        <v>49</v>
      </c>
      <c r="D3516">
        <v>22813.785199999998</v>
      </c>
      <c r="E3516" t="s">
        <v>9</v>
      </c>
      <c r="F3516" t="s">
        <v>10</v>
      </c>
    </row>
    <row r="3517" spans="1:6" hidden="1" x14ac:dyDescent="0.35">
      <c r="A3517" t="s">
        <v>67</v>
      </c>
      <c r="B3517" t="s">
        <v>39</v>
      </c>
      <c r="C3517" t="s">
        <v>49</v>
      </c>
      <c r="E3517" t="s">
        <v>9</v>
      </c>
      <c r="F3517" t="s">
        <v>10</v>
      </c>
    </row>
    <row r="3518" spans="1:6" hidden="1" x14ac:dyDescent="0.35">
      <c r="A3518" t="s">
        <v>57</v>
      </c>
      <c r="B3518" t="s">
        <v>39</v>
      </c>
      <c r="C3518" t="s">
        <v>50</v>
      </c>
      <c r="E3518" t="s">
        <v>9</v>
      </c>
      <c r="F3518" t="s">
        <v>10</v>
      </c>
    </row>
    <row r="3519" spans="1:6" hidden="1" x14ac:dyDescent="0.35">
      <c r="A3519" t="s">
        <v>11</v>
      </c>
      <c r="B3519" t="s">
        <v>39</v>
      </c>
      <c r="C3519" t="s">
        <v>50</v>
      </c>
      <c r="E3519" t="s">
        <v>9</v>
      </c>
      <c r="F3519" t="s">
        <v>10</v>
      </c>
    </row>
    <row r="3520" spans="1:6" hidden="1" x14ac:dyDescent="0.35">
      <c r="A3520" t="s">
        <v>58</v>
      </c>
      <c r="B3520" t="s">
        <v>39</v>
      </c>
      <c r="C3520" t="s">
        <v>50</v>
      </c>
      <c r="E3520" t="s">
        <v>9</v>
      </c>
      <c r="F3520" t="s">
        <v>10</v>
      </c>
    </row>
    <row r="3521" spans="1:6" hidden="1" x14ac:dyDescent="0.35">
      <c r="A3521" t="s">
        <v>59</v>
      </c>
      <c r="B3521" t="s">
        <v>39</v>
      </c>
      <c r="C3521" t="s">
        <v>50</v>
      </c>
      <c r="E3521" t="s">
        <v>9</v>
      </c>
      <c r="F3521" t="s">
        <v>10</v>
      </c>
    </row>
    <row r="3522" spans="1:6" hidden="1" x14ac:dyDescent="0.35">
      <c r="A3522" t="s">
        <v>60</v>
      </c>
      <c r="B3522" t="s">
        <v>39</v>
      </c>
      <c r="C3522" t="s">
        <v>50</v>
      </c>
      <c r="E3522" t="s">
        <v>9</v>
      </c>
      <c r="F3522" t="s">
        <v>10</v>
      </c>
    </row>
    <row r="3523" spans="1:6" hidden="1" x14ac:dyDescent="0.35">
      <c r="A3523" t="s">
        <v>61</v>
      </c>
      <c r="B3523" t="s">
        <v>39</v>
      </c>
      <c r="C3523" t="s">
        <v>50</v>
      </c>
      <c r="E3523" t="s">
        <v>9</v>
      </c>
      <c r="F3523" t="s">
        <v>10</v>
      </c>
    </row>
    <row r="3524" spans="1:6" hidden="1" x14ac:dyDescent="0.35">
      <c r="A3524" t="s">
        <v>62</v>
      </c>
      <c r="B3524" t="s">
        <v>39</v>
      </c>
      <c r="C3524" t="s">
        <v>50</v>
      </c>
      <c r="E3524" t="s">
        <v>9</v>
      </c>
      <c r="F3524" t="s">
        <v>10</v>
      </c>
    </row>
    <row r="3525" spans="1:6" hidden="1" x14ac:dyDescent="0.35">
      <c r="A3525" t="s">
        <v>63</v>
      </c>
      <c r="B3525" t="s">
        <v>39</v>
      </c>
      <c r="C3525" t="s">
        <v>50</v>
      </c>
      <c r="D3525">
        <v>83040.518400000001</v>
      </c>
      <c r="E3525" t="s">
        <v>9</v>
      </c>
      <c r="F3525" t="s">
        <v>10</v>
      </c>
    </row>
    <row r="3526" spans="1:6" hidden="1" x14ac:dyDescent="0.35">
      <c r="A3526" t="s">
        <v>64</v>
      </c>
      <c r="B3526" t="s">
        <v>39</v>
      </c>
      <c r="C3526" t="s">
        <v>50</v>
      </c>
      <c r="E3526" t="s">
        <v>9</v>
      </c>
      <c r="F3526" t="s">
        <v>10</v>
      </c>
    </row>
    <row r="3527" spans="1:6" hidden="1" x14ac:dyDescent="0.35">
      <c r="A3527" t="s">
        <v>65</v>
      </c>
      <c r="B3527" t="s">
        <v>39</v>
      </c>
      <c r="C3527" t="s">
        <v>50</v>
      </c>
      <c r="E3527" t="s">
        <v>9</v>
      </c>
      <c r="F3527" t="s">
        <v>10</v>
      </c>
    </row>
    <row r="3528" spans="1:6" hidden="1" x14ac:dyDescent="0.35">
      <c r="A3528" t="s">
        <v>66</v>
      </c>
      <c r="B3528" t="s">
        <v>39</v>
      </c>
      <c r="C3528" t="s">
        <v>50</v>
      </c>
      <c r="D3528">
        <v>0</v>
      </c>
      <c r="E3528" t="s">
        <v>9</v>
      </c>
      <c r="F3528" t="s">
        <v>10</v>
      </c>
    </row>
    <row r="3529" spans="1:6" hidden="1" x14ac:dyDescent="0.35">
      <c r="A3529" t="s">
        <v>67</v>
      </c>
      <c r="B3529" t="s">
        <v>39</v>
      </c>
      <c r="C3529" t="s">
        <v>50</v>
      </c>
      <c r="E3529" t="s">
        <v>9</v>
      </c>
      <c r="F3529" t="s">
        <v>10</v>
      </c>
    </row>
    <row r="3530" spans="1:6" hidden="1" x14ac:dyDescent="0.35">
      <c r="A3530" t="s">
        <v>57</v>
      </c>
      <c r="B3530" t="s">
        <v>39</v>
      </c>
      <c r="C3530" t="s">
        <v>51</v>
      </c>
      <c r="E3530" t="s">
        <v>9</v>
      </c>
      <c r="F3530" t="s">
        <v>10</v>
      </c>
    </row>
    <row r="3531" spans="1:6" hidden="1" x14ac:dyDescent="0.35">
      <c r="A3531" t="s">
        <v>11</v>
      </c>
      <c r="B3531" t="s">
        <v>39</v>
      </c>
      <c r="C3531" t="s">
        <v>51</v>
      </c>
      <c r="E3531" t="s">
        <v>9</v>
      </c>
      <c r="F3531" t="s">
        <v>10</v>
      </c>
    </row>
    <row r="3532" spans="1:6" hidden="1" x14ac:dyDescent="0.35">
      <c r="A3532" t="s">
        <v>58</v>
      </c>
      <c r="B3532" t="s">
        <v>39</v>
      </c>
      <c r="C3532" t="s">
        <v>51</v>
      </c>
      <c r="E3532" t="s">
        <v>9</v>
      </c>
      <c r="F3532" t="s">
        <v>10</v>
      </c>
    </row>
    <row r="3533" spans="1:6" hidden="1" x14ac:dyDescent="0.35">
      <c r="A3533" t="s">
        <v>59</v>
      </c>
      <c r="B3533" t="s">
        <v>39</v>
      </c>
      <c r="C3533" t="s">
        <v>51</v>
      </c>
      <c r="E3533" t="s">
        <v>9</v>
      </c>
      <c r="F3533" t="s">
        <v>10</v>
      </c>
    </row>
    <row r="3534" spans="1:6" hidden="1" x14ac:dyDescent="0.35">
      <c r="A3534" t="s">
        <v>60</v>
      </c>
      <c r="B3534" t="s">
        <v>39</v>
      </c>
      <c r="C3534" t="s">
        <v>51</v>
      </c>
      <c r="E3534" t="s">
        <v>9</v>
      </c>
      <c r="F3534" t="s">
        <v>10</v>
      </c>
    </row>
    <row r="3535" spans="1:6" hidden="1" x14ac:dyDescent="0.35">
      <c r="A3535" t="s">
        <v>61</v>
      </c>
      <c r="B3535" t="s">
        <v>39</v>
      </c>
      <c r="C3535" t="s">
        <v>51</v>
      </c>
      <c r="E3535" t="s">
        <v>9</v>
      </c>
      <c r="F3535" t="s">
        <v>10</v>
      </c>
    </row>
    <row r="3536" spans="1:6" hidden="1" x14ac:dyDescent="0.35">
      <c r="A3536" t="s">
        <v>62</v>
      </c>
      <c r="B3536" t="s">
        <v>39</v>
      </c>
      <c r="C3536" t="s">
        <v>51</v>
      </c>
      <c r="E3536" t="s">
        <v>9</v>
      </c>
      <c r="F3536" t="s">
        <v>10</v>
      </c>
    </row>
    <row r="3537" spans="1:6" hidden="1" x14ac:dyDescent="0.35">
      <c r="A3537" t="s">
        <v>63</v>
      </c>
      <c r="B3537" t="s">
        <v>39</v>
      </c>
      <c r="C3537" t="s">
        <v>51</v>
      </c>
      <c r="E3537" t="s">
        <v>9</v>
      </c>
      <c r="F3537" t="s">
        <v>10</v>
      </c>
    </row>
    <row r="3538" spans="1:6" hidden="1" x14ac:dyDescent="0.35">
      <c r="A3538" t="s">
        <v>64</v>
      </c>
      <c r="B3538" t="s">
        <v>39</v>
      </c>
      <c r="C3538" t="s">
        <v>51</v>
      </c>
      <c r="E3538" t="s">
        <v>9</v>
      </c>
      <c r="F3538" t="s">
        <v>10</v>
      </c>
    </row>
    <row r="3539" spans="1:6" hidden="1" x14ac:dyDescent="0.35">
      <c r="A3539" t="s">
        <v>65</v>
      </c>
      <c r="B3539" t="s">
        <v>39</v>
      </c>
      <c r="C3539" t="s">
        <v>51</v>
      </c>
      <c r="E3539" t="s">
        <v>9</v>
      </c>
      <c r="F3539" t="s">
        <v>10</v>
      </c>
    </row>
    <row r="3540" spans="1:6" hidden="1" x14ac:dyDescent="0.35">
      <c r="A3540" t="s">
        <v>66</v>
      </c>
      <c r="B3540" t="s">
        <v>39</v>
      </c>
      <c r="C3540" t="s">
        <v>51</v>
      </c>
      <c r="E3540" t="s">
        <v>9</v>
      </c>
      <c r="F3540" t="s">
        <v>10</v>
      </c>
    </row>
    <row r="3541" spans="1:6" hidden="1" x14ac:dyDescent="0.35">
      <c r="A3541" t="s">
        <v>67</v>
      </c>
      <c r="B3541" t="s">
        <v>39</v>
      </c>
      <c r="C3541" t="s">
        <v>51</v>
      </c>
      <c r="E3541" t="s">
        <v>9</v>
      </c>
      <c r="F3541" t="s">
        <v>10</v>
      </c>
    </row>
    <row r="3542" spans="1:6" hidden="1" x14ac:dyDescent="0.35">
      <c r="A3542" t="s">
        <v>57</v>
      </c>
      <c r="B3542" t="s">
        <v>39</v>
      </c>
      <c r="C3542" t="s">
        <v>30</v>
      </c>
      <c r="E3542" t="s">
        <v>9</v>
      </c>
      <c r="F3542" t="s">
        <v>10</v>
      </c>
    </row>
    <row r="3543" spans="1:6" hidden="1" x14ac:dyDescent="0.35">
      <c r="A3543" t="s">
        <v>11</v>
      </c>
      <c r="B3543" t="s">
        <v>39</v>
      </c>
      <c r="C3543" t="s">
        <v>30</v>
      </c>
      <c r="E3543" t="s">
        <v>9</v>
      </c>
      <c r="F3543" t="s">
        <v>10</v>
      </c>
    </row>
    <row r="3544" spans="1:6" hidden="1" x14ac:dyDescent="0.35">
      <c r="A3544" t="s">
        <v>58</v>
      </c>
      <c r="B3544" t="s">
        <v>39</v>
      </c>
      <c r="C3544" t="s">
        <v>30</v>
      </c>
      <c r="E3544" t="s">
        <v>9</v>
      </c>
      <c r="F3544" t="s">
        <v>10</v>
      </c>
    </row>
    <row r="3545" spans="1:6" hidden="1" x14ac:dyDescent="0.35">
      <c r="A3545" t="s">
        <v>59</v>
      </c>
      <c r="B3545" t="s">
        <v>39</v>
      </c>
      <c r="C3545" t="s">
        <v>30</v>
      </c>
      <c r="D3545">
        <v>1</v>
      </c>
      <c r="E3545" t="s">
        <v>9</v>
      </c>
      <c r="F3545" t="s">
        <v>10</v>
      </c>
    </row>
    <row r="3546" spans="1:6" hidden="1" x14ac:dyDescent="0.35">
      <c r="A3546" t="s">
        <v>60</v>
      </c>
      <c r="B3546" t="s">
        <v>39</v>
      </c>
      <c r="C3546" t="s">
        <v>30</v>
      </c>
      <c r="E3546" t="s">
        <v>9</v>
      </c>
      <c r="F3546" t="s">
        <v>10</v>
      </c>
    </row>
    <row r="3547" spans="1:6" hidden="1" x14ac:dyDescent="0.35">
      <c r="A3547" t="s">
        <v>61</v>
      </c>
      <c r="B3547" t="s">
        <v>39</v>
      </c>
      <c r="C3547" t="s">
        <v>30</v>
      </c>
      <c r="D3547">
        <v>1</v>
      </c>
      <c r="E3547" t="s">
        <v>9</v>
      </c>
      <c r="F3547" t="s">
        <v>10</v>
      </c>
    </row>
    <row r="3548" spans="1:6" hidden="1" x14ac:dyDescent="0.35">
      <c r="A3548" t="s">
        <v>62</v>
      </c>
      <c r="B3548" t="s">
        <v>39</v>
      </c>
      <c r="C3548" t="s">
        <v>30</v>
      </c>
      <c r="E3548" t="s">
        <v>9</v>
      </c>
      <c r="F3548" t="s">
        <v>10</v>
      </c>
    </row>
    <row r="3549" spans="1:6" hidden="1" x14ac:dyDescent="0.35">
      <c r="A3549" t="s">
        <v>63</v>
      </c>
      <c r="B3549" t="s">
        <v>39</v>
      </c>
      <c r="C3549" t="s">
        <v>30</v>
      </c>
      <c r="E3549" t="s">
        <v>9</v>
      </c>
      <c r="F3549" t="s">
        <v>10</v>
      </c>
    </row>
    <row r="3550" spans="1:6" hidden="1" x14ac:dyDescent="0.35">
      <c r="A3550" t="s">
        <v>64</v>
      </c>
      <c r="B3550" t="s">
        <v>39</v>
      </c>
      <c r="C3550" t="s">
        <v>30</v>
      </c>
      <c r="E3550" t="s">
        <v>9</v>
      </c>
      <c r="F3550" t="s">
        <v>10</v>
      </c>
    </row>
    <row r="3551" spans="1:6" hidden="1" x14ac:dyDescent="0.35">
      <c r="A3551" t="s">
        <v>65</v>
      </c>
      <c r="B3551" t="s">
        <v>39</v>
      </c>
      <c r="C3551" t="s">
        <v>30</v>
      </c>
      <c r="E3551" t="s">
        <v>9</v>
      </c>
      <c r="F3551" t="s">
        <v>10</v>
      </c>
    </row>
    <row r="3552" spans="1:6" hidden="1" x14ac:dyDescent="0.35">
      <c r="A3552" t="s">
        <v>66</v>
      </c>
      <c r="B3552" t="s">
        <v>39</v>
      </c>
      <c r="C3552" t="s">
        <v>30</v>
      </c>
      <c r="E3552" t="s">
        <v>9</v>
      </c>
      <c r="F3552" t="s">
        <v>10</v>
      </c>
    </row>
    <row r="3553" spans="1:6" hidden="1" x14ac:dyDescent="0.35">
      <c r="A3553" t="s">
        <v>67</v>
      </c>
      <c r="B3553" t="s">
        <v>39</v>
      </c>
      <c r="C3553" t="s">
        <v>30</v>
      </c>
      <c r="E3553" t="s">
        <v>9</v>
      </c>
      <c r="F3553" t="s">
        <v>10</v>
      </c>
    </row>
    <row r="3554" spans="1:6" hidden="1" x14ac:dyDescent="0.35">
      <c r="A3554" t="s">
        <v>57</v>
      </c>
      <c r="B3554" t="s">
        <v>39</v>
      </c>
      <c r="C3554" t="s">
        <v>52</v>
      </c>
      <c r="E3554" t="s">
        <v>9</v>
      </c>
      <c r="F3554" t="s">
        <v>10</v>
      </c>
    </row>
    <row r="3555" spans="1:6" hidden="1" x14ac:dyDescent="0.35">
      <c r="A3555" t="s">
        <v>11</v>
      </c>
      <c r="B3555" t="s">
        <v>39</v>
      </c>
      <c r="C3555" t="s">
        <v>52</v>
      </c>
      <c r="E3555" t="s">
        <v>9</v>
      </c>
      <c r="F3555" t="s">
        <v>10</v>
      </c>
    </row>
    <row r="3556" spans="1:6" hidden="1" x14ac:dyDescent="0.35">
      <c r="A3556" t="s">
        <v>58</v>
      </c>
      <c r="B3556" t="s">
        <v>39</v>
      </c>
      <c r="C3556" t="s">
        <v>52</v>
      </c>
      <c r="E3556" t="s">
        <v>9</v>
      </c>
      <c r="F3556" t="s">
        <v>10</v>
      </c>
    </row>
    <row r="3557" spans="1:6" hidden="1" x14ac:dyDescent="0.35">
      <c r="A3557" t="s">
        <v>59</v>
      </c>
      <c r="B3557" t="s">
        <v>39</v>
      </c>
      <c r="C3557" t="s">
        <v>52</v>
      </c>
      <c r="E3557" t="s">
        <v>9</v>
      </c>
      <c r="F3557" t="s">
        <v>10</v>
      </c>
    </row>
    <row r="3558" spans="1:6" hidden="1" x14ac:dyDescent="0.35">
      <c r="A3558" t="s">
        <v>60</v>
      </c>
      <c r="B3558" t="s">
        <v>39</v>
      </c>
      <c r="C3558" t="s">
        <v>52</v>
      </c>
      <c r="E3558" t="s">
        <v>9</v>
      </c>
      <c r="F3558" t="s">
        <v>10</v>
      </c>
    </row>
    <row r="3559" spans="1:6" hidden="1" x14ac:dyDescent="0.35">
      <c r="A3559" t="s">
        <v>61</v>
      </c>
      <c r="B3559" t="s">
        <v>39</v>
      </c>
      <c r="C3559" t="s">
        <v>52</v>
      </c>
      <c r="E3559" t="s">
        <v>9</v>
      </c>
      <c r="F3559" t="s">
        <v>10</v>
      </c>
    </row>
    <row r="3560" spans="1:6" hidden="1" x14ac:dyDescent="0.35">
      <c r="A3560" t="s">
        <v>62</v>
      </c>
      <c r="B3560" t="s">
        <v>39</v>
      </c>
      <c r="C3560" t="s">
        <v>52</v>
      </c>
      <c r="E3560" t="s">
        <v>9</v>
      </c>
      <c r="F3560" t="s">
        <v>10</v>
      </c>
    </row>
    <row r="3561" spans="1:6" hidden="1" x14ac:dyDescent="0.35">
      <c r="A3561" t="s">
        <v>63</v>
      </c>
      <c r="B3561" t="s">
        <v>39</v>
      </c>
      <c r="C3561" t="s">
        <v>52</v>
      </c>
      <c r="E3561" t="s">
        <v>9</v>
      </c>
      <c r="F3561" t="s">
        <v>10</v>
      </c>
    </row>
    <row r="3562" spans="1:6" hidden="1" x14ac:dyDescent="0.35">
      <c r="A3562" t="s">
        <v>64</v>
      </c>
      <c r="B3562" t="s">
        <v>39</v>
      </c>
      <c r="C3562" t="s">
        <v>52</v>
      </c>
      <c r="E3562" t="s">
        <v>9</v>
      </c>
      <c r="F3562" t="s">
        <v>10</v>
      </c>
    </row>
    <row r="3563" spans="1:6" hidden="1" x14ac:dyDescent="0.35">
      <c r="A3563" t="s">
        <v>65</v>
      </c>
      <c r="B3563" t="s">
        <v>39</v>
      </c>
      <c r="C3563" t="s">
        <v>52</v>
      </c>
      <c r="E3563" t="s">
        <v>9</v>
      </c>
      <c r="F3563" t="s">
        <v>10</v>
      </c>
    </row>
    <row r="3564" spans="1:6" hidden="1" x14ac:dyDescent="0.35">
      <c r="A3564" t="s">
        <v>66</v>
      </c>
      <c r="B3564" t="s">
        <v>39</v>
      </c>
      <c r="C3564" t="s">
        <v>52</v>
      </c>
      <c r="E3564" t="s">
        <v>9</v>
      </c>
      <c r="F3564" t="s">
        <v>10</v>
      </c>
    </row>
    <row r="3565" spans="1:6" hidden="1" x14ac:dyDescent="0.35">
      <c r="A3565" t="s">
        <v>67</v>
      </c>
      <c r="B3565" t="s">
        <v>39</v>
      </c>
      <c r="C3565" t="s">
        <v>52</v>
      </c>
      <c r="E3565" t="s">
        <v>9</v>
      </c>
      <c r="F3565" t="s">
        <v>10</v>
      </c>
    </row>
    <row r="3566" spans="1:6" hidden="1" x14ac:dyDescent="0.35">
      <c r="A3566" t="s">
        <v>57</v>
      </c>
      <c r="B3566" t="s">
        <v>7</v>
      </c>
      <c r="C3566" t="s">
        <v>44</v>
      </c>
      <c r="D3566">
        <v>17836.433001626021</v>
      </c>
      <c r="E3566" t="s">
        <v>40</v>
      </c>
      <c r="F3566" t="s">
        <v>10</v>
      </c>
    </row>
    <row r="3567" spans="1:6" hidden="1" x14ac:dyDescent="0.35">
      <c r="A3567" t="s">
        <v>11</v>
      </c>
      <c r="B3567" t="s">
        <v>7</v>
      </c>
      <c r="C3567" t="s">
        <v>44</v>
      </c>
      <c r="D3567">
        <v>17713.18083252032</v>
      </c>
      <c r="E3567" t="s">
        <v>40</v>
      </c>
      <c r="F3567" t="s">
        <v>10</v>
      </c>
    </row>
    <row r="3568" spans="1:6" hidden="1" x14ac:dyDescent="0.35">
      <c r="A3568" t="s">
        <v>58</v>
      </c>
      <c r="B3568" t="s">
        <v>7</v>
      </c>
      <c r="C3568" t="s">
        <v>44</v>
      </c>
      <c r="D3568">
        <v>127172.146157182</v>
      </c>
      <c r="E3568" t="s">
        <v>40</v>
      </c>
      <c r="F3568" t="s">
        <v>10</v>
      </c>
    </row>
    <row r="3569" spans="1:6" hidden="1" x14ac:dyDescent="0.35">
      <c r="A3569" t="s">
        <v>59</v>
      </c>
      <c r="B3569" t="s">
        <v>7</v>
      </c>
      <c r="C3569" t="s">
        <v>44</v>
      </c>
      <c r="D3569">
        <v>26649.811232520329</v>
      </c>
      <c r="E3569" t="s">
        <v>40</v>
      </c>
      <c r="F3569" t="s">
        <v>10</v>
      </c>
    </row>
    <row r="3570" spans="1:6" hidden="1" x14ac:dyDescent="0.35">
      <c r="A3570" t="s">
        <v>60</v>
      </c>
      <c r="B3570" t="s">
        <v>7</v>
      </c>
      <c r="C3570" t="s">
        <v>44</v>
      </c>
      <c r="D3570">
        <v>70408.725636856369</v>
      </c>
      <c r="E3570" t="s">
        <v>40</v>
      </c>
      <c r="F3570" t="s">
        <v>10</v>
      </c>
    </row>
    <row r="3571" spans="1:6" hidden="1" x14ac:dyDescent="0.35">
      <c r="A3571" t="s">
        <v>61</v>
      </c>
      <c r="B3571" t="s">
        <v>7</v>
      </c>
      <c r="C3571" t="s">
        <v>44</v>
      </c>
      <c r="D3571">
        <v>33570.185620054202</v>
      </c>
      <c r="E3571" t="s">
        <v>40</v>
      </c>
      <c r="F3571" t="s">
        <v>10</v>
      </c>
    </row>
    <row r="3572" spans="1:6" hidden="1" x14ac:dyDescent="0.35">
      <c r="A3572" t="s">
        <v>62</v>
      </c>
      <c r="B3572" t="s">
        <v>7</v>
      </c>
      <c r="C3572" t="s">
        <v>44</v>
      </c>
      <c r="D3572">
        <v>162458.53875609761</v>
      </c>
      <c r="E3572" t="s">
        <v>40</v>
      </c>
      <c r="F3572" t="s">
        <v>10</v>
      </c>
    </row>
    <row r="3573" spans="1:6" hidden="1" x14ac:dyDescent="0.35">
      <c r="A3573" t="s">
        <v>63</v>
      </c>
      <c r="B3573" t="s">
        <v>7</v>
      </c>
      <c r="C3573" t="s">
        <v>44</v>
      </c>
      <c r="D3573">
        <v>48250.937816260157</v>
      </c>
      <c r="E3573" t="s">
        <v>40</v>
      </c>
      <c r="F3573" t="s">
        <v>10</v>
      </c>
    </row>
    <row r="3574" spans="1:6" hidden="1" x14ac:dyDescent="0.35">
      <c r="A3574" t="s">
        <v>64</v>
      </c>
      <c r="B3574" t="s">
        <v>7</v>
      </c>
      <c r="C3574" t="s">
        <v>44</v>
      </c>
      <c r="D3574">
        <v>153469.26613875339</v>
      </c>
      <c r="E3574" t="s">
        <v>40</v>
      </c>
      <c r="F3574" t="s">
        <v>10</v>
      </c>
    </row>
    <row r="3575" spans="1:6" hidden="1" x14ac:dyDescent="0.35">
      <c r="A3575" t="s">
        <v>65</v>
      </c>
      <c r="B3575" t="s">
        <v>7</v>
      </c>
      <c r="C3575" t="s">
        <v>44</v>
      </c>
      <c r="D3575">
        <v>497601.48804281832</v>
      </c>
      <c r="E3575" t="s">
        <v>40</v>
      </c>
      <c r="F3575" t="s">
        <v>10</v>
      </c>
    </row>
    <row r="3576" spans="1:6" hidden="1" x14ac:dyDescent="0.35">
      <c r="A3576" t="s">
        <v>66</v>
      </c>
      <c r="B3576" t="s">
        <v>7</v>
      </c>
      <c r="C3576" t="s">
        <v>44</v>
      </c>
      <c r="D3576">
        <v>150098.2983815718</v>
      </c>
      <c r="E3576" t="s">
        <v>40</v>
      </c>
      <c r="F3576" t="s">
        <v>10</v>
      </c>
    </row>
    <row r="3577" spans="1:6" hidden="1" x14ac:dyDescent="0.35">
      <c r="A3577" t="s">
        <v>67</v>
      </c>
      <c r="B3577" t="s">
        <v>7</v>
      </c>
      <c r="C3577" t="s">
        <v>44</v>
      </c>
      <c r="D3577">
        <v>167776.37985474261</v>
      </c>
      <c r="E3577" t="s">
        <v>40</v>
      </c>
      <c r="F3577" t="s">
        <v>10</v>
      </c>
    </row>
    <row r="3578" spans="1:6" hidden="1" x14ac:dyDescent="0.35">
      <c r="A3578" t="s">
        <v>57</v>
      </c>
      <c r="B3578" t="s">
        <v>7</v>
      </c>
      <c r="C3578" t="s">
        <v>22</v>
      </c>
      <c r="D3578">
        <v>0</v>
      </c>
      <c r="E3578" t="s">
        <v>40</v>
      </c>
      <c r="F3578" t="s">
        <v>10</v>
      </c>
    </row>
    <row r="3579" spans="1:6" hidden="1" x14ac:dyDescent="0.35">
      <c r="A3579" t="s">
        <v>11</v>
      </c>
      <c r="B3579" t="s">
        <v>7</v>
      </c>
      <c r="C3579" t="s">
        <v>22</v>
      </c>
      <c r="D3579">
        <v>0</v>
      </c>
      <c r="E3579" t="s">
        <v>40</v>
      </c>
      <c r="F3579" t="s">
        <v>10</v>
      </c>
    </row>
    <row r="3580" spans="1:6" hidden="1" x14ac:dyDescent="0.35">
      <c r="A3580" t="s">
        <v>58</v>
      </c>
      <c r="B3580" t="s">
        <v>7</v>
      </c>
      <c r="C3580" t="s">
        <v>22</v>
      </c>
      <c r="D3580">
        <v>0</v>
      </c>
      <c r="E3580" t="s">
        <v>40</v>
      </c>
      <c r="F3580" t="s">
        <v>10</v>
      </c>
    </row>
    <row r="3581" spans="1:6" hidden="1" x14ac:dyDescent="0.35">
      <c r="A3581" t="s">
        <v>59</v>
      </c>
      <c r="B3581" t="s">
        <v>7</v>
      </c>
      <c r="C3581" t="s">
        <v>22</v>
      </c>
      <c r="D3581">
        <v>0</v>
      </c>
      <c r="E3581" t="s">
        <v>40</v>
      </c>
      <c r="F3581" t="s">
        <v>10</v>
      </c>
    </row>
    <row r="3582" spans="1:6" hidden="1" x14ac:dyDescent="0.35">
      <c r="A3582" t="s">
        <v>60</v>
      </c>
      <c r="B3582" t="s">
        <v>7</v>
      </c>
      <c r="C3582" t="s">
        <v>22</v>
      </c>
      <c r="D3582">
        <v>0</v>
      </c>
      <c r="E3582" t="s">
        <v>40</v>
      </c>
      <c r="F3582" t="s">
        <v>10</v>
      </c>
    </row>
    <row r="3583" spans="1:6" hidden="1" x14ac:dyDescent="0.35">
      <c r="A3583" t="s">
        <v>61</v>
      </c>
      <c r="B3583" t="s">
        <v>7</v>
      </c>
      <c r="C3583" t="s">
        <v>22</v>
      </c>
      <c r="D3583">
        <v>0</v>
      </c>
      <c r="E3583" t="s">
        <v>40</v>
      </c>
      <c r="F3583" t="s">
        <v>10</v>
      </c>
    </row>
    <row r="3584" spans="1:6" hidden="1" x14ac:dyDescent="0.35">
      <c r="A3584" t="s">
        <v>62</v>
      </c>
      <c r="B3584" t="s">
        <v>7</v>
      </c>
      <c r="C3584" t="s">
        <v>22</v>
      </c>
      <c r="D3584">
        <v>0</v>
      </c>
      <c r="E3584" t="s">
        <v>40</v>
      </c>
      <c r="F3584" t="s">
        <v>10</v>
      </c>
    </row>
    <row r="3585" spans="1:6" hidden="1" x14ac:dyDescent="0.35">
      <c r="A3585" t="s">
        <v>63</v>
      </c>
      <c r="B3585" t="s">
        <v>7</v>
      </c>
      <c r="C3585" t="s">
        <v>22</v>
      </c>
      <c r="D3585">
        <v>0</v>
      </c>
      <c r="E3585" t="s">
        <v>40</v>
      </c>
      <c r="F3585" t="s">
        <v>10</v>
      </c>
    </row>
    <row r="3586" spans="1:6" hidden="1" x14ac:dyDescent="0.35">
      <c r="A3586" t="s">
        <v>64</v>
      </c>
      <c r="B3586" t="s">
        <v>7</v>
      </c>
      <c r="C3586" t="s">
        <v>22</v>
      </c>
      <c r="D3586">
        <v>0</v>
      </c>
      <c r="E3586" t="s">
        <v>40</v>
      </c>
      <c r="F3586" t="s">
        <v>10</v>
      </c>
    </row>
    <row r="3587" spans="1:6" hidden="1" x14ac:dyDescent="0.35">
      <c r="A3587" t="s">
        <v>65</v>
      </c>
      <c r="B3587" t="s">
        <v>7</v>
      </c>
      <c r="C3587" t="s">
        <v>22</v>
      </c>
      <c r="D3587">
        <v>0</v>
      </c>
      <c r="E3587" t="s">
        <v>40</v>
      </c>
      <c r="F3587" t="s">
        <v>10</v>
      </c>
    </row>
    <row r="3588" spans="1:6" hidden="1" x14ac:dyDescent="0.35">
      <c r="A3588" t="s">
        <v>66</v>
      </c>
      <c r="B3588" t="s">
        <v>7</v>
      </c>
      <c r="C3588" t="s">
        <v>22</v>
      </c>
      <c r="D3588">
        <v>0</v>
      </c>
      <c r="E3588" t="s">
        <v>40</v>
      </c>
      <c r="F3588" t="s">
        <v>10</v>
      </c>
    </row>
    <row r="3589" spans="1:6" hidden="1" x14ac:dyDescent="0.35">
      <c r="A3589" t="s">
        <v>67</v>
      </c>
      <c r="B3589" t="s">
        <v>7</v>
      </c>
      <c r="C3589" t="s">
        <v>22</v>
      </c>
      <c r="D3589">
        <v>0</v>
      </c>
      <c r="E3589" t="s">
        <v>40</v>
      </c>
      <c r="F3589" t="s">
        <v>10</v>
      </c>
    </row>
    <row r="3590" spans="1:6" hidden="1" x14ac:dyDescent="0.35">
      <c r="A3590" t="s">
        <v>57</v>
      </c>
      <c r="B3590" t="s">
        <v>7</v>
      </c>
      <c r="C3590" t="s">
        <v>46</v>
      </c>
      <c r="D3590">
        <v>3555.6747967479669</v>
      </c>
      <c r="E3590" t="s">
        <v>40</v>
      </c>
      <c r="F3590" t="s">
        <v>10</v>
      </c>
    </row>
    <row r="3591" spans="1:6" hidden="1" x14ac:dyDescent="0.35">
      <c r="A3591" t="s">
        <v>11</v>
      </c>
      <c r="B3591" t="s">
        <v>7</v>
      </c>
      <c r="C3591" t="s">
        <v>46</v>
      </c>
      <c r="D3591">
        <v>1425.4959349593489</v>
      </c>
      <c r="E3591" t="s">
        <v>40</v>
      </c>
      <c r="F3591" t="s">
        <v>10</v>
      </c>
    </row>
    <row r="3592" spans="1:6" hidden="1" x14ac:dyDescent="0.35">
      <c r="A3592" t="s">
        <v>58</v>
      </c>
      <c r="B3592" t="s">
        <v>7</v>
      </c>
      <c r="C3592" t="s">
        <v>46</v>
      </c>
      <c r="D3592">
        <v>84224.563685636851</v>
      </c>
      <c r="E3592" t="s">
        <v>40</v>
      </c>
      <c r="F3592" t="s">
        <v>10</v>
      </c>
    </row>
    <row r="3593" spans="1:6" hidden="1" x14ac:dyDescent="0.35">
      <c r="A3593" t="s">
        <v>59</v>
      </c>
      <c r="B3593" t="s">
        <v>7</v>
      </c>
      <c r="C3593" t="s">
        <v>46</v>
      </c>
      <c r="D3593">
        <v>64117.973934959351</v>
      </c>
      <c r="E3593" t="s">
        <v>40</v>
      </c>
      <c r="F3593" t="s">
        <v>10</v>
      </c>
    </row>
    <row r="3594" spans="1:6" hidden="1" x14ac:dyDescent="0.35">
      <c r="A3594" t="s">
        <v>60</v>
      </c>
      <c r="B3594" t="s">
        <v>7</v>
      </c>
      <c r="C3594" t="s">
        <v>46</v>
      </c>
      <c r="D3594">
        <v>289866.86312628718</v>
      </c>
      <c r="E3594" t="s">
        <v>40</v>
      </c>
      <c r="F3594" t="s">
        <v>10</v>
      </c>
    </row>
    <row r="3595" spans="1:6" hidden="1" x14ac:dyDescent="0.35">
      <c r="A3595" t="s">
        <v>61</v>
      </c>
      <c r="B3595" t="s">
        <v>7</v>
      </c>
      <c r="C3595" t="s">
        <v>46</v>
      </c>
      <c r="D3595">
        <v>51003.989159891593</v>
      </c>
      <c r="E3595" t="s">
        <v>40</v>
      </c>
      <c r="F3595" t="s">
        <v>10</v>
      </c>
    </row>
    <row r="3596" spans="1:6" hidden="1" x14ac:dyDescent="0.35">
      <c r="A3596" t="s">
        <v>62</v>
      </c>
      <c r="B3596" t="s">
        <v>7</v>
      </c>
      <c r="C3596" t="s">
        <v>46</v>
      </c>
      <c r="D3596">
        <v>173200.78048780479</v>
      </c>
      <c r="E3596" t="s">
        <v>40</v>
      </c>
      <c r="F3596" t="s">
        <v>10</v>
      </c>
    </row>
    <row r="3597" spans="1:6" hidden="1" x14ac:dyDescent="0.35">
      <c r="A3597" t="s">
        <v>63</v>
      </c>
      <c r="B3597" t="s">
        <v>7</v>
      </c>
      <c r="C3597" t="s">
        <v>46</v>
      </c>
      <c r="D3597">
        <v>255264.72196747971</v>
      </c>
      <c r="E3597" t="s">
        <v>40</v>
      </c>
      <c r="F3597" t="s">
        <v>10</v>
      </c>
    </row>
    <row r="3598" spans="1:6" hidden="1" x14ac:dyDescent="0.35">
      <c r="A3598" t="s">
        <v>64</v>
      </c>
      <c r="B3598" t="s">
        <v>7</v>
      </c>
      <c r="C3598" t="s">
        <v>46</v>
      </c>
      <c r="D3598">
        <v>205270.45012249329</v>
      </c>
      <c r="E3598" t="s">
        <v>40</v>
      </c>
      <c r="F3598" t="s">
        <v>10</v>
      </c>
    </row>
    <row r="3599" spans="1:6" hidden="1" x14ac:dyDescent="0.35">
      <c r="A3599" t="s">
        <v>65</v>
      </c>
      <c r="B3599" t="s">
        <v>7</v>
      </c>
      <c r="C3599" t="s">
        <v>46</v>
      </c>
      <c r="D3599">
        <v>547805.44511436322</v>
      </c>
      <c r="E3599" t="s">
        <v>40</v>
      </c>
      <c r="F3599" t="s">
        <v>10</v>
      </c>
    </row>
    <row r="3600" spans="1:6" hidden="1" x14ac:dyDescent="0.35">
      <c r="A3600" t="s">
        <v>66</v>
      </c>
      <c r="B3600" t="s">
        <v>7</v>
      </c>
      <c r="C3600" t="s">
        <v>46</v>
      </c>
      <c r="D3600">
        <v>10459.685636856369</v>
      </c>
      <c r="E3600" t="s">
        <v>40</v>
      </c>
      <c r="F3600" t="s">
        <v>10</v>
      </c>
    </row>
    <row r="3601" spans="1:6" hidden="1" x14ac:dyDescent="0.35">
      <c r="A3601" t="s">
        <v>67</v>
      </c>
      <c r="B3601" t="s">
        <v>7</v>
      </c>
      <c r="C3601" t="s">
        <v>46</v>
      </c>
      <c r="D3601">
        <v>427702.2330905149</v>
      </c>
      <c r="E3601" t="s">
        <v>40</v>
      </c>
      <c r="F3601" t="s">
        <v>10</v>
      </c>
    </row>
    <row r="3602" spans="1:6" hidden="1" x14ac:dyDescent="0.35">
      <c r="A3602" t="s">
        <v>57</v>
      </c>
      <c r="B3602" t="s">
        <v>7</v>
      </c>
      <c r="C3602" t="s">
        <v>24</v>
      </c>
      <c r="D3602">
        <v>0</v>
      </c>
      <c r="E3602" t="s">
        <v>40</v>
      </c>
      <c r="F3602" t="s">
        <v>10</v>
      </c>
    </row>
    <row r="3603" spans="1:6" hidden="1" x14ac:dyDescent="0.35">
      <c r="A3603" t="s">
        <v>11</v>
      </c>
      <c r="B3603" t="s">
        <v>7</v>
      </c>
      <c r="C3603" t="s">
        <v>24</v>
      </c>
      <c r="D3603">
        <v>0</v>
      </c>
      <c r="E3603" t="s">
        <v>40</v>
      </c>
      <c r="F3603" t="s">
        <v>10</v>
      </c>
    </row>
    <row r="3604" spans="1:6" hidden="1" x14ac:dyDescent="0.35">
      <c r="A3604" t="s">
        <v>58</v>
      </c>
      <c r="B3604" t="s">
        <v>7</v>
      </c>
      <c r="C3604" t="s">
        <v>24</v>
      </c>
      <c r="D3604">
        <v>0</v>
      </c>
      <c r="E3604" t="s">
        <v>40</v>
      </c>
      <c r="F3604" t="s">
        <v>10</v>
      </c>
    </row>
    <row r="3605" spans="1:6" hidden="1" x14ac:dyDescent="0.35">
      <c r="A3605" t="s">
        <v>59</v>
      </c>
      <c r="B3605" t="s">
        <v>7</v>
      </c>
      <c r="C3605" t="s">
        <v>24</v>
      </c>
      <c r="D3605">
        <v>0</v>
      </c>
      <c r="E3605" t="s">
        <v>40</v>
      </c>
      <c r="F3605" t="s">
        <v>10</v>
      </c>
    </row>
    <row r="3606" spans="1:6" hidden="1" x14ac:dyDescent="0.35">
      <c r="A3606" t="s">
        <v>60</v>
      </c>
      <c r="B3606" t="s">
        <v>7</v>
      </c>
      <c r="C3606" t="s">
        <v>24</v>
      </c>
      <c r="D3606">
        <v>0</v>
      </c>
      <c r="E3606" t="s">
        <v>40</v>
      </c>
      <c r="F3606" t="s">
        <v>10</v>
      </c>
    </row>
    <row r="3607" spans="1:6" hidden="1" x14ac:dyDescent="0.35">
      <c r="A3607" t="s">
        <v>61</v>
      </c>
      <c r="B3607" t="s">
        <v>7</v>
      </c>
      <c r="C3607" t="s">
        <v>24</v>
      </c>
      <c r="D3607">
        <v>0</v>
      </c>
      <c r="E3607" t="s">
        <v>40</v>
      </c>
      <c r="F3607" t="s">
        <v>10</v>
      </c>
    </row>
    <row r="3608" spans="1:6" hidden="1" x14ac:dyDescent="0.35">
      <c r="A3608" t="s">
        <v>62</v>
      </c>
      <c r="B3608" t="s">
        <v>7</v>
      </c>
      <c r="C3608" t="s">
        <v>24</v>
      </c>
      <c r="D3608">
        <v>0</v>
      </c>
      <c r="E3608" t="s">
        <v>40</v>
      </c>
      <c r="F3608" t="s">
        <v>10</v>
      </c>
    </row>
    <row r="3609" spans="1:6" hidden="1" x14ac:dyDescent="0.35">
      <c r="A3609" t="s">
        <v>63</v>
      </c>
      <c r="B3609" t="s">
        <v>7</v>
      </c>
      <c r="C3609" t="s">
        <v>24</v>
      </c>
      <c r="D3609">
        <v>0</v>
      </c>
      <c r="E3609" t="s">
        <v>40</v>
      </c>
      <c r="F3609" t="s">
        <v>10</v>
      </c>
    </row>
    <row r="3610" spans="1:6" hidden="1" x14ac:dyDescent="0.35">
      <c r="A3610" t="s">
        <v>64</v>
      </c>
      <c r="B3610" t="s">
        <v>7</v>
      </c>
      <c r="C3610" t="s">
        <v>24</v>
      </c>
      <c r="D3610">
        <v>0</v>
      </c>
      <c r="E3610" t="s">
        <v>40</v>
      </c>
      <c r="F3610" t="s">
        <v>10</v>
      </c>
    </row>
    <row r="3611" spans="1:6" hidden="1" x14ac:dyDescent="0.35">
      <c r="A3611" t="s">
        <v>65</v>
      </c>
      <c r="B3611" t="s">
        <v>7</v>
      </c>
      <c r="C3611" t="s">
        <v>24</v>
      </c>
      <c r="D3611">
        <v>0</v>
      </c>
      <c r="E3611" t="s">
        <v>40</v>
      </c>
      <c r="F3611" t="s">
        <v>10</v>
      </c>
    </row>
    <row r="3612" spans="1:6" hidden="1" x14ac:dyDescent="0.35">
      <c r="A3612" t="s">
        <v>66</v>
      </c>
      <c r="B3612" t="s">
        <v>7</v>
      </c>
      <c r="C3612" t="s">
        <v>24</v>
      </c>
      <c r="D3612">
        <v>0</v>
      </c>
      <c r="E3612" t="s">
        <v>40</v>
      </c>
      <c r="F3612" t="s">
        <v>10</v>
      </c>
    </row>
    <row r="3613" spans="1:6" hidden="1" x14ac:dyDescent="0.35">
      <c r="A3613" t="s">
        <v>67</v>
      </c>
      <c r="B3613" t="s">
        <v>7</v>
      </c>
      <c r="C3613" t="s">
        <v>24</v>
      </c>
      <c r="D3613">
        <v>0</v>
      </c>
      <c r="E3613" t="s">
        <v>40</v>
      </c>
      <c r="F3613" t="s">
        <v>10</v>
      </c>
    </row>
    <row r="3614" spans="1:6" hidden="1" x14ac:dyDescent="0.35">
      <c r="A3614" t="s">
        <v>57</v>
      </c>
      <c r="B3614" t="s">
        <v>7</v>
      </c>
      <c r="C3614" t="s">
        <v>47</v>
      </c>
      <c r="E3614" t="s">
        <v>40</v>
      </c>
      <c r="F3614" t="s">
        <v>10</v>
      </c>
    </row>
    <row r="3615" spans="1:6" hidden="1" x14ac:dyDescent="0.35">
      <c r="A3615" t="s">
        <v>11</v>
      </c>
      <c r="B3615" t="s">
        <v>7</v>
      </c>
      <c r="C3615" t="s">
        <v>47</v>
      </c>
      <c r="E3615" t="s">
        <v>40</v>
      </c>
      <c r="F3615" t="s">
        <v>10</v>
      </c>
    </row>
    <row r="3616" spans="1:6" hidden="1" x14ac:dyDescent="0.35">
      <c r="A3616" t="s">
        <v>58</v>
      </c>
      <c r="B3616" t="s">
        <v>7</v>
      </c>
      <c r="C3616" t="s">
        <v>47</v>
      </c>
      <c r="E3616" t="s">
        <v>40</v>
      </c>
      <c r="F3616" t="s">
        <v>10</v>
      </c>
    </row>
    <row r="3617" spans="1:6" hidden="1" x14ac:dyDescent="0.35">
      <c r="A3617" t="s">
        <v>59</v>
      </c>
      <c r="B3617" t="s">
        <v>7</v>
      </c>
      <c r="C3617" t="s">
        <v>47</v>
      </c>
      <c r="E3617" t="s">
        <v>40</v>
      </c>
      <c r="F3617" t="s">
        <v>10</v>
      </c>
    </row>
    <row r="3618" spans="1:6" hidden="1" x14ac:dyDescent="0.35">
      <c r="A3618" t="s">
        <v>60</v>
      </c>
      <c r="B3618" t="s">
        <v>7</v>
      </c>
      <c r="C3618" t="s">
        <v>47</v>
      </c>
      <c r="E3618" t="s">
        <v>40</v>
      </c>
      <c r="F3618" t="s">
        <v>10</v>
      </c>
    </row>
    <row r="3619" spans="1:6" hidden="1" x14ac:dyDescent="0.35">
      <c r="A3619" t="s">
        <v>61</v>
      </c>
      <c r="B3619" t="s">
        <v>7</v>
      </c>
      <c r="C3619" t="s">
        <v>47</v>
      </c>
      <c r="E3619" t="s">
        <v>40</v>
      </c>
      <c r="F3619" t="s">
        <v>10</v>
      </c>
    </row>
    <row r="3620" spans="1:6" hidden="1" x14ac:dyDescent="0.35">
      <c r="A3620" t="s">
        <v>62</v>
      </c>
      <c r="B3620" t="s">
        <v>7</v>
      </c>
      <c r="C3620" t="s">
        <v>47</v>
      </c>
      <c r="E3620" t="s">
        <v>40</v>
      </c>
      <c r="F3620" t="s">
        <v>10</v>
      </c>
    </row>
    <row r="3621" spans="1:6" hidden="1" x14ac:dyDescent="0.35">
      <c r="A3621" t="s">
        <v>63</v>
      </c>
      <c r="B3621" t="s">
        <v>7</v>
      </c>
      <c r="C3621" t="s">
        <v>47</v>
      </c>
      <c r="E3621" t="s">
        <v>40</v>
      </c>
      <c r="F3621" t="s">
        <v>10</v>
      </c>
    </row>
    <row r="3622" spans="1:6" hidden="1" x14ac:dyDescent="0.35">
      <c r="A3622" t="s">
        <v>64</v>
      </c>
      <c r="B3622" t="s">
        <v>7</v>
      </c>
      <c r="C3622" t="s">
        <v>47</v>
      </c>
      <c r="E3622" t="s">
        <v>40</v>
      </c>
      <c r="F3622" t="s">
        <v>10</v>
      </c>
    </row>
    <row r="3623" spans="1:6" hidden="1" x14ac:dyDescent="0.35">
      <c r="A3623" t="s">
        <v>65</v>
      </c>
      <c r="B3623" t="s">
        <v>7</v>
      </c>
      <c r="C3623" t="s">
        <v>47</v>
      </c>
      <c r="E3623" t="s">
        <v>40</v>
      </c>
      <c r="F3623" t="s">
        <v>10</v>
      </c>
    </row>
    <row r="3624" spans="1:6" hidden="1" x14ac:dyDescent="0.35">
      <c r="A3624" t="s">
        <v>66</v>
      </c>
      <c r="B3624" t="s">
        <v>7</v>
      </c>
      <c r="C3624" t="s">
        <v>47</v>
      </c>
      <c r="E3624" t="s">
        <v>40</v>
      </c>
      <c r="F3624" t="s">
        <v>10</v>
      </c>
    </row>
    <row r="3625" spans="1:6" hidden="1" x14ac:dyDescent="0.35">
      <c r="A3625" t="s">
        <v>67</v>
      </c>
      <c r="B3625" t="s">
        <v>7</v>
      </c>
      <c r="C3625" t="s">
        <v>47</v>
      </c>
      <c r="E3625" t="s">
        <v>40</v>
      </c>
      <c r="F3625" t="s">
        <v>10</v>
      </c>
    </row>
    <row r="3626" spans="1:6" hidden="1" x14ac:dyDescent="0.35">
      <c r="A3626" t="s">
        <v>57</v>
      </c>
      <c r="B3626" t="s">
        <v>7</v>
      </c>
      <c r="C3626" t="s">
        <v>48</v>
      </c>
      <c r="D3626">
        <v>0</v>
      </c>
      <c r="E3626" t="s">
        <v>40</v>
      </c>
      <c r="F3626" t="s">
        <v>10</v>
      </c>
    </row>
    <row r="3627" spans="1:6" hidden="1" x14ac:dyDescent="0.35">
      <c r="A3627" t="s">
        <v>11</v>
      </c>
      <c r="B3627" t="s">
        <v>7</v>
      </c>
      <c r="C3627" t="s">
        <v>48</v>
      </c>
      <c r="D3627">
        <v>0</v>
      </c>
      <c r="E3627" t="s">
        <v>40</v>
      </c>
      <c r="F3627" t="s">
        <v>10</v>
      </c>
    </row>
    <row r="3628" spans="1:6" hidden="1" x14ac:dyDescent="0.35">
      <c r="A3628" t="s">
        <v>58</v>
      </c>
      <c r="B3628" t="s">
        <v>7</v>
      </c>
      <c r="C3628" t="s">
        <v>48</v>
      </c>
      <c r="D3628">
        <v>0</v>
      </c>
      <c r="E3628" t="s">
        <v>40</v>
      </c>
      <c r="F3628" t="s">
        <v>10</v>
      </c>
    </row>
    <row r="3629" spans="1:6" hidden="1" x14ac:dyDescent="0.35">
      <c r="A3629" t="s">
        <v>59</v>
      </c>
      <c r="B3629" t="s">
        <v>7</v>
      </c>
      <c r="C3629" t="s">
        <v>48</v>
      </c>
      <c r="D3629">
        <v>0</v>
      </c>
      <c r="E3629" t="s">
        <v>40</v>
      </c>
      <c r="F3629" t="s">
        <v>10</v>
      </c>
    </row>
    <row r="3630" spans="1:6" hidden="1" x14ac:dyDescent="0.35">
      <c r="A3630" t="s">
        <v>60</v>
      </c>
      <c r="B3630" t="s">
        <v>7</v>
      </c>
      <c r="C3630" t="s">
        <v>48</v>
      </c>
      <c r="D3630">
        <v>0</v>
      </c>
      <c r="E3630" t="s">
        <v>40</v>
      </c>
      <c r="F3630" t="s">
        <v>10</v>
      </c>
    </row>
    <row r="3631" spans="1:6" hidden="1" x14ac:dyDescent="0.35">
      <c r="A3631" t="s">
        <v>61</v>
      </c>
      <c r="B3631" t="s">
        <v>7</v>
      </c>
      <c r="C3631" t="s">
        <v>48</v>
      </c>
      <c r="D3631">
        <v>0</v>
      </c>
      <c r="E3631" t="s">
        <v>40</v>
      </c>
      <c r="F3631" t="s">
        <v>10</v>
      </c>
    </row>
    <row r="3632" spans="1:6" hidden="1" x14ac:dyDescent="0.35">
      <c r="A3632" t="s">
        <v>62</v>
      </c>
      <c r="B3632" t="s">
        <v>7</v>
      </c>
      <c r="C3632" t="s">
        <v>48</v>
      </c>
      <c r="D3632">
        <v>0</v>
      </c>
      <c r="E3632" t="s">
        <v>40</v>
      </c>
      <c r="F3632" t="s">
        <v>10</v>
      </c>
    </row>
    <row r="3633" spans="1:6" hidden="1" x14ac:dyDescent="0.35">
      <c r="A3633" t="s">
        <v>63</v>
      </c>
      <c r="B3633" t="s">
        <v>7</v>
      </c>
      <c r="C3633" t="s">
        <v>48</v>
      </c>
      <c r="D3633">
        <v>0</v>
      </c>
      <c r="E3633" t="s">
        <v>40</v>
      </c>
      <c r="F3633" t="s">
        <v>10</v>
      </c>
    </row>
    <row r="3634" spans="1:6" hidden="1" x14ac:dyDescent="0.35">
      <c r="A3634" t="s">
        <v>64</v>
      </c>
      <c r="B3634" t="s">
        <v>7</v>
      </c>
      <c r="C3634" t="s">
        <v>48</v>
      </c>
      <c r="D3634">
        <v>0</v>
      </c>
      <c r="E3634" t="s">
        <v>40</v>
      </c>
      <c r="F3634" t="s">
        <v>10</v>
      </c>
    </row>
    <row r="3635" spans="1:6" hidden="1" x14ac:dyDescent="0.35">
      <c r="A3635" t="s">
        <v>65</v>
      </c>
      <c r="B3635" t="s">
        <v>7</v>
      </c>
      <c r="C3635" t="s">
        <v>48</v>
      </c>
      <c r="D3635">
        <v>0</v>
      </c>
      <c r="E3635" t="s">
        <v>40</v>
      </c>
      <c r="F3635" t="s">
        <v>10</v>
      </c>
    </row>
    <row r="3636" spans="1:6" hidden="1" x14ac:dyDescent="0.35">
      <c r="A3636" t="s">
        <v>66</v>
      </c>
      <c r="B3636" t="s">
        <v>7</v>
      </c>
      <c r="C3636" t="s">
        <v>48</v>
      </c>
      <c r="D3636">
        <v>0</v>
      </c>
      <c r="E3636" t="s">
        <v>40</v>
      </c>
      <c r="F3636" t="s">
        <v>10</v>
      </c>
    </row>
    <row r="3637" spans="1:6" hidden="1" x14ac:dyDescent="0.35">
      <c r="A3637" t="s">
        <v>67</v>
      </c>
      <c r="B3637" t="s">
        <v>7</v>
      </c>
      <c r="C3637" t="s">
        <v>48</v>
      </c>
      <c r="D3637">
        <v>0</v>
      </c>
      <c r="E3637" t="s">
        <v>40</v>
      </c>
      <c r="F3637" t="s">
        <v>10</v>
      </c>
    </row>
    <row r="3638" spans="1:6" hidden="1" x14ac:dyDescent="0.35">
      <c r="A3638" t="s">
        <v>57</v>
      </c>
      <c r="B3638" t="s">
        <v>7</v>
      </c>
      <c r="C3638" t="s">
        <v>49</v>
      </c>
      <c r="D3638">
        <v>13939.3032</v>
      </c>
      <c r="E3638" t="s">
        <v>40</v>
      </c>
      <c r="F3638" t="s">
        <v>10</v>
      </c>
    </row>
    <row r="3639" spans="1:6" hidden="1" x14ac:dyDescent="0.35">
      <c r="A3639" t="s">
        <v>11</v>
      </c>
      <c r="B3639" t="s">
        <v>7</v>
      </c>
      <c r="C3639" t="s">
        <v>49</v>
      </c>
      <c r="D3639">
        <v>16104.1124</v>
      </c>
      <c r="E3639" t="s">
        <v>40</v>
      </c>
      <c r="F3639" t="s">
        <v>10</v>
      </c>
    </row>
    <row r="3640" spans="1:6" hidden="1" x14ac:dyDescent="0.35">
      <c r="A3640" t="s">
        <v>58</v>
      </c>
      <c r="B3640" t="s">
        <v>7</v>
      </c>
      <c r="C3640" t="s">
        <v>49</v>
      </c>
      <c r="D3640">
        <v>79728.303599999985</v>
      </c>
      <c r="E3640" t="s">
        <v>40</v>
      </c>
      <c r="F3640" t="s">
        <v>10</v>
      </c>
    </row>
    <row r="3641" spans="1:6" hidden="1" x14ac:dyDescent="0.35">
      <c r="A3641" t="s">
        <v>59</v>
      </c>
      <c r="B3641" t="s">
        <v>7</v>
      </c>
      <c r="C3641" t="s">
        <v>49</v>
      </c>
      <c r="D3641">
        <v>45497.277999999998</v>
      </c>
      <c r="E3641" t="s">
        <v>40</v>
      </c>
      <c r="F3641" t="s">
        <v>10</v>
      </c>
    </row>
    <row r="3642" spans="1:6" hidden="1" x14ac:dyDescent="0.35">
      <c r="A3642" t="s">
        <v>60</v>
      </c>
      <c r="B3642" t="s">
        <v>7</v>
      </c>
      <c r="C3642" t="s">
        <v>49</v>
      </c>
      <c r="D3642">
        <v>187825.6084</v>
      </c>
      <c r="E3642" t="s">
        <v>40</v>
      </c>
      <c r="F3642" t="s">
        <v>10</v>
      </c>
    </row>
    <row r="3643" spans="1:6" hidden="1" x14ac:dyDescent="0.35">
      <c r="A3643" t="s">
        <v>61</v>
      </c>
      <c r="B3643" t="s">
        <v>7</v>
      </c>
      <c r="C3643" t="s">
        <v>49</v>
      </c>
      <c r="D3643">
        <v>159354.23999999999</v>
      </c>
      <c r="E3643" t="s">
        <v>40</v>
      </c>
      <c r="F3643" t="s">
        <v>10</v>
      </c>
    </row>
    <row r="3644" spans="1:6" hidden="1" x14ac:dyDescent="0.35">
      <c r="A3644" t="s">
        <v>62</v>
      </c>
      <c r="B3644" t="s">
        <v>7</v>
      </c>
      <c r="C3644" t="s">
        <v>49</v>
      </c>
      <c r="D3644">
        <v>43594.179600000003</v>
      </c>
      <c r="E3644" t="s">
        <v>40</v>
      </c>
      <c r="F3644" t="s">
        <v>10</v>
      </c>
    </row>
    <row r="3645" spans="1:6" hidden="1" x14ac:dyDescent="0.35">
      <c r="A3645" t="s">
        <v>63</v>
      </c>
      <c r="B3645" t="s">
        <v>7</v>
      </c>
      <c r="C3645" t="s">
        <v>49</v>
      </c>
      <c r="D3645">
        <v>274707.55080000003</v>
      </c>
      <c r="E3645" t="s">
        <v>40</v>
      </c>
      <c r="F3645" t="s">
        <v>10</v>
      </c>
    </row>
    <row r="3646" spans="1:6" hidden="1" x14ac:dyDescent="0.35">
      <c r="A3646" t="s">
        <v>64</v>
      </c>
      <c r="B3646" t="s">
        <v>7</v>
      </c>
      <c r="C3646" t="s">
        <v>49</v>
      </c>
      <c r="D3646">
        <v>105703.09239999999</v>
      </c>
      <c r="E3646" t="s">
        <v>40</v>
      </c>
      <c r="F3646" t="s">
        <v>10</v>
      </c>
    </row>
    <row r="3647" spans="1:6" hidden="1" x14ac:dyDescent="0.35">
      <c r="A3647" t="s">
        <v>65</v>
      </c>
      <c r="B3647" t="s">
        <v>7</v>
      </c>
      <c r="C3647" t="s">
        <v>49</v>
      </c>
      <c r="D3647">
        <v>252351.33119999999</v>
      </c>
      <c r="E3647" t="s">
        <v>40</v>
      </c>
      <c r="F3647" t="s">
        <v>10</v>
      </c>
    </row>
    <row r="3648" spans="1:6" hidden="1" x14ac:dyDescent="0.35">
      <c r="A3648" t="s">
        <v>66</v>
      </c>
      <c r="B3648" t="s">
        <v>7</v>
      </c>
      <c r="C3648" t="s">
        <v>49</v>
      </c>
      <c r="D3648">
        <v>85399.485199999996</v>
      </c>
      <c r="E3648" t="s">
        <v>40</v>
      </c>
      <c r="F3648" t="s">
        <v>10</v>
      </c>
    </row>
    <row r="3649" spans="1:6" hidden="1" x14ac:dyDescent="0.35">
      <c r="A3649" t="s">
        <v>67</v>
      </c>
      <c r="B3649" t="s">
        <v>7</v>
      </c>
      <c r="C3649" t="s">
        <v>49</v>
      </c>
      <c r="D3649">
        <v>152984.68040000001</v>
      </c>
      <c r="E3649" t="s">
        <v>40</v>
      </c>
      <c r="F3649" t="s">
        <v>10</v>
      </c>
    </row>
    <row r="3650" spans="1:6" hidden="1" x14ac:dyDescent="0.35">
      <c r="A3650" t="s">
        <v>57</v>
      </c>
      <c r="B3650" t="s">
        <v>7</v>
      </c>
      <c r="C3650" t="s">
        <v>50</v>
      </c>
      <c r="D3650">
        <v>39228.540800000002</v>
      </c>
      <c r="E3650" t="s">
        <v>40</v>
      </c>
      <c r="F3650" t="s">
        <v>10</v>
      </c>
    </row>
    <row r="3651" spans="1:6" hidden="1" x14ac:dyDescent="0.35">
      <c r="A3651" t="s">
        <v>11</v>
      </c>
      <c r="B3651" t="s">
        <v>7</v>
      </c>
      <c r="C3651" t="s">
        <v>50</v>
      </c>
      <c r="D3651">
        <v>36851.857600000003</v>
      </c>
      <c r="E3651" t="s">
        <v>40</v>
      </c>
      <c r="F3651" t="s">
        <v>10</v>
      </c>
    </row>
    <row r="3652" spans="1:6" hidden="1" x14ac:dyDescent="0.35">
      <c r="A3652" t="s">
        <v>58</v>
      </c>
      <c r="B3652" t="s">
        <v>7</v>
      </c>
      <c r="C3652" t="s">
        <v>50</v>
      </c>
      <c r="D3652">
        <v>338568.85600000003</v>
      </c>
      <c r="E3652" t="s">
        <v>40</v>
      </c>
      <c r="F3652" t="s">
        <v>10</v>
      </c>
    </row>
    <row r="3653" spans="1:6" hidden="1" x14ac:dyDescent="0.35">
      <c r="A3653" t="s">
        <v>59</v>
      </c>
      <c r="B3653" t="s">
        <v>7</v>
      </c>
      <c r="C3653" t="s">
        <v>50</v>
      </c>
      <c r="D3653">
        <v>117417.59639999999</v>
      </c>
      <c r="E3653" t="s">
        <v>40</v>
      </c>
      <c r="F3653" t="s">
        <v>10</v>
      </c>
    </row>
    <row r="3654" spans="1:6" hidden="1" x14ac:dyDescent="0.35">
      <c r="A3654" t="s">
        <v>60</v>
      </c>
      <c r="B3654" t="s">
        <v>7</v>
      </c>
      <c r="C3654" t="s">
        <v>50</v>
      </c>
      <c r="D3654">
        <v>430684.31439999992</v>
      </c>
      <c r="E3654" t="s">
        <v>40</v>
      </c>
      <c r="F3654" t="s">
        <v>10</v>
      </c>
    </row>
    <row r="3655" spans="1:6" hidden="1" x14ac:dyDescent="0.35">
      <c r="A3655" t="s">
        <v>61</v>
      </c>
      <c r="B3655" t="s">
        <v>7</v>
      </c>
      <c r="C3655" t="s">
        <v>50</v>
      </c>
      <c r="D3655">
        <v>118144.36040000001</v>
      </c>
      <c r="E3655" t="s">
        <v>40</v>
      </c>
      <c r="F3655" t="s">
        <v>10</v>
      </c>
    </row>
    <row r="3656" spans="1:6" hidden="1" x14ac:dyDescent="0.35">
      <c r="A3656" t="s">
        <v>62</v>
      </c>
      <c r="B3656" t="s">
        <v>7</v>
      </c>
      <c r="C3656" t="s">
        <v>50</v>
      </c>
      <c r="D3656">
        <v>498117.85800000001</v>
      </c>
      <c r="E3656" t="s">
        <v>40</v>
      </c>
      <c r="F3656" t="s">
        <v>10</v>
      </c>
    </row>
    <row r="3657" spans="1:6" hidden="1" x14ac:dyDescent="0.35">
      <c r="A3657" t="s">
        <v>63</v>
      </c>
      <c r="B3657" t="s">
        <v>7</v>
      </c>
      <c r="C3657" t="s">
        <v>50</v>
      </c>
      <c r="D3657">
        <v>351766.59759999998</v>
      </c>
      <c r="E3657" t="s">
        <v>40</v>
      </c>
      <c r="F3657" t="s">
        <v>10</v>
      </c>
    </row>
    <row r="3658" spans="1:6" hidden="1" x14ac:dyDescent="0.35">
      <c r="A3658" t="s">
        <v>64</v>
      </c>
      <c r="B3658" t="s">
        <v>7</v>
      </c>
      <c r="C3658" t="s">
        <v>50</v>
      </c>
      <c r="D3658">
        <v>512208.98239999998</v>
      </c>
      <c r="E3658" t="s">
        <v>40</v>
      </c>
      <c r="F3658" t="s">
        <v>10</v>
      </c>
    </row>
    <row r="3659" spans="1:6" hidden="1" x14ac:dyDescent="0.35">
      <c r="A3659" t="s">
        <v>65</v>
      </c>
      <c r="B3659" t="s">
        <v>7</v>
      </c>
      <c r="C3659" t="s">
        <v>50</v>
      </c>
      <c r="D3659">
        <v>1543008.4212</v>
      </c>
      <c r="E3659" t="s">
        <v>40</v>
      </c>
      <c r="F3659" t="s">
        <v>10</v>
      </c>
    </row>
    <row r="3660" spans="1:6" hidden="1" x14ac:dyDescent="0.35">
      <c r="A3660" t="s">
        <v>66</v>
      </c>
      <c r="B3660" t="s">
        <v>7</v>
      </c>
      <c r="C3660" t="s">
        <v>50</v>
      </c>
      <c r="D3660">
        <v>310656.28240000003</v>
      </c>
      <c r="E3660" t="s">
        <v>40</v>
      </c>
      <c r="F3660" t="s">
        <v>10</v>
      </c>
    </row>
    <row r="3661" spans="1:6" hidden="1" x14ac:dyDescent="0.35">
      <c r="A3661" t="s">
        <v>67</v>
      </c>
      <c r="B3661" t="s">
        <v>7</v>
      </c>
      <c r="C3661" t="s">
        <v>50</v>
      </c>
      <c r="D3661">
        <v>763254.99279999989</v>
      </c>
      <c r="E3661" t="s">
        <v>40</v>
      </c>
      <c r="F3661" t="s">
        <v>10</v>
      </c>
    </row>
    <row r="3662" spans="1:6" hidden="1" x14ac:dyDescent="0.35">
      <c r="A3662" t="s">
        <v>57</v>
      </c>
      <c r="B3662" t="s">
        <v>7</v>
      </c>
      <c r="C3662" t="s">
        <v>51</v>
      </c>
      <c r="D3662">
        <v>45</v>
      </c>
      <c r="E3662" t="s">
        <v>40</v>
      </c>
      <c r="F3662" t="s">
        <v>10</v>
      </c>
    </row>
    <row r="3663" spans="1:6" hidden="1" x14ac:dyDescent="0.35">
      <c r="A3663" t="s">
        <v>11</v>
      </c>
      <c r="B3663" t="s">
        <v>7</v>
      </c>
      <c r="C3663" t="s">
        <v>51</v>
      </c>
      <c r="D3663">
        <v>35</v>
      </c>
      <c r="E3663" t="s">
        <v>40</v>
      </c>
      <c r="F3663" t="s">
        <v>10</v>
      </c>
    </row>
    <row r="3664" spans="1:6" hidden="1" x14ac:dyDescent="0.35">
      <c r="A3664" t="s">
        <v>58</v>
      </c>
      <c r="B3664" t="s">
        <v>7</v>
      </c>
      <c r="C3664" t="s">
        <v>51</v>
      </c>
      <c r="D3664">
        <v>60</v>
      </c>
      <c r="E3664" t="s">
        <v>40</v>
      </c>
      <c r="F3664" t="s">
        <v>10</v>
      </c>
    </row>
    <row r="3665" spans="1:6" hidden="1" x14ac:dyDescent="0.35">
      <c r="A3665" t="s">
        <v>59</v>
      </c>
      <c r="B3665" t="s">
        <v>7</v>
      </c>
      <c r="C3665" t="s">
        <v>51</v>
      </c>
      <c r="D3665">
        <v>45</v>
      </c>
      <c r="E3665" t="s">
        <v>40</v>
      </c>
      <c r="F3665" t="s">
        <v>10</v>
      </c>
    </row>
    <row r="3666" spans="1:6" hidden="1" x14ac:dyDescent="0.35">
      <c r="A3666" t="s">
        <v>60</v>
      </c>
      <c r="B3666" t="s">
        <v>7</v>
      </c>
      <c r="C3666" t="s">
        <v>51</v>
      </c>
      <c r="D3666">
        <v>52</v>
      </c>
      <c r="E3666" t="s">
        <v>40</v>
      </c>
      <c r="F3666" t="s">
        <v>10</v>
      </c>
    </row>
    <row r="3667" spans="1:6" hidden="1" x14ac:dyDescent="0.35">
      <c r="A3667" t="s">
        <v>61</v>
      </c>
      <c r="B3667" t="s">
        <v>7</v>
      </c>
      <c r="C3667" t="s">
        <v>51</v>
      </c>
      <c r="D3667">
        <v>54</v>
      </c>
      <c r="E3667" t="s">
        <v>40</v>
      </c>
      <c r="F3667" t="s">
        <v>10</v>
      </c>
    </row>
    <row r="3668" spans="1:6" hidden="1" x14ac:dyDescent="0.35">
      <c r="A3668" t="s">
        <v>62</v>
      </c>
      <c r="B3668" t="s">
        <v>7</v>
      </c>
      <c r="C3668" t="s">
        <v>51</v>
      </c>
      <c r="D3668">
        <v>44</v>
      </c>
      <c r="E3668" t="s">
        <v>40</v>
      </c>
      <c r="F3668" t="s">
        <v>10</v>
      </c>
    </row>
    <row r="3669" spans="1:6" hidden="1" x14ac:dyDescent="0.35">
      <c r="A3669" t="s">
        <v>63</v>
      </c>
      <c r="B3669" t="s">
        <v>7</v>
      </c>
      <c r="C3669" t="s">
        <v>51</v>
      </c>
      <c r="D3669">
        <v>55</v>
      </c>
      <c r="E3669" t="s">
        <v>40</v>
      </c>
      <c r="F3669" t="s">
        <v>10</v>
      </c>
    </row>
    <row r="3670" spans="1:6" hidden="1" x14ac:dyDescent="0.35">
      <c r="A3670" t="s">
        <v>64</v>
      </c>
      <c r="B3670" t="s">
        <v>7</v>
      </c>
      <c r="C3670" t="s">
        <v>51</v>
      </c>
      <c r="D3670">
        <v>74</v>
      </c>
      <c r="E3670" t="s">
        <v>40</v>
      </c>
      <c r="F3670" t="s">
        <v>10</v>
      </c>
    </row>
    <row r="3671" spans="1:6" hidden="1" x14ac:dyDescent="0.35">
      <c r="A3671" t="s">
        <v>65</v>
      </c>
      <c r="B3671" t="s">
        <v>7</v>
      </c>
      <c r="C3671" t="s">
        <v>51</v>
      </c>
      <c r="D3671">
        <v>58</v>
      </c>
      <c r="E3671" t="s">
        <v>40</v>
      </c>
      <c r="F3671" t="s">
        <v>10</v>
      </c>
    </row>
    <row r="3672" spans="1:6" hidden="1" x14ac:dyDescent="0.35">
      <c r="A3672" t="s">
        <v>66</v>
      </c>
      <c r="B3672" t="s">
        <v>7</v>
      </c>
      <c r="C3672" t="s">
        <v>51</v>
      </c>
      <c r="D3672">
        <v>62</v>
      </c>
      <c r="E3672" t="s">
        <v>40</v>
      </c>
      <c r="F3672" t="s">
        <v>10</v>
      </c>
    </row>
    <row r="3673" spans="1:6" hidden="1" x14ac:dyDescent="0.35">
      <c r="A3673" t="s">
        <v>67</v>
      </c>
      <c r="B3673" t="s">
        <v>7</v>
      </c>
      <c r="C3673" t="s">
        <v>51</v>
      </c>
      <c r="D3673">
        <v>57</v>
      </c>
      <c r="E3673" t="s">
        <v>40</v>
      </c>
      <c r="F3673" t="s">
        <v>10</v>
      </c>
    </row>
    <row r="3674" spans="1:6" hidden="1" x14ac:dyDescent="0.35">
      <c r="A3674" t="s">
        <v>57</v>
      </c>
      <c r="B3674" t="s">
        <v>7</v>
      </c>
      <c r="C3674" t="s">
        <v>30</v>
      </c>
      <c r="E3674" t="s">
        <v>40</v>
      </c>
      <c r="F3674" t="s">
        <v>10</v>
      </c>
    </row>
    <row r="3675" spans="1:6" hidden="1" x14ac:dyDescent="0.35">
      <c r="A3675" t="s">
        <v>11</v>
      </c>
      <c r="B3675" t="s">
        <v>7</v>
      </c>
      <c r="C3675" t="s">
        <v>30</v>
      </c>
      <c r="D3675">
        <v>1</v>
      </c>
      <c r="E3675" t="s">
        <v>40</v>
      </c>
      <c r="F3675" t="s">
        <v>10</v>
      </c>
    </row>
    <row r="3676" spans="1:6" hidden="1" x14ac:dyDescent="0.35">
      <c r="A3676" t="s">
        <v>58</v>
      </c>
      <c r="B3676" t="s">
        <v>7</v>
      </c>
      <c r="C3676" t="s">
        <v>30</v>
      </c>
      <c r="D3676">
        <v>2</v>
      </c>
      <c r="E3676" t="s">
        <v>40</v>
      </c>
      <c r="F3676" t="s">
        <v>10</v>
      </c>
    </row>
    <row r="3677" spans="1:6" hidden="1" x14ac:dyDescent="0.35">
      <c r="A3677" t="s">
        <v>59</v>
      </c>
      <c r="B3677" t="s">
        <v>7</v>
      </c>
      <c r="C3677" t="s">
        <v>30</v>
      </c>
      <c r="D3677">
        <v>2</v>
      </c>
      <c r="E3677" t="s">
        <v>40</v>
      </c>
      <c r="F3677" t="s">
        <v>10</v>
      </c>
    </row>
    <row r="3678" spans="1:6" hidden="1" x14ac:dyDescent="0.35">
      <c r="A3678" t="s">
        <v>60</v>
      </c>
      <c r="B3678" t="s">
        <v>7</v>
      </c>
      <c r="C3678" t="s">
        <v>30</v>
      </c>
      <c r="D3678">
        <v>1</v>
      </c>
      <c r="E3678" t="s">
        <v>40</v>
      </c>
      <c r="F3678" t="s">
        <v>10</v>
      </c>
    </row>
    <row r="3679" spans="1:6" hidden="1" x14ac:dyDescent="0.35">
      <c r="A3679" t="s">
        <v>61</v>
      </c>
      <c r="B3679" t="s">
        <v>7</v>
      </c>
      <c r="C3679" t="s">
        <v>30</v>
      </c>
      <c r="D3679">
        <v>2</v>
      </c>
      <c r="E3679" t="s">
        <v>40</v>
      </c>
      <c r="F3679" t="s">
        <v>10</v>
      </c>
    </row>
    <row r="3680" spans="1:6" hidden="1" x14ac:dyDescent="0.35">
      <c r="A3680" t="s">
        <v>62</v>
      </c>
      <c r="B3680" t="s">
        <v>7</v>
      </c>
      <c r="C3680" t="s">
        <v>30</v>
      </c>
      <c r="D3680">
        <v>2</v>
      </c>
      <c r="E3680" t="s">
        <v>40</v>
      </c>
      <c r="F3680" t="s">
        <v>10</v>
      </c>
    </row>
    <row r="3681" spans="1:6" hidden="1" x14ac:dyDescent="0.35">
      <c r="A3681" t="s">
        <v>63</v>
      </c>
      <c r="B3681" t="s">
        <v>7</v>
      </c>
      <c r="C3681" t="s">
        <v>30</v>
      </c>
      <c r="D3681">
        <v>4</v>
      </c>
      <c r="E3681" t="s">
        <v>40</v>
      </c>
      <c r="F3681" t="s">
        <v>10</v>
      </c>
    </row>
    <row r="3682" spans="1:6" hidden="1" x14ac:dyDescent="0.35">
      <c r="A3682" t="s">
        <v>64</v>
      </c>
      <c r="B3682" t="s">
        <v>7</v>
      </c>
      <c r="C3682" t="s">
        <v>30</v>
      </c>
      <c r="D3682">
        <v>4</v>
      </c>
      <c r="E3682" t="s">
        <v>40</v>
      </c>
      <c r="F3682" t="s">
        <v>10</v>
      </c>
    </row>
    <row r="3683" spans="1:6" hidden="1" x14ac:dyDescent="0.35">
      <c r="A3683" t="s">
        <v>65</v>
      </c>
      <c r="B3683" t="s">
        <v>7</v>
      </c>
      <c r="C3683" t="s">
        <v>30</v>
      </c>
      <c r="D3683">
        <v>3</v>
      </c>
      <c r="E3683" t="s">
        <v>40</v>
      </c>
      <c r="F3683" t="s">
        <v>10</v>
      </c>
    </row>
    <row r="3684" spans="1:6" hidden="1" x14ac:dyDescent="0.35">
      <c r="A3684" t="s">
        <v>66</v>
      </c>
      <c r="B3684" t="s">
        <v>7</v>
      </c>
      <c r="C3684" t="s">
        <v>30</v>
      </c>
      <c r="D3684">
        <v>3</v>
      </c>
      <c r="E3684" t="s">
        <v>40</v>
      </c>
      <c r="F3684" t="s">
        <v>10</v>
      </c>
    </row>
    <row r="3685" spans="1:6" hidden="1" x14ac:dyDescent="0.35">
      <c r="A3685" t="s">
        <v>67</v>
      </c>
      <c r="B3685" t="s">
        <v>7</v>
      </c>
      <c r="C3685" t="s">
        <v>30</v>
      </c>
      <c r="D3685">
        <v>5</v>
      </c>
      <c r="E3685" t="s">
        <v>40</v>
      </c>
      <c r="F3685" t="s">
        <v>10</v>
      </c>
    </row>
    <row r="3686" spans="1:6" hidden="1" x14ac:dyDescent="0.35">
      <c r="A3686" t="s">
        <v>57</v>
      </c>
      <c r="B3686" t="s">
        <v>7</v>
      </c>
      <c r="C3686" t="s">
        <v>52</v>
      </c>
      <c r="D3686">
        <v>23</v>
      </c>
      <c r="E3686" t="s">
        <v>40</v>
      </c>
      <c r="F3686" t="s">
        <v>10</v>
      </c>
    </row>
    <row r="3687" spans="1:6" hidden="1" x14ac:dyDescent="0.35">
      <c r="A3687" t="s">
        <v>11</v>
      </c>
      <c r="B3687" t="s">
        <v>7</v>
      </c>
      <c r="C3687" t="s">
        <v>52</v>
      </c>
      <c r="D3687">
        <v>13</v>
      </c>
      <c r="E3687" t="s">
        <v>40</v>
      </c>
      <c r="F3687" t="s">
        <v>10</v>
      </c>
    </row>
    <row r="3688" spans="1:6" hidden="1" x14ac:dyDescent="0.35">
      <c r="A3688" t="s">
        <v>58</v>
      </c>
      <c r="B3688" t="s">
        <v>7</v>
      </c>
      <c r="C3688" t="s">
        <v>52</v>
      </c>
      <c r="D3688">
        <v>39</v>
      </c>
      <c r="E3688" t="s">
        <v>40</v>
      </c>
      <c r="F3688" t="s">
        <v>10</v>
      </c>
    </row>
    <row r="3689" spans="1:6" hidden="1" x14ac:dyDescent="0.35">
      <c r="A3689" t="s">
        <v>59</v>
      </c>
      <c r="B3689" t="s">
        <v>7</v>
      </c>
      <c r="C3689" t="s">
        <v>52</v>
      </c>
      <c r="D3689">
        <v>20</v>
      </c>
      <c r="E3689" t="s">
        <v>40</v>
      </c>
      <c r="F3689" t="s">
        <v>10</v>
      </c>
    </row>
    <row r="3690" spans="1:6" hidden="1" x14ac:dyDescent="0.35">
      <c r="A3690" t="s">
        <v>60</v>
      </c>
      <c r="B3690" t="s">
        <v>7</v>
      </c>
      <c r="C3690" t="s">
        <v>52</v>
      </c>
      <c r="D3690">
        <v>13</v>
      </c>
      <c r="E3690" t="s">
        <v>40</v>
      </c>
      <c r="F3690" t="s">
        <v>10</v>
      </c>
    </row>
    <row r="3691" spans="1:6" hidden="1" x14ac:dyDescent="0.35">
      <c r="A3691" t="s">
        <v>61</v>
      </c>
      <c r="B3691" t="s">
        <v>7</v>
      </c>
      <c r="C3691" t="s">
        <v>52</v>
      </c>
      <c r="D3691">
        <v>20</v>
      </c>
      <c r="E3691" t="s">
        <v>40</v>
      </c>
      <c r="F3691" t="s">
        <v>10</v>
      </c>
    </row>
    <row r="3692" spans="1:6" hidden="1" x14ac:dyDescent="0.35">
      <c r="A3692" t="s">
        <v>62</v>
      </c>
      <c r="B3692" t="s">
        <v>7</v>
      </c>
      <c r="C3692" t="s">
        <v>52</v>
      </c>
      <c r="D3692">
        <v>12</v>
      </c>
      <c r="E3692" t="s">
        <v>40</v>
      </c>
      <c r="F3692" t="s">
        <v>10</v>
      </c>
    </row>
    <row r="3693" spans="1:6" hidden="1" x14ac:dyDescent="0.35">
      <c r="A3693" t="s">
        <v>63</v>
      </c>
      <c r="B3693" t="s">
        <v>7</v>
      </c>
      <c r="C3693" t="s">
        <v>52</v>
      </c>
      <c r="D3693">
        <v>13</v>
      </c>
      <c r="E3693" t="s">
        <v>40</v>
      </c>
      <c r="F3693" t="s">
        <v>10</v>
      </c>
    </row>
    <row r="3694" spans="1:6" hidden="1" x14ac:dyDescent="0.35">
      <c r="A3694" t="s">
        <v>64</v>
      </c>
      <c r="B3694" t="s">
        <v>7</v>
      </c>
      <c r="C3694" t="s">
        <v>52</v>
      </c>
      <c r="D3694">
        <v>21</v>
      </c>
      <c r="E3694" t="s">
        <v>40</v>
      </c>
      <c r="F3694" t="s">
        <v>10</v>
      </c>
    </row>
    <row r="3695" spans="1:6" hidden="1" x14ac:dyDescent="0.35">
      <c r="A3695" t="s">
        <v>65</v>
      </c>
      <c r="B3695" t="s">
        <v>7</v>
      </c>
      <c r="C3695" t="s">
        <v>52</v>
      </c>
      <c r="D3695">
        <v>10</v>
      </c>
      <c r="E3695" t="s">
        <v>40</v>
      </c>
      <c r="F3695" t="s">
        <v>10</v>
      </c>
    </row>
    <row r="3696" spans="1:6" hidden="1" x14ac:dyDescent="0.35">
      <c r="A3696" t="s">
        <v>66</v>
      </c>
      <c r="B3696" t="s">
        <v>7</v>
      </c>
      <c r="C3696" t="s">
        <v>52</v>
      </c>
      <c r="D3696">
        <v>14</v>
      </c>
      <c r="E3696" t="s">
        <v>40</v>
      </c>
      <c r="F3696" t="s">
        <v>10</v>
      </c>
    </row>
    <row r="3697" spans="1:6" hidden="1" x14ac:dyDescent="0.35">
      <c r="A3697" t="s">
        <v>67</v>
      </c>
      <c r="B3697" t="s">
        <v>7</v>
      </c>
      <c r="C3697" t="s">
        <v>52</v>
      </c>
      <c r="D3697">
        <v>22</v>
      </c>
      <c r="E3697" t="s">
        <v>40</v>
      </c>
      <c r="F3697" t="s">
        <v>10</v>
      </c>
    </row>
    <row r="3698" spans="1:6" hidden="1" x14ac:dyDescent="0.35">
      <c r="A3698" t="s">
        <v>57</v>
      </c>
      <c r="B3698" t="s">
        <v>32</v>
      </c>
      <c r="C3698" t="s">
        <v>44</v>
      </c>
      <c r="D3698">
        <v>328108.68353051669</v>
      </c>
      <c r="E3698" t="s">
        <v>40</v>
      </c>
      <c r="F3698" t="s">
        <v>10</v>
      </c>
    </row>
    <row r="3699" spans="1:6" hidden="1" x14ac:dyDescent="0.35">
      <c r="A3699" t="s">
        <v>11</v>
      </c>
      <c r="B3699" t="s">
        <v>32</v>
      </c>
      <c r="C3699" t="s">
        <v>44</v>
      </c>
      <c r="D3699">
        <v>345955.96749647689</v>
      </c>
      <c r="E3699" t="s">
        <v>40</v>
      </c>
      <c r="F3699" t="s">
        <v>10</v>
      </c>
    </row>
    <row r="3700" spans="1:6" hidden="1" x14ac:dyDescent="0.35">
      <c r="A3700" t="s">
        <v>58</v>
      </c>
      <c r="B3700" t="s">
        <v>32</v>
      </c>
      <c r="C3700" t="s">
        <v>44</v>
      </c>
      <c r="D3700">
        <v>770975.13693371566</v>
      </c>
      <c r="E3700" t="s">
        <v>40</v>
      </c>
      <c r="F3700" t="s">
        <v>10</v>
      </c>
    </row>
    <row r="3701" spans="1:6" hidden="1" x14ac:dyDescent="0.35">
      <c r="A3701" t="s">
        <v>59</v>
      </c>
      <c r="B3701" t="s">
        <v>32</v>
      </c>
      <c r="C3701" t="s">
        <v>44</v>
      </c>
      <c r="D3701">
        <v>306922.42249322502</v>
      </c>
      <c r="E3701" t="s">
        <v>40</v>
      </c>
      <c r="F3701" t="s">
        <v>10</v>
      </c>
    </row>
    <row r="3702" spans="1:6" hidden="1" x14ac:dyDescent="0.35">
      <c r="A3702" t="s">
        <v>60</v>
      </c>
      <c r="B3702" t="s">
        <v>32</v>
      </c>
      <c r="C3702" t="s">
        <v>44</v>
      </c>
      <c r="D3702">
        <v>545333.09480542003</v>
      </c>
      <c r="E3702" t="s">
        <v>40</v>
      </c>
      <c r="F3702" t="s">
        <v>10</v>
      </c>
    </row>
    <row r="3703" spans="1:6" hidden="1" x14ac:dyDescent="0.35">
      <c r="A3703" t="s">
        <v>61</v>
      </c>
      <c r="B3703" t="s">
        <v>32</v>
      </c>
      <c r="C3703" t="s">
        <v>44</v>
      </c>
      <c r="D3703">
        <v>559959.34646449855</v>
      </c>
      <c r="E3703" t="s">
        <v>40</v>
      </c>
      <c r="F3703" t="s">
        <v>10</v>
      </c>
    </row>
    <row r="3704" spans="1:6" hidden="1" x14ac:dyDescent="0.35">
      <c r="A3704" t="s">
        <v>62</v>
      </c>
      <c r="B3704" t="s">
        <v>32</v>
      </c>
      <c r="C3704" t="s">
        <v>44</v>
      </c>
      <c r="D3704">
        <v>765802.26938644983</v>
      </c>
      <c r="E3704" t="s">
        <v>40</v>
      </c>
      <c r="F3704" t="s">
        <v>10</v>
      </c>
    </row>
    <row r="3705" spans="1:6" hidden="1" x14ac:dyDescent="0.35">
      <c r="A3705" t="s">
        <v>63</v>
      </c>
      <c r="B3705" t="s">
        <v>32</v>
      </c>
      <c r="C3705" t="s">
        <v>44</v>
      </c>
      <c r="D3705">
        <v>809875.2921728997</v>
      </c>
      <c r="E3705" t="s">
        <v>40</v>
      </c>
      <c r="F3705" t="s">
        <v>10</v>
      </c>
    </row>
    <row r="3706" spans="1:6" hidden="1" x14ac:dyDescent="0.35">
      <c r="A3706" t="s">
        <v>64</v>
      </c>
      <c r="B3706" t="s">
        <v>32</v>
      </c>
      <c r="C3706" t="s">
        <v>44</v>
      </c>
      <c r="D3706">
        <v>867342.78640704625</v>
      </c>
      <c r="E3706" t="s">
        <v>40</v>
      </c>
      <c r="F3706" t="s">
        <v>10</v>
      </c>
    </row>
    <row r="3707" spans="1:6" hidden="1" x14ac:dyDescent="0.35">
      <c r="A3707" t="s">
        <v>65</v>
      </c>
      <c r="B3707" t="s">
        <v>32</v>
      </c>
      <c r="C3707" t="s">
        <v>44</v>
      </c>
      <c r="D3707">
        <v>939026.31338319788</v>
      </c>
      <c r="E3707" t="s">
        <v>40</v>
      </c>
      <c r="F3707" t="s">
        <v>10</v>
      </c>
    </row>
    <row r="3708" spans="1:6" hidden="1" x14ac:dyDescent="0.35">
      <c r="A3708" t="s">
        <v>66</v>
      </c>
      <c r="B3708" t="s">
        <v>32</v>
      </c>
      <c r="C3708" t="s">
        <v>44</v>
      </c>
      <c r="D3708">
        <v>671080.24312791321</v>
      </c>
      <c r="E3708" t="s">
        <v>40</v>
      </c>
      <c r="F3708" t="s">
        <v>10</v>
      </c>
    </row>
    <row r="3709" spans="1:6" hidden="1" x14ac:dyDescent="0.35">
      <c r="A3709" t="s">
        <v>67</v>
      </c>
      <c r="B3709" t="s">
        <v>32</v>
      </c>
      <c r="C3709" t="s">
        <v>44</v>
      </c>
      <c r="D3709">
        <v>603106.73312682926</v>
      </c>
      <c r="E3709" t="s">
        <v>40</v>
      </c>
      <c r="F3709" t="s">
        <v>10</v>
      </c>
    </row>
    <row r="3710" spans="1:6" hidden="1" x14ac:dyDescent="0.35">
      <c r="A3710" t="s">
        <v>57</v>
      </c>
      <c r="B3710" t="s">
        <v>32</v>
      </c>
      <c r="C3710" t="s">
        <v>22</v>
      </c>
      <c r="D3710">
        <v>0</v>
      </c>
      <c r="E3710" t="s">
        <v>40</v>
      </c>
      <c r="F3710" t="s">
        <v>10</v>
      </c>
    </row>
    <row r="3711" spans="1:6" hidden="1" x14ac:dyDescent="0.35">
      <c r="A3711" t="s">
        <v>11</v>
      </c>
      <c r="B3711" t="s">
        <v>32</v>
      </c>
      <c r="C3711" t="s">
        <v>22</v>
      </c>
      <c r="D3711">
        <v>0</v>
      </c>
      <c r="E3711" t="s">
        <v>40</v>
      </c>
      <c r="F3711" t="s">
        <v>10</v>
      </c>
    </row>
    <row r="3712" spans="1:6" hidden="1" x14ac:dyDescent="0.35">
      <c r="A3712" t="s">
        <v>58</v>
      </c>
      <c r="B3712" t="s">
        <v>32</v>
      </c>
      <c r="C3712" t="s">
        <v>22</v>
      </c>
      <c r="D3712">
        <v>0</v>
      </c>
      <c r="E3712" t="s">
        <v>40</v>
      </c>
      <c r="F3712" t="s">
        <v>10</v>
      </c>
    </row>
    <row r="3713" spans="1:6" hidden="1" x14ac:dyDescent="0.35">
      <c r="A3713" t="s">
        <v>59</v>
      </c>
      <c r="B3713" t="s">
        <v>32</v>
      </c>
      <c r="C3713" t="s">
        <v>22</v>
      </c>
      <c r="D3713">
        <v>0</v>
      </c>
      <c r="E3713" t="s">
        <v>40</v>
      </c>
      <c r="F3713" t="s">
        <v>10</v>
      </c>
    </row>
    <row r="3714" spans="1:6" hidden="1" x14ac:dyDescent="0.35">
      <c r="A3714" t="s">
        <v>60</v>
      </c>
      <c r="B3714" t="s">
        <v>32</v>
      </c>
      <c r="C3714" t="s">
        <v>22</v>
      </c>
      <c r="D3714">
        <v>0</v>
      </c>
      <c r="E3714" t="s">
        <v>40</v>
      </c>
      <c r="F3714" t="s">
        <v>10</v>
      </c>
    </row>
    <row r="3715" spans="1:6" hidden="1" x14ac:dyDescent="0.35">
      <c r="A3715" t="s">
        <v>61</v>
      </c>
      <c r="B3715" t="s">
        <v>32</v>
      </c>
      <c r="C3715" t="s">
        <v>22</v>
      </c>
      <c r="D3715">
        <v>0</v>
      </c>
      <c r="E3715" t="s">
        <v>40</v>
      </c>
      <c r="F3715" t="s">
        <v>10</v>
      </c>
    </row>
    <row r="3716" spans="1:6" hidden="1" x14ac:dyDescent="0.35">
      <c r="A3716" t="s">
        <v>62</v>
      </c>
      <c r="B3716" t="s">
        <v>32</v>
      </c>
      <c r="C3716" t="s">
        <v>22</v>
      </c>
      <c r="D3716">
        <v>0</v>
      </c>
      <c r="E3716" t="s">
        <v>40</v>
      </c>
      <c r="F3716" t="s">
        <v>10</v>
      </c>
    </row>
    <row r="3717" spans="1:6" hidden="1" x14ac:dyDescent="0.35">
      <c r="A3717" t="s">
        <v>63</v>
      </c>
      <c r="B3717" t="s">
        <v>32</v>
      </c>
      <c r="C3717" t="s">
        <v>22</v>
      </c>
      <c r="D3717">
        <v>0</v>
      </c>
      <c r="E3717" t="s">
        <v>40</v>
      </c>
      <c r="F3717" t="s">
        <v>10</v>
      </c>
    </row>
    <row r="3718" spans="1:6" hidden="1" x14ac:dyDescent="0.35">
      <c r="A3718" t="s">
        <v>64</v>
      </c>
      <c r="B3718" t="s">
        <v>32</v>
      </c>
      <c r="C3718" t="s">
        <v>22</v>
      </c>
      <c r="D3718">
        <v>0</v>
      </c>
      <c r="E3718" t="s">
        <v>40</v>
      </c>
      <c r="F3718" t="s">
        <v>10</v>
      </c>
    </row>
    <row r="3719" spans="1:6" hidden="1" x14ac:dyDescent="0.35">
      <c r="A3719" t="s">
        <v>65</v>
      </c>
      <c r="B3719" t="s">
        <v>32</v>
      </c>
      <c r="C3719" t="s">
        <v>22</v>
      </c>
      <c r="D3719">
        <v>0</v>
      </c>
      <c r="E3719" t="s">
        <v>40</v>
      </c>
      <c r="F3719" t="s">
        <v>10</v>
      </c>
    </row>
    <row r="3720" spans="1:6" hidden="1" x14ac:dyDescent="0.35">
      <c r="A3720" t="s">
        <v>66</v>
      </c>
      <c r="B3720" t="s">
        <v>32</v>
      </c>
      <c r="C3720" t="s">
        <v>22</v>
      </c>
      <c r="D3720">
        <v>0</v>
      </c>
      <c r="E3720" t="s">
        <v>40</v>
      </c>
      <c r="F3720" t="s">
        <v>10</v>
      </c>
    </row>
    <row r="3721" spans="1:6" hidden="1" x14ac:dyDescent="0.35">
      <c r="A3721" t="s">
        <v>67</v>
      </c>
      <c r="B3721" t="s">
        <v>32</v>
      </c>
      <c r="C3721" t="s">
        <v>22</v>
      </c>
      <c r="D3721">
        <v>0</v>
      </c>
      <c r="E3721" t="s">
        <v>40</v>
      </c>
      <c r="F3721" t="s">
        <v>10</v>
      </c>
    </row>
    <row r="3722" spans="1:6" hidden="1" x14ac:dyDescent="0.35">
      <c r="A3722" t="s">
        <v>57</v>
      </c>
      <c r="B3722" t="s">
        <v>32</v>
      </c>
      <c r="C3722" t="s">
        <v>46</v>
      </c>
      <c r="D3722">
        <v>1391260.1425389671</v>
      </c>
      <c r="E3722" t="s">
        <v>40</v>
      </c>
      <c r="F3722" t="s">
        <v>10</v>
      </c>
    </row>
    <row r="3723" spans="1:6" hidden="1" x14ac:dyDescent="0.35">
      <c r="A3723" t="s">
        <v>11</v>
      </c>
      <c r="B3723" t="s">
        <v>32</v>
      </c>
      <c r="C3723" t="s">
        <v>46</v>
      </c>
      <c r="D3723">
        <v>2333330.4738070462</v>
      </c>
      <c r="E3723" t="s">
        <v>40</v>
      </c>
      <c r="F3723" t="s">
        <v>10</v>
      </c>
    </row>
    <row r="3724" spans="1:6" hidden="1" x14ac:dyDescent="0.35">
      <c r="A3724" t="s">
        <v>58</v>
      </c>
      <c r="B3724" t="s">
        <v>32</v>
      </c>
      <c r="C3724" t="s">
        <v>46</v>
      </c>
      <c r="D3724">
        <v>3181840.1049325699</v>
      </c>
      <c r="E3724" t="s">
        <v>40</v>
      </c>
      <c r="F3724" t="s">
        <v>10</v>
      </c>
    </row>
    <row r="3725" spans="1:6" hidden="1" x14ac:dyDescent="0.35">
      <c r="A3725" t="s">
        <v>59</v>
      </c>
      <c r="B3725" t="s">
        <v>32</v>
      </c>
      <c r="C3725" t="s">
        <v>46</v>
      </c>
      <c r="D3725">
        <v>1636153.8914135499</v>
      </c>
      <c r="E3725" t="s">
        <v>40</v>
      </c>
      <c r="F3725" t="s">
        <v>10</v>
      </c>
    </row>
    <row r="3726" spans="1:6" hidden="1" x14ac:dyDescent="0.35">
      <c r="A3726" t="s">
        <v>60</v>
      </c>
      <c r="B3726" t="s">
        <v>32</v>
      </c>
      <c r="C3726" t="s">
        <v>46</v>
      </c>
      <c r="D3726">
        <v>2886004.5351891601</v>
      </c>
      <c r="E3726" t="s">
        <v>40</v>
      </c>
      <c r="F3726" t="s">
        <v>10</v>
      </c>
    </row>
    <row r="3727" spans="1:6" hidden="1" x14ac:dyDescent="0.35">
      <c r="A3727" t="s">
        <v>61</v>
      </c>
      <c r="B3727" t="s">
        <v>32</v>
      </c>
      <c r="C3727" t="s">
        <v>46</v>
      </c>
      <c r="D3727">
        <v>2371635.5614710031</v>
      </c>
      <c r="E3727" t="s">
        <v>40</v>
      </c>
      <c r="F3727" t="s">
        <v>10</v>
      </c>
    </row>
    <row r="3728" spans="1:6" hidden="1" x14ac:dyDescent="0.35">
      <c r="A3728" t="s">
        <v>62</v>
      </c>
      <c r="B3728" t="s">
        <v>32</v>
      </c>
      <c r="C3728" t="s">
        <v>46</v>
      </c>
      <c r="D3728">
        <v>2779073.9004271012</v>
      </c>
      <c r="E3728" t="s">
        <v>40</v>
      </c>
      <c r="F3728" t="s">
        <v>10</v>
      </c>
    </row>
    <row r="3729" spans="1:6" hidden="1" x14ac:dyDescent="0.35">
      <c r="A3729" t="s">
        <v>63</v>
      </c>
      <c r="B3729" t="s">
        <v>32</v>
      </c>
      <c r="C3729" t="s">
        <v>46</v>
      </c>
      <c r="D3729">
        <v>2025493.6844542001</v>
      </c>
      <c r="E3729" t="s">
        <v>40</v>
      </c>
      <c r="F3729" t="s">
        <v>10</v>
      </c>
    </row>
    <row r="3730" spans="1:6" hidden="1" x14ac:dyDescent="0.35">
      <c r="A3730" t="s">
        <v>64</v>
      </c>
      <c r="B3730" t="s">
        <v>32</v>
      </c>
      <c r="C3730" t="s">
        <v>46</v>
      </c>
      <c r="D3730">
        <v>2515278.9075859091</v>
      </c>
      <c r="E3730" t="s">
        <v>40</v>
      </c>
      <c r="F3730" t="s">
        <v>10</v>
      </c>
    </row>
    <row r="3731" spans="1:6" hidden="1" x14ac:dyDescent="0.35">
      <c r="A3731" t="s">
        <v>65</v>
      </c>
      <c r="B3731" t="s">
        <v>32</v>
      </c>
      <c r="C3731" t="s">
        <v>46</v>
      </c>
      <c r="D3731">
        <v>1924112.8236336049</v>
      </c>
      <c r="E3731" t="s">
        <v>40</v>
      </c>
      <c r="F3731" t="s">
        <v>10</v>
      </c>
    </row>
    <row r="3732" spans="1:6" hidden="1" x14ac:dyDescent="0.35">
      <c r="A3732" t="s">
        <v>66</v>
      </c>
      <c r="B3732" t="s">
        <v>32</v>
      </c>
      <c r="C3732" t="s">
        <v>46</v>
      </c>
      <c r="D3732">
        <v>1850809.654544174</v>
      </c>
      <c r="E3732" t="s">
        <v>40</v>
      </c>
      <c r="F3732" t="s">
        <v>10</v>
      </c>
    </row>
    <row r="3733" spans="1:6" hidden="1" x14ac:dyDescent="0.35">
      <c r="A3733" t="s">
        <v>67</v>
      </c>
      <c r="B3733" t="s">
        <v>32</v>
      </c>
      <c r="C3733" t="s">
        <v>46</v>
      </c>
      <c r="D3733">
        <v>2107594.1661463408</v>
      </c>
      <c r="E3733" t="s">
        <v>40</v>
      </c>
      <c r="F3733" t="s">
        <v>10</v>
      </c>
    </row>
    <row r="3734" spans="1:6" hidden="1" x14ac:dyDescent="0.35">
      <c r="A3734" t="s">
        <v>57</v>
      </c>
      <c r="B3734" t="s">
        <v>32</v>
      </c>
      <c r="C3734" t="s">
        <v>24</v>
      </c>
      <c r="D3734">
        <v>0</v>
      </c>
      <c r="E3734" t="s">
        <v>40</v>
      </c>
      <c r="F3734" t="s">
        <v>10</v>
      </c>
    </row>
    <row r="3735" spans="1:6" hidden="1" x14ac:dyDescent="0.35">
      <c r="A3735" t="s">
        <v>11</v>
      </c>
      <c r="B3735" t="s">
        <v>32</v>
      </c>
      <c r="C3735" t="s">
        <v>24</v>
      </c>
      <c r="D3735">
        <v>0</v>
      </c>
      <c r="E3735" t="s">
        <v>40</v>
      </c>
      <c r="F3735" t="s">
        <v>10</v>
      </c>
    </row>
    <row r="3736" spans="1:6" hidden="1" x14ac:dyDescent="0.35">
      <c r="A3736" t="s">
        <v>58</v>
      </c>
      <c r="B3736" t="s">
        <v>32</v>
      </c>
      <c r="C3736" t="s">
        <v>24</v>
      </c>
      <c r="D3736">
        <v>0</v>
      </c>
      <c r="E3736" t="s">
        <v>40</v>
      </c>
      <c r="F3736" t="s">
        <v>10</v>
      </c>
    </row>
    <row r="3737" spans="1:6" hidden="1" x14ac:dyDescent="0.35">
      <c r="A3737" t="s">
        <v>59</v>
      </c>
      <c r="B3737" t="s">
        <v>32</v>
      </c>
      <c r="C3737" t="s">
        <v>24</v>
      </c>
      <c r="D3737">
        <v>0</v>
      </c>
      <c r="E3737" t="s">
        <v>40</v>
      </c>
      <c r="F3737" t="s">
        <v>10</v>
      </c>
    </row>
    <row r="3738" spans="1:6" hidden="1" x14ac:dyDescent="0.35">
      <c r="A3738" t="s">
        <v>60</v>
      </c>
      <c r="B3738" t="s">
        <v>32</v>
      </c>
      <c r="C3738" t="s">
        <v>24</v>
      </c>
      <c r="D3738">
        <v>0</v>
      </c>
      <c r="E3738" t="s">
        <v>40</v>
      </c>
      <c r="F3738" t="s">
        <v>10</v>
      </c>
    </row>
    <row r="3739" spans="1:6" hidden="1" x14ac:dyDescent="0.35">
      <c r="A3739" t="s">
        <v>61</v>
      </c>
      <c r="B3739" t="s">
        <v>32</v>
      </c>
      <c r="C3739" t="s">
        <v>24</v>
      </c>
      <c r="D3739">
        <v>0</v>
      </c>
      <c r="E3739" t="s">
        <v>40</v>
      </c>
      <c r="F3739" t="s">
        <v>10</v>
      </c>
    </row>
    <row r="3740" spans="1:6" hidden="1" x14ac:dyDescent="0.35">
      <c r="A3740" t="s">
        <v>62</v>
      </c>
      <c r="B3740" t="s">
        <v>32</v>
      </c>
      <c r="C3740" t="s">
        <v>24</v>
      </c>
      <c r="D3740">
        <v>0</v>
      </c>
      <c r="E3740" t="s">
        <v>40</v>
      </c>
      <c r="F3740" t="s">
        <v>10</v>
      </c>
    </row>
    <row r="3741" spans="1:6" hidden="1" x14ac:dyDescent="0.35">
      <c r="A3741" t="s">
        <v>63</v>
      </c>
      <c r="B3741" t="s">
        <v>32</v>
      </c>
      <c r="C3741" t="s">
        <v>24</v>
      </c>
      <c r="D3741">
        <v>0</v>
      </c>
      <c r="E3741" t="s">
        <v>40</v>
      </c>
      <c r="F3741" t="s">
        <v>10</v>
      </c>
    </row>
    <row r="3742" spans="1:6" hidden="1" x14ac:dyDescent="0.35">
      <c r="A3742" t="s">
        <v>64</v>
      </c>
      <c r="B3742" t="s">
        <v>32</v>
      </c>
      <c r="C3742" t="s">
        <v>24</v>
      </c>
      <c r="D3742">
        <v>0</v>
      </c>
      <c r="E3742" t="s">
        <v>40</v>
      </c>
      <c r="F3742" t="s">
        <v>10</v>
      </c>
    </row>
    <row r="3743" spans="1:6" hidden="1" x14ac:dyDescent="0.35">
      <c r="A3743" t="s">
        <v>65</v>
      </c>
      <c r="B3743" t="s">
        <v>32</v>
      </c>
      <c r="C3743" t="s">
        <v>24</v>
      </c>
      <c r="D3743">
        <v>0</v>
      </c>
      <c r="E3743" t="s">
        <v>40</v>
      </c>
      <c r="F3743" t="s">
        <v>10</v>
      </c>
    </row>
    <row r="3744" spans="1:6" hidden="1" x14ac:dyDescent="0.35">
      <c r="A3744" t="s">
        <v>66</v>
      </c>
      <c r="B3744" t="s">
        <v>32</v>
      </c>
      <c r="C3744" t="s">
        <v>24</v>
      </c>
      <c r="D3744">
        <v>0</v>
      </c>
      <c r="E3744" t="s">
        <v>40</v>
      </c>
      <c r="F3744" t="s">
        <v>10</v>
      </c>
    </row>
    <row r="3745" spans="1:6" hidden="1" x14ac:dyDescent="0.35">
      <c r="A3745" t="s">
        <v>67</v>
      </c>
      <c r="B3745" t="s">
        <v>32</v>
      </c>
      <c r="C3745" t="s">
        <v>24</v>
      </c>
      <c r="D3745">
        <v>0</v>
      </c>
      <c r="E3745" t="s">
        <v>40</v>
      </c>
      <c r="F3745" t="s">
        <v>10</v>
      </c>
    </row>
    <row r="3746" spans="1:6" hidden="1" x14ac:dyDescent="0.35">
      <c r="A3746" t="s">
        <v>57</v>
      </c>
      <c r="B3746" t="s">
        <v>32</v>
      </c>
      <c r="C3746" t="s">
        <v>47</v>
      </c>
      <c r="D3746">
        <v>95518.83</v>
      </c>
      <c r="E3746" t="s">
        <v>40</v>
      </c>
      <c r="F3746" t="s">
        <v>10</v>
      </c>
    </row>
    <row r="3747" spans="1:6" hidden="1" x14ac:dyDescent="0.35">
      <c r="A3747" t="s">
        <v>11</v>
      </c>
      <c r="B3747" t="s">
        <v>32</v>
      </c>
      <c r="C3747" t="s">
        <v>47</v>
      </c>
      <c r="D3747">
        <v>48749.36</v>
      </c>
      <c r="E3747" t="s">
        <v>40</v>
      </c>
      <c r="F3747" t="s">
        <v>10</v>
      </c>
    </row>
    <row r="3748" spans="1:6" hidden="1" x14ac:dyDescent="0.35">
      <c r="A3748" t="s">
        <v>58</v>
      </c>
      <c r="B3748" t="s">
        <v>32</v>
      </c>
      <c r="C3748" t="s">
        <v>47</v>
      </c>
      <c r="D3748">
        <v>82929.06</v>
      </c>
      <c r="E3748" t="s">
        <v>40</v>
      </c>
      <c r="F3748" t="s">
        <v>10</v>
      </c>
    </row>
    <row r="3749" spans="1:6" hidden="1" x14ac:dyDescent="0.35">
      <c r="A3749" t="s">
        <v>59</v>
      </c>
      <c r="B3749" t="s">
        <v>32</v>
      </c>
      <c r="C3749" t="s">
        <v>47</v>
      </c>
      <c r="D3749">
        <v>9172.3799999999992</v>
      </c>
      <c r="E3749" t="s">
        <v>40</v>
      </c>
      <c r="F3749" t="s">
        <v>10</v>
      </c>
    </row>
    <row r="3750" spans="1:6" hidden="1" x14ac:dyDescent="0.35">
      <c r="A3750" t="s">
        <v>60</v>
      </c>
      <c r="B3750" t="s">
        <v>32</v>
      </c>
      <c r="C3750" t="s">
        <v>47</v>
      </c>
      <c r="D3750">
        <v>7888.6799999999994</v>
      </c>
      <c r="E3750" t="s">
        <v>40</v>
      </c>
      <c r="F3750" t="s">
        <v>10</v>
      </c>
    </row>
    <row r="3751" spans="1:6" hidden="1" x14ac:dyDescent="0.35">
      <c r="A3751" t="s">
        <v>61</v>
      </c>
      <c r="B3751" t="s">
        <v>32</v>
      </c>
      <c r="C3751" t="s">
        <v>47</v>
      </c>
      <c r="D3751">
        <v>79560.53</v>
      </c>
      <c r="E3751" t="s">
        <v>40</v>
      </c>
      <c r="F3751" t="s">
        <v>10</v>
      </c>
    </row>
    <row r="3752" spans="1:6" hidden="1" x14ac:dyDescent="0.35">
      <c r="A3752" t="s">
        <v>62</v>
      </c>
      <c r="B3752" t="s">
        <v>32</v>
      </c>
      <c r="C3752" t="s">
        <v>47</v>
      </c>
      <c r="D3752">
        <v>39446.21</v>
      </c>
      <c r="E3752" t="s">
        <v>40</v>
      </c>
      <c r="F3752" t="s">
        <v>10</v>
      </c>
    </row>
    <row r="3753" spans="1:6" hidden="1" x14ac:dyDescent="0.35">
      <c r="A3753" t="s">
        <v>63</v>
      </c>
      <c r="B3753" t="s">
        <v>32</v>
      </c>
      <c r="C3753" t="s">
        <v>47</v>
      </c>
      <c r="D3753">
        <v>66595.899999999994</v>
      </c>
      <c r="E3753" t="s">
        <v>40</v>
      </c>
      <c r="F3753" t="s">
        <v>10</v>
      </c>
    </row>
    <row r="3754" spans="1:6" hidden="1" x14ac:dyDescent="0.35">
      <c r="A3754" t="s">
        <v>64</v>
      </c>
      <c r="B3754" t="s">
        <v>32</v>
      </c>
      <c r="C3754" t="s">
        <v>47</v>
      </c>
      <c r="E3754" t="s">
        <v>40</v>
      </c>
      <c r="F3754" t="s">
        <v>10</v>
      </c>
    </row>
    <row r="3755" spans="1:6" hidden="1" x14ac:dyDescent="0.35">
      <c r="A3755" t="s">
        <v>65</v>
      </c>
      <c r="B3755" t="s">
        <v>32</v>
      </c>
      <c r="C3755" t="s">
        <v>47</v>
      </c>
      <c r="D3755">
        <v>70056.73</v>
      </c>
      <c r="E3755" t="s">
        <v>40</v>
      </c>
      <c r="F3755" t="s">
        <v>10</v>
      </c>
    </row>
    <row r="3756" spans="1:6" hidden="1" x14ac:dyDescent="0.35">
      <c r="A3756" t="s">
        <v>66</v>
      </c>
      <c r="B3756" t="s">
        <v>32</v>
      </c>
      <c r="C3756" t="s">
        <v>47</v>
      </c>
      <c r="D3756">
        <v>1848</v>
      </c>
      <c r="E3756" t="s">
        <v>40</v>
      </c>
      <c r="F3756" t="s">
        <v>10</v>
      </c>
    </row>
    <row r="3757" spans="1:6" hidden="1" x14ac:dyDescent="0.35">
      <c r="A3757" t="s">
        <v>67</v>
      </c>
      <c r="B3757" t="s">
        <v>32</v>
      </c>
      <c r="C3757" t="s">
        <v>47</v>
      </c>
      <c r="D3757">
        <v>26373.51</v>
      </c>
      <c r="E3757" t="s">
        <v>40</v>
      </c>
      <c r="F3757" t="s">
        <v>10</v>
      </c>
    </row>
    <row r="3758" spans="1:6" hidden="1" x14ac:dyDescent="0.35">
      <c r="A3758" t="s">
        <v>57</v>
      </c>
      <c r="B3758" t="s">
        <v>32</v>
      </c>
      <c r="C3758" t="s">
        <v>48</v>
      </c>
      <c r="D3758">
        <v>0</v>
      </c>
      <c r="E3758" t="s">
        <v>40</v>
      </c>
      <c r="F3758" t="s">
        <v>10</v>
      </c>
    </row>
    <row r="3759" spans="1:6" hidden="1" x14ac:dyDescent="0.35">
      <c r="A3759" t="s">
        <v>11</v>
      </c>
      <c r="B3759" t="s">
        <v>32</v>
      </c>
      <c r="C3759" t="s">
        <v>48</v>
      </c>
      <c r="D3759">
        <v>0</v>
      </c>
      <c r="E3759" t="s">
        <v>40</v>
      </c>
      <c r="F3759" t="s">
        <v>10</v>
      </c>
    </row>
    <row r="3760" spans="1:6" hidden="1" x14ac:dyDescent="0.35">
      <c r="A3760" t="s">
        <v>58</v>
      </c>
      <c r="B3760" t="s">
        <v>32</v>
      </c>
      <c r="C3760" t="s">
        <v>48</v>
      </c>
      <c r="D3760">
        <v>0</v>
      </c>
      <c r="E3760" t="s">
        <v>40</v>
      </c>
      <c r="F3760" t="s">
        <v>10</v>
      </c>
    </row>
    <row r="3761" spans="1:6" hidden="1" x14ac:dyDescent="0.35">
      <c r="A3761" t="s">
        <v>59</v>
      </c>
      <c r="B3761" t="s">
        <v>32</v>
      </c>
      <c r="C3761" t="s">
        <v>48</v>
      </c>
      <c r="D3761">
        <v>0</v>
      </c>
      <c r="E3761" t="s">
        <v>40</v>
      </c>
      <c r="F3761" t="s">
        <v>10</v>
      </c>
    </row>
    <row r="3762" spans="1:6" hidden="1" x14ac:dyDescent="0.35">
      <c r="A3762" t="s">
        <v>60</v>
      </c>
      <c r="B3762" t="s">
        <v>32</v>
      </c>
      <c r="C3762" t="s">
        <v>48</v>
      </c>
      <c r="D3762">
        <v>0</v>
      </c>
      <c r="E3762" t="s">
        <v>40</v>
      </c>
      <c r="F3762" t="s">
        <v>10</v>
      </c>
    </row>
    <row r="3763" spans="1:6" hidden="1" x14ac:dyDescent="0.35">
      <c r="A3763" t="s">
        <v>61</v>
      </c>
      <c r="B3763" t="s">
        <v>32</v>
      </c>
      <c r="C3763" t="s">
        <v>48</v>
      </c>
      <c r="D3763">
        <v>0</v>
      </c>
      <c r="E3763" t="s">
        <v>40</v>
      </c>
      <c r="F3763" t="s">
        <v>10</v>
      </c>
    </row>
    <row r="3764" spans="1:6" hidden="1" x14ac:dyDescent="0.35">
      <c r="A3764" t="s">
        <v>62</v>
      </c>
      <c r="B3764" t="s">
        <v>32</v>
      </c>
      <c r="C3764" t="s">
        <v>48</v>
      </c>
      <c r="D3764">
        <v>0</v>
      </c>
      <c r="E3764" t="s">
        <v>40</v>
      </c>
      <c r="F3764" t="s">
        <v>10</v>
      </c>
    </row>
    <row r="3765" spans="1:6" hidden="1" x14ac:dyDescent="0.35">
      <c r="A3765" t="s">
        <v>63</v>
      </c>
      <c r="B3765" t="s">
        <v>32</v>
      </c>
      <c r="C3765" t="s">
        <v>48</v>
      </c>
      <c r="D3765">
        <v>0</v>
      </c>
      <c r="E3765" t="s">
        <v>40</v>
      </c>
      <c r="F3765" t="s">
        <v>10</v>
      </c>
    </row>
    <row r="3766" spans="1:6" hidden="1" x14ac:dyDescent="0.35">
      <c r="A3766" t="s">
        <v>64</v>
      </c>
      <c r="B3766" t="s">
        <v>32</v>
      </c>
      <c r="C3766" t="s">
        <v>48</v>
      </c>
      <c r="D3766">
        <v>0</v>
      </c>
      <c r="E3766" t="s">
        <v>40</v>
      </c>
      <c r="F3766" t="s">
        <v>10</v>
      </c>
    </row>
    <row r="3767" spans="1:6" hidden="1" x14ac:dyDescent="0.35">
      <c r="A3767" t="s">
        <v>65</v>
      </c>
      <c r="B3767" t="s">
        <v>32</v>
      </c>
      <c r="C3767" t="s">
        <v>48</v>
      </c>
      <c r="D3767">
        <v>0</v>
      </c>
      <c r="E3767" t="s">
        <v>40</v>
      </c>
      <c r="F3767" t="s">
        <v>10</v>
      </c>
    </row>
    <row r="3768" spans="1:6" hidden="1" x14ac:dyDescent="0.35">
      <c r="A3768" t="s">
        <v>66</v>
      </c>
      <c r="B3768" t="s">
        <v>32</v>
      </c>
      <c r="C3768" t="s">
        <v>48</v>
      </c>
      <c r="D3768">
        <v>0</v>
      </c>
      <c r="E3768" t="s">
        <v>40</v>
      </c>
      <c r="F3768" t="s">
        <v>10</v>
      </c>
    </row>
    <row r="3769" spans="1:6" hidden="1" x14ac:dyDescent="0.35">
      <c r="A3769" t="s">
        <v>67</v>
      </c>
      <c r="B3769" t="s">
        <v>32</v>
      </c>
      <c r="C3769" t="s">
        <v>48</v>
      </c>
      <c r="D3769">
        <v>0</v>
      </c>
      <c r="E3769" t="s">
        <v>40</v>
      </c>
      <c r="F3769" t="s">
        <v>10</v>
      </c>
    </row>
    <row r="3770" spans="1:6" hidden="1" x14ac:dyDescent="0.35">
      <c r="A3770" t="s">
        <v>57</v>
      </c>
      <c r="B3770" t="s">
        <v>32</v>
      </c>
      <c r="C3770" t="s">
        <v>49</v>
      </c>
      <c r="D3770">
        <v>118770.51240000001</v>
      </c>
      <c r="E3770" t="s">
        <v>40</v>
      </c>
      <c r="F3770" t="s">
        <v>10</v>
      </c>
    </row>
    <row r="3771" spans="1:6" hidden="1" x14ac:dyDescent="0.35">
      <c r="A3771" t="s">
        <v>11</v>
      </c>
      <c r="B3771" t="s">
        <v>32</v>
      </c>
      <c r="C3771" t="s">
        <v>49</v>
      </c>
      <c r="D3771">
        <v>75197.636800000007</v>
      </c>
      <c r="E3771" t="s">
        <v>40</v>
      </c>
      <c r="F3771" t="s">
        <v>10</v>
      </c>
    </row>
    <row r="3772" spans="1:6" hidden="1" x14ac:dyDescent="0.35">
      <c r="A3772" t="s">
        <v>58</v>
      </c>
      <c r="B3772" t="s">
        <v>32</v>
      </c>
      <c r="C3772" t="s">
        <v>49</v>
      </c>
      <c r="D3772">
        <v>161668.1452</v>
      </c>
      <c r="E3772" t="s">
        <v>40</v>
      </c>
      <c r="F3772" t="s">
        <v>10</v>
      </c>
    </row>
    <row r="3773" spans="1:6" hidden="1" x14ac:dyDescent="0.35">
      <c r="A3773" t="s">
        <v>59</v>
      </c>
      <c r="B3773" t="s">
        <v>32</v>
      </c>
      <c r="C3773" t="s">
        <v>49</v>
      </c>
      <c r="D3773">
        <v>109045.35400000001</v>
      </c>
      <c r="E3773" t="s">
        <v>40</v>
      </c>
      <c r="F3773" t="s">
        <v>10</v>
      </c>
    </row>
    <row r="3774" spans="1:6" hidden="1" x14ac:dyDescent="0.35">
      <c r="A3774" t="s">
        <v>60</v>
      </c>
      <c r="B3774" t="s">
        <v>32</v>
      </c>
      <c r="C3774" t="s">
        <v>49</v>
      </c>
      <c r="D3774">
        <v>152233.79759999999</v>
      </c>
      <c r="E3774" t="s">
        <v>40</v>
      </c>
      <c r="F3774" t="s">
        <v>10</v>
      </c>
    </row>
    <row r="3775" spans="1:6" hidden="1" x14ac:dyDescent="0.35">
      <c r="A3775" t="s">
        <v>61</v>
      </c>
      <c r="B3775" t="s">
        <v>32</v>
      </c>
      <c r="C3775" t="s">
        <v>49</v>
      </c>
      <c r="D3775">
        <v>111989.136</v>
      </c>
      <c r="E3775" t="s">
        <v>40</v>
      </c>
      <c r="F3775" t="s">
        <v>10</v>
      </c>
    </row>
    <row r="3776" spans="1:6" hidden="1" x14ac:dyDescent="0.35">
      <c r="A3776" t="s">
        <v>62</v>
      </c>
      <c r="B3776" t="s">
        <v>32</v>
      </c>
      <c r="C3776" t="s">
        <v>49</v>
      </c>
      <c r="D3776">
        <v>127626.17200000001</v>
      </c>
      <c r="E3776" t="s">
        <v>40</v>
      </c>
      <c r="F3776" t="s">
        <v>10</v>
      </c>
    </row>
    <row r="3777" spans="1:6" hidden="1" x14ac:dyDescent="0.35">
      <c r="A3777" t="s">
        <v>63</v>
      </c>
      <c r="B3777" t="s">
        <v>32</v>
      </c>
      <c r="C3777" t="s">
        <v>49</v>
      </c>
      <c r="D3777">
        <v>155050.79759999999</v>
      </c>
      <c r="E3777" t="s">
        <v>40</v>
      </c>
      <c r="F3777" t="s">
        <v>10</v>
      </c>
    </row>
    <row r="3778" spans="1:6" hidden="1" x14ac:dyDescent="0.35">
      <c r="A3778" t="s">
        <v>64</v>
      </c>
      <c r="B3778" t="s">
        <v>32</v>
      </c>
      <c r="C3778" t="s">
        <v>49</v>
      </c>
      <c r="D3778">
        <v>211678.97320000001</v>
      </c>
      <c r="E3778" t="s">
        <v>40</v>
      </c>
      <c r="F3778" t="s">
        <v>10</v>
      </c>
    </row>
    <row r="3779" spans="1:6" hidden="1" x14ac:dyDescent="0.35">
      <c r="A3779" t="s">
        <v>65</v>
      </c>
      <c r="B3779" t="s">
        <v>32</v>
      </c>
      <c r="C3779" t="s">
        <v>49</v>
      </c>
      <c r="D3779">
        <v>151466.44200000001</v>
      </c>
      <c r="E3779" t="s">
        <v>40</v>
      </c>
      <c r="F3779" t="s">
        <v>10</v>
      </c>
    </row>
    <row r="3780" spans="1:6" hidden="1" x14ac:dyDescent="0.35">
      <c r="A3780" t="s">
        <v>66</v>
      </c>
      <c r="B3780" t="s">
        <v>32</v>
      </c>
      <c r="C3780" t="s">
        <v>49</v>
      </c>
      <c r="D3780">
        <v>129957.82640000001</v>
      </c>
      <c r="E3780" t="s">
        <v>40</v>
      </c>
      <c r="F3780" t="s">
        <v>10</v>
      </c>
    </row>
    <row r="3781" spans="1:6" hidden="1" x14ac:dyDescent="0.35">
      <c r="A3781" t="s">
        <v>67</v>
      </c>
      <c r="B3781" t="s">
        <v>32</v>
      </c>
      <c r="C3781" t="s">
        <v>49</v>
      </c>
      <c r="D3781">
        <v>126875.1372</v>
      </c>
      <c r="E3781" t="s">
        <v>40</v>
      </c>
      <c r="F3781" t="s">
        <v>10</v>
      </c>
    </row>
    <row r="3782" spans="1:6" hidden="1" x14ac:dyDescent="0.35">
      <c r="A3782" t="s">
        <v>57</v>
      </c>
      <c r="B3782" t="s">
        <v>32</v>
      </c>
      <c r="C3782" t="s">
        <v>50</v>
      </c>
      <c r="D3782">
        <v>2047477.5096</v>
      </c>
      <c r="E3782" t="s">
        <v>40</v>
      </c>
      <c r="F3782" t="s">
        <v>10</v>
      </c>
    </row>
    <row r="3783" spans="1:6" hidden="1" x14ac:dyDescent="0.35">
      <c r="A3783" t="s">
        <v>11</v>
      </c>
      <c r="B3783" t="s">
        <v>32</v>
      </c>
      <c r="C3783" t="s">
        <v>50</v>
      </c>
      <c r="D3783">
        <v>3025242.4088000008</v>
      </c>
      <c r="E3783" t="s">
        <v>40</v>
      </c>
      <c r="F3783" t="s">
        <v>10</v>
      </c>
    </row>
    <row r="3784" spans="1:6" hidden="1" x14ac:dyDescent="0.35">
      <c r="A3784" t="s">
        <v>58</v>
      </c>
      <c r="B3784" t="s">
        <v>32</v>
      </c>
      <c r="C3784" t="s">
        <v>50</v>
      </c>
      <c r="D3784">
        <v>4723790.378800001</v>
      </c>
      <c r="E3784" t="s">
        <v>40</v>
      </c>
      <c r="F3784" t="s">
        <v>10</v>
      </c>
    </row>
    <row r="3785" spans="1:6" hidden="1" x14ac:dyDescent="0.35">
      <c r="A3785" t="s">
        <v>59</v>
      </c>
      <c r="B3785" t="s">
        <v>32</v>
      </c>
      <c r="C3785" t="s">
        <v>50</v>
      </c>
      <c r="D3785">
        <v>2249998.7363999998</v>
      </c>
      <c r="E3785" t="s">
        <v>40</v>
      </c>
      <c r="F3785" t="s">
        <v>10</v>
      </c>
    </row>
    <row r="3786" spans="1:6" hidden="1" x14ac:dyDescent="0.35">
      <c r="A3786" t="s">
        <v>60</v>
      </c>
      <c r="B3786" t="s">
        <v>32</v>
      </c>
      <c r="C3786" t="s">
        <v>50</v>
      </c>
      <c r="D3786">
        <v>3976670.724799999</v>
      </c>
      <c r="E3786" t="s">
        <v>40</v>
      </c>
      <c r="F3786" t="s">
        <v>10</v>
      </c>
    </row>
    <row r="3787" spans="1:6" hidden="1" x14ac:dyDescent="0.35">
      <c r="A3787" t="s">
        <v>61</v>
      </c>
      <c r="B3787" t="s">
        <v>32</v>
      </c>
      <c r="C3787" t="s">
        <v>50</v>
      </c>
      <c r="D3787">
        <v>3491554.2544</v>
      </c>
      <c r="E3787" t="s">
        <v>40</v>
      </c>
      <c r="F3787" t="s">
        <v>10</v>
      </c>
    </row>
    <row r="3788" spans="1:6" hidden="1" x14ac:dyDescent="0.35">
      <c r="A3788" t="s">
        <v>62</v>
      </c>
      <c r="B3788" t="s">
        <v>32</v>
      </c>
      <c r="C3788" t="s">
        <v>50</v>
      </c>
      <c r="D3788">
        <v>4310678.4392000008</v>
      </c>
      <c r="E3788" t="s">
        <v>40</v>
      </c>
      <c r="F3788" t="s">
        <v>10</v>
      </c>
    </row>
    <row r="3789" spans="1:6" hidden="1" x14ac:dyDescent="0.35">
      <c r="A3789" t="s">
        <v>63</v>
      </c>
      <c r="B3789" t="s">
        <v>32</v>
      </c>
      <c r="C3789" t="s">
        <v>50</v>
      </c>
      <c r="D3789">
        <v>3645244.2688000011</v>
      </c>
      <c r="E3789" t="s">
        <v>40</v>
      </c>
      <c r="F3789" t="s">
        <v>10</v>
      </c>
    </row>
    <row r="3790" spans="1:6" hidden="1" x14ac:dyDescent="0.35">
      <c r="A3790" t="s">
        <v>64</v>
      </c>
      <c r="B3790" t="s">
        <v>32</v>
      </c>
      <c r="C3790" t="s">
        <v>50</v>
      </c>
      <c r="D3790">
        <v>4249964.4803999988</v>
      </c>
      <c r="E3790" t="s">
        <v>40</v>
      </c>
      <c r="F3790" t="s">
        <v>10</v>
      </c>
    </row>
    <row r="3791" spans="1:6" hidden="1" x14ac:dyDescent="0.35">
      <c r="A3791" t="s">
        <v>65</v>
      </c>
      <c r="B3791" t="s">
        <v>32</v>
      </c>
      <c r="C3791" t="s">
        <v>50</v>
      </c>
      <c r="D3791">
        <v>3802165.4504000009</v>
      </c>
      <c r="E3791" t="s">
        <v>40</v>
      </c>
      <c r="F3791" t="s">
        <v>10</v>
      </c>
    </row>
    <row r="3792" spans="1:6" hidden="1" x14ac:dyDescent="0.35">
      <c r="A3792" t="s">
        <v>66</v>
      </c>
      <c r="B3792" t="s">
        <v>32</v>
      </c>
      <c r="C3792" t="s">
        <v>50</v>
      </c>
      <c r="D3792">
        <v>3192970.1408000002</v>
      </c>
      <c r="E3792" t="s">
        <v>40</v>
      </c>
      <c r="F3792" t="s">
        <v>10</v>
      </c>
    </row>
    <row r="3793" spans="1:6" hidden="1" x14ac:dyDescent="0.35">
      <c r="A3793" t="s">
        <v>67</v>
      </c>
      <c r="B3793" t="s">
        <v>32</v>
      </c>
      <c r="C3793" t="s">
        <v>50</v>
      </c>
      <c r="D3793">
        <v>3313807.6324</v>
      </c>
      <c r="E3793" t="s">
        <v>40</v>
      </c>
      <c r="F3793" t="s">
        <v>10</v>
      </c>
    </row>
    <row r="3794" spans="1:6" hidden="1" x14ac:dyDescent="0.35">
      <c r="A3794" t="s">
        <v>57</v>
      </c>
      <c r="B3794" t="s">
        <v>32</v>
      </c>
      <c r="C3794" t="s">
        <v>51</v>
      </c>
      <c r="D3794">
        <v>133</v>
      </c>
      <c r="E3794" t="s">
        <v>40</v>
      </c>
      <c r="F3794" t="s">
        <v>10</v>
      </c>
    </row>
    <row r="3795" spans="1:6" hidden="1" x14ac:dyDescent="0.35">
      <c r="A3795" t="s">
        <v>11</v>
      </c>
      <c r="B3795" t="s">
        <v>32</v>
      </c>
      <c r="C3795" t="s">
        <v>51</v>
      </c>
      <c r="D3795">
        <v>105</v>
      </c>
      <c r="E3795" t="s">
        <v>40</v>
      </c>
      <c r="F3795" t="s">
        <v>10</v>
      </c>
    </row>
    <row r="3796" spans="1:6" hidden="1" x14ac:dyDescent="0.35">
      <c r="A3796" t="s">
        <v>58</v>
      </c>
      <c r="B3796" t="s">
        <v>32</v>
      </c>
      <c r="C3796" t="s">
        <v>51</v>
      </c>
      <c r="D3796">
        <v>125</v>
      </c>
      <c r="E3796" t="s">
        <v>40</v>
      </c>
      <c r="F3796" t="s">
        <v>10</v>
      </c>
    </row>
    <row r="3797" spans="1:6" hidden="1" x14ac:dyDescent="0.35">
      <c r="A3797" t="s">
        <v>59</v>
      </c>
      <c r="B3797" t="s">
        <v>32</v>
      </c>
      <c r="C3797" t="s">
        <v>51</v>
      </c>
      <c r="D3797">
        <v>95</v>
      </c>
      <c r="E3797" t="s">
        <v>40</v>
      </c>
      <c r="F3797" t="s">
        <v>10</v>
      </c>
    </row>
    <row r="3798" spans="1:6" hidden="1" x14ac:dyDescent="0.35">
      <c r="A3798" t="s">
        <v>60</v>
      </c>
      <c r="B3798" t="s">
        <v>32</v>
      </c>
      <c r="C3798" t="s">
        <v>51</v>
      </c>
      <c r="D3798">
        <v>106</v>
      </c>
      <c r="E3798" t="s">
        <v>40</v>
      </c>
      <c r="F3798" t="s">
        <v>10</v>
      </c>
    </row>
    <row r="3799" spans="1:6" hidden="1" x14ac:dyDescent="0.35">
      <c r="A3799" t="s">
        <v>61</v>
      </c>
      <c r="B3799" t="s">
        <v>32</v>
      </c>
      <c r="C3799" t="s">
        <v>51</v>
      </c>
      <c r="D3799">
        <v>111</v>
      </c>
      <c r="E3799" t="s">
        <v>40</v>
      </c>
      <c r="F3799" t="s">
        <v>10</v>
      </c>
    </row>
    <row r="3800" spans="1:6" hidden="1" x14ac:dyDescent="0.35">
      <c r="A3800" t="s">
        <v>62</v>
      </c>
      <c r="B3800" t="s">
        <v>32</v>
      </c>
      <c r="C3800" t="s">
        <v>51</v>
      </c>
      <c r="D3800">
        <v>84</v>
      </c>
      <c r="E3800" t="s">
        <v>40</v>
      </c>
      <c r="F3800" t="s">
        <v>10</v>
      </c>
    </row>
    <row r="3801" spans="1:6" hidden="1" x14ac:dyDescent="0.35">
      <c r="A3801" t="s">
        <v>63</v>
      </c>
      <c r="B3801" t="s">
        <v>32</v>
      </c>
      <c r="C3801" t="s">
        <v>51</v>
      </c>
      <c r="D3801">
        <v>122</v>
      </c>
      <c r="E3801" t="s">
        <v>40</v>
      </c>
      <c r="F3801" t="s">
        <v>10</v>
      </c>
    </row>
    <row r="3802" spans="1:6" hidden="1" x14ac:dyDescent="0.35">
      <c r="A3802" t="s">
        <v>64</v>
      </c>
      <c r="B3802" t="s">
        <v>32</v>
      </c>
      <c r="C3802" t="s">
        <v>51</v>
      </c>
      <c r="D3802">
        <v>96</v>
      </c>
      <c r="E3802" t="s">
        <v>40</v>
      </c>
      <c r="F3802" t="s">
        <v>10</v>
      </c>
    </row>
    <row r="3803" spans="1:6" hidden="1" x14ac:dyDescent="0.35">
      <c r="A3803" t="s">
        <v>65</v>
      </c>
      <c r="B3803" t="s">
        <v>32</v>
      </c>
      <c r="C3803" t="s">
        <v>51</v>
      </c>
      <c r="D3803">
        <v>84</v>
      </c>
      <c r="E3803" t="s">
        <v>40</v>
      </c>
      <c r="F3803" t="s">
        <v>10</v>
      </c>
    </row>
    <row r="3804" spans="1:6" hidden="1" x14ac:dyDescent="0.35">
      <c r="A3804" t="s">
        <v>66</v>
      </c>
      <c r="B3804" t="s">
        <v>32</v>
      </c>
      <c r="C3804" t="s">
        <v>51</v>
      </c>
      <c r="D3804">
        <v>89</v>
      </c>
      <c r="E3804" t="s">
        <v>40</v>
      </c>
      <c r="F3804" t="s">
        <v>10</v>
      </c>
    </row>
    <row r="3805" spans="1:6" hidden="1" x14ac:dyDescent="0.35">
      <c r="A3805" t="s">
        <v>67</v>
      </c>
      <c r="B3805" t="s">
        <v>32</v>
      </c>
      <c r="C3805" t="s">
        <v>51</v>
      </c>
      <c r="D3805">
        <v>77</v>
      </c>
      <c r="E3805" t="s">
        <v>40</v>
      </c>
      <c r="F3805" t="s">
        <v>10</v>
      </c>
    </row>
    <row r="3806" spans="1:6" hidden="1" x14ac:dyDescent="0.35">
      <c r="A3806" t="s">
        <v>57</v>
      </c>
      <c r="B3806" t="s">
        <v>32</v>
      </c>
      <c r="C3806" t="s">
        <v>30</v>
      </c>
      <c r="D3806">
        <v>45</v>
      </c>
      <c r="E3806" t="s">
        <v>40</v>
      </c>
      <c r="F3806" t="s">
        <v>10</v>
      </c>
    </row>
    <row r="3807" spans="1:6" hidden="1" x14ac:dyDescent="0.35">
      <c r="A3807" t="s">
        <v>11</v>
      </c>
      <c r="B3807" t="s">
        <v>32</v>
      </c>
      <c r="C3807" t="s">
        <v>30</v>
      </c>
      <c r="D3807">
        <v>61</v>
      </c>
      <c r="E3807" t="s">
        <v>40</v>
      </c>
      <c r="F3807" t="s">
        <v>10</v>
      </c>
    </row>
    <row r="3808" spans="1:6" hidden="1" x14ac:dyDescent="0.35">
      <c r="A3808" t="s">
        <v>58</v>
      </c>
      <c r="B3808" t="s">
        <v>32</v>
      </c>
      <c r="C3808" t="s">
        <v>30</v>
      </c>
      <c r="D3808">
        <v>19</v>
      </c>
      <c r="E3808" t="s">
        <v>40</v>
      </c>
      <c r="F3808" t="s">
        <v>10</v>
      </c>
    </row>
    <row r="3809" spans="1:6" hidden="1" x14ac:dyDescent="0.35">
      <c r="A3809" t="s">
        <v>59</v>
      </c>
      <c r="B3809" t="s">
        <v>32</v>
      </c>
      <c r="C3809" t="s">
        <v>30</v>
      </c>
      <c r="D3809">
        <v>94</v>
      </c>
      <c r="E3809" t="s">
        <v>40</v>
      </c>
      <c r="F3809" t="s">
        <v>10</v>
      </c>
    </row>
    <row r="3810" spans="1:6" hidden="1" x14ac:dyDescent="0.35">
      <c r="A3810" t="s">
        <v>60</v>
      </c>
      <c r="B3810" t="s">
        <v>32</v>
      </c>
      <c r="C3810" t="s">
        <v>30</v>
      </c>
      <c r="D3810">
        <v>69</v>
      </c>
      <c r="E3810" t="s">
        <v>40</v>
      </c>
      <c r="F3810" t="s">
        <v>10</v>
      </c>
    </row>
    <row r="3811" spans="1:6" hidden="1" x14ac:dyDescent="0.35">
      <c r="A3811" t="s">
        <v>61</v>
      </c>
      <c r="B3811" t="s">
        <v>32</v>
      </c>
      <c r="C3811" t="s">
        <v>30</v>
      </c>
      <c r="D3811">
        <v>58</v>
      </c>
      <c r="E3811" t="s">
        <v>40</v>
      </c>
      <c r="F3811" t="s">
        <v>10</v>
      </c>
    </row>
    <row r="3812" spans="1:6" hidden="1" x14ac:dyDescent="0.35">
      <c r="A3812" t="s">
        <v>62</v>
      </c>
      <c r="B3812" t="s">
        <v>32</v>
      </c>
      <c r="C3812" t="s">
        <v>30</v>
      </c>
      <c r="D3812">
        <v>42</v>
      </c>
      <c r="E3812" t="s">
        <v>40</v>
      </c>
      <c r="F3812" t="s">
        <v>10</v>
      </c>
    </row>
    <row r="3813" spans="1:6" hidden="1" x14ac:dyDescent="0.35">
      <c r="A3813" t="s">
        <v>63</v>
      </c>
      <c r="B3813" t="s">
        <v>32</v>
      </c>
      <c r="C3813" t="s">
        <v>30</v>
      </c>
      <c r="D3813">
        <v>51</v>
      </c>
      <c r="E3813" t="s">
        <v>40</v>
      </c>
      <c r="F3813" t="s">
        <v>10</v>
      </c>
    </row>
    <row r="3814" spans="1:6" hidden="1" x14ac:dyDescent="0.35">
      <c r="A3814" t="s">
        <v>64</v>
      </c>
      <c r="B3814" t="s">
        <v>32</v>
      </c>
      <c r="C3814" t="s">
        <v>30</v>
      </c>
      <c r="D3814">
        <v>54</v>
      </c>
      <c r="E3814" t="s">
        <v>40</v>
      </c>
      <c r="F3814" t="s">
        <v>10</v>
      </c>
    </row>
    <row r="3815" spans="1:6" hidden="1" x14ac:dyDescent="0.35">
      <c r="A3815" t="s">
        <v>65</v>
      </c>
      <c r="B3815" t="s">
        <v>32</v>
      </c>
      <c r="C3815" t="s">
        <v>30</v>
      </c>
      <c r="D3815">
        <v>66</v>
      </c>
      <c r="E3815" t="s">
        <v>40</v>
      </c>
      <c r="F3815" t="s">
        <v>10</v>
      </c>
    </row>
    <row r="3816" spans="1:6" hidden="1" x14ac:dyDescent="0.35">
      <c r="A3816" t="s">
        <v>66</v>
      </c>
      <c r="B3816" t="s">
        <v>32</v>
      </c>
      <c r="C3816" t="s">
        <v>30</v>
      </c>
      <c r="D3816">
        <v>60</v>
      </c>
      <c r="E3816" t="s">
        <v>40</v>
      </c>
      <c r="F3816" t="s">
        <v>10</v>
      </c>
    </row>
    <row r="3817" spans="1:6" hidden="1" x14ac:dyDescent="0.35">
      <c r="A3817" t="s">
        <v>67</v>
      </c>
      <c r="B3817" t="s">
        <v>32</v>
      </c>
      <c r="C3817" t="s">
        <v>30</v>
      </c>
      <c r="D3817">
        <v>63</v>
      </c>
      <c r="E3817" t="s">
        <v>40</v>
      </c>
      <c r="F3817" t="s">
        <v>10</v>
      </c>
    </row>
    <row r="3818" spans="1:6" hidden="1" x14ac:dyDescent="0.35">
      <c r="A3818" t="s">
        <v>57</v>
      </c>
      <c r="B3818" t="s">
        <v>32</v>
      </c>
      <c r="C3818" t="s">
        <v>52</v>
      </c>
      <c r="D3818">
        <v>24</v>
      </c>
      <c r="E3818" t="s">
        <v>40</v>
      </c>
      <c r="F3818" t="s">
        <v>10</v>
      </c>
    </row>
    <row r="3819" spans="1:6" hidden="1" x14ac:dyDescent="0.35">
      <c r="A3819" t="s">
        <v>11</v>
      </c>
      <c r="B3819" t="s">
        <v>32</v>
      </c>
      <c r="C3819" t="s">
        <v>52</v>
      </c>
      <c r="D3819">
        <v>22</v>
      </c>
      <c r="E3819" t="s">
        <v>40</v>
      </c>
      <c r="F3819" t="s">
        <v>10</v>
      </c>
    </row>
    <row r="3820" spans="1:6" hidden="1" x14ac:dyDescent="0.35">
      <c r="A3820" t="s">
        <v>58</v>
      </c>
      <c r="B3820" t="s">
        <v>32</v>
      </c>
      <c r="C3820" t="s">
        <v>52</v>
      </c>
      <c r="D3820">
        <v>19</v>
      </c>
      <c r="E3820" t="s">
        <v>40</v>
      </c>
      <c r="F3820" t="s">
        <v>10</v>
      </c>
    </row>
    <row r="3821" spans="1:6" hidden="1" x14ac:dyDescent="0.35">
      <c r="A3821" t="s">
        <v>59</v>
      </c>
      <c r="B3821" t="s">
        <v>32</v>
      </c>
      <c r="C3821" t="s">
        <v>52</v>
      </c>
      <c r="D3821">
        <v>15</v>
      </c>
      <c r="E3821" t="s">
        <v>40</v>
      </c>
      <c r="F3821" t="s">
        <v>10</v>
      </c>
    </row>
    <row r="3822" spans="1:6" hidden="1" x14ac:dyDescent="0.35">
      <c r="A3822" t="s">
        <v>60</v>
      </c>
      <c r="B3822" t="s">
        <v>32</v>
      </c>
      <c r="C3822" t="s">
        <v>52</v>
      </c>
      <c r="D3822">
        <v>16</v>
      </c>
      <c r="E3822" t="s">
        <v>40</v>
      </c>
      <c r="F3822" t="s">
        <v>10</v>
      </c>
    </row>
    <row r="3823" spans="1:6" hidden="1" x14ac:dyDescent="0.35">
      <c r="A3823" t="s">
        <v>61</v>
      </c>
      <c r="B3823" t="s">
        <v>32</v>
      </c>
      <c r="C3823" t="s">
        <v>52</v>
      </c>
      <c r="D3823">
        <v>21</v>
      </c>
      <c r="E3823" t="s">
        <v>40</v>
      </c>
      <c r="F3823" t="s">
        <v>10</v>
      </c>
    </row>
    <row r="3824" spans="1:6" hidden="1" x14ac:dyDescent="0.35">
      <c r="A3824" t="s">
        <v>62</v>
      </c>
      <c r="B3824" t="s">
        <v>32</v>
      </c>
      <c r="C3824" t="s">
        <v>52</v>
      </c>
      <c r="D3824">
        <v>13</v>
      </c>
      <c r="E3824" t="s">
        <v>40</v>
      </c>
      <c r="F3824" t="s">
        <v>10</v>
      </c>
    </row>
    <row r="3825" spans="1:6" hidden="1" x14ac:dyDescent="0.35">
      <c r="A3825" t="s">
        <v>63</v>
      </c>
      <c r="B3825" t="s">
        <v>32</v>
      </c>
      <c r="C3825" t="s">
        <v>52</v>
      </c>
      <c r="D3825">
        <v>21</v>
      </c>
      <c r="E3825" t="s">
        <v>40</v>
      </c>
      <c r="F3825" t="s">
        <v>10</v>
      </c>
    </row>
    <row r="3826" spans="1:6" hidden="1" x14ac:dyDescent="0.35">
      <c r="A3826" t="s">
        <v>64</v>
      </c>
      <c r="B3826" t="s">
        <v>32</v>
      </c>
      <c r="C3826" t="s">
        <v>52</v>
      </c>
      <c r="D3826">
        <v>17</v>
      </c>
      <c r="E3826" t="s">
        <v>40</v>
      </c>
      <c r="F3826" t="s">
        <v>10</v>
      </c>
    </row>
    <row r="3827" spans="1:6" hidden="1" x14ac:dyDescent="0.35">
      <c r="A3827" t="s">
        <v>65</v>
      </c>
      <c r="B3827" t="s">
        <v>32</v>
      </c>
      <c r="C3827" t="s">
        <v>52</v>
      </c>
      <c r="D3827">
        <v>19</v>
      </c>
      <c r="E3827" t="s">
        <v>40</v>
      </c>
      <c r="F3827" t="s">
        <v>10</v>
      </c>
    </row>
    <row r="3828" spans="1:6" hidden="1" x14ac:dyDescent="0.35">
      <c r="A3828" t="s">
        <v>66</v>
      </c>
      <c r="B3828" t="s">
        <v>32</v>
      </c>
      <c r="C3828" t="s">
        <v>52</v>
      </c>
      <c r="D3828">
        <v>14</v>
      </c>
      <c r="E3828" t="s">
        <v>40</v>
      </c>
      <c r="F3828" t="s">
        <v>10</v>
      </c>
    </row>
    <row r="3829" spans="1:6" hidden="1" x14ac:dyDescent="0.35">
      <c r="A3829" t="s">
        <v>67</v>
      </c>
      <c r="B3829" t="s">
        <v>32</v>
      </c>
      <c r="C3829" t="s">
        <v>52</v>
      </c>
      <c r="D3829">
        <v>10</v>
      </c>
      <c r="E3829" t="s">
        <v>40</v>
      </c>
      <c r="F3829" t="s">
        <v>10</v>
      </c>
    </row>
    <row r="3830" spans="1:6" hidden="1" x14ac:dyDescent="0.35">
      <c r="A3830" t="s">
        <v>57</v>
      </c>
      <c r="B3830" t="s">
        <v>33</v>
      </c>
      <c r="C3830" t="s">
        <v>44</v>
      </c>
      <c r="D3830">
        <v>770881.0718968946</v>
      </c>
      <c r="E3830" t="s">
        <v>40</v>
      </c>
      <c r="F3830" t="s">
        <v>10</v>
      </c>
    </row>
    <row r="3831" spans="1:6" hidden="1" x14ac:dyDescent="0.35">
      <c r="A3831" t="s">
        <v>11</v>
      </c>
      <c r="B3831" t="s">
        <v>33</v>
      </c>
      <c r="C3831" t="s">
        <v>44</v>
      </c>
      <c r="D3831">
        <v>770418.55938157171</v>
      </c>
      <c r="E3831" t="s">
        <v>40</v>
      </c>
      <c r="F3831" t="s">
        <v>10</v>
      </c>
    </row>
    <row r="3832" spans="1:6" hidden="1" x14ac:dyDescent="0.35">
      <c r="A3832" t="s">
        <v>58</v>
      </c>
      <c r="B3832" t="s">
        <v>33</v>
      </c>
      <c r="C3832" t="s">
        <v>44</v>
      </c>
      <c r="D3832">
        <v>1743833.540935803</v>
      </c>
      <c r="E3832" t="s">
        <v>40</v>
      </c>
      <c r="F3832" t="s">
        <v>10</v>
      </c>
    </row>
    <row r="3833" spans="1:6" hidden="1" x14ac:dyDescent="0.35">
      <c r="A3833" t="s">
        <v>59</v>
      </c>
      <c r="B3833" t="s">
        <v>33</v>
      </c>
      <c r="C3833" t="s">
        <v>44</v>
      </c>
      <c r="D3833">
        <v>517711.78359566402</v>
      </c>
      <c r="E3833" t="s">
        <v>40</v>
      </c>
      <c r="F3833" t="s">
        <v>10</v>
      </c>
    </row>
    <row r="3834" spans="1:6" hidden="1" x14ac:dyDescent="0.35">
      <c r="A3834" t="s">
        <v>60</v>
      </c>
      <c r="B3834" t="s">
        <v>33</v>
      </c>
      <c r="C3834" t="s">
        <v>44</v>
      </c>
      <c r="D3834">
        <v>3121900.6283371272</v>
      </c>
      <c r="E3834" t="s">
        <v>40</v>
      </c>
      <c r="F3834" t="s">
        <v>10</v>
      </c>
    </row>
    <row r="3835" spans="1:6" hidden="1" x14ac:dyDescent="0.35">
      <c r="A3835" t="s">
        <v>61</v>
      </c>
      <c r="B3835" t="s">
        <v>33</v>
      </c>
      <c r="C3835" t="s">
        <v>44</v>
      </c>
      <c r="D3835">
        <v>1649032.9642101291</v>
      </c>
      <c r="E3835" t="s">
        <v>40</v>
      </c>
      <c r="F3835" t="s">
        <v>10</v>
      </c>
    </row>
    <row r="3836" spans="1:6" hidden="1" x14ac:dyDescent="0.35">
      <c r="A3836" t="s">
        <v>62</v>
      </c>
      <c r="B3836" t="s">
        <v>33</v>
      </c>
      <c r="C3836" t="s">
        <v>44</v>
      </c>
      <c r="D3836">
        <v>1201816.8257756089</v>
      </c>
      <c r="E3836" t="s">
        <v>40</v>
      </c>
      <c r="F3836" t="s">
        <v>10</v>
      </c>
    </row>
    <row r="3837" spans="1:6" hidden="1" x14ac:dyDescent="0.35">
      <c r="A3837" t="s">
        <v>63</v>
      </c>
      <c r="B3837" t="s">
        <v>33</v>
      </c>
      <c r="C3837" t="s">
        <v>44</v>
      </c>
      <c r="D3837">
        <v>1679189.80137019</v>
      </c>
      <c r="E3837" t="s">
        <v>40</v>
      </c>
      <c r="F3837" t="s">
        <v>10</v>
      </c>
    </row>
    <row r="3838" spans="1:6" hidden="1" x14ac:dyDescent="0.35">
      <c r="A3838" t="s">
        <v>64</v>
      </c>
      <c r="B3838" t="s">
        <v>33</v>
      </c>
      <c r="C3838" t="s">
        <v>44</v>
      </c>
      <c r="D3838">
        <v>1568219.134453658</v>
      </c>
      <c r="E3838" t="s">
        <v>40</v>
      </c>
      <c r="F3838" t="s">
        <v>10</v>
      </c>
    </row>
    <row r="3839" spans="1:6" hidden="1" x14ac:dyDescent="0.35">
      <c r="A3839" t="s">
        <v>65</v>
      </c>
      <c r="B3839" t="s">
        <v>33</v>
      </c>
      <c r="C3839" t="s">
        <v>44</v>
      </c>
      <c r="D3839">
        <v>1713755.367132792</v>
      </c>
      <c r="E3839" t="s">
        <v>40</v>
      </c>
      <c r="F3839" t="s">
        <v>10</v>
      </c>
    </row>
    <row r="3840" spans="1:6" hidden="1" x14ac:dyDescent="0.35">
      <c r="A3840" t="s">
        <v>66</v>
      </c>
      <c r="B3840" t="s">
        <v>33</v>
      </c>
      <c r="C3840" t="s">
        <v>44</v>
      </c>
      <c r="D3840">
        <v>1801800.674433605</v>
      </c>
      <c r="E3840" t="s">
        <v>40</v>
      </c>
      <c r="F3840" t="s">
        <v>10</v>
      </c>
    </row>
    <row r="3841" spans="1:6" hidden="1" x14ac:dyDescent="0.35">
      <c r="A3841" t="s">
        <v>67</v>
      </c>
      <c r="B3841" t="s">
        <v>33</v>
      </c>
      <c r="C3841" t="s">
        <v>44</v>
      </c>
      <c r="D3841">
        <v>1657694.9357967479</v>
      </c>
      <c r="E3841" t="s">
        <v>40</v>
      </c>
      <c r="F3841" t="s">
        <v>10</v>
      </c>
    </row>
    <row r="3842" spans="1:6" hidden="1" x14ac:dyDescent="0.35">
      <c r="A3842" t="s">
        <v>57</v>
      </c>
      <c r="B3842" t="s">
        <v>33</v>
      </c>
      <c r="C3842" t="s">
        <v>22</v>
      </c>
      <c r="D3842">
        <v>0</v>
      </c>
      <c r="E3842" t="s">
        <v>40</v>
      </c>
      <c r="F3842" t="s">
        <v>10</v>
      </c>
    </row>
    <row r="3843" spans="1:6" hidden="1" x14ac:dyDescent="0.35">
      <c r="A3843" t="s">
        <v>11</v>
      </c>
      <c r="B3843" t="s">
        <v>33</v>
      </c>
      <c r="C3843" t="s">
        <v>22</v>
      </c>
      <c r="D3843">
        <v>0</v>
      </c>
      <c r="E3843" t="s">
        <v>40</v>
      </c>
      <c r="F3843" t="s">
        <v>10</v>
      </c>
    </row>
    <row r="3844" spans="1:6" hidden="1" x14ac:dyDescent="0.35">
      <c r="A3844" t="s">
        <v>58</v>
      </c>
      <c r="B3844" t="s">
        <v>33</v>
      </c>
      <c r="C3844" t="s">
        <v>22</v>
      </c>
      <c r="D3844">
        <v>0</v>
      </c>
      <c r="E3844" t="s">
        <v>40</v>
      </c>
      <c r="F3844" t="s">
        <v>10</v>
      </c>
    </row>
    <row r="3845" spans="1:6" hidden="1" x14ac:dyDescent="0.35">
      <c r="A3845" t="s">
        <v>59</v>
      </c>
      <c r="B3845" t="s">
        <v>33</v>
      </c>
      <c r="C3845" t="s">
        <v>22</v>
      </c>
      <c r="D3845">
        <v>0</v>
      </c>
      <c r="E3845" t="s">
        <v>40</v>
      </c>
      <c r="F3845" t="s">
        <v>10</v>
      </c>
    </row>
    <row r="3846" spans="1:6" hidden="1" x14ac:dyDescent="0.35">
      <c r="A3846" t="s">
        <v>60</v>
      </c>
      <c r="B3846" t="s">
        <v>33</v>
      </c>
      <c r="C3846" t="s">
        <v>22</v>
      </c>
      <c r="D3846">
        <v>0</v>
      </c>
      <c r="E3846" t="s">
        <v>40</v>
      </c>
      <c r="F3846" t="s">
        <v>10</v>
      </c>
    </row>
    <row r="3847" spans="1:6" hidden="1" x14ac:dyDescent="0.35">
      <c r="A3847" t="s">
        <v>61</v>
      </c>
      <c r="B3847" t="s">
        <v>33</v>
      </c>
      <c r="C3847" t="s">
        <v>22</v>
      </c>
      <c r="D3847">
        <v>0</v>
      </c>
      <c r="E3847" t="s">
        <v>40</v>
      </c>
      <c r="F3847" t="s">
        <v>10</v>
      </c>
    </row>
    <row r="3848" spans="1:6" hidden="1" x14ac:dyDescent="0.35">
      <c r="A3848" t="s">
        <v>62</v>
      </c>
      <c r="B3848" t="s">
        <v>33</v>
      </c>
      <c r="C3848" t="s">
        <v>22</v>
      </c>
      <c r="D3848">
        <v>0</v>
      </c>
      <c r="E3848" t="s">
        <v>40</v>
      </c>
      <c r="F3848" t="s">
        <v>10</v>
      </c>
    </row>
    <row r="3849" spans="1:6" hidden="1" x14ac:dyDescent="0.35">
      <c r="A3849" t="s">
        <v>63</v>
      </c>
      <c r="B3849" t="s">
        <v>33</v>
      </c>
      <c r="C3849" t="s">
        <v>22</v>
      </c>
      <c r="D3849">
        <v>0</v>
      </c>
      <c r="E3849" t="s">
        <v>40</v>
      </c>
      <c r="F3849" t="s">
        <v>10</v>
      </c>
    </row>
    <row r="3850" spans="1:6" hidden="1" x14ac:dyDescent="0.35">
      <c r="A3850" t="s">
        <v>64</v>
      </c>
      <c r="B3850" t="s">
        <v>33</v>
      </c>
      <c r="C3850" t="s">
        <v>22</v>
      </c>
      <c r="D3850">
        <v>0</v>
      </c>
      <c r="E3850" t="s">
        <v>40</v>
      </c>
      <c r="F3850" t="s">
        <v>10</v>
      </c>
    </row>
    <row r="3851" spans="1:6" hidden="1" x14ac:dyDescent="0.35">
      <c r="A3851" t="s">
        <v>65</v>
      </c>
      <c r="B3851" t="s">
        <v>33</v>
      </c>
      <c r="C3851" t="s">
        <v>22</v>
      </c>
      <c r="D3851">
        <v>0</v>
      </c>
      <c r="E3851" t="s">
        <v>40</v>
      </c>
      <c r="F3851" t="s">
        <v>10</v>
      </c>
    </row>
    <row r="3852" spans="1:6" hidden="1" x14ac:dyDescent="0.35">
      <c r="A3852" t="s">
        <v>66</v>
      </c>
      <c r="B3852" t="s">
        <v>33</v>
      </c>
      <c r="C3852" t="s">
        <v>22</v>
      </c>
      <c r="D3852">
        <v>0</v>
      </c>
      <c r="E3852" t="s">
        <v>40</v>
      </c>
      <c r="F3852" t="s">
        <v>10</v>
      </c>
    </row>
    <row r="3853" spans="1:6" hidden="1" x14ac:dyDescent="0.35">
      <c r="A3853" t="s">
        <v>67</v>
      </c>
      <c r="B3853" t="s">
        <v>33</v>
      </c>
      <c r="C3853" t="s">
        <v>22</v>
      </c>
      <c r="D3853">
        <v>0</v>
      </c>
      <c r="E3853" t="s">
        <v>40</v>
      </c>
      <c r="F3853" t="s">
        <v>10</v>
      </c>
    </row>
    <row r="3854" spans="1:6" hidden="1" x14ac:dyDescent="0.35">
      <c r="A3854" t="s">
        <v>57</v>
      </c>
      <c r="B3854" t="s">
        <v>33</v>
      </c>
      <c r="C3854" t="s">
        <v>46</v>
      </c>
      <c r="D3854">
        <v>568141.18180621089</v>
      </c>
      <c r="E3854" t="s">
        <v>40</v>
      </c>
      <c r="F3854" t="s">
        <v>10</v>
      </c>
    </row>
    <row r="3855" spans="1:6" hidden="1" x14ac:dyDescent="0.35">
      <c r="A3855" t="s">
        <v>11</v>
      </c>
      <c r="B3855" t="s">
        <v>33</v>
      </c>
      <c r="C3855" t="s">
        <v>46</v>
      </c>
      <c r="D3855">
        <v>808433.5128368563</v>
      </c>
      <c r="E3855" t="s">
        <v>40</v>
      </c>
      <c r="F3855" t="s">
        <v>10</v>
      </c>
    </row>
    <row r="3856" spans="1:6" hidden="1" x14ac:dyDescent="0.35">
      <c r="A3856" t="s">
        <v>58</v>
      </c>
      <c r="B3856" t="s">
        <v>33</v>
      </c>
      <c r="C3856" t="s">
        <v>46</v>
      </c>
      <c r="D3856">
        <v>1491301.371728393</v>
      </c>
      <c r="E3856" t="s">
        <v>40</v>
      </c>
      <c r="F3856" t="s">
        <v>10</v>
      </c>
    </row>
    <row r="3857" spans="1:6" hidden="1" x14ac:dyDescent="0.35">
      <c r="A3857" t="s">
        <v>59</v>
      </c>
      <c r="B3857" t="s">
        <v>33</v>
      </c>
      <c r="C3857" t="s">
        <v>46</v>
      </c>
      <c r="D3857">
        <v>1700248.064808673</v>
      </c>
      <c r="E3857" t="s">
        <v>40</v>
      </c>
      <c r="F3857" t="s">
        <v>10</v>
      </c>
    </row>
    <row r="3858" spans="1:6" hidden="1" x14ac:dyDescent="0.35">
      <c r="A3858" t="s">
        <v>60</v>
      </c>
      <c r="B3858" t="s">
        <v>33</v>
      </c>
      <c r="C3858" t="s">
        <v>46</v>
      </c>
      <c r="D3858">
        <v>1946537.2389257459</v>
      </c>
      <c r="E3858" t="s">
        <v>40</v>
      </c>
      <c r="F3858" t="s">
        <v>10</v>
      </c>
    </row>
    <row r="3859" spans="1:6" hidden="1" x14ac:dyDescent="0.35">
      <c r="A3859" t="s">
        <v>61</v>
      </c>
      <c r="B3859" t="s">
        <v>33</v>
      </c>
      <c r="C3859" t="s">
        <v>46</v>
      </c>
      <c r="D3859">
        <v>1237235.770379741</v>
      </c>
      <c r="E3859" t="s">
        <v>40</v>
      </c>
      <c r="F3859" t="s">
        <v>10</v>
      </c>
    </row>
    <row r="3860" spans="1:6" hidden="1" x14ac:dyDescent="0.35">
      <c r="A3860" t="s">
        <v>62</v>
      </c>
      <c r="B3860" t="s">
        <v>33</v>
      </c>
      <c r="C3860" t="s">
        <v>46</v>
      </c>
      <c r="D3860">
        <v>958538.0480487803</v>
      </c>
      <c r="E3860" t="s">
        <v>40</v>
      </c>
      <c r="F3860" t="s">
        <v>10</v>
      </c>
    </row>
    <row r="3861" spans="1:6" hidden="1" x14ac:dyDescent="0.35">
      <c r="A3861" t="s">
        <v>63</v>
      </c>
      <c r="B3861" t="s">
        <v>33</v>
      </c>
      <c r="C3861" t="s">
        <v>46</v>
      </c>
      <c r="D3861">
        <v>1877951.3716596209</v>
      </c>
      <c r="E3861" t="s">
        <v>40</v>
      </c>
      <c r="F3861" t="s">
        <v>10</v>
      </c>
    </row>
    <row r="3862" spans="1:6" hidden="1" x14ac:dyDescent="0.35">
      <c r="A3862" t="s">
        <v>64</v>
      </c>
      <c r="B3862" t="s">
        <v>33</v>
      </c>
      <c r="C3862" t="s">
        <v>46</v>
      </c>
      <c r="D3862">
        <v>1779423.3854926841</v>
      </c>
      <c r="E3862" t="s">
        <v>40</v>
      </c>
      <c r="F3862" t="s">
        <v>10</v>
      </c>
    </row>
    <row r="3863" spans="1:6" hidden="1" x14ac:dyDescent="0.35">
      <c r="A3863" t="s">
        <v>65</v>
      </c>
      <c r="B3863" t="s">
        <v>33</v>
      </c>
      <c r="C3863" t="s">
        <v>46</v>
      </c>
      <c r="D3863">
        <v>3100863.3005344169</v>
      </c>
      <c r="E3863" t="s">
        <v>40</v>
      </c>
      <c r="F3863" t="s">
        <v>10</v>
      </c>
    </row>
    <row r="3864" spans="1:6" hidden="1" x14ac:dyDescent="0.35">
      <c r="A3864" t="s">
        <v>66</v>
      </c>
      <c r="B3864" t="s">
        <v>33</v>
      </c>
      <c r="C3864" t="s">
        <v>46</v>
      </c>
      <c r="D3864">
        <v>4129255.4155327901</v>
      </c>
      <c r="E3864" t="s">
        <v>40</v>
      </c>
      <c r="F3864" t="s">
        <v>10</v>
      </c>
    </row>
    <row r="3865" spans="1:6" hidden="1" x14ac:dyDescent="0.35">
      <c r="A3865" t="s">
        <v>67</v>
      </c>
      <c r="B3865" t="s">
        <v>33</v>
      </c>
      <c r="C3865" t="s">
        <v>46</v>
      </c>
      <c r="D3865">
        <v>1065995.5252065039</v>
      </c>
      <c r="E3865" t="s">
        <v>40</v>
      </c>
      <c r="F3865" t="s">
        <v>10</v>
      </c>
    </row>
    <row r="3866" spans="1:6" hidden="1" x14ac:dyDescent="0.35">
      <c r="A3866" t="s">
        <v>57</v>
      </c>
      <c r="B3866" t="s">
        <v>33</v>
      </c>
      <c r="C3866" t="s">
        <v>24</v>
      </c>
      <c r="D3866">
        <v>0</v>
      </c>
      <c r="E3866" t="s">
        <v>40</v>
      </c>
      <c r="F3866" t="s">
        <v>10</v>
      </c>
    </row>
    <row r="3867" spans="1:6" hidden="1" x14ac:dyDescent="0.35">
      <c r="A3867" t="s">
        <v>11</v>
      </c>
      <c r="B3867" t="s">
        <v>33</v>
      </c>
      <c r="C3867" t="s">
        <v>24</v>
      </c>
      <c r="D3867">
        <v>0</v>
      </c>
      <c r="E3867" t="s">
        <v>40</v>
      </c>
      <c r="F3867" t="s">
        <v>10</v>
      </c>
    </row>
    <row r="3868" spans="1:6" hidden="1" x14ac:dyDescent="0.35">
      <c r="A3868" t="s">
        <v>58</v>
      </c>
      <c r="B3868" t="s">
        <v>33</v>
      </c>
      <c r="C3868" t="s">
        <v>24</v>
      </c>
      <c r="D3868">
        <v>0</v>
      </c>
      <c r="E3868" t="s">
        <v>40</v>
      </c>
      <c r="F3868" t="s">
        <v>10</v>
      </c>
    </row>
    <row r="3869" spans="1:6" hidden="1" x14ac:dyDescent="0.35">
      <c r="A3869" t="s">
        <v>59</v>
      </c>
      <c r="B3869" t="s">
        <v>33</v>
      </c>
      <c r="C3869" t="s">
        <v>24</v>
      </c>
      <c r="D3869">
        <v>0</v>
      </c>
      <c r="E3869" t="s">
        <v>40</v>
      </c>
      <c r="F3869" t="s">
        <v>10</v>
      </c>
    </row>
    <row r="3870" spans="1:6" hidden="1" x14ac:dyDescent="0.35">
      <c r="A3870" t="s">
        <v>60</v>
      </c>
      <c r="B3870" t="s">
        <v>33</v>
      </c>
      <c r="C3870" t="s">
        <v>24</v>
      </c>
      <c r="D3870">
        <v>0</v>
      </c>
      <c r="E3870" t="s">
        <v>40</v>
      </c>
      <c r="F3870" t="s">
        <v>10</v>
      </c>
    </row>
    <row r="3871" spans="1:6" hidden="1" x14ac:dyDescent="0.35">
      <c r="A3871" t="s">
        <v>61</v>
      </c>
      <c r="B3871" t="s">
        <v>33</v>
      </c>
      <c r="C3871" t="s">
        <v>24</v>
      </c>
      <c r="D3871">
        <v>0</v>
      </c>
      <c r="E3871" t="s">
        <v>40</v>
      </c>
      <c r="F3871" t="s">
        <v>10</v>
      </c>
    </row>
    <row r="3872" spans="1:6" hidden="1" x14ac:dyDescent="0.35">
      <c r="A3872" t="s">
        <v>62</v>
      </c>
      <c r="B3872" t="s">
        <v>33</v>
      </c>
      <c r="C3872" t="s">
        <v>24</v>
      </c>
      <c r="D3872">
        <v>0</v>
      </c>
      <c r="E3872" t="s">
        <v>40</v>
      </c>
      <c r="F3872" t="s">
        <v>10</v>
      </c>
    </row>
    <row r="3873" spans="1:6" hidden="1" x14ac:dyDescent="0.35">
      <c r="A3873" t="s">
        <v>63</v>
      </c>
      <c r="B3873" t="s">
        <v>33</v>
      </c>
      <c r="C3873" t="s">
        <v>24</v>
      </c>
      <c r="D3873">
        <v>0</v>
      </c>
      <c r="E3873" t="s">
        <v>40</v>
      </c>
      <c r="F3873" t="s">
        <v>10</v>
      </c>
    </row>
    <row r="3874" spans="1:6" hidden="1" x14ac:dyDescent="0.35">
      <c r="A3874" t="s">
        <v>64</v>
      </c>
      <c r="B3874" t="s">
        <v>33</v>
      </c>
      <c r="C3874" t="s">
        <v>24</v>
      </c>
      <c r="D3874">
        <v>0</v>
      </c>
      <c r="E3874" t="s">
        <v>40</v>
      </c>
      <c r="F3874" t="s">
        <v>10</v>
      </c>
    </row>
    <row r="3875" spans="1:6" hidden="1" x14ac:dyDescent="0.35">
      <c r="A3875" t="s">
        <v>65</v>
      </c>
      <c r="B3875" t="s">
        <v>33</v>
      </c>
      <c r="C3875" t="s">
        <v>24</v>
      </c>
      <c r="D3875">
        <v>0</v>
      </c>
      <c r="E3875" t="s">
        <v>40</v>
      </c>
      <c r="F3875" t="s">
        <v>10</v>
      </c>
    </row>
    <row r="3876" spans="1:6" hidden="1" x14ac:dyDescent="0.35">
      <c r="A3876" t="s">
        <v>66</v>
      </c>
      <c r="B3876" t="s">
        <v>33</v>
      </c>
      <c r="C3876" t="s">
        <v>24</v>
      </c>
      <c r="D3876">
        <v>0</v>
      </c>
      <c r="E3876" t="s">
        <v>40</v>
      </c>
      <c r="F3876" t="s">
        <v>10</v>
      </c>
    </row>
    <row r="3877" spans="1:6" hidden="1" x14ac:dyDescent="0.35">
      <c r="A3877" t="s">
        <v>67</v>
      </c>
      <c r="B3877" t="s">
        <v>33</v>
      </c>
      <c r="C3877" t="s">
        <v>24</v>
      </c>
      <c r="D3877">
        <v>0</v>
      </c>
      <c r="E3877" t="s">
        <v>40</v>
      </c>
      <c r="F3877" t="s">
        <v>10</v>
      </c>
    </row>
    <row r="3878" spans="1:6" hidden="1" x14ac:dyDescent="0.35">
      <c r="A3878" t="s">
        <v>57</v>
      </c>
      <c r="B3878" t="s">
        <v>33</v>
      </c>
      <c r="C3878" t="s">
        <v>47</v>
      </c>
      <c r="D3878">
        <v>36684.54</v>
      </c>
      <c r="E3878" t="s">
        <v>40</v>
      </c>
      <c r="F3878" t="s">
        <v>10</v>
      </c>
    </row>
    <row r="3879" spans="1:6" hidden="1" x14ac:dyDescent="0.35">
      <c r="A3879" t="s">
        <v>11</v>
      </c>
      <c r="B3879" t="s">
        <v>33</v>
      </c>
      <c r="C3879" t="s">
        <v>47</v>
      </c>
      <c r="D3879">
        <v>105361.85</v>
      </c>
      <c r="E3879" t="s">
        <v>40</v>
      </c>
      <c r="F3879" t="s">
        <v>10</v>
      </c>
    </row>
    <row r="3880" spans="1:6" hidden="1" x14ac:dyDescent="0.35">
      <c r="A3880" t="s">
        <v>58</v>
      </c>
      <c r="B3880" t="s">
        <v>33</v>
      </c>
      <c r="C3880" t="s">
        <v>47</v>
      </c>
      <c r="D3880">
        <v>55492</v>
      </c>
      <c r="E3880" t="s">
        <v>40</v>
      </c>
      <c r="F3880" t="s">
        <v>10</v>
      </c>
    </row>
    <row r="3881" spans="1:6" hidden="1" x14ac:dyDescent="0.35">
      <c r="A3881" t="s">
        <v>59</v>
      </c>
      <c r="B3881" t="s">
        <v>33</v>
      </c>
      <c r="C3881" t="s">
        <v>47</v>
      </c>
      <c r="D3881">
        <v>2398.1799999999998</v>
      </c>
      <c r="E3881" t="s">
        <v>40</v>
      </c>
      <c r="F3881" t="s">
        <v>10</v>
      </c>
    </row>
    <row r="3882" spans="1:6" hidden="1" x14ac:dyDescent="0.35">
      <c r="A3882" t="s">
        <v>60</v>
      </c>
      <c r="B3882" t="s">
        <v>33</v>
      </c>
      <c r="C3882" t="s">
        <v>47</v>
      </c>
      <c r="D3882">
        <v>2158.3200000000002</v>
      </c>
      <c r="E3882" t="s">
        <v>40</v>
      </c>
      <c r="F3882" t="s">
        <v>10</v>
      </c>
    </row>
    <row r="3883" spans="1:6" hidden="1" x14ac:dyDescent="0.35">
      <c r="A3883" t="s">
        <v>61</v>
      </c>
      <c r="B3883" t="s">
        <v>33</v>
      </c>
      <c r="C3883" t="s">
        <v>47</v>
      </c>
      <c r="D3883">
        <v>225712.53</v>
      </c>
      <c r="E3883" t="s">
        <v>40</v>
      </c>
      <c r="F3883" t="s">
        <v>10</v>
      </c>
    </row>
    <row r="3884" spans="1:6" hidden="1" x14ac:dyDescent="0.35">
      <c r="A3884" t="s">
        <v>62</v>
      </c>
      <c r="B3884" t="s">
        <v>33</v>
      </c>
      <c r="C3884" t="s">
        <v>47</v>
      </c>
      <c r="D3884">
        <v>76733.959999999992</v>
      </c>
      <c r="E3884" t="s">
        <v>40</v>
      </c>
      <c r="F3884" t="s">
        <v>10</v>
      </c>
    </row>
    <row r="3885" spans="1:6" hidden="1" x14ac:dyDescent="0.35">
      <c r="A3885" t="s">
        <v>63</v>
      </c>
      <c r="B3885" t="s">
        <v>33</v>
      </c>
      <c r="C3885" t="s">
        <v>47</v>
      </c>
      <c r="D3885">
        <v>1611426.09</v>
      </c>
      <c r="E3885" t="s">
        <v>40</v>
      </c>
      <c r="F3885" t="s">
        <v>10</v>
      </c>
    </row>
    <row r="3886" spans="1:6" hidden="1" x14ac:dyDescent="0.35">
      <c r="A3886" t="s">
        <v>64</v>
      </c>
      <c r="B3886" t="s">
        <v>33</v>
      </c>
      <c r="C3886" t="s">
        <v>47</v>
      </c>
      <c r="D3886">
        <v>872.16</v>
      </c>
      <c r="E3886" t="s">
        <v>40</v>
      </c>
      <c r="F3886" t="s">
        <v>10</v>
      </c>
    </row>
    <row r="3887" spans="1:6" hidden="1" x14ac:dyDescent="0.35">
      <c r="A3887" t="s">
        <v>65</v>
      </c>
      <c r="B3887" t="s">
        <v>33</v>
      </c>
      <c r="C3887" t="s">
        <v>47</v>
      </c>
      <c r="D3887">
        <v>1649507.57</v>
      </c>
      <c r="E3887" t="s">
        <v>40</v>
      </c>
      <c r="F3887" t="s">
        <v>10</v>
      </c>
    </row>
    <row r="3888" spans="1:6" hidden="1" x14ac:dyDescent="0.35">
      <c r="A3888" t="s">
        <v>66</v>
      </c>
      <c r="B3888" t="s">
        <v>33</v>
      </c>
      <c r="C3888" t="s">
        <v>47</v>
      </c>
      <c r="D3888">
        <v>33846.04</v>
      </c>
      <c r="E3888" t="s">
        <v>40</v>
      </c>
      <c r="F3888" t="s">
        <v>10</v>
      </c>
    </row>
    <row r="3889" spans="1:6" hidden="1" x14ac:dyDescent="0.35">
      <c r="A3889" t="s">
        <v>67</v>
      </c>
      <c r="B3889" t="s">
        <v>33</v>
      </c>
      <c r="C3889" t="s">
        <v>47</v>
      </c>
      <c r="D3889">
        <v>4519.2700000000004</v>
      </c>
      <c r="E3889" t="s">
        <v>40</v>
      </c>
      <c r="F3889" t="s">
        <v>10</v>
      </c>
    </row>
    <row r="3890" spans="1:6" hidden="1" x14ac:dyDescent="0.35">
      <c r="A3890" t="s">
        <v>57</v>
      </c>
      <c r="B3890" t="s">
        <v>33</v>
      </c>
      <c r="C3890" t="s">
        <v>48</v>
      </c>
      <c r="D3890">
        <v>0</v>
      </c>
      <c r="E3890" t="s">
        <v>40</v>
      </c>
      <c r="F3890" t="s">
        <v>10</v>
      </c>
    </row>
    <row r="3891" spans="1:6" hidden="1" x14ac:dyDescent="0.35">
      <c r="A3891" t="s">
        <v>11</v>
      </c>
      <c r="B3891" t="s">
        <v>33</v>
      </c>
      <c r="C3891" t="s">
        <v>48</v>
      </c>
      <c r="D3891">
        <v>0</v>
      </c>
      <c r="E3891" t="s">
        <v>40</v>
      </c>
      <c r="F3891" t="s">
        <v>10</v>
      </c>
    </row>
    <row r="3892" spans="1:6" hidden="1" x14ac:dyDescent="0.35">
      <c r="A3892" t="s">
        <v>58</v>
      </c>
      <c r="B3892" t="s">
        <v>33</v>
      </c>
      <c r="C3892" t="s">
        <v>48</v>
      </c>
      <c r="D3892">
        <v>0</v>
      </c>
      <c r="E3892" t="s">
        <v>40</v>
      </c>
      <c r="F3892" t="s">
        <v>10</v>
      </c>
    </row>
    <row r="3893" spans="1:6" hidden="1" x14ac:dyDescent="0.35">
      <c r="A3893" t="s">
        <v>59</v>
      </c>
      <c r="B3893" t="s">
        <v>33</v>
      </c>
      <c r="C3893" t="s">
        <v>48</v>
      </c>
      <c r="D3893">
        <v>0</v>
      </c>
      <c r="E3893" t="s">
        <v>40</v>
      </c>
      <c r="F3893" t="s">
        <v>10</v>
      </c>
    </row>
    <row r="3894" spans="1:6" hidden="1" x14ac:dyDescent="0.35">
      <c r="A3894" t="s">
        <v>60</v>
      </c>
      <c r="B3894" t="s">
        <v>33</v>
      </c>
      <c r="C3894" t="s">
        <v>48</v>
      </c>
      <c r="D3894">
        <v>0</v>
      </c>
      <c r="E3894" t="s">
        <v>40</v>
      </c>
      <c r="F3894" t="s">
        <v>10</v>
      </c>
    </row>
    <row r="3895" spans="1:6" hidden="1" x14ac:dyDescent="0.35">
      <c r="A3895" t="s">
        <v>61</v>
      </c>
      <c r="B3895" t="s">
        <v>33</v>
      </c>
      <c r="C3895" t="s">
        <v>48</v>
      </c>
      <c r="D3895">
        <v>0</v>
      </c>
      <c r="E3895" t="s">
        <v>40</v>
      </c>
      <c r="F3895" t="s">
        <v>10</v>
      </c>
    </row>
    <row r="3896" spans="1:6" hidden="1" x14ac:dyDescent="0.35">
      <c r="A3896" t="s">
        <v>62</v>
      </c>
      <c r="B3896" t="s">
        <v>33</v>
      </c>
      <c r="C3896" t="s">
        <v>48</v>
      </c>
      <c r="D3896">
        <v>0</v>
      </c>
      <c r="E3896" t="s">
        <v>40</v>
      </c>
      <c r="F3896" t="s">
        <v>10</v>
      </c>
    </row>
    <row r="3897" spans="1:6" hidden="1" x14ac:dyDescent="0.35">
      <c r="A3897" t="s">
        <v>63</v>
      </c>
      <c r="B3897" t="s">
        <v>33</v>
      </c>
      <c r="C3897" t="s">
        <v>48</v>
      </c>
      <c r="D3897">
        <v>0</v>
      </c>
      <c r="E3897" t="s">
        <v>40</v>
      </c>
      <c r="F3897" t="s">
        <v>10</v>
      </c>
    </row>
    <row r="3898" spans="1:6" hidden="1" x14ac:dyDescent="0.35">
      <c r="A3898" t="s">
        <v>64</v>
      </c>
      <c r="B3898" t="s">
        <v>33</v>
      </c>
      <c r="C3898" t="s">
        <v>48</v>
      </c>
      <c r="D3898">
        <v>0</v>
      </c>
      <c r="E3898" t="s">
        <v>40</v>
      </c>
      <c r="F3898" t="s">
        <v>10</v>
      </c>
    </row>
    <row r="3899" spans="1:6" hidden="1" x14ac:dyDescent="0.35">
      <c r="A3899" t="s">
        <v>65</v>
      </c>
      <c r="B3899" t="s">
        <v>33</v>
      </c>
      <c r="C3899" t="s">
        <v>48</v>
      </c>
      <c r="D3899">
        <v>0</v>
      </c>
      <c r="E3899" t="s">
        <v>40</v>
      </c>
      <c r="F3899" t="s">
        <v>10</v>
      </c>
    </row>
    <row r="3900" spans="1:6" hidden="1" x14ac:dyDescent="0.35">
      <c r="A3900" t="s">
        <v>66</v>
      </c>
      <c r="B3900" t="s">
        <v>33</v>
      </c>
      <c r="C3900" t="s">
        <v>48</v>
      </c>
      <c r="D3900">
        <v>0</v>
      </c>
      <c r="E3900" t="s">
        <v>40</v>
      </c>
      <c r="F3900" t="s">
        <v>10</v>
      </c>
    </row>
    <row r="3901" spans="1:6" hidden="1" x14ac:dyDescent="0.35">
      <c r="A3901" t="s">
        <v>67</v>
      </c>
      <c r="B3901" t="s">
        <v>33</v>
      </c>
      <c r="C3901" t="s">
        <v>48</v>
      </c>
      <c r="D3901">
        <v>0</v>
      </c>
      <c r="E3901" t="s">
        <v>40</v>
      </c>
      <c r="F3901" t="s">
        <v>10</v>
      </c>
    </row>
    <row r="3902" spans="1:6" hidden="1" x14ac:dyDescent="0.35">
      <c r="A3902" t="s">
        <v>57</v>
      </c>
      <c r="B3902" t="s">
        <v>33</v>
      </c>
      <c r="C3902" t="s">
        <v>49</v>
      </c>
      <c r="D3902">
        <v>569063.57319999987</v>
      </c>
      <c r="E3902" t="s">
        <v>40</v>
      </c>
      <c r="F3902" t="s">
        <v>10</v>
      </c>
    </row>
    <row r="3903" spans="1:6" hidden="1" x14ac:dyDescent="0.35">
      <c r="A3903" t="s">
        <v>11</v>
      </c>
      <c r="B3903" t="s">
        <v>33</v>
      </c>
      <c r="C3903" t="s">
        <v>49</v>
      </c>
      <c r="D3903">
        <v>353523.38919999998</v>
      </c>
      <c r="E3903" t="s">
        <v>40</v>
      </c>
      <c r="F3903" t="s">
        <v>10</v>
      </c>
    </row>
    <row r="3904" spans="1:6" hidden="1" x14ac:dyDescent="0.35">
      <c r="A3904" t="s">
        <v>58</v>
      </c>
      <c r="B3904" t="s">
        <v>33</v>
      </c>
      <c r="C3904" t="s">
        <v>49</v>
      </c>
      <c r="D3904">
        <v>552004.48479999998</v>
      </c>
      <c r="E3904" t="s">
        <v>40</v>
      </c>
      <c r="F3904" t="s">
        <v>10</v>
      </c>
    </row>
    <row r="3905" spans="1:6" hidden="1" x14ac:dyDescent="0.35">
      <c r="A3905" t="s">
        <v>59</v>
      </c>
      <c r="B3905" t="s">
        <v>33</v>
      </c>
      <c r="C3905" t="s">
        <v>49</v>
      </c>
      <c r="D3905">
        <v>227021.7292</v>
      </c>
      <c r="E3905" t="s">
        <v>40</v>
      </c>
      <c r="F3905" t="s">
        <v>10</v>
      </c>
    </row>
    <row r="3906" spans="1:6" hidden="1" x14ac:dyDescent="0.35">
      <c r="A3906" t="s">
        <v>60</v>
      </c>
      <c r="B3906" t="s">
        <v>33</v>
      </c>
      <c r="C3906" t="s">
        <v>49</v>
      </c>
      <c r="D3906">
        <v>638476.32240000006</v>
      </c>
      <c r="E3906" t="s">
        <v>40</v>
      </c>
      <c r="F3906" t="s">
        <v>10</v>
      </c>
    </row>
    <row r="3907" spans="1:6" hidden="1" x14ac:dyDescent="0.35">
      <c r="A3907" t="s">
        <v>61</v>
      </c>
      <c r="B3907" t="s">
        <v>33</v>
      </c>
      <c r="C3907" t="s">
        <v>49</v>
      </c>
      <c r="D3907">
        <v>668605.71959999995</v>
      </c>
      <c r="E3907" t="s">
        <v>40</v>
      </c>
      <c r="F3907" t="s">
        <v>10</v>
      </c>
    </row>
    <row r="3908" spans="1:6" hidden="1" x14ac:dyDescent="0.35">
      <c r="A3908" t="s">
        <v>62</v>
      </c>
      <c r="B3908" t="s">
        <v>33</v>
      </c>
      <c r="C3908" t="s">
        <v>49</v>
      </c>
      <c r="D3908">
        <v>339923.522</v>
      </c>
      <c r="E3908" t="s">
        <v>40</v>
      </c>
      <c r="F3908" t="s">
        <v>10</v>
      </c>
    </row>
    <row r="3909" spans="1:6" hidden="1" x14ac:dyDescent="0.35">
      <c r="A3909" t="s">
        <v>63</v>
      </c>
      <c r="B3909" t="s">
        <v>33</v>
      </c>
      <c r="C3909" t="s">
        <v>49</v>
      </c>
      <c r="D3909">
        <v>624501.92399999988</v>
      </c>
      <c r="E3909" t="s">
        <v>40</v>
      </c>
      <c r="F3909" t="s">
        <v>10</v>
      </c>
    </row>
    <row r="3910" spans="1:6" hidden="1" x14ac:dyDescent="0.35">
      <c r="A3910" t="s">
        <v>64</v>
      </c>
      <c r="B3910" t="s">
        <v>33</v>
      </c>
      <c r="C3910" t="s">
        <v>49</v>
      </c>
      <c r="D3910">
        <v>335216.58760000003</v>
      </c>
      <c r="E3910" t="s">
        <v>40</v>
      </c>
      <c r="F3910" t="s">
        <v>10</v>
      </c>
    </row>
    <row r="3911" spans="1:6" hidden="1" x14ac:dyDescent="0.35">
      <c r="A3911" t="s">
        <v>65</v>
      </c>
      <c r="B3911" t="s">
        <v>33</v>
      </c>
      <c r="C3911" t="s">
        <v>49</v>
      </c>
      <c r="D3911">
        <v>764269.8679999999</v>
      </c>
      <c r="E3911" t="s">
        <v>40</v>
      </c>
      <c r="F3911" t="s">
        <v>10</v>
      </c>
    </row>
    <row r="3912" spans="1:6" hidden="1" x14ac:dyDescent="0.35">
      <c r="A3912" t="s">
        <v>66</v>
      </c>
      <c r="B3912" t="s">
        <v>33</v>
      </c>
      <c r="C3912" t="s">
        <v>49</v>
      </c>
      <c r="D3912">
        <v>766450.1059999998</v>
      </c>
      <c r="E3912" t="s">
        <v>40</v>
      </c>
      <c r="F3912" t="s">
        <v>10</v>
      </c>
    </row>
    <row r="3913" spans="1:6" hidden="1" x14ac:dyDescent="0.35">
      <c r="A3913" t="s">
        <v>67</v>
      </c>
      <c r="B3913" t="s">
        <v>33</v>
      </c>
      <c r="C3913" t="s">
        <v>49</v>
      </c>
      <c r="D3913">
        <v>573414.76360000018</v>
      </c>
      <c r="E3913" t="s">
        <v>40</v>
      </c>
      <c r="F3913" t="s">
        <v>10</v>
      </c>
    </row>
    <row r="3914" spans="1:6" hidden="1" x14ac:dyDescent="0.35">
      <c r="A3914" t="s">
        <v>57</v>
      </c>
      <c r="B3914" t="s">
        <v>33</v>
      </c>
      <c r="C3914" t="s">
        <v>50</v>
      </c>
      <c r="D3914">
        <v>2109903.3256000001</v>
      </c>
      <c r="E3914" t="s">
        <v>40</v>
      </c>
      <c r="F3914" t="s">
        <v>10</v>
      </c>
    </row>
    <row r="3915" spans="1:6" hidden="1" x14ac:dyDescent="0.35">
      <c r="A3915" t="s">
        <v>11</v>
      </c>
      <c r="B3915" t="s">
        <v>33</v>
      </c>
      <c r="C3915" t="s">
        <v>50</v>
      </c>
      <c r="D3915">
        <v>2349270.6316</v>
      </c>
      <c r="E3915" t="s">
        <v>40</v>
      </c>
      <c r="F3915" t="s">
        <v>10</v>
      </c>
    </row>
    <row r="3916" spans="1:6" hidden="1" x14ac:dyDescent="0.35">
      <c r="A3916" t="s">
        <v>58</v>
      </c>
      <c r="B3916" t="s">
        <v>33</v>
      </c>
      <c r="C3916" t="s">
        <v>50</v>
      </c>
      <c r="D3916">
        <v>4978968.4535999997</v>
      </c>
      <c r="E3916" t="s">
        <v>40</v>
      </c>
      <c r="F3916" t="s">
        <v>10</v>
      </c>
    </row>
    <row r="3917" spans="1:6" hidden="1" x14ac:dyDescent="0.35">
      <c r="A3917" t="s">
        <v>59</v>
      </c>
      <c r="B3917" t="s">
        <v>33</v>
      </c>
      <c r="C3917" t="s">
        <v>50</v>
      </c>
      <c r="D3917">
        <v>2735671.6320000002</v>
      </c>
      <c r="E3917" t="s">
        <v>40</v>
      </c>
      <c r="F3917" t="s">
        <v>10</v>
      </c>
    </row>
    <row r="3918" spans="1:6" hidden="1" x14ac:dyDescent="0.35">
      <c r="A3918" t="s">
        <v>60</v>
      </c>
      <c r="B3918" t="s">
        <v>33</v>
      </c>
      <c r="C3918" t="s">
        <v>50</v>
      </c>
      <c r="D3918">
        <v>8190338.4955999991</v>
      </c>
      <c r="E3918" t="s">
        <v>40</v>
      </c>
      <c r="F3918" t="s">
        <v>10</v>
      </c>
    </row>
    <row r="3919" spans="1:6" hidden="1" x14ac:dyDescent="0.35">
      <c r="A3919" t="s">
        <v>61</v>
      </c>
      <c r="B3919" t="s">
        <v>33</v>
      </c>
      <c r="C3919" t="s">
        <v>50</v>
      </c>
      <c r="D3919">
        <v>4535301.6988000022</v>
      </c>
      <c r="E3919" t="s">
        <v>40</v>
      </c>
      <c r="F3919" t="s">
        <v>10</v>
      </c>
    </row>
    <row r="3920" spans="1:6" hidden="1" x14ac:dyDescent="0.35">
      <c r="A3920" t="s">
        <v>62</v>
      </c>
      <c r="B3920" t="s">
        <v>33</v>
      </c>
      <c r="C3920" t="s">
        <v>50</v>
      </c>
      <c r="D3920">
        <v>3362171.699599999</v>
      </c>
      <c r="E3920" t="s">
        <v>40</v>
      </c>
      <c r="F3920" t="s">
        <v>10</v>
      </c>
    </row>
    <row r="3921" spans="1:6" hidden="1" x14ac:dyDescent="0.35">
      <c r="A3921" t="s">
        <v>63</v>
      </c>
      <c r="B3921" t="s">
        <v>33</v>
      </c>
      <c r="C3921" t="s">
        <v>50</v>
      </c>
      <c r="D3921">
        <v>5236330.9743999988</v>
      </c>
      <c r="E3921" t="s">
        <v>40</v>
      </c>
      <c r="F3921" t="s">
        <v>10</v>
      </c>
    </row>
    <row r="3922" spans="1:6" hidden="1" x14ac:dyDescent="0.35">
      <c r="A3922" t="s">
        <v>64</v>
      </c>
      <c r="B3922" t="s">
        <v>33</v>
      </c>
      <c r="C3922" t="s">
        <v>50</v>
      </c>
      <c r="D3922">
        <v>4915861.6544000022</v>
      </c>
      <c r="E3922" t="s">
        <v>40</v>
      </c>
      <c r="F3922" t="s">
        <v>10</v>
      </c>
    </row>
    <row r="3923" spans="1:6" hidden="1" x14ac:dyDescent="0.35">
      <c r="A3923" t="s">
        <v>65</v>
      </c>
      <c r="B3923" t="s">
        <v>33</v>
      </c>
      <c r="C3923" t="s">
        <v>50</v>
      </c>
      <c r="D3923">
        <v>6528374.0347999977</v>
      </c>
      <c r="E3923" t="s">
        <v>40</v>
      </c>
      <c r="F3923" t="s">
        <v>10</v>
      </c>
    </row>
    <row r="3924" spans="1:6" hidden="1" x14ac:dyDescent="0.35">
      <c r="A3924" t="s">
        <v>66</v>
      </c>
      <c r="B3924" t="s">
        <v>33</v>
      </c>
      <c r="C3924" t="s">
        <v>50</v>
      </c>
      <c r="D3924">
        <v>7732856.7643999998</v>
      </c>
      <c r="E3924" t="s">
        <v>40</v>
      </c>
      <c r="F3924" t="s">
        <v>10</v>
      </c>
    </row>
    <row r="3925" spans="1:6" hidden="1" x14ac:dyDescent="0.35">
      <c r="A3925" t="s">
        <v>67</v>
      </c>
      <c r="B3925" t="s">
        <v>33</v>
      </c>
      <c r="C3925" t="s">
        <v>50</v>
      </c>
      <c r="D3925">
        <v>4381385.3968000002</v>
      </c>
      <c r="E3925" t="s">
        <v>40</v>
      </c>
      <c r="F3925" t="s">
        <v>10</v>
      </c>
    </row>
    <row r="3926" spans="1:6" hidden="1" x14ac:dyDescent="0.35">
      <c r="A3926" t="s">
        <v>57</v>
      </c>
      <c r="B3926" t="s">
        <v>33</v>
      </c>
      <c r="C3926" t="s">
        <v>51</v>
      </c>
      <c r="D3926">
        <v>190</v>
      </c>
      <c r="E3926" t="s">
        <v>40</v>
      </c>
      <c r="F3926" t="s">
        <v>10</v>
      </c>
    </row>
    <row r="3927" spans="1:6" hidden="1" x14ac:dyDescent="0.35">
      <c r="A3927" t="s">
        <v>11</v>
      </c>
      <c r="B3927" t="s">
        <v>33</v>
      </c>
      <c r="C3927" t="s">
        <v>51</v>
      </c>
      <c r="D3927">
        <v>206</v>
      </c>
      <c r="E3927" t="s">
        <v>40</v>
      </c>
      <c r="F3927" t="s">
        <v>10</v>
      </c>
    </row>
    <row r="3928" spans="1:6" hidden="1" x14ac:dyDescent="0.35">
      <c r="A3928" t="s">
        <v>58</v>
      </c>
      <c r="B3928" t="s">
        <v>33</v>
      </c>
      <c r="C3928" t="s">
        <v>51</v>
      </c>
      <c r="D3928">
        <v>207</v>
      </c>
      <c r="E3928" t="s">
        <v>40</v>
      </c>
      <c r="F3928" t="s">
        <v>10</v>
      </c>
    </row>
    <row r="3929" spans="1:6" hidden="1" x14ac:dyDescent="0.35">
      <c r="A3929" t="s">
        <v>59</v>
      </c>
      <c r="B3929" t="s">
        <v>33</v>
      </c>
      <c r="C3929" t="s">
        <v>51</v>
      </c>
      <c r="D3929">
        <v>194</v>
      </c>
      <c r="E3929" t="s">
        <v>40</v>
      </c>
      <c r="F3929" t="s">
        <v>10</v>
      </c>
    </row>
    <row r="3930" spans="1:6" hidden="1" x14ac:dyDescent="0.35">
      <c r="A3930" t="s">
        <v>60</v>
      </c>
      <c r="B3930" t="s">
        <v>33</v>
      </c>
      <c r="C3930" t="s">
        <v>51</v>
      </c>
      <c r="D3930">
        <v>247</v>
      </c>
      <c r="E3930" t="s">
        <v>40</v>
      </c>
      <c r="F3930" t="s">
        <v>10</v>
      </c>
    </row>
    <row r="3931" spans="1:6" hidden="1" x14ac:dyDescent="0.35">
      <c r="A3931" t="s">
        <v>61</v>
      </c>
      <c r="B3931" t="s">
        <v>33</v>
      </c>
      <c r="C3931" t="s">
        <v>51</v>
      </c>
      <c r="D3931">
        <v>199</v>
      </c>
      <c r="E3931" t="s">
        <v>40</v>
      </c>
      <c r="F3931" t="s">
        <v>10</v>
      </c>
    </row>
    <row r="3932" spans="1:6" hidden="1" x14ac:dyDescent="0.35">
      <c r="A3932" t="s">
        <v>62</v>
      </c>
      <c r="B3932" t="s">
        <v>33</v>
      </c>
      <c r="C3932" t="s">
        <v>51</v>
      </c>
      <c r="D3932">
        <v>217</v>
      </c>
      <c r="E3932" t="s">
        <v>40</v>
      </c>
      <c r="F3932" t="s">
        <v>10</v>
      </c>
    </row>
    <row r="3933" spans="1:6" hidden="1" x14ac:dyDescent="0.35">
      <c r="A3933" t="s">
        <v>63</v>
      </c>
      <c r="B3933" t="s">
        <v>33</v>
      </c>
      <c r="C3933" t="s">
        <v>51</v>
      </c>
      <c r="D3933">
        <v>206</v>
      </c>
      <c r="E3933" t="s">
        <v>40</v>
      </c>
      <c r="F3933" t="s">
        <v>10</v>
      </c>
    </row>
    <row r="3934" spans="1:6" hidden="1" x14ac:dyDescent="0.35">
      <c r="A3934" t="s">
        <v>64</v>
      </c>
      <c r="B3934" t="s">
        <v>33</v>
      </c>
      <c r="C3934" t="s">
        <v>51</v>
      </c>
      <c r="D3934">
        <v>176</v>
      </c>
      <c r="E3934" t="s">
        <v>40</v>
      </c>
      <c r="F3934" t="s">
        <v>10</v>
      </c>
    </row>
    <row r="3935" spans="1:6" hidden="1" x14ac:dyDescent="0.35">
      <c r="A3935" t="s">
        <v>65</v>
      </c>
      <c r="B3935" t="s">
        <v>33</v>
      </c>
      <c r="C3935" t="s">
        <v>51</v>
      </c>
      <c r="D3935">
        <v>231</v>
      </c>
      <c r="E3935" t="s">
        <v>40</v>
      </c>
      <c r="F3935" t="s">
        <v>10</v>
      </c>
    </row>
    <row r="3936" spans="1:6" hidden="1" x14ac:dyDescent="0.35">
      <c r="A3936" t="s">
        <v>66</v>
      </c>
      <c r="B3936" t="s">
        <v>33</v>
      </c>
      <c r="C3936" t="s">
        <v>51</v>
      </c>
      <c r="D3936">
        <v>173</v>
      </c>
      <c r="E3936" t="s">
        <v>40</v>
      </c>
      <c r="F3936" t="s">
        <v>10</v>
      </c>
    </row>
    <row r="3937" spans="1:6" hidden="1" x14ac:dyDescent="0.35">
      <c r="A3937" t="s">
        <v>67</v>
      </c>
      <c r="B3937" t="s">
        <v>33</v>
      </c>
      <c r="C3937" t="s">
        <v>51</v>
      </c>
      <c r="D3937">
        <v>196</v>
      </c>
      <c r="E3937" t="s">
        <v>40</v>
      </c>
      <c r="F3937" t="s">
        <v>10</v>
      </c>
    </row>
    <row r="3938" spans="1:6" hidden="1" x14ac:dyDescent="0.35">
      <c r="A3938" t="s">
        <v>57</v>
      </c>
      <c r="B3938" t="s">
        <v>33</v>
      </c>
      <c r="C3938" t="s">
        <v>30</v>
      </c>
      <c r="D3938">
        <v>51</v>
      </c>
      <c r="E3938" t="s">
        <v>40</v>
      </c>
      <c r="F3938" t="s">
        <v>10</v>
      </c>
    </row>
    <row r="3939" spans="1:6" hidden="1" x14ac:dyDescent="0.35">
      <c r="A3939" t="s">
        <v>11</v>
      </c>
      <c r="B3939" t="s">
        <v>33</v>
      </c>
      <c r="C3939" t="s">
        <v>30</v>
      </c>
      <c r="D3939">
        <v>37</v>
      </c>
      <c r="E3939" t="s">
        <v>40</v>
      </c>
      <c r="F3939" t="s">
        <v>10</v>
      </c>
    </row>
    <row r="3940" spans="1:6" hidden="1" x14ac:dyDescent="0.35">
      <c r="A3940" t="s">
        <v>58</v>
      </c>
      <c r="B3940" t="s">
        <v>33</v>
      </c>
      <c r="C3940" t="s">
        <v>30</v>
      </c>
      <c r="D3940">
        <v>32</v>
      </c>
      <c r="E3940" t="s">
        <v>40</v>
      </c>
      <c r="F3940" t="s">
        <v>10</v>
      </c>
    </row>
    <row r="3941" spans="1:6" hidden="1" x14ac:dyDescent="0.35">
      <c r="A3941" t="s">
        <v>59</v>
      </c>
      <c r="B3941" t="s">
        <v>33</v>
      </c>
      <c r="C3941" t="s">
        <v>30</v>
      </c>
      <c r="D3941">
        <v>88</v>
      </c>
      <c r="E3941" t="s">
        <v>40</v>
      </c>
      <c r="F3941" t="s">
        <v>10</v>
      </c>
    </row>
    <row r="3942" spans="1:6" hidden="1" x14ac:dyDescent="0.35">
      <c r="A3942" t="s">
        <v>60</v>
      </c>
      <c r="B3942" t="s">
        <v>33</v>
      </c>
      <c r="C3942" t="s">
        <v>30</v>
      </c>
      <c r="D3942">
        <v>64</v>
      </c>
      <c r="E3942" t="s">
        <v>40</v>
      </c>
      <c r="F3942" t="s">
        <v>10</v>
      </c>
    </row>
    <row r="3943" spans="1:6" hidden="1" x14ac:dyDescent="0.35">
      <c r="A3943" t="s">
        <v>61</v>
      </c>
      <c r="B3943" t="s">
        <v>33</v>
      </c>
      <c r="C3943" t="s">
        <v>30</v>
      </c>
      <c r="D3943">
        <v>76</v>
      </c>
      <c r="E3943" t="s">
        <v>40</v>
      </c>
      <c r="F3943" t="s">
        <v>10</v>
      </c>
    </row>
    <row r="3944" spans="1:6" hidden="1" x14ac:dyDescent="0.35">
      <c r="A3944" t="s">
        <v>62</v>
      </c>
      <c r="B3944" t="s">
        <v>33</v>
      </c>
      <c r="C3944" t="s">
        <v>30</v>
      </c>
      <c r="D3944">
        <v>37</v>
      </c>
      <c r="E3944" t="s">
        <v>40</v>
      </c>
      <c r="F3944" t="s">
        <v>10</v>
      </c>
    </row>
    <row r="3945" spans="1:6" hidden="1" x14ac:dyDescent="0.35">
      <c r="A3945" t="s">
        <v>63</v>
      </c>
      <c r="B3945" t="s">
        <v>33</v>
      </c>
      <c r="C3945" t="s">
        <v>30</v>
      </c>
      <c r="D3945">
        <v>65</v>
      </c>
      <c r="E3945" t="s">
        <v>40</v>
      </c>
      <c r="F3945" t="s">
        <v>10</v>
      </c>
    </row>
    <row r="3946" spans="1:6" hidden="1" x14ac:dyDescent="0.35">
      <c r="A3946" t="s">
        <v>64</v>
      </c>
      <c r="B3946" t="s">
        <v>33</v>
      </c>
      <c r="C3946" t="s">
        <v>30</v>
      </c>
      <c r="D3946">
        <v>64</v>
      </c>
      <c r="E3946" t="s">
        <v>40</v>
      </c>
      <c r="F3946" t="s">
        <v>10</v>
      </c>
    </row>
    <row r="3947" spans="1:6" hidden="1" x14ac:dyDescent="0.35">
      <c r="A3947" t="s">
        <v>65</v>
      </c>
      <c r="B3947" t="s">
        <v>33</v>
      </c>
      <c r="C3947" t="s">
        <v>30</v>
      </c>
      <c r="D3947">
        <v>76</v>
      </c>
      <c r="E3947" t="s">
        <v>40</v>
      </c>
      <c r="F3947" t="s">
        <v>10</v>
      </c>
    </row>
    <row r="3948" spans="1:6" hidden="1" x14ac:dyDescent="0.35">
      <c r="A3948" t="s">
        <v>66</v>
      </c>
      <c r="B3948" t="s">
        <v>33</v>
      </c>
      <c r="C3948" t="s">
        <v>30</v>
      </c>
      <c r="D3948">
        <v>66</v>
      </c>
      <c r="E3948" t="s">
        <v>40</v>
      </c>
      <c r="F3948" t="s">
        <v>10</v>
      </c>
    </row>
    <row r="3949" spans="1:6" hidden="1" x14ac:dyDescent="0.35">
      <c r="A3949" t="s">
        <v>67</v>
      </c>
      <c r="B3949" t="s">
        <v>33</v>
      </c>
      <c r="C3949" t="s">
        <v>30</v>
      </c>
      <c r="D3949">
        <v>62</v>
      </c>
      <c r="E3949" t="s">
        <v>40</v>
      </c>
      <c r="F3949" t="s">
        <v>10</v>
      </c>
    </row>
    <row r="3950" spans="1:6" hidden="1" x14ac:dyDescent="0.35">
      <c r="A3950" t="s">
        <v>57</v>
      </c>
      <c r="B3950" t="s">
        <v>33</v>
      </c>
      <c r="C3950" t="s">
        <v>52</v>
      </c>
      <c r="D3950">
        <v>46</v>
      </c>
      <c r="E3950" t="s">
        <v>40</v>
      </c>
      <c r="F3950" t="s">
        <v>10</v>
      </c>
    </row>
    <row r="3951" spans="1:6" hidden="1" x14ac:dyDescent="0.35">
      <c r="A3951" t="s">
        <v>11</v>
      </c>
      <c r="B3951" t="s">
        <v>33</v>
      </c>
      <c r="C3951" t="s">
        <v>52</v>
      </c>
      <c r="D3951">
        <v>51</v>
      </c>
      <c r="E3951" t="s">
        <v>40</v>
      </c>
      <c r="F3951" t="s">
        <v>10</v>
      </c>
    </row>
    <row r="3952" spans="1:6" hidden="1" x14ac:dyDescent="0.35">
      <c r="A3952" t="s">
        <v>58</v>
      </c>
      <c r="B3952" t="s">
        <v>33</v>
      </c>
      <c r="C3952" t="s">
        <v>52</v>
      </c>
      <c r="D3952">
        <v>43</v>
      </c>
      <c r="E3952" t="s">
        <v>40</v>
      </c>
      <c r="F3952" t="s">
        <v>10</v>
      </c>
    </row>
    <row r="3953" spans="1:6" hidden="1" x14ac:dyDescent="0.35">
      <c r="A3953" t="s">
        <v>59</v>
      </c>
      <c r="B3953" t="s">
        <v>33</v>
      </c>
      <c r="C3953" t="s">
        <v>52</v>
      </c>
      <c r="D3953">
        <v>48</v>
      </c>
      <c r="E3953" t="s">
        <v>40</v>
      </c>
      <c r="F3953" t="s">
        <v>10</v>
      </c>
    </row>
    <row r="3954" spans="1:6" hidden="1" x14ac:dyDescent="0.35">
      <c r="A3954" t="s">
        <v>60</v>
      </c>
      <c r="B3954" t="s">
        <v>33</v>
      </c>
      <c r="C3954" t="s">
        <v>52</v>
      </c>
      <c r="D3954">
        <v>58</v>
      </c>
      <c r="E3954" t="s">
        <v>40</v>
      </c>
      <c r="F3954" t="s">
        <v>10</v>
      </c>
    </row>
    <row r="3955" spans="1:6" hidden="1" x14ac:dyDescent="0.35">
      <c r="A3955" t="s">
        <v>61</v>
      </c>
      <c r="B3955" t="s">
        <v>33</v>
      </c>
      <c r="C3955" t="s">
        <v>52</v>
      </c>
      <c r="D3955">
        <v>53</v>
      </c>
      <c r="E3955" t="s">
        <v>40</v>
      </c>
      <c r="F3955" t="s">
        <v>10</v>
      </c>
    </row>
    <row r="3956" spans="1:6" hidden="1" x14ac:dyDescent="0.35">
      <c r="A3956" t="s">
        <v>62</v>
      </c>
      <c r="B3956" t="s">
        <v>33</v>
      </c>
      <c r="C3956" t="s">
        <v>52</v>
      </c>
      <c r="D3956">
        <v>63</v>
      </c>
      <c r="E3956" t="s">
        <v>40</v>
      </c>
      <c r="F3956" t="s">
        <v>10</v>
      </c>
    </row>
    <row r="3957" spans="1:6" hidden="1" x14ac:dyDescent="0.35">
      <c r="A3957" t="s">
        <v>63</v>
      </c>
      <c r="B3957" t="s">
        <v>33</v>
      </c>
      <c r="C3957" t="s">
        <v>52</v>
      </c>
      <c r="D3957">
        <v>43</v>
      </c>
      <c r="E3957" t="s">
        <v>40</v>
      </c>
      <c r="F3957" t="s">
        <v>10</v>
      </c>
    </row>
    <row r="3958" spans="1:6" hidden="1" x14ac:dyDescent="0.35">
      <c r="A3958" t="s">
        <v>64</v>
      </c>
      <c r="B3958" t="s">
        <v>33</v>
      </c>
      <c r="C3958" t="s">
        <v>52</v>
      </c>
      <c r="D3958">
        <v>36</v>
      </c>
      <c r="E3958" t="s">
        <v>40</v>
      </c>
      <c r="F3958" t="s">
        <v>10</v>
      </c>
    </row>
    <row r="3959" spans="1:6" hidden="1" x14ac:dyDescent="0.35">
      <c r="A3959" t="s">
        <v>65</v>
      </c>
      <c r="B3959" t="s">
        <v>33</v>
      </c>
      <c r="C3959" t="s">
        <v>52</v>
      </c>
      <c r="D3959">
        <v>51</v>
      </c>
      <c r="E3959" t="s">
        <v>40</v>
      </c>
      <c r="F3959" t="s">
        <v>10</v>
      </c>
    </row>
    <row r="3960" spans="1:6" hidden="1" x14ac:dyDescent="0.35">
      <c r="A3960" t="s">
        <v>66</v>
      </c>
      <c r="B3960" t="s">
        <v>33</v>
      </c>
      <c r="C3960" t="s">
        <v>52</v>
      </c>
      <c r="D3960">
        <v>37</v>
      </c>
      <c r="E3960" t="s">
        <v>40</v>
      </c>
      <c r="F3960" t="s">
        <v>10</v>
      </c>
    </row>
    <row r="3961" spans="1:6" hidden="1" x14ac:dyDescent="0.35">
      <c r="A3961" t="s">
        <v>67</v>
      </c>
      <c r="B3961" t="s">
        <v>33</v>
      </c>
      <c r="C3961" t="s">
        <v>52</v>
      </c>
      <c r="D3961">
        <v>61</v>
      </c>
      <c r="E3961" t="s">
        <v>40</v>
      </c>
      <c r="F3961" t="s">
        <v>10</v>
      </c>
    </row>
    <row r="3962" spans="1:6" hidden="1" x14ac:dyDescent="0.35">
      <c r="A3962" t="s">
        <v>57</v>
      </c>
      <c r="B3962" t="s">
        <v>53</v>
      </c>
      <c r="C3962" t="s">
        <v>44</v>
      </c>
      <c r="D3962">
        <v>0</v>
      </c>
      <c r="E3962" t="s">
        <v>40</v>
      </c>
      <c r="F3962" t="s">
        <v>10</v>
      </c>
    </row>
    <row r="3963" spans="1:6" hidden="1" x14ac:dyDescent="0.35">
      <c r="A3963" t="s">
        <v>11</v>
      </c>
      <c r="B3963" t="s">
        <v>53</v>
      </c>
      <c r="C3963" t="s">
        <v>44</v>
      </c>
      <c r="D3963">
        <v>54429.752836314372</v>
      </c>
      <c r="E3963" t="s">
        <v>40</v>
      </c>
      <c r="F3963" t="s">
        <v>10</v>
      </c>
    </row>
    <row r="3964" spans="1:6" hidden="1" x14ac:dyDescent="0.35">
      <c r="A3964" t="s">
        <v>58</v>
      </c>
      <c r="B3964" t="s">
        <v>53</v>
      </c>
      <c r="C3964" t="s">
        <v>44</v>
      </c>
      <c r="D3964">
        <v>625279.99596260162</v>
      </c>
      <c r="E3964" t="s">
        <v>40</v>
      </c>
      <c r="F3964" t="s">
        <v>10</v>
      </c>
    </row>
    <row r="3965" spans="1:6" hidden="1" x14ac:dyDescent="0.35">
      <c r="A3965" t="s">
        <v>59</v>
      </c>
      <c r="B3965" t="s">
        <v>53</v>
      </c>
      <c r="C3965" t="s">
        <v>44</v>
      </c>
      <c r="D3965">
        <v>0</v>
      </c>
      <c r="E3965" t="s">
        <v>40</v>
      </c>
      <c r="F3965" t="s">
        <v>10</v>
      </c>
    </row>
    <row r="3966" spans="1:6" hidden="1" x14ac:dyDescent="0.35">
      <c r="A3966" t="s">
        <v>60</v>
      </c>
      <c r="B3966" t="s">
        <v>53</v>
      </c>
      <c r="C3966" t="s">
        <v>44</v>
      </c>
      <c r="D3966">
        <v>518023.63158211391</v>
      </c>
      <c r="E3966" t="s">
        <v>40</v>
      </c>
      <c r="F3966" t="s">
        <v>10</v>
      </c>
    </row>
    <row r="3967" spans="1:6" hidden="1" x14ac:dyDescent="0.35">
      <c r="A3967" t="s">
        <v>61</v>
      </c>
      <c r="B3967" t="s">
        <v>53</v>
      </c>
      <c r="C3967" t="s">
        <v>44</v>
      </c>
      <c r="D3967">
        <v>13647.82918861789</v>
      </c>
      <c r="E3967" t="s">
        <v>40</v>
      </c>
      <c r="F3967" t="s">
        <v>10</v>
      </c>
    </row>
    <row r="3968" spans="1:6" hidden="1" x14ac:dyDescent="0.35">
      <c r="A3968" t="s">
        <v>62</v>
      </c>
      <c r="B3968" t="s">
        <v>53</v>
      </c>
      <c r="C3968" t="s">
        <v>44</v>
      </c>
      <c r="D3968">
        <v>176784.0156791328</v>
      </c>
      <c r="E3968" t="s">
        <v>40</v>
      </c>
      <c r="F3968" t="s">
        <v>10</v>
      </c>
    </row>
    <row r="3969" spans="1:6" hidden="1" x14ac:dyDescent="0.35">
      <c r="A3969" t="s">
        <v>63</v>
      </c>
      <c r="B3969" t="s">
        <v>53</v>
      </c>
      <c r="C3969" t="s">
        <v>44</v>
      </c>
      <c r="D3969">
        <v>178152.21380162609</v>
      </c>
      <c r="E3969" t="s">
        <v>40</v>
      </c>
      <c r="F3969" t="s">
        <v>10</v>
      </c>
    </row>
    <row r="3970" spans="1:6" hidden="1" x14ac:dyDescent="0.35">
      <c r="A3970" t="s">
        <v>64</v>
      </c>
      <c r="B3970" t="s">
        <v>53</v>
      </c>
      <c r="C3970" t="s">
        <v>44</v>
      </c>
      <c r="E3970" t="s">
        <v>40</v>
      </c>
      <c r="F3970" t="s">
        <v>10</v>
      </c>
    </row>
    <row r="3971" spans="1:6" hidden="1" x14ac:dyDescent="0.35">
      <c r="A3971" t="s">
        <v>65</v>
      </c>
      <c r="B3971" t="s">
        <v>53</v>
      </c>
      <c r="C3971" t="s">
        <v>44</v>
      </c>
      <c r="D3971">
        <v>147834.86043306231</v>
      </c>
      <c r="E3971" t="s">
        <v>40</v>
      </c>
      <c r="F3971" t="s">
        <v>10</v>
      </c>
    </row>
    <row r="3972" spans="1:6" hidden="1" x14ac:dyDescent="0.35">
      <c r="A3972" t="s">
        <v>66</v>
      </c>
      <c r="B3972" t="s">
        <v>53</v>
      </c>
      <c r="C3972" t="s">
        <v>44</v>
      </c>
      <c r="D3972">
        <v>62901.132799999999</v>
      </c>
      <c r="E3972" t="s">
        <v>40</v>
      </c>
      <c r="F3972" t="s">
        <v>10</v>
      </c>
    </row>
    <row r="3973" spans="1:6" hidden="1" x14ac:dyDescent="0.35">
      <c r="A3973" t="s">
        <v>67</v>
      </c>
      <c r="B3973" t="s">
        <v>53</v>
      </c>
      <c r="C3973" t="s">
        <v>44</v>
      </c>
      <c r="D3973">
        <v>38631.473339837401</v>
      </c>
      <c r="E3973" t="s">
        <v>40</v>
      </c>
      <c r="F3973" t="s">
        <v>10</v>
      </c>
    </row>
    <row r="3974" spans="1:6" hidden="1" x14ac:dyDescent="0.35">
      <c r="A3974" t="s">
        <v>57</v>
      </c>
      <c r="B3974" t="s">
        <v>53</v>
      </c>
      <c r="C3974" t="s">
        <v>22</v>
      </c>
      <c r="D3974">
        <v>0</v>
      </c>
      <c r="E3974" t="s">
        <v>40</v>
      </c>
      <c r="F3974" t="s">
        <v>10</v>
      </c>
    </row>
    <row r="3975" spans="1:6" hidden="1" x14ac:dyDescent="0.35">
      <c r="A3975" t="s">
        <v>11</v>
      </c>
      <c r="B3975" t="s">
        <v>53</v>
      </c>
      <c r="C3975" t="s">
        <v>22</v>
      </c>
      <c r="D3975">
        <v>0</v>
      </c>
      <c r="E3975" t="s">
        <v>40</v>
      </c>
      <c r="F3975" t="s">
        <v>10</v>
      </c>
    </row>
    <row r="3976" spans="1:6" hidden="1" x14ac:dyDescent="0.35">
      <c r="A3976" t="s">
        <v>58</v>
      </c>
      <c r="B3976" t="s">
        <v>53</v>
      </c>
      <c r="C3976" t="s">
        <v>22</v>
      </c>
      <c r="D3976">
        <v>0</v>
      </c>
      <c r="E3976" t="s">
        <v>40</v>
      </c>
      <c r="F3976" t="s">
        <v>10</v>
      </c>
    </row>
    <row r="3977" spans="1:6" hidden="1" x14ac:dyDescent="0.35">
      <c r="A3977" t="s">
        <v>59</v>
      </c>
      <c r="B3977" t="s">
        <v>53</v>
      </c>
      <c r="C3977" t="s">
        <v>22</v>
      </c>
      <c r="D3977">
        <v>0</v>
      </c>
      <c r="E3977" t="s">
        <v>40</v>
      </c>
      <c r="F3977" t="s">
        <v>10</v>
      </c>
    </row>
    <row r="3978" spans="1:6" hidden="1" x14ac:dyDescent="0.35">
      <c r="A3978" t="s">
        <v>60</v>
      </c>
      <c r="B3978" t="s">
        <v>53</v>
      </c>
      <c r="C3978" t="s">
        <v>22</v>
      </c>
      <c r="D3978">
        <v>0</v>
      </c>
      <c r="E3978" t="s">
        <v>40</v>
      </c>
      <c r="F3978" t="s">
        <v>10</v>
      </c>
    </row>
    <row r="3979" spans="1:6" hidden="1" x14ac:dyDescent="0.35">
      <c r="A3979" t="s">
        <v>61</v>
      </c>
      <c r="B3979" t="s">
        <v>53</v>
      </c>
      <c r="C3979" t="s">
        <v>22</v>
      </c>
      <c r="D3979">
        <v>0</v>
      </c>
      <c r="E3979" t="s">
        <v>40</v>
      </c>
      <c r="F3979" t="s">
        <v>10</v>
      </c>
    </row>
    <row r="3980" spans="1:6" hidden="1" x14ac:dyDescent="0.35">
      <c r="A3980" t="s">
        <v>62</v>
      </c>
      <c r="B3980" t="s">
        <v>53</v>
      </c>
      <c r="C3980" t="s">
        <v>22</v>
      </c>
      <c r="D3980">
        <v>0</v>
      </c>
      <c r="E3980" t="s">
        <v>40</v>
      </c>
      <c r="F3980" t="s">
        <v>10</v>
      </c>
    </row>
    <row r="3981" spans="1:6" hidden="1" x14ac:dyDescent="0.35">
      <c r="A3981" t="s">
        <v>63</v>
      </c>
      <c r="B3981" t="s">
        <v>53</v>
      </c>
      <c r="C3981" t="s">
        <v>22</v>
      </c>
      <c r="D3981">
        <v>0</v>
      </c>
      <c r="E3981" t="s">
        <v>40</v>
      </c>
      <c r="F3981" t="s">
        <v>10</v>
      </c>
    </row>
    <row r="3982" spans="1:6" hidden="1" x14ac:dyDescent="0.35">
      <c r="A3982" t="s">
        <v>64</v>
      </c>
      <c r="B3982" t="s">
        <v>53</v>
      </c>
      <c r="C3982" t="s">
        <v>22</v>
      </c>
      <c r="D3982">
        <v>0</v>
      </c>
      <c r="E3982" t="s">
        <v>40</v>
      </c>
      <c r="F3982" t="s">
        <v>10</v>
      </c>
    </row>
    <row r="3983" spans="1:6" hidden="1" x14ac:dyDescent="0.35">
      <c r="A3983" t="s">
        <v>65</v>
      </c>
      <c r="B3983" t="s">
        <v>53</v>
      </c>
      <c r="C3983" t="s">
        <v>22</v>
      </c>
      <c r="D3983">
        <v>0</v>
      </c>
      <c r="E3983" t="s">
        <v>40</v>
      </c>
      <c r="F3983" t="s">
        <v>10</v>
      </c>
    </row>
    <row r="3984" spans="1:6" hidden="1" x14ac:dyDescent="0.35">
      <c r="A3984" t="s">
        <v>66</v>
      </c>
      <c r="B3984" t="s">
        <v>53</v>
      </c>
      <c r="C3984" t="s">
        <v>22</v>
      </c>
      <c r="D3984">
        <v>0</v>
      </c>
      <c r="E3984" t="s">
        <v>40</v>
      </c>
      <c r="F3984" t="s">
        <v>10</v>
      </c>
    </row>
    <row r="3985" spans="1:6" hidden="1" x14ac:dyDescent="0.35">
      <c r="A3985" t="s">
        <v>67</v>
      </c>
      <c r="B3985" t="s">
        <v>53</v>
      </c>
      <c r="C3985" t="s">
        <v>22</v>
      </c>
      <c r="D3985">
        <v>0</v>
      </c>
      <c r="E3985" t="s">
        <v>40</v>
      </c>
      <c r="F3985" t="s">
        <v>10</v>
      </c>
    </row>
    <row r="3986" spans="1:6" hidden="1" x14ac:dyDescent="0.35">
      <c r="A3986" t="s">
        <v>57</v>
      </c>
      <c r="B3986" t="s">
        <v>53</v>
      </c>
      <c r="C3986" t="s">
        <v>46</v>
      </c>
      <c r="D3986">
        <v>8688.4940000000006</v>
      </c>
      <c r="E3986" t="s">
        <v>40</v>
      </c>
      <c r="F3986" t="s">
        <v>10</v>
      </c>
    </row>
    <row r="3987" spans="1:6" hidden="1" x14ac:dyDescent="0.35">
      <c r="A3987" t="s">
        <v>11</v>
      </c>
      <c r="B3987" t="s">
        <v>53</v>
      </c>
      <c r="C3987" t="s">
        <v>46</v>
      </c>
      <c r="D3987">
        <v>518576.73712737142</v>
      </c>
      <c r="E3987" t="s">
        <v>40</v>
      </c>
      <c r="F3987" t="s">
        <v>10</v>
      </c>
    </row>
    <row r="3988" spans="1:6" hidden="1" x14ac:dyDescent="0.35">
      <c r="A3988" t="s">
        <v>58</v>
      </c>
      <c r="B3988" t="s">
        <v>53</v>
      </c>
      <c r="C3988" t="s">
        <v>46</v>
      </c>
      <c r="D3988">
        <v>311930.04447479668</v>
      </c>
      <c r="E3988" t="s">
        <v>40</v>
      </c>
      <c r="F3988" t="s">
        <v>10</v>
      </c>
    </row>
    <row r="3989" spans="1:6" hidden="1" x14ac:dyDescent="0.35">
      <c r="A3989" t="s">
        <v>59</v>
      </c>
      <c r="B3989" t="s">
        <v>53</v>
      </c>
      <c r="C3989" t="s">
        <v>46</v>
      </c>
      <c r="D3989">
        <v>235467.9896</v>
      </c>
      <c r="E3989" t="s">
        <v>40</v>
      </c>
      <c r="F3989" t="s">
        <v>10</v>
      </c>
    </row>
    <row r="3990" spans="1:6" hidden="1" x14ac:dyDescent="0.35">
      <c r="A3990" t="s">
        <v>60</v>
      </c>
      <c r="B3990" t="s">
        <v>53</v>
      </c>
      <c r="C3990" t="s">
        <v>46</v>
      </c>
      <c r="D3990">
        <v>71619.577235772362</v>
      </c>
      <c r="E3990" t="s">
        <v>40</v>
      </c>
      <c r="F3990" t="s">
        <v>10</v>
      </c>
    </row>
    <row r="3991" spans="1:6" hidden="1" x14ac:dyDescent="0.35">
      <c r="A3991" t="s">
        <v>61</v>
      </c>
      <c r="B3991" t="s">
        <v>53</v>
      </c>
      <c r="C3991" t="s">
        <v>46</v>
      </c>
      <c r="D3991">
        <v>6265.2764227642256</v>
      </c>
      <c r="E3991" t="s">
        <v>40</v>
      </c>
      <c r="F3991" t="s">
        <v>10</v>
      </c>
    </row>
    <row r="3992" spans="1:6" hidden="1" x14ac:dyDescent="0.35">
      <c r="A3992" t="s">
        <v>62</v>
      </c>
      <c r="B3992" t="s">
        <v>53</v>
      </c>
      <c r="C3992" t="s">
        <v>46</v>
      </c>
      <c r="D3992">
        <v>130743.22024173439</v>
      </c>
      <c r="E3992" t="s">
        <v>40</v>
      </c>
      <c r="F3992" t="s">
        <v>10</v>
      </c>
    </row>
    <row r="3993" spans="1:6" hidden="1" x14ac:dyDescent="0.35">
      <c r="A3993" t="s">
        <v>63</v>
      </c>
      <c r="B3993" t="s">
        <v>53</v>
      </c>
      <c r="C3993" t="s">
        <v>46</v>
      </c>
      <c r="D3993">
        <v>721631.78839674778</v>
      </c>
      <c r="E3993" t="s">
        <v>40</v>
      </c>
      <c r="F3993" t="s">
        <v>10</v>
      </c>
    </row>
    <row r="3994" spans="1:6" hidden="1" x14ac:dyDescent="0.35">
      <c r="A3994" t="s">
        <v>64</v>
      </c>
      <c r="B3994" t="s">
        <v>53</v>
      </c>
      <c r="C3994" t="s">
        <v>46</v>
      </c>
      <c r="E3994" t="s">
        <v>40</v>
      </c>
      <c r="F3994" t="s">
        <v>10</v>
      </c>
    </row>
    <row r="3995" spans="1:6" hidden="1" x14ac:dyDescent="0.35">
      <c r="A3995" t="s">
        <v>65</v>
      </c>
      <c r="B3995" t="s">
        <v>53</v>
      </c>
      <c r="C3995" t="s">
        <v>46</v>
      </c>
      <c r="D3995">
        <v>59857.38753387535</v>
      </c>
      <c r="E3995" t="s">
        <v>40</v>
      </c>
      <c r="F3995" t="s">
        <v>10</v>
      </c>
    </row>
    <row r="3996" spans="1:6" hidden="1" x14ac:dyDescent="0.35">
      <c r="A3996" t="s">
        <v>66</v>
      </c>
      <c r="B3996" t="s">
        <v>53</v>
      </c>
      <c r="C3996" t="s">
        <v>46</v>
      </c>
      <c r="D3996">
        <v>138801.818</v>
      </c>
      <c r="E3996" t="s">
        <v>40</v>
      </c>
      <c r="F3996" t="s">
        <v>10</v>
      </c>
    </row>
    <row r="3997" spans="1:6" hidden="1" x14ac:dyDescent="0.35">
      <c r="A3997" t="s">
        <v>67</v>
      </c>
      <c r="B3997" t="s">
        <v>53</v>
      </c>
      <c r="C3997" t="s">
        <v>46</v>
      </c>
      <c r="D3997">
        <v>440591.64412032522</v>
      </c>
      <c r="E3997" t="s">
        <v>40</v>
      </c>
      <c r="F3997" t="s">
        <v>10</v>
      </c>
    </row>
    <row r="3998" spans="1:6" hidden="1" x14ac:dyDescent="0.35">
      <c r="A3998" t="s">
        <v>57</v>
      </c>
      <c r="B3998" t="s">
        <v>53</v>
      </c>
      <c r="C3998" t="s">
        <v>24</v>
      </c>
      <c r="D3998">
        <v>0</v>
      </c>
      <c r="E3998" t="s">
        <v>40</v>
      </c>
      <c r="F3998" t="s">
        <v>10</v>
      </c>
    </row>
    <row r="3999" spans="1:6" hidden="1" x14ac:dyDescent="0.35">
      <c r="A3999" t="s">
        <v>11</v>
      </c>
      <c r="B3999" t="s">
        <v>53</v>
      </c>
      <c r="C3999" t="s">
        <v>24</v>
      </c>
      <c r="D3999">
        <v>0</v>
      </c>
      <c r="E3999" t="s">
        <v>40</v>
      </c>
      <c r="F3999" t="s">
        <v>10</v>
      </c>
    </row>
    <row r="4000" spans="1:6" hidden="1" x14ac:dyDescent="0.35">
      <c r="A4000" t="s">
        <v>58</v>
      </c>
      <c r="B4000" t="s">
        <v>53</v>
      </c>
      <c r="C4000" t="s">
        <v>24</v>
      </c>
      <c r="D4000">
        <v>0</v>
      </c>
      <c r="E4000" t="s">
        <v>40</v>
      </c>
      <c r="F4000" t="s">
        <v>10</v>
      </c>
    </row>
    <row r="4001" spans="1:6" hidden="1" x14ac:dyDescent="0.35">
      <c r="A4001" t="s">
        <v>59</v>
      </c>
      <c r="B4001" t="s">
        <v>53</v>
      </c>
      <c r="C4001" t="s">
        <v>24</v>
      </c>
      <c r="D4001">
        <v>0</v>
      </c>
      <c r="E4001" t="s">
        <v>40</v>
      </c>
      <c r="F4001" t="s">
        <v>10</v>
      </c>
    </row>
    <row r="4002" spans="1:6" hidden="1" x14ac:dyDescent="0.35">
      <c r="A4002" t="s">
        <v>60</v>
      </c>
      <c r="B4002" t="s">
        <v>53</v>
      </c>
      <c r="C4002" t="s">
        <v>24</v>
      </c>
      <c r="D4002">
        <v>0</v>
      </c>
      <c r="E4002" t="s">
        <v>40</v>
      </c>
      <c r="F4002" t="s">
        <v>10</v>
      </c>
    </row>
    <row r="4003" spans="1:6" hidden="1" x14ac:dyDescent="0.35">
      <c r="A4003" t="s">
        <v>61</v>
      </c>
      <c r="B4003" t="s">
        <v>53</v>
      </c>
      <c r="C4003" t="s">
        <v>24</v>
      </c>
      <c r="D4003">
        <v>0</v>
      </c>
      <c r="E4003" t="s">
        <v>40</v>
      </c>
      <c r="F4003" t="s">
        <v>10</v>
      </c>
    </row>
    <row r="4004" spans="1:6" hidden="1" x14ac:dyDescent="0.35">
      <c r="A4004" t="s">
        <v>62</v>
      </c>
      <c r="B4004" t="s">
        <v>53</v>
      </c>
      <c r="C4004" t="s">
        <v>24</v>
      </c>
      <c r="D4004">
        <v>0</v>
      </c>
      <c r="E4004" t="s">
        <v>40</v>
      </c>
      <c r="F4004" t="s">
        <v>10</v>
      </c>
    </row>
    <row r="4005" spans="1:6" hidden="1" x14ac:dyDescent="0.35">
      <c r="A4005" t="s">
        <v>63</v>
      </c>
      <c r="B4005" t="s">
        <v>53</v>
      </c>
      <c r="C4005" t="s">
        <v>24</v>
      </c>
      <c r="D4005">
        <v>0</v>
      </c>
      <c r="E4005" t="s">
        <v>40</v>
      </c>
      <c r="F4005" t="s">
        <v>10</v>
      </c>
    </row>
    <row r="4006" spans="1:6" hidden="1" x14ac:dyDescent="0.35">
      <c r="A4006" t="s">
        <v>64</v>
      </c>
      <c r="B4006" t="s">
        <v>53</v>
      </c>
      <c r="C4006" t="s">
        <v>24</v>
      </c>
      <c r="D4006">
        <v>0</v>
      </c>
      <c r="E4006" t="s">
        <v>40</v>
      </c>
      <c r="F4006" t="s">
        <v>10</v>
      </c>
    </row>
    <row r="4007" spans="1:6" hidden="1" x14ac:dyDescent="0.35">
      <c r="A4007" t="s">
        <v>65</v>
      </c>
      <c r="B4007" t="s">
        <v>53</v>
      </c>
      <c r="C4007" t="s">
        <v>24</v>
      </c>
      <c r="D4007">
        <v>0</v>
      </c>
      <c r="E4007" t="s">
        <v>40</v>
      </c>
      <c r="F4007" t="s">
        <v>10</v>
      </c>
    </row>
    <row r="4008" spans="1:6" hidden="1" x14ac:dyDescent="0.35">
      <c r="A4008" t="s">
        <v>66</v>
      </c>
      <c r="B4008" t="s">
        <v>53</v>
      </c>
      <c r="C4008" t="s">
        <v>24</v>
      </c>
      <c r="D4008">
        <v>0</v>
      </c>
      <c r="E4008" t="s">
        <v>40</v>
      </c>
      <c r="F4008" t="s">
        <v>10</v>
      </c>
    </row>
    <row r="4009" spans="1:6" hidden="1" x14ac:dyDescent="0.35">
      <c r="A4009" t="s">
        <v>67</v>
      </c>
      <c r="B4009" t="s">
        <v>53</v>
      </c>
      <c r="C4009" t="s">
        <v>24</v>
      </c>
      <c r="D4009">
        <v>0</v>
      </c>
      <c r="E4009" t="s">
        <v>40</v>
      </c>
      <c r="F4009" t="s">
        <v>10</v>
      </c>
    </row>
    <row r="4010" spans="1:6" hidden="1" x14ac:dyDescent="0.35">
      <c r="A4010" t="s">
        <v>57</v>
      </c>
      <c r="B4010" t="s">
        <v>53</v>
      </c>
      <c r="C4010" t="s">
        <v>47</v>
      </c>
      <c r="E4010" t="s">
        <v>40</v>
      </c>
      <c r="F4010" t="s">
        <v>10</v>
      </c>
    </row>
    <row r="4011" spans="1:6" hidden="1" x14ac:dyDescent="0.35">
      <c r="A4011" t="s">
        <v>11</v>
      </c>
      <c r="B4011" t="s">
        <v>53</v>
      </c>
      <c r="C4011" t="s">
        <v>47</v>
      </c>
      <c r="D4011">
        <v>1296497.1200000001</v>
      </c>
      <c r="E4011" t="s">
        <v>40</v>
      </c>
      <c r="F4011" t="s">
        <v>10</v>
      </c>
    </row>
    <row r="4012" spans="1:6" hidden="1" x14ac:dyDescent="0.35">
      <c r="A4012" t="s">
        <v>58</v>
      </c>
      <c r="B4012" t="s">
        <v>53</v>
      </c>
      <c r="C4012" t="s">
        <v>47</v>
      </c>
      <c r="E4012" t="s">
        <v>40</v>
      </c>
      <c r="F4012" t="s">
        <v>10</v>
      </c>
    </row>
    <row r="4013" spans="1:6" hidden="1" x14ac:dyDescent="0.35">
      <c r="A4013" t="s">
        <v>59</v>
      </c>
      <c r="B4013" t="s">
        <v>53</v>
      </c>
      <c r="C4013" t="s">
        <v>47</v>
      </c>
      <c r="E4013" t="s">
        <v>40</v>
      </c>
      <c r="F4013" t="s">
        <v>10</v>
      </c>
    </row>
    <row r="4014" spans="1:6" hidden="1" x14ac:dyDescent="0.35">
      <c r="A4014" t="s">
        <v>60</v>
      </c>
      <c r="B4014" t="s">
        <v>53</v>
      </c>
      <c r="C4014" t="s">
        <v>47</v>
      </c>
      <c r="E4014" t="s">
        <v>40</v>
      </c>
      <c r="F4014" t="s">
        <v>10</v>
      </c>
    </row>
    <row r="4015" spans="1:6" hidden="1" x14ac:dyDescent="0.35">
      <c r="A4015" t="s">
        <v>61</v>
      </c>
      <c r="B4015" t="s">
        <v>53</v>
      </c>
      <c r="C4015" t="s">
        <v>47</v>
      </c>
      <c r="E4015" t="s">
        <v>40</v>
      </c>
      <c r="F4015" t="s">
        <v>10</v>
      </c>
    </row>
    <row r="4016" spans="1:6" hidden="1" x14ac:dyDescent="0.35">
      <c r="A4016" t="s">
        <v>62</v>
      </c>
      <c r="B4016" t="s">
        <v>53</v>
      </c>
      <c r="C4016" t="s">
        <v>47</v>
      </c>
      <c r="E4016" t="s">
        <v>40</v>
      </c>
      <c r="F4016" t="s">
        <v>10</v>
      </c>
    </row>
    <row r="4017" spans="1:6" hidden="1" x14ac:dyDescent="0.35">
      <c r="A4017" t="s">
        <v>63</v>
      </c>
      <c r="B4017" t="s">
        <v>53</v>
      </c>
      <c r="C4017" t="s">
        <v>47</v>
      </c>
      <c r="E4017" t="s">
        <v>40</v>
      </c>
      <c r="F4017" t="s">
        <v>10</v>
      </c>
    </row>
    <row r="4018" spans="1:6" hidden="1" x14ac:dyDescent="0.35">
      <c r="A4018" t="s">
        <v>64</v>
      </c>
      <c r="B4018" t="s">
        <v>53</v>
      </c>
      <c r="C4018" t="s">
        <v>47</v>
      </c>
      <c r="E4018" t="s">
        <v>40</v>
      </c>
      <c r="F4018" t="s">
        <v>10</v>
      </c>
    </row>
    <row r="4019" spans="1:6" hidden="1" x14ac:dyDescent="0.35">
      <c r="A4019" t="s">
        <v>65</v>
      </c>
      <c r="B4019" t="s">
        <v>53</v>
      </c>
      <c r="C4019" t="s">
        <v>47</v>
      </c>
      <c r="E4019" t="s">
        <v>40</v>
      </c>
      <c r="F4019" t="s">
        <v>10</v>
      </c>
    </row>
    <row r="4020" spans="1:6" hidden="1" x14ac:dyDescent="0.35">
      <c r="A4020" t="s">
        <v>66</v>
      </c>
      <c r="B4020" t="s">
        <v>53</v>
      </c>
      <c r="C4020" t="s">
        <v>47</v>
      </c>
      <c r="E4020" t="s">
        <v>40</v>
      </c>
      <c r="F4020" t="s">
        <v>10</v>
      </c>
    </row>
    <row r="4021" spans="1:6" hidden="1" x14ac:dyDescent="0.35">
      <c r="A4021" t="s">
        <v>67</v>
      </c>
      <c r="B4021" t="s">
        <v>53</v>
      </c>
      <c r="C4021" t="s">
        <v>47</v>
      </c>
      <c r="E4021" t="s">
        <v>40</v>
      </c>
      <c r="F4021" t="s">
        <v>10</v>
      </c>
    </row>
    <row r="4022" spans="1:6" hidden="1" x14ac:dyDescent="0.35">
      <c r="A4022" t="s">
        <v>57</v>
      </c>
      <c r="B4022" t="s">
        <v>53</v>
      </c>
      <c r="C4022" t="s">
        <v>48</v>
      </c>
      <c r="D4022">
        <v>0</v>
      </c>
      <c r="E4022" t="s">
        <v>40</v>
      </c>
      <c r="F4022" t="s">
        <v>10</v>
      </c>
    </row>
    <row r="4023" spans="1:6" hidden="1" x14ac:dyDescent="0.35">
      <c r="A4023" t="s">
        <v>11</v>
      </c>
      <c r="B4023" t="s">
        <v>53</v>
      </c>
      <c r="C4023" t="s">
        <v>48</v>
      </c>
      <c r="D4023">
        <v>0</v>
      </c>
      <c r="E4023" t="s">
        <v>40</v>
      </c>
      <c r="F4023" t="s">
        <v>10</v>
      </c>
    </row>
    <row r="4024" spans="1:6" hidden="1" x14ac:dyDescent="0.35">
      <c r="A4024" t="s">
        <v>58</v>
      </c>
      <c r="B4024" t="s">
        <v>53</v>
      </c>
      <c r="C4024" t="s">
        <v>48</v>
      </c>
      <c r="D4024">
        <v>0</v>
      </c>
      <c r="E4024" t="s">
        <v>40</v>
      </c>
      <c r="F4024" t="s">
        <v>10</v>
      </c>
    </row>
    <row r="4025" spans="1:6" hidden="1" x14ac:dyDescent="0.35">
      <c r="A4025" t="s">
        <v>59</v>
      </c>
      <c r="B4025" t="s">
        <v>53</v>
      </c>
      <c r="C4025" t="s">
        <v>48</v>
      </c>
      <c r="D4025">
        <v>0</v>
      </c>
      <c r="E4025" t="s">
        <v>40</v>
      </c>
      <c r="F4025" t="s">
        <v>10</v>
      </c>
    </row>
    <row r="4026" spans="1:6" hidden="1" x14ac:dyDescent="0.35">
      <c r="A4026" t="s">
        <v>60</v>
      </c>
      <c r="B4026" t="s">
        <v>53</v>
      </c>
      <c r="C4026" t="s">
        <v>48</v>
      </c>
      <c r="D4026">
        <v>0</v>
      </c>
      <c r="E4026" t="s">
        <v>40</v>
      </c>
      <c r="F4026" t="s">
        <v>10</v>
      </c>
    </row>
    <row r="4027" spans="1:6" hidden="1" x14ac:dyDescent="0.35">
      <c r="A4027" t="s">
        <v>61</v>
      </c>
      <c r="B4027" t="s">
        <v>53</v>
      </c>
      <c r="C4027" t="s">
        <v>48</v>
      </c>
      <c r="D4027">
        <v>0</v>
      </c>
      <c r="E4027" t="s">
        <v>40</v>
      </c>
      <c r="F4027" t="s">
        <v>10</v>
      </c>
    </row>
    <row r="4028" spans="1:6" hidden="1" x14ac:dyDescent="0.35">
      <c r="A4028" t="s">
        <v>62</v>
      </c>
      <c r="B4028" t="s">
        <v>53</v>
      </c>
      <c r="C4028" t="s">
        <v>48</v>
      </c>
      <c r="D4028">
        <v>0</v>
      </c>
      <c r="E4028" t="s">
        <v>40</v>
      </c>
      <c r="F4028" t="s">
        <v>10</v>
      </c>
    </row>
    <row r="4029" spans="1:6" hidden="1" x14ac:dyDescent="0.35">
      <c r="A4029" t="s">
        <v>63</v>
      </c>
      <c r="B4029" t="s">
        <v>53</v>
      </c>
      <c r="C4029" t="s">
        <v>48</v>
      </c>
      <c r="D4029">
        <v>0</v>
      </c>
      <c r="E4029" t="s">
        <v>40</v>
      </c>
      <c r="F4029" t="s">
        <v>10</v>
      </c>
    </row>
    <row r="4030" spans="1:6" hidden="1" x14ac:dyDescent="0.35">
      <c r="A4030" t="s">
        <v>64</v>
      </c>
      <c r="B4030" t="s">
        <v>53</v>
      </c>
      <c r="C4030" t="s">
        <v>48</v>
      </c>
      <c r="D4030">
        <v>0</v>
      </c>
      <c r="E4030" t="s">
        <v>40</v>
      </c>
      <c r="F4030" t="s">
        <v>10</v>
      </c>
    </row>
    <row r="4031" spans="1:6" hidden="1" x14ac:dyDescent="0.35">
      <c r="A4031" t="s">
        <v>65</v>
      </c>
      <c r="B4031" t="s">
        <v>53</v>
      </c>
      <c r="C4031" t="s">
        <v>48</v>
      </c>
      <c r="D4031">
        <v>0</v>
      </c>
      <c r="E4031" t="s">
        <v>40</v>
      </c>
      <c r="F4031" t="s">
        <v>10</v>
      </c>
    </row>
    <row r="4032" spans="1:6" hidden="1" x14ac:dyDescent="0.35">
      <c r="A4032" t="s">
        <v>66</v>
      </c>
      <c r="B4032" t="s">
        <v>53</v>
      </c>
      <c r="C4032" t="s">
        <v>48</v>
      </c>
      <c r="D4032">
        <v>0</v>
      </c>
      <c r="E4032" t="s">
        <v>40</v>
      </c>
      <c r="F4032" t="s">
        <v>10</v>
      </c>
    </row>
    <row r="4033" spans="1:6" hidden="1" x14ac:dyDescent="0.35">
      <c r="A4033" t="s">
        <v>67</v>
      </c>
      <c r="B4033" t="s">
        <v>53</v>
      </c>
      <c r="C4033" t="s">
        <v>48</v>
      </c>
      <c r="D4033">
        <v>0</v>
      </c>
      <c r="E4033" t="s">
        <v>40</v>
      </c>
      <c r="F4033" t="s">
        <v>10</v>
      </c>
    </row>
    <row r="4034" spans="1:6" hidden="1" x14ac:dyDescent="0.35">
      <c r="A4034" t="s">
        <v>57</v>
      </c>
      <c r="B4034" t="s">
        <v>53</v>
      </c>
      <c r="C4034" t="s">
        <v>49</v>
      </c>
      <c r="D4034">
        <v>1378.9623999999999</v>
      </c>
      <c r="E4034" t="s">
        <v>40</v>
      </c>
      <c r="F4034" t="s">
        <v>10</v>
      </c>
    </row>
    <row r="4035" spans="1:6" hidden="1" x14ac:dyDescent="0.35">
      <c r="A4035" t="s">
        <v>11</v>
      </c>
      <c r="B4035" t="s">
        <v>53</v>
      </c>
      <c r="C4035" t="s">
        <v>49</v>
      </c>
      <c r="D4035">
        <v>34191.081999999988</v>
      </c>
      <c r="E4035" t="s">
        <v>40</v>
      </c>
      <c r="F4035" t="s">
        <v>10</v>
      </c>
    </row>
    <row r="4036" spans="1:6" hidden="1" x14ac:dyDescent="0.35">
      <c r="A4036" t="s">
        <v>58</v>
      </c>
      <c r="B4036" t="s">
        <v>53</v>
      </c>
      <c r="C4036" t="s">
        <v>49</v>
      </c>
      <c r="D4036">
        <v>126471.0128</v>
      </c>
      <c r="E4036" t="s">
        <v>40</v>
      </c>
      <c r="F4036" t="s">
        <v>10</v>
      </c>
    </row>
    <row r="4037" spans="1:6" hidden="1" x14ac:dyDescent="0.35">
      <c r="A4037" t="s">
        <v>59</v>
      </c>
      <c r="B4037" t="s">
        <v>53</v>
      </c>
      <c r="C4037" t="s">
        <v>49</v>
      </c>
      <c r="D4037">
        <v>3598.0911999999998</v>
      </c>
      <c r="E4037" t="s">
        <v>40</v>
      </c>
      <c r="F4037" t="s">
        <v>10</v>
      </c>
    </row>
    <row r="4038" spans="1:6" hidden="1" x14ac:dyDescent="0.35">
      <c r="A4038" t="s">
        <v>60</v>
      </c>
      <c r="B4038" t="s">
        <v>53</v>
      </c>
      <c r="C4038" t="s">
        <v>49</v>
      </c>
      <c r="D4038">
        <v>89921.76999999999</v>
      </c>
      <c r="E4038" t="s">
        <v>40</v>
      </c>
      <c r="F4038" t="s">
        <v>10</v>
      </c>
    </row>
    <row r="4039" spans="1:6" hidden="1" x14ac:dyDescent="0.35">
      <c r="A4039" t="s">
        <v>61</v>
      </c>
      <c r="B4039" t="s">
        <v>53</v>
      </c>
      <c r="C4039" t="s">
        <v>49</v>
      </c>
      <c r="D4039">
        <v>1793.8076000000001</v>
      </c>
      <c r="E4039" t="s">
        <v>40</v>
      </c>
      <c r="F4039" t="s">
        <v>10</v>
      </c>
    </row>
    <row r="4040" spans="1:6" hidden="1" x14ac:dyDescent="0.35">
      <c r="A4040" t="s">
        <v>62</v>
      </c>
      <c r="B4040" t="s">
        <v>53</v>
      </c>
      <c r="C4040" t="s">
        <v>49</v>
      </c>
      <c r="D4040">
        <v>59063.598400000003</v>
      </c>
      <c r="E4040" t="s">
        <v>40</v>
      </c>
      <c r="F4040" t="s">
        <v>10</v>
      </c>
    </row>
    <row r="4041" spans="1:6" hidden="1" x14ac:dyDescent="0.35">
      <c r="A4041" t="s">
        <v>63</v>
      </c>
      <c r="B4041" t="s">
        <v>53</v>
      </c>
      <c r="C4041" t="s">
        <v>49</v>
      </c>
      <c r="D4041">
        <v>54601.0628</v>
      </c>
      <c r="E4041" t="s">
        <v>40</v>
      </c>
      <c r="F4041" t="s">
        <v>10</v>
      </c>
    </row>
    <row r="4042" spans="1:6" hidden="1" x14ac:dyDescent="0.35">
      <c r="A4042" t="s">
        <v>64</v>
      </c>
      <c r="B4042" t="s">
        <v>53</v>
      </c>
      <c r="C4042" t="s">
        <v>49</v>
      </c>
      <c r="E4042" t="s">
        <v>40</v>
      </c>
      <c r="F4042" t="s">
        <v>10</v>
      </c>
    </row>
    <row r="4043" spans="1:6" hidden="1" x14ac:dyDescent="0.35">
      <c r="A4043" t="s">
        <v>65</v>
      </c>
      <c r="B4043" t="s">
        <v>53</v>
      </c>
      <c r="C4043" t="s">
        <v>49</v>
      </c>
      <c r="D4043">
        <v>14888.294</v>
      </c>
      <c r="E4043" t="s">
        <v>40</v>
      </c>
      <c r="F4043" t="s">
        <v>10</v>
      </c>
    </row>
    <row r="4044" spans="1:6" hidden="1" x14ac:dyDescent="0.35">
      <c r="A4044" t="s">
        <v>66</v>
      </c>
      <c r="B4044" t="s">
        <v>53</v>
      </c>
      <c r="C4044" t="s">
        <v>49</v>
      </c>
      <c r="D4044">
        <v>21491.588400000001</v>
      </c>
      <c r="E4044" t="s">
        <v>40</v>
      </c>
      <c r="F4044" t="s">
        <v>10</v>
      </c>
    </row>
    <row r="4045" spans="1:6" hidden="1" x14ac:dyDescent="0.35">
      <c r="A4045" t="s">
        <v>67</v>
      </c>
      <c r="B4045" t="s">
        <v>53</v>
      </c>
      <c r="C4045" t="s">
        <v>49</v>
      </c>
      <c r="D4045">
        <v>27656.4676</v>
      </c>
      <c r="E4045" t="s">
        <v>40</v>
      </c>
      <c r="F4045" t="s">
        <v>10</v>
      </c>
    </row>
    <row r="4046" spans="1:6" hidden="1" x14ac:dyDescent="0.35">
      <c r="A4046" t="s">
        <v>57</v>
      </c>
      <c r="B4046" t="s">
        <v>53</v>
      </c>
      <c r="C4046" t="s">
        <v>50</v>
      </c>
      <c r="D4046">
        <v>8688.4940000000006</v>
      </c>
      <c r="E4046" t="s">
        <v>40</v>
      </c>
      <c r="F4046" t="s">
        <v>10</v>
      </c>
    </row>
    <row r="4047" spans="1:6" hidden="1" x14ac:dyDescent="0.35">
      <c r="A4047" t="s">
        <v>11</v>
      </c>
      <c r="B4047" t="s">
        <v>53</v>
      </c>
      <c r="C4047" t="s">
        <v>50</v>
      </c>
      <c r="D4047">
        <v>627436.24280000001</v>
      </c>
      <c r="E4047" t="s">
        <v>40</v>
      </c>
      <c r="F4047" t="s">
        <v>10</v>
      </c>
    </row>
    <row r="4048" spans="1:6" hidden="1" x14ac:dyDescent="0.35">
      <c r="A4048" t="s">
        <v>58</v>
      </c>
      <c r="B4048" t="s">
        <v>53</v>
      </c>
      <c r="C4048" t="s">
        <v>50</v>
      </c>
      <c r="D4048">
        <v>1562490.0364000001</v>
      </c>
      <c r="E4048" t="s">
        <v>40</v>
      </c>
      <c r="F4048" t="s">
        <v>10</v>
      </c>
    </row>
    <row r="4049" spans="1:6" hidden="1" x14ac:dyDescent="0.35">
      <c r="A4049" t="s">
        <v>59</v>
      </c>
      <c r="B4049" t="s">
        <v>53</v>
      </c>
      <c r="C4049" t="s">
        <v>50</v>
      </c>
      <c r="D4049">
        <v>235467.9896</v>
      </c>
      <c r="E4049" t="s">
        <v>40</v>
      </c>
      <c r="F4049" t="s">
        <v>10</v>
      </c>
    </row>
    <row r="4050" spans="1:6" hidden="1" x14ac:dyDescent="0.35">
      <c r="A4050" t="s">
        <v>60</v>
      </c>
      <c r="B4050" t="s">
        <v>53</v>
      </c>
      <c r="C4050" t="s">
        <v>50</v>
      </c>
      <c r="D4050">
        <v>1107666.8404000001</v>
      </c>
      <c r="E4050" t="s">
        <v>40</v>
      </c>
      <c r="F4050" t="s">
        <v>10</v>
      </c>
    </row>
    <row r="4051" spans="1:6" hidden="1" x14ac:dyDescent="0.35">
      <c r="A4051" t="s">
        <v>61</v>
      </c>
      <c r="B4051" t="s">
        <v>53</v>
      </c>
      <c r="C4051" t="s">
        <v>50</v>
      </c>
      <c r="D4051">
        <v>33560.934800000003</v>
      </c>
      <c r="E4051" t="s">
        <v>40</v>
      </c>
      <c r="F4051" t="s">
        <v>10</v>
      </c>
    </row>
    <row r="4052" spans="1:6" hidden="1" x14ac:dyDescent="0.35">
      <c r="A4052" t="s">
        <v>62</v>
      </c>
      <c r="B4052" t="s">
        <v>53</v>
      </c>
      <c r="C4052" t="s">
        <v>50</v>
      </c>
      <c r="D4052">
        <v>484311.25160000002</v>
      </c>
      <c r="E4052" t="s">
        <v>40</v>
      </c>
      <c r="F4052" t="s">
        <v>10</v>
      </c>
    </row>
    <row r="4053" spans="1:6" hidden="1" x14ac:dyDescent="0.35">
      <c r="A4053" t="s">
        <v>63</v>
      </c>
      <c r="B4053" t="s">
        <v>53</v>
      </c>
      <c r="C4053" t="s">
        <v>50</v>
      </c>
      <c r="D4053">
        <v>1077936.216</v>
      </c>
      <c r="E4053" t="s">
        <v>40</v>
      </c>
      <c r="F4053" t="s">
        <v>10</v>
      </c>
    </row>
    <row r="4054" spans="1:6" hidden="1" x14ac:dyDescent="0.35">
      <c r="A4054" t="s">
        <v>64</v>
      </c>
      <c r="B4054" t="s">
        <v>53</v>
      </c>
      <c r="C4054" t="s">
        <v>50</v>
      </c>
      <c r="E4054" t="s">
        <v>40</v>
      </c>
      <c r="F4054" t="s">
        <v>10</v>
      </c>
    </row>
    <row r="4055" spans="1:6" hidden="1" x14ac:dyDescent="0.35">
      <c r="A4055" t="s">
        <v>65</v>
      </c>
      <c r="B4055" t="s">
        <v>53</v>
      </c>
      <c r="C4055" t="s">
        <v>50</v>
      </c>
      <c r="D4055">
        <v>355527.10840000003</v>
      </c>
      <c r="E4055" t="s">
        <v>40</v>
      </c>
      <c r="F4055" t="s">
        <v>10</v>
      </c>
    </row>
    <row r="4056" spans="1:6" hidden="1" x14ac:dyDescent="0.35">
      <c r="A4056" t="s">
        <v>66</v>
      </c>
      <c r="B4056" t="s">
        <v>53</v>
      </c>
      <c r="C4056" t="s">
        <v>50</v>
      </c>
      <c r="D4056">
        <v>264604.08360000001</v>
      </c>
      <c r="E4056" t="s">
        <v>40</v>
      </c>
      <c r="F4056" t="s">
        <v>10</v>
      </c>
    </row>
    <row r="4057" spans="1:6" hidden="1" x14ac:dyDescent="0.35">
      <c r="A4057" t="s">
        <v>67</v>
      </c>
      <c r="B4057" t="s">
        <v>53</v>
      </c>
      <c r="C4057" t="s">
        <v>50</v>
      </c>
      <c r="D4057">
        <v>517854.59080000001</v>
      </c>
      <c r="E4057" t="s">
        <v>40</v>
      </c>
      <c r="F4057" t="s">
        <v>10</v>
      </c>
    </row>
    <row r="4058" spans="1:6" hidden="1" x14ac:dyDescent="0.35">
      <c r="A4058" t="s">
        <v>57</v>
      </c>
      <c r="B4058" t="s">
        <v>53</v>
      </c>
      <c r="C4058" t="s">
        <v>51</v>
      </c>
      <c r="D4058">
        <v>11</v>
      </c>
      <c r="E4058" t="s">
        <v>40</v>
      </c>
      <c r="F4058" t="s">
        <v>10</v>
      </c>
    </row>
    <row r="4059" spans="1:6" hidden="1" x14ac:dyDescent="0.35">
      <c r="A4059" t="s">
        <v>11</v>
      </c>
      <c r="B4059" t="s">
        <v>53</v>
      </c>
      <c r="C4059" t="s">
        <v>51</v>
      </c>
      <c r="D4059">
        <v>22</v>
      </c>
      <c r="E4059" t="s">
        <v>40</v>
      </c>
      <c r="F4059" t="s">
        <v>10</v>
      </c>
    </row>
    <row r="4060" spans="1:6" hidden="1" x14ac:dyDescent="0.35">
      <c r="A4060" t="s">
        <v>58</v>
      </c>
      <c r="B4060" t="s">
        <v>53</v>
      </c>
      <c r="C4060" t="s">
        <v>51</v>
      </c>
      <c r="D4060">
        <v>23</v>
      </c>
      <c r="E4060" t="s">
        <v>40</v>
      </c>
      <c r="F4060" t="s">
        <v>10</v>
      </c>
    </row>
    <row r="4061" spans="1:6" hidden="1" x14ac:dyDescent="0.35">
      <c r="A4061" t="s">
        <v>59</v>
      </c>
      <c r="B4061" t="s">
        <v>53</v>
      </c>
      <c r="C4061" t="s">
        <v>51</v>
      </c>
      <c r="D4061">
        <v>19</v>
      </c>
      <c r="E4061" t="s">
        <v>40</v>
      </c>
      <c r="F4061" t="s">
        <v>10</v>
      </c>
    </row>
    <row r="4062" spans="1:6" hidden="1" x14ac:dyDescent="0.35">
      <c r="A4062" t="s">
        <v>60</v>
      </c>
      <c r="B4062" t="s">
        <v>53</v>
      </c>
      <c r="C4062" t="s">
        <v>51</v>
      </c>
      <c r="D4062">
        <v>11</v>
      </c>
      <c r="E4062" t="s">
        <v>40</v>
      </c>
      <c r="F4062" t="s">
        <v>10</v>
      </c>
    </row>
    <row r="4063" spans="1:6" hidden="1" x14ac:dyDescent="0.35">
      <c r="A4063" t="s">
        <v>61</v>
      </c>
      <c r="B4063" t="s">
        <v>53</v>
      </c>
      <c r="C4063" t="s">
        <v>51</v>
      </c>
      <c r="D4063">
        <v>13</v>
      </c>
      <c r="E4063" t="s">
        <v>40</v>
      </c>
      <c r="F4063" t="s">
        <v>10</v>
      </c>
    </row>
    <row r="4064" spans="1:6" hidden="1" x14ac:dyDescent="0.35">
      <c r="A4064" t="s">
        <v>62</v>
      </c>
      <c r="B4064" t="s">
        <v>53</v>
      </c>
      <c r="C4064" t="s">
        <v>51</v>
      </c>
      <c r="D4064">
        <v>9</v>
      </c>
      <c r="E4064" t="s">
        <v>40</v>
      </c>
      <c r="F4064" t="s">
        <v>10</v>
      </c>
    </row>
    <row r="4065" spans="1:6" hidden="1" x14ac:dyDescent="0.35">
      <c r="A4065" t="s">
        <v>63</v>
      </c>
      <c r="B4065" t="s">
        <v>53</v>
      </c>
      <c r="C4065" t="s">
        <v>51</v>
      </c>
      <c r="D4065">
        <v>15</v>
      </c>
      <c r="E4065" t="s">
        <v>40</v>
      </c>
      <c r="F4065" t="s">
        <v>10</v>
      </c>
    </row>
    <row r="4066" spans="1:6" hidden="1" x14ac:dyDescent="0.35">
      <c r="A4066" t="s">
        <v>64</v>
      </c>
      <c r="B4066" t="s">
        <v>53</v>
      </c>
      <c r="C4066" t="s">
        <v>51</v>
      </c>
      <c r="D4066">
        <v>14</v>
      </c>
      <c r="E4066" t="s">
        <v>40</v>
      </c>
      <c r="F4066" t="s">
        <v>10</v>
      </c>
    </row>
    <row r="4067" spans="1:6" hidden="1" x14ac:dyDescent="0.35">
      <c r="A4067" t="s">
        <v>65</v>
      </c>
      <c r="B4067" t="s">
        <v>53</v>
      </c>
      <c r="C4067" t="s">
        <v>51</v>
      </c>
      <c r="D4067">
        <v>22</v>
      </c>
      <c r="E4067" t="s">
        <v>40</v>
      </c>
      <c r="F4067" t="s">
        <v>10</v>
      </c>
    </row>
    <row r="4068" spans="1:6" hidden="1" x14ac:dyDescent="0.35">
      <c r="A4068" t="s">
        <v>66</v>
      </c>
      <c r="B4068" t="s">
        <v>53</v>
      </c>
      <c r="C4068" t="s">
        <v>51</v>
      </c>
      <c r="D4068">
        <v>16</v>
      </c>
      <c r="E4068" t="s">
        <v>40</v>
      </c>
      <c r="F4068" t="s">
        <v>10</v>
      </c>
    </row>
    <row r="4069" spans="1:6" hidden="1" x14ac:dyDescent="0.35">
      <c r="A4069" t="s">
        <v>67</v>
      </c>
      <c r="B4069" t="s">
        <v>53</v>
      </c>
      <c r="C4069" t="s">
        <v>51</v>
      </c>
      <c r="D4069">
        <v>9</v>
      </c>
      <c r="E4069" t="s">
        <v>40</v>
      </c>
      <c r="F4069" t="s">
        <v>10</v>
      </c>
    </row>
    <row r="4070" spans="1:6" hidden="1" x14ac:dyDescent="0.35">
      <c r="A4070" t="s">
        <v>57</v>
      </c>
      <c r="B4070" t="s">
        <v>53</v>
      </c>
      <c r="C4070" t="s">
        <v>30</v>
      </c>
      <c r="D4070">
        <v>1</v>
      </c>
      <c r="E4070" t="s">
        <v>40</v>
      </c>
      <c r="F4070" t="s">
        <v>10</v>
      </c>
    </row>
    <row r="4071" spans="1:6" hidden="1" x14ac:dyDescent="0.35">
      <c r="A4071" t="s">
        <v>11</v>
      </c>
      <c r="B4071" t="s">
        <v>53</v>
      </c>
      <c r="C4071" t="s">
        <v>30</v>
      </c>
      <c r="D4071">
        <v>4</v>
      </c>
      <c r="E4071" t="s">
        <v>40</v>
      </c>
      <c r="F4071" t="s">
        <v>10</v>
      </c>
    </row>
    <row r="4072" spans="1:6" hidden="1" x14ac:dyDescent="0.35">
      <c r="A4072" t="s">
        <v>58</v>
      </c>
      <c r="B4072" t="s">
        <v>53</v>
      </c>
      <c r="C4072" t="s">
        <v>30</v>
      </c>
      <c r="D4072">
        <v>1</v>
      </c>
      <c r="E4072" t="s">
        <v>40</v>
      </c>
      <c r="F4072" t="s">
        <v>10</v>
      </c>
    </row>
    <row r="4073" spans="1:6" hidden="1" x14ac:dyDescent="0.35">
      <c r="A4073" t="s">
        <v>59</v>
      </c>
      <c r="B4073" t="s">
        <v>53</v>
      </c>
      <c r="C4073" t="s">
        <v>30</v>
      </c>
      <c r="D4073">
        <v>2</v>
      </c>
      <c r="E4073" t="s">
        <v>40</v>
      </c>
      <c r="F4073" t="s">
        <v>10</v>
      </c>
    </row>
    <row r="4074" spans="1:6" hidden="1" x14ac:dyDescent="0.35">
      <c r="A4074" t="s">
        <v>60</v>
      </c>
      <c r="B4074" t="s">
        <v>53</v>
      </c>
      <c r="C4074" t="s">
        <v>30</v>
      </c>
      <c r="D4074">
        <v>3</v>
      </c>
      <c r="E4074" t="s">
        <v>40</v>
      </c>
      <c r="F4074" t="s">
        <v>10</v>
      </c>
    </row>
    <row r="4075" spans="1:6" hidden="1" x14ac:dyDescent="0.35">
      <c r="A4075" t="s">
        <v>61</v>
      </c>
      <c r="B4075" t="s">
        <v>53</v>
      </c>
      <c r="C4075" t="s">
        <v>30</v>
      </c>
      <c r="D4075">
        <v>4</v>
      </c>
      <c r="E4075" t="s">
        <v>40</v>
      </c>
      <c r="F4075" t="s">
        <v>10</v>
      </c>
    </row>
    <row r="4076" spans="1:6" hidden="1" x14ac:dyDescent="0.35">
      <c r="A4076" t="s">
        <v>62</v>
      </c>
      <c r="B4076" t="s">
        <v>53</v>
      </c>
      <c r="C4076" t="s">
        <v>30</v>
      </c>
      <c r="D4076">
        <v>5</v>
      </c>
      <c r="E4076" t="s">
        <v>40</v>
      </c>
      <c r="F4076" t="s">
        <v>10</v>
      </c>
    </row>
    <row r="4077" spans="1:6" hidden="1" x14ac:dyDescent="0.35">
      <c r="A4077" t="s">
        <v>63</v>
      </c>
      <c r="B4077" t="s">
        <v>53</v>
      </c>
      <c r="C4077" t="s">
        <v>30</v>
      </c>
      <c r="D4077">
        <v>4</v>
      </c>
      <c r="E4077" t="s">
        <v>40</v>
      </c>
      <c r="F4077" t="s">
        <v>10</v>
      </c>
    </row>
    <row r="4078" spans="1:6" hidden="1" x14ac:dyDescent="0.35">
      <c r="A4078" t="s">
        <v>64</v>
      </c>
      <c r="B4078" t="s">
        <v>53</v>
      </c>
      <c r="C4078" t="s">
        <v>30</v>
      </c>
      <c r="D4078">
        <v>1</v>
      </c>
      <c r="E4078" t="s">
        <v>40</v>
      </c>
      <c r="F4078" t="s">
        <v>10</v>
      </c>
    </row>
    <row r="4079" spans="1:6" hidden="1" x14ac:dyDescent="0.35">
      <c r="A4079" t="s">
        <v>65</v>
      </c>
      <c r="B4079" t="s">
        <v>53</v>
      </c>
      <c r="C4079" t="s">
        <v>30</v>
      </c>
      <c r="D4079">
        <v>1</v>
      </c>
      <c r="E4079" t="s">
        <v>40</v>
      </c>
      <c r="F4079" t="s">
        <v>10</v>
      </c>
    </row>
    <row r="4080" spans="1:6" hidden="1" x14ac:dyDescent="0.35">
      <c r="A4080" t="s">
        <v>66</v>
      </c>
      <c r="B4080" t="s">
        <v>53</v>
      </c>
      <c r="C4080" t="s">
        <v>30</v>
      </c>
      <c r="D4080">
        <v>3</v>
      </c>
      <c r="E4080" t="s">
        <v>40</v>
      </c>
      <c r="F4080" t="s">
        <v>10</v>
      </c>
    </row>
    <row r="4081" spans="1:6" hidden="1" x14ac:dyDescent="0.35">
      <c r="A4081" t="s">
        <v>67</v>
      </c>
      <c r="B4081" t="s">
        <v>53</v>
      </c>
      <c r="C4081" t="s">
        <v>30</v>
      </c>
      <c r="D4081">
        <v>5</v>
      </c>
      <c r="E4081" t="s">
        <v>40</v>
      </c>
      <c r="F4081" t="s">
        <v>10</v>
      </c>
    </row>
    <row r="4082" spans="1:6" hidden="1" x14ac:dyDescent="0.35">
      <c r="A4082" t="s">
        <v>57</v>
      </c>
      <c r="B4082" t="s">
        <v>53</v>
      </c>
      <c r="C4082" t="s">
        <v>52</v>
      </c>
      <c r="D4082">
        <v>2</v>
      </c>
      <c r="E4082" t="s">
        <v>40</v>
      </c>
      <c r="F4082" t="s">
        <v>10</v>
      </c>
    </row>
    <row r="4083" spans="1:6" hidden="1" x14ac:dyDescent="0.35">
      <c r="A4083" t="s">
        <v>11</v>
      </c>
      <c r="B4083" t="s">
        <v>53</v>
      </c>
      <c r="C4083" t="s">
        <v>52</v>
      </c>
      <c r="D4083">
        <v>9</v>
      </c>
      <c r="E4083" t="s">
        <v>40</v>
      </c>
      <c r="F4083" t="s">
        <v>10</v>
      </c>
    </row>
    <row r="4084" spans="1:6" hidden="1" x14ac:dyDescent="0.35">
      <c r="A4084" t="s">
        <v>58</v>
      </c>
      <c r="B4084" t="s">
        <v>53</v>
      </c>
      <c r="C4084" t="s">
        <v>52</v>
      </c>
      <c r="D4084">
        <v>12</v>
      </c>
      <c r="E4084" t="s">
        <v>40</v>
      </c>
      <c r="F4084" t="s">
        <v>10</v>
      </c>
    </row>
    <row r="4085" spans="1:6" hidden="1" x14ac:dyDescent="0.35">
      <c r="A4085" t="s">
        <v>59</v>
      </c>
      <c r="B4085" t="s">
        <v>53</v>
      </c>
      <c r="C4085" t="s">
        <v>52</v>
      </c>
      <c r="D4085">
        <v>7</v>
      </c>
      <c r="E4085" t="s">
        <v>40</v>
      </c>
      <c r="F4085" t="s">
        <v>10</v>
      </c>
    </row>
    <row r="4086" spans="1:6" hidden="1" x14ac:dyDescent="0.35">
      <c r="A4086" t="s">
        <v>60</v>
      </c>
      <c r="B4086" t="s">
        <v>53</v>
      </c>
      <c r="C4086" t="s">
        <v>52</v>
      </c>
      <c r="D4086">
        <v>4</v>
      </c>
      <c r="E4086" t="s">
        <v>40</v>
      </c>
      <c r="F4086" t="s">
        <v>10</v>
      </c>
    </row>
    <row r="4087" spans="1:6" hidden="1" x14ac:dyDescent="0.35">
      <c r="A4087" t="s">
        <v>61</v>
      </c>
      <c r="B4087" t="s">
        <v>53</v>
      </c>
      <c r="C4087" t="s">
        <v>52</v>
      </c>
      <c r="D4087">
        <v>6</v>
      </c>
      <c r="E4087" t="s">
        <v>40</v>
      </c>
      <c r="F4087" t="s">
        <v>10</v>
      </c>
    </row>
    <row r="4088" spans="1:6" hidden="1" x14ac:dyDescent="0.35">
      <c r="A4088" t="s">
        <v>62</v>
      </c>
      <c r="B4088" t="s">
        <v>53</v>
      </c>
      <c r="C4088" t="s">
        <v>52</v>
      </c>
      <c r="D4088">
        <v>3</v>
      </c>
      <c r="E4088" t="s">
        <v>40</v>
      </c>
      <c r="F4088" t="s">
        <v>10</v>
      </c>
    </row>
    <row r="4089" spans="1:6" hidden="1" x14ac:dyDescent="0.35">
      <c r="A4089" t="s">
        <v>63</v>
      </c>
      <c r="B4089" t="s">
        <v>53</v>
      </c>
      <c r="C4089" t="s">
        <v>52</v>
      </c>
      <c r="D4089">
        <v>5</v>
      </c>
      <c r="E4089" t="s">
        <v>40</v>
      </c>
      <c r="F4089" t="s">
        <v>10</v>
      </c>
    </row>
    <row r="4090" spans="1:6" hidden="1" x14ac:dyDescent="0.35">
      <c r="A4090" t="s">
        <v>64</v>
      </c>
      <c r="B4090" t="s">
        <v>53</v>
      </c>
      <c r="C4090" t="s">
        <v>52</v>
      </c>
      <c r="D4090">
        <v>3</v>
      </c>
      <c r="E4090" t="s">
        <v>40</v>
      </c>
      <c r="F4090" t="s">
        <v>10</v>
      </c>
    </row>
    <row r="4091" spans="1:6" hidden="1" x14ac:dyDescent="0.35">
      <c r="A4091" t="s">
        <v>65</v>
      </c>
      <c r="B4091" t="s">
        <v>53</v>
      </c>
      <c r="C4091" t="s">
        <v>52</v>
      </c>
      <c r="D4091">
        <v>2</v>
      </c>
      <c r="E4091" t="s">
        <v>40</v>
      </c>
      <c r="F4091" t="s">
        <v>10</v>
      </c>
    </row>
    <row r="4092" spans="1:6" hidden="1" x14ac:dyDescent="0.35">
      <c r="A4092" t="s">
        <v>66</v>
      </c>
      <c r="B4092" t="s">
        <v>53</v>
      </c>
      <c r="C4092" t="s">
        <v>52</v>
      </c>
      <c r="D4092">
        <v>6</v>
      </c>
      <c r="E4092" t="s">
        <v>40</v>
      </c>
      <c r="F4092" t="s">
        <v>10</v>
      </c>
    </row>
    <row r="4093" spans="1:6" hidden="1" x14ac:dyDescent="0.35">
      <c r="A4093" t="s">
        <v>67</v>
      </c>
      <c r="B4093" t="s">
        <v>53</v>
      </c>
      <c r="C4093" t="s">
        <v>52</v>
      </c>
      <c r="D4093">
        <v>3</v>
      </c>
      <c r="E4093" t="s">
        <v>40</v>
      </c>
      <c r="F4093" t="s">
        <v>10</v>
      </c>
    </row>
    <row r="4094" spans="1:6" hidden="1" x14ac:dyDescent="0.35">
      <c r="A4094" t="s">
        <v>57</v>
      </c>
      <c r="B4094" t="s">
        <v>68</v>
      </c>
      <c r="C4094" t="s">
        <v>44</v>
      </c>
      <c r="D4094">
        <v>46416.549898644982</v>
      </c>
      <c r="E4094" t="s">
        <v>40</v>
      </c>
      <c r="F4094" t="s">
        <v>10</v>
      </c>
    </row>
    <row r="4095" spans="1:6" hidden="1" x14ac:dyDescent="0.35">
      <c r="A4095" t="s">
        <v>11</v>
      </c>
      <c r="B4095" t="s">
        <v>68</v>
      </c>
      <c r="C4095" t="s">
        <v>44</v>
      </c>
      <c r="D4095">
        <v>48888.140497560991</v>
      </c>
      <c r="E4095" t="s">
        <v>40</v>
      </c>
      <c r="F4095" t="s">
        <v>10</v>
      </c>
    </row>
    <row r="4096" spans="1:6" hidden="1" x14ac:dyDescent="0.35">
      <c r="A4096" t="s">
        <v>58</v>
      </c>
      <c r="B4096" t="s">
        <v>68</v>
      </c>
      <c r="C4096" t="s">
        <v>44</v>
      </c>
      <c r="D4096">
        <v>87339.28109105691</v>
      </c>
      <c r="E4096" t="s">
        <v>40</v>
      </c>
      <c r="F4096" t="s">
        <v>10</v>
      </c>
    </row>
    <row r="4097" spans="1:6" hidden="1" x14ac:dyDescent="0.35">
      <c r="A4097" t="s">
        <v>59</v>
      </c>
      <c r="B4097" t="s">
        <v>68</v>
      </c>
      <c r="C4097" t="s">
        <v>44</v>
      </c>
      <c r="D4097">
        <v>263165.14725799463</v>
      </c>
      <c r="E4097" t="s">
        <v>40</v>
      </c>
      <c r="F4097" t="s">
        <v>10</v>
      </c>
    </row>
    <row r="4098" spans="1:6" hidden="1" x14ac:dyDescent="0.35">
      <c r="A4098" t="s">
        <v>60</v>
      </c>
      <c r="B4098" t="s">
        <v>68</v>
      </c>
      <c r="C4098" t="s">
        <v>44</v>
      </c>
      <c r="D4098">
        <v>985858.93041402451</v>
      </c>
      <c r="E4098" t="s">
        <v>40</v>
      </c>
      <c r="F4098" t="s">
        <v>10</v>
      </c>
    </row>
    <row r="4099" spans="1:6" hidden="1" x14ac:dyDescent="0.35">
      <c r="A4099" t="s">
        <v>61</v>
      </c>
      <c r="B4099" t="s">
        <v>68</v>
      </c>
      <c r="C4099" t="s">
        <v>44</v>
      </c>
      <c r="D4099">
        <v>7446.3932913311783</v>
      </c>
      <c r="E4099" t="s">
        <v>40</v>
      </c>
      <c r="F4099" t="s">
        <v>10</v>
      </c>
    </row>
    <row r="4100" spans="1:6" hidden="1" x14ac:dyDescent="0.35">
      <c r="A4100" t="s">
        <v>62</v>
      </c>
      <c r="B4100" t="s">
        <v>68</v>
      </c>
      <c r="C4100" t="s">
        <v>44</v>
      </c>
      <c r="D4100">
        <v>77147.778100812997</v>
      </c>
      <c r="E4100" t="s">
        <v>40</v>
      </c>
      <c r="F4100" t="s">
        <v>10</v>
      </c>
    </row>
    <row r="4101" spans="1:6" hidden="1" x14ac:dyDescent="0.35">
      <c r="A4101" t="s">
        <v>63</v>
      </c>
      <c r="B4101" t="s">
        <v>68</v>
      </c>
      <c r="C4101" t="s">
        <v>44</v>
      </c>
      <c r="D4101">
        <v>80558.435401626004</v>
      </c>
      <c r="E4101" t="s">
        <v>40</v>
      </c>
      <c r="F4101" t="s">
        <v>10</v>
      </c>
    </row>
    <row r="4102" spans="1:6" hidden="1" x14ac:dyDescent="0.35">
      <c r="A4102" t="s">
        <v>64</v>
      </c>
      <c r="B4102" t="s">
        <v>68</v>
      </c>
      <c r="C4102" t="s">
        <v>44</v>
      </c>
      <c r="D4102">
        <v>80164.01383252033</v>
      </c>
      <c r="E4102" t="s">
        <v>40</v>
      </c>
      <c r="F4102" t="s">
        <v>10</v>
      </c>
    </row>
    <row r="4103" spans="1:6" hidden="1" x14ac:dyDescent="0.35">
      <c r="A4103" t="s">
        <v>65</v>
      </c>
      <c r="B4103" t="s">
        <v>68</v>
      </c>
      <c r="C4103" t="s">
        <v>44</v>
      </c>
      <c r="D4103">
        <v>363149.8977676396</v>
      </c>
      <c r="E4103" t="s">
        <v>40</v>
      </c>
      <c r="F4103" t="s">
        <v>10</v>
      </c>
    </row>
    <row r="4104" spans="1:6" hidden="1" x14ac:dyDescent="0.35">
      <c r="A4104" t="s">
        <v>66</v>
      </c>
      <c r="B4104" t="s">
        <v>68</v>
      </c>
      <c r="C4104" t="s">
        <v>44</v>
      </c>
      <c r="D4104">
        <v>77622.28083577237</v>
      </c>
      <c r="E4104" t="s">
        <v>40</v>
      </c>
      <c r="F4104" t="s">
        <v>10</v>
      </c>
    </row>
    <row r="4105" spans="1:6" hidden="1" x14ac:dyDescent="0.35">
      <c r="A4105" t="s">
        <v>67</v>
      </c>
      <c r="B4105" t="s">
        <v>68</v>
      </c>
      <c r="C4105" t="s">
        <v>44</v>
      </c>
      <c r="D4105">
        <v>536913.11185040651</v>
      </c>
      <c r="E4105" t="s">
        <v>40</v>
      </c>
      <c r="F4105" t="s">
        <v>10</v>
      </c>
    </row>
    <row r="4106" spans="1:6" hidden="1" x14ac:dyDescent="0.35">
      <c r="A4106" t="s">
        <v>57</v>
      </c>
      <c r="B4106" t="s">
        <v>68</v>
      </c>
      <c r="C4106" t="s">
        <v>22</v>
      </c>
      <c r="D4106">
        <v>0</v>
      </c>
      <c r="E4106" t="s">
        <v>40</v>
      </c>
      <c r="F4106" t="s">
        <v>10</v>
      </c>
    </row>
    <row r="4107" spans="1:6" hidden="1" x14ac:dyDescent="0.35">
      <c r="A4107" t="s">
        <v>11</v>
      </c>
      <c r="B4107" t="s">
        <v>68</v>
      </c>
      <c r="C4107" t="s">
        <v>22</v>
      </c>
      <c r="D4107">
        <v>0</v>
      </c>
      <c r="E4107" t="s">
        <v>40</v>
      </c>
      <c r="F4107" t="s">
        <v>10</v>
      </c>
    </row>
    <row r="4108" spans="1:6" hidden="1" x14ac:dyDescent="0.35">
      <c r="A4108" t="s">
        <v>58</v>
      </c>
      <c r="B4108" t="s">
        <v>68</v>
      </c>
      <c r="C4108" t="s">
        <v>22</v>
      </c>
      <c r="D4108">
        <v>0</v>
      </c>
      <c r="E4108" t="s">
        <v>40</v>
      </c>
      <c r="F4108" t="s">
        <v>10</v>
      </c>
    </row>
    <row r="4109" spans="1:6" hidden="1" x14ac:dyDescent="0.35">
      <c r="A4109" t="s">
        <v>59</v>
      </c>
      <c r="B4109" t="s">
        <v>68</v>
      </c>
      <c r="C4109" t="s">
        <v>22</v>
      </c>
      <c r="D4109">
        <v>0</v>
      </c>
      <c r="E4109" t="s">
        <v>40</v>
      </c>
      <c r="F4109" t="s">
        <v>10</v>
      </c>
    </row>
    <row r="4110" spans="1:6" hidden="1" x14ac:dyDescent="0.35">
      <c r="A4110" t="s">
        <v>60</v>
      </c>
      <c r="B4110" t="s">
        <v>68</v>
      </c>
      <c r="C4110" t="s">
        <v>22</v>
      </c>
      <c r="D4110">
        <v>0</v>
      </c>
      <c r="E4110" t="s">
        <v>40</v>
      </c>
      <c r="F4110" t="s">
        <v>10</v>
      </c>
    </row>
    <row r="4111" spans="1:6" hidden="1" x14ac:dyDescent="0.35">
      <c r="A4111" t="s">
        <v>61</v>
      </c>
      <c r="B4111" t="s">
        <v>68</v>
      </c>
      <c r="C4111" t="s">
        <v>22</v>
      </c>
      <c r="D4111">
        <v>0</v>
      </c>
      <c r="E4111" t="s">
        <v>40</v>
      </c>
      <c r="F4111" t="s">
        <v>10</v>
      </c>
    </row>
    <row r="4112" spans="1:6" hidden="1" x14ac:dyDescent="0.35">
      <c r="A4112" t="s">
        <v>62</v>
      </c>
      <c r="B4112" t="s">
        <v>68</v>
      </c>
      <c r="C4112" t="s">
        <v>22</v>
      </c>
      <c r="D4112">
        <v>0</v>
      </c>
      <c r="E4112" t="s">
        <v>40</v>
      </c>
      <c r="F4112" t="s">
        <v>10</v>
      </c>
    </row>
    <row r="4113" spans="1:6" hidden="1" x14ac:dyDescent="0.35">
      <c r="A4113" t="s">
        <v>63</v>
      </c>
      <c r="B4113" t="s">
        <v>68</v>
      </c>
      <c r="C4113" t="s">
        <v>22</v>
      </c>
      <c r="D4113">
        <v>0</v>
      </c>
      <c r="E4113" t="s">
        <v>40</v>
      </c>
      <c r="F4113" t="s">
        <v>10</v>
      </c>
    </row>
    <row r="4114" spans="1:6" hidden="1" x14ac:dyDescent="0.35">
      <c r="A4114" t="s">
        <v>64</v>
      </c>
      <c r="B4114" t="s">
        <v>68</v>
      </c>
      <c r="C4114" t="s">
        <v>22</v>
      </c>
      <c r="D4114">
        <v>0</v>
      </c>
      <c r="E4114" t="s">
        <v>40</v>
      </c>
      <c r="F4114" t="s">
        <v>10</v>
      </c>
    </row>
    <row r="4115" spans="1:6" hidden="1" x14ac:dyDescent="0.35">
      <c r="A4115" t="s">
        <v>65</v>
      </c>
      <c r="B4115" t="s">
        <v>68</v>
      </c>
      <c r="C4115" t="s">
        <v>22</v>
      </c>
      <c r="D4115">
        <v>0</v>
      </c>
      <c r="E4115" t="s">
        <v>40</v>
      </c>
      <c r="F4115" t="s">
        <v>10</v>
      </c>
    </row>
    <row r="4116" spans="1:6" hidden="1" x14ac:dyDescent="0.35">
      <c r="A4116" t="s">
        <v>66</v>
      </c>
      <c r="B4116" t="s">
        <v>68</v>
      </c>
      <c r="C4116" t="s">
        <v>22</v>
      </c>
      <c r="D4116">
        <v>0</v>
      </c>
      <c r="E4116" t="s">
        <v>40</v>
      </c>
      <c r="F4116" t="s">
        <v>10</v>
      </c>
    </row>
    <row r="4117" spans="1:6" hidden="1" x14ac:dyDescent="0.35">
      <c r="A4117" t="s">
        <v>67</v>
      </c>
      <c r="B4117" t="s">
        <v>68</v>
      </c>
      <c r="C4117" t="s">
        <v>22</v>
      </c>
      <c r="D4117">
        <v>0</v>
      </c>
      <c r="E4117" t="s">
        <v>40</v>
      </c>
      <c r="F4117" t="s">
        <v>10</v>
      </c>
    </row>
    <row r="4118" spans="1:6" hidden="1" x14ac:dyDescent="0.35">
      <c r="A4118" t="s">
        <v>57</v>
      </c>
      <c r="B4118" t="s">
        <v>68</v>
      </c>
      <c r="C4118" t="s">
        <v>46</v>
      </c>
      <c r="D4118">
        <v>20948.271002710029</v>
      </c>
      <c r="E4118" t="s">
        <v>40</v>
      </c>
      <c r="F4118" t="s">
        <v>10</v>
      </c>
    </row>
    <row r="4119" spans="1:6" hidden="1" x14ac:dyDescent="0.35">
      <c r="A4119" t="s">
        <v>11</v>
      </c>
      <c r="B4119" t="s">
        <v>68</v>
      </c>
      <c r="C4119" t="s">
        <v>46</v>
      </c>
      <c r="D4119">
        <v>736689.51860487799</v>
      </c>
      <c r="E4119" t="s">
        <v>40</v>
      </c>
      <c r="F4119" t="s">
        <v>10</v>
      </c>
    </row>
    <row r="4120" spans="1:6" hidden="1" x14ac:dyDescent="0.35">
      <c r="A4120" t="s">
        <v>58</v>
      </c>
      <c r="B4120" t="s">
        <v>68</v>
      </c>
      <c r="C4120" t="s">
        <v>46</v>
      </c>
      <c r="D4120">
        <v>575162.95381788618</v>
      </c>
      <c r="E4120" t="s">
        <v>40</v>
      </c>
      <c r="F4120" t="s">
        <v>10</v>
      </c>
    </row>
    <row r="4121" spans="1:6" hidden="1" x14ac:dyDescent="0.35">
      <c r="A4121" t="s">
        <v>59</v>
      </c>
      <c r="B4121" t="s">
        <v>68</v>
      </c>
      <c r="C4121" t="s">
        <v>46</v>
      </c>
      <c r="D4121">
        <v>269498.69228401082</v>
      </c>
      <c r="E4121" t="s">
        <v>40</v>
      </c>
      <c r="F4121" t="s">
        <v>10</v>
      </c>
    </row>
    <row r="4122" spans="1:6" hidden="1" x14ac:dyDescent="0.35">
      <c r="A4122" t="s">
        <v>60</v>
      </c>
      <c r="B4122" t="s">
        <v>68</v>
      </c>
      <c r="C4122" t="s">
        <v>46</v>
      </c>
      <c r="D4122">
        <v>520874.98397195118</v>
      </c>
      <c r="E4122" t="s">
        <v>40</v>
      </c>
      <c r="F4122" t="s">
        <v>10</v>
      </c>
    </row>
    <row r="4123" spans="1:6" hidden="1" x14ac:dyDescent="0.35">
      <c r="A4123" t="s">
        <v>61</v>
      </c>
      <c r="B4123" t="s">
        <v>68</v>
      </c>
      <c r="C4123" t="s">
        <v>46</v>
      </c>
      <c r="D4123">
        <v>255880.1482173377</v>
      </c>
      <c r="E4123" t="s">
        <v>40</v>
      </c>
      <c r="F4123" t="s">
        <v>10</v>
      </c>
    </row>
    <row r="4124" spans="1:6" hidden="1" x14ac:dyDescent="0.35">
      <c r="A4124" t="s">
        <v>62</v>
      </c>
      <c r="B4124" t="s">
        <v>68</v>
      </c>
      <c r="C4124" t="s">
        <v>46</v>
      </c>
      <c r="D4124">
        <v>47605.211798373981</v>
      </c>
      <c r="E4124" t="s">
        <v>40</v>
      </c>
      <c r="F4124" t="s">
        <v>10</v>
      </c>
    </row>
    <row r="4125" spans="1:6" hidden="1" x14ac:dyDescent="0.35">
      <c r="A4125" t="s">
        <v>63</v>
      </c>
      <c r="B4125" t="s">
        <v>68</v>
      </c>
      <c r="C4125" t="s">
        <v>46</v>
      </c>
      <c r="D4125">
        <v>332510.01719674788</v>
      </c>
      <c r="E4125" t="s">
        <v>40</v>
      </c>
      <c r="F4125" t="s">
        <v>10</v>
      </c>
    </row>
    <row r="4126" spans="1:6" hidden="1" x14ac:dyDescent="0.35">
      <c r="A4126" t="s">
        <v>64</v>
      </c>
      <c r="B4126" t="s">
        <v>68</v>
      </c>
      <c r="C4126" t="s">
        <v>46</v>
      </c>
      <c r="D4126">
        <v>285590.20753495942</v>
      </c>
      <c r="E4126" t="s">
        <v>40</v>
      </c>
      <c r="F4126" t="s">
        <v>10</v>
      </c>
    </row>
    <row r="4127" spans="1:6" hidden="1" x14ac:dyDescent="0.35">
      <c r="A4127" t="s">
        <v>65</v>
      </c>
      <c r="B4127" t="s">
        <v>68</v>
      </c>
      <c r="C4127" t="s">
        <v>46</v>
      </c>
      <c r="D4127">
        <v>383759.69926472078</v>
      </c>
      <c r="E4127" t="s">
        <v>40</v>
      </c>
      <c r="F4127" t="s">
        <v>10</v>
      </c>
    </row>
    <row r="4128" spans="1:6" hidden="1" x14ac:dyDescent="0.35">
      <c r="A4128" t="s">
        <v>66</v>
      </c>
      <c r="B4128" t="s">
        <v>68</v>
      </c>
      <c r="C4128" t="s">
        <v>46</v>
      </c>
      <c r="D4128">
        <v>43814.845528455277</v>
      </c>
      <c r="E4128" t="s">
        <v>40</v>
      </c>
      <c r="F4128" t="s">
        <v>10</v>
      </c>
    </row>
    <row r="4129" spans="1:6" hidden="1" x14ac:dyDescent="0.35">
      <c r="A4129" t="s">
        <v>67</v>
      </c>
      <c r="B4129" t="s">
        <v>68</v>
      </c>
      <c r="C4129" t="s">
        <v>46</v>
      </c>
      <c r="D4129">
        <v>287119.90429918701</v>
      </c>
      <c r="E4129" t="s">
        <v>40</v>
      </c>
      <c r="F4129" t="s">
        <v>10</v>
      </c>
    </row>
    <row r="4130" spans="1:6" hidden="1" x14ac:dyDescent="0.35">
      <c r="A4130" t="s">
        <v>57</v>
      </c>
      <c r="B4130" t="s">
        <v>68</v>
      </c>
      <c r="C4130" t="s">
        <v>24</v>
      </c>
      <c r="D4130">
        <v>0</v>
      </c>
      <c r="E4130" t="s">
        <v>40</v>
      </c>
      <c r="F4130" t="s">
        <v>10</v>
      </c>
    </row>
    <row r="4131" spans="1:6" hidden="1" x14ac:dyDescent="0.35">
      <c r="A4131" t="s">
        <v>11</v>
      </c>
      <c r="B4131" t="s">
        <v>68</v>
      </c>
      <c r="C4131" t="s">
        <v>24</v>
      </c>
      <c r="D4131">
        <v>0</v>
      </c>
      <c r="E4131" t="s">
        <v>40</v>
      </c>
      <c r="F4131" t="s">
        <v>10</v>
      </c>
    </row>
    <row r="4132" spans="1:6" hidden="1" x14ac:dyDescent="0.35">
      <c r="A4132" t="s">
        <v>58</v>
      </c>
      <c r="B4132" t="s">
        <v>68</v>
      </c>
      <c r="C4132" t="s">
        <v>24</v>
      </c>
      <c r="D4132">
        <v>0</v>
      </c>
      <c r="E4132" t="s">
        <v>40</v>
      </c>
      <c r="F4132" t="s">
        <v>10</v>
      </c>
    </row>
    <row r="4133" spans="1:6" hidden="1" x14ac:dyDescent="0.35">
      <c r="A4133" t="s">
        <v>59</v>
      </c>
      <c r="B4133" t="s">
        <v>68</v>
      </c>
      <c r="C4133" t="s">
        <v>24</v>
      </c>
      <c r="D4133">
        <v>0</v>
      </c>
      <c r="E4133" t="s">
        <v>40</v>
      </c>
      <c r="F4133" t="s">
        <v>10</v>
      </c>
    </row>
    <row r="4134" spans="1:6" hidden="1" x14ac:dyDescent="0.35">
      <c r="A4134" t="s">
        <v>60</v>
      </c>
      <c r="B4134" t="s">
        <v>68</v>
      </c>
      <c r="C4134" t="s">
        <v>24</v>
      </c>
      <c r="D4134">
        <v>0</v>
      </c>
      <c r="E4134" t="s">
        <v>40</v>
      </c>
      <c r="F4134" t="s">
        <v>10</v>
      </c>
    </row>
    <row r="4135" spans="1:6" hidden="1" x14ac:dyDescent="0.35">
      <c r="A4135" t="s">
        <v>61</v>
      </c>
      <c r="B4135" t="s">
        <v>68</v>
      </c>
      <c r="C4135" t="s">
        <v>24</v>
      </c>
      <c r="D4135">
        <v>0</v>
      </c>
      <c r="E4135" t="s">
        <v>40</v>
      </c>
      <c r="F4135" t="s">
        <v>10</v>
      </c>
    </row>
    <row r="4136" spans="1:6" hidden="1" x14ac:dyDescent="0.35">
      <c r="A4136" t="s">
        <v>62</v>
      </c>
      <c r="B4136" t="s">
        <v>68</v>
      </c>
      <c r="C4136" t="s">
        <v>24</v>
      </c>
      <c r="D4136">
        <v>0</v>
      </c>
      <c r="E4136" t="s">
        <v>40</v>
      </c>
      <c r="F4136" t="s">
        <v>10</v>
      </c>
    </row>
    <row r="4137" spans="1:6" hidden="1" x14ac:dyDescent="0.35">
      <c r="A4137" t="s">
        <v>63</v>
      </c>
      <c r="B4137" t="s">
        <v>68</v>
      </c>
      <c r="C4137" t="s">
        <v>24</v>
      </c>
      <c r="D4137">
        <v>0</v>
      </c>
      <c r="E4137" t="s">
        <v>40</v>
      </c>
      <c r="F4137" t="s">
        <v>10</v>
      </c>
    </row>
    <row r="4138" spans="1:6" hidden="1" x14ac:dyDescent="0.35">
      <c r="A4138" t="s">
        <v>64</v>
      </c>
      <c r="B4138" t="s">
        <v>68</v>
      </c>
      <c r="C4138" t="s">
        <v>24</v>
      </c>
      <c r="D4138">
        <v>0</v>
      </c>
      <c r="E4138" t="s">
        <v>40</v>
      </c>
      <c r="F4138" t="s">
        <v>10</v>
      </c>
    </row>
    <row r="4139" spans="1:6" hidden="1" x14ac:dyDescent="0.35">
      <c r="A4139" t="s">
        <v>65</v>
      </c>
      <c r="B4139" t="s">
        <v>68</v>
      </c>
      <c r="C4139" t="s">
        <v>24</v>
      </c>
      <c r="D4139">
        <v>0</v>
      </c>
      <c r="E4139" t="s">
        <v>40</v>
      </c>
      <c r="F4139" t="s">
        <v>10</v>
      </c>
    </row>
    <row r="4140" spans="1:6" hidden="1" x14ac:dyDescent="0.35">
      <c r="A4140" t="s">
        <v>66</v>
      </c>
      <c r="B4140" t="s">
        <v>68</v>
      </c>
      <c r="C4140" t="s">
        <v>24</v>
      </c>
      <c r="D4140">
        <v>0</v>
      </c>
      <c r="E4140" t="s">
        <v>40</v>
      </c>
      <c r="F4140" t="s">
        <v>10</v>
      </c>
    </row>
    <row r="4141" spans="1:6" hidden="1" x14ac:dyDescent="0.35">
      <c r="A4141" t="s">
        <v>67</v>
      </c>
      <c r="B4141" t="s">
        <v>68</v>
      </c>
      <c r="C4141" t="s">
        <v>24</v>
      </c>
      <c r="D4141">
        <v>0</v>
      </c>
      <c r="E4141" t="s">
        <v>40</v>
      </c>
      <c r="F4141" t="s">
        <v>10</v>
      </c>
    </row>
    <row r="4142" spans="1:6" hidden="1" x14ac:dyDescent="0.35">
      <c r="A4142" t="s">
        <v>57</v>
      </c>
      <c r="B4142" t="s">
        <v>68</v>
      </c>
      <c r="C4142" t="s">
        <v>47</v>
      </c>
      <c r="D4142">
        <v>2495.33</v>
      </c>
      <c r="E4142" t="s">
        <v>40</v>
      </c>
      <c r="F4142" t="s">
        <v>10</v>
      </c>
    </row>
    <row r="4143" spans="1:6" hidden="1" x14ac:dyDescent="0.35">
      <c r="A4143" t="s">
        <v>11</v>
      </c>
      <c r="B4143" t="s">
        <v>68</v>
      </c>
      <c r="C4143" t="s">
        <v>47</v>
      </c>
      <c r="D4143">
        <v>2184.25</v>
      </c>
      <c r="E4143" t="s">
        <v>40</v>
      </c>
      <c r="F4143" t="s">
        <v>10</v>
      </c>
    </row>
    <row r="4144" spans="1:6" hidden="1" x14ac:dyDescent="0.35">
      <c r="A4144" t="s">
        <v>58</v>
      </c>
      <c r="B4144" t="s">
        <v>68</v>
      </c>
      <c r="C4144" t="s">
        <v>47</v>
      </c>
      <c r="E4144" t="s">
        <v>40</v>
      </c>
      <c r="F4144" t="s">
        <v>10</v>
      </c>
    </row>
    <row r="4145" spans="1:6" hidden="1" x14ac:dyDescent="0.35">
      <c r="A4145" t="s">
        <v>59</v>
      </c>
      <c r="B4145" t="s">
        <v>68</v>
      </c>
      <c r="C4145" t="s">
        <v>47</v>
      </c>
      <c r="E4145" t="s">
        <v>40</v>
      </c>
      <c r="F4145" t="s">
        <v>10</v>
      </c>
    </row>
    <row r="4146" spans="1:6" hidden="1" x14ac:dyDescent="0.35">
      <c r="A4146" t="s">
        <v>60</v>
      </c>
      <c r="B4146" t="s">
        <v>68</v>
      </c>
      <c r="C4146" t="s">
        <v>47</v>
      </c>
      <c r="E4146" t="s">
        <v>40</v>
      </c>
      <c r="F4146" t="s">
        <v>10</v>
      </c>
    </row>
    <row r="4147" spans="1:6" hidden="1" x14ac:dyDescent="0.35">
      <c r="A4147" t="s">
        <v>61</v>
      </c>
      <c r="B4147" t="s">
        <v>68</v>
      </c>
      <c r="C4147" t="s">
        <v>47</v>
      </c>
      <c r="D4147">
        <v>334209.54000000021</v>
      </c>
      <c r="E4147" t="s">
        <v>40</v>
      </c>
      <c r="F4147" t="s">
        <v>10</v>
      </c>
    </row>
    <row r="4148" spans="1:6" hidden="1" x14ac:dyDescent="0.35">
      <c r="A4148" t="s">
        <v>62</v>
      </c>
      <c r="B4148" t="s">
        <v>68</v>
      </c>
      <c r="C4148" t="s">
        <v>47</v>
      </c>
      <c r="D4148">
        <v>3472.3</v>
      </c>
      <c r="E4148" t="s">
        <v>40</v>
      </c>
      <c r="F4148" t="s">
        <v>10</v>
      </c>
    </row>
    <row r="4149" spans="1:6" hidden="1" x14ac:dyDescent="0.35">
      <c r="A4149" t="s">
        <v>63</v>
      </c>
      <c r="B4149" t="s">
        <v>68</v>
      </c>
      <c r="C4149" t="s">
        <v>47</v>
      </c>
      <c r="D4149">
        <v>935.65</v>
      </c>
      <c r="E4149" t="s">
        <v>40</v>
      </c>
      <c r="F4149" t="s">
        <v>10</v>
      </c>
    </row>
    <row r="4150" spans="1:6" hidden="1" x14ac:dyDescent="0.35">
      <c r="A4150" t="s">
        <v>64</v>
      </c>
      <c r="B4150" t="s">
        <v>68</v>
      </c>
      <c r="C4150" t="s">
        <v>47</v>
      </c>
      <c r="D4150">
        <v>108220.27000000011</v>
      </c>
      <c r="E4150" t="s">
        <v>40</v>
      </c>
      <c r="F4150" t="s">
        <v>10</v>
      </c>
    </row>
    <row r="4151" spans="1:6" hidden="1" x14ac:dyDescent="0.35">
      <c r="A4151" t="s">
        <v>65</v>
      </c>
      <c r="B4151" t="s">
        <v>68</v>
      </c>
      <c r="C4151" t="s">
        <v>47</v>
      </c>
      <c r="D4151">
        <v>5753.6900000000014</v>
      </c>
      <c r="E4151" t="s">
        <v>40</v>
      </c>
      <c r="F4151" t="s">
        <v>10</v>
      </c>
    </row>
    <row r="4152" spans="1:6" hidden="1" x14ac:dyDescent="0.35">
      <c r="A4152" t="s">
        <v>66</v>
      </c>
      <c r="B4152" t="s">
        <v>68</v>
      </c>
      <c r="C4152" t="s">
        <v>47</v>
      </c>
      <c r="D4152">
        <v>47156.49</v>
      </c>
      <c r="E4152" t="s">
        <v>40</v>
      </c>
      <c r="F4152" t="s">
        <v>10</v>
      </c>
    </row>
    <row r="4153" spans="1:6" hidden="1" x14ac:dyDescent="0.35">
      <c r="A4153" t="s">
        <v>67</v>
      </c>
      <c r="B4153" t="s">
        <v>68</v>
      </c>
      <c r="C4153" t="s">
        <v>47</v>
      </c>
      <c r="D4153">
        <v>88.62</v>
      </c>
      <c r="E4153" t="s">
        <v>40</v>
      </c>
      <c r="F4153" t="s">
        <v>10</v>
      </c>
    </row>
    <row r="4154" spans="1:6" hidden="1" x14ac:dyDescent="0.35">
      <c r="A4154" t="s">
        <v>57</v>
      </c>
      <c r="B4154" t="s">
        <v>68</v>
      </c>
      <c r="C4154" t="s">
        <v>48</v>
      </c>
      <c r="D4154">
        <v>0</v>
      </c>
      <c r="E4154" t="s">
        <v>40</v>
      </c>
      <c r="F4154" t="s">
        <v>10</v>
      </c>
    </row>
    <row r="4155" spans="1:6" hidden="1" x14ac:dyDescent="0.35">
      <c r="A4155" t="s">
        <v>11</v>
      </c>
      <c r="B4155" t="s">
        <v>68</v>
      </c>
      <c r="C4155" t="s">
        <v>48</v>
      </c>
      <c r="D4155">
        <v>0</v>
      </c>
      <c r="E4155" t="s">
        <v>40</v>
      </c>
      <c r="F4155" t="s">
        <v>10</v>
      </c>
    </row>
    <row r="4156" spans="1:6" hidden="1" x14ac:dyDescent="0.35">
      <c r="A4156" t="s">
        <v>58</v>
      </c>
      <c r="B4156" t="s">
        <v>68</v>
      </c>
      <c r="C4156" t="s">
        <v>48</v>
      </c>
      <c r="D4156">
        <v>0</v>
      </c>
      <c r="E4156" t="s">
        <v>40</v>
      </c>
      <c r="F4156" t="s">
        <v>10</v>
      </c>
    </row>
    <row r="4157" spans="1:6" hidden="1" x14ac:dyDescent="0.35">
      <c r="A4157" t="s">
        <v>59</v>
      </c>
      <c r="B4157" t="s">
        <v>68</v>
      </c>
      <c r="C4157" t="s">
        <v>48</v>
      </c>
      <c r="D4157">
        <v>0</v>
      </c>
      <c r="E4157" t="s">
        <v>40</v>
      </c>
      <c r="F4157" t="s">
        <v>10</v>
      </c>
    </row>
    <row r="4158" spans="1:6" hidden="1" x14ac:dyDescent="0.35">
      <c r="A4158" t="s">
        <v>60</v>
      </c>
      <c r="B4158" t="s">
        <v>68</v>
      </c>
      <c r="C4158" t="s">
        <v>48</v>
      </c>
      <c r="D4158">
        <v>0</v>
      </c>
      <c r="E4158" t="s">
        <v>40</v>
      </c>
      <c r="F4158" t="s">
        <v>10</v>
      </c>
    </row>
    <row r="4159" spans="1:6" hidden="1" x14ac:dyDescent="0.35">
      <c r="A4159" t="s">
        <v>61</v>
      </c>
      <c r="B4159" t="s">
        <v>68</v>
      </c>
      <c r="C4159" t="s">
        <v>48</v>
      </c>
      <c r="D4159">
        <v>0</v>
      </c>
      <c r="E4159" t="s">
        <v>40</v>
      </c>
      <c r="F4159" t="s">
        <v>10</v>
      </c>
    </row>
    <row r="4160" spans="1:6" hidden="1" x14ac:dyDescent="0.35">
      <c r="A4160" t="s">
        <v>62</v>
      </c>
      <c r="B4160" t="s">
        <v>68</v>
      </c>
      <c r="C4160" t="s">
        <v>48</v>
      </c>
      <c r="D4160">
        <v>0</v>
      </c>
      <c r="E4160" t="s">
        <v>40</v>
      </c>
      <c r="F4160" t="s">
        <v>10</v>
      </c>
    </row>
    <row r="4161" spans="1:6" hidden="1" x14ac:dyDescent="0.35">
      <c r="A4161" t="s">
        <v>63</v>
      </c>
      <c r="B4161" t="s">
        <v>68</v>
      </c>
      <c r="C4161" t="s">
        <v>48</v>
      </c>
      <c r="D4161">
        <v>0</v>
      </c>
      <c r="E4161" t="s">
        <v>40</v>
      </c>
      <c r="F4161" t="s">
        <v>10</v>
      </c>
    </row>
    <row r="4162" spans="1:6" hidden="1" x14ac:dyDescent="0.35">
      <c r="A4162" t="s">
        <v>64</v>
      </c>
      <c r="B4162" t="s">
        <v>68</v>
      </c>
      <c r="C4162" t="s">
        <v>48</v>
      </c>
      <c r="D4162">
        <v>0</v>
      </c>
      <c r="E4162" t="s">
        <v>40</v>
      </c>
      <c r="F4162" t="s">
        <v>10</v>
      </c>
    </row>
    <row r="4163" spans="1:6" hidden="1" x14ac:dyDescent="0.35">
      <c r="A4163" t="s">
        <v>65</v>
      </c>
      <c r="B4163" t="s">
        <v>68</v>
      </c>
      <c r="C4163" t="s">
        <v>48</v>
      </c>
      <c r="D4163">
        <v>0</v>
      </c>
      <c r="E4163" t="s">
        <v>40</v>
      </c>
      <c r="F4163" t="s">
        <v>10</v>
      </c>
    </row>
    <row r="4164" spans="1:6" hidden="1" x14ac:dyDescent="0.35">
      <c r="A4164" t="s">
        <v>66</v>
      </c>
      <c r="B4164" t="s">
        <v>68</v>
      </c>
      <c r="C4164" t="s">
        <v>48</v>
      </c>
      <c r="D4164">
        <v>0</v>
      </c>
      <c r="E4164" t="s">
        <v>40</v>
      </c>
      <c r="F4164" t="s">
        <v>10</v>
      </c>
    </row>
    <row r="4165" spans="1:6" hidden="1" x14ac:dyDescent="0.35">
      <c r="A4165" t="s">
        <v>67</v>
      </c>
      <c r="B4165" t="s">
        <v>68</v>
      </c>
      <c r="C4165" t="s">
        <v>48</v>
      </c>
      <c r="D4165">
        <v>0</v>
      </c>
      <c r="E4165" t="s">
        <v>40</v>
      </c>
      <c r="F4165" t="s">
        <v>10</v>
      </c>
    </row>
    <row r="4166" spans="1:6" hidden="1" x14ac:dyDescent="0.35">
      <c r="A4166" t="s">
        <v>57</v>
      </c>
      <c r="B4166" t="s">
        <v>68</v>
      </c>
      <c r="C4166" t="s">
        <v>49</v>
      </c>
      <c r="D4166">
        <v>15963.765600000001</v>
      </c>
      <c r="E4166" t="s">
        <v>40</v>
      </c>
      <c r="F4166" t="s">
        <v>10</v>
      </c>
    </row>
    <row r="4167" spans="1:6" hidden="1" x14ac:dyDescent="0.35">
      <c r="A4167" t="s">
        <v>11</v>
      </c>
      <c r="B4167" t="s">
        <v>68</v>
      </c>
      <c r="C4167" t="s">
        <v>49</v>
      </c>
      <c r="D4167">
        <v>138090.10639999999</v>
      </c>
      <c r="E4167" t="s">
        <v>40</v>
      </c>
      <c r="F4167" t="s">
        <v>10</v>
      </c>
    </row>
    <row r="4168" spans="1:6" hidden="1" x14ac:dyDescent="0.35">
      <c r="A4168" t="s">
        <v>58</v>
      </c>
      <c r="B4168" t="s">
        <v>68</v>
      </c>
      <c r="C4168" t="s">
        <v>49</v>
      </c>
      <c r="D4168">
        <v>104340.68399999999</v>
      </c>
      <c r="E4168" t="s">
        <v>40</v>
      </c>
      <c r="F4168" t="s">
        <v>10</v>
      </c>
    </row>
    <row r="4169" spans="1:6" hidden="1" x14ac:dyDescent="0.35">
      <c r="A4169" t="s">
        <v>59</v>
      </c>
      <c r="B4169" t="s">
        <v>68</v>
      </c>
      <c r="C4169" t="s">
        <v>49</v>
      </c>
      <c r="D4169">
        <v>99843.666399999987</v>
      </c>
      <c r="E4169" t="s">
        <v>40</v>
      </c>
      <c r="F4169" t="s">
        <v>10</v>
      </c>
    </row>
    <row r="4170" spans="1:6" hidden="1" x14ac:dyDescent="0.35">
      <c r="A4170" t="s">
        <v>60</v>
      </c>
      <c r="B4170" t="s">
        <v>68</v>
      </c>
      <c r="C4170" t="s">
        <v>49</v>
      </c>
      <c r="D4170">
        <v>223413.12599999999</v>
      </c>
      <c r="E4170" t="s">
        <v>40</v>
      </c>
      <c r="F4170" t="s">
        <v>10</v>
      </c>
    </row>
    <row r="4171" spans="1:6" hidden="1" x14ac:dyDescent="0.35">
      <c r="A4171" t="s">
        <v>61</v>
      </c>
      <c r="B4171" t="s">
        <v>68</v>
      </c>
      <c r="C4171" t="s">
        <v>49</v>
      </c>
      <c r="D4171">
        <v>31211.582399999999</v>
      </c>
      <c r="E4171" t="s">
        <v>40</v>
      </c>
      <c r="F4171" t="s">
        <v>10</v>
      </c>
    </row>
    <row r="4172" spans="1:6" hidden="1" x14ac:dyDescent="0.35">
      <c r="A4172" t="s">
        <v>62</v>
      </c>
      <c r="B4172" t="s">
        <v>68</v>
      </c>
      <c r="C4172" t="s">
        <v>49</v>
      </c>
      <c r="D4172">
        <v>111883.6632</v>
      </c>
      <c r="E4172" t="s">
        <v>40</v>
      </c>
      <c r="F4172" t="s">
        <v>10</v>
      </c>
    </row>
    <row r="4173" spans="1:6" hidden="1" x14ac:dyDescent="0.35">
      <c r="A4173" t="s">
        <v>63</v>
      </c>
      <c r="B4173" t="s">
        <v>68</v>
      </c>
      <c r="C4173" t="s">
        <v>49</v>
      </c>
      <c r="D4173">
        <v>121157.38679999999</v>
      </c>
      <c r="E4173" t="s">
        <v>40</v>
      </c>
      <c r="F4173" t="s">
        <v>10</v>
      </c>
    </row>
    <row r="4174" spans="1:6" hidden="1" x14ac:dyDescent="0.35">
      <c r="A4174" t="s">
        <v>64</v>
      </c>
      <c r="B4174" t="s">
        <v>68</v>
      </c>
      <c r="C4174" t="s">
        <v>49</v>
      </c>
      <c r="D4174">
        <v>88706.948000000004</v>
      </c>
      <c r="E4174" t="s">
        <v>40</v>
      </c>
      <c r="F4174" t="s">
        <v>10</v>
      </c>
    </row>
    <row r="4175" spans="1:6" hidden="1" x14ac:dyDescent="0.35">
      <c r="A4175" t="s">
        <v>65</v>
      </c>
      <c r="B4175" t="s">
        <v>68</v>
      </c>
      <c r="C4175" t="s">
        <v>49</v>
      </c>
      <c r="D4175">
        <v>322428.18560000003</v>
      </c>
      <c r="E4175" t="s">
        <v>40</v>
      </c>
      <c r="F4175" t="s">
        <v>10</v>
      </c>
    </row>
    <row r="4176" spans="1:6" hidden="1" x14ac:dyDescent="0.35">
      <c r="A4176" t="s">
        <v>66</v>
      </c>
      <c r="B4176" t="s">
        <v>68</v>
      </c>
      <c r="C4176" t="s">
        <v>49</v>
      </c>
      <c r="D4176">
        <v>19217.4748</v>
      </c>
      <c r="E4176" t="s">
        <v>40</v>
      </c>
      <c r="F4176" t="s">
        <v>10</v>
      </c>
    </row>
    <row r="4177" spans="1:6" hidden="1" x14ac:dyDescent="0.35">
      <c r="A4177" t="s">
        <v>67</v>
      </c>
      <c r="B4177" t="s">
        <v>68</v>
      </c>
      <c r="C4177" t="s">
        <v>49</v>
      </c>
      <c r="D4177">
        <v>129029.24679999999</v>
      </c>
      <c r="E4177" t="s">
        <v>40</v>
      </c>
      <c r="F4177" t="s">
        <v>10</v>
      </c>
    </row>
    <row r="4178" spans="1:6" hidden="1" x14ac:dyDescent="0.35">
      <c r="A4178" t="s">
        <v>57</v>
      </c>
      <c r="B4178" t="s">
        <v>68</v>
      </c>
      <c r="C4178" t="s">
        <v>50</v>
      </c>
      <c r="D4178">
        <v>113781.3708</v>
      </c>
      <c r="E4178" t="s">
        <v>40</v>
      </c>
      <c r="F4178" t="s">
        <v>10</v>
      </c>
    </row>
    <row r="4179" spans="1:6" hidden="1" x14ac:dyDescent="0.35">
      <c r="A4179" t="s">
        <v>11</v>
      </c>
      <c r="B4179" t="s">
        <v>68</v>
      </c>
      <c r="C4179" t="s">
        <v>50</v>
      </c>
      <c r="D4179">
        <v>834465.79960000014</v>
      </c>
      <c r="E4179" t="s">
        <v>40</v>
      </c>
      <c r="F4179" t="s">
        <v>10</v>
      </c>
    </row>
    <row r="4180" spans="1:6" hidden="1" x14ac:dyDescent="0.35">
      <c r="A4180" t="s">
        <v>58</v>
      </c>
      <c r="B4180" t="s">
        <v>68</v>
      </c>
      <c r="C4180" t="s">
        <v>50</v>
      </c>
      <c r="D4180">
        <v>749841.51600000006</v>
      </c>
      <c r="E4180" t="s">
        <v>40</v>
      </c>
      <c r="F4180" t="s">
        <v>10</v>
      </c>
    </row>
    <row r="4181" spans="1:6" hidden="1" x14ac:dyDescent="0.35">
      <c r="A4181" t="s">
        <v>59</v>
      </c>
      <c r="B4181" t="s">
        <v>68</v>
      </c>
      <c r="C4181" t="s">
        <v>50</v>
      </c>
      <c r="D4181">
        <v>795828.98679999996</v>
      </c>
      <c r="E4181" t="s">
        <v>40</v>
      </c>
      <c r="F4181" t="s">
        <v>10</v>
      </c>
    </row>
    <row r="4182" spans="1:6" hidden="1" x14ac:dyDescent="0.35">
      <c r="A4182" t="s">
        <v>60</v>
      </c>
      <c r="B4182" t="s">
        <v>68</v>
      </c>
      <c r="C4182" t="s">
        <v>50</v>
      </c>
      <c r="D4182">
        <v>2492592.8448000001</v>
      </c>
      <c r="E4182" t="s">
        <v>40</v>
      </c>
      <c r="F4182" t="s">
        <v>10</v>
      </c>
    </row>
    <row r="4183" spans="1:6" hidden="1" x14ac:dyDescent="0.35">
      <c r="A4183" t="s">
        <v>61</v>
      </c>
      <c r="B4183" t="s">
        <v>68</v>
      </c>
      <c r="C4183" t="s">
        <v>50</v>
      </c>
      <c r="D4183">
        <v>270772.93479999999</v>
      </c>
      <c r="E4183" t="s">
        <v>40</v>
      </c>
      <c r="F4183" t="s">
        <v>10</v>
      </c>
    </row>
    <row r="4184" spans="1:6" hidden="1" x14ac:dyDescent="0.35">
      <c r="A4184" t="s">
        <v>62</v>
      </c>
      <c r="B4184" t="s">
        <v>68</v>
      </c>
      <c r="C4184" t="s">
        <v>50</v>
      </c>
      <c r="D4184">
        <v>201900.76800000001</v>
      </c>
      <c r="E4184" t="s">
        <v>40</v>
      </c>
      <c r="F4184" t="s">
        <v>10</v>
      </c>
    </row>
    <row r="4185" spans="1:6" hidden="1" x14ac:dyDescent="0.35">
      <c r="A4185" t="s">
        <v>63</v>
      </c>
      <c r="B4185" t="s">
        <v>68</v>
      </c>
      <c r="C4185" t="s">
        <v>50</v>
      </c>
      <c r="D4185">
        <v>493626.88799999998</v>
      </c>
      <c r="E4185" t="s">
        <v>40</v>
      </c>
      <c r="F4185" t="s">
        <v>10</v>
      </c>
    </row>
    <row r="4186" spans="1:6" hidden="1" x14ac:dyDescent="0.35">
      <c r="A4186" t="s">
        <v>64</v>
      </c>
      <c r="B4186" t="s">
        <v>68</v>
      </c>
      <c r="C4186" t="s">
        <v>50</v>
      </c>
      <c r="D4186">
        <v>445918.23520000011</v>
      </c>
      <c r="E4186" t="s">
        <v>40</v>
      </c>
      <c r="F4186" t="s">
        <v>10</v>
      </c>
    </row>
    <row r="4187" spans="1:6" hidden="1" x14ac:dyDescent="0.35">
      <c r="A4187" t="s">
        <v>65</v>
      </c>
      <c r="B4187" t="s">
        <v>68</v>
      </c>
      <c r="C4187" t="s">
        <v>50</v>
      </c>
      <c r="D4187">
        <v>1110059.4948</v>
      </c>
      <c r="E4187" t="s">
        <v>40</v>
      </c>
      <c r="F4187" t="s">
        <v>10</v>
      </c>
    </row>
    <row r="4188" spans="1:6" hidden="1" x14ac:dyDescent="0.35">
      <c r="A4188" t="s">
        <v>66</v>
      </c>
      <c r="B4188" t="s">
        <v>68</v>
      </c>
      <c r="C4188" t="s">
        <v>50</v>
      </c>
      <c r="D4188">
        <v>199059.40719999999</v>
      </c>
      <c r="E4188" t="s">
        <v>40</v>
      </c>
      <c r="F4188" t="s">
        <v>10</v>
      </c>
    </row>
    <row r="4189" spans="1:6" hidden="1" x14ac:dyDescent="0.35">
      <c r="A4189" t="s">
        <v>67</v>
      </c>
      <c r="B4189" t="s">
        <v>68</v>
      </c>
      <c r="C4189" t="s">
        <v>50</v>
      </c>
      <c r="D4189">
        <v>1360946.128</v>
      </c>
      <c r="E4189" t="s">
        <v>40</v>
      </c>
      <c r="F4189" t="s">
        <v>10</v>
      </c>
    </row>
    <row r="4190" spans="1:6" hidden="1" x14ac:dyDescent="0.35">
      <c r="A4190" t="s">
        <v>57</v>
      </c>
      <c r="B4190" t="s">
        <v>68</v>
      </c>
      <c r="C4190" t="s">
        <v>51</v>
      </c>
      <c r="D4190">
        <v>22</v>
      </c>
      <c r="E4190" t="s">
        <v>40</v>
      </c>
      <c r="F4190" t="s">
        <v>10</v>
      </c>
    </row>
    <row r="4191" spans="1:6" hidden="1" x14ac:dyDescent="0.35">
      <c r="A4191" t="s">
        <v>11</v>
      </c>
      <c r="B4191" t="s">
        <v>68</v>
      </c>
      <c r="C4191" t="s">
        <v>51</v>
      </c>
      <c r="D4191">
        <v>14</v>
      </c>
      <c r="E4191" t="s">
        <v>40</v>
      </c>
      <c r="F4191" t="s">
        <v>10</v>
      </c>
    </row>
    <row r="4192" spans="1:6" hidden="1" x14ac:dyDescent="0.35">
      <c r="A4192" t="s">
        <v>58</v>
      </c>
      <c r="B4192" t="s">
        <v>68</v>
      </c>
      <c r="C4192" t="s">
        <v>51</v>
      </c>
      <c r="D4192">
        <v>20</v>
      </c>
      <c r="E4192" t="s">
        <v>40</v>
      </c>
      <c r="F4192" t="s">
        <v>10</v>
      </c>
    </row>
    <row r="4193" spans="1:6" hidden="1" x14ac:dyDescent="0.35">
      <c r="A4193" t="s">
        <v>59</v>
      </c>
      <c r="B4193" t="s">
        <v>68</v>
      </c>
      <c r="C4193" t="s">
        <v>51</v>
      </c>
      <c r="D4193">
        <v>27</v>
      </c>
      <c r="E4193" t="s">
        <v>40</v>
      </c>
      <c r="F4193" t="s">
        <v>10</v>
      </c>
    </row>
    <row r="4194" spans="1:6" hidden="1" x14ac:dyDescent="0.35">
      <c r="A4194" t="s">
        <v>60</v>
      </c>
      <c r="B4194" t="s">
        <v>68</v>
      </c>
      <c r="C4194" t="s">
        <v>51</v>
      </c>
      <c r="D4194">
        <v>21</v>
      </c>
      <c r="E4194" t="s">
        <v>40</v>
      </c>
      <c r="F4194" t="s">
        <v>10</v>
      </c>
    </row>
    <row r="4195" spans="1:6" hidden="1" x14ac:dyDescent="0.35">
      <c r="A4195" t="s">
        <v>61</v>
      </c>
      <c r="B4195" t="s">
        <v>68</v>
      </c>
      <c r="C4195" t="s">
        <v>51</v>
      </c>
      <c r="D4195">
        <v>20</v>
      </c>
      <c r="E4195" t="s">
        <v>40</v>
      </c>
      <c r="F4195" t="s">
        <v>10</v>
      </c>
    </row>
    <row r="4196" spans="1:6" hidden="1" x14ac:dyDescent="0.35">
      <c r="A4196" t="s">
        <v>62</v>
      </c>
      <c r="B4196" t="s">
        <v>68</v>
      </c>
      <c r="C4196" t="s">
        <v>51</v>
      </c>
      <c r="D4196">
        <v>13</v>
      </c>
      <c r="E4196" t="s">
        <v>40</v>
      </c>
      <c r="F4196" t="s">
        <v>10</v>
      </c>
    </row>
    <row r="4197" spans="1:6" hidden="1" x14ac:dyDescent="0.35">
      <c r="A4197" t="s">
        <v>63</v>
      </c>
      <c r="B4197" t="s">
        <v>68</v>
      </c>
      <c r="C4197" t="s">
        <v>51</v>
      </c>
      <c r="D4197">
        <v>20</v>
      </c>
      <c r="E4197" t="s">
        <v>40</v>
      </c>
      <c r="F4197" t="s">
        <v>10</v>
      </c>
    </row>
    <row r="4198" spans="1:6" hidden="1" x14ac:dyDescent="0.35">
      <c r="A4198" t="s">
        <v>64</v>
      </c>
      <c r="B4198" t="s">
        <v>68</v>
      </c>
      <c r="C4198" t="s">
        <v>51</v>
      </c>
      <c r="D4198">
        <v>21</v>
      </c>
      <c r="E4198" t="s">
        <v>40</v>
      </c>
      <c r="F4198" t="s">
        <v>10</v>
      </c>
    </row>
    <row r="4199" spans="1:6" hidden="1" x14ac:dyDescent="0.35">
      <c r="A4199" t="s">
        <v>65</v>
      </c>
      <c r="B4199" t="s">
        <v>68</v>
      </c>
      <c r="C4199" t="s">
        <v>51</v>
      </c>
      <c r="D4199">
        <v>19</v>
      </c>
      <c r="E4199" t="s">
        <v>40</v>
      </c>
      <c r="F4199" t="s">
        <v>10</v>
      </c>
    </row>
    <row r="4200" spans="1:6" hidden="1" x14ac:dyDescent="0.35">
      <c r="A4200" t="s">
        <v>66</v>
      </c>
      <c r="B4200" t="s">
        <v>68</v>
      </c>
      <c r="C4200" t="s">
        <v>51</v>
      </c>
      <c r="D4200">
        <v>18</v>
      </c>
      <c r="E4200" t="s">
        <v>40</v>
      </c>
      <c r="F4200" t="s">
        <v>10</v>
      </c>
    </row>
    <row r="4201" spans="1:6" hidden="1" x14ac:dyDescent="0.35">
      <c r="A4201" t="s">
        <v>67</v>
      </c>
      <c r="B4201" t="s">
        <v>68</v>
      </c>
      <c r="C4201" t="s">
        <v>51</v>
      </c>
      <c r="D4201">
        <v>10</v>
      </c>
      <c r="E4201" t="s">
        <v>40</v>
      </c>
      <c r="F4201" t="s">
        <v>10</v>
      </c>
    </row>
    <row r="4202" spans="1:6" hidden="1" x14ac:dyDescent="0.35">
      <c r="A4202" t="s">
        <v>57</v>
      </c>
      <c r="B4202" t="s">
        <v>68</v>
      </c>
      <c r="C4202" t="s">
        <v>30</v>
      </c>
      <c r="D4202">
        <v>1</v>
      </c>
      <c r="E4202" t="s">
        <v>40</v>
      </c>
      <c r="F4202" t="s">
        <v>10</v>
      </c>
    </row>
    <row r="4203" spans="1:6" hidden="1" x14ac:dyDescent="0.35">
      <c r="A4203" t="s">
        <v>11</v>
      </c>
      <c r="B4203" t="s">
        <v>68</v>
      </c>
      <c r="C4203" t="s">
        <v>30</v>
      </c>
      <c r="D4203">
        <v>3</v>
      </c>
      <c r="E4203" t="s">
        <v>40</v>
      </c>
      <c r="F4203" t="s">
        <v>10</v>
      </c>
    </row>
    <row r="4204" spans="1:6" hidden="1" x14ac:dyDescent="0.35">
      <c r="A4204" t="s">
        <v>58</v>
      </c>
      <c r="B4204" t="s">
        <v>68</v>
      </c>
      <c r="C4204" t="s">
        <v>30</v>
      </c>
      <c r="D4204">
        <v>4</v>
      </c>
      <c r="E4204" t="s">
        <v>40</v>
      </c>
      <c r="F4204" t="s">
        <v>10</v>
      </c>
    </row>
    <row r="4205" spans="1:6" hidden="1" x14ac:dyDescent="0.35">
      <c r="A4205" t="s">
        <v>59</v>
      </c>
      <c r="B4205" t="s">
        <v>68</v>
      </c>
      <c r="C4205" t="s">
        <v>30</v>
      </c>
      <c r="D4205">
        <v>6</v>
      </c>
      <c r="E4205" t="s">
        <v>40</v>
      </c>
      <c r="F4205" t="s">
        <v>10</v>
      </c>
    </row>
    <row r="4206" spans="1:6" hidden="1" x14ac:dyDescent="0.35">
      <c r="A4206" t="s">
        <v>60</v>
      </c>
      <c r="B4206" t="s">
        <v>68</v>
      </c>
      <c r="C4206" t="s">
        <v>30</v>
      </c>
      <c r="D4206">
        <v>4</v>
      </c>
      <c r="E4206" t="s">
        <v>40</v>
      </c>
      <c r="F4206" t="s">
        <v>10</v>
      </c>
    </row>
    <row r="4207" spans="1:6" hidden="1" x14ac:dyDescent="0.35">
      <c r="A4207" t="s">
        <v>61</v>
      </c>
      <c r="B4207" t="s">
        <v>68</v>
      </c>
      <c r="C4207" t="s">
        <v>30</v>
      </c>
      <c r="D4207">
        <v>3</v>
      </c>
      <c r="E4207" t="s">
        <v>40</v>
      </c>
      <c r="F4207" t="s">
        <v>10</v>
      </c>
    </row>
    <row r="4208" spans="1:6" hidden="1" x14ac:dyDescent="0.35">
      <c r="A4208" t="s">
        <v>62</v>
      </c>
      <c r="B4208" t="s">
        <v>68</v>
      </c>
      <c r="C4208" t="s">
        <v>30</v>
      </c>
      <c r="D4208">
        <v>5</v>
      </c>
      <c r="E4208" t="s">
        <v>40</v>
      </c>
      <c r="F4208" t="s">
        <v>10</v>
      </c>
    </row>
    <row r="4209" spans="1:6" hidden="1" x14ac:dyDescent="0.35">
      <c r="A4209" t="s">
        <v>63</v>
      </c>
      <c r="B4209" t="s">
        <v>68</v>
      </c>
      <c r="C4209" t="s">
        <v>30</v>
      </c>
      <c r="D4209">
        <v>3</v>
      </c>
      <c r="E4209" t="s">
        <v>40</v>
      </c>
      <c r="F4209" t="s">
        <v>10</v>
      </c>
    </row>
    <row r="4210" spans="1:6" hidden="1" x14ac:dyDescent="0.35">
      <c r="A4210" t="s">
        <v>64</v>
      </c>
      <c r="B4210" t="s">
        <v>68</v>
      </c>
      <c r="C4210" t="s">
        <v>30</v>
      </c>
      <c r="D4210">
        <v>2</v>
      </c>
      <c r="E4210" t="s">
        <v>40</v>
      </c>
      <c r="F4210" t="s">
        <v>10</v>
      </c>
    </row>
    <row r="4211" spans="1:6" hidden="1" x14ac:dyDescent="0.35">
      <c r="A4211" t="s">
        <v>65</v>
      </c>
      <c r="B4211" t="s">
        <v>68</v>
      </c>
      <c r="C4211" t="s">
        <v>30</v>
      </c>
      <c r="D4211">
        <v>4</v>
      </c>
      <c r="E4211" t="s">
        <v>40</v>
      </c>
      <c r="F4211" t="s">
        <v>10</v>
      </c>
    </row>
    <row r="4212" spans="1:6" hidden="1" x14ac:dyDescent="0.35">
      <c r="A4212" t="s">
        <v>66</v>
      </c>
      <c r="B4212" t="s">
        <v>68</v>
      </c>
      <c r="C4212" t="s">
        <v>30</v>
      </c>
      <c r="D4212">
        <v>8</v>
      </c>
      <c r="E4212" t="s">
        <v>40</v>
      </c>
      <c r="F4212" t="s">
        <v>10</v>
      </c>
    </row>
    <row r="4213" spans="1:6" hidden="1" x14ac:dyDescent="0.35">
      <c r="A4213" t="s">
        <v>67</v>
      </c>
      <c r="B4213" t="s">
        <v>68</v>
      </c>
      <c r="C4213" t="s">
        <v>30</v>
      </c>
      <c r="D4213">
        <v>2</v>
      </c>
      <c r="E4213" t="s">
        <v>40</v>
      </c>
      <c r="F4213" t="s">
        <v>10</v>
      </c>
    </row>
    <row r="4214" spans="1:6" hidden="1" x14ac:dyDescent="0.35">
      <c r="A4214" t="s">
        <v>57</v>
      </c>
      <c r="B4214" t="s">
        <v>68</v>
      </c>
      <c r="C4214" t="s">
        <v>52</v>
      </c>
      <c r="D4214">
        <v>8</v>
      </c>
      <c r="E4214" t="s">
        <v>40</v>
      </c>
      <c r="F4214" t="s">
        <v>10</v>
      </c>
    </row>
    <row r="4215" spans="1:6" hidden="1" x14ac:dyDescent="0.35">
      <c r="A4215" t="s">
        <v>11</v>
      </c>
      <c r="B4215" t="s">
        <v>68</v>
      </c>
      <c r="C4215" t="s">
        <v>52</v>
      </c>
      <c r="D4215">
        <v>8</v>
      </c>
      <c r="E4215" t="s">
        <v>40</v>
      </c>
      <c r="F4215" t="s">
        <v>10</v>
      </c>
    </row>
    <row r="4216" spans="1:6" hidden="1" x14ac:dyDescent="0.35">
      <c r="A4216" t="s">
        <v>58</v>
      </c>
      <c r="B4216" t="s">
        <v>68</v>
      </c>
      <c r="C4216" t="s">
        <v>52</v>
      </c>
      <c r="D4216">
        <v>9</v>
      </c>
      <c r="E4216" t="s">
        <v>40</v>
      </c>
      <c r="F4216" t="s">
        <v>10</v>
      </c>
    </row>
    <row r="4217" spans="1:6" hidden="1" x14ac:dyDescent="0.35">
      <c r="A4217" t="s">
        <v>59</v>
      </c>
      <c r="B4217" t="s">
        <v>68</v>
      </c>
      <c r="C4217" t="s">
        <v>52</v>
      </c>
      <c r="D4217">
        <v>13</v>
      </c>
      <c r="E4217" t="s">
        <v>40</v>
      </c>
      <c r="F4217" t="s">
        <v>10</v>
      </c>
    </row>
    <row r="4218" spans="1:6" hidden="1" x14ac:dyDescent="0.35">
      <c r="A4218" t="s">
        <v>60</v>
      </c>
      <c r="B4218" t="s">
        <v>68</v>
      </c>
      <c r="C4218" t="s">
        <v>52</v>
      </c>
      <c r="D4218">
        <v>6</v>
      </c>
      <c r="E4218" t="s">
        <v>40</v>
      </c>
      <c r="F4218" t="s">
        <v>10</v>
      </c>
    </row>
    <row r="4219" spans="1:6" hidden="1" x14ac:dyDescent="0.35">
      <c r="A4219" t="s">
        <v>61</v>
      </c>
      <c r="B4219" t="s">
        <v>68</v>
      </c>
      <c r="C4219" t="s">
        <v>52</v>
      </c>
      <c r="D4219">
        <v>12</v>
      </c>
      <c r="E4219" t="s">
        <v>40</v>
      </c>
      <c r="F4219" t="s">
        <v>10</v>
      </c>
    </row>
    <row r="4220" spans="1:6" hidden="1" x14ac:dyDescent="0.35">
      <c r="A4220" t="s">
        <v>62</v>
      </c>
      <c r="B4220" t="s">
        <v>68</v>
      </c>
      <c r="C4220" t="s">
        <v>52</v>
      </c>
      <c r="D4220">
        <v>7</v>
      </c>
      <c r="E4220" t="s">
        <v>40</v>
      </c>
      <c r="F4220" t="s">
        <v>10</v>
      </c>
    </row>
    <row r="4221" spans="1:6" hidden="1" x14ac:dyDescent="0.35">
      <c r="A4221" t="s">
        <v>63</v>
      </c>
      <c r="B4221" t="s">
        <v>68</v>
      </c>
      <c r="C4221" t="s">
        <v>52</v>
      </c>
      <c r="D4221">
        <v>8</v>
      </c>
      <c r="E4221" t="s">
        <v>40</v>
      </c>
      <c r="F4221" t="s">
        <v>10</v>
      </c>
    </row>
    <row r="4222" spans="1:6" hidden="1" x14ac:dyDescent="0.35">
      <c r="A4222" t="s">
        <v>64</v>
      </c>
      <c r="B4222" t="s">
        <v>68</v>
      </c>
      <c r="C4222" t="s">
        <v>52</v>
      </c>
      <c r="D4222">
        <v>8</v>
      </c>
      <c r="E4222" t="s">
        <v>40</v>
      </c>
      <c r="F4222" t="s">
        <v>10</v>
      </c>
    </row>
    <row r="4223" spans="1:6" hidden="1" x14ac:dyDescent="0.35">
      <c r="A4223" t="s">
        <v>65</v>
      </c>
      <c r="B4223" t="s">
        <v>68</v>
      </c>
      <c r="C4223" t="s">
        <v>52</v>
      </c>
      <c r="D4223">
        <v>11</v>
      </c>
      <c r="E4223" t="s">
        <v>40</v>
      </c>
      <c r="F4223" t="s">
        <v>10</v>
      </c>
    </row>
    <row r="4224" spans="1:6" hidden="1" x14ac:dyDescent="0.35">
      <c r="A4224" t="s">
        <v>66</v>
      </c>
      <c r="B4224" t="s">
        <v>68</v>
      </c>
      <c r="C4224" t="s">
        <v>52</v>
      </c>
      <c r="D4224">
        <v>9</v>
      </c>
      <c r="E4224" t="s">
        <v>40</v>
      </c>
      <c r="F4224" t="s">
        <v>10</v>
      </c>
    </row>
    <row r="4225" spans="1:6" hidden="1" x14ac:dyDescent="0.35">
      <c r="A4225" t="s">
        <v>67</v>
      </c>
      <c r="B4225" t="s">
        <v>68</v>
      </c>
      <c r="C4225" t="s">
        <v>52</v>
      </c>
      <c r="D4225">
        <v>9</v>
      </c>
      <c r="E4225" t="s">
        <v>40</v>
      </c>
      <c r="F4225" t="s">
        <v>10</v>
      </c>
    </row>
    <row r="4226" spans="1:6" hidden="1" x14ac:dyDescent="0.35">
      <c r="A4226" t="s">
        <v>57</v>
      </c>
      <c r="B4226" t="s">
        <v>54</v>
      </c>
      <c r="C4226" t="s">
        <v>44</v>
      </c>
      <c r="D4226">
        <v>845001.90267527371</v>
      </c>
      <c r="E4226" t="s">
        <v>40</v>
      </c>
      <c r="F4226" t="s">
        <v>10</v>
      </c>
    </row>
    <row r="4227" spans="1:6" hidden="1" x14ac:dyDescent="0.35">
      <c r="A4227" t="s">
        <v>11</v>
      </c>
      <c r="B4227" t="s">
        <v>54</v>
      </c>
      <c r="C4227" t="s">
        <v>44</v>
      </c>
      <c r="D4227">
        <v>578541.93230674602</v>
      </c>
      <c r="E4227" t="s">
        <v>40</v>
      </c>
      <c r="F4227" t="s">
        <v>10</v>
      </c>
    </row>
    <row r="4228" spans="1:6" hidden="1" x14ac:dyDescent="0.35">
      <c r="A4228" t="s">
        <v>58</v>
      </c>
      <c r="B4228" t="s">
        <v>54</v>
      </c>
      <c r="C4228" t="s">
        <v>44</v>
      </c>
      <c r="D4228">
        <v>2261770.0136137102</v>
      </c>
      <c r="E4228" t="s">
        <v>40</v>
      </c>
      <c r="F4228" t="s">
        <v>10</v>
      </c>
    </row>
    <row r="4229" spans="1:6" hidden="1" x14ac:dyDescent="0.35">
      <c r="A4229" t="s">
        <v>59</v>
      </c>
      <c r="B4229" t="s">
        <v>54</v>
      </c>
      <c r="C4229" t="s">
        <v>44</v>
      </c>
      <c r="D4229">
        <v>1829977.7232032821</v>
      </c>
      <c r="E4229" t="s">
        <v>40</v>
      </c>
      <c r="F4229" t="s">
        <v>10</v>
      </c>
    </row>
    <row r="4230" spans="1:6" hidden="1" x14ac:dyDescent="0.35">
      <c r="A4230" t="s">
        <v>60</v>
      </c>
      <c r="B4230" t="s">
        <v>54</v>
      </c>
      <c r="C4230" t="s">
        <v>44</v>
      </c>
      <c r="D4230">
        <v>1864786.655128838</v>
      </c>
      <c r="E4230" t="s">
        <v>40</v>
      </c>
      <c r="F4230" t="s">
        <v>10</v>
      </c>
    </row>
    <row r="4231" spans="1:6" hidden="1" x14ac:dyDescent="0.35">
      <c r="A4231" t="s">
        <v>61</v>
      </c>
      <c r="B4231" t="s">
        <v>54</v>
      </c>
      <c r="C4231" t="s">
        <v>44</v>
      </c>
      <c r="D4231">
        <v>1936976.4596806511</v>
      </c>
      <c r="E4231" t="s">
        <v>40</v>
      </c>
      <c r="F4231" t="s">
        <v>10</v>
      </c>
    </row>
    <row r="4232" spans="1:6" hidden="1" x14ac:dyDescent="0.35">
      <c r="A4232" t="s">
        <v>62</v>
      </c>
      <c r="B4232" t="s">
        <v>54</v>
      </c>
      <c r="C4232" t="s">
        <v>44</v>
      </c>
      <c r="D4232">
        <v>2213665.657961715</v>
      </c>
      <c r="E4232" t="s">
        <v>40</v>
      </c>
      <c r="F4232" t="s">
        <v>10</v>
      </c>
    </row>
    <row r="4233" spans="1:6" hidden="1" x14ac:dyDescent="0.35">
      <c r="A4233" t="s">
        <v>63</v>
      </c>
      <c r="B4233" t="s">
        <v>54</v>
      </c>
      <c r="C4233" t="s">
        <v>44</v>
      </c>
      <c r="D4233">
        <v>1228777.7898174799</v>
      </c>
      <c r="E4233" t="s">
        <v>40</v>
      </c>
      <c r="F4233" t="s">
        <v>10</v>
      </c>
    </row>
    <row r="4234" spans="1:6" hidden="1" x14ac:dyDescent="0.35">
      <c r="A4234" t="s">
        <v>64</v>
      </c>
      <c r="B4234" t="s">
        <v>54</v>
      </c>
      <c r="C4234" t="s">
        <v>44</v>
      </c>
      <c r="D4234">
        <v>1689586.359270504</v>
      </c>
      <c r="E4234" t="s">
        <v>40</v>
      </c>
      <c r="F4234" t="s">
        <v>10</v>
      </c>
    </row>
    <row r="4235" spans="1:6" hidden="1" x14ac:dyDescent="0.35">
      <c r="A4235" t="s">
        <v>65</v>
      </c>
      <c r="B4235" t="s">
        <v>54</v>
      </c>
      <c r="C4235" t="s">
        <v>44</v>
      </c>
      <c r="D4235">
        <v>1454863.5061064591</v>
      </c>
      <c r="E4235" t="s">
        <v>40</v>
      </c>
      <c r="F4235" t="s">
        <v>10</v>
      </c>
    </row>
    <row r="4236" spans="1:6" hidden="1" x14ac:dyDescent="0.35">
      <c r="A4236" t="s">
        <v>66</v>
      </c>
      <c r="B4236" t="s">
        <v>54</v>
      </c>
      <c r="C4236" t="s">
        <v>44</v>
      </c>
      <c r="D4236">
        <v>2016404.983745266</v>
      </c>
      <c r="E4236" t="s">
        <v>40</v>
      </c>
      <c r="F4236" t="s">
        <v>10</v>
      </c>
    </row>
    <row r="4237" spans="1:6" hidden="1" x14ac:dyDescent="0.35">
      <c r="A4237" t="s">
        <v>67</v>
      </c>
      <c r="B4237" t="s">
        <v>54</v>
      </c>
      <c r="C4237" t="s">
        <v>44</v>
      </c>
      <c r="D4237">
        <v>957627.73493062321</v>
      </c>
      <c r="E4237" t="s">
        <v>40</v>
      </c>
      <c r="F4237" t="s">
        <v>10</v>
      </c>
    </row>
    <row r="4238" spans="1:6" hidden="1" x14ac:dyDescent="0.35">
      <c r="A4238" t="s">
        <v>57</v>
      </c>
      <c r="B4238" t="s">
        <v>54</v>
      </c>
      <c r="C4238" t="s">
        <v>22</v>
      </c>
      <c r="D4238">
        <v>0</v>
      </c>
      <c r="E4238" t="s">
        <v>40</v>
      </c>
      <c r="F4238" t="s">
        <v>10</v>
      </c>
    </row>
    <row r="4239" spans="1:6" hidden="1" x14ac:dyDescent="0.35">
      <c r="A4239" t="s">
        <v>11</v>
      </c>
      <c r="B4239" t="s">
        <v>54</v>
      </c>
      <c r="C4239" t="s">
        <v>22</v>
      </c>
      <c r="D4239">
        <v>0</v>
      </c>
      <c r="E4239" t="s">
        <v>40</v>
      </c>
      <c r="F4239" t="s">
        <v>10</v>
      </c>
    </row>
    <row r="4240" spans="1:6" hidden="1" x14ac:dyDescent="0.35">
      <c r="A4240" t="s">
        <v>58</v>
      </c>
      <c r="B4240" t="s">
        <v>54</v>
      </c>
      <c r="C4240" t="s">
        <v>22</v>
      </c>
      <c r="D4240">
        <v>0</v>
      </c>
      <c r="E4240" t="s">
        <v>40</v>
      </c>
      <c r="F4240" t="s">
        <v>10</v>
      </c>
    </row>
    <row r="4241" spans="1:6" hidden="1" x14ac:dyDescent="0.35">
      <c r="A4241" t="s">
        <v>59</v>
      </c>
      <c r="B4241" t="s">
        <v>54</v>
      </c>
      <c r="C4241" t="s">
        <v>22</v>
      </c>
      <c r="D4241">
        <v>0</v>
      </c>
      <c r="E4241" t="s">
        <v>40</v>
      </c>
      <c r="F4241" t="s">
        <v>10</v>
      </c>
    </row>
    <row r="4242" spans="1:6" hidden="1" x14ac:dyDescent="0.35">
      <c r="A4242" t="s">
        <v>60</v>
      </c>
      <c r="B4242" t="s">
        <v>54</v>
      </c>
      <c r="C4242" t="s">
        <v>22</v>
      </c>
      <c r="D4242">
        <v>0</v>
      </c>
      <c r="E4242" t="s">
        <v>40</v>
      </c>
      <c r="F4242" t="s">
        <v>10</v>
      </c>
    </row>
    <row r="4243" spans="1:6" hidden="1" x14ac:dyDescent="0.35">
      <c r="A4243" t="s">
        <v>61</v>
      </c>
      <c r="B4243" t="s">
        <v>54</v>
      </c>
      <c r="C4243" t="s">
        <v>22</v>
      </c>
      <c r="D4243">
        <v>0</v>
      </c>
      <c r="E4243" t="s">
        <v>40</v>
      </c>
      <c r="F4243" t="s">
        <v>10</v>
      </c>
    </row>
    <row r="4244" spans="1:6" hidden="1" x14ac:dyDescent="0.35">
      <c r="A4244" t="s">
        <v>62</v>
      </c>
      <c r="B4244" t="s">
        <v>54</v>
      </c>
      <c r="C4244" t="s">
        <v>22</v>
      </c>
      <c r="D4244">
        <v>0</v>
      </c>
      <c r="E4244" t="s">
        <v>40</v>
      </c>
      <c r="F4244" t="s">
        <v>10</v>
      </c>
    </row>
    <row r="4245" spans="1:6" hidden="1" x14ac:dyDescent="0.35">
      <c r="A4245" t="s">
        <v>63</v>
      </c>
      <c r="B4245" t="s">
        <v>54</v>
      </c>
      <c r="C4245" t="s">
        <v>22</v>
      </c>
      <c r="D4245">
        <v>0</v>
      </c>
      <c r="E4245" t="s">
        <v>40</v>
      </c>
      <c r="F4245" t="s">
        <v>10</v>
      </c>
    </row>
    <row r="4246" spans="1:6" hidden="1" x14ac:dyDescent="0.35">
      <c r="A4246" t="s">
        <v>64</v>
      </c>
      <c r="B4246" t="s">
        <v>54</v>
      </c>
      <c r="C4246" t="s">
        <v>22</v>
      </c>
      <c r="D4246">
        <v>0</v>
      </c>
      <c r="E4246" t="s">
        <v>40</v>
      </c>
      <c r="F4246" t="s">
        <v>10</v>
      </c>
    </row>
    <row r="4247" spans="1:6" hidden="1" x14ac:dyDescent="0.35">
      <c r="A4247" t="s">
        <v>65</v>
      </c>
      <c r="B4247" t="s">
        <v>54</v>
      </c>
      <c r="C4247" t="s">
        <v>22</v>
      </c>
      <c r="D4247">
        <v>0</v>
      </c>
      <c r="E4247" t="s">
        <v>40</v>
      </c>
      <c r="F4247" t="s">
        <v>10</v>
      </c>
    </row>
    <row r="4248" spans="1:6" hidden="1" x14ac:dyDescent="0.35">
      <c r="A4248" t="s">
        <v>66</v>
      </c>
      <c r="B4248" t="s">
        <v>54</v>
      </c>
      <c r="C4248" t="s">
        <v>22</v>
      </c>
      <c r="D4248">
        <v>0</v>
      </c>
      <c r="E4248" t="s">
        <v>40</v>
      </c>
      <c r="F4248" t="s">
        <v>10</v>
      </c>
    </row>
    <row r="4249" spans="1:6" hidden="1" x14ac:dyDescent="0.35">
      <c r="A4249" t="s">
        <v>67</v>
      </c>
      <c r="B4249" t="s">
        <v>54</v>
      </c>
      <c r="C4249" t="s">
        <v>22</v>
      </c>
      <c r="D4249">
        <v>0</v>
      </c>
      <c r="E4249" t="s">
        <v>40</v>
      </c>
      <c r="F4249" t="s">
        <v>10</v>
      </c>
    </row>
    <row r="4250" spans="1:6" hidden="1" x14ac:dyDescent="0.35">
      <c r="A4250" t="s">
        <v>57</v>
      </c>
      <c r="B4250" t="s">
        <v>54</v>
      </c>
      <c r="C4250" t="s">
        <v>46</v>
      </c>
      <c r="D4250">
        <v>1239279.913849452</v>
      </c>
      <c r="E4250" t="s">
        <v>40</v>
      </c>
      <c r="F4250" t="s">
        <v>10</v>
      </c>
    </row>
    <row r="4251" spans="1:6" hidden="1" x14ac:dyDescent="0.35">
      <c r="A4251" t="s">
        <v>11</v>
      </c>
      <c r="B4251" t="s">
        <v>54</v>
      </c>
      <c r="C4251" t="s">
        <v>46</v>
      </c>
      <c r="D4251">
        <v>1166225.0853865091</v>
      </c>
      <c r="E4251" t="s">
        <v>40</v>
      </c>
      <c r="F4251" t="s">
        <v>10</v>
      </c>
    </row>
    <row r="4252" spans="1:6" hidden="1" x14ac:dyDescent="0.35">
      <c r="A4252" t="s">
        <v>58</v>
      </c>
      <c r="B4252" t="s">
        <v>54</v>
      </c>
      <c r="C4252" t="s">
        <v>46</v>
      </c>
      <c r="D4252">
        <v>1023686.9959725779</v>
      </c>
      <c r="E4252" t="s">
        <v>40</v>
      </c>
      <c r="F4252" t="s">
        <v>10</v>
      </c>
    </row>
    <row r="4253" spans="1:6" hidden="1" x14ac:dyDescent="0.35">
      <c r="A4253" t="s">
        <v>59</v>
      </c>
      <c r="B4253" t="s">
        <v>54</v>
      </c>
      <c r="C4253" t="s">
        <v>46</v>
      </c>
      <c r="D4253">
        <v>1741575.891993437</v>
      </c>
      <c r="E4253" t="s">
        <v>40</v>
      </c>
      <c r="F4253" t="s">
        <v>10</v>
      </c>
    </row>
    <row r="4254" spans="1:6" hidden="1" x14ac:dyDescent="0.35">
      <c r="A4254" t="s">
        <v>60</v>
      </c>
      <c r="B4254" t="s">
        <v>54</v>
      </c>
      <c r="C4254" t="s">
        <v>46</v>
      </c>
      <c r="D4254">
        <v>1050959.009742324</v>
      </c>
      <c r="E4254" t="s">
        <v>40</v>
      </c>
      <c r="F4254" t="s">
        <v>10</v>
      </c>
    </row>
    <row r="4255" spans="1:6" hidden="1" x14ac:dyDescent="0.35">
      <c r="A4255" t="s">
        <v>61</v>
      </c>
      <c r="B4255" t="s">
        <v>54</v>
      </c>
      <c r="C4255" t="s">
        <v>46</v>
      </c>
      <c r="D4255">
        <v>973059.13623869896</v>
      </c>
      <c r="E4255" t="s">
        <v>40</v>
      </c>
      <c r="F4255" t="s">
        <v>10</v>
      </c>
    </row>
    <row r="4256" spans="1:6" hidden="1" x14ac:dyDescent="0.35">
      <c r="A4256" t="s">
        <v>62</v>
      </c>
      <c r="B4256" t="s">
        <v>54</v>
      </c>
      <c r="C4256" t="s">
        <v>46</v>
      </c>
      <c r="D4256">
        <v>984628.95567657135</v>
      </c>
      <c r="E4256" t="s">
        <v>40</v>
      </c>
      <c r="F4256" t="s">
        <v>10</v>
      </c>
    </row>
    <row r="4257" spans="1:6" hidden="1" x14ac:dyDescent="0.35">
      <c r="A4257" t="s">
        <v>63</v>
      </c>
      <c r="B4257" t="s">
        <v>54</v>
      </c>
      <c r="C4257" t="s">
        <v>46</v>
      </c>
      <c r="D4257">
        <v>755406.90756504063</v>
      </c>
      <c r="E4257" t="s">
        <v>40</v>
      </c>
      <c r="F4257" t="s">
        <v>10</v>
      </c>
    </row>
    <row r="4258" spans="1:6" hidden="1" x14ac:dyDescent="0.35">
      <c r="A4258" t="s">
        <v>64</v>
      </c>
      <c r="B4258" t="s">
        <v>54</v>
      </c>
      <c r="C4258" t="s">
        <v>46</v>
      </c>
      <c r="D4258">
        <v>1168261.0782589919</v>
      </c>
      <c r="E4258" t="s">
        <v>40</v>
      </c>
      <c r="F4258" t="s">
        <v>10</v>
      </c>
    </row>
    <row r="4259" spans="1:6" hidden="1" x14ac:dyDescent="0.35">
      <c r="A4259" t="s">
        <v>65</v>
      </c>
      <c r="B4259" t="s">
        <v>54</v>
      </c>
      <c r="C4259" t="s">
        <v>46</v>
      </c>
      <c r="D4259">
        <v>1468564.3861870819</v>
      </c>
      <c r="E4259" t="s">
        <v>40</v>
      </c>
      <c r="F4259" t="s">
        <v>10</v>
      </c>
    </row>
    <row r="4260" spans="1:6" hidden="1" x14ac:dyDescent="0.35">
      <c r="A4260" t="s">
        <v>66</v>
      </c>
      <c r="B4260" t="s">
        <v>54</v>
      </c>
      <c r="C4260" t="s">
        <v>46</v>
      </c>
      <c r="D4260">
        <v>1501742.5321094689</v>
      </c>
      <c r="E4260" t="s">
        <v>40</v>
      </c>
      <c r="F4260" t="s">
        <v>10</v>
      </c>
    </row>
    <row r="4261" spans="1:6" hidden="1" x14ac:dyDescent="0.35">
      <c r="A4261" t="s">
        <v>67</v>
      </c>
      <c r="B4261" t="s">
        <v>54</v>
      </c>
      <c r="C4261" t="s">
        <v>46</v>
      </c>
      <c r="D4261">
        <v>700135.0709387532</v>
      </c>
      <c r="E4261" t="s">
        <v>40</v>
      </c>
      <c r="F4261" t="s">
        <v>10</v>
      </c>
    </row>
    <row r="4262" spans="1:6" hidden="1" x14ac:dyDescent="0.35">
      <c r="A4262" t="s">
        <v>57</v>
      </c>
      <c r="B4262" t="s">
        <v>54</v>
      </c>
      <c r="C4262" t="s">
        <v>24</v>
      </c>
      <c r="D4262">
        <v>0</v>
      </c>
      <c r="E4262" t="s">
        <v>40</v>
      </c>
      <c r="F4262" t="s">
        <v>10</v>
      </c>
    </row>
    <row r="4263" spans="1:6" hidden="1" x14ac:dyDescent="0.35">
      <c r="A4263" t="s">
        <v>11</v>
      </c>
      <c r="B4263" t="s">
        <v>54</v>
      </c>
      <c r="C4263" t="s">
        <v>24</v>
      </c>
      <c r="D4263">
        <v>0</v>
      </c>
      <c r="E4263" t="s">
        <v>40</v>
      </c>
      <c r="F4263" t="s">
        <v>10</v>
      </c>
    </row>
    <row r="4264" spans="1:6" hidden="1" x14ac:dyDescent="0.35">
      <c r="A4264" t="s">
        <v>58</v>
      </c>
      <c r="B4264" t="s">
        <v>54</v>
      </c>
      <c r="C4264" t="s">
        <v>24</v>
      </c>
      <c r="D4264">
        <v>0</v>
      </c>
      <c r="E4264" t="s">
        <v>40</v>
      </c>
      <c r="F4264" t="s">
        <v>10</v>
      </c>
    </row>
    <row r="4265" spans="1:6" hidden="1" x14ac:dyDescent="0.35">
      <c r="A4265" t="s">
        <v>59</v>
      </c>
      <c r="B4265" t="s">
        <v>54</v>
      </c>
      <c r="C4265" t="s">
        <v>24</v>
      </c>
      <c r="D4265">
        <v>0</v>
      </c>
      <c r="E4265" t="s">
        <v>40</v>
      </c>
      <c r="F4265" t="s">
        <v>10</v>
      </c>
    </row>
    <row r="4266" spans="1:6" hidden="1" x14ac:dyDescent="0.35">
      <c r="A4266" t="s">
        <v>60</v>
      </c>
      <c r="B4266" t="s">
        <v>54</v>
      </c>
      <c r="C4266" t="s">
        <v>24</v>
      </c>
      <c r="D4266">
        <v>0</v>
      </c>
      <c r="E4266" t="s">
        <v>40</v>
      </c>
      <c r="F4266" t="s">
        <v>10</v>
      </c>
    </row>
    <row r="4267" spans="1:6" hidden="1" x14ac:dyDescent="0.35">
      <c r="A4267" t="s">
        <v>61</v>
      </c>
      <c r="B4267" t="s">
        <v>54</v>
      </c>
      <c r="C4267" t="s">
        <v>24</v>
      </c>
      <c r="D4267">
        <v>0</v>
      </c>
      <c r="E4267" t="s">
        <v>40</v>
      </c>
      <c r="F4267" t="s">
        <v>10</v>
      </c>
    </row>
    <row r="4268" spans="1:6" hidden="1" x14ac:dyDescent="0.35">
      <c r="A4268" t="s">
        <v>62</v>
      </c>
      <c r="B4268" t="s">
        <v>54</v>
      </c>
      <c r="C4268" t="s">
        <v>24</v>
      </c>
      <c r="D4268">
        <v>0</v>
      </c>
      <c r="E4268" t="s">
        <v>40</v>
      </c>
      <c r="F4268" t="s">
        <v>10</v>
      </c>
    </row>
    <row r="4269" spans="1:6" hidden="1" x14ac:dyDescent="0.35">
      <c r="A4269" t="s">
        <v>63</v>
      </c>
      <c r="B4269" t="s">
        <v>54</v>
      </c>
      <c r="C4269" t="s">
        <v>24</v>
      </c>
      <c r="D4269">
        <v>0</v>
      </c>
      <c r="E4269" t="s">
        <v>40</v>
      </c>
      <c r="F4269" t="s">
        <v>10</v>
      </c>
    </row>
    <row r="4270" spans="1:6" hidden="1" x14ac:dyDescent="0.35">
      <c r="A4270" t="s">
        <v>64</v>
      </c>
      <c r="B4270" t="s">
        <v>54</v>
      </c>
      <c r="C4270" t="s">
        <v>24</v>
      </c>
      <c r="D4270">
        <v>0</v>
      </c>
      <c r="E4270" t="s">
        <v>40</v>
      </c>
      <c r="F4270" t="s">
        <v>10</v>
      </c>
    </row>
    <row r="4271" spans="1:6" hidden="1" x14ac:dyDescent="0.35">
      <c r="A4271" t="s">
        <v>65</v>
      </c>
      <c r="B4271" t="s">
        <v>54</v>
      </c>
      <c r="C4271" t="s">
        <v>24</v>
      </c>
      <c r="D4271">
        <v>0</v>
      </c>
      <c r="E4271" t="s">
        <v>40</v>
      </c>
      <c r="F4271" t="s">
        <v>10</v>
      </c>
    </row>
    <row r="4272" spans="1:6" hidden="1" x14ac:dyDescent="0.35">
      <c r="A4272" t="s">
        <v>66</v>
      </c>
      <c r="B4272" t="s">
        <v>54</v>
      </c>
      <c r="C4272" t="s">
        <v>24</v>
      </c>
      <c r="D4272">
        <v>0</v>
      </c>
      <c r="E4272" t="s">
        <v>40</v>
      </c>
      <c r="F4272" t="s">
        <v>10</v>
      </c>
    </row>
    <row r="4273" spans="1:6" hidden="1" x14ac:dyDescent="0.35">
      <c r="A4273" t="s">
        <v>67</v>
      </c>
      <c r="B4273" t="s">
        <v>54</v>
      </c>
      <c r="C4273" t="s">
        <v>24</v>
      </c>
      <c r="D4273">
        <v>0</v>
      </c>
      <c r="E4273" t="s">
        <v>40</v>
      </c>
      <c r="F4273" t="s">
        <v>10</v>
      </c>
    </row>
    <row r="4274" spans="1:6" hidden="1" x14ac:dyDescent="0.35">
      <c r="A4274" t="s">
        <v>57</v>
      </c>
      <c r="B4274" t="s">
        <v>54</v>
      </c>
      <c r="C4274" t="s">
        <v>47</v>
      </c>
      <c r="D4274">
        <v>2340.7800000000002</v>
      </c>
      <c r="E4274" t="s">
        <v>40</v>
      </c>
      <c r="F4274" t="s">
        <v>10</v>
      </c>
    </row>
    <row r="4275" spans="1:6" hidden="1" x14ac:dyDescent="0.35">
      <c r="A4275" t="s">
        <v>11</v>
      </c>
      <c r="B4275" t="s">
        <v>54</v>
      </c>
      <c r="C4275" t="s">
        <v>47</v>
      </c>
      <c r="D4275">
        <v>50950.439999999988</v>
      </c>
      <c r="E4275" t="s">
        <v>40</v>
      </c>
      <c r="F4275" t="s">
        <v>10</v>
      </c>
    </row>
    <row r="4276" spans="1:6" hidden="1" x14ac:dyDescent="0.35">
      <c r="A4276" t="s">
        <v>58</v>
      </c>
      <c r="B4276" t="s">
        <v>54</v>
      </c>
      <c r="C4276" t="s">
        <v>47</v>
      </c>
      <c r="D4276">
        <v>44765.4</v>
      </c>
      <c r="E4276" t="s">
        <v>40</v>
      </c>
      <c r="F4276" t="s">
        <v>10</v>
      </c>
    </row>
    <row r="4277" spans="1:6" hidden="1" x14ac:dyDescent="0.35">
      <c r="A4277" t="s">
        <v>59</v>
      </c>
      <c r="B4277" t="s">
        <v>54</v>
      </c>
      <c r="C4277" t="s">
        <v>47</v>
      </c>
      <c r="E4277" t="s">
        <v>40</v>
      </c>
      <c r="F4277" t="s">
        <v>10</v>
      </c>
    </row>
    <row r="4278" spans="1:6" hidden="1" x14ac:dyDescent="0.35">
      <c r="A4278" t="s">
        <v>60</v>
      </c>
      <c r="B4278" t="s">
        <v>54</v>
      </c>
      <c r="C4278" t="s">
        <v>47</v>
      </c>
      <c r="E4278" t="s">
        <v>40</v>
      </c>
      <c r="F4278" t="s">
        <v>10</v>
      </c>
    </row>
    <row r="4279" spans="1:6" hidden="1" x14ac:dyDescent="0.35">
      <c r="A4279" t="s">
        <v>61</v>
      </c>
      <c r="B4279" t="s">
        <v>54</v>
      </c>
      <c r="C4279" t="s">
        <v>47</v>
      </c>
      <c r="D4279">
        <v>33642.100000000013</v>
      </c>
      <c r="E4279" t="s">
        <v>40</v>
      </c>
      <c r="F4279" t="s">
        <v>10</v>
      </c>
    </row>
    <row r="4280" spans="1:6" hidden="1" x14ac:dyDescent="0.35">
      <c r="A4280" t="s">
        <v>62</v>
      </c>
      <c r="B4280" t="s">
        <v>54</v>
      </c>
      <c r="C4280" t="s">
        <v>47</v>
      </c>
      <c r="D4280">
        <v>32380.67</v>
      </c>
      <c r="E4280" t="s">
        <v>40</v>
      </c>
      <c r="F4280" t="s">
        <v>10</v>
      </c>
    </row>
    <row r="4281" spans="1:6" hidden="1" x14ac:dyDescent="0.35">
      <c r="A4281" t="s">
        <v>63</v>
      </c>
      <c r="B4281" t="s">
        <v>54</v>
      </c>
      <c r="C4281" t="s">
        <v>47</v>
      </c>
      <c r="D4281">
        <v>149718.54</v>
      </c>
      <c r="E4281" t="s">
        <v>40</v>
      </c>
      <c r="F4281" t="s">
        <v>10</v>
      </c>
    </row>
    <row r="4282" spans="1:6" hidden="1" x14ac:dyDescent="0.35">
      <c r="A4282" t="s">
        <v>64</v>
      </c>
      <c r="B4282" t="s">
        <v>54</v>
      </c>
      <c r="C4282" t="s">
        <v>47</v>
      </c>
      <c r="D4282">
        <v>144.21</v>
      </c>
      <c r="E4282" t="s">
        <v>40</v>
      </c>
      <c r="F4282" t="s">
        <v>10</v>
      </c>
    </row>
    <row r="4283" spans="1:6" hidden="1" x14ac:dyDescent="0.35">
      <c r="A4283" t="s">
        <v>65</v>
      </c>
      <c r="B4283" t="s">
        <v>54</v>
      </c>
      <c r="C4283" t="s">
        <v>47</v>
      </c>
      <c r="D4283">
        <v>6209.43</v>
      </c>
      <c r="E4283" t="s">
        <v>40</v>
      </c>
      <c r="F4283" t="s">
        <v>10</v>
      </c>
    </row>
    <row r="4284" spans="1:6" hidden="1" x14ac:dyDescent="0.35">
      <c r="A4284" t="s">
        <v>66</v>
      </c>
      <c r="B4284" t="s">
        <v>54</v>
      </c>
      <c r="C4284" t="s">
        <v>47</v>
      </c>
      <c r="D4284">
        <v>50082.250000000007</v>
      </c>
      <c r="E4284" t="s">
        <v>40</v>
      </c>
      <c r="F4284" t="s">
        <v>10</v>
      </c>
    </row>
    <row r="4285" spans="1:6" hidden="1" x14ac:dyDescent="0.35">
      <c r="A4285" t="s">
        <v>67</v>
      </c>
      <c r="B4285" t="s">
        <v>54</v>
      </c>
      <c r="C4285" t="s">
        <v>47</v>
      </c>
      <c r="D4285">
        <v>633.84</v>
      </c>
      <c r="E4285" t="s">
        <v>40</v>
      </c>
      <c r="F4285" t="s">
        <v>10</v>
      </c>
    </row>
    <row r="4286" spans="1:6" hidden="1" x14ac:dyDescent="0.35">
      <c r="A4286" t="s">
        <v>57</v>
      </c>
      <c r="B4286" t="s">
        <v>54</v>
      </c>
      <c r="C4286" t="s">
        <v>48</v>
      </c>
      <c r="D4286">
        <v>0</v>
      </c>
      <c r="E4286" t="s">
        <v>40</v>
      </c>
      <c r="F4286" t="s">
        <v>10</v>
      </c>
    </row>
    <row r="4287" spans="1:6" hidden="1" x14ac:dyDescent="0.35">
      <c r="A4287" t="s">
        <v>11</v>
      </c>
      <c r="B4287" t="s">
        <v>54</v>
      </c>
      <c r="C4287" t="s">
        <v>48</v>
      </c>
      <c r="D4287">
        <v>0</v>
      </c>
      <c r="E4287" t="s">
        <v>40</v>
      </c>
      <c r="F4287" t="s">
        <v>10</v>
      </c>
    </row>
    <row r="4288" spans="1:6" hidden="1" x14ac:dyDescent="0.35">
      <c r="A4288" t="s">
        <v>58</v>
      </c>
      <c r="B4288" t="s">
        <v>54</v>
      </c>
      <c r="C4288" t="s">
        <v>48</v>
      </c>
      <c r="D4288">
        <v>0</v>
      </c>
      <c r="E4288" t="s">
        <v>40</v>
      </c>
      <c r="F4288" t="s">
        <v>10</v>
      </c>
    </row>
    <row r="4289" spans="1:6" hidden="1" x14ac:dyDescent="0.35">
      <c r="A4289" t="s">
        <v>59</v>
      </c>
      <c r="B4289" t="s">
        <v>54</v>
      </c>
      <c r="C4289" t="s">
        <v>48</v>
      </c>
      <c r="D4289">
        <v>0</v>
      </c>
      <c r="E4289" t="s">
        <v>40</v>
      </c>
      <c r="F4289" t="s">
        <v>10</v>
      </c>
    </row>
    <row r="4290" spans="1:6" hidden="1" x14ac:dyDescent="0.35">
      <c r="A4290" t="s">
        <v>60</v>
      </c>
      <c r="B4290" t="s">
        <v>54</v>
      </c>
      <c r="C4290" t="s">
        <v>48</v>
      </c>
      <c r="D4290">
        <v>0</v>
      </c>
      <c r="E4290" t="s">
        <v>40</v>
      </c>
      <c r="F4290" t="s">
        <v>10</v>
      </c>
    </row>
    <row r="4291" spans="1:6" hidden="1" x14ac:dyDescent="0.35">
      <c r="A4291" t="s">
        <v>61</v>
      </c>
      <c r="B4291" t="s">
        <v>54</v>
      </c>
      <c r="C4291" t="s">
        <v>48</v>
      </c>
      <c r="D4291">
        <v>0</v>
      </c>
      <c r="E4291" t="s">
        <v>40</v>
      </c>
      <c r="F4291" t="s">
        <v>10</v>
      </c>
    </row>
    <row r="4292" spans="1:6" hidden="1" x14ac:dyDescent="0.35">
      <c r="A4292" t="s">
        <v>62</v>
      </c>
      <c r="B4292" t="s">
        <v>54</v>
      </c>
      <c r="C4292" t="s">
        <v>48</v>
      </c>
      <c r="D4292">
        <v>0</v>
      </c>
      <c r="E4292" t="s">
        <v>40</v>
      </c>
      <c r="F4292" t="s">
        <v>10</v>
      </c>
    </row>
    <row r="4293" spans="1:6" hidden="1" x14ac:dyDescent="0.35">
      <c r="A4293" t="s">
        <v>63</v>
      </c>
      <c r="B4293" t="s">
        <v>54</v>
      </c>
      <c r="C4293" t="s">
        <v>48</v>
      </c>
      <c r="D4293">
        <v>0</v>
      </c>
      <c r="E4293" t="s">
        <v>40</v>
      </c>
      <c r="F4293" t="s">
        <v>10</v>
      </c>
    </row>
    <row r="4294" spans="1:6" hidden="1" x14ac:dyDescent="0.35">
      <c r="A4294" t="s">
        <v>64</v>
      </c>
      <c r="B4294" t="s">
        <v>54</v>
      </c>
      <c r="C4294" t="s">
        <v>48</v>
      </c>
      <c r="D4294">
        <v>0</v>
      </c>
      <c r="E4294" t="s">
        <v>40</v>
      </c>
      <c r="F4294" t="s">
        <v>10</v>
      </c>
    </row>
    <row r="4295" spans="1:6" hidden="1" x14ac:dyDescent="0.35">
      <c r="A4295" t="s">
        <v>65</v>
      </c>
      <c r="B4295" t="s">
        <v>54</v>
      </c>
      <c r="C4295" t="s">
        <v>48</v>
      </c>
      <c r="D4295">
        <v>0</v>
      </c>
      <c r="E4295" t="s">
        <v>40</v>
      </c>
      <c r="F4295" t="s">
        <v>10</v>
      </c>
    </row>
    <row r="4296" spans="1:6" hidden="1" x14ac:dyDescent="0.35">
      <c r="A4296" t="s">
        <v>66</v>
      </c>
      <c r="B4296" t="s">
        <v>54</v>
      </c>
      <c r="C4296" t="s">
        <v>48</v>
      </c>
      <c r="D4296">
        <v>0</v>
      </c>
      <c r="E4296" t="s">
        <v>40</v>
      </c>
      <c r="F4296" t="s">
        <v>10</v>
      </c>
    </row>
    <row r="4297" spans="1:6" hidden="1" x14ac:dyDescent="0.35">
      <c r="A4297" t="s">
        <v>67</v>
      </c>
      <c r="B4297" t="s">
        <v>54</v>
      </c>
      <c r="C4297" t="s">
        <v>48</v>
      </c>
      <c r="D4297">
        <v>0</v>
      </c>
      <c r="E4297" t="s">
        <v>40</v>
      </c>
      <c r="F4297" t="s">
        <v>10</v>
      </c>
    </row>
    <row r="4298" spans="1:6" hidden="1" x14ac:dyDescent="0.35">
      <c r="A4298" t="s">
        <v>57</v>
      </c>
      <c r="B4298" t="s">
        <v>54</v>
      </c>
      <c r="C4298" t="s">
        <v>49</v>
      </c>
      <c r="D4298">
        <v>1375024.3296000001</v>
      </c>
      <c r="E4298" t="s">
        <v>40</v>
      </c>
      <c r="F4298" t="s">
        <v>10</v>
      </c>
    </row>
    <row r="4299" spans="1:6" hidden="1" x14ac:dyDescent="0.35">
      <c r="A4299" t="s">
        <v>11</v>
      </c>
      <c r="B4299" t="s">
        <v>54</v>
      </c>
      <c r="C4299" t="s">
        <v>49</v>
      </c>
      <c r="D4299">
        <v>1352308.9356</v>
      </c>
      <c r="E4299" t="s">
        <v>40</v>
      </c>
      <c r="F4299" t="s">
        <v>10</v>
      </c>
    </row>
    <row r="4300" spans="1:6" hidden="1" x14ac:dyDescent="0.35">
      <c r="A4300" t="s">
        <v>58</v>
      </c>
      <c r="B4300" t="s">
        <v>54</v>
      </c>
      <c r="C4300" t="s">
        <v>49</v>
      </c>
      <c r="D4300">
        <v>2441715.14</v>
      </c>
      <c r="E4300" t="s">
        <v>40</v>
      </c>
      <c r="F4300" t="s">
        <v>10</v>
      </c>
    </row>
    <row r="4301" spans="1:6" hidden="1" x14ac:dyDescent="0.35">
      <c r="A4301" t="s">
        <v>59</v>
      </c>
      <c r="B4301" t="s">
        <v>54</v>
      </c>
      <c r="C4301" t="s">
        <v>49</v>
      </c>
      <c r="D4301">
        <v>1677385.963199999</v>
      </c>
      <c r="E4301" t="s">
        <v>40</v>
      </c>
      <c r="F4301" t="s">
        <v>10</v>
      </c>
    </row>
    <row r="4302" spans="1:6" hidden="1" x14ac:dyDescent="0.35">
      <c r="A4302" t="s">
        <v>60</v>
      </c>
      <c r="B4302" t="s">
        <v>54</v>
      </c>
      <c r="C4302" t="s">
        <v>49</v>
      </c>
      <c r="D4302">
        <v>2447440.7235999978</v>
      </c>
      <c r="E4302" t="s">
        <v>40</v>
      </c>
      <c r="F4302" t="s">
        <v>10</v>
      </c>
    </row>
    <row r="4303" spans="1:6" hidden="1" x14ac:dyDescent="0.35">
      <c r="A4303" t="s">
        <v>61</v>
      </c>
      <c r="B4303" t="s">
        <v>54</v>
      </c>
      <c r="C4303" t="s">
        <v>49</v>
      </c>
      <c r="D4303">
        <v>2486852.4940000009</v>
      </c>
      <c r="E4303" t="s">
        <v>40</v>
      </c>
      <c r="F4303" t="s">
        <v>10</v>
      </c>
    </row>
    <row r="4304" spans="1:6" hidden="1" x14ac:dyDescent="0.35">
      <c r="A4304" t="s">
        <v>62</v>
      </c>
      <c r="B4304" t="s">
        <v>54</v>
      </c>
      <c r="C4304" t="s">
        <v>49</v>
      </c>
      <c r="D4304">
        <v>2865708.756800001</v>
      </c>
      <c r="E4304" t="s">
        <v>40</v>
      </c>
      <c r="F4304" t="s">
        <v>10</v>
      </c>
    </row>
    <row r="4305" spans="1:6" hidden="1" x14ac:dyDescent="0.35">
      <c r="A4305" t="s">
        <v>63</v>
      </c>
      <c r="B4305" t="s">
        <v>54</v>
      </c>
      <c r="C4305" t="s">
        <v>49</v>
      </c>
      <c r="D4305">
        <v>2306566.7791999988</v>
      </c>
      <c r="E4305" t="s">
        <v>40</v>
      </c>
      <c r="F4305" t="s">
        <v>10</v>
      </c>
    </row>
    <row r="4306" spans="1:6" hidden="1" x14ac:dyDescent="0.35">
      <c r="A4306" t="s">
        <v>64</v>
      </c>
      <c r="B4306" t="s">
        <v>54</v>
      </c>
      <c r="C4306" t="s">
        <v>49</v>
      </c>
      <c r="D4306">
        <v>2372163.296000002</v>
      </c>
      <c r="E4306" t="s">
        <v>40</v>
      </c>
      <c r="F4306" t="s">
        <v>10</v>
      </c>
    </row>
    <row r="4307" spans="1:6" hidden="1" x14ac:dyDescent="0.35">
      <c r="A4307" t="s">
        <v>65</v>
      </c>
      <c r="B4307" t="s">
        <v>54</v>
      </c>
      <c r="C4307" t="s">
        <v>49</v>
      </c>
      <c r="D4307">
        <v>2409280.4567999979</v>
      </c>
      <c r="E4307" t="s">
        <v>40</v>
      </c>
      <c r="F4307" t="s">
        <v>10</v>
      </c>
    </row>
    <row r="4308" spans="1:6" hidden="1" x14ac:dyDescent="0.35">
      <c r="A4308" t="s">
        <v>66</v>
      </c>
      <c r="B4308" t="s">
        <v>54</v>
      </c>
      <c r="C4308" t="s">
        <v>49</v>
      </c>
      <c r="D4308">
        <v>2063154.5056</v>
      </c>
      <c r="E4308" t="s">
        <v>40</v>
      </c>
      <c r="F4308" t="s">
        <v>10</v>
      </c>
    </row>
    <row r="4309" spans="1:6" hidden="1" x14ac:dyDescent="0.35">
      <c r="A4309" t="s">
        <v>67</v>
      </c>
      <c r="B4309" t="s">
        <v>54</v>
      </c>
      <c r="C4309" t="s">
        <v>49</v>
      </c>
      <c r="D4309">
        <v>1191248.9583999999</v>
      </c>
      <c r="E4309" t="s">
        <v>40</v>
      </c>
      <c r="F4309" t="s">
        <v>10</v>
      </c>
    </row>
    <row r="4310" spans="1:6" hidden="1" x14ac:dyDescent="0.35">
      <c r="A4310" t="s">
        <v>57</v>
      </c>
      <c r="B4310" t="s">
        <v>54</v>
      </c>
      <c r="C4310" t="s">
        <v>50</v>
      </c>
      <c r="D4310">
        <v>2929283.7191999988</v>
      </c>
      <c r="E4310" t="s">
        <v>40</v>
      </c>
      <c r="F4310" t="s">
        <v>10</v>
      </c>
    </row>
    <row r="4311" spans="1:6" hidden="1" x14ac:dyDescent="0.35">
      <c r="A4311" t="s">
        <v>11</v>
      </c>
      <c r="B4311" t="s">
        <v>54</v>
      </c>
      <c r="C4311" t="s">
        <v>50</v>
      </c>
      <c r="D4311">
        <v>2323308.9500000011</v>
      </c>
      <c r="E4311" t="s">
        <v>40</v>
      </c>
      <c r="F4311" t="s">
        <v>10</v>
      </c>
    </row>
    <row r="4312" spans="1:6" hidden="1" x14ac:dyDescent="0.35">
      <c r="A4312" t="s">
        <v>58</v>
      </c>
      <c r="B4312" t="s">
        <v>54</v>
      </c>
      <c r="C4312" t="s">
        <v>50</v>
      </c>
      <c r="D4312">
        <v>5547227.0231999988</v>
      </c>
      <c r="E4312" t="s">
        <v>40</v>
      </c>
      <c r="F4312" t="s">
        <v>10</v>
      </c>
    </row>
    <row r="4313" spans="1:6" hidden="1" x14ac:dyDescent="0.35">
      <c r="A4313" t="s">
        <v>59</v>
      </c>
      <c r="B4313" t="s">
        <v>54</v>
      </c>
      <c r="C4313" t="s">
        <v>50</v>
      </c>
      <c r="D4313">
        <v>5401531.3384000016</v>
      </c>
      <c r="E4313" t="s">
        <v>40</v>
      </c>
      <c r="F4313" t="s">
        <v>10</v>
      </c>
    </row>
    <row r="4314" spans="1:6" hidden="1" x14ac:dyDescent="0.35">
      <c r="A4314" t="s">
        <v>60</v>
      </c>
      <c r="B4314" t="s">
        <v>54</v>
      </c>
      <c r="C4314" t="s">
        <v>50</v>
      </c>
      <c r="D4314">
        <v>4780532.3199999994</v>
      </c>
      <c r="E4314" t="s">
        <v>40</v>
      </c>
      <c r="F4314" t="s">
        <v>10</v>
      </c>
    </row>
    <row r="4315" spans="1:6" hidden="1" x14ac:dyDescent="0.35">
      <c r="A4315" t="s">
        <v>61</v>
      </c>
      <c r="B4315" t="s">
        <v>54</v>
      </c>
      <c r="C4315" t="s">
        <v>50</v>
      </c>
      <c r="D4315">
        <v>4847012.0556000033</v>
      </c>
      <c r="E4315" t="s">
        <v>40</v>
      </c>
      <c r="F4315" t="s">
        <v>10</v>
      </c>
    </row>
    <row r="4316" spans="1:6" hidden="1" x14ac:dyDescent="0.35">
      <c r="A4316" t="s">
        <v>62</v>
      </c>
      <c r="B4316" t="s">
        <v>54</v>
      </c>
      <c r="C4316" t="s">
        <v>50</v>
      </c>
      <c r="D4316">
        <v>5411960.2715999996</v>
      </c>
      <c r="E4316" t="s">
        <v>40</v>
      </c>
      <c r="F4316" t="s">
        <v>10</v>
      </c>
    </row>
    <row r="4317" spans="1:6" hidden="1" x14ac:dyDescent="0.35">
      <c r="A4317" t="s">
        <v>63</v>
      </c>
      <c r="B4317" t="s">
        <v>54</v>
      </c>
      <c r="C4317" t="s">
        <v>50</v>
      </c>
      <c r="D4317">
        <v>3212962.4871999999</v>
      </c>
      <c r="E4317" t="s">
        <v>40</v>
      </c>
      <c r="F4317" t="s">
        <v>10</v>
      </c>
    </row>
    <row r="4318" spans="1:6" hidden="1" x14ac:dyDescent="0.35">
      <c r="A4318" t="s">
        <v>64</v>
      </c>
      <c r="B4318" t="s">
        <v>54</v>
      </c>
      <c r="C4318" t="s">
        <v>50</v>
      </c>
      <c r="D4318">
        <v>4547433.7968000006</v>
      </c>
      <c r="E4318" t="s">
        <v>40</v>
      </c>
      <c r="F4318" t="s">
        <v>10</v>
      </c>
    </row>
    <row r="4319" spans="1:6" hidden="1" x14ac:dyDescent="0.35">
      <c r="A4319" t="s">
        <v>65</v>
      </c>
      <c r="B4319" t="s">
        <v>54</v>
      </c>
      <c r="C4319" t="s">
        <v>50</v>
      </c>
      <c r="D4319">
        <v>4378291.3984000012</v>
      </c>
      <c r="E4319" t="s">
        <v>40</v>
      </c>
      <c r="F4319" t="s">
        <v>10</v>
      </c>
    </row>
    <row r="4320" spans="1:6" hidden="1" x14ac:dyDescent="0.35">
      <c r="A4320" t="s">
        <v>66</v>
      </c>
      <c r="B4320" t="s">
        <v>54</v>
      </c>
      <c r="C4320" t="s">
        <v>50</v>
      </c>
      <c r="D4320">
        <v>5534552.4996000044</v>
      </c>
      <c r="E4320" t="s">
        <v>40</v>
      </c>
      <c r="F4320" t="s">
        <v>10</v>
      </c>
    </row>
    <row r="4321" spans="1:6" hidden="1" x14ac:dyDescent="0.35">
      <c r="A4321" t="s">
        <v>67</v>
      </c>
      <c r="B4321" t="s">
        <v>54</v>
      </c>
      <c r="C4321" t="s">
        <v>50</v>
      </c>
      <c r="D4321">
        <v>2615390.5408000001</v>
      </c>
      <c r="E4321" t="s">
        <v>40</v>
      </c>
      <c r="F4321" t="s">
        <v>10</v>
      </c>
    </row>
    <row r="4322" spans="1:6" hidden="1" x14ac:dyDescent="0.35">
      <c r="A4322" t="s">
        <v>57</v>
      </c>
      <c r="B4322" t="s">
        <v>54</v>
      </c>
      <c r="C4322" t="s">
        <v>51</v>
      </c>
      <c r="D4322">
        <v>687</v>
      </c>
      <c r="E4322" t="s">
        <v>40</v>
      </c>
      <c r="F4322" t="s">
        <v>10</v>
      </c>
    </row>
    <row r="4323" spans="1:6" hidden="1" x14ac:dyDescent="0.35">
      <c r="A4323" t="s">
        <v>11</v>
      </c>
      <c r="B4323" t="s">
        <v>54</v>
      </c>
      <c r="C4323" t="s">
        <v>51</v>
      </c>
      <c r="D4323">
        <v>736</v>
      </c>
      <c r="E4323" t="s">
        <v>40</v>
      </c>
      <c r="F4323" t="s">
        <v>10</v>
      </c>
    </row>
    <row r="4324" spans="1:6" hidden="1" x14ac:dyDescent="0.35">
      <c r="A4324" t="s">
        <v>58</v>
      </c>
      <c r="B4324" t="s">
        <v>54</v>
      </c>
      <c r="C4324" t="s">
        <v>51</v>
      </c>
      <c r="D4324">
        <v>988</v>
      </c>
      <c r="E4324" t="s">
        <v>40</v>
      </c>
      <c r="F4324" t="s">
        <v>10</v>
      </c>
    </row>
    <row r="4325" spans="1:6" hidden="1" x14ac:dyDescent="0.35">
      <c r="A4325" t="s">
        <v>59</v>
      </c>
      <c r="B4325" t="s">
        <v>54</v>
      </c>
      <c r="C4325" t="s">
        <v>51</v>
      </c>
      <c r="D4325">
        <v>1191</v>
      </c>
      <c r="E4325" t="s">
        <v>40</v>
      </c>
      <c r="F4325" t="s">
        <v>10</v>
      </c>
    </row>
    <row r="4326" spans="1:6" hidden="1" x14ac:dyDescent="0.35">
      <c r="A4326" t="s">
        <v>60</v>
      </c>
      <c r="B4326" t="s">
        <v>54</v>
      </c>
      <c r="C4326" t="s">
        <v>51</v>
      </c>
      <c r="D4326">
        <v>666</v>
      </c>
      <c r="E4326" t="s">
        <v>40</v>
      </c>
      <c r="F4326" t="s">
        <v>10</v>
      </c>
    </row>
    <row r="4327" spans="1:6" hidden="1" x14ac:dyDescent="0.35">
      <c r="A4327" t="s">
        <v>61</v>
      </c>
      <c r="B4327" t="s">
        <v>54</v>
      </c>
      <c r="C4327" t="s">
        <v>51</v>
      </c>
      <c r="D4327">
        <v>695</v>
      </c>
      <c r="E4327" t="s">
        <v>40</v>
      </c>
      <c r="F4327" t="s">
        <v>10</v>
      </c>
    </row>
    <row r="4328" spans="1:6" hidden="1" x14ac:dyDescent="0.35">
      <c r="A4328" t="s">
        <v>62</v>
      </c>
      <c r="B4328" t="s">
        <v>54</v>
      </c>
      <c r="C4328" t="s">
        <v>51</v>
      </c>
      <c r="D4328">
        <v>599</v>
      </c>
      <c r="E4328" t="s">
        <v>40</v>
      </c>
      <c r="F4328" t="s">
        <v>10</v>
      </c>
    </row>
    <row r="4329" spans="1:6" hidden="1" x14ac:dyDescent="0.35">
      <c r="A4329" t="s">
        <v>63</v>
      </c>
      <c r="B4329" t="s">
        <v>54</v>
      </c>
      <c r="C4329" t="s">
        <v>51</v>
      </c>
      <c r="D4329">
        <v>604</v>
      </c>
      <c r="E4329" t="s">
        <v>40</v>
      </c>
      <c r="F4329" t="s">
        <v>10</v>
      </c>
    </row>
    <row r="4330" spans="1:6" hidden="1" x14ac:dyDescent="0.35">
      <c r="A4330" t="s">
        <v>64</v>
      </c>
      <c r="B4330" t="s">
        <v>54</v>
      </c>
      <c r="C4330" t="s">
        <v>51</v>
      </c>
      <c r="D4330">
        <v>560</v>
      </c>
      <c r="E4330" t="s">
        <v>40</v>
      </c>
      <c r="F4330" t="s">
        <v>10</v>
      </c>
    </row>
    <row r="4331" spans="1:6" hidden="1" x14ac:dyDescent="0.35">
      <c r="A4331" t="s">
        <v>65</v>
      </c>
      <c r="B4331" t="s">
        <v>54</v>
      </c>
      <c r="C4331" t="s">
        <v>51</v>
      </c>
      <c r="D4331">
        <v>554</v>
      </c>
      <c r="E4331" t="s">
        <v>40</v>
      </c>
      <c r="F4331" t="s">
        <v>10</v>
      </c>
    </row>
    <row r="4332" spans="1:6" hidden="1" x14ac:dyDescent="0.35">
      <c r="A4332" t="s">
        <v>66</v>
      </c>
      <c r="B4332" t="s">
        <v>54</v>
      </c>
      <c r="C4332" t="s">
        <v>51</v>
      </c>
      <c r="D4332">
        <v>490</v>
      </c>
      <c r="E4332" t="s">
        <v>40</v>
      </c>
      <c r="F4332" t="s">
        <v>10</v>
      </c>
    </row>
    <row r="4333" spans="1:6" hidden="1" x14ac:dyDescent="0.35">
      <c r="A4333" t="s">
        <v>67</v>
      </c>
      <c r="B4333" t="s">
        <v>54</v>
      </c>
      <c r="C4333" t="s">
        <v>51</v>
      </c>
      <c r="D4333">
        <v>426</v>
      </c>
      <c r="E4333" t="s">
        <v>40</v>
      </c>
      <c r="F4333" t="s">
        <v>10</v>
      </c>
    </row>
    <row r="4334" spans="1:6" hidden="1" x14ac:dyDescent="0.35">
      <c r="A4334" t="s">
        <v>57</v>
      </c>
      <c r="B4334" t="s">
        <v>54</v>
      </c>
      <c r="C4334" t="s">
        <v>30</v>
      </c>
      <c r="D4334">
        <v>86</v>
      </c>
      <c r="E4334" t="s">
        <v>40</v>
      </c>
      <c r="F4334" t="s">
        <v>10</v>
      </c>
    </row>
    <row r="4335" spans="1:6" hidden="1" x14ac:dyDescent="0.35">
      <c r="A4335" t="s">
        <v>11</v>
      </c>
      <c r="B4335" t="s">
        <v>54</v>
      </c>
      <c r="C4335" t="s">
        <v>30</v>
      </c>
      <c r="D4335">
        <v>146</v>
      </c>
      <c r="E4335" t="s">
        <v>40</v>
      </c>
      <c r="F4335" t="s">
        <v>10</v>
      </c>
    </row>
    <row r="4336" spans="1:6" hidden="1" x14ac:dyDescent="0.35">
      <c r="A4336" t="s">
        <v>58</v>
      </c>
      <c r="B4336" t="s">
        <v>54</v>
      </c>
      <c r="C4336" t="s">
        <v>30</v>
      </c>
      <c r="D4336">
        <v>74</v>
      </c>
      <c r="E4336" t="s">
        <v>40</v>
      </c>
      <c r="F4336" t="s">
        <v>10</v>
      </c>
    </row>
    <row r="4337" spans="1:6" hidden="1" x14ac:dyDescent="0.35">
      <c r="A4337" t="s">
        <v>59</v>
      </c>
      <c r="B4337" t="s">
        <v>54</v>
      </c>
      <c r="C4337" t="s">
        <v>30</v>
      </c>
      <c r="D4337">
        <v>206</v>
      </c>
      <c r="E4337" t="s">
        <v>40</v>
      </c>
      <c r="F4337" t="s">
        <v>10</v>
      </c>
    </row>
    <row r="4338" spans="1:6" hidden="1" x14ac:dyDescent="0.35">
      <c r="A4338" t="s">
        <v>60</v>
      </c>
      <c r="B4338" t="s">
        <v>54</v>
      </c>
      <c r="C4338" t="s">
        <v>30</v>
      </c>
      <c r="D4338">
        <v>184</v>
      </c>
      <c r="E4338" t="s">
        <v>40</v>
      </c>
      <c r="F4338" t="s">
        <v>10</v>
      </c>
    </row>
    <row r="4339" spans="1:6" hidden="1" x14ac:dyDescent="0.35">
      <c r="A4339" t="s">
        <v>61</v>
      </c>
      <c r="B4339" t="s">
        <v>54</v>
      </c>
      <c r="C4339" t="s">
        <v>30</v>
      </c>
      <c r="D4339">
        <v>155</v>
      </c>
      <c r="E4339" t="s">
        <v>40</v>
      </c>
      <c r="F4339" t="s">
        <v>10</v>
      </c>
    </row>
    <row r="4340" spans="1:6" hidden="1" x14ac:dyDescent="0.35">
      <c r="A4340" t="s">
        <v>62</v>
      </c>
      <c r="B4340" t="s">
        <v>54</v>
      </c>
      <c r="C4340" t="s">
        <v>30</v>
      </c>
      <c r="D4340">
        <v>157</v>
      </c>
      <c r="E4340" t="s">
        <v>40</v>
      </c>
      <c r="F4340" t="s">
        <v>10</v>
      </c>
    </row>
    <row r="4341" spans="1:6" hidden="1" x14ac:dyDescent="0.35">
      <c r="A4341" t="s">
        <v>63</v>
      </c>
      <c r="B4341" t="s">
        <v>54</v>
      </c>
      <c r="C4341" t="s">
        <v>30</v>
      </c>
      <c r="D4341">
        <v>198</v>
      </c>
      <c r="E4341" t="s">
        <v>40</v>
      </c>
      <c r="F4341" t="s">
        <v>10</v>
      </c>
    </row>
    <row r="4342" spans="1:6" hidden="1" x14ac:dyDescent="0.35">
      <c r="A4342" t="s">
        <v>64</v>
      </c>
      <c r="B4342" t="s">
        <v>54</v>
      </c>
      <c r="C4342" t="s">
        <v>30</v>
      </c>
      <c r="D4342">
        <v>168</v>
      </c>
      <c r="E4342" t="s">
        <v>40</v>
      </c>
      <c r="F4342" t="s">
        <v>10</v>
      </c>
    </row>
    <row r="4343" spans="1:6" hidden="1" x14ac:dyDescent="0.35">
      <c r="A4343" t="s">
        <v>65</v>
      </c>
      <c r="B4343" t="s">
        <v>54</v>
      </c>
      <c r="C4343" t="s">
        <v>30</v>
      </c>
      <c r="D4343">
        <v>215</v>
      </c>
      <c r="E4343" t="s">
        <v>40</v>
      </c>
      <c r="F4343" t="s">
        <v>10</v>
      </c>
    </row>
    <row r="4344" spans="1:6" hidden="1" x14ac:dyDescent="0.35">
      <c r="A4344" t="s">
        <v>66</v>
      </c>
      <c r="B4344" t="s">
        <v>54</v>
      </c>
      <c r="C4344" t="s">
        <v>30</v>
      </c>
      <c r="D4344">
        <v>174</v>
      </c>
      <c r="E4344" t="s">
        <v>40</v>
      </c>
      <c r="F4344" t="s">
        <v>10</v>
      </c>
    </row>
    <row r="4345" spans="1:6" hidden="1" x14ac:dyDescent="0.35">
      <c r="A4345" t="s">
        <v>67</v>
      </c>
      <c r="B4345" t="s">
        <v>54</v>
      </c>
      <c r="C4345" t="s">
        <v>30</v>
      </c>
      <c r="D4345">
        <v>154</v>
      </c>
      <c r="E4345" t="s">
        <v>40</v>
      </c>
      <c r="F4345" t="s">
        <v>10</v>
      </c>
    </row>
    <row r="4346" spans="1:6" hidden="1" x14ac:dyDescent="0.35">
      <c r="A4346" t="s">
        <v>57</v>
      </c>
      <c r="B4346" t="s">
        <v>54</v>
      </c>
      <c r="C4346" t="s">
        <v>52</v>
      </c>
      <c r="D4346">
        <v>152</v>
      </c>
      <c r="E4346" t="s">
        <v>40</v>
      </c>
      <c r="F4346" t="s">
        <v>10</v>
      </c>
    </row>
    <row r="4347" spans="1:6" hidden="1" x14ac:dyDescent="0.35">
      <c r="A4347" t="s">
        <v>11</v>
      </c>
      <c r="B4347" t="s">
        <v>54</v>
      </c>
      <c r="C4347" t="s">
        <v>52</v>
      </c>
      <c r="D4347">
        <v>144</v>
      </c>
      <c r="E4347" t="s">
        <v>40</v>
      </c>
      <c r="F4347" t="s">
        <v>10</v>
      </c>
    </row>
    <row r="4348" spans="1:6" hidden="1" x14ac:dyDescent="0.35">
      <c r="A4348" t="s">
        <v>58</v>
      </c>
      <c r="B4348" t="s">
        <v>54</v>
      </c>
      <c r="C4348" t="s">
        <v>52</v>
      </c>
      <c r="D4348">
        <v>237</v>
      </c>
      <c r="E4348" t="s">
        <v>40</v>
      </c>
      <c r="F4348" t="s">
        <v>10</v>
      </c>
    </row>
    <row r="4349" spans="1:6" hidden="1" x14ac:dyDescent="0.35">
      <c r="A4349" t="s">
        <v>59</v>
      </c>
      <c r="B4349" t="s">
        <v>54</v>
      </c>
      <c r="C4349" t="s">
        <v>52</v>
      </c>
      <c r="D4349">
        <v>352</v>
      </c>
      <c r="E4349" t="s">
        <v>40</v>
      </c>
      <c r="F4349" t="s">
        <v>10</v>
      </c>
    </row>
    <row r="4350" spans="1:6" hidden="1" x14ac:dyDescent="0.35">
      <c r="A4350" t="s">
        <v>60</v>
      </c>
      <c r="B4350" t="s">
        <v>54</v>
      </c>
      <c r="C4350" t="s">
        <v>52</v>
      </c>
      <c r="D4350">
        <v>159</v>
      </c>
      <c r="E4350" t="s">
        <v>40</v>
      </c>
      <c r="F4350" t="s">
        <v>10</v>
      </c>
    </row>
    <row r="4351" spans="1:6" hidden="1" x14ac:dyDescent="0.35">
      <c r="A4351" t="s">
        <v>61</v>
      </c>
      <c r="B4351" t="s">
        <v>54</v>
      </c>
      <c r="C4351" t="s">
        <v>52</v>
      </c>
      <c r="D4351">
        <v>146</v>
      </c>
      <c r="E4351" t="s">
        <v>40</v>
      </c>
      <c r="F4351" t="s">
        <v>10</v>
      </c>
    </row>
    <row r="4352" spans="1:6" hidden="1" x14ac:dyDescent="0.35">
      <c r="A4352" t="s">
        <v>62</v>
      </c>
      <c r="B4352" t="s">
        <v>54</v>
      </c>
      <c r="C4352" t="s">
        <v>52</v>
      </c>
      <c r="D4352">
        <v>115</v>
      </c>
      <c r="E4352" t="s">
        <v>40</v>
      </c>
      <c r="F4352" t="s">
        <v>10</v>
      </c>
    </row>
    <row r="4353" spans="1:6" hidden="1" x14ac:dyDescent="0.35">
      <c r="A4353" t="s">
        <v>63</v>
      </c>
      <c r="B4353" t="s">
        <v>54</v>
      </c>
      <c r="C4353" t="s">
        <v>52</v>
      </c>
      <c r="D4353">
        <v>119</v>
      </c>
      <c r="E4353" t="s">
        <v>40</v>
      </c>
      <c r="F4353" t="s">
        <v>10</v>
      </c>
    </row>
    <row r="4354" spans="1:6" hidden="1" x14ac:dyDescent="0.35">
      <c r="A4354" t="s">
        <v>64</v>
      </c>
      <c r="B4354" t="s">
        <v>54</v>
      </c>
      <c r="C4354" t="s">
        <v>52</v>
      </c>
      <c r="D4354">
        <v>112</v>
      </c>
      <c r="E4354" t="s">
        <v>40</v>
      </c>
      <c r="F4354" t="s">
        <v>10</v>
      </c>
    </row>
    <row r="4355" spans="1:6" hidden="1" x14ac:dyDescent="0.35">
      <c r="A4355" t="s">
        <v>65</v>
      </c>
      <c r="B4355" t="s">
        <v>54</v>
      </c>
      <c r="C4355" t="s">
        <v>52</v>
      </c>
      <c r="D4355">
        <v>104</v>
      </c>
      <c r="E4355" t="s">
        <v>40</v>
      </c>
      <c r="F4355" t="s">
        <v>10</v>
      </c>
    </row>
    <row r="4356" spans="1:6" hidden="1" x14ac:dyDescent="0.35">
      <c r="A4356" t="s">
        <v>66</v>
      </c>
      <c r="B4356" t="s">
        <v>54</v>
      </c>
      <c r="C4356" t="s">
        <v>52</v>
      </c>
      <c r="D4356">
        <v>102</v>
      </c>
      <c r="E4356" t="s">
        <v>40</v>
      </c>
      <c r="F4356" t="s">
        <v>10</v>
      </c>
    </row>
    <row r="4357" spans="1:6" hidden="1" x14ac:dyDescent="0.35">
      <c r="A4357" t="s">
        <v>67</v>
      </c>
      <c r="B4357" t="s">
        <v>54</v>
      </c>
      <c r="C4357" t="s">
        <v>52</v>
      </c>
      <c r="D4357">
        <v>87</v>
      </c>
      <c r="E4357" t="s">
        <v>40</v>
      </c>
      <c r="F4357" t="s">
        <v>10</v>
      </c>
    </row>
    <row r="4358" spans="1:6" hidden="1" x14ac:dyDescent="0.35">
      <c r="A4358" t="s">
        <v>57</v>
      </c>
      <c r="B4358" t="s">
        <v>69</v>
      </c>
      <c r="C4358" t="s">
        <v>44</v>
      </c>
      <c r="E4358" t="s">
        <v>40</v>
      </c>
      <c r="F4358" t="s">
        <v>10</v>
      </c>
    </row>
    <row r="4359" spans="1:6" hidden="1" x14ac:dyDescent="0.35">
      <c r="A4359" t="s">
        <v>11</v>
      </c>
      <c r="B4359" t="s">
        <v>69</v>
      </c>
      <c r="C4359" t="s">
        <v>44</v>
      </c>
      <c r="D4359">
        <v>12555.39881626016</v>
      </c>
      <c r="E4359" t="s">
        <v>40</v>
      </c>
      <c r="F4359" t="s">
        <v>10</v>
      </c>
    </row>
    <row r="4360" spans="1:6" hidden="1" x14ac:dyDescent="0.35">
      <c r="A4360" t="s">
        <v>58</v>
      </c>
      <c r="B4360" t="s">
        <v>69</v>
      </c>
      <c r="C4360" t="s">
        <v>44</v>
      </c>
      <c r="E4360" t="s">
        <v>40</v>
      </c>
      <c r="F4360" t="s">
        <v>10</v>
      </c>
    </row>
    <row r="4361" spans="1:6" hidden="1" x14ac:dyDescent="0.35">
      <c r="A4361" t="s">
        <v>59</v>
      </c>
      <c r="B4361" t="s">
        <v>69</v>
      </c>
      <c r="C4361" t="s">
        <v>44</v>
      </c>
      <c r="E4361" t="s">
        <v>40</v>
      </c>
      <c r="F4361" t="s">
        <v>10</v>
      </c>
    </row>
    <row r="4362" spans="1:6" hidden="1" x14ac:dyDescent="0.35">
      <c r="A4362" t="s">
        <v>60</v>
      </c>
      <c r="B4362" t="s">
        <v>69</v>
      </c>
      <c r="C4362" t="s">
        <v>44</v>
      </c>
      <c r="E4362" t="s">
        <v>40</v>
      </c>
      <c r="F4362" t="s">
        <v>10</v>
      </c>
    </row>
    <row r="4363" spans="1:6" hidden="1" x14ac:dyDescent="0.35">
      <c r="A4363" t="s">
        <v>61</v>
      </c>
      <c r="B4363" t="s">
        <v>69</v>
      </c>
      <c r="C4363" t="s">
        <v>44</v>
      </c>
      <c r="D4363">
        <v>4641.9674715447154</v>
      </c>
      <c r="E4363" t="s">
        <v>40</v>
      </c>
      <c r="F4363" t="s">
        <v>10</v>
      </c>
    </row>
    <row r="4364" spans="1:6" hidden="1" x14ac:dyDescent="0.35">
      <c r="A4364" t="s">
        <v>62</v>
      </c>
      <c r="B4364" t="s">
        <v>69</v>
      </c>
      <c r="C4364" t="s">
        <v>44</v>
      </c>
      <c r="D4364">
        <v>44797.486183197827</v>
      </c>
      <c r="E4364" t="s">
        <v>40</v>
      </c>
      <c r="F4364" t="s">
        <v>10</v>
      </c>
    </row>
    <row r="4365" spans="1:6" hidden="1" x14ac:dyDescent="0.35">
      <c r="A4365" t="s">
        <v>63</v>
      </c>
      <c r="B4365" t="s">
        <v>69</v>
      </c>
      <c r="C4365" t="s">
        <v>44</v>
      </c>
      <c r="D4365">
        <v>19499.86164878049</v>
      </c>
      <c r="E4365" t="s">
        <v>40</v>
      </c>
      <c r="F4365" t="s">
        <v>10</v>
      </c>
    </row>
    <row r="4366" spans="1:6" hidden="1" x14ac:dyDescent="0.35">
      <c r="A4366" t="s">
        <v>64</v>
      </c>
      <c r="B4366" t="s">
        <v>69</v>
      </c>
      <c r="C4366" t="s">
        <v>44</v>
      </c>
      <c r="D4366">
        <v>5442.2318162601623</v>
      </c>
      <c r="E4366" t="s">
        <v>40</v>
      </c>
      <c r="F4366" t="s">
        <v>10</v>
      </c>
    </row>
    <row r="4367" spans="1:6" hidden="1" x14ac:dyDescent="0.35">
      <c r="A4367" t="s">
        <v>65</v>
      </c>
      <c r="B4367" t="s">
        <v>69</v>
      </c>
      <c r="C4367" t="s">
        <v>44</v>
      </c>
      <c r="D4367">
        <v>16589.206809214091</v>
      </c>
      <c r="E4367" t="s">
        <v>40</v>
      </c>
      <c r="F4367" t="s">
        <v>10</v>
      </c>
    </row>
    <row r="4368" spans="1:6" hidden="1" x14ac:dyDescent="0.35">
      <c r="A4368" t="s">
        <v>66</v>
      </c>
      <c r="B4368" t="s">
        <v>69</v>
      </c>
      <c r="C4368" t="s">
        <v>44</v>
      </c>
      <c r="D4368">
        <v>3360.6460005420058</v>
      </c>
      <c r="E4368" t="s">
        <v>40</v>
      </c>
      <c r="F4368" t="s">
        <v>10</v>
      </c>
    </row>
    <row r="4369" spans="1:6" hidden="1" x14ac:dyDescent="0.35">
      <c r="A4369" t="s">
        <v>67</v>
      </c>
      <c r="B4369" t="s">
        <v>69</v>
      </c>
      <c r="C4369" t="s">
        <v>44</v>
      </c>
      <c r="D4369">
        <v>12161.773216260161</v>
      </c>
      <c r="E4369" t="s">
        <v>40</v>
      </c>
      <c r="F4369" t="s">
        <v>10</v>
      </c>
    </row>
    <row r="4370" spans="1:6" hidden="1" x14ac:dyDescent="0.35">
      <c r="A4370" t="s">
        <v>57</v>
      </c>
      <c r="B4370" t="s">
        <v>69</v>
      </c>
      <c r="C4370" t="s">
        <v>22</v>
      </c>
      <c r="D4370">
        <v>0</v>
      </c>
      <c r="E4370" t="s">
        <v>40</v>
      </c>
      <c r="F4370" t="s">
        <v>10</v>
      </c>
    </row>
    <row r="4371" spans="1:6" hidden="1" x14ac:dyDescent="0.35">
      <c r="A4371" t="s">
        <v>11</v>
      </c>
      <c r="B4371" t="s">
        <v>69</v>
      </c>
      <c r="C4371" t="s">
        <v>22</v>
      </c>
      <c r="D4371">
        <v>0</v>
      </c>
      <c r="E4371" t="s">
        <v>40</v>
      </c>
      <c r="F4371" t="s">
        <v>10</v>
      </c>
    </row>
    <row r="4372" spans="1:6" hidden="1" x14ac:dyDescent="0.35">
      <c r="A4372" t="s">
        <v>58</v>
      </c>
      <c r="B4372" t="s">
        <v>69</v>
      </c>
      <c r="C4372" t="s">
        <v>22</v>
      </c>
      <c r="D4372">
        <v>0</v>
      </c>
      <c r="E4372" t="s">
        <v>40</v>
      </c>
      <c r="F4372" t="s">
        <v>10</v>
      </c>
    </row>
    <row r="4373" spans="1:6" hidden="1" x14ac:dyDescent="0.35">
      <c r="A4373" t="s">
        <v>59</v>
      </c>
      <c r="B4373" t="s">
        <v>69</v>
      </c>
      <c r="C4373" t="s">
        <v>22</v>
      </c>
      <c r="D4373">
        <v>0</v>
      </c>
      <c r="E4373" t="s">
        <v>40</v>
      </c>
      <c r="F4373" t="s">
        <v>10</v>
      </c>
    </row>
    <row r="4374" spans="1:6" hidden="1" x14ac:dyDescent="0.35">
      <c r="A4374" t="s">
        <v>60</v>
      </c>
      <c r="B4374" t="s">
        <v>69</v>
      </c>
      <c r="C4374" t="s">
        <v>22</v>
      </c>
      <c r="D4374">
        <v>0</v>
      </c>
      <c r="E4374" t="s">
        <v>40</v>
      </c>
      <c r="F4374" t="s">
        <v>10</v>
      </c>
    </row>
    <row r="4375" spans="1:6" hidden="1" x14ac:dyDescent="0.35">
      <c r="A4375" t="s">
        <v>61</v>
      </c>
      <c r="B4375" t="s">
        <v>69</v>
      </c>
      <c r="C4375" t="s">
        <v>22</v>
      </c>
      <c r="D4375">
        <v>0</v>
      </c>
      <c r="E4375" t="s">
        <v>40</v>
      </c>
      <c r="F4375" t="s">
        <v>10</v>
      </c>
    </row>
    <row r="4376" spans="1:6" hidden="1" x14ac:dyDescent="0.35">
      <c r="A4376" t="s">
        <v>62</v>
      </c>
      <c r="B4376" t="s">
        <v>69</v>
      </c>
      <c r="C4376" t="s">
        <v>22</v>
      </c>
      <c r="D4376">
        <v>0</v>
      </c>
      <c r="E4376" t="s">
        <v>40</v>
      </c>
      <c r="F4376" t="s">
        <v>10</v>
      </c>
    </row>
    <row r="4377" spans="1:6" hidden="1" x14ac:dyDescent="0.35">
      <c r="A4377" t="s">
        <v>63</v>
      </c>
      <c r="B4377" t="s">
        <v>69</v>
      </c>
      <c r="C4377" t="s">
        <v>22</v>
      </c>
      <c r="D4377">
        <v>0</v>
      </c>
      <c r="E4377" t="s">
        <v>40</v>
      </c>
      <c r="F4377" t="s">
        <v>10</v>
      </c>
    </row>
    <row r="4378" spans="1:6" hidden="1" x14ac:dyDescent="0.35">
      <c r="A4378" t="s">
        <v>64</v>
      </c>
      <c r="B4378" t="s">
        <v>69</v>
      </c>
      <c r="C4378" t="s">
        <v>22</v>
      </c>
      <c r="D4378">
        <v>0</v>
      </c>
      <c r="E4378" t="s">
        <v>40</v>
      </c>
      <c r="F4378" t="s">
        <v>10</v>
      </c>
    </row>
    <row r="4379" spans="1:6" hidden="1" x14ac:dyDescent="0.35">
      <c r="A4379" t="s">
        <v>65</v>
      </c>
      <c r="B4379" t="s">
        <v>69</v>
      </c>
      <c r="C4379" t="s">
        <v>22</v>
      </c>
      <c r="D4379">
        <v>0</v>
      </c>
      <c r="E4379" t="s">
        <v>40</v>
      </c>
      <c r="F4379" t="s">
        <v>10</v>
      </c>
    </row>
    <row r="4380" spans="1:6" hidden="1" x14ac:dyDescent="0.35">
      <c r="A4380" t="s">
        <v>66</v>
      </c>
      <c r="B4380" t="s">
        <v>69</v>
      </c>
      <c r="C4380" t="s">
        <v>22</v>
      </c>
      <c r="D4380">
        <v>0</v>
      </c>
      <c r="E4380" t="s">
        <v>40</v>
      </c>
      <c r="F4380" t="s">
        <v>10</v>
      </c>
    </row>
    <row r="4381" spans="1:6" hidden="1" x14ac:dyDescent="0.35">
      <c r="A4381" t="s">
        <v>67</v>
      </c>
      <c r="B4381" t="s">
        <v>69</v>
      </c>
      <c r="C4381" t="s">
        <v>22</v>
      </c>
      <c r="D4381">
        <v>0</v>
      </c>
      <c r="E4381" t="s">
        <v>40</v>
      </c>
      <c r="F4381" t="s">
        <v>10</v>
      </c>
    </row>
    <row r="4382" spans="1:6" hidden="1" x14ac:dyDescent="0.35">
      <c r="A4382" t="s">
        <v>57</v>
      </c>
      <c r="B4382" t="s">
        <v>69</v>
      </c>
      <c r="C4382" t="s">
        <v>46</v>
      </c>
      <c r="E4382" t="s">
        <v>40</v>
      </c>
      <c r="F4382" t="s">
        <v>10</v>
      </c>
    </row>
    <row r="4383" spans="1:6" hidden="1" x14ac:dyDescent="0.35">
      <c r="A4383" t="s">
        <v>11</v>
      </c>
      <c r="B4383" t="s">
        <v>69</v>
      </c>
      <c r="C4383" t="s">
        <v>46</v>
      </c>
      <c r="D4383">
        <v>712.74796747967468</v>
      </c>
      <c r="E4383" t="s">
        <v>40</v>
      </c>
      <c r="F4383" t="s">
        <v>10</v>
      </c>
    </row>
    <row r="4384" spans="1:6" hidden="1" x14ac:dyDescent="0.35">
      <c r="A4384" t="s">
        <v>58</v>
      </c>
      <c r="B4384" t="s">
        <v>69</v>
      </c>
      <c r="C4384" t="s">
        <v>46</v>
      </c>
      <c r="E4384" t="s">
        <v>40</v>
      </c>
      <c r="F4384" t="s">
        <v>10</v>
      </c>
    </row>
    <row r="4385" spans="1:6" hidden="1" x14ac:dyDescent="0.35">
      <c r="A4385" t="s">
        <v>59</v>
      </c>
      <c r="B4385" t="s">
        <v>69</v>
      </c>
      <c r="C4385" t="s">
        <v>46</v>
      </c>
      <c r="E4385" t="s">
        <v>40</v>
      </c>
      <c r="F4385" t="s">
        <v>10</v>
      </c>
    </row>
    <row r="4386" spans="1:6" hidden="1" x14ac:dyDescent="0.35">
      <c r="A4386" t="s">
        <v>60</v>
      </c>
      <c r="B4386" t="s">
        <v>69</v>
      </c>
      <c r="C4386" t="s">
        <v>46</v>
      </c>
      <c r="E4386" t="s">
        <v>40</v>
      </c>
      <c r="F4386" t="s">
        <v>10</v>
      </c>
    </row>
    <row r="4387" spans="1:6" hidden="1" x14ac:dyDescent="0.35">
      <c r="A4387" t="s">
        <v>61</v>
      </c>
      <c r="B4387" t="s">
        <v>69</v>
      </c>
      <c r="C4387" t="s">
        <v>46</v>
      </c>
      <c r="D4387">
        <v>705.69105691056916</v>
      </c>
      <c r="E4387" t="s">
        <v>40</v>
      </c>
      <c r="F4387" t="s">
        <v>10</v>
      </c>
    </row>
    <row r="4388" spans="1:6" hidden="1" x14ac:dyDescent="0.35">
      <c r="A4388" t="s">
        <v>62</v>
      </c>
      <c r="B4388" t="s">
        <v>69</v>
      </c>
      <c r="C4388" t="s">
        <v>46</v>
      </c>
      <c r="D4388">
        <v>3351.360433604335</v>
      </c>
      <c r="E4388" t="s">
        <v>40</v>
      </c>
      <c r="F4388" t="s">
        <v>10</v>
      </c>
    </row>
    <row r="4389" spans="1:6" hidden="1" x14ac:dyDescent="0.35">
      <c r="A4389" t="s">
        <v>63</v>
      </c>
      <c r="B4389" t="s">
        <v>69</v>
      </c>
      <c r="C4389" t="s">
        <v>46</v>
      </c>
      <c r="D4389">
        <v>2138.2439024390242</v>
      </c>
      <c r="E4389" t="s">
        <v>40</v>
      </c>
      <c r="F4389" t="s">
        <v>10</v>
      </c>
    </row>
    <row r="4390" spans="1:6" hidden="1" x14ac:dyDescent="0.35">
      <c r="A4390" t="s">
        <v>64</v>
      </c>
      <c r="B4390" t="s">
        <v>69</v>
      </c>
      <c r="C4390" t="s">
        <v>46</v>
      </c>
      <c r="D4390">
        <v>712.74796747967468</v>
      </c>
      <c r="E4390" t="s">
        <v>40</v>
      </c>
      <c r="F4390" t="s">
        <v>10</v>
      </c>
    </row>
    <row r="4391" spans="1:6" hidden="1" x14ac:dyDescent="0.35">
      <c r="A4391" t="s">
        <v>65</v>
      </c>
      <c r="B4391" t="s">
        <v>69</v>
      </c>
      <c r="C4391" t="s">
        <v>46</v>
      </c>
      <c r="D4391">
        <v>7728.1571815718162</v>
      </c>
      <c r="E4391" t="s">
        <v>40</v>
      </c>
      <c r="F4391" t="s">
        <v>10</v>
      </c>
    </row>
    <row r="4392" spans="1:6" hidden="1" x14ac:dyDescent="0.35">
      <c r="A4392" t="s">
        <v>66</v>
      </c>
      <c r="B4392" t="s">
        <v>69</v>
      </c>
      <c r="C4392" t="s">
        <v>46</v>
      </c>
      <c r="D4392">
        <v>1719.2763989159889</v>
      </c>
      <c r="E4392" t="s">
        <v>40</v>
      </c>
      <c r="F4392" t="s">
        <v>10</v>
      </c>
    </row>
    <row r="4393" spans="1:6" hidden="1" x14ac:dyDescent="0.35">
      <c r="A4393" t="s">
        <v>67</v>
      </c>
      <c r="B4393" t="s">
        <v>69</v>
      </c>
      <c r="C4393" t="s">
        <v>46</v>
      </c>
      <c r="D4393">
        <v>712.74796747967468</v>
      </c>
      <c r="E4393" t="s">
        <v>40</v>
      </c>
      <c r="F4393" t="s">
        <v>10</v>
      </c>
    </row>
    <row r="4394" spans="1:6" hidden="1" x14ac:dyDescent="0.35">
      <c r="A4394" t="s">
        <v>57</v>
      </c>
      <c r="B4394" t="s">
        <v>69</v>
      </c>
      <c r="C4394" t="s">
        <v>24</v>
      </c>
      <c r="D4394">
        <v>0</v>
      </c>
      <c r="E4394" t="s">
        <v>40</v>
      </c>
      <c r="F4394" t="s">
        <v>10</v>
      </c>
    </row>
    <row r="4395" spans="1:6" hidden="1" x14ac:dyDescent="0.35">
      <c r="A4395" t="s">
        <v>11</v>
      </c>
      <c r="B4395" t="s">
        <v>69</v>
      </c>
      <c r="C4395" t="s">
        <v>24</v>
      </c>
      <c r="D4395">
        <v>0</v>
      </c>
      <c r="E4395" t="s">
        <v>40</v>
      </c>
      <c r="F4395" t="s">
        <v>10</v>
      </c>
    </row>
    <row r="4396" spans="1:6" hidden="1" x14ac:dyDescent="0.35">
      <c r="A4396" t="s">
        <v>58</v>
      </c>
      <c r="B4396" t="s">
        <v>69</v>
      </c>
      <c r="C4396" t="s">
        <v>24</v>
      </c>
      <c r="D4396">
        <v>0</v>
      </c>
      <c r="E4396" t="s">
        <v>40</v>
      </c>
      <c r="F4396" t="s">
        <v>10</v>
      </c>
    </row>
    <row r="4397" spans="1:6" hidden="1" x14ac:dyDescent="0.35">
      <c r="A4397" t="s">
        <v>59</v>
      </c>
      <c r="B4397" t="s">
        <v>69</v>
      </c>
      <c r="C4397" t="s">
        <v>24</v>
      </c>
      <c r="D4397">
        <v>0</v>
      </c>
      <c r="E4397" t="s">
        <v>40</v>
      </c>
      <c r="F4397" t="s">
        <v>10</v>
      </c>
    </row>
    <row r="4398" spans="1:6" hidden="1" x14ac:dyDescent="0.35">
      <c r="A4398" t="s">
        <v>60</v>
      </c>
      <c r="B4398" t="s">
        <v>69</v>
      </c>
      <c r="C4398" t="s">
        <v>24</v>
      </c>
      <c r="D4398">
        <v>0</v>
      </c>
      <c r="E4398" t="s">
        <v>40</v>
      </c>
      <c r="F4398" t="s">
        <v>10</v>
      </c>
    </row>
    <row r="4399" spans="1:6" hidden="1" x14ac:dyDescent="0.35">
      <c r="A4399" t="s">
        <v>61</v>
      </c>
      <c r="B4399" t="s">
        <v>69</v>
      </c>
      <c r="C4399" t="s">
        <v>24</v>
      </c>
      <c r="D4399">
        <v>0</v>
      </c>
      <c r="E4399" t="s">
        <v>40</v>
      </c>
      <c r="F4399" t="s">
        <v>10</v>
      </c>
    </row>
    <row r="4400" spans="1:6" hidden="1" x14ac:dyDescent="0.35">
      <c r="A4400" t="s">
        <v>62</v>
      </c>
      <c r="B4400" t="s">
        <v>69</v>
      </c>
      <c r="C4400" t="s">
        <v>24</v>
      </c>
      <c r="D4400">
        <v>0</v>
      </c>
      <c r="E4400" t="s">
        <v>40</v>
      </c>
      <c r="F4400" t="s">
        <v>10</v>
      </c>
    </row>
    <row r="4401" spans="1:6" hidden="1" x14ac:dyDescent="0.35">
      <c r="A4401" t="s">
        <v>63</v>
      </c>
      <c r="B4401" t="s">
        <v>69</v>
      </c>
      <c r="C4401" t="s">
        <v>24</v>
      </c>
      <c r="D4401">
        <v>0</v>
      </c>
      <c r="E4401" t="s">
        <v>40</v>
      </c>
      <c r="F4401" t="s">
        <v>10</v>
      </c>
    </row>
    <row r="4402" spans="1:6" hidden="1" x14ac:dyDescent="0.35">
      <c r="A4402" t="s">
        <v>64</v>
      </c>
      <c r="B4402" t="s">
        <v>69</v>
      </c>
      <c r="C4402" t="s">
        <v>24</v>
      </c>
      <c r="D4402">
        <v>0</v>
      </c>
      <c r="E4402" t="s">
        <v>40</v>
      </c>
      <c r="F4402" t="s">
        <v>10</v>
      </c>
    </row>
    <row r="4403" spans="1:6" hidden="1" x14ac:dyDescent="0.35">
      <c r="A4403" t="s">
        <v>65</v>
      </c>
      <c r="B4403" t="s">
        <v>69</v>
      </c>
      <c r="C4403" t="s">
        <v>24</v>
      </c>
      <c r="D4403">
        <v>0</v>
      </c>
      <c r="E4403" t="s">
        <v>40</v>
      </c>
      <c r="F4403" t="s">
        <v>10</v>
      </c>
    </row>
    <row r="4404" spans="1:6" hidden="1" x14ac:dyDescent="0.35">
      <c r="A4404" t="s">
        <v>66</v>
      </c>
      <c r="B4404" t="s">
        <v>69</v>
      </c>
      <c r="C4404" t="s">
        <v>24</v>
      </c>
      <c r="D4404">
        <v>0</v>
      </c>
      <c r="E4404" t="s">
        <v>40</v>
      </c>
      <c r="F4404" t="s">
        <v>10</v>
      </c>
    </row>
    <row r="4405" spans="1:6" hidden="1" x14ac:dyDescent="0.35">
      <c r="A4405" t="s">
        <v>67</v>
      </c>
      <c r="B4405" t="s">
        <v>69</v>
      </c>
      <c r="C4405" t="s">
        <v>24</v>
      </c>
      <c r="D4405">
        <v>0</v>
      </c>
      <c r="E4405" t="s">
        <v>40</v>
      </c>
      <c r="F4405" t="s">
        <v>10</v>
      </c>
    </row>
    <row r="4406" spans="1:6" hidden="1" x14ac:dyDescent="0.35">
      <c r="A4406" t="s">
        <v>57</v>
      </c>
      <c r="B4406" t="s">
        <v>69</v>
      </c>
      <c r="C4406" t="s">
        <v>47</v>
      </c>
      <c r="E4406" t="s">
        <v>40</v>
      </c>
      <c r="F4406" t="s">
        <v>10</v>
      </c>
    </row>
    <row r="4407" spans="1:6" hidden="1" x14ac:dyDescent="0.35">
      <c r="A4407" t="s">
        <v>11</v>
      </c>
      <c r="B4407" t="s">
        <v>69</v>
      </c>
      <c r="C4407" t="s">
        <v>47</v>
      </c>
      <c r="E4407" t="s">
        <v>40</v>
      </c>
      <c r="F4407" t="s">
        <v>10</v>
      </c>
    </row>
    <row r="4408" spans="1:6" hidden="1" x14ac:dyDescent="0.35">
      <c r="A4408" t="s">
        <v>58</v>
      </c>
      <c r="B4408" t="s">
        <v>69</v>
      </c>
      <c r="C4408" t="s">
        <v>47</v>
      </c>
      <c r="E4408" t="s">
        <v>40</v>
      </c>
      <c r="F4408" t="s">
        <v>10</v>
      </c>
    </row>
    <row r="4409" spans="1:6" hidden="1" x14ac:dyDescent="0.35">
      <c r="A4409" t="s">
        <v>59</v>
      </c>
      <c r="B4409" t="s">
        <v>69</v>
      </c>
      <c r="C4409" t="s">
        <v>47</v>
      </c>
      <c r="E4409" t="s">
        <v>40</v>
      </c>
      <c r="F4409" t="s">
        <v>10</v>
      </c>
    </row>
    <row r="4410" spans="1:6" hidden="1" x14ac:dyDescent="0.35">
      <c r="A4410" t="s">
        <v>60</v>
      </c>
      <c r="B4410" t="s">
        <v>69</v>
      </c>
      <c r="C4410" t="s">
        <v>47</v>
      </c>
      <c r="E4410" t="s">
        <v>40</v>
      </c>
      <c r="F4410" t="s">
        <v>10</v>
      </c>
    </row>
    <row r="4411" spans="1:6" hidden="1" x14ac:dyDescent="0.35">
      <c r="A4411" t="s">
        <v>61</v>
      </c>
      <c r="B4411" t="s">
        <v>69</v>
      </c>
      <c r="C4411" t="s">
        <v>47</v>
      </c>
      <c r="E4411" t="s">
        <v>40</v>
      </c>
      <c r="F4411" t="s">
        <v>10</v>
      </c>
    </row>
    <row r="4412" spans="1:6" hidden="1" x14ac:dyDescent="0.35">
      <c r="A4412" t="s">
        <v>62</v>
      </c>
      <c r="B4412" t="s">
        <v>69</v>
      </c>
      <c r="C4412" t="s">
        <v>47</v>
      </c>
      <c r="E4412" t="s">
        <v>40</v>
      </c>
      <c r="F4412" t="s">
        <v>10</v>
      </c>
    </row>
    <row r="4413" spans="1:6" hidden="1" x14ac:dyDescent="0.35">
      <c r="A4413" t="s">
        <v>63</v>
      </c>
      <c r="B4413" t="s">
        <v>69</v>
      </c>
      <c r="C4413" t="s">
        <v>47</v>
      </c>
      <c r="D4413">
        <v>485.24</v>
      </c>
      <c r="E4413" t="s">
        <v>40</v>
      </c>
      <c r="F4413" t="s">
        <v>10</v>
      </c>
    </row>
    <row r="4414" spans="1:6" hidden="1" x14ac:dyDescent="0.35">
      <c r="A4414" t="s">
        <v>64</v>
      </c>
      <c r="B4414" t="s">
        <v>69</v>
      </c>
      <c r="C4414" t="s">
        <v>47</v>
      </c>
      <c r="E4414" t="s">
        <v>40</v>
      </c>
      <c r="F4414" t="s">
        <v>10</v>
      </c>
    </row>
    <row r="4415" spans="1:6" hidden="1" x14ac:dyDescent="0.35">
      <c r="A4415" t="s">
        <v>65</v>
      </c>
      <c r="B4415" t="s">
        <v>69</v>
      </c>
      <c r="C4415" t="s">
        <v>47</v>
      </c>
      <c r="D4415">
        <v>485.24</v>
      </c>
      <c r="E4415" t="s">
        <v>40</v>
      </c>
      <c r="F4415" t="s">
        <v>10</v>
      </c>
    </row>
    <row r="4416" spans="1:6" hidden="1" x14ac:dyDescent="0.35">
      <c r="A4416" t="s">
        <v>66</v>
      </c>
      <c r="B4416" t="s">
        <v>69</v>
      </c>
      <c r="C4416" t="s">
        <v>47</v>
      </c>
      <c r="E4416" t="s">
        <v>40</v>
      </c>
      <c r="F4416" t="s">
        <v>10</v>
      </c>
    </row>
    <row r="4417" spans="1:6" hidden="1" x14ac:dyDescent="0.35">
      <c r="A4417" t="s">
        <v>67</v>
      </c>
      <c r="B4417" t="s">
        <v>69</v>
      </c>
      <c r="C4417" t="s">
        <v>47</v>
      </c>
      <c r="E4417" t="s">
        <v>40</v>
      </c>
      <c r="F4417" t="s">
        <v>10</v>
      </c>
    </row>
    <row r="4418" spans="1:6" hidden="1" x14ac:dyDescent="0.35">
      <c r="A4418" t="s">
        <v>57</v>
      </c>
      <c r="B4418" t="s">
        <v>69</v>
      </c>
      <c r="C4418" t="s">
        <v>48</v>
      </c>
      <c r="D4418">
        <v>0</v>
      </c>
      <c r="E4418" t="s">
        <v>40</v>
      </c>
      <c r="F4418" t="s">
        <v>10</v>
      </c>
    </row>
    <row r="4419" spans="1:6" hidden="1" x14ac:dyDescent="0.35">
      <c r="A4419" t="s">
        <v>11</v>
      </c>
      <c r="B4419" t="s">
        <v>69</v>
      </c>
      <c r="C4419" t="s">
        <v>48</v>
      </c>
      <c r="D4419">
        <v>0</v>
      </c>
      <c r="E4419" t="s">
        <v>40</v>
      </c>
      <c r="F4419" t="s">
        <v>10</v>
      </c>
    </row>
    <row r="4420" spans="1:6" hidden="1" x14ac:dyDescent="0.35">
      <c r="A4420" t="s">
        <v>58</v>
      </c>
      <c r="B4420" t="s">
        <v>69</v>
      </c>
      <c r="C4420" t="s">
        <v>48</v>
      </c>
      <c r="D4420">
        <v>0</v>
      </c>
      <c r="E4420" t="s">
        <v>40</v>
      </c>
      <c r="F4420" t="s">
        <v>10</v>
      </c>
    </row>
    <row r="4421" spans="1:6" hidden="1" x14ac:dyDescent="0.35">
      <c r="A4421" t="s">
        <v>59</v>
      </c>
      <c r="B4421" t="s">
        <v>69</v>
      </c>
      <c r="C4421" t="s">
        <v>48</v>
      </c>
      <c r="D4421">
        <v>0</v>
      </c>
      <c r="E4421" t="s">
        <v>40</v>
      </c>
      <c r="F4421" t="s">
        <v>10</v>
      </c>
    </row>
    <row r="4422" spans="1:6" hidden="1" x14ac:dyDescent="0.35">
      <c r="A4422" t="s">
        <v>60</v>
      </c>
      <c r="B4422" t="s">
        <v>69</v>
      </c>
      <c r="C4422" t="s">
        <v>48</v>
      </c>
      <c r="D4422">
        <v>0</v>
      </c>
      <c r="E4422" t="s">
        <v>40</v>
      </c>
      <c r="F4422" t="s">
        <v>10</v>
      </c>
    </row>
    <row r="4423" spans="1:6" hidden="1" x14ac:dyDescent="0.35">
      <c r="A4423" t="s">
        <v>61</v>
      </c>
      <c r="B4423" t="s">
        <v>69</v>
      </c>
      <c r="C4423" t="s">
        <v>48</v>
      </c>
      <c r="D4423">
        <v>0</v>
      </c>
      <c r="E4423" t="s">
        <v>40</v>
      </c>
      <c r="F4423" t="s">
        <v>10</v>
      </c>
    </row>
    <row r="4424" spans="1:6" hidden="1" x14ac:dyDescent="0.35">
      <c r="A4424" t="s">
        <v>62</v>
      </c>
      <c r="B4424" t="s">
        <v>69</v>
      </c>
      <c r="C4424" t="s">
        <v>48</v>
      </c>
      <c r="D4424">
        <v>0</v>
      </c>
      <c r="E4424" t="s">
        <v>40</v>
      </c>
      <c r="F4424" t="s">
        <v>10</v>
      </c>
    </row>
    <row r="4425" spans="1:6" hidden="1" x14ac:dyDescent="0.35">
      <c r="A4425" t="s">
        <v>63</v>
      </c>
      <c r="B4425" t="s">
        <v>69</v>
      </c>
      <c r="C4425" t="s">
        <v>48</v>
      </c>
      <c r="D4425">
        <v>0</v>
      </c>
      <c r="E4425" t="s">
        <v>40</v>
      </c>
      <c r="F4425" t="s">
        <v>10</v>
      </c>
    </row>
    <row r="4426" spans="1:6" hidden="1" x14ac:dyDescent="0.35">
      <c r="A4426" t="s">
        <v>64</v>
      </c>
      <c r="B4426" t="s">
        <v>69</v>
      </c>
      <c r="C4426" t="s">
        <v>48</v>
      </c>
      <c r="D4426">
        <v>0</v>
      </c>
      <c r="E4426" t="s">
        <v>40</v>
      </c>
      <c r="F4426" t="s">
        <v>10</v>
      </c>
    </row>
    <row r="4427" spans="1:6" hidden="1" x14ac:dyDescent="0.35">
      <c r="A4427" t="s">
        <v>65</v>
      </c>
      <c r="B4427" t="s">
        <v>69</v>
      </c>
      <c r="C4427" t="s">
        <v>48</v>
      </c>
      <c r="D4427">
        <v>0</v>
      </c>
      <c r="E4427" t="s">
        <v>40</v>
      </c>
      <c r="F4427" t="s">
        <v>10</v>
      </c>
    </row>
    <row r="4428" spans="1:6" hidden="1" x14ac:dyDescent="0.35">
      <c r="A4428" t="s">
        <v>66</v>
      </c>
      <c r="B4428" t="s">
        <v>69</v>
      </c>
      <c r="C4428" t="s">
        <v>48</v>
      </c>
      <c r="D4428">
        <v>0</v>
      </c>
      <c r="E4428" t="s">
        <v>40</v>
      </c>
      <c r="F4428" t="s">
        <v>10</v>
      </c>
    </row>
    <row r="4429" spans="1:6" hidden="1" x14ac:dyDescent="0.35">
      <c r="A4429" t="s">
        <v>67</v>
      </c>
      <c r="B4429" t="s">
        <v>69</v>
      </c>
      <c r="C4429" t="s">
        <v>48</v>
      </c>
      <c r="D4429">
        <v>0</v>
      </c>
      <c r="E4429" t="s">
        <v>40</v>
      </c>
      <c r="F4429" t="s">
        <v>10</v>
      </c>
    </row>
    <row r="4430" spans="1:6" hidden="1" x14ac:dyDescent="0.35">
      <c r="A4430" t="s">
        <v>57</v>
      </c>
      <c r="B4430" t="s">
        <v>69</v>
      </c>
      <c r="C4430" t="s">
        <v>49</v>
      </c>
      <c r="D4430">
        <v>8507.5444000000007</v>
      </c>
      <c r="E4430" t="s">
        <v>40</v>
      </c>
      <c r="F4430" t="s">
        <v>10</v>
      </c>
    </row>
    <row r="4431" spans="1:6" hidden="1" x14ac:dyDescent="0.35">
      <c r="A4431" t="s">
        <v>11</v>
      </c>
      <c r="B4431" t="s">
        <v>69</v>
      </c>
      <c r="C4431" t="s">
        <v>49</v>
      </c>
      <c r="D4431">
        <v>44179.7932</v>
      </c>
      <c r="E4431" t="s">
        <v>40</v>
      </c>
      <c r="F4431" t="s">
        <v>10</v>
      </c>
    </row>
    <row r="4432" spans="1:6" hidden="1" x14ac:dyDescent="0.35">
      <c r="A4432" t="s">
        <v>58</v>
      </c>
      <c r="B4432" t="s">
        <v>69</v>
      </c>
      <c r="C4432" t="s">
        <v>49</v>
      </c>
      <c r="D4432">
        <v>188559.05960000001</v>
      </c>
      <c r="E4432" t="s">
        <v>40</v>
      </c>
      <c r="F4432" t="s">
        <v>10</v>
      </c>
    </row>
    <row r="4433" spans="1:6" hidden="1" x14ac:dyDescent="0.35">
      <c r="A4433" t="s">
        <v>59</v>
      </c>
      <c r="B4433" t="s">
        <v>69</v>
      </c>
      <c r="C4433" t="s">
        <v>49</v>
      </c>
      <c r="D4433">
        <v>50387.187200000008</v>
      </c>
      <c r="E4433" t="s">
        <v>40</v>
      </c>
      <c r="F4433" t="s">
        <v>10</v>
      </c>
    </row>
    <row r="4434" spans="1:6" hidden="1" x14ac:dyDescent="0.35">
      <c r="A4434" t="s">
        <v>60</v>
      </c>
      <c r="B4434" t="s">
        <v>69</v>
      </c>
      <c r="C4434" t="s">
        <v>49</v>
      </c>
      <c r="D4434">
        <v>5480.9996000000001</v>
      </c>
      <c r="E4434" t="s">
        <v>40</v>
      </c>
      <c r="F4434" t="s">
        <v>10</v>
      </c>
    </row>
    <row r="4435" spans="1:6" hidden="1" x14ac:dyDescent="0.35">
      <c r="A4435" t="s">
        <v>61</v>
      </c>
      <c r="B4435" t="s">
        <v>69</v>
      </c>
      <c r="C4435" t="s">
        <v>49</v>
      </c>
      <c r="D4435">
        <v>61199.032799999994</v>
      </c>
      <c r="E4435" t="s">
        <v>40</v>
      </c>
      <c r="F4435" t="s">
        <v>10</v>
      </c>
    </row>
    <row r="4436" spans="1:6" hidden="1" x14ac:dyDescent="0.35">
      <c r="A4436" t="s">
        <v>62</v>
      </c>
      <c r="B4436" t="s">
        <v>69</v>
      </c>
      <c r="C4436" t="s">
        <v>49</v>
      </c>
      <c r="D4436">
        <v>69952.009600000005</v>
      </c>
      <c r="E4436" t="s">
        <v>40</v>
      </c>
      <c r="F4436" t="s">
        <v>10</v>
      </c>
    </row>
    <row r="4437" spans="1:6" hidden="1" x14ac:dyDescent="0.35">
      <c r="A4437" t="s">
        <v>63</v>
      </c>
      <c r="B4437" t="s">
        <v>69</v>
      </c>
      <c r="C4437" t="s">
        <v>49</v>
      </c>
      <c r="D4437">
        <v>420005.02919999999</v>
      </c>
      <c r="E4437" t="s">
        <v>40</v>
      </c>
      <c r="F4437" t="s">
        <v>10</v>
      </c>
    </row>
    <row r="4438" spans="1:6" hidden="1" x14ac:dyDescent="0.35">
      <c r="A4438" t="s">
        <v>64</v>
      </c>
      <c r="B4438" t="s">
        <v>69</v>
      </c>
      <c r="C4438" t="s">
        <v>49</v>
      </c>
      <c r="D4438">
        <v>48821.146000000001</v>
      </c>
      <c r="E4438" t="s">
        <v>40</v>
      </c>
      <c r="F4438" t="s">
        <v>10</v>
      </c>
    </row>
    <row r="4439" spans="1:6" hidden="1" x14ac:dyDescent="0.35">
      <c r="A4439" t="s">
        <v>65</v>
      </c>
      <c r="B4439" t="s">
        <v>69</v>
      </c>
      <c r="C4439" t="s">
        <v>49</v>
      </c>
      <c r="D4439">
        <v>37467.465600000003</v>
      </c>
      <c r="E4439" t="s">
        <v>40</v>
      </c>
      <c r="F4439" t="s">
        <v>10</v>
      </c>
    </row>
    <row r="4440" spans="1:6" hidden="1" x14ac:dyDescent="0.35">
      <c r="A4440" t="s">
        <v>66</v>
      </c>
      <c r="B4440" t="s">
        <v>69</v>
      </c>
      <c r="C4440" t="s">
        <v>49</v>
      </c>
      <c r="D4440">
        <v>226112.53640000001</v>
      </c>
      <c r="E4440" t="s">
        <v>40</v>
      </c>
      <c r="F4440" t="s">
        <v>10</v>
      </c>
    </row>
    <row r="4441" spans="1:6" hidden="1" x14ac:dyDescent="0.35">
      <c r="A4441" t="s">
        <v>67</v>
      </c>
      <c r="B4441" t="s">
        <v>69</v>
      </c>
      <c r="C4441" t="s">
        <v>49</v>
      </c>
      <c r="D4441">
        <v>90023.190399999992</v>
      </c>
      <c r="E4441" t="s">
        <v>40</v>
      </c>
      <c r="F4441" t="s">
        <v>10</v>
      </c>
    </row>
    <row r="4442" spans="1:6" hidden="1" x14ac:dyDescent="0.35">
      <c r="A4442" t="s">
        <v>57</v>
      </c>
      <c r="B4442" t="s">
        <v>69</v>
      </c>
      <c r="C4442" t="s">
        <v>50</v>
      </c>
      <c r="E4442" t="s">
        <v>40</v>
      </c>
      <c r="F4442" t="s">
        <v>10</v>
      </c>
    </row>
    <row r="4443" spans="1:6" hidden="1" x14ac:dyDescent="0.35">
      <c r="A4443" t="s">
        <v>11</v>
      </c>
      <c r="B4443" t="s">
        <v>69</v>
      </c>
      <c r="C4443" t="s">
        <v>50</v>
      </c>
      <c r="D4443">
        <v>25823.545600000001</v>
      </c>
      <c r="E4443" t="s">
        <v>40</v>
      </c>
      <c r="F4443" t="s">
        <v>10</v>
      </c>
    </row>
    <row r="4444" spans="1:6" hidden="1" x14ac:dyDescent="0.35">
      <c r="A4444" t="s">
        <v>58</v>
      </c>
      <c r="B4444" t="s">
        <v>69</v>
      </c>
      <c r="C4444" t="s">
        <v>50</v>
      </c>
      <c r="E4444" t="s">
        <v>40</v>
      </c>
      <c r="F4444" t="s">
        <v>10</v>
      </c>
    </row>
    <row r="4445" spans="1:6" hidden="1" x14ac:dyDescent="0.35">
      <c r="A4445" t="s">
        <v>59</v>
      </c>
      <c r="B4445" t="s">
        <v>69</v>
      </c>
      <c r="C4445" t="s">
        <v>50</v>
      </c>
      <c r="E4445" t="s">
        <v>40</v>
      </c>
      <c r="F4445" t="s">
        <v>10</v>
      </c>
    </row>
    <row r="4446" spans="1:6" hidden="1" x14ac:dyDescent="0.35">
      <c r="A4446" t="s">
        <v>60</v>
      </c>
      <c r="B4446" t="s">
        <v>69</v>
      </c>
      <c r="C4446" t="s">
        <v>50</v>
      </c>
      <c r="E4446" t="s">
        <v>40</v>
      </c>
      <c r="F4446" t="s">
        <v>10</v>
      </c>
    </row>
    <row r="4447" spans="1:6" hidden="1" x14ac:dyDescent="0.35">
      <c r="A4447" t="s">
        <v>61</v>
      </c>
      <c r="B4447" t="s">
        <v>69</v>
      </c>
      <c r="C4447" t="s">
        <v>50</v>
      </c>
      <c r="D4447">
        <v>9989.6260000000002</v>
      </c>
      <c r="E4447" t="s">
        <v>40</v>
      </c>
      <c r="F4447" t="s">
        <v>10</v>
      </c>
    </row>
    <row r="4448" spans="1:6" hidden="1" x14ac:dyDescent="0.35">
      <c r="A4448" t="s">
        <v>62</v>
      </c>
      <c r="B4448" t="s">
        <v>69</v>
      </c>
      <c r="C4448" t="s">
        <v>50</v>
      </c>
      <c r="D4448">
        <v>92946.332800000004</v>
      </c>
      <c r="E4448" t="s">
        <v>40</v>
      </c>
      <c r="F4448" t="s">
        <v>10</v>
      </c>
    </row>
    <row r="4449" spans="1:6" hidden="1" x14ac:dyDescent="0.35">
      <c r="A4449" t="s">
        <v>63</v>
      </c>
      <c r="B4449" t="s">
        <v>69</v>
      </c>
      <c r="C4449" t="s">
        <v>50</v>
      </c>
      <c r="D4449">
        <v>41137.967199999999</v>
      </c>
      <c r="E4449" t="s">
        <v>40</v>
      </c>
      <c r="F4449" t="s">
        <v>10</v>
      </c>
    </row>
    <row r="4450" spans="1:6" hidden="1" x14ac:dyDescent="0.35">
      <c r="A4450" t="s">
        <v>64</v>
      </c>
      <c r="B4450" t="s">
        <v>69</v>
      </c>
      <c r="C4450" t="s">
        <v>50</v>
      </c>
      <c r="D4450">
        <v>11597.211600000001</v>
      </c>
      <c r="E4450" t="s">
        <v>40</v>
      </c>
      <c r="F4450" t="s">
        <v>10</v>
      </c>
    </row>
    <row r="4451" spans="1:6" hidden="1" x14ac:dyDescent="0.35">
      <c r="A4451" t="s">
        <v>65</v>
      </c>
      <c r="B4451" t="s">
        <v>69</v>
      </c>
      <c r="C4451" t="s">
        <v>50</v>
      </c>
      <c r="D4451">
        <v>40906.570799999987</v>
      </c>
      <c r="E4451" t="s">
        <v>40</v>
      </c>
      <c r="F4451" t="s">
        <v>10</v>
      </c>
    </row>
    <row r="4452" spans="1:6" hidden="1" x14ac:dyDescent="0.35">
      <c r="A4452" t="s">
        <v>66</v>
      </c>
      <c r="B4452" t="s">
        <v>69</v>
      </c>
      <c r="C4452" t="s">
        <v>50</v>
      </c>
      <c r="D4452">
        <v>8440.5684000000001</v>
      </c>
      <c r="E4452" t="s">
        <v>40</v>
      </c>
      <c r="F4452" t="s">
        <v>10</v>
      </c>
    </row>
    <row r="4453" spans="1:6" hidden="1" x14ac:dyDescent="0.35">
      <c r="A4453" t="s">
        <v>67</v>
      </c>
      <c r="B4453" t="s">
        <v>69</v>
      </c>
      <c r="C4453" t="s">
        <v>50</v>
      </c>
      <c r="D4453">
        <v>25036.294399999999</v>
      </c>
      <c r="E4453" t="s">
        <v>40</v>
      </c>
      <c r="F4453" t="s">
        <v>10</v>
      </c>
    </row>
    <row r="4454" spans="1:6" hidden="1" x14ac:dyDescent="0.35">
      <c r="A4454" t="s">
        <v>57</v>
      </c>
      <c r="B4454" t="s">
        <v>69</v>
      </c>
      <c r="C4454" t="s">
        <v>51</v>
      </c>
      <c r="D4454">
        <v>32</v>
      </c>
      <c r="E4454" t="s">
        <v>40</v>
      </c>
      <c r="F4454" t="s">
        <v>10</v>
      </c>
    </row>
    <row r="4455" spans="1:6" hidden="1" x14ac:dyDescent="0.35">
      <c r="A4455" t="s">
        <v>11</v>
      </c>
      <c r="B4455" t="s">
        <v>69</v>
      </c>
      <c r="C4455" t="s">
        <v>51</v>
      </c>
      <c r="D4455">
        <v>34</v>
      </c>
      <c r="E4455" t="s">
        <v>40</v>
      </c>
      <c r="F4455" t="s">
        <v>10</v>
      </c>
    </row>
    <row r="4456" spans="1:6" hidden="1" x14ac:dyDescent="0.35">
      <c r="A4456" t="s">
        <v>58</v>
      </c>
      <c r="B4456" t="s">
        <v>69</v>
      </c>
      <c r="C4456" t="s">
        <v>51</v>
      </c>
      <c r="D4456">
        <v>54</v>
      </c>
      <c r="E4456" t="s">
        <v>40</v>
      </c>
      <c r="F4456" t="s">
        <v>10</v>
      </c>
    </row>
    <row r="4457" spans="1:6" hidden="1" x14ac:dyDescent="0.35">
      <c r="A4457" t="s">
        <v>59</v>
      </c>
      <c r="B4457" t="s">
        <v>69</v>
      </c>
      <c r="C4457" t="s">
        <v>51</v>
      </c>
      <c r="D4457">
        <v>33</v>
      </c>
      <c r="E4457" t="s">
        <v>40</v>
      </c>
      <c r="F4457" t="s">
        <v>10</v>
      </c>
    </row>
    <row r="4458" spans="1:6" hidden="1" x14ac:dyDescent="0.35">
      <c r="A4458" t="s">
        <v>60</v>
      </c>
      <c r="B4458" t="s">
        <v>69</v>
      </c>
      <c r="C4458" t="s">
        <v>51</v>
      </c>
      <c r="D4458">
        <v>19</v>
      </c>
      <c r="E4458" t="s">
        <v>40</v>
      </c>
      <c r="F4458" t="s">
        <v>10</v>
      </c>
    </row>
    <row r="4459" spans="1:6" hidden="1" x14ac:dyDescent="0.35">
      <c r="A4459" t="s">
        <v>61</v>
      </c>
      <c r="B4459" t="s">
        <v>69</v>
      </c>
      <c r="C4459" t="s">
        <v>51</v>
      </c>
      <c r="D4459">
        <v>16</v>
      </c>
      <c r="E4459" t="s">
        <v>40</v>
      </c>
      <c r="F4459" t="s">
        <v>10</v>
      </c>
    </row>
    <row r="4460" spans="1:6" hidden="1" x14ac:dyDescent="0.35">
      <c r="A4460" t="s">
        <v>62</v>
      </c>
      <c r="B4460" t="s">
        <v>69</v>
      </c>
      <c r="C4460" t="s">
        <v>51</v>
      </c>
      <c r="D4460">
        <v>10</v>
      </c>
      <c r="E4460" t="s">
        <v>40</v>
      </c>
      <c r="F4460" t="s">
        <v>10</v>
      </c>
    </row>
    <row r="4461" spans="1:6" hidden="1" x14ac:dyDescent="0.35">
      <c r="A4461" t="s">
        <v>63</v>
      </c>
      <c r="B4461" t="s">
        <v>69</v>
      </c>
      <c r="C4461" t="s">
        <v>51</v>
      </c>
      <c r="D4461">
        <v>21</v>
      </c>
      <c r="E4461" t="s">
        <v>40</v>
      </c>
      <c r="F4461" t="s">
        <v>10</v>
      </c>
    </row>
    <row r="4462" spans="1:6" hidden="1" x14ac:dyDescent="0.35">
      <c r="A4462" t="s">
        <v>64</v>
      </c>
      <c r="B4462" t="s">
        <v>69</v>
      </c>
      <c r="C4462" t="s">
        <v>51</v>
      </c>
      <c r="D4462">
        <v>13</v>
      </c>
      <c r="E4462" t="s">
        <v>40</v>
      </c>
      <c r="F4462" t="s">
        <v>10</v>
      </c>
    </row>
    <row r="4463" spans="1:6" hidden="1" x14ac:dyDescent="0.35">
      <c r="A4463" t="s">
        <v>65</v>
      </c>
      <c r="B4463" t="s">
        <v>69</v>
      </c>
      <c r="C4463" t="s">
        <v>51</v>
      </c>
      <c r="D4463">
        <v>12</v>
      </c>
      <c r="E4463" t="s">
        <v>40</v>
      </c>
      <c r="F4463" t="s">
        <v>10</v>
      </c>
    </row>
    <row r="4464" spans="1:6" hidden="1" x14ac:dyDescent="0.35">
      <c r="A4464" t="s">
        <v>66</v>
      </c>
      <c r="B4464" t="s">
        <v>69</v>
      </c>
      <c r="C4464" t="s">
        <v>51</v>
      </c>
      <c r="D4464">
        <v>15</v>
      </c>
      <c r="E4464" t="s">
        <v>40</v>
      </c>
      <c r="F4464" t="s">
        <v>10</v>
      </c>
    </row>
    <row r="4465" spans="1:6" hidden="1" x14ac:dyDescent="0.35">
      <c r="A4465" t="s">
        <v>67</v>
      </c>
      <c r="B4465" t="s">
        <v>69</v>
      </c>
      <c r="C4465" t="s">
        <v>51</v>
      </c>
      <c r="D4465">
        <v>15</v>
      </c>
      <c r="E4465" t="s">
        <v>40</v>
      </c>
      <c r="F4465" t="s">
        <v>10</v>
      </c>
    </row>
    <row r="4466" spans="1:6" hidden="1" x14ac:dyDescent="0.35">
      <c r="A4466" t="s">
        <v>57</v>
      </c>
      <c r="B4466" t="s">
        <v>69</v>
      </c>
      <c r="C4466" t="s">
        <v>30</v>
      </c>
      <c r="D4466">
        <v>5</v>
      </c>
      <c r="E4466" t="s">
        <v>40</v>
      </c>
      <c r="F4466" t="s">
        <v>10</v>
      </c>
    </row>
    <row r="4467" spans="1:6" hidden="1" x14ac:dyDescent="0.35">
      <c r="A4467" t="s">
        <v>11</v>
      </c>
      <c r="B4467" t="s">
        <v>69</v>
      </c>
      <c r="C4467" t="s">
        <v>30</v>
      </c>
      <c r="D4467">
        <v>2</v>
      </c>
      <c r="E4467" t="s">
        <v>40</v>
      </c>
      <c r="F4467" t="s">
        <v>10</v>
      </c>
    </row>
    <row r="4468" spans="1:6" hidden="1" x14ac:dyDescent="0.35">
      <c r="A4468" t="s">
        <v>58</v>
      </c>
      <c r="B4468" t="s">
        <v>69</v>
      </c>
      <c r="C4468" t="s">
        <v>30</v>
      </c>
      <c r="D4468">
        <v>2</v>
      </c>
      <c r="E4468" t="s">
        <v>40</v>
      </c>
      <c r="F4468" t="s">
        <v>10</v>
      </c>
    </row>
    <row r="4469" spans="1:6" hidden="1" x14ac:dyDescent="0.35">
      <c r="A4469" t="s">
        <v>59</v>
      </c>
      <c r="B4469" t="s">
        <v>69</v>
      </c>
      <c r="C4469" t="s">
        <v>30</v>
      </c>
      <c r="D4469">
        <v>7</v>
      </c>
      <c r="E4469" t="s">
        <v>40</v>
      </c>
      <c r="F4469" t="s">
        <v>10</v>
      </c>
    </row>
    <row r="4470" spans="1:6" hidden="1" x14ac:dyDescent="0.35">
      <c r="A4470" t="s">
        <v>60</v>
      </c>
      <c r="B4470" t="s">
        <v>69</v>
      </c>
      <c r="C4470" t="s">
        <v>30</v>
      </c>
      <c r="D4470">
        <v>4</v>
      </c>
      <c r="E4470" t="s">
        <v>40</v>
      </c>
      <c r="F4470" t="s">
        <v>10</v>
      </c>
    </row>
    <row r="4471" spans="1:6" hidden="1" x14ac:dyDescent="0.35">
      <c r="A4471" t="s">
        <v>61</v>
      </c>
      <c r="B4471" t="s">
        <v>69</v>
      </c>
      <c r="C4471" t="s">
        <v>30</v>
      </c>
      <c r="D4471">
        <v>3</v>
      </c>
      <c r="E4471" t="s">
        <v>40</v>
      </c>
      <c r="F4471" t="s">
        <v>10</v>
      </c>
    </row>
    <row r="4472" spans="1:6" hidden="1" x14ac:dyDescent="0.35">
      <c r="A4472" t="s">
        <v>62</v>
      </c>
      <c r="B4472" t="s">
        <v>69</v>
      </c>
      <c r="C4472" t="s">
        <v>30</v>
      </c>
      <c r="D4472">
        <v>1</v>
      </c>
      <c r="E4472" t="s">
        <v>40</v>
      </c>
      <c r="F4472" t="s">
        <v>10</v>
      </c>
    </row>
    <row r="4473" spans="1:6" hidden="1" x14ac:dyDescent="0.35">
      <c r="A4473" t="s">
        <v>63</v>
      </c>
      <c r="B4473" t="s">
        <v>69</v>
      </c>
      <c r="C4473" t="s">
        <v>30</v>
      </c>
      <c r="D4473">
        <v>5</v>
      </c>
      <c r="E4473" t="s">
        <v>40</v>
      </c>
      <c r="F4473" t="s">
        <v>10</v>
      </c>
    </row>
    <row r="4474" spans="1:6" hidden="1" x14ac:dyDescent="0.35">
      <c r="A4474" t="s">
        <v>64</v>
      </c>
      <c r="B4474" t="s">
        <v>69</v>
      </c>
      <c r="C4474" t="s">
        <v>30</v>
      </c>
      <c r="D4474">
        <v>12</v>
      </c>
      <c r="E4474" t="s">
        <v>40</v>
      </c>
      <c r="F4474" t="s">
        <v>10</v>
      </c>
    </row>
    <row r="4475" spans="1:6" hidden="1" x14ac:dyDescent="0.35">
      <c r="A4475" t="s">
        <v>65</v>
      </c>
      <c r="B4475" t="s">
        <v>69</v>
      </c>
      <c r="C4475" t="s">
        <v>30</v>
      </c>
      <c r="D4475">
        <v>6</v>
      </c>
      <c r="E4475" t="s">
        <v>40</v>
      </c>
      <c r="F4475" t="s">
        <v>10</v>
      </c>
    </row>
    <row r="4476" spans="1:6" hidden="1" x14ac:dyDescent="0.35">
      <c r="A4476" t="s">
        <v>66</v>
      </c>
      <c r="B4476" t="s">
        <v>69</v>
      </c>
      <c r="C4476" t="s">
        <v>30</v>
      </c>
      <c r="D4476">
        <v>6</v>
      </c>
      <c r="E4476" t="s">
        <v>40</v>
      </c>
      <c r="F4476" t="s">
        <v>10</v>
      </c>
    </row>
    <row r="4477" spans="1:6" hidden="1" x14ac:dyDescent="0.35">
      <c r="A4477" t="s">
        <v>67</v>
      </c>
      <c r="B4477" t="s">
        <v>69</v>
      </c>
      <c r="C4477" t="s">
        <v>30</v>
      </c>
      <c r="D4477">
        <v>5</v>
      </c>
      <c r="E4477" t="s">
        <v>40</v>
      </c>
      <c r="F4477" t="s">
        <v>10</v>
      </c>
    </row>
    <row r="4478" spans="1:6" hidden="1" x14ac:dyDescent="0.35">
      <c r="A4478" t="s">
        <v>57</v>
      </c>
      <c r="B4478" t="s">
        <v>69</v>
      </c>
      <c r="C4478" t="s">
        <v>52</v>
      </c>
      <c r="D4478">
        <v>6</v>
      </c>
      <c r="E4478" t="s">
        <v>40</v>
      </c>
      <c r="F4478" t="s">
        <v>10</v>
      </c>
    </row>
    <row r="4479" spans="1:6" hidden="1" x14ac:dyDescent="0.35">
      <c r="A4479" t="s">
        <v>11</v>
      </c>
      <c r="B4479" t="s">
        <v>69</v>
      </c>
      <c r="C4479" t="s">
        <v>52</v>
      </c>
      <c r="D4479">
        <v>7</v>
      </c>
      <c r="E4479" t="s">
        <v>40</v>
      </c>
      <c r="F4479" t="s">
        <v>10</v>
      </c>
    </row>
    <row r="4480" spans="1:6" hidden="1" x14ac:dyDescent="0.35">
      <c r="A4480" t="s">
        <v>58</v>
      </c>
      <c r="B4480" t="s">
        <v>69</v>
      </c>
      <c r="C4480" t="s">
        <v>52</v>
      </c>
      <c r="D4480">
        <v>25</v>
      </c>
      <c r="E4480" t="s">
        <v>40</v>
      </c>
      <c r="F4480" t="s">
        <v>10</v>
      </c>
    </row>
    <row r="4481" spans="1:6" hidden="1" x14ac:dyDescent="0.35">
      <c r="A4481" t="s">
        <v>59</v>
      </c>
      <c r="B4481" t="s">
        <v>69</v>
      </c>
      <c r="C4481" t="s">
        <v>52</v>
      </c>
      <c r="D4481">
        <v>6</v>
      </c>
      <c r="E4481" t="s">
        <v>40</v>
      </c>
      <c r="F4481" t="s">
        <v>10</v>
      </c>
    </row>
    <row r="4482" spans="1:6" hidden="1" x14ac:dyDescent="0.35">
      <c r="A4482" t="s">
        <v>60</v>
      </c>
      <c r="B4482" t="s">
        <v>69</v>
      </c>
      <c r="C4482" t="s">
        <v>52</v>
      </c>
      <c r="D4482">
        <v>3</v>
      </c>
      <c r="E4482" t="s">
        <v>40</v>
      </c>
      <c r="F4482" t="s">
        <v>10</v>
      </c>
    </row>
    <row r="4483" spans="1:6" hidden="1" x14ac:dyDescent="0.35">
      <c r="A4483" t="s">
        <v>61</v>
      </c>
      <c r="B4483" t="s">
        <v>69</v>
      </c>
      <c r="C4483" t="s">
        <v>52</v>
      </c>
      <c r="D4483">
        <v>8</v>
      </c>
      <c r="E4483" t="s">
        <v>40</v>
      </c>
      <c r="F4483" t="s">
        <v>10</v>
      </c>
    </row>
    <row r="4484" spans="1:6" hidden="1" x14ac:dyDescent="0.35">
      <c r="A4484" t="s">
        <v>62</v>
      </c>
      <c r="B4484" t="s">
        <v>69</v>
      </c>
      <c r="C4484" t="s">
        <v>52</v>
      </c>
      <c r="D4484">
        <v>2</v>
      </c>
      <c r="E4484" t="s">
        <v>40</v>
      </c>
      <c r="F4484" t="s">
        <v>10</v>
      </c>
    </row>
    <row r="4485" spans="1:6" hidden="1" x14ac:dyDescent="0.35">
      <c r="A4485" t="s">
        <v>63</v>
      </c>
      <c r="B4485" t="s">
        <v>69</v>
      </c>
      <c r="C4485" t="s">
        <v>52</v>
      </c>
      <c r="D4485">
        <v>4</v>
      </c>
      <c r="E4485" t="s">
        <v>40</v>
      </c>
      <c r="F4485" t="s">
        <v>10</v>
      </c>
    </row>
    <row r="4486" spans="1:6" hidden="1" x14ac:dyDescent="0.35">
      <c r="A4486" t="s">
        <v>64</v>
      </c>
      <c r="B4486" t="s">
        <v>69</v>
      </c>
      <c r="C4486" t="s">
        <v>52</v>
      </c>
      <c r="D4486">
        <v>1</v>
      </c>
      <c r="E4486" t="s">
        <v>40</v>
      </c>
      <c r="F4486" t="s">
        <v>10</v>
      </c>
    </row>
    <row r="4487" spans="1:6" hidden="1" x14ac:dyDescent="0.35">
      <c r="A4487" t="s">
        <v>65</v>
      </c>
      <c r="B4487" t="s">
        <v>69</v>
      </c>
      <c r="C4487" t="s">
        <v>52</v>
      </c>
      <c r="D4487">
        <v>5</v>
      </c>
      <c r="E4487" t="s">
        <v>40</v>
      </c>
      <c r="F4487" t="s">
        <v>10</v>
      </c>
    </row>
    <row r="4488" spans="1:6" hidden="1" x14ac:dyDescent="0.35">
      <c r="A4488" t="s">
        <v>66</v>
      </c>
      <c r="B4488" t="s">
        <v>69</v>
      </c>
      <c r="C4488" t="s">
        <v>52</v>
      </c>
      <c r="D4488">
        <v>4</v>
      </c>
      <c r="E4488" t="s">
        <v>40</v>
      </c>
      <c r="F4488" t="s">
        <v>10</v>
      </c>
    </row>
    <row r="4489" spans="1:6" hidden="1" x14ac:dyDescent="0.35">
      <c r="A4489" t="s">
        <v>67</v>
      </c>
      <c r="B4489" t="s">
        <v>69</v>
      </c>
      <c r="C4489" t="s">
        <v>52</v>
      </c>
      <c r="D4489">
        <v>5</v>
      </c>
      <c r="E4489" t="s">
        <v>40</v>
      </c>
      <c r="F4489" t="s">
        <v>10</v>
      </c>
    </row>
    <row r="4490" spans="1:6" hidden="1" x14ac:dyDescent="0.35">
      <c r="A4490" t="s">
        <v>57</v>
      </c>
      <c r="B4490" t="s">
        <v>70</v>
      </c>
      <c r="C4490" t="s">
        <v>44</v>
      </c>
      <c r="D4490">
        <v>69817.667606504081</v>
      </c>
      <c r="E4490" t="s">
        <v>40</v>
      </c>
      <c r="F4490" t="s">
        <v>10</v>
      </c>
    </row>
    <row r="4491" spans="1:6" hidden="1" x14ac:dyDescent="0.35">
      <c r="A4491" t="s">
        <v>11</v>
      </c>
      <c r="B4491" t="s">
        <v>70</v>
      </c>
      <c r="C4491" t="s">
        <v>44</v>
      </c>
      <c r="D4491">
        <v>298048.22562276421</v>
      </c>
      <c r="E4491" t="s">
        <v>40</v>
      </c>
      <c r="F4491" t="s">
        <v>10</v>
      </c>
    </row>
    <row r="4492" spans="1:6" hidden="1" x14ac:dyDescent="0.35">
      <c r="A4492" t="s">
        <v>58</v>
      </c>
      <c r="B4492" t="s">
        <v>70</v>
      </c>
      <c r="C4492" t="s">
        <v>44</v>
      </c>
      <c r="D4492">
        <v>487846.46241463412</v>
      </c>
      <c r="E4492" t="s">
        <v>40</v>
      </c>
      <c r="F4492" t="s">
        <v>10</v>
      </c>
    </row>
    <row r="4493" spans="1:6" hidden="1" x14ac:dyDescent="0.35">
      <c r="A4493" t="s">
        <v>59</v>
      </c>
      <c r="B4493" t="s">
        <v>70</v>
      </c>
      <c r="C4493" t="s">
        <v>44</v>
      </c>
      <c r="D4493">
        <v>535404.62659674801</v>
      </c>
      <c r="E4493" t="s">
        <v>40</v>
      </c>
      <c r="F4493" t="s">
        <v>10</v>
      </c>
    </row>
    <row r="4494" spans="1:6" hidden="1" x14ac:dyDescent="0.35">
      <c r="A4494" t="s">
        <v>60</v>
      </c>
      <c r="B4494" t="s">
        <v>70</v>
      </c>
      <c r="C4494" t="s">
        <v>44</v>
      </c>
      <c r="D4494">
        <v>293659.23337398359</v>
      </c>
      <c r="E4494" t="s">
        <v>40</v>
      </c>
      <c r="F4494" t="s">
        <v>10</v>
      </c>
    </row>
    <row r="4495" spans="1:6" hidden="1" x14ac:dyDescent="0.35">
      <c r="A4495" t="s">
        <v>61</v>
      </c>
      <c r="B4495" t="s">
        <v>70</v>
      </c>
      <c r="C4495" t="s">
        <v>44</v>
      </c>
      <c r="D4495">
        <v>446091.18329268281</v>
      </c>
      <c r="E4495" t="s">
        <v>40</v>
      </c>
      <c r="F4495" t="s">
        <v>10</v>
      </c>
    </row>
    <row r="4496" spans="1:6" hidden="1" x14ac:dyDescent="0.35">
      <c r="A4496" t="s">
        <v>62</v>
      </c>
      <c r="B4496" t="s">
        <v>70</v>
      </c>
      <c r="C4496" t="s">
        <v>44</v>
      </c>
      <c r="D4496">
        <v>320296.85167642281</v>
      </c>
      <c r="E4496" t="s">
        <v>40</v>
      </c>
      <c r="F4496" t="s">
        <v>10</v>
      </c>
    </row>
    <row r="4497" spans="1:6" hidden="1" x14ac:dyDescent="0.35">
      <c r="A4497" t="s">
        <v>63</v>
      </c>
      <c r="B4497" t="s">
        <v>70</v>
      </c>
      <c r="C4497" t="s">
        <v>44</v>
      </c>
      <c r="D4497">
        <v>999133.97072195145</v>
      </c>
      <c r="E4497" t="s">
        <v>40</v>
      </c>
      <c r="F4497" t="s">
        <v>10</v>
      </c>
    </row>
    <row r="4498" spans="1:6" hidden="1" x14ac:dyDescent="0.35">
      <c r="A4498" t="s">
        <v>64</v>
      </c>
      <c r="B4498" t="s">
        <v>70</v>
      </c>
      <c r="C4498" t="s">
        <v>44</v>
      </c>
      <c r="D4498">
        <v>983370.42192845547</v>
      </c>
      <c r="E4498" t="s">
        <v>40</v>
      </c>
      <c r="F4498" t="s">
        <v>10</v>
      </c>
    </row>
    <row r="4499" spans="1:6" hidden="1" x14ac:dyDescent="0.35">
      <c r="A4499" t="s">
        <v>65</v>
      </c>
      <c r="B4499" t="s">
        <v>70</v>
      </c>
      <c r="C4499" t="s">
        <v>44</v>
      </c>
      <c r="D4499">
        <v>985971.78259349614</v>
      </c>
      <c r="E4499" t="s">
        <v>40</v>
      </c>
      <c r="F4499" t="s">
        <v>10</v>
      </c>
    </row>
    <row r="4500" spans="1:6" hidden="1" x14ac:dyDescent="0.35">
      <c r="A4500" t="s">
        <v>66</v>
      </c>
      <c r="B4500" t="s">
        <v>70</v>
      </c>
      <c r="C4500" t="s">
        <v>44</v>
      </c>
      <c r="D4500">
        <v>701844.85404552834</v>
      </c>
      <c r="E4500" t="s">
        <v>40</v>
      </c>
      <c r="F4500" t="s">
        <v>10</v>
      </c>
    </row>
    <row r="4501" spans="1:6" hidden="1" x14ac:dyDescent="0.35">
      <c r="A4501" t="s">
        <v>67</v>
      </c>
      <c r="B4501" t="s">
        <v>70</v>
      </c>
      <c r="C4501" t="s">
        <v>44</v>
      </c>
      <c r="D4501">
        <v>1039092.991355013</v>
      </c>
      <c r="E4501" t="s">
        <v>40</v>
      </c>
      <c r="F4501" t="s">
        <v>10</v>
      </c>
    </row>
    <row r="4502" spans="1:6" hidden="1" x14ac:dyDescent="0.35">
      <c r="A4502" t="s">
        <v>57</v>
      </c>
      <c r="B4502" t="s">
        <v>70</v>
      </c>
      <c r="C4502" t="s">
        <v>22</v>
      </c>
      <c r="D4502">
        <v>0</v>
      </c>
      <c r="E4502" t="s">
        <v>40</v>
      </c>
      <c r="F4502" t="s">
        <v>10</v>
      </c>
    </row>
    <row r="4503" spans="1:6" hidden="1" x14ac:dyDescent="0.35">
      <c r="A4503" t="s">
        <v>11</v>
      </c>
      <c r="B4503" t="s">
        <v>70</v>
      </c>
      <c r="C4503" t="s">
        <v>22</v>
      </c>
      <c r="D4503">
        <v>0</v>
      </c>
      <c r="E4503" t="s">
        <v>40</v>
      </c>
      <c r="F4503" t="s">
        <v>10</v>
      </c>
    </row>
    <row r="4504" spans="1:6" hidden="1" x14ac:dyDescent="0.35">
      <c r="A4504" t="s">
        <v>58</v>
      </c>
      <c r="B4504" t="s">
        <v>70</v>
      </c>
      <c r="C4504" t="s">
        <v>22</v>
      </c>
      <c r="D4504">
        <v>0</v>
      </c>
      <c r="E4504" t="s">
        <v>40</v>
      </c>
      <c r="F4504" t="s">
        <v>10</v>
      </c>
    </row>
    <row r="4505" spans="1:6" hidden="1" x14ac:dyDescent="0.35">
      <c r="A4505" t="s">
        <v>59</v>
      </c>
      <c r="B4505" t="s">
        <v>70</v>
      </c>
      <c r="C4505" t="s">
        <v>22</v>
      </c>
      <c r="D4505">
        <v>0</v>
      </c>
      <c r="E4505" t="s">
        <v>40</v>
      </c>
      <c r="F4505" t="s">
        <v>10</v>
      </c>
    </row>
    <row r="4506" spans="1:6" hidden="1" x14ac:dyDescent="0.35">
      <c r="A4506" t="s">
        <v>60</v>
      </c>
      <c r="B4506" t="s">
        <v>70</v>
      </c>
      <c r="C4506" t="s">
        <v>22</v>
      </c>
      <c r="D4506">
        <v>0</v>
      </c>
      <c r="E4506" t="s">
        <v>40</v>
      </c>
      <c r="F4506" t="s">
        <v>10</v>
      </c>
    </row>
    <row r="4507" spans="1:6" hidden="1" x14ac:dyDescent="0.35">
      <c r="A4507" t="s">
        <v>61</v>
      </c>
      <c r="B4507" t="s">
        <v>70</v>
      </c>
      <c r="C4507" t="s">
        <v>22</v>
      </c>
      <c r="D4507">
        <v>0</v>
      </c>
      <c r="E4507" t="s">
        <v>40</v>
      </c>
      <c r="F4507" t="s">
        <v>10</v>
      </c>
    </row>
    <row r="4508" spans="1:6" hidden="1" x14ac:dyDescent="0.35">
      <c r="A4508" t="s">
        <v>62</v>
      </c>
      <c r="B4508" t="s">
        <v>70</v>
      </c>
      <c r="C4508" t="s">
        <v>22</v>
      </c>
      <c r="D4508">
        <v>0</v>
      </c>
      <c r="E4508" t="s">
        <v>40</v>
      </c>
      <c r="F4508" t="s">
        <v>10</v>
      </c>
    </row>
    <row r="4509" spans="1:6" hidden="1" x14ac:dyDescent="0.35">
      <c r="A4509" t="s">
        <v>63</v>
      </c>
      <c r="B4509" t="s">
        <v>70</v>
      </c>
      <c r="C4509" t="s">
        <v>22</v>
      </c>
      <c r="D4509">
        <v>0</v>
      </c>
      <c r="E4509" t="s">
        <v>40</v>
      </c>
      <c r="F4509" t="s">
        <v>10</v>
      </c>
    </row>
    <row r="4510" spans="1:6" hidden="1" x14ac:dyDescent="0.35">
      <c r="A4510" t="s">
        <v>64</v>
      </c>
      <c r="B4510" t="s">
        <v>70</v>
      </c>
      <c r="C4510" t="s">
        <v>22</v>
      </c>
      <c r="D4510">
        <v>0</v>
      </c>
      <c r="E4510" t="s">
        <v>40</v>
      </c>
      <c r="F4510" t="s">
        <v>10</v>
      </c>
    </row>
    <row r="4511" spans="1:6" hidden="1" x14ac:dyDescent="0.35">
      <c r="A4511" t="s">
        <v>65</v>
      </c>
      <c r="B4511" t="s">
        <v>70</v>
      </c>
      <c r="C4511" t="s">
        <v>22</v>
      </c>
      <c r="D4511">
        <v>0</v>
      </c>
      <c r="E4511" t="s">
        <v>40</v>
      </c>
      <c r="F4511" t="s">
        <v>10</v>
      </c>
    </row>
    <row r="4512" spans="1:6" hidden="1" x14ac:dyDescent="0.35">
      <c r="A4512" t="s">
        <v>66</v>
      </c>
      <c r="B4512" t="s">
        <v>70</v>
      </c>
      <c r="C4512" t="s">
        <v>22</v>
      </c>
      <c r="D4512">
        <v>0</v>
      </c>
      <c r="E4512" t="s">
        <v>40</v>
      </c>
      <c r="F4512" t="s">
        <v>10</v>
      </c>
    </row>
    <row r="4513" spans="1:6" hidden="1" x14ac:dyDescent="0.35">
      <c r="A4513" t="s">
        <v>67</v>
      </c>
      <c r="B4513" t="s">
        <v>70</v>
      </c>
      <c r="C4513" t="s">
        <v>22</v>
      </c>
      <c r="D4513">
        <v>0</v>
      </c>
      <c r="E4513" t="s">
        <v>40</v>
      </c>
      <c r="F4513" t="s">
        <v>10</v>
      </c>
    </row>
    <row r="4514" spans="1:6" hidden="1" x14ac:dyDescent="0.35">
      <c r="A4514" t="s">
        <v>57</v>
      </c>
      <c r="B4514" t="s">
        <v>70</v>
      </c>
      <c r="C4514" t="s">
        <v>46</v>
      </c>
      <c r="D4514">
        <v>17818.69918699186</v>
      </c>
      <c r="E4514" t="s">
        <v>40</v>
      </c>
      <c r="F4514" t="s">
        <v>10</v>
      </c>
    </row>
    <row r="4515" spans="1:6" hidden="1" x14ac:dyDescent="0.35">
      <c r="A4515" t="s">
        <v>11</v>
      </c>
      <c r="B4515" t="s">
        <v>70</v>
      </c>
      <c r="C4515" t="s">
        <v>46</v>
      </c>
      <c r="D4515">
        <v>18531.447154471542</v>
      </c>
      <c r="E4515" t="s">
        <v>40</v>
      </c>
      <c r="F4515" t="s">
        <v>10</v>
      </c>
    </row>
    <row r="4516" spans="1:6" hidden="1" x14ac:dyDescent="0.35">
      <c r="A4516" t="s">
        <v>58</v>
      </c>
      <c r="B4516" t="s">
        <v>70</v>
      </c>
      <c r="C4516" t="s">
        <v>46</v>
      </c>
      <c r="D4516">
        <v>20779.073170731699</v>
      </c>
      <c r="E4516" t="s">
        <v>40</v>
      </c>
      <c r="F4516" t="s">
        <v>10</v>
      </c>
    </row>
    <row r="4517" spans="1:6" hidden="1" x14ac:dyDescent="0.35">
      <c r="A4517" t="s">
        <v>59</v>
      </c>
      <c r="B4517" t="s">
        <v>70</v>
      </c>
      <c r="C4517" t="s">
        <v>46</v>
      </c>
      <c r="D4517">
        <v>14960.650406504061</v>
      </c>
      <c r="E4517" t="s">
        <v>40</v>
      </c>
      <c r="F4517" t="s">
        <v>10</v>
      </c>
    </row>
    <row r="4518" spans="1:6" hidden="1" x14ac:dyDescent="0.35">
      <c r="A4518" t="s">
        <v>60</v>
      </c>
      <c r="B4518" t="s">
        <v>70</v>
      </c>
      <c r="C4518" t="s">
        <v>46</v>
      </c>
      <c r="D4518">
        <v>16393.203252032519</v>
      </c>
      <c r="E4518" t="s">
        <v>40</v>
      </c>
      <c r="F4518" t="s">
        <v>10</v>
      </c>
    </row>
    <row r="4519" spans="1:6" hidden="1" x14ac:dyDescent="0.35">
      <c r="A4519" t="s">
        <v>61</v>
      </c>
      <c r="B4519" t="s">
        <v>70</v>
      </c>
      <c r="C4519" t="s">
        <v>46</v>
      </c>
      <c r="D4519">
        <v>12829.46341463414</v>
      </c>
      <c r="E4519" t="s">
        <v>40</v>
      </c>
      <c r="F4519" t="s">
        <v>10</v>
      </c>
    </row>
    <row r="4520" spans="1:6" hidden="1" x14ac:dyDescent="0.35">
      <c r="A4520" t="s">
        <v>62</v>
      </c>
      <c r="B4520" t="s">
        <v>70</v>
      </c>
      <c r="C4520" t="s">
        <v>46</v>
      </c>
      <c r="D4520">
        <v>12116.715447154471</v>
      </c>
      <c r="E4520" t="s">
        <v>40</v>
      </c>
      <c r="F4520" t="s">
        <v>10</v>
      </c>
    </row>
    <row r="4521" spans="1:6" hidden="1" x14ac:dyDescent="0.35">
      <c r="A4521" t="s">
        <v>63</v>
      </c>
      <c r="B4521" t="s">
        <v>70</v>
      </c>
      <c r="C4521" t="s">
        <v>46</v>
      </c>
      <c r="D4521">
        <v>33524.609756097547</v>
      </c>
      <c r="E4521" t="s">
        <v>40</v>
      </c>
      <c r="F4521" t="s">
        <v>10</v>
      </c>
    </row>
    <row r="4522" spans="1:6" hidden="1" x14ac:dyDescent="0.35">
      <c r="A4522" t="s">
        <v>64</v>
      </c>
      <c r="B4522" t="s">
        <v>70</v>
      </c>
      <c r="C4522" t="s">
        <v>46</v>
      </c>
      <c r="D4522">
        <v>67368.932543089555</v>
      </c>
      <c r="E4522" t="s">
        <v>40</v>
      </c>
      <c r="F4522" t="s">
        <v>10</v>
      </c>
    </row>
    <row r="4523" spans="1:6" hidden="1" x14ac:dyDescent="0.35">
      <c r="A4523" t="s">
        <v>65</v>
      </c>
      <c r="B4523" t="s">
        <v>70</v>
      </c>
      <c r="C4523" t="s">
        <v>46</v>
      </c>
      <c r="D4523">
        <v>69849.30081300826</v>
      </c>
      <c r="E4523" t="s">
        <v>40</v>
      </c>
      <c r="F4523" t="s">
        <v>10</v>
      </c>
    </row>
    <row r="4524" spans="1:6" hidden="1" x14ac:dyDescent="0.35">
      <c r="A4524" t="s">
        <v>66</v>
      </c>
      <c r="B4524" t="s">
        <v>70</v>
      </c>
      <c r="C4524" t="s">
        <v>46</v>
      </c>
      <c r="D4524">
        <v>37062.89430894309</v>
      </c>
      <c r="E4524" t="s">
        <v>40</v>
      </c>
      <c r="F4524" t="s">
        <v>10</v>
      </c>
    </row>
    <row r="4525" spans="1:6" hidden="1" x14ac:dyDescent="0.35">
      <c r="A4525" t="s">
        <v>67</v>
      </c>
      <c r="B4525" t="s">
        <v>70</v>
      </c>
      <c r="C4525" t="s">
        <v>46</v>
      </c>
      <c r="D4525">
        <v>56785.021689972978</v>
      </c>
      <c r="E4525" t="s">
        <v>40</v>
      </c>
      <c r="F4525" t="s">
        <v>10</v>
      </c>
    </row>
    <row r="4526" spans="1:6" hidden="1" x14ac:dyDescent="0.35">
      <c r="A4526" t="s">
        <v>57</v>
      </c>
      <c r="B4526" t="s">
        <v>70</v>
      </c>
      <c r="C4526" t="s">
        <v>24</v>
      </c>
      <c r="D4526">
        <v>0</v>
      </c>
      <c r="E4526" t="s">
        <v>40</v>
      </c>
      <c r="F4526" t="s">
        <v>10</v>
      </c>
    </row>
    <row r="4527" spans="1:6" hidden="1" x14ac:dyDescent="0.35">
      <c r="A4527" t="s">
        <v>11</v>
      </c>
      <c r="B4527" t="s">
        <v>70</v>
      </c>
      <c r="C4527" t="s">
        <v>24</v>
      </c>
      <c r="D4527">
        <v>0</v>
      </c>
      <c r="E4527" t="s">
        <v>40</v>
      </c>
      <c r="F4527" t="s">
        <v>10</v>
      </c>
    </row>
    <row r="4528" spans="1:6" hidden="1" x14ac:dyDescent="0.35">
      <c r="A4528" t="s">
        <v>58</v>
      </c>
      <c r="B4528" t="s">
        <v>70</v>
      </c>
      <c r="C4528" t="s">
        <v>24</v>
      </c>
      <c r="D4528">
        <v>0</v>
      </c>
      <c r="E4528" t="s">
        <v>40</v>
      </c>
      <c r="F4528" t="s">
        <v>10</v>
      </c>
    </row>
    <row r="4529" spans="1:6" hidden="1" x14ac:dyDescent="0.35">
      <c r="A4529" t="s">
        <v>59</v>
      </c>
      <c r="B4529" t="s">
        <v>70</v>
      </c>
      <c r="C4529" t="s">
        <v>24</v>
      </c>
      <c r="D4529">
        <v>0</v>
      </c>
      <c r="E4529" t="s">
        <v>40</v>
      </c>
      <c r="F4529" t="s">
        <v>10</v>
      </c>
    </row>
    <row r="4530" spans="1:6" hidden="1" x14ac:dyDescent="0.35">
      <c r="A4530" t="s">
        <v>60</v>
      </c>
      <c r="B4530" t="s">
        <v>70</v>
      </c>
      <c r="C4530" t="s">
        <v>24</v>
      </c>
      <c r="D4530">
        <v>0</v>
      </c>
      <c r="E4530" t="s">
        <v>40</v>
      </c>
      <c r="F4530" t="s">
        <v>10</v>
      </c>
    </row>
    <row r="4531" spans="1:6" hidden="1" x14ac:dyDescent="0.35">
      <c r="A4531" t="s">
        <v>61</v>
      </c>
      <c r="B4531" t="s">
        <v>70</v>
      </c>
      <c r="C4531" t="s">
        <v>24</v>
      </c>
      <c r="D4531">
        <v>0</v>
      </c>
      <c r="E4531" t="s">
        <v>40</v>
      </c>
      <c r="F4531" t="s">
        <v>10</v>
      </c>
    </row>
    <row r="4532" spans="1:6" hidden="1" x14ac:dyDescent="0.35">
      <c r="A4532" t="s">
        <v>62</v>
      </c>
      <c r="B4532" t="s">
        <v>70</v>
      </c>
      <c r="C4532" t="s">
        <v>24</v>
      </c>
      <c r="D4532">
        <v>0</v>
      </c>
      <c r="E4532" t="s">
        <v>40</v>
      </c>
      <c r="F4532" t="s">
        <v>10</v>
      </c>
    </row>
    <row r="4533" spans="1:6" hidden="1" x14ac:dyDescent="0.35">
      <c r="A4533" t="s">
        <v>63</v>
      </c>
      <c r="B4533" t="s">
        <v>70</v>
      </c>
      <c r="C4533" t="s">
        <v>24</v>
      </c>
      <c r="D4533">
        <v>0</v>
      </c>
      <c r="E4533" t="s">
        <v>40</v>
      </c>
      <c r="F4533" t="s">
        <v>10</v>
      </c>
    </row>
    <row r="4534" spans="1:6" hidden="1" x14ac:dyDescent="0.35">
      <c r="A4534" t="s">
        <v>64</v>
      </c>
      <c r="B4534" t="s">
        <v>70</v>
      </c>
      <c r="C4534" t="s">
        <v>24</v>
      </c>
      <c r="D4534">
        <v>0</v>
      </c>
      <c r="E4534" t="s">
        <v>40</v>
      </c>
      <c r="F4534" t="s">
        <v>10</v>
      </c>
    </row>
    <row r="4535" spans="1:6" hidden="1" x14ac:dyDescent="0.35">
      <c r="A4535" t="s">
        <v>65</v>
      </c>
      <c r="B4535" t="s">
        <v>70</v>
      </c>
      <c r="C4535" t="s">
        <v>24</v>
      </c>
      <c r="D4535">
        <v>0</v>
      </c>
      <c r="E4535" t="s">
        <v>40</v>
      </c>
      <c r="F4535" t="s">
        <v>10</v>
      </c>
    </row>
    <row r="4536" spans="1:6" hidden="1" x14ac:dyDescent="0.35">
      <c r="A4536" t="s">
        <v>66</v>
      </c>
      <c r="B4536" t="s">
        <v>70</v>
      </c>
      <c r="C4536" t="s">
        <v>24</v>
      </c>
      <c r="D4536">
        <v>0</v>
      </c>
      <c r="E4536" t="s">
        <v>40</v>
      </c>
      <c r="F4536" t="s">
        <v>10</v>
      </c>
    </row>
    <row r="4537" spans="1:6" hidden="1" x14ac:dyDescent="0.35">
      <c r="A4537" t="s">
        <v>67</v>
      </c>
      <c r="B4537" t="s">
        <v>70</v>
      </c>
      <c r="C4537" t="s">
        <v>24</v>
      </c>
      <c r="D4537">
        <v>0</v>
      </c>
      <c r="E4537" t="s">
        <v>40</v>
      </c>
      <c r="F4537" t="s">
        <v>10</v>
      </c>
    </row>
    <row r="4538" spans="1:6" hidden="1" x14ac:dyDescent="0.35">
      <c r="A4538" t="s">
        <v>57</v>
      </c>
      <c r="B4538" t="s">
        <v>70</v>
      </c>
      <c r="C4538" t="s">
        <v>47</v>
      </c>
      <c r="E4538" t="s">
        <v>40</v>
      </c>
      <c r="F4538" t="s">
        <v>10</v>
      </c>
    </row>
    <row r="4539" spans="1:6" hidden="1" x14ac:dyDescent="0.35">
      <c r="A4539" t="s">
        <v>11</v>
      </c>
      <c r="B4539" t="s">
        <v>70</v>
      </c>
      <c r="C4539" t="s">
        <v>47</v>
      </c>
      <c r="E4539" t="s">
        <v>40</v>
      </c>
      <c r="F4539" t="s">
        <v>10</v>
      </c>
    </row>
    <row r="4540" spans="1:6" hidden="1" x14ac:dyDescent="0.35">
      <c r="A4540" t="s">
        <v>58</v>
      </c>
      <c r="B4540" t="s">
        <v>70</v>
      </c>
      <c r="C4540" t="s">
        <v>47</v>
      </c>
      <c r="E4540" t="s">
        <v>40</v>
      </c>
      <c r="F4540" t="s">
        <v>10</v>
      </c>
    </row>
    <row r="4541" spans="1:6" hidden="1" x14ac:dyDescent="0.35">
      <c r="A4541" t="s">
        <v>59</v>
      </c>
      <c r="B4541" t="s">
        <v>70</v>
      </c>
      <c r="C4541" t="s">
        <v>47</v>
      </c>
      <c r="E4541" t="s">
        <v>40</v>
      </c>
      <c r="F4541" t="s">
        <v>10</v>
      </c>
    </row>
    <row r="4542" spans="1:6" hidden="1" x14ac:dyDescent="0.35">
      <c r="A4542" t="s">
        <v>60</v>
      </c>
      <c r="B4542" t="s">
        <v>70</v>
      </c>
      <c r="C4542" t="s">
        <v>47</v>
      </c>
      <c r="E4542" t="s">
        <v>40</v>
      </c>
      <c r="F4542" t="s">
        <v>10</v>
      </c>
    </row>
    <row r="4543" spans="1:6" hidden="1" x14ac:dyDescent="0.35">
      <c r="A4543" t="s">
        <v>61</v>
      </c>
      <c r="B4543" t="s">
        <v>70</v>
      </c>
      <c r="C4543" t="s">
        <v>47</v>
      </c>
      <c r="E4543" t="s">
        <v>40</v>
      </c>
      <c r="F4543" t="s">
        <v>10</v>
      </c>
    </row>
    <row r="4544" spans="1:6" hidden="1" x14ac:dyDescent="0.35">
      <c r="A4544" t="s">
        <v>62</v>
      </c>
      <c r="B4544" t="s">
        <v>70</v>
      </c>
      <c r="C4544" t="s">
        <v>47</v>
      </c>
      <c r="E4544" t="s">
        <v>40</v>
      </c>
      <c r="F4544" t="s">
        <v>10</v>
      </c>
    </row>
    <row r="4545" spans="1:6" hidden="1" x14ac:dyDescent="0.35">
      <c r="A4545" t="s">
        <v>63</v>
      </c>
      <c r="B4545" t="s">
        <v>70</v>
      </c>
      <c r="C4545" t="s">
        <v>47</v>
      </c>
      <c r="E4545" t="s">
        <v>40</v>
      </c>
      <c r="F4545" t="s">
        <v>10</v>
      </c>
    </row>
    <row r="4546" spans="1:6" hidden="1" x14ac:dyDescent="0.35">
      <c r="A4546" t="s">
        <v>64</v>
      </c>
      <c r="B4546" t="s">
        <v>70</v>
      </c>
      <c r="C4546" t="s">
        <v>47</v>
      </c>
      <c r="E4546" t="s">
        <v>40</v>
      </c>
      <c r="F4546" t="s">
        <v>10</v>
      </c>
    </row>
    <row r="4547" spans="1:6" hidden="1" x14ac:dyDescent="0.35">
      <c r="A4547" t="s">
        <v>65</v>
      </c>
      <c r="B4547" t="s">
        <v>70</v>
      </c>
      <c r="C4547" t="s">
        <v>47</v>
      </c>
      <c r="E4547" t="s">
        <v>40</v>
      </c>
      <c r="F4547" t="s">
        <v>10</v>
      </c>
    </row>
    <row r="4548" spans="1:6" hidden="1" x14ac:dyDescent="0.35">
      <c r="A4548" t="s">
        <v>66</v>
      </c>
      <c r="B4548" t="s">
        <v>70</v>
      </c>
      <c r="C4548" t="s">
        <v>47</v>
      </c>
      <c r="E4548" t="s">
        <v>40</v>
      </c>
      <c r="F4548" t="s">
        <v>10</v>
      </c>
    </row>
    <row r="4549" spans="1:6" hidden="1" x14ac:dyDescent="0.35">
      <c r="A4549" t="s">
        <v>67</v>
      </c>
      <c r="B4549" t="s">
        <v>70</v>
      </c>
      <c r="C4549" t="s">
        <v>47</v>
      </c>
      <c r="E4549" t="s">
        <v>40</v>
      </c>
      <c r="F4549" t="s">
        <v>10</v>
      </c>
    </row>
    <row r="4550" spans="1:6" hidden="1" x14ac:dyDescent="0.35">
      <c r="A4550" t="s">
        <v>57</v>
      </c>
      <c r="B4550" t="s">
        <v>70</v>
      </c>
      <c r="C4550" t="s">
        <v>48</v>
      </c>
      <c r="D4550">
        <v>0</v>
      </c>
      <c r="E4550" t="s">
        <v>40</v>
      </c>
      <c r="F4550" t="s">
        <v>10</v>
      </c>
    </row>
    <row r="4551" spans="1:6" hidden="1" x14ac:dyDescent="0.35">
      <c r="A4551" t="s">
        <v>11</v>
      </c>
      <c r="B4551" t="s">
        <v>70</v>
      </c>
      <c r="C4551" t="s">
        <v>48</v>
      </c>
      <c r="D4551">
        <v>0</v>
      </c>
      <c r="E4551" t="s">
        <v>40</v>
      </c>
      <c r="F4551" t="s">
        <v>10</v>
      </c>
    </row>
    <row r="4552" spans="1:6" hidden="1" x14ac:dyDescent="0.35">
      <c r="A4552" t="s">
        <v>58</v>
      </c>
      <c r="B4552" t="s">
        <v>70</v>
      </c>
      <c r="C4552" t="s">
        <v>48</v>
      </c>
      <c r="D4552">
        <v>0</v>
      </c>
      <c r="E4552" t="s">
        <v>40</v>
      </c>
      <c r="F4552" t="s">
        <v>10</v>
      </c>
    </row>
    <row r="4553" spans="1:6" hidden="1" x14ac:dyDescent="0.35">
      <c r="A4553" t="s">
        <v>59</v>
      </c>
      <c r="B4553" t="s">
        <v>70</v>
      </c>
      <c r="C4553" t="s">
        <v>48</v>
      </c>
      <c r="D4553">
        <v>0</v>
      </c>
      <c r="E4553" t="s">
        <v>40</v>
      </c>
      <c r="F4553" t="s">
        <v>10</v>
      </c>
    </row>
    <row r="4554" spans="1:6" hidden="1" x14ac:dyDescent="0.35">
      <c r="A4554" t="s">
        <v>60</v>
      </c>
      <c r="B4554" t="s">
        <v>70</v>
      </c>
      <c r="C4554" t="s">
        <v>48</v>
      </c>
      <c r="D4554">
        <v>0</v>
      </c>
      <c r="E4554" t="s">
        <v>40</v>
      </c>
      <c r="F4554" t="s">
        <v>10</v>
      </c>
    </row>
    <row r="4555" spans="1:6" hidden="1" x14ac:dyDescent="0.35">
      <c r="A4555" t="s">
        <v>61</v>
      </c>
      <c r="B4555" t="s">
        <v>70</v>
      </c>
      <c r="C4555" t="s">
        <v>48</v>
      </c>
      <c r="D4555">
        <v>0</v>
      </c>
      <c r="E4555" t="s">
        <v>40</v>
      </c>
      <c r="F4555" t="s">
        <v>10</v>
      </c>
    </row>
    <row r="4556" spans="1:6" hidden="1" x14ac:dyDescent="0.35">
      <c r="A4556" t="s">
        <v>62</v>
      </c>
      <c r="B4556" t="s">
        <v>70</v>
      </c>
      <c r="C4556" t="s">
        <v>48</v>
      </c>
      <c r="D4556">
        <v>0</v>
      </c>
      <c r="E4556" t="s">
        <v>40</v>
      </c>
      <c r="F4556" t="s">
        <v>10</v>
      </c>
    </row>
    <row r="4557" spans="1:6" hidden="1" x14ac:dyDescent="0.35">
      <c r="A4557" t="s">
        <v>63</v>
      </c>
      <c r="B4557" t="s">
        <v>70</v>
      </c>
      <c r="C4557" t="s">
        <v>48</v>
      </c>
      <c r="D4557">
        <v>0</v>
      </c>
      <c r="E4557" t="s">
        <v>40</v>
      </c>
      <c r="F4557" t="s">
        <v>10</v>
      </c>
    </row>
    <row r="4558" spans="1:6" hidden="1" x14ac:dyDescent="0.35">
      <c r="A4558" t="s">
        <v>64</v>
      </c>
      <c r="B4558" t="s">
        <v>70</v>
      </c>
      <c r="C4558" t="s">
        <v>48</v>
      </c>
      <c r="D4558">
        <v>0</v>
      </c>
      <c r="E4558" t="s">
        <v>40</v>
      </c>
      <c r="F4558" t="s">
        <v>10</v>
      </c>
    </row>
    <row r="4559" spans="1:6" hidden="1" x14ac:dyDescent="0.35">
      <c r="A4559" t="s">
        <v>65</v>
      </c>
      <c r="B4559" t="s">
        <v>70</v>
      </c>
      <c r="C4559" t="s">
        <v>48</v>
      </c>
      <c r="D4559">
        <v>0</v>
      </c>
      <c r="E4559" t="s">
        <v>40</v>
      </c>
      <c r="F4559" t="s">
        <v>10</v>
      </c>
    </row>
    <row r="4560" spans="1:6" hidden="1" x14ac:dyDescent="0.35">
      <c r="A4560" t="s">
        <v>66</v>
      </c>
      <c r="B4560" t="s">
        <v>70</v>
      </c>
      <c r="C4560" t="s">
        <v>48</v>
      </c>
      <c r="D4560">
        <v>0</v>
      </c>
      <c r="E4560" t="s">
        <v>40</v>
      </c>
      <c r="F4560" t="s">
        <v>10</v>
      </c>
    </row>
    <row r="4561" spans="1:6" hidden="1" x14ac:dyDescent="0.35">
      <c r="A4561" t="s">
        <v>67</v>
      </c>
      <c r="B4561" t="s">
        <v>70</v>
      </c>
      <c r="C4561" t="s">
        <v>48</v>
      </c>
      <c r="D4561">
        <v>0</v>
      </c>
      <c r="E4561" t="s">
        <v>40</v>
      </c>
      <c r="F4561" t="s">
        <v>10</v>
      </c>
    </row>
    <row r="4562" spans="1:6" hidden="1" x14ac:dyDescent="0.35">
      <c r="A4562" t="s">
        <v>57</v>
      </c>
      <c r="B4562" t="s">
        <v>70</v>
      </c>
      <c r="C4562" t="s">
        <v>49</v>
      </c>
      <c r="D4562">
        <v>71867.123200000016</v>
      </c>
      <c r="E4562" t="s">
        <v>40</v>
      </c>
      <c r="F4562" t="s">
        <v>10</v>
      </c>
    </row>
    <row r="4563" spans="1:6" hidden="1" x14ac:dyDescent="0.35">
      <c r="A4563" t="s">
        <v>11</v>
      </c>
      <c r="B4563" t="s">
        <v>70</v>
      </c>
      <c r="C4563" t="s">
        <v>49</v>
      </c>
      <c r="D4563">
        <v>96184.453599999993</v>
      </c>
      <c r="E4563" t="s">
        <v>40</v>
      </c>
      <c r="F4563" t="s">
        <v>10</v>
      </c>
    </row>
    <row r="4564" spans="1:6" hidden="1" x14ac:dyDescent="0.35">
      <c r="A4564" t="s">
        <v>58</v>
      </c>
      <c r="B4564" t="s">
        <v>70</v>
      </c>
      <c r="C4564" t="s">
        <v>49</v>
      </c>
      <c r="D4564">
        <v>147300.76920000001</v>
      </c>
      <c r="E4564" t="s">
        <v>40</v>
      </c>
      <c r="F4564" t="s">
        <v>10</v>
      </c>
    </row>
    <row r="4565" spans="1:6" hidden="1" x14ac:dyDescent="0.35">
      <c r="A4565" t="s">
        <v>59</v>
      </c>
      <c r="B4565" t="s">
        <v>70</v>
      </c>
      <c r="C4565" t="s">
        <v>49</v>
      </c>
      <c r="D4565">
        <v>108497.762</v>
      </c>
      <c r="E4565" t="s">
        <v>40</v>
      </c>
      <c r="F4565" t="s">
        <v>10</v>
      </c>
    </row>
    <row r="4566" spans="1:6" hidden="1" x14ac:dyDescent="0.35">
      <c r="A4566" t="s">
        <v>60</v>
      </c>
      <c r="B4566" t="s">
        <v>70</v>
      </c>
      <c r="C4566" t="s">
        <v>49</v>
      </c>
      <c r="D4566">
        <v>118384.992</v>
      </c>
      <c r="E4566" t="s">
        <v>40</v>
      </c>
      <c r="F4566" t="s">
        <v>10</v>
      </c>
    </row>
    <row r="4567" spans="1:6" hidden="1" x14ac:dyDescent="0.35">
      <c r="A4567" t="s">
        <v>61</v>
      </c>
      <c r="B4567" t="s">
        <v>70</v>
      </c>
      <c r="C4567" t="s">
        <v>49</v>
      </c>
      <c r="D4567">
        <v>124877.74920000001</v>
      </c>
      <c r="E4567" t="s">
        <v>40</v>
      </c>
      <c r="F4567" t="s">
        <v>10</v>
      </c>
    </row>
    <row r="4568" spans="1:6" hidden="1" x14ac:dyDescent="0.35">
      <c r="A4568" t="s">
        <v>62</v>
      </c>
      <c r="B4568" t="s">
        <v>70</v>
      </c>
      <c r="C4568" t="s">
        <v>49</v>
      </c>
      <c r="D4568">
        <v>104092.4204</v>
      </c>
      <c r="E4568" t="s">
        <v>40</v>
      </c>
      <c r="F4568" t="s">
        <v>10</v>
      </c>
    </row>
    <row r="4569" spans="1:6" hidden="1" x14ac:dyDescent="0.35">
      <c r="A4569" t="s">
        <v>63</v>
      </c>
      <c r="B4569" t="s">
        <v>70</v>
      </c>
      <c r="C4569" t="s">
        <v>49</v>
      </c>
      <c r="D4569">
        <v>329053.18880000012</v>
      </c>
      <c r="E4569" t="s">
        <v>40</v>
      </c>
      <c r="F4569" t="s">
        <v>10</v>
      </c>
    </row>
    <row r="4570" spans="1:6" hidden="1" x14ac:dyDescent="0.35">
      <c r="A4570" t="s">
        <v>64</v>
      </c>
      <c r="B4570" t="s">
        <v>70</v>
      </c>
      <c r="C4570" t="s">
        <v>49</v>
      </c>
      <c r="D4570">
        <v>526065.17799999972</v>
      </c>
      <c r="E4570" t="s">
        <v>40</v>
      </c>
      <c r="F4570" t="s">
        <v>10</v>
      </c>
    </row>
    <row r="4571" spans="1:6" hidden="1" x14ac:dyDescent="0.35">
      <c r="A4571" t="s">
        <v>65</v>
      </c>
      <c r="B4571" t="s">
        <v>70</v>
      </c>
      <c r="C4571" t="s">
        <v>49</v>
      </c>
      <c r="D4571">
        <v>468562.02039999998</v>
      </c>
      <c r="E4571" t="s">
        <v>40</v>
      </c>
      <c r="F4571" t="s">
        <v>10</v>
      </c>
    </row>
    <row r="4572" spans="1:6" hidden="1" x14ac:dyDescent="0.35">
      <c r="A4572" t="s">
        <v>66</v>
      </c>
      <c r="B4572" t="s">
        <v>70</v>
      </c>
      <c r="C4572" t="s">
        <v>49</v>
      </c>
      <c r="D4572">
        <v>278903.56400000001</v>
      </c>
      <c r="E4572" t="s">
        <v>40</v>
      </c>
      <c r="F4572" t="s">
        <v>10</v>
      </c>
    </row>
    <row r="4573" spans="1:6" hidden="1" x14ac:dyDescent="0.35">
      <c r="A4573" t="s">
        <v>67</v>
      </c>
      <c r="B4573" t="s">
        <v>70</v>
      </c>
      <c r="C4573" t="s">
        <v>49</v>
      </c>
      <c r="D4573">
        <v>419410.37999999977</v>
      </c>
      <c r="E4573" t="s">
        <v>40</v>
      </c>
      <c r="F4573" t="s">
        <v>10</v>
      </c>
    </row>
    <row r="4574" spans="1:6" hidden="1" x14ac:dyDescent="0.35">
      <c r="A4574" t="s">
        <v>57</v>
      </c>
      <c r="B4574" t="s">
        <v>70</v>
      </c>
      <c r="C4574" t="s">
        <v>50</v>
      </c>
      <c r="D4574">
        <v>157454.0344</v>
      </c>
      <c r="E4574" t="s">
        <v>40</v>
      </c>
      <c r="F4574" t="s">
        <v>10</v>
      </c>
    </row>
    <row r="4575" spans="1:6" hidden="1" x14ac:dyDescent="0.35">
      <c r="A4575" t="s">
        <v>11</v>
      </c>
      <c r="B4575" t="s">
        <v>70</v>
      </c>
      <c r="C4575" t="s">
        <v>50</v>
      </c>
      <c r="D4575">
        <v>614627.89840000018</v>
      </c>
      <c r="E4575" t="s">
        <v>40</v>
      </c>
      <c r="F4575" t="s">
        <v>10</v>
      </c>
    </row>
    <row r="4576" spans="1:6" hidden="1" x14ac:dyDescent="0.35">
      <c r="A4576" t="s">
        <v>58</v>
      </c>
      <c r="B4576" t="s">
        <v>70</v>
      </c>
      <c r="C4576" t="s">
        <v>50</v>
      </c>
      <c r="D4576">
        <v>996471.99800000014</v>
      </c>
      <c r="E4576" t="s">
        <v>40</v>
      </c>
      <c r="F4576" t="s">
        <v>10</v>
      </c>
    </row>
    <row r="4577" spans="1:6" hidden="1" x14ac:dyDescent="0.35">
      <c r="A4577" t="s">
        <v>59</v>
      </c>
      <c r="B4577" t="s">
        <v>70</v>
      </c>
      <c r="C4577" t="s">
        <v>50</v>
      </c>
      <c r="D4577">
        <v>1085769.9036000001</v>
      </c>
      <c r="E4577" t="s">
        <v>40</v>
      </c>
      <c r="F4577" t="s">
        <v>10</v>
      </c>
    </row>
    <row r="4578" spans="1:6" hidden="1" x14ac:dyDescent="0.35">
      <c r="A4578" t="s">
        <v>60</v>
      </c>
      <c r="B4578" t="s">
        <v>70</v>
      </c>
      <c r="C4578" t="s">
        <v>50</v>
      </c>
      <c r="D4578">
        <v>603711.66999999993</v>
      </c>
      <c r="E4578" t="s">
        <v>40</v>
      </c>
      <c r="F4578" t="s">
        <v>10</v>
      </c>
    </row>
    <row r="4579" spans="1:6" hidden="1" x14ac:dyDescent="0.35">
      <c r="A4579" t="s">
        <v>61</v>
      </c>
      <c r="B4579" t="s">
        <v>70</v>
      </c>
      <c r="C4579" t="s">
        <v>50</v>
      </c>
      <c r="D4579">
        <v>905011.83000000019</v>
      </c>
      <c r="E4579" t="s">
        <v>40</v>
      </c>
      <c r="F4579" t="s">
        <v>10</v>
      </c>
    </row>
    <row r="4580" spans="1:6" hidden="1" x14ac:dyDescent="0.35">
      <c r="A4580" t="s">
        <v>62</v>
      </c>
      <c r="B4580" t="s">
        <v>70</v>
      </c>
      <c r="C4580" t="s">
        <v>50</v>
      </c>
      <c r="D4580">
        <v>652710.41879999998</v>
      </c>
      <c r="E4580" t="s">
        <v>40</v>
      </c>
      <c r="F4580" t="s">
        <v>10</v>
      </c>
    </row>
    <row r="4581" spans="1:6" hidden="1" x14ac:dyDescent="0.35">
      <c r="A4581" t="s">
        <v>63</v>
      </c>
      <c r="B4581" t="s">
        <v>70</v>
      </c>
      <c r="C4581" t="s">
        <v>50</v>
      </c>
      <c r="D4581">
        <v>2031792.5512000001</v>
      </c>
      <c r="E4581" t="s">
        <v>40</v>
      </c>
      <c r="F4581" t="s">
        <v>10</v>
      </c>
    </row>
    <row r="4582" spans="1:6" hidden="1" x14ac:dyDescent="0.35">
      <c r="A4582" t="s">
        <v>64</v>
      </c>
      <c r="B4582" t="s">
        <v>70</v>
      </c>
      <c r="C4582" t="s">
        <v>50</v>
      </c>
      <c r="D4582">
        <v>2034109.7764000001</v>
      </c>
      <c r="E4582" t="s">
        <v>40</v>
      </c>
      <c r="F4582" t="s">
        <v>10</v>
      </c>
    </row>
    <row r="4583" spans="1:6" hidden="1" x14ac:dyDescent="0.35">
      <c r="A4583" t="s">
        <v>65</v>
      </c>
      <c r="B4583" t="s">
        <v>70</v>
      </c>
      <c r="C4583" t="s">
        <v>50</v>
      </c>
      <c r="D4583">
        <v>2041792.8659999999</v>
      </c>
      <c r="E4583" t="s">
        <v>40</v>
      </c>
      <c r="F4583" t="s">
        <v>10</v>
      </c>
    </row>
    <row r="4584" spans="1:6" hidden="1" x14ac:dyDescent="0.35">
      <c r="A4584" t="s">
        <v>66</v>
      </c>
      <c r="B4584" t="s">
        <v>70</v>
      </c>
      <c r="C4584" t="s">
        <v>50</v>
      </c>
      <c r="D4584">
        <v>1440752.6024</v>
      </c>
      <c r="E4584" t="s">
        <v>40</v>
      </c>
      <c r="F4584" t="s">
        <v>10</v>
      </c>
    </row>
    <row r="4585" spans="1:6" hidden="1" x14ac:dyDescent="0.35">
      <c r="A4585" t="s">
        <v>67</v>
      </c>
      <c r="B4585" t="s">
        <v>70</v>
      </c>
      <c r="C4585" t="s">
        <v>50</v>
      </c>
      <c r="D4585">
        <v>2134971.0044</v>
      </c>
      <c r="E4585" t="s">
        <v>40</v>
      </c>
      <c r="F4585" t="s">
        <v>10</v>
      </c>
    </row>
    <row r="4586" spans="1:6" hidden="1" x14ac:dyDescent="0.35">
      <c r="A4586" t="s">
        <v>57</v>
      </c>
      <c r="B4586" t="s">
        <v>70</v>
      </c>
      <c r="C4586" t="s">
        <v>51</v>
      </c>
      <c r="D4586">
        <v>149</v>
      </c>
      <c r="E4586" t="s">
        <v>40</v>
      </c>
      <c r="F4586" t="s">
        <v>10</v>
      </c>
    </row>
    <row r="4587" spans="1:6" hidden="1" x14ac:dyDescent="0.35">
      <c r="A4587" t="s">
        <v>11</v>
      </c>
      <c r="B4587" t="s">
        <v>70</v>
      </c>
      <c r="C4587" t="s">
        <v>51</v>
      </c>
      <c r="D4587">
        <v>165</v>
      </c>
      <c r="E4587" t="s">
        <v>40</v>
      </c>
      <c r="F4587" t="s">
        <v>10</v>
      </c>
    </row>
    <row r="4588" spans="1:6" hidden="1" x14ac:dyDescent="0.35">
      <c r="A4588" t="s">
        <v>58</v>
      </c>
      <c r="B4588" t="s">
        <v>70</v>
      </c>
      <c r="C4588" t="s">
        <v>51</v>
      </c>
      <c r="D4588">
        <v>152</v>
      </c>
      <c r="E4588" t="s">
        <v>40</v>
      </c>
      <c r="F4588" t="s">
        <v>10</v>
      </c>
    </row>
    <row r="4589" spans="1:6" hidden="1" x14ac:dyDescent="0.35">
      <c r="A4589" t="s">
        <v>59</v>
      </c>
      <c r="B4589" t="s">
        <v>70</v>
      </c>
      <c r="C4589" t="s">
        <v>51</v>
      </c>
      <c r="D4589">
        <v>120</v>
      </c>
      <c r="E4589" t="s">
        <v>40</v>
      </c>
      <c r="F4589" t="s">
        <v>10</v>
      </c>
    </row>
    <row r="4590" spans="1:6" hidden="1" x14ac:dyDescent="0.35">
      <c r="A4590" t="s">
        <v>60</v>
      </c>
      <c r="B4590" t="s">
        <v>70</v>
      </c>
      <c r="C4590" t="s">
        <v>51</v>
      </c>
      <c r="D4590">
        <v>168</v>
      </c>
      <c r="E4590" t="s">
        <v>40</v>
      </c>
      <c r="F4590" t="s">
        <v>10</v>
      </c>
    </row>
    <row r="4591" spans="1:6" hidden="1" x14ac:dyDescent="0.35">
      <c r="A4591" t="s">
        <v>61</v>
      </c>
      <c r="B4591" t="s">
        <v>70</v>
      </c>
      <c r="C4591" t="s">
        <v>51</v>
      </c>
      <c r="D4591">
        <v>124</v>
      </c>
      <c r="E4591" t="s">
        <v>40</v>
      </c>
      <c r="F4591" t="s">
        <v>10</v>
      </c>
    </row>
    <row r="4592" spans="1:6" hidden="1" x14ac:dyDescent="0.35">
      <c r="A4592" t="s">
        <v>62</v>
      </c>
      <c r="B4592" t="s">
        <v>70</v>
      </c>
      <c r="C4592" t="s">
        <v>51</v>
      </c>
      <c r="D4592">
        <v>102</v>
      </c>
      <c r="E4592" t="s">
        <v>40</v>
      </c>
      <c r="F4592" t="s">
        <v>10</v>
      </c>
    </row>
    <row r="4593" spans="1:6" hidden="1" x14ac:dyDescent="0.35">
      <c r="A4593" t="s">
        <v>63</v>
      </c>
      <c r="B4593" t="s">
        <v>70</v>
      </c>
      <c r="C4593" t="s">
        <v>51</v>
      </c>
      <c r="D4593">
        <v>124</v>
      </c>
      <c r="E4593" t="s">
        <v>40</v>
      </c>
      <c r="F4593" t="s">
        <v>10</v>
      </c>
    </row>
    <row r="4594" spans="1:6" hidden="1" x14ac:dyDescent="0.35">
      <c r="A4594" t="s">
        <v>64</v>
      </c>
      <c r="B4594" t="s">
        <v>70</v>
      </c>
      <c r="C4594" t="s">
        <v>51</v>
      </c>
      <c r="D4594">
        <v>90</v>
      </c>
      <c r="E4594" t="s">
        <v>40</v>
      </c>
      <c r="F4594" t="s">
        <v>10</v>
      </c>
    </row>
    <row r="4595" spans="1:6" hidden="1" x14ac:dyDescent="0.35">
      <c r="A4595" t="s">
        <v>65</v>
      </c>
      <c r="B4595" t="s">
        <v>70</v>
      </c>
      <c r="C4595" t="s">
        <v>51</v>
      </c>
      <c r="D4595">
        <v>99</v>
      </c>
      <c r="E4595" t="s">
        <v>40</v>
      </c>
      <c r="F4595" t="s">
        <v>10</v>
      </c>
    </row>
    <row r="4596" spans="1:6" hidden="1" x14ac:dyDescent="0.35">
      <c r="A4596" t="s">
        <v>66</v>
      </c>
      <c r="B4596" t="s">
        <v>70</v>
      </c>
      <c r="C4596" t="s">
        <v>51</v>
      </c>
      <c r="D4596">
        <v>80</v>
      </c>
      <c r="E4596" t="s">
        <v>40</v>
      </c>
      <c r="F4596" t="s">
        <v>10</v>
      </c>
    </row>
    <row r="4597" spans="1:6" hidden="1" x14ac:dyDescent="0.35">
      <c r="A4597" t="s">
        <v>67</v>
      </c>
      <c r="B4597" t="s">
        <v>70</v>
      </c>
      <c r="C4597" t="s">
        <v>51</v>
      </c>
      <c r="D4597">
        <v>100</v>
      </c>
      <c r="E4597" t="s">
        <v>40</v>
      </c>
      <c r="F4597" t="s">
        <v>10</v>
      </c>
    </row>
    <row r="4598" spans="1:6" hidden="1" x14ac:dyDescent="0.35">
      <c r="A4598" t="s">
        <v>57</v>
      </c>
      <c r="B4598" t="s">
        <v>70</v>
      </c>
      <c r="C4598" t="s">
        <v>30</v>
      </c>
      <c r="D4598">
        <v>6</v>
      </c>
      <c r="E4598" t="s">
        <v>40</v>
      </c>
      <c r="F4598" t="s">
        <v>10</v>
      </c>
    </row>
    <row r="4599" spans="1:6" hidden="1" x14ac:dyDescent="0.35">
      <c r="A4599" t="s">
        <v>11</v>
      </c>
      <c r="B4599" t="s">
        <v>70</v>
      </c>
      <c r="C4599" t="s">
        <v>30</v>
      </c>
      <c r="D4599">
        <v>1</v>
      </c>
      <c r="E4599" t="s">
        <v>40</v>
      </c>
      <c r="F4599" t="s">
        <v>10</v>
      </c>
    </row>
    <row r="4600" spans="1:6" hidden="1" x14ac:dyDescent="0.35">
      <c r="A4600" t="s">
        <v>58</v>
      </c>
      <c r="B4600" t="s">
        <v>70</v>
      </c>
      <c r="C4600" t="s">
        <v>30</v>
      </c>
      <c r="D4600">
        <v>3</v>
      </c>
      <c r="E4600" t="s">
        <v>40</v>
      </c>
      <c r="F4600" t="s">
        <v>10</v>
      </c>
    </row>
    <row r="4601" spans="1:6" hidden="1" x14ac:dyDescent="0.35">
      <c r="A4601" t="s">
        <v>59</v>
      </c>
      <c r="B4601" t="s">
        <v>70</v>
      </c>
      <c r="C4601" t="s">
        <v>30</v>
      </c>
      <c r="D4601">
        <v>10</v>
      </c>
      <c r="E4601" t="s">
        <v>40</v>
      </c>
      <c r="F4601" t="s">
        <v>10</v>
      </c>
    </row>
    <row r="4602" spans="1:6" hidden="1" x14ac:dyDescent="0.35">
      <c r="A4602" t="s">
        <v>60</v>
      </c>
      <c r="B4602" t="s">
        <v>70</v>
      </c>
      <c r="C4602" t="s">
        <v>30</v>
      </c>
      <c r="D4602">
        <v>3</v>
      </c>
      <c r="E4602" t="s">
        <v>40</v>
      </c>
      <c r="F4602" t="s">
        <v>10</v>
      </c>
    </row>
    <row r="4603" spans="1:6" hidden="1" x14ac:dyDescent="0.35">
      <c r="A4603" t="s">
        <v>61</v>
      </c>
      <c r="B4603" t="s">
        <v>70</v>
      </c>
      <c r="C4603" t="s">
        <v>30</v>
      </c>
      <c r="D4603">
        <v>7</v>
      </c>
      <c r="E4603" t="s">
        <v>40</v>
      </c>
      <c r="F4603" t="s">
        <v>10</v>
      </c>
    </row>
    <row r="4604" spans="1:6" hidden="1" x14ac:dyDescent="0.35">
      <c r="A4604" t="s">
        <v>62</v>
      </c>
      <c r="B4604" t="s">
        <v>70</v>
      </c>
      <c r="C4604" t="s">
        <v>30</v>
      </c>
      <c r="D4604">
        <v>6</v>
      </c>
      <c r="E4604" t="s">
        <v>40</v>
      </c>
      <c r="F4604" t="s">
        <v>10</v>
      </c>
    </row>
    <row r="4605" spans="1:6" hidden="1" x14ac:dyDescent="0.35">
      <c r="A4605" t="s">
        <v>63</v>
      </c>
      <c r="B4605" t="s">
        <v>70</v>
      </c>
      <c r="C4605" t="s">
        <v>30</v>
      </c>
      <c r="D4605">
        <v>11</v>
      </c>
      <c r="E4605" t="s">
        <v>40</v>
      </c>
      <c r="F4605" t="s">
        <v>10</v>
      </c>
    </row>
    <row r="4606" spans="1:6" hidden="1" x14ac:dyDescent="0.35">
      <c r="A4606" t="s">
        <v>64</v>
      </c>
      <c r="B4606" t="s">
        <v>70</v>
      </c>
      <c r="C4606" t="s">
        <v>30</v>
      </c>
      <c r="D4606">
        <v>6</v>
      </c>
      <c r="E4606" t="s">
        <v>40</v>
      </c>
      <c r="F4606" t="s">
        <v>10</v>
      </c>
    </row>
    <row r="4607" spans="1:6" hidden="1" x14ac:dyDescent="0.35">
      <c r="A4607" t="s">
        <v>65</v>
      </c>
      <c r="B4607" t="s">
        <v>70</v>
      </c>
      <c r="C4607" t="s">
        <v>30</v>
      </c>
      <c r="D4607">
        <v>7</v>
      </c>
      <c r="E4607" t="s">
        <v>40</v>
      </c>
      <c r="F4607" t="s">
        <v>10</v>
      </c>
    </row>
    <row r="4608" spans="1:6" hidden="1" x14ac:dyDescent="0.35">
      <c r="A4608" t="s">
        <v>66</v>
      </c>
      <c r="B4608" t="s">
        <v>70</v>
      </c>
      <c r="C4608" t="s">
        <v>30</v>
      </c>
      <c r="D4608">
        <v>7</v>
      </c>
      <c r="E4608" t="s">
        <v>40</v>
      </c>
      <c r="F4608" t="s">
        <v>10</v>
      </c>
    </row>
    <row r="4609" spans="1:6" hidden="1" x14ac:dyDescent="0.35">
      <c r="A4609" t="s">
        <v>67</v>
      </c>
      <c r="B4609" t="s">
        <v>70</v>
      </c>
      <c r="C4609" t="s">
        <v>30</v>
      </c>
      <c r="D4609">
        <v>9</v>
      </c>
      <c r="E4609" t="s">
        <v>40</v>
      </c>
      <c r="F4609" t="s">
        <v>10</v>
      </c>
    </row>
    <row r="4610" spans="1:6" hidden="1" x14ac:dyDescent="0.35">
      <c r="A4610" t="s">
        <v>57</v>
      </c>
      <c r="B4610" t="s">
        <v>70</v>
      </c>
      <c r="C4610" t="s">
        <v>52</v>
      </c>
      <c r="D4610">
        <v>13</v>
      </c>
      <c r="E4610" t="s">
        <v>40</v>
      </c>
      <c r="F4610" t="s">
        <v>10</v>
      </c>
    </row>
    <row r="4611" spans="1:6" hidden="1" x14ac:dyDescent="0.35">
      <c r="A4611" t="s">
        <v>11</v>
      </c>
      <c r="B4611" t="s">
        <v>70</v>
      </c>
      <c r="C4611" t="s">
        <v>52</v>
      </c>
      <c r="D4611">
        <v>8</v>
      </c>
      <c r="E4611" t="s">
        <v>40</v>
      </c>
      <c r="F4611" t="s">
        <v>10</v>
      </c>
    </row>
    <row r="4612" spans="1:6" hidden="1" x14ac:dyDescent="0.35">
      <c r="A4612" t="s">
        <v>58</v>
      </c>
      <c r="B4612" t="s">
        <v>70</v>
      </c>
      <c r="C4612" t="s">
        <v>52</v>
      </c>
      <c r="D4612">
        <v>21</v>
      </c>
      <c r="E4612" t="s">
        <v>40</v>
      </c>
      <c r="F4612" t="s">
        <v>10</v>
      </c>
    </row>
    <row r="4613" spans="1:6" hidden="1" x14ac:dyDescent="0.35">
      <c r="A4613" t="s">
        <v>59</v>
      </c>
      <c r="B4613" t="s">
        <v>70</v>
      </c>
      <c r="C4613" t="s">
        <v>52</v>
      </c>
      <c r="D4613">
        <v>16</v>
      </c>
      <c r="E4613" t="s">
        <v>40</v>
      </c>
      <c r="F4613" t="s">
        <v>10</v>
      </c>
    </row>
    <row r="4614" spans="1:6" hidden="1" x14ac:dyDescent="0.35">
      <c r="A4614" t="s">
        <v>60</v>
      </c>
      <c r="B4614" t="s">
        <v>70</v>
      </c>
      <c r="C4614" t="s">
        <v>52</v>
      </c>
      <c r="D4614">
        <v>30</v>
      </c>
      <c r="E4614" t="s">
        <v>40</v>
      </c>
      <c r="F4614" t="s">
        <v>10</v>
      </c>
    </row>
    <row r="4615" spans="1:6" hidden="1" x14ac:dyDescent="0.35">
      <c r="A4615" t="s">
        <v>61</v>
      </c>
      <c r="B4615" t="s">
        <v>70</v>
      </c>
      <c r="C4615" t="s">
        <v>52</v>
      </c>
      <c r="D4615">
        <v>20</v>
      </c>
      <c r="E4615" t="s">
        <v>40</v>
      </c>
      <c r="F4615" t="s">
        <v>10</v>
      </c>
    </row>
    <row r="4616" spans="1:6" hidden="1" x14ac:dyDescent="0.35">
      <c r="A4616" t="s">
        <v>62</v>
      </c>
      <c r="B4616" t="s">
        <v>70</v>
      </c>
      <c r="C4616" t="s">
        <v>52</v>
      </c>
      <c r="D4616">
        <v>14</v>
      </c>
      <c r="E4616" t="s">
        <v>40</v>
      </c>
      <c r="F4616" t="s">
        <v>10</v>
      </c>
    </row>
    <row r="4617" spans="1:6" hidden="1" x14ac:dyDescent="0.35">
      <c r="A4617" t="s">
        <v>63</v>
      </c>
      <c r="B4617" t="s">
        <v>70</v>
      </c>
      <c r="C4617" t="s">
        <v>52</v>
      </c>
      <c r="D4617">
        <v>20</v>
      </c>
      <c r="E4617" t="s">
        <v>40</v>
      </c>
      <c r="F4617" t="s">
        <v>10</v>
      </c>
    </row>
    <row r="4618" spans="1:6" hidden="1" x14ac:dyDescent="0.35">
      <c r="A4618" t="s">
        <v>64</v>
      </c>
      <c r="B4618" t="s">
        <v>70</v>
      </c>
      <c r="C4618" t="s">
        <v>52</v>
      </c>
      <c r="D4618">
        <v>8</v>
      </c>
      <c r="E4618" t="s">
        <v>40</v>
      </c>
      <c r="F4618" t="s">
        <v>10</v>
      </c>
    </row>
    <row r="4619" spans="1:6" hidden="1" x14ac:dyDescent="0.35">
      <c r="A4619" t="s">
        <v>65</v>
      </c>
      <c r="B4619" t="s">
        <v>70</v>
      </c>
      <c r="C4619" t="s">
        <v>52</v>
      </c>
      <c r="D4619">
        <v>27</v>
      </c>
      <c r="E4619" t="s">
        <v>40</v>
      </c>
      <c r="F4619" t="s">
        <v>10</v>
      </c>
    </row>
    <row r="4620" spans="1:6" hidden="1" x14ac:dyDescent="0.35">
      <c r="A4620" t="s">
        <v>66</v>
      </c>
      <c r="B4620" t="s">
        <v>70</v>
      </c>
      <c r="C4620" t="s">
        <v>52</v>
      </c>
      <c r="D4620">
        <v>23</v>
      </c>
      <c r="E4620" t="s">
        <v>40</v>
      </c>
      <c r="F4620" t="s">
        <v>10</v>
      </c>
    </row>
    <row r="4621" spans="1:6" hidden="1" x14ac:dyDescent="0.35">
      <c r="A4621" t="s">
        <v>67</v>
      </c>
      <c r="B4621" t="s">
        <v>70</v>
      </c>
      <c r="C4621" t="s">
        <v>52</v>
      </c>
      <c r="D4621">
        <v>11</v>
      </c>
      <c r="E4621" t="s">
        <v>40</v>
      </c>
      <c r="F4621" t="s">
        <v>10</v>
      </c>
    </row>
    <row r="4622" spans="1:6" hidden="1" x14ac:dyDescent="0.35">
      <c r="A4622" t="s">
        <v>57</v>
      </c>
      <c r="B4622" t="s">
        <v>39</v>
      </c>
      <c r="C4622" t="s">
        <v>44</v>
      </c>
      <c r="D4622">
        <v>3449.4836162601632</v>
      </c>
      <c r="E4622" t="s">
        <v>40</v>
      </c>
      <c r="F4622" t="s">
        <v>10</v>
      </c>
    </row>
    <row r="4623" spans="1:6" hidden="1" x14ac:dyDescent="0.35">
      <c r="A4623" t="s">
        <v>11</v>
      </c>
      <c r="B4623" t="s">
        <v>39</v>
      </c>
      <c r="C4623" t="s">
        <v>44</v>
      </c>
      <c r="D4623">
        <v>0</v>
      </c>
      <c r="E4623" t="s">
        <v>40</v>
      </c>
      <c r="F4623" t="s">
        <v>10</v>
      </c>
    </row>
    <row r="4624" spans="1:6" hidden="1" x14ac:dyDescent="0.35">
      <c r="A4624" t="s">
        <v>58</v>
      </c>
      <c r="B4624" t="s">
        <v>39</v>
      </c>
      <c r="C4624" t="s">
        <v>44</v>
      </c>
      <c r="D4624">
        <v>6689.6736813008129</v>
      </c>
      <c r="E4624" t="s">
        <v>40</v>
      </c>
      <c r="F4624" t="s">
        <v>10</v>
      </c>
    </row>
    <row r="4625" spans="1:6" hidden="1" x14ac:dyDescent="0.35">
      <c r="A4625" t="s">
        <v>59</v>
      </c>
      <c r="B4625" t="s">
        <v>39</v>
      </c>
      <c r="C4625" t="s">
        <v>44</v>
      </c>
      <c r="D4625">
        <v>17890.91421626016</v>
      </c>
      <c r="E4625" t="s">
        <v>40</v>
      </c>
      <c r="F4625" t="s">
        <v>10</v>
      </c>
    </row>
    <row r="4626" spans="1:6" hidden="1" x14ac:dyDescent="0.35">
      <c r="A4626" t="s">
        <v>60</v>
      </c>
      <c r="B4626" t="s">
        <v>39</v>
      </c>
      <c r="C4626" t="s">
        <v>44</v>
      </c>
      <c r="D4626">
        <v>0</v>
      </c>
      <c r="E4626" t="s">
        <v>40</v>
      </c>
      <c r="F4626" t="s">
        <v>10</v>
      </c>
    </row>
    <row r="4627" spans="1:6" hidden="1" x14ac:dyDescent="0.35">
      <c r="A4627" t="s">
        <v>61</v>
      </c>
      <c r="B4627" t="s">
        <v>39</v>
      </c>
      <c r="C4627" t="s">
        <v>44</v>
      </c>
      <c r="D4627">
        <v>1727.260016260163</v>
      </c>
      <c r="E4627" t="s">
        <v>40</v>
      </c>
      <c r="F4627" t="s">
        <v>10</v>
      </c>
    </row>
    <row r="4628" spans="1:6" hidden="1" x14ac:dyDescent="0.35">
      <c r="A4628" t="s">
        <v>62</v>
      </c>
      <c r="B4628" t="s">
        <v>39</v>
      </c>
      <c r="C4628" t="s">
        <v>44</v>
      </c>
      <c r="D4628">
        <v>6773.9402</v>
      </c>
      <c r="E4628" t="s">
        <v>40</v>
      </c>
      <c r="F4628" t="s">
        <v>10</v>
      </c>
    </row>
    <row r="4629" spans="1:6" hidden="1" x14ac:dyDescent="0.35">
      <c r="A4629" t="s">
        <v>63</v>
      </c>
      <c r="B4629" t="s">
        <v>39</v>
      </c>
      <c r="C4629" t="s">
        <v>44</v>
      </c>
      <c r="D4629">
        <v>417.14839999999998</v>
      </c>
      <c r="E4629" t="s">
        <v>40</v>
      </c>
      <c r="F4629" t="s">
        <v>10</v>
      </c>
    </row>
    <row r="4630" spans="1:6" hidden="1" x14ac:dyDescent="0.35">
      <c r="A4630" t="s">
        <v>64</v>
      </c>
      <c r="B4630" t="s">
        <v>39</v>
      </c>
      <c r="C4630" t="s">
        <v>44</v>
      </c>
      <c r="D4630">
        <v>50136.217232520328</v>
      </c>
      <c r="E4630" t="s">
        <v>40</v>
      </c>
      <c r="F4630" t="s">
        <v>10</v>
      </c>
    </row>
    <row r="4631" spans="1:6" hidden="1" x14ac:dyDescent="0.35">
      <c r="A4631" t="s">
        <v>65</v>
      </c>
      <c r="B4631" t="s">
        <v>39</v>
      </c>
      <c r="C4631" t="s">
        <v>44</v>
      </c>
      <c r="D4631">
        <v>5172.2879999999996</v>
      </c>
      <c r="E4631" t="s">
        <v>40</v>
      </c>
      <c r="F4631" t="s">
        <v>10</v>
      </c>
    </row>
    <row r="4632" spans="1:6" hidden="1" x14ac:dyDescent="0.35">
      <c r="A4632" t="s">
        <v>66</v>
      </c>
      <c r="B4632" t="s">
        <v>39</v>
      </c>
      <c r="C4632" t="s">
        <v>44</v>
      </c>
      <c r="D4632">
        <v>37430.913102439023</v>
      </c>
      <c r="E4632" t="s">
        <v>40</v>
      </c>
      <c r="F4632" t="s">
        <v>10</v>
      </c>
    </row>
    <row r="4633" spans="1:6" hidden="1" x14ac:dyDescent="0.35">
      <c r="A4633" t="s">
        <v>67</v>
      </c>
      <c r="B4633" t="s">
        <v>39</v>
      </c>
      <c r="C4633" t="s">
        <v>44</v>
      </c>
      <c r="D4633">
        <v>13678.198200000001</v>
      </c>
      <c r="E4633" t="s">
        <v>40</v>
      </c>
      <c r="F4633" t="s">
        <v>10</v>
      </c>
    </row>
    <row r="4634" spans="1:6" hidden="1" x14ac:dyDescent="0.35">
      <c r="A4634" t="s">
        <v>57</v>
      </c>
      <c r="B4634" t="s">
        <v>39</v>
      </c>
      <c r="C4634" t="s">
        <v>22</v>
      </c>
      <c r="D4634">
        <v>0</v>
      </c>
      <c r="E4634" t="s">
        <v>40</v>
      </c>
      <c r="F4634" t="s">
        <v>10</v>
      </c>
    </row>
    <row r="4635" spans="1:6" hidden="1" x14ac:dyDescent="0.35">
      <c r="A4635" t="s">
        <v>11</v>
      </c>
      <c r="B4635" t="s">
        <v>39</v>
      </c>
      <c r="C4635" t="s">
        <v>22</v>
      </c>
      <c r="D4635">
        <v>0</v>
      </c>
      <c r="E4635" t="s">
        <v>40</v>
      </c>
      <c r="F4635" t="s">
        <v>10</v>
      </c>
    </row>
    <row r="4636" spans="1:6" hidden="1" x14ac:dyDescent="0.35">
      <c r="A4636" t="s">
        <v>58</v>
      </c>
      <c r="B4636" t="s">
        <v>39</v>
      </c>
      <c r="C4636" t="s">
        <v>22</v>
      </c>
      <c r="D4636">
        <v>0</v>
      </c>
      <c r="E4636" t="s">
        <v>40</v>
      </c>
      <c r="F4636" t="s">
        <v>10</v>
      </c>
    </row>
    <row r="4637" spans="1:6" hidden="1" x14ac:dyDescent="0.35">
      <c r="A4637" t="s">
        <v>59</v>
      </c>
      <c r="B4637" t="s">
        <v>39</v>
      </c>
      <c r="C4637" t="s">
        <v>22</v>
      </c>
      <c r="D4637">
        <v>0</v>
      </c>
      <c r="E4637" t="s">
        <v>40</v>
      </c>
      <c r="F4637" t="s">
        <v>10</v>
      </c>
    </row>
    <row r="4638" spans="1:6" hidden="1" x14ac:dyDescent="0.35">
      <c r="A4638" t="s">
        <v>60</v>
      </c>
      <c r="B4638" t="s">
        <v>39</v>
      </c>
      <c r="C4638" t="s">
        <v>22</v>
      </c>
      <c r="D4638">
        <v>0</v>
      </c>
      <c r="E4638" t="s">
        <v>40</v>
      </c>
      <c r="F4638" t="s">
        <v>10</v>
      </c>
    </row>
    <row r="4639" spans="1:6" hidden="1" x14ac:dyDescent="0.35">
      <c r="A4639" t="s">
        <v>61</v>
      </c>
      <c r="B4639" t="s">
        <v>39</v>
      </c>
      <c r="C4639" t="s">
        <v>22</v>
      </c>
      <c r="D4639">
        <v>0</v>
      </c>
      <c r="E4639" t="s">
        <v>40</v>
      </c>
      <c r="F4639" t="s">
        <v>10</v>
      </c>
    </row>
    <row r="4640" spans="1:6" hidden="1" x14ac:dyDescent="0.35">
      <c r="A4640" t="s">
        <v>62</v>
      </c>
      <c r="B4640" t="s">
        <v>39</v>
      </c>
      <c r="C4640" t="s">
        <v>22</v>
      </c>
      <c r="D4640">
        <v>0</v>
      </c>
      <c r="E4640" t="s">
        <v>40</v>
      </c>
      <c r="F4640" t="s">
        <v>10</v>
      </c>
    </row>
    <row r="4641" spans="1:6" hidden="1" x14ac:dyDescent="0.35">
      <c r="A4641" t="s">
        <v>63</v>
      </c>
      <c r="B4641" t="s">
        <v>39</v>
      </c>
      <c r="C4641" t="s">
        <v>22</v>
      </c>
      <c r="D4641">
        <v>0</v>
      </c>
      <c r="E4641" t="s">
        <v>40</v>
      </c>
      <c r="F4641" t="s">
        <v>10</v>
      </c>
    </row>
    <row r="4642" spans="1:6" hidden="1" x14ac:dyDescent="0.35">
      <c r="A4642" t="s">
        <v>64</v>
      </c>
      <c r="B4642" t="s">
        <v>39</v>
      </c>
      <c r="C4642" t="s">
        <v>22</v>
      </c>
      <c r="D4642">
        <v>0</v>
      </c>
      <c r="E4642" t="s">
        <v>40</v>
      </c>
      <c r="F4642" t="s">
        <v>10</v>
      </c>
    </row>
    <row r="4643" spans="1:6" hidden="1" x14ac:dyDescent="0.35">
      <c r="A4643" t="s">
        <v>65</v>
      </c>
      <c r="B4643" t="s">
        <v>39</v>
      </c>
      <c r="C4643" t="s">
        <v>22</v>
      </c>
      <c r="D4643">
        <v>0</v>
      </c>
      <c r="E4643" t="s">
        <v>40</v>
      </c>
      <c r="F4643" t="s">
        <v>10</v>
      </c>
    </row>
    <row r="4644" spans="1:6" hidden="1" x14ac:dyDescent="0.35">
      <c r="A4644" t="s">
        <v>66</v>
      </c>
      <c r="B4644" t="s">
        <v>39</v>
      </c>
      <c r="C4644" t="s">
        <v>22</v>
      </c>
      <c r="D4644">
        <v>0</v>
      </c>
      <c r="E4644" t="s">
        <v>40</v>
      </c>
      <c r="F4644" t="s">
        <v>10</v>
      </c>
    </row>
    <row r="4645" spans="1:6" hidden="1" x14ac:dyDescent="0.35">
      <c r="A4645" t="s">
        <v>67</v>
      </c>
      <c r="B4645" t="s">
        <v>39</v>
      </c>
      <c r="C4645" t="s">
        <v>22</v>
      </c>
      <c r="D4645">
        <v>0</v>
      </c>
      <c r="E4645" t="s">
        <v>40</v>
      </c>
      <c r="F4645" t="s">
        <v>10</v>
      </c>
    </row>
    <row r="4646" spans="1:6" hidden="1" x14ac:dyDescent="0.35">
      <c r="A4646" t="s">
        <v>57</v>
      </c>
      <c r="B4646" t="s">
        <v>39</v>
      </c>
      <c r="C4646" t="s">
        <v>46</v>
      </c>
      <c r="D4646">
        <v>712.74796747967468</v>
      </c>
      <c r="E4646" t="s">
        <v>40</v>
      </c>
      <c r="F4646" t="s">
        <v>10</v>
      </c>
    </row>
    <row r="4647" spans="1:6" hidden="1" x14ac:dyDescent="0.35">
      <c r="A4647" t="s">
        <v>11</v>
      </c>
      <c r="B4647" t="s">
        <v>39</v>
      </c>
      <c r="C4647" t="s">
        <v>46</v>
      </c>
      <c r="D4647">
        <v>0</v>
      </c>
      <c r="E4647" t="s">
        <v>40</v>
      </c>
      <c r="F4647" t="s">
        <v>10</v>
      </c>
    </row>
    <row r="4648" spans="1:6" hidden="1" x14ac:dyDescent="0.35">
      <c r="A4648" t="s">
        <v>58</v>
      </c>
      <c r="B4648" t="s">
        <v>39</v>
      </c>
      <c r="C4648" t="s">
        <v>46</v>
      </c>
      <c r="D4648">
        <v>7996.7398373983742</v>
      </c>
      <c r="E4648" t="s">
        <v>40</v>
      </c>
      <c r="F4648" t="s">
        <v>10</v>
      </c>
    </row>
    <row r="4649" spans="1:6" hidden="1" x14ac:dyDescent="0.35">
      <c r="A4649" t="s">
        <v>59</v>
      </c>
      <c r="B4649" t="s">
        <v>39</v>
      </c>
      <c r="C4649" t="s">
        <v>46</v>
      </c>
      <c r="D4649">
        <v>172189.53316747971</v>
      </c>
      <c r="E4649" t="s">
        <v>40</v>
      </c>
      <c r="F4649" t="s">
        <v>10</v>
      </c>
    </row>
    <row r="4650" spans="1:6" hidden="1" x14ac:dyDescent="0.35">
      <c r="A4650" t="s">
        <v>60</v>
      </c>
      <c r="B4650" t="s">
        <v>39</v>
      </c>
      <c r="C4650" t="s">
        <v>46</v>
      </c>
      <c r="D4650">
        <v>0</v>
      </c>
      <c r="E4650" t="s">
        <v>40</v>
      </c>
      <c r="F4650" t="s">
        <v>10</v>
      </c>
    </row>
    <row r="4651" spans="1:6" hidden="1" x14ac:dyDescent="0.35">
      <c r="A4651" t="s">
        <v>61</v>
      </c>
      <c r="B4651" t="s">
        <v>39</v>
      </c>
      <c r="C4651" t="s">
        <v>46</v>
      </c>
      <c r="D4651">
        <v>712.74796747967468</v>
      </c>
      <c r="E4651" t="s">
        <v>40</v>
      </c>
      <c r="F4651" t="s">
        <v>10</v>
      </c>
    </row>
    <row r="4652" spans="1:6" hidden="1" x14ac:dyDescent="0.35">
      <c r="A4652" t="s">
        <v>62</v>
      </c>
      <c r="B4652" t="s">
        <v>39</v>
      </c>
      <c r="C4652" t="s">
        <v>46</v>
      </c>
      <c r="D4652">
        <v>0</v>
      </c>
      <c r="E4652" t="s">
        <v>40</v>
      </c>
      <c r="F4652" t="s">
        <v>10</v>
      </c>
    </row>
    <row r="4653" spans="1:6" hidden="1" x14ac:dyDescent="0.35">
      <c r="A4653" t="s">
        <v>63</v>
      </c>
      <c r="B4653" t="s">
        <v>39</v>
      </c>
      <c r="C4653" t="s">
        <v>46</v>
      </c>
      <c r="D4653">
        <v>0</v>
      </c>
      <c r="E4653" t="s">
        <v>40</v>
      </c>
      <c r="F4653" t="s">
        <v>10</v>
      </c>
    </row>
    <row r="4654" spans="1:6" hidden="1" x14ac:dyDescent="0.35">
      <c r="A4654" t="s">
        <v>64</v>
      </c>
      <c r="B4654" t="s">
        <v>39</v>
      </c>
      <c r="C4654" t="s">
        <v>46</v>
      </c>
      <c r="D4654">
        <v>1425.4959349593489</v>
      </c>
      <c r="E4654" t="s">
        <v>40</v>
      </c>
      <c r="F4654" t="s">
        <v>10</v>
      </c>
    </row>
    <row r="4655" spans="1:6" hidden="1" x14ac:dyDescent="0.35">
      <c r="A4655" t="s">
        <v>65</v>
      </c>
      <c r="B4655" t="s">
        <v>39</v>
      </c>
      <c r="C4655" t="s">
        <v>46</v>
      </c>
      <c r="D4655">
        <v>139876.34</v>
      </c>
      <c r="E4655" t="s">
        <v>40</v>
      </c>
      <c r="F4655" t="s">
        <v>10</v>
      </c>
    </row>
    <row r="4656" spans="1:6" hidden="1" x14ac:dyDescent="0.35">
      <c r="A4656" t="s">
        <v>66</v>
      </c>
      <c r="B4656" t="s">
        <v>39</v>
      </c>
      <c r="C4656" t="s">
        <v>46</v>
      </c>
      <c r="D4656">
        <v>285257.47339512198</v>
      </c>
      <c r="E4656" t="s">
        <v>40</v>
      </c>
      <c r="F4656" t="s">
        <v>10</v>
      </c>
    </row>
    <row r="4657" spans="1:6" hidden="1" x14ac:dyDescent="0.35">
      <c r="A4657" t="s">
        <v>67</v>
      </c>
      <c r="B4657" t="s">
        <v>39</v>
      </c>
      <c r="C4657" t="s">
        <v>46</v>
      </c>
      <c r="D4657">
        <v>0</v>
      </c>
      <c r="E4657" t="s">
        <v>40</v>
      </c>
      <c r="F4657" t="s">
        <v>10</v>
      </c>
    </row>
    <row r="4658" spans="1:6" hidden="1" x14ac:dyDescent="0.35">
      <c r="A4658" t="s">
        <v>57</v>
      </c>
      <c r="B4658" t="s">
        <v>39</v>
      </c>
      <c r="C4658" t="s">
        <v>24</v>
      </c>
      <c r="D4658">
        <v>0</v>
      </c>
      <c r="E4658" t="s">
        <v>40</v>
      </c>
      <c r="F4658" t="s">
        <v>10</v>
      </c>
    </row>
    <row r="4659" spans="1:6" hidden="1" x14ac:dyDescent="0.35">
      <c r="A4659" t="s">
        <v>11</v>
      </c>
      <c r="B4659" t="s">
        <v>39</v>
      </c>
      <c r="C4659" t="s">
        <v>24</v>
      </c>
      <c r="D4659">
        <v>0</v>
      </c>
      <c r="E4659" t="s">
        <v>40</v>
      </c>
      <c r="F4659" t="s">
        <v>10</v>
      </c>
    </row>
    <row r="4660" spans="1:6" hidden="1" x14ac:dyDescent="0.35">
      <c r="A4660" t="s">
        <v>58</v>
      </c>
      <c r="B4660" t="s">
        <v>39</v>
      </c>
      <c r="C4660" t="s">
        <v>24</v>
      </c>
      <c r="D4660">
        <v>0</v>
      </c>
      <c r="E4660" t="s">
        <v>40</v>
      </c>
      <c r="F4660" t="s">
        <v>10</v>
      </c>
    </row>
    <row r="4661" spans="1:6" hidden="1" x14ac:dyDescent="0.35">
      <c r="A4661" t="s">
        <v>59</v>
      </c>
      <c r="B4661" t="s">
        <v>39</v>
      </c>
      <c r="C4661" t="s">
        <v>24</v>
      </c>
      <c r="D4661">
        <v>0</v>
      </c>
      <c r="E4661" t="s">
        <v>40</v>
      </c>
      <c r="F4661" t="s">
        <v>10</v>
      </c>
    </row>
    <row r="4662" spans="1:6" hidden="1" x14ac:dyDescent="0.35">
      <c r="A4662" t="s">
        <v>60</v>
      </c>
      <c r="B4662" t="s">
        <v>39</v>
      </c>
      <c r="C4662" t="s">
        <v>24</v>
      </c>
      <c r="D4662">
        <v>0</v>
      </c>
      <c r="E4662" t="s">
        <v>40</v>
      </c>
      <c r="F4662" t="s">
        <v>10</v>
      </c>
    </row>
    <row r="4663" spans="1:6" hidden="1" x14ac:dyDescent="0.35">
      <c r="A4663" t="s">
        <v>61</v>
      </c>
      <c r="B4663" t="s">
        <v>39</v>
      </c>
      <c r="C4663" t="s">
        <v>24</v>
      </c>
      <c r="D4663">
        <v>0</v>
      </c>
      <c r="E4663" t="s">
        <v>40</v>
      </c>
      <c r="F4663" t="s">
        <v>10</v>
      </c>
    </row>
    <row r="4664" spans="1:6" hidden="1" x14ac:dyDescent="0.35">
      <c r="A4664" t="s">
        <v>62</v>
      </c>
      <c r="B4664" t="s">
        <v>39</v>
      </c>
      <c r="C4664" t="s">
        <v>24</v>
      </c>
      <c r="D4664">
        <v>0</v>
      </c>
      <c r="E4664" t="s">
        <v>40</v>
      </c>
      <c r="F4664" t="s">
        <v>10</v>
      </c>
    </row>
    <row r="4665" spans="1:6" hidden="1" x14ac:dyDescent="0.35">
      <c r="A4665" t="s">
        <v>63</v>
      </c>
      <c r="B4665" t="s">
        <v>39</v>
      </c>
      <c r="C4665" t="s">
        <v>24</v>
      </c>
      <c r="D4665">
        <v>0</v>
      </c>
      <c r="E4665" t="s">
        <v>40</v>
      </c>
      <c r="F4665" t="s">
        <v>10</v>
      </c>
    </row>
    <row r="4666" spans="1:6" hidden="1" x14ac:dyDescent="0.35">
      <c r="A4666" t="s">
        <v>64</v>
      </c>
      <c r="B4666" t="s">
        <v>39</v>
      </c>
      <c r="C4666" t="s">
        <v>24</v>
      </c>
      <c r="D4666">
        <v>0</v>
      </c>
      <c r="E4666" t="s">
        <v>40</v>
      </c>
      <c r="F4666" t="s">
        <v>10</v>
      </c>
    </row>
    <row r="4667" spans="1:6" hidden="1" x14ac:dyDescent="0.35">
      <c r="A4667" t="s">
        <v>65</v>
      </c>
      <c r="B4667" t="s">
        <v>39</v>
      </c>
      <c r="C4667" t="s">
        <v>24</v>
      </c>
      <c r="D4667">
        <v>0</v>
      </c>
      <c r="E4667" t="s">
        <v>40</v>
      </c>
      <c r="F4667" t="s">
        <v>10</v>
      </c>
    </row>
    <row r="4668" spans="1:6" hidden="1" x14ac:dyDescent="0.35">
      <c r="A4668" t="s">
        <v>66</v>
      </c>
      <c r="B4668" t="s">
        <v>39</v>
      </c>
      <c r="C4668" t="s">
        <v>24</v>
      </c>
      <c r="D4668">
        <v>0</v>
      </c>
      <c r="E4668" t="s">
        <v>40</v>
      </c>
      <c r="F4668" t="s">
        <v>10</v>
      </c>
    </row>
    <row r="4669" spans="1:6" hidden="1" x14ac:dyDescent="0.35">
      <c r="A4669" t="s">
        <v>67</v>
      </c>
      <c r="B4669" t="s">
        <v>39</v>
      </c>
      <c r="C4669" t="s">
        <v>24</v>
      </c>
      <c r="D4669">
        <v>0</v>
      </c>
      <c r="E4669" t="s">
        <v>40</v>
      </c>
      <c r="F4669" t="s">
        <v>10</v>
      </c>
    </row>
    <row r="4670" spans="1:6" hidden="1" x14ac:dyDescent="0.35">
      <c r="A4670" t="s">
        <v>57</v>
      </c>
      <c r="B4670" t="s">
        <v>39</v>
      </c>
      <c r="C4670" t="s">
        <v>47</v>
      </c>
      <c r="E4670" t="s">
        <v>40</v>
      </c>
      <c r="F4670" t="s">
        <v>10</v>
      </c>
    </row>
    <row r="4671" spans="1:6" hidden="1" x14ac:dyDescent="0.35">
      <c r="A4671" t="s">
        <v>11</v>
      </c>
      <c r="B4671" t="s">
        <v>39</v>
      </c>
      <c r="C4671" t="s">
        <v>47</v>
      </c>
      <c r="E4671" t="s">
        <v>40</v>
      </c>
      <c r="F4671" t="s">
        <v>10</v>
      </c>
    </row>
    <row r="4672" spans="1:6" hidden="1" x14ac:dyDescent="0.35">
      <c r="A4672" t="s">
        <v>58</v>
      </c>
      <c r="B4672" t="s">
        <v>39</v>
      </c>
      <c r="C4672" t="s">
        <v>47</v>
      </c>
      <c r="E4672" t="s">
        <v>40</v>
      </c>
      <c r="F4672" t="s">
        <v>10</v>
      </c>
    </row>
    <row r="4673" spans="1:6" hidden="1" x14ac:dyDescent="0.35">
      <c r="A4673" t="s">
        <v>59</v>
      </c>
      <c r="B4673" t="s">
        <v>39</v>
      </c>
      <c r="C4673" t="s">
        <v>47</v>
      </c>
      <c r="E4673" t="s">
        <v>40</v>
      </c>
      <c r="F4673" t="s">
        <v>10</v>
      </c>
    </row>
    <row r="4674" spans="1:6" hidden="1" x14ac:dyDescent="0.35">
      <c r="A4674" t="s">
        <v>60</v>
      </c>
      <c r="B4674" t="s">
        <v>39</v>
      </c>
      <c r="C4674" t="s">
        <v>47</v>
      </c>
      <c r="E4674" t="s">
        <v>40</v>
      </c>
      <c r="F4674" t="s">
        <v>10</v>
      </c>
    </row>
    <row r="4675" spans="1:6" hidden="1" x14ac:dyDescent="0.35">
      <c r="A4675" t="s">
        <v>61</v>
      </c>
      <c r="B4675" t="s">
        <v>39</v>
      </c>
      <c r="C4675" t="s">
        <v>47</v>
      </c>
      <c r="E4675" t="s">
        <v>40</v>
      </c>
      <c r="F4675" t="s">
        <v>10</v>
      </c>
    </row>
    <row r="4676" spans="1:6" hidden="1" x14ac:dyDescent="0.35">
      <c r="A4676" t="s">
        <v>62</v>
      </c>
      <c r="B4676" t="s">
        <v>39</v>
      </c>
      <c r="C4676" t="s">
        <v>47</v>
      </c>
      <c r="E4676" t="s">
        <v>40</v>
      </c>
      <c r="F4676" t="s">
        <v>10</v>
      </c>
    </row>
    <row r="4677" spans="1:6" hidden="1" x14ac:dyDescent="0.35">
      <c r="A4677" t="s">
        <v>63</v>
      </c>
      <c r="B4677" t="s">
        <v>39</v>
      </c>
      <c r="C4677" t="s">
        <v>47</v>
      </c>
      <c r="E4677" t="s">
        <v>40</v>
      </c>
      <c r="F4677" t="s">
        <v>10</v>
      </c>
    </row>
    <row r="4678" spans="1:6" hidden="1" x14ac:dyDescent="0.35">
      <c r="A4678" t="s">
        <v>64</v>
      </c>
      <c r="B4678" t="s">
        <v>39</v>
      </c>
      <c r="C4678" t="s">
        <v>47</v>
      </c>
      <c r="E4678" t="s">
        <v>40</v>
      </c>
      <c r="F4678" t="s">
        <v>10</v>
      </c>
    </row>
    <row r="4679" spans="1:6" hidden="1" x14ac:dyDescent="0.35">
      <c r="A4679" t="s">
        <v>65</v>
      </c>
      <c r="B4679" t="s">
        <v>39</v>
      </c>
      <c r="C4679" t="s">
        <v>47</v>
      </c>
      <c r="E4679" t="s">
        <v>40</v>
      </c>
      <c r="F4679" t="s">
        <v>10</v>
      </c>
    </row>
    <row r="4680" spans="1:6" hidden="1" x14ac:dyDescent="0.35">
      <c r="A4680" t="s">
        <v>66</v>
      </c>
      <c r="B4680" t="s">
        <v>39</v>
      </c>
      <c r="C4680" t="s">
        <v>47</v>
      </c>
      <c r="E4680" t="s">
        <v>40</v>
      </c>
      <c r="F4680" t="s">
        <v>10</v>
      </c>
    </row>
    <row r="4681" spans="1:6" hidden="1" x14ac:dyDescent="0.35">
      <c r="A4681" t="s">
        <v>67</v>
      </c>
      <c r="B4681" t="s">
        <v>39</v>
      </c>
      <c r="C4681" t="s">
        <v>47</v>
      </c>
      <c r="E4681" t="s">
        <v>40</v>
      </c>
      <c r="F4681" t="s">
        <v>10</v>
      </c>
    </row>
    <row r="4682" spans="1:6" hidden="1" x14ac:dyDescent="0.35">
      <c r="A4682" t="s">
        <v>57</v>
      </c>
      <c r="B4682" t="s">
        <v>39</v>
      </c>
      <c r="C4682" t="s">
        <v>48</v>
      </c>
      <c r="D4682">
        <v>0</v>
      </c>
      <c r="E4682" t="s">
        <v>40</v>
      </c>
      <c r="F4682" t="s">
        <v>10</v>
      </c>
    </row>
    <row r="4683" spans="1:6" hidden="1" x14ac:dyDescent="0.35">
      <c r="A4683" t="s">
        <v>11</v>
      </c>
      <c r="B4683" t="s">
        <v>39</v>
      </c>
      <c r="C4683" t="s">
        <v>48</v>
      </c>
      <c r="D4683">
        <v>0</v>
      </c>
      <c r="E4683" t="s">
        <v>40</v>
      </c>
      <c r="F4683" t="s">
        <v>10</v>
      </c>
    </row>
    <row r="4684" spans="1:6" hidden="1" x14ac:dyDescent="0.35">
      <c r="A4684" t="s">
        <v>58</v>
      </c>
      <c r="B4684" t="s">
        <v>39</v>
      </c>
      <c r="C4684" t="s">
        <v>48</v>
      </c>
      <c r="D4684">
        <v>0</v>
      </c>
      <c r="E4684" t="s">
        <v>40</v>
      </c>
      <c r="F4684" t="s">
        <v>10</v>
      </c>
    </row>
    <row r="4685" spans="1:6" hidden="1" x14ac:dyDescent="0.35">
      <c r="A4685" t="s">
        <v>59</v>
      </c>
      <c r="B4685" t="s">
        <v>39</v>
      </c>
      <c r="C4685" t="s">
        <v>48</v>
      </c>
      <c r="D4685">
        <v>0</v>
      </c>
      <c r="E4685" t="s">
        <v>40</v>
      </c>
      <c r="F4685" t="s">
        <v>10</v>
      </c>
    </row>
    <row r="4686" spans="1:6" hidden="1" x14ac:dyDescent="0.35">
      <c r="A4686" t="s">
        <v>60</v>
      </c>
      <c r="B4686" t="s">
        <v>39</v>
      </c>
      <c r="C4686" t="s">
        <v>48</v>
      </c>
      <c r="D4686">
        <v>0</v>
      </c>
      <c r="E4686" t="s">
        <v>40</v>
      </c>
      <c r="F4686" t="s">
        <v>10</v>
      </c>
    </row>
    <row r="4687" spans="1:6" hidden="1" x14ac:dyDescent="0.35">
      <c r="A4687" t="s">
        <v>61</v>
      </c>
      <c r="B4687" t="s">
        <v>39</v>
      </c>
      <c r="C4687" t="s">
        <v>48</v>
      </c>
      <c r="D4687">
        <v>0</v>
      </c>
      <c r="E4687" t="s">
        <v>40</v>
      </c>
      <c r="F4687" t="s">
        <v>10</v>
      </c>
    </row>
    <row r="4688" spans="1:6" hidden="1" x14ac:dyDescent="0.35">
      <c r="A4688" t="s">
        <v>62</v>
      </c>
      <c r="B4688" t="s">
        <v>39</v>
      </c>
      <c r="C4688" t="s">
        <v>48</v>
      </c>
      <c r="D4688">
        <v>0</v>
      </c>
      <c r="E4688" t="s">
        <v>40</v>
      </c>
      <c r="F4688" t="s">
        <v>10</v>
      </c>
    </row>
    <row r="4689" spans="1:6" hidden="1" x14ac:dyDescent="0.35">
      <c r="A4689" t="s">
        <v>63</v>
      </c>
      <c r="B4689" t="s">
        <v>39</v>
      </c>
      <c r="C4689" t="s">
        <v>48</v>
      </c>
      <c r="D4689">
        <v>0</v>
      </c>
      <c r="E4689" t="s">
        <v>40</v>
      </c>
      <c r="F4689" t="s">
        <v>10</v>
      </c>
    </row>
    <row r="4690" spans="1:6" hidden="1" x14ac:dyDescent="0.35">
      <c r="A4690" t="s">
        <v>64</v>
      </c>
      <c r="B4690" t="s">
        <v>39</v>
      </c>
      <c r="C4690" t="s">
        <v>48</v>
      </c>
      <c r="D4690">
        <v>0</v>
      </c>
      <c r="E4690" t="s">
        <v>40</v>
      </c>
      <c r="F4690" t="s">
        <v>10</v>
      </c>
    </row>
    <row r="4691" spans="1:6" hidden="1" x14ac:dyDescent="0.35">
      <c r="A4691" t="s">
        <v>65</v>
      </c>
      <c r="B4691" t="s">
        <v>39</v>
      </c>
      <c r="C4691" t="s">
        <v>48</v>
      </c>
      <c r="D4691">
        <v>0</v>
      </c>
      <c r="E4691" t="s">
        <v>40</v>
      </c>
      <c r="F4691" t="s">
        <v>10</v>
      </c>
    </row>
    <row r="4692" spans="1:6" hidden="1" x14ac:dyDescent="0.35">
      <c r="A4692" t="s">
        <v>66</v>
      </c>
      <c r="B4692" t="s">
        <v>39</v>
      </c>
      <c r="C4692" t="s">
        <v>48</v>
      </c>
      <c r="D4692">
        <v>0</v>
      </c>
      <c r="E4692" t="s">
        <v>40</v>
      </c>
      <c r="F4692" t="s">
        <v>10</v>
      </c>
    </row>
    <row r="4693" spans="1:6" hidden="1" x14ac:dyDescent="0.35">
      <c r="A4693" t="s">
        <v>67</v>
      </c>
      <c r="B4693" t="s">
        <v>39</v>
      </c>
      <c r="C4693" t="s">
        <v>48</v>
      </c>
      <c r="D4693">
        <v>0</v>
      </c>
      <c r="E4693" t="s">
        <v>40</v>
      </c>
      <c r="F4693" t="s">
        <v>10</v>
      </c>
    </row>
    <row r="4694" spans="1:6" hidden="1" x14ac:dyDescent="0.35">
      <c r="A4694" t="s">
        <v>57</v>
      </c>
      <c r="B4694" t="s">
        <v>39</v>
      </c>
      <c r="C4694" t="s">
        <v>49</v>
      </c>
      <c r="D4694">
        <v>29984.862799999999</v>
      </c>
      <c r="E4694" t="s">
        <v>40</v>
      </c>
      <c r="F4694" t="s">
        <v>10</v>
      </c>
    </row>
    <row r="4695" spans="1:6" hidden="1" x14ac:dyDescent="0.35">
      <c r="A4695" t="s">
        <v>11</v>
      </c>
      <c r="B4695" t="s">
        <v>39</v>
      </c>
      <c r="C4695" t="s">
        <v>49</v>
      </c>
      <c r="D4695">
        <v>3800.6963999999998</v>
      </c>
      <c r="E4695" t="s">
        <v>40</v>
      </c>
      <c r="F4695" t="s">
        <v>10</v>
      </c>
    </row>
    <row r="4696" spans="1:6" hidden="1" x14ac:dyDescent="0.35">
      <c r="A4696" t="s">
        <v>58</v>
      </c>
      <c r="B4696" t="s">
        <v>39</v>
      </c>
      <c r="C4696" t="s">
        <v>49</v>
      </c>
      <c r="D4696">
        <v>16634.3364</v>
      </c>
      <c r="E4696" t="s">
        <v>40</v>
      </c>
      <c r="F4696" t="s">
        <v>10</v>
      </c>
    </row>
    <row r="4697" spans="1:6" hidden="1" x14ac:dyDescent="0.35">
      <c r="A4697" t="s">
        <v>59</v>
      </c>
      <c r="B4697" t="s">
        <v>39</v>
      </c>
      <c r="C4697" t="s">
        <v>49</v>
      </c>
      <c r="D4697">
        <v>69568.974799999996</v>
      </c>
      <c r="E4697" t="s">
        <v>40</v>
      </c>
      <c r="F4697" t="s">
        <v>10</v>
      </c>
    </row>
    <row r="4698" spans="1:6" hidden="1" x14ac:dyDescent="0.35">
      <c r="A4698" t="s">
        <v>60</v>
      </c>
      <c r="B4698" t="s">
        <v>39</v>
      </c>
      <c r="C4698" t="s">
        <v>49</v>
      </c>
      <c r="D4698">
        <v>2747.1419999999998</v>
      </c>
      <c r="E4698" t="s">
        <v>40</v>
      </c>
      <c r="F4698" t="s">
        <v>10</v>
      </c>
    </row>
    <row r="4699" spans="1:6" hidden="1" x14ac:dyDescent="0.35">
      <c r="A4699" t="s">
        <v>61</v>
      </c>
      <c r="B4699" t="s">
        <v>39</v>
      </c>
      <c r="C4699" t="s">
        <v>49</v>
      </c>
      <c r="D4699">
        <v>25317.8688</v>
      </c>
      <c r="E4699" t="s">
        <v>40</v>
      </c>
      <c r="F4699" t="s">
        <v>10</v>
      </c>
    </row>
    <row r="4700" spans="1:6" hidden="1" x14ac:dyDescent="0.35">
      <c r="A4700" t="s">
        <v>62</v>
      </c>
      <c r="B4700" t="s">
        <v>39</v>
      </c>
      <c r="C4700" t="s">
        <v>49</v>
      </c>
      <c r="D4700">
        <v>44066.687599999997</v>
      </c>
      <c r="E4700" t="s">
        <v>40</v>
      </c>
      <c r="F4700" t="s">
        <v>10</v>
      </c>
    </row>
    <row r="4701" spans="1:6" hidden="1" x14ac:dyDescent="0.35">
      <c r="A4701" t="s">
        <v>63</v>
      </c>
      <c r="B4701" t="s">
        <v>39</v>
      </c>
      <c r="C4701" t="s">
        <v>49</v>
      </c>
      <c r="D4701">
        <v>58277.078000000009</v>
      </c>
      <c r="E4701" t="s">
        <v>40</v>
      </c>
      <c r="F4701" t="s">
        <v>10</v>
      </c>
    </row>
    <row r="4702" spans="1:6" hidden="1" x14ac:dyDescent="0.35">
      <c r="A4702" t="s">
        <v>64</v>
      </c>
      <c r="B4702" t="s">
        <v>39</v>
      </c>
      <c r="C4702" t="s">
        <v>49</v>
      </c>
      <c r="D4702">
        <v>123892.2556</v>
      </c>
      <c r="E4702" t="s">
        <v>40</v>
      </c>
      <c r="F4702" t="s">
        <v>10</v>
      </c>
    </row>
    <row r="4703" spans="1:6" hidden="1" x14ac:dyDescent="0.35">
      <c r="A4703" t="s">
        <v>65</v>
      </c>
      <c r="B4703" t="s">
        <v>39</v>
      </c>
      <c r="C4703" t="s">
        <v>49</v>
      </c>
      <c r="D4703">
        <v>88171.434399999998</v>
      </c>
      <c r="E4703" t="s">
        <v>40</v>
      </c>
      <c r="F4703" t="s">
        <v>10</v>
      </c>
    </row>
    <row r="4704" spans="1:6" hidden="1" x14ac:dyDescent="0.35">
      <c r="A4704" t="s">
        <v>66</v>
      </c>
      <c r="B4704" t="s">
        <v>39</v>
      </c>
      <c r="C4704" t="s">
        <v>49</v>
      </c>
      <c r="D4704">
        <v>100199.0624</v>
      </c>
      <c r="E4704" t="s">
        <v>40</v>
      </c>
      <c r="F4704" t="s">
        <v>10</v>
      </c>
    </row>
    <row r="4705" spans="1:6" hidden="1" x14ac:dyDescent="0.35">
      <c r="A4705" t="s">
        <v>67</v>
      </c>
      <c r="B4705" t="s">
        <v>39</v>
      </c>
      <c r="C4705" t="s">
        <v>49</v>
      </c>
      <c r="D4705">
        <v>27387.867200000001</v>
      </c>
      <c r="E4705" t="s">
        <v>40</v>
      </c>
      <c r="F4705" t="s">
        <v>10</v>
      </c>
    </row>
    <row r="4706" spans="1:6" hidden="1" x14ac:dyDescent="0.35">
      <c r="A4706" t="s">
        <v>57</v>
      </c>
      <c r="B4706" t="s">
        <v>39</v>
      </c>
      <c r="C4706" t="s">
        <v>50</v>
      </c>
      <c r="D4706">
        <v>7611.7152000000006</v>
      </c>
      <c r="E4706" t="s">
        <v>40</v>
      </c>
      <c r="F4706" t="s">
        <v>10</v>
      </c>
    </row>
    <row r="4707" spans="1:6" hidden="1" x14ac:dyDescent="0.35">
      <c r="A4707" t="s">
        <v>11</v>
      </c>
      <c r="B4707" t="s">
        <v>39</v>
      </c>
      <c r="C4707" t="s">
        <v>50</v>
      </c>
      <c r="D4707">
        <v>0</v>
      </c>
      <c r="E4707" t="s">
        <v>40</v>
      </c>
      <c r="F4707" t="s">
        <v>10</v>
      </c>
    </row>
    <row r="4708" spans="1:6" hidden="1" x14ac:dyDescent="0.35">
      <c r="A4708" t="s">
        <v>58</v>
      </c>
      <c r="B4708" t="s">
        <v>39</v>
      </c>
      <c r="C4708" t="s">
        <v>50</v>
      </c>
      <c r="D4708">
        <v>21376.087200000002</v>
      </c>
      <c r="E4708" t="s">
        <v>40</v>
      </c>
      <c r="F4708" t="s">
        <v>10</v>
      </c>
    </row>
    <row r="4709" spans="1:6" hidden="1" x14ac:dyDescent="0.35">
      <c r="A4709" t="s">
        <v>59</v>
      </c>
      <c r="B4709" t="s">
        <v>39</v>
      </c>
      <c r="C4709" t="s">
        <v>50</v>
      </c>
      <c r="D4709">
        <v>207971.3616</v>
      </c>
      <c r="E4709" t="s">
        <v>40</v>
      </c>
      <c r="F4709" t="s">
        <v>10</v>
      </c>
    </row>
    <row r="4710" spans="1:6" hidden="1" x14ac:dyDescent="0.35">
      <c r="A4710" t="s">
        <v>60</v>
      </c>
      <c r="B4710" t="s">
        <v>39</v>
      </c>
      <c r="C4710" t="s">
        <v>50</v>
      </c>
      <c r="D4710">
        <v>0</v>
      </c>
      <c r="E4710" t="s">
        <v>40</v>
      </c>
      <c r="F4710" t="s">
        <v>10</v>
      </c>
    </row>
    <row r="4711" spans="1:6" hidden="1" x14ac:dyDescent="0.35">
      <c r="A4711" t="s">
        <v>61</v>
      </c>
      <c r="B4711" t="s">
        <v>39</v>
      </c>
      <c r="C4711" t="s">
        <v>50</v>
      </c>
      <c r="D4711">
        <v>4167.268</v>
      </c>
      <c r="E4711" t="s">
        <v>40</v>
      </c>
      <c r="F4711" t="s">
        <v>10</v>
      </c>
    </row>
    <row r="4712" spans="1:6" hidden="1" x14ac:dyDescent="0.35">
      <c r="A4712" t="s">
        <v>62</v>
      </c>
      <c r="B4712" t="s">
        <v>39</v>
      </c>
      <c r="C4712" t="s">
        <v>50</v>
      </c>
      <c r="D4712">
        <v>13547.8804</v>
      </c>
      <c r="E4712" t="s">
        <v>40</v>
      </c>
      <c r="F4712" t="s">
        <v>10</v>
      </c>
    </row>
    <row r="4713" spans="1:6" hidden="1" x14ac:dyDescent="0.35">
      <c r="A4713" t="s">
        <v>63</v>
      </c>
      <c r="B4713" t="s">
        <v>39</v>
      </c>
      <c r="C4713" t="s">
        <v>50</v>
      </c>
      <c r="D4713">
        <v>834.29679999999996</v>
      </c>
      <c r="E4713" t="s">
        <v>40</v>
      </c>
      <c r="F4713" t="s">
        <v>10</v>
      </c>
    </row>
    <row r="4714" spans="1:6" hidden="1" x14ac:dyDescent="0.35">
      <c r="A4714" t="s">
        <v>64</v>
      </c>
      <c r="B4714" t="s">
        <v>39</v>
      </c>
      <c r="C4714" t="s">
        <v>50</v>
      </c>
      <c r="D4714">
        <v>101697.9304</v>
      </c>
      <c r="E4714" t="s">
        <v>40</v>
      </c>
      <c r="F4714" t="s">
        <v>10</v>
      </c>
    </row>
    <row r="4715" spans="1:6" hidden="1" x14ac:dyDescent="0.35">
      <c r="A4715" t="s">
        <v>65</v>
      </c>
      <c r="B4715" t="s">
        <v>39</v>
      </c>
      <c r="C4715" t="s">
        <v>50</v>
      </c>
      <c r="D4715">
        <v>150220.916</v>
      </c>
      <c r="E4715" t="s">
        <v>40</v>
      </c>
      <c r="F4715" t="s">
        <v>10</v>
      </c>
    </row>
    <row r="4716" spans="1:6" hidden="1" x14ac:dyDescent="0.35">
      <c r="A4716" t="s">
        <v>66</v>
      </c>
      <c r="B4716" t="s">
        <v>39</v>
      </c>
      <c r="C4716" t="s">
        <v>50</v>
      </c>
      <c r="D4716">
        <v>360119.29960000003</v>
      </c>
      <c r="E4716" t="s">
        <v>40</v>
      </c>
      <c r="F4716" t="s">
        <v>10</v>
      </c>
    </row>
    <row r="4717" spans="1:6" hidden="1" x14ac:dyDescent="0.35">
      <c r="A4717" t="s">
        <v>67</v>
      </c>
      <c r="B4717" t="s">
        <v>39</v>
      </c>
      <c r="C4717" t="s">
        <v>50</v>
      </c>
      <c r="D4717">
        <v>27356.396400000001</v>
      </c>
      <c r="E4717" t="s">
        <v>40</v>
      </c>
      <c r="F4717" t="s">
        <v>10</v>
      </c>
    </row>
    <row r="4718" spans="1:6" hidden="1" x14ac:dyDescent="0.35">
      <c r="A4718" t="s">
        <v>57</v>
      </c>
      <c r="B4718" t="s">
        <v>39</v>
      </c>
      <c r="C4718" t="s">
        <v>51</v>
      </c>
      <c r="E4718" t="s">
        <v>40</v>
      </c>
      <c r="F4718" t="s">
        <v>10</v>
      </c>
    </row>
    <row r="4719" spans="1:6" hidden="1" x14ac:dyDescent="0.35">
      <c r="A4719" t="s">
        <v>11</v>
      </c>
      <c r="B4719" t="s">
        <v>39</v>
      </c>
      <c r="C4719" t="s">
        <v>51</v>
      </c>
      <c r="E4719" t="s">
        <v>40</v>
      </c>
      <c r="F4719" t="s">
        <v>10</v>
      </c>
    </row>
    <row r="4720" spans="1:6" hidden="1" x14ac:dyDescent="0.35">
      <c r="A4720" t="s">
        <v>58</v>
      </c>
      <c r="B4720" t="s">
        <v>39</v>
      </c>
      <c r="C4720" t="s">
        <v>51</v>
      </c>
      <c r="E4720" t="s">
        <v>40</v>
      </c>
      <c r="F4720" t="s">
        <v>10</v>
      </c>
    </row>
    <row r="4721" spans="1:6" hidden="1" x14ac:dyDescent="0.35">
      <c r="A4721" t="s">
        <v>59</v>
      </c>
      <c r="B4721" t="s">
        <v>39</v>
      </c>
      <c r="C4721" t="s">
        <v>51</v>
      </c>
      <c r="E4721" t="s">
        <v>40</v>
      </c>
      <c r="F4721" t="s">
        <v>10</v>
      </c>
    </row>
    <row r="4722" spans="1:6" hidden="1" x14ac:dyDescent="0.35">
      <c r="A4722" t="s">
        <v>60</v>
      </c>
      <c r="B4722" t="s">
        <v>39</v>
      </c>
      <c r="C4722" t="s">
        <v>51</v>
      </c>
      <c r="E4722" t="s">
        <v>40</v>
      </c>
      <c r="F4722" t="s">
        <v>10</v>
      </c>
    </row>
    <row r="4723" spans="1:6" hidden="1" x14ac:dyDescent="0.35">
      <c r="A4723" t="s">
        <v>61</v>
      </c>
      <c r="B4723" t="s">
        <v>39</v>
      </c>
      <c r="C4723" t="s">
        <v>51</v>
      </c>
      <c r="E4723" t="s">
        <v>40</v>
      </c>
      <c r="F4723" t="s">
        <v>10</v>
      </c>
    </row>
    <row r="4724" spans="1:6" hidden="1" x14ac:dyDescent="0.35">
      <c r="A4724" t="s">
        <v>62</v>
      </c>
      <c r="B4724" t="s">
        <v>39</v>
      </c>
      <c r="C4724" t="s">
        <v>51</v>
      </c>
      <c r="E4724" t="s">
        <v>40</v>
      </c>
      <c r="F4724" t="s">
        <v>10</v>
      </c>
    </row>
    <row r="4725" spans="1:6" hidden="1" x14ac:dyDescent="0.35">
      <c r="A4725" t="s">
        <v>63</v>
      </c>
      <c r="B4725" t="s">
        <v>39</v>
      </c>
      <c r="C4725" t="s">
        <v>51</v>
      </c>
      <c r="E4725" t="s">
        <v>40</v>
      </c>
      <c r="F4725" t="s">
        <v>10</v>
      </c>
    </row>
    <row r="4726" spans="1:6" hidden="1" x14ac:dyDescent="0.35">
      <c r="A4726" t="s">
        <v>64</v>
      </c>
      <c r="B4726" t="s">
        <v>39</v>
      </c>
      <c r="C4726" t="s">
        <v>51</v>
      </c>
      <c r="E4726" t="s">
        <v>40</v>
      </c>
      <c r="F4726" t="s">
        <v>10</v>
      </c>
    </row>
    <row r="4727" spans="1:6" hidden="1" x14ac:dyDescent="0.35">
      <c r="A4727" t="s">
        <v>65</v>
      </c>
      <c r="B4727" t="s">
        <v>39</v>
      </c>
      <c r="C4727" t="s">
        <v>51</v>
      </c>
      <c r="E4727" t="s">
        <v>40</v>
      </c>
      <c r="F4727" t="s">
        <v>10</v>
      </c>
    </row>
    <row r="4728" spans="1:6" hidden="1" x14ac:dyDescent="0.35">
      <c r="A4728" t="s">
        <v>66</v>
      </c>
      <c r="B4728" t="s">
        <v>39</v>
      </c>
      <c r="C4728" t="s">
        <v>51</v>
      </c>
      <c r="E4728" t="s">
        <v>40</v>
      </c>
      <c r="F4728" t="s">
        <v>10</v>
      </c>
    </row>
    <row r="4729" spans="1:6" hidden="1" x14ac:dyDescent="0.35">
      <c r="A4729" t="s">
        <v>67</v>
      </c>
      <c r="B4729" t="s">
        <v>39</v>
      </c>
      <c r="C4729" t="s">
        <v>51</v>
      </c>
      <c r="E4729" t="s">
        <v>40</v>
      </c>
      <c r="F4729" t="s">
        <v>10</v>
      </c>
    </row>
    <row r="4730" spans="1:6" hidden="1" x14ac:dyDescent="0.35">
      <c r="A4730" t="s">
        <v>57</v>
      </c>
      <c r="B4730" t="s">
        <v>39</v>
      </c>
      <c r="C4730" t="s">
        <v>30</v>
      </c>
      <c r="D4730">
        <v>7</v>
      </c>
      <c r="E4730" t="s">
        <v>40</v>
      </c>
      <c r="F4730" t="s">
        <v>10</v>
      </c>
    </row>
    <row r="4731" spans="1:6" hidden="1" x14ac:dyDescent="0.35">
      <c r="A4731" t="s">
        <v>11</v>
      </c>
      <c r="B4731" t="s">
        <v>39</v>
      </c>
      <c r="C4731" t="s">
        <v>30</v>
      </c>
      <c r="D4731">
        <v>4</v>
      </c>
      <c r="E4731" t="s">
        <v>40</v>
      </c>
      <c r="F4731" t="s">
        <v>10</v>
      </c>
    </row>
    <row r="4732" spans="1:6" hidden="1" x14ac:dyDescent="0.35">
      <c r="A4732" t="s">
        <v>58</v>
      </c>
      <c r="B4732" t="s">
        <v>39</v>
      </c>
      <c r="C4732" t="s">
        <v>30</v>
      </c>
      <c r="D4732">
        <v>3</v>
      </c>
      <c r="E4732" t="s">
        <v>40</v>
      </c>
      <c r="F4732" t="s">
        <v>10</v>
      </c>
    </row>
    <row r="4733" spans="1:6" hidden="1" x14ac:dyDescent="0.35">
      <c r="A4733" t="s">
        <v>59</v>
      </c>
      <c r="B4733" t="s">
        <v>39</v>
      </c>
      <c r="C4733" t="s">
        <v>30</v>
      </c>
      <c r="D4733">
        <v>7</v>
      </c>
      <c r="E4733" t="s">
        <v>40</v>
      </c>
      <c r="F4733" t="s">
        <v>10</v>
      </c>
    </row>
    <row r="4734" spans="1:6" hidden="1" x14ac:dyDescent="0.35">
      <c r="A4734" t="s">
        <v>60</v>
      </c>
      <c r="B4734" t="s">
        <v>39</v>
      </c>
      <c r="C4734" t="s">
        <v>30</v>
      </c>
      <c r="D4734">
        <v>9</v>
      </c>
      <c r="E4734" t="s">
        <v>40</v>
      </c>
      <c r="F4734" t="s">
        <v>10</v>
      </c>
    </row>
    <row r="4735" spans="1:6" hidden="1" x14ac:dyDescent="0.35">
      <c r="A4735" t="s">
        <v>61</v>
      </c>
      <c r="B4735" t="s">
        <v>39</v>
      </c>
      <c r="C4735" t="s">
        <v>30</v>
      </c>
      <c r="D4735">
        <v>5</v>
      </c>
      <c r="E4735" t="s">
        <v>40</v>
      </c>
      <c r="F4735" t="s">
        <v>10</v>
      </c>
    </row>
    <row r="4736" spans="1:6" hidden="1" x14ac:dyDescent="0.35">
      <c r="A4736" t="s">
        <v>62</v>
      </c>
      <c r="B4736" t="s">
        <v>39</v>
      </c>
      <c r="C4736" t="s">
        <v>30</v>
      </c>
      <c r="D4736">
        <v>7</v>
      </c>
      <c r="E4736" t="s">
        <v>40</v>
      </c>
      <c r="F4736" t="s">
        <v>10</v>
      </c>
    </row>
    <row r="4737" spans="1:6" hidden="1" x14ac:dyDescent="0.35">
      <c r="A4737" t="s">
        <v>63</v>
      </c>
      <c r="B4737" t="s">
        <v>39</v>
      </c>
      <c r="C4737" t="s">
        <v>30</v>
      </c>
      <c r="D4737">
        <v>9</v>
      </c>
      <c r="E4737" t="s">
        <v>40</v>
      </c>
      <c r="F4737" t="s">
        <v>10</v>
      </c>
    </row>
    <row r="4738" spans="1:6" hidden="1" x14ac:dyDescent="0.35">
      <c r="A4738" t="s">
        <v>64</v>
      </c>
      <c r="B4738" t="s">
        <v>39</v>
      </c>
      <c r="C4738" t="s">
        <v>30</v>
      </c>
      <c r="D4738">
        <v>6</v>
      </c>
      <c r="E4738" t="s">
        <v>40</v>
      </c>
      <c r="F4738" t="s">
        <v>10</v>
      </c>
    </row>
    <row r="4739" spans="1:6" hidden="1" x14ac:dyDescent="0.35">
      <c r="A4739" t="s">
        <v>65</v>
      </c>
      <c r="B4739" t="s">
        <v>39</v>
      </c>
      <c r="C4739" t="s">
        <v>30</v>
      </c>
      <c r="D4739">
        <v>6</v>
      </c>
      <c r="E4739" t="s">
        <v>40</v>
      </c>
      <c r="F4739" t="s">
        <v>10</v>
      </c>
    </row>
    <row r="4740" spans="1:6" hidden="1" x14ac:dyDescent="0.35">
      <c r="A4740" t="s">
        <v>66</v>
      </c>
      <c r="B4740" t="s">
        <v>39</v>
      </c>
      <c r="C4740" t="s">
        <v>30</v>
      </c>
      <c r="D4740">
        <v>10</v>
      </c>
      <c r="E4740" t="s">
        <v>40</v>
      </c>
      <c r="F4740" t="s">
        <v>10</v>
      </c>
    </row>
    <row r="4741" spans="1:6" hidden="1" x14ac:dyDescent="0.35">
      <c r="A4741" t="s">
        <v>67</v>
      </c>
      <c r="B4741" t="s">
        <v>39</v>
      </c>
      <c r="C4741" t="s">
        <v>30</v>
      </c>
      <c r="D4741">
        <v>10</v>
      </c>
      <c r="E4741" t="s">
        <v>40</v>
      </c>
      <c r="F4741" t="s">
        <v>10</v>
      </c>
    </row>
    <row r="4742" spans="1:6" hidden="1" x14ac:dyDescent="0.35">
      <c r="A4742" t="s">
        <v>57</v>
      </c>
      <c r="B4742" t="s">
        <v>39</v>
      </c>
      <c r="C4742" t="s">
        <v>52</v>
      </c>
      <c r="E4742" t="s">
        <v>40</v>
      </c>
      <c r="F4742" t="s">
        <v>10</v>
      </c>
    </row>
    <row r="4743" spans="1:6" hidden="1" x14ac:dyDescent="0.35">
      <c r="A4743" t="s">
        <v>11</v>
      </c>
      <c r="B4743" t="s">
        <v>39</v>
      </c>
      <c r="C4743" t="s">
        <v>52</v>
      </c>
      <c r="E4743" t="s">
        <v>40</v>
      </c>
      <c r="F4743" t="s">
        <v>10</v>
      </c>
    </row>
    <row r="4744" spans="1:6" hidden="1" x14ac:dyDescent="0.35">
      <c r="A4744" t="s">
        <v>58</v>
      </c>
      <c r="B4744" t="s">
        <v>39</v>
      </c>
      <c r="C4744" t="s">
        <v>52</v>
      </c>
      <c r="E4744" t="s">
        <v>40</v>
      </c>
      <c r="F4744" t="s">
        <v>10</v>
      </c>
    </row>
    <row r="4745" spans="1:6" hidden="1" x14ac:dyDescent="0.35">
      <c r="A4745" t="s">
        <v>59</v>
      </c>
      <c r="B4745" t="s">
        <v>39</v>
      </c>
      <c r="C4745" t="s">
        <v>52</v>
      </c>
      <c r="E4745" t="s">
        <v>40</v>
      </c>
      <c r="F4745" t="s">
        <v>10</v>
      </c>
    </row>
    <row r="4746" spans="1:6" hidden="1" x14ac:dyDescent="0.35">
      <c r="A4746" t="s">
        <v>60</v>
      </c>
      <c r="B4746" t="s">
        <v>39</v>
      </c>
      <c r="C4746" t="s">
        <v>52</v>
      </c>
      <c r="E4746" t="s">
        <v>40</v>
      </c>
      <c r="F4746" t="s">
        <v>10</v>
      </c>
    </row>
    <row r="4747" spans="1:6" hidden="1" x14ac:dyDescent="0.35">
      <c r="A4747" t="s">
        <v>61</v>
      </c>
      <c r="B4747" t="s">
        <v>39</v>
      </c>
      <c r="C4747" t="s">
        <v>52</v>
      </c>
      <c r="E4747" t="s">
        <v>40</v>
      </c>
      <c r="F4747" t="s">
        <v>10</v>
      </c>
    </row>
    <row r="4748" spans="1:6" hidden="1" x14ac:dyDescent="0.35">
      <c r="A4748" t="s">
        <v>62</v>
      </c>
      <c r="B4748" t="s">
        <v>39</v>
      </c>
      <c r="C4748" t="s">
        <v>52</v>
      </c>
      <c r="E4748" t="s">
        <v>40</v>
      </c>
      <c r="F4748" t="s">
        <v>10</v>
      </c>
    </row>
    <row r="4749" spans="1:6" hidden="1" x14ac:dyDescent="0.35">
      <c r="A4749" t="s">
        <v>63</v>
      </c>
      <c r="B4749" t="s">
        <v>39</v>
      </c>
      <c r="C4749" t="s">
        <v>52</v>
      </c>
      <c r="E4749" t="s">
        <v>40</v>
      </c>
      <c r="F4749" t="s">
        <v>10</v>
      </c>
    </row>
    <row r="4750" spans="1:6" hidden="1" x14ac:dyDescent="0.35">
      <c r="A4750" t="s">
        <v>64</v>
      </c>
      <c r="B4750" t="s">
        <v>39</v>
      </c>
      <c r="C4750" t="s">
        <v>52</v>
      </c>
      <c r="E4750" t="s">
        <v>40</v>
      </c>
      <c r="F4750" t="s">
        <v>10</v>
      </c>
    </row>
    <row r="4751" spans="1:6" hidden="1" x14ac:dyDescent="0.35">
      <c r="A4751" t="s">
        <v>65</v>
      </c>
      <c r="B4751" t="s">
        <v>39</v>
      </c>
      <c r="C4751" t="s">
        <v>52</v>
      </c>
      <c r="E4751" t="s">
        <v>40</v>
      </c>
      <c r="F4751" t="s">
        <v>10</v>
      </c>
    </row>
    <row r="4752" spans="1:6" hidden="1" x14ac:dyDescent="0.35">
      <c r="A4752" t="s">
        <v>66</v>
      </c>
      <c r="B4752" t="s">
        <v>39</v>
      </c>
      <c r="C4752" t="s">
        <v>52</v>
      </c>
      <c r="E4752" t="s">
        <v>40</v>
      </c>
      <c r="F4752" t="s">
        <v>10</v>
      </c>
    </row>
    <row r="4753" spans="1:6" hidden="1" x14ac:dyDescent="0.35">
      <c r="A4753" t="s">
        <v>67</v>
      </c>
      <c r="B4753" t="s">
        <v>39</v>
      </c>
      <c r="C4753" t="s">
        <v>52</v>
      </c>
      <c r="E4753" t="s">
        <v>40</v>
      </c>
      <c r="F4753" t="s">
        <v>10</v>
      </c>
    </row>
  </sheetData>
  <autoFilter ref="A1:F4753" xr:uid="{A4684097-A1D0-4A68-96D0-B724B796475F}">
    <filterColumn colId="1">
      <filters>
        <filter val="Street and Outdoor area Lighting"/>
        <filter val="Telecommunications"/>
        <filter val="Temporary Services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9169-51B6-4453-8649-4AE03B299037}">
  <sheetPr filterMode="1"/>
  <dimension ref="A1:F2117"/>
  <sheetViews>
    <sheetView workbookViewId="0">
      <selection activeCell="D2078" sqref="D2078:D2113"/>
    </sheetView>
  </sheetViews>
  <sheetFormatPr defaultRowHeight="14.5" x14ac:dyDescent="0.35"/>
  <cols>
    <col min="2" max="2" width="18.81640625" bestFit="1" customWidth="1"/>
    <col min="3" max="3" width="67.453125" customWidth="1"/>
    <col min="5" max="5" width="37" customWidth="1"/>
  </cols>
  <sheetData>
    <row r="1" spans="1:6" x14ac:dyDescent="0.35">
      <c r="A1" t="s">
        <v>71</v>
      </c>
      <c r="B1" s="1" t="s">
        <v>72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57</v>
      </c>
      <c r="B2" t="s">
        <v>43</v>
      </c>
      <c r="C2" t="s">
        <v>44</v>
      </c>
      <c r="D2">
        <v>0</v>
      </c>
      <c r="E2" t="s">
        <v>40</v>
      </c>
      <c r="F2" t="s">
        <v>45</v>
      </c>
    </row>
    <row r="3" spans="1:6" hidden="1" x14ac:dyDescent="0.35">
      <c r="A3" t="s">
        <v>11</v>
      </c>
      <c r="B3" t="s">
        <v>43</v>
      </c>
      <c r="C3" t="s">
        <v>44</v>
      </c>
      <c r="D3">
        <v>0</v>
      </c>
      <c r="E3" t="s">
        <v>40</v>
      </c>
      <c r="F3" t="s">
        <v>45</v>
      </c>
    </row>
    <row r="4" spans="1:6" hidden="1" x14ac:dyDescent="0.35">
      <c r="A4" t="s">
        <v>58</v>
      </c>
      <c r="B4" t="s">
        <v>43</v>
      </c>
      <c r="C4" t="s">
        <v>44</v>
      </c>
      <c r="D4">
        <v>0</v>
      </c>
      <c r="E4" t="s">
        <v>40</v>
      </c>
      <c r="F4" t="s">
        <v>45</v>
      </c>
    </row>
    <row r="5" spans="1:6" hidden="1" x14ac:dyDescent="0.35">
      <c r="A5" t="s">
        <v>59</v>
      </c>
      <c r="B5" t="s">
        <v>43</v>
      </c>
      <c r="C5" t="s">
        <v>44</v>
      </c>
      <c r="D5">
        <v>0</v>
      </c>
      <c r="E5" t="s">
        <v>40</v>
      </c>
      <c r="F5" t="s">
        <v>45</v>
      </c>
    </row>
    <row r="6" spans="1:6" hidden="1" x14ac:dyDescent="0.35">
      <c r="A6" t="s">
        <v>60</v>
      </c>
      <c r="B6" t="s">
        <v>43</v>
      </c>
      <c r="C6" t="s">
        <v>44</v>
      </c>
      <c r="D6">
        <v>8783.3799999999992</v>
      </c>
      <c r="E6" t="s">
        <v>40</v>
      </c>
      <c r="F6" t="s">
        <v>45</v>
      </c>
    </row>
    <row r="7" spans="1:6" hidden="1" x14ac:dyDescent="0.35">
      <c r="A7" t="s">
        <v>61</v>
      </c>
      <c r="B7" t="s">
        <v>43</v>
      </c>
      <c r="C7" t="s">
        <v>44</v>
      </c>
      <c r="D7">
        <v>0</v>
      </c>
      <c r="E7" t="s">
        <v>40</v>
      </c>
      <c r="F7" t="s">
        <v>45</v>
      </c>
    </row>
    <row r="8" spans="1:6" hidden="1" x14ac:dyDescent="0.35">
      <c r="A8" t="s">
        <v>62</v>
      </c>
      <c r="B8" t="s">
        <v>43</v>
      </c>
      <c r="C8" t="s">
        <v>44</v>
      </c>
      <c r="D8">
        <v>0</v>
      </c>
      <c r="E8" t="s">
        <v>40</v>
      </c>
      <c r="F8" t="s">
        <v>45</v>
      </c>
    </row>
    <row r="9" spans="1:6" hidden="1" x14ac:dyDescent="0.35">
      <c r="A9" t="s">
        <v>63</v>
      </c>
      <c r="B9" t="s">
        <v>43</v>
      </c>
      <c r="C9" t="s">
        <v>44</v>
      </c>
      <c r="D9">
        <v>0</v>
      </c>
      <c r="E9" t="s">
        <v>40</v>
      </c>
      <c r="F9" t="s">
        <v>45</v>
      </c>
    </row>
    <row r="10" spans="1:6" hidden="1" x14ac:dyDescent="0.35">
      <c r="A10" t="s">
        <v>64</v>
      </c>
      <c r="B10" t="s">
        <v>43</v>
      </c>
      <c r="C10" t="s">
        <v>44</v>
      </c>
      <c r="D10">
        <v>0</v>
      </c>
      <c r="E10" t="s">
        <v>40</v>
      </c>
      <c r="F10" t="s">
        <v>45</v>
      </c>
    </row>
    <row r="11" spans="1:6" hidden="1" x14ac:dyDescent="0.35">
      <c r="A11" t="s">
        <v>65</v>
      </c>
      <c r="B11" t="s">
        <v>43</v>
      </c>
      <c r="C11" t="s">
        <v>44</v>
      </c>
      <c r="D11">
        <v>0</v>
      </c>
      <c r="E11" t="s">
        <v>40</v>
      </c>
      <c r="F11" t="s">
        <v>45</v>
      </c>
    </row>
    <row r="12" spans="1:6" hidden="1" x14ac:dyDescent="0.35">
      <c r="A12" t="s">
        <v>66</v>
      </c>
      <c r="B12" t="s">
        <v>43</v>
      </c>
      <c r="C12" t="s">
        <v>44</v>
      </c>
      <c r="D12">
        <v>0</v>
      </c>
      <c r="E12" t="s">
        <v>40</v>
      </c>
      <c r="F12" t="s">
        <v>45</v>
      </c>
    </row>
    <row r="13" spans="1:6" hidden="1" x14ac:dyDescent="0.35">
      <c r="A13" t="s">
        <v>67</v>
      </c>
      <c r="B13" t="s">
        <v>43</v>
      </c>
      <c r="C13" t="s">
        <v>44</v>
      </c>
      <c r="D13">
        <v>0</v>
      </c>
      <c r="E13" t="s">
        <v>40</v>
      </c>
      <c r="F13" t="s">
        <v>45</v>
      </c>
    </row>
    <row r="14" spans="1:6" hidden="1" x14ac:dyDescent="0.35">
      <c r="A14" t="s">
        <v>57</v>
      </c>
      <c r="B14" t="s">
        <v>43</v>
      </c>
      <c r="C14" t="s">
        <v>22</v>
      </c>
      <c r="D14">
        <v>0</v>
      </c>
      <c r="E14" t="s">
        <v>40</v>
      </c>
      <c r="F14" t="s">
        <v>45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40</v>
      </c>
      <c r="F15" t="s">
        <v>45</v>
      </c>
    </row>
    <row r="16" spans="1:6" hidden="1" x14ac:dyDescent="0.35">
      <c r="A16" t="s">
        <v>58</v>
      </c>
      <c r="B16" t="s">
        <v>43</v>
      </c>
      <c r="C16" t="s">
        <v>22</v>
      </c>
      <c r="D16">
        <v>0</v>
      </c>
      <c r="E16" t="s">
        <v>40</v>
      </c>
      <c r="F16" t="s">
        <v>45</v>
      </c>
    </row>
    <row r="17" spans="1:6" hidden="1" x14ac:dyDescent="0.35">
      <c r="A17" t="s">
        <v>59</v>
      </c>
      <c r="B17" t="s">
        <v>43</v>
      </c>
      <c r="C17" t="s">
        <v>22</v>
      </c>
      <c r="D17">
        <v>0</v>
      </c>
      <c r="E17" t="s">
        <v>40</v>
      </c>
      <c r="F17" t="s">
        <v>45</v>
      </c>
    </row>
    <row r="18" spans="1:6" hidden="1" x14ac:dyDescent="0.35">
      <c r="A18" t="s">
        <v>60</v>
      </c>
      <c r="B18" t="s">
        <v>43</v>
      </c>
      <c r="C18" t="s">
        <v>22</v>
      </c>
      <c r="D18">
        <v>0</v>
      </c>
      <c r="E18" t="s">
        <v>40</v>
      </c>
      <c r="F18" t="s">
        <v>45</v>
      </c>
    </row>
    <row r="19" spans="1:6" hidden="1" x14ac:dyDescent="0.35">
      <c r="A19" t="s">
        <v>61</v>
      </c>
      <c r="B19" t="s">
        <v>43</v>
      </c>
      <c r="C19" t="s">
        <v>22</v>
      </c>
      <c r="D19">
        <v>0</v>
      </c>
      <c r="E19" t="s">
        <v>40</v>
      </c>
      <c r="F19" t="s">
        <v>45</v>
      </c>
    </row>
    <row r="20" spans="1:6" hidden="1" x14ac:dyDescent="0.35">
      <c r="A20" t="s">
        <v>62</v>
      </c>
      <c r="B20" t="s">
        <v>43</v>
      </c>
      <c r="C20" t="s">
        <v>22</v>
      </c>
      <c r="D20">
        <v>0</v>
      </c>
      <c r="E20" t="s">
        <v>40</v>
      </c>
      <c r="F20" t="s">
        <v>45</v>
      </c>
    </row>
    <row r="21" spans="1:6" hidden="1" x14ac:dyDescent="0.35">
      <c r="A21" t="s">
        <v>63</v>
      </c>
      <c r="B21" t="s">
        <v>43</v>
      </c>
      <c r="C21" t="s">
        <v>22</v>
      </c>
      <c r="D21">
        <v>0</v>
      </c>
      <c r="E21" t="s">
        <v>40</v>
      </c>
      <c r="F21" t="s">
        <v>45</v>
      </c>
    </row>
    <row r="22" spans="1:6" hidden="1" x14ac:dyDescent="0.35">
      <c r="A22" t="s">
        <v>64</v>
      </c>
      <c r="B22" t="s">
        <v>43</v>
      </c>
      <c r="C22" t="s">
        <v>22</v>
      </c>
      <c r="D22">
        <v>0</v>
      </c>
      <c r="E22" t="s">
        <v>40</v>
      </c>
      <c r="F22" t="s">
        <v>45</v>
      </c>
    </row>
    <row r="23" spans="1:6" hidden="1" x14ac:dyDescent="0.35">
      <c r="A23" t="s">
        <v>65</v>
      </c>
      <c r="B23" t="s">
        <v>43</v>
      </c>
      <c r="C23" t="s">
        <v>22</v>
      </c>
      <c r="D23">
        <v>0</v>
      </c>
      <c r="E23" t="s">
        <v>40</v>
      </c>
      <c r="F23" t="s">
        <v>45</v>
      </c>
    </row>
    <row r="24" spans="1:6" hidden="1" x14ac:dyDescent="0.35">
      <c r="A24" t="s">
        <v>66</v>
      </c>
      <c r="B24" t="s">
        <v>43</v>
      </c>
      <c r="C24" t="s">
        <v>22</v>
      </c>
      <c r="D24">
        <v>0</v>
      </c>
      <c r="E24" t="s">
        <v>40</v>
      </c>
      <c r="F24" t="s">
        <v>45</v>
      </c>
    </row>
    <row r="25" spans="1:6" hidden="1" x14ac:dyDescent="0.35">
      <c r="A25" t="s">
        <v>67</v>
      </c>
      <c r="B25" t="s">
        <v>43</v>
      </c>
      <c r="C25" t="s">
        <v>22</v>
      </c>
      <c r="D25">
        <v>0</v>
      </c>
      <c r="E25" t="s">
        <v>40</v>
      </c>
      <c r="F25" t="s">
        <v>45</v>
      </c>
    </row>
    <row r="26" spans="1:6" hidden="1" x14ac:dyDescent="0.35">
      <c r="A26" t="s">
        <v>57</v>
      </c>
      <c r="B26" t="s">
        <v>43</v>
      </c>
      <c r="C26" t="s">
        <v>46</v>
      </c>
      <c r="D26">
        <v>0</v>
      </c>
      <c r="E26" t="s">
        <v>40</v>
      </c>
      <c r="F26" t="s">
        <v>45</v>
      </c>
    </row>
    <row r="27" spans="1:6" hidden="1" x14ac:dyDescent="0.35">
      <c r="A27" t="s">
        <v>11</v>
      </c>
      <c r="B27" t="s">
        <v>43</v>
      </c>
      <c r="C27" t="s">
        <v>46</v>
      </c>
      <c r="D27">
        <v>0</v>
      </c>
      <c r="E27" t="s">
        <v>40</v>
      </c>
      <c r="F27" t="s">
        <v>45</v>
      </c>
    </row>
    <row r="28" spans="1:6" hidden="1" x14ac:dyDescent="0.35">
      <c r="A28" t="s">
        <v>58</v>
      </c>
      <c r="B28" t="s">
        <v>43</v>
      </c>
      <c r="C28" t="s">
        <v>46</v>
      </c>
      <c r="D28">
        <v>0</v>
      </c>
      <c r="E28" t="s">
        <v>40</v>
      </c>
      <c r="F28" t="s">
        <v>45</v>
      </c>
    </row>
    <row r="29" spans="1:6" hidden="1" x14ac:dyDescent="0.35">
      <c r="A29" t="s">
        <v>59</v>
      </c>
      <c r="B29" t="s">
        <v>43</v>
      </c>
      <c r="C29" t="s">
        <v>46</v>
      </c>
      <c r="D29">
        <v>0</v>
      </c>
      <c r="E29" t="s">
        <v>40</v>
      </c>
      <c r="F29" t="s">
        <v>45</v>
      </c>
    </row>
    <row r="30" spans="1:6" hidden="1" x14ac:dyDescent="0.35">
      <c r="A30" t="s">
        <v>60</v>
      </c>
      <c r="B30" t="s">
        <v>43</v>
      </c>
      <c r="C30" t="s">
        <v>46</v>
      </c>
      <c r="D30">
        <v>699.28</v>
      </c>
      <c r="E30" t="s">
        <v>40</v>
      </c>
      <c r="F30" t="s">
        <v>45</v>
      </c>
    </row>
    <row r="31" spans="1:6" hidden="1" x14ac:dyDescent="0.35">
      <c r="A31" t="s">
        <v>61</v>
      </c>
      <c r="B31" t="s">
        <v>43</v>
      </c>
      <c r="C31" t="s">
        <v>46</v>
      </c>
      <c r="D31">
        <v>0</v>
      </c>
      <c r="E31" t="s">
        <v>40</v>
      </c>
      <c r="F31" t="s">
        <v>45</v>
      </c>
    </row>
    <row r="32" spans="1:6" hidden="1" x14ac:dyDescent="0.35">
      <c r="A32" t="s">
        <v>62</v>
      </c>
      <c r="B32" t="s">
        <v>43</v>
      </c>
      <c r="C32" t="s">
        <v>46</v>
      </c>
      <c r="D32">
        <v>0</v>
      </c>
      <c r="E32" t="s">
        <v>40</v>
      </c>
      <c r="F32" t="s">
        <v>45</v>
      </c>
    </row>
    <row r="33" spans="1:6" hidden="1" x14ac:dyDescent="0.35">
      <c r="A33" t="s">
        <v>63</v>
      </c>
      <c r="B33" t="s">
        <v>43</v>
      </c>
      <c r="C33" t="s">
        <v>46</v>
      </c>
      <c r="D33">
        <v>0</v>
      </c>
      <c r="E33" t="s">
        <v>40</v>
      </c>
      <c r="F33" t="s">
        <v>45</v>
      </c>
    </row>
    <row r="34" spans="1:6" hidden="1" x14ac:dyDescent="0.35">
      <c r="A34" t="s">
        <v>64</v>
      </c>
      <c r="B34" t="s">
        <v>43</v>
      </c>
      <c r="C34" t="s">
        <v>46</v>
      </c>
      <c r="D34">
        <v>569.77</v>
      </c>
      <c r="E34" t="s">
        <v>40</v>
      </c>
      <c r="F34" t="s">
        <v>45</v>
      </c>
    </row>
    <row r="35" spans="1:6" hidden="1" x14ac:dyDescent="0.35">
      <c r="A35" t="s">
        <v>65</v>
      </c>
      <c r="B35" t="s">
        <v>43</v>
      </c>
      <c r="C35" t="s">
        <v>46</v>
      </c>
      <c r="D35">
        <v>0</v>
      </c>
      <c r="E35" t="s">
        <v>40</v>
      </c>
      <c r="F35" t="s">
        <v>45</v>
      </c>
    </row>
    <row r="36" spans="1:6" hidden="1" x14ac:dyDescent="0.35">
      <c r="A36" t="s">
        <v>66</v>
      </c>
      <c r="B36" t="s">
        <v>43</v>
      </c>
      <c r="C36" t="s">
        <v>46</v>
      </c>
      <c r="D36">
        <v>0</v>
      </c>
      <c r="E36" t="s">
        <v>40</v>
      </c>
      <c r="F36" t="s">
        <v>45</v>
      </c>
    </row>
    <row r="37" spans="1:6" hidden="1" x14ac:dyDescent="0.35">
      <c r="A37" t="s">
        <v>67</v>
      </c>
      <c r="B37" t="s">
        <v>43</v>
      </c>
      <c r="C37" t="s">
        <v>46</v>
      </c>
      <c r="D37">
        <v>0</v>
      </c>
      <c r="E37" t="s">
        <v>40</v>
      </c>
      <c r="F37" t="s">
        <v>45</v>
      </c>
    </row>
    <row r="38" spans="1:6" hidden="1" x14ac:dyDescent="0.35">
      <c r="A38" t="s">
        <v>57</v>
      </c>
      <c r="B38" t="s">
        <v>43</v>
      </c>
      <c r="C38" t="s">
        <v>24</v>
      </c>
      <c r="D38">
        <v>0</v>
      </c>
      <c r="E38" t="s">
        <v>40</v>
      </c>
      <c r="F38" t="s">
        <v>45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40</v>
      </c>
      <c r="F39" t="s">
        <v>45</v>
      </c>
    </row>
    <row r="40" spans="1:6" hidden="1" x14ac:dyDescent="0.35">
      <c r="A40" t="s">
        <v>58</v>
      </c>
      <c r="B40" t="s">
        <v>43</v>
      </c>
      <c r="C40" t="s">
        <v>24</v>
      </c>
      <c r="D40">
        <v>0</v>
      </c>
      <c r="E40" t="s">
        <v>40</v>
      </c>
      <c r="F40" t="s">
        <v>45</v>
      </c>
    </row>
    <row r="41" spans="1:6" hidden="1" x14ac:dyDescent="0.35">
      <c r="A41" t="s">
        <v>59</v>
      </c>
      <c r="B41" t="s">
        <v>43</v>
      </c>
      <c r="C41" t="s">
        <v>24</v>
      </c>
      <c r="D41">
        <v>0</v>
      </c>
      <c r="E41" t="s">
        <v>40</v>
      </c>
      <c r="F41" t="s">
        <v>45</v>
      </c>
    </row>
    <row r="42" spans="1:6" hidden="1" x14ac:dyDescent="0.35">
      <c r="A42" t="s">
        <v>60</v>
      </c>
      <c r="B42" t="s">
        <v>43</v>
      </c>
      <c r="C42" t="s">
        <v>24</v>
      </c>
      <c r="D42">
        <v>0</v>
      </c>
      <c r="E42" t="s">
        <v>40</v>
      </c>
      <c r="F42" t="s">
        <v>45</v>
      </c>
    </row>
    <row r="43" spans="1:6" hidden="1" x14ac:dyDescent="0.35">
      <c r="A43" t="s">
        <v>61</v>
      </c>
      <c r="B43" t="s">
        <v>43</v>
      </c>
      <c r="C43" t="s">
        <v>24</v>
      </c>
      <c r="D43">
        <v>0</v>
      </c>
      <c r="E43" t="s">
        <v>40</v>
      </c>
      <c r="F43" t="s">
        <v>45</v>
      </c>
    </row>
    <row r="44" spans="1:6" hidden="1" x14ac:dyDescent="0.35">
      <c r="A44" t="s">
        <v>62</v>
      </c>
      <c r="B44" t="s">
        <v>43</v>
      </c>
      <c r="C44" t="s">
        <v>24</v>
      </c>
      <c r="D44">
        <v>0</v>
      </c>
      <c r="E44" t="s">
        <v>40</v>
      </c>
      <c r="F44" t="s">
        <v>45</v>
      </c>
    </row>
    <row r="45" spans="1:6" hidden="1" x14ac:dyDescent="0.35">
      <c r="A45" t="s">
        <v>63</v>
      </c>
      <c r="B45" t="s">
        <v>43</v>
      </c>
      <c r="C45" t="s">
        <v>24</v>
      </c>
      <c r="D45">
        <v>0</v>
      </c>
      <c r="E45" t="s">
        <v>40</v>
      </c>
      <c r="F45" t="s">
        <v>45</v>
      </c>
    </row>
    <row r="46" spans="1:6" hidden="1" x14ac:dyDescent="0.35">
      <c r="A46" t="s">
        <v>64</v>
      </c>
      <c r="B46" t="s">
        <v>43</v>
      </c>
      <c r="C46" t="s">
        <v>24</v>
      </c>
      <c r="D46">
        <v>0</v>
      </c>
      <c r="E46" t="s">
        <v>40</v>
      </c>
      <c r="F46" t="s">
        <v>45</v>
      </c>
    </row>
    <row r="47" spans="1:6" hidden="1" x14ac:dyDescent="0.35">
      <c r="A47" t="s">
        <v>65</v>
      </c>
      <c r="B47" t="s">
        <v>43</v>
      </c>
      <c r="C47" t="s">
        <v>24</v>
      </c>
      <c r="D47">
        <v>0</v>
      </c>
      <c r="E47" t="s">
        <v>40</v>
      </c>
      <c r="F47" t="s">
        <v>45</v>
      </c>
    </row>
    <row r="48" spans="1:6" hidden="1" x14ac:dyDescent="0.35">
      <c r="A48" t="s">
        <v>66</v>
      </c>
      <c r="B48" t="s">
        <v>43</v>
      </c>
      <c r="C48" t="s">
        <v>24</v>
      </c>
      <c r="D48">
        <v>0</v>
      </c>
      <c r="E48" t="s">
        <v>40</v>
      </c>
      <c r="F48" t="s">
        <v>45</v>
      </c>
    </row>
    <row r="49" spans="1:6" hidden="1" x14ac:dyDescent="0.35">
      <c r="A49" t="s">
        <v>67</v>
      </c>
      <c r="B49" t="s">
        <v>43</v>
      </c>
      <c r="C49" t="s">
        <v>24</v>
      </c>
      <c r="D49">
        <v>0</v>
      </c>
      <c r="E49" t="s">
        <v>40</v>
      </c>
      <c r="F49" t="s">
        <v>45</v>
      </c>
    </row>
    <row r="50" spans="1:6" hidden="1" x14ac:dyDescent="0.35">
      <c r="A50" t="s">
        <v>57</v>
      </c>
      <c r="B50" t="s">
        <v>43</v>
      </c>
      <c r="C50" t="s">
        <v>47</v>
      </c>
      <c r="D50">
        <v>0</v>
      </c>
      <c r="E50" t="s">
        <v>40</v>
      </c>
      <c r="F50" t="s">
        <v>45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40</v>
      </c>
      <c r="F51" t="s">
        <v>45</v>
      </c>
    </row>
    <row r="52" spans="1:6" hidden="1" x14ac:dyDescent="0.35">
      <c r="A52" t="s">
        <v>58</v>
      </c>
      <c r="B52" t="s">
        <v>43</v>
      </c>
      <c r="C52" t="s">
        <v>47</v>
      </c>
      <c r="D52">
        <v>0</v>
      </c>
      <c r="E52" t="s">
        <v>40</v>
      </c>
      <c r="F52" t="s">
        <v>45</v>
      </c>
    </row>
    <row r="53" spans="1:6" hidden="1" x14ac:dyDescent="0.35">
      <c r="A53" t="s">
        <v>59</v>
      </c>
      <c r="B53" t="s">
        <v>43</v>
      </c>
      <c r="C53" t="s">
        <v>47</v>
      </c>
      <c r="D53">
        <v>0</v>
      </c>
      <c r="E53" t="s">
        <v>40</v>
      </c>
      <c r="F53" t="s">
        <v>45</v>
      </c>
    </row>
    <row r="54" spans="1:6" hidden="1" x14ac:dyDescent="0.35">
      <c r="A54" t="s">
        <v>60</v>
      </c>
      <c r="B54" t="s">
        <v>43</v>
      </c>
      <c r="C54" t="s">
        <v>47</v>
      </c>
      <c r="D54">
        <v>0</v>
      </c>
      <c r="E54" t="s">
        <v>40</v>
      </c>
      <c r="F54" t="s">
        <v>45</v>
      </c>
    </row>
    <row r="55" spans="1:6" hidden="1" x14ac:dyDescent="0.35">
      <c r="A55" t="s">
        <v>61</v>
      </c>
      <c r="B55" t="s">
        <v>43</v>
      </c>
      <c r="C55" t="s">
        <v>47</v>
      </c>
      <c r="D55">
        <v>0</v>
      </c>
      <c r="E55" t="s">
        <v>40</v>
      </c>
      <c r="F55" t="s">
        <v>45</v>
      </c>
    </row>
    <row r="56" spans="1:6" hidden="1" x14ac:dyDescent="0.35">
      <c r="A56" t="s">
        <v>62</v>
      </c>
      <c r="B56" t="s">
        <v>43</v>
      </c>
      <c r="C56" t="s">
        <v>47</v>
      </c>
      <c r="D56">
        <v>0</v>
      </c>
      <c r="E56" t="s">
        <v>40</v>
      </c>
      <c r="F56" t="s">
        <v>45</v>
      </c>
    </row>
    <row r="57" spans="1:6" hidden="1" x14ac:dyDescent="0.35">
      <c r="A57" t="s">
        <v>63</v>
      </c>
      <c r="B57" t="s">
        <v>43</v>
      </c>
      <c r="C57" t="s">
        <v>47</v>
      </c>
      <c r="D57">
        <v>0</v>
      </c>
      <c r="E57" t="s">
        <v>40</v>
      </c>
      <c r="F57" t="s">
        <v>45</v>
      </c>
    </row>
    <row r="58" spans="1:6" hidden="1" x14ac:dyDescent="0.35">
      <c r="A58" t="s">
        <v>64</v>
      </c>
      <c r="B58" t="s">
        <v>43</v>
      </c>
      <c r="C58" t="s">
        <v>47</v>
      </c>
      <c r="D58">
        <v>0</v>
      </c>
      <c r="E58" t="s">
        <v>40</v>
      </c>
      <c r="F58" t="s">
        <v>45</v>
      </c>
    </row>
    <row r="59" spans="1:6" hidden="1" x14ac:dyDescent="0.35">
      <c r="A59" t="s">
        <v>65</v>
      </c>
      <c r="B59" t="s">
        <v>43</v>
      </c>
      <c r="C59" t="s">
        <v>47</v>
      </c>
      <c r="D59">
        <v>0</v>
      </c>
      <c r="E59" t="s">
        <v>40</v>
      </c>
      <c r="F59" t="s">
        <v>45</v>
      </c>
    </row>
    <row r="60" spans="1:6" hidden="1" x14ac:dyDescent="0.35">
      <c r="A60" t="s">
        <v>66</v>
      </c>
      <c r="B60" t="s">
        <v>43</v>
      </c>
      <c r="C60" t="s">
        <v>47</v>
      </c>
      <c r="D60">
        <v>0</v>
      </c>
      <c r="E60" t="s">
        <v>40</v>
      </c>
      <c r="F60" t="s">
        <v>45</v>
      </c>
    </row>
    <row r="61" spans="1:6" hidden="1" x14ac:dyDescent="0.35">
      <c r="A61" t="s">
        <v>67</v>
      </c>
      <c r="B61" t="s">
        <v>43</v>
      </c>
      <c r="C61" t="s">
        <v>47</v>
      </c>
      <c r="D61">
        <v>0</v>
      </c>
      <c r="E61" t="s">
        <v>40</v>
      </c>
      <c r="F61" t="s">
        <v>45</v>
      </c>
    </row>
    <row r="62" spans="1:6" hidden="1" x14ac:dyDescent="0.35">
      <c r="A62" t="s">
        <v>57</v>
      </c>
      <c r="B62" t="s">
        <v>43</v>
      </c>
      <c r="C62" t="s">
        <v>48</v>
      </c>
      <c r="D62">
        <v>0</v>
      </c>
      <c r="E62" t="s">
        <v>40</v>
      </c>
      <c r="F62" t="s">
        <v>45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40</v>
      </c>
      <c r="F63" t="s">
        <v>45</v>
      </c>
    </row>
    <row r="64" spans="1:6" hidden="1" x14ac:dyDescent="0.35">
      <c r="A64" t="s">
        <v>58</v>
      </c>
      <c r="B64" t="s">
        <v>43</v>
      </c>
      <c r="C64" t="s">
        <v>48</v>
      </c>
      <c r="D64">
        <v>0</v>
      </c>
      <c r="E64" t="s">
        <v>40</v>
      </c>
      <c r="F64" t="s">
        <v>45</v>
      </c>
    </row>
    <row r="65" spans="1:6" hidden="1" x14ac:dyDescent="0.35">
      <c r="A65" t="s">
        <v>59</v>
      </c>
      <c r="B65" t="s">
        <v>43</v>
      </c>
      <c r="C65" t="s">
        <v>48</v>
      </c>
      <c r="D65">
        <v>0</v>
      </c>
      <c r="E65" t="s">
        <v>40</v>
      </c>
      <c r="F65" t="s">
        <v>45</v>
      </c>
    </row>
    <row r="66" spans="1:6" hidden="1" x14ac:dyDescent="0.35">
      <c r="A66" t="s">
        <v>60</v>
      </c>
      <c r="B66" t="s">
        <v>43</v>
      </c>
      <c r="C66" t="s">
        <v>48</v>
      </c>
      <c r="D66">
        <v>0</v>
      </c>
      <c r="E66" t="s">
        <v>40</v>
      </c>
      <c r="F66" t="s">
        <v>45</v>
      </c>
    </row>
    <row r="67" spans="1:6" hidden="1" x14ac:dyDescent="0.35">
      <c r="A67" t="s">
        <v>61</v>
      </c>
      <c r="B67" t="s">
        <v>43</v>
      </c>
      <c r="C67" t="s">
        <v>48</v>
      </c>
      <c r="D67">
        <v>0</v>
      </c>
      <c r="E67" t="s">
        <v>40</v>
      </c>
      <c r="F67" t="s">
        <v>45</v>
      </c>
    </row>
    <row r="68" spans="1:6" hidden="1" x14ac:dyDescent="0.35">
      <c r="A68" t="s">
        <v>62</v>
      </c>
      <c r="B68" t="s">
        <v>43</v>
      </c>
      <c r="C68" t="s">
        <v>48</v>
      </c>
      <c r="D68">
        <v>0</v>
      </c>
      <c r="E68" t="s">
        <v>40</v>
      </c>
      <c r="F68" t="s">
        <v>45</v>
      </c>
    </row>
    <row r="69" spans="1:6" hidden="1" x14ac:dyDescent="0.35">
      <c r="A69" t="s">
        <v>63</v>
      </c>
      <c r="B69" t="s">
        <v>43</v>
      </c>
      <c r="C69" t="s">
        <v>48</v>
      </c>
      <c r="D69">
        <v>0</v>
      </c>
      <c r="E69" t="s">
        <v>40</v>
      </c>
      <c r="F69" t="s">
        <v>45</v>
      </c>
    </row>
    <row r="70" spans="1:6" hidden="1" x14ac:dyDescent="0.35">
      <c r="A70" t="s">
        <v>64</v>
      </c>
      <c r="B70" t="s">
        <v>43</v>
      </c>
      <c r="C70" t="s">
        <v>48</v>
      </c>
      <c r="D70">
        <v>0</v>
      </c>
      <c r="E70" t="s">
        <v>40</v>
      </c>
      <c r="F70" t="s">
        <v>45</v>
      </c>
    </row>
    <row r="71" spans="1:6" hidden="1" x14ac:dyDescent="0.35">
      <c r="A71" t="s">
        <v>65</v>
      </c>
      <c r="B71" t="s">
        <v>43</v>
      </c>
      <c r="C71" t="s">
        <v>48</v>
      </c>
      <c r="D71">
        <v>0</v>
      </c>
      <c r="E71" t="s">
        <v>40</v>
      </c>
      <c r="F71" t="s">
        <v>45</v>
      </c>
    </row>
    <row r="72" spans="1:6" hidden="1" x14ac:dyDescent="0.35">
      <c r="A72" t="s">
        <v>66</v>
      </c>
      <c r="B72" t="s">
        <v>43</v>
      </c>
      <c r="C72" t="s">
        <v>48</v>
      </c>
      <c r="D72">
        <v>0</v>
      </c>
      <c r="E72" t="s">
        <v>40</v>
      </c>
      <c r="F72" t="s">
        <v>45</v>
      </c>
    </row>
    <row r="73" spans="1:6" hidden="1" x14ac:dyDescent="0.35">
      <c r="A73" t="s">
        <v>67</v>
      </c>
      <c r="B73" t="s">
        <v>43</v>
      </c>
      <c r="C73" t="s">
        <v>48</v>
      </c>
      <c r="D73">
        <v>0</v>
      </c>
      <c r="E73" t="s">
        <v>40</v>
      </c>
      <c r="F73" t="s">
        <v>45</v>
      </c>
    </row>
    <row r="74" spans="1:6" hidden="1" x14ac:dyDescent="0.35">
      <c r="A74" t="s">
        <v>57</v>
      </c>
      <c r="B74" t="s">
        <v>43</v>
      </c>
      <c r="C74" t="s">
        <v>49</v>
      </c>
      <c r="D74">
        <v>0</v>
      </c>
      <c r="E74" t="s">
        <v>40</v>
      </c>
      <c r="F74" t="s">
        <v>45</v>
      </c>
    </row>
    <row r="75" spans="1:6" hidden="1" x14ac:dyDescent="0.35">
      <c r="A75" t="s">
        <v>11</v>
      </c>
      <c r="B75" t="s">
        <v>43</v>
      </c>
      <c r="C75" t="s">
        <v>49</v>
      </c>
      <c r="D75">
        <v>0</v>
      </c>
      <c r="E75" t="s">
        <v>40</v>
      </c>
      <c r="F75" t="s">
        <v>45</v>
      </c>
    </row>
    <row r="76" spans="1:6" hidden="1" x14ac:dyDescent="0.35">
      <c r="A76" t="s">
        <v>58</v>
      </c>
      <c r="B76" t="s">
        <v>43</v>
      </c>
      <c r="C76" t="s">
        <v>49</v>
      </c>
      <c r="D76">
        <v>0</v>
      </c>
      <c r="E76" t="s">
        <v>40</v>
      </c>
      <c r="F76" t="s">
        <v>45</v>
      </c>
    </row>
    <row r="77" spans="1:6" hidden="1" x14ac:dyDescent="0.35">
      <c r="A77" t="s">
        <v>59</v>
      </c>
      <c r="B77" t="s">
        <v>43</v>
      </c>
      <c r="C77" t="s">
        <v>49</v>
      </c>
      <c r="D77">
        <v>0</v>
      </c>
      <c r="E77" t="s">
        <v>40</v>
      </c>
      <c r="F77" t="s">
        <v>45</v>
      </c>
    </row>
    <row r="78" spans="1:6" hidden="1" x14ac:dyDescent="0.35">
      <c r="A78" t="s">
        <v>60</v>
      </c>
      <c r="B78" t="s">
        <v>43</v>
      </c>
      <c r="C78" t="s">
        <v>49</v>
      </c>
      <c r="D78">
        <v>0</v>
      </c>
      <c r="E78" t="s">
        <v>40</v>
      </c>
      <c r="F78" t="s">
        <v>45</v>
      </c>
    </row>
    <row r="79" spans="1:6" hidden="1" x14ac:dyDescent="0.35">
      <c r="A79" t="s">
        <v>61</v>
      </c>
      <c r="B79" t="s">
        <v>43</v>
      </c>
      <c r="C79" t="s">
        <v>49</v>
      </c>
      <c r="D79">
        <v>0</v>
      </c>
      <c r="E79" t="s">
        <v>40</v>
      </c>
      <c r="F79" t="s">
        <v>45</v>
      </c>
    </row>
    <row r="80" spans="1:6" hidden="1" x14ac:dyDescent="0.35">
      <c r="A80" t="s">
        <v>62</v>
      </c>
      <c r="B80" t="s">
        <v>43</v>
      </c>
      <c r="C80" t="s">
        <v>49</v>
      </c>
      <c r="D80">
        <v>0</v>
      </c>
      <c r="E80" t="s">
        <v>40</v>
      </c>
      <c r="F80" t="s">
        <v>45</v>
      </c>
    </row>
    <row r="81" spans="1:6" hidden="1" x14ac:dyDescent="0.35">
      <c r="A81" t="s">
        <v>63</v>
      </c>
      <c r="B81" t="s">
        <v>43</v>
      </c>
      <c r="C81" t="s">
        <v>49</v>
      </c>
      <c r="D81">
        <v>0</v>
      </c>
      <c r="E81" t="s">
        <v>40</v>
      </c>
      <c r="F81" t="s">
        <v>45</v>
      </c>
    </row>
    <row r="82" spans="1:6" hidden="1" x14ac:dyDescent="0.35">
      <c r="A82" t="s">
        <v>64</v>
      </c>
      <c r="B82" t="s">
        <v>43</v>
      </c>
      <c r="C82" t="s">
        <v>49</v>
      </c>
      <c r="D82">
        <v>0</v>
      </c>
      <c r="E82" t="s">
        <v>40</v>
      </c>
      <c r="F82" t="s">
        <v>45</v>
      </c>
    </row>
    <row r="83" spans="1:6" hidden="1" x14ac:dyDescent="0.35">
      <c r="A83" t="s">
        <v>65</v>
      </c>
      <c r="B83" t="s">
        <v>43</v>
      </c>
      <c r="C83" t="s">
        <v>49</v>
      </c>
      <c r="D83">
        <v>0</v>
      </c>
      <c r="E83" t="s">
        <v>40</v>
      </c>
      <c r="F83" t="s">
        <v>45</v>
      </c>
    </row>
    <row r="84" spans="1:6" hidden="1" x14ac:dyDescent="0.35">
      <c r="A84" t="s">
        <v>66</v>
      </c>
      <c r="B84" t="s">
        <v>43</v>
      </c>
      <c r="C84" t="s">
        <v>49</v>
      </c>
      <c r="D84">
        <v>0</v>
      </c>
      <c r="E84" t="s">
        <v>40</v>
      </c>
      <c r="F84" t="s">
        <v>45</v>
      </c>
    </row>
    <row r="85" spans="1:6" hidden="1" x14ac:dyDescent="0.35">
      <c r="A85" t="s">
        <v>67</v>
      </c>
      <c r="B85" t="s">
        <v>43</v>
      </c>
      <c r="C85" t="s">
        <v>49</v>
      </c>
      <c r="D85">
        <v>0</v>
      </c>
      <c r="E85" t="s">
        <v>40</v>
      </c>
      <c r="F85" t="s">
        <v>45</v>
      </c>
    </row>
    <row r="86" spans="1:6" hidden="1" x14ac:dyDescent="0.35">
      <c r="A86" t="s">
        <v>57</v>
      </c>
      <c r="B86" t="s">
        <v>43</v>
      </c>
      <c r="C86" t="s">
        <v>50</v>
      </c>
      <c r="D86">
        <v>0</v>
      </c>
      <c r="E86" t="s">
        <v>40</v>
      </c>
      <c r="F86" t="s">
        <v>45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40</v>
      </c>
      <c r="F87" t="s">
        <v>45</v>
      </c>
    </row>
    <row r="88" spans="1:6" hidden="1" x14ac:dyDescent="0.35">
      <c r="A88" t="s">
        <v>58</v>
      </c>
      <c r="B88" t="s">
        <v>43</v>
      </c>
      <c r="C88" t="s">
        <v>50</v>
      </c>
      <c r="D88">
        <v>0</v>
      </c>
      <c r="E88" t="s">
        <v>40</v>
      </c>
      <c r="F88" t="s">
        <v>45</v>
      </c>
    </row>
    <row r="89" spans="1:6" hidden="1" x14ac:dyDescent="0.35">
      <c r="A89" t="s">
        <v>59</v>
      </c>
      <c r="B89" t="s">
        <v>43</v>
      </c>
      <c r="C89" t="s">
        <v>50</v>
      </c>
      <c r="D89">
        <v>0</v>
      </c>
      <c r="E89" t="s">
        <v>40</v>
      </c>
      <c r="F89" t="s">
        <v>45</v>
      </c>
    </row>
    <row r="90" spans="1:6" hidden="1" x14ac:dyDescent="0.35">
      <c r="A90" t="s">
        <v>60</v>
      </c>
      <c r="B90" t="s">
        <v>43</v>
      </c>
      <c r="C90" t="s">
        <v>50</v>
      </c>
      <c r="D90">
        <v>0</v>
      </c>
      <c r="E90" t="s">
        <v>40</v>
      </c>
      <c r="F90" t="s">
        <v>45</v>
      </c>
    </row>
    <row r="91" spans="1:6" hidden="1" x14ac:dyDescent="0.35">
      <c r="A91" t="s">
        <v>61</v>
      </c>
      <c r="B91" t="s">
        <v>43</v>
      </c>
      <c r="C91" t="s">
        <v>50</v>
      </c>
      <c r="D91">
        <v>0</v>
      </c>
      <c r="E91" t="s">
        <v>40</v>
      </c>
      <c r="F91" t="s">
        <v>45</v>
      </c>
    </row>
    <row r="92" spans="1:6" hidden="1" x14ac:dyDescent="0.35">
      <c r="A92" t="s">
        <v>62</v>
      </c>
      <c r="B92" t="s">
        <v>43</v>
      </c>
      <c r="C92" t="s">
        <v>50</v>
      </c>
      <c r="D92">
        <v>0</v>
      </c>
      <c r="E92" t="s">
        <v>40</v>
      </c>
      <c r="F92" t="s">
        <v>45</v>
      </c>
    </row>
    <row r="93" spans="1:6" hidden="1" x14ac:dyDescent="0.35">
      <c r="A93" t="s">
        <v>63</v>
      </c>
      <c r="B93" t="s">
        <v>43</v>
      </c>
      <c r="C93" t="s">
        <v>50</v>
      </c>
      <c r="D93">
        <v>0</v>
      </c>
      <c r="E93" t="s">
        <v>40</v>
      </c>
      <c r="F93" t="s">
        <v>45</v>
      </c>
    </row>
    <row r="94" spans="1:6" hidden="1" x14ac:dyDescent="0.35">
      <c r="A94" t="s">
        <v>64</v>
      </c>
      <c r="B94" t="s">
        <v>43</v>
      </c>
      <c r="C94" t="s">
        <v>50</v>
      </c>
      <c r="D94">
        <v>0</v>
      </c>
      <c r="E94" t="s">
        <v>40</v>
      </c>
      <c r="F94" t="s">
        <v>45</v>
      </c>
    </row>
    <row r="95" spans="1:6" hidden="1" x14ac:dyDescent="0.35">
      <c r="A95" t="s">
        <v>65</v>
      </c>
      <c r="B95" t="s">
        <v>43</v>
      </c>
      <c r="C95" t="s">
        <v>50</v>
      </c>
      <c r="D95">
        <v>0</v>
      </c>
      <c r="E95" t="s">
        <v>40</v>
      </c>
      <c r="F95" t="s">
        <v>45</v>
      </c>
    </row>
    <row r="96" spans="1:6" hidden="1" x14ac:dyDescent="0.35">
      <c r="A96" t="s">
        <v>66</v>
      </c>
      <c r="B96" t="s">
        <v>43</v>
      </c>
      <c r="C96" t="s">
        <v>50</v>
      </c>
      <c r="D96">
        <v>0</v>
      </c>
      <c r="E96" t="s">
        <v>40</v>
      </c>
      <c r="F96" t="s">
        <v>45</v>
      </c>
    </row>
    <row r="97" spans="1:6" hidden="1" x14ac:dyDescent="0.35">
      <c r="A97" t="s">
        <v>67</v>
      </c>
      <c r="B97" t="s">
        <v>43</v>
      </c>
      <c r="C97" t="s">
        <v>50</v>
      </c>
      <c r="D97">
        <v>0</v>
      </c>
      <c r="E97" t="s">
        <v>40</v>
      </c>
      <c r="F97" t="s">
        <v>45</v>
      </c>
    </row>
    <row r="98" spans="1:6" hidden="1" x14ac:dyDescent="0.35">
      <c r="A98" t="s">
        <v>57</v>
      </c>
      <c r="B98" t="s">
        <v>43</v>
      </c>
      <c r="C98" t="s">
        <v>51</v>
      </c>
      <c r="D98">
        <v>2</v>
      </c>
      <c r="E98" t="s">
        <v>40</v>
      </c>
      <c r="F98" t="s">
        <v>45</v>
      </c>
    </row>
    <row r="99" spans="1:6" hidden="1" x14ac:dyDescent="0.35">
      <c r="A99" t="s">
        <v>11</v>
      </c>
      <c r="B99" t="s">
        <v>43</v>
      </c>
      <c r="C99" t="s">
        <v>51</v>
      </c>
      <c r="D99">
        <v>0</v>
      </c>
      <c r="E99" t="s">
        <v>40</v>
      </c>
      <c r="F99" t="s">
        <v>45</v>
      </c>
    </row>
    <row r="100" spans="1:6" hidden="1" x14ac:dyDescent="0.35">
      <c r="A100" t="s">
        <v>58</v>
      </c>
      <c r="B100" t="s">
        <v>43</v>
      </c>
      <c r="C100" t="s">
        <v>51</v>
      </c>
      <c r="D100">
        <v>0</v>
      </c>
      <c r="E100" t="s">
        <v>40</v>
      </c>
      <c r="F100" t="s">
        <v>45</v>
      </c>
    </row>
    <row r="101" spans="1:6" hidden="1" x14ac:dyDescent="0.35">
      <c r="A101" t="s">
        <v>59</v>
      </c>
      <c r="B101" t="s">
        <v>43</v>
      </c>
      <c r="C101" t="s">
        <v>51</v>
      </c>
      <c r="D101">
        <v>4</v>
      </c>
      <c r="E101" t="s">
        <v>40</v>
      </c>
      <c r="F101" t="s">
        <v>45</v>
      </c>
    </row>
    <row r="102" spans="1:6" hidden="1" x14ac:dyDescent="0.35">
      <c r="A102" t="s">
        <v>60</v>
      </c>
      <c r="B102" t="s">
        <v>43</v>
      </c>
      <c r="C102" t="s">
        <v>51</v>
      </c>
      <c r="D102">
        <v>1</v>
      </c>
      <c r="E102" t="s">
        <v>40</v>
      </c>
      <c r="F102" t="s">
        <v>45</v>
      </c>
    </row>
    <row r="103" spans="1:6" hidden="1" x14ac:dyDescent="0.35">
      <c r="A103" t="s">
        <v>61</v>
      </c>
      <c r="B103" t="s">
        <v>43</v>
      </c>
      <c r="C103" t="s">
        <v>51</v>
      </c>
      <c r="D103">
        <v>1</v>
      </c>
      <c r="E103" t="s">
        <v>40</v>
      </c>
      <c r="F103" t="s">
        <v>45</v>
      </c>
    </row>
    <row r="104" spans="1:6" hidden="1" x14ac:dyDescent="0.35">
      <c r="A104" t="s">
        <v>62</v>
      </c>
      <c r="B104" t="s">
        <v>43</v>
      </c>
      <c r="C104" t="s">
        <v>51</v>
      </c>
      <c r="D104">
        <v>1</v>
      </c>
      <c r="E104" t="s">
        <v>40</v>
      </c>
      <c r="F104" t="s">
        <v>45</v>
      </c>
    </row>
    <row r="105" spans="1:6" hidden="1" x14ac:dyDescent="0.35">
      <c r="A105" t="s">
        <v>63</v>
      </c>
      <c r="B105" t="s">
        <v>43</v>
      </c>
      <c r="C105" t="s">
        <v>51</v>
      </c>
      <c r="D105">
        <v>0</v>
      </c>
      <c r="E105" t="s">
        <v>40</v>
      </c>
      <c r="F105" t="s">
        <v>45</v>
      </c>
    </row>
    <row r="106" spans="1:6" hidden="1" x14ac:dyDescent="0.35">
      <c r="A106" t="s">
        <v>64</v>
      </c>
      <c r="B106" t="s">
        <v>43</v>
      </c>
      <c r="C106" t="s">
        <v>51</v>
      </c>
      <c r="D106">
        <v>3</v>
      </c>
      <c r="E106" t="s">
        <v>40</v>
      </c>
      <c r="F106" t="s">
        <v>45</v>
      </c>
    </row>
    <row r="107" spans="1:6" hidden="1" x14ac:dyDescent="0.35">
      <c r="A107" t="s">
        <v>65</v>
      </c>
      <c r="B107" t="s">
        <v>43</v>
      </c>
      <c r="C107" t="s">
        <v>51</v>
      </c>
      <c r="D107">
        <v>1</v>
      </c>
      <c r="E107" t="s">
        <v>40</v>
      </c>
      <c r="F107" t="s">
        <v>45</v>
      </c>
    </row>
    <row r="108" spans="1:6" hidden="1" x14ac:dyDescent="0.35">
      <c r="A108" t="s">
        <v>66</v>
      </c>
      <c r="B108" t="s">
        <v>43</v>
      </c>
      <c r="C108" t="s">
        <v>51</v>
      </c>
      <c r="D108">
        <v>2</v>
      </c>
      <c r="E108" t="s">
        <v>40</v>
      </c>
      <c r="F108" t="s">
        <v>45</v>
      </c>
    </row>
    <row r="109" spans="1:6" hidden="1" x14ac:dyDescent="0.35">
      <c r="A109" t="s">
        <v>67</v>
      </c>
      <c r="B109" t="s">
        <v>43</v>
      </c>
      <c r="C109" t="s">
        <v>51</v>
      </c>
      <c r="D109">
        <v>3</v>
      </c>
      <c r="E109" t="s">
        <v>40</v>
      </c>
      <c r="F109" t="s">
        <v>45</v>
      </c>
    </row>
    <row r="110" spans="1:6" hidden="1" x14ac:dyDescent="0.35">
      <c r="A110" t="s">
        <v>57</v>
      </c>
      <c r="B110" t="s">
        <v>43</v>
      </c>
      <c r="C110" t="s">
        <v>30</v>
      </c>
      <c r="D110">
        <v>0</v>
      </c>
      <c r="E110" t="s">
        <v>40</v>
      </c>
      <c r="F110" t="s">
        <v>45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0</v>
      </c>
      <c r="E111" t="s">
        <v>40</v>
      </c>
      <c r="F111" t="s">
        <v>45</v>
      </c>
    </row>
    <row r="112" spans="1:6" hidden="1" x14ac:dyDescent="0.35">
      <c r="A112" t="s">
        <v>58</v>
      </c>
      <c r="B112" t="s">
        <v>43</v>
      </c>
      <c r="C112" t="s">
        <v>30</v>
      </c>
      <c r="D112">
        <v>0</v>
      </c>
      <c r="E112" t="s">
        <v>40</v>
      </c>
      <c r="F112" t="s">
        <v>45</v>
      </c>
    </row>
    <row r="113" spans="1:6" hidden="1" x14ac:dyDescent="0.35">
      <c r="A113" t="s">
        <v>59</v>
      </c>
      <c r="B113" t="s">
        <v>43</v>
      </c>
      <c r="C113" t="s">
        <v>30</v>
      </c>
      <c r="D113">
        <v>0</v>
      </c>
      <c r="E113" t="s">
        <v>40</v>
      </c>
      <c r="F113" t="s">
        <v>45</v>
      </c>
    </row>
    <row r="114" spans="1:6" hidden="1" x14ac:dyDescent="0.35">
      <c r="A114" t="s">
        <v>60</v>
      </c>
      <c r="B114" t="s">
        <v>43</v>
      </c>
      <c r="C114" t="s">
        <v>30</v>
      </c>
      <c r="D114">
        <v>1</v>
      </c>
      <c r="E114" t="s">
        <v>40</v>
      </c>
      <c r="F114" t="s">
        <v>45</v>
      </c>
    </row>
    <row r="115" spans="1:6" hidden="1" x14ac:dyDescent="0.35">
      <c r="A115" t="s">
        <v>61</v>
      </c>
      <c r="B115" t="s">
        <v>43</v>
      </c>
      <c r="C115" t="s">
        <v>30</v>
      </c>
      <c r="D115">
        <v>1</v>
      </c>
      <c r="E115" t="s">
        <v>40</v>
      </c>
      <c r="F115" t="s">
        <v>45</v>
      </c>
    </row>
    <row r="116" spans="1:6" hidden="1" x14ac:dyDescent="0.35">
      <c r="A116" t="s">
        <v>62</v>
      </c>
      <c r="B116" t="s">
        <v>43</v>
      </c>
      <c r="C116" t="s">
        <v>30</v>
      </c>
      <c r="D116">
        <v>1</v>
      </c>
      <c r="E116" t="s">
        <v>40</v>
      </c>
      <c r="F116" t="s">
        <v>45</v>
      </c>
    </row>
    <row r="117" spans="1:6" hidden="1" x14ac:dyDescent="0.35">
      <c r="A117" t="s">
        <v>63</v>
      </c>
      <c r="B117" t="s">
        <v>43</v>
      </c>
      <c r="C117" t="s">
        <v>30</v>
      </c>
      <c r="D117">
        <v>0</v>
      </c>
      <c r="E117" t="s">
        <v>40</v>
      </c>
      <c r="F117" t="s">
        <v>45</v>
      </c>
    </row>
    <row r="118" spans="1:6" hidden="1" x14ac:dyDescent="0.35">
      <c r="A118" t="s">
        <v>64</v>
      </c>
      <c r="B118" t="s">
        <v>43</v>
      </c>
      <c r="C118" t="s">
        <v>30</v>
      </c>
      <c r="D118">
        <v>2</v>
      </c>
      <c r="E118" t="s">
        <v>40</v>
      </c>
      <c r="F118" t="s">
        <v>45</v>
      </c>
    </row>
    <row r="119" spans="1:6" hidden="1" x14ac:dyDescent="0.35">
      <c r="A119" t="s">
        <v>65</v>
      </c>
      <c r="B119" t="s">
        <v>43</v>
      </c>
      <c r="C119" t="s">
        <v>30</v>
      </c>
      <c r="D119">
        <v>0</v>
      </c>
      <c r="E119" t="s">
        <v>40</v>
      </c>
      <c r="F119" t="s">
        <v>45</v>
      </c>
    </row>
    <row r="120" spans="1:6" hidden="1" x14ac:dyDescent="0.35">
      <c r="A120" t="s">
        <v>66</v>
      </c>
      <c r="B120" t="s">
        <v>43</v>
      </c>
      <c r="C120" t="s">
        <v>30</v>
      </c>
      <c r="D120">
        <v>0</v>
      </c>
      <c r="E120" t="s">
        <v>40</v>
      </c>
      <c r="F120" t="s">
        <v>45</v>
      </c>
    </row>
    <row r="121" spans="1:6" hidden="1" x14ac:dyDescent="0.35">
      <c r="A121" t="s">
        <v>67</v>
      </c>
      <c r="B121" t="s">
        <v>43</v>
      </c>
      <c r="C121" t="s">
        <v>30</v>
      </c>
      <c r="D121">
        <v>0</v>
      </c>
      <c r="E121" t="s">
        <v>40</v>
      </c>
      <c r="F121" t="s">
        <v>45</v>
      </c>
    </row>
    <row r="122" spans="1:6" hidden="1" x14ac:dyDescent="0.35">
      <c r="A122" t="s">
        <v>57</v>
      </c>
      <c r="B122" t="s">
        <v>43</v>
      </c>
      <c r="C122" t="s">
        <v>52</v>
      </c>
      <c r="D122">
        <v>0</v>
      </c>
      <c r="E122" t="s">
        <v>40</v>
      </c>
      <c r="F122" t="s">
        <v>45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40</v>
      </c>
      <c r="F123" t="s">
        <v>45</v>
      </c>
    </row>
    <row r="124" spans="1:6" hidden="1" x14ac:dyDescent="0.35">
      <c r="A124" t="s">
        <v>58</v>
      </c>
      <c r="B124" t="s">
        <v>43</v>
      </c>
      <c r="C124" t="s">
        <v>52</v>
      </c>
      <c r="D124">
        <v>0</v>
      </c>
      <c r="E124" t="s">
        <v>40</v>
      </c>
      <c r="F124" t="s">
        <v>45</v>
      </c>
    </row>
    <row r="125" spans="1:6" hidden="1" x14ac:dyDescent="0.35">
      <c r="A125" t="s">
        <v>59</v>
      </c>
      <c r="B125" t="s">
        <v>43</v>
      </c>
      <c r="C125" t="s">
        <v>52</v>
      </c>
      <c r="D125">
        <v>0</v>
      </c>
      <c r="E125" t="s">
        <v>40</v>
      </c>
      <c r="F125" t="s">
        <v>45</v>
      </c>
    </row>
    <row r="126" spans="1:6" hidden="1" x14ac:dyDescent="0.35">
      <c r="A126" t="s">
        <v>60</v>
      </c>
      <c r="B126" t="s">
        <v>43</v>
      </c>
      <c r="C126" t="s">
        <v>52</v>
      </c>
      <c r="D126">
        <v>0</v>
      </c>
      <c r="E126" t="s">
        <v>40</v>
      </c>
      <c r="F126" t="s">
        <v>45</v>
      </c>
    </row>
    <row r="127" spans="1:6" hidden="1" x14ac:dyDescent="0.35">
      <c r="A127" t="s">
        <v>61</v>
      </c>
      <c r="B127" t="s">
        <v>43</v>
      </c>
      <c r="C127" t="s">
        <v>52</v>
      </c>
      <c r="D127">
        <v>0</v>
      </c>
      <c r="E127" t="s">
        <v>40</v>
      </c>
      <c r="F127" t="s">
        <v>45</v>
      </c>
    </row>
    <row r="128" spans="1:6" hidden="1" x14ac:dyDescent="0.35">
      <c r="A128" t="s">
        <v>62</v>
      </c>
      <c r="B128" t="s">
        <v>43</v>
      </c>
      <c r="C128" t="s">
        <v>52</v>
      </c>
      <c r="D128">
        <v>0</v>
      </c>
      <c r="E128" t="s">
        <v>40</v>
      </c>
      <c r="F128" t="s">
        <v>45</v>
      </c>
    </row>
    <row r="129" spans="1:6" hidden="1" x14ac:dyDescent="0.35">
      <c r="A129" t="s">
        <v>63</v>
      </c>
      <c r="B129" t="s">
        <v>43</v>
      </c>
      <c r="C129" t="s">
        <v>52</v>
      </c>
      <c r="D129">
        <v>0</v>
      </c>
      <c r="E129" t="s">
        <v>40</v>
      </c>
      <c r="F129" t="s">
        <v>45</v>
      </c>
    </row>
    <row r="130" spans="1:6" hidden="1" x14ac:dyDescent="0.35">
      <c r="A130" t="s">
        <v>64</v>
      </c>
      <c r="B130" t="s">
        <v>43</v>
      </c>
      <c r="C130" t="s">
        <v>52</v>
      </c>
      <c r="D130">
        <v>0</v>
      </c>
      <c r="E130" t="s">
        <v>40</v>
      </c>
      <c r="F130" t="s">
        <v>45</v>
      </c>
    </row>
    <row r="131" spans="1:6" hidden="1" x14ac:dyDescent="0.35">
      <c r="A131" t="s">
        <v>65</v>
      </c>
      <c r="B131" t="s">
        <v>43</v>
      </c>
      <c r="C131" t="s">
        <v>52</v>
      </c>
      <c r="D131">
        <v>0</v>
      </c>
      <c r="E131" t="s">
        <v>40</v>
      </c>
      <c r="F131" t="s">
        <v>45</v>
      </c>
    </row>
    <row r="132" spans="1:6" hidden="1" x14ac:dyDescent="0.35">
      <c r="A132" t="s">
        <v>66</v>
      </c>
      <c r="B132" t="s">
        <v>43</v>
      </c>
      <c r="C132" t="s">
        <v>52</v>
      </c>
      <c r="D132">
        <v>0</v>
      </c>
      <c r="E132" t="s">
        <v>40</v>
      </c>
      <c r="F132" t="s">
        <v>45</v>
      </c>
    </row>
    <row r="133" spans="1:6" hidden="1" x14ac:dyDescent="0.35">
      <c r="A133" t="s">
        <v>67</v>
      </c>
      <c r="B133" t="s">
        <v>43</v>
      </c>
      <c r="C133" t="s">
        <v>52</v>
      </c>
      <c r="D133">
        <v>0</v>
      </c>
      <c r="E133" t="s">
        <v>40</v>
      </c>
      <c r="F133" t="s">
        <v>45</v>
      </c>
    </row>
    <row r="134" spans="1:6" hidden="1" x14ac:dyDescent="0.35">
      <c r="A134" t="s">
        <v>57</v>
      </c>
      <c r="B134" t="s">
        <v>33</v>
      </c>
      <c r="C134" t="s">
        <v>44</v>
      </c>
      <c r="D134">
        <v>0</v>
      </c>
      <c r="E134" t="s">
        <v>40</v>
      </c>
      <c r="F134" t="s">
        <v>45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0</v>
      </c>
      <c r="E135" t="s">
        <v>40</v>
      </c>
      <c r="F135" t="s">
        <v>45</v>
      </c>
    </row>
    <row r="136" spans="1:6" hidden="1" x14ac:dyDescent="0.35">
      <c r="A136" t="s">
        <v>58</v>
      </c>
      <c r="B136" t="s">
        <v>33</v>
      </c>
      <c r="C136" t="s">
        <v>44</v>
      </c>
      <c r="D136">
        <v>0</v>
      </c>
      <c r="E136" t="s">
        <v>40</v>
      </c>
      <c r="F136" t="s">
        <v>45</v>
      </c>
    </row>
    <row r="137" spans="1:6" hidden="1" x14ac:dyDescent="0.35">
      <c r="A137" t="s">
        <v>59</v>
      </c>
      <c r="B137" t="s">
        <v>33</v>
      </c>
      <c r="C137" t="s">
        <v>44</v>
      </c>
      <c r="D137">
        <v>52768.42</v>
      </c>
      <c r="E137" t="s">
        <v>40</v>
      </c>
      <c r="F137" t="s">
        <v>45</v>
      </c>
    </row>
    <row r="138" spans="1:6" hidden="1" x14ac:dyDescent="0.35">
      <c r="A138" t="s">
        <v>60</v>
      </c>
      <c r="B138" t="s">
        <v>33</v>
      </c>
      <c r="C138" t="s">
        <v>44</v>
      </c>
      <c r="D138">
        <v>24449.040000000001</v>
      </c>
      <c r="E138" t="s">
        <v>40</v>
      </c>
      <c r="F138" t="s">
        <v>45</v>
      </c>
    </row>
    <row r="139" spans="1:6" hidden="1" x14ac:dyDescent="0.35">
      <c r="A139" t="s">
        <v>61</v>
      </c>
      <c r="B139" t="s">
        <v>33</v>
      </c>
      <c r="C139" t="s">
        <v>44</v>
      </c>
      <c r="D139">
        <v>27252.6</v>
      </c>
      <c r="E139" t="s">
        <v>40</v>
      </c>
      <c r="F139" t="s">
        <v>45</v>
      </c>
    </row>
    <row r="140" spans="1:6" hidden="1" x14ac:dyDescent="0.35">
      <c r="A140" t="s">
        <v>62</v>
      </c>
      <c r="B140" t="s">
        <v>33</v>
      </c>
      <c r="C140" t="s">
        <v>44</v>
      </c>
      <c r="D140">
        <v>22860.080000000002</v>
      </c>
      <c r="E140" t="s">
        <v>40</v>
      </c>
      <c r="F140" t="s">
        <v>45</v>
      </c>
    </row>
    <row r="141" spans="1:6" hidden="1" x14ac:dyDescent="0.35">
      <c r="A141" t="s">
        <v>63</v>
      </c>
      <c r="B141" t="s">
        <v>33</v>
      </c>
      <c r="C141" t="s">
        <v>44</v>
      </c>
      <c r="D141">
        <v>2426.08</v>
      </c>
      <c r="E141" t="s">
        <v>40</v>
      </c>
      <c r="F141" t="s">
        <v>45</v>
      </c>
    </row>
    <row r="142" spans="1:6" hidden="1" x14ac:dyDescent="0.35">
      <c r="A142" t="s">
        <v>64</v>
      </c>
      <c r="B142" t="s">
        <v>33</v>
      </c>
      <c r="C142" t="s">
        <v>44</v>
      </c>
      <c r="D142">
        <v>39610.800000000003</v>
      </c>
      <c r="E142" t="s">
        <v>40</v>
      </c>
      <c r="F142" t="s">
        <v>45</v>
      </c>
    </row>
    <row r="143" spans="1:6" hidden="1" x14ac:dyDescent="0.35">
      <c r="A143" t="s">
        <v>65</v>
      </c>
      <c r="B143" t="s">
        <v>33</v>
      </c>
      <c r="C143" t="s">
        <v>44</v>
      </c>
      <c r="D143">
        <v>32496.16</v>
      </c>
      <c r="E143" t="s">
        <v>40</v>
      </c>
      <c r="F143" t="s">
        <v>45</v>
      </c>
    </row>
    <row r="144" spans="1:6" hidden="1" x14ac:dyDescent="0.35">
      <c r="A144" t="s">
        <v>66</v>
      </c>
      <c r="B144" t="s">
        <v>33</v>
      </c>
      <c r="C144" t="s">
        <v>44</v>
      </c>
      <c r="D144">
        <v>92733.2</v>
      </c>
      <c r="E144" t="s">
        <v>40</v>
      </c>
      <c r="F144" t="s">
        <v>45</v>
      </c>
    </row>
    <row r="145" spans="1:6" hidden="1" x14ac:dyDescent="0.35">
      <c r="A145" t="s">
        <v>67</v>
      </c>
      <c r="B145" t="s">
        <v>33</v>
      </c>
      <c r="C145" t="s">
        <v>44</v>
      </c>
      <c r="D145">
        <v>122903.99</v>
      </c>
      <c r="E145" t="s">
        <v>40</v>
      </c>
      <c r="F145" t="s">
        <v>45</v>
      </c>
    </row>
    <row r="146" spans="1:6" hidden="1" x14ac:dyDescent="0.35">
      <c r="A146" t="s">
        <v>57</v>
      </c>
      <c r="B146" t="s">
        <v>33</v>
      </c>
      <c r="C146" t="s">
        <v>22</v>
      </c>
      <c r="D146">
        <v>0</v>
      </c>
      <c r="E146" t="s">
        <v>40</v>
      </c>
      <c r="F146" t="s">
        <v>45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40</v>
      </c>
      <c r="F147" t="s">
        <v>45</v>
      </c>
    </row>
    <row r="148" spans="1:6" hidden="1" x14ac:dyDescent="0.35">
      <c r="A148" t="s">
        <v>58</v>
      </c>
      <c r="B148" t="s">
        <v>33</v>
      </c>
      <c r="C148" t="s">
        <v>22</v>
      </c>
      <c r="D148">
        <v>0</v>
      </c>
      <c r="E148" t="s">
        <v>40</v>
      </c>
      <c r="F148" t="s">
        <v>45</v>
      </c>
    </row>
    <row r="149" spans="1:6" hidden="1" x14ac:dyDescent="0.35">
      <c r="A149" t="s">
        <v>59</v>
      </c>
      <c r="B149" t="s">
        <v>33</v>
      </c>
      <c r="C149" t="s">
        <v>22</v>
      </c>
      <c r="D149">
        <v>0</v>
      </c>
      <c r="E149" t="s">
        <v>40</v>
      </c>
      <c r="F149" t="s">
        <v>45</v>
      </c>
    </row>
    <row r="150" spans="1:6" hidden="1" x14ac:dyDescent="0.35">
      <c r="A150" t="s">
        <v>60</v>
      </c>
      <c r="B150" t="s">
        <v>33</v>
      </c>
      <c r="C150" t="s">
        <v>22</v>
      </c>
      <c r="D150">
        <v>0</v>
      </c>
      <c r="E150" t="s">
        <v>40</v>
      </c>
      <c r="F150" t="s">
        <v>45</v>
      </c>
    </row>
    <row r="151" spans="1:6" hidden="1" x14ac:dyDescent="0.35">
      <c r="A151" t="s">
        <v>61</v>
      </c>
      <c r="B151" t="s">
        <v>33</v>
      </c>
      <c r="C151" t="s">
        <v>22</v>
      </c>
      <c r="D151">
        <v>0</v>
      </c>
      <c r="E151" t="s">
        <v>40</v>
      </c>
      <c r="F151" t="s">
        <v>45</v>
      </c>
    </row>
    <row r="152" spans="1:6" hidden="1" x14ac:dyDescent="0.35">
      <c r="A152" t="s">
        <v>62</v>
      </c>
      <c r="B152" t="s">
        <v>33</v>
      </c>
      <c r="C152" t="s">
        <v>22</v>
      </c>
      <c r="D152">
        <v>0</v>
      </c>
      <c r="E152" t="s">
        <v>40</v>
      </c>
      <c r="F152" t="s">
        <v>45</v>
      </c>
    </row>
    <row r="153" spans="1:6" hidden="1" x14ac:dyDescent="0.35">
      <c r="A153" t="s">
        <v>63</v>
      </c>
      <c r="B153" t="s">
        <v>33</v>
      </c>
      <c r="C153" t="s">
        <v>22</v>
      </c>
      <c r="D153">
        <v>0</v>
      </c>
      <c r="E153" t="s">
        <v>40</v>
      </c>
      <c r="F153" t="s">
        <v>45</v>
      </c>
    </row>
    <row r="154" spans="1:6" hidden="1" x14ac:dyDescent="0.35">
      <c r="A154" t="s">
        <v>64</v>
      </c>
      <c r="B154" t="s">
        <v>33</v>
      </c>
      <c r="C154" t="s">
        <v>22</v>
      </c>
      <c r="D154">
        <v>0</v>
      </c>
      <c r="E154" t="s">
        <v>40</v>
      </c>
      <c r="F154" t="s">
        <v>45</v>
      </c>
    </row>
    <row r="155" spans="1:6" hidden="1" x14ac:dyDescent="0.35">
      <c r="A155" t="s">
        <v>65</v>
      </c>
      <c r="B155" t="s">
        <v>33</v>
      </c>
      <c r="C155" t="s">
        <v>22</v>
      </c>
      <c r="D155">
        <v>0</v>
      </c>
      <c r="E155" t="s">
        <v>40</v>
      </c>
      <c r="F155" t="s">
        <v>45</v>
      </c>
    </row>
    <row r="156" spans="1:6" hidden="1" x14ac:dyDescent="0.35">
      <c r="A156" t="s">
        <v>66</v>
      </c>
      <c r="B156" t="s">
        <v>33</v>
      </c>
      <c r="C156" t="s">
        <v>22</v>
      </c>
      <c r="D156">
        <v>0</v>
      </c>
      <c r="E156" t="s">
        <v>40</v>
      </c>
      <c r="F156" t="s">
        <v>45</v>
      </c>
    </row>
    <row r="157" spans="1:6" hidden="1" x14ac:dyDescent="0.35">
      <c r="A157" t="s">
        <v>67</v>
      </c>
      <c r="B157" t="s">
        <v>33</v>
      </c>
      <c r="C157" t="s">
        <v>22</v>
      </c>
      <c r="D157">
        <v>0</v>
      </c>
      <c r="E157" t="s">
        <v>40</v>
      </c>
      <c r="F157" t="s">
        <v>45</v>
      </c>
    </row>
    <row r="158" spans="1:6" hidden="1" x14ac:dyDescent="0.35">
      <c r="A158" t="s">
        <v>57</v>
      </c>
      <c r="B158" t="s">
        <v>33</v>
      </c>
      <c r="C158" t="s">
        <v>46</v>
      </c>
      <c r="D158">
        <v>692106.77999999991</v>
      </c>
      <c r="E158" t="s">
        <v>40</v>
      </c>
      <c r="F158" t="s">
        <v>45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1331354.53</v>
      </c>
      <c r="E159" t="s">
        <v>40</v>
      </c>
      <c r="F159" t="s">
        <v>45</v>
      </c>
    </row>
    <row r="160" spans="1:6" hidden="1" x14ac:dyDescent="0.35">
      <c r="A160" t="s">
        <v>58</v>
      </c>
      <c r="B160" t="s">
        <v>33</v>
      </c>
      <c r="C160" t="s">
        <v>46</v>
      </c>
      <c r="D160">
        <v>863056.24</v>
      </c>
      <c r="E160" t="s">
        <v>40</v>
      </c>
      <c r="F160" t="s">
        <v>45</v>
      </c>
    </row>
    <row r="161" spans="1:6" hidden="1" x14ac:dyDescent="0.35">
      <c r="A161" t="s">
        <v>59</v>
      </c>
      <c r="B161" t="s">
        <v>33</v>
      </c>
      <c r="C161" t="s">
        <v>46</v>
      </c>
      <c r="D161">
        <v>918506.29999999993</v>
      </c>
      <c r="E161" t="s">
        <v>40</v>
      </c>
      <c r="F161" t="s">
        <v>45</v>
      </c>
    </row>
    <row r="162" spans="1:6" hidden="1" x14ac:dyDescent="0.35">
      <c r="A162" t="s">
        <v>60</v>
      </c>
      <c r="B162" t="s">
        <v>33</v>
      </c>
      <c r="C162" t="s">
        <v>46</v>
      </c>
      <c r="D162">
        <v>714292.19999999984</v>
      </c>
      <c r="E162" t="s">
        <v>40</v>
      </c>
      <c r="F162" t="s">
        <v>45</v>
      </c>
    </row>
    <row r="163" spans="1:6" hidden="1" x14ac:dyDescent="0.35">
      <c r="A163" t="s">
        <v>61</v>
      </c>
      <c r="B163" t="s">
        <v>33</v>
      </c>
      <c r="C163" t="s">
        <v>46</v>
      </c>
      <c r="D163">
        <v>2035540.11</v>
      </c>
      <c r="E163" t="s">
        <v>40</v>
      </c>
      <c r="F163" t="s">
        <v>45</v>
      </c>
    </row>
    <row r="164" spans="1:6" hidden="1" x14ac:dyDescent="0.35">
      <c r="A164" t="s">
        <v>62</v>
      </c>
      <c r="B164" t="s">
        <v>33</v>
      </c>
      <c r="C164" t="s">
        <v>46</v>
      </c>
      <c r="D164">
        <v>735848.83000000019</v>
      </c>
      <c r="E164" t="s">
        <v>40</v>
      </c>
      <c r="F164" t="s">
        <v>45</v>
      </c>
    </row>
    <row r="165" spans="1:6" hidden="1" x14ac:dyDescent="0.35">
      <c r="A165" t="s">
        <v>63</v>
      </c>
      <c r="B165" t="s">
        <v>33</v>
      </c>
      <c r="C165" t="s">
        <v>46</v>
      </c>
      <c r="D165">
        <v>673752.77</v>
      </c>
      <c r="E165" t="s">
        <v>40</v>
      </c>
      <c r="F165" t="s">
        <v>45</v>
      </c>
    </row>
    <row r="166" spans="1:6" hidden="1" x14ac:dyDescent="0.35">
      <c r="A166" t="s">
        <v>64</v>
      </c>
      <c r="B166" t="s">
        <v>33</v>
      </c>
      <c r="C166" t="s">
        <v>46</v>
      </c>
      <c r="D166">
        <v>1490623.56</v>
      </c>
      <c r="E166" t="s">
        <v>40</v>
      </c>
      <c r="F166" t="s">
        <v>45</v>
      </c>
    </row>
    <row r="167" spans="1:6" hidden="1" x14ac:dyDescent="0.35">
      <c r="A167" t="s">
        <v>65</v>
      </c>
      <c r="B167" t="s">
        <v>33</v>
      </c>
      <c r="C167" t="s">
        <v>46</v>
      </c>
      <c r="D167">
        <v>1263833.03</v>
      </c>
      <c r="E167" t="s">
        <v>40</v>
      </c>
      <c r="F167" t="s">
        <v>45</v>
      </c>
    </row>
    <row r="168" spans="1:6" hidden="1" x14ac:dyDescent="0.35">
      <c r="A168" t="s">
        <v>66</v>
      </c>
      <c r="B168" t="s">
        <v>33</v>
      </c>
      <c r="C168" t="s">
        <v>46</v>
      </c>
      <c r="D168">
        <v>1360496.57</v>
      </c>
      <c r="E168" t="s">
        <v>40</v>
      </c>
      <c r="F168" t="s">
        <v>45</v>
      </c>
    </row>
    <row r="169" spans="1:6" hidden="1" x14ac:dyDescent="0.35">
      <c r="A169" t="s">
        <v>67</v>
      </c>
      <c r="B169" t="s">
        <v>33</v>
      </c>
      <c r="C169" t="s">
        <v>46</v>
      </c>
      <c r="D169">
        <v>1711206.82</v>
      </c>
      <c r="E169" t="s">
        <v>40</v>
      </c>
      <c r="F169" t="s">
        <v>45</v>
      </c>
    </row>
    <row r="170" spans="1:6" hidden="1" x14ac:dyDescent="0.35">
      <c r="A170" t="s">
        <v>57</v>
      </c>
      <c r="B170" t="s">
        <v>33</v>
      </c>
      <c r="C170" t="s">
        <v>24</v>
      </c>
      <c r="D170">
        <v>0</v>
      </c>
      <c r="E170" t="s">
        <v>40</v>
      </c>
      <c r="F170" t="s">
        <v>45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40</v>
      </c>
      <c r="F171" t="s">
        <v>45</v>
      </c>
    </row>
    <row r="172" spans="1:6" hidden="1" x14ac:dyDescent="0.35">
      <c r="A172" t="s">
        <v>58</v>
      </c>
      <c r="B172" t="s">
        <v>33</v>
      </c>
      <c r="C172" t="s">
        <v>24</v>
      </c>
      <c r="D172">
        <v>0</v>
      </c>
      <c r="E172" t="s">
        <v>40</v>
      </c>
      <c r="F172" t="s">
        <v>45</v>
      </c>
    </row>
    <row r="173" spans="1:6" hidden="1" x14ac:dyDescent="0.35">
      <c r="A173" t="s">
        <v>59</v>
      </c>
      <c r="B173" t="s">
        <v>33</v>
      </c>
      <c r="C173" t="s">
        <v>24</v>
      </c>
      <c r="D173">
        <v>0</v>
      </c>
      <c r="E173" t="s">
        <v>40</v>
      </c>
      <c r="F173" t="s">
        <v>45</v>
      </c>
    </row>
    <row r="174" spans="1:6" hidden="1" x14ac:dyDescent="0.35">
      <c r="A174" t="s">
        <v>60</v>
      </c>
      <c r="B174" t="s">
        <v>33</v>
      </c>
      <c r="C174" t="s">
        <v>24</v>
      </c>
      <c r="D174">
        <v>0</v>
      </c>
      <c r="E174" t="s">
        <v>40</v>
      </c>
      <c r="F174" t="s">
        <v>45</v>
      </c>
    </row>
    <row r="175" spans="1:6" hidden="1" x14ac:dyDescent="0.35">
      <c r="A175" t="s">
        <v>61</v>
      </c>
      <c r="B175" t="s">
        <v>33</v>
      </c>
      <c r="C175" t="s">
        <v>24</v>
      </c>
      <c r="D175">
        <v>0</v>
      </c>
      <c r="E175" t="s">
        <v>40</v>
      </c>
      <c r="F175" t="s">
        <v>45</v>
      </c>
    </row>
    <row r="176" spans="1:6" hidden="1" x14ac:dyDescent="0.35">
      <c r="A176" t="s">
        <v>62</v>
      </c>
      <c r="B176" t="s">
        <v>33</v>
      </c>
      <c r="C176" t="s">
        <v>24</v>
      </c>
      <c r="D176">
        <v>0</v>
      </c>
      <c r="E176" t="s">
        <v>40</v>
      </c>
      <c r="F176" t="s">
        <v>45</v>
      </c>
    </row>
    <row r="177" spans="1:6" hidden="1" x14ac:dyDescent="0.35">
      <c r="A177" t="s">
        <v>63</v>
      </c>
      <c r="B177" t="s">
        <v>33</v>
      </c>
      <c r="C177" t="s">
        <v>24</v>
      </c>
      <c r="D177">
        <v>0</v>
      </c>
      <c r="E177" t="s">
        <v>40</v>
      </c>
      <c r="F177" t="s">
        <v>45</v>
      </c>
    </row>
    <row r="178" spans="1:6" hidden="1" x14ac:dyDescent="0.35">
      <c r="A178" t="s">
        <v>64</v>
      </c>
      <c r="B178" t="s">
        <v>33</v>
      </c>
      <c r="C178" t="s">
        <v>24</v>
      </c>
      <c r="D178">
        <v>0</v>
      </c>
      <c r="E178" t="s">
        <v>40</v>
      </c>
      <c r="F178" t="s">
        <v>45</v>
      </c>
    </row>
    <row r="179" spans="1:6" hidden="1" x14ac:dyDescent="0.35">
      <c r="A179" t="s">
        <v>65</v>
      </c>
      <c r="B179" t="s">
        <v>33</v>
      </c>
      <c r="C179" t="s">
        <v>24</v>
      </c>
      <c r="D179">
        <v>0</v>
      </c>
      <c r="E179" t="s">
        <v>40</v>
      </c>
      <c r="F179" t="s">
        <v>45</v>
      </c>
    </row>
    <row r="180" spans="1:6" hidden="1" x14ac:dyDescent="0.35">
      <c r="A180" t="s">
        <v>66</v>
      </c>
      <c r="B180" t="s">
        <v>33</v>
      </c>
      <c r="C180" t="s">
        <v>24</v>
      </c>
      <c r="D180">
        <v>0</v>
      </c>
      <c r="E180" t="s">
        <v>40</v>
      </c>
      <c r="F180" t="s">
        <v>45</v>
      </c>
    </row>
    <row r="181" spans="1:6" hidden="1" x14ac:dyDescent="0.35">
      <c r="A181" t="s">
        <v>67</v>
      </c>
      <c r="B181" t="s">
        <v>33</v>
      </c>
      <c r="C181" t="s">
        <v>24</v>
      </c>
      <c r="D181">
        <v>0</v>
      </c>
      <c r="E181" t="s">
        <v>40</v>
      </c>
      <c r="F181" t="s">
        <v>45</v>
      </c>
    </row>
    <row r="182" spans="1:6" hidden="1" x14ac:dyDescent="0.35">
      <c r="A182" t="s">
        <v>57</v>
      </c>
      <c r="B182" t="s">
        <v>33</v>
      </c>
      <c r="C182" t="s">
        <v>47</v>
      </c>
      <c r="D182">
        <v>0</v>
      </c>
      <c r="E182" t="s">
        <v>40</v>
      </c>
      <c r="F182" t="s">
        <v>45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0</v>
      </c>
      <c r="E183" t="s">
        <v>40</v>
      </c>
      <c r="F183" t="s">
        <v>45</v>
      </c>
    </row>
    <row r="184" spans="1:6" hidden="1" x14ac:dyDescent="0.35">
      <c r="A184" t="s">
        <v>58</v>
      </c>
      <c r="B184" t="s">
        <v>33</v>
      </c>
      <c r="C184" t="s">
        <v>47</v>
      </c>
      <c r="D184">
        <v>0</v>
      </c>
      <c r="E184" t="s">
        <v>40</v>
      </c>
      <c r="F184" t="s">
        <v>45</v>
      </c>
    </row>
    <row r="185" spans="1:6" hidden="1" x14ac:dyDescent="0.35">
      <c r="A185" t="s">
        <v>59</v>
      </c>
      <c r="B185" t="s">
        <v>33</v>
      </c>
      <c r="C185" t="s">
        <v>47</v>
      </c>
      <c r="D185">
        <v>0</v>
      </c>
      <c r="E185" t="s">
        <v>40</v>
      </c>
      <c r="F185" t="s">
        <v>45</v>
      </c>
    </row>
    <row r="186" spans="1:6" hidden="1" x14ac:dyDescent="0.35">
      <c r="A186" t="s">
        <v>60</v>
      </c>
      <c r="B186" t="s">
        <v>33</v>
      </c>
      <c r="C186" t="s">
        <v>47</v>
      </c>
      <c r="D186">
        <v>0</v>
      </c>
      <c r="E186" t="s">
        <v>40</v>
      </c>
      <c r="F186" t="s">
        <v>45</v>
      </c>
    </row>
    <row r="187" spans="1:6" hidden="1" x14ac:dyDescent="0.35">
      <c r="A187" t="s">
        <v>61</v>
      </c>
      <c r="B187" t="s">
        <v>33</v>
      </c>
      <c r="C187" t="s">
        <v>47</v>
      </c>
      <c r="D187">
        <v>0</v>
      </c>
      <c r="E187" t="s">
        <v>40</v>
      </c>
      <c r="F187" t="s">
        <v>45</v>
      </c>
    </row>
    <row r="188" spans="1:6" hidden="1" x14ac:dyDescent="0.35">
      <c r="A188" t="s">
        <v>62</v>
      </c>
      <c r="B188" t="s">
        <v>33</v>
      </c>
      <c r="C188" t="s">
        <v>47</v>
      </c>
      <c r="D188">
        <v>0</v>
      </c>
      <c r="E188" t="s">
        <v>40</v>
      </c>
      <c r="F188" t="s">
        <v>45</v>
      </c>
    </row>
    <row r="189" spans="1:6" hidden="1" x14ac:dyDescent="0.35">
      <c r="A189" t="s">
        <v>63</v>
      </c>
      <c r="B189" t="s">
        <v>33</v>
      </c>
      <c r="C189" t="s">
        <v>47</v>
      </c>
      <c r="D189">
        <v>0</v>
      </c>
      <c r="E189" t="s">
        <v>40</v>
      </c>
      <c r="F189" t="s">
        <v>45</v>
      </c>
    </row>
    <row r="190" spans="1:6" hidden="1" x14ac:dyDescent="0.35">
      <c r="A190" t="s">
        <v>64</v>
      </c>
      <c r="B190" t="s">
        <v>33</v>
      </c>
      <c r="C190" t="s">
        <v>47</v>
      </c>
      <c r="D190">
        <v>0</v>
      </c>
      <c r="E190" t="s">
        <v>40</v>
      </c>
      <c r="F190" t="s">
        <v>45</v>
      </c>
    </row>
    <row r="191" spans="1:6" hidden="1" x14ac:dyDescent="0.35">
      <c r="A191" t="s">
        <v>65</v>
      </c>
      <c r="B191" t="s">
        <v>33</v>
      </c>
      <c r="C191" t="s">
        <v>47</v>
      </c>
      <c r="D191">
        <v>0</v>
      </c>
      <c r="E191" t="s">
        <v>40</v>
      </c>
      <c r="F191" t="s">
        <v>45</v>
      </c>
    </row>
    <row r="192" spans="1:6" hidden="1" x14ac:dyDescent="0.35">
      <c r="A192" t="s">
        <v>66</v>
      </c>
      <c r="B192" t="s">
        <v>33</v>
      </c>
      <c r="C192" t="s">
        <v>47</v>
      </c>
      <c r="D192">
        <v>0</v>
      </c>
      <c r="E192" t="s">
        <v>40</v>
      </c>
      <c r="F192" t="s">
        <v>45</v>
      </c>
    </row>
    <row r="193" spans="1:6" hidden="1" x14ac:dyDescent="0.35">
      <c r="A193" t="s">
        <v>67</v>
      </c>
      <c r="B193" t="s">
        <v>33</v>
      </c>
      <c r="C193" t="s">
        <v>47</v>
      </c>
      <c r="D193">
        <v>31656.63</v>
      </c>
      <c r="E193" t="s">
        <v>40</v>
      </c>
      <c r="F193" t="s">
        <v>45</v>
      </c>
    </row>
    <row r="194" spans="1:6" hidden="1" x14ac:dyDescent="0.35">
      <c r="A194" t="s">
        <v>57</v>
      </c>
      <c r="B194" t="s">
        <v>33</v>
      </c>
      <c r="C194" t="s">
        <v>48</v>
      </c>
      <c r="D194">
        <v>0</v>
      </c>
      <c r="E194" t="s">
        <v>40</v>
      </c>
      <c r="F194" t="s">
        <v>45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40</v>
      </c>
      <c r="F195" t="s">
        <v>45</v>
      </c>
    </row>
    <row r="196" spans="1:6" hidden="1" x14ac:dyDescent="0.35">
      <c r="A196" t="s">
        <v>58</v>
      </c>
      <c r="B196" t="s">
        <v>33</v>
      </c>
      <c r="C196" t="s">
        <v>48</v>
      </c>
      <c r="D196">
        <v>0</v>
      </c>
      <c r="E196" t="s">
        <v>40</v>
      </c>
      <c r="F196" t="s">
        <v>45</v>
      </c>
    </row>
    <row r="197" spans="1:6" hidden="1" x14ac:dyDescent="0.35">
      <c r="A197" t="s">
        <v>59</v>
      </c>
      <c r="B197" t="s">
        <v>33</v>
      </c>
      <c r="C197" t="s">
        <v>48</v>
      </c>
      <c r="D197">
        <v>0</v>
      </c>
      <c r="E197" t="s">
        <v>40</v>
      </c>
      <c r="F197" t="s">
        <v>45</v>
      </c>
    </row>
    <row r="198" spans="1:6" hidden="1" x14ac:dyDescent="0.35">
      <c r="A198" t="s">
        <v>60</v>
      </c>
      <c r="B198" t="s">
        <v>33</v>
      </c>
      <c r="C198" t="s">
        <v>48</v>
      </c>
      <c r="D198">
        <v>0</v>
      </c>
      <c r="E198" t="s">
        <v>40</v>
      </c>
      <c r="F198" t="s">
        <v>45</v>
      </c>
    </row>
    <row r="199" spans="1:6" hidden="1" x14ac:dyDescent="0.35">
      <c r="A199" t="s">
        <v>61</v>
      </c>
      <c r="B199" t="s">
        <v>33</v>
      </c>
      <c r="C199" t="s">
        <v>48</v>
      </c>
      <c r="D199">
        <v>0</v>
      </c>
      <c r="E199" t="s">
        <v>40</v>
      </c>
      <c r="F199" t="s">
        <v>45</v>
      </c>
    </row>
    <row r="200" spans="1:6" hidden="1" x14ac:dyDescent="0.35">
      <c r="A200" t="s">
        <v>62</v>
      </c>
      <c r="B200" t="s">
        <v>33</v>
      </c>
      <c r="C200" t="s">
        <v>48</v>
      </c>
      <c r="D200">
        <v>0</v>
      </c>
      <c r="E200" t="s">
        <v>40</v>
      </c>
      <c r="F200" t="s">
        <v>45</v>
      </c>
    </row>
    <row r="201" spans="1:6" hidden="1" x14ac:dyDescent="0.35">
      <c r="A201" t="s">
        <v>63</v>
      </c>
      <c r="B201" t="s">
        <v>33</v>
      </c>
      <c r="C201" t="s">
        <v>48</v>
      </c>
      <c r="D201">
        <v>0</v>
      </c>
      <c r="E201" t="s">
        <v>40</v>
      </c>
      <c r="F201" t="s">
        <v>45</v>
      </c>
    </row>
    <row r="202" spans="1:6" hidden="1" x14ac:dyDescent="0.35">
      <c r="A202" t="s">
        <v>64</v>
      </c>
      <c r="B202" t="s">
        <v>33</v>
      </c>
      <c r="C202" t="s">
        <v>48</v>
      </c>
      <c r="D202">
        <v>0</v>
      </c>
      <c r="E202" t="s">
        <v>40</v>
      </c>
      <c r="F202" t="s">
        <v>45</v>
      </c>
    </row>
    <row r="203" spans="1:6" hidden="1" x14ac:dyDescent="0.35">
      <c r="A203" t="s">
        <v>65</v>
      </c>
      <c r="B203" t="s">
        <v>33</v>
      </c>
      <c r="C203" t="s">
        <v>48</v>
      </c>
      <c r="D203">
        <v>0</v>
      </c>
      <c r="E203" t="s">
        <v>40</v>
      </c>
      <c r="F203" t="s">
        <v>45</v>
      </c>
    </row>
    <row r="204" spans="1:6" hidden="1" x14ac:dyDescent="0.35">
      <c r="A204" t="s">
        <v>66</v>
      </c>
      <c r="B204" t="s">
        <v>33</v>
      </c>
      <c r="C204" t="s">
        <v>48</v>
      </c>
      <c r="D204">
        <v>0</v>
      </c>
      <c r="E204" t="s">
        <v>40</v>
      </c>
      <c r="F204" t="s">
        <v>45</v>
      </c>
    </row>
    <row r="205" spans="1:6" hidden="1" x14ac:dyDescent="0.35">
      <c r="A205" t="s">
        <v>67</v>
      </c>
      <c r="B205" t="s">
        <v>33</v>
      </c>
      <c r="C205" t="s">
        <v>48</v>
      </c>
      <c r="D205">
        <v>0</v>
      </c>
      <c r="E205" t="s">
        <v>40</v>
      </c>
      <c r="F205" t="s">
        <v>45</v>
      </c>
    </row>
    <row r="206" spans="1:6" hidden="1" x14ac:dyDescent="0.35">
      <c r="A206" t="s">
        <v>57</v>
      </c>
      <c r="B206" t="s">
        <v>33</v>
      </c>
      <c r="C206" t="s">
        <v>49</v>
      </c>
      <c r="D206">
        <v>46142.46</v>
      </c>
      <c r="E206" t="s">
        <v>40</v>
      </c>
      <c r="F206" t="s">
        <v>45</v>
      </c>
    </row>
    <row r="207" spans="1:6" hidden="1" x14ac:dyDescent="0.35">
      <c r="A207" t="s">
        <v>11</v>
      </c>
      <c r="B207" t="s">
        <v>33</v>
      </c>
      <c r="C207" t="s">
        <v>49</v>
      </c>
      <c r="D207">
        <v>80372.23</v>
      </c>
      <c r="E207" t="s">
        <v>40</v>
      </c>
      <c r="F207" t="s">
        <v>45</v>
      </c>
    </row>
    <row r="208" spans="1:6" hidden="1" x14ac:dyDescent="0.35">
      <c r="A208" t="s">
        <v>58</v>
      </c>
      <c r="B208" t="s">
        <v>33</v>
      </c>
      <c r="C208" t="s">
        <v>49</v>
      </c>
      <c r="D208">
        <v>55319.48</v>
      </c>
      <c r="E208" t="s">
        <v>40</v>
      </c>
      <c r="F208" t="s">
        <v>45</v>
      </c>
    </row>
    <row r="209" spans="1:6" hidden="1" x14ac:dyDescent="0.35">
      <c r="A209" t="s">
        <v>59</v>
      </c>
      <c r="B209" t="s">
        <v>33</v>
      </c>
      <c r="C209" t="s">
        <v>49</v>
      </c>
      <c r="D209">
        <v>122646.91</v>
      </c>
      <c r="E209" t="s">
        <v>40</v>
      </c>
      <c r="F209" t="s">
        <v>45</v>
      </c>
    </row>
    <row r="210" spans="1:6" hidden="1" x14ac:dyDescent="0.35">
      <c r="A210" t="s">
        <v>60</v>
      </c>
      <c r="B210" t="s">
        <v>33</v>
      </c>
      <c r="C210" t="s">
        <v>49</v>
      </c>
      <c r="D210">
        <v>94969.77</v>
      </c>
      <c r="E210" t="s">
        <v>40</v>
      </c>
      <c r="F210" t="s">
        <v>45</v>
      </c>
    </row>
    <row r="211" spans="1:6" hidden="1" x14ac:dyDescent="0.35">
      <c r="A211" t="s">
        <v>61</v>
      </c>
      <c r="B211" t="s">
        <v>33</v>
      </c>
      <c r="C211" t="s">
        <v>49</v>
      </c>
      <c r="D211">
        <v>117959.55</v>
      </c>
      <c r="E211" t="s">
        <v>40</v>
      </c>
      <c r="F211" t="s">
        <v>45</v>
      </c>
    </row>
    <row r="212" spans="1:6" hidden="1" x14ac:dyDescent="0.35">
      <c r="A212" t="s">
        <v>62</v>
      </c>
      <c r="B212" t="s">
        <v>33</v>
      </c>
      <c r="C212" t="s">
        <v>49</v>
      </c>
      <c r="D212">
        <v>121631.9</v>
      </c>
      <c r="E212" t="s">
        <v>40</v>
      </c>
      <c r="F212" t="s">
        <v>45</v>
      </c>
    </row>
    <row r="213" spans="1:6" hidden="1" x14ac:dyDescent="0.35">
      <c r="A213" t="s">
        <v>63</v>
      </c>
      <c r="B213" t="s">
        <v>33</v>
      </c>
      <c r="C213" t="s">
        <v>49</v>
      </c>
      <c r="D213">
        <v>34634.67</v>
      </c>
      <c r="E213" t="s">
        <v>40</v>
      </c>
      <c r="F213" t="s">
        <v>45</v>
      </c>
    </row>
    <row r="214" spans="1:6" hidden="1" x14ac:dyDescent="0.35">
      <c r="A214" t="s">
        <v>64</v>
      </c>
      <c r="B214" t="s">
        <v>33</v>
      </c>
      <c r="C214" t="s">
        <v>49</v>
      </c>
      <c r="D214">
        <v>241428.61</v>
      </c>
      <c r="E214" t="s">
        <v>40</v>
      </c>
      <c r="F214" t="s">
        <v>45</v>
      </c>
    </row>
    <row r="215" spans="1:6" hidden="1" x14ac:dyDescent="0.35">
      <c r="A215" t="s">
        <v>65</v>
      </c>
      <c r="B215" t="s">
        <v>33</v>
      </c>
      <c r="C215" t="s">
        <v>49</v>
      </c>
      <c r="D215">
        <v>139380.24</v>
      </c>
      <c r="E215" t="s">
        <v>40</v>
      </c>
      <c r="F215" t="s">
        <v>45</v>
      </c>
    </row>
    <row r="216" spans="1:6" hidden="1" x14ac:dyDescent="0.35">
      <c r="A216" t="s">
        <v>66</v>
      </c>
      <c r="B216" t="s">
        <v>33</v>
      </c>
      <c r="C216" t="s">
        <v>49</v>
      </c>
      <c r="D216">
        <v>272087.31</v>
      </c>
      <c r="E216" t="s">
        <v>40</v>
      </c>
      <c r="F216" t="s">
        <v>45</v>
      </c>
    </row>
    <row r="217" spans="1:6" hidden="1" x14ac:dyDescent="0.35">
      <c r="A217" t="s">
        <v>67</v>
      </c>
      <c r="B217" t="s">
        <v>33</v>
      </c>
      <c r="C217" t="s">
        <v>49</v>
      </c>
      <c r="D217">
        <v>209201.01</v>
      </c>
      <c r="E217" t="s">
        <v>40</v>
      </c>
      <c r="F217" t="s">
        <v>45</v>
      </c>
    </row>
    <row r="218" spans="1:6" hidden="1" x14ac:dyDescent="0.35">
      <c r="A218" t="s">
        <v>57</v>
      </c>
      <c r="B218" t="s">
        <v>33</v>
      </c>
      <c r="C218" t="s">
        <v>50</v>
      </c>
      <c r="D218">
        <v>1499.97</v>
      </c>
      <c r="E218" t="s">
        <v>40</v>
      </c>
      <c r="F218" t="s">
        <v>45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0</v>
      </c>
      <c r="E219" t="s">
        <v>40</v>
      </c>
      <c r="F219" t="s">
        <v>45</v>
      </c>
    </row>
    <row r="220" spans="1:6" hidden="1" x14ac:dyDescent="0.35">
      <c r="A220" t="s">
        <v>58</v>
      </c>
      <c r="B220" t="s">
        <v>33</v>
      </c>
      <c r="C220" t="s">
        <v>50</v>
      </c>
      <c r="D220">
        <v>0</v>
      </c>
      <c r="E220" t="s">
        <v>40</v>
      </c>
      <c r="F220" t="s">
        <v>45</v>
      </c>
    </row>
    <row r="221" spans="1:6" hidden="1" x14ac:dyDescent="0.35">
      <c r="A221" t="s">
        <v>59</v>
      </c>
      <c r="B221" t="s">
        <v>33</v>
      </c>
      <c r="C221" t="s">
        <v>50</v>
      </c>
      <c r="D221">
        <v>0</v>
      </c>
      <c r="E221" t="s">
        <v>40</v>
      </c>
      <c r="F221" t="s">
        <v>45</v>
      </c>
    </row>
    <row r="222" spans="1:6" hidden="1" x14ac:dyDescent="0.35">
      <c r="A222" t="s">
        <v>60</v>
      </c>
      <c r="B222" t="s">
        <v>33</v>
      </c>
      <c r="C222" t="s">
        <v>50</v>
      </c>
      <c r="D222">
        <v>0</v>
      </c>
      <c r="E222" t="s">
        <v>40</v>
      </c>
      <c r="F222" t="s">
        <v>45</v>
      </c>
    </row>
    <row r="223" spans="1:6" hidden="1" x14ac:dyDescent="0.35">
      <c r="A223" t="s">
        <v>61</v>
      </c>
      <c r="B223" t="s">
        <v>33</v>
      </c>
      <c r="C223" t="s">
        <v>50</v>
      </c>
      <c r="D223">
        <v>6187.83</v>
      </c>
      <c r="E223" t="s">
        <v>40</v>
      </c>
      <c r="F223" t="s">
        <v>45</v>
      </c>
    </row>
    <row r="224" spans="1:6" hidden="1" x14ac:dyDescent="0.35">
      <c r="A224" t="s">
        <v>62</v>
      </c>
      <c r="B224" t="s">
        <v>33</v>
      </c>
      <c r="C224" t="s">
        <v>50</v>
      </c>
      <c r="D224">
        <v>0</v>
      </c>
      <c r="E224" t="s">
        <v>40</v>
      </c>
      <c r="F224" t="s">
        <v>45</v>
      </c>
    </row>
    <row r="225" spans="1:6" hidden="1" x14ac:dyDescent="0.35">
      <c r="A225" t="s">
        <v>63</v>
      </c>
      <c r="B225" t="s">
        <v>33</v>
      </c>
      <c r="C225" t="s">
        <v>50</v>
      </c>
      <c r="D225">
        <v>0</v>
      </c>
      <c r="E225" t="s">
        <v>40</v>
      </c>
      <c r="F225" t="s">
        <v>45</v>
      </c>
    </row>
    <row r="226" spans="1:6" hidden="1" x14ac:dyDescent="0.35">
      <c r="A226" t="s">
        <v>64</v>
      </c>
      <c r="B226" t="s">
        <v>33</v>
      </c>
      <c r="C226" t="s">
        <v>50</v>
      </c>
      <c r="D226">
        <v>0</v>
      </c>
      <c r="E226" t="s">
        <v>40</v>
      </c>
      <c r="F226" t="s">
        <v>45</v>
      </c>
    </row>
    <row r="227" spans="1:6" hidden="1" x14ac:dyDescent="0.35">
      <c r="A227" t="s">
        <v>65</v>
      </c>
      <c r="B227" t="s">
        <v>33</v>
      </c>
      <c r="C227" t="s">
        <v>50</v>
      </c>
      <c r="D227">
        <v>0</v>
      </c>
      <c r="E227" t="s">
        <v>40</v>
      </c>
      <c r="F227" t="s">
        <v>45</v>
      </c>
    </row>
    <row r="228" spans="1:6" hidden="1" x14ac:dyDescent="0.35">
      <c r="A228" t="s">
        <v>66</v>
      </c>
      <c r="B228" t="s">
        <v>33</v>
      </c>
      <c r="C228" t="s">
        <v>50</v>
      </c>
      <c r="D228">
        <v>0</v>
      </c>
      <c r="E228" t="s">
        <v>40</v>
      </c>
      <c r="F228" t="s">
        <v>45</v>
      </c>
    </row>
    <row r="229" spans="1:6" hidden="1" x14ac:dyDescent="0.35">
      <c r="A229" t="s">
        <v>67</v>
      </c>
      <c r="B229" t="s">
        <v>33</v>
      </c>
      <c r="C229" t="s">
        <v>50</v>
      </c>
      <c r="D229">
        <v>0</v>
      </c>
      <c r="E229" t="s">
        <v>40</v>
      </c>
      <c r="F229" t="s">
        <v>45</v>
      </c>
    </row>
    <row r="230" spans="1:6" hidden="1" x14ac:dyDescent="0.35">
      <c r="A230" t="s">
        <v>57</v>
      </c>
      <c r="B230" t="s">
        <v>33</v>
      </c>
      <c r="C230" t="s">
        <v>51</v>
      </c>
      <c r="D230">
        <v>23</v>
      </c>
      <c r="E230" t="s">
        <v>40</v>
      </c>
      <c r="F230" t="s">
        <v>45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20</v>
      </c>
      <c r="E231" t="s">
        <v>40</v>
      </c>
      <c r="F231" t="s">
        <v>45</v>
      </c>
    </row>
    <row r="232" spans="1:6" hidden="1" x14ac:dyDescent="0.35">
      <c r="A232" t="s">
        <v>58</v>
      </c>
      <c r="B232" t="s">
        <v>33</v>
      </c>
      <c r="C232" t="s">
        <v>51</v>
      </c>
      <c r="D232">
        <v>15</v>
      </c>
      <c r="E232" t="s">
        <v>40</v>
      </c>
      <c r="F232" t="s">
        <v>45</v>
      </c>
    </row>
    <row r="233" spans="1:6" hidden="1" x14ac:dyDescent="0.35">
      <c r="A233" t="s">
        <v>59</v>
      </c>
      <c r="B233" t="s">
        <v>33</v>
      </c>
      <c r="C233" t="s">
        <v>51</v>
      </c>
      <c r="D233">
        <v>12</v>
      </c>
      <c r="E233" t="s">
        <v>40</v>
      </c>
      <c r="F233" t="s">
        <v>45</v>
      </c>
    </row>
    <row r="234" spans="1:6" hidden="1" x14ac:dyDescent="0.35">
      <c r="A234" t="s">
        <v>60</v>
      </c>
      <c r="B234" t="s">
        <v>33</v>
      </c>
      <c r="C234" t="s">
        <v>51</v>
      </c>
      <c r="D234">
        <v>14</v>
      </c>
      <c r="E234" t="s">
        <v>40</v>
      </c>
      <c r="F234" t="s">
        <v>45</v>
      </c>
    </row>
    <row r="235" spans="1:6" hidden="1" x14ac:dyDescent="0.35">
      <c r="A235" t="s">
        <v>61</v>
      </c>
      <c r="B235" t="s">
        <v>33</v>
      </c>
      <c r="C235" t="s">
        <v>51</v>
      </c>
      <c r="D235">
        <v>10</v>
      </c>
      <c r="E235" t="s">
        <v>40</v>
      </c>
      <c r="F235" t="s">
        <v>45</v>
      </c>
    </row>
    <row r="236" spans="1:6" hidden="1" x14ac:dyDescent="0.35">
      <c r="A236" t="s">
        <v>62</v>
      </c>
      <c r="B236" t="s">
        <v>33</v>
      </c>
      <c r="C236" t="s">
        <v>51</v>
      </c>
      <c r="D236">
        <v>14</v>
      </c>
      <c r="E236" t="s">
        <v>40</v>
      </c>
      <c r="F236" t="s">
        <v>45</v>
      </c>
    </row>
    <row r="237" spans="1:6" hidden="1" x14ac:dyDescent="0.35">
      <c r="A237" t="s">
        <v>63</v>
      </c>
      <c r="B237" t="s">
        <v>33</v>
      </c>
      <c r="C237" t="s">
        <v>51</v>
      </c>
      <c r="D237">
        <v>10</v>
      </c>
      <c r="E237" t="s">
        <v>40</v>
      </c>
      <c r="F237" t="s">
        <v>45</v>
      </c>
    </row>
    <row r="238" spans="1:6" hidden="1" x14ac:dyDescent="0.35">
      <c r="A238" t="s">
        <v>64</v>
      </c>
      <c r="B238" t="s">
        <v>33</v>
      </c>
      <c r="C238" t="s">
        <v>51</v>
      </c>
      <c r="D238">
        <v>6</v>
      </c>
      <c r="E238" t="s">
        <v>40</v>
      </c>
      <c r="F238" t="s">
        <v>45</v>
      </c>
    </row>
    <row r="239" spans="1:6" hidden="1" x14ac:dyDescent="0.35">
      <c r="A239" t="s">
        <v>65</v>
      </c>
      <c r="B239" t="s">
        <v>33</v>
      </c>
      <c r="C239" t="s">
        <v>51</v>
      </c>
      <c r="D239">
        <v>24</v>
      </c>
      <c r="E239" t="s">
        <v>40</v>
      </c>
      <c r="F239" t="s">
        <v>45</v>
      </c>
    </row>
    <row r="240" spans="1:6" hidden="1" x14ac:dyDescent="0.35">
      <c r="A240" t="s">
        <v>66</v>
      </c>
      <c r="B240" t="s">
        <v>33</v>
      </c>
      <c r="C240" t="s">
        <v>51</v>
      </c>
      <c r="D240">
        <v>42</v>
      </c>
      <c r="E240" t="s">
        <v>40</v>
      </c>
      <c r="F240" t="s">
        <v>45</v>
      </c>
    </row>
    <row r="241" spans="1:6" hidden="1" x14ac:dyDescent="0.35">
      <c r="A241" t="s">
        <v>67</v>
      </c>
      <c r="B241" t="s">
        <v>33</v>
      </c>
      <c r="C241" t="s">
        <v>51</v>
      </c>
      <c r="D241">
        <v>36</v>
      </c>
      <c r="E241" t="s">
        <v>40</v>
      </c>
      <c r="F241" t="s">
        <v>45</v>
      </c>
    </row>
    <row r="242" spans="1:6" hidden="1" x14ac:dyDescent="0.35">
      <c r="A242" t="s">
        <v>57</v>
      </c>
      <c r="B242" t="s">
        <v>33</v>
      </c>
      <c r="C242" t="s">
        <v>30</v>
      </c>
      <c r="D242">
        <v>14</v>
      </c>
      <c r="E242" t="s">
        <v>40</v>
      </c>
      <c r="F242" t="s">
        <v>45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13</v>
      </c>
      <c r="E243" t="s">
        <v>40</v>
      </c>
      <c r="F243" t="s">
        <v>45</v>
      </c>
    </row>
    <row r="244" spans="1:6" hidden="1" x14ac:dyDescent="0.35">
      <c r="A244" t="s">
        <v>58</v>
      </c>
      <c r="B244" t="s">
        <v>33</v>
      </c>
      <c r="C244" t="s">
        <v>30</v>
      </c>
      <c r="D244">
        <v>20</v>
      </c>
      <c r="E244" t="s">
        <v>40</v>
      </c>
      <c r="F244" t="s">
        <v>45</v>
      </c>
    </row>
    <row r="245" spans="1:6" hidden="1" x14ac:dyDescent="0.35">
      <c r="A245" t="s">
        <v>59</v>
      </c>
      <c r="B245" t="s">
        <v>33</v>
      </c>
      <c r="C245" t="s">
        <v>30</v>
      </c>
      <c r="D245">
        <v>11</v>
      </c>
      <c r="E245" t="s">
        <v>40</v>
      </c>
      <c r="F245" t="s">
        <v>45</v>
      </c>
    </row>
    <row r="246" spans="1:6" hidden="1" x14ac:dyDescent="0.35">
      <c r="A246" t="s">
        <v>60</v>
      </c>
      <c r="B246" t="s">
        <v>33</v>
      </c>
      <c r="C246" t="s">
        <v>30</v>
      </c>
      <c r="D246">
        <v>21</v>
      </c>
      <c r="E246" t="s">
        <v>40</v>
      </c>
      <c r="F246" t="s">
        <v>45</v>
      </c>
    </row>
    <row r="247" spans="1:6" hidden="1" x14ac:dyDescent="0.35">
      <c r="A247" t="s">
        <v>61</v>
      </c>
      <c r="B247" t="s">
        <v>33</v>
      </c>
      <c r="C247" t="s">
        <v>30</v>
      </c>
      <c r="D247">
        <v>14</v>
      </c>
      <c r="E247" t="s">
        <v>40</v>
      </c>
      <c r="F247" t="s">
        <v>45</v>
      </c>
    </row>
    <row r="248" spans="1:6" hidden="1" x14ac:dyDescent="0.35">
      <c r="A248" t="s">
        <v>62</v>
      </c>
      <c r="B248" t="s">
        <v>33</v>
      </c>
      <c r="C248" t="s">
        <v>30</v>
      </c>
      <c r="D248">
        <v>16</v>
      </c>
      <c r="E248" t="s">
        <v>40</v>
      </c>
      <c r="F248" t="s">
        <v>45</v>
      </c>
    </row>
    <row r="249" spans="1:6" hidden="1" x14ac:dyDescent="0.35">
      <c r="A249" t="s">
        <v>63</v>
      </c>
      <c r="B249" t="s">
        <v>33</v>
      </c>
      <c r="C249" t="s">
        <v>30</v>
      </c>
      <c r="D249">
        <v>16</v>
      </c>
      <c r="E249" t="s">
        <v>40</v>
      </c>
      <c r="F249" t="s">
        <v>45</v>
      </c>
    </row>
    <row r="250" spans="1:6" hidden="1" x14ac:dyDescent="0.35">
      <c r="A250" t="s">
        <v>64</v>
      </c>
      <c r="B250" t="s">
        <v>33</v>
      </c>
      <c r="C250" t="s">
        <v>30</v>
      </c>
      <c r="D250">
        <v>19</v>
      </c>
      <c r="E250" t="s">
        <v>40</v>
      </c>
      <c r="F250" t="s">
        <v>45</v>
      </c>
    </row>
    <row r="251" spans="1:6" hidden="1" x14ac:dyDescent="0.35">
      <c r="A251" t="s">
        <v>65</v>
      </c>
      <c r="B251" t="s">
        <v>33</v>
      </c>
      <c r="C251" t="s">
        <v>30</v>
      </c>
      <c r="D251">
        <v>18</v>
      </c>
      <c r="E251" t="s">
        <v>40</v>
      </c>
      <c r="F251" t="s">
        <v>45</v>
      </c>
    </row>
    <row r="252" spans="1:6" hidden="1" x14ac:dyDescent="0.35">
      <c r="A252" t="s">
        <v>66</v>
      </c>
      <c r="B252" t="s">
        <v>33</v>
      </c>
      <c r="C252" t="s">
        <v>30</v>
      </c>
      <c r="D252">
        <v>17</v>
      </c>
      <c r="E252" t="s">
        <v>40</v>
      </c>
      <c r="F252" t="s">
        <v>45</v>
      </c>
    </row>
    <row r="253" spans="1:6" hidden="1" x14ac:dyDescent="0.35">
      <c r="A253" t="s">
        <v>67</v>
      </c>
      <c r="B253" t="s">
        <v>33</v>
      </c>
      <c r="C253" t="s">
        <v>30</v>
      </c>
      <c r="D253">
        <v>24</v>
      </c>
      <c r="E253" t="s">
        <v>40</v>
      </c>
      <c r="F253" t="s">
        <v>45</v>
      </c>
    </row>
    <row r="254" spans="1:6" hidden="1" x14ac:dyDescent="0.35">
      <c r="A254" t="s">
        <v>57</v>
      </c>
      <c r="B254" t="s">
        <v>33</v>
      </c>
      <c r="C254" t="s">
        <v>52</v>
      </c>
      <c r="D254">
        <v>0</v>
      </c>
      <c r="E254" t="s">
        <v>40</v>
      </c>
      <c r="F254" t="s">
        <v>45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0</v>
      </c>
      <c r="E255" t="s">
        <v>40</v>
      </c>
      <c r="F255" t="s">
        <v>45</v>
      </c>
    </row>
    <row r="256" spans="1:6" hidden="1" x14ac:dyDescent="0.35">
      <c r="A256" t="s">
        <v>58</v>
      </c>
      <c r="B256" t="s">
        <v>33</v>
      </c>
      <c r="C256" t="s">
        <v>52</v>
      </c>
      <c r="D256">
        <v>0</v>
      </c>
      <c r="E256" t="s">
        <v>40</v>
      </c>
      <c r="F256" t="s">
        <v>45</v>
      </c>
    </row>
    <row r="257" spans="1:6" hidden="1" x14ac:dyDescent="0.35">
      <c r="A257" t="s">
        <v>59</v>
      </c>
      <c r="B257" t="s">
        <v>33</v>
      </c>
      <c r="C257" t="s">
        <v>52</v>
      </c>
      <c r="D257">
        <v>0</v>
      </c>
      <c r="E257" t="s">
        <v>40</v>
      </c>
      <c r="F257" t="s">
        <v>45</v>
      </c>
    </row>
    <row r="258" spans="1:6" hidden="1" x14ac:dyDescent="0.35">
      <c r="A258" t="s">
        <v>60</v>
      </c>
      <c r="B258" t="s">
        <v>33</v>
      </c>
      <c r="C258" t="s">
        <v>52</v>
      </c>
      <c r="D258">
        <v>0</v>
      </c>
      <c r="E258" t="s">
        <v>40</v>
      </c>
      <c r="F258" t="s">
        <v>45</v>
      </c>
    </row>
    <row r="259" spans="1:6" hidden="1" x14ac:dyDescent="0.35">
      <c r="A259" t="s">
        <v>61</v>
      </c>
      <c r="B259" t="s">
        <v>33</v>
      </c>
      <c r="C259" t="s">
        <v>52</v>
      </c>
      <c r="D259">
        <v>0</v>
      </c>
      <c r="E259" t="s">
        <v>40</v>
      </c>
      <c r="F259" t="s">
        <v>45</v>
      </c>
    </row>
    <row r="260" spans="1:6" hidden="1" x14ac:dyDescent="0.35">
      <c r="A260" t="s">
        <v>62</v>
      </c>
      <c r="B260" t="s">
        <v>33</v>
      </c>
      <c r="C260" t="s">
        <v>52</v>
      </c>
      <c r="D260">
        <v>0</v>
      </c>
      <c r="E260" t="s">
        <v>40</v>
      </c>
      <c r="F260" t="s">
        <v>45</v>
      </c>
    </row>
    <row r="261" spans="1:6" hidden="1" x14ac:dyDescent="0.35">
      <c r="A261" t="s">
        <v>63</v>
      </c>
      <c r="B261" t="s">
        <v>33</v>
      </c>
      <c r="C261" t="s">
        <v>52</v>
      </c>
      <c r="D261">
        <v>0</v>
      </c>
      <c r="E261" t="s">
        <v>40</v>
      </c>
      <c r="F261" t="s">
        <v>45</v>
      </c>
    </row>
    <row r="262" spans="1:6" hidden="1" x14ac:dyDescent="0.35">
      <c r="A262" t="s">
        <v>64</v>
      </c>
      <c r="B262" t="s">
        <v>33</v>
      </c>
      <c r="C262" t="s">
        <v>52</v>
      </c>
      <c r="D262">
        <v>0</v>
      </c>
      <c r="E262" t="s">
        <v>40</v>
      </c>
      <c r="F262" t="s">
        <v>45</v>
      </c>
    </row>
    <row r="263" spans="1:6" hidden="1" x14ac:dyDescent="0.35">
      <c r="A263" t="s">
        <v>65</v>
      </c>
      <c r="B263" t="s">
        <v>33</v>
      </c>
      <c r="C263" t="s">
        <v>52</v>
      </c>
      <c r="D263">
        <v>0</v>
      </c>
      <c r="E263" t="s">
        <v>40</v>
      </c>
      <c r="F263" t="s">
        <v>45</v>
      </c>
    </row>
    <row r="264" spans="1:6" hidden="1" x14ac:dyDescent="0.35">
      <c r="A264" t="s">
        <v>66</v>
      </c>
      <c r="B264" t="s">
        <v>33</v>
      </c>
      <c r="C264" t="s">
        <v>52</v>
      </c>
      <c r="D264">
        <v>0</v>
      </c>
      <c r="E264" t="s">
        <v>40</v>
      </c>
      <c r="F264" t="s">
        <v>45</v>
      </c>
    </row>
    <row r="265" spans="1:6" hidden="1" x14ac:dyDescent="0.35">
      <c r="A265" t="s">
        <v>67</v>
      </c>
      <c r="B265" t="s">
        <v>33</v>
      </c>
      <c r="C265" t="s">
        <v>52</v>
      </c>
      <c r="D265">
        <v>0</v>
      </c>
      <c r="E265" t="s">
        <v>40</v>
      </c>
      <c r="F265" t="s">
        <v>45</v>
      </c>
    </row>
    <row r="266" spans="1:6" hidden="1" x14ac:dyDescent="0.35">
      <c r="A266" t="s">
        <v>57</v>
      </c>
      <c r="B266" t="s">
        <v>53</v>
      </c>
      <c r="C266" t="s">
        <v>44</v>
      </c>
      <c r="D266">
        <v>0</v>
      </c>
      <c r="E266" t="s">
        <v>40</v>
      </c>
      <c r="F266" t="s">
        <v>45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40</v>
      </c>
      <c r="F267" t="s">
        <v>45</v>
      </c>
    </row>
    <row r="268" spans="1:6" hidden="1" x14ac:dyDescent="0.35">
      <c r="A268" t="s">
        <v>58</v>
      </c>
      <c r="B268" t="s">
        <v>53</v>
      </c>
      <c r="C268" t="s">
        <v>44</v>
      </c>
      <c r="D268">
        <v>0</v>
      </c>
      <c r="E268" t="s">
        <v>40</v>
      </c>
      <c r="F268" t="s">
        <v>45</v>
      </c>
    </row>
    <row r="269" spans="1:6" hidden="1" x14ac:dyDescent="0.35">
      <c r="A269" t="s">
        <v>59</v>
      </c>
      <c r="B269" t="s">
        <v>53</v>
      </c>
      <c r="C269" t="s">
        <v>44</v>
      </c>
      <c r="D269">
        <v>0</v>
      </c>
      <c r="E269" t="s">
        <v>40</v>
      </c>
      <c r="F269" t="s">
        <v>45</v>
      </c>
    </row>
    <row r="270" spans="1:6" hidden="1" x14ac:dyDescent="0.35">
      <c r="A270" t="s">
        <v>60</v>
      </c>
      <c r="B270" t="s">
        <v>53</v>
      </c>
      <c r="C270" t="s">
        <v>44</v>
      </c>
      <c r="D270">
        <v>0</v>
      </c>
      <c r="E270" t="s">
        <v>40</v>
      </c>
      <c r="F270" t="s">
        <v>45</v>
      </c>
    </row>
    <row r="271" spans="1:6" hidden="1" x14ac:dyDescent="0.35">
      <c r="A271" t="s">
        <v>61</v>
      </c>
      <c r="B271" t="s">
        <v>53</v>
      </c>
      <c r="C271" t="s">
        <v>44</v>
      </c>
      <c r="D271">
        <v>0</v>
      </c>
      <c r="E271" t="s">
        <v>40</v>
      </c>
      <c r="F271" t="s">
        <v>45</v>
      </c>
    </row>
    <row r="272" spans="1:6" hidden="1" x14ac:dyDescent="0.35">
      <c r="A272" t="s">
        <v>62</v>
      </c>
      <c r="B272" t="s">
        <v>53</v>
      </c>
      <c r="C272" t="s">
        <v>44</v>
      </c>
      <c r="D272">
        <v>0</v>
      </c>
      <c r="E272" t="s">
        <v>40</v>
      </c>
      <c r="F272" t="s">
        <v>45</v>
      </c>
    </row>
    <row r="273" spans="1:6" hidden="1" x14ac:dyDescent="0.35">
      <c r="A273" t="s">
        <v>63</v>
      </c>
      <c r="B273" t="s">
        <v>53</v>
      </c>
      <c r="C273" t="s">
        <v>44</v>
      </c>
      <c r="D273">
        <v>0</v>
      </c>
      <c r="E273" t="s">
        <v>40</v>
      </c>
      <c r="F273" t="s">
        <v>45</v>
      </c>
    </row>
    <row r="274" spans="1:6" hidden="1" x14ac:dyDescent="0.35">
      <c r="A274" t="s">
        <v>64</v>
      </c>
      <c r="B274" t="s">
        <v>53</v>
      </c>
      <c r="C274" t="s">
        <v>44</v>
      </c>
      <c r="D274">
        <v>0</v>
      </c>
      <c r="E274" t="s">
        <v>40</v>
      </c>
      <c r="F274" t="s">
        <v>45</v>
      </c>
    </row>
    <row r="275" spans="1:6" hidden="1" x14ac:dyDescent="0.35">
      <c r="A275" t="s">
        <v>65</v>
      </c>
      <c r="B275" t="s">
        <v>53</v>
      </c>
      <c r="C275" t="s">
        <v>44</v>
      </c>
      <c r="D275">
        <v>0</v>
      </c>
      <c r="E275" t="s">
        <v>40</v>
      </c>
      <c r="F275" t="s">
        <v>45</v>
      </c>
    </row>
    <row r="276" spans="1:6" hidden="1" x14ac:dyDescent="0.35">
      <c r="A276" t="s">
        <v>66</v>
      </c>
      <c r="B276" t="s">
        <v>53</v>
      </c>
      <c r="C276" t="s">
        <v>44</v>
      </c>
      <c r="D276">
        <v>0</v>
      </c>
      <c r="E276" t="s">
        <v>40</v>
      </c>
      <c r="F276" t="s">
        <v>45</v>
      </c>
    </row>
    <row r="277" spans="1:6" hidden="1" x14ac:dyDescent="0.35">
      <c r="A277" t="s">
        <v>67</v>
      </c>
      <c r="B277" t="s">
        <v>53</v>
      </c>
      <c r="C277" t="s">
        <v>44</v>
      </c>
      <c r="D277">
        <v>0</v>
      </c>
      <c r="E277" t="s">
        <v>40</v>
      </c>
      <c r="F277" t="s">
        <v>45</v>
      </c>
    </row>
    <row r="278" spans="1:6" hidden="1" x14ac:dyDescent="0.35">
      <c r="A278" t="s">
        <v>57</v>
      </c>
      <c r="B278" t="s">
        <v>53</v>
      </c>
      <c r="C278" t="s">
        <v>22</v>
      </c>
      <c r="D278">
        <v>0</v>
      </c>
      <c r="E278" t="s">
        <v>40</v>
      </c>
      <c r="F278" t="s">
        <v>45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40</v>
      </c>
      <c r="F279" t="s">
        <v>45</v>
      </c>
    </row>
    <row r="280" spans="1:6" hidden="1" x14ac:dyDescent="0.35">
      <c r="A280" t="s">
        <v>58</v>
      </c>
      <c r="B280" t="s">
        <v>53</v>
      </c>
      <c r="C280" t="s">
        <v>22</v>
      </c>
      <c r="D280">
        <v>0</v>
      </c>
      <c r="E280" t="s">
        <v>40</v>
      </c>
      <c r="F280" t="s">
        <v>45</v>
      </c>
    </row>
    <row r="281" spans="1:6" hidden="1" x14ac:dyDescent="0.35">
      <c r="A281" t="s">
        <v>59</v>
      </c>
      <c r="B281" t="s">
        <v>53</v>
      </c>
      <c r="C281" t="s">
        <v>22</v>
      </c>
      <c r="D281">
        <v>0</v>
      </c>
      <c r="E281" t="s">
        <v>40</v>
      </c>
      <c r="F281" t="s">
        <v>45</v>
      </c>
    </row>
    <row r="282" spans="1:6" hidden="1" x14ac:dyDescent="0.35">
      <c r="A282" t="s">
        <v>60</v>
      </c>
      <c r="B282" t="s">
        <v>53</v>
      </c>
      <c r="C282" t="s">
        <v>22</v>
      </c>
      <c r="D282">
        <v>0</v>
      </c>
      <c r="E282" t="s">
        <v>40</v>
      </c>
      <c r="F282" t="s">
        <v>45</v>
      </c>
    </row>
    <row r="283" spans="1:6" hidden="1" x14ac:dyDescent="0.35">
      <c r="A283" t="s">
        <v>61</v>
      </c>
      <c r="B283" t="s">
        <v>53</v>
      </c>
      <c r="C283" t="s">
        <v>22</v>
      </c>
      <c r="D283">
        <v>0</v>
      </c>
      <c r="E283" t="s">
        <v>40</v>
      </c>
      <c r="F283" t="s">
        <v>45</v>
      </c>
    </row>
    <row r="284" spans="1:6" hidden="1" x14ac:dyDescent="0.35">
      <c r="A284" t="s">
        <v>62</v>
      </c>
      <c r="B284" t="s">
        <v>53</v>
      </c>
      <c r="C284" t="s">
        <v>22</v>
      </c>
      <c r="D284">
        <v>0</v>
      </c>
      <c r="E284" t="s">
        <v>40</v>
      </c>
      <c r="F284" t="s">
        <v>45</v>
      </c>
    </row>
    <row r="285" spans="1:6" hidden="1" x14ac:dyDescent="0.35">
      <c r="A285" t="s">
        <v>63</v>
      </c>
      <c r="B285" t="s">
        <v>53</v>
      </c>
      <c r="C285" t="s">
        <v>22</v>
      </c>
      <c r="D285">
        <v>0</v>
      </c>
      <c r="E285" t="s">
        <v>40</v>
      </c>
      <c r="F285" t="s">
        <v>45</v>
      </c>
    </row>
    <row r="286" spans="1:6" hidden="1" x14ac:dyDescent="0.35">
      <c r="A286" t="s">
        <v>64</v>
      </c>
      <c r="B286" t="s">
        <v>53</v>
      </c>
      <c r="C286" t="s">
        <v>22</v>
      </c>
      <c r="D286">
        <v>0</v>
      </c>
      <c r="E286" t="s">
        <v>40</v>
      </c>
      <c r="F286" t="s">
        <v>45</v>
      </c>
    </row>
    <row r="287" spans="1:6" hidden="1" x14ac:dyDescent="0.35">
      <c r="A287" t="s">
        <v>65</v>
      </c>
      <c r="B287" t="s">
        <v>53</v>
      </c>
      <c r="C287" t="s">
        <v>22</v>
      </c>
      <c r="D287">
        <v>0</v>
      </c>
      <c r="E287" t="s">
        <v>40</v>
      </c>
      <c r="F287" t="s">
        <v>45</v>
      </c>
    </row>
    <row r="288" spans="1:6" hidden="1" x14ac:dyDescent="0.35">
      <c r="A288" t="s">
        <v>66</v>
      </c>
      <c r="B288" t="s">
        <v>53</v>
      </c>
      <c r="C288" t="s">
        <v>22</v>
      </c>
      <c r="D288">
        <v>0</v>
      </c>
      <c r="E288" t="s">
        <v>40</v>
      </c>
      <c r="F288" t="s">
        <v>45</v>
      </c>
    </row>
    <row r="289" spans="1:6" hidden="1" x14ac:dyDescent="0.35">
      <c r="A289" t="s">
        <v>67</v>
      </c>
      <c r="B289" t="s">
        <v>53</v>
      </c>
      <c r="C289" t="s">
        <v>22</v>
      </c>
      <c r="D289">
        <v>0</v>
      </c>
      <c r="E289" t="s">
        <v>40</v>
      </c>
      <c r="F289" t="s">
        <v>45</v>
      </c>
    </row>
    <row r="290" spans="1:6" hidden="1" x14ac:dyDescent="0.35">
      <c r="A290" t="s">
        <v>57</v>
      </c>
      <c r="B290" t="s">
        <v>53</v>
      </c>
      <c r="C290" t="s">
        <v>46</v>
      </c>
      <c r="D290">
        <v>0</v>
      </c>
      <c r="E290" t="s">
        <v>40</v>
      </c>
      <c r="F290" t="s">
        <v>45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0</v>
      </c>
      <c r="E291" t="s">
        <v>40</v>
      </c>
      <c r="F291" t="s">
        <v>45</v>
      </c>
    </row>
    <row r="292" spans="1:6" hidden="1" x14ac:dyDescent="0.35">
      <c r="A292" t="s">
        <v>58</v>
      </c>
      <c r="B292" t="s">
        <v>53</v>
      </c>
      <c r="C292" t="s">
        <v>46</v>
      </c>
      <c r="D292">
        <v>0</v>
      </c>
      <c r="E292" t="s">
        <v>40</v>
      </c>
      <c r="F292" t="s">
        <v>45</v>
      </c>
    </row>
    <row r="293" spans="1:6" hidden="1" x14ac:dyDescent="0.35">
      <c r="A293" t="s">
        <v>59</v>
      </c>
      <c r="B293" t="s">
        <v>53</v>
      </c>
      <c r="C293" t="s">
        <v>46</v>
      </c>
      <c r="D293">
        <v>0</v>
      </c>
      <c r="E293" t="s">
        <v>40</v>
      </c>
      <c r="F293" t="s">
        <v>45</v>
      </c>
    </row>
    <row r="294" spans="1:6" hidden="1" x14ac:dyDescent="0.35">
      <c r="A294" t="s">
        <v>60</v>
      </c>
      <c r="B294" t="s">
        <v>53</v>
      </c>
      <c r="C294" t="s">
        <v>46</v>
      </c>
      <c r="D294">
        <v>0</v>
      </c>
      <c r="E294" t="s">
        <v>40</v>
      </c>
      <c r="F294" t="s">
        <v>45</v>
      </c>
    </row>
    <row r="295" spans="1:6" hidden="1" x14ac:dyDescent="0.35">
      <c r="A295" t="s">
        <v>61</v>
      </c>
      <c r="B295" t="s">
        <v>53</v>
      </c>
      <c r="C295" t="s">
        <v>46</v>
      </c>
      <c r="D295">
        <v>0</v>
      </c>
      <c r="E295" t="s">
        <v>40</v>
      </c>
      <c r="F295" t="s">
        <v>45</v>
      </c>
    </row>
    <row r="296" spans="1:6" hidden="1" x14ac:dyDescent="0.35">
      <c r="A296" t="s">
        <v>62</v>
      </c>
      <c r="B296" t="s">
        <v>53</v>
      </c>
      <c r="C296" t="s">
        <v>46</v>
      </c>
      <c r="D296">
        <v>0</v>
      </c>
      <c r="E296" t="s">
        <v>40</v>
      </c>
      <c r="F296" t="s">
        <v>45</v>
      </c>
    </row>
    <row r="297" spans="1:6" hidden="1" x14ac:dyDescent="0.35">
      <c r="A297" t="s">
        <v>63</v>
      </c>
      <c r="B297" t="s">
        <v>53</v>
      </c>
      <c r="C297" t="s">
        <v>46</v>
      </c>
      <c r="D297">
        <v>0</v>
      </c>
      <c r="E297" t="s">
        <v>40</v>
      </c>
      <c r="F297" t="s">
        <v>45</v>
      </c>
    </row>
    <row r="298" spans="1:6" hidden="1" x14ac:dyDescent="0.35">
      <c r="A298" t="s">
        <v>64</v>
      </c>
      <c r="B298" t="s">
        <v>53</v>
      </c>
      <c r="C298" t="s">
        <v>46</v>
      </c>
      <c r="D298">
        <v>0</v>
      </c>
      <c r="E298" t="s">
        <v>40</v>
      </c>
      <c r="F298" t="s">
        <v>45</v>
      </c>
    </row>
    <row r="299" spans="1:6" hidden="1" x14ac:dyDescent="0.35">
      <c r="A299" t="s">
        <v>65</v>
      </c>
      <c r="B299" t="s">
        <v>53</v>
      </c>
      <c r="C299" t="s">
        <v>46</v>
      </c>
      <c r="D299">
        <v>0</v>
      </c>
      <c r="E299" t="s">
        <v>40</v>
      </c>
      <c r="F299" t="s">
        <v>45</v>
      </c>
    </row>
    <row r="300" spans="1:6" hidden="1" x14ac:dyDescent="0.35">
      <c r="A300" t="s">
        <v>66</v>
      </c>
      <c r="B300" t="s">
        <v>53</v>
      </c>
      <c r="C300" t="s">
        <v>46</v>
      </c>
      <c r="D300">
        <v>0</v>
      </c>
      <c r="E300" t="s">
        <v>40</v>
      </c>
      <c r="F300" t="s">
        <v>45</v>
      </c>
    </row>
    <row r="301" spans="1:6" hidden="1" x14ac:dyDescent="0.35">
      <c r="A301" t="s">
        <v>67</v>
      </c>
      <c r="B301" t="s">
        <v>53</v>
      </c>
      <c r="C301" t="s">
        <v>46</v>
      </c>
      <c r="D301">
        <v>0</v>
      </c>
      <c r="E301" t="s">
        <v>40</v>
      </c>
      <c r="F301" t="s">
        <v>45</v>
      </c>
    </row>
    <row r="302" spans="1:6" hidden="1" x14ac:dyDescent="0.35">
      <c r="A302" t="s">
        <v>57</v>
      </c>
      <c r="B302" t="s">
        <v>53</v>
      </c>
      <c r="C302" t="s">
        <v>24</v>
      </c>
      <c r="D302">
        <v>0</v>
      </c>
      <c r="E302" t="s">
        <v>40</v>
      </c>
      <c r="F302" t="s">
        <v>45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40</v>
      </c>
      <c r="F303" t="s">
        <v>45</v>
      </c>
    </row>
    <row r="304" spans="1:6" hidden="1" x14ac:dyDescent="0.35">
      <c r="A304" t="s">
        <v>58</v>
      </c>
      <c r="B304" t="s">
        <v>53</v>
      </c>
      <c r="C304" t="s">
        <v>24</v>
      </c>
      <c r="D304">
        <v>0</v>
      </c>
      <c r="E304" t="s">
        <v>40</v>
      </c>
      <c r="F304" t="s">
        <v>45</v>
      </c>
    </row>
    <row r="305" spans="1:6" hidden="1" x14ac:dyDescent="0.35">
      <c r="A305" t="s">
        <v>59</v>
      </c>
      <c r="B305" t="s">
        <v>53</v>
      </c>
      <c r="C305" t="s">
        <v>24</v>
      </c>
      <c r="D305">
        <v>0</v>
      </c>
      <c r="E305" t="s">
        <v>40</v>
      </c>
      <c r="F305" t="s">
        <v>45</v>
      </c>
    </row>
    <row r="306" spans="1:6" hidden="1" x14ac:dyDescent="0.35">
      <c r="A306" t="s">
        <v>60</v>
      </c>
      <c r="B306" t="s">
        <v>53</v>
      </c>
      <c r="C306" t="s">
        <v>24</v>
      </c>
      <c r="D306">
        <v>0</v>
      </c>
      <c r="E306" t="s">
        <v>40</v>
      </c>
      <c r="F306" t="s">
        <v>45</v>
      </c>
    </row>
    <row r="307" spans="1:6" hidden="1" x14ac:dyDescent="0.35">
      <c r="A307" t="s">
        <v>61</v>
      </c>
      <c r="B307" t="s">
        <v>53</v>
      </c>
      <c r="C307" t="s">
        <v>24</v>
      </c>
      <c r="D307">
        <v>0</v>
      </c>
      <c r="E307" t="s">
        <v>40</v>
      </c>
      <c r="F307" t="s">
        <v>45</v>
      </c>
    </row>
    <row r="308" spans="1:6" hidden="1" x14ac:dyDescent="0.35">
      <c r="A308" t="s">
        <v>62</v>
      </c>
      <c r="B308" t="s">
        <v>53</v>
      </c>
      <c r="C308" t="s">
        <v>24</v>
      </c>
      <c r="D308">
        <v>0</v>
      </c>
      <c r="E308" t="s">
        <v>40</v>
      </c>
      <c r="F308" t="s">
        <v>45</v>
      </c>
    </row>
    <row r="309" spans="1:6" hidden="1" x14ac:dyDescent="0.35">
      <c r="A309" t="s">
        <v>63</v>
      </c>
      <c r="B309" t="s">
        <v>53</v>
      </c>
      <c r="C309" t="s">
        <v>24</v>
      </c>
      <c r="D309">
        <v>0</v>
      </c>
      <c r="E309" t="s">
        <v>40</v>
      </c>
      <c r="F309" t="s">
        <v>45</v>
      </c>
    </row>
    <row r="310" spans="1:6" hidden="1" x14ac:dyDescent="0.35">
      <c r="A310" t="s">
        <v>64</v>
      </c>
      <c r="B310" t="s">
        <v>53</v>
      </c>
      <c r="C310" t="s">
        <v>24</v>
      </c>
      <c r="D310">
        <v>0</v>
      </c>
      <c r="E310" t="s">
        <v>40</v>
      </c>
      <c r="F310" t="s">
        <v>45</v>
      </c>
    </row>
    <row r="311" spans="1:6" hidden="1" x14ac:dyDescent="0.35">
      <c r="A311" t="s">
        <v>65</v>
      </c>
      <c r="B311" t="s">
        <v>53</v>
      </c>
      <c r="C311" t="s">
        <v>24</v>
      </c>
      <c r="D311">
        <v>0</v>
      </c>
      <c r="E311" t="s">
        <v>40</v>
      </c>
      <c r="F311" t="s">
        <v>45</v>
      </c>
    </row>
    <row r="312" spans="1:6" hidden="1" x14ac:dyDescent="0.35">
      <c r="A312" t="s">
        <v>66</v>
      </c>
      <c r="B312" t="s">
        <v>53</v>
      </c>
      <c r="C312" t="s">
        <v>24</v>
      </c>
      <c r="D312">
        <v>0</v>
      </c>
      <c r="E312" t="s">
        <v>40</v>
      </c>
      <c r="F312" t="s">
        <v>45</v>
      </c>
    </row>
    <row r="313" spans="1:6" hidden="1" x14ac:dyDescent="0.35">
      <c r="A313" t="s">
        <v>67</v>
      </c>
      <c r="B313" t="s">
        <v>53</v>
      </c>
      <c r="C313" t="s">
        <v>24</v>
      </c>
      <c r="D313">
        <v>0</v>
      </c>
      <c r="E313" t="s">
        <v>40</v>
      </c>
      <c r="F313" t="s">
        <v>45</v>
      </c>
    </row>
    <row r="314" spans="1:6" hidden="1" x14ac:dyDescent="0.35">
      <c r="A314" t="s">
        <v>57</v>
      </c>
      <c r="B314" t="s">
        <v>53</v>
      </c>
      <c r="C314" t="s">
        <v>47</v>
      </c>
      <c r="D314">
        <v>0</v>
      </c>
      <c r="E314" t="s">
        <v>40</v>
      </c>
      <c r="F314" t="s">
        <v>45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40</v>
      </c>
      <c r="F315" t="s">
        <v>45</v>
      </c>
    </row>
    <row r="316" spans="1:6" hidden="1" x14ac:dyDescent="0.35">
      <c r="A316" t="s">
        <v>58</v>
      </c>
      <c r="B316" t="s">
        <v>53</v>
      </c>
      <c r="C316" t="s">
        <v>47</v>
      </c>
      <c r="D316">
        <v>0</v>
      </c>
      <c r="E316" t="s">
        <v>40</v>
      </c>
      <c r="F316" t="s">
        <v>45</v>
      </c>
    </row>
    <row r="317" spans="1:6" hidden="1" x14ac:dyDescent="0.35">
      <c r="A317" t="s">
        <v>59</v>
      </c>
      <c r="B317" t="s">
        <v>53</v>
      </c>
      <c r="C317" t="s">
        <v>47</v>
      </c>
      <c r="D317">
        <v>0</v>
      </c>
      <c r="E317" t="s">
        <v>40</v>
      </c>
      <c r="F317" t="s">
        <v>45</v>
      </c>
    </row>
    <row r="318" spans="1:6" hidden="1" x14ac:dyDescent="0.35">
      <c r="A318" t="s">
        <v>60</v>
      </c>
      <c r="B318" t="s">
        <v>53</v>
      </c>
      <c r="C318" t="s">
        <v>47</v>
      </c>
      <c r="D318">
        <v>0</v>
      </c>
      <c r="E318" t="s">
        <v>40</v>
      </c>
      <c r="F318" t="s">
        <v>45</v>
      </c>
    </row>
    <row r="319" spans="1:6" hidden="1" x14ac:dyDescent="0.35">
      <c r="A319" t="s">
        <v>61</v>
      </c>
      <c r="B319" t="s">
        <v>53</v>
      </c>
      <c r="C319" t="s">
        <v>47</v>
      </c>
      <c r="D319">
        <v>0</v>
      </c>
      <c r="E319" t="s">
        <v>40</v>
      </c>
      <c r="F319" t="s">
        <v>45</v>
      </c>
    </row>
    <row r="320" spans="1:6" hidden="1" x14ac:dyDescent="0.35">
      <c r="A320" t="s">
        <v>62</v>
      </c>
      <c r="B320" t="s">
        <v>53</v>
      </c>
      <c r="C320" t="s">
        <v>47</v>
      </c>
      <c r="D320">
        <v>0</v>
      </c>
      <c r="E320" t="s">
        <v>40</v>
      </c>
      <c r="F320" t="s">
        <v>45</v>
      </c>
    </row>
    <row r="321" spans="1:6" hidden="1" x14ac:dyDescent="0.35">
      <c r="A321" t="s">
        <v>63</v>
      </c>
      <c r="B321" t="s">
        <v>53</v>
      </c>
      <c r="C321" t="s">
        <v>47</v>
      </c>
      <c r="D321">
        <v>0</v>
      </c>
      <c r="E321" t="s">
        <v>40</v>
      </c>
      <c r="F321" t="s">
        <v>45</v>
      </c>
    </row>
    <row r="322" spans="1:6" hidden="1" x14ac:dyDescent="0.35">
      <c r="A322" t="s">
        <v>64</v>
      </c>
      <c r="B322" t="s">
        <v>53</v>
      </c>
      <c r="C322" t="s">
        <v>47</v>
      </c>
      <c r="D322">
        <v>0</v>
      </c>
      <c r="E322" t="s">
        <v>40</v>
      </c>
      <c r="F322" t="s">
        <v>45</v>
      </c>
    </row>
    <row r="323" spans="1:6" hidden="1" x14ac:dyDescent="0.35">
      <c r="A323" t="s">
        <v>65</v>
      </c>
      <c r="B323" t="s">
        <v>53</v>
      </c>
      <c r="C323" t="s">
        <v>47</v>
      </c>
      <c r="D323">
        <v>0</v>
      </c>
      <c r="E323" t="s">
        <v>40</v>
      </c>
      <c r="F323" t="s">
        <v>45</v>
      </c>
    </row>
    <row r="324" spans="1:6" hidden="1" x14ac:dyDescent="0.35">
      <c r="A324" t="s">
        <v>66</v>
      </c>
      <c r="B324" t="s">
        <v>53</v>
      </c>
      <c r="C324" t="s">
        <v>47</v>
      </c>
      <c r="D324">
        <v>0</v>
      </c>
      <c r="E324" t="s">
        <v>40</v>
      </c>
      <c r="F324" t="s">
        <v>45</v>
      </c>
    </row>
    <row r="325" spans="1:6" hidden="1" x14ac:dyDescent="0.35">
      <c r="A325" t="s">
        <v>67</v>
      </c>
      <c r="B325" t="s">
        <v>53</v>
      </c>
      <c r="C325" t="s">
        <v>47</v>
      </c>
      <c r="D325">
        <v>0</v>
      </c>
      <c r="E325" t="s">
        <v>40</v>
      </c>
      <c r="F325" t="s">
        <v>45</v>
      </c>
    </row>
    <row r="326" spans="1:6" hidden="1" x14ac:dyDescent="0.35">
      <c r="A326" t="s">
        <v>57</v>
      </c>
      <c r="B326" t="s">
        <v>53</v>
      </c>
      <c r="C326" t="s">
        <v>48</v>
      </c>
      <c r="D326">
        <v>0</v>
      </c>
      <c r="E326" t="s">
        <v>40</v>
      </c>
      <c r="F326" t="s">
        <v>45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40</v>
      </c>
      <c r="F327" t="s">
        <v>45</v>
      </c>
    </row>
    <row r="328" spans="1:6" hidden="1" x14ac:dyDescent="0.35">
      <c r="A328" t="s">
        <v>58</v>
      </c>
      <c r="B328" t="s">
        <v>53</v>
      </c>
      <c r="C328" t="s">
        <v>48</v>
      </c>
      <c r="D328">
        <v>0</v>
      </c>
      <c r="E328" t="s">
        <v>40</v>
      </c>
      <c r="F328" t="s">
        <v>45</v>
      </c>
    </row>
    <row r="329" spans="1:6" hidden="1" x14ac:dyDescent="0.35">
      <c r="A329" t="s">
        <v>59</v>
      </c>
      <c r="B329" t="s">
        <v>53</v>
      </c>
      <c r="C329" t="s">
        <v>48</v>
      </c>
      <c r="D329">
        <v>0</v>
      </c>
      <c r="E329" t="s">
        <v>40</v>
      </c>
      <c r="F329" t="s">
        <v>45</v>
      </c>
    </row>
    <row r="330" spans="1:6" hidden="1" x14ac:dyDescent="0.35">
      <c r="A330" t="s">
        <v>60</v>
      </c>
      <c r="B330" t="s">
        <v>53</v>
      </c>
      <c r="C330" t="s">
        <v>48</v>
      </c>
      <c r="D330">
        <v>0</v>
      </c>
      <c r="E330" t="s">
        <v>40</v>
      </c>
      <c r="F330" t="s">
        <v>45</v>
      </c>
    </row>
    <row r="331" spans="1:6" hidden="1" x14ac:dyDescent="0.35">
      <c r="A331" t="s">
        <v>61</v>
      </c>
      <c r="B331" t="s">
        <v>53</v>
      </c>
      <c r="C331" t="s">
        <v>48</v>
      </c>
      <c r="D331">
        <v>0</v>
      </c>
      <c r="E331" t="s">
        <v>40</v>
      </c>
      <c r="F331" t="s">
        <v>45</v>
      </c>
    </row>
    <row r="332" spans="1:6" hidden="1" x14ac:dyDescent="0.35">
      <c r="A332" t="s">
        <v>62</v>
      </c>
      <c r="B332" t="s">
        <v>53</v>
      </c>
      <c r="C332" t="s">
        <v>48</v>
      </c>
      <c r="D332">
        <v>0</v>
      </c>
      <c r="E332" t="s">
        <v>40</v>
      </c>
      <c r="F332" t="s">
        <v>45</v>
      </c>
    </row>
    <row r="333" spans="1:6" hidden="1" x14ac:dyDescent="0.35">
      <c r="A333" t="s">
        <v>63</v>
      </c>
      <c r="B333" t="s">
        <v>53</v>
      </c>
      <c r="C333" t="s">
        <v>48</v>
      </c>
      <c r="D333">
        <v>0</v>
      </c>
      <c r="E333" t="s">
        <v>40</v>
      </c>
      <c r="F333" t="s">
        <v>45</v>
      </c>
    </row>
    <row r="334" spans="1:6" hidden="1" x14ac:dyDescent="0.35">
      <c r="A334" t="s">
        <v>64</v>
      </c>
      <c r="B334" t="s">
        <v>53</v>
      </c>
      <c r="C334" t="s">
        <v>48</v>
      </c>
      <c r="D334">
        <v>0</v>
      </c>
      <c r="E334" t="s">
        <v>40</v>
      </c>
      <c r="F334" t="s">
        <v>45</v>
      </c>
    </row>
    <row r="335" spans="1:6" hidden="1" x14ac:dyDescent="0.35">
      <c r="A335" t="s">
        <v>65</v>
      </c>
      <c r="B335" t="s">
        <v>53</v>
      </c>
      <c r="C335" t="s">
        <v>48</v>
      </c>
      <c r="D335">
        <v>0</v>
      </c>
      <c r="E335" t="s">
        <v>40</v>
      </c>
      <c r="F335" t="s">
        <v>45</v>
      </c>
    </row>
    <row r="336" spans="1:6" hidden="1" x14ac:dyDescent="0.35">
      <c r="A336" t="s">
        <v>66</v>
      </c>
      <c r="B336" t="s">
        <v>53</v>
      </c>
      <c r="C336" t="s">
        <v>48</v>
      </c>
      <c r="D336">
        <v>0</v>
      </c>
      <c r="E336" t="s">
        <v>40</v>
      </c>
      <c r="F336" t="s">
        <v>45</v>
      </c>
    </row>
    <row r="337" spans="1:6" hidden="1" x14ac:dyDescent="0.35">
      <c r="A337" t="s">
        <v>67</v>
      </c>
      <c r="B337" t="s">
        <v>53</v>
      </c>
      <c r="C337" t="s">
        <v>48</v>
      </c>
      <c r="D337">
        <v>0</v>
      </c>
      <c r="E337" t="s">
        <v>40</v>
      </c>
      <c r="F337" t="s">
        <v>45</v>
      </c>
    </row>
    <row r="338" spans="1:6" hidden="1" x14ac:dyDescent="0.35">
      <c r="A338" t="s">
        <v>57</v>
      </c>
      <c r="B338" t="s">
        <v>53</v>
      </c>
      <c r="C338" t="s">
        <v>49</v>
      </c>
      <c r="D338">
        <v>0</v>
      </c>
      <c r="E338" t="s">
        <v>40</v>
      </c>
      <c r="F338" t="s">
        <v>45</v>
      </c>
    </row>
    <row r="339" spans="1:6" hidden="1" x14ac:dyDescent="0.35">
      <c r="A339" t="s">
        <v>11</v>
      </c>
      <c r="B339" t="s">
        <v>53</v>
      </c>
      <c r="C339" t="s">
        <v>49</v>
      </c>
      <c r="D339">
        <v>0</v>
      </c>
      <c r="E339" t="s">
        <v>40</v>
      </c>
      <c r="F339" t="s">
        <v>45</v>
      </c>
    </row>
    <row r="340" spans="1:6" hidden="1" x14ac:dyDescent="0.35">
      <c r="A340" t="s">
        <v>58</v>
      </c>
      <c r="B340" t="s">
        <v>53</v>
      </c>
      <c r="C340" t="s">
        <v>49</v>
      </c>
      <c r="D340">
        <v>0</v>
      </c>
      <c r="E340" t="s">
        <v>40</v>
      </c>
      <c r="F340" t="s">
        <v>45</v>
      </c>
    </row>
    <row r="341" spans="1:6" hidden="1" x14ac:dyDescent="0.35">
      <c r="A341" t="s">
        <v>59</v>
      </c>
      <c r="B341" t="s">
        <v>53</v>
      </c>
      <c r="C341" t="s">
        <v>49</v>
      </c>
      <c r="D341">
        <v>0</v>
      </c>
      <c r="E341" t="s">
        <v>40</v>
      </c>
      <c r="F341" t="s">
        <v>45</v>
      </c>
    </row>
    <row r="342" spans="1:6" hidden="1" x14ac:dyDescent="0.35">
      <c r="A342" t="s">
        <v>60</v>
      </c>
      <c r="B342" t="s">
        <v>53</v>
      </c>
      <c r="C342" t="s">
        <v>49</v>
      </c>
      <c r="D342">
        <v>0</v>
      </c>
      <c r="E342" t="s">
        <v>40</v>
      </c>
      <c r="F342" t="s">
        <v>45</v>
      </c>
    </row>
    <row r="343" spans="1:6" hidden="1" x14ac:dyDescent="0.35">
      <c r="A343" t="s">
        <v>61</v>
      </c>
      <c r="B343" t="s">
        <v>53</v>
      </c>
      <c r="C343" t="s">
        <v>49</v>
      </c>
      <c r="D343">
        <v>0</v>
      </c>
      <c r="E343" t="s">
        <v>40</v>
      </c>
      <c r="F343" t="s">
        <v>45</v>
      </c>
    </row>
    <row r="344" spans="1:6" hidden="1" x14ac:dyDescent="0.35">
      <c r="A344" t="s">
        <v>62</v>
      </c>
      <c r="B344" t="s">
        <v>53</v>
      </c>
      <c r="C344" t="s">
        <v>49</v>
      </c>
      <c r="D344">
        <v>0</v>
      </c>
      <c r="E344" t="s">
        <v>40</v>
      </c>
      <c r="F344" t="s">
        <v>45</v>
      </c>
    </row>
    <row r="345" spans="1:6" hidden="1" x14ac:dyDescent="0.35">
      <c r="A345" t="s">
        <v>63</v>
      </c>
      <c r="B345" t="s">
        <v>53</v>
      </c>
      <c r="C345" t="s">
        <v>49</v>
      </c>
      <c r="D345">
        <v>0</v>
      </c>
      <c r="E345" t="s">
        <v>40</v>
      </c>
      <c r="F345" t="s">
        <v>45</v>
      </c>
    </row>
    <row r="346" spans="1:6" hidden="1" x14ac:dyDescent="0.35">
      <c r="A346" t="s">
        <v>64</v>
      </c>
      <c r="B346" t="s">
        <v>53</v>
      </c>
      <c r="C346" t="s">
        <v>49</v>
      </c>
      <c r="D346">
        <v>0</v>
      </c>
      <c r="E346" t="s">
        <v>40</v>
      </c>
      <c r="F346" t="s">
        <v>45</v>
      </c>
    </row>
    <row r="347" spans="1:6" hidden="1" x14ac:dyDescent="0.35">
      <c r="A347" t="s">
        <v>65</v>
      </c>
      <c r="B347" t="s">
        <v>53</v>
      </c>
      <c r="C347" t="s">
        <v>49</v>
      </c>
      <c r="D347">
        <v>0</v>
      </c>
      <c r="E347" t="s">
        <v>40</v>
      </c>
      <c r="F347" t="s">
        <v>45</v>
      </c>
    </row>
    <row r="348" spans="1:6" hidden="1" x14ac:dyDescent="0.35">
      <c r="A348" t="s">
        <v>66</v>
      </c>
      <c r="B348" t="s">
        <v>53</v>
      </c>
      <c r="C348" t="s">
        <v>49</v>
      </c>
      <c r="D348">
        <v>0</v>
      </c>
      <c r="E348" t="s">
        <v>40</v>
      </c>
      <c r="F348" t="s">
        <v>45</v>
      </c>
    </row>
    <row r="349" spans="1:6" hidden="1" x14ac:dyDescent="0.35">
      <c r="A349" t="s">
        <v>67</v>
      </c>
      <c r="B349" t="s">
        <v>53</v>
      </c>
      <c r="C349" t="s">
        <v>49</v>
      </c>
      <c r="D349">
        <v>0</v>
      </c>
      <c r="E349" t="s">
        <v>40</v>
      </c>
      <c r="F349" t="s">
        <v>45</v>
      </c>
    </row>
    <row r="350" spans="1:6" hidden="1" x14ac:dyDescent="0.35">
      <c r="A350" t="s">
        <v>57</v>
      </c>
      <c r="B350" t="s">
        <v>53</v>
      </c>
      <c r="C350" t="s">
        <v>50</v>
      </c>
      <c r="D350">
        <v>0</v>
      </c>
      <c r="E350" t="s">
        <v>40</v>
      </c>
      <c r="F350" t="s">
        <v>45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40</v>
      </c>
      <c r="F351" t="s">
        <v>45</v>
      </c>
    </row>
    <row r="352" spans="1:6" hidden="1" x14ac:dyDescent="0.35">
      <c r="A352" t="s">
        <v>58</v>
      </c>
      <c r="B352" t="s">
        <v>53</v>
      </c>
      <c r="C352" t="s">
        <v>50</v>
      </c>
      <c r="D352">
        <v>0</v>
      </c>
      <c r="E352" t="s">
        <v>40</v>
      </c>
      <c r="F352" t="s">
        <v>45</v>
      </c>
    </row>
    <row r="353" spans="1:6" hidden="1" x14ac:dyDescent="0.35">
      <c r="A353" t="s">
        <v>59</v>
      </c>
      <c r="B353" t="s">
        <v>53</v>
      </c>
      <c r="C353" t="s">
        <v>50</v>
      </c>
      <c r="D353">
        <v>0</v>
      </c>
      <c r="E353" t="s">
        <v>40</v>
      </c>
      <c r="F353" t="s">
        <v>45</v>
      </c>
    </row>
    <row r="354" spans="1:6" hidden="1" x14ac:dyDescent="0.35">
      <c r="A354" t="s">
        <v>60</v>
      </c>
      <c r="B354" t="s">
        <v>53</v>
      </c>
      <c r="C354" t="s">
        <v>50</v>
      </c>
      <c r="D354">
        <v>0</v>
      </c>
      <c r="E354" t="s">
        <v>40</v>
      </c>
      <c r="F354" t="s">
        <v>45</v>
      </c>
    </row>
    <row r="355" spans="1:6" hidden="1" x14ac:dyDescent="0.35">
      <c r="A355" t="s">
        <v>61</v>
      </c>
      <c r="B355" t="s">
        <v>53</v>
      </c>
      <c r="C355" t="s">
        <v>50</v>
      </c>
      <c r="D355">
        <v>0</v>
      </c>
      <c r="E355" t="s">
        <v>40</v>
      </c>
      <c r="F355" t="s">
        <v>45</v>
      </c>
    </row>
    <row r="356" spans="1:6" hidden="1" x14ac:dyDescent="0.35">
      <c r="A356" t="s">
        <v>62</v>
      </c>
      <c r="B356" t="s">
        <v>53</v>
      </c>
      <c r="C356" t="s">
        <v>50</v>
      </c>
      <c r="D356">
        <v>0</v>
      </c>
      <c r="E356" t="s">
        <v>40</v>
      </c>
      <c r="F356" t="s">
        <v>45</v>
      </c>
    </row>
    <row r="357" spans="1:6" hidden="1" x14ac:dyDescent="0.35">
      <c r="A357" t="s">
        <v>63</v>
      </c>
      <c r="B357" t="s">
        <v>53</v>
      </c>
      <c r="C357" t="s">
        <v>50</v>
      </c>
      <c r="D357">
        <v>0</v>
      </c>
      <c r="E357" t="s">
        <v>40</v>
      </c>
      <c r="F357" t="s">
        <v>45</v>
      </c>
    </row>
    <row r="358" spans="1:6" hidden="1" x14ac:dyDescent="0.35">
      <c r="A358" t="s">
        <v>64</v>
      </c>
      <c r="B358" t="s">
        <v>53</v>
      </c>
      <c r="C358" t="s">
        <v>50</v>
      </c>
      <c r="D358">
        <v>0</v>
      </c>
      <c r="E358" t="s">
        <v>40</v>
      </c>
      <c r="F358" t="s">
        <v>45</v>
      </c>
    </row>
    <row r="359" spans="1:6" hidden="1" x14ac:dyDescent="0.35">
      <c r="A359" t="s">
        <v>65</v>
      </c>
      <c r="B359" t="s">
        <v>53</v>
      </c>
      <c r="C359" t="s">
        <v>50</v>
      </c>
      <c r="D359">
        <v>0</v>
      </c>
      <c r="E359" t="s">
        <v>40</v>
      </c>
      <c r="F359" t="s">
        <v>45</v>
      </c>
    </row>
    <row r="360" spans="1:6" hidden="1" x14ac:dyDescent="0.35">
      <c r="A360" t="s">
        <v>66</v>
      </c>
      <c r="B360" t="s">
        <v>53</v>
      </c>
      <c r="C360" t="s">
        <v>50</v>
      </c>
      <c r="D360">
        <v>0</v>
      </c>
      <c r="E360" t="s">
        <v>40</v>
      </c>
      <c r="F360" t="s">
        <v>45</v>
      </c>
    </row>
    <row r="361" spans="1:6" hidden="1" x14ac:dyDescent="0.35">
      <c r="A361" t="s">
        <v>67</v>
      </c>
      <c r="B361" t="s">
        <v>53</v>
      </c>
      <c r="C361" t="s">
        <v>50</v>
      </c>
      <c r="D361">
        <v>0</v>
      </c>
      <c r="E361" t="s">
        <v>40</v>
      </c>
      <c r="F361" t="s">
        <v>45</v>
      </c>
    </row>
    <row r="362" spans="1:6" hidden="1" x14ac:dyDescent="0.35">
      <c r="A362" t="s">
        <v>57</v>
      </c>
      <c r="B362" t="s">
        <v>53</v>
      </c>
      <c r="C362" t="s">
        <v>51</v>
      </c>
      <c r="D362">
        <v>0</v>
      </c>
      <c r="E362" t="s">
        <v>40</v>
      </c>
      <c r="F362" t="s">
        <v>45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40</v>
      </c>
      <c r="F363" t="s">
        <v>45</v>
      </c>
    </row>
    <row r="364" spans="1:6" hidden="1" x14ac:dyDescent="0.35">
      <c r="A364" t="s">
        <v>58</v>
      </c>
      <c r="B364" t="s">
        <v>53</v>
      </c>
      <c r="C364" t="s">
        <v>51</v>
      </c>
      <c r="D364">
        <v>0</v>
      </c>
      <c r="E364" t="s">
        <v>40</v>
      </c>
      <c r="F364" t="s">
        <v>45</v>
      </c>
    </row>
    <row r="365" spans="1:6" hidden="1" x14ac:dyDescent="0.35">
      <c r="A365" t="s">
        <v>59</v>
      </c>
      <c r="B365" t="s">
        <v>53</v>
      </c>
      <c r="C365" t="s">
        <v>51</v>
      </c>
      <c r="D365">
        <v>0</v>
      </c>
      <c r="E365" t="s">
        <v>40</v>
      </c>
      <c r="F365" t="s">
        <v>45</v>
      </c>
    </row>
    <row r="366" spans="1:6" hidden="1" x14ac:dyDescent="0.35">
      <c r="A366" t="s">
        <v>60</v>
      </c>
      <c r="B366" t="s">
        <v>53</v>
      </c>
      <c r="C366" t="s">
        <v>51</v>
      </c>
      <c r="D366">
        <v>0</v>
      </c>
      <c r="E366" t="s">
        <v>40</v>
      </c>
      <c r="F366" t="s">
        <v>45</v>
      </c>
    </row>
    <row r="367" spans="1:6" hidden="1" x14ac:dyDescent="0.35">
      <c r="A367" t="s">
        <v>61</v>
      </c>
      <c r="B367" t="s">
        <v>53</v>
      </c>
      <c r="C367" t="s">
        <v>51</v>
      </c>
      <c r="D367">
        <v>0</v>
      </c>
      <c r="E367" t="s">
        <v>40</v>
      </c>
      <c r="F367" t="s">
        <v>45</v>
      </c>
    </row>
    <row r="368" spans="1:6" hidden="1" x14ac:dyDescent="0.35">
      <c r="A368" t="s">
        <v>62</v>
      </c>
      <c r="B368" t="s">
        <v>53</v>
      </c>
      <c r="C368" t="s">
        <v>51</v>
      </c>
      <c r="D368">
        <v>0</v>
      </c>
      <c r="E368" t="s">
        <v>40</v>
      </c>
      <c r="F368" t="s">
        <v>45</v>
      </c>
    </row>
    <row r="369" spans="1:6" hidden="1" x14ac:dyDescent="0.35">
      <c r="A369" t="s">
        <v>63</v>
      </c>
      <c r="B369" t="s">
        <v>53</v>
      </c>
      <c r="C369" t="s">
        <v>51</v>
      </c>
      <c r="D369">
        <v>0</v>
      </c>
      <c r="E369" t="s">
        <v>40</v>
      </c>
      <c r="F369" t="s">
        <v>45</v>
      </c>
    </row>
    <row r="370" spans="1:6" hidden="1" x14ac:dyDescent="0.35">
      <c r="A370" t="s">
        <v>64</v>
      </c>
      <c r="B370" t="s">
        <v>53</v>
      </c>
      <c r="C370" t="s">
        <v>51</v>
      </c>
      <c r="D370">
        <v>0</v>
      </c>
      <c r="E370" t="s">
        <v>40</v>
      </c>
      <c r="F370" t="s">
        <v>45</v>
      </c>
    </row>
    <row r="371" spans="1:6" hidden="1" x14ac:dyDescent="0.35">
      <c r="A371" t="s">
        <v>65</v>
      </c>
      <c r="B371" t="s">
        <v>53</v>
      </c>
      <c r="C371" t="s">
        <v>51</v>
      </c>
      <c r="D371">
        <v>0</v>
      </c>
      <c r="E371" t="s">
        <v>40</v>
      </c>
      <c r="F371" t="s">
        <v>45</v>
      </c>
    </row>
    <row r="372" spans="1:6" hidden="1" x14ac:dyDescent="0.35">
      <c r="A372" t="s">
        <v>66</v>
      </c>
      <c r="B372" t="s">
        <v>53</v>
      </c>
      <c r="C372" t="s">
        <v>51</v>
      </c>
      <c r="D372">
        <v>0</v>
      </c>
      <c r="E372" t="s">
        <v>40</v>
      </c>
      <c r="F372" t="s">
        <v>45</v>
      </c>
    </row>
    <row r="373" spans="1:6" hidden="1" x14ac:dyDescent="0.35">
      <c r="A373" t="s">
        <v>67</v>
      </c>
      <c r="B373" t="s">
        <v>53</v>
      </c>
      <c r="C373" t="s">
        <v>51</v>
      </c>
      <c r="D373">
        <v>0</v>
      </c>
      <c r="E373" t="s">
        <v>40</v>
      </c>
      <c r="F373" t="s">
        <v>45</v>
      </c>
    </row>
    <row r="374" spans="1:6" hidden="1" x14ac:dyDescent="0.35">
      <c r="A374" t="s">
        <v>57</v>
      </c>
      <c r="B374" t="s">
        <v>53</v>
      </c>
      <c r="C374" t="s">
        <v>30</v>
      </c>
      <c r="D374">
        <v>0</v>
      </c>
      <c r="E374" t="s">
        <v>40</v>
      </c>
      <c r="F374" t="s">
        <v>45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0</v>
      </c>
      <c r="E375" t="s">
        <v>40</v>
      </c>
      <c r="F375" t="s">
        <v>45</v>
      </c>
    </row>
    <row r="376" spans="1:6" hidden="1" x14ac:dyDescent="0.35">
      <c r="A376" t="s">
        <v>58</v>
      </c>
      <c r="B376" t="s">
        <v>53</v>
      </c>
      <c r="C376" t="s">
        <v>30</v>
      </c>
      <c r="D376">
        <v>0</v>
      </c>
      <c r="E376" t="s">
        <v>40</v>
      </c>
      <c r="F376" t="s">
        <v>45</v>
      </c>
    </row>
    <row r="377" spans="1:6" hidden="1" x14ac:dyDescent="0.35">
      <c r="A377" t="s">
        <v>59</v>
      </c>
      <c r="B377" t="s">
        <v>53</v>
      </c>
      <c r="C377" t="s">
        <v>30</v>
      </c>
      <c r="D377">
        <v>0</v>
      </c>
      <c r="E377" t="s">
        <v>40</v>
      </c>
      <c r="F377" t="s">
        <v>45</v>
      </c>
    </row>
    <row r="378" spans="1:6" hidden="1" x14ac:dyDescent="0.35">
      <c r="A378" t="s">
        <v>60</v>
      </c>
      <c r="B378" t="s">
        <v>53</v>
      </c>
      <c r="C378" t="s">
        <v>30</v>
      </c>
      <c r="D378">
        <v>0</v>
      </c>
      <c r="E378" t="s">
        <v>40</v>
      </c>
      <c r="F378" t="s">
        <v>45</v>
      </c>
    </row>
    <row r="379" spans="1:6" hidden="1" x14ac:dyDescent="0.35">
      <c r="A379" t="s">
        <v>61</v>
      </c>
      <c r="B379" t="s">
        <v>53</v>
      </c>
      <c r="C379" t="s">
        <v>30</v>
      </c>
      <c r="D379">
        <v>0</v>
      </c>
      <c r="E379" t="s">
        <v>40</v>
      </c>
      <c r="F379" t="s">
        <v>45</v>
      </c>
    </row>
    <row r="380" spans="1:6" hidden="1" x14ac:dyDescent="0.35">
      <c r="A380" t="s">
        <v>62</v>
      </c>
      <c r="B380" t="s">
        <v>53</v>
      </c>
      <c r="C380" t="s">
        <v>30</v>
      </c>
      <c r="D380">
        <v>0</v>
      </c>
      <c r="E380" t="s">
        <v>40</v>
      </c>
      <c r="F380" t="s">
        <v>45</v>
      </c>
    </row>
    <row r="381" spans="1:6" hidden="1" x14ac:dyDescent="0.35">
      <c r="A381" t="s">
        <v>63</v>
      </c>
      <c r="B381" t="s">
        <v>53</v>
      </c>
      <c r="C381" t="s">
        <v>30</v>
      </c>
      <c r="D381">
        <v>0</v>
      </c>
      <c r="E381" t="s">
        <v>40</v>
      </c>
      <c r="F381" t="s">
        <v>45</v>
      </c>
    </row>
    <row r="382" spans="1:6" hidden="1" x14ac:dyDescent="0.35">
      <c r="A382" t="s">
        <v>64</v>
      </c>
      <c r="B382" t="s">
        <v>53</v>
      </c>
      <c r="C382" t="s">
        <v>30</v>
      </c>
      <c r="D382">
        <v>0</v>
      </c>
      <c r="E382" t="s">
        <v>40</v>
      </c>
      <c r="F382" t="s">
        <v>45</v>
      </c>
    </row>
    <row r="383" spans="1:6" hidden="1" x14ac:dyDescent="0.35">
      <c r="A383" t="s">
        <v>65</v>
      </c>
      <c r="B383" t="s">
        <v>53</v>
      </c>
      <c r="C383" t="s">
        <v>30</v>
      </c>
      <c r="D383">
        <v>0</v>
      </c>
      <c r="E383" t="s">
        <v>40</v>
      </c>
      <c r="F383" t="s">
        <v>45</v>
      </c>
    </row>
    <row r="384" spans="1:6" hidden="1" x14ac:dyDescent="0.35">
      <c r="A384" t="s">
        <v>66</v>
      </c>
      <c r="B384" t="s">
        <v>53</v>
      </c>
      <c r="C384" t="s">
        <v>30</v>
      </c>
      <c r="D384">
        <v>0</v>
      </c>
      <c r="E384" t="s">
        <v>40</v>
      </c>
      <c r="F384" t="s">
        <v>45</v>
      </c>
    </row>
    <row r="385" spans="1:6" hidden="1" x14ac:dyDescent="0.35">
      <c r="A385" t="s">
        <v>67</v>
      </c>
      <c r="B385" t="s">
        <v>53</v>
      </c>
      <c r="C385" t="s">
        <v>30</v>
      </c>
      <c r="D385">
        <v>0</v>
      </c>
      <c r="E385" t="s">
        <v>40</v>
      </c>
      <c r="F385" t="s">
        <v>45</v>
      </c>
    </row>
    <row r="386" spans="1:6" hidden="1" x14ac:dyDescent="0.35">
      <c r="A386" t="s">
        <v>57</v>
      </c>
      <c r="B386" t="s">
        <v>53</v>
      </c>
      <c r="C386" t="s">
        <v>52</v>
      </c>
      <c r="D386">
        <v>0</v>
      </c>
      <c r="E386" t="s">
        <v>40</v>
      </c>
      <c r="F386" t="s">
        <v>45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40</v>
      </c>
      <c r="F387" t="s">
        <v>45</v>
      </c>
    </row>
    <row r="388" spans="1:6" hidden="1" x14ac:dyDescent="0.35">
      <c r="A388" t="s">
        <v>58</v>
      </c>
      <c r="B388" t="s">
        <v>53</v>
      </c>
      <c r="C388" t="s">
        <v>52</v>
      </c>
      <c r="D388">
        <v>0</v>
      </c>
      <c r="E388" t="s">
        <v>40</v>
      </c>
      <c r="F388" t="s">
        <v>45</v>
      </c>
    </row>
    <row r="389" spans="1:6" hidden="1" x14ac:dyDescent="0.35">
      <c r="A389" t="s">
        <v>59</v>
      </c>
      <c r="B389" t="s">
        <v>53</v>
      </c>
      <c r="C389" t="s">
        <v>52</v>
      </c>
      <c r="D389">
        <v>0</v>
      </c>
      <c r="E389" t="s">
        <v>40</v>
      </c>
      <c r="F389" t="s">
        <v>45</v>
      </c>
    </row>
    <row r="390" spans="1:6" hidden="1" x14ac:dyDescent="0.35">
      <c r="A390" t="s">
        <v>60</v>
      </c>
      <c r="B390" t="s">
        <v>53</v>
      </c>
      <c r="C390" t="s">
        <v>52</v>
      </c>
      <c r="D390">
        <v>0</v>
      </c>
      <c r="E390" t="s">
        <v>40</v>
      </c>
      <c r="F390" t="s">
        <v>45</v>
      </c>
    </row>
    <row r="391" spans="1:6" hidden="1" x14ac:dyDescent="0.35">
      <c r="A391" t="s">
        <v>61</v>
      </c>
      <c r="B391" t="s">
        <v>53</v>
      </c>
      <c r="C391" t="s">
        <v>52</v>
      </c>
      <c r="D391">
        <v>0</v>
      </c>
      <c r="E391" t="s">
        <v>40</v>
      </c>
      <c r="F391" t="s">
        <v>45</v>
      </c>
    </row>
    <row r="392" spans="1:6" hidden="1" x14ac:dyDescent="0.35">
      <c r="A392" t="s">
        <v>62</v>
      </c>
      <c r="B392" t="s">
        <v>53</v>
      </c>
      <c r="C392" t="s">
        <v>52</v>
      </c>
      <c r="D392">
        <v>0</v>
      </c>
      <c r="E392" t="s">
        <v>40</v>
      </c>
      <c r="F392" t="s">
        <v>45</v>
      </c>
    </row>
    <row r="393" spans="1:6" hidden="1" x14ac:dyDescent="0.35">
      <c r="A393" t="s">
        <v>63</v>
      </c>
      <c r="B393" t="s">
        <v>53</v>
      </c>
      <c r="C393" t="s">
        <v>52</v>
      </c>
      <c r="D393">
        <v>0</v>
      </c>
      <c r="E393" t="s">
        <v>40</v>
      </c>
      <c r="F393" t="s">
        <v>45</v>
      </c>
    </row>
    <row r="394" spans="1:6" hidden="1" x14ac:dyDescent="0.35">
      <c r="A394" t="s">
        <v>64</v>
      </c>
      <c r="B394" t="s">
        <v>53</v>
      </c>
      <c r="C394" t="s">
        <v>52</v>
      </c>
      <c r="D394">
        <v>0</v>
      </c>
      <c r="E394" t="s">
        <v>40</v>
      </c>
      <c r="F394" t="s">
        <v>45</v>
      </c>
    </row>
    <row r="395" spans="1:6" hidden="1" x14ac:dyDescent="0.35">
      <c r="A395" t="s">
        <v>65</v>
      </c>
      <c r="B395" t="s">
        <v>53</v>
      </c>
      <c r="C395" t="s">
        <v>52</v>
      </c>
      <c r="D395">
        <v>0</v>
      </c>
      <c r="E395" t="s">
        <v>40</v>
      </c>
      <c r="F395" t="s">
        <v>45</v>
      </c>
    </row>
    <row r="396" spans="1:6" hidden="1" x14ac:dyDescent="0.35">
      <c r="A396" t="s">
        <v>66</v>
      </c>
      <c r="B396" t="s">
        <v>53</v>
      </c>
      <c r="C396" t="s">
        <v>52</v>
      </c>
      <c r="D396">
        <v>0</v>
      </c>
      <c r="E396" t="s">
        <v>40</v>
      </c>
      <c r="F396" t="s">
        <v>45</v>
      </c>
    </row>
    <row r="397" spans="1:6" hidden="1" x14ac:dyDescent="0.35">
      <c r="A397" t="s">
        <v>67</v>
      </c>
      <c r="B397" t="s">
        <v>53</v>
      </c>
      <c r="C397" t="s">
        <v>52</v>
      </c>
      <c r="D397">
        <v>0</v>
      </c>
      <c r="E397" t="s">
        <v>40</v>
      </c>
      <c r="F397" t="s">
        <v>45</v>
      </c>
    </row>
    <row r="398" spans="1:6" hidden="1" x14ac:dyDescent="0.35">
      <c r="A398" t="s">
        <v>57</v>
      </c>
      <c r="B398" t="s">
        <v>54</v>
      </c>
      <c r="C398" t="s">
        <v>44</v>
      </c>
      <c r="D398">
        <v>65107.43</v>
      </c>
      <c r="E398" t="s">
        <v>40</v>
      </c>
      <c r="F398" t="s">
        <v>45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0</v>
      </c>
      <c r="E399" t="s">
        <v>40</v>
      </c>
      <c r="F399" t="s">
        <v>45</v>
      </c>
    </row>
    <row r="400" spans="1:6" hidden="1" x14ac:dyDescent="0.35">
      <c r="A400" t="s">
        <v>58</v>
      </c>
      <c r="B400" t="s">
        <v>54</v>
      </c>
      <c r="C400" t="s">
        <v>44</v>
      </c>
      <c r="D400">
        <v>41286.15</v>
      </c>
      <c r="E400" t="s">
        <v>40</v>
      </c>
      <c r="F400" t="s">
        <v>45</v>
      </c>
    </row>
    <row r="401" spans="1:6" hidden="1" x14ac:dyDescent="0.35">
      <c r="A401" t="s">
        <v>59</v>
      </c>
      <c r="B401" t="s">
        <v>54</v>
      </c>
      <c r="C401" t="s">
        <v>44</v>
      </c>
      <c r="D401">
        <v>4181.12</v>
      </c>
      <c r="E401" t="s">
        <v>40</v>
      </c>
      <c r="F401" t="s">
        <v>45</v>
      </c>
    </row>
    <row r="402" spans="1:6" hidden="1" x14ac:dyDescent="0.35">
      <c r="A402" t="s">
        <v>60</v>
      </c>
      <c r="B402" t="s">
        <v>54</v>
      </c>
      <c r="C402" t="s">
        <v>44</v>
      </c>
      <c r="D402">
        <v>68217.820000000007</v>
      </c>
      <c r="E402" t="s">
        <v>40</v>
      </c>
      <c r="F402" t="s">
        <v>45</v>
      </c>
    </row>
    <row r="403" spans="1:6" hidden="1" x14ac:dyDescent="0.35">
      <c r="A403" t="s">
        <v>61</v>
      </c>
      <c r="B403" t="s">
        <v>54</v>
      </c>
      <c r="C403" t="s">
        <v>44</v>
      </c>
      <c r="D403">
        <v>22361.1</v>
      </c>
      <c r="E403" t="s">
        <v>40</v>
      </c>
      <c r="F403" t="s">
        <v>45</v>
      </c>
    </row>
    <row r="404" spans="1:6" hidden="1" x14ac:dyDescent="0.35">
      <c r="A404" t="s">
        <v>62</v>
      </c>
      <c r="B404" t="s">
        <v>54</v>
      </c>
      <c r="C404" t="s">
        <v>44</v>
      </c>
      <c r="D404">
        <v>11967.86</v>
      </c>
      <c r="E404" t="s">
        <v>40</v>
      </c>
      <c r="F404" t="s">
        <v>45</v>
      </c>
    </row>
    <row r="405" spans="1:6" hidden="1" x14ac:dyDescent="0.35">
      <c r="A405" t="s">
        <v>63</v>
      </c>
      <c r="B405" t="s">
        <v>54</v>
      </c>
      <c r="C405" t="s">
        <v>44</v>
      </c>
      <c r="D405">
        <v>13434.46</v>
      </c>
      <c r="E405" t="s">
        <v>40</v>
      </c>
      <c r="F405" t="s">
        <v>45</v>
      </c>
    </row>
    <row r="406" spans="1:6" hidden="1" x14ac:dyDescent="0.35">
      <c r="A406" t="s">
        <v>64</v>
      </c>
      <c r="B406" t="s">
        <v>54</v>
      </c>
      <c r="C406" t="s">
        <v>44</v>
      </c>
      <c r="D406">
        <v>44901.37</v>
      </c>
      <c r="E406" t="s">
        <v>40</v>
      </c>
      <c r="F406" t="s">
        <v>45</v>
      </c>
    </row>
    <row r="407" spans="1:6" hidden="1" x14ac:dyDescent="0.35">
      <c r="A407" t="s">
        <v>65</v>
      </c>
      <c r="B407" t="s">
        <v>54</v>
      </c>
      <c r="C407" t="s">
        <v>44</v>
      </c>
      <c r="D407">
        <v>44443.83</v>
      </c>
      <c r="E407" t="s">
        <v>40</v>
      </c>
      <c r="F407" t="s">
        <v>45</v>
      </c>
    </row>
    <row r="408" spans="1:6" hidden="1" x14ac:dyDescent="0.35">
      <c r="A408" t="s">
        <v>66</v>
      </c>
      <c r="B408" t="s">
        <v>54</v>
      </c>
      <c r="C408" t="s">
        <v>44</v>
      </c>
      <c r="D408">
        <v>12276.7</v>
      </c>
      <c r="E408" t="s">
        <v>40</v>
      </c>
      <c r="F408" t="s">
        <v>45</v>
      </c>
    </row>
    <row r="409" spans="1:6" hidden="1" x14ac:dyDescent="0.35">
      <c r="A409" t="s">
        <v>67</v>
      </c>
      <c r="B409" t="s">
        <v>54</v>
      </c>
      <c r="C409" t="s">
        <v>44</v>
      </c>
      <c r="D409">
        <v>7275.57</v>
      </c>
      <c r="E409" t="s">
        <v>40</v>
      </c>
      <c r="F409" t="s">
        <v>45</v>
      </c>
    </row>
    <row r="410" spans="1:6" hidden="1" x14ac:dyDescent="0.35">
      <c r="A410" t="s">
        <v>57</v>
      </c>
      <c r="B410" t="s">
        <v>54</v>
      </c>
      <c r="C410" t="s">
        <v>22</v>
      </c>
      <c r="D410">
        <v>0</v>
      </c>
      <c r="E410" t="s">
        <v>40</v>
      </c>
      <c r="F410" t="s">
        <v>45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40</v>
      </c>
      <c r="F411" t="s">
        <v>45</v>
      </c>
    </row>
    <row r="412" spans="1:6" hidden="1" x14ac:dyDescent="0.35">
      <c r="A412" t="s">
        <v>58</v>
      </c>
      <c r="B412" t="s">
        <v>54</v>
      </c>
      <c r="C412" t="s">
        <v>22</v>
      </c>
      <c r="D412">
        <v>0</v>
      </c>
      <c r="E412" t="s">
        <v>40</v>
      </c>
      <c r="F412" t="s">
        <v>45</v>
      </c>
    </row>
    <row r="413" spans="1:6" hidden="1" x14ac:dyDescent="0.35">
      <c r="A413" t="s">
        <v>59</v>
      </c>
      <c r="B413" t="s">
        <v>54</v>
      </c>
      <c r="C413" t="s">
        <v>22</v>
      </c>
      <c r="D413">
        <v>0</v>
      </c>
      <c r="E413" t="s">
        <v>40</v>
      </c>
      <c r="F413" t="s">
        <v>45</v>
      </c>
    </row>
    <row r="414" spans="1:6" hidden="1" x14ac:dyDescent="0.35">
      <c r="A414" t="s">
        <v>60</v>
      </c>
      <c r="B414" t="s">
        <v>54</v>
      </c>
      <c r="C414" t="s">
        <v>22</v>
      </c>
      <c r="D414">
        <v>0</v>
      </c>
      <c r="E414" t="s">
        <v>40</v>
      </c>
      <c r="F414" t="s">
        <v>45</v>
      </c>
    </row>
    <row r="415" spans="1:6" hidden="1" x14ac:dyDescent="0.35">
      <c r="A415" t="s">
        <v>61</v>
      </c>
      <c r="B415" t="s">
        <v>54</v>
      </c>
      <c r="C415" t="s">
        <v>22</v>
      </c>
      <c r="D415">
        <v>0</v>
      </c>
      <c r="E415" t="s">
        <v>40</v>
      </c>
      <c r="F415" t="s">
        <v>45</v>
      </c>
    </row>
    <row r="416" spans="1:6" hidden="1" x14ac:dyDescent="0.35">
      <c r="A416" t="s">
        <v>62</v>
      </c>
      <c r="B416" t="s">
        <v>54</v>
      </c>
      <c r="C416" t="s">
        <v>22</v>
      </c>
      <c r="D416">
        <v>0</v>
      </c>
      <c r="E416" t="s">
        <v>40</v>
      </c>
      <c r="F416" t="s">
        <v>45</v>
      </c>
    </row>
    <row r="417" spans="1:6" hidden="1" x14ac:dyDescent="0.35">
      <c r="A417" t="s">
        <v>63</v>
      </c>
      <c r="B417" t="s">
        <v>54</v>
      </c>
      <c r="C417" t="s">
        <v>22</v>
      </c>
      <c r="D417">
        <v>0</v>
      </c>
      <c r="E417" t="s">
        <v>40</v>
      </c>
      <c r="F417" t="s">
        <v>45</v>
      </c>
    </row>
    <row r="418" spans="1:6" hidden="1" x14ac:dyDescent="0.35">
      <c r="A418" t="s">
        <v>64</v>
      </c>
      <c r="B418" t="s">
        <v>54</v>
      </c>
      <c r="C418" t="s">
        <v>22</v>
      </c>
      <c r="D418">
        <v>0</v>
      </c>
      <c r="E418" t="s">
        <v>40</v>
      </c>
      <c r="F418" t="s">
        <v>45</v>
      </c>
    </row>
    <row r="419" spans="1:6" hidden="1" x14ac:dyDescent="0.35">
      <c r="A419" t="s">
        <v>65</v>
      </c>
      <c r="B419" t="s">
        <v>54</v>
      </c>
      <c r="C419" t="s">
        <v>22</v>
      </c>
      <c r="D419">
        <v>0</v>
      </c>
      <c r="E419" t="s">
        <v>40</v>
      </c>
      <c r="F419" t="s">
        <v>45</v>
      </c>
    </row>
    <row r="420" spans="1:6" hidden="1" x14ac:dyDescent="0.35">
      <c r="A420" t="s">
        <v>66</v>
      </c>
      <c r="B420" t="s">
        <v>54</v>
      </c>
      <c r="C420" t="s">
        <v>22</v>
      </c>
      <c r="D420">
        <v>0</v>
      </c>
      <c r="E420" t="s">
        <v>40</v>
      </c>
      <c r="F420" t="s">
        <v>45</v>
      </c>
    </row>
    <row r="421" spans="1:6" hidden="1" x14ac:dyDescent="0.35">
      <c r="A421" t="s">
        <v>67</v>
      </c>
      <c r="B421" t="s">
        <v>54</v>
      </c>
      <c r="C421" t="s">
        <v>22</v>
      </c>
      <c r="D421">
        <v>0</v>
      </c>
      <c r="E421" t="s">
        <v>40</v>
      </c>
      <c r="F421" t="s">
        <v>45</v>
      </c>
    </row>
    <row r="422" spans="1:6" hidden="1" x14ac:dyDescent="0.35">
      <c r="A422" t="s">
        <v>57</v>
      </c>
      <c r="B422" t="s">
        <v>54</v>
      </c>
      <c r="C422" t="s">
        <v>46</v>
      </c>
      <c r="D422">
        <v>23992.77</v>
      </c>
      <c r="E422" t="s">
        <v>40</v>
      </c>
      <c r="F422" t="s">
        <v>45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20860.32</v>
      </c>
      <c r="E423" t="s">
        <v>40</v>
      </c>
      <c r="F423" t="s">
        <v>45</v>
      </c>
    </row>
    <row r="424" spans="1:6" hidden="1" x14ac:dyDescent="0.35">
      <c r="A424" t="s">
        <v>58</v>
      </c>
      <c r="B424" t="s">
        <v>54</v>
      </c>
      <c r="C424" t="s">
        <v>46</v>
      </c>
      <c r="D424">
        <v>60085.18</v>
      </c>
      <c r="E424" t="s">
        <v>40</v>
      </c>
      <c r="F424" t="s">
        <v>45</v>
      </c>
    </row>
    <row r="425" spans="1:6" hidden="1" x14ac:dyDescent="0.35">
      <c r="A425" t="s">
        <v>59</v>
      </c>
      <c r="B425" t="s">
        <v>54</v>
      </c>
      <c r="C425" t="s">
        <v>46</v>
      </c>
      <c r="D425">
        <v>12739.63</v>
      </c>
      <c r="E425" t="s">
        <v>40</v>
      </c>
      <c r="F425" t="s">
        <v>45</v>
      </c>
    </row>
    <row r="426" spans="1:6" hidden="1" x14ac:dyDescent="0.35">
      <c r="A426" t="s">
        <v>60</v>
      </c>
      <c r="B426" t="s">
        <v>54</v>
      </c>
      <c r="C426" t="s">
        <v>46</v>
      </c>
      <c r="D426">
        <v>86136.209999999992</v>
      </c>
      <c r="E426" t="s">
        <v>40</v>
      </c>
      <c r="F426" t="s">
        <v>45</v>
      </c>
    </row>
    <row r="427" spans="1:6" hidden="1" x14ac:dyDescent="0.35">
      <c r="A427" t="s">
        <v>61</v>
      </c>
      <c r="B427" t="s">
        <v>54</v>
      </c>
      <c r="C427" t="s">
        <v>46</v>
      </c>
      <c r="D427">
        <v>41231.589999999997</v>
      </c>
      <c r="E427" t="s">
        <v>40</v>
      </c>
      <c r="F427" t="s">
        <v>45</v>
      </c>
    </row>
    <row r="428" spans="1:6" hidden="1" x14ac:dyDescent="0.35">
      <c r="A428" t="s">
        <v>62</v>
      </c>
      <c r="B428" t="s">
        <v>54</v>
      </c>
      <c r="C428" t="s">
        <v>46</v>
      </c>
      <c r="D428">
        <v>45036.3</v>
      </c>
      <c r="E428" t="s">
        <v>40</v>
      </c>
      <c r="F428" t="s">
        <v>45</v>
      </c>
    </row>
    <row r="429" spans="1:6" hidden="1" x14ac:dyDescent="0.35">
      <c r="A429" t="s">
        <v>63</v>
      </c>
      <c r="B429" t="s">
        <v>54</v>
      </c>
      <c r="C429" t="s">
        <v>46</v>
      </c>
      <c r="D429">
        <v>35271.959999999992</v>
      </c>
      <c r="E429" t="s">
        <v>40</v>
      </c>
      <c r="F429" t="s">
        <v>45</v>
      </c>
    </row>
    <row r="430" spans="1:6" hidden="1" x14ac:dyDescent="0.35">
      <c r="A430" t="s">
        <v>64</v>
      </c>
      <c r="B430" t="s">
        <v>54</v>
      </c>
      <c r="C430" t="s">
        <v>46</v>
      </c>
      <c r="D430">
        <v>55021.000000000007</v>
      </c>
      <c r="E430" t="s">
        <v>40</v>
      </c>
      <c r="F430" t="s">
        <v>45</v>
      </c>
    </row>
    <row r="431" spans="1:6" hidden="1" x14ac:dyDescent="0.35">
      <c r="A431" t="s">
        <v>65</v>
      </c>
      <c r="B431" t="s">
        <v>54</v>
      </c>
      <c r="C431" t="s">
        <v>46</v>
      </c>
      <c r="D431">
        <v>63428.160000000003</v>
      </c>
      <c r="E431" t="s">
        <v>40</v>
      </c>
      <c r="F431" t="s">
        <v>45</v>
      </c>
    </row>
    <row r="432" spans="1:6" hidden="1" x14ac:dyDescent="0.35">
      <c r="A432" t="s">
        <v>66</v>
      </c>
      <c r="B432" t="s">
        <v>54</v>
      </c>
      <c r="C432" t="s">
        <v>46</v>
      </c>
      <c r="D432">
        <v>50249.099999999991</v>
      </c>
      <c r="E432" t="s">
        <v>40</v>
      </c>
      <c r="F432" t="s">
        <v>45</v>
      </c>
    </row>
    <row r="433" spans="1:6" hidden="1" x14ac:dyDescent="0.35">
      <c r="A433" t="s">
        <v>67</v>
      </c>
      <c r="B433" t="s">
        <v>54</v>
      </c>
      <c r="C433" t="s">
        <v>46</v>
      </c>
      <c r="D433">
        <v>34421.32</v>
      </c>
      <c r="E433" t="s">
        <v>40</v>
      </c>
      <c r="F433" t="s">
        <v>45</v>
      </c>
    </row>
    <row r="434" spans="1:6" hidden="1" x14ac:dyDescent="0.35">
      <c r="A434" t="s">
        <v>57</v>
      </c>
      <c r="B434" t="s">
        <v>54</v>
      </c>
      <c r="C434" t="s">
        <v>24</v>
      </c>
      <c r="D434">
        <v>0</v>
      </c>
      <c r="E434" t="s">
        <v>40</v>
      </c>
      <c r="F434" t="s">
        <v>45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40</v>
      </c>
      <c r="F435" t="s">
        <v>45</v>
      </c>
    </row>
    <row r="436" spans="1:6" hidden="1" x14ac:dyDescent="0.35">
      <c r="A436" t="s">
        <v>58</v>
      </c>
      <c r="B436" t="s">
        <v>54</v>
      </c>
      <c r="C436" t="s">
        <v>24</v>
      </c>
      <c r="D436">
        <v>0</v>
      </c>
      <c r="E436" t="s">
        <v>40</v>
      </c>
      <c r="F436" t="s">
        <v>45</v>
      </c>
    </row>
    <row r="437" spans="1:6" hidden="1" x14ac:dyDescent="0.35">
      <c r="A437" t="s">
        <v>59</v>
      </c>
      <c r="B437" t="s">
        <v>54</v>
      </c>
      <c r="C437" t="s">
        <v>24</v>
      </c>
      <c r="D437">
        <v>0</v>
      </c>
      <c r="E437" t="s">
        <v>40</v>
      </c>
      <c r="F437" t="s">
        <v>45</v>
      </c>
    </row>
    <row r="438" spans="1:6" hidden="1" x14ac:dyDescent="0.35">
      <c r="A438" t="s">
        <v>60</v>
      </c>
      <c r="B438" t="s">
        <v>54</v>
      </c>
      <c r="C438" t="s">
        <v>24</v>
      </c>
      <c r="D438">
        <v>0</v>
      </c>
      <c r="E438" t="s">
        <v>40</v>
      </c>
      <c r="F438" t="s">
        <v>45</v>
      </c>
    </row>
    <row r="439" spans="1:6" hidden="1" x14ac:dyDescent="0.35">
      <c r="A439" t="s">
        <v>61</v>
      </c>
      <c r="B439" t="s">
        <v>54</v>
      </c>
      <c r="C439" t="s">
        <v>24</v>
      </c>
      <c r="D439">
        <v>0</v>
      </c>
      <c r="E439" t="s">
        <v>40</v>
      </c>
      <c r="F439" t="s">
        <v>45</v>
      </c>
    </row>
    <row r="440" spans="1:6" hidden="1" x14ac:dyDescent="0.35">
      <c r="A440" t="s">
        <v>62</v>
      </c>
      <c r="B440" t="s">
        <v>54</v>
      </c>
      <c r="C440" t="s">
        <v>24</v>
      </c>
      <c r="D440">
        <v>0</v>
      </c>
      <c r="E440" t="s">
        <v>40</v>
      </c>
      <c r="F440" t="s">
        <v>45</v>
      </c>
    </row>
    <row r="441" spans="1:6" hidden="1" x14ac:dyDescent="0.35">
      <c r="A441" t="s">
        <v>63</v>
      </c>
      <c r="B441" t="s">
        <v>54</v>
      </c>
      <c r="C441" t="s">
        <v>24</v>
      </c>
      <c r="D441">
        <v>0</v>
      </c>
      <c r="E441" t="s">
        <v>40</v>
      </c>
      <c r="F441" t="s">
        <v>45</v>
      </c>
    </row>
    <row r="442" spans="1:6" hidden="1" x14ac:dyDescent="0.35">
      <c r="A442" t="s">
        <v>64</v>
      </c>
      <c r="B442" t="s">
        <v>54</v>
      </c>
      <c r="C442" t="s">
        <v>24</v>
      </c>
      <c r="D442">
        <v>0</v>
      </c>
      <c r="E442" t="s">
        <v>40</v>
      </c>
      <c r="F442" t="s">
        <v>45</v>
      </c>
    </row>
    <row r="443" spans="1:6" hidden="1" x14ac:dyDescent="0.35">
      <c r="A443" t="s">
        <v>65</v>
      </c>
      <c r="B443" t="s">
        <v>54</v>
      </c>
      <c r="C443" t="s">
        <v>24</v>
      </c>
      <c r="D443">
        <v>0</v>
      </c>
      <c r="E443" t="s">
        <v>40</v>
      </c>
      <c r="F443" t="s">
        <v>45</v>
      </c>
    </row>
    <row r="444" spans="1:6" hidden="1" x14ac:dyDescent="0.35">
      <c r="A444" t="s">
        <v>66</v>
      </c>
      <c r="B444" t="s">
        <v>54</v>
      </c>
      <c r="C444" t="s">
        <v>24</v>
      </c>
      <c r="D444">
        <v>0</v>
      </c>
      <c r="E444" t="s">
        <v>40</v>
      </c>
      <c r="F444" t="s">
        <v>45</v>
      </c>
    </row>
    <row r="445" spans="1:6" hidden="1" x14ac:dyDescent="0.35">
      <c r="A445" t="s">
        <v>67</v>
      </c>
      <c r="B445" t="s">
        <v>54</v>
      </c>
      <c r="C445" t="s">
        <v>24</v>
      </c>
      <c r="D445">
        <v>0</v>
      </c>
      <c r="E445" t="s">
        <v>40</v>
      </c>
      <c r="F445" t="s">
        <v>45</v>
      </c>
    </row>
    <row r="446" spans="1:6" hidden="1" x14ac:dyDescent="0.35">
      <c r="A446" t="s">
        <v>57</v>
      </c>
      <c r="B446" t="s">
        <v>54</v>
      </c>
      <c r="C446" t="s">
        <v>47</v>
      </c>
      <c r="D446">
        <v>0</v>
      </c>
      <c r="E446" t="s">
        <v>40</v>
      </c>
      <c r="F446" t="s">
        <v>45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0</v>
      </c>
      <c r="E447" t="s">
        <v>40</v>
      </c>
      <c r="F447" t="s">
        <v>45</v>
      </c>
    </row>
    <row r="448" spans="1:6" hidden="1" x14ac:dyDescent="0.35">
      <c r="A448" t="s">
        <v>58</v>
      </c>
      <c r="B448" t="s">
        <v>54</v>
      </c>
      <c r="C448" t="s">
        <v>47</v>
      </c>
      <c r="D448">
        <v>0</v>
      </c>
      <c r="E448" t="s">
        <v>40</v>
      </c>
      <c r="F448" t="s">
        <v>45</v>
      </c>
    </row>
    <row r="449" spans="1:6" hidden="1" x14ac:dyDescent="0.35">
      <c r="A449" t="s">
        <v>59</v>
      </c>
      <c r="B449" t="s">
        <v>54</v>
      </c>
      <c r="C449" t="s">
        <v>47</v>
      </c>
      <c r="D449">
        <v>0</v>
      </c>
      <c r="E449" t="s">
        <v>40</v>
      </c>
      <c r="F449" t="s">
        <v>45</v>
      </c>
    </row>
    <row r="450" spans="1:6" hidden="1" x14ac:dyDescent="0.35">
      <c r="A450" t="s">
        <v>60</v>
      </c>
      <c r="B450" t="s">
        <v>54</v>
      </c>
      <c r="C450" t="s">
        <v>47</v>
      </c>
      <c r="D450">
        <v>0</v>
      </c>
      <c r="E450" t="s">
        <v>40</v>
      </c>
      <c r="F450" t="s">
        <v>45</v>
      </c>
    </row>
    <row r="451" spans="1:6" hidden="1" x14ac:dyDescent="0.35">
      <c r="A451" t="s">
        <v>61</v>
      </c>
      <c r="B451" t="s">
        <v>54</v>
      </c>
      <c r="C451" t="s">
        <v>47</v>
      </c>
      <c r="D451">
        <v>0</v>
      </c>
      <c r="E451" t="s">
        <v>40</v>
      </c>
      <c r="F451" t="s">
        <v>45</v>
      </c>
    </row>
    <row r="452" spans="1:6" hidden="1" x14ac:dyDescent="0.35">
      <c r="A452" t="s">
        <v>62</v>
      </c>
      <c r="B452" t="s">
        <v>54</v>
      </c>
      <c r="C452" t="s">
        <v>47</v>
      </c>
      <c r="D452">
        <v>0</v>
      </c>
      <c r="E452" t="s">
        <v>40</v>
      </c>
      <c r="F452" t="s">
        <v>45</v>
      </c>
    </row>
    <row r="453" spans="1:6" hidden="1" x14ac:dyDescent="0.35">
      <c r="A453" t="s">
        <v>63</v>
      </c>
      <c r="B453" t="s">
        <v>54</v>
      </c>
      <c r="C453" t="s">
        <v>47</v>
      </c>
      <c r="D453">
        <v>0</v>
      </c>
      <c r="E453" t="s">
        <v>40</v>
      </c>
      <c r="F453" t="s">
        <v>45</v>
      </c>
    </row>
    <row r="454" spans="1:6" hidden="1" x14ac:dyDescent="0.35">
      <c r="A454" t="s">
        <v>64</v>
      </c>
      <c r="B454" t="s">
        <v>54</v>
      </c>
      <c r="C454" t="s">
        <v>47</v>
      </c>
      <c r="D454">
        <v>0</v>
      </c>
      <c r="E454" t="s">
        <v>40</v>
      </c>
      <c r="F454" t="s">
        <v>45</v>
      </c>
    </row>
    <row r="455" spans="1:6" hidden="1" x14ac:dyDescent="0.35">
      <c r="A455" t="s">
        <v>65</v>
      </c>
      <c r="B455" t="s">
        <v>54</v>
      </c>
      <c r="C455" t="s">
        <v>47</v>
      </c>
      <c r="D455">
        <v>0</v>
      </c>
      <c r="E455" t="s">
        <v>40</v>
      </c>
      <c r="F455" t="s">
        <v>45</v>
      </c>
    </row>
    <row r="456" spans="1:6" hidden="1" x14ac:dyDescent="0.35">
      <c r="A456" t="s">
        <v>66</v>
      </c>
      <c r="B456" t="s">
        <v>54</v>
      </c>
      <c r="C456" t="s">
        <v>47</v>
      </c>
      <c r="D456">
        <v>0</v>
      </c>
      <c r="E456" t="s">
        <v>40</v>
      </c>
      <c r="F456" t="s">
        <v>45</v>
      </c>
    </row>
    <row r="457" spans="1:6" hidden="1" x14ac:dyDescent="0.35">
      <c r="A457" t="s">
        <v>67</v>
      </c>
      <c r="B457" t="s">
        <v>54</v>
      </c>
      <c r="C457" t="s">
        <v>47</v>
      </c>
      <c r="D457">
        <v>0</v>
      </c>
      <c r="E457" t="s">
        <v>40</v>
      </c>
      <c r="F457" t="s">
        <v>45</v>
      </c>
    </row>
    <row r="458" spans="1:6" hidden="1" x14ac:dyDescent="0.35">
      <c r="A458" t="s">
        <v>57</v>
      </c>
      <c r="B458" t="s">
        <v>54</v>
      </c>
      <c r="C458" t="s">
        <v>48</v>
      </c>
      <c r="D458">
        <v>0</v>
      </c>
      <c r="E458" t="s">
        <v>40</v>
      </c>
      <c r="F458" t="s">
        <v>45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40</v>
      </c>
      <c r="F459" t="s">
        <v>45</v>
      </c>
    </row>
    <row r="460" spans="1:6" hidden="1" x14ac:dyDescent="0.35">
      <c r="A460" t="s">
        <v>58</v>
      </c>
      <c r="B460" t="s">
        <v>54</v>
      </c>
      <c r="C460" t="s">
        <v>48</v>
      </c>
      <c r="D460">
        <v>0</v>
      </c>
      <c r="E460" t="s">
        <v>40</v>
      </c>
      <c r="F460" t="s">
        <v>45</v>
      </c>
    </row>
    <row r="461" spans="1:6" hidden="1" x14ac:dyDescent="0.35">
      <c r="A461" t="s">
        <v>59</v>
      </c>
      <c r="B461" t="s">
        <v>54</v>
      </c>
      <c r="C461" t="s">
        <v>48</v>
      </c>
      <c r="D461">
        <v>0</v>
      </c>
      <c r="E461" t="s">
        <v>40</v>
      </c>
      <c r="F461" t="s">
        <v>45</v>
      </c>
    </row>
    <row r="462" spans="1:6" hidden="1" x14ac:dyDescent="0.35">
      <c r="A462" t="s">
        <v>60</v>
      </c>
      <c r="B462" t="s">
        <v>54</v>
      </c>
      <c r="C462" t="s">
        <v>48</v>
      </c>
      <c r="D462">
        <v>0</v>
      </c>
      <c r="E462" t="s">
        <v>40</v>
      </c>
      <c r="F462" t="s">
        <v>45</v>
      </c>
    </row>
    <row r="463" spans="1:6" hidden="1" x14ac:dyDescent="0.35">
      <c r="A463" t="s">
        <v>61</v>
      </c>
      <c r="B463" t="s">
        <v>54</v>
      </c>
      <c r="C463" t="s">
        <v>48</v>
      </c>
      <c r="D463">
        <v>0</v>
      </c>
      <c r="E463" t="s">
        <v>40</v>
      </c>
      <c r="F463" t="s">
        <v>45</v>
      </c>
    </row>
    <row r="464" spans="1:6" hidden="1" x14ac:dyDescent="0.35">
      <c r="A464" t="s">
        <v>62</v>
      </c>
      <c r="B464" t="s">
        <v>54</v>
      </c>
      <c r="C464" t="s">
        <v>48</v>
      </c>
      <c r="D464">
        <v>0</v>
      </c>
      <c r="E464" t="s">
        <v>40</v>
      </c>
      <c r="F464" t="s">
        <v>45</v>
      </c>
    </row>
    <row r="465" spans="1:6" hidden="1" x14ac:dyDescent="0.35">
      <c r="A465" t="s">
        <v>63</v>
      </c>
      <c r="B465" t="s">
        <v>54</v>
      </c>
      <c r="C465" t="s">
        <v>48</v>
      </c>
      <c r="D465">
        <v>0</v>
      </c>
      <c r="E465" t="s">
        <v>40</v>
      </c>
      <c r="F465" t="s">
        <v>45</v>
      </c>
    </row>
    <row r="466" spans="1:6" hidden="1" x14ac:dyDescent="0.35">
      <c r="A466" t="s">
        <v>64</v>
      </c>
      <c r="B466" t="s">
        <v>54</v>
      </c>
      <c r="C466" t="s">
        <v>48</v>
      </c>
      <c r="D466">
        <v>0</v>
      </c>
      <c r="E466" t="s">
        <v>40</v>
      </c>
      <c r="F466" t="s">
        <v>45</v>
      </c>
    </row>
    <row r="467" spans="1:6" hidden="1" x14ac:dyDescent="0.35">
      <c r="A467" t="s">
        <v>65</v>
      </c>
      <c r="B467" t="s">
        <v>54</v>
      </c>
      <c r="C467" t="s">
        <v>48</v>
      </c>
      <c r="D467">
        <v>0</v>
      </c>
      <c r="E467" t="s">
        <v>40</v>
      </c>
      <c r="F467" t="s">
        <v>45</v>
      </c>
    </row>
    <row r="468" spans="1:6" hidden="1" x14ac:dyDescent="0.35">
      <c r="A468" t="s">
        <v>66</v>
      </c>
      <c r="B468" t="s">
        <v>54</v>
      </c>
      <c r="C468" t="s">
        <v>48</v>
      </c>
      <c r="D468">
        <v>0</v>
      </c>
      <c r="E468" t="s">
        <v>40</v>
      </c>
      <c r="F468" t="s">
        <v>45</v>
      </c>
    </row>
    <row r="469" spans="1:6" hidden="1" x14ac:dyDescent="0.35">
      <c r="A469" t="s">
        <v>67</v>
      </c>
      <c r="B469" t="s">
        <v>54</v>
      </c>
      <c r="C469" t="s">
        <v>48</v>
      </c>
      <c r="D469">
        <v>0</v>
      </c>
      <c r="E469" t="s">
        <v>40</v>
      </c>
      <c r="F469" t="s">
        <v>45</v>
      </c>
    </row>
    <row r="470" spans="1:6" hidden="1" x14ac:dyDescent="0.35">
      <c r="A470" t="s">
        <v>57</v>
      </c>
      <c r="B470" t="s">
        <v>54</v>
      </c>
      <c r="C470" t="s">
        <v>49</v>
      </c>
      <c r="D470">
        <v>24884.579999999991</v>
      </c>
      <c r="E470" t="s">
        <v>40</v>
      </c>
      <c r="F470" t="s">
        <v>45</v>
      </c>
    </row>
    <row r="471" spans="1:6" hidden="1" x14ac:dyDescent="0.35">
      <c r="A471" t="s">
        <v>11</v>
      </c>
      <c r="B471" t="s">
        <v>54</v>
      </c>
      <c r="C471" t="s">
        <v>49</v>
      </c>
      <c r="D471">
        <v>0</v>
      </c>
      <c r="E471" t="s">
        <v>40</v>
      </c>
      <c r="F471" t="s">
        <v>45</v>
      </c>
    </row>
    <row r="472" spans="1:6" hidden="1" x14ac:dyDescent="0.35">
      <c r="A472" t="s">
        <v>58</v>
      </c>
      <c r="B472" t="s">
        <v>54</v>
      </c>
      <c r="C472" t="s">
        <v>49</v>
      </c>
      <c r="D472">
        <v>17435.740000000002</v>
      </c>
      <c r="E472" t="s">
        <v>40</v>
      </c>
      <c r="F472" t="s">
        <v>45</v>
      </c>
    </row>
    <row r="473" spans="1:6" hidden="1" x14ac:dyDescent="0.35">
      <c r="A473" t="s">
        <v>59</v>
      </c>
      <c r="B473" t="s">
        <v>54</v>
      </c>
      <c r="C473" t="s">
        <v>49</v>
      </c>
      <c r="D473">
        <v>3043.33</v>
      </c>
      <c r="E473" t="s">
        <v>40</v>
      </c>
      <c r="F473" t="s">
        <v>45</v>
      </c>
    </row>
    <row r="474" spans="1:6" hidden="1" x14ac:dyDescent="0.35">
      <c r="A474" t="s">
        <v>60</v>
      </c>
      <c r="B474" t="s">
        <v>54</v>
      </c>
      <c r="C474" t="s">
        <v>49</v>
      </c>
      <c r="D474">
        <v>37221.320000000007</v>
      </c>
      <c r="E474" t="s">
        <v>40</v>
      </c>
      <c r="F474" t="s">
        <v>45</v>
      </c>
    </row>
    <row r="475" spans="1:6" hidden="1" x14ac:dyDescent="0.35">
      <c r="A475" t="s">
        <v>61</v>
      </c>
      <c r="B475" t="s">
        <v>54</v>
      </c>
      <c r="C475" t="s">
        <v>49</v>
      </c>
      <c r="D475">
        <v>9060.8900000000012</v>
      </c>
      <c r="E475" t="s">
        <v>40</v>
      </c>
      <c r="F475" t="s">
        <v>45</v>
      </c>
    </row>
    <row r="476" spans="1:6" hidden="1" x14ac:dyDescent="0.35">
      <c r="A476" t="s">
        <v>62</v>
      </c>
      <c r="B476" t="s">
        <v>54</v>
      </c>
      <c r="C476" t="s">
        <v>49</v>
      </c>
      <c r="D476">
        <v>6012.32</v>
      </c>
      <c r="E476" t="s">
        <v>40</v>
      </c>
      <c r="F476" t="s">
        <v>45</v>
      </c>
    </row>
    <row r="477" spans="1:6" hidden="1" x14ac:dyDescent="0.35">
      <c r="A477" t="s">
        <v>63</v>
      </c>
      <c r="B477" t="s">
        <v>54</v>
      </c>
      <c r="C477" t="s">
        <v>49</v>
      </c>
      <c r="D477">
        <v>7156.8600000000006</v>
      </c>
      <c r="E477" t="s">
        <v>40</v>
      </c>
      <c r="F477" t="s">
        <v>45</v>
      </c>
    </row>
    <row r="478" spans="1:6" hidden="1" x14ac:dyDescent="0.35">
      <c r="A478" t="s">
        <v>64</v>
      </c>
      <c r="B478" t="s">
        <v>54</v>
      </c>
      <c r="C478" t="s">
        <v>49</v>
      </c>
      <c r="D478">
        <v>27086.35</v>
      </c>
      <c r="E478" t="s">
        <v>40</v>
      </c>
      <c r="F478" t="s">
        <v>45</v>
      </c>
    </row>
    <row r="479" spans="1:6" hidden="1" x14ac:dyDescent="0.35">
      <c r="A479" t="s">
        <v>65</v>
      </c>
      <c r="B479" t="s">
        <v>54</v>
      </c>
      <c r="C479" t="s">
        <v>49</v>
      </c>
      <c r="D479">
        <v>15352.6</v>
      </c>
      <c r="E479" t="s">
        <v>40</v>
      </c>
      <c r="F479" t="s">
        <v>45</v>
      </c>
    </row>
    <row r="480" spans="1:6" hidden="1" x14ac:dyDescent="0.35">
      <c r="A480" t="s">
        <v>66</v>
      </c>
      <c r="B480" t="s">
        <v>54</v>
      </c>
      <c r="C480" t="s">
        <v>49</v>
      </c>
      <c r="D480">
        <v>11737.46</v>
      </c>
      <c r="E480" t="s">
        <v>40</v>
      </c>
      <c r="F480" t="s">
        <v>45</v>
      </c>
    </row>
    <row r="481" spans="1:6" hidden="1" x14ac:dyDescent="0.35">
      <c r="A481" t="s">
        <v>67</v>
      </c>
      <c r="B481" t="s">
        <v>54</v>
      </c>
      <c r="C481" t="s">
        <v>49</v>
      </c>
      <c r="D481">
        <v>7207.3000000000011</v>
      </c>
      <c r="E481" t="s">
        <v>40</v>
      </c>
      <c r="F481" t="s">
        <v>45</v>
      </c>
    </row>
    <row r="482" spans="1:6" hidden="1" x14ac:dyDescent="0.35">
      <c r="A482" t="s">
        <v>57</v>
      </c>
      <c r="B482" t="s">
        <v>54</v>
      </c>
      <c r="C482" t="s">
        <v>50</v>
      </c>
      <c r="D482">
        <v>0</v>
      </c>
      <c r="E482" t="s">
        <v>40</v>
      </c>
      <c r="F482" t="s">
        <v>45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22205.040000000001</v>
      </c>
      <c r="E483" t="s">
        <v>40</v>
      </c>
      <c r="F483" t="s">
        <v>45</v>
      </c>
    </row>
    <row r="484" spans="1:6" hidden="1" x14ac:dyDescent="0.35">
      <c r="A484" t="s">
        <v>58</v>
      </c>
      <c r="B484" t="s">
        <v>54</v>
      </c>
      <c r="C484" t="s">
        <v>50</v>
      </c>
      <c r="D484">
        <v>0</v>
      </c>
      <c r="E484" t="s">
        <v>40</v>
      </c>
      <c r="F484" t="s">
        <v>45</v>
      </c>
    </row>
    <row r="485" spans="1:6" hidden="1" x14ac:dyDescent="0.35">
      <c r="A485" t="s">
        <v>59</v>
      </c>
      <c r="B485" t="s">
        <v>54</v>
      </c>
      <c r="C485" t="s">
        <v>50</v>
      </c>
      <c r="D485">
        <v>0</v>
      </c>
      <c r="E485" t="s">
        <v>40</v>
      </c>
      <c r="F485" t="s">
        <v>45</v>
      </c>
    </row>
    <row r="486" spans="1:6" hidden="1" x14ac:dyDescent="0.35">
      <c r="A486" t="s">
        <v>60</v>
      </c>
      <c r="B486" t="s">
        <v>54</v>
      </c>
      <c r="C486" t="s">
        <v>50</v>
      </c>
      <c r="D486">
        <v>0</v>
      </c>
      <c r="E486" t="s">
        <v>40</v>
      </c>
      <c r="F486" t="s">
        <v>45</v>
      </c>
    </row>
    <row r="487" spans="1:6" hidden="1" x14ac:dyDescent="0.35">
      <c r="A487" t="s">
        <v>61</v>
      </c>
      <c r="B487" t="s">
        <v>54</v>
      </c>
      <c r="C487" t="s">
        <v>50</v>
      </c>
      <c r="D487">
        <v>9228.83</v>
      </c>
      <c r="E487" t="s">
        <v>40</v>
      </c>
      <c r="F487" t="s">
        <v>45</v>
      </c>
    </row>
    <row r="488" spans="1:6" hidden="1" x14ac:dyDescent="0.35">
      <c r="A488" t="s">
        <v>62</v>
      </c>
      <c r="B488" t="s">
        <v>54</v>
      </c>
      <c r="C488" t="s">
        <v>50</v>
      </c>
      <c r="D488">
        <v>0</v>
      </c>
      <c r="E488" t="s">
        <v>40</v>
      </c>
      <c r="F488" t="s">
        <v>45</v>
      </c>
    </row>
    <row r="489" spans="1:6" hidden="1" x14ac:dyDescent="0.35">
      <c r="A489" t="s">
        <v>63</v>
      </c>
      <c r="B489" t="s">
        <v>54</v>
      </c>
      <c r="C489" t="s">
        <v>50</v>
      </c>
      <c r="D489">
        <v>0</v>
      </c>
      <c r="E489" t="s">
        <v>40</v>
      </c>
      <c r="F489" t="s">
        <v>45</v>
      </c>
    </row>
    <row r="490" spans="1:6" hidden="1" x14ac:dyDescent="0.35">
      <c r="A490" t="s">
        <v>64</v>
      </c>
      <c r="B490" t="s">
        <v>54</v>
      </c>
      <c r="C490" t="s">
        <v>50</v>
      </c>
      <c r="D490">
        <v>0</v>
      </c>
      <c r="E490" t="s">
        <v>40</v>
      </c>
      <c r="F490" t="s">
        <v>45</v>
      </c>
    </row>
    <row r="491" spans="1:6" hidden="1" x14ac:dyDescent="0.35">
      <c r="A491" t="s">
        <v>65</v>
      </c>
      <c r="B491" t="s">
        <v>54</v>
      </c>
      <c r="C491" t="s">
        <v>50</v>
      </c>
      <c r="D491">
        <v>0</v>
      </c>
      <c r="E491" t="s">
        <v>40</v>
      </c>
      <c r="F491" t="s">
        <v>45</v>
      </c>
    </row>
    <row r="492" spans="1:6" hidden="1" x14ac:dyDescent="0.35">
      <c r="A492" t="s">
        <v>66</v>
      </c>
      <c r="B492" t="s">
        <v>54</v>
      </c>
      <c r="C492" t="s">
        <v>50</v>
      </c>
      <c r="D492">
        <v>8327.31</v>
      </c>
      <c r="E492" t="s">
        <v>40</v>
      </c>
      <c r="F492" t="s">
        <v>45</v>
      </c>
    </row>
    <row r="493" spans="1:6" hidden="1" x14ac:dyDescent="0.35">
      <c r="A493" t="s">
        <v>67</v>
      </c>
      <c r="B493" t="s">
        <v>54</v>
      </c>
      <c r="C493" t="s">
        <v>50</v>
      </c>
      <c r="D493">
        <v>0</v>
      </c>
      <c r="E493" t="s">
        <v>40</v>
      </c>
      <c r="F493" t="s">
        <v>45</v>
      </c>
    </row>
    <row r="494" spans="1:6" hidden="1" x14ac:dyDescent="0.35">
      <c r="A494" t="s">
        <v>57</v>
      </c>
      <c r="B494" t="s">
        <v>54</v>
      </c>
      <c r="C494" t="s">
        <v>51</v>
      </c>
      <c r="D494">
        <v>21</v>
      </c>
      <c r="E494" t="s">
        <v>40</v>
      </c>
      <c r="F494" t="s">
        <v>45</v>
      </c>
    </row>
    <row r="495" spans="1:6" hidden="1" x14ac:dyDescent="0.35">
      <c r="A495" t="s">
        <v>11</v>
      </c>
      <c r="B495" t="s">
        <v>54</v>
      </c>
      <c r="C495" t="s">
        <v>51</v>
      </c>
      <c r="D495">
        <v>23</v>
      </c>
      <c r="E495" t="s">
        <v>40</v>
      </c>
      <c r="F495" t="s">
        <v>45</v>
      </c>
    </row>
    <row r="496" spans="1:6" hidden="1" x14ac:dyDescent="0.35">
      <c r="A496" t="s">
        <v>58</v>
      </c>
      <c r="B496" t="s">
        <v>54</v>
      </c>
      <c r="C496" t="s">
        <v>51</v>
      </c>
      <c r="D496">
        <v>38</v>
      </c>
      <c r="E496" t="s">
        <v>40</v>
      </c>
      <c r="F496" t="s">
        <v>45</v>
      </c>
    </row>
    <row r="497" spans="1:6" hidden="1" x14ac:dyDescent="0.35">
      <c r="A497" t="s">
        <v>59</v>
      </c>
      <c r="B497" t="s">
        <v>54</v>
      </c>
      <c r="C497" t="s">
        <v>51</v>
      </c>
      <c r="D497">
        <v>33</v>
      </c>
      <c r="E497" t="s">
        <v>40</v>
      </c>
      <c r="F497" t="s">
        <v>45</v>
      </c>
    </row>
    <row r="498" spans="1:6" hidden="1" x14ac:dyDescent="0.35">
      <c r="A498" t="s">
        <v>60</v>
      </c>
      <c r="B498" t="s">
        <v>54</v>
      </c>
      <c r="C498" t="s">
        <v>51</v>
      </c>
      <c r="D498">
        <v>35</v>
      </c>
      <c r="E498" t="s">
        <v>40</v>
      </c>
      <c r="F498" t="s">
        <v>45</v>
      </c>
    </row>
    <row r="499" spans="1:6" hidden="1" x14ac:dyDescent="0.35">
      <c r="A499" t="s">
        <v>61</v>
      </c>
      <c r="B499" t="s">
        <v>54</v>
      </c>
      <c r="C499" t="s">
        <v>51</v>
      </c>
      <c r="D499">
        <v>39</v>
      </c>
      <c r="E499" t="s">
        <v>40</v>
      </c>
      <c r="F499" t="s">
        <v>45</v>
      </c>
    </row>
    <row r="500" spans="1:6" hidden="1" x14ac:dyDescent="0.35">
      <c r="A500" t="s">
        <v>62</v>
      </c>
      <c r="B500" t="s">
        <v>54</v>
      </c>
      <c r="C500" t="s">
        <v>51</v>
      </c>
      <c r="D500">
        <v>31</v>
      </c>
      <c r="E500" t="s">
        <v>40</v>
      </c>
      <c r="F500" t="s">
        <v>45</v>
      </c>
    </row>
    <row r="501" spans="1:6" hidden="1" x14ac:dyDescent="0.35">
      <c r="A501" t="s">
        <v>63</v>
      </c>
      <c r="B501" t="s">
        <v>54</v>
      </c>
      <c r="C501" t="s">
        <v>51</v>
      </c>
      <c r="D501">
        <v>49</v>
      </c>
      <c r="E501" t="s">
        <v>40</v>
      </c>
      <c r="F501" t="s">
        <v>45</v>
      </c>
    </row>
    <row r="502" spans="1:6" hidden="1" x14ac:dyDescent="0.35">
      <c r="A502" t="s">
        <v>64</v>
      </c>
      <c r="B502" t="s">
        <v>54</v>
      </c>
      <c r="C502" t="s">
        <v>51</v>
      </c>
      <c r="D502">
        <v>32</v>
      </c>
      <c r="E502" t="s">
        <v>40</v>
      </c>
      <c r="F502" t="s">
        <v>45</v>
      </c>
    </row>
    <row r="503" spans="1:6" hidden="1" x14ac:dyDescent="0.35">
      <c r="A503" t="s">
        <v>65</v>
      </c>
      <c r="B503" t="s">
        <v>54</v>
      </c>
      <c r="C503" t="s">
        <v>51</v>
      </c>
      <c r="D503">
        <v>40</v>
      </c>
      <c r="E503" t="s">
        <v>40</v>
      </c>
      <c r="F503" t="s">
        <v>45</v>
      </c>
    </row>
    <row r="504" spans="1:6" hidden="1" x14ac:dyDescent="0.35">
      <c r="A504" t="s">
        <v>66</v>
      </c>
      <c r="B504" t="s">
        <v>54</v>
      </c>
      <c r="C504" t="s">
        <v>51</v>
      </c>
      <c r="D504">
        <v>21</v>
      </c>
      <c r="E504" t="s">
        <v>40</v>
      </c>
      <c r="F504" t="s">
        <v>45</v>
      </c>
    </row>
    <row r="505" spans="1:6" hidden="1" x14ac:dyDescent="0.35">
      <c r="A505" t="s">
        <v>67</v>
      </c>
      <c r="B505" t="s">
        <v>54</v>
      </c>
      <c r="C505" t="s">
        <v>51</v>
      </c>
      <c r="D505">
        <v>18</v>
      </c>
      <c r="E505" t="s">
        <v>40</v>
      </c>
      <c r="F505" t="s">
        <v>45</v>
      </c>
    </row>
    <row r="506" spans="1:6" hidden="1" x14ac:dyDescent="0.35">
      <c r="A506" t="s">
        <v>57</v>
      </c>
      <c r="B506" t="s">
        <v>54</v>
      </c>
      <c r="C506" t="s">
        <v>30</v>
      </c>
      <c r="D506">
        <v>9</v>
      </c>
      <c r="E506" t="s">
        <v>40</v>
      </c>
      <c r="F506" t="s">
        <v>45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9</v>
      </c>
      <c r="E507" t="s">
        <v>40</v>
      </c>
      <c r="F507" t="s">
        <v>45</v>
      </c>
    </row>
    <row r="508" spans="1:6" hidden="1" x14ac:dyDescent="0.35">
      <c r="A508" t="s">
        <v>58</v>
      </c>
      <c r="B508" t="s">
        <v>54</v>
      </c>
      <c r="C508" t="s">
        <v>30</v>
      </c>
      <c r="D508">
        <v>13</v>
      </c>
      <c r="E508" t="s">
        <v>40</v>
      </c>
      <c r="F508" t="s">
        <v>45</v>
      </c>
    </row>
    <row r="509" spans="1:6" hidden="1" x14ac:dyDescent="0.35">
      <c r="A509" t="s">
        <v>59</v>
      </c>
      <c r="B509" t="s">
        <v>54</v>
      </c>
      <c r="C509" t="s">
        <v>30</v>
      </c>
      <c r="D509">
        <v>8</v>
      </c>
      <c r="E509" t="s">
        <v>40</v>
      </c>
      <c r="F509" t="s">
        <v>45</v>
      </c>
    </row>
    <row r="510" spans="1:6" hidden="1" x14ac:dyDescent="0.35">
      <c r="A510" t="s">
        <v>60</v>
      </c>
      <c r="B510" t="s">
        <v>54</v>
      </c>
      <c r="C510" t="s">
        <v>30</v>
      </c>
      <c r="D510">
        <v>25</v>
      </c>
      <c r="E510" t="s">
        <v>40</v>
      </c>
      <c r="F510" t="s">
        <v>45</v>
      </c>
    </row>
    <row r="511" spans="1:6" hidden="1" x14ac:dyDescent="0.35">
      <c r="A511" t="s">
        <v>61</v>
      </c>
      <c r="B511" t="s">
        <v>54</v>
      </c>
      <c r="C511" t="s">
        <v>30</v>
      </c>
      <c r="D511">
        <v>19</v>
      </c>
      <c r="E511" t="s">
        <v>40</v>
      </c>
      <c r="F511" t="s">
        <v>45</v>
      </c>
    </row>
    <row r="512" spans="1:6" hidden="1" x14ac:dyDescent="0.35">
      <c r="A512" t="s">
        <v>62</v>
      </c>
      <c r="B512" t="s">
        <v>54</v>
      </c>
      <c r="C512" t="s">
        <v>30</v>
      </c>
      <c r="D512">
        <v>21</v>
      </c>
      <c r="E512" t="s">
        <v>40</v>
      </c>
      <c r="F512" t="s">
        <v>45</v>
      </c>
    </row>
    <row r="513" spans="1:6" hidden="1" x14ac:dyDescent="0.35">
      <c r="A513" t="s">
        <v>63</v>
      </c>
      <c r="B513" t="s">
        <v>54</v>
      </c>
      <c r="C513" t="s">
        <v>30</v>
      </c>
      <c r="D513">
        <v>18</v>
      </c>
      <c r="E513" t="s">
        <v>40</v>
      </c>
      <c r="F513" t="s">
        <v>45</v>
      </c>
    </row>
    <row r="514" spans="1:6" hidden="1" x14ac:dyDescent="0.35">
      <c r="A514" t="s">
        <v>64</v>
      </c>
      <c r="B514" t="s">
        <v>54</v>
      </c>
      <c r="C514" t="s">
        <v>30</v>
      </c>
      <c r="D514">
        <v>21</v>
      </c>
      <c r="E514" t="s">
        <v>40</v>
      </c>
      <c r="F514" t="s">
        <v>45</v>
      </c>
    </row>
    <row r="515" spans="1:6" hidden="1" x14ac:dyDescent="0.35">
      <c r="A515" t="s">
        <v>65</v>
      </c>
      <c r="B515" t="s">
        <v>54</v>
      </c>
      <c r="C515" t="s">
        <v>30</v>
      </c>
      <c r="D515">
        <v>26</v>
      </c>
      <c r="E515" t="s">
        <v>40</v>
      </c>
      <c r="F515" t="s">
        <v>45</v>
      </c>
    </row>
    <row r="516" spans="1:6" hidden="1" x14ac:dyDescent="0.35">
      <c r="A516" t="s">
        <v>66</v>
      </c>
      <c r="B516" t="s">
        <v>54</v>
      </c>
      <c r="C516" t="s">
        <v>30</v>
      </c>
      <c r="D516">
        <v>21</v>
      </c>
      <c r="E516" t="s">
        <v>40</v>
      </c>
      <c r="F516" t="s">
        <v>45</v>
      </c>
    </row>
    <row r="517" spans="1:6" hidden="1" x14ac:dyDescent="0.35">
      <c r="A517" t="s">
        <v>67</v>
      </c>
      <c r="B517" t="s">
        <v>54</v>
      </c>
      <c r="C517" t="s">
        <v>30</v>
      </c>
      <c r="D517">
        <v>20</v>
      </c>
      <c r="E517" t="s">
        <v>40</v>
      </c>
      <c r="F517" t="s">
        <v>45</v>
      </c>
    </row>
    <row r="518" spans="1:6" hidden="1" x14ac:dyDescent="0.35">
      <c r="A518" t="s">
        <v>57</v>
      </c>
      <c r="B518" t="s">
        <v>54</v>
      </c>
      <c r="C518" t="s">
        <v>52</v>
      </c>
      <c r="D518">
        <v>2</v>
      </c>
      <c r="E518" t="s">
        <v>40</v>
      </c>
      <c r="F518" t="s">
        <v>45</v>
      </c>
    </row>
    <row r="519" spans="1:6" hidden="1" x14ac:dyDescent="0.35">
      <c r="A519" t="s">
        <v>11</v>
      </c>
      <c r="B519" t="s">
        <v>54</v>
      </c>
      <c r="C519" t="s">
        <v>52</v>
      </c>
      <c r="D519">
        <v>0</v>
      </c>
      <c r="E519" t="s">
        <v>40</v>
      </c>
      <c r="F519" t="s">
        <v>45</v>
      </c>
    </row>
    <row r="520" spans="1:6" hidden="1" x14ac:dyDescent="0.35">
      <c r="A520" t="s">
        <v>58</v>
      </c>
      <c r="B520" t="s">
        <v>54</v>
      </c>
      <c r="C520" t="s">
        <v>52</v>
      </c>
      <c r="D520">
        <v>1</v>
      </c>
      <c r="E520" t="s">
        <v>40</v>
      </c>
      <c r="F520" t="s">
        <v>45</v>
      </c>
    </row>
    <row r="521" spans="1:6" hidden="1" x14ac:dyDescent="0.35">
      <c r="A521" t="s">
        <v>59</v>
      </c>
      <c r="B521" t="s">
        <v>54</v>
      </c>
      <c r="C521" t="s">
        <v>52</v>
      </c>
      <c r="D521">
        <v>0</v>
      </c>
      <c r="E521" t="s">
        <v>40</v>
      </c>
      <c r="F521" t="s">
        <v>45</v>
      </c>
    </row>
    <row r="522" spans="1:6" hidden="1" x14ac:dyDescent="0.35">
      <c r="A522" t="s">
        <v>60</v>
      </c>
      <c r="B522" t="s">
        <v>54</v>
      </c>
      <c r="C522" t="s">
        <v>52</v>
      </c>
      <c r="D522">
        <v>0</v>
      </c>
      <c r="E522" t="s">
        <v>40</v>
      </c>
      <c r="F522" t="s">
        <v>45</v>
      </c>
    </row>
    <row r="523" spans="1:6" hidden="1" x14ac:dyDescent="0.35">
      <c r="A523" t="s">
        <v>61</v>
      </c>
      <c r="B523" t="s">
        <v>54</v>
      </c>
      <c r="C523" t="s">
        <v>52</v>
      </c>
      <c r="D523">
        <v>2</v>
      </c>
      <c r="E523" t="s">
        <v>40</v>
      </c>
      <c r="F523" t="s">
        <v>45</v>
      </c>
    </row>
    <row r="524" spans="1:6" hidden="1" x14ac:dyDescent="0.35">
      <c r="A524" t="s">
        <v>62</v>
      </c>
      <c r="B524" t="s">
        <v>54</v>
      </c>
      <c r="C524" t="s">
        <v>52</v>
      </c>
      <c r="D524">
        <v>0</v>
      </c>
      <c r="E524" t="s">
        <v>40</v>
      </c>
      <c r="F524" t="s">
        <v>45</v>
      </c>
    </row>
    <row r="525" spans="1:6" hidden="1" x14ac:dyDescent="0.35">
      <c r="A525" t="s">
        <v>63</v>
      </c>
      <c r="B525" t="s">
        <v>54</v>
      </c>
      <c r="C525" t="s">
        <v>52</v>
      </c>
      <c r="D525">
        <v>1</v>
      </c>
      <c r="E525" t="s">
        <v>40</v>
      </c>
      <c r="F525" t="s">
        <v>45</v>
      </c>
    </row>
    <row r="526" spans="1:6" hidden="1" x14ac:dyDescent="0.35">
      <c r="A526" t="s">
        <v>64</v>
      </c>
      <c r="B526" t="s">
        <v>54</v>
      </c>
      <c r="C526" t="s">
        <v>52</v>
      </c>
      <c r="D526">
        <v>1</v>
      </c>
      <c r="E526" t="s">
        <v>40</v>
      </c>
      <c r="F526" t="s">
        <v>45</v>
      </c>
    </row>
    <row r="527" spans="1:6" hidden="1" x14ac:dyDescent="0.35">
      <c r="A527" t="s">
        <v>65</v>
      </c>
      <c r="B527" t="s">
        <v>54</v>
      </c>
      <c r="C527" t="s">
        <v>52</v>
      </c>
      <c r="D527">
        <v>0</v>
      </c>
      <c r="E527" t="s">
        <v>40</v>
      </c>
      <c r="F527" t="s">
        <v>45</v>
      </c>
    </row>
    <row r="528" spans="1:6" hidden="1" x14ac:dyDescent="0.35">
      <c r="A528" t="s">
        <v>66</v>
      </c>
      <c r="B528" t="s">
        <v>54</v>
      </c>
      <c r="C528" t="s">
        <v>52</v>
      </c>
      <c r="D528">
        <v>0</v>
      </c>
      <c r="E528" t="s">
        <v>40</v>
      </c>
      <c r="F528" t="s">
        <v>45</v>
      </c>
    </row>
    <row r="529" spans="1:6" hidden="1" x14ac:dyDescent="0.35">
      <c r="A529" t="s">
        <v>67</v>
      </c>
      <c r="B529" t="s">
        <v>54</v>
      </c>
      <c r="C529" t="s">
        <v>52</v>
      </c>
      <c r="D529">
        <v>3</v>
      </c>
      <c r="E529" t="s">
        <v>40</v>
      </c>
      <c r="F529" t="s">
        <v>45</v>
      </c>
    </row>
    <row r="530" spans="1:6" hidden="1" x14ac:dyDescent="0.35">
      <c r="A530" t="s">
        <v>57</v>
      </c>
      <c r="B530" t="s">
        <v>43</v>
      </c>
      <c r="C530" t="s">
        <v>44</v>
      </c>
      <c r="D530">
        <v>0</v>
      </c>
      <c r="E530" t="s">
        <v>42</v>
      </c>
      <c r="F530" t="s">
        <v>45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42</v>
      </c>
      <c r="F531" t="s">
        <v>45</v>
      </c>
    </row>
    <row r="532" spans="1:6" hidden="1" x14ac:dyDescent="0.35">
      <c r="A532" t="s">
        <v>58</v>
      </c>
      <c r="B532" t="s">
        <v>43</v>
      </c>
      <c r="C532" t="s">
        <v>44</v>
      </c>
      <c r="D532">
        <v>0</v>
      </c>
      <c r="E532" t="s">
        <v>42</v>
      </c>
      <c r="F532" t="s">
        <v>45</v>
      </c>
    </row>
    <row r="533" spans="1:6" hidden="1" x14ac:dyDescent="0.35">
      <c r="A533" t="s">
        <v>59</v>
      </c>
      <c r="B533" t="s">
        <v>43</v>
      </c>
      <c r="C533" t="s">
        <v>44</v>
      </c>
      <c r="D533">
        <v>0</v>
      </c>
      <c r="E533" t="s">
        <v>42</v>
      </c>
      <c r="F533" t="s">
        <v>45</v>
      </c>
    </row>
    <row r="534" spans="1:6" hidden="1" x14ac:dyDescent="0.35">
      <c r="A534" t="s">
        <v>60</v>
      </c>
      <c r="B534" t="s">
        <v>43</v>
      </c>
      <c r="C534" t="s">
        <v>44</v>
      </c>
      <c r="D534">
        <v>0</v>
      </c>
      <c r="E534" t="s">
        <v>42</v>
      </c>
      <c r="F534" t="s">
        <v>45</v>
      </c>
    </row>
    <row r="535" spans="1:6" hidden="1" x14ac:dyDescent="0.35">
      <c r="A535" t="s">
        <v>61</v>
      </c>
      <c r="B535" t="s">
        <v>43</v>
      </c>
      <c r="C535" t="s">
        <v>44</v>
      </c>
      <c r="D535">
        <v>0</v>
      </c>
      <c r="E535" t="s">
        <v>42</v>
      </c>
      <c r="F535" t="s">
        <v>45</v>
      </c>
    </row>
    <row r="536" spans="1:6" hidden="1" x14ac:dyDescent="0.35">
      <c r="A536" t="s">
        <v>62</v>
      </c>
      <c r="B536" t="s">
        <v>43</v>
      </c>
      <c r="C536" t="s">
        <v>44</v>
      </c>
      <c r="D536">
        <v>0</v>
      </c>
      <c r="E536" t="s">
        <v>42</v>
      </c>
      <c r="F536" t="s">
        <v>45</v>
      </c>
    </row>
    <row r="537" spans="1:6" hidden="1" x14ac:dyDescent="0.35">
      <c r="A537" t="s">
        <v>63</v>
      </c>
      <c r="B537" t="s">
        <v>43</v>
      </c>
      <c r="C537" t="s">
        <v>44</v>
      </c>
      <c r="D537">
        <v>0</v>
      </c>
      <c r="E537" t="s">
        <v>42</v>
      </c>
      <c r="F537" t="s">
        <v>45</v>
      </c>
    </row>
    <row r="538" spans="1:6" hidden="1" x14ac:dyDescent="0.35">
      <c r="A538" t="s">
        <v>64</v>
      </c>
      <c r="B538" t="s">
        <v>43</v>
      </c>
      <c r="C538" t="s">
        <v>44</v>
      </c>
      <c r="D538">
        <v>0</v>
      </c>
      <c r="E538" t="s">
        <v>42</v>
      </c>
      <c r="F538" t="s">
        <v>45</v>
      </c>
    </row>
    <row r="539" spans="1:6" hidden="1" x14ac:dyDescent="0.35">
      <c r="A539" t="s">
        <v>65</v>
      </c>
      <c r="B539" t="s">
        <v>43</v>
      </c>
      <c r="C539" t="s">
        <v>44</v>
      </c>
      <c r="D539">
        <v>0</v>
      </c>
      <c r="E539" t="s">
        <v>42</v>
      </c>
      <c r="F539" t="s">
        <v>45</v>
      </c>
    </row>
    <row r="540" spans="1:6" hidden="1" x14ac:dyDescent="0.35">
      <c r="A540" t="s">
        <v>66</v>
      </c>
      <c r="B540" t="s">
        <v>43</v>
      </c>
      <c r="C540" t="s">
        <v>44</v>
      </c>
      <c r="D540">
        <v>0</v>
      </c>
      <c r="E540" t="s">
        <v>42</v>
      </c>
      <c r="F540" t="s">
        <v>45</v>
      </c>
    </row>
    <row r="541" spans="1:6" hidden="1" x14ac:dyDescent="0.35">
      <c r="A541" t="s">
        <v>67</v>
      </c>
      <c r="B541" t="s">
        <v>43</v>
      </c>
      <c r="C541" t="s">
        <v>44</v>
      </c>
      <c r="D541">
        <v>0</v>
      </c>
      <c r="E541" t="s">
        <v>42</v>
      </c>
      <c r="F541" t="s">
        <v>45</v>
      </c>
    </row>
    <row r="542" spans="1:6" hidden="1" x14ac:dyDescent="0.35">
      <c r="A542" t="s">
        <v>57</v>
      </c>
      <c r="B542" t="s">
        <v>43</v>
      </c>
      <c r="C542" t="s">
        <v>22</v>
      </c>
      <c r="D542">
        <v>0</v>
      </c>
      <c r="E542" t="s">
        <v>42</v>
      </c>
      <c r="F542" t="s">
        <v>45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42</v>
      </c>
      <c r="F543" t="s">
        <v>45</v>
      </c>
    </row>
    <row r="544" spans="1:6" hidden="1" x14ac:dyDescent="0.35">
      <c r="A544" t="s">
        <v>58</v>
      </c>
      <c r="B544" t="s">
        <v>43</v>
      </c>
      <c r="C544" t="s">
        <v>22</v>
      </c>
      <c r="D544">
        <v>0</v>
      </c>
      <c r="E544" t="s">
        <v>42</v>
      </c>
      <c r="F544" t="s">
        <v>45</v>
      </c>
    </row>
    <row r="545" spans="1:6" hidden="1" x14ac:dyDescent="0.35">
      <c r="A545" t="s">
        <v>59</v>
      </c>
      <c r="B545" t="s">
        <v>43</v>
      </c>
      <c r="C545" t="s">
        <v>22</v>
      </c>
      <c r="D545">
        <v>0</v>
      </c>
      <c r="E545" t="s">
        <v>42</v>
      </c>
      <c r="F545" t="s">
        <v>45</v>
      </c>
    </row>
    <row r="546" spans="1:6" hidden="1" x14ac:dyDescent="0.35">
      <c r="A546" t="s">
        <v>60</v>
      </c>
      <c r="B546" t="s">
        <v>43</v>
      </c>
      <c r="C546" t="s">
        <v>22</v>
      </c>
      <c r="D546">
        <v>0</v>
      </c>
      <c r="E546" t="s">
        <v>42</v>
      </c>
      <c r="F546" t="s">
        <v>45</v>
      </c>
    </row>
    <row r="547" spans="1:6" hidden="1" x14ac:dyDescent="0.35">
      <c r="A547" t="s">
        <v>61</v>
      </c>
      <c r="B547" t="s">
        <v>43</v>
      </c>
      <c r="C547" t="s">
        <v>22</v>
      </c>
      <c r="D547">
        <v>0</v>
      </c>
      <c r="E547" t="s">
        <v>42</v>
      </c>
      <c r="F547" t="s">
        <v>45</v>
      </c>
    </row>
    <row r="548" spans="1:6" hidden="1" x14ac:dyDescent="0.35">
      <c r="A548" t="s">
        <v>62</v>
      </c>
      <c r="B548" t="s">
        <v>43</v>
      </c>
      <c r="C548" t="s">
        <v>22</v>
      </c>
      <c r="D548">
        <v>0</v>
      </c>
      <c r="E548" t="s">
        <v>42</v>
      </c>
      <c r="F548" t="s">
        <v>45</v>
      </c>
    </row>
    <row r="549" spans="1:6" hidden="1" x14ac:dyDescent="0.35">
      <c r="A549" t="s">
        <v>63</v>
      </c>
      <c r="B549" t="s">
        <v>43</v>
      </c>
      <c r="C549" t="s">
        <v>22</v>
      </c>
      <c r="D549">
        <v>0</v>
      </c>
      <c r="E549" t="s">
        <v>42</v>
      </c>
      <c r="F549" t="s">
        <v>45</v>
      </c>
    </row>
    <row r="550" spans="1:6" hidden="1" x14ac:dyDescent="0.35">
      <c r="A550" t="s">
        <v>64</v>
      </c>
      <c r="B550" t="s">
        <v>43</v>
      </c>
      <c r="C550" t="s">
        <v>22</v>
      </c>
      <c r="D550">
        <v>0</v>
      </c>
      <c r="E550" t="s">
        <v>42</v>
      </c>
      <c r="F550" t="s">
        <v>45</v>
      </c>
    </row>
    <row r="551" spans="1:6" hidden="1" x14ac:dyDescent="0.35">
      <c r="A551" t="s">
        <v>65</v>
      </c>
      <c r="B551" t="s">
        <v>43</v>
      </c>
      <c r="C551" t="s">
        <v>22</v>
      </c>
      <c r="D551">
        <v>0</v>
      </c>
      <c r="E551" t="s">
        <v>42</v>
      </c>
      <c r="F551" t="s">
        <v>45</v>
      </c>
    </row>
    <row r="552" spans="1:6" hidden="1" x14ac:dyDescent="0.35">
      <c r="A552" t="s">
        <v>66</v>
      </c>
      <c r="B552" t="s">
        <v>43</v>
      </c>
      <c r="C552" t="s">
        <v>22</v>
      </c>
      <c r="D552">
        <v>0</v>
      </c>
      <c r="E552" t="s">
        <v>42</v>
      </c>
      <c r="F552" t="s">
        <v>45</v>
      </c>
    </row>
    <row r="553" spans="1:6" hidden="1" x14ac:dyDescent="0.35">
      <c r="A553" t="s">
        <v>67</v>
      </c>
      <c r="B553" t="s">
        <v>43</v>
      </c>
      <c r="C553" t="s">
        <v>22</v>
      </c>
      <c r="D553">
        <v>0</v>
      </c>
      <c r="E553" t="s">
        <v>42</v>
      </c>
      <c r="F553" t="s">
        <v>45</v>
      </c>
    </row>
    <row r="554" spans="1:6" hidden="1" x14ac:dyDescent="0.35">
      <c r="A554" t="s">
        <v>57</v>
      </c>
      <c r="B554" t="s">
        <v>43</v>
      </c>
      <c r="C554" t="s">
        <v>46</v>
      </c>
      <c r="D554">
        <v>0</v>
      </c>
      <c r="E554" t="s">
        <v>42</v>
      </c>
      <c r="F554" t="s">
        <v>45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0</v>
      </c>
      <c r="E555" t="s">
        <v>42</v>
      </c>
      <c r="F555" t="s">
        <v>45</v>
      </c>
    </row>
    <row r="556" spans="1:6" hidden="1" x14ac:dyDescent="0.35">
      <c r="A556" t="s">
        <v>58</v>
      </c>
      <c r="B556" t="s">
        <v>43</v>
      </c>
      <c r="C556" t="s">
        <v>46</v>
      </c>
      <c r="D556">
        <v>0</v>
      </c>
      <c r="E556" t="s">
        <v>42</v>
      </c>
      <c r="F556" t="s">
        <v>45</v>
      </c>
    </row>
    <row r="557" spans="1:6" hidden="1" x14ac:dyDescent="0.35">
      <c r="A557" t="s">
        <v>59</v>
      </c>
      <c r="B557" t="s">
        <v>43</v>
      </c>
      <c r="C557" t="s">
        <v>46</v>
      </c>
      <c r="D557">
        <v>0</v>
      </c>
      <c r="E557" t="s">
        <v>42</v>
      </c>
      <c r="F557" t="s">
        <v>45</v>
      </c>
    </row>
    <row r="558" spans="1:6" hidden="1" x14ac:dyDescent="0.35">
      <c r="A558" t="s">
        <v>60</v>
      </c>
      <c r="B558" t="s">
        <v>43</v>
      </c>
      <c r="C558" t="s">
        <v>46</v>
      </c>
      <c r="D558">
        <v>0</v>
      </c>
      <c r="E558" t="s">
        <v>42</v>
      </c>
      <c r="F558" t="s">
        <v>45</v>
      </c>
    </row>
    <row r="559" spans="1:6" hidden="1" x14ac:dyDescent="0.35">
      <c r="A559" t="s">
        <v>61</v>
      </c>
      <c r="B559" t="s">
        <v>43</v>
      </c>
      <c r="C559" t="s">
        <v>46</v>
      </c>
      <c r="D559">
        <v>0</v>
      </c>
      <c r="E559" t="s">
        <v>42</v>
      </c>
      <c r="F559" t="s">
        <v>45</v>
      </c>
    </row>
    <row r="560" spans="1:6" hidden="1" x14ac:dyDescent="0.35">
      <c r="A560" t="s">
        <v>62</v>
      </c>
      <c r="B560" t="s">
        <v>43</v>
      </c>
      <c r="C560" t="s">
        <v>46</v>
      </c>
      <c r="D560">
        <v>0</v>
      </c>
      <c r="E560" t="s">
        <v>42</v>
      </c>
      <c r="F560" t="s">
        <v>45</v>
      </c>
    </row>
    <row r="561" spans="1:6" hidden="1" x14ac:dyDescent="0.35">
      <c r="A561" t="s">
        <v>63</v>
      </c>
      <c r="B561" t="s">
        <v>43</v>
      </c>
      <c r="C561" t="s">
        <v>46</v>
      </c>
      <c r="D561">
        <v>0</v>
      </c>
      <c r="E561" t="s">
        <v>42</v>
      </c>
      <c r="F561" t="s">
        <v>45</v>
      </c>
    </row>
    <row r="562" spans="1:6" hidden="1" x14ac:dyDescent="0.35">
      <c r="A562" t="s">
        <v>64</v>
      </c>
      <c r="B562" t="s">
        <v>43</v>
      </c>
      <c r="C562" t="s">
        <v>46</v>
      </c>
      <c r="D562">
        <v>0</v>
      </c>
      <c r="E562" t="s">
        <v>42</v>
      </c>
      <c r="F562" t="s">
        <v>45</v>
      </c>
    </row>
    <row r="563" spans="1:6" hidden="1" x14ac:dyDescent="0.35">
      <c r="A563" t="s">
        <v>65</v>
      </c>
      <c r="B563" t="s">
        <v>43</v>
      </c>
      <c r="C563" t="s">
        <v>46</v>
      </c>
      <c r="D563">
        <v>0</v>
      </c>
      <c r="E563" t="s">
        <v>42</v>
      </c>
      <c r="F563" t="s">
        <v>45</v>
      </c>
    </row>
    <row r="564" spans="1:6" hidden="1" x14ac:dyDescent="0.35">
      <c r="A564" t="s">
        <v>66</v>
      </c>
      <c r="B564" t="s">
        <v>43</v>
      </c>
      <c r="C564" t="s">
        <v>46</v>
      </c>
      <c r="D564">
        <v>0</v>
      </c>
      <c r="E564" t="s">
        <v>42</v>
      </c>
      <c r="F564" t="s">
        <v>45</v>
      </c>
    </row>
    <row r="565" spans="1:6" hidden="1" x14ac:dyDescent="0.35">
      <c r="A565" t="s">
        <v>67</v>
      </c>
      <c r="B565" t="s">
        <v>43</v>
      </c>
      <c r="C565" t="s">
        <v>46</v>
      </c>
      <c r="D565">
        <v>0</v>
      </c>
      <c r="E565" t="s">
        <v>42</v>
      </c>
      <c r="F565" t="s">
        <v>45</v>
      </c>
    </row>
    <row r="566" spans="1:6" hidden="1" x14ac:dyDescent="0.35">
      <c r="A566" t="s">
        <v>57</v>
      </c>
      <c r="B566" t="s">
        <v>43</v>
      </c>
      <c r="C566" t="s">
        <v>24</v>
      </c>
      <c r="D566">
        <v>0</v>
      </c>
      <c r="E566" t="s">
        <v>42</v>
      </c>
      <c r="F566" t="s">
        <v>45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42</v>
      </c>
      <c r="F567" t="s">
        <v>45</v>
      </c>
    </row>
    <row r="568" spans="1:6" hidden="1" x14ac:dyDescent="0.35">
      <c r="A568" t="s">
        <v>58</v>
      </c>
      <c r="B568" t="s">
        <v>43</v>
      </c>
      <c r="C568" t="s">
        <v>24</v>
      </c>
      <c r="D568">
        <v>0</v>
      </c>
      <c r="E568" t="s">
        <v>42</v>
      </c>
      <c r="F568" t="s">
        <v>45</v>
      </c>
    </row>
    <row r="569" spans="1:6" hidden="1" x14ac:dyDescent="0.35">
      <c r="A569" t="s">
        <v>59</v>
      </c>
      <c r="B569" t="s">
        <v>43</v>
      </c>
      <c r="C569" t="s">
        <v>24</v>
      </c>
      <c r="D569">
        <v>0</v>
      </c>
      <c r="E569" t="s">
        <v>42</v>
      </c>
      <c r="F569" t="s">
        <v>45</v>
      </c>
    </row>
    <row r="570" spans="1:6" hidden="1" x14ac:dyDescent="0.35">
      <c r="A570" t="s">
        <v>60</v>
      </c>
      <c r="B570" t="s">
        <v>43</v>
      </c>
      <c r="C570" t="s">
        <v>24</v>
      </c>
      <c r="D570">
        <v>0</v>
      </c>
      <c r="E570" t="s">
        <v>42</v>
      </c>
      <c r="F570" t="s">
        <v>45</v>
      </c>
    </row>
    <row r="571" spans="1:6" hidden="1" x14ac:dyDescent="0.35">
      <c r="A571" t="s">
        <v>61</v>
      </c>
      <c r="B571" t="s">
        <v>43</v>
      </c>
      <c r="C571" t="s">
        <v>24</v>
      </c>
      <c r="D571">
        <v>0</v>
      </c>
      <c r="E571" t="s">
        <v>42</v>
      </c>
      <c r="F571" t="s">
        <v>45</v>
      </c>
    </row>
    <row r="572" spans="1:6" hidden="1" x14ac:dyDescent="0.35">
      <c r="A572" t="s">
        <v>62</v>
      </c>
      <c r="B572" t="s">
        <v>43</v>
      </c>
      <c r="C572" t="s">
        <v>24</v>
      </c>
      <c r="D572">
        <v>0</v>
      </c>
      <c r="E572" t="s">
        <v>42</v>
      </c>
      <c r="F572" t="s">
        <v>45</v>
      </c>
    </row>
    <row r="573" spans="1:6" hidden="1" x14ac:dyDescent="0.35">
      <c r="A573" t="s">
        <v>63</v>
      </c>
      <c r="B573" t="s">
        <v>43</v>
      </c>
      <c r="C573" t="s">
        <v>24</v>
      </c>
      <c r="D573">
        <v>0</v>
      </c>
      <c r="E573" t="s">
        <v>42</v>
      </c>
      <c r="F573" t="s">
        <v>45</v>
      </c>
    </row>
    <row r="574" spans="1:6" hidden="1" x14ac:dyDescent="0.35">
      <c r="A574" t="s">
        <v>64</v>
      </c>
      <c r="B574" t="s">
        <v>43</v>
      </c>
      <c r="C574" t="s">
        <v>24</v>
      </c>
      <c r="D574">
        <v>0</v>
      </c>
      <c r="E574" t="s">
        <v>42</v>
      </c>
      <c r="F574" t="s">
        <v>45</v>
      </c>
    </row>
    <row r="575" spans="1:6" hidden="1" x14ac:dyDescent="0.35">
      <c r="A575" t="s">
        <v>65</v>
      </c>
      <c r="B575" t="s">
        <v>43</v>
      </c>
      <c r="C575" t="s">
        <v>24</v>
      </c>
      <c r="D575">
        <v>0</v>
      </c>
      <c r="E575" t="s">
        <v>42</v>
      </c>
      <c r="F575" t="s">
        <v>45</v>
      </c>
    </row>
    <row r="576" spans="1:6" hidden="1" x14ac:dyDescent="0.35">
      <c r="A576" t="s">
        <v>66</v>
      </c>
      <c r="B576" t="s">
        <v>43</v>
      </c>
      <c r="C576" t="s">
        <v>24</v>
      </c>
      <c r="D576">
        <v>0</v>
      </c>
      <c r="E576" t="s">
        <v>42</v>
      </c>
      <c r="F576" t="s">
        <v>45</v>
      </c>
    </row>
    <row r="577" spans="1:6" hidden="1" x14ac:dyDescent="0.35">
      <c r="A577" t="s">
        <v>67</v>
      </c>
      <c r="B577" t="s">
        <v>43</v>
      </c>
      <c r="C577" t="s">
        <v>24</v>
      </c>
      <c r="D577">
        <v>0</v>
      </c>
      <c r="E577" t="s">
        <v>42</v>
      </c>
      <c r="F577" t="s">
        <v>45</v>
      </c>
    </row>
    <row r="578" spans="1:6" hidden="1" x14ac:dyDescent="0.35">
      <c r="A578" t="s">
        <v>57</v>
      </c>
      <c r="B578" t="s">
        <v>43</v>
      </c>
      <c r="C578" t="s">
        <v>47</v>
      </c>
      <c r="D578">
        <v>0</v>
      </c>
      <c r="E578" t="s">
        <v>42</v>
      </c>
      <c r="F578" t="s">
        <v>45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42</v>
      </c>
      <c r="F579" t="s">
        <v>45</v>
      </c>
    </row>
    <row r="580" spans="1:6" hidden="1" x14ac:dyDescent="0.35">
      <c r="A580" t="s">
        <v>58</v>
      </c>
      <c r="B580" t="s">
        <v>43</v>
      </c>
      <c r="C580" t="s">
        <v>47</v>
      </c>
      <c r="D580">
        <v>0</v>
      </c>
      <c r="E580" t="s">
        <v>42</v>
      </c>
      <c r="F580" t="s">
        <v>45</v>
      </c>
    </row>
    <row r="581" spans="1:6" hidden="1" x14ac:dyDescent="0.35">
      <c r="A581" t="s">
        <v>59</v>
      </c>
      <c r="B581" t="s">
        <v>43</v>
      </c>
      <c r="C581" t="s">
        <v>47</v>
      </c>
      <c r="D581">
        <v>0</v>
      </c>
      <c r="E581" t="s">
        <v>42</v>
      </c>
      <c r="F581" t="s">
        <v>45</v>
      </c>
    </row>
    <row r="582" spans="1:6" hidden="1" x14ac:dyDescent="0.35">
      <c r="A582" t="s">
        <v>60</v>
      </c>
      <c r="B582" t="s">
        <v>43</v>
      </c>
      <c r="C582" t="s">
        <v>47</v>
      </c>
      <c r="D582">
        <v>0</v>
      </c>
      <c r="E582" t="s">
        <v>42</v>
      </c>
      <c r="F582" t="s">
        <v>45</v>
      </c>
    </row>
    <row r="583" spans="1:6" hidden="1" x14ac:dyDescent="0.35">
      <c r="A583" t="s">
        <v>61</v>
      </c>
      <c r="B583" t="s">
        <v>43</v>
      </c>
      <c r="C583" t="s">
        <v>47</v>
      </c>
      <c r="D583">
        <v>0</v>
      </c>
      <c r="E583" t="s">
        <v>42</v>
      </c>
      <c r="F583" t="s">
        <v>45</v>
      </c>
    </row>
    <row r="584" spans="1:6" hidden="1" x14ac:dyDescent="0.35">
      <c r="A584" t="s">
        <v>62</v>
      </c>
      <c r="B584" t="s">
        <v>43</v>
      </c>
      <c r="C584" t="s">
        <v>47</v>
      </c>
      <c r="D584">
        <v>0</v>
      </c>
      <c r="E584" t="s">
        <v>42</v>
      </c>
      <c r="F584" t="s">
        <v>45</v>
      </c>
    </row>
    <row r="585" spans="1:6" hidden="1" x14ac:dyDescent="0.35">
      <c r="A585" t="s">
        <v>63</v>
      </c>
      <c r="B585" t="s">
        <v>43</v>
      </c>
      <c r="C585" t="s">
        <v>47</v>
      </c>
      <c r="D585">
        <v>0</v>
      </c>
      <c r="E585" t="s">
        <v>42</v>
      </c>
      <c r="F585" t="s">
        <v>45</v>
      </c>
    </row>
    <row r="586" spans="1:6" hidden="1" x14ac:dyDescent="0.35">
      <c r="A586" t="s">
        <v>64</v>
      </c>
      <c r="B586" t="s">
        <v>43</v>
      </c>
      <c r="C586" t="s">
        <v>47</v>
      </c>
      <c r="D586">
        <v>0</v>
      </c>
      <c r="E586" t="s">
        <v>42</v>
      </c>
      <c r="F586" t="s">
        <v>45</v>
      </c>
    </row>
    <row r="587" spans="1:6" hidden="1" x14ac:dyDescent="0.35">
      <c r="A587" t="s">
        <v>65</v>
      </c>
      <c r="B587" t="s">
        <v>43</v>
      </c>
      <c r="C587" t="s">
        <v>47</v>
      </c>
      <c r="D587">
        <v>0</v>
      </c>
      <c r="E587" t="s">
        <v>42</v>
      </c>
      <c r="F587" t="s">
        <v>45</v>
      </c>
    </row>
    <row r="588" spans="1:6" hidden="1" x14ac:dyDescent="0.35">
      <c r="A588" t="s">
        <v>66</v>
      </c>
      <c r="B588" t="s">
        <v>43</v>
      </c>
      <c r="C588" t="s">
        <v>47</v>
      </c>
      <c r="D588">
        <v>0</v>
      </c>
      <c r="E588" t="s">
        <v>42</v>
      </c>
      <c r="F588" t="s">
        <v>45</v>
      </c>
    </row>
    <row r="589" spans="1:6" hidden="1" x14ac:dyDescent="0.35">
      <c r="A589" t="s">
        <v>67</v>
      </c>
      <c r="B589" t="s">
        <v>43</v>
      </c>
      <c r="C589" t="s">
        <v>47</v>
      </c>
      <c r="D589">
        <v>0</v>
      </c>
      <c r="E589" t="s">
        <v>42</v>
      </c>
      <c r="F589" t="s">
        <v>45</v>
      </c>
    </row>
    <row r="590" spans="1:6" hidden="1" x14ac:dyDescent="0.35">
      <c r="A590" t="s">
        <v>57</v>
      </c>
      <c r="B590" t="s">
        <v>43</v>
      </c>
      <c r="C590" t="s">
        <v>48</v>
      </c>
      <c r="D590">
        <v>0</v>
      </c>
      <c r="E590" t="s">
        <v>42</v>
      </c>
      <c r="F590" t="s">
        <v>45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42</v>
      </c>
      <c r="F591" t="s">
        <v>45</v>
      </c>
    </row>
    <row r="592" spans="1:6" hidden="1" x14ac:dyDescent="0.35">
      <c r="A592" t="s">
        <v>58</v>
      </c>
      <c r="B592" t="s">
        <v>43</v>
      </c>
      <c r="C592" t="s">
        <v>48</v>
      </c>
      <c r="D592">
        <v>0</v>
      </c>
      <c r="E592" t="s">
        <v>42</v>
      </c>
      <c r="F592" t="s">
        <v>45</v>
      </c>
    </row>
    <row r="593" spans="1:6" hidden="1" x14ac:dyDescent="0.35">
      <c r="A593" t="s">
        <v>59</v>
      </c>
      <c r="B593" t="s">
        <v>43</v>
      </c>
      <c r="C593" t="s">
        <v>48</v>
      </c>
      <c r="D593">
        <v>0</v>
      </c>
      <c r="E593" t="s">
        <v>42</v>
      </c>
      <c r="F593" t="s">
        <v>45</v>
      </c>
    </row>
    <row r="594" spans="1:6" hidden="1" x14ac:dyDescent="0.35">
      <c r="A594" t="s">
        <v>60</v>
      </c>
      <c r="B594" t="s">
        <v>43</v>
      </c>
      <c r="C594" t="s">
        <v>48</v>
      </c>
      <c r="D594">
        <v>0</v>
      </c>
      <c r="E594" t="s">
        <v>42</v>
      </c>
      <c r="F594" t="s">
        <v>45</v>
      </c>
    </row>
    <row r="595" spans="1:6" hidden="1" x14ac:dyDescent="0.35">
      <c r="A595" t="s">
        <v>61</v>
      </c>
      <c r="B595" t="s">
        <v>43</v>
      </c>
      <c r="C595" t="s">
        <v>48</v>
      </c>
      <c r="D595">
        <v>0</v>
      </c>
      <c r="E595" t="s">
        <v>42</v>
      </c>
      <c r="F595" t="s">
        <v>45</v>
      </c>
    </row>
    <row r="596" spans="1:6" hidden="1" x14ac:dyDescent="0.35">
      <c r="A596" t="s">
        <v>62</v>
      </c>
      <c r="B596" t="s">
        <v>43</v>
      </c>
      <c r="C596" t="s">
        <v>48</v>
      </c>
      <c r="D596">
        <v>0</v>
      </c>
      <c r="E596" t="s">
        <v>42</v>
      </c>
      <c r="F596" t="s">
        <v>45</v>
      </c>
    </row>
    <row r="597" spans="1:6" hidden="1" x14ac:dyDescent="0.35">
      <c r="A597" t="s">
        <v>63</v>
      </c>
      <c r="B597" t="s">
        <v>43</v>
      </c>
      <c r="C597" t="s">
        <v>48</v>
      </c>
      <c r="D597">
        <v>0</v>
      </c>
      <c r="E597" t="s">
        <v>42</v>
      </c>
      <c r="F597" t="s">
        <v>45</v>
      </c>
    </row>
    <row r="598" spans="1:6" hidden="1" x14ac:dyDescent="0.35">
      <c r="A598" t="s">
        <v>64</v>
      </c>
      <c r="B598" t="s">
        <v>43</v>
      </c>
      <c r="C598" t="s">
        <v>48</v>
      </c>
      <c r="D598">
        <v>0</v>
      </c>
      <c r="E598" t="s">
        <v>42</v>
      </c>
      <c r="F598" t="s">
        <v>45</v>
      </c>
    </row>
    <row r="599" spans="1:6" hidden="1" x14ac:dyDescent="0.35">
      <c r="A599" t="s">
        <v>65</v>
      </c>
      <c r="B599" t="s">
        <v>43</v>
      </c>
      <c r="C599" t="s">
        <v>48</v>
      </c>
      <c r="D599">
        <v>0</v>
      </c>
      <c r="E599" t="s">
        <v>42</v>
      </c>
      <c r="F599" t="s">
        <v>45</v>
      </c>
    </row>
    <row r="600" spans="1:6" hidden="1" x14ac:dyDescent="0.35">
      <c r="A600" t="s">
        <v>66</v>
      </c>
      <c r="B600" t="s">
        <v>43</v>
      </c>
      <c r="C600" t="s">
        <v>48</v>
      </c>
      <c r="D600">
        <v>0</v>
      </c>
      <c r="E600" t="s">
        <v>42</v>
      </c>
      <c r="F600" t="s">
        <v>45</v>
      </c>
    </row>
    <row r="601" spans="1:6" hidden="1" x14ac:dyDescent="0.35">
      <c r="A601" t="s">
        <v>67</v>
      </c>
      <c r="B601" t="s">
        <v>43</v>
      </c>
      <c r="C601" t="s">
        <v>48</v>
      </c>
      <c r="D601">
        <v>0</v>
      </c>
      <c r="E601" t="s">
        <v>42</v>
      </c>
      <c r="F601" t="s">
        <v>45</v>
      </c>
    </row>
    <row r="602" spans="1:6" hidden="1" x14ac:dyDescent="0.35">
      <c r="A602" t="s">
        <v>57</v>
      </c>
      <c r="B602" t="s">
        <v>43</v>
      </c>
      <c r="C602" t="s">
        <v>49</v>
      </c>
      <c r="D602">
        <v>0</v>
      </c>
      <c r="E602" t="s">
        <v>42</v>
      </c>
      <c r="F602" t="s">
        <v>45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0</v>
      </c>
      <c r="E603" t="s">
        <v>42</v>
      </c>
      <c r="F603" t="s">
        <v>45</v>
      </c>
    </row>
    <row r="604" spans="1:6" hidden="1" x14ac:dyDescent="0.35">
      <c r="A604" t="s">
        <v>58</v>
      </c>
      <c r="B604" t="s">
        <v>43</v>
      </c>
      <c r="C604" t="s">
        <v>49</v>
      </c>
      <c r="D604">
        <v>0</v>
      </c>
      <c r="E604" t="s">
        <v>42</v>
      </c>
      <c r="F604" t="s">
        <v>45</v>
      </c>
    </row>
    <row r="605" spans="1:6" hidden="1" x14ac:dyDescent="0.35">
      <c r="A605" t="s">
        <v>59</v>
      </c>
      <c r="B605" t="s">
        <v>43</v>
      </c>
      <c r="C605" t="s">
        <v>49</v>
      </c>
      <c r="D605">
        <v>0</v>
      </c>
      <c r="E605" t="s">
        <v>42</v>
      </c>
      <c r="F605" t="s">
        <v>45</v>
      </c>
    </row>
    <row r="606" spans="1:6" hidden="1" x14ac:dyDescent="0.35">
      <c r="A606" t="s">
        <v>60</v>
      </c>
      <c r="B606" t="s">
        <v>43</v>
      </c>
      <c r="C606" t="s">
        <v>49</v>
      </c>
      <c r="D606">
        <v>0</v>
      </c>
      <c r="E606" t="s">
        <v>42</v>
      </c>
      <c r="F606" t="s">
        <v>45</v>
      </c>
    </row>
    <row r="607" spans="1:6" hidden="1" x14ac:dyDescent="0.35">
      <c r="A607" t="s">
        <v>61</v>
      </c>
      <c r="B607" t="s">
        <v>43</v>
      </c>
      <c r="C607" t="s">
        <v>49</v>
      </c>
      <c r="D607">
        <v>0</v>
      </c>
      <c r="E607" t="s">
        <v>42</v>
      </c>
      <c r="F607" t="s">
        <v>45</v>
      </c>
    </row>
    <row r="608" spans="1:6" hidden="1" x14ac:dyDescent="0.35">
      <c r="A608" t="s">
        <v>62</v>
      </c>
      <c r="B608" t="s">
        <v>43</v>
      </c>
      <c r="C608" t="s">
        <v>49</v>
      </c>
      <c r="D608">
        <v>0</v>
      </c>
      <c r="E608" t="s">
        <v>42</v>
      </c>
      <c r="F608" t="s">
        <v>45</v>
      </c>
    </row>
    <row r="609" spans="1:6" hidden="1" x14ac:dyDescent="0.35">
      <c r="A609" t="s">
        <v>63</v>
      </c>
      <c r="B609" t="s">
        <v>43</v>
      </c>
      <c r="C609" t="s">
        <v>49</v>
      </c>
      <c r="D609">
        <v>0</v>
      </c>
      <c r="E609" t="s">
        <v>42</v>
      </c>
      <c r="F609" t="s">
        <v>45</v>
      </c>
    </row>
    <row r="610" spans="1:6" hidden="1" x14ac:dyDescent="0.35">
      <c r="A610" t="s">
        <v>64</v>
      </c>
      <c r="B610" t="s">
        <v>43</v>
      </c>
      <c r="C610" t="s">
        <v>49</v>
      </c>
      <c r="D610">
        <v>0</v>
      </c>
      <c r="E610" t="s">
        <v>42</v>
      </c>
      <c r="F610" t="s">
        <v>45</v>
      </c>
    </row>
    <row r="611" spans="1:6" hidden="1" x14ac:dyDescent="0.35">
      <c r="A611" t="s">
        <v>65</v>
      </c>
      <c r="B611" t="s">
        <v>43</v>
      </c>
      <c r="C611" t="s">
        <v>49</v>
      </c>
      <c r="D611">
        <v>0</v>
      </c>
      <c r="E611" t="s">
        <v>42</v>
      </c>
      <c r="F611" t="s">
        <v>45</v>
      </c>
    </row>
    <row r="612" spans="1:6" hidden="1" x14ac:dyDescent="0.35">
      <c r="A612" t="s">
        <v>66</v>
      </c>
      <c r="B612" t="s">
        <v>43</v>
      </c>
      <c r="C612" t="s">
        <v>49</v>
      </c>
      <c r="D612">
        <v>0</v>
      </c>
      <c r="E612" t="s">
        <v>42</v>
      </c>
      <c r="F612" t="s">
        <v>45</v>
      </c>
    </row>
    <row r="613" spans="1:6" hidden="1" x14ac:dyDescent="0.35">
      <c r="A613" t="s">
        <v>67</v>
      </c>
      <c r="B613" t="s">
        <v>43</v>
      </c>
      <c r="C613" t="s">
        <v>49</v>
      </c>
      <c r="D613">
        <v>0</v>
      </c>
      <c r="E613" t="s">
        <v>42</v>
      </c>
      <c r="F613" t="s">
        <v>45</v>
      </c>
    </row>
    <row r="614" spans="1:6" hidden="1" x14ac:dyDescent="0.35">
      <c r="A614" t="s">
        <v>57</v>
      </c>
      <c r="B614" t="s">
        <v>43</v>
      </c>
      <c r="C614" t="s">
        <v>50</v>
      </c>
      <c r="D614">
        <v>0</v>
      </c>
      <c r="E614" t="s">
        <v>42</v>
      </c>
      <c r="F614" t="s">
        <v>45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42</v>
      </c>
      <c r="F615" t="s">
        <v>45</v>
      </c>
    </row>
    <row r="616" spans="1:6" hidden="1" x14ac:dyDescent="0.35">
      <c r="A616" t="s">
        <v>58</v>
      </c>
      <c r="B616" t="s">
        <v>43</v>
      </c>
      <c r="C616" t="s">
        <v>50</v>
      </c>
      <c r="D616">
        <v>0</v>
      </c>
      <c r="E616" t="s">
        <v>42</v>
      </c>
      <c r="F616" t="s">
        <v>45</v>
      </c>
    </row>
    <row r="617" spans="1:6" hidden="1" x14ac:dyDescent="0.35">
      <c r="A617" t="s">
        <v>59</v>
      </c>
      <c r="B617" t="s">
        <v>43</v>
      </c>
      <c r="C617" t="s">
        <v>50</v>
      </c>
      <c r="D617">
        <v>0</v>
      </c>
      <c r="E617" t="s">
        <v>42</v>
      </c>
      <c r="F617" t="s">
        <v>45</v>
      </c>
    </row>
    <row r="618" spans="1:6" hidden="1" x14ac:dyDescent="0.35">
      <c r="A618" t="s">
        <v>60</v>
      </c>
      <c r="B618" t="s">
        <v>43</v>
      </c>
      <c r="C618" t="s">
        <v>50</v>
      </c>
      <c r="D618">
        <v>0</v>
      </c>
      <c r="E618" t="s">
        <v>42</v>
      </c>
      <c r="F618" t="s">
        <v>45</v>
      </c>
    </row>
    <row r="619" spans="1:6" hidden="1" x14ac:dyDescent="0.35">
      <c r="A619" t="s">
        <v>61</v>
      </c>
      <c r="B619" t="s">
        <v>43</v>
      </c>
      <c r="C619" t="s">
        <v>50</v>
      </c>
      <c r="D619">
        <v>0</v>
      </c>
      <c r="E619" t="s">
        <v>42</v>
      </c>
      <c r="F619" t="s">
        <v>45</v>
      </c>
    </row>
    <row r="620" spans="1:6" hidden="1" x14ac:dyDescent="0.35">
      <c r="A620" t="s">
        <v>62</v>
      </c>
      <c r="B620" t="s">
        <v>43</v>
      </c>
      <c r="C620" t="s">
        <v>50</v>
      </c>
      <c r="D620">
        <v>0</v>
      </c>
      <c r="E620" t="s">
        <v>42</v>
      </c>
      <c r="F620" t="s">
        <v>45</v>
      </c>
    </row>
    <row r="621" spans="1:6" hidden="1" x14ac:dyDescent="0.35">
      <c r="A621" t="s">
        <v>63</v>
      </c>
      <c r="B621" t="s">
        <v>43</v>
      </c>
      <c r="C621" t="s">
        <v>50</v>
      </c>
      <c r="D621">
        <v>0</v>
      </c>
      <c r="E621" t="s">
        <v>42</v>
      </c>
      <c r="F621" t="s">
        <v>45</v>
      </c>
    </row>
    <row r="622" spans="1:6" hidden="1" x14ac:dyDescent="0.35">
      <c r="A622" t="s">
        <v>64</v>
      </c>
      <c r="B622" t="s">
        <v>43</v>
      </c>
      <c r="C622" t="s">
        <v>50</v>
      </c>
      <c r="D622">
        <v>0</v>
      </c>
      <c r="E622" t="s">
        <v>42</v>
      </c>
      <c r="F622" t="s">
        <v>45</v>
      </c>
    </row>
    <row r="623" spans="1:6" hidden="1" x14ac:dyDescent="0.35">
      <c r="A623" t="s">
        <v>65</v>
      </c>
      <c r="B623" t="s">
        <v>43</v>
      </c>
      <c r="C623" t="s">
        <v>50</v>
      </c>
      <c r="D623">
        <v>0</v>
      </c>
      <c r="E623" t="s">
        <v>42</v>
      </c>
      <c r="F623" t="s">
        <v>45</v>
      </c>
    </row>
    <row r="624" spans="1:6" hidden="1" x14ac:dyDescent="0.35">
      <c r="A624" t="s">
        <v>66</v>
      </c>
      <c r="B624" t="s">
        <v>43</v>
      </c>
      <c r="C624" t="s">
        <v>50</v>
      </c>
      <c r="D624">
        <v>0</v>
      </c>
      <c r="E624" t="s">
        <v>42</v>
      </c>
      <c r="F624" t="s">
        <v>45</v>
      </c>
    </row>
    <row r="625" spans="1:6" hidden="1" x14ac:dyDescent="0.35">
      <c r="A625" t="s">
        <v>67</v>
      </c>
      <c r="B625" t="s">
        <v>43</v>
      </c>
      <c r="C625" t="s">
        <v>50</v>
      </c>
      <c r="D625">
        <v>0</v>
      </c>
      <c r="E625" t="s">
        <v>42</v>
      </c>
      <c r="F625" t="s">
        <v>45</v>
      </c>
    </row>
    <row r="626" spans="1:6" hidden="1" x14ac:dyDescent="0.35">
      <c r="A626" t="s">
        <v>57</v>
      </c>
      <c r="B626" t="s">
        <v>43</v>
      </c>
      <c r="C626" t="s">
        <v>51</v>
      </c>
      <c r="D626">
        <v>0</v>
      </c>
      <c r="E626" t="s">
        <v>42</v>
      </c>
      <c r="F626" t="s">
        <v>45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0</v>
      </c>
      <c r="E627" t="s">
        <v>42</v>
      </c>
      <c r="F627" t="s">
        <v>45</v>
      </c>
    </row>
    <row r="628" spans="1:6" hidden="1" x14ac:dyDescent="0.35">
      <c r="A628" t="s">
        <v>58</v>
      </c>
      <c r="B628" t="s">
        <v>43</v>
      </c>
      <c r="C628" t="s">
        <v>51</v>
      </c>
      <c r="D628">
        <v>0</v>
      </c>
      <c r="E628" t="s">
        <v>42</v>
      </c>
      <c r="F628" t="s">
        <v>45</v>
      </c>
    </row>
    <row r="629" spans="1:6" hidden="1" x14ac:dyDescent="0.35">
      <c r="A629" t="s">
        <v>59</v>
      </c>
      <c r="B629" t="s">
        <v>43</v>
      </c>
      <c r="C629" t="s">
        <v>51</v>
      </c>
      <c r="D629">
        <v>1</v>
      </c>
      <c r="E629" t="s">
        <v>42</v>
      </c>
      <c r="F629" t="s">
        <v>45</v>
      </c>
    </row>
    <row r="630" spans="1:6" hidden="1" x14ac:dyDescent="0.35">
      <c r="A630" t="s">
        <v>60</v>
      </c>
      <c r="B630" t="s">
        <v>43</v>
      </c>
      <c r="C630" t="s">
        <v>51</v>
      </c>
      <c r="D630">
        <v>0</v>
      </c>
      <c r="E630" t="s">
        <v>42</v>
      </c>
      <c r="F630" t="s">
        <v>45</v>
      </c>
    </row>
    <row r="631" spans="1:6" hidden="1" x14ac:dyDescent="0.35">
      <c r="A631" t="s">
        <v>61</v>
      </c>
      <c r="B631" t="s">
        <v>43</v>
      </c>
      <c r="C631" t="s">
        <v>51</v>
      </c>
      <c r="D631">
        <v>0</v>
      </c>
      <c r="E631" t="s">
        <v>42</v>
      </c>
      <c r="F631" t="s">
        <v>45</v>
      </c>
    </row>
    <row r="632" spans="1:6" hidden="1" x14ac:dyDescent="0.35">
      <c r="A632" t="s">
        <v>62</v>
      </c>
      <c r="B632" t="s">
        <v>43</v>
      </c>
      <c r="C632" t="s">
        <v>51</v>
      </c>
      <c r="D632">
        <v>1</v>
      </c>
      <c r="E632" t="s">
        <v>42</v>
      </c>
      <c r="F632" t="s">
        <v>45</v>
      </c>
    </row>
    <row r="633" spans="1:6" hidden="1" x14ac:dyDescent="0.35">
      <c r="A633" t="s">
        <v>63</v>
      </c>
      <c r="B633" t="s">
        <v>43</v>
      </c>
      <c r="C633" t="s">
        <v>51</v>
      </c>
      <c r="D633">
        <v>0</v>
      </c>
      <c r="E633" t="s">
        <v>42</v>
      </c>
      <c r="F633" t="s">
        <v>45</v>
      </c>
    </row>
    <row r="634" spans="1:6" hidden="1" x14ac:dyDescent="0.35">
      <c r="A634" t="s">
        <v>64</v>
      </c>
      <c r="B634" t="s">
        <v>43</v>
      </c>
      <c r="C634" t="s">
        <v>51</v>
      </c>
      <c r="D634">
        <v>0</v>
      </c>
      <c r="E634" t="s">
        <v>42</v>
      </c>
      <c r="F634" t="s">
        <v>45</v>
      </c>
    </row>
    <row r="635" spans="1:6" hidden="1" x14ac:dyDescent="0.35">
      <c r="A635" t="s">
        <v>65</v>
      </c>
      <c r="B635" t="s">
        <v>43</v>
      </c>
      <c r="C635" t="s">
        <v>51</v>
      </c>
      <c r="D635">
        <v>1</v>
      </c>
      <c r="E635" t="s">
        <v>42</v>
      </c>
      <c r="F635" t="s">
        <v>45</v>
      </c>
    </row>
    <row r="636" spans="1:6" hidden="1" x14ac:dyDescent="0.35">
      <c r="A636" t="s">
        <v>66</v>
      </c>
      <c r="B636" t="s">
        <v>43</v>
      </c>
      <c r="C636" t="s">
        <v>51</v>
      </c>
      <c r="D636">
        <v>3</v>
      </c>
      <c r="E636" t="s">
        <v>42</v>
      </c>
      <c r="F636" t="s">
        <v>45</v>
      </c>
    </row>
    <row r="637" spans="1:6" hidden="1" x14ac:dyDescent="0.35">
      <c r="A637" t="s">
        <v>67</v>
      </c>
      <c r="B637" t="s">
        <v>43</v>
      </c>
      <c r="C637" t="s">
        <v>51</v>
      </c>
      <c r="D637">
        <v>5</v>
      </c>
      <c r="E637" t="s">
        <v>42</v>
      </c>
      <c r="F637" t="s">
        <v>45</v>
      </c>
    </row>
    <row r="638" spans="1:6" hidden="1" x14ac:dyDescent="0.35">
      <c r="A638" t="s">
        <v>57</v>
      </c>
      <c r="B638" t="s">
        <v>43</v>
      </c>
      <c r="C638" t="s">
        <v>30</v>
      </c>
      <c r="D638">
        <v>0</v>
      </c>
      <c r="E638" t="s">
        <v>42</v>
      </c>
      <c r="F638" t="s">
        <v>45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0</v>
      </c>
      <c r="E639" t="s">
        <v>42</v>
      </c>
      <c r="F639" t="s">
        <v>45</v>
      </c>
    </row>
    <row r="640" spans="1:6" hidden="1" x14ac:dyDescent="0.35">
      <c r="A640" t="s">
        <v>58</v>
      </c>
      <c r="B640" t="s">
        <v>43</v>
      </c>
      <c r="C640" t="s">
        <v>30</v>
      </c>
      <c r="D640">
        <v>0</v>
      </c>
      <c r="E640" t="s">
        <v>42</v>
      </c>
      <c r="F640" t="s">
        <v>45</v>
      </c>
    </row>
    <row r="641" spans="1:6" hidden="1" x14ac:dyDescent="0.35">
      <c r="A641" t="s">
        <v>59</v>
      </c>
      <c r="B641" t="s">
        <v>43</v>
      </c>
      <c r="C641" t="s">
        <v>30</v>
      </c>
      <c r="D641">
        <v>0</v>
      </c>
      <c r="E641" t="s">
        <v>42</v>
      </c>
      <c r="F641" t="s">
        <v>45</v>
      </c>
    </row>
    <row r="642" spans="1:6" hidden="1" x14ac:dyDescent="0.35">
      <c r="A642" t="s">
        <v>60</v>
      </c>
      <c r="B642" t="s">
        <v>43</v>
      </c>
      <c r="C642" t="s">
        <v>30</v>
      </c>
      <c r="D642">
        <v>0</v>
      </c>
      <c r="E642" t="s">
        <v>42</v>
      </c>
      <c r="F642" t="s">
        <v>45</v>
      </c>
    </row>
    <row r="643" spans="1:6" hidden="1" x14ac:dyDescent="0.35">
      <c r="A643" t="s">
        <v>61</v>
      </c>
      <c r="B643" t="s">
        <v>43</v>
      </c>
      <c r="C643" t="s">
        <v>30</v>
      </c>
      <c r="D643">
        <v>0</v>
      </c>
      <c r="E643" t="s">
        <v>42</v>
      </c>
      <c r="F643" t="s">
        <v>45</v>
      </c>
    </row>
    <row r="644" spans="1:6" hidden="1" x14ac:dyDescent="0.35">
      <c r="A644" t="s">
        <v>62</v>
      </c>
      <c r="B644" t="s">
        <v>43</v>
      </c>
      <c r="C644" t="s">
        <v>30</v>
      </c>
      <c r="D644">
        <v>0</v>
      </c>
      <c r="E644" t="s">
        <v>42</v>
      </c>
      <c r="F644" t="s">
        <v>45</v>
      </c>
    </row>
    <row r="645" spans="1:6" hidden="1" x14ac:dyDescent="0.35">
      <c r="A645" t="s">
        <v>63</v>
      </c>
      <c r="B645" t="s">
        <v>43</v>
      </c>
      <c r="C645" t="s">
        <v>30</v>
      </c>
      <c r="D645">
        <v>0</v>
      </c>
      <c r="E645" t="s">
        <v>42</v>
      </c>
      <c r="F645" t="s">
        <v>45</v>
      </c>
    </row>
    <row r="646" spans="1:6" hidden="1" x14ac:dyDescent="0.35">
      <c r="A646" t="s">
        <v>64</v>
      </c>
      <c r="B646" t="s">
        <v>43</v>
      </c>
      <c r="C646" t="s">
        <v>30</v>
      </c>
      <c r="D646">
        <v>0</v>
      </c>
      <c r="E646" t="s">
        <v>42</v>
      </c>
      <c r="F646" t="s">
        <v>45</v>
      </c>
    </row>
    <row r="647" spans="1:6" hidden="1" x14ac:dyDescent="0.35">
      <c r="A647" t="s">
        <v>65</v>
      </c>
      <c r="B647" t="s">
        <v>43</v>
      </c>
      <c r="C647" t="s">
        <v>30</v>
      </c>
      <c r="D647">
        <v>0</v>
      </c>
      <c r="E647" t="s">
        <v>42</v>
      </c>
      <c r="F647" t="s">
        <v>45</v>
      </c>
    </row>
    <row r="648" spans="1:6" hidden="1" x14ac:dyDescent="0.35">
      <c r="A648" t="s">
        <v>66</v>
      </c>
      <c r="B648" t="s">
        <v>43</v>
      </c>
      <c r="C648" t="s">
        <v>30</v>
      </c>
      <c r="D648">
        <v>0</v>
      </c>
      <c r="E648" t="s">
        <v>42</v>
      </c>
      <c r="F648" t="s">
        <v>45</v>
      </c>
    </row>
    <row r="649" spans="1:6" hidden="1" x14ac:dyDescent="0.35">
      <c r="A649" t="s">
        <v>67</v>
      </c>
      <c r="B649" t="s">
        <v>43</v>
      </c>
      <c r="C649" t="s">
        <v>30</v>
      </c>
      <c r="D649">
        <v>0</v>
      </c>
      <c r="E649" t="s">
        <v>42</v>
      </c>
      <c r="F649" t="s">
        <v>45</v>
      </c>
    </row>
    <row r="650" spans="1:6" hidden="1" x14ac:dyDescent="0.35">
      <c r="A650" t="s">
        <v>57</v>
      </c>
      <c r="B650" t="s">
        <v>43</v>
      </c>
      <c r="C650" t="s">
        <v>52</v>
      </c>
      <c r="D650">
        <v>0</v>
      </c>
      <c r="E650" t="s">
        <v>42</v>
      </c>
      <c r="F650" t="s">
        <v>45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42</v>
      </c>
      <c r="F651" t="s">
        <v>45</v>
      </c>
    </row>
    <row r="652" spans="1:6" hidden="1" x14ac:dyDescent="0.35">
      <c r="A652" t="s">
        <v>58</v>
      </c>
      <c r="B652" t="s">
        <v>43</v>
      </c>
      <c r="C652" t="s">
        <v>52</v>
      </c>
      <c r="D652">
        <v>0</v>
      </c>
      <c r="E652" t="s">
        <v>42</v>
      </c>
      <c r="F652" t="s">
        <v>45</v>
      </c>
    </row>
    <row r="653" spans="1:6" hidden="1" x14ac:dyDescent="0.35">
      <c r="A653" t="s">
        <v>59</v>
      </c>
      <c r="B653" t="s">
        <v>43</v>
      </c>
      <c r="C653" t="s">
        <v>52</v>
      </c>
      <c r="D653">
        <v>0</v>
      </c>
      <c r="E653" t="s">
        <v>42</v>
      </c>
      <c r="F653" t="s">
        <v>45</v>
      </c>
    </row>
    <row r="654" spans="1:6" hidden="1" x14ac:dyDescent="0.35">
      <c r="A654" t="s">
        <v>60</v>
      </c>
      <c r="B654" t="s">
        <v>43</v>
      </c>
      <c r="C654" t="s">
        <v>52</v>
      </c>
      <c r="D654">
        <v>0</v>
      </c>
      <c r="E654" t="s">
        <v>42</v>
      </c>
      <c r="F654" t="s">
        <v>45</v>
      </c>
    </row>
    <row r="655" spans="1:6" hidden="1" x14ac:dyDescent="0.35">
      <c r="A655" t="s">
        <v>61</v>
      </c>
      <c r="B655" t="s">
        <v>43</v>
      </c>
      <c r="C655" t="s">
        <v>52</v>
      </c>
      <c r="D655">
        <v>0</v>
      </c>
      <c r="E655" t="s">
        <v>42</v>
      </c>
      <c r="F655" t="s">
        <v>45</v>
      </c>
    </row>
    <row r="656" spans="1:6" hidden="1" x14ac:dyDescent="0.35">
      <c r="A656" t="s">
        <v>62</v>
      </c>
      <c r="B656" t="s">
        <v>43</v>
      </c>
      <c r="C656" t="s">
        <v>52</v>
      </c>
      <c r="D656">
        <v>0</v>
      </c>
      <c r="E656" t="s">
        <v>42</v>
      </c>
      <c r="F656" t="s">
        <v>45</v>
      </c>
    </row>
    <row r="657" spans="1:6" hidden="1" x14ac:dyDescent="0.35">
      <c r="A657" t="s">
        <v>63</v>
      </c>
      <c r="B657" t="s">
        <v>43</v>
      </c>
      <c r="C657" t="s">
        <v>52</v>
      </c>
      <c r="D657">
        <v>0</v>
      </c>
      <c r="E657" t="s">
        <v>42</v>
      </c>
      <c r="F657" t="s">
        <v>45</v>
      </c>
    </row>
    <row r="658" spans="1:6" hidden="1" x14ac:dyDescent="0.35">
      <c r="A658" t="s">
        <v>64</v>
      </c>
      <c r="B658" t="s">
        <v>43</v>
      </c>
      <c r="C658" t="s">
        <v>52</v>
      </c>
      <c r="D658">
        <v>0</v>
      </c>
      <c r="E658" t="s">
        <v>42</v>
      </c>
      <c r="F658" t="s">
        <v>45</v>
      </c>
    </row>
    <row r="659" spans="1:6" hidden="1" x14ac:dyDescent="0.35">
      <c r="A659" t="s">
        <v>65</v>
      </c>
      <c r="B659" t="s">
        <v>43</v>
      </c>
      <c r="C659" t="s">
        <v>52</v>
      </c>
      <c r="D659">
        <v>0</v>
      </c>
      <c r="E659" t="s">
        <v>42</v>
      </c>
      <c r="F659" t="s">
        <v>45</v>
      </c>
    </row>
    <row r="660" spans="1:6" hidden="1" x14ac:dyDescent="0.35">
      <c r="A660" t="s">
        <v>66</v>
      </c>
      <c r="B660" t="s">
        <v>43</v>
      </c>
      <c r="C660" t="s">
        <v>52</v>
      </c>
      <c r="D660">
        <v>0</v>
      </c>
      <c r="E660" t="s">
        <v>42</v>
      </c>
      <c r="F660" t="s">
        <v>45</v>
      </c>
    </row>
    <row r="661" spans="1:6" hidden="1" x14ac:dyDescent="0.35">
      <c r="A661" t="s">
        <v>67</v>
      </c>
      <c r="B661" t="s">
        <v>43</v>
      </c>
      <c r="C661" t="s">
        <v>52</v>
      </c>
      <c r="D661">
        <v>0</v>
      </c>
      <c r="E661" t="s">
        <v>42</v>
      </c>
      <c r="F661" t="s">
        <v>45</v>
      </c>
    </row>
    <row r="662" spans="1:6" hidden="1" x14ac:dyDescent="0.35">
      <c r="A662" t="s">
        <v>57</v>
      </c>
      <c r="B662" t="s">
        <v>33</v>
      </c>
      <c r="C662" t="s">
        <v>44</v>
      </c>
      <c r="D662">
        <v>0</v>
      </c>
      <c r="E662" t="s">
        <v>42</v>
      </c>
      <c r="F662" t="s">
        <v>45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0</v>
      </c>
      <c r="E663" t="s">
        <v>42</v>
      </c>
      <c r="F663" t="s">
        <v>45</v>
      </c>
    </row>
    <row r="664" spans="1:6" hidden="1" x14ac:dyDescent="0.35">
      <c r="A664" t="s">
        <v>58</v>
      </c>
      <c r="B664" t="s">
        <v>33</v>
      </c>
      <c r="C664" t="s">
        <v>44</v>
      </c>
      <c r="D664">
        <v>0</v>
      </c>
      <c r="E664" t="s">
        <v>42</v>
      </c>
      <c r="F664" t="s">
        <v>45</v>
      </c>
    </row>
    <row r="665" spans="1:6" hidden="1" x14ac:dyDescent="0.35">
      <c r="A665" t="s">
        <v>59</v>
      </c>
      <c r="B665" t="s">
        <v>33</v>
      </c>
      <c r="C665" t="s">
        <v>44</v>
      </c>
      <c r="D665">
        <v>0</v>
      </c>
      <c r="E665" t="s">
        <v>42</v>
      </c>
      <c r="F665" t="s">
        <v>45</v>
      </c>
    </row>
    <row r="666" spans="1:6" hidden="1" x14ac:dyDescent="0.35">
      <c r="A666" t="s">
        <v>60</v>
      </c>
      <c r="B666" t="s">
        <v>33</v>
      </c>
      <c r="C666" t="s">
        <v>44</v>
      </c>
      <c r="D666">
        <v>0</v>
      </c>
      <c r="E666" t="s">
        <v>42</v>
      </c>
      <c r="F666" t="s">
        <v>45</v>
      </c>
    </row>
    <row r="667" spans="1:6" hidden="1" x14ac:dyDescent="0.35">
      <c r="A667" t="s">
        <v>61</v>
      </c>
      <c r="B667" t="s">
        <v>33</v>
      </c>
      <c r="C667" t="s">
        <v>44</v>
      </c>
      <c r="D667">
        <v>0</v>
      </c>
      <c r="E667" t="s">
        <v>42</v>
      </c>
      <c r="F667" t="s">
        <v>45</v>
      </c>
    </row>
    <row r="668" spans="1:6" hidden="1" x14ac:dyDescent="0.35">
      <c r="A668" t="s">
        <v>62</v>
      </c>
      <c r="B668" t="s">
        <v>33</v>
      </c>
      <c r="C668" t="s">
        <v>44</v>
      </c>
      <c r="D668">
        <v>0</v>
      </c>
      <c r="E668" t="s">
        <v>42</v>
      </c>
      <c r="F668" t="s">
        <v>45</v>
      </c>
    </row>
    <row r="669" spans="1:6" hidden="1" x14ac:dyDescent="0.35">
      <c r="A669" t="s">
        <v>63</v>
      </c>
      <c r="B669" t="s">
        <v>33</v>
      </c>
      <c r="C669" t="s">
        <v>44</v>
      </c>
      <c r="D669">
        <v>0</v>
      </c>
      <c r="E669" t="s">
        <v>42</v>
      </c>
      <c r="F669" t="s">
        <v>45</v>
      </c>
    </row>
    <row r="670" spans="1:6" hidden="1" x14ac:dyDescent="0.35">
      <c r="A670" t="s">
        <v>64</v>
      </c>
      <c r="B670" t="s">
        <v>33</v>
      </c>
      <c r="C670" t="s">
        <v>44</v>
      </c>
      <c r="D670">
        <v>0</v>
      </c>
      <c r="E670" t="s">
        <v>42</v>
      </c>
      <c r="F670" t="s">
        <v>45</v>
      </c>
    </row>
    <row r="671" spans="1:6" hidden="1" x14ac:dyDescent="0.35">
      <c r="A671" t="s">
        <v>65</v>
      </c>
      <c r="B671" t="s">
        <v>33</v>
      </c>
      <c r="C671" t="s">
        <v>44</v>
      </c>
      <c r="D671">
        <v>0</v>
      </c>
      <c r="E671" t="s">
        <v>42</v>
      </c>
      <c r="F671" t="s">
        <v>45</v>
      </c>
    </row>
    <row r="672" spans="1:6" hidden="1" x14ac:dyDescent="0.35">
      <c r="A672" t="s">
        <v>66</v>
      </c>
      <c r="B672" t="s">
        <v>33</v>
      </c>
      <c r="C672" t="s">
        <v>44</v>
      </c>
      <c r="D672">
        <v>0</v>
      </c>
      <c r="E672" t="s">
        <v>42</v>
      </c>
      <c r="F672" t="s">
        <v>45</v>
      </c>
    </row>
    <row r="673" spans="1:6" hidden="1" x14ac:dyDescent="0.35">
      <c r="A673" t="s">
        <v>67</v>
      </c>
      <c r="B673" t="s">
        <v>33</v>
      </c>
      <c r="C673" t="s">
        <v>44</v>
      </c>
      <c r="D673">
        <v>0</v>
      </c>
      <c r="E673" t="s">
        <v>42</v>
      </c>
      <c r="F673" t="s">
        <v>45</v>
      </c>
    </row>
    <row r="674" spans="1:6" hidden="1" x14ac:dyDescent="0.35">
      <c r="A674" t="s">
        <v>57</v>
      </c>
      <c r="B674" t="s">
        <v>33</v>
      </c>
      <c r="C674" t="s">
        <v>22</v>
      </c>
      <c r="D674">
        <v>0</v>
      </c>
      <c r="E674" t="s">
        <v>42</v>
      </c>
      <c r="F674" t="s">
        <v>45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42</v>
      </c>
      <c r="F675" t="s">
        <v>45</v>
      </c>
    </row>
    <row r="676" spans="1:6" hidden="1" x14ac:dyDescent="0.35">
      <c r="A676" t="s">
        <v>58</v>
      </c>
      <c r="B676" t="s">
        <v>33</v>
      </c>
      <c r="C676" t="s">
        <v>22</v>
      </c>
      <c r="D676">
        <v>0</v>
      </c>
      <c r="E676" t="s">
        <v>42</v>
      </c>
      <c r="F676" t="s">
        <v>45</v>
      </c>
    </row>
    <row r="677" spans="1:6" hidden="1" x14ac:dyDescent="0.35">
      <c r="A677" t="s">
        <v>59</v>
      </c>
      <c r="B677" t="s">
        <v>33</v>
      </c>
      <c r="C677" t="s">
        <v>22</v>
      </c>
      <c r="D677">
        <v>0</v>
      </c>
      <c r="E677" t="s">
        <v>42</v>
      </c>
      <c r="F677" t="s">
        <v>45</v>
      </c>
    </row>
    <row r="678" spans="1:6" hidden="1" x14ac:dyDescent="0.35">
      <c r="A678" t="s">
        <v>60</v>
      </c>
      <c r="B678" t="s">
        <v>33</v>
      </c>
      <c r="C678" t="s">
        <v>22</v>
      </c>
      <c r="D678">
        <v>0</v>
      </c>
      <c r="E678" t="s">
        <v>42</v>
      </c>
      <c r="F678" t="s">
        <v>45</v>
      </c>
    </row>
    <row r="679" spans="1:6" hidden="1" x14ac:dyDescent="0.35">
      <c r="A679" t="s">
        <v>61</v>
      </c>
      <c r="B679" t="s">
        <v>33</v>
      </c>
      <c r="C679" t="s">
        <v>22</v>
      </c>
      <c r="D679">
        <v>0</v>
      </c>
      <c r="E679" t="s">
        <v>42</v>
      </c>
      <c r="F679" t="s">
        <v>45</v>
      </c>
    </row>
    <row r="680" spans="1:6" hidden="1" x14ac:dyDescent="0.35">
      <c r="A680" t="s">
        <v>62</v>
      </c>
      <c r="B680" t="s">
        <v>33</v>
      </c>
      <c r="C680" t="s">
        <v>22</v>
      </c>
      <c r="D680">
        <v>0</v>
      </c>
      <c r="E680" t="s">
        <v>42</v>
      </c>
      <c r="F680" t="s">
        <v>45</v>
      </c>
    </row>
    <row r="681" spans="1:6" hidden="1" x14ac:dyDescent="0.35">
      <c r="A681" t="s">
        <v>63</v>
      </c>
      <c r="B681" t="s">
        <v>33</v>
      </c>
      <c r="C681" t="s">
        <v>22</v>
      </c>
      <c r="D681">
        <v>0</v>
      </c>
      <c r="E681" t="s">
        <v>42</v>
      </c>
      <c r="F681" t="s">
        <v>45</v>
      </c>
    </row>
    <row r="682" spans="1:6" hidden="1" x14ac:dyDescent="0.35">
      <c r="A682" t="s">
        <v>64</v>
      </c>
      <c r="B682" t="s">
        <v>33</v>
      </c>
      <c r="C682" t="s">
        <v>22</v>
      </c>
      <c r="D682">
        <v>0</v>
      </c>
      <c r="E682" t="s">
        <v>42</v>
      </c>
      <c r="F682" t="s">
        <v>45</v>
      </c>
    </row>
    <row r="683" spans="1:6" hidden="1" x14ac:dyDescent="0.35">
      <c r="A683" t="s">
        <v>65</v>
      </c>
      <c r="B683" t="s">
        <v>33</v>
      </c>
      <c r="C683" t="s">
        <v>22</v>
      </c>
      <c r="D683">
        <v>0</v>
      </c>
      <c r="E683" t="s">
        <v>42</v>
      </c>
      <c r="F683" t="s">
        <v>45</v>
      </c>
    </row>
    <row r="684" spans="1:6" hidden="1" x14ac:dyDescent="0.35">
      <c r="A684" t="s">
        <v>66</v>
      </c>
      <c r="B684" t="s">
        <v>33</v>
      </c>
      <c r="C684" t="s">
        <v>22</v>
      </c>
      <c r="D684">
        <v>0</v>
      </c>
      <c r="E684" t="s">
        <v>42</v>
      </c>
      <c r="F684" t="s">
        <v>45</v>
      </c>
    </row>
    <row r="685" spans="1:6" hidden="1" x14ac:dyDescent="0.35">
      <c r="A685" t="s">
        <v>67</v>
      </c>
      <c r="B685" t="s">
        <v>33</v>
      </c>
      <c r="C685" t="s">
        <v>22</v>
      </c>
      <c r="D685">
        <v>0</v>
      </c>
      <c r="E685" t="s">
        <v>42</v>
      </c>
      <c r="F685" t="s">
        <v>45</v>
      </c>
    </row>
    <row r="686" spans="1:6" hidden="1" x14ac:dyDescent="0.35">
      <c r="A686" t="s">
        <v>57</v>
      </c>
      <c r="B686" t="s">
        <v>33</v>
      </c>
      <c r="C686" t="s">
        <v>46</v>
      </c>
      <c r="D686">
        <v>128253.7</v>
      </c>
      <c r="E686" t="s">
        <v>42</v>
      </c>
      <c r="F686" t="s">
        <v>45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0</v>
      </c>
      <c r="E687" t="s">
        <v>42</v>
      </c>
      <c r="F687" t="s">
        <v>45</v>
      </c>
    </row>
    <row r="688" spans="1:6" hidden="1" x14ac:dyDescent="0.35">
      <c r="A688" t="s">
        <v>58</v>
      </c>
      <c r="B688" t="s">
        <v>33</v>
      </c>
      <c r="C688" t="s">
        <v>46</v>
      </c>
      <c r="D688">
        <v>142035.91</v>
      </c>
      <c r="E688" t="s">
        <v>42</v>
      </c>
      <c r="F688" t="s">
        <v>45</v>
      </c>
    </row>
    <row r="689" spans="1:6" hidden="1" x14ac:dyDescent="0.35">
      <c r="A689" t="s">
        <v>59</v>
      </c>
      <c r="B689" t="s">
        <v>33</v>
      </c>
      <c r="C689" t="s">
        <v>46</v>
      </c>
      <c r="D689">
        <v>0</v>
      </c>
      <c r="E689" t="s">
        <v>42</v>
      </c>
      <c r="F689" t="s">
        <v>45</v>
      </c>
    </row>
    <row r="690" spans="1:6" hidden="1" x14ac:dyDescent="0.35">
      <c r="A690" t="s">
        <v>60</v>
      </c>
      <c r="B690" t="s">
        <v>33</v>
      </c>
      <c r="C690" t="s">
        <v>46</v>
      </c>
      <c r="D690">
        <v>1665.53</v>
      </c>
      <c r="E690" t="s">
        <v>42</v>
      </c>
      <c r="F690" t="s">
        <v>45</v>
      </c>
    </row>
    <row r="691" spans="1:6" hidden="1" x14ac:dyDescent="0.35">
      <c r="A691" t="s">
        <v>61</v>
      </c>
      <c r="B691" t="s">
        <v>33</v>
      </c>
      <c r="C691" t="s">
        <v>46</v>
      </c>
      <c r="D691">
        <v>2887.6</v>
      </c>
      <c r="E691" t="s">
        <v>42</v>
      </c>
      <c r="F691" t="s">
        <v>45</v>
      </c>
    </row>
    <row r="692" spans="1:6" hidden="1" x14ac:dyDescent="0.35">
      <c r="A692" t="s">
        <v>62</v>
      </c>
      <c r="B692" t="s">
        <v>33</v>
      </c>
      <c r="C692" t="s">
        <v>46</v>
      </c>
      <c r="D692">
        <v>4227.62</v>
      </c>
      <c r="E692" t="s">
        <v>42</v>
      </c>
      <c r="F692" t="s">
        <v>45</v>
      </c>
    </row>
    <row r="693" spans="1:6" hidden="1" x14ac:dyDescent="0.35">
      <c r="A693" t="s">
        <v>63</v>
      </c>
      <c r="B693" t="s">
        <v>33</v>
      </c>
      <c r="C693" t="s">
        <v>46</v>
      </c>
      <c r="D693">
        <v>136316.76999999999</v>
      </c>
      <c r="E693" t="s">
        <v>42</v>
      </c>
      <c r="F693" t="s">
        <v>45</v>
      </c>
    </row>
    <row r="694" spans="1:6" hidden="1" x14ac:dyDescent="0.35">
      <c r="A694" t="s">
        <v>64</v>
      </c>
      <c r="B694" t="s">
        <v>33</v>
      </c>
      <c r="C694" t="s">
        <v>46</v>
      </c>
      <c r="D694">
        <v>5980.74</v>
      </c>
      <c r="E694" t="s">
        <v>42</v>
      </c>
      <c r="F694" t="s">
        <v>45</v>
      </c>
    </row>
    <row r="695" spans="1:6" hidden="1" x14ac:dyDescent="0.35">
      <c r="A695" t="s">
        <v>65</v>
      </c>
      <c r="B695" t="s">
        <v>33</v>
      </c>
      <c r="C695" t="s">
        <v>46</v>
      </c>
      <c r="D695">
        <v>0</v>
      </c>
      <c r="E695" t="s">
        <v>42</v>
      </c>
      <c r="F695" t="s">
        <v>45</v>
      </c>
    </row>
    <row r="696" spans="1:6" hidden="1" x14ac:dyDescent="0.35">
      <c r="A696" t="s">
        <v>66</v>
      </c>
      <c r="B696" t="s">
        <v>33</v>
      </c>
      <c r="C696" t="s">
        <v>46</v>
      </c>
      <c r="D696">
        <v>0</v>
      </c>
      <c r="E696" t="s">
        <v>42</v>
      </c>
      <c r="F696" t="s">
        <v>45</v>
      </c>
    </row>
    <row r="697" spans="1:6" hidden="1" x14ac:dyDescent="0.35">
      <c r="A697" t="s">
        <v>67</v>
      </c>
      <c r="B697" t="s">
        <v>33</v>
      </c>
      <c r="C697" t="s">
        <v>46</v>
      </c>
      <c r="D697">
        <v>34822.519999999997</v>
      </c>
      <c r="E697" t="s">
        <v>42</v>
      </c>
      <c r="F697" t="s">
        <v>45</v>
      </c>
    </row>
    <row r="698" spans="1:6" hidden="1" x14ac:dyDescent="0.35">
      <c r="A698" t="s">
        <v>57</v>
      </c>
      <c r="B698" t="s">
        <v>33</v>
      </c>
      <c r="C698" t="s">
        <v>24</v>
      </c>
      <c r="D698">
        <v>0</v>
      </c>
      <c r="E698" t="s">
        <v>42</v>
      </c>
      <c r="F698" t="s">
        <v>45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42</v>
      </c>
      <c r="F699" t="s">
        <v>45</v>
      </c>
    </row>
    <row r="700" spans="1:6" hidden="1" x14ac:dyDescent="0.35">
      <c r="A700" t="s">
        <v>58</v>
      </c>
      <c r="B700" t="s">
        <v>33</v>
      </c>
      <c r="C700" t="s">
        <v>24</v>
      </c>
      <c r="D700">
        <v>0</v>
      </c>
      <c r="E700" t="s">
        <v>42</v>
      </c>
      <c r="F700" t="s">
        <v>45</v>
      </c>
    </row>
    <row r="701" spans="1:6" hidden="1" x14ac:dyDescent="0.35">
      <c r="A701" t="s">
        <v>59</v>
      </c>
      <c r="B701" t="s">
        <v>33</v>
      </c>
      <c r="C701" t="s">
        <v>24</v>
      </c>
      <c r="D701">
        <v>0</v>
      </c>
      <c r="E701" t="s">
        <v>42</v>
      </c>
      <c r="F701" t="s">
        <v>45</v>
      </c>
    </row>
    <row r="702" spans="1:6" hidden="1" x14ac:dyDescent="0.35">
      <c r="A702" t="s">
        <v>60</v>
      </c>
      <c r="B702" t="s">
        <v>33</v>
      </c>
      <c r="C702" t="s">
        <v>24</v>
      </c>
      <c r="D702">
        <v>0</v>
      </c>
      <c r="E702" t="s">
        <v>42</v>
      </c>
      <c r="F702" t="s">
        <v>45</v>
      </c>
    </row>
    <row r="703" spans="1:6" hidden="1" x14ac:dyDescent="0.35">
      <c r="A703" t="s">
        <v>61</v>
      </c>
      <c r="B703" t="s">
        <v>33</v>
      </c>
      <c r="C703" t="s">
        <v>24</v>
      </c>
      <c r="D703">
        <v>0</v>
      </c>
      <c r="E703" t="s">
        <v>42</v>
      </c>
      <c r="F703" t="s">
        <v>45</v>
      </c>
    </row>
    <row r="704" spans="1:6" hidden="1" x14ac:dyDescent="0.35">
      <c r="A704" t="s">
        <v>62</v>
      </c>
      <c r="B704" t="s">
        <v>33</v>
      </c>
      <c r="C704" t="s">
        <v>24</v>
      </c>
      <c r="D704">
        <v>0</v>
      </c>
      <c r="E704" t="s">
        <v>42</v>
      </c>
      <c r="F704" t="s">
        <v>45</v>
      </c>
    </row>
    <row r="705" spans="1:6" hidden="1" x14ac:dyDescent="0.35">
      <c r="A705" t="s">
        <v>63</v>
      </c>
      <c r="B705" t="s">
        <v>33</v>
      </c>
      <c r="C705" t="s">
        <v>24</v>
      </c>
      <c r="D705">
        <v>0</v>
      </c>
      <c r="E705" t="s">
        <v>42</v>
      </c>
      <c r="F705" t="s">
        <v>45</v>
      </c>
    </row>
    <row r="706" spans="1:6" hidden="1" x14ac:dyDescent="0.35">
      <c r="A706" t="s">
        <v>64</v>
      </c>
      <c r="B706" t="s">
        <v>33</v>
      </c>
      <c r="C706" t="s">
        <v>24</v>
      </c>
      <c r="D706">
        <v>0</v>
      </c>
      <c r="E706" t="s">
        <v>42</v>
      </c>
      <c r="F706" t="s">
        <v>45</v>
      </c>
    </row>
    <row r="707" spans="1:6" hidden="1" x14ac:dyDescent="0.35">
      <c r="A707" t="s">
        <v>65</v>
      </c>
      <c r="B707" t="s">
        <v>33</v>
      </c>
      <c r="C707" t="s">
        <v>24</v>
      </c>
      <c r="D707">
        <v>0</v>
      </c>
      <c r="E707" t="s">
        <v>42</v>
      </c>
      <c r="F707" t="s">
        <v>45</v>
      </c>
    </row>
    <row r="708" spans="1:6" hidden="1" x14ac:dyDescent="0.35">
      <c r="A708" t="s">
        <v>66</v>
      </c>
      <c r="B708" t="s">
        <v>33</v>
      </c>
      <c r="C708" t="s">
        <v>24</v>
      </c>
      <c r="D708">
        <v>0</v>
      </c>
      <c r="E708" t="s">
        <v>42</v>
      </c>
      <c r="F708" t="s">
        <v>45</v>
      </c>
    </row>
    <row r="709" spans="1:6" hidden="1" x14ac:dyDescent="0.35">
      <c r="A709" t="s">
        <v>67</v>
      </c>
      <c r="B709" t="s">
        <v>33</v>
      </c>
      <c r="C709" t="s">
        <v>24</v>
      </c>
      <c r="D709">
        <v>0</v>
      </c>
      <c r="E709" t="s">
        <v>42</v>
      </c>
      <c r="F709" t="s">
        <v>45</v>
      </c>
    </row>
    <row r="710" spans="1:6" hidden="1" x14ac:dyDescent="0.35">
      <c r="A710" t="s">
        <v>57</v>
      </c>
      <c r="B710" t="s">
        <v>33</v>
      </c>
      <c r="C710" t="s">
        <v>47</v>
      </c>
      <c r="D710">
        <v>0</v>
      </c>
      <c r="E710" t="s">
        <v>42</v>
      </c>
      <c r="F710" t="s">
        <v>45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42</v>
      </c>
      <c r="F711" t="s">
        <v>45</v>
      </c>
    </row>
    <row r="712" spans="1:6" hidden="1" x14ac:dyDescent="0.35">
      <c r="A712" t="s">
        <v>58</v>
      </c>
      <c r="B712" t="s">
        <v>33</v>
      </c>
      <c r="C712" t="s">
        <v>47</v>
      </c>
      <c r="D712">
        <v>0</v>
      </c>
      <c r="E712" t="s">
        <v>42</v>
      </c>
      <c r="F712" t="s">
        <v>45</v>
      </c>
    </row>
    <row r="713" spans="1:6" hidden="1" x14ac:dyDescent="0.35">
      <c r="A713" t="s">
        <v>59</v>
      </c>
      <c r="B713" t="s">
        <v>33</v>
      </c>
      <c r="C713" t="s">
        <v>47</v>
      </c>
      <c r="D713">
        <v>0</v>
      </c>
      <c r="E713" t="s">
        <v>42</v>
      </c>
      <c r="F713" t="s">
        <v>45</v>
      </c>
    </row>
    <row r="714" spans="1:6" hidden="1" x14ac:dyDescent="0.35">
      <c r="A714" t="s">
        <v>60</v>
      </c>
      <c r="B714" t="s">
        <v>33</v>
      </c>
      <c r="C714" t="s">
        <v>47</v>
      </c>
      <c r="D714">
        <v>0</v>
      </c>
      <c r="E714" t="s">
        <v>42</v>
      </c>
      <c r="F714" t="s">
        <v>45</v>
      </c>
    </row>
    <row r="715" spans="1:6" hidden="1" x14ac:dyDescent="0.35">
      <c r="A715" t="s">
        <v>61</v>
      </c>
      <c r="B715" t="s">
        <v>33</v>
      </c>
      <c r="C715" t="s">
        <v>47</v>
      </c>
      <c r="D715">
        <v>0</v>
      </c>
      <c r="E715" t="s">
        <v>42</v>
      </c>
      <c r="F715" t="s">
        <v>45</v>
      </c>
    </row>
    <row r="716" spans="1:6" hidden="1" x14ac:dyDescent="0.35">
      <c r="A716" t="s">
        <v>62</v>
      </c>
      <c r="B716" t="s">
        <v>33</v>
      </c>
      <c r="C716" t="s">
        <v>47</v>
      </c>
      <c r="D716">
        <v>0</v>
      </c>
      <c r="E716" t="s">
        <v>42</v>
      </c>
      <c r="F716" t="s">
        <v>45</v>
      </c>
    </row>
    <row r="717" spans="1:6" hidden="1" x14ac:dyDescent="0.35">
      <c r="A717" t="s">
        <v>63</v>
      </c>
      <c r="B717" t="s">
        <v>33</v>
      </c>
      <c r="C717" t="s">
        <v>47</v>
      </c>
      <c r="D717">
        <v>0</v>
      </c>
      <c r="E717" t="s">
        <v>42</v>
      </c>
      <c r="F717" t="s">
        <v>45</v>
      </c>
    </row>
    <row r="718" spans="1:6" hidden="1" x14ac:dyDescent="0.35">
      <c r="A718" t="s">
        <v>64</v>
      </c>
      <c r="B718" t="s">
        <v>33</v>
      </c>
      <c r="C718" t="s">
        <v>47</v>
      </c>
      <c r="D718">
        <v>0</v>
      </c>
      <c r="E718" t="s">
        <v>42</v>
      </c>
      <c r="F718" t="s">
        <v>45</v>
      </c>
    </row>
    <row r="719" spans="1:6" hidden="1" x14ac:dyDescent="0.35">
      <c r="A719" t="s">
        <v>65</v>
      </c>
      <c r="B719" t="s">
        <v>33</v>
      </c>
      <c r="C719" t="s">
        <v>47</v>
      </c>
      <c r="D719">
        <v>0</v>
      </c>
      <c r="E719" t="s">
        <v>42</v>
      </c>
      <c r="F719" t="s">
        <v>45</v>
      </c>
    </row>
    <row r="720" spans="1:6" hidden="1" x14ac:dyDescent="0.35">
      <c r="A720" t="s">
        <v>66</v>
      </c>
      <c r="B720" t="s">
        <v>33</v>
      </c>
      <c r="C720" t="s">
        <v>47</v>
      </c>
      <c r="D720">
        <v>0</v>
      </c>
      <c r="E720" t="s">
        <v>42</v>
      </c>
      <c r="F720" t="s">
        <v>45</v>
      </c>
    </row>
    <row r="721" spans="1:6" hidden="1" x14ac:dyDescent="0.35">
      <c r="A721" t="s">
        <v>67</v>
      </c>
      <c r="B721" t="s">
        <v>33</v>
      </c>
      <c r="C721" t="s">
        <v>47</v>
      </c>
      <c r="D721">
        <v>0</v>
      </c>
      <c r="E721" t="s">
        <v>42</v>
      </c>
      <c r="F721" t="s">
        <v>45</v>
      </c>
    </row>
    <row r="722" spans="1:6" hidden="1" x14ac:dyDescent="0.35">
      <c r="A722" t="s">
        <v>57</v>
      </c>
      <c r="B722" t="s">
        <v>33</v>
      </c>
      <c r="C722" t="s">
        <v>48</v>
      </c>
      <c r="D722">
        <v>0</v>
      </c>
      <c r="E722" t="s">
        <v>42</v>
      </c>
      <c r="F722" t="s">
        <v>45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42</v>
      </c>
      <c r="F723" t="s">
        <v>45</v>
      </c>
    </row>
    <row r="724" spans="1:6" hidden="1" x14ac:dyDescent="0.35">
      <c r="A724" t="s">
        <v>58</v>
      </c>
      <c r="B724" t="s">
        <v>33</v>
      </c>
      <c r="C724" t="s">
        <v>48</v>
      </c>
      <c r="D724">
        <v>0</v>
      </c>
      <c r="E724" t="s">
        <v>42</v>
      </c>
      <c r="F724" t="s">
        <v>45</v>
      </c>
    </row>
    <row r="725" spans="1:6" hidden="1" x14ac:dyDescent="0.35">
      <c r="A725" t="s">
        <v>59</v>
      </c>
      <c r="B725" t="s">
        <v>33</v>
      </c>
      <c r="C725" t="s">
        <v>48</v>
      </c>
      <c r="D725">
        <v>0</v>
      </c>
      <c r="E725" t="s">
        <v>42</v>
      </c>
      <c r="F725" t="s">
        <v>45</v>
      </c>
    </row>
    <row r="726" spans="1:6" hidden="1" x14ac:dyDescent="0.35">
      <c r="A726" t="s">
        <v>60</v>
      </c>
      <c r="B726" t="s">
        <v>33</v>
      </c>
      <c r="C726" t="s">
        <v>48</v>
      </c>
      <c r="D726">
        <v>0</v>
      </c>
      <c r="E726" t="s">
        <v>42</v>
      </c>
      <c r="F726" t="s">
        <v>45</v>
      </c>
    </row>
    <row r="727" spans="1:6" hidden="1" x14ac:dyDescent="0.35">
      <c r="A727" t="s">
        <v>61</v>
      </c>
      <c r="B727" t="s">
        <v>33</v>
      </c>
      <c r="C727" t="s">
        <v>48</v>
      </c>
      <c r="D727">
        <v>0</v>
      </c>
      <c r="E727" t="s">
        <v>42</v>
      </c>
      <c r="F727" t="s">
        <v>45</v>
      </c>
    </row>
    <row r="728" spans="1:6" hidden="1" x14ac:dyDescent="0.35">
      <c r="A728" t="s">
        <v>62</v>
      </c>
      <c r="B728" t="s">
        <v>33</v>
      </c>
      <c r="C728" t="s">
        <v>48</v>
      </c>
      <c r="D728">
        <v>0</v>
      </c>
      <c r="E728" t="s">
        <v>42</v>
      </c>
      <c r="F728" t="s">
        <v>45</v>
      </c>
    </row>
    <row r="729" spans="1:6" hidden="1" x14ac:dyDescent="0.35">
      <c r="A729" t="s">
        <v>63</v>
      </c>
      <c r="B729" t="s">
        <v>33</v>
      </c>
      <c r="C729" t="s">
        <v>48</v>
      </c>
      <c r="D729">
        <v>0</v>
      </c>
      <c r="E729" t="s">
        <v>42</v>
      </c>
      <c r="F729" t="s">
        <v>45</v>
      </c>
    </row>
    <row r="730" spans="1:6" hidden="1" x14ac:dyDescent="0.35">
      <c r="A730" t="s">
        <v>64</v>
      </c>
      <c r="B730" t="s">
        <v>33</v>
      </c>
      <c r="C730" t="s">
        <v>48</v>
      </c>
      <c r="D730">
        <v>0</v>
      </c>
      <c r="E730" t="s">
        <v>42</v>
      </c>
      <c r="F730" t="s">
        <v>45</v>
      </c>
    </row>
    <row r="731" spans="1:6" hidden="1" x14ac:dyDescent="0.35">
      <c r="A731" t="s">
        <v>65</v>
      </c>
      <c r="B731" t="s">
        <v>33</v>
      </c>
      <c r="C731" t="s">
        <v>48</v>
      </c>
      <c r="D731">
        <v>0</v>
      </c>
      <c r="E731" t="s">
        <v>42</v>
      </c>
      <c r="F731" t="s">
        <v>45</v>
      </c>
    </row>
    <row r="732" spans="1:6" hidden="1" x14ac:dyDescent="0.35">
      <c r="A732" t="s">
        <v>66</v>
      </c>
      <c r="B732" t="s">
        <v>33</v>
      </c>
      <c r="C732" t="s">
        <v>48</v>
      </c>
      <c r="D732">
        <v>0</v>
      </c>
      <c r="E732" t="s">
        <v>42</v>
      </c>
      <c r="F732" t="s">
        <v>45</v>
      </c>
    </row>
    <row r="733" spans="1:6" hidden="1" x14ac:dyDescent="0.35">
      <c r="A733" t="s">
        <v>67</v>
      </c>
      <c r="B733" t="s">
        <v>33</v>
      </c>
      <c r="C733" t="s">
        <v>48</v>
      </c>
      <c r="D733">
        <v>0</v>
      </c>
      <c r="E733" t="s">
        <v>42</v>
      </c>
      <c r="F733" t="s">
        <v>45</v>
      </c>
    </row>
    <row r="734" spans="1:6" hidden="1" x14ac:dyDescent="0.35">
      <c r="A734" t="s">
        <v>57</v>
      </c>
      <c r="B734" t="s">
        <v>33</v>
      </c>
      <c r="C734" t="s">
        <v>49</v>
      </c>
      <c r="D734">
        <v>0</v>
      </c>
      <c r="E734" t="s">
        <v>42</v>
      </c>
      <c r="F734" t="s">
        <v>45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0</v>
      </c>
      <c r="E735" t="s">
        <v>42</v>
      </c>
      <c r="F735" t="s">
        <v>45</v>
      </c>
    </row>
    <row r="736" spans="1:6" hidden="1" x14ac:dyDescent="0.35">
      <c r="A736" t="s">
        <v>58</v>
      </c>
      <c r="B736" t="s">
        <v>33</v>
      </c>
      <c r="C736" t="s">
        <v>49</v>
      </c>
      <c r="D736">
        <v>0</v>
      </c>
      <c r="E736" t="s">
        <v>42</v>
      </c>
      <c r="F736" t="s">
        <v>45</v>
      </c>
    </row>
    <row r="737" spans="1:6" hidden="1" x14ac:dyDescent="0.35">
      <c r="A737" t="s">
        <v>59</v>
      </c>
      <c r="B737" t="s">
        <v>33</v>
      </c>
      <c r="C737" t="s">
        <v>49</v>
      </c>
      <c r="D737">
        <v>0</v>
      </c>
      <c r="E737" t="s">
        <v>42</v>
      </c>
      <c r="F737" t="s">
        <v>45</v>
      </c>
    </row>
    <row r="738" spans="1:6" hidden="1" x14ac:dyDescent="0.35">
      <c r="A738" t="s">
        <v>60</v>
      </c>
      <c r="B738" t="s">
        <v>33</v>
      </c>
      <c r="C738" t="s">
        <v>49</v>
      </c>
      <c r="D738">
        <v>0</v>
      </c>
      <c r="E738" t="s">
        <v>42</v>
      </c>
      <c r="F738" t="s">
        <v>45</v>
      </c>
    </row>
    <row r="739" spans="1:6" hidden="1" x14ac:dyDescent="0.35">
      <c r="A739" t="s">
        <v>61</v>
      </c>
      <c r="B739" t="s">
        <v>33</v>
      </c>
      <c r="C739" t="s">
        <v>49</v>
      </c>
      <c r="D739">
        <v>0</v>
      </c>
      <c r="E739" t="s">
        <v>42</v>
      </c>
      <c r="F739" t="s">
        <v>45</v>
      </c>
    </row>
    <row r="740" spans="1:6" hidden="1" x14ac:dyDescent="0.35">
      <c r="A740" t="s">
        <v>62</v>
      </c>
      <c r="B740" t="s">
        <v>33</v>
      </c>
      <c r="C740" t="s">
        <v>49</v>
      </c>
      <c r="D740">
        <v>0</v>
      </c>
      <c r="E740" t="s">
        <v>42</v>
      </c>
      <c r="F740" t="s">
        <v>45</v>
      </c>
    </row>
    <row r="741" spans="1:6" hidden="1" x14ac:dyDescent="0.35">
      <c r="A741" t="s">
        <v>63</v>
      </c>
      <c r="B741" t="s">
        <v>33</v>
      </c>
      <c r="C741" t="s">
        <v>49</v>
      </c>
      <c r="D741">
        <v>0</v>
      </c>
      <c r="E741" t="s">
        <v>42</v>
      </c>
      <c r="F741" t="s">
        <v>45</v>
      </c>
    </row>
    <row r="742" spans="1:6" hidden="1" x14ac:dyDescent="0.35">
      <c r="A742" t="s">
        <v>64</v>
      </c>
      <c r="B742" t="s">
        <v>33</v>
      </c>
      <c r="C742" t="s">
        <v>49</v>
      </c>
      <c r="D742">
        <v>0</v>
      </c>
      <c r="E742" t="s">
        <v>42</v>
      </c>
      <c r="F742" t="s">
        <v>45</v>
      </c>
    </row>
    <row r="743" spans="1:6" hidden="1" x14ac:dyDescent="0.35">
      <c r="A743" t="s">
        <v>65</v>
      </c>
      <c r="B743" t="s">
        <v>33</v>
      </c>
      <c r="C743" t="s">
        <v>49</v>
      </c>
      <c r="D743">
        <v>0</v>
      </c>
      <c r="E743" t="s">
        <v>42</v>
      </c>
      <c r="F743" t="s">
        <v>45</v>
      </c>
    </row>
    <row r="744" spans="1:6" hidden="1" x14ac:dyDescent="0.35">
      <c r="A744" t="s">
        <v>66</v>
      </c>
      <c r="B744" t="s">
        <v>33</v>
      </c>
      <c r="C744" t="s">
        <v>49</v>
      </c>
      <c r="D744">
        <v>0</v>
      </c>
      <c r="E744" t="s">
        <v>42</v>
      </c>
      <c r="F744" t="s">
        <v>45</v>
      </c>
    </row>
    <row r="745" spans="1:6" hidden="1" x14ac:dyDescent="0.35">
      <c r="A745" t="s">
        <v>67</v>
      </c>
      <c r="B745" t="s">
        <v>33</v>
      </c>
      <c r="C745" t="s">
        <v>49</v>
      </c>
      <c r="D745">
        <v>0</v>
      </c>
      <c r="E745" t="s">
        <v>42</v>
      </c>
      <c r="F745" t="s">
        <v>45</v>
      </c>
    </row>
    <row r="746" spans="1:6" hidden="1" x14ac:dyDescent="0.35">
      <c r="A746" t="s">
        <v>57</v>
      </c>
      <c r="B746" t="s">
        <v>33</v>
      </c>
      <c r="C746" t="s">
        <v>50</v>
      </c>
      <c r="D746">
        <v>0</v>
      </c>
      <c r="E746" t="s">
        <v>42</v>
      </c>
      <c r="F746" t="s">
        <v>45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42</v>
      </c>
      <c r="F747" t="s">
        <v>45</v>
      </c>
    </row>
    <row r="748" spans="1:6" hidden="1" x14ac:dyDescent="0.35">
      <c r="A748" t="s">
        <v>58</v>
      </c>
      <c r="B748" t="s">
        <v>33</v>
      </c>
      <c r="C748" t="s">
        <v>50</v>
      </c>
      <c r="D748">
        <v>0</v>
      </c>
      <c r="E748" t="s">
        <v>42</v>
      </c>
      <c r="F748" t="s">
        <v>45</v>
      </c>
    </row>
    <row r="749" spans="1:6" hidden="1" x14ac:dyDescent="0.35">
      <c r="A749" t="s">
        <v>59</v>
      </c>
      <c r="B749" t="s">
        <v>33</v>
      </c>
      <c r="C749" t="s">
        <v>50</v>
      </c>
      <c r="D749">
        <v>0</v>
      </c>
      <c r="E749" t="s">
        <v>42</v>
      </c>
      <c r="F749" t="s">
        <v>45</v>
      </c>
    </row>
    <row r="750" spans="1:6" hidden="1" x14ac:dyDescent="0.35">
      <c r="A750" t="s">
        <v>60</v>
      </c>
      <c r="B750" t="s">
        <v>33</v>
      </c>
      <c r="C750" t="s">
        <v>50</v>
      </c>
      <c r="D750">
        <v>0</v>
      </c>
      <c r="E750" t="s">
        <v>42</v>
      </c>
      <c r="F750" t="s">
        <v>45</v>
      </c>
    </row>
    <row r="751" spans="1:6" hidden="1" x14ac:dyDescent="0.35">
      <c r="A751" t="s">
        <v>61</v>
      </c>
      <c r="B751" t="s">
        <v>33</v>
      </c>
      <c r="C751" t="s">
        <v>50</v>
      </c>
      <c r="D751">
        <v>0</v>
      </c>
      <c r="E751" t="s">
        <v>42</v>
      </c>
      <c r="F751" t="s">
        <v>45</v>
      </c>
    </row>
    <row r="752" spans="1:6" hidden="1" x14ac:dyDescent="0.35">
      <c r="A752" t="s">
        <v>62</v>
      </c>
      <c r="B752" t="s">
        <v>33</v>
      </c>
      <c r="C752" t="s">
        <v>50</v>
      </c>
      <c r="D752">
        <v>0</v>
      </c>
      <c r="E752" t="s">
        <v>42</v>
      </c>
      <c r="F752" t="s">
        <v>45</v>
      </c>
    </row>
    <row r="753" spans="1:6" hidden="1" x14ac:dyDescent="0.35">
      <c r="A753" t="s">
        <v>63</v>
      </c>
      <c r="B753" t="s">
        <v>33</v>
      </c>
      <c r="C753" t="s">
        <v>50</v>
      </c>
      <c r="D753">
        <v>0</v>
      </c>
      <c r="E753" t="s">
        <v>42</v>
      </c>
      <c r="F753" t="s">
        <v>45</v>
      </c>
    </row>
    <row r="754" spans="1:6" hidden="1" x14ac:dyDescent="0.35">
      <c r="A754" t="s">
        <v>64</v>
      </c>
      <c r="B754" t="s">
        <v>33</v>
      </c>
      <c r="C754" t="s">
        <v>50</v>
      </c>
      <c r="D754">
        <v>0</v>
      </c>
      <c r="E754" t="s">
        <v>42</v>
      </c>
      <c r="F754" t="s">
        <v>45</v>
      </c>
    </row>
    <row r="755" spans="1:6" hidden="1" x14ac:dyDescent="0.35">
      <c r="A755" t="s">
        <v>65</v>
      </c>
      <c r="B755" t="s">
        <v>33</v>
      </c>
      <c r="C755" t="s">
        <v>50</v>
      </c>
      <c r="D755">
        <v>0</v>
      </c>
      <c r="E755" t="s">
        <v>42</v>
      </c>
      <c r="F755" t="s">
        <v>45</v>
      </c>
    </row>
    <row r="756" spans="1:6" hidden="1" x14ac:dyDescent="0.35">
      <c r="A756" t="s">
        <v>66</v>
      </c>
      <c r="B756" t="s">
        <v>33</v>
      </c>
      <c r="C756" t="s">
        <v>50</v>
      </c>
      <c r="D756">
        <v>0</v>
      </c>
      <c r="E756" t="s">
        <v>42</v>
      </c>
      <c r="F756" t="s">
        <v>45</v>
      </c>
    </row>
    <row r="757" spans="1:6" hidden="1" x14ac:dyDescent="0.35">
      <c r="A757" t="s">
        <v>67</v>
      </c>
      <c r="B757" t="s">
        <v>33</v>
      </c>
      <c r="C757" t="s">
        <v>50</v>
      </c>
      <c r="D757">
        <v>0</v>
      </c>
      <c r="E757" t="s">
        <v>42</v>
      </c>
      <c r="F757" t="s">
        <v>45</v>
      </c>
    </row>
    <row r="758" spans="1:6" hidden="1" x14ac:dyDescent="0.35">
      <c r="A758" t="s">
        <v>57</v>
      </c>
      <c r="B758" t="s">
        <v>33</v>
      </c>
      <c r="C758" t="s">
        <v>51</v>
      </c>
      <c r="D758">
        <v>0</v>
      </c>
      <c r="E758" t="s">
        <v>42</v>
      </c>
      <c r="F758" t="s">
        <v>45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0</v>
      </c>
      <c r="E759" t="s">
        <v>42</v>
      </c>
      <c r="F759" t="s">
        <v>45</v>
      </c>
    </row>
    <row r="760" spans="1:6" hidden="1" x14ac:dyDescent="0.35">
      <c r="A760" t="s">
        <v>58</v>
      </c>
      <c r="B760" t="s">
        <v>33</v>
      </c>
      <c r="C760" t="s">
        <v>51</v>
      </c>
      <c r="D760">
        <v>0</v>
      </c>
      <c r="E760" t="s">
        <v>42</v>
      </c>
      <c r="F760" t="s">
        <v>45</v>
      </c>
    </row>
    <row r="761" spans="1:6" hidden="1" x14ac:dyDescent="0.35">
      <c r="A761" t="s">
        <v>59</v>
      </c>
      <c r="B761" t="s">
        <v>33</v>
      </c>
      <c r="C761" t="s">
        <v>51</v>
      </c>
      <c r="D761">
        <v>2</v>
      </c>
      <c r="E761" t="s">
        <v>42</v>
      </c>
      <c r="F761" t="s">
        <v>45</v>
      </c>
    </row>
    <row r="762" spans="1:6" hidden="1" x14ac:dyDescent="0.35">
      <c r="A762" t="s">
        <v>60</v>
      </c>
      <c r="B762" t="s">
        <v>33</v>
      </c>
      <c r="C762" t="s">
        <v>51</v>
      </c>
      <c r="D762">
        <v>1</v>
      </c>
      <c r="E762" t="s">
        <v>42</v>
      </c>
      <c r="F762" t="s">
        <v>45</v>
      </c>
    </row>
    <row r="763" spans="1:6" hidden="1" x14ac:dyDescent="0.35">
      <c r="A763" t="s">
        <v>61</v>
      </c>
      <c r="B763" t="s">
        <v>33</v>
      </c>
      <c r="C763" t="s">
        <v>51</v>
      </c>
      <c r="D763">
        <v>0</v>
      </c>
      <c r="E763" t="s">
        <v>42</v>
      </c>
      <c r="F763" t="s">
        <v>45</v>
      </c>
    </row>
    <row r="764" spans="1:6" hidden="1" x14ac:dyDescent="0.35">
      <c r="A764" t="s">
        <v>62</v>
      </c>
      <c r="B764" t="s">
        <v>33</v>
      </c>
      <c r="C764" t="s">
        <v>51</v>
      </c>
      <c r="D764">
        <v>0</v>
      </c>
      <c r="E764" t="s">
        <v>42</v>
      </c>
      <c r="F764" t="s">
        <v>45</v>
      </c>
    </row>
    <row r="765" spans="1:6" hidden="1" x14ac:dyDescent="0.35">
      <c r="A765" t="s">
        <v>63</v>
      </c>
      <c r="B765" t="s">
        <v>33</v>
      </c>
      <c r="C765" t="s">
        <v>51</v>
      </c>
      <c r="D765">
        <v>2</v>
      </c>
      <c r="E765" t="s">
        <v>42</v>
      </c>
      <c r="F765" t="s">
        <v>45</v>
      </c>
    </row>
    <row r="766" spans="1:6" hidden="1" x14ac:dyDescent="0.35">
      <c r="A766" t="s">
        <v>64</v>
      </c>
      <c r="B766" t="s">
        <v>33</v>
      </c>
      <c r="C766" t="s">
        <v>51</v>
      </c>
      <c r="D766">
        <v>0</v>
      </c>
      <c r="E766" t="s">
        <v>42</v>
      </c>
      <c r="F766" t="s">
        <v>45</v>
      </c>
    </row>
    <row r="767" spans="1:6" hidden="1" x14ac:dyDescent="0.35">
      <c r="A767" t="s">
        <v>65</v>
      </c>
      <c r="B767" t="s">
        <v>33</v>
      </c>
      <c r="C767" t="s">
        <v>51</v>
      </c>
      <c r="D767">
        <v>1</v>
      </c>
      <c r="E767" t="s">
        <v>42</v>
      </c>
      <c r="F767" t="s">
        <v>45</v>
      </c>
    </row>
    <row r="768" spans="1:6" hidden="1" x14ac:dyDescent="0.35">
      <c r="A768" t="s">
        <v>66</v>
      </c>
      <c r="B768" t="s">
        <v>33</v>
      </c>
      <c r="C768" t="s">
        <v>51</v>
      </c>
      <c r="D768">
        <v>0</v>
      </c>
      <c r="E768" t="s">
        <v>42</v>
      </c>
      <c r="F768" t="s">
        <v>45</v>
      </c>
    </row>
    <row r="769" spans="1:6" hidden="1" x14ac:dyDescent="0.35">
      <c r="A769" t="s">
        <v>67</v>
      </c>
      <c r="B769" t="s">
        <v>33</v>
      </c>
      <c r="C769" t="s">
        <v>51</v>
      </c>
      <c r="D769">
        <v>2</v>
      </c>
      <c r="E769" t="s">
        <v>42</v>
      </c>
      <c r="F769" t="s">
        <v>45</v>
      </c>
    </row>
    <row r="770" spans="1:6" hidden="1" x14ac:dyDescent="0.35">
      <c r="A770" t="s">
        <v>57</v>
      </c>
      <c r="B770" t="s">
        <v>33</v>
      </c>
      <c r="C770" t="s">
        <v>30</v>
      </c>
      <c r="D770">
        <v>4</v>
      </c>
      <c r="E770" t="s">
        <v>42</v>
      </c>
      <c r="F770" t="s">
        <v>45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0</v>
      </c>
      <c r="E771" t="s">
        <v>42</v>
      </c>
      <c r="F771" t="s">
        <v>45</v>
      </c>
    </row>
    <row r="772" spans="1:6" hidden="1" x14ac:dyDescent="0.35">
      <c r="A772" t="s">
        <v>58</v>
      </c>
      <c r="B772" t="s">
        <v>33</v>
      </c>
      <c r="C772" t="s">
        <v>30</v>
      </c>
      <c r="D772">
        <v>5</v>
      </c>
      <c r="E772" t="s">
        <v>42</v>
      </c>
      <c r="F772" t="s">
        <v>45</v>
      </c>
    </row>
    <row r="773" spans="1:6" hidden="1" x14ac:dyDescent="0.35">
      <c r="A773" t="s">
        <v>59</v>
      </c>
      <c r="B773" t="s">
        <v>33</v>
      </c>
      <c r="C773" t="s">
        <v>30</v>
      </c>
      <c r="D773">
        <v>0</v>
      </c>
      <c r="E773" t="s">
        <v>42</v>
      </c>
      <c r="F773" t="s">
        <v>45</v>
      </c>
    </row>
    <row r="774" spans="1:6" hidden="1" x14ac:dyDescent="0.35">
      <c r="A774" t="s">
        <v>60</v>
      </c>
      <c r="B774" t="s">
        <v>33</v>
      </c>
      <c r="C774" t="s">
        <v>30</v>
      </c>
      <c r="D774">
        <v>2</v>
      </c>
      <c r="E774" t="s">
        <v>42</v>
      </c>
      <c r="F774" t="s">
        <v>45</v>
      </c>
    </row>
    <row r="775" spans="1:6" hidden="1" x14ac:dyDescent="0.35">
      <c r="A775" t="s">
        <v>61</v>
      </c>
      <c r="B775" t="s">
        <v>33</v>
      </c>
      <c r="C775" t="s">
        <v>30</v>
      </c>
      <c r="D775">
        <v>1</v>
      </c>
      <c r="E775" t="s">
        <v>42</v>
      </c>
      <c r="F775" t="s">
        <v>45</v>
      </c>
    </row>
    <row r="776" spans="1:6" hidden="1" x14ac:dyDescent="0.35">
      <c r="A776" t="s">
        <v>62</v>
      </c>
      <c r="B776" t="s">
        <v>33</v>
      </c>
      <c r="C776" t="s">
        <v>30</v>
      </c>
      <c r="D776">
        <v>1</v>
      </c>
      <c r="E776" t="s">
        <v>42</v>
      </c>
      <c r="F776" t="s">
        <v>45</v>
      </c>
    </row>
    <row r="777" spans="1:6" hidden="1" x14ac:dyDescent="0.35">
      <c r="A777" t="s">
        <v>63</v>
      </c>
      <c r="B777" t="s">
        <v>33</v>
      </c>
      <c r="C777" t="s">
        <v>30</v>
      </c>
      <c r="D777">
        <v>2</v>
      </c>
      <c r="E777" t="s">
        <v>42</v>
      </c>
      <c r="F777" t="s">
        <v>45</v>
      </c>
    </row>
    <row r="778" spans="1:6" hidden="1" x14ac:dyDescent="0.35">
      <c r="A778" t="s">
        <v>64</v>
      </c>
      <c r="B778" t="s">
        <v>33</v>
      </c>
      <c r="C778" t="s">
        <v>30</v>
      </c>
      <c r="D778">
        <v>1</v>
      </c>
      <c r="E778" t="s">
        <v>42</v>
      </c>
      <c r="F778" t="s">
        <v>45</v>
      </c>
    </row>
    <row r="779" spans="1:6" hidden="1" x14ac:dyDescent="0.35">
      <c r="A779" t="s">
        <v>65</v>
      </c>
      <c r="B779" t="s">
        <v>33</v>
      </c>
      <c r="C779" t="s">
        <v>30</v>
      </c>
      <c r="D779">
        <v>0</v>
      </c>
      <c r="E779" t="s">
        <v>42</v>
      </c>
      <c r="F779" t="s">
        <v>45</v>
      </c>
    </row>
    <row r="780" spans="1:6" hidden="1" x14ac:dyDescent="0.35">
      <c r="A780" t="s">
        <v>66</v>
      </c>
      <c r="B780" t="s">
        <v>33</v>
      </c>
      <c r="C780" t="s">
        <v>30</v>
      </c>
      <c r="D780">
        <v>0</v>
      </c>
      <c r="E780" t="s">
        <v>42</v>
      </c>
      <c r="F780" t="s">
        <v>45</v>
      </c>
    </row>
    <row r="781" spans="1:6" hidden="1" x14ac:dyDescent="0.35">
      <c r="A781" t="s">
        <v>67</v>
      </c>
      <c r="B781" t="s">
        <v>33</v>
      </c>
      <c r="C781" t="s">
        <v>30</v>
      </c>
      <c r="D781">
        <v>3</v>
      </c>
      <c r="E781" t="s">
        <v>42</v>
      </c>
      <c r="F781" t="s">
        <v>45</v>
      </c>
    </row>
    <row r="782" spans="1:6" hidden="1" x14ac:dyDescent="0.35">
      <c r="A782" t="s">
        <v>57</v>
      </c>
      <c r="B782" t="s">
        <v>33</v>
      </c>
      <c r="C782" t="s">
        <v>52</v>
      </c>
      <c r="D782">
        <v>0</v>
      </c>
      <c r="E782" t="s">
        <v>42</v>
      </c>
      <c r="F782" t="s">
        <v>45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0</v>
      </c>
      <c r="E783" t="s">
        <v>42</v>
      </c>
      <c r="F783" t="s">
        <v>45</v>
      </c>
    </row>
    <row r="784" spans="1:6" hidden="1" x14ac:dyDescent="0.35">
      <c r="A784" t="s">
        <v>58</v>
      </c>
      <c r="B784" t="s">
        <v>33</v>
      </c>
      <c r="C784" t="s">
        <v>52</v>
      </c>
      <c r="D784">
        <v>0</v>
      </c>
      <c r="E784" t="s">
        <v>42</v>
      </c>
      <c r="F784" t="s">
        <v>45</v>
      </c>
    </row>
    <row r="785" spans="1:6" hidden="1" x14ac:dyDescent="0.35">
      <c r="A785" t="s">
        <v>59</v>
      </c>
      <c r="B785" t="s">
        <v>33</v>
      </c>
      <c r="C785" t="s">
        <v>52</v>
      </c>
      <c r="D785">
        <v>0</v>
      </c>
      <c r="E785" t="s">
        <v>42</v>
      </c>
      <c r="F785" t="s">
        <v>45</v>
      </c>
    </row>
    <row r="786" spans="1:6" hidden="1" x14ac:dyDescent="0.35">
      <c r="A786" t="s">
        <v>60</v>
      </c>
      <c r="B786" t="s">
        <v>33</v>
      </c>
      <c r="C786" t="s">
        <v>52</v>
      </c>
      <c r="D786">
        <v>0</v>
      </c>
      <c r="E786" t="s">
        <v>42</v>
      </c>
      <c r="F786" t="s">
        <v>45</v>
      </c>
    </row>
    <row r="787" spans="1:6" hidden="1" x14ac:dyDescent="0.35">
      <c r="A787" t="s">
        <v>61</v>
      </c>
      <c r="B787" t="s">
        <v>33</v>
      </c>
      <c r="C787" t="s">
        <v>52</v>
      </c>
      <c r="D787">
        <v>0</v>
      </c>
      <c r="E787" t="s">
        <v>42</v>
      </c>
      <c r="F787" t="s">
        <v>45</v>
      </c>
    </row>
    <row r="788" spans="1:6" hidden="1" x14ac:dyDescent="0.35">
      <c r="A788" t="s">
        <v>62</v>
      </c>
      <c r="B788" t="s">
        <v>33</v>
      </c>
      <c r="C788" t="s">
        <v>52</v>
      </c>
      <c r="D788">
        <v>0</v>
      </c>
      <c r="E788" t="s">
        <v>42</v>
      </c>
      <c r="F788" t="s">
        <v>45</v>
      </c>
    </row>
    <row r="789" spans="1:6" hidden="1" x14ac:dyDescent="0.35">
      <c r="A789" t="s">
        <v>63</v>
      </c>
      <c r="B789" t="s">
        <v>33</v>
      </c>
      <c r="C789" t="s">
        <v>52</v>
      </c>
      <c r="D789">
        <v>0</v>
      </c>
      <c r="E789" t="s">
        <v>42</v>
      </c>
      <c r="F789" t="s">
        <v>45</v>
      </c>
    </row>
    <row r="790" spans="1:6" hidden="1" x14ac:dyDescent="0.35">
      <c r="A790" t="s">
        <v>64</v>
      </c>
      <c r="B790" t="s">
        <v>33</v>
      </c>
      <c r="C790" t="s">
        <v>52</v>
      </c>
      <c r="D790">
        <v>0</v>
      </c>
      <c r="E790" t="s">
        <v>42</v>
      </c>
      <c r="F790" t="s">
        <v>45</v>
      </c>
    </row>
    <row r="791" spans="1:6" hidden="1" x14ac:dyDescent="0.35">
      <c r="A791" t="s">
        <v>65</v>
      </c>
      <c r="B791" t="s">
        <v>33</v>
      </c>
      <c r="C791" t="s">
        <v>52</v>
      </c>
      <c r="D791">
        <v>0</v>
      </c>
      <c r="E791" t="s">
        <v>42</v>
      </c>
      <c r="F791" t="s">
        <v>45</v>
      </c>
    </row>
    <row r="792" spans="1:6" hidden="1" x14ac:dyDescent="0.35">
      <c r="A792" t="s">
        <v>66</v>
      </c>
      <c r="B792" t="s">
        <v>33</v>
      </c>
      <c r="C792" t="s">
        <v>52</v>
      </c>
      <c r="D792">
        <v>0</v>
      </c>
      <c r="E792" t="s">
        <v>42</v>
      </c>
      <c r="F792" t="s">
        <v>45</v>
      </c>
    </row>
    <row r="793" spans="1:6" hidden="1" x14ac:dyDescent="0.35">
      <c r="A793" t="s">
        <v>67</v>
      </c>
      <c r="B793" t="s">
        <v>33</v>
      </c>
      <c r="C793" t="s">
        <v>52</v>
      </c>
      <c r="D793">
        <v>0</v>
      </c>
      <c r="E793" t="s">
        <v>42</v>
      </c>
      <c r="F793" t="s">
        <v>45</v>
      </c>
    </row>
    <row r="794" spans="1:6" hidden="1" x14ac:dyDescent="0.35">
      <c r="A794" t="s">
        <v>57</v>
      </c>
      <c r="B794" t="s">
        <v>53</v>
      </c>
      <c r="C794" t="s">
        <v>44</v>
      </c>
      <c r="D794">
        <v>0</v>
      </c>
      <c r="E794" t="s">
        <v>42</v>
      </c>
      <c r="F794" t="s">
        <v>45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42</v>
      </c>
      <c r="F795" t="s">
        <v>45</v>
      </c>
    </row>
    <row r="796" spans="1:6" hidden="1" x14ac:dyDescent="0.35">
      <c r="A796" t="s">
        <v>58</v>
      </c>
      <c r="B796" t="s">
        <v>53</v>
      </c>
      <c r="C796" t="s">
        <v>44</v>
      </c>
      <c r="D796">
        <v>0</v>
      </c>
      <c r="E796" t="s">
        <v>42</v>
      </c>
      <c r="F796" t="s">
        <v>45</v>
      </c>
    </row>
    <row r="797" spans="1:6" hidden="1" x14ac:dyDescent="0.35">
      <c r="A797" t="s">
        <v>59</v>
      </c>
      <c r="B797" t="s">
        <v>53</v>
      </c>
      <c r="C797" t="s">
        <v>44</v>
      </c>
      <c r="D797">
        <v>0</v>
      </c>
      <c r="E797" t="s">
        <v>42</v>
      </c>
      <c r="F797" t="s">
        <v>45</v>
      </c>
    </row>
    <row r="798" spans="1:6" hidden="1" x14ac:dyDescent="0.35">
      <c r="A798" t="s">
        <v>60</v>
      </c>
      <c r="B798" t="s">
        <v>53</v>
      </c>
      <c r="C798" t="s">
        <v>44</v>
      </c>
      <c r="D798">
        <v>0</v>
      </c>
      <c r="E798" t="s">
        <v>42</v>
      </c>
      <c r="F798" t="s">
        <v>45</v>
      </c>
    </row>
    <row r="799" spans="1:6" hidden="1" x14ac:dyDescent="0.35">
      <c r="A799" t="s">
        <v>61</v>
      </c>
      <c r="B799" t="s">
        <v>53</v>
      </c>
      <c r="C799" t="s">
        <v>44</v>
      </c>
      <c r="D799">
        <v>0</v>
      </c>
      <c r="E799" t="s">
        <v>42</v>
      </c>
      <c r="F799" t="s">
        <v>45</v>
      </c>
    </row>
    <row r="800" spans="1:6" hidden="1" x14ac:dyDescent="0.35">
      <c r="A800" t="s">
        <v>62</v>
      </c>
      <c r="B800" t="s">
        <v>53</v>
      </c>
      <c r="C800" t="s">
        <v>44</v>
      </c>
      <c r="D800">
        <v>0</v>
      </c>
      <c r="E800" t="s">
        <v>42</v>
      </c>
      <c r="F800" t="s">
        <v>45</v>
      </c>
    </row>
    <row r="801" spans="1:6" hidden="1" x14ac:dyDescent="0.35">
      <c r="A801" t="s">
        <v>63</v>
      </c>
      <c r="B801" t="s">
        <v>53</v>
      </c>
      <c r="C801" t="s">
        <v>44</v>
      </c>
      <c r="D801">
        <v>0</v>
      </c>
      <c r="E801" t="s">
        <v>42</v>
      </c>
      <c r="F801" t="s">
        <v>45</v>
      </c>
    </row>
    <row r="802" spans="1:6" hidden="1" x14ac:dyDescent="0.35">
      <c r="A802" t="s">
        <v>64</v>
      </c>
      <c r="B802" t="s">
        <v>53</v>
      </c>
      <c r="C802" t="s">
        <v>44</v>
      </c>
      <c r="D802">
        <v>0</v>
      </c>
      <c r="E802" t="s">
        <v>42</v>
      </c>
      <c r="F802" t="s">
        <v>45</v>
      </c>
    </row>
    <row r="803" spans="1:6" hidden="1" x14ac:dyDescent="0.35">
      <c r="A803" t="s">
        <v>65</v>
      </c>
      <c r="B803" t="s">
        <v>53</v>
      </c>
      <c r="C803" t="s">
        <v>44</v>
      </c>
      <c r="D803">
        <v>0</v>
      </c>
      <c r="E803" t="s">
        <v>42</v>
      </c>
      <c r="F803" t="s">
        <v>45</v>
      </c>
    </row>
    <row r="804" spans="1:6" hidden="1" x14ac:dyDescent="0.35">
      <c r="A804" t="s">
        <v>66</v>
      </c>
      <c r="B804" t="s">
        <v>53</v>
      </c>
      <c r="C804" t="s">
        <v>44</v>
      </c>
      <c r="D804">
        <v>0</v>
      </c>
      <c r="E804" t="s">
        <v>42</v>
      </c>
      <c r="F804" t="s">
        <v>45</v>
      </c>
    </row>
    <row r="805" spans="1:6" hidden="1" x14ac:dyDescent="0.35">
      <c r="A805" t="s">
        <v>67</v>
      </c>
      <c r="B805" t="s">
        <v>53</v>
      </c>
      <c r="C805" t="s">
        <v>44</v>
      </c>
      <c r="D805">
        <v>0</v>
      </c>
      <c r="E805" t="s">
        <v>42</v>
      </c>
      <c r="F805" t="s">
        <v>45</v>
      </c>
    </row>
    <row r="806" spans="1:6" hidden="1" x14ac:dyDescent="0.35">
      <c r="A806" t="s">
        <v>57</v>
      </c>
      <c r="B806" t="s">
        <v>53</v>
      </c>
      <c r="C806" t="s">
        <v>22</v>
      </c>
      <c r="D806">
        <v>0</v>
      </c>
      <c r="E806" t="s">
        <v>42</v>
      </c>
      <c r="F806" t="s">
        <v>45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42</v>
      </c>
      <c r="F807" t="s">
        <v>45</v>
      </c>
    </row>
    <row r="808" spans="1:6" hidden="1" x14ac:dyDescent="0.35">
      <c r="A808" t="s">
        <v>58</v>
      </c>
      <c r="B808" t="s">
        <v>53</v>
      </c>
      <c r="C808" t="s">
        <v>22</v>
      </c>
      <c r="D808">
        <v>0</v>
      </c>
      <c r="E808" t="s">
        <v>42</v>
      </c>
      <c r="F808" t="s">
        <v>45</v>
      </c>
    </row>
    <row r="809" spans="1:6" hidden="1" x14ac:dyDescent="0.35">
      <c r="A809" t="s">
        <v>59</v>
      </c>
      <c r="B809" t="s">
        <v>53</v>
      </c>
      <c r="C809" t="s">
        <v>22</v>
      </c>
      <c r="D809">
        <v>0</v>
      </c>
      <c r="E809" t="s">
        <v>42</v>
      </c>
      <c r="F809" t="s">
        <v>45</v>
      </c>
    </row>
    <row r="810" spans="1:6" hidden="1" x14ac:dyDescent="0.35">
      <c r="A810" t="s">
        <v>60</v>
      </c>
      <c r="B810" t="s">
        <v>53</v>
      </c>
      <c r="C810" t="s">
        <v>22</v>
      </c>
      <c r="D810">
        <v>0</v>
      </c>
      <c r="E810" t="s">
        <v>42</v>
      </c>
      <c r="F810" t="s">
        <v>45</v>
      </c>
    </row>
    <row r="811" spans="1:6" hidden="1" x14ac:dyDescent="0.35">
      <c r="A811" t="s">
        <v>61</v>
      </c>
      <c r="B811" t="s">
        <v>53</v>
      </c>
      <c r="C811" t="s">
        <v>22</v>
      </c>
      <c r="D811">
        <v>0</v>
      </c>
      <c r="E811" t="s">
        <v>42</v>
      </c>
      <c r="F811" t="s">
        <v>45</v>
      </c>
    </row>
    <row r="812" spans="1:6" hidden="1" x14ac:dyDescent="0.35">
      <c r="A812" t="s">
        <v>62</v>
      </c>
      <c r="B812" t="s">
        <v>53</v>
      </c>
      <c r="C812" t="s">
        <v>22</v>
      </c>
      <c r="D812">
        <v>0</v>
      </c>
      <c r="E812" t="s">
        <v>42</v>
      </c>
      <c r="F812" t="s">
        <v>45</v>
      </c>
    </row>
    <row r="813" spans="1:6" hidden="1" x14ac:dyDescent="0.35">
      <c r="A813" t="s">
        <v>63</v>
      </c>
      <c r="B813" t="s">
        <v>53</v>
      </c>
      <c r="C813" t="s">
        <v>22</v>
      </c>
      <c r="D813">
        <v>0</v>
      </c>
      <c r="E813" t="s">
        <v>42</v>
      </c>
      <c r="F813" t="s">
        <v>45</v>
      </c>
    </row>
    <row r="814" spans="1:6" hidden="1" x14ac:dyDescent="0.35">
      <c r="A814" t="s">
        <v>64</v>
      </c>
      <c r="B814" t="s">
        <v>53</v>
      </c>
      <c r="C814" t="s">
        <v>22</v>
      </c>
      <c r="D814">
        <v>0</v>
      </c>
      <c r="E814" t="s">
        <v>42</v>
      </c>
      <c r="F814" t="s">
        <v>45</v>
      </c>
    </row>
    <row r="815" spans="1:6" hidden="1" x14ac:dyDescent="0.35">
      <c r="A815" t="s">
        <v>65</v>
      </c>
      <c r="B815" t="s">
        <v>53</v>
      </c>
      <c r="C815" t="s">
        <v>22</v>
      </c>
      <c r="D815">
        <v>0</v>
      </c>
      <c r="E815" t="s">
        <v>42</v>
      </c>
      <c r="F815" t="s">
        <v>45</v>
      </c>
    </row>
    <row r="816" spans="1:6" hidden="1" x14ac:dyDescent="0.35">
      <c r="A816" t="s">
        <v>66</v>
      </c>
      <c r="B816" t="s">
        <v>53</v>
      </c>
      <c r="C816" t="s">
        <v>22</v>
      </c>
      <c r="D816">
        <v>0</v>
      </c>
      <c r="E816" t="s">
        <v>42</v>
      </c>
      <c r="F816" t="s">
        <v>45</v>
      </c>
    </row>
    <row r="817" spans="1:6" hidden="1" x14ac:dyDescent="0.35">
      <c r="A817" t="s">
        <v>67</v>
      </c>
      <c r="B817" t="s">
        <v>53</v>
      </c>
      <c r="C817" t="s">
        <v>22</v>
      </c>
      <c r="D817">
        <v>0</v>
      </c>
      <c r="E817" t="s">
        <v>42</v>
      </c>
      <c r="F817" t="s">
        <v>45</v>
      </c>
    </row>
    <row r="818" spans="1:6" hidden="1" x14ac:dyDescent="0.35">
      <c r="A818" t="s">
        <v>57</v>
      </c>
      <c r="B818" t="s">
        <v>53</v>
      </c>
      <c r="C818" t="s">
        <v>46</v>
      </c>
      <c r="D818">
        <v>0</v>
      </c>
      <c r="E818" t="s">
        <v>42</v>
      </c>
      <c r="F818" t="s">
        <v>45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42</v>
      </c>
      <c r="F819" t="s">
        <v>45</v>
      </c>
    </row>
    <row r="820" spans="1:6" hidden="1" x14ac:dyDescent="0.35">
      <c r="A820" t="s">
        <v>58</v>
      </c>
      <c r="B820" t="s">
        <v>53</v>
      </c>
      <c r="C820" t="s">
        <v>46</v>
      </c>
      <c r="D820">
        <v>0</v>
      </c>
      <c r="E820" t="s">
        <v>42</v>
      </c>
      <c r="F820" t="s">
        <v>45</v>
      </c>
    </row>
    <row r="821" spans="1:6" hidden="1" x14ac:dyDescent="0.35">
      <c r="A821" t="s">
        <v>59</v>
      </c>
      <c r="B821" t="s">
        <v>53</v>
      </c>
      <c r="C821" t="s">
        <v>46</v>
      </c>
      <c r="D821">
        <v>0</v>
      </c>
      <c r="E821" t="s">
        <v>42</v>
      </c>
      <c r="F821" t="s">
        <v>45</v>
      </c>
    </row>
    <row r="822" spans="1:6" hidden="1" x14ac:dyDescent="0.35">
      <c r="A822" t="s">
        <v>60</v>
      </c>
      <c r="B822" t="s">
        <v>53</v>
      </c>
      <c r="C822" t="s">
        <v>46</v>
      </c>
      <c r="D822">
        <v>0</v>
      </c>
      <c r="E822" t="s">
        <v>42</v>
      </c>
      <c r="F822" t="s">
        <v>45</v>
      </c>
    </row>
    <row r="823" spans="1:6" hidden="1" x14ac:dyDescent="0.35">
      <c r="A823" t="s">
        <v>61</v>
      </c>
      <c r="B823" t="s">
        <v>53</v>
      </c>
      <c r="C823" t="s">
        <v>46</v>
      </c>
      <c r="D823">
        <v>0</v>
      </c>
      <c r="E823" t="s">
        <v>42</v>
      </c>
      <c r="F823" t="s">
        <v>45</v>
      </c>
    </row>
    <row r="824" spans="1:6" hidden="1" x14ac:dyDescent="0.35">
      <c r="A824" t="s">
        <v>62</v>
      </c>
      <c r="B824" t="s">
        <v>53</v>
      </c>
      <c r="C824" t="s">
        <v>46</v>
      </c>
      <c r="D824">
        <v>0</v>
      </c>
      <c r="E824" t="s">
        <v>42</v>
      </c>
      <c r="F824" t="s">
        <v>45</v>
      </c>
    </row>
    <row r="825" spans="1:6" hidden="1" x14ac:dyDescent="0.35">
      <c r="A825" t="s">
        <v>63</v>
      </c>
      <c r="B825" t="s">
        <v>53</v>
      </c>
      <c r="C825" t="s">
        <v>46</v>
      </c>
      <c r="D825">
        <v>0</v>
      </c>
      <c r="E825" t="s">
        <v>42</v>
      </c>
      <c r="F825" t="s">
        <v>45</v>
      </c>
    </row>
    <row r="826" spans="1:6" hidden="1" x14ac:dyDescent="0.35">
      <c r="A826" t="s">
        <v>64</v>
      </c>
      <c r="B826" t="s">
        <v>53</v>
      </c>
      <c r="C826" t="s">
        <v>46</v>
      </c>
      <c r="D826">
        <v>0</v>
      </c>
      <c r="E826" t="s">
        <v>42</v>
      </c>
      <c r="F826" t="s">
        <v>45</v>
      </c>
    </row>
    <row r="827" spans="1:6" hidden="1" x14ac:dyDescent="0.35">
      <c r="A827" t="s">
        <v>65</v>
      </c>
      <c r="B827" t="s">
        <v>53</v>
      </c>
      <c r="C827" t="s">
        <v>46</v>
      </c>
      <c r="D827">
        <v>0</v>
      </c>
      <c r="E827" t="s">
        <v>42</v>
      </c>
      <c r="F827" t="s">
        <v>45</v>
      </c>
    </row>
    <row r="828" spans="1:6" hidden="1" x14ac:dyDescent="0.35">
      <c r="A828" t="s">
        <v>66</v>
      </c>
      <c r="B828" t="s">
        <v>53</v>
      </c>
      <c r="C828" t="s">
        <v>46</v>
      </c>
      <c r="D828">
        <v>0</v>
      </c>
      <c r="E828" t="s">
        <v>42</v>
      </c>
      <c r="F828" t="s">
        <v>45</v>
      </c>
    </row>
    <row r="829" spans="1:6" hidden="1" x14ac:dyDescent="0.35">
      <c r="A829" t="s">
        <v>67</v>
      </c>
      <c r="B829" t="s">
        <v>53</v>
      </c>
      <c r="C829" t="s">
        <v>46</v>
      </c>
      <c r="D829">
        <v>0</v>
      </c>
      <c r="E829" t="s">
        <v>42</v>
      </c>
      <c r="F829" t="s">
        <v>45</v>
      </c>
    </row>
    <row r="830" spans="1:6" hidden="1" x14ac:dyDescent="0.35">
      <c r="A830" t="s">
        <v>57</v>
      </c>
      <c r="B830" t="s">
        <v>53</v>
      </c>
      <c r="C830" t="s">
        <v>24</v>
      </c>
      <c r="D830">
        <v>0</v>
      </c>
      <c r="E830" t="s">
        <v>42</v>
      </c>
      <c r="F830" t="s">
        <v>45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42</v>
      </c>
      <c r="F831" t="s">
        <v>45</v>
      </c>
    </row>
    <row r="832" spans="1:6" hidden="1" x14ac:dyDescent="0.35">
      <c r="A832" t="s">
        <v>58</v>
      </c>
      <c r="B832" t="s">
        <v>53</v>
      </c>
      <c r="C832" t="s">
        <v>24</v>
      </c>
      <c r="D832">
        <v>0</v>
      </c>
      <c r="E832" t="s">
        <v>42</v>
      </c>
      <c r="F832" t="s">
        <v>45</v>
      </c>
    </row>
    <row r="833" spans="1:6" hidden="1" x14ac:dyDescent="0.35">
      <c r="A833" t="s">
        <v>59</v>
      </c>
      <c r="B833" t="s">
        <v>53</v>
      </c>
      <c r="C833" t="s">
        <v>24</v>
      </c>
      <c r="D833">
        <v>0</v>
      </c>
      <c r="E833" t="s">
        <v>42</v>
      </c>
      <c r="F833" t="s">
        <v>45</v>
      </c>
    </row>
    <row r="834" spans="1:6" hidden="1" x14ac:dyDescent="0.35">
      <c r="A834" t="s">
        <v>60</v>
      </c>
      <c r="B834" t="s">
        <v>53</v>
      </c>
      <c r="C834" t="s">
        <v>24</v>
      </c>
      <c r="D834">
        <v>0</v>
      </c>
      <c r="E834" t="s">
        <v>42</v>
      </c>
      <c r="F834" t="s">
        <v>45</v>
      </c>
    </row>
    <row r="835" spans="1:6" hidden="1" x14ac:dyDescent="0.35">
      <c r="A835" t="s">
        <v>61</v>
      </c>
      <c r="B835" t="s">
        <v>53</v>
      </c>
      <c r="C835" t="s">
        <v>24</v>
      </c>
      <c r="D835">
        <v>0</v>
      </c>
      <c r="E835" t="s">
        <v>42</v>
      </c>
      <c r="F835" t="s">
        <v>45</v>
      </c>
    </row>
    <row r="836" spans="1:6" hidden="1" x14ac:dyDescent="0.35">
      <c r="A836" t="s">
        <v>62</v>
      </c>
      <c r="B836" t="s">
        <v>53</v>
      </c>
      <c r="C836" t="s">
        <v>24</v>
      </c>
      <c r="D836">
        <v>0</v>
      </c>
      <c r="E836" t="s">
        <v>42</v>
      </c>
      <c r="F836" t="s">
        <v>45</v>
      </c>
    </row>
    <row r="837" spans="1:6" hidden="1" x14ac:dyDescent="0.35">
      <c r="A837" t="s">
        <v>63</v>
      </c>
      <c r="B837" t="s">
        <v>53</v>
      </c>
      <c r="C837" t="s">
        <v>24</v>
      </c>
      <c r="D837">
        <v>0</v>
      </c>
      <c r="E837" t="s">
        <v>42</v>
      </c>
      <c r="F837" t="s">
        <v>45</v>
      </c>
    </row>
    <row r="838" spans="1:6" hidden="1" x14ac:dyDescent="0.35">
      <c r="A838" t="s">
        <v>64</v>
      </c>
      <c r="B838" t="s">
        <v>53</v>
      </c>
      <c r="C838" t="s">
        <v>24</v>
      </c>
      <c r="D838">
        <v>0</v>
      </c>
      <c r="E838" t="s">
        <v>42</v>
      </c>
      <c r="F838" t="s">
        <v>45</v>
      </c>
    </row>
    <row r="839" spans="1:6" hidden="1" x14ac:dyDescent="0.35">
      <c r="A839" t="s">
        <v>65</v>
      </c>
      <c r="B839" t="s">
        <v>53</v>
      </c>
      <c r="C839" t="s">
        <v>24</v>
      </c>
      <c r="D839">
        <v>0</v>
      </c>
      <c r="E839" t="s">
        <v>42</v>
      </c>
      <c r="F839" t="s">
        <v>45</v>
      </c>
    </row>
    <row r="840" spans="1:6" hidden="1" x14ac:dyDescent="0.35">
      <c r="A840" t="s">
        <v>66</v>
      </c>
      <c r="B840" t="s">
        <v>53</v>
      </c>
      <c r="C840" t="s">
        <v>24</v>
      </c>
      <c r="D840">
        <v>0</v>
      </c>
      <c r="E840" t="s">
        <v>42</v>
      </c>
      <c r="F840" t="s">
        <v>45</v>
      </c>
    </row>
    <row r="841" spans="1:6" hidden="1" x14ac:dyDescent="0.35">
      <c r="A841" t="s">
        <v>67</v>
      </c>
      <c r="B841" t="s">
        <v>53</v>
      </c>
      <c r="C841" t="s">
        <v>24</v>
      </c>
      <c r="D841">
        <v>0</v>
      </c>
      <c r="E841" t="s">
        <v>42</v>
      </c>
      <c r="F841" t="s">
        <v>45</v>
      </c>
    </row>
    <row r="842" spans="1:6" hidden="1" x14ac:dyDescent="0.35">
      <c r="A842" t="s">
        <v>57</v>
      </c>
      <c r="B842" t="s">
        <v>53</v>
      </c>
      <c r="C842" t="s">
        <v>47</v>
      </c>
      <c r="D842">
        <v>0</v>
      </c>
      <c r="E842" t="s">
        <v>42</v>
      </c>
      <c r="F842" t="s">
        <v>45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42</v>
      </c>
      <c r="F843" t="s">
        <v>45</v>
      </c>
    </row>
    <row r="844" spans="1:6" hidden="1" x14ac:dyDescent="0.35">
      <c r="A844" t="s">
        <v>58</v>
      </c>
      <c r="B844" t="s">
        <v>53</v>
      </c>
      <c r="C844" t="s">
        <v>47</v>
      </c>
      <c r="D844">
        <v>0</v>
      </c>
      <c r="E844" t="s">
        <v>42</v>
      </c>
      <c r="F844" t="s">
        <v>45</v>
      </c>
    </row>
    <row r="845" spans="1:6" hidden="1" x14ac:dyDescent="0.35">
      <c r="A845" t="s">
        <v>59</v>
      </c>
      <c r="B845" t="s">
        <v>53</v>
      </c>
      <c r="C845" t="s">
        <v>47</v>
      </c>
      <c r="D845">
        <v>0</v>
      </c>
      <c r="E845" t="s">
        <v>42</v>
      </c>
      <c r="F845" t="s">
        <v>45</v>
      </c>
    </row>
    <row r="846" spans="1:6" hidden="1" x14ac:dyDescent="0.35">
      <c r="A846" t="s">
        <v>60</v>
      </c>
      <c r="B846" t="s">
        <v>53</v>
      </c>
      <c r="C846" t="s">
        <v>47</v>
      </c>
      <c r="D846">
        <v>0</v>
      </c>
      <c r="E846" t="s">
        <v>42</v>
      </c>
      <c r="F846" t="s">
        <v>45</v>
      </c>
    </row>
    <row r="847" spans="1:6" hidden="1" x14ac:dyDescent="0.35">
      <c r="A847" t="s">
        <v>61</v>
      </c>
      <c r="B847" t="s">
        <v>53</v>
      </c>
      <c r="C847" t="s">
        <v>47</v>
      </c>
      <c r="D847">
        <v>0</v>
      </c>
      <c r="E847" t="s">
        <v>42</v>
      </c>
      <c r="F847" t="s">
        <v>45</v>
      </c>
    </row>
    <row r="848" spans="1:6" hidden="1" x14ac:dyDescent="0.35">
      <c r="A848" t="s">
        <v>62</v>
      </c>
      <c r="B848" t="s">
        <v>53</v>
      </c>
      <c r="C848" t="s">
        <v>47</v>
      </c>
      <c r="D848">
        <v>0</v>
      </c>
      <c r="E848" t="s">
        <v>42</v>
      </c>
      <c r="F848" t="s">
        <v>45</v>
      </c>
    </row>
    <row r="849" spans="1:6" hidden="1" x14ac:dyDescent="0.35">
      <c r="A849" t="s">
        <v>63</v>
      </c>
      <c r="B849" t="s">
        <v>53</v>
      </c>
      <c r="C849" t="s">
        <v>47</v>
      </c>
      <c r="D849">
        <v>0</v>
      </c>
      <c r="E849" t="s">
        <v>42</v>
      </c>
      <c r="F849" t="s">
        <v>45</v>
      </c>
    </row>
    <row r="850" spans="1:6" hidden="1" x14ac:dyDescent="0.35">
      <c r="A850" t="s">
        <v>64</v>
      </c>
      <c r="B850" t="s">
        <v>53</v>
      </c>
      <c r="C850" t="s">
        <v>47</v>
      </c>
      <c r="D850">
        <v>0</v>
      </c>
      <c r="E850" t="s">
        <v>42</v>
      </c>
      <c r="F850" t="s">
        <v>45</v>
      </c>
    </row>
    <row r="851" spans="1:6" hidden="1" x14ac:dyDescent="0.35">
      <c r="A851" t="s">
        <v>65</v>
      </c>
      <c r="B851" t="s">
        <v>53</v>
      </c>
      <c r="C851" t="s">
        <v>47</v>
      </c>
      <c r="D851">
        <v>0</v>
      </c>
      <c r="E851" t="s">
        <v>42</v>
      </c>
      <c r="F851" t="s">
        <v>45</v>
      </c>
    </row>
    <row r="852" spans="1:6" hidden="1" x14ac:dyDescent="0.35">
      <c r="A852" t="s">
        <v>66</v>
      </c>
      <c r="B852" t="s">
        <v>53</v>
      </c>
      <c r="C852" t="s">
        <v>47</v>
      </c>
      <c r="D852">
        <v>0</v>
      </c>
      <c r="E852" t="s">
        <v>42</v>
      </c>
      <c r="F852" t="s">
        <v>45</v>
      </c>
    </row>
    <row r="853" spans="1:6" hidden="1" x14ac:dyDescent="0.35">
      <c r="A853" t="s">
        <v>67</v>
      </c>
      <c r="B853" t="s">
        <v>53</v>
      </c>
      <c r="C853" t="s">
        <v>47</v>
      </c>
      <c r="D853">
        <v>0</v>
      </c>
      <c r="E853" t="s">
        <v>42</v>
      </c>
      <c r="F853" t="s">
        <v>45</v>
      </c>
    </row>
    <row r="854" spans="1:6" hidden="1" x14ac:dyDescent="0.35">
      <c r="A854" t="s">
        <v>57</v>
      </c>
      <c r="B854" t="s">
        <v>53</v>
      </c>
      <c r="C854" t="s">
        <v>48</v>
      </c>
      <c r="D854">
        <v>0</v>
      </c>
      <c r="E854" t="s">
        <v>42</v>
      </c>
      <c r="F854" t="s">
        <v>45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42</v>
      </c>
      <c r="F855" t="s">
        <v>45</v>
      </c>
    </row>
    <row r="856" spans="1:6" hidden="1" x14ac:dyDescent="0.35">
      <c r="A856" t="s">
        <v>58</v>
      </c>
      <c r="B856" t="s">
        <v>53</v>
      </c>
      <c r="C856" t="s">
        <v>48</v>
      </c>
      <c r="D856">
        <v>0</v>
      </c>
      <c r="E856" t="s">
        <v>42</v>
      </c>
      <c r="F856" t="s">
        <v>45</v>
      </c>
    </row>
    <row r="857" spans="1:6" hidden="1" x14ac:dyDescent="0.35">
      <c r="A857" t="s">
        <v>59</v>
      </c>
      <c r="B857" t="s">
        <v>53</v>
      </c>
      <c r="C857" t="s">
        <v>48</v>
      </c>
      <c r="D857">
        <v>0</v>
      </c>
      <c r="E857" t="s">
        <v>42</v>
      </c>
      <c r="F857" t="s">
        <v>45</v>
      </c>
    </row>
    <row r="858" spans="1:6" hidden="1" x14ac:dyDescent="0.35">
      <c r="A858" t="s">
        <v>60</v>
      </c>
      <c r="B858" t="s">
        <v>53</v>
      </c>
      <c r="C858" t="s">
        <v>48</v>
      </c>
      <c r="D858">
        <v>0</v>
      </c>
      <c r="E858" t="s">
        <v>42</v>
      </c>
      <c r="F858" t="s">
        <v>45</v>
      </c>
    </row>
    <row r="859" spans="1:6" hidden="1" x14ac:dyDescent="0.35">
      <c r="A859" t="s">
        <v>61</v>
      </c>
      <c r="B859" t="s">
        <v>53</v>
      </c>
      <c r="C859" t="s">
        <v>48</v>
      </c>
      <c r="D859">
        <v>0</v>
      </c>
      <c r="E859" t="s">
        <v>42</v>
      </c>
      <c r="F859" t="s">
        <v>45</v>
      </c>
    </row>
    <row r="860" spans="1:6" hidden="1" x14ac:dyDescent="0.35">
      <c r="A860" t="s">
        <v>62</v>
      </c>
      <c r="B860" t="s">
        <v>53</v>
      </c>
      <c r="C860" t="s">
        <v>48</v>
      </c>
      <c r="D860">
        <v>0</v>
      </c>
      <c r="E860" t="s">
        <v>42</v>
      </c>
      <c r="F860" t="s">
        <v>45</v>
      </c>
    </row>
    <row r="861" spans="1:6" hidden="1" x14ac:dyDescent="0.35">
      <c r="A861" t="s">
        <v>63</v>
      </c>
      <c r="B861" t="s">
        <v>53</v>
      </c>
      <c r="C861" t="s">
        <v>48</v>
      </c>
      <c r="D861">
        <v>0</v>
      </c>
      <c r="E861" t="s">
        <v>42</v>
      </c>
      <c r="F861" t="s">
        <v>45</v>
      </c>
    </row>
    <row r="862" spans="1:6" hidden="1" x14ac:dyDescent="0.35">
      <c r="A862" t="s">
        <v>64</v>
      </c>
      <c r="B862" t="s">
        <v>53</v>
      </c>
      <c r="C862" t="s">
        <v>48</v>
      </c>
      <c r="D862">
        <v>0</v>
      </c>
      <c r="E862" t="s">
        <v>42</v>
      </c>
      <c r="F862" t="s">
        <v>45</v>
      </c>
    </row>
    <row r="863" spans="1:6" hidden="1" x14ac:dyDescent="0.35">
      <c r="A863" t="s">
        <v>65</v>
      </c>
      <c r="B863" t="s">
        <v>53</v>
      </c>
      <c r="C863" t="s">
        <v>48</v>
      </c>
      <c r="D863">
        <v>0</v>
      </c>
      <c r="E863" t="s">
        <v>42</v>
      </c>
      <c r="F863" t="s">
        <v>45</v>
      </c>
    </row>
    <row r="864" spans="1:6" hidden="1" x14ac:dyDescent="0.35">
      <c r="A864" t="s">
        <v>66</v>
      </c>
      <c r="B864" t="s">
        <v>53</v>
      </c>
      <c r="C864" t="s">
        <v>48</v>
      </c>
      <c r="D864">
        <v>0</v>
      </c>
      <c r="E864" t="s">
        <v>42</v>
      </c>
      <c r="F864" t="s">
        <v>45</v>
      </c>
    </row>
    <row r="865" spans="1:6" hidden="1" x14ac:dyDescent="0.35">
      <c r="A865" t="s">
        <v>67</v>
      </c>
      <c r="B865" t="s">
        <v>53</v>
      </c>
      <c r="C865" t="s">
        <v>48</v>
      </c>
      <c r="D865">
        <v>0</v>
      </c>
      <c r="E865" t="s">
        <v>42</v>
      </c>
      <c r="F865" t="s">
        <v>45</v>
      </c>
    </row>
    <row r="866" spans="1:6" hidden="1" x14ac:dyDescent="0.35">
      <c r="A866" t="s">
        <v>57</v>
      </c>
      <c r="B866" t="s">
        <v>53</v>
      </c>
      <c r="C866" t="s">
        <v>49</v>
      </c>
      <c r="D866">
        <v>0</v>
      </c>
      <c r="E866" t="s">
        <v>42</v>
      </c>
      <c r="F866" t="s">
        <v>45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42</v>
      </c>
      <c r="F867" t="s">
        <v>45</v>
      </c>
    </row>
    <row r="868" spans="1:6" hidden="1" x14ac:dyDescent="0.35">
      <c r="A868" t="s">
        <v>58</v>
      </c>
      <c r="B868" t="s">
        <v>53</v>
      </c>
      <c r="C868" t="s">
        <v>49</v>
      </c>
      <c r="D868">
        <v>0</v>
      </c>
      <c r="E868" t="s">
        <v>42</v>
      </c>
      <c r="F868" t="s">
        <v>45</v>
      </c>
    </row>
    <row r="869" spans="1:6" hidden="1" x14ac:dyDescent="0.35">
      <c r="A869" t="s">
        <v>59</v>
      </c>
      <c r="B869" t="s">
        <v>53</v>
      </c>
      <c r="C869" t="s">
        <v>49</v>
      </c>
      <c r="D869">
        <v>0</v>
      </c>
      <c r="E869" t="s">
        <v>42</v>
      </c>
      <c r="F869" t="s">
        <v>45</v>
      </c>
    </row>
    <row r="870" spans="1:6" hidden="1" x14ac:dyDescent="0.35">
      <c r="A870" t="s">
        <v>60</v>
      </c>
      <c r="B870" t="s">
        <v>53</v>
      </c>
      <c r="C870" t="s">
        <v>49</v>
      </c>
      <c r="D870">
        <v>0</v>
      </c>
      <c r="E870" t="s">
        <v>42</v>
      </c>
      <c r="F870" t="s">
        <v>45</v>
      </c>
    </row>
    <row r="871" spans="1:6" hidden="1" x14ac:dyDescent="0.35">
      <c r="A871" t="s">
        <v>61</v>
      </c>
      <c r="B871" t="s">
        <v>53</v>
      </c>
      <c r="C871" t="s">
        <v>49</v>
      </c>
      <c r="D871">
        <v>0</v>
      </c>
      <c r="E871" t="s">
        <v>42</v>
      </c>
      <c r="F871" t="s">
        <v>45</v>
      </c>
    </row>
    <row r="872" spans="1:6" hidden="1" x14ac:dyDescent="0.35">
      <c r="A872" t="s">
        <v>62</v>
      </c>
      <c r="B872" t="s">
        <v>53</v>
      </c>
      <c r="C872" t="s">
        <v>49</v>
      </c>
      <c r="D872">
        <v>0</v>
      </c>
      <c r="E872" t="s">
        <v>42</v>
      </c>
      <c r="F872" t="s">
        <v>45</v>
      </c>
    </row>
    <row r="873" spans="1:6" hidden="1" x14ac:dyDescent="0.35">
      <c r="A873" t="s">
        <v>63</v>
      </c>
      <c r="B873" t="s">
        <v>53</v>
      </c>
      <c r="C873" t="s">
        <v>49</v>
      </c>
      <c r="D873">
        <v>0</v>
      </c>
      <c r="E873" t="s">
        <v>42</v>
      </c>
      <c r="F873" t="s">
        <v>45</v>
      </c>
    </row>
    <row r="874" spans="1:6" hidden="1" x14ac:dyDescent="0.35">
      <c r="A874" t="s">
        <v>64</v>
      </c>
      <c r="B874" t="s">
        <v>53</v>
      </c>
      <c r="C874" t="s">
        <v>49</v>
      </c>
      <c r="D874">
        <v>0</v>
      </c>
      <c r="E874" t="s">
        <v>42</v>
      </c>
      <c r="F874" t="s">
        <v>45</v>
      </c>
    </row>
    <row r="875" spans="1:6" hidden="1" x14ac:dyDescent="0.35">
      <c r="A875" t="s">
        <v>65</v>
      </c>
      <c r="B875" t="s">
        <v>53</v>
      </c>
      <c r="C875" t="s">
        <v>49</v>
      </c>
      <c r="D875">
        <v>0</v>
      </c>
      <c r="E875" t="s">
        <v>42</v>
      </c>
      <c r="F875" t="s">
        <v>45</v>
      </c>
    </row>
    <row r="876" spans="1:6" hidden="1" x14ac:dyDescent="0.35">
      <c r="A876" t="s">
        <v>66</v>
      </c>
      <c r="B876" t="s">
        <v>53</v>
      </c>
      <c r="C876" t="s">
        <v>49</v>
      </c>
      <c r="D876">
        <v>0</v>
      </c>
      <c r="E876" t="s">
        <v>42</v>
      </c>
      <c r="F876" t="s">
        <v>45</v>
      </c>
    </row>
    <row r="877" spans="1:6" hidden="1" x14ac:dyDescent="0.35">
      <c r="A877" t="s">
        <v>67</v>
      </c>
      <c r="B877" t="s">
        <v>53</v>
      </c>
      <c r="C877" t="s">
        <v>49</v>
      </c>
      <c r="D877">
        <v>0</v>
      </c>
      <c r="E877" t="s">
        <v>42</v>
      </c>
      <c r="F877" t="s">
        <v>45</v>
      </c>
    </row>
    <row r="878" spans="1:6" hidden="1" x14ac:dyDescent="0.35">
      <c r="A878" t="s">
        <v>57</v>
      </c>
      <c r="B878" t="s">
        <v>53</v>
      </c>
      <c r="C878" t="s">
        <v>50</v>
      </c>
      <c r="D878">
        <v>0</v>
      </c>
      <c r="E878" t="s">
        <v>42</v>
      </c>
      <c r="F878" t="s">
        <v>45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42</v>
      </c>
      <c r="F879" t="s">
        <v>45</v>
      </c>
    </row>
    <row r="880" spans="1:6" hidden="1" x14ac:dyDescent="0.35">
      <c r="A880" t="s">
        <v>58</v>
      </c>
      <c r="B880" t="s">
        <v>53</v>
      </c>
      <c r="C880" t="s">
        <v>50</v>
      </c>
      <c r="D880">
        <v>0</v>
      </c>
      <c r="E880" t="s">
        <v>42</v>
      </c>
      <c r="F880" t="s">
        <v>45</v>
      </c>
    </row>
    <row r="881" spans="1:6" hidden="1" x14ac:dyDescent="0.35">
      <c r="A881" t="s">
        <v>59</v>
      </c>
      <c r="B881" t="s">
        <v>53</v>
      </c>
      <c r="C881" t="s">
        <v>50</v>
      </c>
      <c r="D881">
        <v>0</v>
      </c>
      <c r="E881" t="s">
        <v>42</v>
      </c>
      <c r="F881" t="s">
        <v>45</v>
      </c>
    </row>
    <row r="882" spans="1:6" hidden="1" x14ac:dyDescent="0.35">
      <c r="A882" t="s">
        <v>60</v>
      </c>
      <c r="B882" t="s">
        <v>53</v>
      </c>
      <c r="C882" t="s">
        <v>50</v>
      </c>
      <c r="D882">
        <v>0</v>
      </c>
      <c r="E882" t="s">
        <v>42</v>
      </c>
      <c r="F882" t="s">
        <v>45</v>
      </c>
    </row>
    <row r="883" spans="1:6" hidden="1" x14ac:dyDescent="0.35">
      <c r="A883" t="s">
        <v>61</v>
      </c>
      <c r="B883" t="s">
        <v>53</v>
      </c>
      <c r="C883" t="s">
        <v>50</v>
      </c>
      <c r="D883">
        <v>0</v>
      </c>
      <c r="E883" t="s">
        <v>42</v>
      </c>
      <c r="F883" t="s">
        <v>45</v>
      </c>
    </row>
    <row r="884" spans="1:6" hidden="1" x14ac:dyDescent="0.35">
      <c r="A884" t="s">
        <v>62</v>
      </c>
      <c r="B884" t="s">
        <v>53</v>
      </c>
      <c r="C884" t="s">
        <v>50</v>
      </c>
      <c r="D884">
        <v>0</v>
      </c>
      <c r="E884" t="s">
        <v>42</v>
      </c>
      <c r="F884" t="s">
        <v>45</v>
      </c>
    </row>
    <row r="885" spans="1:6" hidden="1" x14ac:dyDescent="0.35">
      <c r="A885" t="s">
        <v>63</v>
      </c>
      <c r="B885" t="s">
        <v>53</v>
      </c>
      <c r="C885" t="s">
        <v>50</v>
      </c>
      <c r="D885">
        <v>0</v>
      </c>
      <c r="E885" t="s">
        <v>42</v>
      </c>
      <c r="F885" t="s">
        <v>45</v>
      </c>
    </row>
    <row r="886" spans="1:6" hidden="1" x14ac:dyDescent="0.35">
      <c r="A886" t="s">
        <v>64</v>
      </c>
      <c r="B886" t="s">
        <v>53</v>
      </c>
      <c r="C886" t="s">
        <v>50</v>
      </c>
      <c r="D886">
        <v>0</v>
      </c>
      <c r="E886" t="s">
        <v>42</v>
      </c>
      <c r="F886" t="s">
        <v>45</v>
      </c>
    </row>
    <row r="887" spans="1:6" hidden="1" x14ac:dyDescent="0.35">
      <c r="A887" t="s">
        <v>65</v>
      </c>
      <c r="B887" t="s">
        <v>53</v>
      </c>
      <c r="C887" t="s">
        <v>50</v>
      </c>
      <c r="D887">
        <v>0</v>
      </c>
      <c r="E887" t="s">
        <v>42</v>
      </c>
      <c r="F887" t="s">
        <v>45</v>
      </c>
    </row>
    <row r="888" spans="1:6" hidden="1" x14ac:dyDescent="0.35">
      <c r="A888" t="s">
        <v>66</v>
      </c>
      <c r="B888" t="s">
        <v>53</v>
      </c>
      <c r="C888" t="s">
        <v>50</v>
      </c>
      <c r="D888">
        <v>0</v>
      </c>
      <c r="E888" t="s">
        <v>42</v>
      </c>
      <c r="F888" t="s">
        <v>45</v>
      </c>
    </row>
    <row r="889" spans="1:6" hidden="1" x14ac:dyDescent="0.35">
      <c r="A889" t="s">
        <v>67</v>
      </c>
      <c r="B889" t="s">
        <v>53</v>
      </c>
      <c r="C889" t="s">
        <v>50</v>
      </c>
      <c r="D889">
        <v>0</v>
      </c>
      <c r="E889" t="s">
        <v>42</v>
      </c>
      <c r="F889" t="s">
        <v>45</v>
      </c>
    </row>
    <row r="890" spans="1:6" hidden="1" x14ac:dyDescent="0.35">
      <c r="A890" t="s">
        <v>57</v>
      </c>
      <c r="B890" t="s">
        <v>53</v>
      </c>
      <c r="C890" t="s">
        <v>51</v>
      </c>
      <c r="D890">
        <v>0</v>
      </c>
      <c r="E890" t="s">
        <v>42</v>
      </c>
      <c r="F890" t="s">
        <v>45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42</v>
      </c>
      <c r="F891" t="s">
        <v>45</v>
      </c>
    </row>
    <row r="892" spans="1:6" hidden="1" x14ac:dyDescent="0.35">
      <c r="A892" t="s">
        <v>58</v>
      </c>
      <c r="B892" t="s">
        <v>53</v>
      </c>
      <c r="C892" t="s">
        <v>51</v>
      </c>
      <c r="D892">
        <v>0</v>
      </c>
      <c r="E892" t="s">
        <v>42</v>
      </c>
      <c r="F892" t="s">
        <v>45</v>
      </c>
    </row>
    <row r="893" spans="1:6" hidden="1" x14ac:dyDescent="0.35">
      <c r="A893" t="s">
        <v>59</v>
      </c>
      <c r="B893" t="s">
        <v>53</v>
      </c>
      <c r="C893" t="s">
        <v>51</v>
      </c>
      <c r="D893">
        <v>0</v>
      </c>
      <c r="E893" t="s">
        <v>42</v>
      </c>
      <c r="F893" t="s">
        <v>45</v>
      </c>
    </row>
    <row r="894" spans="1:6" hidden="1" x14ac:dyDescent="0.35">
      <c r="A894" t="s">
        <v>60</v>
      </c>
      <c r="B894" t="s">
        <v>53</v>
      </c>
      <c r="C894" t="s">
        <v>51</v>
      </c>
      <c r="D894">
        <v>0</v>
      </c>
      <c r="E894" t="s">
        <v>42</v>
      </c>
      <c r="F894" t="s">
        <v>45</v>
      </c>
    </row>
    <row r="895" spans="1:6" hidden="1" x14ac:dyDescent="0.35">
      <c r="A895" t="s">
        <v>61</v>
      </c>
      <c r="B895" t="s">
        <v>53</v>
      </c>
      <c r="C895" t="s">
        <v>51</v>
      </c>
      <c r="D895">
        <v>0</v>
      </c>
      <c r="E895" t="s">
        <v>42</v>
      </c>
      <c r="F895" t="s">
        <v>45</v>
      </c>
    </row>
    <row r="896" spans="1:6" hidden="1" x14ac:dyDescent="0.35">
      <c r="A896" t="s">
        <v>62</v>
      </c>
      <c r="B896" t="s">
        <v>53</v>
      </c>
      <c r="C896" t="s">
        <v>51</v>
      </c>
      <c r="D896">
        <v>0</v>
      </c>
      <c r="E896" t="s">
        <v>42</v>
      </c>
      <c r="F896" t="s">
        <v>45</v>
      </c>
    </row>
    <row r="897" spans="1:6" hidden="1" x14ac:dyDescent="0.35">
      <c r="A897" t="s">
        <v>63</v>
      </c>
      <c r="B897" t="s">
        <v>53</v>
      </c>
      <c r="C897" t="s">
        <v>51</v>
      </c>
      <c r="D897">
        <v>0</v>
      </c>
      <c r="E897" t="s">
        <v>42</v>
      </c>
      <c r="F897" t="s">
        <v>45</v>
      </c>
    </row>
    <row r="898" spans="1:6" hidden="1" x14ac:dyDescent="0.35">
      <c r="A898" t="s">
        <v>64</v>
      </c>
      <c r="B898" t="s">
        <v>53</v>
      </c>
      <c r="C898" t="s">
        <v>51</v>
      </c>
      <c r="D898">
        <v>0</v>
      </c>
      <c r="E898" t="s">
        <v>42</v>
      </c>
      <c r="F898" t="s">
        <v>45</v>
      </c>
    </row>
    <row r="899" spans="1:6" hidden="1" x14ac:dyDescent="0.35">
      <c r="A899" t="s">
        <v>65</v>
      </c>
      <c r="B899" t="s">
        <v>53</v>
      </c>
      <c r="C899" t="s">
        <v>51</v>
      </c>
      <c r="D899">
        <v>0</v>
      </c>
      <c r="E899" t="s">
        <v>42</v>
      </c>
      <c r="F899" t="s">
        <v>45</v>
      </c>
    </row>
    <row r="900" spans="1:6" hidden="1" x14ac:dyDescent="0.35">
      <c r="A900" t="s">
        <v>66</v>
      </c>
      <c r="B900" t="s">
        <v>53</v>
      </c>
      <c r="C900" t="s">
        <v>51</v>
      </c>
      <c r="D900">
        <v>0</v>
      </c>
      <c r="E900" t="s">
        <v>42</v>
      </c>
      <c r="F900" t="s">
        <v>45</v>
      </c>
    </row>
    <row r="901" spans="1:6" hidden="1" x14ac:dyDescent="0.35">
      <c r="A901" t="s">
        <v>67</v>
      </c>
      <c r="B901" t="s">
        <v>53</v>
      </c>
      <c r="C901" t="s">
        <v>51</v>
      </c>
      <c r="D901">
        <v>0</v>
      </c>
      <c r="E901" t="s">
        <v>42</v>
      </c>
      <c r="F901" t="s">
        <v>45</v>
      </c>
    </row>
    <row r="902" spans="1:6" hidden="1" x14ac:dyDescent="0.35">
      <c r="A902" t="s">
        <v>57</v>
      </c>
      <c r="B902" t="s">
        <v>53</v>
      </c>
      <c r="C902" t="s">
        <v>30</v>
      </c>
      <c r="D902">
        <v>0</v>
      </c>
      <c r="E902" t="s">
        <v>42</v>
      </c>
      <c r="F902" t="s">
        <v>45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42</v>
      </c>
      <c r="F903" t="s">
        <v>45</v>
      </c>
    </row>
    <row r="904" spans="1:6" hidden="1" x14ac:dyDescent="0.35">
      <c r="A904" t="s">
        <v>58</v>
      </c>
      <c r="B904" t="s">
        <v>53</v>
      </c>
      <c r="C904" t="s">
        <v>30</v>
      </c>
      <c r="D904">
        <v>0</v>
      </c>
      <c r="E904" t="s">
        <v>42</v>
      </c>
      <c r="F904" t="s">
        <v>45</v>
      </c>
    </row>
    <row r="905" spans="1:6" hidden="1" x14ac:dyDescent="0.35">
      <c r="A905" t="s">
        <v>59</v>
      </c>
      <c r="B905" t="s">
        <v>53</v>
      </c>
      <c r="C905" t="s">
        <v>30</v>
      </c>
      <c r="D905">
        <v>0</v>
      </c>
      <c r="E905" t="s">
        <v>42</v>
      </c>
      <c r="F905" t="s">
        <v>45</v>
      </c>
    </row>
    <row r="906" spans="1:6" hidden="1" x14ac:dyDescent="0.35">
      <c r="A906" t="s">
        <v>60</v>
      </c>
      <c r="B906" t="s">
        <v>53</v>
      </c>
      <c r="C906" t="s">
        <v>30</v>
      </c>
      <c r="D906">
        <v>0</v>
      </c>
      <c r="E906" t="s">
        <v>42</v>
      </c>
      <c r="F906" t="s">
        <v>45</v>
      </c>
    </row>
    <row r="907" spans="1:6" hidden="1" x14ac:dyDescent="0.35">
      <c r="A907" t="s">
        <v>61</v>
      </c>
      <c r="B907" t="s">
        <v>53</v>
      </c>
      <c r="C907" t="s">
        <v>30</v>
      </c>
      <c r="D907">
        <v>0</v>
      </c>
      <c r="E907" t="s">
        <v>42</v>
      </c>
      <c r="F907" t="s">
        <v>45</v>
      </c>
    </row>
    <row r="908" spans="1:6" hidden="1" x14ac:dyDescent="0.35">
      <c r="A908" t="s">
        <v>62</v>
      </c>
      <c r="B908" t="s">
        <v>53</v>
      </c>
      <c r="C908" t="s">
        <v>30</v>
      </c>
      <c r="D908">
        <v>0</v>
      </c>
      <c r="E908" t="s">
        <v>42</v>
      </c>
      <c r="F908" t="s">
        <v>45</v>
      </c>
    </row>
    <row r="909" spans="1:6" hidden="1" x14ac:dyDescent="0.35">
      <c r="A909" t="s">
        <v>63</v>
      </c>
      <c r="B909" t="s">
        <v>53</v>
      </c>
      <c r="C909" t="s">
        <v>30</v>
      </c>
      <c r="D909">
        <v>0</v>
      </c>
      <c r="E909" t="s">
        <v>42</v>
      </c>
      <c r="F909" t="s">
        <v>45</v>
      </c>
    </row>
    <row r="910" spans="1:6" hidden="1" x14ac:dyDescent="0.35">
      <c r="A910" t="s">
        <v>64</v>
      </c>
      <c r="B910" t="s">
        <v>53</v>
      </c>
      <c r="C910" t="s">
        <v>30</v>
      </c>
      <c r="D910">
        <v>0</v>
      </c>
      <c r="E910" t="s">
        <v>42</v>
      </c>
      <c r="F910" t="s">
        <v>45</v>
      </c>
    </row>
    <row r="911" spans="1:6" hidden="1" x14ac:dyDescent="0.35">
      <c r="A911" t="s">
        <v>65</v>
      </c>
      <c r="B911" t="s">
        <v>53</v>
      </c>
      <c r="C911" t="s">
        <v>30</v>
      </c>
      <c r="D911">
        <v>0</v>
      </c>
      <c r="E911" t="s">
        <v>42</v>
      </c>
      <c r="F911" t="s">
        <v>45</v>
      </c>
    </row>
    <row r="912" spans="1:6" hidden="1" x14ac:dyDescent="0.35">
      <c r="A912" t="s">
        <v>66</v>
      </c>
      <c r="B912" t="s">
        <v>53</v>
      </c>
      <c r="C912" t="s">
        <v>30</v>
      </c>
      <c r="D912">
        <v>0</v>
      </c>
      <c r="E912" t="s">
        <v>42</v>
      </c>
      <c r="F912" t="s">
        <v>45</v>
      </c>
    </row>
    <row r="913" spans="1:6" hidden="1" x14ac:dyDescent="0.35">
      <c r="A913" t="s">
        <v>67</v>
      </c>
      <c r="B913" t="s">
        <v>53</v>
      </c>
      <c r="C913" t="s">
        <v>30</v>
      </c>
      <c r="D913">
        <v>0</v>
      </c>
      <c r="E913" t="s">
        <v>42</v>
      </c>
      <c r="F913" t="s">
        <v>45</v>
      </c>
    </row>
    <row r="914" spans="1:6" hidden="1" x14ac:dyDescent="0.35">
      <c r="A914" t="s">
        <v>57</v>
      </c>
      <c r="B914" t="s">
        <v>53</v>
      </c>
      <c r="C914" t="s">
        <v>52</v>
      </c>
      <c r="D914">
        <v>0</v>
      </c>
      <c r="E914" t="s">
        <v>42</v>
      </c>
      <c r="F914" t="s">
        <v>45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42</v>
      </c>
      <c r="F915" t="s">
        <v>45</v>
      </c>
    </row>
    <row r="916" spans="1:6" hidden="1" x14ac:dyDescent="0.35">
      <c r="A916" t="s">
        <v>58</v>
      </c>
      <c r="B916" t="s">
        <v>53</v>
      </c>
      <c r="C916" t="s">
        <v>52</v>
      </c>
      <c r="D916">
        <v>0</v>
      </c>
      <c r="E916" t="s">
        <v>42</v>
      </c>
      <c r="F916" t="s">
        <v>45</v>
      </c>
    </row>
    <row r="917" spans="1:6" hidden="1" x14ac:dyDescent="0.35">
      <c r="A917" t="s">
        <v>59</v>
      </c>
      <c r="B917" t="s">
        <v>53</v>
      </c>
      <c r="C917" t="s">
        <v>52</v>
      </c>
      <c r="D917">
        <v>0</v>
      </c>
      <c r="E917" t="s">
        <v>42</v>
      </c>
      <c r="F917" t="s">
        <v>45</v>
      </c>
    </row>
    <row r="918" spans="1:6" hidden="1" x14ac:dyDescent="0.35">
      <c r="A918" t="s">
        <v>60</v>
      </c>
      <c r="B918" t="s">
        <v>53</v>
      </c>
      <c r="C918" t="s">
        <v>52</v>
      </c>
      <c r="D918">
        <v>0</v>
      </c>
      <c r="E918" t="s">
        <v>42</v>
      </c>
      <c r="F918" t="s">
        <v>45</v>
      </c>
    </row>
    <row r="919" spans="1:6" hidden="1" x14ac:dyDescent="0.35">
      <c r="A919" t="s">
        <v>61</v>
      </c>
      <c r="B919" t="s">
        <v>53</v>
      </c>
      <c r="C919" t="s">
        <v>52</v>
      </c>
      <c r="D919">
        <v>0</v>
      </c>
      <c r="E919" t="s">
        <v>42</v>
      </c>
      <c r="F919" t="s">
        <v>45</v>
      </c>
    </row>
    <row r="920" spans="1:6" hidden="1" x14ac:dyDescent="0.35">
      <c r="A920" t="s">
        <v>62</v>
      </c>
      <c r="B920" t="s">
        <v>53</v>
      </c>
      <c r="C920" t="s">
        <v>52</v>
      </c>
      <c r="D920">
        <v>0</v>
      </c>
      <c r="E920" t="s">
        <v>42</v>
      </c>
      <c r="F920" t="s">
        <v>45</v>
      </c>
    </row>
    <row r="921" spans="1:6" hidden="1" x14ac:dyDescent="0.35">
      <c r="A921" t="s">
        <v>63</v>
      </c>
      <c r="B921" t="s">
        <v>53</v>
      </c>
      <c r="C921" t="s">
        <v>52</v>
      </c>
      <c r="D921">
        <v>0</v>
      </c>
      <c r="E921" t="s">
        <v>42</v>
      </c>
      <c r="F921" t="s">
        <v>45</v>
      </c>
    </row>
    <row r="922" spans="1:6" hidden="1" x14ac:dyDescent="0.35">
      <c r="A922" t="s">
        <v>64</v>
      </c>
      <c r="B922" t="s">
        <v>53</v>
      </c>
      <c r="C922" t="s">
        <v>52</v>
      </c>
      <c r="D922">
        <v>0</v>
      </c>
      <c r="E922" t="s">
        <v>42</v>
      </c>
      <c r="F922" t="s">
        <v>45</v>
      </c>
    </row>
    <row r="923" spans="1:6" hidden="1" x14ac:dyDescent="0.35">
      <c r="A923" t="s">
        <v>65</v>
      </c>
      <c r="B923" t="s">
        <v>53</v>
      </c>
      <c r="C923" t="s">
        <v>52</v>
      </c>
      <c r="D923">
        <v>0</v>
      </c>
      <c r="E923" t="s">
        <v>42</v>
      </c>
      <c r="F923" t="s">
        <v>45</v>
      </c>
    </row>
    <row r="924" spans="1:6" hidden="1" x14ac:dyDescent="0.35">
      <c r="A924" t="s">
        <v>66</v>
      </c>
      <c r="B924" t="s">
        <v>53</v>
      </c>
      <c r="C924" t="s">
        <v>52</v>
      </c>
      <c r="D924">
        <v>0</v>
      </c>
      <c r="E924" t="s">
        <v>42</v>
      </c>
      <c r="F924" t="s">
        <v>45</v>
      </c>
    </row>
    <row r="925" spans="1:6" hidden="1" x14ac:dyDescent="0.35">
      <c r="A925" t="s">
        <v>67</v>
      </c>
      <c r="B925" t="s">
        <v>53</v>
      </c>
      <c r="C925" t="s">
        <v>52</v>
      </c>
      <c r="D925">
        <v>0</v>
      </c>
      <c r="E925" t="s">
        <v>42</v>
      </c>
      <c r="F925" t="s">
        <v>45</v>
      </c>
    </row>
    <row r="926" spans="1:6" hidden="1" x14ac:dyDescent="0.35">
      <c r="A926" t="s">
        <v>57</v>
      </c>
      <c r="B926" t="s">
        <v>54</v>
      </c>
      <c r="C926" t="s">
        <v>44</v>
      </c>
      <c r="D926">
        <v>0</v>
      </c>
      <c r="E926" t="s">
        <v>42</v>
      </c>
      <c r="F926" t="s">
        <v>45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0</v>
      </c>
      <c r="E927" t="s">
        <v>42</v>
      </c>
      <c r="F927" t="s">
        <v>45</v>
      </c>
    </row>
    <row r="928" spans="1:6" hidden="1" x14ac:dyDescent="0.35">
      <c r="A928" t="s">
        <v>58</v>
      </c>
      <c r="B928" t="s">
        <v>54</v>
      </c>
      <c r="C928" t="s">
        <v>44</v>
      </c>
      <c r="D928">
        <v>0</v>
      </c>
      <c r="E928" t="s">
        <v>42</v>
      </c>
      <c r="F928" t="s">
        <v>45</v>
      </c>
    </row>
    <row r="929" spans="1:6" hidden="1" x14ac:dyDescent="0.35">
      <c r="A929" t="s">
        <v>59</v>
      </c>
      <c r="B929" t="s">
        <v>54</v>
      </c>
      <c r="C929" t="s">
        <v>44</v>
      </c>
      <c r="D929">
        <v>0</v>
      </c>
      <c r="E929" t="s">
        <v>42</v>
      </c>
      <c r="F929" t="s">
        <v>45</v>
      </c>
    </row>
    <row r="930" spans="1:6" hidden="1" x14ac:dyDescent="0.35">
      <c r="A930" t="s">
        <v>60</v>
      </c>
      <c r="B930" t="s">
        <v>54</v>
      </c>
      <c r="C930" t="s">
        <v>44</v>
      </c>
      <c r="D930">
        <v>0</v>
      </c>
      <c r="E930" t="s">
        <v>42</v>
      </c>
      <c r="F930" t="s">
        <v>45</v>
      </c>
    </row>
    <row r="931" spans="1:6" hidden="1" x14ac:dyDescent="0.35">
      <c r="A931" t="s">
        <v>61</v>
      </c>
      <c r="B931" t="s">
        <v>54</v>
      </c>
      <c r="C931" t="s">
        <v>44</v>
      </c>
      <c r="D931">
        <v>0</v>
      </c>
      <c r="E931" t="s">
        <v>42</v>
      </c>
      <c r="F931" t="s">
        <v>45</v>
      </c>
    </row>
    <row r="932" spans="1:6" hidden="1" x14ac:dyDescent="0.35">
      <c r="A932" t="s">
        <v>62</v>
      </c>
      <c r="B932" t="s">
        <v>54</v>
      </c>
      <c r="C932" t="s">
        <v>44</v>
      </c>
      <c r="D932">
        <v>0</v>
      </c>
      <c r="E932" t="s">
        <v>42</v>
      </c>
      <c r="F932" t="s">
        <v>45</v>
      </c>
    </row>
    <row r="933" spans="1:6" hidden="1" x14ac:dyDescent="0.35">
      <c r="A933" t="s">
        <v>63</v>
      </c>
      <c r="B933" t="s">
        <v>54</v>
      </c>
      <c r="C933" t="s">
        <v>44</v>
      </c>
      <c r="D933">
        <v>0</v>
      </c>
      <c r="E933" t="s">
        <v>42</v>
      </c>
      <c r="F933" t="s">
        <v>45</v>
      </c>
    </row>
    <row r="934" spans="1:6" hidden="1" x14ac:dyDescent="0.35">
      <c r="A934" t="s">
        <v>64</v>
      </c>
      <c r="B934" t="s">
        <v>54</v>
      </c>
      <c r="C934" t="s">
        <v>44</v>
      </c>
      <c r="D934">
        <v>0</v>
      </c>
      <c r="E934" t="s">
        <v>42</v>
      </c>
      <c r="F934" t="s">
        <v>45</v>
      </c>
    </row>
    <row r="935" spans="1:6" hidden="1" x14ac:dyDescent="0.35">
      <c r="A935" t="s">
        <v>65</v>
      </c>
      <c r="B935" t="s">
        <v>54</v>
      </c>
      <c r="C935" t="s">
        <v>44</v>
      </c>
      <c r="D935">
        <v>0</v>
      </c>
      <c r="E935" t="s">
        <v>42</v>
      </c>
      <c r="F935" t="s">
        <v>45</v>
      </c>
    </row>
    <row r="936" spans="1:6" hidden="1" x14ac:dyDescent="0.35">
      <c r="A936" t="s">
        <v>66</v>
      </c>
      <c r="B936" t="s">
        <v>54</v>
      </c>
      <c r="C936" t="s">
        <v>44</v>
      </c>
      <c r="D936">
        <v>0</v>
      </c>
      <c r="E936" t="s">
        <v>42</v>
      </c>
      <c r="F936" t="s">
        <v>45</v>
      </c>
    </row>
    <row r="937" spans="1:6" hidden="1" x14ac:dyDescent="0.35">
      <c r="A937" t="s">
        <v>67</v>
      </c>
      <c r="B937" t="s">
        <v>54</v>
      </c>
      <c r="C937" t="s">
        <v>44</v>
      </c>
      <c r="D937">
        <v>0</v>
      </c>
      <c r="E937" t="s">
        <v>42</v>
      </c>
      <c r="F937" t="s">
        <v>45</v>
      </c>
    </row>
    <row r="938" spans="1:6" hidden="1" x14ac:dyDescent="0.35">
      <c r="A938" t="s">
        <v>57</v>
      </c>
      <c r="B938" t="s">
        <v>54</v>
      </c>
      <c r="C938" t="s">
        <v>22</v>
      </c>
      <c r="D938">
        <v>0</v>
      </c>
      <c r="E938" t="s">
        <v>42</v>
      </c>
      <c r="F938" t="s">
        <v>45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42</v>
      </c>
      <c r="F939" t="s">
        <v>45</v>
      </c>
    </row>
    <row r="940" spans="1:6" hidden="1" x14ac:dyDescent="0.35">
      <c r="A940" t="s">
        <v>58</v>
      </c>
      <c r="B940" t="s">
        <v>54</v>
      </c>
      <c r="C940" t="s">
        <v>22</v>
      </c>
      <c r="D940">
        <v>0</v>
      </c>
      <c r="E940" t="s">
        <v>42</v>
      </c>
      <c r="F940" t="s">
        <v>45</v>
      </c>
    </row>
    <row r="941" spans="1:6" hidden="1" x14ac:dyDescent="0.35">
      <c r="A941" t="s">
        <v>59</v>
      </c>
      <c r="B941" t="s">
        <v>54</v>
      </c>
      <c r="C941" t="s">
        <v>22</v>
      </c>
      <c r="D941">
        <v>0</v>
      </c>
      <c r="E941" t="s">
        <v>42</v>
      </c>
      <c r="F941" t="s">
        <v>45</v>
      </c>
    </row>
    <row r="942" spans="1:6" hidden="1" x14ac:dyDescent="0.35">
      <c r="A942" t="s">
        <v>60</v>
      </c>
      <c r="B942" t="s">
        <v>54</v>
      </c>
      <c r="C942" t="s">
        <v>22</v>
      </c>
      <c r="D942">
        <v>0</v>
      </c>
      <c r="E942" t="s">
        <v>42</v>
      </c>
      <c r="F942" t="s">
        <v>45</v>
      </c>
    </row>
    <row r="943" spans="1:6" hidden="1" x14ac:dyDescent="0.35">
      <c r="A943" t="s">
        <v>61</v>
      </c>
      <c r="B943" t="s">
        <v>54</v>
      </c>
      <c r="C943" t="s">
        <v>22</v>
      </c>
      <c r="D943">
        <v>0</v>
      </c>
      <c r="E943" t="s">
        <v>42</v>
      </c>
      <c r="F943" t="s">
        <v>45</v>
      </c>
    </row>
    <row r="944" spans="1:6" hidden="1" x14ac:dyDescent="0.35">
      <c r="A944" t="s">
        <v>62</v>
      </c>
      <c r="B944" t="s">
        <v>54</v>
      </c>
      <c r="C944" t="s">
        <v>22</v>
      </c>
      <c r="D944">
        <v>0</v>
      </c>
      <c r="E944" t="s">
        <v>42</v>
      </c>
      <c r="F944" t="s">
        <v>45</v>
      </c>
    </row>
    <row r="945" spans="1:6" hidden="1" x14ac:dyDescent="0.35">
      <c r="A945" t="s">
        <v>63</v>
      </c>
      <c r="B945" t="s">
        <v>54</v>
      </c>
      <c r="C945" t="s">
        <v>22</v>
      </c>
      <c r="D945">
        <v>0</v>
      </c>
      <c r="E945" t="s">
        <v>42</v>
      </c>
      <c r="F945" t="s">
        <v>45</v>
      </c>
    </row>
    <row r="946" spans="1:6" hidden="1" x14ac:dyDescent="0.35">
      <c r="A946" t="s">
        <v>64</v>
      </c>
      <c r="B946" t="s">
        <v>54</v>
      </c>
      <c r="C946" t="s">
        <v>22</v>
      </c>
      <c r="D946">
        <v>0</v>
      </c>
      <c r="E946" t="s">
        <v>42</v>
      </c>
      <c r="F946" t="s">
        <v>45</v>
      </c>
    </row>
    <row r="947" spans="1:6" hidden="1" x14ac:dyDescent="0.35">
      <c r="A947" t="s">
        <v>65</v>
      </c>
      <c r="B947" t="s">
        <v>54</v>
      </c>
      <c r="C947" t="s">
        <v>22</v>
      </c>
      <c r="D947">
        <v>0</v>
      </c>
      <c r="E947" t="s">
        <v>42</v>
      </c>
      <c r="F947" t="s">
        <v>45</v>
      </c>
    </row>
    <row r="948" spans="1:6" hidden="1" x14ac:dyDescent="0.35">
      <c r="A948" t="s">
        <v>66</v>
      </c>
      <c r="B948" t="s">
        <v>54</v>
      </c>
      <c r="C948" t="s">
        <v>22</v>
      </c>
      <c r="D948">
        <v>0</v>
      </c>
      <c r="E948" t="s">
        <v>42</v>
      </c>
      <c r="F948" t="s">
        <v>45</v>
      </c>
    </row>
    <row r="949" spans="1:6" hidden="1" x14ac:dyDescent="0.35">
      <c r="A949" t="s">
        <v>67</v>
      </c>
      <c r="B949" t="s">
        <v>54</v>
      </c>
      <c r="C949" t="s">
        <v>22</v>
      </c>
      <c r="D949">
        <v>0</v>
      </c>
      <c r="E949" t="s">
        <v>42</v>
      </c>
      <c r="F949" t="s">
        <v>45</v>
      </c>
    </row>
    <row r="950" spans="1:6" hidden="1" x14ac:dyDescent="0.35">
      <c r="A950" t="s">
        <v>57</v>
      </c>
      <c r="B950" t="s">
        <v>54</v>
      </c>
      <c r="C950" t="s">
        <v>46</v>
      </c>
      <c r="D950">
        <v>6485.0599999999986</v>
      </c>
      <c r="E950" t="s">
        <v>42</v>
      </c>
      <c r="F950" t="s">
        <v>45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539.61</v>
      </c>
      <c r="E951" t="s">
        <v>42</v>
      </c>
      <c r="F951" t="s">
        <v>45</v>
      </c>
    </row>
    <row r="952" spans="1:6" hidden="1" x14ac:dyDescent="0.35">
      <c r="A952" t="s">
        <v>58</v>
      </c>
      <c r="B952" t="s">
        <v>54</v>
      </c>
      <c r="C952" t="s">
        <v>46</v>
      </c>
      <c r="D952">
        <v>4434.74</v>
      </c>
      <c r="E952" t="s">
        <v>42</v>
      </c>
      <c r="F952" t="s">
        <v>45</v>
      </c>
    </row>
    <row r="953" spans="1:6" hidden="1" x14ac:dyDescent="0.35">
      <c r="A953" t="s">
        <v>59</v>
      </c>
      <c r="B953" t="s">
        <v>54</v>
      </c>
      <c r="C953" t="s">
        <v>46</v>
      </c>
      <c r="D953">
        <v>11209.25</v>
      </c>
      <c r="E953" t="s">
        <v>42</v>
      </c>
      <c r="F953" t="s">
        <v>45</v>
      </c>
    </row>
    <row r="954" spans="1:6" hidden="1" x14ac:dyDescent="0.35">
      <c r="A954" t="s">
        <v>60</v>
      </c>
      <c r="B954" t="s">
        <v>54</v>
      </c>
      <c r="C954" t="s">
        <v>46</v>
      </c>
      <c r="D954">
        <v>6930.0300000000007</v>
      </c>
      <c r="E954" t="s">
        <v>42</v>
      </c>
      <c r="F954" t="s">
        <v>45</v>
      </c>
    </row>
    <row r="955" spans="1:6" hidden="1" x14ac:dyDescent="0.35">
      <c r="A955" t="s">
        <v>61</v>
      </c>
      <c r="B955" t="s">
        <v>54</v>
      </c>
      <c r="C955" t="s">
        <v>46</v>
      </c>
      <c r="D955">
        <v>7968.36</v>
      </c>
      <c r="E955" t="s">
        <v>42</v>
      </c>
      <c r="F955" t="s">
        <v>45</v>
      </c>
    </row>
    <row r="956" spans="1:6" hidden="1" x14ac:dyDescent="0.35">
      <c r="A956" t="s">
        <v>62</v>
      </c>
      <c r="B956" t="s">
        <v>54</v>
      </c>
      <c r="C956" t="s">
        <v>46</v>
      </c>
      <c r="D956">
        <v>5149.01</v>
      </c>
      <c r="E956" t="s">
        <v>42</v>
      </c>
      <c r="F956" t="s">
        <v>45</v>
      </c>
    </row>
    <row r="957" spans="1:6" hidden="1" x14ac:dyDescent="0.35">
      <c r="A957" t="s">
        <v>63</v>
      </c>
      <c r="B957" t="s">
        <v>54</v>
      </c>
      <c r="C957" t="s">
        <v>46</v>
      </c>
      <c r="D957">
        <v>4676.24</v>
      </c>
      <c r="E957" t="s">
        <v>42</v>
      </c>
      <c r="F957" t="s">
        <v>45</v>
      </c>
    </row>
    <row r="958" spans="1:6" hidden="1" x14ac:dyDescent="0.35">
      <c r="A958" t="s">
        <v>64</v>
      </c>
      <c r="B958" t="s">
        <v>54</v>
      </c>
      <c r="C958" t="s">
        <v>46</v>
      </c>
      <c r="D958">
        <v>584.59</v>
      </c>
      <c r="E958" t="s">
        <v>42</v>
      </c>
      <c r="F958" t="s">
        <v>45</v>
      </c>
    </row>
    <row r="959" spans="1:6" hidden="1" x14ac:dyDescent="0.35">
      <c r="A959" t="s">
        <v>65</v>
      </c>
      <c r="B959" t="s">
        <v>54</v>
      </c>
      <c r="C959" t="s">
        <v>46</v>
      </c>
      <c r="D959">
        <v>652.49</v>
      </c>
      <c r="E959" t="s">
        <v>42</v>
      </c>
      <c r="F959" t="s">
        <v>45</v>
      </c>
    </row>
    <row r="960" spans="1:6" hidden="1" x14ac:dyDescent="0.35">
      <c r="A960" t="s">
        <v>66</v>
      </c>
      <c r="B960" t="s">
        <v>54</v>
      </c>
      <c r="C960" t="s">
        <v>46</v>
      </c>
      <c r="D960">
        <v>4895.3099999999986</v>
      </c>
      <c r="E960" t="s">
        <v>42</v>
      </c>
      <c r="F960" t="s">
        <v>45</v>
      </c>
    </row>
    <row r="961" spans="1:6" hidden="1" x14ac:dyDescent="0.35">
      <c r="A961" t="s">
        <v>67</v>
      </c>
      <c r="B961" t="s">
        <v>54</v>
      </c>
      <c r="C961" t="s">
        <v>46</v>
      </c>
      <c r="D961">
        <v>7247.2099999999991</v>
      </c>
      <c r="E961" t="s">
        <v>42</v>
      </c>
      <c r="F961" t="s">
        <v>45</v>
      </c>
    </row>
    <row r="962" spans="1:6" hidden="1" x14ac:dyDescent="0.35">
      <c r="A962" t="s">
        <v>57</v>
      </c>
      <c r="B962" t="s">
        <v>54</v>
      </c>
      <c r="C962" t="s">
        <v>24</v>
      </c>
      <c r="D962">
        <v>0</v>
      </c>
      <c r="E962" t="s">
        <v>42</v>
      </c>
      <c r="F962" t="s">
        <v>45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42</v>
      </c>
      <c r="F963" t="s">
        <v>45</v>
      </c>
    </row>
    <row r="964" spans="1:6" hidden="1" x14ac:dyDescent="0.35">
      <c r="A964" t="s">
        <v>58</v>
      </c>
      <c r="B964" t="s">
        <v>54</v>
      </c>
      <c r="C964" t="s">
        <v>24</v>
      </c>
      <c r="D964">
        <v>0</v>
      </c>
      <c r="E964" t="s">
        <v>42</v>
      </c>
      <c r="F964" t="s">
        <v>45</v>
      </c>
    </row>
    <row r="965" spans="1:6" hidden="1" x14ac:dyDescent="0.35">
      <c r="A965" t="s">
        <v>59</v>
      </c>
      <c r="B965" t="s">
        <v>54</v>
      </c>
      <c r="C965" t="s">
        <v>24</v>
      </c>
      <c r="D965">
        <v>0</v>
      </c>
      <c r="E965" t="s">
        <v>42</v>
      </c>
      <c r="F965" t="s">
        <v>45</v>
      </c>
    </row>
    <row r="966" spans="1:6" hidden="1" x14ac:dyDescent="0.35">
      <c r="A966" t="s">
        <v>60</v>
      </c>
      <c r="B966" t="s">
        <v>54</v>
      </c>
      <c r="C966" t="s">
        <v>24</v>
      </c>
      <c r="D966">
        <v>0</v>
      </c>
      <c r="E966" t="s">
        <v>42</v>
      </c>
      <c r="F966" t="s">
        <v>45</v>
      </c>
    </row>
    <row r="967" spans="1:6" hidden="1" x14ac:dyDescent="0.35">
      <c r="A967" t="s">
        <v>61</v>
      </c>
      <c r="B967" t="s">
        <v>54</v>
      </c>
      <c r="C967" t="s">
        <v>24</v>
      </c>
      <c r="D967">
        <v>0</v>
      </c>
      <c r="E967" t="s">
        <v>42</v>
      </c>
      <c r="F967" t="s">
        <v>45</v>
      </c>
    </row>
    <row r="968" spans="1:6" hidden="1" x14ac:dyDescent="0.35">
      <c r="A968" t="s">
        <v>62</v>
      </c>
      <c r="B968" t="s">
        <v>54</v>
      </c>
      <c r="C968" t="s">
        <v>24</v>
      </c>
      <c r="D968">
        <v>0</v>
      </c>
      <c r="E968" t="s">
        <v>42</v>
      </c>
      <c r="F968" t="s">
        <v>45</v>
      </c>
    </row>
    <row r="969" spans="1:6" hidden="1" x14ac:dyDescent="0.35">
      <c r="A969" t="s">
        <v>63</v>
      </c>
      <c r="B969" t="s">
        <v>54</v>
      </c>
      <c r="C969" t="s">
        <v>24</v>
      </c>
      <c r="D969">
        <v>0</v>
      </c>
      <c r="E969" t="s">
        <v>42</v>
      </c>
      <c r="F969" t="s">
        <v>45</v>
      </c>
    </row>
    <row r="970" spans="1:6" hidden="1" x14ac:dyDescent="0.35">
      <c r="A970" t="s">
        <v>64</v>
      </c>
      <c r="B970" t="s">
        <v>54</v>
      </c>
      <c r="C970" t="s">
        <v>24</v>
      </c>
      <c r="D970">
        <v>0</v>
      </c>
      <c r="E970" t="s">
        <v>42</v>
      </c>
      <c r="F970" t="s">
        <v>45</v>
      </c>
    </row>
    <row r="971" spans="1:6" hidden="1" x14ac:dyDescent="0.35">
      <c r="A971" t="s">
        <v>65</v>
      </c>
      <c r="B971" t="s">
        <v>54</v>
      </c>
      <c r="C971" t="s">
        <v>24</v>
      </c>
      <c r="D971">
        <v>0</v>
      </c>
      <c r="E971" t="s">
        <v>42</v>
      </c>
      <c r="F971" t="s">
        <v>45</v>
      </c>
    </row>
    <row r="972" spans="1:6" hidden="1" x14ac:dyDescent="0.35">
      <c r="A972" t="s">
        <v>66</v>
      </c>
      <c r="B972" t="s">
        <v>54</v>
      </c>
      <c r="C972" t="s">
        <v>24</v>
      </c>
      <c r="D972">
        <v>0</v>
      </c>
      <c r="E972" t="s">
        <v>42</v>
      </c>
      <c r="F972" t="s">
        <v>45</v>
      </c>
    </row>
    <row r="973" spans="1:6" hidden="1" x14ac:dyDescent="0.35">
      <c r="A973" t="s">
        <v>67</v>
      </c>
      <c r="B973" t="s">
        <v>54</v>
      </c>
      <c r="C973" t="s">
        <v>24</v>
      </c>
      <c r="D973">
        <v>0</v>
      </c>
      <c r="E973" t="s">
        <v>42</v>
      </c>
      <c r="F973" t="s">
        <v>45</v>
      </c>
    </row>
    <row r="974" spans="1:6" hidden="1" x14ac:dyDescent="0.35">
      <c r="A974" t="s">
        <v>57</v>
      </c>
      <c r="B974" t="s">
        <v>54</v>
      </c>
      <c r="C974" t="s">
        <v>47</v>
      </c>
      <c r="D974">
        <v>0</v>
      </c>
      <c r="E974" t="s">
        <v>42</v>
      </c>
      <c r="F974" t="s">
        <v>45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42</v>
      </c>
      <c r="F975" t="s">
        <v>45</v>
      </c>
    </row>
    <row r="976" spans="1:6" hidden="1" x14ac:dyDescent="0.35">
      <c r="A976" t="s">
        <v>58</v>
      </c>
      <c r="B976" t="s">
        <v>54</v>
      </c>
      <c r="C976" t="s">
        <v>47</v>
      </c>
      <c r="D976">
        <v>0</v>
      </c>
      <c r="E976" t="s">
        <v>42</v>
      </c>
      <c r="F976" t="s">
        <v>45</v>
      </c>
    </row>
    <row r="977" spans="1:6" hidden="1" x14ac:dyDescent="0.35">
      <c r="A977" t="s">
        <v>59</v>
      </c>
      <c r="B977" t="s">
        <v>54</v>
      </c>
      <c r="C977" t="s">
        <v>47</v>
      </c>
      <c r="D977">
        <v>0</v>
      </c>
      <c r="E977" t="s">
        <v>42</v>
      </c>
      <c r="F977" t="s">
        <v>45</v>
      </c>
    </row>
    <row r="978" spans="1:6" hidden="1" x14ac:dyDescent="0.35">
      <c r="A978" t="s">
        <v>60</v>
      </c>
      <c r="B978" t="s">
        <v>54</v>
      </c>
      <c r="C978" t="s">
        <v>47</v>
      </c>
      <c r="D978">
        <v>0</v>
      </c>
      <c r="E978" t="s">
        <v>42</v>
      </c>
      <c r="F978" t="s">
        <v>45</v>
      </c>
    </row>
    <row r="979" spans="1:6" hidden="1" x14ac:dyDescent="0.35">
      <c r="A979" t="s">
        <v>61</v>
      </c>
      <c r="B979" t="s">
        <v>54</v>
      </c>
      <c r="C979" t="s">
        <v>47</v>
      </c>
      <c r="D979">
        <v>0</v>
      </c>
      <c r="E979" t="s">
        <v>42</v>
      </c>
      <c r="F979" t="s">
        <v>45</v>
      </c>
    </row>
    <row r="980" spans="1:6" hidden="1" x14ac:dyDescent="0.35">
      <c r="A980" t="s">
        <v>62</v>
      </c>
      <c r="B980" t="s">
        <v>54</v>
      </c>
      <c r="C980" t="s">
        <v>47</v>
      </c>
      <c r="D980">
        <v>0</v>
      </c>
      <c r="E980" t="s">
        <v>42</v>
      </c>
      <c r="F980" t="s">
        <v>45</v>
      </c>
    </row>
    <row r="981" spans="1:6" hidden="1" x14ac:dyDescent="0.35">
      <c r="A981" t="s">
        <v>63</v>
      </c>
      <c r="B981" t="s">
        <v>54</v>
      </c>
      <c r="C981" t="s">
        <v>47</v>
      </c>
      <c r="D981">
        <v>0</v>
      </c>
      <c r="E981" t="s">
        <v>42</v>
      </c>
      <c r="F981" t="s">
        <v>45</v>
      </c>
    </row>
    <row r="982" spans="1:6" hidden="1" x14ac:dyDescent="0.35">
      <c r="A982" t="s">
        <v>64</v>
      </c>
      <c r="B982" t="s">
        <v>54</v>
      </c>
      <c r="C982" t="s">
        <v>47</v>
      </c>
      <c r="D982">
        <v>0</v>
      </c>
      <c r="E982" t="s">
        <v>42</v>
      </c>
      <c r="F982" t="s">
        <v>45</v>
      </c>
    </row>
    <row r="983" spans="1:6" hidden="1" x14ac:dyDescent="0.35">
      <c r="A983" t="s">
        <v>65</v>
      </c>
      <c r="B983" t="s">
        <v>54</v>
      </c>
      <c r="C983" t="s">
        <v>47</v>
      </c>
      <c r="D983">
        <v>0</v>
      </c>
      <c r="E983" t="s">
        <v>42</v>
      </c>
      <c r="F983" t="s">
        <v>45</v>
      </c>
    </row>
    <row r="984" spans="1:6" hidden="1" x14ac:dyDescent="0.35">
      <c r="A984" t="s">
        <v>66</v>
      </c>
      <c r="B984" t="s">
        <v>54</v>
      </c>
      <c r="C984" t="s">
        <v>47</v>
      </c>
      <c r="D984">
        <v>0</v>
      </c>
      <c r="E984" t="s">
        <v>42</v>
      </c>
      <c r="F984" t="s">
        <v>45</v>
      </c>
    </row>
    <row r="985" spans="1:6" hidden="1" x14ac:dyDescent="0.35">
      <c r="A985" t="s">
        <v>67</v>
      </c>
      <c r="B985" t="s">
        <v>54</v>
      </c>
      <c r="C985" t="s">
        <v>47</v>
      </c>
      <c r="D985">
        <v>0</v>
      </c>
      <c r="E985" t="s">
        <v>42</v>
      </c>
      <c r="F985" t="s">
        <v>45</v>
      </c>
    </row>
    <row r="986" spans="1:6" hidden="1" x14ac:dyDescent="0.35">
      <c r="A986" t="s">
        <v>57</v>
      </c>
      <c r="B986" t="s">
        <v>54</v>
      </c>
      <c r="C986" t="s">
        <v>48</v>
      </c>
      <c r="D986">
        <v>0</v>
      </c>
      <c r="E986" t="s">
        <v>42</v>
      </c>
      <c r="F986" t="s">
        <v>45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42</v>
      </c>
      <c r="F987" t="s">
        <v>45</v>
      </c>
    </row>
    <row r="988" spans="1:6" hidden="1" x14ac:dyDescent="0.35">
      <c r="A988" t="s">
        <v>58</v>
      </c>
      <c r="B988" t="s">
        <v>54</v>
      </c>
      <c r="C988" t="s">
        <v>48</v>
      </c>
      <c r="D988">
        <v>0</v>
      </c>
      <c r="E988" t="s">
        <v>42</v>
      </c>
      <c r="F988" t="s">
        <v>45</v>
      </c>
    </row>
    <row r="989" spans="1:6" hidden="1" x14ac:dyDescent="0.35">
      <c r="A989" t="s">
        <v>59</v>
      </c>
      <c r="B989" t="s">
        <v>54</v>
      </c>
      <c r="C989" t="s">
        <v>48</v>
      </c>
      <c r="D989">
        <v>0</v>
      </c>
      <c r="E989" t="s">
        <v>42</v>
      </c>
      <c r="F989" t="s">
        <v>45</v>
      </c>
    </row>
    <row r="990" spans="1:6" hidden="1" x14ac:dyDescent="0.35">
      <c r="A990" t="s">
        <v>60</v>
      </c>
      <c r="B990" t="s">
        <v>54</v>
      </c>
      <c r="C990" t="s">
        <v>48</v>
      </c>
      <c r="D990">
        <v>0</v>
      </c>
      <c r="E990" t="s">
        <v>42</v>
      </c>
      <c r="F990" t="s">
        <v>45</v>
      </c>
    </row>
    <row r="991" spans="1:6" hidden="1" x14ac:dyDescent="0.35">
      <c r="A991" t="s">
        <v>61</v>
      </c>
      <c r="B991" t="s">
        <v>54</v>
      </c>
      <c r="C991" t="s">
        <v>48</v>
      </c>
      <c r="D991">
        <v>0</v>
      </c>
      <c r="E991" t="s">
        <v>42</v>
      </c>
      <c r="F991" t="s">
        <v>45</v>
      </c>
    </row>
    <row r="992" spans="1:6" hidden="1" x14ac:dyDescent="0.35">
      <c r="A992" t="s">
        <v>62</v>
      </c>
      <c r="B992" t="s">
        <v>54</v>
      </c>
      <c r="C992" t="s">
        <v>48</v>
      </c>
      <c r="D992">
        <v>0</v>
      </c>
      <c r="E992" t="s">
        <v>42</v>
      </c>
      <c r="F992" t="s">
        <v>45</v>
      </c>
    </row>
    <row r="993" spans="1:6" hidden="1" x14ac:dyDescent="0.35">
      <c r="A993" t="s">
        <v>63</v>
      </c>
      <c r="B993" t="s">
        <v>54</v>
      </c>
      <c r="C993" t="s">
        <v>48</v>
      </c>
      <c r="D993">
        <v>0</v>
      </c>
      <c r="E993" t="s">
        <v>42</v>
      </c>
      <c r="F993" t="s">
        <v>45</v>
      </c>
    </row>
    <row r="994" spans="1:6" hidden="1" x14ac:dyDescent="0.35">
      <c r="A994" t="s">
        <v>64</v>
      </c>
      <c r="B994" t="s">
        <v>54</v>
      </c>
      <c r="C994" t="s">
        <v>48</v>
      </c>
      <c r="D994">
        <v>0</v>
      </c>
      <c r="E994" t="s">
        <v>42</v>
      </c>
      <c r="F994" t="s">
        <v>45</v>
      </c>
    </row>
    <row r="995" spans="1:6" hidden="1" x14ac:dyDescent="0.35">
      <c r="A995" t="s">
        <v>65</v>
      </c>
      <c r="B995" t="s">
        <v>54</v>
      </c>
      <c r="C995" t="s">
        <v>48</v>
      </c>
      <c r="D995">
        <v>0</v>
      </c>
      <c r="E995" t="s">
        <v>42</v>
      </c>
      <c r="F995" t="s">
        <v>45</v>
      </c>
    </row>
    <row r="996" spans="1:6" hidden="1" x14ac:dyDescent="0.35">
      <c r="A996" t="s">
        <v>66</v>
      </c>
      <c r="B996" t="s">
        <v>54</v>
      </c>
      <c r="C996" t="s">
        <v>48</v>
      </c>
      <c r="D996">
        <v>0</v>
      </c>
      <c r="E996" t="s">
        <v>42</v>
      </c>
      <c r="F996" t="s">
        <v>45</v>
      </c>
    </row>
    <row r="997" spans="1:6" hidden="1" x14ac:dyDescent="0.35">
      <c r="A997" t="s">
        <v>67</v>
      </c>
      <c r="B997" t="s">
        <v>54</v>
      </c>
      <c r="C997" t="s">
        <v>48</v>
      </c>
      <c r="D997">
        <v>0</v>
      </c>
      <c r="E997" t="s">
        <v>42</v>
      </c>
      <c r="F997" t="s">
        <v>45</v>
      </c>
    </row>
    <row r="998" spans="1:6" hidden="1" x14ac:dyDescent="0.35">
      <c r="A998" t="s">
        <v>57</v>
      </c>
      <c r="B998" t="s">
        <v>54</v>
      </c>
      <c r="C998" t="s">
        <v>49</v>
      </c>
      <c r="D998">
        <v>0</v>
      </c>
      <c r="E998" t="s">
        <v>42</v>
      </c>
      <c r="F998" t="s">
        <v>45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0</v>
      </c>
      <c r="E999" t="s">
        <v>42</v>
      </c>
      <c r="F999" t="s">
        <v>45</v>
      </c>
    </row>
    <row r="1000" spans="1:6" hidden="1" x14ac:dyDescent="0.35">
      <c r="A1000" t="s">
        <v>58</v>
      </c>
      <c r="B1000" t="s">
        <v>54</v>
      </c>
      <c r="C1000" t="s">
        <v>49</v>
      </c>
      <c r="D1000">
        <v>0</v>
      </c>
      <c r="E1000" t="s">
        <v>42</v>
      </c>
      <c r="F1000" t="s">
        <v>45</v>
      </c>
    </row>
    <row r="1001" spans="1:6" hidden="1" x14ac:dyDescent="0.35">
      <c r="A1001" t="s">
        <v>59</v>
      </c>
      <c r="B1001" t="s">
        <v>54</v>
      </c>
      <c r="C1001" t="s">
        <v>49</v>
      </c>
      <c r="D1001">
        <v>0</v>
      </c>
      <c r="E1001" t="s">
        <v>42</v>
      </c>
      <c r="F1001" t="s">
        <v>45</v>
      </c>
    </row>
    <row r="1002" spans="1:6" hidden="1" x14ac:dyDescent="0.35">
      <c r="A1002" t="s">
        <v>60</v>
      </c>
      <c r="B1002" t="s">
        <v>54</v>
      </c>
      <c r="C1002" t="s">
        <v>49</v>
      </c>
      <c r="D1002">
        <v>0</v>
      </c>
      <c r="E1002" t="s">
        <v>42</v>
      </c>
      <c r="F1002" t="s">
        <v>45</v>
      </c>
    </row>
    <row r="1003" spans="1:6" hidden="1" x14ac:dyDescent="0.35">
      <c r="A1003" t="s">
        <v>61</v>
      </c>
      <c r="B1003" t="s">
        <v>54</v>
      </c>
      <c r="C1003" t="s">
        <v>49</v>
      </c>
      <c r="D1003">
        <v>0</v>
      </c>
      <c r="E1003" t="s">
        <v>42</v>
      </c>
      <c r="F1003" t="s">
        <v>45</v>
      </c>
    </row>
    <row r="1004" spans="1:6" hidden="1" x14ac:dyDescent="0.35">
      <c r="A1004" t="s">
        <v>62</v>
      </c>
      <c r="B1004" t="s">
        <v>54</v>
      </c>
      <c r="C1004" t="s">
        <v>49</v>
      </c>
      <c r="D1004">
        <v>0</v>
      </c>
      <c r="E1004" t="s">
        <v>42</v>
      </c>
      <c r="F1004" t="s">
        <v>45</v>
      </c>
    </row>
    <row r="1005" spans="1:6" hidden="1" x14ac:dyDescent="0.35">
      <c r="A1005" t="s">
        <v>63</v>
      </c>
      <c r="B1005" t="s">
        <v>54</v>
      </c>
      <c r="C1005" t="s">
        <v>49</v>
      </c>
      <c r="D1005">
        <v>0</v>
      </c>
      <c r="E1005" t="s">
        <v>42</v>
      </c>
      <c r="F1005" t="s">
        <v>45</v>
      </c>
    </row>
    <row r="1006" spans="1:6" hidden="1" x14ac:dyDescent="0.35">
      <c r="A1006" t="s">
        <v>64</v>
      </c>
      <c r="B1006" t="s">
        <v>54</v>
      </c>
      <c r="C1006" t="s">
        <v>49</v>
      </c>
      <c r="D1006">
        <v>0</v>
      </c>
      <c r="E1006" t="s">
        <v>42</v>
      </c>
      <c r="F1006" t="s">
        <v>45</v>
      </c>
    </row>
    <row r="1007" spans="1:6" hidden="1" x14ac:dyDescent="0.35">
      <c r="A1007" t="s">
        <v>65</v>
      </c>
      <c r="B1007" t="s">
        <v>54</v>
      </c>
      <c r="C1007" t="s">
        <v>49</v>
      </c>
      <c r="D1007">
        <v>0</v>
      </c>
      <c r="E1007" t="s">
        <v>42</v>
      </c>
      <c r="F1007" t="s">
        <v>45</v>
      </c>
    </row>
    <row r="1008" spans="1:6" hidden="1" x14ac:dyDescent="0.35">
      <c r="A1008" t="s">
        <v>66</v>
      </c>
      <c r="B1008" t="s">
        <v>54</v>
      </c>
      <c r="C1008" t="s">
        <v>49</v>
      </c>
      <c r="D1008">
        <v>0</v>
      </c>
      <c r="E1008" t="s">
        <v>42</v>
      </c>
      <c r="F1008" t="s">
        <v>45</v>
      </c>
    </row>
    <row r="1009" spans="1:6" hidden="1" x14ac:dyDescent="0.35">
      <c r="A1009" t="s">
        <v>67</v>
      </c>
      <c r="B1009" t="s">
        <v>54</v>
      </c>
      <c r="C1009" t="s">
        <v>49</v>
      </c>
      <c r="D1009">
        <v>0</v>
      </c>
      <c r="E1009" t="s">
        <v>42</v>
      </c>
      <c r="F1009" t="s">
        <v>45</v>
      </c>
    </row>
    <row r="1010" spans="1:6" hidden="1" x14ac:dyDescent="0.35">
      <c r="A1010" t="s">
        <v>57</v>
      </c>
      <c r="B1010" t="s">
        <v>54</v>
      </c>
      <c r="C1010" t="s">
        <v>50</v>
      </c>
      <c r="D1010">
        <v>0</v>
      </c>
      <c r="E1010" t="s">
        <v>42</v>
      </c>
      <c r="F1010" t="s">
        <v>45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42</v>
      </c>
      <c r="F1011" t="s">
        <v>45</v>
      </c>
    </row>
    <row r="1012" spans="1:6" hidden="1" x14ac:dyDescent="0.35">
      <c r="A1012" t="s">
        <v>58</v>
      </c>
      <c r="B1012" t="s">
        <v>54</v>
      </c>
      <c r="C1012" t="s">
        <v>50</v>
      </c>
      <c r="D1012">
        <v>0</v>
      </c>
      <c r="E1012" t="s">
        <v>42</v>
      </c>
      <c r="F1012" t="s">
        <v>45</v>
      </c>
    </row>
    <row r="1013" spans="1:6" hidden="1" x14ac:dyDescent="0.35">
      <c r="A1013" t="s">
        <v>59</v>
      </c>
      <c r="B1013" t="s">
        <v>54</v>
      </c>
      <c r="C1013" t="s">
        <v>50</v>
      </c>
      <c r="D1013">
        <v>0</v>
      </c>
      <c r="E1013" t="s">
        <v>42</v>
      </c>
      <c r="F1013" t="s">
        <v>45</v>
      </c>
    </row>
    <row r="1014" spans="1:6" hidden="1" x14ac:dyDescent="0.35">
      <c r="A1014" t="s">
        <v>60</v>
      </c>
      <c r="B1014" t="s">
        <v>54</v>
      </c>
      <c r="C1014" t="s">
        <v>50</v>
      </c>
      <c r="D1014">
        <v>0</v>
      </c>
      <c r="E1014" t="s">
        <v>42</v>
      </c>
      <c r="F1014" t="s">
        <v>45</v>
      </c>
    </row>
    <row r="1015" spans="1:6" hidden="1" x14ac:dyDescent="0.35">
      <c r="A1015" t="s">
        <v>61</v>
      </c>
      <c r="B1015" t="s">
        <v>54</v>
      </c>
      <c r="C1015" t="s">
        <v>50</v>
      </c>
      <c r="D1015">
        <v>0</v>
      </c>
      <c r="E1015" t="s">
        <v>42</v>
      </c>
      <c r="F1015" t="s">
        <v>45</v>
      </c>
    </row>
    <row r="1016" spans="1:6" hidden="1" x14ac:dyDescent="0.35">
      <c r="A1016" t="s">
        <v>62</v>
      </c>
      <c r="B1016" t="s">
        <v>54</v>
      </c>
      <c r="C1016" t="s">
        <v>50</v>
      </c>
      <c r="D1016">
        <v>0</v>
      </c>
      <c r="E1016" t="s">
        <v>42</v>
      </c>
      <c r="F1016" t="s">
        <v>45</v>
      </c>
    </row>
    <row r="1017" spans="1:6" hidden="1" x14ac:dyDescent="0.35">
      <c r="A1017" t="s">
        <v>63</v>
      </c>
      <c r="B1017" t="s">
        <v>54</v>
      </c>
      <c r="C1017" t="s">
        <v>50</v>
      </c>
      <c r="D1017">
        <v>0</v>
      </c>
      <c r="E1017" t="s">
        <v>42</v>
      </c>
      <c r="F1017" t="s">
        <v>45</v>
      </c>
    </row>
    <row r="1018" spans="1:6" hidden="1" x14ac:dyDescent="0.35">
      <c r="A1018" t="s">
        <v>64</v>
      </c>
      <c r="B1018" t="s">
        <v>54</v>
      </c>
      <c r="C1018" t="s">
        <v>50</v>
      </c>
      <c r="D1018">
        <v>0</v>
      </c>
      <c r="E1018" t="s">
        <v>42</v>
      </c>
      <c r="F1018" t="s">
        <v>45</v>
      </c>
    </row>
    <row r="1019" spans="1:6" hidden="1" x14ac:dyDescent="0.35">
      <c r="A1019" t="s">
        <v>65</v>
      </c>
      <c r="B1019" t="s">
        <v>54</v>
      </c>
      <c r="C1019" t="s">
        <v>50</v>
      </c>
      <c r="D1019">
        <v>0</v>
      </c>
      <c r="E1019" t="s">
        <v>42</v>
      </c>
      <c r="F1019" t="s">
        <v>45</v>
      </c>
    </row>
    <row r="1020" spans="1:6" hidden="1" x14ac:dyDescent="0.35">
      <c r="A1020" t="s">
        <v>66</v>
      </c>
      <c r="B1020" t="s">
        <v>54</v>
      </c>
      <c r="C1020" t="s">
        <v>50</v>
      </c>
      <c r="D1020">
        <v>0</v>
      </c>
      <c r="E1020" t="s">
        <v>42</v>
      </c>
      <c r="F1020" t="s">
        <v>45</v>
      </c>
    </row>
    <row r="1021" spans="1:6" hidden="1" x14ac:dyDescent="0.35">
      <c r="A1021" t="s">
        <v>67</v>
      </c>
      <c r="B1021" t="s">
        <v>54</v>
      </c>
      <c r="C1021" t="s">
        <v>50</v>
      </c>
      <c r="D1021">
        <v>0</v>
      </c>
      <c r="E1021" t="s">
        <v>42</v>
      </c>
      <c r="F1021" t="s">
        <v>45</v>
      </c>
    </row>
    <row r="1022" spans="1:6" hidden="1" x14ac:dyDescent="0.35">
      <c r="A1022" t="s">
        <v>57</v>
      </c>
      <c r="B1022" t="s">
        <v>54</v>
      </c>
      <c r="C1022" t="s">
        <v>51</v>
      </c>
      <c r="D1022">
        <v>5</v>
      </c>
      <c r="E1022" t="s">
        <v>42</v>
      </c>
      <c r="F1022" t="s">
        <v>45</v>
      </c>
    </row>
    <row r="1023" spans="1:6" hidden="1" x14ac:dyDescent="0.35">
      <c r="A1023" t="s">
        <v>11</v>
      </c>
      <c r="B1023" t="s">
        <v>54</v>
      </c>
      <c r="C1023" t="s">
        <v>51</v>
      </c>
      <c r="D1023">
        <v>3</v>
      </c>
      <c r="E1023" t="s">
        <v>42</v>
      </c>
      <c r="F1023" t="s">
        <v>45</v>
      </c>
    </row>
    <row r="1024" spans="1:6" hidden="1" x14ac:dyDescent="0.35">
      <c r="A1024" t="s">
        <v>58</v>
      </c>
      <c r="B1024" t="s">
        <v>54</v>
      </c>
      <c r="C1024" t="s">
        <v>51</v>
      </c>
      <c r="D1024">
        <v>7</v>
      </c>
      <c r="E1024" t="s">
        <v>42</v>
      </c>
      <c r="F1024" t="s">
        <v>45</v>
      </c>
    </row>
    <row r="1025" spans="1:6" hidden="1" x14ac:dyDescent="0.35">
      <c r="A1025" t="s">
        <v>59</v>
      </c>
      <c r="B1025" t="s">
        <v>54</v>
      </c>
      <c r="C1025" t="s">
        <v>51</v>
      </c>
      <c r="D1025">
        <v>8</v>
      </c>
      <c r="E1025" t="s">
        <v>42</v>
      </c>
      <c r="F1025" t="s">
        <v>45</v>
      </c>
    </row>
    <row r="1026" spans="1:6" hidden="1" x14ac:dyDescent="0.35">
      <c r="A1026" t="s">
        <v>60</v>
      </c>
      <c r="B1026" t="s">
        <v>54</v>
      </c>
      <c r="C1026" t="s">
        <v>51</v>
      </c>
      <c r="D1026">
        <v>3</v>
      </c>
      <c r="E1026" t="s">
        <v>42</v>
      </c>
      <c r="F1026" t="s">
        <v>45</v>
      </c>
    </row>
    <row r="1027" spans="1:6" hidden="1" x14ac:dyDescent="0.35">
      <c r="A1027" t="s">
        <v>61</v>
      </c>
      <c r="B1027" t="s">
        <v>54</v>
      </c>
      <c r="C1027" t="s">
        <v>51</v>
      </c>
      <c r="D1027">
        <v>6</v>
      </c>
      <c r="E1027" t="s">
        <v>42</v>
      </c>
      <c r="F1027" t="s">
        <v>45</v>
      </c>
    </row>
    <row r="1028" spans="1:6" hidden="1" x14ac:dyDescent="0.35">
      <c r="A1028" t="s">
        <v>62</v>
      </c>
      <c r="B1028" t="s">
        <v>54</v>
      </c>
      <c r="C1028" t="s">
        <v>51</v>
      </c>
      <c r="D1028">
        <v>5</v>
      </c>
      <c r="E1028" t="s">
        <v>42</v>
      </c>
      <c r="F1028" t="s">
        <v>45</v>
      </c>
    </row>
    <row r="1029" spans="1:6" hidden="1" x14ac:dyDescent="0.35">
      <c r="A1029" t="s">
        <v>63</v>
      </c>
      <c r="B1029" t="s">
        <v>54</v>
      </c>
      <c r="C1029" t="s">
        <v>51</v>
      </c>
      <c r="D1029">
        <v>7</v>
      </c>
      <c r="E1029" t="s">
        <v>42</v>
      </c>
      <c r="F1029" t="s">
        <v>45</v>
      </c>
    </row>
    <row r="1030" spans="1:6" hidden="1" x14ac:dyDescent="0.35">
      <c r="A1030" t="s">
        <v>64</v>
      </c>
      <c r="B1030" t="s">
        <v>54</v>
      </c>
      <c r="C1030" t="s">
        <v>51</v>
      </c>
      <c r="D1030">
        <v>8</v>
      </c>
      <c r="E1030" t="s">
        <v>42</v>
      </c>
      <c r="F1030" t="s">
        <v>45</v>
      </c>
    </row>
    <row r="1031" spans="1:6" hidden="1" x14ac:dyDescent="0.35">
      <c r="A1031" t="s">
        <v>65</v>
      </c>
      <c r="B1031" t="s">
        <v>54</v>
      </c>
      <c r="C1031" t="s">
        <v>51</v>
      </c>
      <c r="D1031">
        <v>3</v>
      </c>
      <c r="E1031" t="s">
        <v>42</v>
      </c>
      <c r="F1031" t="s">
        <v>45</v>
      </c>
    </row>
    <row r="1032" spans="1:6" hidden="1" x14ac:dyDescent="0.35">
      <c r="A1032" t="s">
        <v>66</v>
      </c>
      <c r="B1032" t="s">
        <v>54</v>
      </c>
      <c r="C1032" t="s">
        <v>51</v>
      </c>
      <c r="D1032">
        <v>0</v>
      </c>
      <c r="E1032" t="s">
        <v>42</v>
      </c>
      <c r="F1032" t="s">
        <v>45</v>
      </c>
    </row>
    <row r="1033" spans="1:6" hidden="1" x14ac:dyDescent="0.35">
      <c r="A1033" t="s">
        <v>67</v>
      </c>
      <c r="B1033" t="s">
        <v>54</v>
      </c>
      <c r="C1033" t="s">
        <v>51</v>
      </c>
      <c r="D1033">
        <v>1</v>
      </c>
      <c r="E1033" t="s">
        <v>42</v>
      </c>
      <c r="F1033" t="s">
        <v>45</v>
      </c>
    </row>
    <row r="1034" spans="1:6" hidden="1" x14ac:dyDescent="0.35">
      <c r="A1034" t="s">
        <v>57</v>
      </c>
      <c r="B1034" t="s">
        <v>54</v>
      </c>
      <c r="C1034" t="s">
        <v>30</v>
      </c>
      <c r="D1034">
        <v>3</v>
      </c>
      <c r="E1034" t="s">
        <v>42</v>
      </c>
      <c r="F1034" t="s">
        <v>45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1</v>
      </c>
      <c r="E1035" t="s">
        <v>42</v>
      </c>
      <c r="F1035" t="s">
        <v>45</v>
      </c>
    </row>
    <row r="1036" spans="1:6" hidden="1" x14ac:dyDescent="0.35">
      <c r="A1036" t="s">
        <v>58</v>
      </c>
      <c r="B1036" t="s">
        <v>54</v>
      </c>
      <c r="C1036" t="s">
        <v>30</v>
      </c>
      <c r="D1036">
        <v>4</v>
      </c>
      <c r="E1036" t="s">
        <v>42</v>
      </c>
      <c r="F1036" t="s">
        <v>45</v>
      </c>
    </row>
    <row r="1037" spans="1:6" hidden="1" x14ac:dyDescent="0.35">
      <c r="A1037" t="s">
        <v>59</v>
      </c>
      <c r="B1037" t="s">
        <v>54</v>
      </c>
      <c r="C1037" t="s">
        <v>30</v>
      </c>
      <c r="D1037">
        <v>3</v>
      </c>
      <c r="E1037" t="s">
        <v>42</v>
      </c>
      <c r="F1037" t="s">
        <v>45</v>
      </c>
    </row>
    <row r="1038" spans="1:6" hidden="1" x14ac:dyDescent="0.35">
      <c r="A1038" t="s">
        <v>60</v>
      </c>
      <c r="B1038" t="s">
        <v>54</v>
      </c>
      <c r="C1038" t="s">
        <v>30</v>
      </c>
      <c r="D1038">
        <v>4</v>
      </c>
      <c r="E1038" t="s">
        <v>42</v>
      </c>
      <c r="F1038" t="s">
        <v>45</v>
      </c>
    </row>
    <row r="1039" spans="1:6" hidden="1" x14ac:dyDescent="0.35">
      <c r="A1039" t="s">
        <v>61</v>
      </c>
      <c r="B1039" t="s">
        <v>54</v>
      </c>
      <c r="C1039" t="s">
        <v>30</v>
      </c>
      <c r="D1039">
        <v>4</v>
      </c>
      <c r="E1039" t="s">
        <v>42</v>
      </c>
      <c r="F1039" t="s">
        <v>45</v>
      </c>
    </row>
    <row r="1040" spans="1:6" hidden="1" x14ac:dyDescent="0.35">
      <c r="A1040" t="s">
        <v>62</v>
      </c>
      <c r="B1040" t="s">
        <v>54</v>
      </c>
      <c r="C1040" t="s">
        <v>30</v>
      </c>
      <c r="D1040">
        <v>5</v>
      </c>
      <c r="E1040" t="s">
        <v>42</v>
      </c>
      <c r="F1040" t="s">
        <v>45</v>
      </c>
    </row>
    <row r="1041" spans="1:6" hidden="1" x14ac:dyDescent="0.35">
      <c r="A1041" t="s">
        <v>63</v>
      </c>
      <c r="B1041" t="s">
        <v>54</v>
      </c>
      <c r="C1041" t="s">
        <v>30</v>
      </c>
      <c r="D1041">
        <v>7</v>
      </c>
      <c r="E1041" t="s">
        <v>42</v>
      </c>
      <c r="F1041" t="s">
        <v>45</v>
      </c>
    </row>
    <row r="1042" spans="1:6" hidden="1" x14ac:dyDescent="0.35">
      <c r="A1042" t="s">
        <v>64</v>
      </c>
      <c r="B1042" t="s">
        <v>54</v>
      </c>
      <c r="C1042" t="s">
        <v>30</v>
      </c>
      <c r="D1042">
        <v>3</v>
      </c>
      <c r="E1042" t="s">
        <v>42</v>
      </c>
      <c r="F1042" t="s">
        <v>45</v>
      </c>
    </row>
    <row r="1043" spans="1:6" hidden="1" x14ac:dyDescent="0.35">
      <c r="A1043" t="s">
        <v>65</v>
      </c>
      <c r="B1043" t="s">
        <v>54</v>
      </c>
      <c r="C1043" t="s">
        <v>30</v>
      </c>
      <c r="D1043">
        <v>2</v>
      </c>
      <c r="E1043" t="s">
        <v>42</v>
      </c>
      <c r="F1043" t="s">
        <v>45</v>
      </c>
    </row>
    <row r="1044" spans="1:6" hidden="1" x14ac:dyDescent="0.35">
      <c r="A1044" t="s">
        <v>66</v>
      </c>
      <c r="B1044" t="s">
        <v>54</v>
      </c>
      <c r="C1044" t="s">
        <v>30</v>
      </c>
      <c r="D1044">
        <v>5</v>
      </c>
      <c r="E1044" t="s">
        <v>42</v>
      </c>
      <c r="F1044" t="s">
        <v>45</v>
      </c>
    </row>
    <row r="1045" spans="1:6" hidden="1" x14ac:dyDescent="0.35">
      <c r="A1045" t="s">
        <v>67</v>
      </c>
      <c r="B1045" t="s">
        <v>54</v>
      </c>
      <c r="C1045" t="s">
        <v>30</v>
      </c>
      <c r="D1045">
        <v>9</v>
      </c>
      <c r="E1045" t="s">
        <v>42</v>
      </c>
      <c r="F1045" t="s">
        <v>45</v>
      </c>
    </row>
    <row r="1046" spans="1:6" hidden="1" x14ac:dyDescent="0.35">
      <c r="A1046" t="s">
        <v>57</v>
      </c>
      <c r="B1046" t="s">
        <v>54</v>
      </c>
      <c r="C1046" t="s">
        <v>52</v>
      </c>
      <c r="D1046">
        <v>0</v>
      </c>
      <c r="E1046" t="s">
        <v>42</v>
      </c>
      <c r="F1046" t="s">
        <v>45</v>
      </c>
    </row>
    <row r="1047" spans="1:6" hidden="1" x14ac:dyDescent="0.35">
      <c r="A1047" t="s">
        <v>11</v>
      </c>
      <c r="B1047" t="s">
        <v>54</v>
      </c>
      <c r="C1047" t="s">
        <v>52</v>
      </c>
      <c r="D1047">
        <v>0</v>
      </c>
      <c r="E1047" t="s">
        <v>42</v>
      </c>
      <c r="F1047" t="s">
        <v>45</v>
      </c>
    </row>
    <row r="1048" spans="1:6" hidden="1" x14ac:dyDescent="0.35">
      <c r="A1048" t="s">
        <v>58</v>
      </c>
      <c r="B1048" t="s">
        <v>54</v>
      </c>
      <c r="C1048" t="s">
        <v>52</v>
      </c>
      <c r="D1048">
        <v>0</v>
      </c>
      <c r="E1048" t="s">
        <v>42</v>
      </c>
      <c r="F1048" t="s">
        <v>45</v>
      </c>
    </row>
    <row r="1049" spans="1:6" hidden="1" x14ac:dyDescent="0.35">
      <c r="A1049" t="s">
        <v>59</v>
      </c>
      <c r="B1049" t="s">
        <v>54</v>
      </c>
      <c r="C1049" t="s">
        <v>52</v>
      </c>
      <c r="D1049">
        <v>0</v>
      </c>
      <c r="E1049" t="s">
        <v>42</v>
      </c>
      <c r="F1049" t="s">
        <v>45</v>
      </c>
    </row>
    <row r="1050" spans="1:6" hidden="1" x14ac:dyDescent="0.35">
      <c r="A1050" t="s">
        <v>60</v>
      </c>
      <c r="B1050" t="s">
        <v>54</v>
      </c>
      <c r="C1050" t="s">
        <v>52</v>
      </c>
      <c r="D1050">
        <v>0</v>
      </c>
      <c r="E1050" t="s">
        <v>42</v>
      </c>
      <c r="F1050" t="s">
        <v>45</v>
      </c>
    </row>
    <row r="1051" spans="1:6" hidden="1" x14ac:dyDescent="0.35">
      <c r="A1051" t="s">
        <v>61</v>
      </c>
      <c r="B1051" t="s">
        <v>54</v>
      </c>
      <c r="C1051" t="s">
        <v>52</v>
      </c>
      <c r="D1051">
        <v>0</v>
      </c>
      <c r="E1051" t="s">
        <v>42</v>
      </c>
      <c r="F1051" t="s">
        <v>45</v>
      </c>
    </row>
    <row r="1052" spans="1:6" hidden="1" x14ac:dyDescent="0.35">
      <c r="A1052" t="s">
        <v>62</v>
      </c>
      <c r="B1052" t="s">
        <v>54</v>
      </c>
      <c r="C1052" t="s">
        <v>52</v>
      </c>
      <c r="D1052">
        <v>0</v>
      </c>
      <c r="E1052" t="s">
        <v>42</v>
      </c>
      <c r="F1052" t="s">
        <v>45</v>
      </c>
    </row>
    <row r="1053" spans="1:6" hidden="1" x14ac:dyDescent="0.35">
      <c r="A1053" t="s">
        <v>63</v>
      </c>
      <c r="B1053" t="s">
        <v>54</v>
      </c>
      <c r="C1053" t="s">
        <v>52</v>
      </c>
      <c r="D1053">
        <v>0</v>
      </c>
      <c r="E1053" t="s">
        <v>42</v>
      </c>
      <c r="F1053" t="s">
        <v>45</v>
      </c>
    </row>
    <row r="1054" spans="1:6" hidden="1" x14ac:dyDescent="0.35">
      <c r="A1054" t="s">
        <v>64</v>
      </c>
      <c r="B1054" t="s">
        <v>54</v>
      </c>
      <c r="C1054" t="s">
        <v>52</v>
      </c>
      <c r="D1054">
        <v>0</v>
      </c>
      <c r="E1054" t="s">
        <v>42</v>
      </c>
      <c r="F1054" t="s">
        <v>45</v>
      </c>
    </row>
    <row r="1055" spans="1:6" hidden="1" x14ac:dyDescent="0.35">
      <c r="A1055" t="s">
        <v>65</v>
      </c>
      <c r="B1055" t="s">
        <v>54</v>
      </c>
      <c r="C1055" t="s">
        <v>52</v>
      </c>
      <c r="D1055">
        <v>0</v>
      </c>
      <c r="E1055" t="s">
        <v>42</v>
      </c>
      <c r="F1055" t="s">
        <v>45</v>
      </c>
    </row>
    <row r="1056" spans="1:6" hidden="1" x14ac:dyDescent="0.35">
      <c r="A1056" t="s">
        <v>66</v>
      </c>
      <c r="B1056" t="s">
        <v>54</v>
      </c>
      <c r="C1056" t="s">
        <v>52</v>
      </c>
      <c r="D1056">
        <v>0</v>
      </c>
      <c r="E1056" t="s">
        <v>42</v>
      </c>
      <c r="F1056" t="s">
        <v>45</v>
      </c>
    </row>
    <row r="1057" spans="1:6" hidden="1" x14ac:dyDescent="0.35">
      <c r="A1057" t="s">
        <v>67</v>
      </c>
      <c r="B1057" t="s">
        <v>54</v>
      </c>
      <c r="C1057" t="s">
        <v>52</v>
      </c>
      <c r="D1057">
        <v>0</v>
      </c>
      <c r="E1057" t="s">
        <v>42</v>
      </c>
      <c r="F1057" t="s">
        <v>45</v>
      </c>
    </row>
    <row r="1058" spans="1:6" hidden="1" x14ac:dyDescent="0.35">
      <c r="A1058" t="s">
        <v>57</v>
      </c>
      <c r="B1058" t="s">
        <v>43</v>
      </c>
      <c r="C1058" t="s">
        <v>44</v>
      </c>
      <c r="D1058">
        <v>9098.2199999999993</v>
      </c>
      <c r="E1058" t="s">
        <v>9</v>
      </c>
      <c r="F1058" t="s">
        <v>45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8625.36</v>
      </c>
      <c r="E1059" t="s">
        <v>9</v>
      </c>
      <c r="F1059" t="s">
        <v>45</v>
      </c>
    </row>
    <row r="1060" spans="1:6" hidden="1" x14ac:dyDescent="0.35">
      <c r="A1060" t="s">
        <v>58</v>
      </c>
      <c r="B1060" t="s">
        <v>43</v>
      </c>
      <c r="C1060" t="s">
        <v>44</v>
      </c>
      <c r="D1060">
        <v>3208.13</v>
      </c>
      <c r="E1060" t="s">
        <v>9</v>
      </c>
      <c r="F1060" t="s">
        <v>45</v>
      </c>
    </row>
    <row r="1061" spans="1:6" hidden="1" x14ac:dyDescent="0.35">
      <c r="A1061" t="s">
        <v>59</v>
      </c>
      <c r="B1061" t="s">
        <v>43</v>
      </c>
      <c r="C1061" t="s">
        <v>44</v>
      </c>
      <c r="D1061">
        <v>881.12</v>
      </c>
      <c r="E1061" t="s">
        <v>9</v>
      </c>
      <c r="F1061" t="s">
        <v>45</v>
      </c>
    </row>
    <row r="1062" spans="1:6" hidden="1" x14ac:dyDescent="0.35">
      <c r="A1062" t="s">
        <v>60</v>
      </c>
      <c r="B1062" t="s">
        <v>43</v>
      </c>
      <c r="C1062" t="s">
        <v>44</v>
      </c>
      <c r="D1062">
        <v>0</v>
      </c>
      <c r="E1062" t="s">
        <v>9</v>
      </c>
      <c r="F1062" t="s">
        <v>45</v>
      </c>
    </row>
    <row r="1063" spans="1:6" hidden="1" x14ac:dyDescent="0.35">
      <c r="A1063" t="s">
        <v>61</v>
      </c>
      <c r="B1063" t="s">
        <v>43</v>
      </c>
      <c r="C1063" t="s">
        <v>44</v>
      </c>
      <c r="D1063">
        <v>6424.08</v>
      </c>
      <c r="E1063" t="s">
        <v>9</v>
      </c>
      <c r="F1063" t="s">
        <v>45</v>
      </c>
    </row>
    <row r="1064" spans="1:6" hidden="1" x14ac:dyDescent="0.35">
      <c r="A1064" t="s">
        <v>62</v>
      </c>
      <c r="B1064" t="s">
        <v>43</v>
      </c>
      <c r="C1064" t="s">
        <v>44</v>
      </c>
      <c r="D1064">
        <v>6543</v>
      </c>
      <c r="E1064" t="s">
        <v>9</v>
      </c>
      <c r="F1064" t="s">
        <v>45</v>
      </c>
    </row>
    <row r="1065" spans="1:6" hidden="1" x14ac:dyDescent="0.35">
      <c r="A1065" t="s">
        <v>63</v>
      </c>
      <c r="B1065" t="s">
        <v>43</v>
      </c>
      <c r="C1065" t="s">
        <v>44</v>
      </c>
      <c r="D1065">
        <v>2009.88</v>
      </c>
      <c r="E1065" t="s">
        <v>9</v>
      </c>
      <c r="F1065" t="s">
        <v>45</v>
      </c>
    </row>
    <row r="1066" spans="1:6" hidden="1" x14ac:dyDescent="0.35">
      <c r="A1066" t="s">
        <v>64</v>
      </c>
      <c r="B1066" t="s">
        <v>43</v>
      </c>
      <c r="C1066" t="s">
        <v>44</v>
      </c>
      <c r="D1066">
        <v>2602.14</v>
      </c>
      <c r="E1066" t="s">
        <v>9</v>
      </c>
      <c r="F1066" t="s">
        <v>45</v>
      </c>
    </row>
    <row r="1067" spans="1:6" hidden="1" x14ac:dyDescent="0.35">
      <c r="A1067" t="s">
        <v>65</v>
      </c>
      <c r="B1067" t="s">
        <v>43</v>
      </c>
      <c r="C1067" t="s">
        <v>44</v>
      </c>
      <c r="D1067">
        <v>0</v>
      </c>
      <c r="E1067" t="s">
        <v>9</v>
      </c>
      <c r="F1067" t="s">
        <v>45</v>
      </c>
    </row>
    <row r="1068" spans="1:6" hidden="1" x14ac:dyDescent="0.35">
      <c r="A1068" t="s">
        <v>66</v>
      </c>
      <c r="B1068" t="s">
        <v>43</v>
      </c>
      <c r="C1068" t="s">
        <v>44</v>
      </c>
      <c r="D1068">
        <v>3859.15</v>
      </c>
      <c r="E1068" t="s">
        <v>9</v>
      </c>
      <c r="F1068" t="s">
        <v>45</v>
      </c>
    </row>
    <row r="1069" spans="1:6" hidden="1" x14ac:dyDescent="0.35">
      <c r="A1069" t="s">
        <v>67</v>
      </c>
      <c r="B1069" t="s">
        <v>43</v>
      </c>
      <c r="C1069" t="s">
        <v>44</v>
      </c>
      <c r="D1069">
        <v>3401.78</v>
      </c>
      <c r="E1069" t="s">
        <v>9</v>
      </c>
      <c r="F1069" t="s">
        <v>45</v>
      </c>
    </row>
    <row r="1070" spans="1:6" hidden="1" x14ac:dyDescent="0.35">
      <c r="A1070" t="s">
        <v>57</v>
      </c>
      <c r="B1070" t="s">
        <v>43</v>
      </c>
      <c r="C1070" t="s">
        <v>22</v>
      </c>
      <c r="D1070">
        <v>0</v>
      </c>
      <c r="E1070" t="s">
        <v>9</v>
      </c>
      <c r="F1070" t="s">
        <v>45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9</v>
      </c>
      <c r="F1071" t="s">
        <v>45</v>
      </c>
    </row>
    <row r="1072" spans="1:6" hidden="1" x14ac:dyDescent="0.35">
      <c r="A1072" t="s">
        <v>58</v>
      </c>
      <c r="B1072" t="s">
        <v>43</v>
      </c>
      <c r="C1072" t="s">
        <v>22</v>
      </c>
      <c r="D1072">
        <v>0</v>
      </c>
      <c r="E1072" t="s">
        <v>9</v>
      </c>
      <c r="F1072" t="s">
        <v>45</v>
      </c>
    </row>
    <row r="1073" spans="1:6" hidden="1" x14ac:dyDescent="0.35">
      <c r="A1073" t="s">
        <v>59</v>
      </c>
      <c r="B1073" t="s">
        <v>43</v>
      </c>
      <c r="C1073" t="s">
        <v>22</v>
      </c>
      <c r="D1073">
        <v>0</v>
      </c>
      <c r="E1073" t="s">
        <v>9</v>
      </c>
      <c r="F1073" t="s">
        <v>45</v>
      </c>
    </row>
    <row r="1074" spans="1:6" hidden="1" x14ac:dyDescent="0.35">
      <c r="A1074" t="s">
        <v>60</v>
      </c>
      <c r="B1074" t="s">
        <v>43</v>
      </c>
      <c r="C1074" t="s">
        <v>22</v>
      </c>
      <c r="D1074">
        <v>0</v>
      </c>
      <c r="E1074" t="s">
        <v>9</v>
      </c>
      <c r="F1074" t="s">
        <v>45</v>
      </c>
    </row>
    <row r="1075" spans="1:6" hidden="1" x14ac:dyDescent="0.35">
      <c r="A1075" t="s">
        <v>61</v>
      </c>
      <c r="B1075" t="s">
        <v>43</v>
      </c>
      <c r="C1075" t="s">
        <v>22</v>
      </c>
      <c r="D1075">
        <v>0</v>
      </c>
      <c r="E1075" t="s">
        <v>9</v>
      </c>
      <c r="F1075" t="s">
        <v>45</v>
      </c>
    </row>
    <row r="1076" spans="1:6" hidden="1" x14ac:dyDescent="0.35">
      <c r="A1076" t="s">
        <v>62</v>
      </c>
      <c r="B1076" t="s">
        <v>43</v>
      </c>
      <c r="C1076" t="s">
        <v>22</v>
      </c>
      <c r="D1076">
        <v>0</v>
      </c>
      <c r="E1076" t="s">
        <v>9</v>
      </c>
      <c r="F1076" t="s">
        <v>45</v>
      </c>
    </row>
    <row r="1077" spans="1:6" hidden="1" x14ac:dyDescent="0.35">
      <c r="A1077" t="s">
        <v>63</v>
      </c>
      <c r="B1077" t="s">
        <v>43</v>
      </c>
      <c r="C1077" t="s">
        <v>22</v>
      </c>
      <c r="D1077">
        <v>0</v>
      </c>
      <c r="E1077" t="s">
        <v>9</v>
      </c>
      <c r="F1077" t="s">
        <v>45</v>
      </c>
    </row>
    <row r="1078" spans="1:6" hidden="1" x14ac:dyDescent="0.35">
      <c r="A1078" t="s">
        <v>64</v>
      </c>
      <c r="B1078" t="s">
        <v>43</v>
      </c>
      <c r="C1078" t="s">
        <v>22</v>
      </c>
      <c r="D1078">
        <v>0</v>
      </c>
      <c r="E1078" t="s">
        <v>9</v>
      </c>
      <c r="F1078" t="s">
        <v>45</v>
      </c>
    </row>
    <row r="1079" spans="1:6" hidden="1" x14ac:dyDescent="0.35">
      <c r="A1079" t="s">
        <v>65</v>
      </c>
      <c r="B1079" t="s">
        <v>43</v>
      </c>
      <c r="C1079" t="s">
        <v>22</v>
      </c>
      <c r="D1079">
        <v>0</v>
      </c>
      <c r="E1079" t="s">
        <v>9</v>
      </c>
      <c r="F1079" t="s">
        <v>45</v>
      </c>
    </row>
    <row r="1080" spans="1:6" hidden="1" x14ac:dyDescent="0.35">
      <c r="A1080" t="s">
        <v>66</v>
      </c>
      <c r="B1080" t="s">
        <v>43</v>
      </c>
      <c r="C1080" t="s">
        <v>22</v>
      </c>
      <c r="D1080">
        <v>0</v>
      </c>
      <c r="E1080" t="s">
        <v>9</v>
      </c>
      <c r="F1080" t="s">
        <v>45</v>
      </c>
    </row>
    <row r="1081" spans="1:6" hidden="1" x14ac:dyDescent="0.35">
      <c r="A1081" t="s">
        <v>67</v>
      </c>
      <c r="B1081" t="s">
        <v>43</v>
      </c>
      <c r="C1081" t="s">
        <v>22</v>
      </c>
      <c r="D1081">
        <v>0</v>
      </c>
      <c r="E1081" t="s">
        <v>9</v>
      </c>
      <c r="F1081" t="s">
        <v>45</v>
      </c>
    </row>
    <row r="1082" spans="1:6" hidden="1" x14ac:dyDescent="0.35">
      <c r="A1082" t="s">
        <v>57</v>
      </c>
      <c r="B1082" t="s">
        <v>43</v>
      </c>
      <c r="C1082" t="s">
        <v>46</v>
      </c>
      <c r="D1082">
        <v>154834.34</v>
      </c>
      <c r="E1082" t="s">
        <v>9</v>
      </c>
      <c r="F1082" t="s">
        <v>45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61999.469999999987</v>
      </c>
      <c r="E1083" t="s">
        <v>9</v>
      </c>
      <c r="F1083" t="s">
        <v>45</v>
      </c>
    </row>
    <row r="1084" spans="1:6" hidden="1" x14ac:dyDescent="0.35">
      <c r="A1084" t="s">
        <v>58</v>
      </c>
      <c r="B1084" t="s">
        <v>43</v>
      </c>
      <c r="C1084" t="s">
        <v>46</v>
      </c>
      <c r="D1084">
        <v>29611.85</v>
      </c>
      <c r="E1084" t="s">
        <v>9</v>
      </c>
      <c r="F1084" t="s">
        <v>45</v>
      </c>
    </row>
    <row r="1085" spans="1:6" hidden="1" x14ac:dyDescent="0.35">
      <c r="A1085" t="s">
        <v>59</v>
      </c>
      <c r="B1085" t="s">
        <v>43</v>
      </c>
      <c r="C1085" t="s">
        <v>46</v>
      </c>
      <c r="D1085">
        <v>161124.98000000001</v>
      </c>
      <c r="E1085" t="s">
        <v>9</v>
      </c>
      <c r="F1085" t="s">
        <v>45</v>
      </c>
    </row>
    <row r="1086" spans="1:6" hidden="1" x14ac:dyDescent="0.35">
      <c r="A1086" t="s">
        <v>60</v>
      </c>
      <c r="B1086" t="s">
        <v>43</v>
      </c>
      <c r="C1086" t="s">
        <v>46</v>
      </c>
      <c r="D1086">
        <v>156049.64000000001</v>
      </c>
      <c r="E1086" t="s">
        <v>9</v>
      </c>
      <c r="F1086" t="s">
        <v>45</v>
      </c>
    </row>
    <row r="1087" spans="1:6" hidden="1" x14ac:dyDescent="0.35">
      <c r="A1087" t="s">
        <v>61</v>
      </c>
      <c r="B1087" t="s">
        <v>43</v>
      </c>
      <c r="C1087" t="s">
        <v>46</v>
      </c>
      <c r="D1087">
        <v>504279.59000000008</v>
      </c>
      <c r="E1087" t="s">
        <v>9</v>
      </c>
      <c r="F1087" t="s">
        <v>45</v>
      </c>
    </row>
    <row r="1088" spans="1:6" hidden="1" x14ac:dyDescent="0.35">
      <c r="A1088" t="s">
        <v>62</v>
      </c>
      <c r="B1088" t="s">
        <v>43</v>
      </c>
      <c r="C1088" t="s">
        <v>46</v>
      </c>
      <c r="D1088">
        <v>354578.04</v>
      </c>
      <c r="E1088" t="s">
        <v>9</v>
      </c>
      <c r="F1088" t="s">
        <v>45</v>
      </c>
    </row>
    <row r="1089" spans="1:6" hidden="1" x14ac:dyDescent="0.35">
      <c r="A1089" t="s">
        <v>63</v>
      </c>
      <c r="B1089" t="s">
        <v>43</v>
      </c>
      <c r="C1089" t="s">
        <v>46</v>
      </c>
      <c r="D1089">
        <v>373886.7</v>
      </c>
      <c r="E1089" t="s">
        <v>9</v>
      </c>
      <c r="F1089" t="s">
        <v>45</v>
      </c>
    </row>
    <row r="1090" spans="1:6" hidden="1" x14ac:dyDescent="0.35">
      <c r="A1090" t="s">
        <v>64</v>
      </c>
      <c r="B1090" t="s">
        <v>43</v>
      </c>
      <c r="C1090" t="s">
        <v>46</v>
      </c>
      <c r="D1090">
        <v>394365.41</v>
      </c>
      <c r="E1090" t="s">
        <v>9</v>
      </c>
      <c r="F1090" t="s">
        <v>45</v>
      </c>
    </row>
    <row r="1091" spans="1:6" hidden="1" x14ac:dyDescent="0.35">
      <c r="A1091" t="s">
        <v>65</v>
      </c>
      <c r="B1091" t="s">
        <v>43</v>
      </c>
      <c r="C1091" t="s">
        <v>46</v>
      </c>
      <c r="D1091">
        <v>146077.68</v>
      </c>
      <c r="E1091" t="s">
        <v>9</v>
      </c>
      <c r="F1091" t="s">
        <v>45</v>
      </c>
    </row>
    <row r="1092" spans="1:6" hidden="1" x14ac:dyDescent="0.35">
      <c r="A1092" t="s">
        <v>66</v>
      </c>
      <c r="B1092" t="s">
        <v>43</v>
      </c>
      <c r="C1092" t="s">
        <v>46</v>
      </c>
      <c r="D1092">
        <v>87540.060000000012</v>
      </c>
      <c r="E1092" t="s">
        <v>9</v>
      </c>
      <c r="F1092" t="s">
        <v>45</v>
      </c>
    </row>
    <row r="1093" spans="1:6" hidden="1" x14ac:dyDescent="0.35">
      <c r="A1093" t="s">
        <v>67</v>
      </c>
      <c r="B1093" t="s">
        <v>43</v>
      </c>
      <c r="C1093" t="s">
        <v>46</v>
      </c>
      <c r="D1093">
        <v>164338.82999999999</v>
      </c>
      <c r="E1093" t="s">
        <v>9</v>
      </c>
      <c r="F1093" t="s">
        <v>45</v>
      </c>
    </row>
    <row r="1094" spans="1:6" hidden="1" x14ac:dyDescent="0.35">
      <c r="A1094" t="s">
        <v>57</v>
      </c>
      <c r="B1094" t="s">
        <v>43</v>
      </c>
      <c r="C1094" t="s">
        <v>24</v>
      </c>
      <c r="D1094">
        <v>0</v>
      </c>
      <c r="E1094" t="s">
        <v>9</v>
      </c>
      <c r="F1094" t="s">
        <v>45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9</v>
      </c>
      <c r="F1095" t="s">
        <v>45</v>
      </c>
    </row>
    <row r="1096" spans="1:6" hidden="1" x14ac:dyDescent="0.35">
      <c r="A1096" t="s">
        <v>58</v>
      </c>
      <c r="B1096" t="s">
        <v>43</v>
      </c>
      <c r="C1096" t="s">
        <v>24</v>
      </c>
      <c r="D1096">
        <v>0</v>
      </c>
      <c r="E1096" t="s">
        <v>9</v>
      </c>
      <c r="F1096" t="s">
        <v>45</v>
      </c>
    </row>
    <row r="1097" spans="1:6" hidden="1" x14ac:dyDescent="0.35">
      <c r="A1097" t="s">
        <v>59</v>
      </c>
      <c r="B1097" t="s">
        <v>43</v>
      </c>
      <c r="C1097" t="s">
        <v>24</v>
      </c>
      <c r="D1097">
        <v>0</v>
      </c>
      <c r="E1097" t="s">
        <v>9</v>
      </c>
      <c r="F1097" t="s">
        <v>45</v>
      </c>
    </row>
    <row r="1098" spans="1:6" hidden="1" x14ac:dyDescent="0.35">
      <c r="A1098" t="s">
        <v>60</v>
      </c>
      <c r="B1098" t="s">
        <v>43</v>
      </c>
      <c r="C1098" t="s">
        <v>24</v>
      </c>
      <c r="D1098">
        <v>0</v>
      </c>
      <c r="E1098" t="s">
        <v>9</v>
      </c>
      <c r="F1098" t="s">
        <v>45</v>
      </c>
    </row>
    <row r="1099" spans="1:6" hidden="1" x14ac:dyDescent="0.35">
      <c r="A1099" t="s">
        <v>61</v>
      </c>
      <c r="B1099" t="s">
        <v>43</v>
      </c>
      <c r="C1099" t="s">
        <v>24</v>
      </c>
      <c r="D1099">
        <v>0</v>
      </c>
      <c r="E1099" t="s">
        <v>9</v>
      </c>
      <c r="F1099" t="s">
        <v>45</v>
      </c>
    </row>
    <row r="1100" spans="1:6" hidden="1" x14ac:dyDescent="0.35">
      <c r="A1100" t="s">
        <v>62</v>
      </c>
      <c r="B1100" t="s">
        <v>43</v>
      </c>
      <c r="C1100" t="s">
        <v>24</v>
      </c>
      <c r="D1100">
        <v>0</v>
      </c>
      <c r="E1100" t="s">
        <v>9</v>
      </c>
      <c r="F1100" t="s">
        <v>45</v>
      </c>
    </row>
    <row r="1101" spans="1:6" hidden="1" x14ac:dyDescent="0.35">
      <c r="A1101" t="s">
        <v>63</v>
      </c>
      <c r="B1101" t="s">
        <v>43</v>
      </c>
      <c r="C1101" t="s">
        <v>24</v>
      </c>
      <c r="D1101">
        <v>0</v>
      </c>
      <c r="E1101" t="s">
        <v>9</v>
      </c>
      <c r="F1101" t="s">
        <v>45</v>
      </c>
    </row>
    <row r="1102" spans="1:6" hidden="1" x14ac:dyDescent="0.35">
      <c r="A1102" t="s">
        <v>64</v>
      </c>
      <c r="B1102" t="s">
        <v>43</v>
      </c>
      <c r="C1102" t="s">
        <v>24</v>
      </c>
      <c r="D1102">
        <v>0</v>
      </c>
      <c r="E1102" t="s">
        <v>9</v>
      </c>
      <c r="F1102" t="s">
        <v>45</v>
      </c>
    </row>
    <row r="1103" spans="1:6" hidden="1" x14ac:dyDescent="0.35">
      <c r="A1103" t="s">
        <v>65</v>
      </c>
      <c r="B1103" t="s">
        <v>43</v>
      </c>
      <c r="C1103" t="s">
        <v>24</v>
      </c>
      <c r="D1103">
        <v>0</v>
      </c>
      <c r="E1103" t="s">
        <v>9</v>
      </c>
      <c r="F1103" t="s">
        <v>45</v>
      </c>
    </row>
    <row r="1104" spans="1:6" hidden="1" x14ac:dyDescent="0.35">
      <c r="A1104" t="s">
        <v>66</v>
      </c>
      <c r="B1104" t="s">
        <v>43</v>
      </c>
      <c r="C1104" t="s">
        <v>24</v>
      </c>
      <c r="D1104">
        <v>0</v>
      </c>
      <c r="E1104" t="s">
        <v>9</v>
      </c>
      <c r="F1104" t="s">
        <v>45</v>
      </c>
    </row>
    <row r="1105" spans="1:6" hidden="1" x14ac:dyDescent="0.35">
      <c r="A1105" t="s">
        <v>67</v>
      </c>
      <c r="B1105" t="s">
        <v>43</v>
      </c>
      <c r="C1105" t="s">
        <v>24</v>
      </c>
      <c r="D1105">
        <v>0</v>
      </c>
      <c r="E1105" t="s">
        <v>9</v>
      </c>
      <c r="F1105" t="s">
        <v>45</v>
      </c>
    </row>
    <row r="1106" spans="1:6" hidden="1" x14ac:dyDescent="0.35">
      <c r="A1106" t="s">
        <v>57</v>
      </c>
      <c r="B1106" t="s">
        <v>43</v>
      </c>
      <c r="C1106" t="s">
        <v>47</v>
      </c>
      <c r="D1106">
        <v>0</v>
      </c>
      <c r="E1106" t="s">
        <v>9</v>
      </c>
      <c r="F1106" t="s">
        <v>45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1738.36</v>
      </c>
      <c r="E1107" t="s">
        <v>9</v>
      </c>
      <c r="F1107" t="s">
        <v>45</v>
      </c>
    </row>
    <row r="1108" spans="1:6" hidden="1" x14ac:dyDescent="0.35">
      <c r="A1108" t="s">
        <v>58</v>
      </c>
      <c r="B1108" t="s">
        <v>43</v>
      </c>
      <c r="C1108" t="s">
        <v>47</v>
      </c>
      <c r="D1108">
        <v>0</v>
      </c>
      <c r="E1108" t="s">
        <v>9</v>
      </c>
      <c r="F1108" t="s">
        <v>45</v>
      </c>
    </row>
    <row r="1109" spans="1:6" hidden="1" x14ac:dyDescent="0.35">
      <c r="A1109" t="s">
        <v>59</v>
      </c>
      <c r="B1109" t="s">
        <v>43</v>
      </c>
      <c r="C1109" t="s">
        <v>47</v>
      </c>
      <c r="D1109">
        <v>0</v>
      </c>
      <c r="E1109" t="s">
        <v>9</v>
      </c>
      <c r="F1109" t="s">
        <v>45</v>
      </c>
    </row>
    <row r="1110" spans="1:6" hidden="1" x14ac:dyDescent="0.35">
      <c r="A1110" t="s">
        <v>60</v>
      </c>
      <c r="B1110" t="s">
        <v>43</v>
      </c>
      <c r="C1110" t="s">
        <v>47</v>
      </c>
      <c r="D1110">
        <v>0</v>
      </c>
      <c r="E1110" t="s">
        <v>9</v>
      </c>
      <c r="F1110" t="s">
        <v>45</v>
      </c>
    </row>
    <row r="1111" spans="1:6" hidden="1" x14ac:dyDescent="0.35">
      <c r="A1111" t="s">
        <v>61</v>
      </c>
      <c r="B1111" t="s">
        <v>43</v>
      </c>
      <c r="C1111" t="s">
        <v>47</v>
      </c>
      <c r="D1111">
        <v>0</v>
      </c>
      <c r="E1111" t="s">
        <v>9</v>
      </c>
      <c r="F1111" t="s">
        <v>45</v>
      </c>
    </row>
    <row r="1112" spans="1:6" hidden="1" x14ac:dyDescent="0.35">
      <c r="A1112" t="s">
        <v>62</v>
      </c>
      <c r="B1112" t="s">
        <v>43</v>
      </c>
      <c r="C1112" t="s">
        <v>47</v>
      </c>
      <c r="D1112">
        <v>0</v>
      </c>
      <c r="E1112" t="s">
        <v>9</v>
      </c>
      <c r="F1112" t="s">
        <v>45</v>
      </c>
    </row>
    <row r="1113" spans="1:6" hidden="1" x14ac:dyDescent="0.35">
      <c r="A1113" t="s">
        <v>63</v>
      </c>
      <c r="B1113" t="s">
        <v>43</v>
      </c>
      <c r="C1113" t="s">
        <v>47</v>
      </c>
      <c r="D1113">
        <v>0</v>
      </c>
      <c r="E1113" t="s">
        <v>9</v>
      </c>
      <c r="F1113" t="s">
        <v>45</v>
      </c>
    </row>
    <row r="1114" spans="1:6" hidden="1" x14ac:dyDescent="0.35">
      <c r="A1114" t="s">
        <v>64</v>
      </c>
      <c r="B1114" t="s">
        <v>43</v>
      </c>
      <c r="C1114" t="s">
        <v>47</v>
      </c>
      <c r="D1114">
        <v>0</v>
      </c>
      <c r="E1114" t="s">
        <v>9</v>
      </c>
      <c r="F1114" t="s">
        <v>45</v>
      </c>
    </row>
    <row r="1115" spans="1:6" hidden="1" x14ac:dyDescent="0.35">
      <c r="A1115" t="s">
        <v>65</v>
      </c>
      <c r="B1115" t="s">
        <v>43</v>
      </c>
      <c r="C1115" t="s">
        <v>47</v>
      </c>
      <c r="D1115">
        <v>40.04</v>
      </c>
      <c r="E1115" t="s">
        <v>9</v>
      </c>
      <c r="F1115" t="s">
        <v>45</v>
      </c>
    </row>
    <row r="1116" spans="1:6" hidden="1" x14ac:dyDescent="0.35">
      <c r="A1116" t="s">
        <v>66</v>
      </c>
      <c r="B1116" t="s">
        <v>43</v>
      </c>
      <c r="C1116" t="s">
        <v>47</v>
      </c>
      <c r="D1116">
        <v>0</v>
      </c>
      <c r="E1116" t="s">
        <v>9</v>
      </c>
      <c r="F1116" t="s">
        <v>45</v>
      </c>
    </row>
    <row r="1117" spans="1:6" hidden="1" x14ac:dyDescent="0.35">
      <c r="A1117" t="s">
        <v>67</v>
      </c>
      <c r="B1117" t="s">
        <v>43</v>
      </c>
      <c r="C1117" t="s">
        <v>47</v>
      </c>
      <c r="D1117">
        <v>8273.32</v>
      </c>
      <c r="E1117" t="s">
        <v>9</v>
      </c>
      <c r="F1117" t="s">
        <v>45</v>
      </c>
    </row>
    <row r="1118" spans="1:6" hidden="1" x14ac:dyDescent="0.35">
      <c r="A1118" t="s">
        <v>57</v>
      </c>
      <c r="B1118" t="s">
        <v>43</v>
      </c>
      <c r="C1118" t="s">
        <v>48</v>
      </c>
      <c r="D1118">
        <v>0</v>
      </c>
      <c r="E1118" t="s">
        <v>9</v>
      </c>
      <c r="F1118" t="s">
        <v>45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9</v>
      </c>
      <c r="F1119" t="s">
        <v>45</v>
      </c>
    </row>
    <row r="1120" spans="1:6" hidden="1" x14ac:dyDescent="0.35">
      <c r="A1120" t="s">
        <v>58</v>
      </c>
      <c r="B1120" t="s">
        <v>43</v>
      </c>
      <c r="C1120" t="s">
        <v>48</v>
      </c>
      <c r="D1120">
        <v>0</v>
      </c>
      <c r="E1120" t="s">
        <v>9</v>
      </c>
      <c r="F1120" t="s">
        <v>45</v>
      </c>
    </row>
    <row r="1121" spans="1:6" hidden="1" x14ac:dyDescent="0.35">
      <c r="A1121" t="s">
        <v>59</v>
      </c>
      <c r="B1121" t="s">
        <v>43</v>
      </c>
      <c r="C1121" t="s">
        <v>48</v>
      </c>
      <c r="D1121">
        <v>0</v>
      </c>
      <c r="E1121" t="s">
        <v>9</v>
      </c>
      <c r="F1121" t="s">
        <v>45</v>
      </c>
    </row>
    <row r="1122" spans="1:6" hidden="1" x14ac:dyDescent="0.35">
      <c r="A1122" t="s">
        <v>60</v>
      </c>
      <c r="B1122" t="s">
        <v>43</v>
      </c>
      <c r="C1122" t="s">
        <v>48</v>
      </c>
      <c r="D1122">
        <v>0</v>
      </c>
      <c r="E1122" t="s">
        <v>9</v>
      </c>
      <c r="F1122" t="s">
        <v>45</v>
      </c>
    </row>
    <row r="1123" spans="1:6" hidden="1" x14ac:dyDescent="0.35">
      <c r="A1123" t="s">
        <v>61</v>
      </c>
      <c r="B1123" t="s">
        <v>43</v>
      </c>
      <c r="C1123" t="s">
        <v>48</v>
      </c>
      <c r="D1123">
        <v>0</v>
      </c>
      <c r="E1123" t="s">
        <v>9</v>
      </c>
      <c r="F1123" t="s">
        <v>45</v>
      </c>
    </row>
    <row r="1124" spans="1:6" hidden="1" x14ac:dyDescent="0.35">
      <c r="A1124" t="s">
        <v>62</v>
      </c>
      <c r="B1124" t="s">
        <v>43</v>
      </c>
      <c r="C1124" t="s">
        <v>48</v>
      </c>
      <c r="D1124">
        <v>0</v>
      </c>
      <c r="E1124" t="s">
        <v>9</v>
      </c>
      <c r="F1124" t="s">
        <v>45</v>
      </c>
    </row>
    <row r="1125" spans="1:6" hidden="1" x14ac:dyDescent="0.35">
      <c r="A1125" t="s">
        <v>63</v>
      </c>
      <c r="B1125" t="s">
        <v>43</v>
      </c>
      <c r="C1125" t="s">
        <v>48</v>
      </c>
      <c r="D1125">
        <v>0</v>
      </c>
      <c r="E1125" t="s">
        <v>9</v>
      </c>
      <c r="F1125" t="s">
        <v>45</v>
      </c>
    </row>
    <row r="1126" spans="1:6" hidden="1" x14ac:dyDescent="0.35">
      <c r="A1126" t="s">
        <v>64</v>
      </c>
      <c r="B1126" t="s">
        <v>43</v>
      </c>
      <c r="C1126" t="s">
        <v>48</v>
      </c>
      <c r="D1126">
        <v>0</v>
      </c>
      <c r="E1126" t="s">
        <v>9</v>
      </c>
      <c r="F1126" t="s">
        <v>45</v>
      </c>
    </row>
    <row r="1127" spans="1:6" hidden="1" x14ac:dyDescent="0.35">
      <c r="A1127" t="s">
        <v>65</v>
      </c>
      <c r="B1127" t="s">
        <v>43</v>
      </c>
      <c r="C1127" t="s">
        <v>48</v>
      </c>
      <c r="D1127">
        <v>0</v>
      </c>
      <c r="E1127" t="s">
        <v>9</v>
      </c>
      <c r="F1127" t="s">
        <v>45</v>
      </c>
    </row>
    <row r="1128" spans="1:6" hidden="1" x14ac:dyDescent="0.35">
      <c r="A1128" t="s">
        <v>66</v>
      </c>
      <c r="B1128" t="s">
        <v>43</v>
      </c>
      <c r="C1128" t="s">
        <v>48</v>
      </c>
      <c r="D1128">
        <v>0</v>
      </c>
      <c r="E1128" t="s">
        <v>9</v>
      </c>
      <c r="F1128" t="s">
        <v>45</v>
      </c>
    </row>
    <row r="1129" spans="1:6" hidden="1" x14ac:dyDescent="0.35">
      <c r="A1129" t="s">
        <v>67</v>
      </c>
      <c r="B1129" t="s">
        <v>43</v>
      </c>
      <c r="C1129" t="s">
        <v>48</v>
      </c>
      <c r="D1129">
        <v>0</v>
      </c>
      <c r="E1129" t="s">
        <v>9</v>
      </c>
      <c r="F1129" t="s">
        <v>45</v>
      </c>
    </row>
    <row r="1130" spans="1:6" hidden="1" x14ac:dyDescent="0.35">
      <c r="A1130" t="s">
        <v>57</v>
      </c>
      <c r="B1130" t="s">
        <v>43</v>
      </c>
      <c r="C1130" t="s">
        <v>49</v>
      </c>
      <c r="D1130">
        <v>1092.75</v>
      </c>
      <c r="E1130" t="s">
        <v>9</v>
      </c>
      <c r="F1130" t="s">
        <v>45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1308.1500000000001</v>
      </c>
      <c r="E1131" t="s">
        <v>9</v>
      </c>
      <c r="F1131" t="s">
        <v>45</v>
      </c>
    </row>
    <row r="1132" spans="1:6" hidden="1" x14ac:dyDescent="0.35">
      <c r="A1132" t="s">
        <v>58</v>
      </c>
      <c r="B1132" t="s">
        <v>43</v>
      </c>
      <c r="C1132" t="s">
        <v>49</v>
      </c>
      <c r="D1132">
        <v>248</v>
      </c>
      <c r="E1132" t="s">
        <v>9</v>
      </c>
      <c r="F1132" t="s">
        <v>45</v>
      </c>
    </row>
    <row r="1133" spans="1:6" hidden="1" x14ac:dyDescent="0.35">
      <c r="A1133" t="s">
        <v>59</v>
      </c>
      <c r="B1133" t="s">
        <v>43</v>
      </c>
      <c r="C1133" t="s">
        <v>49</v>
      </c>
      <c r="D1133">
        <v>2504.8000000000002</v>
      </c>
      <c r="E1133" t="s">
        <v>9</v>
      </c>
      <c r="F1133" t="s">
        <v>45</v>
      </c>
    </row>
    <row r="1134" spans="1:6" hidden="1" x14ac:dyDescent="0.35">
      <c r="A1134" t="s">
        <v>60</v>
      </c>
      <c r="B1134" t="s">
        <v>43</v>
      </c>
      <c r="C1134" t="s">
        <v>49</v>
      </c>
      <c r="D1134">
        <v>3349.110000000001</v>
      </c>
      <c r="E1134" t="s">
        <v>9</v>
      </c>
      <c r="F1134" t="s">
        <v>45</v>
      </c>
    </row>
    <row r="1135" spans="1:6" hidden="1" x14ac:dyDescent="0.35">
      <c r="A1135" t="s">
        <v>61</v>
      </c>
      <c r="B1135" t="s">
        <v>43</v>
      </c>
      <c r="C1135" t="s">
        <v>49</v>
      </c>
      <c r="D1135">
        <v>6897.2800000000007</v>
      </c>
      <c r="E1135" t="s">
        <v>9</v>
      </c>
      <c r="F1135" t="s">
        <v>45</v>
      </c>
    </row>
    <row r="1136" spans="1:6" hidden="1" x14ac:dyDescent="0.35">
      <c r="A1136" t="s">
        <v>62</v>
      </c>
      <c r="B1136" t="s">
        <v>43</v>
      </c>
      <c r="C1136" t="s">
        <v>49</v>
      </c>
      <c r="D1136">
        <v>11873.24</v>
      </c>
      <c r="E1136" t="s">
        <v>9</v>
      </c>
      <c r="F1136" t="s">
        <v>45</v>
      </c>
    </row>
    <row r="1137" spans="1:6" hidden="1" x14ac:dyDescent="0.35">
      <c r="A1137" t="s">
        <v>63</v>
      </c>
      <c r="B1137" t="s">
        <v>43</v>
      </c>
      <c r="C1137" t="s">
        <v>49</v>
      </c>
      <c r="D1137">
        <v>23808.58</v>
      </c>
      <c r="E1137" t="s">
        <v>9</v>
      </c>
      <c r="F1137" t="s">
        <v>45</v>
      </c>
    </row>
    <row r="1138" spans="1:6" hidden="1" x14ac:dyDescent="0.35">
      <c r="A1138" t="s">
        <v>64</v>
      </c>
      <c r="B1138" t="s">
        <v>43</v>
      </c>
      <c r="C1138" t="s">
        <v>49</v>
      </c>
      <c r="D1138">
        <v>8904.0499999999993</v>
      </c>
      <c r="E1138" t="s">
        <v>9</v>
      </c>
      <c r="F1138" t="s">
        <v>45</v>
      </c>
    </row>
    <row r="1139" spans="1:6" hidden="1" x14ac:dyDescent="0.35">
      <c r="A1139" t="s">
        <v>65</v>
      </c>
      <c r="B1139" t="s">
        <v>43</v>
      </c>
      <c r="C1139" t="s">
        <v>49</v>
      </c>
      <c r="D1139">
        <v>272.8</v>
      </c>
      <c r="E1139" t="s">
        <v>9</v>
      </c>
      <c r="F1139" t="s">
        <v>45</v>
      </c>
    </row>
    <row r="1140" spans="1:6" hidden="1" x14ac:dyDescent="0.35">
      <c r="A1140" t="s">
        <v>66</v>
      </c>
      <c r="B1140" t="s">
        <v>43</v>
      </c>
      <c r="C1140" t="s">
        <v>49</v>
      </c>
      <c r="D1140">
        <v>1451.74</v>
      </c>
      <c r="E1140" t="s">
        <v>9</v>
      </c>
      <c r="F1140" t="s">
        <v>45</v>
      </c>
    </row>
    <row r="1141" spans="1:6" hidden="1" x14ac:dyDescent="0.35">
      <c r="A1141" t="s">
        <v>67</v>
      </c>
      <c r="B1141" t="s">
        <v>43</v>
      </c>
      <c r="C1141" t="s">
        <v>49</v>
      </c>
      <c r="D1141">
        <v>0</v>
      </c>
      <c r="E1141" t="s">
        <v>9</v>
      </c>
      <c r="F1141" t="s">
        <v>45</v>
      </c>
    </row>
    <row r="1142" spans="1:6" hidden="1" x14ac:dyDescent="0.35">
      <c r="A1142" t="s">
        <v>57</v>
      </c>
      <c r="B1142" t="s">
        <v>43</v>
      </c>
      <c r="C1142" t="s">
        <v>50</v>
      </c>
      <c r="D1142">
        <v>0</v>
      </c>
      <c r="E1142" t="s">
        <v>9</v>
      </c>
      <c r="F1142" t="s">
        <v>45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9</v>
      </c>
      <c r="F1143" t="s">
        <v>45</v>
      </c>
    </row>
    <row r="1144" spans="1:6" hidden="1" x14ac:dyDescent="0.35">
      <c r="A1144" t="s">
        <v>58</v>
      </c>
      <c r="B1144" t="s">
        <v>43</v>
      </c>
      <c r="C1144" t="s">
        <v>50</v>
      </c>
      <c r="D1144">
        <v>0</v>
      </c>
      <c r="E1144" t="s">
        <v>9</v>
      </c>
      <c r="F1144" t="s">
        <v>45</v>
      </c>
    </row>
    <row r="1145" spans="1:6" hidden="1" x14ac:dyDescent="0.35">
      <c r="A1145" t="s">
        <v>59</v>
      </c>
      <c r="B1145" t="s">
        <v>43</v>
      </c>
      <c r="C1145" t="s">
        <v>50</v>
      </c>
      <c r="D1145">
        <v>0</v>
      </c>
      <c r="E1145" t="s">
        <v>9</v>
      </c>
      <c r="F1145" t="s">
        <v>45</v>
      </c>
    </row>
    <row r="1146" spans="1:6" hidden="1" x14ac:dyDescent="0.35">
      <c r="A1146" t="s">
        <v>60</v>
      </c>
      <c r="B1146" t="s">
        <v>43</v>
      </c>
      <c r="C1146" t="s">
        <v>50</v>
      </c>
      <c r="D1146">
        <v>5306.58</v>
      </c>
      <c r="E1146" t="s">
        <v>9</v>
      </c>
      <c r="F1146" t="s">
        <v>45</v>
      </c>
    </row>
    <row r="1147" spans="1:6" hidden="1" x14ac:dyDescent="0.35">
      <c r="A1147" t="s">
        <v>61</v>
      </c>
      <c r="B1147" t="s">
        <v>43</v>
      </c>
      <c r="C1147" t="s">
        <v>50</v>
      </c>
      <c r="D1147">
        <v>0</v>
      </c>
      <c r="E1147" t="s">
        <v>9</v>
      </c>
      <c r="F1147" t="s">
        <v>45</v>
      </c>
    </row>
    <row r="1148" spans="1:6" hidden="1" x14ac:dyDescent="0.35">
      <c r="A1148" t="s">
        <v>62</v>
      </c>
      <c r="B1148" t="s">
        <v>43</v>
      </c>
      <c r="C1148" t="s">
        <v>50</v>
      </c>
      <c r="D1148">
        <v>0</v>
      </c>
      <c r="E1148" t="s">
        <v>9</v>
      </c>
      <c r="F1148" t="s">
        <v>45</v>
      </c>
    </row>
    <row r="1149" spans="1:6" hidden="1" x14ac:dyDescent="0.35">
      <c r="A1149" t="s">
        <v>63</v>
      </c>
      <c r="B1149" t="s">
        <v>43</v>
      </c>
      <c r="C1149" t="s">
        <v>50</v>
      </c>
      <c r="D1149">
        <v>30313.759999999998</v>
      </c>
      <c r="E1149" t="s">
        <v>9</v>
      </c>
      <c r="F1149" t="s">
        <v>45</v>
      </c>
    </row>
    <row r="1150" spans="1:6" hidden="1" x14ac:dyDescent="0.35">
      <c r="A1150" t="s">
        <v>64</v>
      </c>
      <c r="B1150" t="s">
        <v>43</v>
      </c>
      <c r="C1150" t="s">
        <v>50</v>
      </c>
      <c r="D1150">
        <v>5376.67</v>
      </c>
      <c r="E1150" t="s">
        <v>9</v>
      </c>
      <c r="F1150" t="s">
        <v>45</v>
      </c>
    </row>
    <row r="1151" spans="1:6" hidden="1" x14ac:dyDescent="0.35">
      <c r="A1151" t="s">
        <v>65</v>
      </c>
      <c r="B1151" t="s">
        <v>43</v>
      </c>
      <c r="C1151" t="s">
        <v>50</v>
      </c>
      <c r="D1151">
        <v>0</v>
      </c>
      <c r="E1151" t="s">
        <v>9</v>
      </c>
      <c r="F1151" t="s">
        <v>45</v>
      </c>
    </row>
    <row r="1152" spans="1:6" hidden="1" x14ac:dyDescent="0.35">
      <c r="A1152" t="s">
        <v>66</v>
      </c>
      <c r="B1152" t="s">
        <v>43</v>
      </c>
      <c r="C1152" t="s">
        <v>50</v>
      </c>
      <c r="D1152">
        <v>0</v>
      </c>
      <c r="E1152" t="s">
        <v>9</v>
      </c>
      <c r="F1152" t="s">
        <v>45</v>
      </c>
    </row>
    <row r="1153" spans="1:6" hidden="1" x14ac:dyDescent="0.35">
      <c r="A1153" t="s">
        <v>67</v>
      </c>
      <c r="B1153" t="s">
        <v>43</v>
      </c>
      <c r="C1153" t="s">
        <v>50</v>
      </c>
      <c r="D1153">
        <v>0</v>
      </c>
      <c r="E1153" t="s">
        <v>9</v>
      </c>
      <c r="F1153" t="s">
        <v>45</v>
      </c>
    </row>
    <row r="1154" spans="1:6" hidden="1" x14ac:dyDescent="0.35">
      <c r="A1154" t="s">
        <v>57</v>
      </c>
      <c r="B1154" t="s">
        <v>43</v>
      </c>
      <c r="C1154" t="s">
        <v>51</v>
      </c>
      <c r="D1154">
        <v>16</v>
      </c>
      <c r="E1154" t="s">
        <v>9</v>
      </c>
      <c r="F1154" t="s">
        <v>45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14</v>
      </c>
      <c r="E1155" t="s">
        <v>9</v>
      </c>
      <c r="F1155" t="s">
        <v>45</v>
      </c>
    </row>
    <row r="1156" spans="1:6" hidden="1" x14ac:dyDescent="0.35">
      <c r="A1156" t="s">
        <v>58</v>
      </c>
      <c r="B1156" t="s">
        <v>43</v>
      </c>
      <c r="C1156" t="s">
        <v>51</v>
      </c>
      <c r="D1156">
        <v>19</v>
      </c>
      <c r="E1156" t="s">
        <v>9</v>
      </c>
      <c r="F1156" t="s">
        <v>45</v>
      </c>
    </row>
    <row r="1157" spans="1:6" hidden="1" x14ac:dyDescent="0.35">
      <c r="A1157" t="s">
        <v>59</v>
      </c>
      <c r="B1157" t="s">
        <v>43</v>
      </c>
      <c r="C1157" t="s">
        <v>51</v>
      </c>
      <c r="D1157">
        <v>14</v>
      </c>
      <c r="E1157" t="s">
        <v>9</v>
      </c>
      <c r="F1157" t="s">
        <v>45</v>
      </c>
    </row>
    <row r="1158" spans="1:6" hidden="1" x14ac:dyDescent="0.35">
      <c r="A1158" t="s">
        <v>60</v>
      </c>
      <c r="B1158" t="s">
        <v>43</v>
      </c>
      <c r="C1158" t="s">
        <v>51</v>
      </c>
      <c r="D1158">
        <v>15</v>
      </c>
      <c r="E1158" t="s">
        <v>9</v>
      </c>
      <c r="F1158" t="s">
        <v>45</v>
      </c>
    </row>
    <row r="1159" spans="1:6" hidden="1" x14ac:dyDescent="0.35">
      <c r="A1159" t="s">
        <v>61</v>
      </c>
      <c r="B1159" t="s">
        <v>43</v>
      </c>
      <c r="C1159" t="s">
        <v>51</v>
      </c>
      <c r="D1159">
        <v>22</v>
      </c>
      <c r="E1159" t="s">
        <v>9</v>
      </c>
      <c r="F1159" t="s">
        <v>45</v>
      </c>
    </row>
    <row r="1160" spans="1:6" hidden="1" x14ac:dyDescent="0.35">
      <c r="A1160" t="s">
        <v>62</v>
      </c>
      <c r="B1160" t="s">
        <v>43</v>
      </c>
      <c r="C1160" t="s">
        <v>51</v>
      </c>
      <c r="D1160">
        <v>9</v>
      </c>
      <c r="E1160" t="s">
        <v>9</v>
      </c>
      <c r="F1160" t="s">
        <v>45</v>
      </c>
    </row>
    <row r="1161" spans="1:6" hidden="1" x14ac:dyDescent="0.35">
      <c r="A1161" t="s">
        <v>63</v>
      </c>
      <c r="B1161" t="s">
        <v>43</v>
      </c>
      <c r="C1161" t="s">
        <v>51</v>
      </c>
      <c r="D1161">
        <v>23</v>
      </c>
      <c r="E1161" t="s">
        <v>9</v>
      </c>
      <c r="F1161" t="s">
        <v>45</v>
      </c>
    </row>
    <row r="1162" spans="1:6" hidden="1" x14ac:dyDescent="0.35">
      <c r="A1162" t="s">
        <v>64</v>
      </c>
      <c r="B1162" t="s">
        <v>43</v>
      </c>
      <c r="C1162" t="s">
        <v>51</v>
      </c>
      <c r="D1162">
        <v>12</v>
      </c>
      <c r="E1162" t="s">
        <v>9</v>
      </c>
      <c r="F1162" t="s">
        <v>45</v>
      </c>
    </row>
    <row r="1163" spans="1:6" hidden="1" x14ac:dyDescent="0.35">
      <c r="A1163" t="s">
        <v>65</v>
      </c>
      <c r="B1163" t="s">
        <v>43</v>
      </c>
      <c r="C1163" t="s">
        <v>51</v>
      </c>
      <c r="D1163">
        <v>10</v>
      </c>
      <c r="E1163" t="s">
        <v>9</v>
      </c>
      <c r="F1163" t="s">
        <v>45</v>
      </c>
    </row>
    <row r="1164" spans="1:6" hidden="1" x14ac:dyDescent="0.35">
      <c r="A1164" t="s">
        <v>66</v>
      </c>
      <c r="B1164" t="s">
        <v>43</v>
      </c>
      <c r="C1164" t="s">
        <v>51</v>
      </c>
      <c r="D1164">
        <v>13</v>
      </c>
      <c r="E1164" t="s">
        <v>9</v>
      </c>
      <c r="F1164" t="s">
        <v>45</v>
      </c>
    </row>
    <row r="1165" spans="1:6" hidden="1" x14ac:dyDescent="0.35">
      <c r="A1165" t="s">
        <v>67</v>
      </c>
      <c r="B1165" t="s">
        <v>43</v>
      </c>
      <c r="C1165" t="s">
        <v>51</v>
      </c>
      <c r="D1165">
        <v>12</v>
      </c>
      <c r="E1165" t="s">
        <v>9</v>
      </c>
      <c r="F1165" t="s">
        <v>45</v>
      </c>
    </row>
    <row r="1166" spans="1:6" hidden="1" x14ac:dyDescent="0.35">
      <c r="A1166" t="s">
        <v>57</v>
      </c>
      <c r="B1166" t="s">
        <v>43</v>
      </c>
      <c r="C1166" t="s">
        <v>30</v>
      </c>
      <c r="D1166">
        <v>10</v>
      </c>
      <c r="E1166" t="s">
        <v>9</v>
      </c>
      <c r="F1166" t="s">
        <v>45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7</v>
      </c>
      <c r="E1167" t="s">
        <v>9</v>
      </c>
      <c r="F1167" t="s">
        <v>45</v>
      </c>
    </row>
    <row r="1168" spans="1:6" hidden="1" x14ac:dyDescent="0.35">
      <c r="A1168" t="s">
        <v>58</v>
      </c>
      <c r="B1168" t="s">
        <v>43</v>
      </c>
      <c r="C1168" t="s">
        <v>30</v>
      </c>
      <c r="D1168">
        <v>5</v>
      </c>
      <c r="E1168" t="s">
        <v>9</v>
      </c>
      <c r="F1168" t="s">
        <v>45</v>
      </c>
    </row>
    <row r="1169" spans="1:6" hidden="1" x14ac:dyDescent="0.35">
      <c r="A1169" t="s">
        <v>59</v>
      </c>
      <c r="B1169" t="s">
        <v>43</v>
      </c>
      <c r="C1169" t="s">
        <v>30</v>
      </c>
      <c r="D1169">
        <v>14</v>
      </c>
      <c r="E1169" t="s">
        <v>9</v>
      </c>
      <c r="F1169" t="s">
        <v>45</v>
      </c>
    </row>
    <row r="1170" spans="1:6" hidden="1" x14ac:dyDescent="0.35">
      <c r="A1170" t="s">
        <v>60</v>
      </c>
      <c r="B1170" t="s">
        <v>43</v>
      </c>
      <c r="C1170" t="s">
        <v>30</v>
      </c>
      <c r="D1170">
        <v>11</v>
      </c>
      <c r="E1170" t="s">
        <v>9</v>
      </c>
      <c r="F1170" t="s">
        <v>45</v>
      </c>
    </row>
    <row r="1171" spans="1:6" hidden="1" x14ac:dyDescent="0.35">
      <c r="A1171" t="s">
        <v>61</v>
      </c>
      <c r="B1171" t="s">
        <v>43</v>
      </c>
      <c r="C1171" t="s">
        <v>30</v>
      </c>
      <c r="D1171">
        <v>17</v>
      </c>
      <c r="E1171" t="s">
        <v>9</v>
      </c>
      <c r="F1171" t="s">
        <v>45</v>
      </c>
    </row>
    <row r="1172" spans="1:6" hidden="1" x14ac:dyDescent="0.35">
      <c r="A1172" t="s">
        <v>62</v>
      </c>
      <c r="B1172" t="s">
        <v>43</v>
      </c>
      <c r="C1172" t="s">
        <v>30</v>
      </c>
      <c r="D1172">
        <v>12</v>
      </c>
      <c r="E1172" t="s">
        <v>9</v>
      </c>
      <c r="F1172" t="s">
        <v>45</v>
      </c>
    </row>
    <row r="1173" spans="1:6" hidden="1" x14ac:dyDescent="0.35">
      <c r="A1173" t="s">
        <v>63</v>
      </c>
      <c r="B1173" t="s">
        <v>43</v>
      </c>
      <c r="C1173" t="s">
        <v>30</v>
      </c>
      <c r="D1173">
        <v>14</v>
      </c>
      <c r="E1173" t="s">
        <v>9</v>
      </c>
      <c r="F1173" t="s">
        <v>45</v>
      </c>
    </row>
    <row r="1174" spans="1:6" hidden="1" x14ac:dyDescent="0.35">
      <c r="A1174" t="s">
        <v>64</v>
      </c>
      <c r="B1174" t="s">
        <v>43</v>
      </c>
      <c r="C1174" t="s">
        <v>30</v>
      </c>
      <c r="D1174">
        <v>13</v>
      </c>
      <c r="E1174" t="s">
        <v>9</v>
      </c>
      <c r="F1174" t="s">
        <v>45</v>
      </c>
    </row>
    <row r="1175" spans="1:6" hidden="1" x14ac:dyDescent="0.35">
      <c r="A1175" t="s">
        <v>65</v>
      </c>
      <c r="B1175" t="s">
        <v>43</v>
      </c>
      <c r="C1175" t="s">
        <v>30</v>
      </c>
      <c r="D1175">
        <v>9</v>
      </c>
      <c r="E1175" t="s">
        <v>9</v>
      </c>
      <c r="F1175" t="s">
        <v>45</v>
      </c>
    </row>
    <row r="1176" spans="1:6" hidden="1" x14ac:dyDescent="0.35">
      <c r="A1176" t="s">
        <v>66</v>
      </c>
      <c r="B1176" t="s">
        <v>43</v>
      </c>
      <c r="C1176" t="s">
        <v>30</v>
      </c>
      <c r="D1176">
        <v>11</v>
      </c>
      <c r="E1176" t="s">
        <v>9</v>
      </c>
      <c r="F1176" t="s">
        <v>45</v>
      </c>
    </row>
    <row r="1177" spans="1:6" hidden="1" x14ac:dyDescent="0.35">
      <c r="A1177" t="s">
        <v>67</v>
      </c>
      <c r="B1177" t="s">
        <v>43</v>
      </c>
      <c r="C1177" t="s">
        <v>30</v>
      </c>
      <c r="D1177">
        <v>11</v>
      </c>
      <c r="E1177" t="s">
        <v>9</v>
      </c>
      <c r="F1177" t="s">
        <v>45</v>
      </c>
    </row>
    <row r="1178" spans="1:6" hidden="1" x14ac:dyDescent="0.35">
      <c r="A1178" t="s">
        <v>57</v>
      </c>
      <c r="B1178" t="s">
        <v>43</v>
      </c>
      <c r="C1178" t="s">
        <v>52</v>
      </c>
      <c r="D1178">
        <v>0</v>
      </c>
      <c r="E1178" t="s">
        <v>9</v>
      </c>
      <c r="F1178" t="s">
        <v>45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9</v>
      </c>
      <c r="F1179" t="s">
        <v>45</v>
      </c>
    </row>
    <row r="1180" spans="1:6" hidden="1" x14ac:dyDescent="0.35">
      <c r="A1180" t="s">
        <v>58</v>
      </c>
      <c r="B1180" t="s">
        <v>43</v>
      </c>
      <c r="C1180" t="s">
        <v>52</v>
      </c>
      <c r="D1180">
        <v>0</v>
      </c>
      <c r="E1180" t="s">
        <v>9</v>
      </c>
      <c r="F1180" t="s">
        <v>45</v>
      </c>
    </row>
    <row r="1181" spans="1:6" hidden="1" x14ac:dyDescent="0.35">
      <c r="A1181" t="s">
        <v>59</v>
      </c>
      <c r="B1181" t="s">
        <v>43</v>
      </c>
      <c r="C1181" t="s">
        <v>52</v>
      </c>
      <c r="D1181">
        <v>0</v>
      </c>
      <c r="E1181" t="s">
        <v>9</v>
      </c>
      <c r="F1181" t="s">
        <v>45</v>
      </c>
    </row>
    <row r="1182" spans="1:6" hidden="1" x14ac:dyDescent="0.35">
      <c r="A1182" t="s">
        <v>60</v>
      </c>
      <c r="B1182" t="s">
        <v>43</v>
      </c>
      <c r="C1182" t="s">
        <v>52</v>
      </c>
      <c r="D1182">
        <v>0</v>
      </c>
      <c r="E1182" t="s">
        <v>9</v>
      </c>
      <c r="F1182" t="s">
        <v>45</v>
      </c>
    </row>
    <row r="1183" spans="1:6" hidden="1" x14ac:dyDescent="0.35">
      <c r="A1183" t="s">
        <v>61</v>
      </c>
      <c r="B1183" t="s">
        <v>43</v>
      </c>
      <c r="C1183" t="s">
        <v>52</v>
      </c>
      <c r="D1183">
        <v>0</v>
      </c>
      <c r="E1183" t="s">
        <v>9</v>
      </c>
      <c r="F1183" t="s">
        <v>45</v>
      </c>
    </row>
    <row r="1184" spans="1:6" hidden="1" x14ac:dyDescent="0.35">
      <c r="A1184" t="s">
        <v>62</v>
      </c>
      <c r="B1184" t="s">
        <v>43</v>
      </c>
      <c r="C1184" t="s">
        <v>52</v>
      </c>
      <c r="D1184">
        <v>0</v>
      </c>
      <c r="E1184" t="s">
        <v>9</v>
      </c>
      <c r="F1184" t="s">
        <v>45</v>
      </c>
    </row>
    <row r="1185" spans="1:6" hidden="1" x14ac:dyDescent="0.35">
      <c r="A1185" t="s">
        <v>63</v>
      </c>
      <c r="B1185" t="s">
        <v>43</v>
      </c>
      <c r="C1185" t="s">
        <v>52</v>
      </c>
      <c r="D1185">
        <v>0</v>
      </c>
      <c r="E1185" t="s">
        <v>9</v>
      </c>
      <c r="F1185" t="s">
        <v>45</v>
      </c>
    </row>
    <row r="1186" spans="1:6" hidden="1" x14ac:dyDescent="0.35">
      <c r="A1186" t="s">
        <v>64</v>
      </c>
      <c r="B1186" t="s">
        <v>43</v>
      </c>
      <c r="C1186" t="s">
        <v>52</v>
      </c>
      <c r="D1186">
        <v>0</v>
      </c>
      <c r="E1186" t="s">
        <v>9</v>
      </c>
      <c r="F1186" t="s">
        <v>45</v>
      </c>
    </row>
    <row r="1187" spans="1:6" hidden="1" x14ac:dyDescent="0.35">
      <c r="A1187" t="s">
        <v>65</v>
      </c>
      <c r="B1187" t="s">
        <v>43</v>
      </c>
      <c r="C1187" t="s">
        <v>52</v>
      </c>
      <c r="D1187">
        <v>0</v>
      </c>
      <c r="E1187" t="s">
        <v>9</v>
      </c>
      <c r="F1187" t="s">
        <v>45</v>
      </c>
    </row>
    <row r="1188" spans="1:6" hidden="1" x14ac:dyDescent="0.35">
      <c r="A1188" t="s">
        <v>66</v>
      </c>
      <c r="B1188" t="s">
        <v>43</v>
      </c>
      <c r="C1188" t="s">
        <v>52</v>
      </c>
      <c r="D1188">
        <v>0</v>
      </c>
      <c r="E1188" t="s">
        <v>9</v>
      </c>
      <c r="F1188" t="s">
        <v>45</v>
      </c>
    </row>
    <row r="1189" spans="1:6" hidden="1" x14ac:dyDescent="0.35">
      <c r="A1189" t="s">
        <v>67</v>
      </c>
      <c r="B1189" t="s">
        <v>43</v>
      </c>
      <c r="C1189" t="s">
        <v>52</v>
      </c>
      <c r="D1189">
        <v>0</v>
      </c>
      <c r="E1189" t="s">
        <v>9</v>
      </c>
      <c r="F1189" t="s">
        <v>45</v>
      </c>
    </row>
    <row r="1190" spans="1:6" hidden="1" x14ac:dyDescent="0.35">
      <c r="A1190" t="s">
        <v>57</v>
      </c>
      <c r="B1190" t="s">
        <v>33</v>
      </c>
      <c r="C1190" t="s">
        <v>44</v>
      </c>
      <c r="D1190">
        <v>410316.32</v>
      </c>
      <c r="E1190" t="s">
        <v>9</v>
      </c>
      <c r="F1190" t="s">
        <v>45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233258.66</v>
      </c>
      <c r="E1191" t="s">
        <v>9</v>
      </c>
      <c r="F1191" t="s">
        <v>45</v>
      </c>
    </row>
    <row r="1192" spans="1:6" hidden="1" x14ac:dyDescent="0.35">
      <c r="A1192" t="s">
        <v>58</v>
      </c>
      <c r="B1192" t="s">
        <v>33</v>
      </c>
      <c r="C1192" t="s">
        <v>44</v>
      </c>
      <c r="D1192">
        <v>314699</v>
      </c>
      <c r="E1192" t="s">
        <v>9</v>
      </c>
      <c r="F1192" t="s">
        <v>45</v>
      </c>
    </row>
    <row r="1193" spans="1:6" hidden="1" x14ac:dyDescent="0.35">
      <c r="A1193" t="s">
        <v>59</v>
      </c>
      <c r="B1193" t="s">
        <v>33</v>
      </c>
      <c r="C1193" t="s">
        <v>44</v>
      </c>
      <c r="D1193">
        <v>305551.48</v>
      </c>
      <c r="E1193" t="s">
        <v>9</v>
      </c>
      <c r="F1193" t="s">
        <v>45</v>
      </c>
    </row>
    <row r="1194" spans="1:6" hidden="1" x14ac:dyDescent="0.35">
      <c r="A1194" t="s">
        <v>60</v>
      </c>
      <c r="B1194" t="s">
        <v>33</v>
      </c>
      <c r="C1194" t="s">
        <v>44</v>
      </c>
      <c r="D1194">
        <v>177350.89</v>
      </c>
      <c r="E1194" t="s">
        <v>9</v>
      </c>
      <c r="F1194" t="s">
        <v>45</v>
      </c>
    </row>
    <row r="1195" spans="1:6" hidden="1" x14ac:dyDescent="0.35">
      <c r="A1195" t="s">
        <v>61</v>
      </c>
      <c r="B1195" t="s">
        <v>33</v>
      </c>
      <c r="C1195" t="s">
        <v>44</v>
      </c>
      <c r="D1195">
        <v>126500.19</v>
      </c>
      <c r="E1195" t="s">
        <v>9</v>
      </c>
      <c r="F1195" t="s">
        <v>45</v>
      </c>
    </row>
    <row r="1196" spans="1:6" hidden="1" x14ac:dyDescent="0.35">
      <c r="A1196" t="s">
        <v>62</v>
      </c>
      <c r="B1196" t="s">
        <v>33</v>
      </c>
      <c r="C1196" t="s">
        <v>44</v>
      </c>
      <c r="D1196">
        <v>372449.01</v>
      </c>
      <c r="E1196" t="s">
        <v>9</v>
      </c>
      <c r="F1196" t="s">
        <v>45</v>
      </c>
    </row>
    <row r="1197" spans="1:6" hidden="1" x14ac:dyDescent="0.35">
      <c r="A1197" t="s">
        <v>63</v>
      </c>
      <c r="B1197" t="s">
        <v>33</v>
      </c>
      <c r="C1197" t="s">
        <v>44</v>
      </c>
      <c r="D1197">
        <v>536112.41</v>
      </c>
      <c r="E1197" t="s">
        <v>9</v>
      </c>
      <c r="F1197" t="s">
        <v>45</v>
      </c>
    </row>
    <row r="1198" spans="1:6" hidden="1" x14ac:dyDescent="0.35">
      <c r="A1198" t="s">
        <v>64</v>
      </c>
      <c r="B1198" t="s">
        <v>33</v>
      </c>
      <c r="C1198" t="s">
        <v>44</v>
      </c>
      <c r="D1198">
        <v>470235.49</v>
      </c>
      <c r="E1198" t="s">
        <v>9</v>
      </c>
      <c r="F1198" t="s">
        <v>45</v>
      </c>
    </row>
    <row r="1199" spans="1:6" hidden="1" x14ac:dyDescent="0.35">
      <c r="A1199" t="s">
        <v>65</v>
      </c>
      <c r="B1199" t="s">
        <v>33</v>
      </c>
      <c r="C1199" t="s">
        <v>44</v>
      </c>
      <c r="D1199">
        <v>155564.67000000001</v>
      </c>
      <c r="E1199" t="s">
        <v>9</v>
      </c>
      <c r="F1199" t="s">
        <v>45</v>
      </c>
    </row>
    <row r="1200" spans="1:6" hidden="1" x14ac:dyDescent="0.35">
      <c r="A1200" t="s">
        <v>66</v>
      </c>
      <c r="B1200" t="s">
        <v>33</v>
      </c>
      <c r="C1200" t="s">
        <v>44</v>
      </c>
      <c r="D1200">
        <v>383855.11</v>
      </c>
      <c r="E1200" t="s">
        <v>9</v>
      </c>
      <c r="F1200" t="s">
        <v>45</v>
      </c>
    </row>
    <row r="1201" spans="1:6" hidden="1" x14ac:dyDescent="0.35">
      <c r="A1201" t="s">
        <v>67</v>
      </c>
      <c r="B1201" t="s">
        <v>33</v>
      </c>
      <c r="C1201" t="s">
        <v>44</v>
      </c>
      <c r="D1201">
        <v>489801.87</v>
      </c>
      <c r="E1201" t="s">
        <v>9</v>
      </c>
      <c r="F1201" t="s">
        <v>45</v>
      </c>
    </row>
    <row r="1202" spans="1:6" hidden="1" x14ac:dyDescent="0.35">
      <c r="A1202" t="s">
        <v>57</v>
      </c>
      <c r="B1202" t="s">
        <v>33</v>
      </c>
      <c r="C1202" t="s">
        <v>22</v>
      </c>
      <c r="D1202">
        <v>0</v>
      </c>
      <c r="E1202" t="s">
        <v>9</v>
      </c>
      <c r="F1202" t="s">
        <v>45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9</v>
      </c>
      <c r="F1203" t="s">
        <v>45</v>
      </c>
    </row>
    <row r="1204" spans="1:6" hidden="1" x14ac:dyDescent="0.35">
      <c r="A1204" t="s">
        <v>58</v>
      </c>
      <c r="B1204" t="s">
        <v>33</v>
      </c>
      <c r="C1204" t="s">
        <v>22</v>
      </c>
      <c r="D1204">
        <v>0</v>
      </c>
      <c r="E1204" t="s">
        <v>9</v>
      </c>
      <c r="F1204" t="s">
        <v>45</v>
      </c>
    </row>
    <row r="1205" spans="1:6" hidden="1" x14ac:dyDescent="0.35">
      <c r="A1205" t="s">
        <v>59</v>
      </c>
      <c r="B1205" t="s">
        <v>33</v>
      </c>
      <c r="C1205" t="s">
        <v>22</v>
      </c>
      <c r="D1205">
        <v>0</v>
      </c>
      <c r="E1205" t="s">
        <v>9</v>
      </c>
      <c r="F1205" t="s">
        <v>45</v>
      </c>
    </row>
    <row r="1206" spans="1:6" hidden="1" x14ac:dyDescent="0.35">
      <c r="A1206" t="s">
        <v>60</v>
      </c>
      <c r="B1206" t="s">
        <v>33</v>
      </c>
      <c r="C1206" t="s">
        <v>22</v>
      </c>
      <c r="D1206">
        <v>0</v>
      </c>
      <c r="E1206" t="s">
        <v>9</v>
      </c>
      <c r="F1206" t="s">
        <v>45</v>
      </c>
    </row>
    <row r="1207" spans="1:6" hidden="1" x14ac:dyDescent="0.35">
      <c r="A1207" t="s">
        <v>61</v>
      </c>
      <c r="B1207" t="s">
        <v>33</v>
      </c>
      <c r="C1207" t="s">
        <v>22</v>
      </c>
      <c r="D1207">
        <v>0</v>
      </c>
      <c r="E1207" t="s">
        <v>9</v>
      </c>
      <c r="F1207" t="s">
        <v>45</v>
      </c>
    </row>
    <row r="1208" spans="1:6" hidden="1" x14ac:dyDescent="0.35">
      <c r="A1208" t="s">
        <v>62</v>
      </c>
      <c r="B1208" t="s">
        <v>33</v>
      </c>
      <c r="C1208" t="s">
        <v>22</v>
      </c>
      <c r="D1208">
        <v>0</v>
      </c>
      <c r="E1208" t="s">
        <v>9</v>
      </c>
      <c r="F1208" t="s">
        <v>45</v>
      </c>
    </row>
    <row r="1209" spans="1:6" hidden="1" x14ac:dyDescent="0.35">
      <c r="A1209" t="s">
        <v>63</v>
      </c>
      <c r="B1209" t="s">
        <v>33</v>
      </c>
      <c r="C1209" t="s">
        <v>22</v>
      </c>
      <c r="D1209">
        <v>0</v>
      </c>
      <c r="E1209" t="s">
        <v>9</v>
      </c>
      <c r="F1209" t="s">
        <v>45</v>
      </c>
    </row>
    <row r="1210" spans="1:6" hidden="1" x14ac:dyDescent="0.35">
      <c r="A1210" t="s">
        <v>64</v>
      </c>
      <c r="B1210" t="s">
        <v>33</v>
      </c>
      <c r="C1210" t="s">
        <v>22</v>
      </c>
      <c r="D1210">
        <v>0</v>
      </c>
      <c r="E1210" t="s">
        <v>9</v>
      </c>
      <c r="F1210" t="s">
        <v>45</v>
      </c>
    </row>
    <row r="1211" spans="1:6" hidden="1" x14ac:dyDescent="0.35">
      <c r="A1211" t="s">
        <v>65</v>
      </c>
      <c r="B1211" t="s">
        <v>33</v>
      </c>
      <c r="C1211" t="s">
        <v>22</v>
      </c>
      <c r="D1211">
        <v>0</v>
      </c>
      <c r="E1211" t="s">
        <v>9</v>
      </c>
      <c r="F1211" t="s">
        <v>45</v>
      </c>
    </row>
    <row r="1212" spans="1:6" hidden="1" x14ac:dyDescent="0.35">
      <c r="A1212" t="s">
        <v>66</v>
      </c>
      <c r="B1212" t="s">
        <v>33</v>
      </c>
      <c r="C1212" t="s">
        <v>22</v>
      </c>
      <c r="D1212">
        <v>0</v>
      </c>
      <c r="E1212" t="s">
        <v>9</v>
      </c>
      <c r="F1212" t="s">
        <v>45</v>
      </c>
    </row>
    <row r="1213" spans="1:6" hidden="1" x14ac:dyDescent="0.35">
      <c r="A1213" t="s">
        <v>67</v>
      </c>
      <c r="B1213" t="s">
        <v>33</v>
      </c>
      <c r="C1213" t="s">
        <v>22</v>
      </c>
      <c r="D1213">
        <v>0</v>
      </c>
      <c r="E1213" t="s">
        <v>9</v>
      </c>
      <c r="F1213" t="s">
        <v>45</v>
      </c>
    </row>
    <row r="1214" spans="1:6" hidden="1" x14ac:dyDescent="0.35">
      <c r="A1214" t="s">
        <v>57</v>
      </c>
      <c r="B1214" t="s">
        <v>33</v>
      </c>
      <c r="C1214" t="s">
        <v>46</v>
      </c>
      <c r="D1214">
        <v>2843419.42</v>
      </c>
      <c r="E1214" t="s">
        <v>9</v>
      </c>
      <c r="F1214" t="s">
        <v>45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2531623.189999999</v>
      </c>
      <c r="E1215" t="s">
        <v>9</v>
      </c>
      <c r="F1215" t="s">
        <v>45</v>
      </c>
    </row>
    <row r="1216" spans="1:6" hidden="1" x14ac:dyDescent="0.35">
      <c r="A1216" t="s">
        <v>58</v>
      </c>
      <c r="B1216" t="s">
        <v>33</v>
      </c>
      <c r="C1216" t="s">
        <v>46</v>
      </c>
      <c r="D1216">
        <v>3455758.6700000018</v>
      </c>
      <c r="E1216" t="s">
        <v>9</v>
      </c>
      <c r="F1216" t="s">
        <v>45</v>
      </c>
    </row>
    <row r="1217" spans="1:6" hidden="1" x14ac:dyDescent="0.35">
      <c r="A1217" t="s">
        <v>59</v>
      </c>
      <c r="B1217" t="s">
        <v>33</v>
      </c>
      <c r="C1217" t="s">
        <v>46</v>
      </c>
      <c r="D1217">
        <v>2583953.9500000002</v>
      </c>
      <c r="E1217" t="s">
        <v>9</v>
      </c>
      <c r="F1217" t="s">
        <v>45</v>
      </c>
    </row>
    <row r="1218" spans="1:6" hidden="1" x14ac:dyDescent="0.35">
      <c r="A1218" t="s">
        <v>60</v>
      </c>
      <c r="B1218" t="s">
        <v>33</v>
      </c>
      <c r="C1218" t="s">
        <v>46</v>
      </c>
      <c r="D1218">
        <v>4284368.54</v>
      </c>
      <c r="E1218" t="s">
        <v>9</v>
      </c>
      <c r="F1218" t="s">
        <v>45</v>
      </c>
    </row>
    <row r="1219" spans="1:6" hidden="1" x14ac:dyDescent="0.35">
      <c r="A1219" t="s">
        <v>61</v>
      </c>
      <c r="B1219" t="s">
        <v>33</v>
      </c>
      <c r="C1219" t="s">
        <v>46</v>
      </c>
      <c r="D1219">
        <v>2924557.419999999</v>
      </c>
      <c r="E1219" t="s">
        <v>9</v>
      </c>
      <c r="F1219" t="s">
        <v>45</v>
      </c>
    </row>
    <row r="1220" spans="1:6" hidden="1" x14ac:dyDescent="0.35">
      <c r="A1220" t="s">
        <v>62</v>
      </c>
      <c r="B1220" t="s">
        <v>33</v>
      </c>
      <c r="C1220" t="s">
        <v>46</v>
      </c>
      <c r="D1220">
        <v>4172981.930000002</v>
      </c>
      <c r="E1220" t="s">
        <v>9</v>
      </c>
      <c r="F1220" t="s">
        <v>45</v>
      </c>
    </row>
    <row r="1221" spans="1:6" hidden="1" x14ac:dyDescent="0.35">
      <c r="A1221" t="s">
        <v>63</v>
      </c>
      <c r="B1221" t="s">
        <v>33</v>
      </c>
      <c r="C1221" t="s">
        <v>46</v>
      </c>
      <c r="D1221">
        <v>2192605.9099999992</v>
      </c>
      <c r="E1221" t="s">
        <v>9</v>
      </c>
      <c r="F1221" t="s">
        <v>45</v>
      </c>
    </row>
    <row r="1222" spans="1:6" hidden="1" x14ac:dyDescent="0.35">
      <c r="A1222" t="s">
        <v>64</v>
      </c>
      <c r="B1222" t="s">
        <v>33</v>
      </c>
      <c r="C1222" t="s">
        <v>46</v>
      </c>
      <c r="D1222">
        <v>2649908.27</v>
      </c>
      <c r="E1222" t="s">
        <v>9</v>
      </c>
      <c r="F1222" t="s">
        <v>45</v>
      </c>
    </row>
    <row r="1223" spans="1:6" hidden="1" x14ac:dyDescent="0.35">
      <c r="A1223" t="s">
        <v>65</v>
      </c>
      <c r="B1223" t="s">
        <v>33</v>
      </c>
      <c r="C1223" t="s">
        <v>46</v>
      </c>
      <c r="D1223">
        <v>2988578.560000001</v>
      </c>
      <c r="E1223" t="s">
        <v>9</v>
      </c>
      <c r="F1223" t="s">
        <v>45</v>
      </c>
    </row>
    <row r="1224" spans="1:6" hidden="1" x14ac:dyDescent="0.35">
      <c r="A1224" t="s">
        <v>66</v>
      </c>
      <c r="B1224" t="s">
        <v>33</v>
      </c>
      <c r="C1224" t="s">
        <v>46</v>
      </c>
      <c r="D1224">
        <v>3643622.560000001</v>
      </c>
      <c r="E1224" t="s">
        <v>9</v>
      </c>
      <c r="F1224" t="s">
        <v>45</v>
      </c>
    </row>
    <row r="1225" spans="1:6" hidden="1" x14ac:dyDescent="0.35">
      <c r="A1225" t="s">
        <v>67</v>
      </c>
      <c r="B1225" t="s">
        <v>33</v>
      </c>
      <c r="C1225" t="s">
        <v>46</v>
      </c>
      <c r="D1225">
        <v>3500863.850000002</v>
      </c>
      <c r="E1225" t="s">
        <v>9</v>
      </c>
      <c r="F1225" t="s">
        <v>45</v>
      </c>
    </row>
    <row r="1226" spans="1:6" hidden="1" x14ac:dyDescent="0.35">
      <c r="A1226" t="s">
        <v>57</v>
      </c>
      <c r="B1226" t="s">
        <v>33</v>
      </c>
      <c r="C1226" t="s">
        <v>24</v>
      </c>
      <c r="D1226">
        <v>0</v>
      </c>
      <c r="E1226" t="s">
        <v>9</v>
      </c>
      <c r="F1226" t="s">
        <v>45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9</v>
      </c>
      <c r="F1227" t="s">
        <v>45</v>
      </c>
    </row>
    <row r="1228" spans="1:6" hidden="1" x14ac:dyDescent="0.35">
      <c r="A1228" t="s">
        <v>58</v>
      </c>
      <c r="B1228" t="s">
        <v>33</v>
      </c>
      <c r="C1228" t="s">
        <v>24</v>
      </c>
      <c r="D1228">
        <v>0</v>
      </c>
      <c r="E1228" t="s">
        <v>9</v>
      </c>
      <c r="F1228" t="s">
        <v>45</v>
      </c>
    </row>
    <row r="1229" spans="1:6" hidden="1" x14ac:dyDescent="0.35">
      <c r="A1229" t="s">
        <v>59</v>
      </c>
      <c r="B1229" t="s">
        <v>33</v>
      </c>
      <c r="C1229" t="s">
        <v>24</v>
      </c>
      <c r="D1229">
        <v>0</v>
      </c>
      <c r="E1229" t="s">
        <v>9</v>
      </c>
      <c r="F1229" t="s">
        <v>45</v>
      </c>
    </row>
    <row r="1230" spans="1:6" hidden="1" x14ac:dyDescent="0.35">
      <c r="A1230" t="s">
        <v>60</v>
      </c>
      <c r="B1230" t="s">
        <v>33</v>
      </c>
      <c r="C1230" t="s">
        <v>24</v>
      </c>
      <c r="D1230">
        <v>0</v>
      </c>
      <c r="E1230" t="s">
        <v>9</v>
      </c>
      <c r="F1230" t="s">
        <v>45</v>
      </c>
    </row>
    <row r="1231" spans="1:6" hidden="1" x14ac:dyDescent="0.35">
      <c r="A1231" t="s">
        <v>61</v>
      </c>
      <c r="B1231" t="s">
        <v>33</v>
      </c>
      <c r="C1231" t="s">
        <v>24</v>
      </c>
      <c r="D1231">
        <v>0</v>
      </c>
      <c r="E1231" t="s">
        <v>9</v>
      </c>
      <c r="F1231" t="s">
        <v>45</v>
      </c>
    </row>
    <row r="1232" spans="1:6" hidden="1" x14ac:dyDescent="0.35">
      <c r="A1232" t="s">
        <v>62</v>
      </c>
      <c r="B1232" t="s">
        <v>33</v>
      </c>
      <c r="C1232" t="s">
        <v>24</v>
      </c>
      <c r="D1232">
        <v>0</v>
      </c>
      <c r="E1232" t="s">
        <v>9</v>
      </c>
      <c r="F1232" t="s">
        <v>45</v>
      </c>
    </row>
    <row r="1233" spans="1:6" hidden="1" x14ac:dyDescent="0.35">
      <c r="A1233" t="s">
        <v>63</v>
      </c>
      <c r="B1233" t="s">
        <v>33</v>
      </c>
      <c r="C1233" t="s">
        <v>24</v>
      </c>
      <c r="D1233">
        <v>0</v>
      </c>
      <c r="E1233" t="s">
        <v>9</v>
      </c>
      <c r="F1233" t="s">
        <v>45</v>
      </c>
    </row>
    <row r="1234" spans="1:6" hidden="1" x14ac:dyDescent="0.35">
      <c r="A1234" t="s">
        <v>64</v>
      </c>
      <c r="B1234" t="s">
        <v>33</v>
      </c>
      <c r="C1234" t="s">
        <v>24</v>
      </c>
      <c r="D1234">
        <v>0</v>
      </c>
      <c r="E1234" t="s">
        <v>9</v>
      </c>
      <c r="F1234" t="s">
        <v>45</v>
      </c>
    </row>
    <row r="1235" spans="1:6" hidden="1" x14ac:dyDescent="0.35">
      <c r="A1235" t="s">
        <v>65</v>
      </c>
      <c r="B1235" t="s">
        <v>33</v>
      </c>
      <c r="C1235" t="s">
        <v>24</v>
      </c>
      <c r="D1235">
        <v>0</v>
      </c>
      <c r="E1235" t="s">
        <v>9</v>
      </c>
      <c r="F1235" t="s">
        <v>45</v>
      </c>
    </row>
    <row r="1236" spans="1:6" hidden="1" x14ac:dyDescent="0.35">
      <c r="A1236" t="s">
        <v>66</v>
      </c>
      <c r="B1236" t="s">
        <v>33</v>
      </c>
      <c r="C1236" t="s">
        <v>24</v>
      </c>
      <c r="D1236">
        <v>0</v>
      </c>
      <c r="E1236" t="s">
        <v>9</v>
      </c>
      <c r="F1236" t="s">
        <v>45</v>
      </c>
    </row>
    <row r="1237" spans="1:6" hidden="1" x14ac:dyDescent="0.35">
      <c r="A1237" t="s">
        <v>67</v>
      </c>
      <c r="B1237" t="s">
        <v>33</v>
      </c>
      <c r="C1237" t="s">
        <v>24</v>
      </c>
      <c r="D1237">
        <v>0</v>
      </c>
      <c r="E1237" t="s">
        <v>9</v>
      </c>
      <c r="F1237" t="s">
        <v>45</v>
      </c>
    </row>
    <row r="1238" spans="1:6" hidden="1" x14ac:dyDescent="0.35">
      <c r="A1238" t="s">
        <v>57</v>
      </c>
      <c r="B1238" t="s">
        <v>33</v>
      </c>
      <c r="C1238" t="s">
        <v>47</v>
      </c>
      <c r="D1238">
        <v>396422.54</v>
      </c>
      <c r="E1238" t="s">
        <v>9</v>
      </c>
      <c r="F1238" t="s">
        <v>45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1329385.67</v>
      </c>
      <c r="E1239" t="s">
        <v>9</v>
      </c>
      <c r="F1239" t="s">
        <v>45</v>
      </c>
    </row>
    <row r="1240" spans="1:6" hidden="1" x14ac:dyDescent="0.35">
      <c r="A1240" t="s">
        <v>58</v>
      </c>
      <c r="B1240" t="s">
        <v>33</v>
      </c>
      <c r="C1240" t="s">
        <v>47</v>
      </c>
      <c r="D1240">
        <v>11976.75</v>
      </c>
      <c r="E1240" t="s">
        <v>9</v>
      </c>
      <c r="F1240" t="s">
        <v>45</v>
      </c>
    </row>
    <row r="1241" spans="1:6" hidden="1" x14ac:dyDescent="0.35">
      <c r="A1241" t="s">
        <v>59</v>
      </c>
      <c r="B1241" t="s">
        <v>33</v>
      </c>
      <c r="C1241" t="s">
        <v>47</v>
      </c>
      <c r="D1241">
        <v>153.94999999999999</v>
      </c>
      <c r="E1241" t="s">
        <v>9</v>
      </c>
      <c r="F1241" t="s">
        <v>45</v>
      </c>
    </row>
    <row r="1242" spans="1:6" hidden="1" x14ac:dyDescent="0.35">
      <c r="A1242" t="s">
        <v>60</v>
      </c>
      <c r="B1242" t="s">
        <v>33</v>
      </c>
      <c r="C1242" t="s">
        <v>47</v>
      </c>
      <c r="D1242">
        <v>1008.48</v>
      </c>
      <c r="E1242" t="s">
        <v>9</v>
      </c>
      <c r="F1242" t="s">
        <v>45</v>
      </c>
    </row>
    <row r="1243" spans="1:6" hidden="1" x14ac:dyDescent="0.35">
      <c r="A1243" t="s">
        <v>61</v>
      </c>
      <c r="B1243" t="s">
        <v>33</v>
      </c>
      <c r="C1243" t="s">
        <v>47</v>
      </c>
      <c r="D1243">
        <v>98451.3</v>
      </c>
      <c r="E1243" t="s">
        <v>9</v>
      </c>
      <c r="F1243" t="s">
        <v>45</v>
      </c>
    </row>
    <row r="1244" spans="1:6" hidden="1" x14ac:dyDescent="0.35">
      <c r="A1244" t="s">
        <v>62</v>
      </c>
      <c r="B1244" t="s">
        <v>33</v>
      </c>
      <c r="C1244" t="s">
        <v>47</v>
      </c>
      <c r="D1244">
        <v>410.21</v>
      </c>
      <c r="E1244" t="s">
        <v>9</v>
      </c>
      <c r="F1244" t="s">
        <v>45</v>
      </c>
    </row>
    <row r="1245" spans="1:6" hidden="1" x14ac:dyDescent="0.35">
      <c r="A1245" t="s">
        <v>63</v>
      </c>
      <c r="B1245" t="s">
        <v>33</v>
      </c>
      <c r="C1245" t="s">
        <v>47</v>
      </c>
      <c r="D1245">
        <v>73152.89</v>
      </c>
      <c r="E1245" t="s">
        <v>9</v>
      </c>
      <c r="F1245" t="s">
        <v>45</v>
      </c>
    </row>
    <row r="1246" spans="1:6" hidden="1" x14ac:dyDescent="0.35">
      <c r="A1246" t="s">
        <v>64</v>
      </c>
      <c r="B1246" t="s">
        <v>33</v>
      </c>
      <c r="C1246" t="s">
        <v>47</v>
      </c>
      <c r="D1246">
        <v>13581.86</v>
      </c>
      <c r="E1246" t="s">
        <v>9</v>
      </c>
      <c r="F1246" t="s">
        <v>45</v>
      </c>
    </row>
    <row r="1247" spans="1:6" hidden="1" x14ac:dyDescent="0.35">
      <c r="A1247" t="s">
        <v>65</v>
      </c>
      <c r="B1247" t="s">
        <v>33</v>
      </c>
      <c r="C1247" t="s">
        <v>47</v>
      </c>
      <c r="D1247">
        <v>724201.63</v>
      </c>
      <c r="E1247" t="s">
        <v>9</v>
      </c>
      <c r="F1247" t="s">
        <v>45</v>
      </c>
    </row>
    <row r="1248" spans="1:6" hidden="1" x14ac:dyDescent="0.35">
      <c r="A1248" t="s">
        <v>66</v>
      </c>
      <c r="B1248" t="s">
        <v>33</v>
      </c>
      <c r="C1248" t="s">
        <v>47</v>
      </c>
      <c r="D1248">
        <v>60313.81</v>
      </c>
      <c r="E1248" t="s">
        <v>9</v>
      </c>
      <c r="F1248" t="s">
        <v>45</v>
      </c>
    </row>
    <row r="1249" spans="1:6" hidden="1" x14ac:dyDescent="0.35">
      <c r="A1249" t="s">
        <v>67</v>
      </c>
      <c r="B1249" t="s">
        <v>33</v>
      </c>
      <c r="C1249" t="s">
        <v>47</v>
      </c>
      <c r="D1249">
        <v>1389915.39</v>
      </c>
      <c r="E1249" t="s">
        <v>9</v>
      </c>
      <c r="F1249" t="s">
        <v>45</v>
      </c>
    </row>
    <row r="1250" spans="1:6" hidden="1" x14ac:dyDescent="0.35">
      <c r="A1250" t="s">
        <v>57</v>
      </c>
      <c r="B1250" t="s">
        <v>33</v>
      </c>
      <c r="C1250" t="s">
        <v>48</v>
      </c>
      <c r="D1250">
        <v>0</v>
      </c>
      <c r="E1250" t="s">
        <v>9</v>
      </c>
      <c r="F1250" t="s">
        <v>45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9</v>
      </c>
      <c r="F1251" t="s">
        <v>45</v>
      </c>
    </row>
    <row r="1252" spans="1:6" hidden="1" x14ac:dyDescent="0.35">
      <c r="A1252" t="s">
        <v>58</v>
      </c>
      <c r="B1252" t="s">
        <v>33</v>
      </c>
      <c r="C1252" t="s">
        <v>48</v>
      </c>
      <c r="D1252">
        <v>0</v>
      </c>
      <c r="E1252" t="s">
        <v>9</v>
      </c>
      <c r="F1252" t="s">
        <v>45</v>
      </c>
    </row>
    <row r="1253" spans="1:6" hidden="1" x14ac:dyDescent="0.35">
      <c r="A1253" t="s">
        <v>59</v>
      </c>
      <c r="B1253" t="s">
        <v>33</v>
      </c>
      <c r="C1253" t="s">
        <v>48</v>
      </c>
      <c r="D1253">
        <v>0</v>
      </c>
      <c r="E1253" t="s">
        <v>9</v>
      </c>
      <c r="F1253" t="s">
        <v>45</v>
      </c>
    </row>
    <row r="1254" spans="1:6" hidden="1" x14ac:dyDescent="0.35">
      <c r="A1254" t="s">
        <v>60</v>
      </c>
      <c r="B1254" t="s">
        <v>33</v>
      </c>
      <c r="C1254" t="s">
        <v>48</v>
      </c>
      <c r="D1254">
        <v>0</v>
      </c>
      <c r="E1254" t="s">
        <v>9</v>
      </c>
      <c r="F1254" t="s">
        <v>45</v>
      </c>
    </row>
    <row r="1255" spans="1:6" hidden="1" x14ac:dyDescent="0.35">
      <c r="A1255" t="s">
        <v>61</v>
      </c>
      <c r="B1255" t="s">
        <v>33</v>
      </c>
      <c r="C1255" t="s">
        <v>48</v>
      </c>
      <c r="D1255">
        <v>0</v>
      </c>
      <c r="E1255" t="s">
        <v>9</v>
      </c>
      <c r="F1255" t="s">
        <v>45</v>
      </c>
    </row>
    <row r="1256" spans="1:6" hidden="1" x14ac:dyDescent="0.35">
      <c r="A1256" t="s">
        <v>62</v>
      </c>
      <c r="B1256" t="s">
        <v>33</v>
      </c>
      <c r="C1256" t="s">
        <v>48</v>
      </c>
      <c r="D1256">
        <v>0</v>
      </c>
      <c r="E1256" t="s">
        <v>9</v>
      </c>
      <c r="F1256" t="s">
        <v>45</v>
      </c>
    </row>
    <row r="1257" spans="1:6" hidden="1" x14ac:dyDescent="0.35">
      <c r="A1257" t="s">
        <v>63</v>
      </c>
      <c r="B1257" t="s">
        <v>33</v>
      </c>
      <c r="C1257" t="s">
        <v>48</v>
      </c>
      <c r="D1257">
        <v>0</v>
      </c>
      <c r="E1257" t="s">
        <v>9</v>
      </c>
      <c r="F1257" t="s">
        <v>45</v>
      </c>
    </row>
    <row r="1258" spans="1:6" hidden="1" x14ac:dyDescent="0.35">
      <c r="A1258" t="s">
        <v>64</v>
      </c>
      <c r="B1258" t="s">
        <v>33</v>
      </c>
      <c r="C1258" t="s">
        <v>48</v>
      </c>
      <c r="D1258">
        <v>0</v>
      </c>
      <c r="E1258" t="s">
        <v>9</v>
      </c>
      <c r="F1258" t="s">
        <v>45</v>
      </c>
    </row>
    <row r="1259" spans="1:6" hidden="1" x14ac:dyDescent="0.35">
      <c r="A1259" t="s">
        <v>65</v>
      </c>
      <c r="B1259" t="s">
        <v>33</v>
      </c>
      <c r="C1259" t="s">
        <v>48</v>
      </c>
      <c r="D1259">
        <v>0</v>
      </c>
      <c r="E1259" t="s">
        <v>9</v>
      </c>
      <c r="F1259" t="s">
        <v>45</v>
      </c>
    </row>
    <row r="1260" spans="1:6" hidden="1" x14ac:dyDescent="0.35">
      <c r="A1260" t="s">
        <v>66</v>
      </c>
      <c r="B1260" t="s">
        <v>33</v>
      </c>
      <c r="C1260" t="s">
        <v>48</v>
      </c>
      <c r="D1260">
        <v>0</v>
      </c>
      <c r="E1260" t="s">
        <v>9</v>
      </c>
      <c r="F1260" t="s">
        <v>45</v>
      </c>
    </row>
    <row r="1261" spans="1:6" hidden="1" x14ac:dyDescent="0.35">
      <c r="A1261" t="s">
        <v>67</v>
      </c>
      <c r="B1261" t="s">
        <v>33</v>
      </c>
      <c r="C1261" t="s">
        <v>48</v>
      </c>
      <c r="D1261">
        <v>0</v>
      </c>
      <c r="E1261" t="s">
        <v>9</v>
      </c>
      <c r="F1261" t="s">
        <v>45</v>
      </c>
    </row>
    <row r="1262" spans="1:6" hidden="1" x14ac:dyDescent="0.35">
      <c r="A1262" t="s">
        <v>57</v>
      </c>
      <c r="B1262" t="s">
        <v>33</v>
      </c>
      <c r="C1262" t="s">
        <v>49</v>
      </c>
      <c r="D1262">
        <v>652880.75999999989</v>
      </c>
      <c r="E1262" t="s">
        <v>9</v>
      </c>
      <c r="F1262" t="s">
        <v>45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346507.42</v>
      </c>
      <c r="E1263" t="s">
        <v>9</v>
      </c>
      <c r="F1263" t="s">
        <v>45</v>
      </c>
    </row>
    <row r="1264" spans="1:6" hidden="1" x14ac:dyDescent="0.35">
      <c r="A1264" t="s">
        <v>58</v>
      </c>
      <c r="B1264" t="s">
        <v>33</v>
      </c>
      <c r="C1264" t="s">
        <v>49</v>
      </c>
      <c r="D1264">
        <v>913906.68999999983</v>
      </c>
      <c r="E1264" t="s">
        <v>9</v>
      </c>
      <c r="F1264" t="s">
        <v>45</v>
      </c>
    </row>
    <row r="1265" spans="1:6" hidden="1" x14ac:dyDescent="0.35">
      <c r="A1265" t="s">
        <v>59</v>
      </c>
      <c r="B1265" t="s">
        <v>33</v>
      </c>
      <c r="C1265" t="s">
        <v>49</v>
      </c>
      <c r="D1265">
        <v>593717.16999999993</v>
      </c>
      <c r="E1265" t="s">
        <v>9</v>
      </c>
      <c r="F1265" t="s">
        <v>45</v>
      </c>
    </row>
    <row r="1266" spans="1:6" hidden="1" x14ac:dyDescent="0.35">
      <c r="A1266" t="s">
        <v>60</v>
      </c>
      <c r="B1266" t="s">
        <v>33</v>
      </c>
      <c r="C1266" t="s">
        <v>49</v>
      </c>
      <c r="D1266">
        <v>426751.66</v>
      </c>
      <c r="E1266" t="s">
        <v>9</v>
      </c>
      <c r="F1266" t="s">
        <v>45</v>
      </c>
    </row>
    <row r="1267" spans="1:6" hidden="1" x14ac:dyDescent="0.35">
      <c r="A1267" t="s">
        <v>61</v>
      </c>
      <c r="B1267" t="s">
        <v>33</v>
      </c>
      <c r="C1267" t="s">
        <v>49</v>
      </c>
      <c r="D1267">
        <v>391125.84</v>
      </c>
      <c r="E1267" t="s">
        <v>9</v>
      </c>
      <c r="F1267" t="s">
        <v>45</v>
      </c>
    </row>
    <row r="1268" spans="1:6" hidden="1" x14ac:dyDescent="0.35">
      <c r="A1268" t="s">
        <v>62</v>
      </c>
      <c r="B1268" t="s">
        <v>33</v>
      </c>
      <c r="C1268" t="s">
        <v>49</v>
      </c>
      <c r="D1268">
        <v>572505.2300000001</v>
      </c>
      <c r="E1268" t="s">
        <v>9</v>
      </c>
      <c r="F1268" t="s">
        <v>45</v>
      </c>
    </row>
    <row r="1269" spans="1:6" hidden="1" x14ac:dyDescent="0.35">
      <c r="A1269" t="s">
        <v>63</v>
      </c>
      <c r="B1269" t="s">
        <v>33</v>
      </c>
      <c r="C1269" t="s">
        <v>49</v>
      </c>
      <c r="D1269">
        <v>351474.65</v>
      </c>
      <c r="E1269" t="s">
        <v>9</v>
      </c>
      <c r="F1269" t="s">
        <v>45</v>
      </c>
    </row>
    <row r="1270" spans="1:6" hidden="1" x14ac:dyDescent="0.35">
      <c r="A1270" t="s">
        <v>64</v>
      </c>
      <c r="B1270" t="s">
        <v>33</v>
      </c>
      <c r="C1270" t="s">
        <v>49</v>
      </c>
      <c r="D1270">
        <v>532795.64</v>
      </c>
      <c r="E1270" t="s">
        <v>9</v>
      </c>
      <c r="F1270" t="s">
        <v>45</v>
      </c>
    </row>
    <row r="1271" spans="1:6" hidden="1" x14ac:dyDescent="0.35">
      <c r="A1271" t="s">
        <v>65</v>
      </c>
      <c r="B1271" t="s">
        <v>33</v>
      </c>
      <c r="C1271" t="s">
        <v>49</v>
      </c>
      <c r="D1271">
        <v>416187.00999999978</v>
      </c>
      <c r="E1271" t="s">
        <v>9</v>
      </c>
      <c r="F1271" t="s">
        <v>45</v>
      </c>
    </row>
    <row r="1272" spans="1:6" hidden="1" x14ac:dyDescent="0.35">
      <c r="A1272" t="s">
        <v>66</v>
      </c>
      <c r="B1272" t="s">
        <v>33</v>
      </c>
      <c r="C1272" t="s">
        <v>49</v>
      </c>
      <c r="D1272">
        <v>795214.42</v>
      </c>
      <c r="E1272" t="s">
        <v>9</v>
      </c>
      <c r="F1272" t="s">
        <v>45</v>
      </c>
    </row>
    <row r="1273" spans="1:6" hidden="1" x14ac:dyDescent="0.35">
      <c r="A1273" t="s">
        <v>67</v>
      </c>
      <c r="B1273" t="s">
        <v>33</v>
      </c>
      <c r="C1273" t="s">
        <v>49</v>
      </c>
      <c r="D1273">
        <v>520927.3</v>
      </c>
      <c r="E1273" t="s">
        <v>9</v>
      </c>
      <c r="F1273" t="s">
        <v>45</v>
      </c>
    </row>
    <row r="1274" spans="1:6" hidden="1" x14ac:dyDescent="0.35">
      <c r="A1274" t="s">
        <v>57</v>
      </c>
      <c r="B1274" t="s">
        <v>33</v>
      </c>
      <c r="C1274" t="s">
        <v>50</v>
      </c>
      <c r="D1274">
        <v>16427.11</v>
      </c>
      <c r="E1274" t="s">
        <v>9</v>
      </c>
      <c r="F1274" t="s">
        <v>45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9</v>
      </c>
      <c r="F1275" t="s">
        <v>45</v>
      </c>
    </row>
    <row r="1276" spans="1:6" hidden="1" x14ac:dyDescent="0.35">
      <c r="A1276" t="s">
        <v>58</v>
      </c>
      <c r="B1276" t="s">
        <v>33</v>
      </c>
      <c r="C1276" t="s">
        <v>50</v>
      </c>
      <c r="D1276">
        <v>49933.96</v>
      </c>
      <c r="E1276" t="s">
        <v>9</v>
      </c>
      <c r="F1276" t="s">
        <v>45</v>
      </c>
    </row>
    <row r="1277" spans="1:6" hidden="1" x14ac:dyDescent="0.35">
      <c r="A1277" t="s">
        <v>59</v>
      </c>
      <c r="B1277" t="s">
        <v>33</v>
      </c>
      <c r="C1277" t="s">
        <v>50</v>
      </c>
      <c r="D1277">
        <v>5240.34</v>
      </c>
      <c r="E1277" t="s">
        <v>9</v>
      </c>
      <c r="F1277" t="s">
        <v>45</v>
      </c>
    </row>
    <row r="1278" spans="1:6" hidden="1" x14ac:dyDescent="0.35">
      <c r="A1278" t="s">
        <v>60</v>
      </c>
      <c r="B1278" t="s">
        <v>33</v>
      </c>
      <c r="C1278" t="s">
        <v>50</v>
      </c>
      <c r="D1278">
        <v>18373.23</v>
      </c>
      <c r="E1278" t="s">
        <v>9</v>
      </c>
      <c r="F1278" t="s">
        <v>45</v>
      </c>
    </row>
    <row r="1279" spans="1:6" hidden="1" x14ac:dyDescent="0.35">
      <c r="A1279" t="s">
        <v>61</v>
      </c>
      <c r="B1279" t="s">
        <v>33</v>
      </c>
      <c r="C1279" t="s">
        <v>50</v>
      </c>
      <c r="D1279">
        <v>49018.85</v>
      </c>
      <c r="E1279" t="s">
        <v>9</v>
      </c>
      <c r="F1279" t="s">
        <v>45</v>
      </c>
    </row>
    <row r="1280" spans="1:6" hidden="1" x14ac:dyDescent="0.35">
      <c r="A1280" t="s">
        <v>62</v>
      </c>
      <c r="B1280" t="s">
        <v>33</v>
      </c>
      <c r="C1280" t="s">
        <v>50</v>
      </c>
      <c r="D1280">
        <v>34440.14</v>
      </c>
      <c r="E1280" t="s">
        <v>9</v>
      </c>
      <c r="F1280" t="s">
        <v>45</v>
      </c>
    </row>
    <row r="1281" spans="1:6" hidden="1" x14ac:dyDescent="0.35">
      <c r="A1281" t="s">
        <v>63</v>
      </c>
      <c r="B1281" t="s">
        <v>33</v>
      </c>
      <c r="C1281" t="s">
        <v>50</v>
      </c>
      <c r="D1281">
        <v>132183.29999999999</v>
      </c>
      <c r="E1281" t="s">
        <v>9</v>
      </c>
      <c r="F1281" t="s">
        <v>45</v>
      </c>
    </row>
    <row r="1282" spans="1:6" hidden="1" x14ac:dyDescent="0.35">
      <c r="A1282" t="s">
        <v>64</v>
      </c>
      <c r="B1282" t="s">
        <v>33</v>
      </c>
      <c r="C1282" t="s">
        <v>50</v>
      </c>
      <c r="D1282">
        <v>72902.25</v>
      </c>
      <c r="E1282" t="s">
        <v>9</v>
      </c>
      <c r="F1282" t="s">
        <v>45</v>
      </c>
    </row>
    <row r="1283" spans="1:6" hidden="1" x14ac:dyDescent="0.35">
      <c r="A1283" t="s">
        <v>65</v>
      </c>
      <c r="B1283" t="s">
        <v>33</v>
      </c>
      <c r="C1283" t="s">
        <v>50</v>
      </c>
      <c r="D1283">
        <v>6477.17</v>
      </c>
      <c r="E1283" t="s">
        <v>9</v>
      </c>
      <c r="F1283" t="s">
        <v>45</v>
      </c>
    </row>
    <row r="1284" spans="1:6" hidden="1" x14ac:dyDescent="0.35">
      <c r="A1284" t="s">
        <v>66</v>
      </c>
      <c r="B1284" t="s">
        <v>33</v>
      </c>
      <c r="C1284" t="s">
        <v>50</v>
      </c>
      <c r="D1284">
        <v>246760.72</v>
      </c>
      <c r="E1284" t="s">
        <v>9</v>
      </c>
      <c r="F1284" t="s">
        <v>45</v>
      </c>
    </row>
    <row r="1285" spans="1:6" hidden="1" x14ac:dyDescent="0.35">
      <c r="A1285" t="s">
        <v>67</v>
      </c>
      <c r="B1285" t="s">
        <v>33</v>
      </c>
      <c r="C1285" t="s">
        <v>50</v>
      </c>
      <c r="D1285">
        <v>11335.09</v>
      </c>
      <c r="E1285" t="s">
        <v>9</v>
      </c>
      <c r="F1285" t="s">
        <v>45</v>
      </c>
    </row>
    <row r="1286" spans="1:6" hidden="1" x14ac:dyDescent="0.35">
      <c r="A1286" t="s">
        <v>57</v>
      </c>
      <c r="B1286" t="s">
        <v>33</v>
      </c>
      <c r="C1286" t="s">
        <v>51</v>
      </c>
      <c r="D1286">
        <v>307</v>
      </c>
      <c r="E1286" t="s">
        <v>9</v>
      </c>
      <c r="F1286" t="s">
        <v>45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300</v>
      </c>
      <c r="E1287" t="s">
        <v>9</v>
      </c>
      <c r="F1287" t="s">
        <v>45</v>
      </c>
    </row>
    <row r="1288" spans="1:6" hidden="1" x14ac:dyDescent="0.35">
      <c r="A1288" t="s">
        <v>58</v>
      </c>
      <c r="B1288" t="s">
        <v>33</v>
      </c>
      <c r="C1288" t="s">
        <v>51</v>
      </c>
      <c r="D1288">
        <v>392</v>
      </c>
      <c r="E1288" t="s">
        <v>9</v>
      </c>
      <c r="F1288" t="s">
        <v>45</v>
      </c>
    </row>
    <row r="1289" spans="1:6" hidden="1" x14ac:dyDescent="0.35">
      <c r="A1289" t="s">
        <v>59</v>
      </c>
      <c r="B1289" t="s">
        <v>33</v>
      </c>
      <c r="C1289" t="s">
        <v>51</v>
      </c>
      <c r="D1289">
        <v>313</v>
      </c>
      <c r="E1289" t="s">
        <v>9</v>
      </c>
      <c r="F1289" t="s">
        <v>45</v>
      </c>
    </row>
    <row r="1290" spans="1:6" hidden="1" x14ac:dyDescent="0.35">
      <c r="A1290" t="s">
        <v>60</v>
      </c>
      <c r="B1290" t="s">
        <v>33</v>
      </c>
      <c r="C1290" t="s">
        <v>51</v>
      </c>
      <c r="D1290">
        <v>330</v>
      </c>
      <c r="E1290" t="s">
        <v>9</v>
      </c>
      <c r="F1290" t="s">
        <v>45</v>
      </c>
    </row>
    <row r="1291" spans="1:6" hidden="1" x14ac:dyDescent="0.35">
      <c r="A1291" t="s">
        <v>61</v>
      </c>
      <c r="B1291" t="s">
        <v>33</v>
      </c>
      <c r="C1291" t="s">
        <v>51</v>
      </c>
      <c r="D1291">
        <v>354</v>
      </c>
      <c r="E1291" t="s">
        <v>9</v>
      </c>
      <c r="F1291" t="s">
        <v>45</v>
      </c>
    </row>
    <row r="1292" spans="1:6" hidden="1" x14ac:dyDescent="0.35">
      <c r="A1292" t="s">
        <v>62</v>
      </c>
      <c r="B1292" t="s">
        <v>33</v>
      </c>
      <c r="C1292" t="s">
        <v>51</v>
      </c>
      <c r="D1292">
        <v>271</v>
      </c>
      <c r="E1292" t="s">
        <v>9</v>
      </c>
      <c r="F1292" t="s">
        <v>45</v>
      </c>
    </row>
    <row r="1293" spans="1:6" hidden="1" x14ac:dyDescent="0.35">
      <c r="A1293" t="s">
        <v>63</v>
      </c>
      <c r="B1293" t="s">
        <v>33</v>
      </c>
      <c r="C1293" t="s">
        <v>51</v>
      </c>
      <c r="D1293">
        <v>382</v>
      </c>
      <c r="E1293" t="s">
        <v>9</v>
      </c>
      <c r="F1293" t="s">
        <v>45</v>
      </c>
    </row>
    <row r="1294" spans="1:6" hidden="1" x14ac:dyDescent="0.35">
      <c r="A1294" t="s">
        <v>64</v>
      </c>
      <c r="B1294" t="s">
        <v>33</v>
      </c>
      <c r="C1294" t="s">
        <v>51</v>
      </c>
      <c r="D1294">
        <v>304</v>
      </c>
      <c r="E1294" t="s">
        <v>9</v>
      </c>
      <c r="F1294" t="s">
        <v>45</v>
      </c>
    </row>
    <row r="1295" spans="1:6" hidden="1" x14ac:dyDescent="0.35">
      <c r="A1295" t="s">
        <v>65</v>
      </c>
      <c r="B1295" t="s">
        <v>33</v>
      </c>
      <c r="C1295" t="s">
        <v>51</v>
      </c>
      <c r="D1295">
        <v>356</v>
      </c>
      <c r="E1295" t="s">
        <v>9</v>
      </c>
      <c r="F1295" t="s">
        <v>45</v>
      </c>
    </row>
    <row r="1296" spans="1:6" hidden="1" x14ac:dyDescent="0.35">
      <c r="A1296" t="s">
        <v>66</v>
      </c>
      <c r="B1296" t="s">
        <v>33</v>
      </c>
      <c r="C1296" t="s">
        <v>51</v>
      </c>
      <c r="D1296">
        <v>314</v>
      </c>
      <c r="E1296" t="s">
        <v>9</v>
      </c>
      <c r="F1296" t="s">
        <v>45</v>
      </c>
    </row>
    <row r="1297" spans="1:6" hidden="1" x14ac:dyDescent="0.35">
      <c r="A1297" t="s">
        <v>67</v>
      </c>
      <c r="B1297" t="s">
        <v>33</v>
      </c>
      <c r="C1297" t="s">
        <v>51</v>
      </c>
      <c r="D1297">
        <v>266</v>
      </c>
      <c r="E1297" t="s">
        <v>9</v>
      </c>
      <c r="F1297" t="s">
        <v>45</v>
      </c>
    </row>
    <row r="1298" spans="1:6" hidden="1" x14ac:dyDescent="0.35">
      <c r="A1298" t="s">
        <v>57</v>
      </c>
      <c r="B1298" t="s">
        <v>33</v>
      </c>
      <c r="C1298" t="s">
        <v>30</v>
      </c>
      <c r="D1298">
        <v>159</v>
      </c>
      <c r="E1298" t="s">
        <v>9</v>
      </c>
      <c r="F1298" t="s">
        <v>45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120</v>
      </c>
      <c r="E1299" t="s">
        <v>9</v>
      </c>
      <c r="F1299" t="s">
        <v>45</v>
      </c>
    </row>
    <row r="1300" spans="1:6" hidden="1" x14ac:dyDescent="0.35">
      <c r="A1300" t="s">
        <v>58</v>
      </c>
      <c r="B1300" t="s">
        <v>33</v>
      </c>
      <c r="C1300" t="s">
        <v>30</v>
      </c>
      <c r="D1300">
        <v>143</v>
      </c>
      <c r="E1300" t="s">
        <v>9</v>
      </c>
      <c r="F1300" t="s">
        <v>45</v>
      </c>
    </row>
    <row r="1301" spans="1:6" hidden="1" x14ac:dyDescent="0.35">
      <c r="A1301" t="s">
        <v>59</v>
      </c>
      <c r="B1301" t="s">
        <v>33</v>
      </c>
      <c r="C1301" t="s">
        <v>30</v>
      </c>
      <c r="D1301">
        <v>148</v>
      </c>
      <c r="E1301" t="s">
        <v>9</v>
      </c>
      <c r="F1301" t="s">
        <v>45</v>
      </c>
    </row>
    <row r="1302" spans="1:6" hidden="1" x14ac:dyDescent="0.35">
      <c r="A1302" t="s">
        <v>60</v>
      </c>
      <c r="B1302" t="s">
        <v>33</v>
      </c>
      <c r="C1302" t="s">
        <v>30</v>
      </c>
      <c r="D1302">
        <v>160</v>
      </c>
      <c r="E1302" t="s">
        <v>9</v>
      </c>
      <c r="F1302" t="s">
        <v>45</v>
      </c>
    </row>
    <row r="1303" spans="1:6" hidden="1" x14ac:dyDescent="0.35">
      <c r="A1303" t="s">
        <v>61</v>
      </c>
      <c r="B1303" t="s">
        <v>33</v>
      </c>
      <c r="C1303" t="s">
        <v>30</v>
      </c>
      <c r="D1303">
        <v>113</v>
      </c>
      <c r="E1303" t="s">
        <v>9</v>
      </c>
      <c r="F1303" t="s">
        <v>45</v>
      </c>
    </row>
    <row r="1304" spans="1:6" hidden="1" x14ac:dyDescent="0.35">
      <c r="A1304" t="s">
        <v>62</v>
      </c>
      <c r="B1304" t="s">
        <v>33</v>
      </c>
      <c r="C1304" t="s">
        <v>30</v>
      </c>
      <c r="D1304">
        <v>154</v>
      </c>
      <c r="E1304" t="s">
        <v>9</v>
      </c>
      <c r="F1304" t="s">
        <v>45</v>
      </c>
    </row>
    <row r="1305" spans="1:6" hidden="1" x14ac:dyDescent="0.35">
      <c r="A1305" t="s">
        <v>63</v>
      </c>
      <c r="B1305" t="s">
        <v>33</v>
      </c>
      <c r="C1305" t="s">
        <v>30</v>
      </c>
      <c r="D1305">
        <v>166</v>
      </c>
      <c r="E1305" t="s">
        <v>9</v>
      </c>
      <c r="F1305" t="s">
        <v>45</v>
      </c>
    </row>
    <row r="1306" spans="1:6" hidden="1" x14ac:dyDescent="0.35">
      <c r="A1306" t="s">
        <v>64</v>
      </c>
      <c r="B1306" t="s">
        <v>33</v>
      </c>
      <c r="C1306" t="s">
        <v>30</v>
      </c>
      <c r="D1306">
        <v>152</v>
      </c>
      <c r="E1306" t="s">
        <v>9</v>
      </c>
      <c r="F1306" t="s">
        <v>45</v>
      </c>
    </row>
    <row r="1307" spans="1:6" hidden="1" x14ac:dyDescent="0.35">
      <c r="A1307" t="s">
        <v>65</v>
      </c>
      <c r="B1307" t="s">
        <v>33</v>
      </c>
      <c r="C1307" t="s">
        <v>30</v>
      </c>
      <c r="D1307">
        <v>155</v>
      </c>
      <c r="E1307" t="s">
        <v>9</v>
      </c>
      <c r="F1307" t="s">
        <v>45</v>
      </c>
    </row>
    <row r="1308" spans="1:6" hidden="1" x14ac:dyDescent="0.35">
      <c r="A1308" t="s">
        <v>66</v>
      </c>
      <c r="B1308" t="s">
        <v>33</v>
      </c>
      <c r="C1308" t="s">
        <v>30</v>
      </c>
      <c r="D1308">
        <v>132</v>
      </c>
      <c r="E1308" t="s">
        <v>9</v>
      </c>
      <c r="F1308" t="s">
        <v>45</v>
      </c>
    </row>
    <row r="1309" spans="1:6" hidden="1" x14ac:dyDescent="0.35">
      <c r="A1309" t="s">
        <v>67</v>
      </c>
      <c r="B1309" t="s">
        <v>33</v>
      </c>
      <c r="C1309" t="s">
        <v>30</v>
      </c>
      <c r="D1309">
        <v>163</v>
      </c>
      <c r="E1309" t="s">
        <v>9</v>
      </c>
      <c r="F1309" t="s">
        <v>45</v>
      </c>
    </row>
    <row r="1310" spans="1:6" hidden="1" x14ac:dyDescent="0.35">
      <c r="A1310" t="s">
        <v>57</v>
      </c>
      <c r="B1310" t="s">
        <v>33</v>
      </c>
      <c r="C1310" t="s">
        <v>52</v>
      </c>
      <c r="D1310">
        <v>17</v>
      </c>
      <c r="E1310" t="s">
        <v>9</v>
      </c>
      <c r="F1310" t="s">
        <v>45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11</v>
      </c>
      <c r="E1311" t="s">
        <v>9</v>
      </c>
      <c r="F1311" t="s">
        <v>45</v>
      </c>
    </row>
    <row r="1312" spans="1:6" hidden="1" x14ac:dyDescent="0.35">
      <c r="A1312" t="s">
        <v>58</v>
      </c>
      <c r="B1312" t="s">
        <v>33</v>
      </c>
      <c r="C1312" t="s">
        <v>52</v>
      </c>
      <c r="D1312">
        <v>10</v>
      </c>
      <c r="E1312" t="s">
        <v>9</v>
      </c>
      <c r="F1312" t="s">
        <v>45</v>
      </c>
    </row>
    <row r="1313" spans="1:6" hidden="1" x14ac:dyDescent="0.35">
      <c r="A1313" t="s">
        <v>59</v>
      </c>
      <c r="B1313" t="s">
        <v>33</v>
      </c>
      <c r="C1313" t="s">
        <v>52</v>
      </c>
      <c r="D1313">
        <v>11</v>
      </c>
      <c r="E1313" t="s">
        <v>9</v>
      </c>
      <c r="F1313" t="s">
        <v>45</v>
      </c>
    </row>
    <row r="1314" spans="1:6" hidden="1" x14ac:dyDescent="0.35">
      <c r="A1314" t="s">
        <v>60</v>
      </c>
      <c r="B1314" t="s">
        <v>33</v>
      </c>
      <c r="C1314" t="s">
        <v>52</v>
      </c>
      <c r="D1314">
        <v>11</v>
      </c>
      <c r="E1314" t="s">
        <v>9</v>
      </c>
      <c r="F1314" t="s">
        <v>45</v>
      </c>
    </row>
    <row r="1315" spans="1:6" hidden="1" x14ac:dyDescent="0.35">
      <c r="A1315" t="s">
        <v>61</v>
      </c>
      <c r="B1315" t="s">
        <v>33</v>
      </c>
      <c r="C1315" t="s">
        <v>52</v>
      </c>
      <c r="D1315">
        <v>4</v>
      </c>
      <c r="E1315" t="s">
        <v>9</v>
      </c>
      <c r="F1315" t="s">
        <v>45</v>
      </c>
    </row>
    <row r="1316" spans="1:6" hidden="1" x14ac:dyDescent="0.35">
      <c r="A1316" t="s">
        <v>62</v>
      </c>
      <c r="B1316" t="s">
        <v>33</v>
      </c>
      <c r="C1316" t="s">
        <v>52</v>
      </c>
      <c r="D1316">
        <v>4</v>
      </c>
      <c r="E1316" t="s">
        <v>9</v>
      </c>
      <c r="F1316" t="s">
        <v>45</v>
      </c>
    </row>
    <row r="1317" spans="1:6" hidden="1" x14ac:dyDescent="0.35">
      <c r="A1317" t="s">
        <v>63</v>
      </c>
      <c r="B1317" t="s">
        <v>33</v>
      </c>
      <c r="C1317" t="s">
        <v>52</v>
      </c>
      <c r="D1317">
        <v>14</v>
      </c>
      <c r="E1317" t="s">
        <v>9</v>
      </c>
      <c r="F1317" t="s">
        <v>45</v>
      </c>
    </row>
    <row r="1318" spans="1:6" hidden="1" x14ac:dyDescent="0.35">
      <c r="A1318" t="s">
        <v>64</v>
      </c>
      <c r="B1318" t="s">
        <v>33</v>
      </c>
      <c r="C1318" t="s">
        <v>52</v>
      </c>
      <c r="D1318">
        <v>4</v>
      </c>
      <c r="E1318" t="s">
        <v>9</v>
      </c>
      <c r="F1318" t="s">
        <v>45</v>
      </c>
    </row>
    <row r="1319" spans="1:6" hidden="1" x14ac:dyDescent="0.35">
      <c r="A1319" t="s">
        <v>65</v>
      </c>
      <c r="B1319" t="s">
        <v>33</v>
      </c>
      <c r="C1319" t="s">
        <v>52</v>
      </c>
      <c r="D1319">
        <v>6</v>
      </c>
      <c r="E1319" t="s">
        <v>9</v>
      </c>
      <c r="F1319" t="s">
        <v>45</v>
      </c>
    </row>
    <row r="1320" spans="1:6" hidden="1" x14ac:dyDescent="0.35">
      <c r="A1320" t="s">
        <v>66</v>
      </c>
      <c r="B1320" t="s">
        <v>33</v>
      </c>
      <c r="C1320" t="s">
        <v>52</v>
      </c>
      <c r="D1320">
        <v>8</v>
      </c>
      <c r="E1320" t="s">
        <v>9</v>
      </c>
      <c r="F1320" t="s">
        <v>45</v>
      </c>
    </row>
    <row r="1321" spans="1:6" hidden="1" x14ac:dyDescent="0.35">
      <c r="A1321" t="s">
        <v>67</v>
      </c>
      <c r="B1321" t="s">
        <v>33</v>
      </c>
      <c r="C1321" t="s">
        <v>52</v>
      </c>
      <c r="D1321">
        <v>5</v>
      </c>
      <c r="E1321" t="s">
        <v>9</v>
      </c>
      <c r="F1321" t="s">
        <v>45</v>
      </c>
    </row>
    <row r="1322" spans="1:6" hidden="1" x14ac:dyDescent="0.35">
      <c r="A1322" t="s">
        <v>57</v>
      </c>
      <c r="B1322" t="s">
        <v>53</v>
      </c>
      <c r="C1322" t="s">
        <v>44</v>
      </c>
      <c r="D1322">
        <v>0</v>
      </c>
      <c r="E1322" t="s">
        <v>9</v>
      </c>
      <c r="F1322" t="s">
        <v>45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9</v>
      </c>
      <c r="F1323" t="s">
        <v>45</v>
      </c>
    </row>
    <row r="1324" spans="1:6" hidden="1" x14ac:dyDescent="0.35">
      <c r="A1324" t="s">
        <v>58</v>
      </c>
      <c r="B1324" t="s">
        <v>53</v>
      </c>
      <c r="C1324" t="s">
        <v>44</v>
      </c>
      <c r="D1324">
        <v>0</v>
      </c>
      <c r="E1324" t="s">
        <v>9</v>
      </c>
      <c r="F1324" t="s">
        <v>45</v>
      </c>
    </row>
    <row r="1325" spans="1:6" hidden="1" x14ac:dyDescent="0.35">
      <c r="A1325" t="s">
        <v>59</v>
      </c>
      <c r="B1325" t="s">
        <v>53</v>
      </c>
      <c r="C1325" t="s">
        <v>44</v>
      </c>
      <c r="D1325">
        <v>0</v>
      </c>
      <c r="E1325" t="s">
        <v>9</v>
      </c>
      <c r="F1325" t="s">
        <v>45</v>
      </c>
    </row>
    <row r="1326" spans="1:6" hidden="1" x14ac:dyDescent="0.35">
      <c r="A1326" t="s">
        <v>60</v>
      </c>
      <c r="B1326" t="s">
        <v>53</v>
      </c>
      <c r="C1326" t="s">
        <v>44</v>
      </c>
      <c r="D1326">
        <v>0</v>
      </c>
      <c r="E1326" t="s">
        <v>9</v>
      </c>
      <c r="F1326" t="s">
        <v>45</v>
      </c>
    </row>
    <row r="1327" spans="1:6" hidden="1" x14ac:dyDescent="0.35">
      <c r="A1327" t="s">
        <v>61</v>
      </c>
      <c r="B1327" t="s">
        <v>53</v>
      </c>
      <c r="C1327" t="s">
        <v>44</v>
      </c>
      <c r="D1327">
        <v>0</v>
      </c>
      <c r="E1327" t="s">
        <v>9</v>
      </c>
      <c r="F1327" t="s">
        <v>45</v>
      </c>
    </row>
    <row r="1328" spans="1:6" hidden="1" x14ac:dyDescent="0.35">
      <c r="A1328" t="s">
        <v>62</v>
      </c>
      <c r="B1328" t="s">
        <v>53</v>
      </c>
      <c r="C1328" t="s">
        <v>44</v>
      </c>
      <c r="D1328">
        <v>0</v>
      </c>
      <c r="E1328" t="s">
        <v>9</v>
      </c>
      <c r="F1328" t="s">
        <v>45</v>
      </c>
    </row>
    <row r="1329" spans="1:6" hidden="1" x14ac:dyDescent="0.35">
      <c r="A1329" t="s">
        <v>63</v>
      </c>
      <c r="B1329" t="s">
        <v>53</v>
      </c>
      <c r="C1329" t="s">
        <v>44</v>
      </c>
      <c r="D1329">
        <v>0</v>
      </c>
      <c r="E1329" t="s">
        <v>9</v>
      </c>
      <c r="F1329" t="s">
        <v>45</v>
      </c>
    </row>
    <row r="1330" spans="1:6" hidden="1" x14ac:dyDescent="0.35">
      <c r="A1330" t="s">
        <v>64</v>
      </c>
      <c r="B1330" t="s">
        <v>53</v>
      </c>
      <c r="C1330" t="s">
        <v>44</v>
      </c>
      <c r="D1330">
        <v>0</v>
      </c>
      <c r="E1330" t="s">
        <v>9</v>
      </c>
      <c r="F1330" t="s">
        <v>45</v>
      </c>
    </row>
    <row r="1331" spans="1:6" hidden="1" x14ac:dyDescent="0.35">
      <c r="A1331" t="s">
        <v>65</v>
      </c>
      <c r="B1331" t="s">
        <v>53</v>
      </c>
      <c r="C1331" t="s">
        <v>44</v>
      </c>
      <c r="D1331">
        <v>0</v>
      </c>
      <c r="E1331" t="s">
        <v>9</v>
      </c>
      <c r="F1331" t="s">
        <v>45</v>
      </c>
    </row>
    <row r="1332" spans="1:6" hidden="1" x14ac:dyDescent="0.35">
      <c r="A1332" t="s">
        <v>66</v>
      </c>
      <c r="B1332" t="s">
        <v>53</v>
      </c>
      <c r="C1332" t="s">
        <v>44</v>
      </c>
      <c r="D1332">
        <v>0</v>
      </c>
      <c r="E1332" t="s">
        <v>9</v>
      </c>
      <c r="F1332" t="s">
        <v>45</v>
      </c>
    </row>
    <row r="1333" spans="1:6" hidden="1" x14ac:dyDescent="0.35">
      <c r="A1333" t="s">
        <v>67</v>
      </c>
      <c r="B1333" t="s">
        <v>53</v>
      </c>
      <c r="C1333" t="s">
        <v>44</v>
      </c>
      <c r="D1333">
        <v>0</v>
      </c>
      <c r="E1333" t="s">
        <v>9</v>
      </c>
      <c r="F1333" t="s">
        <v>45</v>
      </c>
    </row>
    <row r="1334" spans="1:6" hidden="1" x14ac:dyDescent="0.35">
      <c r="A1334" t="s">
        <v>57</v>
      </c>
      <c r="B1334" t="s">
        <v>53</v>
      </c>
      <c r="C1334" t="s">
        <v>22</v>
      </c>
      <c r="D1334">
        <v>0</v>
      </c>
      <c r="E1334" t="s">
        <v>9</v>
      </c>
      <c r="F1334" t="s">
        <v>45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9</v>
      </c>
      <c r="F1335" t="s">
        <v>45</v>
      </c>
    </row>
    <row r="1336" spans="1:6" hidden="1" x14ac:dyDescent="0.35">
      <c r="A1336" t="s">
        <v>58</v>
      </c>
      <c r="B1336" t="s">
        <v>53</v>
      </c>
      <c r="C1336" t="s">
        <v>22</v>
      </c>
      <c r="D1336">
        <v>0</v>
      </c>
      <c r="E1336" t="s">
        <v>9</v>
      </c>
      <c r="F1336" t="s">
        <v>45</v>
      </c>
    </row>
    <row r="1337" spans="1:6" hidden="1" x14ac:dyDescent="0.35">
      <c r="A1337" t="s">
        <v>59</v>
      </c>
      <c r="B1337" t="s">
        <v>53</v>
      </c>
      <c r="C1337" t="s">
        <v>22</v>
      </c>
      <c r="D1337">
        <v>0</v>
      </c>
      <c r="E1337" t="s">
        <v>9</v>
      </c>
      <c r="F1337" t="s">
        <v>45</v>
      </c>
    </row>
    <row r="1338" spans="1:6" hidden="1" x14ac:dyDescent="0.35">
      <c r="A1338" t="s">
        <v>60</v>
      </c>
      <c r="B1338" t="s">
        <v>53</v>
      </c>
      <c r="C1338" t="s">
        <v>22</v>
      </c>
      <c r="D1338">
        <v>0</v>
      </c>
      <c r="E1338" t="s">
        <v>9</v>
      </c>
      <c r="F1338" t="s">
        <v>45</v>
      </c>
    </row>
    <row r="1339" spans="1:6" hidden="1" x14ac:dyDescent="0.35">
      <c r="A1339" t="s">
        <v>61</v>
      </c>
      <c r="B1339" t="s">
        <v>53</v>
      </c>
      <c r="C1339" t="s">
        <v>22</v>
      </c>
      <c r="D1339">
        <v>0</v>
      </c>
      <c r="E1339" t="s">
        <v>9</v>
      </c>
      <c r="F1339" t="s">
        <v>45</v>
      </c>
    </row>
    <row r="1340" spans="1:6" hidden="1" x14ac:dyDescent="0.35">
      <c r="A1340" t="s">
        <v>62</v>
      </c>
      <c r="B1340" t="s">
        <v>53</v>
      </c>
      <c r="C1340" t="s">
        <v>22</v>
      </c>
      <c r="D1340">
        <v>0</v>
      </c>
      <c r="E1340" t="s">
        <v>9</v>
      </c>
      <c r="F1340" t="s">
        <v>45</v>
      </c>
    </row>
    <row r="1341" spans="1:6" hidden="1" x14ac:dyDescent="0.35">
      <c r="A1341" t="s">
        <v>63</v>
      </c>
      <c r="B1341" t="s">
        <v>53</v>
      </c>
      <c r="C1341" t="s">
        <v>22</v>
      </c>
      <c r="D1341">
        <v>0</v>
      </c>
      <c r="E1341" t="s">
        <v>9</v>
      </c>
      <c r="F1341" t="s">
        <v>45</v>
      </c>
    </row>
    <row r="1342" spans="1:6" hidden="1" x14ac:dyDescent="0.35">
      <c r="A1342" t="s">
        <v>64</v>
      </c>
      <c r="B1342" t="s">
        <v>53</v>
      </c>
      <c r="C1342" t="s">
        <v>22</v>
      </c>
      <c r="D1342">
        <v>0</v>
      </c>
      <c r="E1342" t="s">
        <v>9</v>
      </c>
      <c r="F1342" t="s">
        <v>45</v>
      </c>
    </row>
    <row r="1343" spans="1:6" hidden="1" x14ac:dyDescent="0.35">
      <c r="A1343" t="s">
        <v>65</v>
      </c>
      <c r="B1343" t="s">
        <v>53</v>
      </c>
      <c r="C1343" t="s">
        <v>22</v>
      </c>
      <c r="D1343">
        <v>0</v>
      </c>
      <c r="E1343" t="s">
        <v>9</v>
      </c>
      <c r="F1343" t="s">
        <v>45</v>
      </c>
    </row>
    <row r="1344" spans="1:6" hidden="1" x14ac:dyDescent="0.35">
      <c r="A1344" t="s">
        <v>66</v>
      </c>
      <c r="B1344" t="s">
        <v>53</v>
      </c>
      <c r="C1344" t="s">
        <v>22</v>
      </c>
      <c r="D1344">
        <v>0</v>
      </c>
      <c r="E1344" t="s">
        <v>9</v>
      </c>
      <c r="F1344" t="s">
        <v>45</v>
      </c>
    </row>
    <row r="1345" spans="1:6" hidden="1" x14ac:dyDescent="0.35">
      <c r="A1345" t="s">
        <v>67</v>
      </c>
      <c r="B1345" t="s">
        <v>53</v>
      </c>
      <c r="C1345" t="s">
        <v>22</v>
      </c>
      <c r="D1345">
        <v>0</v>
      </c>
      <c r="E1345" t="s">
        <v>9</v>
      </c>
      <c r="F1345" t="s">
        <v>45</v>
      </c>
    </row>
    <row r="1346" spans="1:6" hidden="1" x14ac:dyDescent="0.35">
      <c r="A1346" t="s">
        <v>57</v>
      </c>
      <c r="B1346" t="s">
        <v>53</v>
      </c>
      <c r="C1346" t="s">
        <v>46</v>
      </c>
      <c r="D1346">
        <v>0</v>
      </c>
      <c r="E1346" t="s">
        <v>9</v>
      </c>
      <c r="F1346" t="s">
        <v>45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9</v>
      </c>
      <c r="F1347" t="s">
        <v>45</v>
      </c>
    </row>
    <row r="1348" spans="1:6" hidden="1" x14ac:dyDescent="0.35">
      <c r="A1348" t="s">
        <v>58</v>
      </c>
      <c r="B1348" t="s">
        <v>53</v>
      </c>
      <c r="C1348" t="s">
        <v>46</v>
      </c>
      <c r="D1348">
        <v>0</v>
      </c>
      <c r="E1348" t="s">
        <v>9</v>
      </c>
      <c r="F1348" t="s">
        <v>45</v>
      </c>
    </row>
    <row r="1349" spans="1:6" hidden="1" x14ac:dyDescent="0.35">
      <c r="A1349" t="s">
        <v>59</v>
      </c>
      <c r="B1349" t="s">
        <v>53</v>
      </c>
      <c r="C1349" t="s">
        <v>46</v>
      </c>
      <c r="D1349">
        <v>0</v>
      </c>
      <c r="E1349" t="s">
        <v>9</v>
      </c>
      <c r="F1349" t="s">
        <v>45</v>
      </c>
    </row>
    <row r="1350" spans="1:6" hidden="1" x14ac:dyDescent="0.35">
      <c r="A1350" t="s">
        <v>60</v>
      </c>
      <c r="B1350" t="s">
        <v>53</v>
      </c>
      <c r="C1350" t="s">
        <v>46</v>
      </c>
      <c r="D1350">
        <v>0</v>
      </c>
      <c r="E1350" t="s">
        <v>9</v>
      </c>
      <c r="F1350" t="s">
        <v>45</v>
      </c>
    </row>
    <row r="1351" spans="1:6" hidden="1" x14ac:dyDescent="0.35">
      <c r="A1351" t="s">
        <v>61</v>
      </c>
      <c r="B1351" t="s">
        <v>53</v>
      </c>
      <c r="C1351" t="s">
        <v>46</v>
      </c>
      <c r="D1351">
        <v>0</v>
      </c>
      <c r="E1351" t="s">
        <v>9</v>
      </c>
      <c r="F1351" t="s">
        <v>45</v>
      </c>
    </row>
    <row r="1352" spans="1:6" hidden="1" x14ac:dyDescent="0.35">
      <c r="A1352" t="s">
        <v>62</v>
      </c>
      <c r="B1352" t="s">
        <v>53</v>
      </c>
      <c r="C1352" t="s">
        <v>46</v>
      </c>
      <c r="D1352">
        <v>0</v>
      </c>
      <c r="E1352" t="s">
        <v>9</v>
      </c>
      <c r="F1352" t="s">
        <v>45</v>
      </c>
    </row>
    <row r="1353" spans="1:6" hidden="1" x14ac:dyDescent="0.35">
      <c r="A1353" t="s">
        <v>63</v>
      </c>
      <c r="B1353" t="s">
        <v>53</v>
      </c>
      <c r="C1353" t="s">
        <v>46</v>
      </c>
      <c r="D1353">
        <v>0</v>
      </c>
      <c r="E1353" t="s">
        <v>9</v>
      </c>
      <c r="F1353" t="s">
        <v>45</v>
      </c>
    </row>
    <row r="1354" spans="1:6" hidden="1" x14ac:dyDescent="0.35">
      <c r="A1354" t="s">
        <v>64</v>
      </c>
      <c r="B1354" t="s">
        <v>53</v>
      </c>
      <c r="C1354" t="s">
        <v>46</v>
      </c>
      <c r="D1354">
        <v>0</v>
      </c>
      <c r="E1354" t="s">
        <v>9</v>
      </c>
      <c r="F1354" t="s">
        <v>45</v>
      </c>
    </row>
    <row r="1355" spans="1:6" hidden="1" x14ac:dyDescent="0.35">
      <c r="A1355" t="s">
        <v>65</v>
      </c>
      <c r="B1355" t="s">
        <v>53</v>
      </c>
      <c r="C1355" t="s">
        <v>46</v>
      </c>
      <c r="D1355">
        <v>0</v>
      </c>
      <c r="E1355" t="s">
        <v>9</v>
      </c>
      <c r="F1355" t="s">
        <v>45</v>
      </c>
    </row>
    <row r="1356" spans="1:6" hidden="1" x14ac:dyDescent="0.35">
      <c r="A1356" t="s">
        <v>66</v>
      </c>
      <c r="B1356" t="s">
        <v>53</v>
      </c>
      <c r="C1356" t="s">
        <v>46</v>
      </c>
      <c r="D1356">
        <v>0</v>
      </c>
      <c r="E1356" t="s">
        <v>9</v>
      </c>
      <c r="F1356" t="s">
        <v>45</v>
      </c>
    </row>
    <row r="1357" spans="1:6" hidden="1" x14ac:dyDescent="0.35">
      <c r="A1357" t="s">
        <v>67</v>
      </c>
      <c r="B1357" t="s">
        <v>53</v>
      </c>
      <c r="C1357" t="s">
        <v>46</v>
      </c>
      <c r="D1357">
        <v>0</v>
      </c>
      <c r="E1357" t="s">
        <v>9</v>
      </c>
      <c r="F1357" t="s">
        <v>45</v>
      </c>
    </row>
    <row r="1358" spans="1:6" hidden="1" x14ac:dyDescent="0.35">
      <c r="A1358" t="s">
        <v>57</v>
      </c>
      <c r="B1358" t="s">
        <v>53</v>
      </c>
      <c r="C1358" t="s">
        <v>24</v>
      </c>
      <c r="D1358">
        <v>0</v>
      </c>
      <c r="E1358" t="s">
        <v>9</v>
      </c>
      <c r="F1358" t="s">
        <v>45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9</v>
      </c>
      <c r="F1359" t="s">
        <v>45</v>
      </c>
    </row>
    <row r="1360" spans="1:6" hidden="1" x14ac:dyDescent="0.35">
      <c r="A1360" t="s">
        <v>58</v>
      </c>
      <c r="B1360" t="s">
        <v>53</v>
      </c>
      <c r="C1360" t="s">
        <v>24</v>
      </c>
      <c r="D1360">
        <v>0</v>
      </c>
      <c r="E1360" t="s">
        <v>9</v>
      </c>
      <c r="F1360" t="s">
        <v>45</v>
      </c>
    </row>
    <row r="1361" spans="1:6" hidden="1" x14ac:dyDescent="0.35">
      <c r="A1361" t="s">
        <v>59</v>
      </c>
      <c r="B1361" t="s">
        <v>53</v>
      </c>
      <c r="C1361" t="s">
        <v>24</v>
      </c>
      <c r="D1361">
        <v>0</v>
      </c>
      <c r="E1361" t="s">
        <v>9</v>
      </c>
      <c r="F1361" t="s">
        <v>45</v>
      </c>
    </row>
    <row r="1362" spans="1:6" hidden="1" x14ac:dyDescent="0.35">
      <c r="A1362" t="s">
        <v>60</v>
      </c>
      <c r="B1362" t="s">
        <v>53</v>
      </c>
      <c r="C1362" t="s">
        <v>24</v>
      </c>
      <c r="D1362">
        <v>0</v>
      </c>
      <c r="E1362" t="s">
        <v>9</v>
      </c>
      <c r="F1362" t="s">
        <v>45</v>
      </c>
    </row>
    <row r="1363" spans="1:6" hidden="1" x14ac:dyDescent="0.35">
      <c r="A1363" t="s">
        <v>61</v>
      </c>
      <c r="B1363" t="s">
        <v>53</v>
      </c>
      <c r="C1363" t="s">
        <v>24</v>
      </c>
      <c r="D1363">
        <v>0</v>
      </c>
      <c r="E1363" t="s">
        <v>9</v>
      </c>
      <c r="F1363" t="s">
        <v>45</v>
      </c>
    </row>
    <row r="1364" spans="1:6" hidden="1" x14ac:dyDescent="0.35">
      <c r="A1364" t="s">
        <v>62</v>
      </c>
      <c r="B1364" t="s">
        <v>53</v>
      </c>
      <c r="C1364" t="s">
        <v>24</v>
      </c>
      <c r="D1364">
        <v>0</v>
      </c>
      <c r="E1364" t="s">
        <v>9</v>
      </c>
      <c r="F1364" t="s">
        <v>45</v>
      </c>
    </row>
    <row r="1365" spans="1:6" hidden="1" x14ac:dyDescent="0.35">
      <c r="A1365" t="s">
        <v>63</v>
      </c>
      <c r="B1365" t="s">
        <v>53</v>
      </c>
      <c r="C1365" t="s">
        <v>24</v>
      </c>
      <c r="D1365">
        <v>0</v>
      </c>
      <c r="E1365" t="s">
        <v>9</v>
      </c>
      <c r="F1365" t="s">
        <v>45</v>
      </c>
    </row>
    <row r="1366" spans="1:6" hidden="1" x14ac:dyDescent="0.35">
      <c r="A1366" t="s">
        <v>64</v>
      </c>
      <c r="B1366" t="s">
        <v>53</v>
      </c>
      <c r="C1366" t="s">
        <v>24</v>
      </c>
      <c r="D1366">
        <v>0</v>
      </c>
      <c r="E1366" t="s">
        <v>9</v>
      </c>
      <c r="F1366" t="s">
        <v>45</v>
      </c>
    </row>
    <row r="1367" spans="1:6" hidden="1" x14ac:dyDescent="0.35">
      <c r="A1367" t="s">
        <v>65</v>
      </c>
      <c r="B1367" t="s">
        <v>53</v>
      </c>
      <c r="C1367" t="s">
        <v>24</v>
      </c>
      <c r="D1367">
        <v>0</v>
      </c>
      <c r="E1367" t="s">
        <v>9</v>
      </c>
      <c r="F1367" t="s">
        <v>45</v>
      </c>
    </row>
    <row r="1368" spans="1:6" hidden="1" x14ac:dyDescent="0.35">
      <c r="A1368" t="s">
        <v>66</v>
      </c>
      <c r="B1368" t="s">
        <v>53</v>
      </c>
      <c r="C1368" t="s">
        <v>24</v>
      </c>
      <c r="D1368">
        <v>0</v>
      </c>
      <c r="E1368" t="s">
        <v>9</v>
      </c>
      <c r="F1368" t="s">
        <v>45</v>
      </c>
    </row>
    <row r="1369" spans="1:6" hidden="1" x14ac:dyDescent="0.35">
      <c r="A1369" t="s">
        <v>67</v>
      </c>
      <c r="B1369" t="s">
        <v>53</v>
      </c>
      <c r="C1369" t="s">
        <v>24</v>
      </c>
      <c r="D1369">
        <v>0</v>
      </c>
      <c r="E1369" t="s">
        <v>9</v>
      </c>
      <c r="F1369" t="s">
        <v>45</v>
      </c>
    </row>
    <row r="1370" spans="1:6" hidden="1" x14ac:dyDescent="0.35">
      <c r="A1370" t="s">
        <v>57</v>
      </c>
      <c r="B1370" t="s">
        <v>53</v>
      </c>
      <c r="C1370" t="s">
        <v>47</v>
      </c>
      <c r="D1370">
        <v>0</v>
      </c>
      <c r="E1370" t="s">
        <v>9</v>
      </c>
      <c r="F1370" t="s">
        <v>45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9</v>
      </c>
      <c r="F1371" t="s">
        <v>45</v>
      </c>
    </row>
    <row r="1372" spans="1:6" hidden="1" x14ac:dyDescent="0.35">
      <c r="A1372" t="s">
        <v>58</v>
      </c>
      <c r="B1372" t="s">
        <v>53</v>
      </c>
      <c r="C1372" t="s">
        <v>47</v>
      </c>
      <c r="D1372">
        <v>0</v>
      </c>
      <c r="E1372" t="s">
        <v>9</v>
      </c>
      <c r="F1372" t="s">
        <v>45</v>
      </c>
    </row>
    <row r="1373" spans="1:6" hidden="1" x14ac:dyDescent="0.35">
      <c r="A1373" t="s">
        <v>59</v>
      </c>
      <c r="B1373" t="s">
        <v>53</v>
      </c>
      <c r="C1373" t="s">
        <v>47</v>
      </c>
      <c r="D1373">
        <v>0</v>
      </c>
      <c r="E1373" t="s">
        <v>9</v>
      </c>
      <c r="F1373" t="s">
        <v>45</v>
      </c>
    </row>
    <row r="1374" spans="1:6" hidden="1" x14ac:dyDescent="0.35">
      <c r="A1374" t="s">
        <v>60</v>
      </c>
      <c r="B1374" t="s">
        <v>53</v>
      </c>
      <c r="C1374" t="s">
        <v>47</v>
      </c>
      <c r="D1374">
        <v>0</v>
      </c>
      <c r="E1374" t="s">
        <v>9</v>
      </c>
      <c r="F1374" t="s">
        <v>45</v>
      </c>
    </row>
    <row r="1375" spans="1:6" hidden="1" x14ac:dyDescent="0.35">
      <c r="A1375" t="s">
        <v>61</v>
      </c>
      <c r="B1375" t="s">
        <v>53</v>
      </c>
      <c r="C1375" t="s">
        <v>47</v>
      </c>
      <c r="D1375">
        <v>0</v>
      </c>
      <c r="E1375" t="s">
        <v>9</v>
      </c>
      <c r="F1375" t="s">
        <v>45</v>
      </c>
    </row>
    <row r="1376" spans="1:6" hidden="1" x14ac:dyDescent="0.35">
      <c r="A1376" t="s">
        <v>62</v>
      </c>
      <c r="B1376" t="s">
        <v>53</v>
      </c>
      <c r="C1376" t="s">
        <v>47</v>
      </c>
      <c r="D1376">
        <v>0</v>
      </c>
      <c r="E1376" t="s">
        <v>9</v>
      </c>
      <c r="F1376" t="s">
        <v>45</v>
      </c>
    </row>
    <row r="1377" spans="1:6" hidden="1" x14ac:dyDescent="0.35">
      <c r="A1377" t="s">
        <v>63</v>
      </c>
      <c r="B1377" t="s">
        <v>53</v>
      </c>
      <c r="C1377" t="s">
        <v>47</v>
      </c>
      <c r="D1377">
        <v>0</v>
      </c>
      <c r="E1377" t="s">
        <v>9</v>
      </c>
      <c r="F1377" t="s">
        <v>45</v>
      </c>
    </row>
    <row r="1378" spans="1:6" hidden="1" x14ac:dyDescent="0.35">
      <c r="A1378" t="s">
        <v>64</v>
      </c>
      <c r="B1378" t="s">
        <v>53</v>
      </c>
      <c r="C1378" t="s">
        <v>47</v>
      </c>
      <c r="D1378">
        <v>0</v>
      </c>
      <c r="E1378" t="s">
        <v>9</v>
      </c>
      <c r="F1378" t="s">
        <v>45</v>
      </c>
    </row>
    <row r="1379" spans="1:6" hidden="1" x14ac:dyDescent="0.35">
      <c r="A1379" t="s">
        <v>65</v>
      </c>
      <c r="B1379" t="s">
        <v>53</v>
      </c>
      <c r="C1379" t="s">
        <v>47</v>
      </c>
      <c r="D1379">
        <v>0</v>
      </c>
      <c r="E1379" t="s">
        <v>9</v>
      </c>
      <c r="F1379" t="s">
        <v>45</v>
      </c>
    </row>
    <row r="1380" spans="1:6" hidden="1" x14ac:dyDescent="0.35">
      <c r="A1380" t="s">
        <v>66</v>
      </c>
      <c r="B1380" t="s">
        <v>53</v>
      </c>
      <c r="C1380" t="s">
        <v>47</v>
      </c>
      <c r="D1380">
        <v>0</v>
      </c>
      <c r="E1380" t="s">
        <v>9</v>
      </c>
      <c r="F1380" t="s">
        <v>45</v>
      </c>
    </row>
    <row r="1381" spans="1:6" hidden="1" x14ac:dyDescent="0.35">
      <c r="A1381" t="s">
        <v>67</v>
      </c>
      <c r="B1381" t="s">
        <v>53</v>
      </c>
      <c r="C1381" t="s">
        <v>47</v>
      </c>
      <c r="D1381">
        <v>0</v>
      </c>
      <c r="E1381" t="s">
        <v>9</v>
      </c>
      <c r="F1381" t="s">
        <v>45</v>
      </c>
    </row>
    <row r="1382" spans="1:6" hidden="1" x14ac:dyDescent="0.35">
      <c r="A1382" t="s">
        <v>57</v>
      </c>
      <c r="B1382" t="s">
        <v>53</v>
      </c>
      <c r="C1382" t="s">
        <v>48</v>
      </c>
      <c r="D1382">
        <v>0</v>
      </c>
      <c r="E1382" t="s">
        <v>9</v>
      </c>
      <c r="F1382" t="s">
        <v>45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9</v>
      </c>
      <c r="F1383" t="s">
        <v>45</v>
      </c>
    </row>
    <row r="1384" spans="1:6" hidden="1" x14ac:dyDescent="0.35">
      <c r="A1384" t="s">
        <v>58</v>
      </c>
      <c r="B1384" t="s">
        <v>53</v>
      </c>
      <c r="C1384" t="s">
        <v>48</v>
      </c>
      <c r="D1384">
        <v>0</v>
      </c>
      <c r="E1384" t="s">
        <v>9</v>
      </c>
      <c r="F1384" t="s">
        <v>45</v>
      </c>
    </row>
    <row r="1385" spans="1:6" hidden="1" x14ac:dyDescent="0.35">
      <c r="A1385" t="s">
        <v>59</v>
      </c>
      <c r="B1385" t="s">
        <v>53</v>
      </c>
      <c r="C1385" t="s">
        <v>48</v>
      </c>
      <c r="D1385">
        <v>0</v>
      </c>
      <c r="E1385" t="s">
        <v>9</v>
      </c>
      <c r="F1385" t="s">
        <v>45</v>
      </c>
    </row>
    <row r="1386" spans="1:6" hidden="1" x14ac:dyDescent="0.35">
      <c r="A1386" t="s">
        <v>60</v>
      </c>
      <c r="B1386" t="s">
        <v>53</v>
      </c>
      <c r="C1386" t="s">
        <v>48</v>
      </c>
      <c r="D1386">
        <v>0</v>
      </c>
      <c r="E1386" t="s">
        <v>9</v>
      </c>
      <c r="F1386" t="s">
        <v>45</v>
      </c>
    </row>
    <row r="1387" spans="1:6" hidden="1" x14ac:dyDescent="0.35">
      <c r="A1387" t="s">
        <v>61</v>
      </c>
      <c r="B1387" t="s">
        <v>53</v>
      </c>
      <c r="C1387" t="s">
        <v>48</v>
      </c>
      <c r="D1387">
        <v>0</v>
      </c>
      <c r="E1387" t="s">
        <v>9</v>
      </c>
      <c r="F1387" t="s">
        <v>45</v>
      </c>
    </row>
    <row r="1388" spans="1:6" hidden="1" x14ac:dyDescent="0.35">
      <c r="A1388" t="s">
        <v>62</v>
      </c>
      <c r="B1388" t="s">
        <v>53</v>
      </c>
      <c r="C1388" t="s">
        <v>48</v>
      </c>
      <c r="D1388">
        <v>0</v>
      </c>
      <c r="E1388" t="s">
        <v>9</v>
      </c>
      <c r="F1388" t="s">
        <v>45</v>
      </c>
    </row>
    <row r="1389" spans="1:6" hidden="1" x14ac:dyDescent="0.35">
      <c r="A1389" t="s">
        <v>63</v>
      </c>
      <c r="B1389" t="s">
        <v>53</v>
      </c>
      <c r="C1389" t="s">
        <v>48</v>
      </c>
      <c r="D1389">
        <v>0</v>
      </c>
      <c r="E1389" t="s">
        <v>9</v>
      </c>
      <c r="F1389" t="s">
        <v>45</v>
      </c>
    </row>
    <row r="1390" spans="1:6" hidden="1" x14ac:dyDescent="0.35">
      <c r="A1390" t="s">
        <v>64</v>
      </c>
      <c r="B1390" t="s">
        <v>53</v>
      </c>
      <c r="C1390" t="s">
        <v>48</v>
      </c>
      <c r="D1390">
        <v>0</v>
      </c>
      <c r="E1390" t="s">
        <v>9</v>
      </c>
      <c r="F1390" t="s">
        <v>45</v>
      </c>
    </row>
    <row r="1391" spans="1:6" hidden="1" x14ac:dyDescent="0.35">
      <c r="A1391" t="s">
        <v>65</v>
      </c>
      <c r="B1391" t="s">
        <v>53</v>
      </c>
      <c r="C1391" t="s">
        <v>48</v>
      </c>
      <c r="D1391">
        <v>0</v>
      </c>
      <c r="E1391" t="s">
        <v>9</v>
      </c>
      <c r="F1391" t="s">
        <v>45</v>
      </c>
    </row>
    <row r="1392" spans="1:6" hidden="1" x14ac:dyDescent="0.35">
      <c r="A1392" t="s">
        <v>66</v>
      </c>
      <c r="B1392" t="s">
        <v>53</v>
      </c>
      <c r="C1392" t="s">
        <v>48</v>
      </c>
      <c r="D1392">
        <v>0</v>
      </c>
      <c r="E1392" t="s">
        <v>9</v>
      </c>
      <c r="F1392" t="s">
        <v>45</v>
      </c>
    </row>
    <row r="1393" spans="1:6" hidden="1" x14ac:dyDescent="0.35">
      <c r="A1393" t="s">
        <v>67</v>
      </c>
      <c r="B1393" t="s">
        <v>53</v>
      </c>
      <c r="C1393" t="s">
        <v>48</v>
      </c>
      <c r="D1393">
        <v>0</v>
      </c>
      <c r="E1393" t="s">
        <v>9</v>
      </c>
      <c r="F1393" t="s">
        <v>45</v>
      </c>
    </row>
    <row r="1394" spans="1:6" hidden="1" x14ac:dyDescent="0.35">
      <c r="A1394" t="s">
        <v>57</v>
      </c>
      <c r="B1394" t="s">
        <v>53</v>
      </c>
      <c r="C1394" t="s">
        <v>49</v>
      </c>
      <c r="D1394">
        <v>0</v>
      </c>
      <c r="E1394" t="s">
        <v>9</v>
      </c>
      <c r="F1394" t="s">
        <v>45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9</v>
      </c>
      <c r="F1395" t="s">
        <v>45</v>
      </c>
    </row>
    <row r="1396" spans="1:6" hidden="1" x14ac:dyDescent="0.35">
      <c r="A1396" t="s">
        <v>58</v>
      </c>
      <c r="B1396" t="s">
        <v>53</v>
      </c>
      <c r="C1396" t="s">
        <v>49</v>
      </c>
      <c r="D1396">
        <v>0</v>
      </c>
      <c r="E1396" t="s">
        <v>9</v>
      </c>
      <c r="F1396" t="s">
        <v>45</v>
      </c>
    </row>
    <row r="1397" spans="1:6" hidden="1" x14ac:dyDescent="0.35">
      <c r="A1397" t="s">
        <v>59</v>
      </c>
      <c r="B1397" t="s">
        <v>53</v>
      </c>
      <c r="C1397" t="s">
        <v>49</v>
      </c>
      <c r="D1397">
        <v>0</v>
      </c>
      <c r="E1397" t="s">
        <v>9</v>
      </c>
      <c r="F1397" t="s">
        <v>45</v>
      </c>
    </row>
    <row r="1398" spans="1:6" hidden="1" x14ac:dyDescent="0.35">
      <c r="A1398" t="s">
        <v>60</v>
      </c>
      <c r="B1398" t="s">
        <v>53</v>
      </c>
      <c r="C1398" t="s">
        <v>49</v>
      </c>
      <c r="D1398">
        <v>0</v>
      </c>
      <c r="E1398" t="s">
        <v>9</v>
      </c>
      <c r="F1398" t="s">
        <v>45</v>
      </c>
    </row>
    <row r="1399" spans="1:6" hidden="1" x14ac:dyDescent="0.35">
      <c r="A1399" t="s">
        <v>61</v>
      </c>
      <c r="B1399" t="s">
        <v>53</v>
      </c>
      <c r="C1399" t="s">
        <v>49</v>
      </c>
      <c r="D1399">
        <v>0</v>
      </c>
      <c r="E1399" t="s">
        <v>9</v>
      </c>
      <c r="F1399" t="s">
        <v>45</v>
      </c>
    </row>
    <row r="1400" spans="1:6" hidden="1" x14ac:dyDescent="0.35">
      <c r="A1400" t="s">
        <v>62</v>
      </c>
      <c r="B1400" t="s">
        <v>53</v>
      </c>
      <c r="C1400" t="s">
        <v>49</v>
      </c>
      <c r="D1400">
        <v>0</v>
      </c>
      <c r="E1400" t="s">
        <v>9</v>
      </c>
      <c r="F1400" t="s">
        <v>45</v>
      </c>
    </row>
    <row r="1401" spans="1:6" hidden="1" x14ac:dyDescent="0.35">
      <c r="A1401" t="s">
        <v>63</v>
      </c>
      <c r="B1401" t="s">
        <v>53</v>
      </c>
      <c r="C1401" t="s">
        <v>49</v>
      </c>
      <c r="D1401">
        <v>0</v>
      </c>
      <c r="E1401" t="s">
        <v>9</v>
      </c>
      <c r="F1401" t="s">
        <v>45</v>
      </c>
    </row>
    <row r="1402" spans="1:6" hidden="1" x14ac:dyDescent="0.35">
      <c r="A1402" t="s">
        <v>64</v>
      </c>
      <c r="B1402" t="s">
        <v>53</v>
      </c>
      <c r="C1402" t="s">
        <v>49</v>
      </c>
      <c r="D1402">
        <v>0</v>
      </c>
      <c r="E1402" t="s">
        <v>9</v>
      </c>
      <c r="F1402" t="s">
        <v>45</v>
      </c>
    </row>
    <row r="1403" spans="1:6" hidden="1" x14ac:dyDescent="0.35">
      <c r="A1403" t="s">
        <v>65</v>
      </c>
      <c r="B1403" t="s">
        <v>53</v>
      </c>
      <c r="C1403" t="s">
        <v>49</v>
      </c>
      <c r="D1403">
        <v>0</v>
      </c>
      <c r="E1403" t="s">
        <v>9</v>
      </c>
      <c r="F1403" t="s">
        <v>45</v>
      </c>
    </row>
    <row r="1404" spans="1:6" hidden="1" x14ac:dyDescent="0.35">
      <c r="A1404" t="s">
        <v>66</v>
      </c>
      <c r="B1404" t="s">
        <v>53</v>
      </c>
      <c r="C1404" t="s">
        <v>49</v>
      </c>
      <c r="D1404">
        <v>0</v>
      </c>
      <c r="E1404" t="s">
        <v>9</v>
      </c>
      <c r="F1404" t="s">
        <v>45</v>
      </c>
    </row>
    <row r="1405" spans="1:6" hidden="1" x14ac:dyDescent="0.35">
      <c r="A1405" t="s">
        <v>67</v>
      </c>
      <c r="B1405" t="s">
        <v>53</v>
      </c>
      <c r="C1405" t="s">
        <v>49</v>
      </c>
      <c r="D1405">
        <v>0</v>
      </c>
      <c r="E1405" t="s">
        <v>9</v>
      </c>
      <c r="F1405" t="s">
        <v>45</v>
      </c>
    </row>
    <row r="1406" spans="1:6" hidden="1" x14ac:dyDescent="0.35">
      <c r="A1406" t="s">
        <v>57</v>
      </c>
      <c r="B1406" t="s">
        <v>53</v>
      </c>
      <c r="C1406" t="s">
        <v>50</v>
      </c>
      <c r="D1406">
        <v>0</v>
      </c>
      <c r="E1406" t="s">
        <v>9</v>
      </c>
      <c r="F1406" t="s">
        <v>45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9</v>
      </c>
      <c r="F1407" t="s">
        <v>45</v>
      </c>
    </row>
    <row r="1408" spans="1:6" hidden="1" x14ac:dyDescent="0.35">
      <c r="A1408" t="s">
        <v>58</v>
      </c>
      <c r="B1408" t="s">
        <v>53</v>
      </c>
      <c r="C1408" t="s">
        <v>50</v>
      </c>
      <c r="D1408">
        <v>0</v>
      </c>
      <c r="E1408" t="s">
        <v>9</v>
      </c>
      <c r="F1408" t="s">
        <v>45</v>
      </c>
    </row>
    <row r="1409" spans="1:6" hidden="1" x14ac:dyDescent="0.35">
      <c r="A1409" t="s">
        <v>59</v>
      </c>
      <c r="B1409" t="s">
        <v>53</v>
      </c>
      <c r="C1409" t="s">
        <v>50</v>
      </c>
      <c r="D1409">
        <v>0</v>
      </c>
      <c r="E1409" t="s">
        <v>9</v>
      </c>
      <c r="F1409" t="s">
        <v>45</v>
      </c>
    </row>
    <row r="1410" spans="1:6" hidden="1" x14ac:dyDescent="0.35">
      <c r="A1410" t="s">
        <v>60</v>
      </c>
      <c r="B1410" t="s">
        <v>53</v>
      </c>
      <c r="C1410" t="s">
        <v>50</v>
      </c>
      <c r="D1410">
        <v>0</v>
      </c>
      <c r="E1410" t="s">
        <v>9</v>
      </c>
      <c r="F1410" t="s">
        <v>45</v>
      </c>
    </row>
    <row r="1411" spans="1:6" hidden="1" x14ac:dyDescent="0.35">
      <c r="A1411" t="s">
        <v>61</v>
      </c>
      <c r="B1411" t="s">
        <v>53</v>
      </c>
      <c r="C1411" t="s">
        <v>50</v>
      </c>
      <c r="D1411">
        <v>0</v>
      </c>
      <c r="E1411" t="s">
        <v>9</v>
      </c>
      <c r="F1411" t="s">
        <v>45</v>
      </c>
    </row>
    <row r="1412" spans="1:6" hidden="1" x14ac:dyDescent="0.35">
      <c r="A1412" t="s">
        <v>62</v>
      </c>
      <c r="B1412" t="s">
        <v>53</v>
      </c>
      <c r="C1412" t="s">
        <v>50</v>
      </c>
      <c r="D1412">
        <v>0</v>
      </c>
      <c r="E1412" t="s">
        <v>9</v>
      </c>
      <c r="F1412" t="s">
        <v>45</v>
      </c>
    </row>
    <row r="1413" spans="1:6" hidden="1" x14ac:dyDescent="0.35">
      <c r="A1413" t="s">
        <v>63</v>
      </c>
      <c r="B1413" t="s">
        <v>53</v>
      </c>
      <c r="C1413" t="s">
        <v>50</v>
      </c>
      <c r="D1413">
        <v>0</v>
      </c>
      <c r="E1413" t="s">
        <v>9</v>
      </c>
      <c r="F1413" t="s">
        <v>45</v>
      </c>
    </row>
    <row r="1414" spans="1:6" hidden="1" x14ac:dyDescent="0.35">
      <c r="A1414" t="s">
        <v>64</v>
      </c>
      <c r="B1414" t="s">
        <v>53</v>
      </c>
      <c r="C1414" t="s">
        <v>50</v>
      </c>
      <c r="D1414">
        <v>0</v>
      </c>
      <c r="E1414" t="s">
        <v>9</v>
      </c>
      <c r="F1414" t="s">
        <v>45</v>
      </c>
    </row>
    <row r="1415" spans="1:6" hidden="1" x14ac:dyDescent="0.35">
      <c r="A1415" t="s">
        <v>65</v>
      </c>
      <c r="B1415" t="s">
        <v>53</v>
      </c>
      <c r="C1415" t="s">
        <v>50</v>
      </c>
      <c r="D1415">
        <v>0</v>
      </c>
      <c r="E1415" t="s">
        <v>9</v>
      </c>
      <c r="F1415" t="s">
        <v>45</v>
      </c>
    </row>
    <row r="1416" spans="1:6" hidden="1" x14ac:dyDescent="0.35">
      <c r="A1416" t="s">
        <v>66</v>
      </c>
      <c r="B1416" t="s">
        <v>53</v>
      </c>
      <c r="C1416" t="s">
        <v>50</v>
      </c>
      <c r="D1416">
        <v>0</v>
      </c>
      <c r="E1416" t="s">
        <v>9</v>
      </c>
      <c r="F1416" t="s">
        <v>45</v>
      </c>
    </row>
    <row r="1417" spans="1:6" hidden="1" x14ac:dyDescent="0.35">
      <c r="A1417" t="s">
        <v>67</v>
      </c>
      <c r="B1417" t="s">
        <v>53</v>
      </c>
      <c r="C1417" t="s">
        <v>50</v>
      </c>
      <c r="D1417">
        <v>0</v>
      </c>
      <c r="E1417" t="s">
        <v>9</v>
      </c>
      <c r="F1417" t="s">
        <v>45</v>
      </c>
    </row>
    <row r="1418" spans="1:6" hidden="1" x14ac:dyDescent="0.35">
      <c r="A1418" t="s">
        <v>57</v>
      </c>
      <c r="B1418" t="s">
        <v>53</v>
      </c>
      <c r="C1418" t="s">
        <v>51</v>
      </c>
      <c r="D1418">
        <v>0</v>
      </c>
      <c r="E1418" t="s">
        <v>9</v>
      </c>
      <c r="F1418" t="s">
        <v>45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9</v>
      </c>
      <c r="F1419" t="s">
        <v>45</v>
      </c>
    </row>
    <row r="1420" spans="1:6" hidden="1" x14ac:dyDescent="0.35">
      <c r="A1420" t="s">
        <v>58</v>
      </c>
      <c r="B1420" t="s">
        <v>53</v>
      </c>
      <c r="C1420" t="s">
        <v>51</v>
      </c>
      <c r="D1420">
        <v>0</v>
      </c>
      <c r="E1420" t="s">
        <v>9</v>
      </c>
      <c r="F1420" t="s">
        <v>45</v>
      </c>
    </row>
    <row r="1421" spans="1:6" hidden="1" x14ac:dyDescent="0.35">
      <c r="A1421" t="s">
        <v>59</v>
      </c>
      <c r="B1421" t="s">
        <v>53</v>
      </c>
      <c r="C1421" t="s">
        <v>51</v>
      </c>
      <c r="D1421">
        <v>0</v>
      </c>
      <c r="E1421" t="s">
        <v>9</v>
      </c>
      <c r="F1421" t="s">
        <v>45</v>
      </c>
    </row>
    <row r="1422" spans="1:6" hidden="1" x14ac:dyDescent="0.35">
      <c r="A1422" t="s">
        <v>60</v>
      </c>
      <c r="B1422" t="s">
        <v>53</v>
      </c>
      <c r="C1422" t="s">
        <v>51</v>
      </c>
      <c r="D1422">
        <v>0</v>
      </c>
      <c r="E1422" t="s">
        <v>9</v>
      </c>
      <c r="F1422" t="s">
        <v>45</v>
      </c>
    </row>
    <row r="1423" spans="1:6" hidden="1" x14ac:dyDescent="0.35">
      <c r="A1423" t="s">
        <v>61</v>
      </c>
      <c r="B1423" t="s">
        <v>53</v>
      </c>
      <c r="C1423" t="s">
        <v>51</v>
      </c>
      <c r="D1423">
        <v>0</v>
      </c>
      <c r="E1423" t="s">
        <v>9</v>
      </c>
      <c r="F1423" t="s">
        <v>45</v>
      </c>
    </row>
    <row r="1424" spans="1:6" hidden="1" x14ac:dyDescent="0.35">
      <c r="A1424" t="s">
        <v>62</v>
      </c>
      <c r="B1424" t="s">
        <v>53</v>
      </c>
      <c r="C1424" t="s">
        <v>51</v>
      </c>
      <c r="D1424">
        <v>0</v>
      </c>
      <c r="E1424" t="s">
        <v>9</v>
      </c>
      <c r="F1424" t="s">
        <v>45</v>
      </c>
    </row>
    <row r="1425" spans="1:6" hidden="1" x14ac:dyDescent="0.35">
      <c r="A1425" t="s">
        <v>63</v>
      </c>
      <c r="B1425" t="s">
        <v>53</v>
      </c>
      <c r="C1425" t="s">
        <v>51</v>
      </c>
      <c r="D1425">
        <v>0</v>
      </c>
      <c r="E1425" t="s">
        <v>9</v>
      </c>
      <c r="F1425" t="s">
        <v>45</v>
      </c>
    </row>
    <row r="1426" spans="1:6" hidden="1" x14ac:dyDescent="0.35">
      <c r="A1426" t="s">
        <v>64</v>
      </c>
      <c r="B1426" t="s">
        <v>53</v>
      </c>
      <c r="C1426" t="s">
        <v>51</v>
      </c>
      <c r="D1426">
        <v>0</v>
      </c>
      <c r="E1426" t="s">
        <v>9</v>
      </c>
      <c r="F1426" t="s">
        <v>45</v>
      </c>
    </row>
    <row r="1427" spans="1:6" hidden="1" x14ac:dyDescent="0.35">
      <c r="A1427" t="s">
        <v>65</v>
      </c>
      <c r="B1427" t="s">
        <v>53</v>
      </c>
      <c r="C1427" t="s">
        <v>51</v>
      </c>
      <c r="D1427">
        <v>0</v>
      </c>
      <c r="E1427" t="s">
        <v>9</v>
      </c>
      <c r="F1427" t="s">
        <v>45</v>
      </c>
    </row>
    <row r="1428" spans="1:6" hidden="1" x14ac:dyDescent="0.35">
      <c r="A1428" t="s">
        <v>66</v>
      </c>
      <c r="B1428" t="s">
        <v>53</v>
      </c>
      <c r="C1428" t="s">
        <v>51</v>
      </c>
      <c r="D1428">
        <v>0</v>
      </c>
      <c r="E1428" t="s">
        <v>9</v>
      </c>
      <c r="F1428" t="s">
        <v>45</v>
      </c>
    </row>
    <row r="1429" spans="1:6" hidden="1" x14ac:dyDescent="0.35">
      <c r="A1429" t="s">
        <v>67</v>
      </c>
      <c r="B1429" t="s">
        <v>53</v>
      </c>
      <c r="C1429" t="s">
        <v>51</v>
      </c>
      <c r="D1429">
        <v>0</v>
      </c>
      <c r="E1429" t="s">
        <v>9</v>
      </c>
      <c r="F1429" t="s">
        <v>45</v>
      </c>
    </row>
    <row r="1430" spans="1:6" hidden="1" x14ac:dyDescent="0.35">
      <c r="A1430" t="s">
        <v>57</v>
      </c>
      <c r="B1430" t="s">
        <v>53</v>
      </c>
      <c r="C1430" t="s">
        <v>30</v>
      </c>
      <c r="D1430">
        <v>0</v>
      </c>
      <c r="E1430" t="s">
        <v>9</v>
      </c>
      <c r="F1430" t="s">
        <v>45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9</v>
      </c>
      <c r="F1431" t="s">
        <v>45</v>
      </c>
    </row>
    <row r="1432" spans="1:6" hidden="1" x14ac:dyDescent="0.35">
      <c r="A1432" t="s">
        <v>58</v>
      </c>
      <c r="B1432" t="s">
        <v>53</v>
      </c>
      <c r="C1432" t="s">
        <v>30</v>
      </c>
      <c r="D1432">
        <v>0</v>
      </c>
      <c r="E1432" t="s">
        <v>9</v>
      </c>
      <c r="F1432" t="s">
        <v>45</v>
      </c>
    </row>
    <row r="1433" spans="1:6" hidden="1" x14ac:dyDescent="0.35">
      <c r="A1433" t="s">
        <v>59</v>
      </c>
      <c r="B1433" t="s">
        <v>53</v>
      </c>
      <c r="C1433" t="s">
        <v>30</v>
      </c>
      <c r="D1433">
        <v>0</v>
      </c>
      <c r="E1433" t="s">
        <v>9</v>
      </c>
      <c r="F1433" t="s">
        <v>45</v>
      </c>
    </row>
    <row r="1434" spans="1:6" hidden="1" x14ac:dyDescent="0.35">
      <c r="A1434" t="s">
        <v>60</v>
      </c>
      <c r="B1434" t="s">
        <v>53</v>
      </c>
      <c r="C1434" t="s">
        <v>30</v>
      </c>
      <c r="D1434">
        <v>0</v>
      </c>
      <c r="E1434" t="s">
        <v>9</v>
      </c>
      <c r="F1434" t="s">
        <v>45</v>
      </c>
    </row>
    <row r="1435" spans="1:6" hidden="1" x14ac:dyDescent="0.35">
      <c r="A1435" t="s">
        <v>61</v>
      </c>
      <c r="B1435" t="s">
        <v>53</v>
      </c>
      <c r="C1435" t="s">
        <v>30</v>
      </c>
      <c r="D1435">
        <v>0</v>
      </c>
      <c r="E1435" t="s">
        <v>9</v>
      </c>
      <c r="F1435" t="s">
        <v>45</v>
      </c>
    </row>
    <row r="1436" spans="1:6" hidden="1" x14ac:dyDescent="0.35">
      <c r="A1436" t="s">
        <v>62</v>
      </c>
      <c r="B1436" t="s">
        <v>53</v>
      </c>
      <c r="C1436" t="s">
        <v>30</v>
      </c>
      <c r="D1436">
        <v>0</v>
      </c>
      <c r="E1436" t="s">
        <v>9</v>
      </c>
      <c r="F1436" t="s">
        <v>45</v>
      </c>
    </row>
    <row r="1437" spans="1:6" hidden="1" x14ac:dyDescent="0.35">
      <c r="A1437" t="s">
        <v>63</v>
      </c>
      <c r="B1437" t="s">
        <v>53</v>
      </c>
      <c r="C1437" t="s">
        <v>30</v>
      </c>
      <c r="D1437">
        <v>0</v>
      </c>
      <c r="E1437" t="s">
        <v>9</v>
      </c>
      <c r="F1437" t="s">
        <v>45</v>
      </c>
    </row>
    <row r="1438" spans="1:6" hidden="1" x14ac:dyDescent="0.35">
      <c r="A1438" t="s">
        <v>64</v>
      </c>
      <c r="B1438" t="s">
        <v>53</v>
      </c>
      <c r="C1438" t="s">
        <v>30</v>
      </c>
      <c r="D1438">
        <v>0</v>
      </c>
      <c r="E1438" t="s">
        <v>9</v>
      </c>
      <c r="F1438" t="s">
        <v>45</v>
      </c>
    </row>
    <row r="1439" spans="1:6" hidden="1" x14ac:dyDescent="0.35">
      <c r="A1439" t="s">
        <v>65</v>
      </c>
      <c r="B1439" t="s">
        <v>53</v>
      </c>
      <c r="C1439" t="s">
        <v>30</v>
      </c>
      <c r="D1439">
        <v>0</v>
      </c>
      <c r="E1439" t="s">
        <v>9</v>
      </c>
      <c r="F1439" t="s">
        <v>45</v>
      </c>
    </row>
    <row r="1440" spans="1:6" hidden="1" x14ac:dyDescent="0.35">
      <c r="A1440" t="s">
        <v>66</v>
      </c>
      <c r="B1440" t="s">
        <v>53</v>
      </c>
      <c r="C1440" t="s">
        <v>30</v>
      </c>
      <c r="D1440">
        <v>0</v>
      </c>
      <c r="E1440" t="s">
        <v>9</v>
      </c>
      <c r="F1440" t="s">
        <v>45</v>
      </c>
    </row>
    <row r="1441" spans="1:6" hidden="1" x14ac:dyDescent="0.35">
      <c r="A1441" t="s">
        <v>67</v>
      </c>
      <c r="B1441" t="s">
        <v>53</v>
      </c>
      <c r="C1441" t="s">
        <v>30</v>
      </c>
      <c r="D1441">
        <v>0</v>
      </c>
      <c r="E1441" t="s">
        <v>9</v>
      </c>
      <c r="F1441" t="s">
        <v>45</v>
      </c>
    </row>
    <row r="1442" spans="1:6" hidden="1" x14ac:dyDescent="0.35">
      <c r="A1442" t="s">
        <v>57</v>
      </c>
      <c r="B1442" t="s">
        <v>53</v>
      </c>
      <c r="C1442" t="s">
        <v>52</v>
      </c>
      <c r="D1442">
        <v>0</v>
      </c>
      <c r="E1442" t="s">
        <v>9</v>
      </c>
      <c r="F1442" t="s">
        <v>45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9</v>
      </c>
      <c r="F1443" t="s">
        <v>45</v>
      </c>
    </row>
    <row r="1444" spans="1:6" hidden="1" x14ac:dyDescent="0.35">
      <c r="A1444" t="s">
        <v>58</v>
      </c>
      <c r="B1444" t="s">
        <v>53</v>
      </c>
      <c r="C1444" t="s">
        <v>52</v>
      </c>
      <c r="D1444">
        <v>0</v>
      </c>
      <c r="E1444" t="s">
        <v>9</v>
      </c>
      <c r="F1444" t="s">
        <v>45</v>
      </c>
    </row>
    <row r="1445" spans="1:6" hidden="1" x14ac:dyDescent="0.35">
      <c r="A1445" t="s">
        <v>59</v>
      </c>
      <c r="B1445" t="s">
        <v>53</v>
      </c>
      <c r="C1445" t="s">
        <v>52</v>
      </c>
      <c r="D1445">
        <v>0</v>
      </c>
      <c r="E1445" t="s">
        <v>9</v>
      </c>
      <c r="F1445" t="s">
        <v>45</v>
      </c>
    </row>
    <row r="1446" spans="1:6" hidden="1" x14ac:dyDescent="0.35">
      <c r="A1446" t="s">
        <v>60</v>
      </c>
      <c r="B1446" t="s">
        <v>53</v>
      </c>
      <c r="C1446" t="s">
        <v>52</v>
      </c>
      <c r="D1446">
        <v>0</v>
      </c>
      <c r="E1446" t="s">
        <v>9</v>
      </c>
      <c r="F1446" t="s">
        <v>45</v>
      </c>
    </row>
    <row r="1447" spans="1:6" hidden="1" x14ac:dyDescent="0.35">
      <c r="A1447" t="s">
        <v>61</v>
      </c>
      <c r="B1447" t="s">
        <v>53</v>
      </c>
      <c r="C1447" t="s">
        <v>52</v>
      </c>
      <c r="D1447">
        <v>0</v>
      </c>
      <c r="E1447" t="s">
        <v>9</v>
      </c>
      <c r="F1447" t="s">
        <v>45</v>
      </c>
    </row>
    <row r="1448" spans="1:6" hidden="1" x14ac:dyDescent="0.35">
      <c r="A1448" t="s">
        <v>62</v>
      </c>
      <c r="B1448" t="s">
        <v>53</v>
      </c>
      <c r="C1448" t="s">
        <v>52</v>
      </c>
      <c r="D1448">
        <v>0</v>
      </c>
      <c r="E1448" t="s">
        <v>9</v>
      </c>
      <c r="F1448" t="s">
        <v>45</v>
      </c>
    </row>
    <row r="1449" spans="1:6" hidden="1" x14ac:dyDescent="0.35">
      <c r="A1449" t="s">
        <v>63</v>
      </c>
      <c r="B1449" t="s">
        <v>53</v>
      </c>
      <c r="C1449" t="s">
        <v>52</v>
      </c>
      <c r="D1449">
        <v>0</v>
      </c>
      <c r="E1449" t="s">
        <v>9</v>
      </c>
      <c r="F1449" t="s">
        <v>45</v>
      </c>
    </row>
    <row r="1450" spans="1:6" hidden="1" x14ac:dyDescent="0.35">
      <c r="A1450" t="s">
        <v>64</v>
      </c>
      <c r="B1450" t="s">
        <v>53</v>
      </c>
      <c r="C1450" t="s">
        <v>52</v>
      </c>
      <c r="D1450">
        <v>0</v>
      </c>
      <c r="E1450" t="s">
        <v>9</v>
      </c>
      <c r="F1450" t="s">
        <v>45</v>
      </c>
    </row>
    <row r="1451" spans="1:6" hidden="1" x14ac:dyDescent="0.35">
      <c r="A1451" t="s">
        <v>65</v>
      </c>
      <c r="B1451" t="s">
        <v>53</v>
      </c>
      <c r="C1451" t="s">
        <v>52</v>
      </c>
      <c r="D1451">
        <v>0</v>
      </c>
      <c r="E1451" t="s">
        <v>9</v>
      </c>
      <c r="F1451" t="s">
        <v>45</v>
      </c>
    </row>
    <row r="1452" spans="1:6" hidden="1" x14ac:dyDescent="0.35">
      <c r="A1452" t="s">
        <v>66</v>
      </c>
      <c r="B1452" t="s">
        <v>53</v>
      </c>
      <c r="C1452" t="s">
        <v>52</v>
      </c>
      <c r="D1452">
        <v>0</v>
      </c>
      <c r="E1452" t="s">
        <v>9</v>
      </c>
      <c r="F1452" t="s">
        <v>45</v>
      </c>
    </row>
    <row r="1453" spans="1:6" hidden="1" x14ac:dyDescent="0.35">
      <c r="A1453" t="s">
        <v>67</v>
      </c>
      <c r="B1453" t="s">
        <v>53</v>
      </c>
      <c r="C1453" t="s">
        <v>52</v>
      </c>
      <c r="D1453">
        <v>0</v>
      </c>
      <c r="E1453" t="s">
        <v>9</v>
      </c>
      <c r="F1453" t="s">
        <v>45</v>
      </c>
    </row>
    <row r="1454" spans="1:6" hidden="1" x14ac:dyDescent="0.35">
      <c r="A1454" t="s">
        <v>57</v>
      </c>
      <c r="B1454" t="s">
        <v>54</v>
      </c>
      <c r="C1454" t="s">
        <v>44</v>
      </c>
      <c r="D1454">
        <v>361982.8</v>
      </c>
      <c r="E1454" t="s">
        <v>9</v>
      </c>
      <c r="F1454" t="s">
        <v>45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454249.66</v>
      </c>
      <c r="E1455" t="s">
        <v>9</v>
      </c>
      <c r="F1455" t="s">
        <v>45</v>
      </c>
    </row>
    <row r="1456" spans="1:6" hidden="1" x14ac:dyDescent="0.35">
      <c r="A1456" t="s">
        <v>58</v>
      </c>
      <c r="B1456" t="s">
        <v>54</v>
      </c>
      <c r="C1456" t="s">
        <v>44</v>
      </c>
      <c r="D1456">
        <v>409785.02</v>
      </c>
      <c r="E1456" t="s">
        <v>9</v>
      </c>
      <c r="F1456" t="s">
        <v>45</v>
      </c>
    </row>
    <row r="1457" spans="1:6" hidden="1" x14ac:dyDescent="0.35">
      <c r="A1457" t="s">
        <v>59</v>
      </c>
      <c r="B1457" t="s">
        <v>54</v>
      </c>
      <c r="C1457" t="s">
        <v>44</v>
      </c>
      <c r="D1457">
        <v>317662.32</v>
      </c>
      <c r="E1457" t="s">
        <v>9</v>
      </c>
      <c r="F1457" t="s">
        <v>45</v>
      </c>
    </row>
    <row r="1458" spans="1:6" hidden="1" x14ac:dyDescent="0.35">
      <c r="A1458" t="s">
        <v>60</v>
      </c>
      <c r="B1458" t="s">
        <v>54</v>
      </c>
      <c r="C1458" t="s">
        <v>44</v>
      </c>
      <c r="D1458">
        <v>480060.02</v>
      </c>
      <c r="E1458" t="s">
        <v>9</v>
      </c>
      <c r="F1458" t="s">
        <v>45</v>
      </c>
    </row>
    <row r="1459" spans="1:6" hidden="1" x14ac:dyDescent="0.35">
      <c r="A1459" t="s">
        <v>61</v>
      </c>
      <c r="B1459" t="s">
        <v>54</v>
      </c>
      <c r="C1459" t="s">
        <v>44</v>
      </c>
      <c r="D1459">
        <v>277623.05</v>
      </c>
      <c r="E1459" t="s">
        <v>9</v>
      </c>
      <c r="F1459" t="s">
        <v>45</v>
      </c>
    </row>
    <row r="1460" spans="1:6" hidden="1" x14ac:dyDescent="0.35">
      <c r="A1460" t="s">
        <v>62</v>
      </c>
      <c r="B1460" t="s">
        <v>54</v>
      </c>
      <c r="C1460" t="s">
        <v>44</v>
      </c>
      <c r="D1460">
        <v>447596.48</v>
      </c>
      <c r="E1460" t="s">
        <v>9</v>
      </c>
      <c r="F1460" t="s">
        <v>45</v>
      </c>
    </row>
    <row r="1461" spans="1:6" hidden="1" x14ac:dyDescent="0.35">
      <c r="A1461" t="s">
        <v>63</v>
      </c>
      <c r="B1461" t="s">
        <v>54</v>
      </c>
      <c r="C1461" t="s">
        <v>44</v>
      </c>
      <c r="D1461">
        <v>1082461.57</v>
      </c>
      <c r="E1461" t="s">
        <v>9</v>
      </c>
      <c r="F1461" t="s">
        <v>45</v>
      </c>
    </row>
    <row r="1462" spans="1:6" hidden="1" x14ac:dyDescent="0.35">
      <c r="A1462" t="s">
        <v>64</v>
      </c>
      <c r="B1462" t="s">
        <v>54</v>
      </c>
      <c r="C1462" t="s">
        <v>44</v>
      </c>
      <c r="D1462">
        <v>920923.88</v>
      </c>
      <c r="E1462" t="s">
        <v>9</v>
      </c>
      <c r="F1462" t="s">
        <v>45</v>
      </c>
    </row>
    <row r="1463" spans="1:6" hidden="1" x14ac:dyDescent="0.35">
      <c r="A1463" t="s">
        <v>65</v>
      </c>
      <c r="B1463" t="s">
        <v>54</v>
      </c>
      <c r="C1463" t="s">
        <v>44</v>
      </c>
      <c r="D1463">
        <v>1245870.32</v>
      </c>
      <c r="E1463" t="s">
        <v>9</v>
      </c>
      <c r="F1463" t="s">
        <v>45</v>
      </c>
    </row>
    <row r="1464" spans="1:6" hidden="1" x14ac:dyDescent="0.35">
      <c r="A1464" t="s">
        <v>66</v>
      </c>
      <c r="B1464" t="s">
        <v>54</v>
      </c>
      <c r="C1464" t="s">
        <v>44</v>
      </c>
      <c r="D1464">
        <v>691808.77</v>
      </c>
      <c r="E1464" t="s">
        <v>9</v>
      </c>
      <c r="F1464" t="s">
        <v>45</v>
      </c>
    </row>
    <row r="1465" spans="1:6" hidden="1" x14ac:dyDescent="0.35">
      <c r="A1465" t="s">
        <v>67</v>
      </c>
      <c r="B1465" t="s">
        <v>54</v>
      </c>
      <c r="C1465" t="s">
        <v>44</v>
      </c>
      <c r="D1465">
        <v>874871.51</v>
      </c>
      <c r="E1465" t="s">
        <v>9</v>
      </c>
      <c r="F1465" t="s">
        <v>45</v>
      </c>
    </row>
    <row r="1466" spans="1:6" hidden="1" x14ac:dyDescent="0.35">
      <c r="A1466" t="s">
        <v>57</v>
      </c>
      <c r="B1466" t="s">
        <v>54</v>
      </c>
      <c r="C1466" t="s">
        <v>22</v>
      </c>
      <c r="D1466">
        <v>0</v>
      </c>
      <c r="E1466" t="s">
        <v>9</v>
      </c>
      <c r="F1466" t="s">
        <v>45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9</v>
      </c>
      <c r="F1467" t="s">
        <v>45</v>
      </c>
    </row>
    <row r="1468" spans="1:6" hidden="1" x14ac:dyDescent="0.35">
      <c r="A1468" t="s">
        <v>58</v>
      </c>
      <c r="B1468" t="s">
        <v>54</v>
      </c>
      <c r="C1468" t="s">
        <v>22</v>
      </c>
      <c r="D1468">
        <v>0</v>
      </c>
      <c r="E1468" t="s">
        <v>9</v>
      </c>
      <c r="F1468" t="s">
        <v>45</v>
      </c>
    </row>
    <row r="1469" spans="1:6" hidden="1" x14ac:dyDescent="0.35">
      <c r="A1469" t="s">
        <v>59</v>
      </c>
      <c r="B1469" t="s">
        <v>54</v>
      </c>
      <c r="C1469" t="s">
        <v>22</v>
      </c>
      <c r="D1469">
        <v>0</v>
      </c>
      <c r="E1469" t="s">
        <v>9</v>
      </c>
      <c r="F1469" t="s">
        <v>45</v>
      </c>
    </row>
    <row r="1470" spans="1:6" hidden="1" x14ac:dyDescent="0.35">
      <c r="A1470" t="s">
        <v>60</v>
      </c>
      <c r="B1470" t="s">
        <v>54</v>
      </c>
      <c r="C1470" t="s">
        <v>22</v>
      </c>
      <c r="D1470">
        <v>0</v>
      </c>
      <c r="E1470" t="s">
        <v>9</v>
      </c>
      <c r="F1470" t="s">
        <v>45</v>
      </c>
    </row>
    <row r="1471" spans="1:6" hidden="1" x14ac:dyDescent="0.35">
      <c r="A1471" t="s">
        <v>61</v>
      </c>
      <c r="B1471" t="s">
        <v>54</v>
      </c>
      <c r="C1471" t="s">
        <v>22</v>
      </c>
      <c r="D1471">
        <v>0</v>
      </c>
      <c r="E1471" t="s">
        <v>9</v>
      </c>
      <c r="F1471" t="s">
        <v>45</v>
      </c>
    </row>
    <row r="1472" spans="1:6" hidden="1" x14ac:dyDescent="0.35">
      <c r="A1472" t="s">
        <v>62</v>
      </c>
      <c r="B1472" t="s">
        <v>54</v>
      </c>
      <c r="C1472" t="s">
        <v>22</v>
      </c>
      <c r="D1472">
        <v>0</v>
      </c>
      <c r="E1472" t="s">
        <v>9</v>
      </c>
      <c r="F1472" t="s">
        <v>45</v>
      </c>
    </row>
    <row r="1473" spans="1:6" hidden="1" x14ac:dyDescent="0.35">
      <c r="A1473" t="s">
        <v>63</v>
      </c>
      <c r="B1473" t="s">
        <v>54</v>
      </c>
      <c r="C1473" t="s">
        <v>22</v>
      </c>
      <c r="D1473">
        <v>0</v>
      </c>
      <c r="E1473" t="s">
        <v>9</v>
      </c>
      <c r="F1473" t="s">
        <v>45</v>
      </c>
    </row>
    <row r="1474" spans="1:6" hidden="1" x14ac:dyDescent="0.35">
      <c r="A1474" t="s">
        <v>64</v>
      </c>
      <c r="B1474" t="s">
        <v>54</v>
      </c>
      <c r="C1474" t="s">
        <v>22</v>
      </c>
      <c r="D1474">
        <v>0</v>
      </c>
      <c r="E1474" t="s">
        <v>9</v>
      </c>
      <c r="F1474" t="s">
        <v>45</v>
      </c>
    </row>
    <row r="1475" spans="1:6" hidden="1" x14ac:dyDescent="0.35">
      <c r="A1475" t="s">
        <v>65</v>
      </c>
      <c r="B1475" t="s">
        <v>54</v>
      </c>
      <c r="C1475" t="s">
        <v>22</v>
      </c>
      <c r="D1475">
        <v>0</v>
      </c>
      <c r="E1475" t="s">
        <v>9</v>
      </c>
      <c r="F1475" t="s">
        <v>45</v>
      </c>
    </row>
    <row r="1476" spans="1:6" hidden="1" x14ac:dyDescent="0.35">
      <c r="A1476" t="s">
        <v>66</v>
      </c>
      <c r="B1476" t="s">
        <v>54</v>
      </c>
      <c r="C1476" t="s">
        <v>22</v>
      </c>
      <c r="D1476">
        <v>0</v>
      </c>
      <c r="E1476" t="s">
        <v>9</v>
      </c>
      <c r="F1476" t="s">
        <v>45</v>
      </c>
    </row>
    <row r="1477" spans="1:6" hidden="1" x14ac:dyDescent="0.35">
      <c r="A1477" t="s">
        <v>67</v>
      </c>
      <c r="B1477" t="s">
        <v>54</v>
      </c>
      <c r="C1477" t="s">
        <v>22</v>
      </c>
      <c r="D1477">
        <v>0</v>
      </c>
      <c r="E1477" t="s">
        <v>9</v>
      </c>
      <c r="F1477" t="s">
        <v>45</v>
      </c>
    </row>
    <row r="1478" spans="1:6" hidden="1" x14ac:dyDescent="0.35">
      <c r="A1478" t="s">
        <v>57</v>
      </c>
      <c r="B1478" t="s">
        <v>54</v>
      </c>
      <c r="C1478" t="s">
        <v>46</v>
      </c>
      <c r="D1478">
        <v>1250226.9099999999</v>
      </c>
      <c r="E1478" t="s">
        <v>9</v>
      </c>
      <c r="F1478" t="s">
        <v>45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1080424.47</v>
      </c>
      <c r="E1479" t="s">
        <v>9</v>
      </c>
      <c r="F1479" t="s">
        <v>45</v>
      </c>
    </row>
    <row r="1480" spans="1:6" hidden="1" x14ac:dyDescent="0.35">
      <c r="A1480" t="s">
        <v>58</v>
      </c>
      <c r="B1480" t="s">
        <v>54</v>
      </c>
      <c r="C1480" t="s">
        <v>46</v>
      </c>
      <c r="D1480">
        <v>1918241.070000001</v>
      </c>
      <c r="E1480" t="s">
        <v>9</v>
      </c>
      <c r="F1480" t="s">
        <v>45</v>
      </c>
    </row>
    <row r="1481" spans="1:6" hidden="1" x14ac:dyDescent="0.35">
      <c r="A1481" t="s">
        <v>59</v>
      </c>
      <c r="B1481" t="s">
        <v>54</v>
      </c>
      <c r="C1481" t="s">
        <v>46</v>
      </c>
      <c r="D1481">
        <v>1199026.330000001</v>
      </c>
      <c r="E1481" t="s">
        <v>9</v>
      </c>
      <c r="F1481" t="s">
        <v>45</v>
      </c>
    </row>
    <row r="1482" spans="1:6" hidden="1" x14ac:dyDescent="0.35">
      <c r="A1482" t="s">
        <v>60</v>
      </c>
      <c r="B1482" t="s">
        <v>54</v>
      </c>
      <c r="C1482" t="s">
        <v>46</v>
      </c>
      <c r="D1482">
        <v>1490600.6700000011</v>
      </c>
      <c r="E1482" t="s">
        <v>9</v>
      </c>
      <c r="F1482" t="s">
        <v>45</v>
      </c>
    </row>
    <row r="1483" spans="1:6" hidden="1" x14ac:dyDescent="0.35">
      <c r="A1483" t="s">
        <v>61</v>
      </c>
      <c r="B1483" t="s">
        <v>54</v>
      </c>
      <c r="C1483" t="s">
        <v>46</v>
      </c>
      <c r="D1483">
        <v>1346614.540000001</v>
      </c>
      <c r="E1483" t="s">
        <v>9</v>
      </c>
      <c r="F1483" t="s">
        <v>45</v>
      </c>
    </row>
    <row r="1484" spans="1:6" hidden="1" x14ac:dyDescent="0.35">
      <c r="A1484" t="s">
        <v>62</v>
      </c>
      <c r="B1484" t="s">
        <v>54</v>
      </c>
      <c r="C1484" t="s">
        <v>46</v>
      </c>
      <c r="D1484">
        <v>1280487.2300000009</v>
      </c>
      <c r="E1484" t="s">
        <v>9</v>
      </c>
      <c r="F1484" t="s">
        <v>45</v>
      </c>
    </row>
    <row r="1485" spans="1:6" hidden="1" x14ac:dyDescent="0.35">
      <c r="A1485" t="s">
        <v>63</v>
      </c>
      <c r="B1485" t="s">
        <v>54</v>
      </c>
      <c r="C1485" t="s">
        <v>46</v>
      </c>
      <c r="D1485">
        <v>1596064.839999998</v>
      </c>
      <c r="E1485" t="s">
        <v>9</v>
      </c>
      <c r="F1485" t="s">
        <v>45</v>
      </c>
    </row>
    <row r="1486" spans="1:6" hidden="1" x14ac:dyDescent="0.35">
      <c r="A1486" t="s">
        <v>64</v>
      </c>
      <c r="B1486" t="s">
        <v>54</v>
      </c>
      <c r="C1486" t="s">
        <v>46</v>
      </c>
      <c r="D1486">
        <v>1855632.5299999991</v>
      </c>
      <c r="E1486" t="s">
        <v>9</v>
      </c>
      <c r="F1486" t="s">
        <v>45</v>
      </c>
    </row>
    <row r="1487" spans="1:6" hidden="1" x14ac:dyDescent="0.35">
      <c r="A1487" t="s">
        <v>65</v>
      </c>
      <c r="B1487" t="s">
        <v>54</v>
      </c>
      <c r="C1487" t="s">
        <v>46</v>
      </c>
      <c r="D1487">
        <v>1542473.0099999991</v>
      </c>
      <c r="E1487" t="s">
        <v>9</v>
      </c>
      <c r="F1487" t="s">
        <v>45</v>
      </c>
    </row>
    <row r="1488" spans="1:6" hidden="1" x14ac:dyDescent="0.35">
      <c r="A1488" t="s">
        <v>66</v>
      </c>
      <c r="B1488" t="s">
        <v>54</v>
      </c>
      <c r="C1488" t="s">
        <v>46</v>
      </c>
      <c r="D1488">
        <v>1994651.96</v>
      </c>
      <c r="E1488" t="s">
        <v>9</v>
      </c>
      <c r="F1488" t="s">
        <v>45</v>
      </c>
    </row>
    <row r="1489" spans="1:6" hidden="1" x14ac:dyDescent="0.35">
      <c r="A1489" t="s">
        <v>67</v>
      </c>
      <c r="B1489" t="s">
        <v>54</v>
      </c>
      <c r="C1489" t="s">
        <v>46</v>
      </c>
      <c r="D1489">
        <v>1542814.5599999989</v>
      </c>
      <c r="E1489" t="s">
        <v>9</v>
      </c>
      <c r="F1489" t="s">
        <v>45</v>
      </c>
    </row>
    <row r="1490" spans="1:6" hidden="1" x14ac:dyDescent="0.35">
      <c r="A1490" t="s">
        <v>57</v>
      </c>
      <c r="B1490" t="s">
        <v>54</v>
      </c>
      <c r="C1490" t="s">
        <v>24</v>
      </c>
      <c r="D1490">
        <v>0</v>
      </c>
      <c r="E1490" t="s">
        <v>9</v>
      </c>
      <c r="F1490" t="s">
        <v>45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9</v>
      </c>
      <c r="F1491" t="s">
        <v>45</v>
      </c>
    </row>
    <row r="1492" spans="1:6" hidden="1" x14ac:dyDescent="0.35">
      <c r="A1492" t="s">
        <v>58</v>
      </c>
      <c r="B1492" t="s">
        <v>54</v>
      </c>
      <c r="C1492" t="s">
        <v>24</v>
      </c>
      <c r="D1492">
        <v>0</v>
      </c>
      <c r="E1492" t="s">
        <v>9</v>
      </c>
      <c r="F1492" t="s">
        <v>45</v>
      </c>
    </row>
    <row r="1493" spans="1:6" hidden="1" x14ac:dyDescent="0.35">
      <c r="A1493" t="s">
        <v>59</v>
      </c>
      <c r="B1493" t="s">
        <v>54</v>
      </c>
      <c r="C1493" t="s">
        <v>24</v>
      </c>
      <c r="D1493">
        <v>0</v>
      </c>
      <c r="E1493" t="s">
        <v>9</v>
      </c>
      <c r="F1493" t="s">
        <v>45</v>
      </c>
    </row>
    <row r="1494" spans="1:6" hidden="1" x14ac:dyDescent="0.35">
      <c r="A1494" t="s">
        <v>60</v>
      </c>
      <c r="B1494" t="s">
        <v>54</v>
      </c>
      <c r="C1494" t="s">
        <v>24</v>
      </c>
      <c r="D1494">
        <v>0</v>
      </c>
      <c r="E1494" t="s">
        <v>9</v>
      </c>
      <c r="F1494" t="s">
        <v>45</v>
      </c>
    </row>
    <row r="1495" spans="1:6" hidden="1" x14ac:dyDescent="0.35">
      <c r="A1495" t="s">
        <v>61</v>
      </c>
      <c r="B1495" t="s">
        <v>54</v>
      </c>
      <c r="C1495" t="s">
        <v>24</v>
      </c>
      <c r="D1495">
        <v>0</v>
      </c>
      <c r="E1495" t="s">
        <v>9</v>
      </c>
      <c r="F1495" t="s">
        <v>45</v>
      </c>
    </row>
    <row r="1496" spans="1:6" hidden="1" x14ac:dyDescent="0.35">
      <c r="A1496" t="s">
        <v>62</v>
      </c>
      <c r="B1496" t="s">
        <v>54</v>
      </c>
      <c r="C1496" t="s">
        <v>24</v>
      </c>
      <c r="D1496">
        <v>0</v>
      </c>
      <c r="E1496" t="s">
        <v>9</v>
      </c>
      <c r="F1496" t="s">
        <v>45</v>
      </c>
    </row>
    <row r="1497" spans="1:6" hidden="1" x14ac:dyDescent="0.35">
      <c r="A1497" t="s">
        <v>63</v>
      </c>
      <c r="B1497" t="s">
        <v>54</v>
      </c>
      <c r="C1497" t="s">
        <v>24</v>
      </c>
      <c r="D1497">
        <v>0</v>
      </c>
      <c r="E1497" t="s">
        <v>9</v>
      </c>
      <c r="F1497" t="s">
        <v>45</v>
      </c>
    </row>
    <row r="1498" spans="1:6" hidden="1" x14ac:dyDescent="0.35">
      <c r="A1498" t="s">
        <v>64</v>
      </c>
      <c r="B1498" t="s">
        <v>54</v>
      </c>
      <c r="C1498" t="s">
        <v>24</v>
      </c>
      <c r="D1498">
        <v>0</v>
      </c>
      <c r="E1498" t="s">
        <v>9</v>
      </c>
      <c r="F1498" t="s">
        <v>45</v>
      </c>
    </row>
    <row r="1499" spans="1:6" hidden="1" x14ac:dyDescent="0.35">
      <c r="A1499" t="s">
        <v>65</v>
      </c>
      <c r="B1499" t="s">
        <v>54</v>
      </c>
      <c r="C1499" t="s">
        <v>24</v>
      </c>
      <c r="D1499">
        <v>0</v>
      </c>
      <c r="E1499" t="s">
        <v>9</v>
      </c>
      <c r="F1499" t="s">
        <v>45</v>
      </c>
    </row>
    <row r="1500" spans="1:6" hidden="1" x14ac:dyDescent="0.35">
      <c r="A1500" t="s">
        <v>66</v>
      </c>
      <c r="B1500" t="s">
        <v>54</v>
      </c>
      <c r="C1500" t="s">
        <v>24</v>
      </c>
      <c r="D1500">
        <v>0</v>
      </c>
      <c r="E1500" t="s">
        <v>9</v>
      </c>
      <c r="F1500" t="s">
        <v>45</v>
      </c>
    </row>
    <row r="1501" spans="1:6" hidden="1" x14ac:dyDescent="0.35">
      <c r="A1501" t="s">
        <v>67</v>
      </c>
      <c r="B1501" t="s">
        <v>54</v>
      </c>
      <c r="C1501" t="s">
        <v>24</v>
      </c>
      <c r="D1501">
        <v>0</v>
      </c>
      <c r="E1501" t="s">
        <v>9</v>
      </c>
      <c r="F1501" t="s">
        <v>45</v>
      </c>
    </row>
    <row r="1502" spans="1:6" hidden="1" x14ac:dyDescent="0.35">
      <c r="A1502" t="s">
        <v>57</v>
      </c>
      <c r="B1502" t="s">
        <v>54</v>
      </c>
      <c r="C1502" t="s">
        <v>47</v>
      </c>
      <c r="D1502">
        <v>2252901.629999999</v>
      </c>
      <c r="E1502" t="s">
        <v>9</v>
      </c>
      <c r="F1502" t="s">
        <v>45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2985830.8800000008</v>
      </c>
      <c r="E1503" t="s">
        <v>9</v>
      </c>
      <c r="F1503" t="s">
        <v>45</v>
      </c>
    </row>
    <row r="1504" spans="1:6" hidden="1" x14ac:dyDescent="0.35">
      <c r="A1504" t="s">
        <v>58</v>
      </c>
      <c r="B1504" t="s">
        <v>54</v>
      </c>
      <c r="C1504" t="s">
        <v>47</v>
      </c>
      <c r="D1504">
        <v>3864853.560000001</v>
      </c>
      <c r="E1504" t="s">
        <v>9</v>
      </c>
      <c r="F1504" t="s">
        <v>45</v>
      </c>
    </row>
    <row r="1505" spans="1:6" hidden="1" x14ac:dyDescent="0.35">
      <c r="A1505" t="s">
        <v>59</v>
      </c>
      <c r="B1505" t="s">
        <v>54</v>
      </c>
      <c r="C1505" t="s">
        <v>47</v>
      </c>
      <c r="D1505">
        <v>2179301.02</v>
      </c>
      <c r="E1505" t="s">
        <v>9</v>
      </c>
      <c r="F1505" t="s">
        <v>45</v>
      </c>
    </row>
    <row r="1506" spans="1:6" hidden="1" x14ac:dyDescent="0.35">
      <c r="A1506" t="s">
        <v>60</v>
      </c>
      <c r="B1506" t="s">
        <v>54</v>
      </c>
      <c r="C1506" t="s">
        <v>47</v>
      </c>
      <c r="D1506">
        <v>2376959.79</v>
      </c>
      <c r="E1506" t="s">
        <v>9</v>
      </c>
      <c r="F1506" t="s">
        <v>45</v>
      </c>
    </row>
    <row r="1507" spans="1:6" hidden="1" x14ac:dyDescent="0.35">
      <c r="A1507" t="s">
        <v>61</v>
      </c>
      <c r="B1507" t="s">
        <v>54</v>
      </c>
      <c r="C1507" t="s">
        <v>47</v>
      </c>
      <c r="D1507">
        <v>2700867.5500000012</v>
      </c>
      <c r="E1507" t="s">
        <v>9</v>
      </c>
      <c r="F1507" t="s">
        <v>45</v>
      </c>
    </row>
    <row r="1508" spans="1:6" hidden="1" x14ac:dyDescent="0.35">
      <c r="A1508" t="s">
        <v>62</v>
      </c>
      <c r="B1508" t="s">
        <v>54</v>
      </c>
      <c r="C1508" t="s">
        <v>47</v>
      </c>
      <c r="D1508">
        <v>1648200.85</v>
      </c>
      <c r="E1508" t="s">
        <v>9</v>
      </c>
      <c r="F1508" t="s">
        <v>45</v>
      </c>
    </row>
    <row r="1509" spans="1:6" hidden="1" x14ac:dyDescent="0.35">
      <c r="A1509" t="s">
        <v>63</v>
      </c>
      <c r="B1509" t="s">
        <v>54</v>
      </c>
      <c r="C1509" t="s">
        <v>47</v>
      </c>
      <c r="D1509">
        <v>1918280.49</v>
      </c>
      <c r="E1509" t="s">
        <v>9</v>
      </c>
      <c r="F1509" t="s">
        <v>45</v>
      </c>
    </row>
    <row r="1510" spans="1:6" hidden="1" x14ac:dyDescent="0.35">
      <c r="A1510" t="s">
        <v>64</v>
      </c>
      <c r="B1510" t="s">
        <v>54</v>
      </c>
      <c r="C1510" t="s">
        <v>47</v>
      </c>
      <c r="D1510">
        <v>1706996.6400000011</v>
      </c>
      <c r="E1510" t="s">
        <v>9</v>
      </c>
      <c r="F1510" t="s">
        <v>45</v>
      </c>
    </row>
    <row r="1511" spans="1:6" hidden="1" x14ac:dyDescent="0.35">
      <c r="A1511" t="s">
        <v>65</v>
      </c>
      <c r="B1511" t="s">
        <v>54</v>
      </c>
      <c r="C1511" t="s">
        <v>47</v>
      </c>
      <c r="D1511">
        <v>2325323.8800000008</v>
      </c>
      <c r="E1511" t="s">
        <v>9</v>
      </c>
      <c r="F1511" t="s">
        <v>45</v>
      </c>
    </row>
    <row r="1512" spans="1:6" hidden="1" x14ac:dyDescent="0.35">
      <c r="A1512" t="s">
        <v>66</v>
      </c>
      <c r="B1512" t="s">
        <v>54</v>
      </c>
      <c r="C1512" t="s">
        <v>47</v>
      </c>
      <c r="D1512">
        <v>2930652.04</v>
      </c>
      <c r="E1512" t="s">
        <v>9</v>
      </c>
      <c r="F1512" t="s">
        <v>45</v>
      </c>
    </row>
    <row r="1513" spans="1:6" hidden="1" x14ac:dyDescent="0.35">
      <c r="A1513" t="s">
        <v>67</v>
      </c>
      <c r="B1513" t="s">
        <v>54</v>
      </c>
      <c r="C1513" t="s">
        <v>47</v>
      </c>
      <c r="D1513">
        <v>2633348.81</v>
      </c>
      <c r="E1513" t="s">
        <v>9</v>
      </c>
      <c r="F1513" t="s">
        <v>45</v>
      </c>
    </row>
    <row r="1514" spans="1:6" hidden="1" x14ac:dyDescent="0.35">
      <c r="A1514" t="s">
        <v>57</v>
      </c>
      <c r="B1514" t="s">
        <v>54</v>
      </c>
      <c r="C1514" t="s">
        <v>48</v>
      </c>
      <c r="D1514">
        <v>0</v>
      </c>
      <c r="E1514" t="s">
        <v>9</v>
      </c>
      <c r="F1514" t="s">
        <v>45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9</v>
      </c>
      <c r="F1515" t="s">
        <v>45</v>
      </c>
    </row>
    <row r="1516" spans="1:6" hidden="1" x14ac:dyDescent="0.35">
      <c r="A1516" t="s">
        <v>58</v>
      </c>
      <c r="B1516" t="s">
        <v>54</v>
      </c>
      <c r="C1516" t="s">
        <v>48</v>
      </c>
      <c r="D1516">
        <v>0</v>
      </c>
      <c r="E1516" t="s">
        <v>9</v>
      </c>
      <c r="F1516" t="s">
        <v>45</v>
      </c>
    </row>
    <row r="1517" spans="1:6" hidden="1" x14ac:dyDescent="0.35">
      <c r="A1517" t="s">
        <v>59</v>
      </c>
      <c r="B1517" t="s">
        <v>54</v>
      </c>
      <c r="C1517" t="s">
        <v>48</v>
      </c>
      <c r="D1517">
        <v>0</v>
      </c>
      <c r="E1517" t="s">
        <v>9</v>
      </c>
      <c r="F1517" t="s">
        <v>45</v>
      </c>
    </row>
    <row r="1518" spans="1:6" hidden="1" x14ac:dyDescent="0.35">
      <c r="A1518" t="s">
        <v>60</v>
      </c>
      <c r="B1518" t="s">
        <v>54</v>
      </c>
      <c r="C1518" t="s">
        <v>48</v>
      </c>
      <c r="D1518">
        <v>0</v>
      </c>
      <c r="E1518" t="s">
        <v>9</v>
      </c>
      <c r="F1518" t="s">
        <v>45</v>
      </c>
    </row>
    <row r="1519" spans="1:6" hidden="1" x14ac:dyDescent="0.35">
      <c r="A1519" t="s">
        <v>61</v>
      </c>
      <c r="B1519" t="s">
        <v>54</v>
      </c>
      <c r="C1519" t="s">
        <v>48</v>
      </c>
      <c r="D1519">
        <v>0</v>
      </c>
      <c r="E1519" t="s">
        <v>9</v>
      </c>
      <c r="F1519" t="s">
        <v>45</v>
      </c>
    </row>
    <row r="1520" spans="1:6" hidden="1" x14ac:dyDescent="0.35">
      <c r="A1520" t="s">
        <v>62</v>
      </c>
      <c r="B1520" t="s">
        <v>54</v>
      </c>
      <c r="C1520" t="s">
        <v>48</v>
      </c>
      <c r="D1520">
        <v>0</v>
      </c>
      <c r="E1520" t="s">
        <v>9</v>
      </c>
      <c r="F1520" t="s">
        <v>45</v>
      </c>
    </row>
    <row r="1521" spans="1:6" hidden="1" x14ac:dyDescent="0.35">
      <c r="A1521" t="s">
        <v>63</v>
      </c>
      <c r="B1521" t="s">
        <v>54</v>
      </c>
      <c r="C1521" t="s">
        <v>48</v>
      </c>
      <c r="D1521">
        <v>0</v>
      </c>
      <c r="E1521" t="s">
        <v>9</v>
      </c>
      <c r="F1521" t="s">
        <v>45</v>
      </c>
    </row>
    <row r="1522" spans="1:6" hidden="1" x14ac:dyDescent="0.35">
      <c r="A1522" t="s">
        <v>64</v>
      </c>
      <c r="B1522" t="s">
        <v>54</v>
      </c>
      <c r="C1522" t="s">
        <v>48</v>
      </c>
      <c r="D1522">
        <v>0</v>
      </c>
      <c r="E1522" t="s">
        <v>9</v>
      </c>
      <c r="F1522" t="s">
        <v>45</v>
      </c>
    </row>
    <row r="1523" spans="1:6" hidden="1" x14ac:dyDescent="0.35">
      <c r="A1523" t="s">
        <v>65</v>
      </c>
      <c r="B1523" t="s">
        <v>54</v>
      </c>
      <c r="C1523" t="s">
        <v>48</v>
      </c>
      <c r="D1523">
        <v>0</v>
      </c>
      <c r="E1523" t="s">
        <v>9</v>
      </c>
      <c r="F1523" t="s">
        <v>45</v>
      </c>
    </row>
    <row r="1524" spans="1:6" hidden="1" x14ac:dyDescent="0.35">
      <c r="A1524" t="s">
        <v>66</v>
      </c>
      <c r="B1524" t="s">
        <v>54</v>
      </c>
      <c r="C1524" t="s">
        <v>48</v>
      </c>
      <c r="D1524">
        <v>0</v>
      </c>
      <c r="E1524" t="s">
        <v>9</v>
      </c>
      <c r="F1524" t="s">
        <v>45</v>
      </c>
    </row>
    <row r="1525" spans="1:6" hidden="1" x14ac:dyDescent="0.35">
      <c r="A1525" t="s">
        <v>67</v>
      </c>
      <c r="B1525" t="s">
        <v>54</v>
      </c>
      <c r="C1525" t="s">
        <v>48</v>
      </c>
      <c r="D1525">
        <v>0</v>
      </c>
      <c r="E1525" t="s">
        <v>9</v>
      </c>
      <c r="F1525" t="s">
        <v>45</v>
      </c>
    </row>
    <row r="1526" spans="1:6" hidden="1" x14ac:dyDescent="0.35">
      <c r="A1526" t="s">
        <v>57</v>
      </c>
      <c r="B1526" t="s">
        <v>54</v>
      </c>
      <c r="C1526" t="s">
        <v>49</v>
      </c>
      <c r="D1526">
        <v>467806.71999999991</v>
      </c>
      <c r="E1526" t="s">
        <v>9</v>
      </c>
      <c r="F1526" t="s">
        <v>45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550610.99000000011</v>
      </c>
      <c r="E1527" t="s">
        <v>9</v>
      </c>
      <c r="F1527" t="s">
        <v>45</v>
      </c>
    </row>
    <row r="1528" spans="1:6" hidden="1" x14ac:dyDescent="0.35">
      <c r="A1528" t="s">
        <v>58</v>
      </c>
      <c r="B1528" t="s">
        <v>54</v>
      </c>
      <c r="C1528" t="s">
        <v>49</v>
      </c>
      <c r="D1528">
        <v>604846.16000000015</v>
      </c>
      <c r="E1528" t="s">
        <v>9</v>
      </c>
      <c r="F1528" t="s">
        <v>45</v>
      </c>
    </row>
    <row r="1529" spans="1:6" hidden="1" x14ac:dyDescent="0.35">
      <c r="A1529" t="s">
        <v>59</v>
      </c>
      <c r="B1529" t="s">
        <v>54</v>
      </c>
      <c r="C1529" t="s">
        <v>49</v>
      </c>
      <c r="D1529">
        <v>525647.64999999991</v>
      </c>
      <c r="E1529" t="s">
        <v>9</v>
      </c>
      <c r="F1529" t="s">
        <v>45</v>
      </c>
    </row>
    <row r="1530" spans="1:6" hidden="1" x14ac:dyDescent="0.35">
      <c r="A1530" t="s">
        <v>60</v>
      </c>
      <c r="B1530" t="s">
        <v>54</v>
      </c>
      <c r="C1530" t="s">
        <v>49</v>
      </c>
      <c r="D1530">
        <v>758469.76</v>
      </c>
      <c r="E1530" t="s">
        <v>9</v>
      </c>
      <c r="F1530" t="s">
        <v>45</v>
      </c>
    </row>
    <row r="1531" spans="1:6" hidden="1" x14ac:dyDescent="0.35">
      <c r="A1531" t="s">
        <v>61</v>
      </c>
      <c r="B1531" t="s">
        <v>54</v>
      </c>
      <c r="C1531" t="s">
        <v>49</v>
      </c>
      <c r="D1531">
        <v>631048.09999999986</v>
      </c>
      <c r="E1531" t="s">
        <v>9</v>
      </c>
      <c r="F1531" t="s">
        <v>45</v>
      </c>
    </row>
    <row r="1532" spans="1:6" hidden="1" x14ac:dyDescent="0.35">
      <c r="A1532" t="s">
        <v>62</v>
      </c>
      <c r="B1532" t="s">
        <v>54</v>
      </c>
      <c r="C1532" t="s">
        <v>49</v>
      </c>
      <c r="D1532">
        <v>470706.37999999977</v>
      </c>
      <c r="E1532" t="s">
        <v>9</v>
      </c>
      <c r="F1532" t="s">
        <v>45</v>
      </c>
    </row>
    <row r="1533" spans="1:6" hidden="1" x14ac:dyDescent="0.35">
      <c r="A1533" t="s">
        <v>63</v>
      </c>
      <c r="B1533" t="s">
        <v>54</v>
      </c>
      <c r="C1533" t="s">
        <v>49</v>
      </c>
      <c r="D1533">
        <v>999100.01000000013</v>
      </c>
      <c r="E1533" t="s">
        <v>9</v>
      </c>
      <c r="F1533" t="s">
        <v>45</v>
      </c>
    </row>
    <row r="1534" spans="1:6" hidden="1" x14ac:dyDescent="0.35">
      <c r="A1534" t="s">
        <v>64</v>
      </c>
      <c r="B1534" t="s">
        <v>54</v>
      </c>
      <c r="C1534" t="s">
        <v>49</v>
      </c>
      <c r="D1534">
        <v>860325.69000000018</v>
      </c>
      <c r="E1534" t="s">
        <v>9</v>
      </c>
      <c r="F1534" t="s">
        <v>45</v>
      </c>
    </row>
    <row r="1535" spans="1:6" hidden="1" x14ac:dyDescent="0.35">
      <c r="A1535" t="s">
        <v>65</v>
      </c>
      <c r="B1535" t="s">
        <v>54</v>
      </c>
      <c r="C1535" t="s">
        <v>49</v>
      </c>
      <c r="D1535">
        <v>1235143.01</v>
      </c>
      <c r="E1535" t="s">
        <v>9</v>
      </c>
      <c r="F1535" t="s">
        <v>45</v>
      </c>
    </row>
    <row r="1536" spans="1:6" hidden="1" x14ac:dyDescent="0.35">
      <c r="A1536" t="s">
        <v>66</v>
      </c>
      <c r="B1536" t="s">
        <v>54</v>
      </c>
      <c r="C1536" t="s">
        <v>49</v>
      </c>
      <c r="D1536">
        <v>622221.96000000008</v>
      </c>
      <c r="E1536" t="s">
        <v>9</v>
      </c>
      <c r="F1536" t="s">
        <v>45</v>
      </c>
    </row>
    <row r="1537" spans="1:6" hidden="1" x14ac:dyDescent="0.35">
      <c r="A1537" t="s">
        <v>67</v>
      </c>
      <c r="B1537" t="s">
        <v>54</v>
      </c>
      <c r="C1537" t="s">
        <v>49</v>
      </c>
      <c r="D1537">
        <v>834067.33</v>
      </c>
      <c r="E1537" t="s">
        <v>9</v>
      </c>
      <c r="F1537" t="s">
        <v>45</v>
      </c>
    </row>
    <row r="1538" spans="1:6" hidden="1" x14ac:dyDescent="0.35">
      <c r="A1538" t="s">
        <v>57</v>
      </c>
      <c r="B1538" t="s">
        <v>54</v>
      </c>
      <c r="C1538" t="s">
        <v>50</v>
      </c>
      <c r="D1538">
        <v>1912673.28</v>
      </c>
      <c r="E1538" t="s">
        <v>9</v>
      </c>
      <c r="F1538" t="s">
        <v>45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1591659.09</v>
      </c>
      <c r="E1539" t="s">
        <v>9</v>
      </c>
      <c r="F1539" t="s">
        <v>45</v>
      </c>
    </row>
    <row r="1540" spans="1:6" hidden="1" x14ac:dyDescent="0.35">
      <c r="A1540" t="s">
        <v>58</v>
      </c>
      <c r="B1540" t="s">
        <v>54</v>
      </c>
      <c r="C1540" t="s">
        <v>50</v>
      </c>
      <c r="D1540">
        <v>1728677.93</v>
      </c>
      <c r="E1540" t="s">
        <v>9</v>
      </c>
      <c r="F1540" t="s">
        <v>45</v>
      </c>
    </row>
    <row r="1541" spans="1:6" hidden="1" x14ac:dyDescent="0.35">
      <c r="A1541" t="s">
        <v>59</v>
      </c>
      <c r="B1541" t="s">
        <v>54</v>
      </c>
      <c r="C1541" t="s">
        <v>50</v>
      </c>
      <c r="D1541">
        <v>1729410.32</v>
      </c>
      <c r="E1541" t="s">
        <v>9</v>
      </c>
      <c r="F1541" t="s">
        <v>45</v>
      </c>
    </row>
    <row r="1542" spans="1:6" hidden="1" x14ac:dyDescent="0.35">
      <c r="A1542" t="s">
        <v>60</v>
      </c>
      <c r="B1542" t="s">
        <v>54</v>
      </c>
      <c r="C1542" t="s">
        <v>50</v>
      </c>
      <c r="D1542">
        <v>2180300.1800000002</v>
      </c>
      <c r="E1542" t="s">
        <v>9</v>
      </c>
      <c r="F1542" t="s">
        <v>45</v>
      </c>
    </row>
    <row r="1543" spans="1:6" hidden="1" x14ac:dyDescent="0.35">
      <c r="A1543" t="s">
        <v>61</v>
      </c>
      <c r="B1543" t="s">
        <v>54</v>
      </c>
      <c r="C1543" t="s">
        <v>50</v>
      </c>
      <c r="D1543">
        <v>1611033.06</v>
      </c>
      <c r="E1543" t="s">
        <v>9</v>
      </c>
      <c r="F1543" t="s">
        <v>45</v>
      </c>
    </row>
    <row r="1544" spans="1:6" hidden="1" x14ac:dyDescent="0.35">
      <c r="A1544" t="s">
        <v>62</v>
      </c>
      <c r="B1544" t="s">
        <v>54</v>
      </c>
      <c r="C1544" t="s">
        <v>50</v>
      </c>
      <c r="D1544">
        <v>1582490.35</v>
      </c>
      <c r="E1544" t="s">
        <v>9</v>
      </c>
      <c r="F1544" t="s">
        <v>45</v>
      </c>
    </row>
    <row r="1545" spans="1:6" hidden="1" x14ac:dyDescent="0.35">
      <c r="A1545" t="s">
        <v>63</v>
      </c>
      <c r="B1545" t="s">
        <v>54</v>
      </c>
      <c r="C1545" t="s">
        <v>50</v>
      </c>
      <c r="D1545">
        <v>2903874.870000001</v>
      </c>
      <c r="E1545" t="s">
        <v>9</v>
      </c>
      <c r="F1545" t="s">
        <v>45</v>
      </c>
    </row>
    <row r="1546" spans="1:6" hidden="1" x14ac:dyDescent="0.35">
      <c r="A1546" t="s">
        <v>64</v>
      </c>
      <c r="B1546" t="s">
        <v>54</v>
      </c>
      <c r="C1546" t="s">
        <v>50</v>
      </c>
      <c r="D1546">
        <v>2659169.73</v>
      </c>
      <c r="E1546" t="s">
        <v>9</v>
      </c>
      <c r="F1546" t="s">
        <v>45</v>
      </c>
    </row>
    <row r="1547" spans="1:6" hidden="1" x14ac:dyDescent="0.35">
      <c r="A1547" t="s">
        <v>65</v>
      </c>
      <c r="B1547" t="s">
        <v>54</v>
      </c>
      <c r="C1547" t="s">
        <v>50</v>
      </c>
      <c r="D1547">
        <v>5622010.5899999999</v>
      </c>
      <c r="E1547" t="s">
        <v>9</v>
      </c>
      <c r="F1547" t="s">
        <v>45</v>
      </c>
    </row>
    <row r="1548" spans="1:6" hidden="1" x14ac:dyDescent="0.35">
      <c r="A1548" t="s">
        <v>66</v>
      </c>
      <c r="B1548" t="s">
        <v>54</v>
      </c>
      <c r="C1548" t="s">
        <v>50</v>
      </c>
      <c r="D1548">
        <v>1772712.96</v>
      </c>
      <c r="E1548" t="s">
        <v>9</v>
      </c>
      <c r="F1548" t="s">
        <v>45</v>
      </c>
    </row>
    <row r="1549" spans="1:6" hidden="1" x14ac:dyDescent="0.35">
      <c r="A1549" t="s">
        <v>67</v>
      </c>
      <c r="B1549" t="s">
        <v>54</v>
      </c>
      <c r="C1549" t="s">
        <v>50</v>
      </c>
      <c r="D1549">
        <v>3066904.04</v>
      </c>
      <c r="E1549" t="s">
        <v>9</v>
      </c>
      <c r="F1549" t="s">
        <v>45</v>
      </c>
    </row>
    <row r="1550" spans="1:6" hidden="1" x14ac:dyDescent="0.35">
      <c r="A1550" t="s">
        <v>57</v>
      </c>
      <c r="B1550" t="s">
        <v>54</v>
      </c>
      <c r="C1550" t="s">
        <v>51</v>
      </c>
      <c r="D1550">
        <v>556</v>
      </c>
      <c r="E1550" t="s">
        <v>9</v>
      </c>
      <c r="F1550" t="s">
        <v>45</v>
      </c>
    </row>
    <row r="1551" spans="1:6" hidden="1" x14ac:dyDescent="0.35">
      <c r="A1551" t="s">
        <v>11</v>
      </c>
      <c r="B1551" t="s">
        <v>54</v>
      </c>
      <c r="C1551" t="s">
        <v>51</v>
      </c>
      <c r="D1551">
        <v>603</v>
      </c>
      <c r="E1551" t="s">
        <v>9</v>
      </c>
      <c r="F1551" t="s">
        <v>45</v>
      </c>
    </row>
    <row r="1552" spans="1:6" hidden="1" x14ac:dyDescent="0.35">
      <c r="A1552" t="s">
        <v>58</v>
      </c>
      <c r="B1552" t="s">
        <v>54</v>
      </c>
      <c r="C1552" t="s">
        <v>51</v>
      </c>
      <c r="D1552">
        <v>693</v>
      </c>
      <c r="E1552" t="s">
        <v>9</v>
      </c>
      <c r="F1552" t="s">
        <v>45</v>
      </c>
    </row>
    <row r="1553" spans="1:6" hidden="1" x14ac:dyDescent="0.35">
      <c r="A1553" t="s">
        <v>59</v>
      </c>
      <c r="B1553" t="s">
        <v>54</v>
      </c>
      <c r="C1553" t="s">
        <v>51</v>
      </c>
      <c r="D1553">
        <v>579</v>
      </c>
      <c r="E1553" t="s">
        <v>9</v>
      </c>
      <c r="F1553" t="s">
        <v>45</v>
      </c>
    </row>
    <row r="1554" spans="1:6" hidden="1" x14ac:dyDescent="0.35">
      <c r="A1554" t="s">
        <v>60</v>
      </c>
      <c r="B1554" t="s">
        <v>54</v>
      </c>
      <c r="C1554" t="s">
        <v>51</v>
      </c>
      <c r="D1554">
        <v>667</v>
      </c>
      <c r="E1554" t="s">
        <v>9</v>
      </c>
      <c r="F1554" t="s">
        <v>45</v>
      </c>
    </row>
    <row r="1555" spans="1:6" hidden="1" x14ac:dyDescent="0.35">
      <c r="A1555" t="s">
        <v>61</v>
      </c>
      <c r="B1555" t="s">
        <v>54</v>
      </c>
      <c r="C1555" t="s">
        <v>51</v>
      </c>
      <c r="D1555">
        <v>684</v>
      </c>
      <c r="E1555" t="s">
        <v>9</v>
      </c>
      <c r="F1555" t="s">
        <v>45</v>
      </c>
    </row>
    <row r="1556" spans="1:6" hidden="1" x14ac:dyDescent="0.35">
      <c r="A1556" t="s">
        <v>62</v>
      </c>
      <c r="B1556" t="s">
        <v>54</v>
      </c>
      <c r="C1556" t="s">
        <v>51</v>
      </c>
      <c r="D1556">
        <v>661</v>
      </c>
      <c r="E1556" t="s">
        <v>9</v>
      </c>
      <c r="F1556" t="s">
        <v>45</v>
      </c>
    </row>
    <row r="1557" spans="1:6" hidden="1" x14ac:dyDescent="0.35">
      <c r="A1557" t="s">
        <v>63</v>
      </c>
      <c r="B1557" t="s">
        <v>54</v>
      </c>
      <c r="C1557" t="s">
        <v>51</v>
      </c>
      <c r="D1557">
        <v>834</v>
      </c>
      <c r="E1557" t="s">
        <v>9</v>
      </c>
      <c r="F1557" t="s">
        <v>45</v>
      </c>
    </row>
    <row r="1558" spans="1:6" hidden="1" x14ac:dyDescent="0.35">
      <c r="A1558" t="s">
        <v>64</v>
      </c>
      <c r="B1558" t="s">
        <v>54</v>
      </c>
      <c r="C1558" t="s">
        <v>51</v>
      </c>
      <c r="D1558">
        <v>663</v>
      </c>
      <c r="E1558" t="s">
        <v>9</v>
      </c>
      <c r="F1558" t="s">
        <v>45</v>
      </c>
    </row>
    <row r="1559" spans="1:6" hidden="1" x14ac:dyDescent="0.35">
      <c r="A1559" t="s">
        <v>65</v>
      </c>
      <c r="B1559" t="s">
        <v>54</v>
      </c>
      <c r="C1559" t="s">
        <v>51</v>
      </c>
      <c r="D1559">
        <v>666</v>
      </c>
      <c r="E1559" t="s">
        <v>9</v>
      </c>
      <c r="F1559" t="s">
        <v>45</v>
      </c>
    </row>
    <row r="1560" spans="1:6" hidden="1" x14ac:dyDescent="0.35">
      <c r="A1560" t="s">
        <v>66</v>
      </c>
      <c r="B1560" t="s">
        <v>54</v>
      </c>
      <c r="C1560" t="s">
        <v>51</v>
      </c>
      <c r="D1560">
        <v>670</v>
      </c>
      <c r="E1560" t="s">
        <v>9</v>
      </c>
      <c r="F1560" t="s">
        <v>45</v>
      </c>
    </row>
    <row r="1561" spans="1:6" hidden="1" x14ac:dyDescent="0.35">
      <c r="A1561" t="s">
        <v>67</v>
      </c>
      <c r="B1561" t="s">
        <v>54</v>
      </c>
      <c r="C1561" t="s">
        <v>51</v>
      </c>
      <c r="D1561">
        <v>606</v>
      </c>
      <c r="E1561" t="s">
        <v>9</v>
      </c>
      <c r="F1561" t="s">
        <v>45</v>
      </c>
    </row>
    <row r="1562" spans="1:6" hidden="1" x14ac:dyDescent="0.35">
      <c r="A1562" t="s">
        <v>57</v>
      </c>
      <c r="B1562" t="s">
        <v>54</v>
      </c>
      <c r="C1562" t="s">
        <v>30</v>
      </c>
      <c r="D1562">
        <v>345</v>
      </c>
      <c r="E1562" t="s">
        <v>9</v>
      </c>
      <c r="F1562" t="s">
        <v>45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341</v>
      </c>
      <c r="E1563" t="s">
        <v>9</v>
      </c>
      <c r="F1563" t="s">
        <v>45</v>
      </c>
    </row>
    <row r="1564" spans="1:6" hidden="1" x14ac:dyDescent="0.35">
      <c r="A1564" t="s">
        <v>58</v>
      </c>
      <c r="B1564" t="s">
        <v>54</v>
      </c>
      <c r="C1564" t="s">
        <v>30</v>
      </c>
      <c r="D1564">
        <v>480</v>
      </c>
      <c r="E1564" t="s">
        <v>9</v>
      </c>
      <c r="F1564" t="s">
        <v>45</v>
      </c>
    </row>
    <row r="1565" spans="1:6" hidden="1" x14ac:dyDescent="0.35">
      <c r="A1565" t="s">
        <v>59</v>
      </c>
      <c r="B1565" t="s">
        <v>54</v>
      </c>
      <c r="C1565" t="s">
        <v>30</v>
      </c>
      <c r="D1565">
        <v>373</v>
      </c>
      <c r="E1565" t="s">
        <v>9</v>
      </c>
      <c r="F1565" t="s">
        <v>45</v>
      </c>
    </row>
    <row r="1566" spans="1:6" hidden="1" x14ac:dyDescent="0.35">
      <c r="A1566" t="s">
        <v>60</v>
      </c>
      <c r="B1566" t="s">
        <v>54</v>
      </c>
      <c r="C1566" t="s">
        <v>30</v>
      </c>
      <c r="D1566">
        <v>421</v>
      </c>
      <c r="E1566" t="s">
        <v>9</v>
      </c>
      <c r="F1566" t="s">
        <v>45</v>
      </c>
    </row>
    <row r="1567" spans="1:6" hidden="1" x14ac:dyDescent="0.35">
      <c r="A1567" t="s">
        <v>61</v>
      </c>
      <c r="B1567" t="s">
        <v>54</v>
      </c>
      <c r="C1567" t="s">
        <v>30</v>
      </c>
      <c r="D1567">
        <v>456</v>
      </c>
      <c r="E1567" t="s">
        <v>9</v>
      </c>
      <c r="F1567" t="s">
        <v>45</v>
      </c>
    </row>
    <row r="1568" spans="1:6" hidden="1" x14ac:dyDescent="0.35">
      <c r="A1568" t="s">
        <v>62</v>
      </c>
      <c r="B1568" t="s">
        <v>54</v>
      </c>
      <c r="C1568" t="s">
        <v>30</v>
      </c>
      <c r="D1568">
        <v>459</v>
      </c>
      <c r="E1568" t="s">
        <v>9</v>
      </c>
      <c r="F1568" t="s">
        <v>45</v>
      </c>
    </row>
    <row r="1569" spans="1:6" hidden="1" x14ac:dyDescent="0.35">
      <c r="A1569" t="s">
        <v>63</v>
      </c>
      <c r="B1569" t="s">
        <v>54</v>
      </c>
      <c r="C1569" t="s">
        <v>30</v>
      </c>
      <c r="D1569">
        <v>517</v>
      </c>
      <c r="E1569" t="s">
        <v>9</v>
      </c>
      <c r="F1569" t="s">
        <v>45</v>
      </c>
    </row>
    <row r="1570" spans="1:6" hidden="1" x14ac:dyDescent="0.35">
      <c r="A1570" t="s">
        <v>64</v>
      </c>
      <c r="B1570" t="s">
        <v>54</v>
      </c>
      <c r="C1570" t="s">
        <v>30</v>
      </c>
      <c r="D1570">
        <v>460</v>
      </c>
      <c r="E1570" t="s">
        <v>9</v>
      </c>
      <c r="F1570" t="s">
        <v>45</v>
      </c>
    </row>
    <row r="1571" spans="1:6" hidden="1" x14ac:dyDescent="0.35">
      <c r="A1571" t="s">
        <v>65</v>
      </c>
      <c r="B1571" t="s">
        <v>54</v>
      </c>
      <c r="C1571" t="s">
        <v>30</v>
      </c>
      <c r="D1571">
        <v>527</v>
      </c>
      <c r="E1571" t="s">
        <v>9</v>
      </c>
      <c r="F1571" t="s">
        <v>45</v>
      </c>
    </row>
    <row r="1572" spans="1:6" hidden="1" x14ac:dyDescent="0.35">
      <c r="A1572" t="s">
        <v>66</v>
      </c>
      <c r="B1572" t="s">
        <v>54</v>
      </c>
      <c r="C1572" t="s">
        <v>30</v>
      </c>
      <c r="D1572">
        <v>471</v>
      </c>
      <c r="E1572" t="s">
        <v>9</v>
      </c>
      <c r="F1572" t="s">
        <v>45</v>
      </c>
    </row>
    <row r="1573" spans="1:6" hidden="1" x14ac:dyDescent="0.35">
      <c r="A1573" t="s">
        <v>67</v>
      </c>
      <c r="B1573" t="s">
        <v>54</v>
      </c>
      <c r="C1573" t="s">
        <v>30</v>
      </c>
      <c r="D1573">
        <v>532</v>
      </c>
      <c r="E1573" t="s">
        <v>9</v>
      </c>
      <c r="F1573" t="s">
        <v>45</v>
      </c>
    </row>
    <row r="1574" spans="1:6" hidden="1" x14ac:dyDescent="0.35">
      <c r="A1574" t="s">
        <v>57</v>
      </c>
      <c r="B1574" t="s">
        <v>54</v>
      </c>
      <c r="C1574" t="s">
        <v>52</v>
      </c>
      <c r="D1574">
        <v>32</v>
      </c>
      <c r="E1574" t="s">
        <v>9</v>
      </c>
      <c r="F1574" t="s">
        <v>45</v>
      </c>
    </row>
    <row r="1575" spans="1:6" hidden="1" x14ac:dyDescent="0.35">
      <c r="A1575" t="s">
        <v>11</v>
      </c>
      <c r="B1575" t="s">
        <v>54</v>
      </c>
      <c r="C1575" t="s">
        <v>52</v>
      </c>
      <c r="D1575">
        <v>11</v>
      </c>
      <c r="E1575" t="s">
        <v>9</v>
      </c>
      <c r="F1575" t="s">
        <v>45</v>
      </c>
    </row>
    <row r="1576" spans="1:6" hidden="1" x14ac:dyDescent="0.35">
      <c r="A1576" t="s">
        <v>58</v>
      </c>
      <c r="B1576" t="s">
        <v>54</v>
      </c>
      <c r="C1576" t="s">
        <v>52</v>
      </c>
      <c r="D1576">
        <v>24</v>
      </c>
      <c r="E1576" t="s">
        <v>9</v>
      </c>
      <c r="F1576" t="s">
        <v>45</v>
      </c>
    </row>
    <row r="1577" spans="1:6" hidden="1" x14ac:dyDescent="0.35">
      <c r="A1577" t="s">
        <v>59</v>
      </c>
      <c r="B1577" t="s">
        <v>54</v>
      </c>
      <c r="C1577" t="s">
        <v>52</v>
      </c>
      <c r="D1577">
        <v>35</v>
      </c>
      <c r="E1577" t="s">
        <v>9</v>
      </c>
      <c r="F1577" t="s">
        <v>45</v>
      </c>
    </row>
    <row r="1578" spans="1:6" hidden="1" x14ac:dyDescent="0.35">
      <c r="A1578" t="s">
        <v>60</v>
      </c>
      <c r="B1578" t="s">
        <v>54</v>
      </c>
      <c r="C1578" t="s">
        <v>52</v>
      </c>
      <c r="D1578">
        <v>23</v>
      </c>
      <c r="E1578" t="s">
        <v>9</v>
      </c>
      <c r="F1578" t="s">
        <v>45</v>
      </c>
    </row>
    <row r="1579" spans="1:6" hidden="1" x14ac:dyDescent="0.35">
      <c r="A1579" t="s">
        <v>61</v>
      </c>
      <c r="B1579" t="s">
        <v>54</v>
      </c>
      <c r="C1579" t="s">
        <v>52</v>
      </c>
      <c r="D1579">
        <v>17</v>
      </c>
      <c r="E1579" t="s">
        <v>9</v>
      </c>
      <c r="F1579" t="s">
        <v>45</v>
      </c>
    </row>
    <row r="1580" spans="1:6" hidden="1" x14ac:dyDescent="0.35">
      <c r="A1580" t="s">
        <v>62</v>
      </c>
      <c r="B1580" t="s">
        <v>54</v>
      </c>
      <c r="C1580" t="s">
        <v>52</v>
      </c>
      <c r="D1580">
        <v>28</v>
      </c>
      <c r="E1580" t="s">
        <v>9</v>
      </c>
      <c r="F1580" t="s">
        <v>45</v>
      </c>
    </row>
    <row r="1581" spans="1:6" hidden="1" x14ac:dyDescent="0.35">
      <c r="A1581" t="s">
        <v>63</v>
      </c>
      <c r="B1581" t="s">
        <v>54</v>
      </c>
      <c r="C1581" t="s">
        <v>52</v>
      </c>
      <c r="D1581">
        <v>13</v>
      </c>
      <c r="E1581" t="s">
        <v>9</v>
      </c>
      <c r="F1581" t="s">
        <v>45</v>
      </c>
    </row>
    <row r="1582" spans="1:6" hidden="1" x14ac:dyDescent="0.35">
      <c r="A1582" t="s">
        <v>64</v>
      </c>
      <c r="B1582" t="s">
        <v>54</v>
      </c>
      <c r="C1582" t="s">
        <v>52</v>
      </c>
      <c r="D1582">
        <v>21</v>
      </c>
      <c r="E1582" t="s">
        <v>9</v>
      </c>
      <c r="F1582" t="s">
        <v>45</v>
      </c>
    </row>
    <row r="1583" spans="1:6" hidden="1" x14ac:dyDescent="0.35">
      <c r="A1583" t="s">
        <v>65</v>
      </c>
      <c r="B1583" t="s">
        <v>54</v>
      </c>
      <c r="C1583" t="s">
        <v>52</v>
      </c>
      <c r="D1583">
        <v>32</v>
      </c>
      <c r="E1583" t="s">
        <v>9</v>
      </c>
      <c r="F1583" t="s">
        <v>45</v>
      </c>
    </row>
    <row r="1584" spans="1:6" hidden="1" x14ac:dyDescent="0.35">
      <c r="A1584" t="s">
        <v>66</v>
      </c>
      <c r="B1584" t="s">
        <v>54</v>
      </c>
      <c r="C1584" t="s">
        <v>52</v>
      </c>
      <c r="D1584">
        <v>37</v>
      </c>
      <c r="E1584" t="s">
        <v>9</v>
      </c>
      <c r="F1584" t="s">
        <v>45</v>
      </c>
    </row>
    <row r="1585" spans="1:6" hidden="1" x14ac:dyDescent="0.35">
      <c r="A1585" t="s">
        <v>67</v>
      </c>
      <c r="B1585" t="s">
        <v>54</v>
      </c>
      <c r="C1585" t="s">
        <v>52</v>
      </c>
      <c r="D1585">
        <v>30</v>
      </c>
      <c r="E1585" t="s">
        <v>9</v>
      </c>
      <c r="F1585" t="s">
        <v>45</v>
      </c>
    </row>
    <row r="1586" spans="1:6" hidden="1" x14ac:dyDescent="0.35">
      <c r="A1586" t="s">
        <v>57</v>
      </c>
      <c r="B1586" t="s">
        <v>43</v>
      </c>
      <c r="C1586" t="s">
        <v>44</v>
      </c>
      <c r="D1586">
        <v>0</v>
      </c>
      <c r="E1586" t="s">
        <v>41</v>
      </c>
      <c r="F1586" t="s">
        <v>45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41</v>
      </c>
      <c r="F1587" t="s">
        <v>45</v>
      </c>
    </row>
    <row r="1588" spans="1:6" hidden="1" x14ac:dyDescent="0.35">
      <c r="A1588" t="s">
        <v>58</v>
      </c>
      <c r="B1588" t="s">
        <v>43</v>
      </c>
      <c r="C1588" t="s">
        <v>44</v>
      </c>
      <c r="D1588">
        <v>0</v>
      </c>
      <c r="E1588" t="s">
        <v>41</v>
      </c>
      <c r="F1588" t="s">
        <v>45</v>
      </c>
    </row>
    <row r="1589" spans="1:6" hidden="1" x14ac:dyDescent="0.35">
      <c r="A1589" t="s">
        <v>59</v>
      </c>
      <c r="B1589" t="s">
        <v>43</v>
      </c>
      <c r="C1589" t="s">
        <v>44</v>
      </c>
      <c r="D1589">
        <v>0</v>
      </c>
      <c r="E1589" t="s">
        <v>41</v>
      </c>
      <c r="F1589" t="s">
        <v>45</v>
      </c>
    </row>
    <row r="1590" spans="1:6" hidden="1" x14ac:dyDescent="0.35">
      <c r="A1590" t="s">
        <v>60</v>
      </c>
      <c r="B1590" t="s">
        <v>43</v>
      </c>
      <c r="C1590" t="s">
        <v>44</v>
      </c>
      <c r="D1590">
        <v>0</v>
      </c>
      <c r="E1590" t="s">
        <v>41</v>
      </c>
      <c r="F1590" t="s">
        <v>45</v>
      </c>
    </row>
    <row r="1591" spans="1:6" hidden="1" x14ac:dyDescent="0.35">
      <c r="A1591" t="s">
        <v>61</v>
      </c>
      <c r="B1591" t="s">
        <v>43</v>
      </c>
      <c r="C1591" t="s">
        <v>44</v>
      </c>
      <c r="D1591">
        <v>0</v>
      </c>
      <c r="E1591" t="s">
        <v>41</v>
      </c>
      <c r="F1591" t="s">
        <v>45</v>
      </c>
    </row>
    <row r="1592" spans="1:6" hidden="1" x14ac:dyDescent="0.35">
      <c r="A1592" t="s">
        <v>62</v>
      </c>
      <c r="B1592" t="s">
        <v>43</v>
      </c>
      <c r="C1592" t="s">
        <v>44</v>
      </c>
      <c r="D1592">
        <v>0</v>
      </c>
      <c r="E1592" t="s">
        <v>41</v>
      </c>
      <c r="F1592" t="s">
        <v>45</v>
      </c>
    </row>
    <row r="1593" spans="1:6" hidden="1" x14ac:dyDescent="0.35">
      <c r="A1593" t="s">
        <v>63</v>
      </c>
      <c r="B1593" t="s">
        <v>43</v>
      </c>
      <c r="C1593" t="s">
        <v>44</v>
      </c>
      <c r="D1593">
        <v>0</v>
      </c>
      <c r="E1593" t="s">
        <v>41</v>
      </c>
      <c r="F1593" t="s">
        <v>45</v>
      </c>
    </row>
    <row r="1594" spans="1:6" hidden="1" x14ac:dyDescent="0.35">
      <c r="A1594" t="s">
        <v>64</v>
      </c>
      <c r="B1594" t="s">
        <v>43</v>
      </c>
      <c r="C1594" t="s">
        <v>44</v>
      </c>
      <c r="D1594">
        <v>0</v>
      </c>
      <c r="E1594" t="s">
        <v>41</v>
      </c>
      <c r="F1594" t="s">
        <v>45</v>
      </c>
    </row>
    <row r="1595" spans="1:6" hidden="1" x14ac:dyDescent="0.35">
      <c r="A1595" t="s">
        <v>65</v>
      </c>
      <c r="B1595" t="s">
        <v>43</v>
      </c>
      <c r="C1595" t="s">
        <v>44</v>
      </c>
      <c r="D1595">
        <v>0</v>
      </c>
      <c r="E1595" t="s">
        <v>41</v>
      </c>
      <c r="F1595" t="s">
        <v>45</v>
      </c>
    </row>
    <row r="1596" spans="1:6" hidden="1" x14ac:dyDescent="0.35">
      <c r="A1596" t="s">
        <v>66</v>
      </c>
      <c r="B1596" t="s">
        <v>43</v>
      </c>
      <c r="C1596" t="s">
        <v>44</v>
      </c>
      <c r="D1596">
        <v>0</v>
      </c>
      <c r="E1596" t="s">
        <v>41</v>
      </c>
      <c r="F1596" t="s">
        <v>45</v>
      </c>
    </row>
    <row r="1597" spans="1:6" hidden="1" x14ac:dyDescent="0.35">
      <c r="A1597" t="s">
        <v>67</v>
      </c>
      <c r="B1597" t="s">
        <v>43</v>
      </c>
      <c r="C1597" t="s">
        <v>44</v>
      </c>
      <c r="D1597">
        <v>0</v>
      </c>
      <c r="E1597" t="s">
        <v>41</v>
      </c>
      <c r="F1597" t="s">
        <v>45</v>
      </c>
    </row>
    <row r="1598" spans="1:6" hidden="1" x14ac:dyDescent="0.35">
      <c r="A1598" t="s">
        <v>57</v>
      </c>
      <c r="B1598" t="s">
        <v>43</v>
      </c>
      <c r="C1598" t="s">
        <v>22</v>
      </c>
      <c r="D1598">
        <v>0</v>
      </c>
      <c r="E1598" t="s">
        <v>41</v>
      </c>
      <c r="F1598" t="s">
        <v>45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41</v>
      </c>
      <c r="F1599" t="s">
        <v>45</v>
      </c>
    </row>
    <row r="1600" spans="1:6" hidden="1" x14ac:dyDescent="0.35">
      <c r="A1600" t="s">
        <v>58</v>
      </c>
      <c r="B1600" t="s">
        <v>43</v>
      </c>
      <c r="C1600" t="s">
        <v>22</v>
      </c>
      <c r="D1600">
        <v>0</v>
      </c>
      <c r="E1600" t="s">
        <v>41</v>
      </c>
      <c r="F1600" t="s">
        <v>45</v>
      </c>
    </row>
    <row r="1601" spans="1:6" hidden="1" x14ac:dyDescent="0.35">
      <c r="A1601" t="s">
        <v>59</v>
      </c>
      <c r="B1601" t="s">
        <v>43</v>
      </c>
      <c r="C1601" t="s">
        <v>22</v>
      </c>
      <c r="D1601">
        <v>0</v>
      </c>
      <c r="E1601" t="s">
        <v>41</v>
      </c>
      <c r="F1601" t="s">
        <v>45</v>
      </c>
    </row>
    <row r="1602" spans="1:6" hidden="1" x14ac:dyDescent="0.35">
      <c r="A1602" t="s">
        <v>60</v>
      </c>
      <c r="B1602" t="s">
        <v>43</v>
      </c>
      <c r="C1602" t="s">
        <v>22</v>
      </c>
      <c r="D1602">
        <v>0</v>
      </c>
      <c r="E1602" t="s">
        <v>41</v>
      </c>
      <c r="F1602" t="s">
        <v>45</v>
      </c>
    </row>
    <row r="1603" spans="1:6" hidden="1" x14ac:dyDescent="0.35">
      <c r="A1603" t="s">
        <v>61</v>
      </c>
      <c r="B1603" t="s">
        <v>43</v>
      </c>
      <c r="C1603" t="s">
        <v>22</v>
      </c>
      <c r="D1603">
        <v>0</v>
      </c>
      <c r="E1603" t="s">
        <v>41</v>
      </c>
      <c r="F1603" t="s">
        <v>45</v>
      </c>
    </row>
    <row r="1604" spans="1:6" hidden="1" x14ac:dyDescent="0.35">
      <c r="A1604" t="s">
        <v>62</v>
      </c>
      <c r="B1604" t="s">
        <v>43</v>
      </c>
      <c r="C1604" t="s">
        <v>22</v>
      </c>
      <c r="D1604">
        <v>0</v>
      </c>
      <c r="E1604" t="s">
        <v>41</v>
      </c>
      <c r="F1604" t="s">
        <v>45</v>
      </c>
    </row>
    <row r="1605" spans="1:6" hidden="1" x14ac:dyDescent="0.35">
      <c r="A1605" t="s">
        <v>63</v>
      </c>
      <c r="B1605" t="s">
        <v>43</v>
      </c>
      <c r="C1605" t="s">
        <v>22</v>
      </c>
      <c r="D1605">
        <v>0</v>
      </c>
      <c r="E1605" t="s">
        <v>41</v>
      </c>
      <c r="F1605" t="s">
        <v>45</v>
      </c>
    </row>
    <row r="1606" spans="1:6" hidden="1" x14ac:dyDescent="0.35">
      <c r="A1606" t="s">
        <v>64</v>
      </c>
      <c r="B1606" t="s">
        <v>43</v>
      </c>
      <c r="C1606" t="s">
        <v>22</v>
      </c>
      <c r="D1606">
        <v>0</v>
      </c>
      <c r="E1606" t="s">
        <v>41</v>
      </c>
      <c r="F1606" t="s">
        <v>45</v>
      </c>
    </row>
    <row r="1607" spans="1:6" hidden="1" x14ac:dyDescent="0.35">
      <c r="A1607" t="s">
        <v>65</v>
      </c>
      <c r="B1607" t="s">
        <v>43</v>
      </c>
      <c r="C1607" t="s">
        <v>22</v>
      </c>
      <c r="D1607">
        <v>0</v>
      </c>
      <c r="E1607" t="s">
        <v>41</v>
      </c>
      <c r="F1607" t="s">
        <v>45</v>
      </c>
    </row>
    <row r="1608" spans="1:6" hidden="1" x14ac:dyDescent="0.35">
      <c r="A1608" t="s">
        <v>66</v>
      </c>
      <c r="B1608" t="s">
        <v>43</v>
      </c>
      <c r="C1608" t="s">
        <v>22</v>
      </c>
      <c r="D1608">
        <v>0</v>
      </c>
      <c r="E1608" t="s">
        <v>41</v>
      </c>
      <c r="F1608" t="s">
        <v>45</v>
      </c>
    </row>
    <row r="1609" spans="1:6" hidden="1" x14ac:dyDescent="0.35">
      <c r="A1609" t="s">
        <v>67</v>
      </c>
      <c r="B1609" t="s">
        <v>43</v>
      </c>
      <c r="C1609" t="s">
        <v>22</v>
      </c>
      <c r="D1609">
        <v>0</v>
      </c>
      <c r="E1609" t="s">
        <v>41</v>
      </c>
      <c r="F1609" t="s">
        <v>45</v>
      </c>
    </row>
    <row r="1610" spans="1:6" hidden="1" x14ac:dyDescent="0.35">
      <c r="A1610" t="s">
        <v>57</v>
      </c>
      <c r="B1610" t="s">
        <v>43</v>
      </c>
      <c r="C1610" t="s">
        <v>46</v>
      </c>
      <c r="D1610">
        <v>91770.09</v>
      </c>
      <c r="E1610" t="s">
        <v>41</v>
      </c>
      <c r="F1610" t="s">
        <v>45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281569.33</v>
      </c>
      <c r="E1611" t="s">
        <v>41</v>
      </c>
      <c r="F1611" t="s">
        <v>45</v>
      </c>
    </row>
    <row r="1612" spans="1:6" hidden="1" x14ac:dyDescent="0.35">
      <c r="A1612" t="s">
        <v>58</v>
      </c>
      <c r="B1612" t="s">
        <v>43</v>
      </c>
      <c r="C1612" t="s">
        <v>46</v>
      </c>
      <c r="D1612">
        <v>52246.06</v>
      </c>
      <c r="E1612" t="s">
        <v>41</v>
      </c>
      <c r="F1612" t="s">
        <v>45</v>
      </c>
    </row>
    <row r="1613" spans="1:6" hidden="1" x14ac:dyDescent="0.35">
      <c r="A1613" t="s">
        <v>59</v>
      </c>
      <c r="B1613" t="s">
        <v>43</v>
      </c>
      <c r="C1613" t="s">
        <v>46</v>
      </c>
      <c r="D1613">
        <v>353710.61</v>
      </c>
      <c r="E1613" t="s">
        <v>41</v>
      </c>
      <c r="F1613" t="s">
        <v>45</v>
      </c>
    </row>
    <row r="1614" spans="1:6" hidden="1" x14ac:dyDescent="0.35">
      <c r="A1614" t="s">
        <v>60</v>
      </c>
      <c r="B1614" t="s">
        <v>43</v>
      </c>
      <c r="C1614" t="s">
        <v>46</v>
      </c>
      <c r="D1614">
        <v>192420.1</v>
      </c>
      <c r="E1614" t="s">
        <v>41</v>
      </c>
      <c r="F1614" t="s">
        <v>45</v>
      </c>
    </row>
    <row r="1615" spans="1:6" hidden="1" x14ac:dyDescent="0.35">
      <c r="A1615" t="s">
        <v>61</v>
      </c>
      <c r="B1615" t="s">
        <v>43</v>
      </c>
      <c r="C1615" t="s">
        <v>46</v>
      </c>
      <c r="D1615">
        <v>292565.71999999997</v>
      </c>
      <c r="E1615" t="s">
        <v>41</v>
      </c>
      <c r="F1615" t="s">
        <v>45</v>
      </c>
    </row>
    <row r="1616" spans="1:6" hidden="1" x14ac:dyDescent="0.35">
      <c r="A1616" t="s">
        <v>62</v>
      </c>
      <c r="B1616" t="s">
        <v>43</v>
      </c>
      <c r="C1616" t="s">
        <v>46</v>
      </c>
      <c r="D1616">
        <v>339759.11</v>
      </c>
      <c r="E1616" t="s">
        <v>41</v>
      </c>
      <c r="F1616" t="s">
        <v>45</v>
      </c>
    </row>
    <row r="1617" spans="1:6" hidden="1" x14ac:dyDescent="0.35">
      <c r="A1617" t="s">
        <v>63</v>
      </c>
      <c r="B1617" t="s">
        <v>43</v>
      </c>
      <c r="C1617" t="s">
        <v>46</v>
      </c>
      <c r="D1617">
        <v>429870.43000000011</v>
      </c>
      <c r="E1617" t="s">
        <v>41</v>
      </c>
      <c r="F1617" t="s">
        <v>45</v>
      </c>
    </row>
    <row r="1618" spans="1:6" hidden="1" x14ac:dyDescent="0.35">
      <c r="A1618" t="s">
        <v>64</v>
      </c>
      <c r="B1618" t="s">
        <v>43</v>
      </c>
      <c r="C1618" t="s">
        <v>46</v>
      </c>
      <c r="D1618">
        <v>87184.09</v>
      </c>
      <c r="E1618" t="s">
        <v>41</v>
      </c>
      <c r="F1618" t="s">
        <v>45</v>
      </c>
    </row>
    <row r="1619" spans="1:6" hidden="1" x14ac:dyDescent="0.35">
      <c r="A1619" t="s">
        <v>65</v>
      </c>
      <c r="B1619" t="s">
        <v>43</v>
      </c>
      <c r="C1619" t="s">
        <v>46</v>
      </c>
      <c r="D1619">
        <v>435646.44</v>
      </c>
      <c r="E1619" t="s">
        <v>41</v>
      </c>
      <c r="F1619" t="s">
        <v>45</v>
      </c>
    </row>
    <row r="1620" spans="1:6" hidden="1" x14ac:dyDescent="0.35">
      <c r="A1620" t="s">
        <v>66</v>
      </c>
      <c r="B1620" t="s">
        <v>43</v>
      </c>
      <c r="C1620" t="s">
        <v>46</v>
      </c>
      <c r="D1620">
        <v>212049.29</v>
      </c>
      <c r="E1620" t="s">
        <v>41</v>
      </c>
      <c r="F1620" t="s">
        <v>45</v>
      </c>
    </row>
    <row r="1621" spans="1:6" hidden="1" x14ac:dyDescent="0.35">
      <c r="A1621" t="s">
        <v>67</v>
      </c>
      <c r="B1621" t="s">
        <v>43</v>
      </c>
      <c r="C1621" t="s">
        <v>46</v>
      </c>
      <c r="D1621">
        <v>219031.03</v>
      </c>
      <c r="E1621" t="s">
        <v>41</v>
      </c>
      <c r="F1621" t="s">
        <v>45</v>
      </c>
    </row>
    <row r="1622" spans="1:6" hidden="1" x14ac:dyDescent="0.35">
      <c r="A1622" t="s">
        <v>57</v>
      </c>
      <c r="B1622" t="s">
        <v>43</v>
      </c>
      <c r="C1622" t="s">
        <v>24</v>
      </c>
      <c r="D1622">
        <v>0</v>
      </c>
      <c r="E1622" t="s">
        <v>41</v>
      </c>
      <c r="F1622" t="s">
        <v>45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41</v>
      </c>
      <c r="F1623" t="s">
        <v>45</v>
      </c>
    </row>
    <row r="1624" spans="1:6" hidden="1" x14ac:dyDescent="0.35">
      <c r="A1624" t="s">
        <v>58</v>
      </c>
      <c r="B1624" t="s">
        <v>43</v>
      </c>
      <c r="C1624" t="s">
        <v>24</v>
      </c>
      <c r="D1624">
        <v>0</v>
      </c>
      <c r="E1624" t="s">
        <v>41</v>
      </c>
      <c r="F1624" t="s">
        <v>45</v>
      </c>
    </row>
    <row r="1625" spans="1:6" hidden="1" x14ac:dyDescent="0.35">
      <c r="A1625" t="s">
        <v>59</v>
      </c>
      <c r="B1625" t="s">
        <v>43</v>
      </c>
      <c r="C1625" t="s">
        <v>24</v>
      </c>
      <c r="D1625">
        <v>0</v>
      </c>
      <c r="E1625" t="s">
        <v>41</v>
      </c>
      <c r="F1625" t="s">
        <v>45</v>
      </c>
    </row>
    <row r="1626" spans="1:6" hidden="1" x14ac:dyDescent="0.35">
      <c r="A1626" t="s">
        <v>60</v>
      </c>
      <c r="B1626" t="s">
        <v>43</v>
      </c>
      <c r="C1626" t="s">
        <v>24</v>
      </c>
      <c r="D1626">
        <v>0</v>
      </c>
      <c r="E1626" t="s">
        <v>41</v>
      </c>
      <c r="F1626" t="s">
        <v>45</v>
      </c>
    </row>
    <row r="1627" spans="1:6" hidden="1" x14ac:dyDescent="0.35">
      <c r="A1627" t="s">
        <v>61</v>
      </c>
      <c r="B1627" t="s">
        <v>43</v>
      </c>
      <c r="C1627" t="s">
        <v>24</v>
      </c>
      <c r="D1627">
        <v>0</v>
      </c>
      <c r="E1627" t="s">
        <v>41</v>
      </c>
      <c r="F1627" t="s">
        <v>45</v>
      </c>
    </row>
    <row r="1628" spans="1:6" hidden="1" x14ac:dyDescent="0.35">
      <c r="A1628" t="s">
        <v>62</v>
      </c>
      <c r="B1628" t="s">
        <v>43</v>
      </c>
      <c r="C1628" t="s">
        <v>24</v>
      </c>
      <c r="D1628">
        <v>0</v>
      </c>
      <c r="E1628" t="s">
        <v>41</v>
      </c>
      <c r="F1628" t="s">
        <v>45</v>
      </c>
    </row>
    <row r="1629" spans="1:6" hidden="1" x14ac:dyDescent="0.35">
      <c r="A1629" t="s">
        <v>63</v>
      </c>
      <c r="B1629" t="s">
        <v>43</v>
      </c>
      <c r="C1629" t="s">
        <v>24</v>
      </c>
      <c r="D1629">
        <v>0</v>
      </c>
      <c r="E1629" t="s">
        <v>41</v>
      </c>
      <c r="F1629" t="s">
        <v>45</v>
      </c>
    </row>
    <row r="1630" spans="1:6" hidden="1" x14ac:dyDescent="0.35">
      <c r="A1630" t="s">
        <v>64</v>
      </c>
      <c r="B1630" t="s">
        <v>43</v>
      </c>
      <c r="C1630" t="s">
        <v>24</v>
      </c>
      <c r="D1630">
        <v>0</v>
      </c>
      <c r="E1630" t="s">
        <v>41</v>
      </c>
      <c r="F1630" t="s">
        <v>45</v>
      </c>
    </row>
    <row r="1631" spans="1:6" hidden="1" x14ac:dyDescent="0.35">
      <c r="A1631" t="s">
        <v>65</v>
      </c>
      <c r="B1631" t="s">
        <v>43</v>
      </c>
      <c r="C1631" t="s">
        <v>24</v>
      </c>
      <c r="D1631">
        <v>0</v>
      </c>
      <c r="E1631" t="s">
        <v>41</v>
      </c>
      <c r="F1631" t="s">
        <v>45</v>
      </c>
    </row>
    <row r="1632" spans="1:6" hidden="1" x14ac:dyDescent="0.35">
      <c r="A1632" t="s">
        <v>66</v>
      </c>
      <c r="B1632" t="s">
        <v>43</v>
      </c>
      <c r="C1632" t="s">
        <v>24</v>
      </c>
      <c r="D1632">
        <v>0</v>
      </c>
      <c r="E1632" t="s">
        <v>41</v>
      </c>
      <c r="F1632" t="s">
        <v>45</v>
      </c>
    </row>
    <row r="1633" spans="1:6" hidden="1" x14ac:dyDescent="0.35">
      <c r="A1633" t="s">
        <v>67</v>
      </c>
      <c r="B1633" t="s">
        <v>43</v>
      </c>
      <c r="C1633" t="s">
        <v>24</v>
      </c>
      <c r="D1633">
        <v>0</v>
      </c>
      <c r="E1633" t="s">
        <v>41</v>
      </c>
      <c r="F1633" t="s">
        <v>45</v>
      </c>
    </row>
    <row r="1634" spans="1:6" hidden="1" x14ac:dyDescent="0.35">
      <c r="A1634" t="s">
        <v>57</v>
      </c>
      <c r="B1634" t="s">
        <v>43</v>
      </c>
      <c r="C1634" t="s">
        <v>47</v>
      </c>
      <c r="D1634">
        <v>0</v>
      </c>
      <c r="E1634" t="s">
        <v>41</v>
      </c>
      <c r="F1634" t="s">
        <v>45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41</v>
      </c>
      <c r="F1635" t="s">
        <v>45</v>
      </c>
    </row>
    <row r="1636" spans="1:6" hidden="1" x14ac:dyDescent="0.35">
      <c r="A1636" t="s">
        <v>58</v>
      </c>
      <c r="B1636" t="s">
        <v>43</v>
      </c>
      <c r="C1636" t="s">
        <v>47</v>
      </c>
      <c r="D1636">
        <v>0</v>
      </c>
      <c r="E1636" t="s">
        <v>41</v>
      </c>
      <c r="F1636" t="s">
        <v>45</v>
      </c>
    </row>
    <row r="1637" spans="1:6" hidden="1" x14ac:dyDescent="0.35">
      <c r="A1637" t="s">
        <v>59</v>
      </c>
      <c r="B1637" t="s">
        <v>43</v>
      </c>
      <c r="C1637" t="s">
        <v>47</v>
      </c>
      <c r="D1637">
        <v>0</v>
      </c>
      <c r="E1637" t="s">
        <v>41</v>
      </c>
      <c r="F1637" t="s">
        <v>45</v>
      </c>
    </row>
    <row r="1638" spans="1:6" hidden="1" x14ac:dyDescent="0.35">
      <c r="A1638" t="s">
        <v>60</v>
      </c>
      <c r="B1638" t="s">
        <v>43</v>
      </c>
      <c r="C1638" t="s">
        <v>47</v>
      </c>
      <c r="D1638">
        <v>0</v>
      </c>
      <c r="E1638" t="s">
        <v>41</v>
      </c>
      <c r="F1638" t="s">
        <v>45</v>
      </c>
    </row>
    <row r="1639" spans="1:6" hidden="1" x14ac:dyDescent="0.35">
      <c r="A1639" t="s">
        <v>61</v>
      </c>
      <c r="B1639" t="s">
        <v>43</v>
      </c>
      <c r="C1639" t="s">
        <v>47</v>
      </c>
      <c r="D1639">
        <v>0</v>
      </c>
      <c r="E1639" t="s">
        <v>41</v>
      </c>
      <c r="F1639" t="s">
        <v>45</v>
      </c>
    </row>
    <row r="1640" spans="1:6" hidden="1" x14ac:dyDescent="0.35">
      <c r="A1640" t="s">
        <v>62</v>
      </c>
      <c r="B1640" t="s">
        <v>43</v>
      </c>
      <c r="C1640" t="s">
        <v>47</v>
      </c>
      <c r="D1640">
        <v>0</v>
      </c>
      <c r="E1640" t="s">
        <v>41</v>
      </c>
      <c r="F1640" t="s">
        <v>45</v>
      </c>
    </row>
    <row r="1641" spans="1:6" hidden="1" x14ac:dyDescent="0.35">
      <c r="A1641" t="s">
        <v>63</v>
      </c>
      <c r="B1641" t="s">
        <v>43</v>
      </c>
      <c r="C1641" t="s">
        <v>47</v>
      </c>
      <c r="D1641">
        <v>0</v>
      </c>
      <c r="E1641" t="s">
        <v>41</v>
      </c>
      <c r="F1641" t="s">
        <v>45</v>
      </c>
    </row>
    <row r="1642" spans="1:6" hidden="1" x14ac:dyDescent="0.35">
      <c r="A1642" t="s">
        <v>64</v>
      </c>
      <c r="B1642" t="s">
        <v>43</v>
      </c>
      <c r="C1642" t="s">
        <v>47</v>
      </c>
      <c r="D1642">
        <v>0</v>
      </c>
      <c r="E1642" t="s">
        <v>41</v>
      </c>
      <c r="F1642" t="s">
        <v>45</v>
      </c>
    </row>
    <row r="1643" spans="1:6" hidden="1" x14ac:dyDescent="0.35">
      <c r="A1643" t="s">
        <v>65</v>
      </c>
      <c r="B1643" t="s">
        <v>43</v>
      </c>
      <c r="C1643" t="s">
        <v>47</v>
      </c>
      <c r="D1643">
        <v>0</v>
      </c>
      <c r="E1643" t="s">
        <v>41</v>
      </c>
      <c r="F1643" t="s">
        <v>45</v>
      </c>
    </row>
    <row r="1644" spans="1:6" hidden="1" x14ac:dyDescent="0.35">
      <c r="A1644" t="s">
        <v>66</v>
      </c>
      <c r="B1644" t="s">
        <v>43</v>
      </c>
      <c r="C1644" t="s">
        <v>47</v>
      </c>
      <c r="D1644">
        <v>0</v>
      </c>
      <c r="E1644" t="s">
        <v>41</v>
      </c>
      <c r="F1644" t="s">
        <v>45</v>
      </c>
    </row>
    <row r="1645" spans="1:6" hidden="1" x14ac:dyDescent="0.35">
      <c r="A1645" t="s">
        <v>67</v>
      </c>
      <c r="B1645" t="s">
        <v>43</v>
      </c>
      <c r="C1645" t="s">
        <v>47</v>
      </c>
      <c r="D1645">
        <v>0</v>
      </c>
      <c r="E1645" t="s">
        <v>41</v>
      </c>
      <c r="F1645" t="s">
        <v>45</v>
      </c>
    </row>
    <row r="1646" spans="1:6" hidden="1" x14ac:dyDescent="0.35">
      <c r="A1646" t="s">
        <v>57</v>
      </c>
      <c r="B1646" t="s">
        <v>43</v>
      </c>
      <c r="C1646" t="s">
        <v>48</v>
      </c>
      <c r="D1646">
        <v>0</v>
      </c>
      <c r="E1646" t="s">
        <v>41</v>
      </c>
      <c r="F1646" t="s">
        <v>45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41</v>
      </c>
      <c r="F1647" t="s">
        <v>45</v>
      </c>
    </row>
    <row r="1648" spans="1:6" hidden="1" x14ac:dyDescent="0.35">
      <c r="A1648" t="s">
        <v>58</v>
      </c>
      <c r="B1648" t="s">
        <v>43</v>
      </c>
      <c r="C1648" t="s">
        <v>48</v>
      </c>
      <c r="D1648">
        <v>0</v>
      </c>
      <c r="E1648" t="s">
        <v>41</v>
      </c>
      <c r="F1648" t="s">
        <v>45</v>
      </c>
    </row>
    <row r="1649" spans="1:6" hidden="1" x14ac:dyDescent="0.35">
      <c r="A1649" t="s">
        <v>59</v>
      </c>
      <c r="B1649" t="s">
        <v>43</v>
      </c>
      <c r="C1649" t="s">
        <v>48</v>
      </c>
      <c r="D1649">
        <v>0</v>
      </c>
      <c r="E1649" t="s">
        <v>41</v>
      </c>
      <c r="F1649" t="s">
        <v>45</v>
      </c>
    </row>
    <row r="1650" spans="1:6" hidden="1" x14ac:dyDescent="0.35">
      <c r="A1650" t="s">
        <v>60</v>
      </c>
      <c r="B1650" t="s">
        <v>43</v>
      </c>
      <c r="C1650" t="s">
        <v>48</v>
      </c>
      <c r="D1650">
        <v>0</v>
      </c>
      <c r="E1650" t="s">
        <v>41</v>
      </c>
      <c r="F1650" t="s">
        <v>45</v>
      </c>
    </row>
    <row r="1651" spans="1:6" hidden="1" x14ac:dyDescent="0.35">
      <c r="A1651" t="s">
        <v>61</v>
      </c>
      <c r="B1651" t="s">
        <v>43</v>
      </c>
      <c r="C1651" t="s">
        <v>48</v>
      </c>
      <c r="D1651">
        <v>0</v>
      </c>
      <c r="E1651" t="s">
        <v>41</v>
      </c>
      <c r="F1651" t="s">
        <v>45</v>
      </c>
    </row>
    <row r="1652" spans="1:6" hidden="1" x14ac:dyDescent="0.35">
      <c r="A1652" t="s">
        <v>62</v>
      </c>
      <c r="B1652" t="s">
        <v>43</v>
      </c>
      <c r="C1652" t="s">
        <v>48</v>
      </c>
      <c r="D1652">
        <v>0</v>
      </c>
      <c r="E1652" t="s">
        <v>41</v>
      </c>
      <c r="F1652" t="s">
        <v>45</v>
      </c>
    </row>
    <row r="1653" spans="1:6" hidden="1" x14ac:dyDescent="0.35">
      <c r="A1653" t="s">
        <v>63</v>
      </c>
      <c r="B1653" t="s">
        <v>43</v>
      </c>
      <c r="C1653" t="s">
        <v>48</v>
      </c>
      <c r="D1653">
        <v>0</v>
      </c>
      <c r="E1653" t="s">
        <v>41</v>
      </c>
      <c r="F1653" t="s">
        <v>45</v>
      </c>
    </row>
    <row r="1654" spans="1:6" hidden="1" x14ac:dyDescent="0.35">
      <c r="A1654" t="s">
        <v>64</v>
      </c>
      <c r="B1654" t="s">
        <v>43</v>
      </c>
      <c r="C1654" t="s">
        <v>48</v>
      </c>
      <c r="D1654">
        <v>0</v>
      </c>
      <c r="E1654" t="s">
        <v>41</v>
      </c>
      <c r="F1654" t="s">
        <v>45</v>
      </c>
    </row>
    <row r="1655" spans="1:6" hidden="1" x14ac:dyDescent="0.35">
      <c r="A1655" t="s">
        <v>65</v>
      </c>
      <c r="B1655" t="s">
        <v>43</v>
      </c>
      <c r="C1655" t="s">
        <v>48</v>
      </c>
      <c r="D1655">
        <v>0</v>
      </c>
      <c r="E1655" t="s">
        <v>41</v>
      </c>
      <c r="F1655" t="s">
        <v>45</v>
      </c>
    </row>
    <row r="1656" spans="1:6" hidden="1" x14ac:dyDescent="0.35">
      <c r="A1656" t="s">
        <v>66</v>
      </c>
      <c r="B1656" t="s">
        <v>43</v>
      </c>
      <c r="C1656" t="s">
        <v>48</v>
      </c>
      <c r="D1656">
        <v>0</v>
      </c>
      <c r="E1656" t="s">
        <v>41</v>
      </c>
      <c r="F1656" t="s">
        <v>45</v>
      </c>
    </row>
    <row r="1657" spans="1:6" hidden="1" x14ac:dyDescent="0.35">
      <c r="A1657" t="s">
        <v>67</v>
      </c>
      <c r="B1657" t="s">
        <v>43</v>
      </c>
      <c r="C1657" t="s">
        <v>48</v>
      </c>
      <c r="D1657">
        <v>0</v>
      </c>
      <c r="E1657" t="s">
        <v>41</v>
      </c>
      <c r="F1657" t="s">
        <v>45</v>
      </c>
    </row>
    <row r="1658" spans="1:6" hidden="1" x14ac:dyDescent="0.35">
      <c r="A1658" t="s">
        <v>57</v>
      </c>
      <c r="B1658" t="s">
        <v>43</v>
      </c>
      <c r="C1658" t="s">
        <v>49</v>
      </c>
      <c r="D1658">
        <v>0</v>
      </c>
      <c r="E1658" t="s">
        <v>41</v>
      </c>
      <c r="F1658" t="s">
        <v>45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41</v>
      </c>
      <c r="F1659" t="s">
        <v>45</v>
      </c>
    </row>
    <row r="1660" spans="1:6" hidden="1" x14ac:dyDescent="0.35">
      <c r="A1660" t="s">
        <v>58</v>
      </c>
      <c r="B1660" t="s">
        <v>43</v>
      </c>
      <c r="C1660" t="s">
        <v>49</v>
      </c>
      <c r="D1660">
        <v>0</v>
      </c>
      <c r="E1660" t="s">
        <v>41</v>
      </c>
      <c r="F1660" t="s">
        <v>45</v>
      </c>
    </row>
    <row r="1661" spans="1:6" hidden="1" x14ac:dyDescent="0.35">
      <c r="A1661" t="s">
        <v>59</v>
      </c>
      <c r="B1661" t="s">
        <v>43</v>
      </c>
      <c r="C1661" t="s">
        <v>49</v>
      </c>
      <c r="D1661">
        <v>0</v>
      </c>
      <c r="E1661" t="s">
        <v>41</v>
      </c>
      <c r="F1661" t="s">
        <v>45</v>
      </c>
    </row>
    <row r="1662" spans="1:6" hidden="1" x14ac:dyDescent="0.35">
      <c r="A1662" t="s">
        <v>60</v>
      </c>
      <c r="B1662" t="s">
        <v>43</v>
      </c>
      <c r="C1662" t="s">
        <v>49</v>
      </c>
      <c r="D1662">
        <v>0</v>
      </c>
      <c r="E1662" t="s">
        <v>41</v>
      </c>
      <c r="F1662" t="s">
        <v>45</v>
      </c>
    </row>
    <row r="1663" spans="1:6" hidden="1" x14ac:dyDescent="0.35">
      <c r="A1663" t="s">
        <v>61</v>
      </c>
      <c r="B1663" t="s">
        <v>43</v>
      </c>
      <c r="C1663" t="s">
        <v>49</v>
      </c>
      <c r="D1663">
        <v>0</v>
      </c>
      <c r="E1663" t="s">
        <v>41</v>
      </c>
      <c r="F1663" t="s">
        <v>45</v>
      </c>
    </row>
    <row r="1664" spans="1:6" hidden="1" x14ac:dyDescent="0.35">
      <c r="A1664" t="s">
        <v>62</v>
      </c>
      <c r="B1664" t="s">
        <v>43</v>
      </c>
      <c r="C1664" t="s">
        <v>49</v>
      </c>
      <c r="D1664">
        <v>0</v>
      </c>
      <c r="E1664" t="s">
        <v>41</v>
      </c>
      <c r="F1664" t="s">
        <v>45</v>
      </c>
    </row>
    <row r="1665" spans="1:6" hidden="1" x14ac:dyDescent="0.35">
      <c r="A1665" t="s">
        <v>63</v>
      </c>
      <c r="B1665" t="s">
        <v>43</v>
      </c>
      <c r="C1665" t="s">
        <v>49</v>
      </c>
      <c r="D1665">
        <v>0</v>
      </c>
      <c r="E1665" t="s">
        <v>41</v>
      </c>
      <c r="F1665" t="s">
        <v>45</v>
      </c>
    </row>
    <row r="1666" spans="1:6" hidden="1" x14ac:dyDescent="0.35">
      <c r="A1666" t="s">
        <v>64</v>
      </c>
      <c r="B1666" t="s">
        <v>43</v>
      </c>
      <c r="C1666" t="s">
        <v>49</v>
      </c>
      <c r="D1666">
        <v>0</v>
      </c>
      <c r="E1666" t="s">
        <v>41</v>
      </c>
      <c r="F1666" t="s">
        <v>45</v>
      </c>
    </row>
    <row r="1667" spans="1:6" hidden="1" x14ac:dyDescent="0.35">
      <c r="A1667" t="s">
        <v>65</v>
      </c>
      <c r="B1667" t="s">
        <v>43</v>
      </c>
      <c r="C1667" t="s">
        <v>49</v>
      </c>
      <c r="D1667">
        <v>0</v>
      </c>
      <c r="E1667" t="s">
        <v>41</v>
      </c>
      <c r="F1667" t="s">
        <v>45</v>
      </c>
    </row>
    <row r="1668" spans="1:6" hidden="1" x14ac:dyDescent="0.35">
      <c r="A1668" t="s">
        <v>66</v>
      </c>
      <c r="B1668" t="s">
        <v>43</v>
      </c>
      <c r="C1668" t="s">
        <v>49</v>
      </c>
      <c r="D1668">
        <v>0</v>
      </c>
      <c r="E1668" t="s">
        <v>41</v>
      </c>
      <c r="F1668" t="s">
        <v>45</v>
      </c>
    </row>
    <row r="1669" spans="1:6" hidden="1" x14ac:dyDescent="0.35">
      <c r="A1669" t="s">
        <v>67</v>
      </c>
      <c r="B1669" t="s">
        <v>43</v>
      </c>
      <c r="C1669" t="s">
        <v>49</v>
      </c>
      <c r="D1669">
        <v>0</v>
      </c>
      <c r="E1669" t="s">
        <v>41</v>
      </c>
      <c r="F1669" t="s">
        <v>45</v>
      </c>
    </row>
    <row r="1670" spans="1:6" hidden="1" x14ac:dyDescent="0.35">
      <c r="A1670" t="s">
        <v>57</v>
      </c>
      <c r="B1670" t="s">
        <v>43</v>
      </c>
      <c r="C1670" t="s">
        <v>50</v>
      </c>
      <c r="D1670">
        <v>0</v>
      </c>
      <c r="E1670" t="s">
        <v>41</v>
      </c>
      <c r="F1670" t="s">
        <v>45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41</v>
      </c>
      <c r="F1671" t="s">
        <v>45</v>
      </c>
    </row>
    <row r="1672" spans="1:6" hidden="1" x14ac:dyDescent="0.35">
      <c r="A1672" t="s">
        <v>58</v>
      </c>
      <c r="B1672" t="s">
        <v>43</v>
      </c>
      <c r="C1672" t="s">
        <v>50</v>
      </c>
      <c r="D1672">
        <v>0</v>
      </c>
      <c r="E1672" t="s">
        <v>41</v>
      </c>
      <c r="F1672" t="s">
        <v>45</v>
      </c>
    </row>
    <row r="1673" spans="1:6" hidden="1" x14ac:dyDescent="0.35">
      <c r="A1673" t="s">
        <v>59</v>
      </c>
      <c r="B1673" t="s">
        <v>43</v>
      </c>
      <c r="C1673" t="s">
        <v>50</v>
      </c>
      <c r="D1673">
        <v>0</v>
      </c>
      <c r="E1673" t="s">
        <v>41</v>
      </c>
      <c r="F1673" t="s">
        <v>45</v>
      </c>
    </row>
    <row r="1674" spans="1:6" hidden="1" x14ac:dyDescent="0.35">
      <c r="A1674" t="s">
        <v>60</v>
      </c>
      <c r="B1674" t="s">
        <v>43</v>
      </c>
      <c r="C1674" t="s">
        <v>50</v>
      </c>
      <c r="D1674">
        <v>0</v>
      </c>
      <c r="E1674" t="s">
        <v>41</v>
      </c>
      <c r="F1674" t="s">
        <v>45</v>
      </c>
    </row>
    <row r="1675" spans="1:6" hidden="1" x14ac:dyDescent="0.35">
      <c r="A1675" t="s">
        <v>61</v>
      </c>
      <c r="B1675" t="s">
        <v>43</v>
      </c>
      <c r="C1675" t="s">
        <v>50</v>
      </c>
      <c r="D1675">
        <v>0</v>
      </c>
      <c r="E1675" t="s">
        <v>41</v>
      </c>
      <c r="F1675" t="s">
        <v>45</v>
      </c>
    </row>
    <row r="1676" spans="1:6" hidden="1" x14ac:dyDescent="0.35">
      <c r="A1676" t="s">
        <v>62</v>
      </c>
      <c r="B1676" t="s">
        <v>43</v>
      </c>
      <c r="C1676" t="s">
        <v>50</v>
      </c>
      <c r="D1676">
        <v>0</v>
      </c>
      <c r="E1676" t="s">
        <v>41</v>
      </c>
      <c r="F1676" t="s">
        <v>45</v>
      </c>
    </row>
    <row r="1677" spans="1:6" hidden="1" x14ac:dyDescent="0.35">
      <c r="A1677" t="s">
        <v>63</v>
      </c>
      <c r="B1677" t="s">
        <v>43</v>
      </c>
      <c r="C1677" t="s">
        <v>50</v>
      </c>
      <c r="D1677">
        <v>0</v>
      </c>
      <c r="E1677" t="s">
        <v>41</v>
      </c>
      <c r="F1677" t="s">
        <v>45</v>
      </c>
    </row>
    <row r="1678" spans="1:6" hidden="1" x14ac:dyDescent="0.35">
      <c r="A1678" t="s">
        <v>64</v>
      </c>
      <c r="B1678" t="s">
        <v>43</v>
      </c>
      <c r="C1678" t="s">
        <v>50</v>
      </c>
      <c r="D1678">
        <v>0</v>
      </c>
      <c r="E1678" t="s">
        <v>41</v>
      </c>
      <c r="F1678" t="s">
        <v>45</v>
      </c>
    </row>
    <row r="1679" spans="1:6" hidden="1" x14ac:dyDescent="0.35">
      <c r="A1679" t="s">
        <v>65</v>
      </c>
      <c r="B1679" t="s">
        <v>43</v>
      </c>
      <c r="C1679" t="s">
        <v>50</v>
      </c>
      <c r="D1679">
        <v>0</v>
      </c>
      <c r="E1679" t="s">
        <v>41</v>
      </c>
      <c r="F1679" t="s">
        <v>45</v>
      </c>
    </row>
    <row r="1680" spans="1:6" hidden="1" x14ac:dyDescent="0.35">
      <c r="A1680" t="s">
        <v>66</v>
      </c>
      <c r="B1680" t="s">
        <v>43</v>
      </c>
      <c r="C1680" t="s">
        <v>50</v>
      </c>
      <c r="D1680">
        <v>0</v>
      </c>
      <c r="E1680" t="s">
        <v>41</v>
      </c>
      <c r="F1680" t="s">
        <v>45</v>
      </c>
    </row>
    <row r="1681" spans="1:6" hidden="1" x14ac:dyDescent="0.35">
      <c r="A1681" t="s">
        <v>67</v>
      </c>
      <c r="B1681" t="s">
        <v>43</v>
      </c>
      <c r="C1681" t="s">
        <v>50</v>
      </c>
      <c r="D1681">
        <v>0</v>
      </c>
      <c r="E1681" t="s">
        <v>41</v>
      </c>
      <c r="F1681" t="s">
        <v>45</v>
      </c>
    </row>
    <row r="1682" spans="1:6" hidden="1" x14ac:dyDescent="0.35">
      <c r="A1682" t="s">
        <v>57</v>
      </c>
      <c r="B1682" t="s">
        <v>43</v>
      </c>
      <c r="C1682" t="s">
        <v>51</v>
      </c>
      <c r="D1682">
        <v>15</v>
      </c>
      <c r="E1682" t="s">
        <v>41</v>
      </c>
      <c r="F1682" t="s">
        <v>45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18</v>
      </c>
      <c r="E1683" t="s">
        <v>41</v>
      </c>
      <c r="F1683" t="s">
        <v>45</v>
      </c>
    </row>
    <row r="1684" spans="1:6" hidden="1" x14ac:dyDescent="0.35">
      <c r="A1684" t="s">
        <v>58</v>
      </c>
      <c r="B1684" t="s">
        <v>43</v>
      </c>
      <c r="C1684" t="s">
        <v>51</v>
      </c>
      <c r="D1684">
        <v>13</v>
      </c>
      <c r="E1684" t="s">
        <v>41</v>
      </c>
      <c r="F1684" t="s">
        <v>45</v>
      </c>
    </row>
    <row r="1685" spans="1:6" hidden="1" x14ac:dyDescent="0.35">
      <c r="A1685" t="s">
        <v>59</v>
      </c>
      <c r="B1685" t="s">
        <v>43</v>
      </c>
      <c r="C1685" t="s">
        <v>51</v>
      </c>
      <c r="D1685">
        <v>18</v>
      </c>
      <c r="E1685" t="s">
        <v>41</v>
      </c>
      <c r="F1685" t="s">
        <v>45</v>
      </c>
    </row>
    <row r="1686" spans="1:6" hidden="1" x14ac:dyDescent="0.35">
      <c r="A1686" t="s">
        <v>60</v>
      </c>
      <c r="B1686" t="s">
        <v>43</v>
      </c>
      <c r="C1686" t="s">
        <v>51</v>
      </c>
      <c r="D1686">
        <v>12</v>
      </c>
      <c r="E1686" t="s">
        <v>41</v>
      </c>
      <c r="F1686" t="s">
        <v>45</v>
      </c>
    </row>
    <row r="1687" spans="1:6" hidden="1" x14ac:dyDescent="0.35">
      <c r="A1687" t="s">
        <v>61</v>
      </c>
      <c r="B1687" t="s">
        <v>43</v>
      </c>
      <c r="C1687" t="s">
        <v>51</v>
      </c>
      <c r="D1687">
        <v>13</v>
      </c>
      <c r="E1687" t="s">
        <v>41</v>
      </c>
      <c r="F1687" t="s">
        <v>45</v>
      </c>
    </row>
    <row r="1688" spans="1:6" hidden="1" x14ac:dyDescent="0.35">
      <c r="A1688" t="s">
        <v>62</v>
      </c>
      <c r="B1688" t="s">
        <v>43</v>
      </c>
      <c r="C1688" t="s">
        <v>51</v>
      </c>
      <c r="D1688">
        <v>10</v>
      </c>
      <c r="E1688" t="s">
        <v>41</v>
      </c>
      <c r="F1688" t="s">
        <v>45</v>
      </c>
    </row>
    <row r="1689" spans="1:6" hidden="1" x14ac:dyDescent="0.35">
      <c r="A1689" t="s">
        <v>63</v>
      </c>
      <c r="B1689" t="s">
        <v>43</v>
      </c>
      <c r="C1689" t="s">
        <v>51</v>
      </c>
      <c r="D1689">
        <v>15</v>
      </c>
      <c r="E1689" t="s">
        <v>41</v>
      </c>
      <c r="F1689" t="s">
        <v>45</v>
      </c>
    </row>
    <row r="1690" spans="1:6" hidden="1" x14ac:dyDescent="0.35">
      <c r="A1690" t="s">
        <v>64</v>
      </c>
      <c r="B1690" t="s">
        <v>43</v>
      </c>
      <c r="C1690" t="s">
        <v>51</v>
      </c>
      <c r="D1690">
        <v>13</v>
      </c>
      <c r="E1690" t="s">
        <v>41</v>
      </c>
      <c r="F1690" t="s">
        <v>45</v>
      </c>
    </row>
    <row r="1691" spans="1:6" hidden="1" x14ac:dyDescent="0.35">
      <c r="A1691" t="s">
        <v>65</v>
      </c>
      <c r="B1691" t="s">
        <v>43</v>
      </c>
      <c r="C1691" t="s">
        <v>51</v>
      </c>
      <c r="D1691">
        <v>13</v>
      </c>
      <c r="E1691" t="s">
        <v>41</v>
      </c>
      <c r="F1691" t="s">
        <v>45</v>
      </c>
    </row>
    <row r="1692" spans="1:6" hidden="1" x14ac:dyDescent="0.35">
      <c r="A1692" t="s">
        <v>66</v>
      </c>
      <c r="B1692" t="s">
        <v>43</v>
      </c>
      <c r="C1692" t="s">
        <v>51</v>
      </c>
      <c r="D1692">
        <v>5</v>
      </c>
      <c r="E1692" t="s">
        <v>41</v>
      </c>
      <c r="F1692" t="s">
        <v>45</v>
      </c>
    </row>
    <row r="1693" spans="1:6" hidden="1" x14ac:dyDescent="0.35">
      <c r="A1693" t="s">
        <v>67</v>
      </c>
      <c r="B1693" t="s">
        <v>43</v>
      </c>
      <c r="C1693" t="s">
        <v>51</v>
      </c>
      <c r="D1693">
        <v>9</v>
      </c>
      <c r="E1693" t="s">
        <v>41</v>
      </c>
      <c r="F1693" t="s">
        <v>45</v>
      </c>
    </row>
    <row r="1694" spans="1:6" hidden="1" x14ac:dyDescent="0.35">
      <c r="A1694" t="s">
        <v>57</v>
      </c>
      <c r="B1694" t="s">
        <v>43</v>
      </c>
      <c r="C1694" t="s">
        <v>30</v>
      </c>
      <c r="D1694">
        <v>9</v>
      </c>
      <c r="E1694" t="s">
        <v>41</v>
      </c>
      <c r="F1694" t="s">
        <v>45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10</v>
      </c>
      <c r="E1695" t="s">
        <v>41</v>
      </c>
      <c r="F1695" t="s">
        <v>45</v>
      </c>
    </row>
    <row r="1696" spans="1:6" hidden="1" x14ac:dyDescent="0.35">
      <c r="A1696" t="s">
        <v>58</v>
      </c>
      <c r="B1696" t="s">
        <v>43</v>
      </c>
      <c r="C1696" t="s">
        <v>30</v>
      </c>
      <c r="D1696">
        <v>5</v>
      </c>
      <c r="E1696" t="s">
        <v>41</v>
      </c>
      <c r="F1696" t="s">
        <v>45</v>
      </c>
    </row>
    <row r="1697" spans="1:6" hidden="1" x14ac:dyDescent="0.35">
      <c r="A1697" t="s">
        <v>59</v>
      </c>
      <c r="B1697" t="s">
        <v>43</v>
      </c>
      <c r="C1697" t="s">
        <v>30</v>
      </c>
      <c r="D1697">
        <v>12</v>
      </c>
      <c r="E1697" t="s">
        <v>41</v>
      </c>
      <c r="F1697" t="s">
        <v>45</v>
      </c>
    </row>
    <row r="1698" spans="1:6" hidden="1" x14ac:dyDescent="0.35">
      <c r="A1698" t="s">
        <v>60</v>
      </c>
      <c r="B1698" t="s">
        <v>43</v>
      </c>
      <c r="C1698" t="s">
        <v>30</v>
      </c>
      <c r="D1698">
        <v>11</v>
      </c>
      <c r="E1698" t="s">
        <v>41</v>
      </c>
      <c r="F1698" t="s">
        <v>45</v>
      </c>
    </row>
    <row r="1699" spans="1:6" hidden="1" x14ac:dyDescent="0.35">
      <c r="A1699" t="s">
        <v>61</v>
      </c>
      <c r="B1699" t="s">
        <v>43</v>
      </c>
      <c r="C1699" t="s">
        <v>30</v>
      </c>
      <c r="D1699">
        <v>11</v>
      </c>
      <c r="E1699" t="s">
        <v>41</v>
      </c>
      <c r="F1699" t="s">
        <v>45</v>
      </c>
    </row>
    <row r="1700" spans="1:6" hidden="1" x14ac:dyDescent="0.35">
      <c r="A1700" t="s">
        <v>62</v>
      </c>
      <c r="B1700" t="s">
        <v>43</v>
      </c>
      <c r="C1700" t="s">
        <v>30</v>
      </c>
      <c r="D1700">
        <v>13</v>
      </c>
      <c r="E1700" t="s">
        <v>41</v>
      </c>
      <c r="F1700" t="s">
        <v>45</v>
      </c>
    </row>
    <row r="1701" spans="1:6" hidden="1" x14ac:dyDescent="0.35">
      <c r="A1701" t="s">
        <v>63</v>
      </c>
      <c r="B1701" t="s">
        <v>43</v>
      </c>
      <c r="C1701" t="s">
        <v>30</v>
      </c>
      <c r="D1701">
        <v>8</v>
      </c>
      <c r="E1701" t="s">
        <v>41</v>
      </c>
      <c r="F1701" t="s">
        <v>45</v>
      </c>
    </row>
    <row r="1702" spans="1:6" hidden="1" x14ac:dyDescent="0.35">
      <c r="A1702" t="s">
        <v>64</v>
      </c>
      <c r="B1702" t="s">
        <v>43</v>
      </c>
      <c r="C1702" t="s">
        <v>30</v>
      </c>
      <c r="D1702">
        <v>6</v>
      </c>
      <c r="E1702" t="s">
        <v>41</v>
      </c>
      <c r="F1702" t="s">
        <v>45</v>
      </c>
    </row>
    <row r="1703" spans="1:6" hidden="1" x14ac:dyDescent="0.35">
      <c r="A1703" t="s">
        <v>65</v>
      </c>
      <c r="B1703" t="s">
        <v>43</v>
      </c>
      <c r="C1703" t="s">
        <v>30</v>
      </c>
      <c r="D1703">
        <v>13</v>
      </c>
      <c r="E1703" t="s">
        <v>41</v>
      </c>
      <c r="F1703" t="s">
        <v>45</v>
      </c>
    </row>
    <row r="1704" spans="1:6" hidden="1" x14ac:dyDescent="0.35">
      <c r="A1704" t="s">
        <v>66</v>
      </c>
      <c r="B1704" t="s">
        <v>43</v>
      </c>
      <c r="C1704" t="s">
        <v>30</v>
      </c>
      <c r="D1704">
        <v>11</v>
      </c>
      <c r="E1704" t="s">
        <v>41</v>
      </c>
      <c r="F1704" t="s">
        <v>45</v>
      </c>
    </row>
    <row r="1705" spans="1:6" hidden="1" x14ac:dyDescent="0.35">
      <c r="A1705" t="s">
        <v>67</v>
      </c>
      <c r="B1705" t="s">
        <v>43</v>
      </c>
      <c r="C1705" t="s">
        <v>30</v>
      </c>
      <c r="D1705">
        <v>8</v>
      </c>
      <c r="E1705" t="s">
        <v>41</v>
      </c>
      <c r="F1705" t="s">
        <v>45</v>
      </c>
    </row>
    <row r="1706" spans="1:6" hidden="1" x14ac:dyDescent="0.35">
      <c r="A1706" t="s">
        <v>57</v>
      </c>
      <c r="B1706" t="s">
        <v>43</v>
      </c>
      <c r="C1706" t="s">
        <v>52</v>
      </c>
      <c r="D1706">
        <v>0</v>
      </c>
      <c r="E1706" t="s">
        <v>41</v>
      </c>
      <c r="F1706" t="s">
        <v>45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41</v>
      </c>
      <c r="F1707" t="s">
        <v>45</v>
      </c>
    </row>
    <row r="1708" spans="1:6" hidden="1" x14ac:dyDescent="0.35">
      <c r="A1708" t="s">
        <v>58</v>
      </c>
      <c r="B1708" t="s">
        <v>43</v>
      </c>
      <c r="C1708" t="s">
        <v>52</v>
      </c>
      <c r="D1708">
        <v>0</v>
      </c>
      <c r="E1708" t="s">
        <v>41</v>
      </c>
      <c r="F1708" t="s">
        <v>45</v>
      </c>
    </row>
    <row r="1709" spans="1:6" hidden="1" x14ac:dyDescent="0.35">
      <c r="A1709" t="s">
        <v>59</v>
      </c>
      <c r="B1709" t="s">
        <v>43</v>
      </c>
      <c r="C1709" t="s">
        <v>52</v>
      </c>
      <c r="D1709">
        <v>0</v>
      </c>
      <c r="E1709" t="s">
        <v>41</v>
      </c>
      <c r="F1709" t="s">
        <v>45</v>
      </c>
    </row>
    <row r="1710" spans="1:6" hidden="1" x14ac:dyDescent="0.35">
      <c r="A1710" t="s">
        <v>60</v>
      </c>
      <c r="B1710" t="s">
        <v>43</v>
      </c>
      <c r="C1710" t="s">
        <v>52</v>
      </c>
      <c r="D1710">
        <v>0</v>
      </c>
      <c r="E1710" t="s">
        <v>41</v>
      </c>
      <c r="F1710" t="s">
        <v>45</v>
      </c>
    </row>
    <row r="1711" spans="1:6" hidden="1" x14ac:dyDescent="0.35">
      <c r="A1711" t="s">
        <v>61</v>
      </c>
      <c r="B1711" t="s">
        <v>43</v>
      </c>
      <c r="C1711" t="s">
        <v>52</v>
      </c>
      <c r="D1711">
        <v>0</v>
      </c>
      <c r="E1711" t="s">
        <v>41</v>
      </c>
      <c r="F1711" t="s">
        <v>45</v>
      </c>
    </row>
    <row r="1712" spans="1:6" hidden="1" x14ac:dyDescent="0.35">
      <c r="A1712" t="s">
        <v>62</v>
      </c>
      <c r="B1712" t="s">
        <v>43</v>
      </c>
      <c r="C1712" t="s">
        <v>52</v>
      </c>
      <c r="D1712">
        <v>0</v>
      </c>
      <c r="E1712" t="s">
        <v>41</v>
      </c>
      <c r="F1712" t="s">
        <v>45</v>
      </c>
    </row>
    <row r="1713" spans="1:6" hidden="1" x14ac:dyDescent="0.35">
      <c r="A1713" t="s">
        <v>63</v>
      </c>
      <c r="B1713" t="s">
        <v>43</v>
      </c>
      <c r="C1713" t="s">
        <v>52</v>
      </c>
      <c r="D1713">
        <v>0</v>
      </c>
      <c r="E1713" t="s">
        <v>41</v>
      </c>
      <c r="F1713" t="s">
        <v>45</v>
      </c>
    </row>
    <row r="1714" spans="1:6" hidden="1" x14ac:dyDescent="0.35">
      <c r="A1714" t="s">
        <v>64</v>
      </c>
      <c r="B1714" t="s">
        <v>43</v>
      </c>
      <c r="C1714" t="s">
        <v>52</v>
      </c>
      <c r="D1714">
        <v>0</v>
      </c>
      <c r="E1714" t="s">
        <v>41</v>
      </c>
      <c r="F1714" t="s">
        <v>45</v>
      </c>
    </row>
    <row r="1715" spans="1:6" hidden="1" x14ac:dyDescent="0.35">
      <c r="A1715" t="s">
        <v>65</v>
      </c>
      <c r="B1715" t="s">
        <v>43</v>
      </c>
      <c r="C1715" t="s">
        <v>52</v>
      </c>
      <c r="D1715">
        <v>0</v>
      </c>
      <c r="E1715" t="s">
        <v>41</v>
      </c>
      <c r="F1715" t="s">
        <v>45</v>
      </c>
    </row>
    <row r="1716" spans="1:6" hidden="1" x14ac:dyDescent="0.35">
      <c r="A1716" t="s">
        <v>66</v>
      </c>
      <c r="B1716" t="s">
        <v>43</v>
      </c>
      <c r="C1716" t="s">
        <v>52</v>
      </c>
      <c r="D1716">
        <v>0</v>
      </c>
      <c r="E1716" t="s">
        <v>41</v>
      </c>
      <c r="F1716" t="s">
        <v>45</v>
      </c>
    </row>
    <row r="1717" spans="1:6" hidden="1" x14ac:dyDescent="0.35">
      <c r="A1717" t="s">
        <v>67</v>
      </c>
      <c r="B1717" t="s">
        <v>43</v>
      </c>
      <c r="C1717" t="s">
        <v>52</v>
      </c>
      <c r="D1717">
        <v>0</v>
      </c>
      <c r="E1717" t="s">
        <v>41</v>
      </c>
      <c r="F1717" t="s">
        <v>45</v>
      </c>
    </row>
    <row r="1718" spans="1:6" hidden="1" x14ac:dyDescent="0.35">
      <c r="A1718" t="s">
        <v>57</v>
      </c>
      <c r="B1718" t="s">
        <v>33</v>
      </c>
      <c r="C1718" t="s">
        <v>44</v>
      </c>
      <c r="D1718">
        <v>0</v>
      </c>
      <c r="E1718" t="s">
        <v>41</v>
      </c>
      <c r="F1718" t="s">
        <v>45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41</v>
      </c>
      <c r="F1719" t="s">
        <v>45</v>
      </c>
    </row>
    <row r="1720" spans="1:6" hidden="1" x14ac:dyDescent="0.35">
      <c r="A1720" t="s">
        <v>58</v>
      </c>
      <c r="B1720" t="s">
        <v>33</v>
      </c>
      <c r="C1720" t="s">
        <v>44</v>
      </c>
      <c r="D1720">
        <v>0</v>
      </c>
      <c r="E1720" t="s">
        <v>41</v>
      </c>
      <c r="F1720" t="s">
        <v>45</v>
      </c>
    </row>
    <row r="1721" spans="1:6" hidden="1" x14ac:dyDescent="0.35">
      <c r="A1721" t="s">
        <v>59</v>
      </c>
      <c r="B1721" t="s">
        <v>33</v>
      </c>
      <c r="C1721" t="s">
        <v>44</v>
      </c>
      <c r="D1721">
        <v>0</v>
      </c>
      <c r="E1721" t="s">
        <v>41</v>
      </c>
      <c r="F1721" t="s">
        <v>45</v>
      </c>
    </row>
    <row r="1722" spans="1:6" hidden="1" x14ac:dyDescent="0.35">
      <c r="A1722" t="s">
        <v>60</v>
      </c>
      <c r="B1722" t="s">
        <v>33</v>
      </c>
      <c r="C1722" t="s">
        <v>44</v>
      </c>
      <c r="D1722">
        <v>0</v>
      </c>
      <c r="E1722" t="s">
        <v>41</v>
      </c>
      <c r="F1722" t="s">
        <v>45</v>
      </c>
    </row>
    <row r="1723" spans="1:6" hidden="1" x14ac:dyDescent="0.35">
      <c r="A1723" t="s">
        <v>61</v>
      </c>
      <c r="B1723" t="s">
        <v>33</v>
      </c>
      <c r="C1723" t="s">
        <v>44</v>
      </c>
      <c r="D1723">
        <v>0</v>
      </c>
      <c r="E1723" t="s">
        <v>41</v>
      </c>
      <c r="F1723" t="s">
        <v>45</v>
      </c>
    </row>
    <row r="1724" spans="1:6" hidden="1" x14ac:dyDescent="0.35">
      <c r="A1724" t="s">
        <v>62</v>
      </c>
      <c r="B1724" t="s">
        <v>33</v>
      </c>
      <c r="C1724" t="s">
        <v>44</v>
      </c>
      <c r="D1724">
        <v>0</v>
      </c>
      <c r="E1724" t="s">
        <v>41</v>
      </c>
      <c r="F1724" t="s">
        <v>45</v>
      </c>
    </row>
    <row r="1725" spans="1:6" hidden="1" x14ac:dyDescent="0.35">
      <c r="A1725" t="s">
        <v>63</v>
      </c>
      <c r="B1725" t="s">
        <v>33</v>
      </c>
      <c r="C1725" t="s">
        <v>44</v>
      </c>
      <c r="D1725">
        <v>0</v>
      </c>
      <c r="E1725" t="s">
        <v>41</v>
      </c>
      <c r="F1725" t="s">
        <v>45</v>
      </c>
    </row>
    <row r="1726" spans="1:6" hidden="1" x14ac:dyDescent="0.35">
      <c r="A1726" t="s">
        <v>64</v>
      </c>
      <c r="B1726" t="s">
        <v>33</v>
      </c>
      <c r="C1726" t="s">
        <v>44</v>
      </c>
      <c r="D1726">
        <v>0</v>
      </c>
      <c r="E1726" t="s">
        <v>41</v>
      </c>
      <c r="F1726" t="s">
        <v>45</v>
      </c>
    </row>
    <row r="1727" spans="1:6" hidden="1" x14ac:dyDescent="0.35">
      <c r="A1727" t="s">
        <v>65</v>
      </c>
      <c r="B1727" t="s">
        <v>33</v>
      </c>
      <c r="C1727" t="s">
        <v>44</v>
      </c>
      <c r="D1727">
        <v>0</v>
      </c>
      <c r="E1727" t="s">
        <v>41</v>
      </c>
      <c r="F1727" t="s">
        <v>45</v>
      </c>
    </row>
    <row r="1728" spans="1:6" hidden="1" x14ac:dyDescent="0.35">
      <c r="A1728" t="s">
        <v>66</v>
      </c>
      <c r="B1728" t="s">
        <v>33</v>
      </c>
      <c r="C1728" t="s">
        <v>44</v>
      </c>
      <c r="D1728">
        <v>0</v>
      </c>
      <c r="E1728" t="s">
        <v>41</v>
      </c>
      <c r="F1728" t="s">
        <v>45</v>
      </c>
    </row>
    <row r="1729" spans="1:6" hidden="1" x14ac:dyDescent="0.35">
      <c r="A1729" t="s">
        <v>67</v>
      </c>
      <c r="B1729" t="s">
        <v>33</v>
      </c>
      <c r="C1729" t="s">
        <v>44</v>
      </c>
      <c r="D1729">
        <v>0</v>
      </c>
      <c r="E1729" t="s">
        <v>41</v>
      </c>
      <c r="F1729" t="s">
        <v>45</v>
      </c>
    </row>
    <row r="1730" spans="1:6" hidden="1" x14ac:dyDescent="0.35">
      <c r="A1730" t="s">
        <v>57</v>
      </c>
      <c r="B1730" t="s">
        <v>33</v>
      </c>
      <c r="C1730" t="s">
        <v>22</v>
      </c>
      <c r="D1730">
        <v>0</v>
      </c>
      <c r="E1730" t="s">
        <v>41</v>
      </c>
      <c r="F1730" t="s">
        <v>45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41</v>
      </c>
      <c r="F1731" t="s">
        <v>45</v>
      </c>
    </row>
    <row r="1732" spans="1:6" hidden="1" x14ac:dyDescent="0.35">
      <c r="A1732" t="s">
        <v>58</v>
      </c>
      <c r="B1732" t="s">
        <v>33</v>
      </c>
      <c r="C1732" t="s">
        <v>22</v>
      </c>
      <c r="D1732">
        <v>0</v>
      </c>
      <c r="E1732" t="s">
        <v>41</v>
      </c>
      <c r="F1732" t="s">
        <v>45</v>
      </c>
    </row>
    <row r="1733" spans="1:6" hidden="1" x14ac:dyDescent="0.35">
      <c r="A1733" t="s">
        <v>59</v>
      </c>
      <c r="B1733" t="s">
        <v>33</v>
      </c>
      <c r="C1733" t="s">
        <v>22</v>
      </c>
      <c r="D1733">
        <v>0</v>
      </c>
      <c r="E1733" t="s">
        <v>41</v>
      </c>
      <c r="F1733" t="s">
        <v>45</v>
      </c>
    </row>
    <row r="1734" spans="1:6" hidden="1" x14ac:dyDescent="0.35">
      <c r="A1734" t="s">
        <v>60</v>
      </c>
      <c r="B1734" t="s">
        <v>33</v>
      </c>
      <c r="C1734" t="s">
        <v>22</v>
      </c>
      <c r="D1734">
        <v>0</v>
      </c>
      <c r="E1734" t="s">
        <v>41</v>
      </c>
      <c r="F1734" t="s">
        <v>45</v>
      </c>
    </row>
    <row r="1735" spans="1:6" hidden="1" x14ac:dyDescent="0.35">
      <c r="A1735" t="s">
        <v>61</v>
      </c>
      <c r="B1735" t="s">
        <v>33</v>
      </c>
      <c r="C1735" t="s">
        <v>22</v>
      </c>
      <c r="D1735">
        <v>0</v>
      </c>
      <c r="E1735" t="s">
        <v>41</v>
      </c>
      <c r="F1735" t="s">
        <v>45</v>
      </c>
    </row>
    <row r="1736" spans="1:6" hidden="1" x14ac:dyDescent="0.35">
      <c r="A1736" t="s">
        <v>62</v>
      </c>
      <c r="B1736" t="s">
        <v>33</v>
      </c>
      <c r="C1736" t="s">
        <v>22</v>
      </c>
      <c r="D1736">
        <v>0</v>
      </c>
      <c r="E1736" t="s">
        <v>41</v>
      </c>
      <c r="F1736" t="s">
        <v>45</v>
      </c>
    </row>
    <row r="1737" spans="1:6" hidden="1" x14ac:dyDescent="0.35">
      <c r="A1737" t="s">
        <v>63</v>
      </c>
      <c r="B1737" t="s">
        <v>33</v>
      </c>
      <c r="C1737" t="s">
        <v>22</v>
      </c>
      <c r="D1737">
        <v>0</v>
      </c>
      <c r="E1737" t="s">
        <v>41</v>
      </c>
      <c r="F1737" t="s">
        <v>45</v>
      </c>
    </row>
    <row r="1738" spans="1:6" hidden="1" x14ac:dyDescent="0.35">
      <c r="A1738" t="s">
        <v>64</v>
      </c>
      <c r="B1738" t="s">
        <v>33</v>
      </c>
      <c r="C1738" t="s">
        <v>22</v>
      </c>
      <c r="D1738">
        <v>0</v>
      </c>
      <c r="E1738" t="s">
        <v>41</v>
      </c>
      <c r="F1738" t="s">
        <v>45</v>
      </c>
    </row>
    <row r="1739" spans="1:6" hidden="1" x14ac:dyDescent="0.35">
      <c r="A1739" t="s">
        <v>65</v>
      </c>
      <c r="B1739" t="s">
        <v>33</v>
      </c>
      <c r="C1739" t="s">
        <v>22</v>
      </c>
      <c r="D1739">
        <v>0</v>
      </c>
      <c r="E1739" t="s">
        <v>41</v>
      </c>
      <c r="F1739" t="s">
        <v>45</v>
      </c>
    </row>
    <row r="1740" spans="1:6" hidden="1" x14ac:dyDescent="0.35">
      <c r="A1740" t="s">
        <v>66</v>
      </c>
      <c r="B1740" t="s">
        <v>33</v>
      </c>
      <c r="C1740" t="s">
        <v>22</v>
      </c>
      <c r="D1740">
        <v>0</v>
      </c>
      <c r="E1740" t="s">
        <v>41</v>
      </c>
      <c r="F1740" t="s">
        <v>45</v>
      </c>
    </row>
    <row r="1741" spans="1:6" hidden="1" x14ac:dyDescent="0.35">
      <c r="A1741" t="s">
        <v>67</v>
      </c>
      <c r="B1741" t="s">
        <v>33</v>
      </c>
      <c r="C1741" t="s">
        <v>22</v>
      </c>
      <c r="D1741">
        <v>0</v>
      </c>
      <c r="E1741" t="s">
        <v>41</v>
      </c>
      <c r="F1741" t="s">
        <v>45</v>
      </c>
    </row>
    <row r="1742" spans="1:6" hidden="1" x14ac:dyDescent="0.35">
      <c r="A1742" t="s">
        <v>57</v>
      </c>
      <c r="B1742" t="s">
        <v>33</v>
      </c>
      <c r="C1742" t="s">
        <v>46</v>
      </c>
      <c r="D1742">
        <v>434381.99999999988</v>
      </c>
      <c r="E1742" t="s">
        <v>41</v>
      </c>
      <c r="F1742" t="s">
        <v>45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646380.56000000006</v>
      </c>
      <c r="E1743" t="s">
        <v>41</v>
      </c>
      <c r="F1743" t="s">
        <v>45</v>
      </c>
    </row>
    <row r="1744" spans="1:6" hidden="1" x14ac:dyDescent="0.35">
      <c r="A1744" t="s">
        <v>58</v>
      </c>
      <c r="B1744" t="s">
        <v>33</v>
      </c>
      <c r="C1744" t="s">
        <v>46</v>
      </c>
      <c r="D1744">
        <v>472413.45</v>
      </c>
      <c r="E1744" t="s">
        <v>41</v>
      </c>
      <c r="F1744" t="s">
        <v>45</v>
      </c>
    </row>
    <row r="1745" spans="1:6" hidden="1" x14ac:dyDescent="0.35">
      <c r="A1745" t="s">
        <v>59</v>
      </c>
      <c r="B1745" t="s">
        <v>33</v>
      </c>
      <c r="C1745" t="s">
        <v>46</v>
      </c>
      <c r="D1745">
        <v>540350.87</v>
      </c>
      <c r="E1745" t="s">
        <v>41</v>
      </c>
      <c r="F1745" t="s">
        <v>45</v>
      </c>
    </row>
    <row r="1746" spans="1:6" hidden="1" x14ac:dyDescent="0.35">
      <c r="A1746" t="s">
        <v>60</v>
      </c>
      <c r="B1746" t="s">
        <v>33</v>
      </c>
      <c r="C1746" t="s">
        <v>46</v>
      </c>
      <c r="D1746">
        <v>746449.77000000014</v>
      </c>
      <c r="E1746" t="s">
        <v>41</v>
      </c>
      <c r="F1746" t="s">
        <v>45</v>
      </c>
    </row>
    <row r="1747" spans="1:6" hidden="1" x14ac:dyDescent="0.35">
      <c r="A1747" t="s">
        <v>61</v>
      </c>
      <c r="B1747" t="s">
        <v>33</v>
      </c>
      <c r="C1747" t="s">
        <v>46</v>
      </c>
      <c r="D1747">
        <v>410412.67</v>
      </c>
      <c r="E1747" t="s">
        <v>41</v>
      </c>
      <c r="F1747" t="s">
        <v>45</v>
      </c>
    </row>
    <row r="1748" spans="1:6" hidden="1" x14ac:dyDescent="0.35">
      <c r="A1748" t="s">
        <v>62</v>
      </c>
      <c r="B1748" t="s">
        <v>33</v>
      </c>
      <c r="C1748" t="s">
        <v>46</v>
      </c>
      <c r="D1748">
        <v>897171.02999999968</v>
      </c>
      <c r="E1748" t="s">
        <v>41</v>
      </c>
      <c r="F1748" t="s">
        <v>45</v>
      </c>
    </row>
    <row r="1749" spans="1:6" hidden="1" x14ac:dyDescent="0.35">
      <c r="A1749" t="s">
        <v>63</v>
      </c>
      <c r="B1749" t="s">
        <v>33</v>
      </c>
      <c r="C1749" t="s">
        <v>46</v>
      </c>
      <c r="D1749">
        <v>474006.41</v>
      </c>
      <c r="E1749" t="s">
        <v>41</v>
      </c>
      <c r="F1749" t="s">
        <v>45</v>
      </c>
    </row>
    <row r="1750" spans="1:6" hidden="1" x14ac:dyDescent="0.35">
      <c r="A1750" t="s">
        <v>64</v>
      </c>
      <c r="B1750" t="s">
        <v>33</v>
      </c>
      <c r="C1750" t="s">
        <v>46</v>
      </c>
      <c r="D1750">
        <v>540111.26</v>
      </c>
      <c r="E1750" t="s">
        <v>41</v>
      </c>
      <c r="F1750" t="s">
        <v>45</v>
      </c>
    </row>
    <row r="1751" spans="1:6" hidden="1" x14ac:dyDescent="0.35">
      <c r="A1751" t="s">
        <v>65</v>
      </c>
      <c r="B1751" t="s">
        <v>33</v>
      </c>
      <c r="C1751" t="s">
        <v>46</v>
      </c>
      <c r="D1751">
        <v>582150.07999999996</v>
      </c>
      <c r="E1751" t="s">
        <v>41</v>
      </c>
      <c r="F1751" t="s">
        <v>45</v>
      </c>
    </row>
    <row r="1752" spans="1:6" hidden="1" x14ac:dyDescent="0.35">
      <c r="A1752" t="s">
        <v>66</v>
      </c>
      <c r="B1752" t="s">
        <v>33</v>
      </c>
      <c r="C1752" t="s">
        <v>46</v>
      </c>
      <c r="D1752">
        <v>495237.86</v>
      </c>
      <c r="E1752" t="s">
        <v>41</v>
      </c>
      <c r="F1752" t="s">
        <v>45</v>
      </c>
    </row>
    <row r="1753" spans="1:6" hidden="1" x14ac:dyDescent="0.35">
      <c r="A1753" t="s">
        <v>67</v>
      </c>
      <c r="B1753" t="s">
        <v>33</v>
      </c>
      <c r="C1753" t="s">
        <v>46</v>
      </c>
      <c r="D1753">
        <v>245127.08</v>
      </c>
      <c r="E1753" t="s">
        <v>41</v>
      </c>
      <c r="F1753" t="s">
        <v>45</v>
      </c>
    </row>
    <row r="1754" spans="1:6" hidden="1" x14ac:dyDescent="0.35">
      <c r="A1754" t="s">
        <v>57</v>
      </c>
      <c r="B1754" t="s">
        <v>33</v>
      </c>
      <c r="C1754" t="s">
        <v>24</v>
      </c>
      <c r="D1754">
        <v>0</v>
      </c>
      <c r="E1754" t="s">
        <v>41</v>
      </c>
      <c r="F1754" t="s">
        <v>45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41</v>
      </c>
      <c r="F1755" t="s">
        <v>45</v>
      </c>
    </row>
    <row r="1756" spans="1:6" hidden="1" x14ac:dyDescent="0.35">
      <c r="A1756" t="s">
        <v>58</v>
      </c>
      <c r="B1756" t="s">
        <v>33</v>
      </c>
      <c r="C1756" t="s">
        <v>24</v>
      </c>
      <c r="D1756">
        <v>0</v>
      </c>
      <c r="E1756" t="s">
        <v>41</v>
      </c>
      <c r="F1756" t="s">
        <v>45</v>
      </c>
    </row>
    <row r="1757" spans="1:6" hidden="1" x14ac:dyDescent="0.35">
      <c r="A1757" t="s">
        <v>59</v>
      </c>
      <c r="B1757" t="s">
        <v>33</v>
      </c>
      <c r="C1757" t="s">
        <v>24</v>
      </c>
      <c r="D1757">
        <v>0</v>
      </c>
      <c r="E1757" t="s">
        <v>41</v>
      </c>
      <c r="F1757" t="s">
        <v>45</v>
      </c>
    </row>
    <row r="1758" spans="1:6" hidden="1" x14ac:dyDescent="0.35">
      <c r="A1758" t="s">
        <v>60</v>
      </c>
      <c r="B1758" t="s">
        <v>33</v>
      </c>
      <c r="C1758" t="s">
        <v>24</v>
      </c>
      <c r="D1758">
        <v>0</v>
      </c>
      <c r="E1758" t="s">
        <v>41</v>
      </c>
      <c r="F1758" t="s">
        <v>45</v>
      </c>
    </row>
    <row r="1759" spans="1:6" hidden="1" x14ac:dyDescent="0.35">
      <c r="A1759" t="s">
        <v>61</v>
      </c>
      <c r="B1759" t="s">
        <v>33</v>
      </c>
      <c r="C1759" t="s">
        <v>24</v>
      </c>
      <c r="D1759">
        <v>0</v>
      </c>
      <c r="E1759" t="s">
        <v>41</v>
      </c>
      <c r="F1759" t="s">
        <v>45</v>
      </c>
    </row>
    <row r="1760" spans="1:6" hidden="1" x14ac:dyDescent="0.35">
      <c r="A1760" t="s">
        <v>62</v>
      </c>
      <c r="B1760" t="s">
        <v>33</v>
      </c>
      <c r="C1760" t="s">
        <v>24</v>
      </c>
      <c r="D1760">
        <v>0</v>
      </c>
      <c r="E1760" t="s">
        <v>41</v>
      </c>
      <c r="F1760" t="s">
        <v>45</v>
      </c>
    </row>
    <row r="1761" spans="1:6" hidden="1" x14ac:dyDescent="0.35">
      <c r="A1761" t="s">
        <v>63</v>
      </c>
      <c r="B1761" t="s">
        <v>33</v>
      </c>
      <c r="C1761" t="s">
        <v>24</v>
      </c>
      <c r="D1761">
        <v>0</v>
      </c>
      <c r="E1761" t="s">
        <v>41</v>
      </c>
      <c r="F1761" t="s">
        <v>45</v>
      </c>
    </row>
    <row r="1762" spans="1:6" hidden="1" x14ac:dyDescent="0.35">
      <c r="A1762" t="s">
        <v>64</v>
      </c>
      <c r="B1762" t="s">
        <v>33</v>
      </c>
      <c r="C1762" t="s">
        <v>24</v>
      </c>
      <c r="D1762">
        <v>0</v>
      </c>
      <c r="E1762" t="s">
        <v>41</v>
      </c>
      <c r="F1762" t="s">
        <v>45</v>
      </c>
    </row>
    <row r="1763" spans="1:6" hidden="1" x14ac:dyDescent="0.35">
      <c r="A1763" t="s">
        <v>65</v>
      </c>
      <c r="B1763" t="s">
        <v>33</v>
      </c>
      <c r="C1763" t="s">
        <v>24</v>
      </c>
      <c r="D1763">
        <v>0</v>
      </c>
      <c r="E1763" t="s">
        <v>41</v>
      </c>
      <c r="F1763" t="s">
        <v>45</v>
      </c>
    </row>
    <row r="1764" spans="1:6" hidden="1" x14ac:dyDescent="0.35">
      <c r="A1764" t="s">
        <v>66</v>
      </c>
      <c r="B1764" t="s">
        <v>33</v>
      </c>
      <c r="C1764" t="s">
        <v>24</v>
      </c>
      <c r="D1764">
        <v>0</v>
      </c>
      <c r="E1764" t="s">
        <v>41</v>
      </c>
      <c r="F1764" t="s">
        <v>45</v>
      </c>
    </row>
    <row r="1765" spans="1:6" hidden="1" x14ac:dyDescent="0.35">
      <c r="A1765" t="s">
        <v>67</v>
      </c>
      <c r="B1765" t="s">
        <v>33</v>
      </c>
      <c r="C1765" t="s">
        <v>24</v>
      </c>
      <c r="D1765">
        <v>0</v>
      </c>
      <c r="E1765" t="s">
        <v>41</v>
      </c>
      <c r="F1765" t="s">
        <v>45</v>
      </c>
    </row>
    <row r="1766" spans="1:6" hidden="1" x14ac:dyDescent="0.35">
      <c r="A1766" t="s">
        <v>57</v>
      </c>
      <c r="B1766" t="s">
        <v>33</v>
      </c>
      <c r="C1766" t="s">
        <v>47</v>
      </c>
      <c r="D1766">
        <v>0</v>
      </c>
      <c r="E1766" t="s">
        <v>41</v>
      </c>
      <c r="F1766" t="s">
        <v>45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41</v>
      </c>
      <c r="F1767" t="s">
        <v>45</v>
      </c>
    </row>
    <row r="1768" spans="1:6" hidden="1" x14ac:dyDescent="0.35">
      <c r="A1768" t="s">
        <v>58</v>
      </c>
      <c r="B1768" t="s">
        <v>33</v>
      </c>
      <c r="C1768" t="s">
        <v>47</v>
      </c>
      <c r="D1768">
        <v>0</v>
      </c>
      <c r="E1768" t="s">
        <v>41</v>
      </c>
      <c r="F1768" t="s">
        <v>45</v>
      </c>
    </row>
    <row r="1769" spans="1:6" hidden="1" x14ac:dyDescent="0.35">
      <c r="A1769" t="s">
        <v>59</v>
      </c>
      <c r="B1769" t="s">
        <v>33</v>
      </c>
      <c r="C1769" t="s">
        <v>47</v>
      </c>
      <c r="D1769">
        <v>0</v>
      </c>
      <c r="E1769" t="s">
        <v>41</v>
      </c>
      <c r="F1769" t="s">
        <v>45</v>
      </c>
    </row>
    <row r="1770" spans="1:6" hidden="1" x14ac:dyDescent="0.35">
      <c r="A1770" t="s">
        <v>60</v>
      </c>
      <c r="B1770" t="s">
        <v>33</v>
      </c>
      <c r="C1770" t="s">
        <v>47</v>
      </c>
      <c r="D1770">
        <v>0</v>
      </c>
      <c r="E1770" t="s">
        <v>41</v>
      </c>
      <c r="F1770" t="s">
        <v>45</v>
      </c>
    </row>
    <row r="1771" spans="1:6" hidden="1" x14ac:dyDescent="0.35">
      <c r="A1771" t="s">
        <v>61</v>
      </c>
      <c r="B1771" t="s">
        <v>33</v>
      </c>
      <c r="C1771" t="s">
        <v>47</v>
      </c>
      <c r="D1771">
        <v>0</v>
      </c>
      <c r="E1771" t="s">
        <v>41</v>
      </c>
      <c r="F1771" t="s">
        <v>45</v>
      </c>
    </row>
    <row r="1772" spans="1:6" hidden="1" x14ac:dyDescent="0.35">
      <c r="A1772" t="s">
        <v>62</v>
      </c>
      <c r="B1772" t="s">
        <v>33</v>
      </c>
      <c r="C1772" t="s">
        <v>47</v>
      </c>
      <c r="D1772">
        <v>0</v>
      </c>
      <c r="E1772" t="s">
        <v>41</v>
      </c>
      <c r="F1772" t="s">
        <v>45</v>
      </c>
    </row>
    <row r="1773" spans="1:6" hidden="1" x14ac:dyDescent="0.35">
      <c r="A1773" t="s">
        <v>63</v>
      </c>
      <c r="B1773" t="s">
        <v>33</v>
      </c>
      <c r="C1773" t="s">
        <v>47</v>
      </c>
      <c r="D1773">
        <v>0</v>
      </c>
      <c r="E1773" t="s">
        <v>41</v>
      </c>
      <c r="F1773" t="s">
        <v>45</v>
      </c>
    </row>
    <row r="1774" spans="1:6" hidden="1" x14ac:dyDescent="0.35">
      <c r="A1774" t="s">
        <v>64</v>
      </c>
      <c r="B1774" t="s">
        <v>33</v>
      </c>
      <c r="C1774" t="s">
        <v>47</v>
      </c>
      <c r="D1774">
        <v>0</v>
      </c>
      <c r="E1774" t="s">
        <v>41</v>
      </c>
      <c r="F1774" t="s">
        <v>45</v>
      </c>
    </row>
    <row r="1775" spans="1:6" hidden="1" x14ac:dyDescent="0.35">
      <c r="A1775" t="s">
        <v>65</v>
      </c>
      <c r="B1775" t="s">
        <v>33</v>
      </c>
      <c r="C1775" t="s">
        <v>47</v>
      </c>
      <c r="D1775">
        <v>0</v>
      </c>
      <c r="E1775" t="s">
        <v>41</v>
      </c>
      <c r="F1775" t="s">
        <v>45</v>
      </c>
    </row>
    <row r="1776" spans="1:6" hidden="1" x14ac:dyDescent="0.35">
      <c r="A1776" t="s">
        <v>66</v>
      </c>
      <c r="B1776" t="s">
        <v>33</v>
      </c>
      <c r="C1776" t="s">
        <v>47</v>
      </c>
      <c r="D1776">
        <v>0</v>
      </c>
      <c r="E1776" t="s">
        <v>41</v>
      </c>
      <c r="F1776" t="s">
        <v>45</v>
      </c>
    </row>
    <row r="1777" spans="1:6" hidden="1" x14ac:dyDescent="0.35">
      <c r="A1777" t="s">
        <v>67</v>
      </c>
      <c r="B1777" t="s">
        <v>33</v>
      </c>
      <c r="C1777" t="s">
        <v>47</v>
      </c>
      <c r="D1777">
        <v>0</v>
      </c>
      <c r="E1777" t="s">
        <v>41</v>
      </c>
      <c r="F1777" t="s">
        <v>45</v>
      </c>
    </row>
    <row r="1778" spans="1:6" hidden="1" x14ac:dyDescent="0.35">
      <c r="A1778" t="s">
        <v>57</v>
      </c>
      <c r="B1778" t="s">
        <v>33</v>
      </c>
      <c r="C1778" t="s">
        <v>48</v>
      </c>
      <c r="D1778">
        <v>0</v>
      </c>
      <c r="E1778" t="s">
        <v>41</v>
      </c>
      <c r="F1778" t="s">
        <v>45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41</v>
      </c>
      <c r="F1779" t="s">
        <v>45</v>
      </c>
    </row>
    <row r="1780" spans="1:6" hidden="1" x14ac:dyDescent="0.35">
      <c r="A1780" t="s">
        <v>58</v>
      </c>
      <c r="B1780" t="s">
        <v>33</v>
      </c>
      <c r="C1780" t="s">
        <v>48</v>
      </c>
      <c r="D1780">
        <v>0</v>
      </c>
      <c r="E1780" t="s">
        <v>41</v>
      </c>
      <c r="F1780" t="s">
        <v>45</v>
      </c>
    </row>
    <row r="1781" spans="1:6" hidden="1" x14ac:dyDescent="0.35">
      <c r="A1781" t="s">
        <v>59</v>
      </c>
      <c r="B1781" t="s">
        <v>33</v>
      </c>
      <c r="C1781" t="s">
        <v>48</v>
      </c>
      <c r="D1781">
        <v>0</v>
      </c>
      <c r="E1781" t="s">
        <v>41</v>
      </c>
      <c r="F1781" t="s">
        <v>45</v>
      </c>
    </row>
    <row r="1782" spans="1:6" hidden="1" x14ac:dyDescent="0.35">
      <c r="A1782" t="s">
        <v>60</v>
      </c>
      <c r="B1782" t="s">
        <v>33</v>
      </c>
      <c r="C1782" t="s">
        <v>48</v>
      </c>
      <c r="D1782">
        <v>0</v>
      </c>
      <c r="E1782" t="s">
        <v>41</v>
      </c>
      <c r="F1782" t="s">
        <v>45</v>
      </c>
    </row>
    <row r="1783" spans="1:6" hidden="1" x14ac:dyDescent="0.35">
      <c r="A1783" t="s">
        <v>61</v>
      </c>
      <c r="B1783" t="s">
        <v>33</v>
      </c>
      <c r="C1783" t="s">
        <v>48</v>
      </c>
      <c r="D1783">
        <v>0</v>
      </c>
      <c r="E1783" t="s">
        <v>41</v>
      </c>
      <c r="F1783" t="s">
        <v>45</v>
      </c>
    </row>
    <row r="1784" spans="1:6" hidden="1" x14ac:dyDescent="0.35">
      <c r="A1784" t="s">
        <v>62</v>
      </c>
      <c r="B1784" t="s">
        <v>33</v>
      </c>
      <c r="C1784" t="s">
        <v>48</v>
      </c>
      <c r="D1784">
        <v>0</v>
      </c>
      <c r="E1784" t="s">
        <v>41</v>
      </c>
      <c r="F1784" t="s">
        <v>45</v>
      </c>
    </row>
    <row r="1785" spans="1:6" hidden="1" x14ac:dyDescent="0.35">
      <c r="A1785" t="s">
        <v>63</v>
      </c>
      <c r="B1785" t="s">
        <v>33</v>
      </c>
      <c r="C1785" t="s">
        <v>48</v>
      </c>
      <c r="D1785">
        <v>0</v>
      </c>
      <c r="E1785" t="s">
        <v>41</v>
      </c>
      <c r="F1785" t="s">
        <v>45</v>
      </c>
    </row>
    <row r="1786" spans="1:6" hidden="1" x14ac:dyDescent="0.35">
      <c r="A1786" t="s">
        <v>64</v>
      </c>
      <c r="B1786" t="s">
        <v>33</v>
      </c>
      <c r="C1786" t="s">
        <v>48</v>
      </c>
      <c r="D1786">
        <v>0</v>
      </c>
      <c r="E1786" t="s">
        <v>41</v>
      </c>
      <c r="F1786" t="s">
        <v>45</v>
      </c>
    </row>
    <row r="1787" spans="1:6" hidden="1" x14ac:dyDescent="0.35">
      <c r="A1787" t="s">
        <v>65</v>
      </c>
      <c r="B1787" t="s">
        <v>33</v>
      </c>
      <c r="C1787" t="s">
        <v>48</v>
      </c>
      <c r="D1787">
        <v>0</v>
      </c>
      <c r="E1787" t="s">
        <v>41</v>
      </c>
      <c r="F1787" t="s">
        <v>45</v>
      </c>
    </row>
    <row r="1788" spans="1:6" hidden="1" x14ac:dyDescent="0.35">
      <c r="A1788" t="s">
        <v>66</v>
      </c>
      <c r="B1788" t="s">
        <v>33</v>
      </c>
      <c r="C1788" t="s">
        <v>48</v>
      </c>
      <c r="D1788">
        <v>0</v>
      </c>
      <c r="E1788" t="s">
        <v>41</v>
      </c>
      <c r="F1788" t="s">
        <v>45</v>
      </c>
    </row>
    <row r="1789" spans="1:6" hidden="1" x14ac:dyDescent="0.35">
      <c r="A1789" t="s">
        <v>67</v>
      </c>
      <c r="B1789" t="s">
        <v>33</v>
      </c>
      <c r="C1789" t="s">
        <v>48</v>
      </c>
      <c r="D1789">
        <v>0</v>
      </c>
      <c r="E1789" t="s">
        <v>41</v>
      </c>
      <c r="F1789" t="s">
        <v>45</v>
      </c>
    </row>
    <row r="1790" spans="1:6" hidden="1" x14ac:dyDescent="0.35">
      <c r="A1790" t="s">
        <v>57</v>
      </c>
      <c r="B1790" t="s">
        <v>33</v>
      </c>
      <c r="C1790" t="s">
        <v>49</v>
      </c>
      <c r="D1790">
        <v>0</v>
      </c>
      <c r="E1790" t="s">
        <v>41</v>
      </c>
      <c r="F1790" t="s">
        <v>45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0</v>
      </c>
      <c r="E1791" t="s">
        <v>41</v>
      </c>
      <c r="F1791" t="s">
        <v>45</v>
      </c>
    </row>
    <row r="1792" spans="1:6" hidden="1" x14ac:dyDescent="0.35">
      <c r="A1792" t="s">
        <v>58</v>
      </c>
      <c r="B1792" t="s">
        <v>33</v>
      </c>
      <c r="C1792" t="s">
        <v>49</v>
      </c>
      <c r="D1792">
        <v>0</v>
      </c>
      <c r="E1792" t="s">
        <v>41</v>
      </c>
      <c r="F1792" t="s">
        <v>45</v>
      </c>
    </row>
    <row r="1793" spans="1:6" hidden="1" x14ac:dyDescent="0.35">
      <c r="A1793" t="s">
        <v>59</v>
      </c>
      <c r="B1793" t="s">
        <v>33</v>
      </c>
      <c r="C1793" t="s">
        <v>49</v>
      </c>
      <c r="D1793">
        <v>0</v>
      </c>
      <c r="E1793" t="s">
        <v>41</v>
      </c>
      <c r="F1793" t="s">
        <v>45</v>
      </c>
    </row>
    <row r="1794" spans="1:6" hidden="1" x14ac:dyDescent="0.35">
      <c r="A1794" t="s">
        <v>60</v>
      </c>
      <c r="B1794" t="s">
        <v>33</v>
      </c>
      <c r="C1794" t="s">
        <v>49</v>
      </c>
      <c r="D1794">
        <v>0</v>
      </c>
      <c r="E1794" t="s">
        <v>41</v>
      </c>
      <c r="F1794" t="s">
        <v>45</v>
      </c>
    </row>
    <row r="1795" spans="1:6" hidden="1" x14ac:dyDescent="0.35">
      <c r="A1795" t="s">
        <v>61</v>
      </c>
      <c r="B1795" t="s">
        <v>33</v>
      </c>
      <c r="C1795" t="s">
        <v>49</v>
      </c>
      <c r="D1795">
        <v>0</v>
      </c>
      <c r="E1795" t="s">
        <v>41</v>
      </c>
      <c r="F1795" t="s">
        <v>45</v>
      </c>
    </row>
    <row r="1796" spans="1:6" hidden="1" x14ac:dyDescent="0.35">
      <c r="A1796" t="s">
        <v>62</v>
      </c>
      <c r="B1796" t="s">
        <v>33</v>
      </c>
      <c r="C1796" t="s">
        <v>49</v>
      </c>
      <c r="D1796">
        <v>0</v>
      </c>
      <c r="E1796" t="s">
        <v>41</v>
      </c>
      <c r="F1796" t="s">
        <v>45</v>
      </c>
    </row>
    <row r="1797" spans="1:6" hidden="1" x14ac:dyDescent="0.35">
      <c r="A1797" t="s">
        <v>63</v>
      </c>
      <c r="B1797" t="s">
        <v>33</v>
      </c>
      <c r="C1797" t="s">
        <v>49</v>
      </c>
      <c r="D1797">
        <v>0</v>
      </c>
      <c r="E1797" t="s">
        <v>41</v>
      </c>
      <c r="F1797" t="s">
        <v>45</v>
      </c>
    </row>
    <row r="1798" spans="1:6" hidden="1" x14ac:dyDescent="0.35">
      <c r="A1798" t="s">
        <v>64</v>
      </c>
      <c r="B1798" t="s">
        <v>33</v>
      </c>
      <c r="C1798" t="s">
        <v>49</v>
      </c>
      <c r="D1798">
        <v>0</v>
      </c>
      <c r="E1798" t="s">
        <v>41</v>
      </c>
      <c r="F1798" t="s">
        <v>45</v>
      </c>
    </row>
    <row r="1799" spans="1:6" hidden="1" x14ac:dyDescent="0.35">
      <c r="A1799" t="s">
        <v>65</v>
      </c>
      <c r="B1799" t="s">
        <v>33</v>
      </c>
      <c r="C1799" t="s">
        <v>49</v>
      </c>
      <c r="D1799">
        <v>0</v>
      </c>
      <c r="E1799" t="s">
        <v>41</v>
      </c>
      <c r="F1799" t="s">
        <v>45</v>
      </c>
    </row>
    <row r="1800" spans="1:6" hidden="1" x14ac:dyDescent="0.35">
      <c r="A1800" t="s">
        <v>66</v>
      </c>
      <c r="B1800" t="s">
        <v>33</v>
      </c>
      <c r="C1800" t="s">
        <v>49</v>
      </c>
      <c r="D1800">
        <v>0</v>
      </c>
      <c r="E1800" t="s">
        <v>41</v>
      </c>
      <c r="F1800" t="s">
        <v>45</v>
      </c>
    </row>
    <row r="1801" spans="1:6" hidden="1" x14ac:dyDescent="0.35">
      <c r="A1801" t="s">
        <v>67</v>
      </c>
      <c r="B1801" t="s">
        <v>33</v>
      </c>
      <c r="C1801" t="s">
        <v>49</v>
      </c>
      <c r="D1801">
        <v>0</v>
      </c>
      <c r="E1801" t="s">
        <v>41</v>
      </c>
      <c r="F1801" t="s">
        <v>45</v>
      </c>
    </row>
    <row r="1802" spans="1:6" hidden="1" x14ac:dyDescent="0.35">
      <c r="A1802" t="s">
        <v>57</v>
      </c>
      <c r="B1802" t="s">
        <v>33</v>
      </c>
      <c r="C1802" t="s">
        <v>50</v>
      </c>
      <c r="D1802">
        <v>0</v>
      </c>
      <c r="E1802" t="s">
        <v>41</v>
      </c>
      <c r="F1802" t="s">
        <v>45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41</v>
      </c>
      <c r="F1803" t="s">
        <v>45</v>
      </c>
    </row>
    <row r="1804" spans="1:6" hidden="1" x14ac:dyDescent="0.35">
      <c r="A1804" t="s">
        <v>58</v>
      </c>
      <c r="B1804" t="s">
        <v>33</v>
      </c>
      <c r="C1804" t="s">
        <v>50</v>
      </c>
      <c r="D1804">
        <v>0</v>
      </c>
      <c r="E1804" t="s">
        <v>41</v>
      </c>
      <c r="F1804" t="s">
        <v>45</v>
      </c>
    </row>
    <row r="1805" spans="1:6" hidden="1" x14ac:dyDescent="0.35">
      <c r="A1805" t="s">
        <v>59</v>
      </c>
      <c r="B1805" t="s">
        <v>33</v>
      </c>
      <c r="C1805" t="s">
        <v>50</v>
      </c>
      <c r="D1805">
        <v>0</v>
      </c>
      <c r="E1805" t="s">
        <v>41</v>
      </c>
      <c r="F1805" t="s">
        <v>45</v>
      </c>
    </row>
    <row r="1806" spans="1:6" hidden="1" x14ac:dyDescent="0.35">
      <c r="A1806" t="s">
        <v>60</v>
      </c>
      <c r="B1806" t="s">
        <v>33</v>
      </c>
      <c r="C1806" t="s">
        <v>50</v>
      </c>
      <c r="D1806">
        <v>0</v>
      </c>
      <c r="E1806" t="s">
        <v>41</v>
      </c>
      <c r="F1806" t="s">
        <v>45</v>
      </c>
    </row>
    <row r="1807" spans="1:6" hidden="1" x14ac:dyDescent="0.35">
      <c r="A1807" t="s">
        <v>61</v>
      </c>
      <c r="B1807" t="s">
        <v>33</v>
      </c>
      <c r="C1807" t="s">
        <v>50</v>
      </c>
      <c r="D1807">
        <v>0</v>
      </c>
      <c r="E1807" t="s">
        <v>41</v>
      </c>
      <c r="F1807" t="s">
        <v>45</v>
      </c>
    </row>
    <row r="1808" spans="1:6" hidden="1" x14ac:dyDescent="0.35">
      <c r="A1808" t="s">
        <v>62</v>
      </c>
      <c r="B1808" t="s">
        <v>33</v>
      </c>
      <c r="C1808" t="s">
        <v>50</v>
      </c>
      <c r="D1808">
        <v>0</v>
      </c>
      <c r="E1808" t="s">
        <v>41</v>
      </c>
      <c r="F1808" t="s">
        <v>45</v>
      </c>
    </row>
    <row r="1809" spans="1:6" hidden="1" x14ac:dyDescent="0.35">
      <c r="A1809" t="s">
        <v>63</v>
      </c>
      <c r="B1809" t="s">
        <v>33</v>
      </c>
      <c r="C1809" t="s">
        <v>50</v>
      </c>
      <c r="D1809">
        <v>0</v>
      </c>
      <c r="E1809" t="s">
        <v>41</v>
      </c>
      <c r="F1809" t="s">
        <v>45</v>
      </c>
    </row>
    <row r="1810" spans="1:6" hidden="1" x14ac:dyDescent="0.35">
      <c r="A1810" t="s">
        <v>64</v>
      </c>
      <c r="B1810" t="s">
        <v>33</v>
      </c>
      <c r="C1810" t="s">
        <v>50</v>
      </c>
      <c r="D1810">
        <v>0</v>
      </c>
      <c r="E1810" t="s">
        <v>41</v>
      </c>
      <c r="F1810" t="s">
        <v>45</v>
      </c>
    </row>
    <row r="1811" spans="1:6" hidden="1" x14ac:dyDescent="0.35">
      <c r="A1811" t="s">
        <v>65</v>
      </c>
      <c r="B1811" t="s">
        <v>33</v>
      </c>
      <c r="C1811" t="s">
        <v>50</v>
      </c>
      <c r="D1811">
        <v>0</v>
      </c>
      <c r="E1811" t="s">
        <v>41</v>
      </c>
      <c r="F1811" t="s">
        <v>45</v>
      </c>
    </row>
    <row r="1812" spans="1:6" hidden="1" x14ac:dyDescent="0.35">
      <c r="A1812" t="s">
        <v>66</v>
      </c>
      <c r="B1812" t="s">
        <v>33</v>
      </c>
      <c r="C1812" t="s">
        <v>50</v>
      </c>
      <c r="D1812">
        <v>0</v>
      </c>
      <c r="E1812" t="s">
        <v>41</v>
      </c>
      <c r="F1812" t="s">
        <v>45</v>
      </c>
    </row>
    <row r="1813" spans="1:6" hidden="1" x14ac:dyDescent="0.35">
      <c r="A1813" t="s">
        <v>67</v>
      </c>
      <c r="B1813" t="s">
        <v>33</v>
      </c>
      <c r="C1813" t="s">
        <v>50</v>
      </c>
      <c r="D1813">
        <v>0</v>
      </c>
      <c r="E1813" t="s">
        <v>41</v>
      </c>
      <c r="F1813" t="s">
        <v>45</v>
      </c>
    </row>
    <row r="1814" spans="1:6" hidden="1" x14ac:dyDescent="0.35">
      <c r="A1814" t="s">
        <v>57</v>
      </c>
      <c r="B1814" t="s">
        <v>33</v>
      </c>
      <c r="C1814" t="s">
        <v>51</v>
      </c>
      <c r="D1814">
        <v>63</v>
      </c>
      <c r="E1814" t="s">
        <v>41</v>
      </c>
      <c r="F1814" t="s">
        <v>45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72</v>
      </c>
      <c r="E1815" t="s">
        <v>41</v>
      </c>
      <c r="F1815" t="s">
        <v>45</v>
      </c>
    </row>
    <row r="1816" spans="1:6" hidden="1" x14ac:dyDescent="0.35">
      <c r="A1816" t="s">
        <v>58</v>
      </c>
      <c r="B1816" t="s">
        <v>33</v>
      </c>
      <c r="C1816" t="s">
        <v>51</v>
      </c>
      <c r="D1816">
        <v>85</v>
      </c>
      <c r="E1816" t="s">
        <v>41</v>
      </c>
      <c r="F1816" t="s">
        <v>45</v>
      </c>
    </row>
    <row r="1817" spans="1:6" hidden="1" x14ac:dyDescent="0.35">
      <c r="A1817" t="s">
        <v>59</v>
      </c>
      <c r="B1817" t="s">
        <v>33</v>
      </c>
      <c r="C1817" t="s">
        <v>51</v>
      </c>
      <c r="D1817">
        <v>70</v>
      </c>
      <c r="E1817" t="s">
        <v>41</v>
      </c>
      <c r="F1817" t="s">
        <v>45</v>
      </c>
    </row>
    <row r="1818" spans="1:6" hidden="1" x14ac:dyDescent="0.35">
      <c r="A1818" t="s">
        <v>60</v>
      </c>
      <c r="B1818" t="s">
        <v>33</v>
      </c>
      <c r="C1818" t="s">
        <v>51</v>
      </c>
      <c r="D1818">
        <v>92</v>
      </c>
      <c r="E1818" t="s">
        <v>41</v>
      </c>
      <c r="F1818" t="s">
        <v>45</v>
      </c>
    </row>
    <row r="1819" spans="1:6" hidden="1" x14ac:dyDescent="0.35">
      <c r="A1819" t="s">
        <v>61</v>
      </c>
      <c r="B1819" t="s">
        <v>33</v>
      </c>
      <c r="C1819" t="s">
        <v>51</v>
      </c>
      <c r="D1819">
        <v>108</v>
      </c>
      <c r="E1819" t="s">
        <v>41</v>
      </c>
      <c r="F1819" t="s">
        <v>45</v>
      </c>
    </row>
    <row r="1820" spans="1:6" hidden="1" x14ac:dyDescent="0.35">
      <c r="A1820" t="s">
        <v>62</v>
      </c>
      <c r="B1820" t="s">
        <v>33</v>
      </c>
      <c r="C1820" t="s">
        <v>51</v>
      </c>
      <c r="D1820">
        <v>71</v>
      </c>
      <c r="E1820" t="s">
        <v>41</v>
      </c>
      <c r="F1820" t="s">
        <v>45</v>
      </c>
    </row>
    <row r="1821" spans="1:6" hidden="1" x14ac:dyDescent="0.35">
      <c r="A1821" t="s">
        <v>63</v>
      </c>
      <c r="B1821" t="s">
        <v>33</v>
      </c>
      <c r="C1821" t="s">
        <v>51</v>
      </c>
      <c r="D1821">
        <v>101</v>
      </c>
      <c r="E1821" t="s">
        <v>41</v>
      </c>
      <c r="F1821" t="s">
        <v>45</v>
      </c>
    </row>
    <row r="1822" spans="1:6" hidden="1" x14ac:dyDescent="0.35">
      <c r="A1822" t="s">
        <v>64</v>
      </c>
      <c r="B1822" t="s">
        <v>33</v>
      </c>
      <c r="C1822" t="s">
        <v>51</v>
      </c>
      <c r="D1822">
        <v>71</v>
      </c>
      <c r="E1822" t="s">
        <v>41</v>
      </c>
      <c r="F1822" t="s">
        <v>45</v>
      </c>
    </row>
    <row r="1823" spans="1:6" hidden="1" x14ac:dyDescent="0.35">
      <c r="A1823" t="s">
        <v>65</v>
      </c>
      <c r="B1823" t="s">
        <v>33</v>
      </c>
      <c r="C1823" t="s">
        <v>51</v>
      </c>
      <c r="D1823">
        <v>82</v>
      </c>
      <c r="E1823" t="s">
        <v>41</v>
      </c>
      <c r="F1823" t="s">
        <v>45</v>
      </c>
    </row>
    <row r="1824" spans="1:6" hidden="1" x14ac:dyDescent="0.35">
      <c r="A1824" t="s">
        <v>66</v>
      </c>
      <c r="B1824" t="s">
        <v>33</v>
      </c>
      <c r="C1824" t="s">
        <v>51</v>
      </c>
      <c r="D1824">
        <v>63</v>
      </c>
      <c r="E1824" t="s">
        <v>41</v>
      </c>
      <c r="F1824" t="s">
        <v>45</v>
      </c>
    </row>
    <row r="1825" spans="1:6" hidden="1" x14ac:dyDescent="0.35">
      <c r="A1825" t="s">
        <v>67</v>
      </c>
      <c r="B1825" t="s">
        <v>33</v>
      </c>
      <c r="C1825" t="s">
        <v>51</v>
      </c>
      <c r="D1825">
        <v>60</v>
      </c>
      <c r="E1825" t="s">
        <v>41</v>
      </c>
      <c r="F1825" t="s">
        <v>45</v>
      </c>
    </row>
    <row r="1826" spans="1:6" hidden="1" x14ac:dyDescent="0.35">
      <c r="A1826" t="s">
        <v>57</v>
      </c>
      <c r="B1826" t="s">
        <v>33</v>
      </c>
      <c r="C1826" t="s">
        <v>30</v>
      </c>
      <c r="D1826">
        <v>28</v>
      </c>
      <c r="E1826" t="s">
        <v>41</v>
      </c>
      <c r="F1826" t="s">
        <v>45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33</v>
      </c>
      <c r="E1827" t="s">
        <v>41</v>
      </c>
      <c r="F1827" t="s">
        <v>45</v>
      </c>
    </row>
    <row r="1828" spans="1:6" hidden="1" x14ac:dyDescent="0.35">
      <c r="A1828" t="s">
        <v>58</v>
      </c>
      <c r="B1828" t="s">
        <v>33</v>
      </c>
      <c r="C1828" t="s">
        <v>30</v>
      </c>
      <c r="D1828">
        <v>27</v>
      </c>
      <c r="E1828" t="s">
        <v>41</v>
      </c>
      <c r="F1828" t="s">
        <v>45</v>
      </c>
    </row>
    <row r="1829" spans="1:6" hidden="1" x14ac:dyDescent="0.35">
      <c r="A1829" t="s">
        <v>59</v>
      </c>
      <c r="B1829" t="s">
        <v>33</v>
      </c>
      <c r="C1829" t="s">
        <v>30</v>
      </c>
      <c r="D1829">
        <v>33</v>
      </c>
      <c r="E1829" t="s">
        <v>41</v>
      </c>
      <c r="F1829" t="s">
        <v>45</v>
      </c>
    </row>
    <row r="1830" spans="1:6" hidden="1" x14ac:dyDescent="0.35">
      <c r="A1830" t="s">
        <v>60</v>
      </c>
      <c r="B1830" t="s">
        <v>33</v>
      </c>
      <c r="C1830" t="s">
        <v>30</v>
      </c>
      <c r="D1830">
        <v>35</v>
      </c>
      <c r="E1830" t="s">
        <v>41</v>
      </c>
      <c r="F1830" t="s">
        <v>45</v>
      </c>
    </row>
    <row r="1831" spans="1:6" hidden="1" x14ac:dyDescent="0.35">
      <c r="A1831" t="s">
        <v>61</v>
      </c>
      <c r="B1831" t="s">
        <v>33</v>
      </c>
      <c r="C1831" t="s">
        <v>30</v>
      </c>
      <c r="D1831">
        <v>37</v>
      </c>
      <c r="E1831" t="s">
        <v>41</v>
      </c>
      <c r="F1831" t="s">
        <v>45</v>
      </c>
    </row>
    <row r="1832" spans="1:6" hidden="1" x14ac:dyDescent="0.35">
      <c r="A1832" t="s">
        <v>62</v>
      </c>
      <c r="B1832" t="s">
        <v>33</v>
      </c>
      <c r="C1832" t="s">
        <v>30</v>
      </c>
      <c r="D1832">
        <v>40</v>
      </c>
      <c r="E1832" t="s">
        <v>41</v>
      </c>
      <c r="F1832" t="s">
        <v>45</v>
      </c>
    </row>
    <row r="1833" spans="1:6" hidden="1" x14ac:dyDescent="0.35">
      <c r="A1833" t="s">
        <v>63</v>
      </c>
      <c r="B1833" t="s">
        <v>33</v>
      </c>
      <c r="C1833" t="s">
        <v>30</v>
      </c>
      <c r="D1833">
        <v>31</v>
      </c>
      <c r="E1833" t="s">
        <v>41</v>
      </c>
      <c r="F1833" t="s">
        <v>45</v>
      </c>
    </row>
    <row r="1834" spans="1:6" hidden="1" x14ac:dyDescent="0.35">
      <c r="A1834" t="s">
        <v>64</v>
      </c>
      <c r="B1834" t="s">
        <v>33</v>
      </c>
      <c r="C1834" t="s">
        <v>30</v>
      </c>
      <c r="D1834">
        <v>41</v>
      </c>
      <c r="E1834" t="s">
        <v>41</v>
      </c>
      <c r="F1834" t="s">
        <v>45</v>
      </c>
    </row>
    <row r="1835" spans="1:6" hidden="1" x14ac:dyDescent="0.35">
      <c r="A1835" t="s">
        <v>65</v>
      </c>
      <c r="B1835" t="s">
        <v>33</v>
      </c>
      <c r="C1835" t="s">
        <v>30</v>
      </c>
      <c r="D1835">
        <v>39</v>
      </c>
      <c r="E1835" t="s">
        <v>41</v>
      </c>
      <c r="F1835" t="s">
        <v>45</v>
      </c>
    </row>
    <row r="1836" spans="1:6" hidden="1" x14ac:dyDescent="0.35">
      <c r="A1836" t="s">
        <v>66</v>
      </c>
      <c r="B1836" t="s">
        <v>33</v>
      </c>
      <c r="C1836" t="s">
        <v>30</v>
      </c>
      <c r="D1836">
        <v>41</v>
      </c>
      <c r="E1836" t="s">
        <v>41</v>
      </c>
      <c r="F1836" t="s">
        <v>45</v>
      </c>
    </row>
    <row r="1837" spans="1:6" hidden="1" x14ac:dyDescent="0.35">
      <c r="A1837" t="s">
        <v>67</v>
      </c>
      <c r="B1837" t="s">
        <v>33</v>
      </c>
      <c r="C1837" t="s">
        <v>30</v>
      </c>
      <c r="D1837">
        <v>34</v>
      </c>
      <c r="E1837" t="s">
        <v>41</v>
      </c>
      <c r="F1837" t="s">
        <v>45</v>
      </c>
    </row>
    <row r="1838" spans="1:6" hidden="1" x14ac:dyDescent="0.35">
      <c r="A1838" t="s">
        <v>57</v>
      </c>
      <c r="B1838" t="s">
        <v>33</v>
      </c>
      <c r="C1838" t="s">
        <v>52</v>
      </c>
      <c r="D1838">
        <v>0</v>
      </c>
      <c r="E1838" t="s">
        <v>41</v>
      </c>
      <c r="F1838" t="s">
        <v>45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41</v>
      </c>
      <c r="F1839" t="s">
        <v>45</v>
      </c>
    </row>
    <row r="1840" spans="1:6" hidden="1" x14ac:dyDescent="0.35">
      <c r="A1840" t="s">
        <v>58</v>
      </c>
      <c r="B1840" t="s">
        <v>33</v>
      </c>
      <c r="C1840" t="s">
        <v>52</v>
      </c>
      <c r="D1840">
        <v>0</v>
      </c>
      <c r="E1840" t="s">
        <v>41</v>
      </c>
      <c r="F1840" t="s">
        <v>45</v>
      </c>
    </row>
    <row r="1841" spans="1:6" hidden="1" x14ac:dyDescent="0.35">
      <c r="A1841" t="s">
        <v>59</v>
      </c>
      <c r="B1841" t="s">
        <v>33</v>
      </c>
      <c r="C1841" t="s">
        <v>52</v>
      </c>
      <c r="D1841">
        <v>0</v>
      </c>
      <c r="E1841" t="s">
        <v>41</v>
      </c>
      <c r="F1841" t="s">
        <v>45</v>
      </c>
    </row>
    <row r="1842" spans="1:6" hidden="1" x14ac:dyDescent="0.35">
      <c r="A1842" t="s">
        <v>60</v>
      </c>
      <c r="B1842" t="s">
        <v>33</v>
      </c>
      <c r="C1842" t="s">
        <v>52</v>
      </c>
      <c r="D1842">
        <v>0</v>
      </c>
      <c r="E1842" t="s">
        <v>41</v>
      </c>
      <c r="F1842" t="s">
        <v>45</v>
      </c>
    </row>
    <row r="1843" spans="1:6" hidden="1" x14ac:dyDescent="0.35">
      <c r="A1843" t="s">
        <v>61</v>
      </c>
      <c r="B1843" t="s">
        <v>33</v>
      </c>
      <c r="C1843" t="s">
        <v>52</v>
      </c>
      <c r="D1843">
        <v>0</v>
      </c>
      <c r="E1843" t="s">
        <v>41</v>
      </c>
      <c r="F1843" t="s">
        <v>45</v>
      </c>
    </row>
    <row r="1844" spans="1:6" hidden="1" x14ac:dyDescent="0.35">
      <c r="A1844" t="s">
        <v>62</v>
      </c>
      <c r="B1844" t="s">
        <v>33</v>
      </c>
      <c r="C1844" t="s">
        <v>52</v>
      </c>
      <c r="D1844">
        <v>0</v>
      </c>
      <c r="E1844" t="s">
        <v>41</v>
      </c>
      <c r="F1844" t="s">
        <v>45</v>
      </c>
    </row>
    <row r="1845" spans="1:6" hidden="1" x14ac:dyDescent="0.35">
      <c r="A1845" t="s">
        <v>63</v>
      </c>
      <c r="B1845" t="s">
        <v>33</v>
      </c>
      <c r="C1845" t="s">
        <v>52</v>
      </c>
      <c r="D1845">
        <v>0</v>
      </c>
      <c r="E1845" t="s">
        <v>41</v>
      </c>
      <c r="F1845" t="s">
        <v>45</v>
      </c>
    </row>
    <row r="1846" spans="1:6" hidden="1" x14ac:dyDescent="0.35">
      <c r="A1846" t="s">
        <v>64</v>
      </c>
      <c r="B1846" t="s">
        <v>33</v>
      </c>
      <c r="C1846" t="s">
        <v>52</v>
      </c>
      <c r="D1846">
        <v>0</v>
      </c>
      <c r="E1846" t="s">
        <v>41</v>
      </c>
      <c r="F1846" t="s">
        <v>45</v>
      </c>
    </row>
    <row r="1847" spans="1:6" hidden="1" x14ac:dyDescent="0.35">
      <c r="A1847" t="s">
        <v>65</v>
      </c>
      <c r="B1847" t="s">
        <v>33</v>
      </c>
      <c r="C1847" t="s">
        <v>52</v>
      </c>
      <c r="D1847">
        <v>0</v>
      </c>
      <c r="E1847" t="s">
        <v>41</v>
      </c>
      <c r="F1847" t="s">
        <v>45</v>
      </c>
    </row>
    <row r="1848" spans="1:6" hidden="1" x14ac:dyDescent="0.35">
      <c r="A1848" t="s">
        <v>66</v>
      </c>
      <c r="B1848" t="s">
        <v>33</v>
      </c>
      <c r="C1848" t="s">
        <v>52</v>
      </c>
      <c r="D1848">
        <v>0</v>
      </c>
      <c r="E1848" t="s">
        <v>41</v>
      </c>
      <c r="F1848" t="s">
        <v>45</v>
      </c>
    </row>
    <row r="1849" spans="1:6" hidden="1" x14ac:dyDescent="0.35">
      <c r="A1849" t="s">
        <v>67</v>
      </c>
      <c r="B1849" t="s">
        <v>33</v>
      </c>
      <c r="C1849" t="s">
        <v>52</v>
      </c>
      <c r="D1849">
        <v>0</v>
      </c>
      <c r="E1849" t="s">
        <v>41</v>
      </c>
      <c r="F1849" t="s">
        <v>45</v>
      </c>
    </row>
    <row r="1850" spans="1:6" hidden="1" x14ac:dyDescent="0.35">
      <c r="A1850" t="s">
        <v>57</v>
      </c>
      <c r="B1850" t="s">
        <v>53</v>
      </c>
      <c r="C1850" t="s">
        <v>44</v>
      </c>
      <c r="D1850">
        <v>0</v>
      </c>
      <c r="E1850" t="s">
        <v>41</v>
      </c>
      <c r="F1850" t="s">
        <v>45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41</v>
      </c>
      <c r="F1851" t="s">
        <v>45</v>
      </c>
    </row>
    <row r="1852" spans="1:6" hidden="1" x14ac:dyDescent="0.35">
      <c r="A1852" t="s">
        <v>58</v>
      </c>
      <c r="B1852" t="s">
        <v>53</v>
      </c>
      <c r="C1852" t="s">
        <v>44</v>
      </c>
      <c r="D1852">
        <v>0</v>
      </c>
      <c r="E1852" t="s">
        <v>41</v>
      </c>
      <c r="F1852" t="s">
        <v>45</v>
      </c>
    </row>
    <row r="1853" spans="1:6" hidden="1" x14ac:dyDescent="0.35">
      <c r="A1853" t="s">
        <v>59</v>
      </c>
      <c r="B1853" t="s">
        <v>53</v>
      </c>
      <c r="C1853" t="s">
        <v>44</v>
      </c>
      <c r="D1853">
        <v>0</v>
      </c>
      <c r="E1853" t="s">
        <v>41</v>
      </c>
      <c r="F1853" t="s">
        <v>45</v>
      </c>
    </row>
    <row r="1854" spans="1:6" hidden="1" x14ac:dyDescent="0.35">
      <c r="A1854" t="s">
        <v>60</v>
      </c>
      <c r="B1854" t="s">
        <v>53</v>
      </c>
      <c r="C1854" t="s">
        <v>44</v>
      </c>
      <c r="D1854">
        <v>0</v>
      </c>
      <c r="E1854" t="s">
        <v>41</v>
      </c>
      <c r="F1854" t="s">
        <v>45</v>
      </c>
    </row>
    <row r="1855" spans="1:6" hidden="1" x14ac:dyDescent="0.35">
      <c r="A1855" t="s">
        <v>61</v>
      </c>
      <c r="B1855" t="s">
        <v>53</v>
      </c>
      <c r="C1855" t="s">
        <v>44</v>
      </c>
      <c r="D1855">
        <v>0</v>
      </c>
      <c r="E1855" t="s">
        <v>41</v>
      </c>
      <c r="F1855" t="s">
        <v>45</v>
      </c>
    </row>
    <row r="1856" spans="1:6" hidden="1" x14ac:dyDescent="0.35">
      <c r="A1856" t="s">
        <v>62</v>
      </c>
      <c r="B1856" t="s">
        <v>53</v>
      </c>
      <c r="C1856" t="s">
        <v>44</v>
      </c>
      <c r="D1856">
        <v>0</v>
      </c>
      <c r="E1856" t="s">
        <v>41</v>
      </c>
      <c r="F1856" t="s">
        <v>45</v>
      </c>
    </row>
    <row r="1857" spans="1:6" hidden="1" x14ac:dyDescent="0.35">
      <c r="A1857" t="s">
        <v>63</v>
      </c>
      <c r="B1857" t="s">
        <v>53</v>
      </c>
      <c r="C1857" t="s">
        <v>44</v>
      </c>
      <c r="D1857">
        <v>0</v>
      </c>
      <c r="E1857" t="s">
        <v>41</v>
      </c>
      <c r="F1857" t="s">
        <v>45</v>
      </c>
    </row>
    <row r="1858" spans="1:6" hidden="1" x14ac:dyDescent="0.35">
      <c r="A1858" t="s">
        <v>64</v>
      </c>
      <c r="B1858" t="s">
        <v>53</v>
      </c>
      <c r="C1858" t="s">
        <v>44</v>
      </c>
      <c r="D1858">
        <v>0</v>
      </c>
      <c r="E1858" t="s">
        <v>41</v>
      </c>
      <c r="F1858" t="s">
        <v>45</v>
      </c>
    </row>
    <row r="1859" spans="1:6" hidden="1" x14ac:dyDescent="0.35">
      <c r="A1859" t="s">
        <v>65</v>
      </c>
      <c r="B1859" t="s">
        <v>53</v>
      </c>
      <c r="C1859" t="s">
        <v>44</v>
      </c>
      <c r="D1859">
        <v>0</v>
      </c>
      <c r="E1859" t="s">
        <v>41</v>
      </c>
      <c r="F1859" t="s">
        <v>45</v>
      </c>
    </row>
    <row r="1860" spans="1:6" hidden="1" x14ac:dyDescent="0.35">
      <c r="A1860" t="s">
        <v>66</v>
      </c>
      <c r="B1860" t="s">
        <v>53</v>
      </c>
      <c r="C1860" t="s">
        <v>44</v>
      </c>
      <c r="D1860">
        <v>0</v>
      </c>
      <c r="E1860" t="s">
        <v>41</v>
      </c>
      <c r="F1860" t="s">
        <v>45</v>
      </c>
    </row>
    <row r="1861" spans="1:6" hidden="1" x14ac:dyDescent="0.35">
      <c r="A1861" t="s">
        <v>67</v>
      </c>
      <c r="B1861" t="s">
        <v>53</v>
      </c>
      <c r="C1861" t="s">
        <v>44</v>
      </c>
      <c r="D1861">
        <v>0</v>
      </c>
      <c r="E1861" t="s">
        <v>41</v>
      </c>
      <c r="F1861" t="s">
        <v>45</v>
      </c>
    </row>
    <row r="1862" spans="1:6" hidden="1" x14ac:dyDescent="0.35">
      <c r="A1862" t="s">
        <v>57</v>
      </c>
      <c r="B1862" t="s">
        <v>53</v>
      </c>
      <c r="C1862" t="s">
        <v>22</v>
      </c>
      <c r="D1862">
        <v>0</v>
      </c>
      <c r="E1862" t="s">
        <v>41</v>
      </c>
      <c r="F1862" t="s">
        <v>45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41</v>
      </c>
      <c r="F1863" t="s">
        <v>45</v>
      </c>
    </row>
    <row r="1864" spans="1:6" hidden="1" x14ac:dyDescent="0.35">
      <c r="A1864" t="s">
        <v>58</v>
      </c>
      <c r="B1864" t="s">
        <v>53</v>
      </c>
      <c r="C1864" t="s">
        <v>22</v>
      </c>
      <c r="D1864">
        <v>0</v>
      </c>
      <c r="E1864" t="s">
        <v>41</v>
      </c>
      <c r="F1864" t="s">
        <v>45</v>
      </c>
    </row>
    <row r="1865" spans="1:6" hidden="1" x14ac:dyDescent="0.35">
      <c r="A1865" t="s">
        <v>59</v>
      </c>
      <c r="B1865" t="s">
        <v>53</v>
      </c>
      <c r="C1865" t="s">
        <v>22</v>
      </c>
      <c r="D1865">
        <v>0</v>
      </c>
      <c r="E1865" t="s">
        <v>41</v>
      </c>
      <c r="F1865" t="s">
        <v>45</v>
      </c>
    </row>
    <row r="1866" spans="1:6" hidden="1" x14ac:dyDescent="0.35">
      <c r="A1866" t="s">
        <v>60</v>
      </c>
      <c r="B1866" t="s">
        <v>53</v>
      </c>
      <c r="C1866" t="s">
        <v>22</v>
      </c>
      <c r="D1866">
        <v>0</v>
      </c>
      <c r="E1866" t="s">
        <v>41</v>
      </c>
      <c r="F1866" t="s">
        <v>45</v>
      </c>
    </row>
    <row r="1867" spans="1:6" hidden="1" x14ac:dyDescent="0.35">
      <c r="A1867" t="s">
        <v>61</v>
      </c>
      <c r="B1867" t="s">
        <v>53</v>
      </c>
      <c r="C1867" t="s">
        <v>22</v>
      </c>
      <c r="D1867">
        <v>0</v>
      </c>
      <c r="E1867" t="s">
        <v>41</v>
      </c>
      <c r="F1867" t="s">
        <v>45</v>
      </c>
    </row>
    <row r="1868" spans="1:6" hidden="1" x14ac:dyDescent="0.35">
      <c r="A1868" t="s">
        <v>62</v>
      </c>
      <c r="B1868" t="s">
        <v>53</v>
      </c>
      <c r="C1868" t="s">
        <v>22</v>
      </c>
      <c r="D1868">
        <v>0</v>
      </c>
      <c r="E1868" t="s">
        <v>41</v>
      </c>
      <c r="F1868" t="s">
        <v>45</v>
      </c>
    </row>
    <row r="1869" spans="1:6" hidden="1" x14ac:dyDescent="0.35">
      <c r="A1869" t="s">
        <v>63</v>
      </c>
      <c r="B1869" t="s">
        <v>53</v>
      </c>
      <c r="C1869" t="s">
        <v>22</v>
      </c>
      <c r="D1869">
        <v>0</v>
      </c>
      <c r="E1869" t="s">
        <v>41</v>
      </c>
      <c r="F1869" t="s">
        <v>45</v>
      </c>
    </row>
    <row r="1870" spans="1:6" hidden="1" x14ac:dyDescent="0.35">
      <c r="A1870" t="s">
        <v>64</v>
      </c>
      <c r="B1870" t="s">
        <v>53</v>
      </c>
      <c r="C1870" t="s">
        <v>22</v>
      </c>
      <c r="D1870">
        <v>0</v>
      </c>
      <c r="E1870" t="s">
        <v>41</v>
      </c>
      <c r="F1870" t="s">
        <v>45</v>
      </c>
    </row>
    <row r="1871" spans="1:6" hidden="1" x14ac:dyDescent="0.35">
      <c r="A1871" t="s">
        <v>65</v>
      </c>
      <c r="B1871" t="s">
        <v>53</v>
      </c>
      <c r="C1871" t="s">
        <v>22</v>
      </c>
      <c r="D1871">
        <v>0</v>
      </c>
      <c r="E1871" t="s">
        <v>41</v>
      </c>
      <c r="F1871" t="s">
        <v>45</v>
      </c>
    </row>
    <row r="1872" spans="1:6" hidden="1" x14ac:dyDescent="0.35">
      <c r="A1872" t="s">
        <v>66</v>
      </c>
      <c r="B1872" t="s">
        <v>53</v>
      </c>
      <c r="C1872" t="s">
        <v>22</v>
      </c>
      <c r="D1872">
        <v>0</v>
      </c>
      <c r="E1872" t="s">
        <v>41</v>
      </c>
      <c r="F1872" t="s">
        <v>45</v>
      </c>
    </row>
    <row r="1873" spans="1:6" hidden="1" x14ac:dyDescent="0.35">
      <c r="A1873" t="s">
        <v>67</v>
      </c>
      <c r="B1873" t="s">
        <v>53</v>
      </c>
      <c r="C1873" t="s">
        <v>22</v>
      </c>
      <c r="D1873">
        <v>0</v>
      </c>
      <c r="E1873" t="s">
        <v>41</v>
      </c>
      <c r="F1873" t="s">
        <v>45</v>
      </c>
    </row>
    <row r="1874" spans="1:6" hidden="1" x14ac:dyDescent="0.35">
      <c r="A1874" t="s">
        <v>57</v>
      </c>
      <c r="B1874" t="s">
        <v>53</v>
      </c>
      <c r="C1874" t="s">
        <v>46</v>
      </c>
      <c r="D1874">
        <v>0</v>
      </c>
      <c r="E1874" t="s">
        <v>41</v>
      </c>
      <c r="F1874" t="s">
        <v>45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41</v>
      </c>
      <c r="F1875" t="s">
        <v>45</v>
      </c>
    </row>
    <row r="1876" spans="1:6" hidden="1" x14ac:dyDescent="0.35">
      <c r="A1876" t="s">
        <v>58</v>
      </c>
      <c r="B1876" t="s">
        <v>53</v>
      </c>
      <c r="C1876" t="s">
        <v>46</v>
      </c>
      <c r="D1876">
        <v>0</v>
      </c>
      <c r="E1876" t="s">
        <v>41</v>
      </c>
      <c r="F1876" t="s">
        <v>45</v>
      </c>
    </row>
    <row r="1877" spans="1:6" hidden="1" x14ac:dyDescent="0.35">
      <c r="A1877" t="s">
        <v>59</v>
      </c>
      <c r="B1877" t="s">
        <v>53</v>
      </c>
      <c r="C1877" t="s">
        <v>46</v>
      </c>
      <c r="D1877">
        <v>0</v>
      </c>
      <c r="E1877" t="s">
        <v>41</v>
      </c>
      <c r="F1877" t="s">
        <v>45</v>
      </c>
    </row>
    <row r="1878" spans="1:6" hidden="1" x14ac:dyDescent="0.35">
      <c r="A1878" t="s">
        <v>60</v>
      </c>
      <c r="B1878" t="s">
        <v>53</v>
      </c>
      <c r="C1878" t="s">
        <v>46</v>
      </c>
      <c r="D1878">
        <v>0</v>
      </c>
      <c r="E1878" t="s">
        <v>41</v>
      </c>
      <c r="F1878" t="s">
        <v>45</v>
      </c>
    </row>
    <row r="1879" spans="1:6" hidden="1" x14ac:dyDescent="0.35">
      <c r="A1879" t="s">
        <v>61</v>
      </c>
      <c r="B1879" t="s">
        <v>53</v>
      </c>
      <c r="C1879" t="s">
        <v>46</v>
      </c>
      <c r="D1879">
        <v>0</v>
      </c>
      <c r="E1879" t="s">
        <v>41</v>
      </c>
      <c r="F1879" t="s">
        <v>45</v>
      </c>
    </row>
    <row r="1880" spans="1:6" hidden="1" x14ac:dyDescent="0.35">
      <c r="A1880" t="s">
        <v>62</v>
      </c>
      <c r="B1880" t="s">
        <v>53</v>
      </c>
      <c r="C1880" t="s">
        <v>46</v>
      </c>
      <c r="D1880">
        <v>0</v>
      </c>
      <c r="E1880" t="s">
        <v>41</v>
      </c>
      <c r="F1880" t="s">
        <v>45</v>
      </c>
    </row>
    <row r="1881" spans="1:6" hidden="1" x14ac:dyDescent="0.35">
      <c r="A1881" t="s">
        <v>63</v>
      </c>
      <c r="B1881" t="s">
        <v>53</v>
      </c>
      <c r="C1881" t="s">
        <v>46</v>
      </c>
      <c r="D1881">
        <v>0</v>
      </c>
      <c r="E1881" t="s">
        <v>41</v>
      </c>
      <c r="F1881" t="s">
        <v>45</v>
      </c>
    </row>
    <row r="1882" spans="1:6" hidden="1" x14ac:dyDescent="0.35">
      <c r="A1882" t="s">
        <v>64</v>
      </c>
      <c r="B1882" t="s">
        <v>53</v>
      </c>
      <c r="C1882" t="s">
        <v>46</v>
      </c>
      <c r="D1882">
        <v>0</v>
      </c>
      <c r="E1882" t="s">
        <v>41</v>
      </c>
      <c r="F1882" t="s">
        <v>45</v>
      </c>
    </row>
    <row r="1883" spans="1:6" hidden="1" x14ac:dyDescent="0.35">
      <c r="A1883" t="s">
        <v>65</v>
      </c>
      <c r="B1883" t="s">
        <v>53</v>
      </c>
      <c r="C1883" t="s">
        <v>46</v>
      </c>
      <c r="D1883">
        <v>0</v>
      </c>
      <c r="E1883" t="s">
        <v>41</v>
      </c>
      <c r="F1883" t="s">
        <v>45</v>
      </c>
    </row>
    <row r="1884" spans="1:6" hidden="1" x14ac:dyDescent="0.35">
      <c r="A1884" t="s">
        <v>66</v>
      </c>
      <c r="B1884" t="s">
        <v>53</v>
      </c>
      <c r="C1884" t="s">
        <v>46</v>
      </c>
      <c r="D1884">
        <v>0</v>
      </c>
      <c r="E1884" t="s">
        <v>41</v>
      </c>
      <c r="F1884" t="s">
        <v>45</v>
      </c>
    </row>
    <row r="1885" spans="1:6" hidden="1" x14ac:dyDescent="0.35">
      <c r="A1885" t="s">
        <v>67</v>
      </c>
      <c r="B1885" t="s">
        <v>53</v>
      </c>
      <c r="C1885" t="s">
        <v>46</v>
      </c>
      <c r="D1885">
        <v>0</v>
      </c>
      <c r="E1885" t="s">
        <v>41</v>
      </c>
      <c r="F1885" t="s">
        <v>45</v>
      </c>
    </row>
    <row r="1886" spans="1:6" hidden="1" x14ac:dyDescent="0.35">
      <c r="A1886" t="s">
        <v>57</v>
      </c>
      <c r="B1886" t="s">
        <v>53</v>
      </c>
      <c r="C1886" t="s">
        <v>24</v>
      </c>
      <c r="D1886">
        <v>0</v>
      </c>
      <c r="E1886" t="s">
        <v>41</v>
      </c>
      <c r="F1886" t="s">
        <v>45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41</v>
      </c>
      <c r="F1887" t="s">
        <v>45</v>
      </c>
    </row>
    <row r="1888" spans="1:6" hidden="1" x14ac:dyDescent="0.35">
      <c r="A1888" t="s">
        <v>58</v>
      </c>
      <c r="B1888" t="s">
        <v>53</v>
      </c>
      <c r="C1888" t="s">
        <v>24</v>
      </c>
      <c r="D1888">
        <v>0</v>
      </c>
      <c r="E1888" t="s">
        <v>41</v>
      </c>
      <c r="F1888" t="s">
        <v>45</v>
      </c>
    </row>
    <row r="1889" spans="1:6" hidden="1" x14ac:dyDescent="0.35">
      <c r="A1889" t="s">
        <v>59</v>
      </c>
      <c r="B1889" t="s">
        <v>53</v>
      </c>
      <c r="C1889" t="s">
        <v>24</v>
      </c>
      <c r="D1889">
        <v>0</v>
      </c>
      <c r="E1889" t="s">
        <v>41</v>
      </c>
      <c r="F1889" t="s">
        <v>45</v>
      </c>
    </row>
    <row r="1890" spans="1:6" hidden="1" x14ac:dyDescent="0.35">
      <c r="A1890" t="s">
        <v>60</v>
      </c>
      <c r="B1890" t="s">
        <v>53</v>
      </c>
      <c r="C1890" t="s">
        <v>24</v>
      </c>
      <c r="D1890">
        <v>0</v>
      </c>
      <c r="E1890" t="s">
        <v>41</v>
      </c>
      <c r="F1890" t="s">
        <v>45</v>
      </c>
    </row>
    <row r="1891" spans="1:6" hidden="1" x14ac:dyDescent="0.35">
      <c r="A1891" t="s">
        <v>61</v>
      </c>
      <c r="B1891" t="s">
        <v>53</v>
      </c>
      <c r="C1891" t="s">
        <v>24</v>
      </c>
      <c r="D1891">
        <v>0</v>
      </c>
      <c r="E1891" t="s">
        <v>41</v>
      </c>
      <c r="F1891" t="s">
        <v>45</v>
      </c>
    </row>
    <row r="1892" spans="1:6" hidden="1" x14ac:dyDescent="0.35">
      <c r="A1892" t="s">
        <v>62</v>
      </c>
      <c r="B1892" t="s">
        <v>53</v>
      </c>
      <c r="C1892" t="s">
        <v>24</v>
      </c>
      <c r="D1892">
        <v>0</v>
      </c>
      <c r="E1892" t="s">
        <v>41</v>
      </c>
      <c r="F1892" t="s">
        <v>45</v>
      </c>
    </row>
    <row r="1893" spans="1:6" hidden="1" x14ac:dyDescent="0.35">
      <c r="A1893" t="s">
        <v>63</v>
      </c>
      <c r="B1893" t="s">
        <v>53</v>
      </c>
      <c r="C1893" t="s">
        <v>24</v>
      </c>
      <c r="D1893">
        <v>0</v>
      </c>
      <c r="E1893" t="s">
        <v>41</v>
      </c>
      <c r="F1893" t="s">
        <v>45</v>
      </c>
    </row>
    <row r="1894" spans="1:6" hidden="1" x14ac:dyDescent="0.35">
      <c r="A1894" t="s">
        <v>64</v>
      </c>
      <c r="B1894" t="s">
        <v>53</v>
      </c>
      <c r="C1894" t="s">
        <v>24</v>
      </c>
      <c r="D1894">
        <v>0</v>
      </c>
      <c r="E1894" t="s">
        <v>41</v>
      </c>
      <c r="F1894" t="s">
        <v>45</v>
      </c>
    </row>
    <row r="1895" spans="1:6" hidden="1" x14ac:dyDescent="0.35">
      <c r="A1895" t="s">
        <v>65</v>
      </c>
      <c r="B1895" t="s">
        <v>53</v>
      </c>
      <c r="C1895" t="s">
        <v>24</v>
      </c>
      <c r="D1895">
        <v>0</v>
      </c>
      <c r="E1895" t="s">
        <v>41</v>
      </c>
      <c r="F1895" t="s">
        <v>45</v>
      </c>
    </row>
    <row r="1896" spans="1:6" hidden="1" x14ac:dyDescent="0.35">
      <c r="A1896" t="s">
        <v>66</v>
      </c>
      <c r="B1896" t="s">
        <v>53</v>
      </c>
      <c r="C1896" t="s">
        <v>24</v>
      </c>
      <c r="D1896">
        <v>0</v>
      </c>
      <c r="E1896" t="s">
        <v>41</v>
      </c>
      <c r="F1896" t="s">
        <v>45</v>
      </c>
    </row>
    <row r="1897" spans="1:6" hidden="1" x14ac:dyDescent="0.35">
      <c r="A1897" t="s">
        <v>67</v>
      </c>
      <c r="B1897" t="s">
        <v>53</v>
      </c>
      <c r="C1897" t="s">
        <v>24</v>
      </c>
      <c r="D1897">
        <v>0</v>
      </c>
      <c r="E1897" t="s">
        <v>41</v>
      </c>
      <c r="F1897" t="s">
        <v>45</v>
      </c>
    </row>
    <row r="1898" spans="1:6" hidden="1" x14ac:dyDescent="0.35">
      <c r="A1898" t="s">
        <v>57</v>
      </c>
      <c r="B1898" t="s">
        <v>53</v>
      </c>
      <c r="C1898" t="s">
        <v>47</v>
      </c>
      <c r="D1898">
        <v>0</v>
      </c>
      <c r="E1898" t="s">
        <v>41</v>
      </c>
      <c r="F1898" t="s">
        <v>45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41</v>
      </c>
      <c r="F1899" t="s">
        <v>45</v>
      </c>
    </row>
    <row r="1900" spans="1:6" hidden="1" x14ac:dyDescent="0.35">
      <c r="A1900" t="s">
        <v>58</v>
      </c>
      <c r="B1900" t="s">
        <v>53</v>
      </c>
      <c r="C1900" t="s">
        <v>47</v>
      </c>
      <c r="D1900">
        <v>0</v>
      </c>
      <c r="E1900" t="s">
        <v>41</v>
      </c>
      <c r="F1900" t="s">
        <v>45</v>
      </c>
    </row>
    <row r="1901" spans="1:6" hidden="1" x14ac:dyDescent="0.35">
      <c r="A1901" t="s">
        <v>59</v>
      </c>
      <c r="B1901" t="s">
        <v>53</v>
      </c>
      <c r="C1901" t="s">
        <v>47</v>
      </c>
      <c r="D1901">
        <v>0</v>
      </c>
      <c r="E1901" t="s">
        <v>41</v>
      </c>
      <c r="F1901" t="s">
        <v>45</v>
      </c>
    </row>
    <row r="1902" spans="1:6" hidden="1" x14ac:dyDescent="0.35">
      <c r="A1902" t="s">
        <v>60</v>
      </c>
      <c r="B1902" t="s">
        <v>53</v>
      </c>
      <c r="C1902" t="s">
        <v>47</v>
      </c>
      <c r="D1902">
        <v>0</v>
      </c>
      <c r="E1902" t="s">
        <v>41</v>
      </c>
      <c r="F1902" t="s">
        <v>45</v>
      </c>
    </row>
    <row r="1903" spans="1:6" hidden="1" x14ac:dyDescent="0.35">
      <c r="A1903" t="s">
        <v>61</v>
      </c>
      <c r="B1903" t="s">
        <v>53</v>
      </c>
      <c r="C1903" t="s">
        <v>47</v>
      </c>
      <c r="D1903">
        <v>0</v>
      </c>
      <c r="E1903" t="s">
        <v>41</v>
      </c>
      <c r="F1903" t="s">
        <v>45</v>
      </c>
    </row>
    <row r="1904" spans="1:6" hidden="1" x14ac:dyDescent="0.35">
      <c r="A1904" t="s">
        <v>62</v>
      </c>
      <c r="B1904" t="s">
        <v>53</v>
      </c>
      <c r="C1904" t="s">
        <v>47</v>
      </c>
      <c r="D1904">
        <v>0</v>
      </c>
      <c r="E1904" t="s">
        <v>41</v>
      </c>
      <c r="F1904" t="s">
        <v>45</v>
      </c>
    </row>
    <row r="1905" spans="1:6" hidden="1" x14ac:dyDescent="0.35">
      <c r="A1905" t="s">
        <v>63</v>
      </c>
      <c r="B1905" t="s">
        <v>53</v>
      </c>
      <c r="C1905" t="s">
        <v>47</v>
      </c>
      <c r="D1905">
        <v>0</v>
      </c>
      <c r="E1905" t="s">
        <v>41</v>
      </c>
      <c r="F1905" t="s">
        <v>45</v>
      </c>
    </row>
    <row r="1906" spans="1:6" hidden="1" x14ac:dyDescent="0.35">
      <c r="A1906" t="s">
        <v>64</v>
      </c>
      <c r="B1906" t="s">
        <v>53</v>
      </c>
      <c r="C1906" t="s">
        <v>47</v>
      </c>
      <c r="D1906">
        <v>0</v>
      </c>
      <c r="E1906" t="s">
        <v>41</v>
      </c>
      <c r="F1906" t="s">
        <v>45</v>
      </c>
    </row>
    <row r="1907" spans="1:6" hidden="1" x14ac:dyDescent="0.35">
      <c r="A1907" t="s">
        <v>65</v>
      </c>
      <c r="B1907" t="s">
        <v>53</v>
      </c>
      <c r="C1907" t="s">
        <v>47</v>
      </c>
      <c r="D1907">
        <v>0</v>
      </c>
      <c r="E1907" t="s">
        <v>41</v>
      </c>
      <c r="F1907" t="s">
        <v>45</v>
      </c>
    </row>
    <row r="1908" spans="1:6" hidden="1" x14ac:dyDescent="0.35">
      <c r="A1908" t="s">
        <v>66</v>
      </c>
      <c r="B1908" t="s">
        <v>53</v>
      </c>
      <c r="C1908" t="s">
        <v>47</v>
      </c>
      <c r="D1908">
        <v>0</v>
      </c>
      <c r="E1908" t="s">
        <v>41</v>
      </c>
      <c r="F1908" t="s">
        <v>45</v>
      </c>
    </row>
    <row r="1909" spans="1:6" hidden="1" x14ac:dyDescent="0.35">
      <c r="A1909" t="s">
        <v>67</v>
      </c>
      <c r="B1909" t="s">
        <v>53</v>
      </c>
      <c r="C1909" t="s">
        <v>47</v>
      </c>
      <c r="D1909">
        <v>0</v>
      </c>
      <c r="E1909" t="s">
        <v>41</v>
      </c>
      <c r="F1909" t="s">
        <v>45</v>
      </c>
    </row>
    <row r="1910" spans="1:6" hidden="1" x14ac:dyDescent="0.35">
      <c r="A1910" t="s">
        <v>57</v>
      </c>
      <c r="B1910" t="s">
        <v>53</v>
      </c>
      <c r="C1910" t="s">
        <v>48</v>
      </c>
      <c r="D1910">
        <v>0</v>
      </c>
      <c r="E1910" t="s">
        <v>41</v>
      </c>
      <c r="F1910" t="s">
        <v>45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41</v>
      </c>
      <c r="F1911" t="s">
        <v>45</v>
      </c>
    </row>
    <row r="1912" spans="1:6" hidden="1" x14ac:dyDescent="0.35">
      <c r="A1912" t="s">
        <v>58</v>
      </c>
      <c r="B1912" t="s">
        <v>53</v>
      </c>
      <c r="C1912" t="s">
        <v>48</v>
      </c>
      <c r="D1912">
        <v>0</v>
      </c>
      <c r="E1912" t="s">
        <v>41</v>
      </c>
      <c r="F1912" t="s">
        <v>45</v>
      </c>
    </row>
    <row r="1913" spans="1:6" hidden="1" x14ac:dyDescent="0.35">
      <c r="A1913" t="s">
        <v>59</v>
      </c>
      <c r="B1913" t="s">
        <v>53</v>
      </c>
      <c r="C1913" t="s">
        <v>48</v>
      </c>
      <c r="D1913">
        <v>0</v>
      </c>
      <c r="E1913" t="s">
        <v>41</v>
      </c>
      <c r="F1913" t="s">
        <v>45</v>
      </c>
    </row>
    <row r="1914" spans="1:6" hidden="1" x14ac:dyDescent="0.35">
      <c r="A1914" t="s">
        <v>60</v>
      </c>
      <c r="B1914" t="s">
        <v>53</v>
      </c>
      <c r="C1914" t="s">
        <v>48</v>
      </c>
      <c r="D1914">
        <v>0</v>
      </c>
      <c r="E1914" t="s">
        <v>41</v>
      </c>
      <c r="F1914" t="s">
        <v>45</v>
      </c>
    </row>
    <row r="1915" spans="1:6" hidden="1" x14ac:dyDescent="0.35">
      <c r="A1915" t="s">
        <v>61</v>
      </c>
      <c r="B1915" t="s">
        <v>53</v>
      </c>
      <c r="C1915" t="s">
        <v>48</v>
      </c>
      <c r="D1915">
        <v>0</v>
      </c>
      <c r="E1915" t="s">
        <v>41</v>
      </c>
      <c r="F1915" t="s">
        <v>45</v>
      </c>
    </row>
    <row r="1916" spans="1:6" hidden="1" x14ac:dyDescent="0.35">
      <c r="A1916" t="s">
        <v>62</v>
      </c>
      <c r="B1916" t="s">
        <v>53</v>
      </c>
      <c r="C1916" t="s">
        <v>48</v>
      </c>
      <c r="D1916">
        <v>0</v>
      </c>
      <c r="E1916" t="s">
        <v>41</v>
      </c>
      <c r="F1916" t="s">
        <v>45</v>
      </c>
    </row>
    <row r="1917" spans="1:6" hidden="1" x14ac:dyDescent="0.35">
      <c r="A1917" t="s">
        <v>63</v>
      </c>
      <c r="B1917" t="s">
        <v>53</v>
      </c>
      <c r="C1917" t="s">
        <v>48</v>
      </c>
      <c r="D1917">
        <v>0</v>
      </c>
      <c r="E1917" t="s">
        <v>41</v>
      </c>
      <c r="F1917" t="s">
        <v>45</v>
      </c>
    </row>
    <row r="1918" spans="1:6" hidden="1" x14ac:dyDescent="0.35">
      <c r="A1918" t="s">
        <v>64</v>
      </c>
      <c r="B1918" t="s">
        <v>53</v>
      </c>
      <c r="C1918" t="s">
        <v>48</v>
      </c>
      <c r="D1918">
        <v>0</v>
      </c>
      <c r="E1918" t="s">
        <v>41</v>
      </c>
      <c r="F1918" t="s">
        <v>45</v>
      </c>
    </row>
    <row r="1919" spans="1:6" hidden="1" x14ac:dyDescent="0.35">
      <c r="A1919" t="s">
        <v>65</v>
      </c>
      <c r="B1919" t="s">
        <v>53</v>
      </c>
      <c r="C1919" t="s">
        <v>48</v>
      </c>
      <c r="D1919">
        <v>0</v>
      </c>
      <c r="E1919" t="s">
        <v>41</v>
      </c>
      <c r="F1919" t="s">
        <v>45</v>
      </c>
    </row>
    <row r="1920" spans="1:6" hidden="1" x14ac:dyDescent="0.35">
      <c r="A1920" t="s">
        <v>66</v>
      </c>
      <c r="B1920" t="s">
        <v>53</v>
      </c>
      <c r="C1920" t="s">
        <v>48</v>
      </c>
      <c r="D1920">
        <v>0</v>
      </c>
      <c r="E1920" t="s">
        <v>41</v>
      </c>
      <c r="F1920" t="s">
        <v>45</v>
      </c>
    </row>
    <row r="1921" spans="1:6" hidden="1" x14ac:dyDescent="0.35">
      <c r="A1921" t="s">
        <v>67</v>
      </c>
      <c r="B1921" t="s">
        <v>53</v>
      </c>
      <c r="C1921" t="s">
        <v>48</v>
      </c>
      <c r="D1921">
        <v>0</v>
      </c>
      <c r="E1921" t="s">
        <v>41</v>
      </c>
      <c r="F1921" t="s">
        <v>45</v>
      </c>
    </row>
    <row r="1922" spans="1:6" hidden="1" x14ac:dyDescent="0.35">
      <c r="A1922" t="s">
        <v>57</v>
      </c>
      <c r="B1922" t="s">
        <v>53</v>
      </c>
      <c r="C1922" t="s">
        <v>49</v>
      </c>
      <c r="D1922">
        <v>0</v>
      </c>
      <c r="E1922" t="s">
        <v>41</v>
      </c>
      <c r="F1922" t="s">
        <v>45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41</v>
      </c>
      <c r="F1923" t="s">
        <v>45</v>
      </c>
    </row>
    <row r="1924" spans="1:6" hidden="1" x14ac:dyDescent="0.35">
      <c r="A1924" t="s">
        <v>58</v>
      </c>
      <c r="B1924" t="s">
        <v>53</v>
      </c>
      <c r="C1924" t="s">
        <v>49</v>
      </c>
      <c r="D1924">
        <v>0</v>
      </c>
      <c r="E1924" t="s">
        <v>41</v>
      </c>
      <c r="F1924" t="s">
        <v>45</v>
      </c>
    </row>
    <row r="1925" spans="1:6" hidden="1" x14ac:dyDescent="0.35">
      <c r="A1925" t="s">
        <v>59</v>
      </c>
      <c r="B1925" t="s">
        <v>53</v>
      </c>
      <c r="C1925" t="s">
        <v>49</v>
      </c>
      <c r="D1925">
        <v>0</v>
      </c>
      <c r="E1925" t="s">
        <v>41</v>
      </c>
      <c r="F1925" t="s">
        <v>45</v>
      </c>
    </row>
    <row r="1926" spans="1:6" hidden="1" x14ac:dyDescent="0.35">
      <c r="A1926" t="s">
        <v>60</v>
      </c>
      <c r="B1926" t="s">
        <v>53</v>
      </c>
      <c r="C1926" t="s">
        <v>49</v>
      </c>
      <c r="D1926">
        <v>0</v>
      </c>
      <c r="E1926" t="s">
        <v>41</v>
      </c>
      <c r="F1926" t="s">
        <v>45</v>
      </c>
    </row>
    <row r="1927" spans="1:6" hidden="1" x14ac:dyDescent="0.35">
      <c r="A1927" t="s">
        <v>61</v>
      </c>
      <c r="B1927" t="s">
        <v>53</v>
      </c>
      <c r="C1927" t="s">
        <v>49</v>
      </c>
      <c r="D1927">
        <v>0</v>
      </c>
      <c r="E1927" t="s">
        <v>41</v>
      </c>
      <c r="F1927" t="s">
        <v>45</v>
      </c>
    </row>
    <row r="1928" spans="1:6" hidden="1" x14ac:dyDescent="0.35">
      <c r="A1928" t="s">
        <v>62</v>
      </c>
      <c r="B1928" t="s">
        <v>53</v>
      </c>
      <c r="C1928" t="s">
        <v>49</v>
      </c>
      <c r="D1928">
        <v>0</v>
      </c>
      <c r="E1928" t="s">
        <v>41</v>
      </c>
      <c r="F1928" t="s">
        <v>45</v>
      </c>
    </row>
    <row r="1929" spans="1:6" hidden="1" x14ac:dyDescent="0.35">
      <c r="A1929" t="s">
        <v>63</v>
      </c>
      <c r="B1929" t="s">
        <v>53</v>
      </c>
      <c r="C1929" t="s">
        <v>49</v>
      </c>
      <c r="D1929">
        <v>0</v>
      </c>
      <c r="E1929" t="s">
        <v>41</v>
      </c>
      <c r="F1929" t="s">
        <v>45</v>
      </c>
    </row>
    <row r="1930" spans="1:6" hidden="1" x14ac:dyDescent="0.35">
      <c r="A1930" t="s">
        <v>64</v>
      </c>
      <c r="B1930" t="s">
        <v>53</v>
      </c>
      <c r="C1930" t="s">
        <v>49</v>
      </c>
      <c r="D1930">
        <v>0</v>
      </c>
      <c r="E1930" t="s">
        <v>41</v>
      </c>
      <c r="F1930" t="s">
        <v>45</v>
      </c>
    </row>
    <row r="1931" spans="1:6" hidden="1" x14ac:dyDescent="0.35">
      <c r="A1931" t="s">
        <v>65</v>
      </c>
      <c r="B1931" t="s">
        <v>53</v>
      </c>
      <c r="C1931" t="s">
        <v>49</v>
      </c>
      <c r="D1931">
        <v>0</v>
      </c>
      <c r="E1931" t="s">
        <v>41</v>
      </c>
      <c r="F1931" t="s">
        <v>45</v>
      </c>
    </row>
    <row r="1932" spans="1:6" hidden="1" x14ac:dyDescent="0.35">
      <c r="A1932" t="s">
        <v>66</v>
      </c>
      <c r="B1932" t="s">
        <v>53</v>
      </c>
      <c r="C1932" t="s">
        <v>49</v>
      </c>
      <c r="D1932">
        <v>0</v>
      </c>
      <c r="E1932" t="s">
        <v>41</v>
      </c>
      <c r="F1932" t="s">
        <v>45</v>
      </c>
    </row>
    <row r="1933" spans="1:6" hidden="1" x14ac:dyDescent="0.35">
      <c r="A1933" t="s">
        <v>67</v>
      </c>
      <c r="B1933" t="s">
        <v>53</v>
      </c>
      <c r="C1933" t="s">
        <v>49</v>
      </c>
      <c r="D1933">
        <v>0</v>
      </c>
      <c r="E1933" t="s">
        <v>41</v>
      </c>
      <c r="F1933" t="s">
        <v>45</v>
      </c>
    </row>
    <row r="1934" spans="1:6" hidden="1" x14ac:dyDescent="0.35">
      <c r="A1934" t="s">
        <v>57</v>
      </c>
      <c r="B1934" t="s">
        <v>53</v>
      </c>
      <c r="C1934" t="s">
        <v>50</v>
      </c>
      <c r="D1934">
        <v>0</v>
      </c>
      <c r="E1934" t="s">
        <v>41</v>
      </c>
      <c r="F1934" t="s">
        <v>45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41</v>
      </c>
      <c r="F1935" t="s">
        <v>45</v>
      </c>
    </row>
    <row r="1936" spans="1:6" hidden="1" x14ac:dyDescent="0.35">
      <c r="A1936" t="s">
        <v>58</v>
      </c>
      <c r="B1936" t="s">
        <v>53</v>
      </c>
      <c r="C1936" t="s">
        <v>50</v>
      </c>
      <c r="D1936">
        <v>0</v>
      </c>
      <c r="E1936" t="s">
        <v>41</v>
      </c>
      <c r="F1936" t="s">
        <v>45</v>
      </c>
    </row>
    <row r="1937" spans="1:6" hidden="1" x14ac:dyDescent="0.35">
      <c r="A1937" t="s">
        <v>59</v>
      </c>
      <c r="B1937" t="s">
        <v>53</v>
      </c>
      <c r="C1937" t="s">
        <v>50</v>
      </c>
      <c r="D1937">
        <v>0</v>
      </c>
      <c r="E1937" t="s">
        <v>41</v>
      </c>
      <c r="F1937" t="s">
        <v>45</v>
      </c>
    </row>
    <row r="1938" spans="1:6" hidden="1" x14ac:dyDescent="0.35">
      <c r="A1938" t="s">
        <v>60</v>
      </c>
      <c r="B1938" t="s">
        <v>53</v>
      </c>
      <c r="C1938" t="s">
        <v>50</v>
      </c>
      <c r="D1938">
        <v>0</v>
      </c>
      <c r="E1938" t="s">
        <v>41</v>
      </c>
      <c r="F1938" t="s">
        <v>45</v>
      </c>
    </row>
    <row r="1939" spans="1:6" hidden="1" x14ac:dyDescent="0.35">
      <c r="A1939" t="s">
        <v>61</v>
      </c>
      <c r="B1939" t="s">
        <v>53</v>
      </c>
      <c r="C1939" t="s">
        <v>50</v>
      </c>
      <c r="D1939">
        <v>0</v>
      </c>
      <c r="E1939" t="s">
        <v>41</v>
      </c>
      <c r="F1939" t="s">
        <v>45</v>
      </c>
    </row>
    <row r="1940" spans="1:6" hidden="1" x14ac:dyDescent="0.35">
      <c r="A1940" t="s">
        <v>62</v>
      </c>
      <c r="B1940" t="s">
        <v>53</v>
      </c>
      <c r="C1940" t="s">
        <v>50</v>
      </c>
      <c r="D1940">
        <v>0</v>
      </c>
      <c r="E1940" t="s">
        <v>41</v>
      </c>
      <c r="F1940" t="s">
        <v>45</v>
      </c>
    </row>
    <row r="1941" spans="1:6" hidden="1" x14ac:dyDescent="0.35">
      <c r="A1941" t="s">
        <v>63</v>
      </c>
      <c r="B1941" t="s">
        <v>53</v>
      </c>
      <c r="C1941" t="s">
        <v>50</v>
      </c>
      <c r="D1941">
        <v>0</v>
      </c>
      <c r="E1941" t="s">
        <v>41</v>
      </c>
      <c r="F1941" t="s">
        <v>45</v>
      </c>
    </row>
    <row r="1942" spans="1:6" hidden="1" x14ac:dyDescent="0.35">
      <c r="A1942" t="s">
        <v>64</v>
      </c>
      <c r="B1942" t="s">
        <v>53</v>
      </c>
      <c r="C1942" t="s">
        <v>50</v>
      </c>
      <c r="D1942">
        <v>0</v>
      </c>
      <c r="E1942" t="s">
        <v>41</v>
      </c>
      <c r="F1942" t="s">
        <v>45</v>
      </c>
    </row>
    <row r="1943" spans="1:6" hidden="1" x14ac:dyDescent="0.35">
      <c r="A1943" t="s">
        <v>65</v>
      </c>
      <c r="B1943" t="s">
        <v>53</v>
      </c>
      <c r="C1943" t="s">
        <v>50</v>
      </c>
      <c r="D1943">
        <v>0</v>
      </c>
      <c r="E1943" t="s">
        <v>41</v>
      </c>
      <c r="F1943" t="s">
        <v>45</v>
      </c>
    </row>
    <row r="1944" spans="1:6" hidden="1" x14ac:dyDescent="0.35">
      <c r="A1944" t="s">
        <v>66</v>
      </c>
      <c r="B1944" t="s">
        <v>53</v>
      </c>
      <c r="C1944" t="s">
        <v>50</v>
      </c>
      <c r="D1944">
        <v>0</v>
      </c>
      <c r="E1944" t="s">
        <v>41</v>
      </c>
      <c r="F1944" t="s">
        <v>45</v>
      </c>
    </row>
    <row r="1945" spans="1:6" hidden="1" x14ac:dyDescent="0.35">
      <c r="A1945" t="s">
        <v>67</v>
      </c>
      <c r="B1945" t="s">
        <v>53</v>
      </c>
      <c r="C1945" t="s">
        <v>50</v>
      </c>
      <c r="D1945">
        <v>0</v>
      </c>
      <c r="E1945" t="s">
        <v>41</v>
      </c>
      <c r="F1945" t="s">
        <v>45</v>
      </c>
    </row>
    <row r="1946" spans="1:6" hidden="1" x14ac:dyDescent="0.35">
      <c r="A1946" t="s">
        <v>57</v>
      </c>
      <c r="B1946" t="s">
        <v>53</v>
      </c>
      <c r="C1946" t="s">
        <v>51</v>
      </c>
      <c r="D1946">
        <v>0</v>
      </c>
      <c r="E1946" t="s">
        <v>41</v>
      </c>
      <c r="F1946" t="s">
        <v>45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0</v>
      </c>
      <c r="E1947" t="s">
        <v>41</v>
      </c>
      <c r="F1947" t="s">
        <v>45</v>
      </c>
    </row>
    <row r="1948" spans="1:6" hidden="1" x14ac:dyDescent="0.35">
      <c r="A1948" t="s">
        <v>58</v>
      </c>
      <c r="B1948" t="s">
        <v>53</v>
      </c>
      <c r="C1948" t="s">
        <v>51</v>
      </c>
      <c r="D1948">
        <v>0</v>
      </c>
      <c r="E1948" t="s">
        <v>41</v>
      </c>
      <c r="F1948" t="s">
        <v>45</v>
      </c>
    </row>
    <row r="1949" spans="1:6" hidden="1" x14ac:dyDescent="0.35">
      <c r="A1949" t="s">
        <v>59</v>
      </c>
      <c r="B1949" t="s">
        <v>53</v>
      </c>
      <c r="C1949" t="s">
        <v>51</v>
      </c>
      <c r="D1949">
        <v>0</v>
      </c>
      <c r="E1949" t="s">
        <v>41</v>
      </c>
      <c r="F1949" t="s">
        <v>45</v>
      </c>
    </row>
    <row r="1950" spans="1:6" hidden="1" x14ac:dyDescent="0.35">
      <c r="A1950" t="s">
        <v>60</v>
      </c>
      <c r="B1950" t="s">
        <v>53</v>
      </c>
      <c r="C1950" t="s">
        <v>51</v>
      </c>
      <c r="D1950">
        <v>0</v>
      </c>
      <c r="E1950" t="s">
        <v>41</v>
      </c>
      <c r="F1950" t="s">
        <v>45</v>
      </c>
    </row>
    <row r="1951" spans="1:6" hidden="1" x14ac:dyDescent="0.35">
      <c r="A1951" t="s">
        <v>61</v>
      </c>
      <c r="B1951" t="s">
        <v>53</v>
      </c>
      <c r="C1951" t="s">
        <v>51</v>
      </c>
      <c r="D1951">
        <v>0</v>
      </c>
      <c r="E1951" t="s">
        <v>41</v>
      </c>
      <c r="F1951" t="s">
        <v>45</v>
      </c>
    </row>
    <row r="1952" spans="1:6" hidden="1" x14ac:dyDescent="0.35">
      <c r="A1952" t="s">
        <v>62</v>
      </c>
      <c r="B1952" t="s">
        <v>53</v>
      </c>
      <c r="C1952" t="s">
        <v>51</v>
      </c>
      <c r="D1952">
        <v>0</v>
      </c>
      <c r="E1952" t="s">
        <v>41</v>
      </c>
      <c r="F1952" t="s">
        <v>45</v>
      </c>
    </row>
    <row r="1953" spans="1:6" hidden="1" x14ac:dyDescent="0.35">
      <c r="A1953" t="s">
        <v>63</v>
      </c>
      <c r="B1953" t="s">
        <v>53</v>
      </c>
      <c r="C1953" t="s">
        <v>51</v>
      </c>
      <c r="D1953">
        <v>0</v>
      </c>
      <c r="E1953" t="s">
        <v>41</v>
      </c>
      <c r="F1953" t="s">
        <v>45</v>
      </c>
    </row>
    <row r="1954" spans="1:6" hidden="1" x14ac:dyDescent="0.35">
      <c r="A1954" t="s">
        <v>64</v>
      </c>
      <c r="B1954" t="s">
        <v>53</v>
      </c>
      <c r="C1954" t="s">
        <v>51</v>
      </c>
      <c r="D1954">
        <v>0</v>
      </c>
      <c r="E1954" t="s">
        <v>41</v>
      </c>
      <c r="F1954" t="s">
        <v>45</v>
      </c>
    </row>
    <row r="1955" spans="1:6" hidden="1" x14ac:dyDescent="0.35">
      <c r="A1955" t="s">
        <v>65</v>
      </c>
      <c r="B1955" t="s">
        <v>53</v>
      </c>
      <c r="C1955" t="s">
        <v>51</v>
      </c>
      <c r="D1955">
        <v>0</v>
      </c>
      <c r="E1955" t="s">
        <v>41</v>
      </c>
      <c r="F1955" t="s">
        <v>45</v>
      </c>
    </row>
    <row r="1956" spans="1:6" hidden="1" x14ac:dyDescent="0.35">
      <c r="A1956" t="s">
        <v>66</v>
      </c>
      <c r="B1956" t="s">
        <v>53</v>
      </c>
      <c r="C1956" t="s">
        <v>51</v>
      </c>
      <c r="D1956">
        <v>0</v>
      </c>
      <c r="E1956" t="s">
        <v>41</v>
      </c>
      <c r="F1956" t="s">
        <v>45</v>
      </c>
    </row>
    <row r="1957" spans="1:6" hidden="1" x14ac:dyDescent="0.35">
      <c r="A1957" t="s">
        <v>67</v>
      </c>
      <c r="B1957" t="s">
        <v>53</v>
      </c>
      <c r="C1957" t="s">
        <v>51</v>
      </c>
      <c r="D1957">
        <v>0</v>
      </c>
      <c r="E1957" t="s">
        <v>41</v>
      </c>
      <c r="F1957" t="s">
        <v>45</v>
      </c>
    </row>
    <row r="1958" spans="1:6" hidden="1" x14ac:dyDescent="0.35">
      <c r="A1958" t="s">
        <v>57</v>
      </c>
      <c r="B1958" t="s">
        <v>53</v>
      </c>
      <c r="C1958" t="s">
        <v>30</v>
      </c>
      <c r="D1958">
        <v>0</v>
      </c>
      <c r="E1958" t="s">
        <v>41</v>
      </c>
      <c r="F1958" t="s">
        <v>45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41</v>
      </c>
      <c r="F1959" t="s">
        <v>45</v>
      </c>
    </row>
    <row r="1960" spans="1:6" hidden="1" x14ac:dyDescent="0.35">
      <c r="A1960" t="s">
        <v>58</v>
      </c>
      <c r="B1960" t="s">
        <v>53</v>
      </c>
      <c r="C1960" t="s">
        <v>30</v>
      </c>
      <c r="D1960">
        <v>0</v>
      </c>
      <c r="E1960" t="s">
        <v>41</v>
      </c>
      <c r="F1960" t="s">
        <v>45</v>
      </c>
    </row>
    <row r="1961" spans="1:6" hidden="1" x14ac:dyDescent="0.35">
      <c r="A1961" t="s">
        <v>59</v>
      </c>
      <c r="B1961" t="s">
        <v>53</v>
      </c>
      <c r="C1961" t="s">
        <v>30</v>
      </c>
      <c r="D1961">
        <v>0</v>
      </c>
      <c r="E1961" t="s">
        <v>41</v>
      </c>
      <c r="F1961" t="s">
        <v>45</v>
      </c>
    </row>
    <row r="1962" spans="1:6" hidden="1" x14ac:dyDescent="0.35">
      <c r="A1962" t="s">
        <v>60</v>
      </c>
      <c r="B1962" t="s">
        <v>53</v>
      </c>
      <c r="C1962" t="s">
        <v>30</v>
      </c>
      <c r="D1962">
        <v>0</v>
      </c>
      <c r="E1962" t="s">
        <v>41</v>
      </c>
      <c r="F1962" t="s">
        <v>45</v>
      </c>
    </row>
    <row r="1963" spans="1:6" hidden="1" x14ac:dyDescent="0.35">
      <c r="A1963" t="s">
        <v>61</v>
      </c>
      <c r="B1963" t="s">
        <v>53</v>
      </c>
      <c r="C1963" t="s">
        <v>30</v>
      </c>
      <c r="D1963">
        <v>0</v>
      </c>
      <c r="E1963" t="s">
        <v>41</v>
      </c>
      <c r="F1963" t="s">
        <v>45</v>
      </c>
    </row>
    <row r="1964" spans="1:6" hidden="1" x14ac:dyDescent="0.35">
      <c r="A1964" t="s">
        <v>62</v>
      </c>
      <c r="B1964" t="s">
        <v>53</v>
      </c>
      <c r="C1964" t="s">
        <v>30</v>
      </c>
      <c r="D1964">
        <v>0</v>
      </c>
      <c r="E1964" t="s">
        <v>41</v>
      </c>
      <c r="F1964" t="s">
        <v>45</v>
      </c>
    </row>
    <row r="1965" spans="1:6" hidden="1" x14ac:dyDescent="0.35">
      <c r="A1965" t="s">
        <v>63</v>
      </c>
      <c r="B1965" t="s">
        <v>53</v>
      </c>
      <c r="C1965" t="s">
        <v>30</v>
      </c>
      <c r="D1965">
        <v>0</v>
      </c>
      <c r="E1965" t="s">
        <v>41</v>
      </c>
      <c r="F1965" t="s">
        <v>45</v>
      </c>
    </row>
    <row r="1966" spans="1:6" hidden="1" x14ac:dyDescent="0.35">
      <c r="A1966" t="s">
        <v>64</v>
      </c>
      <c r="B1966" t="s">
        <v>53</v>
      </c>
      <c r="C1966" t="s">
        <v>30</v>
      </c>
      <c r="D1966">
        <v>0</v>
      </c>
      <c r="E1966" t="s">
        <v>41</v>
      </c>
      <c r="F1966" t="s">
        <v>45</v>
      </c>
    </row>
    <row r="1967" spans="1:6" hidden="1" x14ac:dyDescent="0.35">
      <c r="A1967" t="s">
        <v>65</v>
      </c>
      <c r="B1967" t="s">
        <v>53</v>
      </c>
      <c r="C1967" t="s">
        <v>30</v>
      </c>
      <c r="D1967">
        <v>0</v>
      </c>
      <c r="E1967" t="s">
        <v>41</v>
      </c>
      <c r="F1967" t="s">
        <v>45</v>
      </c>
    </row>
    <row r="1968" spans="1:6" hidden="1" x14ac:dyDescent="0.35">
      <c r="A1968" t="s">
        <v>66</v>
      </c>
      <c r="B1968" t="s">
        <v>53</v>
      </c>
      <c r="C1968" t="s">
        <v>30</v>
      </c>
      <c r="D1968">
        <v>0</v>
      </c>
      <c r="E1968" t="s">
        <v>41</v>
      </c>
      <c r="F1968" t="s">
        <v>45</v>
      </c>
    </row>
    <row r="1969" spans="1:6" hidden="1" x14ac:dyDescent="0.35">
      <c r="A1969" t="s">
        <v>67</v>
      </c>
      <c r="B1969" t="s">
        <v>53</v>
      </c>
      <c r="C1969" t="s">
        <v>30</v>
      </c>
      <c r="D1969">
        <v>0</v>
      </c>
      <c r="E1969" t="s">
        <v>41</v>
      </c>
      <c r="F1969" t="s">
        <v>45</v>
      </c>
    </row>
    <row r="1970" spans="1:6" hidden="1" x14ac:dyDescent="0.35">
      <c r="A1970" t="s">
        <v>57</v>
      </c>
      <c r="B1970" t="s">
        <v>53</v>
      </c>
      <c r="C1970" t="s">
        <v>52</v>
      </c>
      <c r="D1970">
        <v>0</v>
      </c>
      <c r="E1970" t="s">
        <v>41</v>
      </c>
      <c r="F1970" t="s">
        <v>45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41</v>
      </c>
      <c r="F1971" t="s">
        <v>45</v>
      </c>
    </row>
    <row r="1972" spans="1:6" hidden="1" x14ac:dyDescent="0.35">
      <c r="A1972" t="s">
        <v>58</v>
      </c>
      <c r="B1972" t="s">
        <v>53</v>
      </c>
      <c r="C1972" t="s">
        <v>52</v>
      </c>
      <c r="D1972">
        <v>0</v>
      </c>
      <c r="E1972" t="s">
        <v>41</v>
      </c>
      <c r="F1972" t="s">
        <v>45</v>
      </c>
    </row>
    <row r="1973" spans="1:6" hidden="1" x14ac:dyDescent="0.35">
      <c r="A1973" t="s">
        <v>59</v>
      </c>
      <c r="B1973" t="s">
        <v>53</v>
      </c>
      <c r="C1973" t="s">
        <v>52</v>
      </c>
      <c r="D1973">
        <v>0</v>
      </c>
      <c r="E1973" t="s">
        <v>41</v>
      </c>
      <c r="F1973" t="s">
        <v>45</v>
      </c>
    </row>
    <row r="1974" spans="1:6" hidden="1" x14ac:dyDescent="0.35">
      <c r="A1974" t="s">
        <v>60</v>
      </c>
      <c r="B1974" t="s">
        <v>53</v>
      </c>
      <c r="C1974" t="s">
        <v>52</v>
      </c>
      <c r="D1974">
        <v>0</v>
      </c>
      <c r="E1974" t="s">
        <v>41</v>
      </c>
      <c r="F1974" t="s">
        <v>45</v>
      </c>
    </row>
    <row r="1975" spans="1:6" hidden="1" x14ac:dyDescent="0.35">
      <c r="A1975" t="s">
        <v>61</v>
      </c>
      <c r="B1975" t="s">
        <v>53</v>
      </c>
      <c r="C1975" t="s">
        <v>52</v>
      </c>
      <c r="D1975">
        <v>0</v>
      </c>
      <c r="E1975" t="s">
        <v>41</v>
      </c>
      <c r="F1975" t="s">
        <v>45</v>
      </c>
    </row>
    <row r="1976" spans="1:6" hidden="1" x14ac:dyDescent="0.35">
      <c r="A1976" t="s">
        <v>62</v>
      </c>
      <c r="B1976" t="s">
        <v>53</v>
      </c>
      <c r="C1976" t="s">
        <v>52</v>
      </c>
      <c r="D1976">
        <v>0</v>
      </c>
      <c r="E1976" t="s">
        <v>41</v>
      </c>
      <c r="F1976" t="s">
        <v>45</v>
      </c>
    </row>
    <row r="1977" spans="1:6" hidden="1" x14ac:dyDescent="0.35">
      <c r="A1977" t="s">
        <v>63</v>
      </c>
      <c r="B1977" t="s">
        <v>53</v>
      </c>
      <c r="C1977" t="s">
        <v>52</v>
      </c>
      <c r="D1977">
        <v>0</v>
      </c>
      <c r="E1977" t="s">
        <v>41</v>
      </c>
      <c r="F1977" t="s">
        <v>45</v>
      </c>
    </row>
    <row r="1978" spans="1:6" hidden="1" x14ac:dyDescent="0.35">
      <c r="A1978" t="s">
        <v>64</v>
      </c>
      <c r="B1978" t="s">
        <v>53</v>
      </c>
      <c r="C1978" t="s">
        <v>52</v>
      </c>
      <c r="D1978">
        <v>0</v>
      </c>
      <c r="E1978" t="s">
        <v>41</v>
      </c>
      <c r="F1978" t="s">
        <v>45</v>
      </c>
    </row>
    <row r="1979" spans="1:6" hidden="1" x14ac:dyDescent="0.35">
      <c r="A1979" t="s">
        <v>65</v>
      </c>
      <c r="B1979" t="s">
        <v>53</v>
      </c>
      <c r="C1979" t="s">
        <v>52</v>
      </c>
      <c r="D1979">
        <v>0</v>
      </c>
      <c r="E1979" t="s">
        <v>41</v>
      </c>
      <c r="F1979" t="s">
        <v>45</v>
      </c>
    </row>
    <row r="1980" spans="1:6" hidden="1" x14ac:dyDescent="0.35">
      <c r="A1980" t="s">
        <v>66</v>
      </c>
      <c r="B1980" t="s">
        <v>53</v>
      </c>
      <c r="C1980" t="s">
        <v>52</v>
      </c>
      <c r="D1980">
        <v>0</v>
      </c>
      <c r="E1980" t="s">
        <v>41</v>
      </c>
      <c r="F1980" t="s">
        <v>45</v>
      </c>
    </row>
    <row r="1981" spans="1:6" hidden="1" x14ac:dyDescent="0.35">
      <c r="A1981" t="s">
        <v>67</v>
      </c>
      <c r="B1981" t="s">
        <v>53</v>
      </c>
      <c r="C1981" t="s">
        <v>52</v>
      </c>
      <c r="D1981">
        <v>0</v>
      </c>
      <c r="E1981" t="s">
        <v>41</v>
      </c>
      <c r="F1981" t="s">
        <v>45</v>
      </c>
    </row>
    <row r="1982" spans="1:6" hidden="1" x14ac:dyDescent="0.35">
      <c r="A1982" t="s">
        <v>57</v>
      </c>
      <c r="B1982" t="s">
        <v>54</v>
      </c>
      <c r="C1982" t="s">
        <v>44</v>
      </c>
      <c r="D1982">
        <v>0</v>
      </c>
      <c r="E1982" t="s">
        <v>41</v>
      </c>
      <c r="F1982" t="s">
        <v>45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41</v>
      </c>
      <c r="F1983" t="s">
        <v>45</v>
      </c>
    </row>
    <row r="1984" spans="1:6" hidden="1" x14ac:dyDescent="0.35">
      <c r="A1984" t="s">
        <v>58</v>
      </c>
      <c r="B1984" t="s">
        <v>54</v>
      </c>
      <c r="C1984" t="s">
        <v>44</v>
      </c>
      <c r="D1984">
        <v>0</v>
      </c>
      <c r="E1984" t="s">
        <v>41</v>
      </c>
      <c r="F1984" t="s">
        <v>45</v>
      </c>
    </row>
    <row r="1985" spans="1:6" hidden="1" x14ac:dyDescent="0.35">
      <c r="A1985" t="s">
        <v>59</v>
      </c>
      <c r="B1985" t="s">
        <v>54</v>
      </c>
      <c r="C1985" t="s">
        <v>44</v>
      </c>
      <c r="D1985">
        <v>0</v>
      </c>
      <c r="E1985" t="s">
        <v>41</v>
      </c>
      <c r="F1985" t="s">
        <v>45</v>
      </c>
    </row>
    <row r="1986" spans="1:6" hidden="1" x14ac:dyDescent="0.35">
      <c r="A1986" t="s">
        <v>60</v>
      </c>
      <c r="B1986" t="s">
        <v>54</v>
      </c>
      <c r="C1986" t="s">
        <v>44</v>
      </c>
      <c r="D1986">
        <v>0</v>
      </c>
      <c r="E1986" t="s">
        <v>41</v>
      </c>
      <c r="F1986" t="s">
        <v>45</v>
      </c>
    </row>
    <row r="1987" spans="1:6" hidden="1" x14ac:dyDescent="0.35">
      <c r="A1987" t="s">
        <v>61</v>
      </c>
      <c r="B1987" t="s">
        <v>54</v>
      </c>
      <c r="C1987" t="s">
        <v>44</v>
      </c>
      <c r="D1987">
        <v>0</v>
      </c>
      <c r="E1987" t="s">
        <v>41</v>
      </c>
      <c r="F1987" t="s">
        <v>45</v>
      </c>
    </row>
    <row r="1988" spans="1:6" hidden="1" x14ac:dyDescent="0.35">
      <c r="A1988" t="s">
        <v>62</v>
      </c>
      <c r="B1988" t="s">
        <v>54</v>
      </c>
      <c r="C1988" t="s">
        <v>44</v>
      </c>
      <c r="D1988">
        <v>0</v>
      </c>
      <c r="E1988" t="s">
        <v>41</v>
      </c>
      <c r="F1988" t="s">
        <v>45</v>
      </c>
    </row>
    <row r="1989" spans="1:6" hidden="1" x14ac:dyDescent="0.35">
      <c r="A1989" t="s">
        <v>63</v>
      </c>
      <c r="B1989" t="s">
        <v>54</v>
      </c>
      <c r="C1989" t="s">
        <v>44</v>
      </c>
      <c r="D1989">
        <v>0</v>
      </c>
      <c r="E1989" t="s">
        <v>41</v>
      </c>
      <c r="F1989" t="s">
        <v>45</v>
      </c>
    </row>
    <row r="1990" spans="1:6" hidden="1" x14ac:dyDescent="0.35">
      <c r="A1990" t="s">
        <v>64</v>
      </c>
      <c r="B1990" t="s">
        <v>54</v>
      </c>
      <c r="C1990" t="s">
        <v>44</v>
      </c>
      <c r="D1990">
        <v>0</v>
      </c>
      <c r="E1990" t="s">
        <v>41</v>
      </c>
      <c r="F1990" t="s">
        <v>45</v>
      </c>
    </row>
    <row r="1991" spans="1:6" hidden="1" x14ac:dyDescent="0.35">
      <c r="A1991" t="s">
        <v>65</v>
      </c>
      <c r="B1991" t="s">
        <v>54</v>
      </c>
      <c r="C1991" t="s">
        <v>44</v>
      </c>
      <c r="D1991">
        <v>0</v>
      </c>
      <c r="E1991" t="s">
        <v>41</v>
      </c>
      <c r="F1991" t="s">
        <v>45</v>
      </c>
    </row>
    <row r="1992" spans="1:6" hidden="1" x14ac:dyDescent="0.35">
      <c r="A1992" t="s">
        <v>66</v>
      </c>
      <c r="B1992" t="s">
        <v>54</v>
      </c>
      <c r="C1992" t="s">
        <v>44</v>
      </c>
      <c r="D1992">
        <v>0</v>
      </c>
      <c r="E1992" t="s">
        <v>41</v>
      </c>
      <c r="F1992" t="s">
        <v>45</v>
      </c>
    </row>
    <row r="1993" spans="1:6" hidden="1" x14ac:dyDescent="0.35">
      <c r="A1993" t="s">
        <v>67</v>
      </c>
      <c r="B1993" t="s">
        <v>54</v>
      </c>
      <c r="C1993" t="s">
        <v>44</v>
      </c>
      <c r="D1993">
        <v>0</v>
      </c>
      <c r="E1993" t="s">
        <v>41</v>
      </c>
      <c r="F1993" t="s">
        <v>45</v>
      </c>
    </row>
    <row r="1994" spans="1:6" hidden="1" x14ac:dyDescent="0.35">
      <c r="A1994" t="s">
        <v>57</v>
      </c>
      <c r="B1994" t="s">
        <v>54</v>
      </c>
      <c r="C1994" t="s">
        <v>22</v>
      </c>
      <c r="D1994">
        <v>0</v>
      </c>
      <c r="E1994" t="s">
        <v>41</v>
      </c>
      <c r="F1994" t="s">
        <v>45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41</v>
      </c>
      <c r="F1995" t="s">
        <v>45</v>
      </c>
    </row>
    <row r="1996" spans="1:6" hidden="1" x14ac:dyDescent="0.35">
      <c r="A1996" t="s">
        <v>58</v>
      </c>
      <c r="B1996" t="s">
        <v>54</v>
      </c>
      <c r="C1996" t="s">
        <v>22</v>
      </c>
      <c r="D1996">
        <v>0</v>
      </c>
      <c r="E1996" t="s">
        <v>41</v>
      </c>
      <c r="F1996" t="s">
        <v>45</v>
      </c>
    </row>
    <row r="1997" spans="1:6" hidden="1" x14ac:dyDescent="0.35">
      <c r="A1997" t="s">
        <v>59</v>
      </c>
      <c r="B1997" t="s">
        <v>54</v>
      </c>
      <c r="C1997" t="s">
        <v>22</v>
      </c>
      <c r="D1997">
        <v>0</v>
      </c>
      <c r="E1997" t="s">
        <v>41</v>
      </c>
      <c r="F1997" t="s">
        <v>45</v>
      </c>
    </row>
    <row r="1998" spans="1:6" hidden="1" x14ac:dyDescent="0.35">
      <c r="A1998" t="s">
        <v>60</v>
      </c>
      <c r="B1998" t="s">
        <v>54</v>
      </c>
      <c r="C1998" t="s">
        <v>22</v>
      </c>
      <c r="D1998">
        <v>0</v>
      </c>
      <c r="E1998" t="s">
        <v>41</v>
      </c>
      <c r="F1998" t="s">
        <v>45</v>
      </c>
    </row>
    <row r="1999" spans="1:6" hidden="1" x14ac:dyDescent="0.35">
      <c r="A1999" t="s">
        <v>61</v>
      </c>
      <c r="B1999" t="s">
        <v>54</v>
      </c>
      <c r="C1999" t="s">
        <v>22</v>
      </c>
      <c r="D1999">
        <v>0</v>
      </c>
      <c r="E1999" t="s">
        <v>41</v>
      </c>
      <c r="F1999" t="s">
        <v>45</v>
      </c>
    </row>
    <row r="2000" spans="1:6" hidden="1" x14ac:dyDescent="0.35">
      <c r="A2000" t="s">
        <v>62</v>
      </c>
      <c r="B2000" t="s">
        <v>54</v>
      </c>
      <c r="C2000" t="s">
        <v>22</v>
      </c>
      <c r="D2000">
        <v>0</v>
      </c>
      <c r="E2000" t="s">
        <v>41</v>
      </c>
      <c r="F2000" t="s">
        <v>45</v>
      </c>
    </row>
    <row r="2001" spans="1:6" hidden="1" x14ac:dyDescent="0.35">
      <c r="A2001" t="s">
        <v>63</v>
      </c>
      <c r="B2001" t="s">
        <v>54</v>
      </c>
      <c r="C2001" t="s">
        <v>22</v>
      </c>
      <c r="D2001">
        <v>0</v>
      </c>
      <c r="E2001" t="s">
        <v>41</v>
      </c>
      <c r="F2001" t="s">
        <v>45</v>
      </c>
    </row>
    <row r="2002" spans="1:6" hidden="1" x14ac:dyDescent="0.35">
      <c r="A2002" t="s">
        <v>64</v>
      </c>
      <c r="B2002" t="s">
        <v>54</v>
      </c>
      <c r="C2002" t="s">
        <v>22</v>
      </c>
      <c r="D2002">
        <v>0</v>
      </c>
      <c r="E2002" t="s">
        <v>41</v>
      </c>
      <c r="F2002" t="s">
        <v>45</v>
      </c>
    </row>
    <row r="2003" spans="1:6" hidden="1" x14ac:dyDescent="0.35">
      <c r="A2003" t="s">
        <v>65</v>
      </c>
      <c r="B2003" t="s">
        <v>54</v>
      </c>
      <c r="C2003" t="s">
        <v>22</v>
      </c>
      <c r="D2003">
        <v>0</v>
      </c>
      <c r="E2003" t="s">
        <v>41</v>
      </c>
      <c r="F2003" t="s">
        <v>45</v>
      </c>
    </row>
    <row r="2004" spans="1:6" hidden="1" x14ac:dyDescent="0.35">
      <c r="A2004" t="s">
        <v>66</v>
      </c>
      <c r="B2004" t="s">
        <v>54</v>
      </c>
      <c r="C2004" t="s">
        <v>22</v>
      </c>
      <c r="D2004">
        <v>0</v>
      </c>
      <c r="E2004" t="s">
        <v>41</v>
      </c>
      <c r="F2004" t="s">
        <v>45</v>
      </c>
    </row>
    <row r="2005" spans="1:6" hidden="1" x14ac:dyDescent="0.35">
      <c r="A2005" t="s">
        <v>67</v>
      </c>
      <c r="B2005" t="s">
        <v>54</v>
      </c>
      <c r="C2005" t="s">
        <v>22</v>
      </c>
      <c r="D2005">
        <v>0</v>
      </c>
      <c r="E2005" t="s">
        <v>41</v>
      </c>
      <c r="F2005" t="s">
        <v>45</v>
      </c>
    </row>
    <row r="2006" spans="1:6" hidden="1" x14ac:dyDescent="0.35">
      <c r="A2006" t="s">
        <v>57</v>
      </c>
      <c r="B2006" t="s">
        <v>54</v>
      </c>
      <c r="C2006" t="s">
        <v>46</v>
      </c>
      <c r="D2006">
        <v>288372.49999999983</v>
      </c>
      <c r="E2006" t="s">
        <v>41</v>
      </c>
      <c r="F2006" t="s">
        <v>45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274458.77</v>
      </c>
      <c r="E2007" t="s">
        <v>41</v>
      </c>
      <c r="F2007" t="s">
        <v>45</v>
      </c>
    </row>
    <row r="2008" spans="1:6" hidden="1" x14ac:dyDescent="0.35">
      <c r="A2008" t="s">
        <v>58</v>
      </c>
      <c r="B2008" t="s">
        <v>54</v>
      </c>
      <c r="C2008" t="s">
        <v>46</v>
      </c>
      <c r="D2008">
        <v>348657.1599999998</v>
      </c>
      <c r="E2008" t="s">
        <v>41</v>
      </c>
      <c r="F2008" t="s">
        <v>45</v>
      </c>
    </row>
    <row r="2009" spans="1:6" hidden="1" x14ac:dyDescent="0.35">
      <c r="A2009" t="s">
        <v>59</v>
      </c>
      <c r="B2009" t="s">
        <v>54</v>
      </c>
      <c r="C2009" t="s">
        <v>46</v>
      </c>
      <c r="D2009">
        <v>318495.81000000052</v>
      </c>
      <c r="E2009" t="s">
        <v>41</v>
      </c>
      <c r="F2009" t="s">
        <v>45</v>
      </c>
    </row>
    <row r="2010" spans="1:6" hidden="1" x14ac:dyDescent="0.35">
      <c r="A2010" t="s">
        <v>60</v>
      </c>
      <c r="B2010" t="s">
        <v>54</v>
      </c>
      <c r="C2010" t="s">
        <v>46</v>
      </c>
      <c r="D2010">
        <v>367308.34</v>
      </c>
      <c r="E2010" t="s">
        <v>41</v>
      </c>
      <c r="F2010" t="s">
        <v>45</v>
      </c>
    </row>
    <row r="2011" spans="1:6" hidden="1" x14ac:dyDescent="0.35">
      <c r="A2011" t="s">
        <v>61</v>
      </c>
      <c r="B2011" t="s">
        <v>54</v>
      </c>
      <c r="C2011" t="s">
        <v>46</v>
      </c>
      <c r="D2011">
        <v>408381.08000000042</v>
      </c>
      <c r="E2011" t="s">
        <v>41</v>
      </c>
      <c r="F2011" t="s">
        <v>45</v>
      </c>
    </row>
    <row r="2012" spans="1:6" hidden="1" x14ac:dyDescent="0.35">
      <c r="A2012" t="s">
        <v>62</v>
      </c>
      <c r="B2012" t="s">
        <v>54</v>
      </c>
      <c r="C2012" t="s">
        <v>46</v>
      </c>
      <c r="D2012">
        <v>340574.92</v>
      </c>
      <c r="E2012" t="s">
        <v>41</v>
      </c>
      <c r="F2012" t="s">
        <v>45</v>
      </c>
    </row>
    <row r="2013" spans="1:6" hidden="1" x14ac:dyDescent="0.35">
      <c r="A2013" t="s">
        <v>63</v>
      </c>
      <c r="B2013" t="s">
        <v>54</v>
      </c>
      <c r="C2013" t="s">
        <v>46</v>
      </c>
      <c r="D2013">
        <v>330512.77000000019</v>
      </c>
      <c r="E2013" t="s">
        <v>41</v>
      </c>
      <c r="F2013" t="s">
        <v>45</v>
      </c>
    </row>
    <row r="2014" spans="1:6" hidden="1" x14ac:dyDescent="0.35">
      <c r="A2014" t="s">
        <v>64</v>
      </c>
      <c r="B2014" t="s">
        <v>54</v>
      </c>
      <c r="C2014" t="s">
        <v>46</v>
      </c>
      <c r="D2014">
        <v>312227.20000000048</v>
      </c>
      <c r="E2014" t="s">
        <v>41</v>
      </c>
      <c r="F2014" t="s">
        <v>45</v>
      </c>
    </row>
    <row r="2015" spans="1:6" hidden="1" x14ac:dyDescent="0.35">
      <c r="A2015" t="s">
        <v>65</v>
      </c>
      <c r="B2015" t="s">
        <v>54</v>
      </c>
      <c r="C2015" t="s">
        <v>46</v>
      </c>
      <c r="D2015">
        <v>368970.01000000018</v>
      </c>
      <c r="E2015" t="s">
        <v>41</v>
      </c>
      <c r="F2015" t="s">
        <v>45</v>
      </c>
    </row>
    <row r="2016" spans="1:6" hidden="1" x14ac:dyDescent="0.35">
      <c r="A2016" t="s">
        <v>66</v>
      </c>
      <c r="B2016" t="s">
        <v>54</v>
      </c>
      <c r="C2016" t="s">
        <v>46</v>
      </c>
      <c r="D2016">
        <v>352426.77000000008</v>
      </c>
      <c r="E2016" t="s">
        <v>41</v>
      </c>
      <c r="F2016" t="s">
        <v>45</v>
      </c>
    </row>
    <row r="2017" spans="1:6" hidden="1" x14ac:dyDescent="0.35">
      <c r="A2017" t="s">
        <v>67</v>
      </c>
      <c r="B2017" t="s">
        <v>54</v>
      </c>
      <c r="C2017" t="s">
        <v>46</v>
      </c>
      <c r="D2017">
        <v>426532</v>
      </c>
      <c r="E2017" t="s">
        <v>41</v>
      </c>
      <c r="F2017" t="s">
        <v>45</v>
      </c>
    </row>
    <row r="2018" spans="1:6" hidden="1" x14ac:dyDescent="0.35">
      <c r="A2018" t="s">
        <v>57</v>
      </c>
      <c r="B2018" t="s">
        <v>54</v>
      </c>
      <c r="C2018" t="s">
        <v>24</v>
      </c>
      <c r="D2018">
        <v>0</v>
      </c>
      <c r="E2018" t="s">
        <v>41</v>
      </c>
      <c r="F2018" t="s">
        <v>45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41</v>
      </c>
      <c r="F2019" t="s">
        <v>45</v>
      </c>
    </row>
    <row r="2020" spans="1:6" hidden="1" x14ac:dyDescent="0.35">
      <c r="A2020" t="s">
        <v>58</v>
      </c>
      <c r="B2020" t="s">
        <v>54</v>
      </c>
      <c r="C2020" t="s">
        <v>24</v>
      </c>
      <c r="D2020">
        <v>0</v>
      </c>
      <c r="E2020" t="s">
        <v>41</v>
      </c>
      <c r="F2020" t="s">
        <v>45</v>
      </c>
    </row>
    <row r="2021" spans="1:6" hidden="1" x14ac:dyDescent="0.35">
      <c r="A2021" t="s">
        <v>59</v>
      </c>
      <c r="B2021" t="s">
        <v>54</v>
      </c>
      <c r="C2021" t="s">
        <v>24</v>
      </c>
      <c r="D2021">
        <v>0</v>
      </c>
      <c r="E2021" t="s">
        <v>41</v>
      </c>
      <c r="F2021" t="s">
        <v>45</v>
      </c>
    </row>
    <row r="2022" spans="1:6" hidden="1" x14ac:dyDescent="0.35">
      <c r="A2022" t="s">
        <v>60</v>
      </c>
      <c r="B2022" t="s">
        <v>54</v>
      </c>
      <c r="C2022" t="s">
        <v>24</v>
      </c>
      <c r="D2022">
        <v>0</v>
      </c>
      <c r="E2022" t="s">
        <v>41</v>
      </c>
      <c r="F2022" t="s">
        <v>45</v>
      </c>
    </row>
    <row r="2023" spans="1:6" hidden="1" x14ac:dyDescent="0.35">
      <c r="A2023" t="s">
        <v>61</v>
      </c>
      <c r="B2023" t="s">
        <v>54</v>
      </c>
      <c r="C2023" t="s">
        <v>24</v>
      </c>
      <c r="D2023">
        <v>0</v>
      </c>
      <c r="E2023" t="s">
        <v>41</v>
      </c>
      <c r="F2023" t="s">
        <v>45</v>
      </c>
    </row>
    <row r="2024" spans="1:6" hidden="1" x14ac:dyDescent="0.35">
      <c r="A2024" t="s">
        <v>62</v>
      </c>
      <c r="B2024" t="s">
        <v>54</v>
      </c>
      <c r="C2024" t="s">
        <v>24</v>
      </c>
      <c r="D2024">
        <v>0</v>
      </c>
      <c r="E2024" t="s">
        <v>41</v>
      </c>
      <c r="F2024" t="s">
        <v>45</v>
      </c>
    </row>
    <row r="2025" spans="1:6" hidden="1" x14ac:dyDescent="0.35">
      <c r="A2025" t="s">
        <v>63</v>
      </c>
      <c r="B2025" t="s">
        <v>54</v>
      </c>
      <c r="C2025" t="s">
        <v>24</v>
      </c>
      <c r="D2025">
        <v>0</v>
      </c>
      <c r="E2025" t="s">
        <v>41</v>
      </c>
      <c r="F2025" t="s">
        <v>45</v>
      </c>
    </row>
    <row r="2026" spans="1:6" hidden="1" x14ac:dyDescent="0.35">
      <c r="A2026" t="s">
        <v>64</v>
      </c>
      <c r="B2026" t="s">
        <v>54</v>
      </c>
      <c r="C2026" t="s">
        <v>24</v>
      </c>
      <c r="D2026">
        <v>0</v>
      </c>
      <c r="E2026" t="s">
        <v>41</v>
      </c>
      <c r="F2026" t="s">
        <v>45</v>
      </c>
    </row>
    <row r="2027" spans="1:6" hidden="1" x14ac:dyDescent="0.35">
      <c r="A2027" t="s">
        <v>65</v>
      </c>
      <c r="B2027" t="s">
        <v>54</v>
      </c>
      <c r="C2027" t="s">
        <v>24</v>
      </c>
      <c r="D2027">
        <v>0</v>
      </c>
      <c r="E2027" t="s">
        <v>41</v>
      </c>
      <c r="F2027" t="s">
        <v>45</v>
      </c>
    </row>
    <row r="2028" spans="1:6" hidden="1" x14ac:dyDescent="0.35">
      <c r="A2028" t="s">
        <v>66</v>
      </c>
      <c r="B2028" t="s">
        <v>54</v>
      </c>
      <c r="C2028" t="s">
        <v>24</v>
      </c>
      <c r="D2028">
        <v>0</v>
      </c>
      <c r="E2028" t="s">
        <v>41</v>
      </c>
      <c r="F2028" t="s">
        <v>45</v>
      </c>
    </row>
    <row r="2029" spans="1:6" hidden="1" x14ac:dyDescent="0.35">
      <c r="A2029" t="s">
        <v>67</v>
      </c>
      <c r="B2029" t="s">
        <v>54</v>
      </c>
      <c r="C2029" t="s">
        <v>24</v>
      </c>
      <c r="D2029">
        <v>0</v>
      </c>
      <c r="E2029" t="s">
        <v>41</v>
      </c>
      <c r="F2029" t="s">
        <v>45</v>
      </c>
    </row>
    <row r="2030" spans="1:6" hidden="1" x14ac:dyDescent="0.35">
      <c r="A2030" t="s">
        <v>57</v>
      </c>
      <c r="B2030" t="s">
        <v>54</v>
      </c>
      <c r="C2030" t="s">
        <v>47</v>
      </c>
      <c r="D2030">
        <v>0</v>
      </c>
      <c r="E2030" t="s">
        <v>41</v>
      </c>
      <c r="F2030" t="s">
        <v>45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41</v>
      </c>
      <c r="F2031" t="s">
        <v>45</v>
      </c>
    </row>
    <row r="2032" spans="1:6" hidden="1" x14ac:dyDescent="0.35">
      <c r="A2032" t="s">
        <v>58</v>
      </c>
      <c r="B2032" t="s">
        <v>54</v>
      </c>
      <c r="C2032" t="s">
        <v>47</v>
      </c>
      <c r="D2032">
        <v>0</v>
      </c>
      <c r="E2032" t="s">
        <v>41</v>
      </c>
      <c r="F2032" t="s">
        <v>45</v>
      </c>
    </row>
    <row r="2033" spans="1:6" hidden="1" x14ac:dyDescent="0.35">
      <c r="A2033" t="s">
        <v>59</v>
      </c>
      <c r="B2033" t="s">
        <v>54</v>
      </c>
      <c r="C2033" t="s">
        <v>47</v>
      </c>
      <c r="D2033">
        <v>0</v>
      </c>
      <c r="E2033" t="s">
        <v>41</v>
      </c>
      <c r="F2033" t="s">
        <v>45</v>
      </c>
    </row>
    <row r="2034" spans="1:6" hidden="1" x14ac:dyDescent="0.35">
      <c r="A2034" t="s">
        <v>60</v>
      </c>
      <c r="B2034" t="s">
        <v>54</v>
      </c>
      <c r="C2034" t="s">
        <v>47</v>
      </c>
      <c r="D2034">
        <v>0</v>
      </c>
      <c r="E2034" t="s">
        <v>41</v>
      </c>
      <c r="F2034" t="s">
        <v>45</v>
      </c>
    </row>
    <row r="2035" spans="1:6" hidden="1" x14ac:dyDescent="0.35">
      <c r="A2035" t="s">
        <v>61</v>
      </c>
      <c r="B2035" t="s">
        <v>54</v>
      </c>
      <c r="C2035" t="s">
        <v>47</v>
      </c>
      <c r="D2035">
        <v>0</v>
      </c>
      <c r="E2035" t="s">
        <v>41</v>
      </c>
      <c r="F2035" t="s">
        <v>45</v>
      </c>
    </row>
    <row r="2036" spans="1:6" hidden="1" x14ac:dyDescent="0.35">
      <c r="A2036" t="s">
        <v>62</v>
      </c>
      <c r="B2036" t="s">
        <v>54</v>
      </c>
      <c r="C2036" t="s">
        <v>47</v>
      </c>
      <c r="D2036">
        <v>0</v>
      </c>
      <c r="E2036" t="s">
        <v>41</v>
      </c>
      <c r="F2036" t="s">
        <v>45</v>
      </c>
    </row>
    <row r="2037" spans="1:6" hidden="1" x14ac:dyDescent="0.35">
      <c r="A2037" t="s">
        <v>63</v>
      </c>
      <c r="B2037" t="s">
        <v>54</v>
      </c>
      <c r="C2037" t="s">
        <v>47</v>
      </c>
      <c r="D2037">
        <v>0</v>
      </c>
      <c r="E2037" t="s">
        <v>41</v>
      </c>
      <c r="F2037" t="s">
        <v>45</v>
      </c>
    </row>
    <row r="2038" spans="1:6" hidden="1" x14ac:dyDescent="0.35">
      <c r="A2038" t="s">
        <v>64</v>
      </c>
      <c r="B2038" t="s">
        <v>54</v>
      </c>
      <c r="C2038" t="s">
        <v>47</v>
      </c>
      <c r="D2038">
        <v>0</v>
      </c>
      <c r="E2038" t="s">
        <v>41</v>
      </c>
      <c r="F2038" t="s">
        <v>45</v>
      </c>
    </row>
    <row r="2039" spans="1:6" hidden="1" x14ac:dyDescent="0.35">
      <c r="A2039" t="s">
        <v>65</v>
      </c>
      <c r="B2039" t="s">
        <v>54</v>
      </c>
      <c r="C2039" t="s">
        <v>47</v>
      </c>
      <c r="D2039">
        <v>0</v>
      </c>
      <c r="E2039" t="s">
        <v>41</v>
      </c>
      <c r="F2039" t="s">
        <v>45</v>
      </c>
    </row>
    <row r="2040" spans="1:6" hidden="1" x14ac:dyDescent="0.35">
      <c r="A2040" t="s">
        <v>66</v>
      </c>
      <c r="B2040" t="s">
        <v>54</v>
      </c>
      <c r="C2040" t="s">
        <v>47</v>
      </c>
      <c r="D2040">
        <v>0</v>
      </c>
      <c r="E2040" t="s">
        <v>41</v>
      </c>
      <c r="F2040" t="s">
        <v>45</v>
      </c>
    </row>
    <row r="2041" spans="1:6" hidden="1" x14ac:dyDescent="0.35">
      <c r="A2041" t="s">
        <v>67</v>
      </c>
      <c r="B2041" t="s">
        <v>54</v>
      </c>
      <c r="C2041" t="s">
        <v>47</v>
      </c>
      <c r="D2041">
        <v>0</v>
      </c>
      <c r="E2041" t="s">
        <v>41</v>
      </c>
      <c r="F2041" t="s">
        <v>45</v>
      </c>
    </row>
    <row r="2042" spans="1:6" hidden="1" x14ac:dyDescent="0.35">
      <c r="A2042" t="s">
        <v>57</v>
      </c>
      <c r="B2042" t="s">
        <v>54</v>
      </c>
      <c r="C2042" t="s">
        <v>48</v>
      </c>
      <c r="D2042">
        <v>0</v>
      </c>
      <c r="E2042" t="s">
        <v>41</v>
      </c>
      <c r="F2042" t="s">
        <v>45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41</v>
      </c>
      <c r="F2043" t="s">
        <v>45</v>
      </c>
    </row>
    <row r="2044" spans="1:6" hidden="1" x14ac:dyDescent="0.35">
      <c r="A2044" t="s">
        <v>58</v>
      </c>
      <c r="B2044" t="s">
        <v>54</v>
      </c>
      <c r="C2044" t="s">
        <v>48</v>
      </c>
      <c r="D2044">
        <v>0</v>
      </c>
      <c r="E2044" t="s">
        <v>41</v>
      </c>
      <c r="F2044" t="s">
        <v>45</v>
      </c>
    </row>
    <row r="2045" spans="1:6" hidden="1" x14ac:dyDescent="0.35">
      <c r="A2045" t="s">
        <v>59</v>
      </c>
      <c r="B2045" t="s">
        <v>54</v>
      </c>
      <c r="C2045" t="s">
        <v>48</v>
      </c>
      <c r="D2045">
        <v>0</v>
      </c>
      <c r="E2045" t="s">
        <v>41</v>
      </c>
      <c r="F2045" t="s">
        <v>45</v>
      </c>
    </row>
    <row r="2046" spans="1:6" hidden="1" x14ac:dyDescent="0.35">
      <c r="A2046" t="s">
        <v>60</v>
      </c>
      <c r="B2046" t="s">
        <v>54</v>
      </c>
      <c r="C2046" t="s">
        <v>48</v>
      </c>
      <c r="D2046">
        <v>0</v>
      </c>
      <c r="E2046" t="s">
        <v>41</v>
      </c>
      <c r="F2046" t="s">
        <v>45</v>
      </c>
    </row>
    <row r="2047" spans="1:6" hidden="1" x14ac:dyDescent="0.35">
      <c r="A2047" t="s">
        <v>61</v>
      </c>
      <c r="B2047" t="s">
        <v>54</v>
      </c>
      <c r="C2047" t="s">
        <v>48</v>
      </c>
      <c r="D2047">
        <v>0</v>
      </c>
      <c r="E2047" t="s">
        <v>41</v>
      </c>
      <c r="F2047" t="s">
        <v>45</v>
      </c>
    </row>
    <row r="2048" spans="1:6" hidden="1" x14ac:dyDescent="0.35">
      <c r="A2048" t="s">
        <v>62</v>
      </c>
      <c r="B2048" t="s">
        <v>54</v>
      </c>
      <c r="C2048" t="s">
        <v>48</v>
      </c>
      <c r="D2048">
        <v>0</v>
      </c>
      <c r="E2048" t="s">
        <v>41</v>
      </c>
      <c r="F2048" t="s">
        <v>45</v>
      </c>
    </row>
    <row r="2049" spans="1:6" hidden="1" x14ac:dyDescent="0.35">
      <c r="A2049" t="s">
        <v>63</v>
      </c>
      <c r="B2049" t="s">
        <v>54</v>
      </c>
      <c r="C2049" t="s">
        <v>48</v>
      </c>
      <c r="D2049">
        <v>0</v>
      </c>
      <c r="E2049" t="s">
        <v>41</v>
      </c>
      <c r="F2049" t="s">
        <v>45</v>
      </c>
    </row>
    <row r="2050" spans="1:6" hidden="1" x14ac:dyDescent="0.35">
      <c r="A2050" t="s">
        <v>64</v>
      </c>
      <c r="B2050" t="s">
        <v>54</v>
      </c>
      <c r="C2050" t="s">
        <v>48</v>
      </c>
      <c r="D2050">
        <v>0</v>
      </c>
      <c r="E2050" t="s">
        <v>41</v>
      </c>
      <c r="F2050" t="s">
        <v>45</v>
      </c>
    </row>
    <row r="2051" spans="1:6" hidden="1" x14ac:dyDescent="0.35">
      <c r="A2051" t="s">
        <v>65</v>
      </c>
      <c r="B2051" t="s">
        <v>54</v>
      </c>
      <c r="C2051" t="s">
        <v>48</v>
      </c>
      <c r="D2051">
        <v>0</v>
      </c>
      <c r="E2051" t="s">
        <v>41</v>
      </c>
      <c r="F2051" t="s">
        <v>45</v>
      </c>
    </row>
    <row r="2052" spans="1:6" hidden="1" x14ac:dyDescent="0.35">
      <c r="A2052" t="s">
        <v>66</v>
      </c>
      <c r="B2052" t="s">
        <v>54</v>
      </c>
      <c r="C2052" t="s">
        <v>48</v>
      </c>
      <c r="D2052">
        <v>0</v>
      </c>
      <c r="E2052" t="s">
        <v>41</v>
      </c>
      <c r="F2052" t="s">
        <v>45</v>
      </c>
    </row>
    <row r="2053" spans="1:6" hidden="1" x14ac:dyDescent="0.35">
      <c r="A2053" t="s">
        <v>67</v>
      </c>
      <c r="B2053" t="s">
        <v>54</v>
      </c>
      <c r="C2053" t="s">
        <v>48</v>
      </c>
      <c r="D2053">
        <v>0</v>
      </c>
      <c r="E2053" t="s">
        <v>41</v>
      </c>
      <c r="F2053" t="s">
        <v>45</v>
      </c>
    </row>
    <row r="2054" spans="1:6" hidden="1" x14ac:dyDescent="0.35">
      <c r="A2054" t="s">
        <v>57</v>
      </c>
      <c r="B2054" t="s">
        <v>54</v>
      </c>
      <c r="C2054" t="s">
        <v>49</v>
      </c>
      <c r="D2054">
        <v>0</v>
      </c>
      <c r="E2054" t="s">
        <v>41</v>
      </c>
      <c r="F2054" t="s">
        <v>45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0</v>
      </c>
      <c r="E2055" t="s">
        <v>41</v>
      </c>
      <c r="F2055" t="s">
        <v>45</v>
      </c>
    </row>
    <row r="2056" spans="1:6" hidden="1" x14ac:dyDescent="0.35">
      <c r="A2056" t="s">
        <v>58</v>
      </c>
      <c r="B2056" t="s">
        <v>54</v>
      </c>
      <c r="C2056" t="s">
        <v>49</v>
      </c>
      <c r="D2056">
        <v>0</v>
      </c>
      <c r="E2056" t="s">
        <v>41</v>
      </c>
      <c r="F2056" t="s">
        <v>45</v>
      </c>
    </row>
    <row r="2057" spans="1:6" hidden="1" x14ac:dyDescent="0.35">
      <c r="A2057" t="s">
        <v>59</v>
      </c>
      <c r="B2057" t="s">
        <v>54</v>
      </c>
      <c r="C2057" t="s">
        <v>49</v>
      </c>
      <c r="D2057">
        <v>0</v>
      </c>
      <c r="E2057" t="s">
        <v>41</v>
      </c>
      <c r="F2057" t="s">
        <v>45</v>
      </c>
    </row>
    <row r="2058" spans="1:6" hidden="1" x14ac:dyDescent="0.35">
      <c r="A2058" t="s">
        <v>60</v>
      </c>
      <c r="B2058" t="s">
        <v>54</v>
      </c>
      <c r="C2058" t="s">
        <v>49</v>
      </c>
      <c r="D2058">
        <v>0</v>
      </c>
      <c r="E2058" t="s">
        <v>41</v>
      </c>
      <c r="F2058" t="s">
        <v>45</v>
      </c>
    </row>
    <row r="2059" spans="1:6" hidden="1" x14ac:dyDescent="0.35">
      <c r="A2059" t="s">
        <v>61</v>
      </c>
      <c r="B2059" t="s">
        <v>54</v>
      </c>
      <c r="C2059" t="s">
        <v>49</v>
      </c>
      <c r="D2059">
        <v>0</v>
      </c>
      <c r="E2059" t="s">
        <v>41</v>
      </c>
      <c r="F2059" t="s">
        <v>45</v>
      </c>
    </row>
    <row r="2060" spans="1:6" hidden="1" x14ac:dyDescent="0.35">
      <c r="A2060" t="s">
        <v>62</v>
      </c>
      <c r="B2060" t="s">
        <v>54</v>
      </c>
      <c r="C2060" t="s">
        <v>49</v>
      </c>
      <c r="D2060">
        <v>0</v>
      </c>
      <c r="E2060" t="s">
        <v>41</v>
      </c>
      <c r="F2060" t="s">
        <v>45</v>
      </c>
    </row>
    <row r="2061" spans="1:6" hidden="1" x14ac:dyDescent="0.35">
      <c r="A2061" t="s">
        <v>63</v>
      </c>
      <c r="B2061" t="s">
        <v>54</v>
      </c>
      <c r="C2061" t="s">
        <v>49</v>
      </c>
      <c r="D2061">
        <v>0</v>
      </c>
      <c r="E2061" t="s">
        <v>41</v>
      </c>
      <c r="F2061" t="s">
        <v>45</v>
      </c>
    </row>
    <row r="2062" spans="1:6" hidden="1" x14ac:dyDescent="0.35">
      <c r="A2062" t="s">
        <v>64</v>
      </c>
      <c r="B2062" t="s">
        <v>54</v>
      </c>
      <c r="C2062" t="s">
        <v>49</v>
      </c>
      <c r="D2062">
        <v>0</v>
      </c>
      <c r="E2062" t="s">
        <v>41</v>
      </c>
      <c r="F2062" t="s">
        <v>45</v>
      </c>
    </row>
    <row r="2063" spans="1:6" hidden="1" x14ac:dyDescent="0.35">
      <c r="A2063" t="s">
        <v>65</v>
      </c>
      <c r="B2063" t="s">
        <v>54</v>
      </c>
      <c r="C2063" t="s">
        <v>49</v>
      </c>
      <c r="D2063">
        <v>0</v>
      </c>
      <c r="E2063" t="s">
        <v>41</v>
      </c>
      <c r="F2063" t="s">
        <v>45</v>
      </c>
    </row>
    <row r="2064" spans="1:6" hidden="1" x14ac:dyDescent="0.35">
      <c r="A2064" t="s">
        <v>66</v>
      </c>
      <c r="B2064" t="s">
        <v>54</v>
      </c>
      <c r="C2064" t="s">
        <v>49</v>
      </c>
      <c r="D2064">
        <v>0</v>
      </c>
      <c r="E2064" t="s">
        <v>41</v>
      </c>
      <c r="F2064" t="s">
        <v>45</v>
      </c>
    </row>
    <row r="2065" spans="1:6" hidden="1" x14ac:dyDescent="0.35">
      <c r="A2065" t="s">
        <v>67</v>
      </c>
      <c r="B2065" t="s">
        <v>54</v>
      </c>
      <c r="C2065" t="s">
        <v>49</v>
      </c>
      <c r="D2065">
        <v>0</v>
      </c>
      <c r="E2065" t="s">
        <v>41</v>
      </c>
      <c r="F2065" t="s">
        <v>45</v>
      </c>
    </row>
    <row r="2066" spans="1:6" hidden="1" x14ac:dyDescent="0.35">
      <c r="A2066" t="s">
        <v>57</v>
      </c>
      <c r="B2066" t="s">
        <v>54</v>
      </c>
      <c r="C2066" t="s">
        <v>50</v>
      </c>
      <c r="D2066">
        <v>0</v>
      </c>
      <c r="E2066" t="s">
        <v>41</v>
      </c>
      <c r="F2066" t="s">
        <v>45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41</v>
      </c>
      <c r="F2067" t="s">
        <v>45</v>
      </c>
    </row>
    <row r="2068" spans="1:6" hidden="1" x14ac:dyDescent="0.35">
      <c r="A2068" t="s">
        <v>58</v>
      </c>
      <c r="B2068" t="s">
        <v>54</v>
      </c>
      <c r="C2068" t="s">
        <v>50</v>
      </c>
      <c r="D2068">
        <v>0</v>
      </c>
      <c r="E2068" t="s">
        <v>41</v>
      </c>
      <c r="F2068" t="s">
        <v>45</v>
      </c>
    </row>
    <row r="2069" spans="1:6" hidden="1" x14ac:dyDescent="0.35">
      <c r="A2069" t="s">
        <v>59</v>
      </c>
      <c r="B2069" t="s">
        <v>54</v>
      </c>
      <c r="C2069" t="s">
        <v>50</v>
      </c>
      <c r="D2069">
        <v>0</v>
      </c>
      <c r="E2069" t="s">
        <v>41</v>
      </c>
      <c r="F2069" t="s">
        <v>45</v>
      </c>
    </row>
    <row r="2070" spans="1:6" hidden="1" x14ac:dyDescent="0.35">
      <c r="A2070" t="s">
        <v>60</v>
      </c>
      <c r="B2070" t="s">
        <v>54</v>
      </c>
      <c r="C2070" t="s">
        <v>50</v>
      </c>
      <c r="D2070">
        <v>0</v>
      </c>
      <c r="E2070" t="s">
        <v>41</v>
      </c>
      <c r="F2070" t="s">
        <v>45</v>
      </c>
    </row>
    <row r="2071" spans="1:6" hidden="1" x14ac:dyDescent="0.35">
      <c r="A2071" t="s">
        <v>61</v>
      </c>
      <c r="B2071" t="s">
        <v>54</v>
      </c>
      <c r="C2071" t="s">
        <v>50</v>
      </c>
      <c r="D2071">
        <v>0</v>
      </c>
      <c r="E2071" t="s">
        <v>41</v>
      </c>
      <c r="F2071" t="s">
        <v>45</v>
      </c>
    </row>
    <row r="2072" spans="1:6" hidden="1" x14ac:dyDescent="0.35">
      <c r="A2072" t="s">
        <v>62</v>
      </c>
      <c r="B2072" t="s">
        <v>54</v>
      </c>
      <c r="C2072" t="s">
        <v>50</v>
      </c>
      <c r="D2072">
        <v>0</v>
      </c>
      <c r="E2072" t="s">
        <v>41</v>
      </c>
      <c r="F2072" t="s">
        <v>45</v>
      </c>
    </row>
    <row r="2073" spans="1:6" hidden="1" x14ac:dyDescent="0.35">
      <c r="A2073" t="s">
        <v>63</v>
      </c>
      <c r="B2073" t="s">
        <v>54</v>
      </c>
      <c r="C2073" t="s">
        <v>50</v>
      </c>
      <c r="D2073">
        <v>0</v>
      </c>
      <c r="E2073" t="s">
        <v>41</v>
      </c>
      <c r="F2073" t="s">
        <v>45</v>
      </c>
    </row>
    <row r="2074" spans="1:6" hidden="1" x14ac:dyDescent="0.35">
      <c r="A2074" t="s">
        <v>64</v>
      </c>
      <c r="B2074" t="s">
        <v>54</v>
      </c>
      <c r="C2074" t="s">
        <v>50</v>
      </c>
      <c r="D2074">
        <v>0</v>
      </c>
      <c r="E2074" t="s">
        <v>41</v>
      </c>
      <c r="F2074" t="s">
        <v>45</v>
      </c>
    </row>
    <row r="2075" spans="1:6" hidden="1" x14ac:dyDescent="0.35">
      <c r="A2075" t="s">
        <v>65</v>
      </c>
      <c r="B2075" t="s">
        <v>54</v>
      </c>
      <c r="C2075" t="s">
        <v>50</v>
      </c>
      <c r="D2075">
        <v>0</v>
      </c>
      <c r="E2075" t="s">
        <v>41</v>
      </c>
      <c r="F2075" t="s">
        <v>45</v>
      </c>
    </row>
    <row r="2076" spans="1:6" hidden="1" x14ac:dyDescent="0.35">
      <c r="A2076" t="s">
        <v>66</v>
      </c>
      <c r="B2076" t="s">
        <v>54</v>
      </c>
      <c r="C2076" t="s">
        <v>50</v>
      </c>
      <c r="D2076">
        <v>0</v>
      </c>
      <c r="E2076" t="s">
        <v>41</v>
      </c>
      <c r="F2076" t="s">
        <v>45</v>
      </c>
    </row>
    <row r="2077" spans="1:6" hidden="1" x14ac:dyDescent="0.35">
      <c r="A2077" t="s">
        <v>67</v>
      </c>
      <c r="B2077" t="s">
        <v>54</v>
      </c>
      <c r="C2077" t="s">
        <v>50</v>
      </c>
      <c r="D2077">
        <v>0</v>
      </c>
      <c r="E2077" t="s">
        <v>41</v>
      </c>
      <c r="F2077" t="s">
        <v>45</v>
      </c>
    </row>
    <row r="2078" spans="1:6" x14ac:dyDescent="0.35">
      <c r="A2078" t="s">
        <v>57</v>
      </c>
      <c r="B2078" t="s">
        <v>54</v>
      </c>
      <c r="C2078" t="s">
        <v>51</v>
      </c>
      <c r="D2078">
        <v>816</v>
      </c>
      <c r="E2078" t="s">
        <v>41</v>
      </c>
      <c r="F2078" t="s">
        <v>45</v>
      </c>
    </row>
    <row r="2079" spans="1:6" x14ac:dyDescent="0.35">
      <c r="A2079" t="s">
        <v>11</v>
      </c>
      <c r="B2079" t="s">
        <v>54</v>
      </c>
      <c r="C2079" t="s">
        <v>51</v>
      </c>
      <c r="D2079">
        <v>872</v>
      </c>
      <c r="E2079" t="s">
        <v>41</v>
      </c>
      <c r="F2079" t="s">
        <v>45</v>
      </c>
    </row>
    <row r="2080" spans="1:6" x14ac:dyDescent="0.35">
      <c r="A2080" t="s">
        <v>58</v>
      </c>
      <c r="B2080" t="s">
        <v>54</v>
      </c>
      <c r="C2080" t="s">
        <v>51</v>
      </c>
      <c r="D2080">
        <v>979</v>
      </c>
      <c r="E2080" t="s">
        <v>41</v>
      </c>
      <c r="F2080" t="s">
        <v>45</v>
      </c>
    </row>
    <row r="2081" spans="1:6" x14ac:dyDescent="0.35">
      <c r="A2081" t="s">
        <v>59</v>
      </c>
      <c r="B2081" t="s">
        <v>54</v>
      </c>
      <c r="C2081" t="s">
        <v>51</v>
      </c>
      <c r="D2081">
        <v>826</v>
      </c>
      <c r="E2081" t="s">
        <v>41</v>
      </c>
      <c r="F2081" t="s">
        <v>45</v>
      </c>
    </row>
    <row r="2082" spans="1:6" x14ac:dyDescent="0.35">
      <c r="A2082" t="s">
        <v>60</v>
      </c>
      <c r="B2082" t="s">
        <v>54</v>
      </c>
      <c r="C2082" t="s">
        <v>51</v>
      </c>
      <c r="D2082">
        <v>885</v>
      </c>
      <c r="E2082" t="s">
        <v>41</v>
      </c>
      <c r="F2082" t="s">
        <v>45</v>
      </c>
    </row>
    <row r="2083" spans="1:6" x14ac:dyDescent="0.35">
      <c r="A2083" t="s">
        <v>61</v>
      </c>
      <c r="B2083" t="s">
        <v>54</v>
      </c>
      <c r="C2083" t="s">
        <v>51</v>
      </c>
      <c r="D2083">
        <v>948</v>
      </c>
      <c r="E2083" t="s">
        <v>41</v>
      </c>
      <c r="F2083" t="s">
        <v>45</v>
      </c>
    </row>
    <row r="2084" spans="1:6" x14ac:dyDescent="0.35">
      <c r="A2084" t="s">
        <v>62</v>
      </c>
      <c r="B2084" t="s">
        <v>54</v>
      </c>
      <c r="C2084" t="s">
        <v>51</v>
      </c>
      <c r="D2084">
        <v>778</v>
      </c>
      <c r="E2084" t="s">
        <v>41</v>
      </c>
      <c r="F2084" t="s">
        <v>45</v>
      </c>
    </row>
    <row r="2085" spans="1:6" x14ac:dyDescent="0.35">
      <c r="A2085" t="s">
        <v>63</v>
      </c>
      <c r="B2085" t="s">
        <v>54</v>
      </c>
      <c r="C2085" t="s">
        <v>51</v>
      </c>
      <c r="D2085">
        <v>956</v>
      </c>
      <c r="E2085" t="s">
        <v>41</v>
      </c>
      <c r="F2085" t="s">
        <v>45</v>
      </c>
    </row>
    <row r="2086" spans="1:6" x14ac:dyDescent="0.35">
      <c r="A2086" t="s">
        <v>64</v>
      </c>
      <c r="B2086" t="s">
        <v>54</v>
      </c>
      <c r="C2086" t="s">
        <v>51</v>
      </c>
      <c r="D2086">
        <v>815</v>
      </c>
      <c r="E2086" t="s">
        <v>41</v>
      </c>
      <c r="F2086" t="s">
        <v>45</v>
      </c>
    </row>
    <row r="2087" spans="1:6" x14ac:dyDescent="0.35">
      <c r="A2087" t="s">
        <v>65</v>
      </c>
      <c r="B2087" t="s">
        <v>54</v>
      </c>
      <c r="C2087" t="s">
        <v>51</v>
      </c>
      <c r="D2087">
        <v>827</v>
      </c>
      <c r="E2087" t="s">
        <v>41</v>
      </c>
      <c r="F2087" t="s">
        <v>45</v>
      </c>
    </row>
    <row r="2088" spans="1:6" x14ac:dyDescent="0.35">
      <c r="A2088" t="s">
        <v>66</v>
      </c>
      <c r="B2088" t="s">
        <v>54</v>
      </c>
      <c r="C2088" t="s">
        <v>51</v>
      </c>
      <c r="D2088">
        <v>710</v>
      </c>
      <c r="E2088" t="s">
        <v>41</v>
      </c>
      <c r="F2088" t="s">
        <v>45</v>
      </c>
    </row>
    <row r="2089" spans="1:6" x14ac:dyDescent="0.35">
      <c r="A2089" t="s">
        <v>67</v>
      </c>
      <c r="B2089" t="s">
        <v>54</v>
      </c>
      <c r="C2089" t="s">
        <v>51</v>
      </c>
      <c r="D2089">
        <v>695</v>
      </c>
      <c r="E2089" t="s">
        <v>41</v>
      </c>
      <c r="F2089" t="s">
        <v>45</v>
      </c>
    </row>
    <row r="2090" spans="1:6" hidden="1" x14ac:dyDescent="0.35">
      <c r="A2090" t="s">
        <v>57</v>
      </c>
      <c r="B2090" t="s">
        <v>54</v>
      </c>
      <c r="C2090" t="s">
        <v>30</v>
      </c>
      <c r="D2090">
        <v>415</v>
      </c>
      <c r="E2090" t="s">
        <v>41</v>
      </c>
      <c r="F2090" t="s">
        <v>45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411</v>
      </c>
      <c r="E2091" t="s">
        <v>41</v>
      </c>
      <c r="F2091" t="s">
        <v>45</v>
      </c>
    </row>
    <row r="2092" spans="1:6" hidden="1" x14ac:dyDescent="0.35">
      <c r="A2092" t="s">
        <v>58</v>
      </c>
      <c r="B2092" t="s">
        <v>54</v>
      </c>
      <c r="C2092" t="s">
        <v>30</v>
      </c>
      <c r="D2092">
        <v>519</v>
      </c>
      <c r="E2092" t="s">
        <v>41</v>
      </c>
      <c r="F2092" t="s">
        <v>45</v>
      </c>
    </row>
    <row r="2093" spans="1:6" hidden="1" x14ac:dyDescent="0.35">
      <c r="A2093" t="s">
        <v>59</v>
      </c>
      <c r="B2093" t="s">
        <v>54</v>
      </c>
      <c r="C2093" t="s">
        <v>30</v>
      </c>
      <c r="D2093">
        <v>463</v>
      </c>
      <c r="E2093" t="s">
        <v>41</v>
      </c>
      <c r="F2093" t="s">
        <v>45</v>
      </c>
    </row>
    <row r="2094" spans="1:6" hidden="1" x14ac:dyDescent="0.35">
      <c r="A2094" t="s">
        <v>60</v>
      </c>
      <c r="B2094" t="s">
        <v>54</v>
      </c>
      <c r="C2094" t="s">
        <v>30</v>
      </c>
      <c r="D2094">
        <v>579</v>
      </c>
      <c r="E2094" t="s">
        <v>41</v>
      </c>
      <c r="F2094" t="s">
        <v>45</v>
      </c>
    </row>
    <row r="2095" spans="1:6" hidden="1" x14ac:dyDescent="0.35">
      <c r="A2095" t="s">
        <v>61</v>
      </c>
      <c r="B2095" t="s">
        <v>54</v>
      </c>
      <c r="C2095" t="s">
        <v>30</v>
      </c>
      <c r="D2095">
        <v>641</v>
      </c>
      <c r="E2095" t="s">
        <v>41</v>
      </c>
      <c r="F2095" t="s">
        <v>45</v>
      </c>
    </row>
    <row r="2096" spans="1:6" hidden="1" x14ac:dyDescent="0.35">
      <c r="A2096" t="s">
        <v>62</v>
      </c>
      <c r="B2096" t="s">
        <v>54</v>
      </c>
      <c r="C2096" t="s">
        <v>30</v>
      </c>
      <c r="D2096">
        <v>503</v>
      </c>
      <c r="E2096" t="s">
        <v>41</v>
      </c>
      <c r="F2096" t="s">
        <v>45</v>
      </c>
    </row>
    <row r="2097" spans="1:6" hidden="1" x14ac:dyDescent="0.35">
      <c r="A2097" t="s">
        <v>63</v>
      </c>
      <c r="B2097" t="s">
        <v>54</v>
      </c>
      <c r="C2097" t="s">
        <v>30</v>
      </c>
      <c r="D2097">
        <v>483</v>
      </c>
      <c r="E2097" t="s">
        <v>41</v>
      </c>
      <c r="F2097" t="s">
        <v>45</v>
      </c>
    </row>
    <row r="2098" spans="1:6" hidden="1" x14ac:dyDescent="0.35">
      <c r="A2098" t="s">
        <v>64</v>
      </c>
      <c r="B2098" t="s">
        <v>54</v>
      </c>
      <c r="C2098" t="s">
        <v>30</v>
      </c>
      <c r="D2098">
        <v>474</v>
      </c>
      <c r="E2098" t="s">
        <v>41</v>
      </c>
      <c r="F2098" t="s">
        <v>45</v>
      </c>
    </row>
    <row r="2099" spans="1:6" hidden="1" x14ac:dyDescent="0.35">
      <c r="A2099" t="s">
        <v>65</v>
      </c>
      <c r="B2099" t="s">
        <v>54</v>
      </c>
      <c r="C2099" t="s">
        <v>30</v>
      </c>
      <c r="D2099">
        <v>538</v>
      </c>
      <c r="E2099" t="s">
        <v>41</v>
      </c>
      <c r="F2099" t="s">
        <v>45</v>
      </c>
    </row>
    <row r="2100" spans="1:6" hidden="1" x14ac:dyDescent="0.35">
      <c r="A2100" t="s">
        <v>66</v>
      </c>
      <c r="B2100" t="s">
        <v>54</v>
      </c>
      <c r="C2100" t="s">
        <v>30</v>
      </c>
      <c r="D2100">
        <v>477</v>
      </c>
      <c r="E2100" t="s">
        <v>41</v>
      </c>
      <c r="F2100" t="s">
        <v>45</v>
      </c>
    </row>
    <row r="2101" spans="1:6" hidden="1" x14ac:dyDescent="0.35">
      <c r="A2101" t="s">
        <v>67</v>
      </c>
      <c r="B2101" t="s">
        <v>54</v>
      </c>
      <c r="C2101" t="s">
        <v>30</v>
      </c>
      <c r="D2101">
        <v>563</v>
      </c>
      <c r="E2101" t="s">
        <v>41</v>
      </c>
      <c r="F2101" t="s">
        <v>45</v>
      </c>
    </row>
    <row r="2102" spans="1:6" x14ac:dyDescent="0.35">
      <c r="A2102" t="s">
        <v>57</v>
      </c>
      <c r="B2102" t="s">
        <v>54</v>
      </c>
      <c r="C2102" t="s">
        <v>52</v>
      </c>
      <c r="D2102">
        <v>0</v>
      </c>
      <c r="E2102" t="s">
        <v>41</v>
      </c>
      <c r="F2102" t="s">
        <v>45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41</v>
      </c>
      <c r="F2103" t="s">
        <v>45</v>
      </c>
    </row>
    <row r="2104" spans="1:6" x14ac:dyDescent="0.35">
      <c r="A2104" t="s">
        <v>58</v>
      </c>
      <c r="B2104" t="s">
        <v>54</v>
      </c>
      <c r="C2104" t="s">
        <v>52</v>
      </c>
      <c r="D2104">
        <v>0</v>
      </c>
      <c r="E2104" t="s">
        <v>41</v>
      </c>
      <c r="F2104" t="s">
        <v>45</v>
      </c>
    </row>
    <row r="2105" spans="1:6" x14ac:dyDescent="0.35">
      <c r="A2105" t="s">
        <v>59</v>
      </c>
      <c r="B2105" t="s">
        <v>54</v>
      </c>
      <c r="C2105" t="s">
        <v>52</v>
      </c>
      <c r="D2105">
        <v>0</v>
      </c>
      <c r="E2105" t="s">
        <v>41</v>
      </c>
      <c r="F2105" t="s">
        <v>45</v>
      </c>
    </row>
    <row r="2106" spans="1:6" x14ac:dyDescent="0.35">
      <c r="A2106" t="s">
        <v>60</v>
      </c>
      <c r="B2106" t="s">
        <v>54</v>
      </c>
      <c r="C2106" t="s">
        <v>52</v>
      </c>
      <c r="D2106">
        <v>0</v>
      </c>
      <c r="E2106" t="s">
        <v>41</v>
      </c>
      <c r="F2106" t="s">
        <v>45</v>
      </c>
    </row>
    <row r="2107" spans="1:6" x14ac:dyDescent="0.35">
      <c r="A2107" t="s">
        <v>61</v>
      </c>
      <c r="B2107" t="s">
        <v>54</v>
      </c>
      <c r="C2107" t="s">
        <v>52</v>
      </c>
      <c r="D2107">
        <v>0</v>
      </c>
      <c r="E2107" t="s">
        <v>41</v>
      </c>
      <c r="F2107" t="s">
        <v>45</v>
      </c>
    </row>
    <row r="2108" spans="1:6" x14ac:dyDescent="0.35">
      <c r="A2108" t="s">
        <v>62</v>
      </c>
      <c r="B2108" t="s">
        <v>54</v>
      </c>
      <c r="C2108" t="s">
        <v>52</v>
      </c>
      <c r="D2108">
        <v>0</v>
      </c>
      <c r="E2108" t="s">
        <v>41</v>
      </c>
      <c r="F2108" t="s">
        <v>45</v>
      </c>
    </row>
    <row r="2109" spans="1:6" x14ac:dyDescent="0.35">
      <c r="A2109" t="s">
        <v>63</v>
      </c>
      <c r="B2109" t="s">
        <v>54</v>
      </c>
      <c r="C2109" t="s">
        <v>52</v>
      </c>
      <c r="D2109">
        <v>0</v>
      </c>
      <c r="E2109" t="s">
        <v>41</v>
      </c>
      <c r="F2109" t="s">
        <v>45</v>
      </c>
    </row>
    <row r="2110" spans="1:6" x14ac:dyDescent="0.35">
      <c r="A2110" t="s">
        <v>64</v>
      </c>
      <c r="B2110" t="s">
        <v>54</v>
      </c>
      <c r="C2110" t="s">
        <v>52</v>
      </c>
      <c r="D2110">
        <v>0</v>
      </c>
      <c r="E2110" t="s">
        <v>41</v>
      </c>
      <c r="F2110" t="s">
        <v>45</v>
      </c>
    </row>
    <row r="2111" spans="1:6" x14ac:dyDescent="0.35">
      <c r="A2111" t="s">
        <v>65</v>
      </c>
      <c r="B2111" t="s">
        <v>54</v>
      </c>
      <c r="C2111" t="s">
        <v>52</v>
      </c>
      <c r="D2111">
        <v>0</v>
      </c>
      <c r="E2111" t="s">
        <v>41</v>
      </c>
      <c r="F2111" t="s">
        <v>45</v>
      </c>
    </row>
    <row r="2112" spans="1:6" x14ac:dyDescent="0.35">
      <c r="A2112" t="s">
        <v>66</v>
      </c>
      <c r="B2112" t="s">
        <v>54</v>
      </c>
      <c r="C2112" t="s">
        <v>52</v>
      </c>
      <c r="D2112">
        <v>1</v>
      </c>
      <c r="E2112" t="s">
        <v>41</v>
      </c>
      <c r="F2112" t="s">
        <v>45</v>
      </c>
    </row>
    <row r="2113" spans="1:6" x14ac:dyDescent="0.35">
      <c r="A2113" t="s">
        <v>67</v>
      </c>
      <c r="B2113" t="s">
        <v>54</v>
      </c>
      <c r="C2113" t="s">
        <v>52</v>
      </c>
      <c r="D2113">
        <v>1</v>
      </c>
      <c r="E2113" t="s">
        <v>41</v>
      </c>
      <c r="F2113" t="s">
        <v>45</v>
      </c>
    </row>
    <row r="2114" spans="1:6" hidden="1" x14ac:dyDescent="0.35">
      <c r="A2114" t="s">
        <v>73</v>
      </c>
    </row>
    <row r="2115" spans="1:6" hidden="1" x14ac:dyDescent="0.35">
      <c r="A2115" t="s">
        <v>73</v>
      </c>
    </row>
    <row r="2116" spans="1:6" hidden="1" x14ac:dyDescent="0.35">
      <c r="A2116" t="s">
        <v>73</v>
      </c>
    </row>
    <row r="2117" spans="1:6" hidden="1" x14ac:dyDescent="0.35">
      <c r="A2117" t="s">
        <v>73</v>
      </c>
    </row>
  </sheetData>
  <autoFilter ref="A1:F2117" xr:uid="{BD319169-51B6-4453-8649-4AE03B299037}"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  <filterColumn colId="4">
      <filters>
        <filter val="Mixed Fuel Upgrades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CEDB1-6800-44A4-9573-5669A611C793}">
  <sheetPr filterMode="1"/>
  <dimension ref="A1:F194"/>
  <sheetViews>
    <sheetView zoomScale="84" zoomScaleNormal="84" workbookViewId="0">
      <selection activeCell="A85" sqref="A85"/>
    </sheetView>
  </sheetViews>
  <sheetFormatPr defaultRowHeight="14.5" x14ac:dyDescent="0.35"/>
  <cols>
    <col min="2" max="2" width="22.54296875" customWidth="1"/>
    <col min="3" max="3" width="63.7265625" customWidth="1"/>
    <col min="4" max="4" width="11" style="10" customWidth="1"/>
    <col min="5" max="5" width="38.7265625" customWidth="1"/>
  </cols>
  <sheetData>
    <row r="1" spans="1:6" x14ac:dyDescent="0.35">
      <c r="A1" t="s">
        <v>0</v>
      </c>
      <c r="B1" s="1" t="s">
        <v>72</v>
      </c>
      <c r="C1" s="7" t="s">
        <v>2</v>
      </c>
      <c r="D1" s="6" t="s">
        <v>3</v>
      </c>
      <c r="E1" s="8" t="s">
        <v>4</v>
      </c>
      <c r="F1" s="4" t="s">
        <v>5</v>
      </c>
    </row>
    <row r="2" spans="1:6" x14ac:dyDescent="0.35">
      <c r="A2" t="s">
        <v>57</v>
      </c>
      <c r="B2" t="s">
        <v>54</v>
      </c>
      <c r="C2" t="s">
        <v>51</v>
      </c>
      <c r="D2" s="9">
        <v>143</v>
      </c>
      <c r="E2" s="5" t="s">
        <v>78</v>
      </c>
      <c r="F2" t="s">
        <v>55</v>
      </c>
    </row>
    <row r="3" spans="1:6" x14ac:dyDescent="0.35">
      <c r="A3" t="s">
        <v>75</v>
      </c>
      <c r="B3" t="s">
        <v>54</v>
      </c>
      <c r="C3" t="s">
        <v>51</v>
      </c>
      <c r="D3" s="9">
        <v>164</v>
      </c>
      <c r="E3" s="5" t="s">
        <v>78</v>
      </c>
      <c r="F3" t="s">
        <v>55</v>
      </c>
    </row>
    <row r="4" spans="1:6" x14ac:dyDescent="0.35">
      <c r="A4" t="s">
        <v>58</v>
      </c>
      <c r="B4" t="s">
        <v>54</v>
      </c>
      <c r="C4" t="s">
        <v>51</v>
      </c>
      <c r="D4" s="9">
        <v>206</v>
      </c>
      <c r="E4" s="5" t="s">
        <v>78</v>
      </c>
      <c r="F4" t="s">
        <v>55</v>
      </c>
    </row>
    <row r="5" spans="1:6" x14ac:dyDescent="0.35">
      <c r="A5" t="s">
        <v>59</v>
      </c>
      <c r="B5" t="s">
        <v>54</v>
      </c>
      <c r="C5" t="s">
        <v>51</v>
      </c>
      <c r="D5" s="9">
        <v>141</v>
      </c>
      <c r="E5" s="5" t="s">
        <v>78</v>
      </c>
      <c r="F5" t="s">
        <v>55</v>
      </c>
    </row>
    <row r="6" spans="1:6" x14ac:dyDescent="0.35">
      <c r="A6" t="s">
        <v>60</v>
      </c>
      <c r="B6" t="s">
        <v>54</v>
      </c>
      <c r="C6" t="s">
        <v>51</v>
      </c>
      <c r="D6" s="9">
        <v>156</v>
      </c>
      <c r="E6" s="5" t="s">
        <v>78</v>
      </c>
      <c r="F6" t="s">
        <v>55</v>
      </c>
    </row>
    <row r="7" spans="1:6" x14ac:dyDescent="0.35">
      <c r="A7" t="s">
        <v>61</v>
      </c>
      <c r="B7" t="s">
        <v>54</v>
      </c>
      <c r="C7" t="s">
        <v>51</v>
      </c>
      <c r="D7" s="9">
        <v>153</v>
      </c>
      <c r="E7" s="5" t="s">
        <v>78</v>
      </c>
      <c r="F7" t="s">
        <v>55</v>
      </c>
    </row>
    <row r="8" spans="1:6" x14ac:dyDescent="0.35">
      <c r="A8" t="s">
        <v>62</v>
      </c>
      <c r="B8" t="s">
        <v>54</v>
      </c>
      <c r="C8" t="s">
        <v>51</v>
      </c>
      <c r="D8" s="9">
        <v>120</v>
      </c>
      <c r="E8" s="5" t="s">
        <v>78</v>
      </c>
      <c r="F8" t="s">
        <v>55</v>
      </c>
    </row>
    <row r="9" spans="1:6" x14ac:dyDescent="0.35">
      <c r="A9" t="s">
        <v>63</v>
      </c>
      <c r="B9" t="s">
        <v>54</v>
      </c>
      <c r="C9" t="s">
        <v>51</v>
      </c>
      <c r="D9" s="9">
        <v>155</v>
      </c>
      <c r="E9" s="5" t="s">
        <v>78</v>
      </c>
      <c r="F9" t="s">
        <v>55</v>
      </c>
    </row>
    <row r="10" spans="1:6" x14ac:dyDescent="0.35">
      <c r="A10" t="s">
        <v>64</v>
      </c>
      <c r="B10" t="s">
        <v>54</v>
      </c>
      <c r="C10" t="s">
        <v>51</v>
      </c>
      <c r="D10" s="9">
        <v>183</v>
      </c>
      <c r="E10" s="5" t="s">
        <v>78</v>
      </c>
      <c r="F10" t="s">
        <v>55</v>
      </c>
    </row>
    <row r="11" spans="1:6" x14ac:dyDescent="0.35">
      <c r="A11" t="s">
        <v>65</v>
      </c>
      <c r="B11" t="s">
        <v>54</v>
      </c>
      <c r="C11" t="s">
        <v>51</v>
      </c>
      <c r="D11" s="9">
        <v>139</v>
      </c>
      <c r="E11" s="5" t="s">
        <v>78</v>
      </c>
      <c r="F11" t="s">
        <v>55</v>
      </c>
    </row>
    <row r="12" spans="1:6" x14ac:dyDescent="0.35">
      <c r="A12" t="s">
        <v>66</v>
      </c>
      <c r="B12" t="s">
        <v>54</v>
      </c>
      <c r="C12" t="s">
        <v>51</v>
      </c>
      <c r="D12" s="9">
        <v>118</v>
      </c>
      <c r="E12" s="5" t="s">
        <v>78</v>
      </c>
      <c r="F12" t="s">
        <v>55</v>
      </c>
    </row>
    <row r="13" spans="1:6" x14ac:dyDescent="0.35">
      <c r="A13" t="s">
        <v>67</v>
      </c>
      <c r="B13" t="s">
        <v>54</v>
      </c>
      <c r="C13" t="s">
        <v>51</v>
      </c>
      <c r="D13" s="9">
        <v>109</v>
      </c>
      <c r="E13" s="5" t="s">
        <v>78</v>
      </c>
      <c r="F13" t="s">
        <v>55</v>
      </c>
    </row>
    <row r="14" spans="1:6" hidden="1" x14ac:dyDescent="0.35">
      <c r="A14" t="s">
        <v>57</v>
      </c>
      <c r="B14" t="s">
        <v>54</v>
      </c>
      <c r="C14" t="s">
        <v>77</v>
      </c>
      <c r="D14" s="9">
        <v>127</v>
      </c>
      <c r="E14" s="5" t="s">
        <v>78</v>
      </c>
      <c r="F14" t="s">
        <v>55</v>
      </c>
    </row>
    <row r="15" spans="1:6" hidden="1" x14ac:dyDescent="0.35">
      <c r="A15" t="s">
        <v>75</v>
      </c>
      <c r="B15" t="s">
        <v>54</v>
      </c>
      <c r="C15" t="s">
        <v>77</v>
      </c>
      <c r="D15" s="9">
        <v>112</v>
      </c>
      <c r="E15" s="5" t="s">
        <v>78</v>
      </c>
      <c r="F15" t="s">
        <v>55</v>
      </c>
    </row>
    <row r="16" spans="1:6" hidden="1" x14ac:dyDescent="0.35">
      <c r="A16" t="s">
        <v>58</v>
      </c>
      <c r="B16" t="s">
        <v>54</v>
      </c>
      <c r="C16" t="s">
        <v>77</v>
      </c>
      <c r="D16" s="9">
        <v>100</v>
      </c>
      <c r="E16" s="5" t="s">
        <v>78</v>
      </c>
      <c r="F16" t="s">
        <v>55</v>
      </c>
    </row>
    <row r="17" spans="1:6" hidden="1" x14ac:dyDescent="0.35">
      <c r="A17" t="s">
        <v>59</v>
      </c>
      <c r="B17" t="s">
        <v>54</v>
      </c>
      <c r="C17" t="s">
        <v>77</v>
      </c>
      <c r="D17" s="9">
        <v>50</v>
      </c>
      <c r="E17" s="5" t="s">
        <v>78</v>
      </c>
      <c r="F17" t="s">
        <v>55</v>
      </c>
    </row>
    <row r="18" spans="1:6" hidden="1" x14ac:dyDescent="0.35">
      <c r="A18" t="s">
        <v>60</v>
      </c>
      <c r="B18" t="s">
        <v>54</v>
      </c>
      <c r="C18" t="s">
        <v>77</v>
      </c>
      <c r="D18" s="9">
        <v>67</v>
      </c>
      <c r="E18" s="5" t="s">
        <v>78</v>
      </c>
      <c r="F18" t="s">
        <v>55</v>
      </c>
    </row>
    <row r="19" spans="1:6" hidden="1" x14ac:dyDescent="0.35">
      <c r="A19" t="s">
        <v>61</v>
      </c>
      <c r="B19" t="s">
        <v>54</v>
      </c>
      <c r="C19" t="s">
        <v>77</v>
      </c>
      <c r="D19" s="9">
        <v>174</v>
      </c>
      <c r="E19" s="5" t="s">
        <v>78</v>
      </c>
      <c r="F19" t="s">
        <v>55</v>
      </c>
    </row>
    <row r="20" spans="1:6" hidden="1" x14ac:dyDescent="0.35">
      <c r="A20" t="s">
        <v>62</v>
      </c>
      <c r="B20" t="s">
        <v>54</v>
      </c>
      <c r="C20" t="s">
        <v>77</v>
      </c>
      <c r="D20" s="9">
        <v>108</v>
      </c>
      <c r="E20" s="5" t="s">
        <v>78</v>
      </c>
      <c r="F20" t="s">
        <v>55</v>
      </c>
    </row>
    <row r="21" spans="1:6" hidden="1" x14ac:dyDescent="0.35">
      <c r="A21" t="s">
        <v>63</v>
      </c>
      <c r="B21" t="s">
        <v>54</v>
      </c>
      <c r="C21" t="s">
        <v>77</v>
      </c>
      <c r="D21" s="9">
        <v>176</v>
      </c>
      <c r="E21" s="5" t="s">
        <v>78</v>
      </c>
      <c r="F21" t="s">
        <v>55</v>
      </c>
    </row>
    <row r="22" spans="1:6" hidden="1" x14ac:dyDescent="0.35">
      <c r="A22" t="s">
        <v>64</v>
      </c>
      <c r="B22" t="s">
        <v>54</v>
      </c>
      <c r="C22" t="s">
        <v>77</v>
      </c>
      <c r="D22" s="9">
        <v>120</v>
      </c>
      <c r="E22" s="5" t="s">
        <v>78</v>
      </c>
      <c r="F22" t="s">
        <v>55</v>
      </c>
    </row>
    <row r="23" spans="1:6" hidden="1" x14ac:dyDescent="0.35">
      <c r="A23" t="s">
        <v>65</v>
      </c>
      <c r="B23" t="s">
        <v>54</v>
      </c>
      <c r="C23" t="s">
        <v>77</v>
      </c>
      <c r="D23" s="9">
        <v>105</v>
      </c>
      <c r="E23" s="5" t="s">
        <v>78</v>
      </c>
      <c r="F23" t="s">
        <v>55</v>
      </c>
    </row>
    <row r="24" spans="1:6" hidden="1" x14ac:dyDescent="0.35">
      <c r="A24" t="s">
        <v>66</v>
      </c>
      <c r="B24" t="s">
        <v>54</v>
      </c>
      <c r="C24" t="s">
        <v>77</v>
      </c>
      <c r="D24" s="9">
        <v>73</v>
      </c>
      <c r="E24" s="5" t="s">
        <v>78</v>
      </c>
      <c r="F24" t="s">
        <v>55</v>
      </c>
    </row>
    <row r="25" spans="1:6" hidden="1" x14ac:dyDescent="0.35">
      <c r="A25" t="s">
        <v>67</v>
      </c>
      <c r="B25" t="s">
        <v>54</v>
      </c>
      <c r="C25" t="s">
        <v>77</v>
      </c>
      <c r="D25" s="9">
        <v>52</v>
      </c>
      <c r="E25" s="5" t="s">
        <v>78</v>
      </c>
      <c r="F25" t="s">
        <v>55</v>
      </c>
    </row>
    <row r="26" spans="1:6" x14ac:dyDescent="0.35">
      <c r="A26" t="s">
        <v>57</v>
      </c>
      <c r="B26" t="s">
        <v>54</v>
      </c>
      <c r="C26" t="s">
        <v>51</v>
      </c>
      <c r="D26" s="9">
        <v>1031</v>
      </c>
      <c r="E26" s="5" t="s">
        <v>40</v>
      </c>
      <c r="F26" t="s">
        <v>55</v>
      </c>
    </row>
    <row r="27" spans="1:6" x14ac:dyDescent="0.35">
      <c r="A27" t="s">
        <v>75</v>
      </c>
      <c r="B27" t="s">
        <v>54</v>
      </c>
      <c r="C27" t="s">
        <v>51</v>
      </c>
      <c r="D27" s="9">
        <v>968</v>
      </c>
      <c r="E27" s="5" t="s">
        <v>40</v>
      </c>
      <c r="F27" t="s">
        <v>55</v>
      </c>
    </row>
    <row r="28" spans="1:6" x14ac:dyDescent="0.35">
      <c r="A28" t="s">
        <v>58</v>
      </c>
      <c r="B28" t="s">
        <v>54</v>
      </c>
      <c r="C28" t="s">
        <v>51</v>
      </c>
      <c r="D28" s="9">
        <v>1326</v>
      </c>
      <c r="E28" s="5" t="s">
        <v>40</v>
      </c>
      <c r="F28" t="s">
        <v>55</v>
      </c>
    </row>
    <row r="29" spans="1:6" x14ac:dyDescent="0.35">
      <c r="A29" t="s">
        <v>59</v>
      </c>
      <c r="B29" t="s">
        <v>54</v>
      </c>
      <c r="C29" t="s">
        <v>51</v>
      </c>
      <c r="D29" s="9">
        <v>952</v>
      </c>
      <c r="E29" s="5" t="s">
        <v>40</v>
      </c>
      <c r="F29" t="s">
        <v>55</v>
      </c>
    </row>
    <row r="30" spans="1:6" x14ac:dyDescent="0.35">
      <c r="A30" t="s">
        <v>60</v>
      </c>
      <c r="B30" t="s">
        <v>54</v>
      </c>
      <c r="C30" t="s">
        <v>51</v>
      </c>
      <c r="D30" s="9">
        <v>963</v>
      </c>
      <c r="E30" s="5" t="s">
        <v>40</v>
      </c>
      <c r="F30" t="s">
        <v>55</v>
      </c>
    </row>
    <row r="31" spans="1:6" x14ac:dyDescent="0.35">
      <c r="A31" t="s">
        <v>61</v>
      </c>
      <c r="B31" t="s">
        <v>54</v>
      </c>
      <c r="C31" t="s">
        <v>51</v>
      </c>
      <c r="D31" s="9">
        <v>1249</v>
      </c>
      <c r="E31" s="5" t="s">
        <v>40</v>
      </c>
      <c r="F31" t="s">
        <v>55</v>
      </c>
    </row>
    <row r="32" spans="1:6" x14ac:dyDescent="0.35">
      <c r="A32" t="s">
        <v>62</v>
      </c>
      <c r="B32" t="s">
        <v>54</v>
      </c>
      <c r="C32" t="s">
        <v>51</v>
      </c>
      <c r="D32" s="9">
        <v>1121</v>
      </c>
      <c r="E32" s="5" t="s">
        <v>40</v>
      </c>
      <c r="F32" t="s">
        <v>55</v>
      </c>
    </row>
    <row r="33" spans="1:6" x14ac:dyDescent="0.35">
      <c r="A33" t="s">
        <v>63</v>
      </c>
      <c r="B33" t="s">
        <v>54</v>
      </c>
      <c r="C33" t="s">
        <v>51</v>
      </c>
      <c r="D33" s="9">
        <v>1362</v>
      </c>
      <c r="E33" s="5" t="s">
        <v>40</v>
      </c>
      <c r="F33" t="s">
        <v>55</v>
      </c>
    </row>
    <row r="34" spans="1:6" x14ac:dyDescent="0.35">
      <c r="A34" t="s">
        <v>64</v>
      </c>
      <c r="B34" t="s">
        <v>54</v>
      </c>
      <c r="C34" t="s">
        <v>51</v>
      </c>
      <c r="D34" s="9">
        <v>1148</v>
      </c>
      <c r="E34" s="5" t="s">
        <v>40</v>
      </c>
      <c r="F34" t="s">
        <v>55</v>
      </c>
    </row>
    <row r="35" spans="1:6" x14ac:dyDescent="0.35">
      <c r="A35" t="s">
        <v>65</v>
      </c>
      <c r="B35" t="s">
        <v>54</v>
      </c>
      <c r="C35" t="s">
        <v>51</v>
      </c>
      <c r="D35" s="9">
        <v>970</v>
      </c>
      <c r="E35" s="5" t="s">
        <v>40</v>
      </c>
      <c r="F35" t="s">
        <v>55</v>
      </c>
    </row>
    <row r="36" spans="1:6" x14ac:dyDescent="0.35">
      <c r="A36" t="s">
        <v>66</v>
      </c>
      <c r="B36" t="s">
        <v>54</v>
      </c>
      <c r="C36" t="s">
        <v>51</v>
      </c>
      <c r="D36" s="9">
        <v>860</v>
      </c>
      <c r="E36" s="5" t="s">
        <v>40</v>
      </c>
      <c r="F36" t="s">
        <v>55</v>
      </c>
    </row>
    <row r="37" spans="1:6" x14ac:dyDescent="0.35">
      <c r="A37" t="s">
        <v>67</v>
      </c>
      <c r="B37" t="s">
        <v>54</v>
      </c>
      <c r="C37" t="s">
        <v>51</v>
      </c>
      <c r="D37" s="9">
        <v>730</v>
      </c>
      <c r="E37" s="5" t="s">
        <v>40</v>
      </c>
      <c r="F37" t="s">
        <v>55</v>
      </c>
    </row>
    <row r="38" spans="1:6" hidden="1" x14ac:dyDescent="0.35">
      <c r="A38" t="s">
        <v>57</v>
      </c>
      <c r="B38" t="s">
        <v>54</v>
      </c>
      <c r="C38" t="s">
        <v>77</v>
      </c>
      <c r="D38" s="9">
        <v>68</v>
      </c>
      <c r="E38" s="5" t="s">
        <v>40</v>
      </c>
      <c r="F38" t="s">
        <v>55</v>
      </c>
    </row>
    <row r="39" spans="1:6" hidden="1" x14ac:dyDescent="0.35">
      <c r="A39" t="s">
        <v>75</v>
      </c>
      <c r="B39" t="s">
        <v>54</v>
      </c>
      <c r="C39" t="s">
        <v>77</v>
      </c>
      <c r="D39" s="9">
        <v>42</v>
      </c>
      <c r="E39" s="5" t="s">
        <v>40</v>
      </c>
      <c r="F39" t="s">
        <v>55</v>
      </c>
    </row>
    <row r="40" spans="1:6" hidden="1" x14ac:dyDescent="0.35">
      <c r="A40" t="s">
        <v>58</v>
      </c>
      <c r="B40" t="s">
        <v>54</v>
      </c>
      <c r="C40" t="s">
        <v>77</v>
      </c>
      <c r="D40" s="9">
        <v>34</v>
      </c>
      <c r="E40" s="5" t="s">
        <v>40</v>
      </c>
      <c r="F40" t="s">
        <v>55</v>
      </c>
    </row>
    <row r="41" spans="1:6" hidden="1" x14ac:dyDescent="0.35">
      <c r="A41" t="s">
        <v>59</v>
      </c>
      <c r="B41" t="s">
        <v>54</v>
      </c>
      <c r="C41" t="s">
        <v>77</v>
      </c>
      <c r="D41" s="9">
        <v>19</v>
      </c>
      <c r="E41" s="5" t="s">
        <v>40</v>
      </c>
      <c r="F41" t="s">
        <v>55</v>
      </c>
    </row>
    <row r="42" spans="1:6" hidden="1" x14ac:dyDescent="0.35">
      <c r="A42" t="s">
        <v>60</v>
      </c>
      <c r="B42" t="s">
        <v>54</v>
      </c>
      <c r="C42" t="s">
        <v>77</v>
      </c>
      <c r="D42" s="9">
        <v>43</v>
      </c>
      <c r="E42" s="5" t="s">
        <v>40</v>
      </c>
      <c r="F42" t="s">
        <v>55</v>
      </c>
    </row>
    <row r="43" spans="1:6" hidden="1" x14ac:dyDescent="0.35">
      <c r="A43" t="s">
        <v>61</v>
      </c>
      <c r="B43" t="s">
        <v>54</v>
      </c>
      <c r="C43" t="s">
        <v>77</v>
      </c>
      <c r="D43" s="9">
        <v>115</v>
      </c>
      <c r="E43" s="5" t="s">
        <v>40</v>
      </c>
      <c r="F43" t="s">
        <v>55</v>
      </c>
    </row>
    <row r="44" spans="1:6" hidden="1" x14ac:dyDescent="0.35">
      <c r="A44" t="s">
        <v>62</v>
      </c>
      <c r="B44" t="s">
        <v>54</v>
      </c>
      <c r="C44" t="s">
        <v>77</v>
      </c>
      <c r="D44" s="9">
        <v>78</v>
      </c>
      <c r="E44" s="5" t="s">
        <v>40</v>
      </c>
      <c r="F44" t="s">
        <v>55</v>
      </c>
    </row>
    <row r="45" spans="1:6" hidden="1" x14ac:dyDescent="0.35">
      <c r="A45" t="s">
        <v>63</v>
      </c>
      <c r="B45" t="s">
        <v>54</v>
      </c>
      <c r="C45" t="s">
        <v>77</v>
      </c>
      <c r="D45" s="9">
        <v>86</v>
      </c>
      <c r="E45" s="5" t="s">
        <v>40</v>
      </c>
      <c r="F45" t="s">
        <v>55</v>
      </c>
    </row>
    <row r="46" spans="1:6" hidden="1" x14ac:dyDescent="0.35">
      <c r="A46" t="s">
        <v>64</v>
      </c>
      <c r="B46" t="s">
        <v>54</v>
      </c>
      <c r="C46" t="s">
        <v>77</v>
      </c>
      <c r="D46" s="9">
        <v>58</v>
      </c>
      <c r="E46" s="5" t="s">
        <v>40</v>
      </c>
      <c r="F46" t="s">
        <v>55</v>
      </c>
    </row>
    <row r="47" spans="1:6" hidden="1" x14ac:dyDescent="0.35">
      <c r="A47" t="s">
        <v>65</v>
      </c>
      <c r="B47" t="s">
        <v>54</v>
      </c>
      <c r="C47" t="s">
        <v>77</v>
      </c>
      <c r="D47" s="9">
        <v>76</v>
      </c>
      <c r="E47" s="5" t="s">
        <v>40</v>
      </c>
      <c r="F47" t="s">
        <v>55</v>
      </c>
    </row>
    <row r="48" spans="1:6" hidden="1" x14ac:dyDescent="0.35">
      <c r="A48" t="s">
        <v>66</v>
      </c>
      <c r="B48" t="s">
        <v>54</v>
      </c>
      <c r="C48" t="s">
        <v>77</v>
      </c>
      <c r="D48" s="9">
        <v>62</v>
      </c>
      <c r="E48" s="5" t="s">
        <v>40</v>
      </c>
      <c r="F48" t="s">
        <v>55</v>
      </c>
    </row>
    <row r="49" spans="1:6" hidden="1" x14ac:dyDescent="0.35">
      <c r="A49" t="s">
        <v>67</v>
      </c>
      <c r="B49" t="s">
        <v>54</v>
      </c>
      <c r="C49" t="s">
        <v>77</v>
      </c>
      <c r="D49" s="9">
        <v>38</v>
      </c>
      <c r="E49" s="5" t="s">
        <v>40</v>
      </c>
      <c r="F49" t="s">
        <v>55</v>
      </c>
    </row>
    <row r="50" spans="1:6" x14ac:dyDescent="0.35">
      <c r="A50" t="s">
        <v>57</v>
      </c>
      <c r="B50" t="s">
        <v>54</v>
      </c>
      <c r="C50" t="s">
        <v>74</v>
      </c>
      <c r="D50" s="10">
        <v>158</v>
      </c>
      <c r="E50" s="5" t="s">
        <v>79</v>
      </c>
      <c r="F50" t="s">
        <v>55</v>
      </c>
    </row>
    <row r="51" spans="1:6" x14ac:dyDescent="0.35">
      <c r="A51" t="s">
        <v>75</v>
      </c>
      <c r="B51" t="s">
        <v>54</v>
      </c>
      <c r="C51" t="s">
        <v>74</v>
      </c>
      <c r="D51" s="10">
        <v>158</v>
      </c>
      <c r="E51" s="5" t="s">
        <v>79</v>
      </c>
      <c r="F51" t="s">
        <v>55</v>
      </c>
    </row>
    <row r="52" spans="1:6" x14ac:dyDescent="0.35">
      <c r="A52" t="s">
        <v>58</v>
      </c>
      <c r="B52" t="s">
        <v>54</v>
      </c>
      <c r="C52" t="s">
        <v>74</v>
      </c>
      <c r="D52" s="10">
        <v>194</v>
      </c>
      <c r="E52" s="5" t="s">
        <v>79</v>
      </c>
      <c r="F52" t="s">
        <v>55</v>
      </c>
    </row>
    <row r="53" spans="1:6" x14ac:dyDescent="0.35">
      <c r="A53" t="s">
        <v>59</v>
      </c>
      <c r="B53" t="s">
        <v>54</v>
      </c>
      <c r="C53" t="s">
        <v>74</v>
      </c>
      <c r="D53" s="10">
        <v>143</v>
      </c>
      <c r="E53" s="5" t="s">
        <v>79</v>
      </c>
      <c r="F53" t="s">
        <v>55</v>
      </c>
    </row>
    <row r="54" spans="1:6" x14ac:dyDescent="0.35">
      <c r="A54" t="s">
        <v>60</v>
      </c>
      <c r="B54" t="s">
        <v>54</v>
      </c>
      <c r="C54" t="s">
        <v>74</v>
      </c>
      <c r="D54" s="10">
        <v>137</v>
      </c>
      <c r="E54" s="5" t="s">
        <v>79</v>
      </c>
      <c r="F54" t="s">
        <v>55</v>
      </c>
    </row>
    <row r="55" spans="1:6" x14ac:dyDescent="0.35">
      <c r="A55" t="s">
        <v>61</v>
      </c>
      <c r="B55" t="s">
        <v>54</v>
      </c>
      <c r="C55" t="s">
        <v>74</v>
      </c>
      <c r="D55" s="10">
        <v>184</v>
      </c>
      <c r="E55" s="5" t="s">
        <v>79</v>
      </c>
      <c r="F55" t="s">
        <v>55</v>
      </c>
    </row>
    <row r="56" spans="1:6" x14ac:dyDescent="0.35">
      <c r="A56" t="s">
        <v>62</v>
      </c>
      <c r="B56" t="s">
        <v>54</v>
      </c>
      <c r="C56" t="s">
        <v>74</v>
      </c>
      <c r="D56" s="10">
        <v>111</v>
      </c>
      <c r="E56" s="5" t="s">
        <v>79</v>
      </c>
      <c r="F56" t="s">
        <v>55</v>
      </c>
    </row>
    <row r="57" spans="1:6" x14ac:dyDescent="0.35">
      <c r="A57" t="s">
        <v>63</v>
      </c>
      <c r="B57" t="s">
        <v>54</v>
      </c>
      <c r="C57" t="s">
        <v>74</v>
      </c>
      <c r="D57" s="10">
        <v>174</v>
      </c>
      <c r="E57" s="5" t="s">
        <v>79</v>
      </c>
      <c r="F57" t="s">
        <v>55</v>
      </c>
    </row>
    <row r="58" spans="1:6" x14ac:dyDescent="0.35">
      <c r="A58" t="s">
        <v>64</v>
      </c>
      <c r="B58" t="s">
        <v>54</v>
      </c>
      <c r="C58" t="s">
        <v>74</v>
      </c>
      <c r="D58" s="10">
        <v>160</v>
      </c>
      <c r="E58" s="5" t="s">
        <v>79</v>
      </c>
      <c r="F58" t="s">
        <v>55</v>
      </c>
    </row>
    <row r="59" spans="1:6" x14ac:dyDescent="0.35">
      <c r="A59" t="s">
        <v>65</v>
      </c>
      <c r="B59" t="s">
        <v>54</v>
      </c>
      <c r="C59" t="s">
        <v>74</v>
      </c>
      <c r="D59" s="10">
        <v>145</v>
      </c>
      <c r="E59" s="5" t="s">
        <v>79</v>
      </c>
      <c r="F59" t="s">
        <v>55</v>
      </c>
    </row>
    <row r="60" spans="1:6" x14ac:dyDescent="0.35">
      <c r="A60" t="s">
        <v>66</v>
      </c>
      <c r="B60" t="s">
        <v>54</v>
      </c>
      <c r="C60" t="s">
        <v>74</v>
      </c>
      <c r="D60" s="10">
        <v>120</v>
      </c>
      <c r="E60" s="5" t="s">
        <v>79</v>
      </c>
      <c r="F60" t="s">
        <v>55</v>
      </c>
    </row>
    <row r="61" spans="1:6" x14ac:dyDescent="0.35">
      <c r="A61" t="s">
        <v>67</v>
      </c>
      <c r="B61" t="s">
        <v>54</v>
      </c>
      <c r="C61" t="s">
        <v>74</v>
      </c>
      <c r="D61" s="10">
        <v>112</v>
      </c>
      <c r="E61" s="5" t="s">
        <v>79</v>
      </c>
      <c r="F61" t="s">
        <v>55</v>
      </c>
    </row>
    <row r="62" spans="1:6" hidden="1" x14ac:dyDescent="0.35">
      <c r="A62" t="s">
        <v>57</v>
      </c>
      <c r="B62" t="s">
        <v>54</v>
      </c>
      <c r="C62" t="s">
        <v>76</v>
      </c>
      <c r="D62" s="10">
        <v>142</v>
      </c>
      <c r="E62" s="5" t="s">
        <v>79</v>
      </c>
      <c r="F62" t="s">
        <v>55</v>
      </c>
    </row>
    <row r="63" spans="1:6" hidden="1" x14ac:dyDescent="0.35">
      <c r="A63" t="s">
        <v>75</v>
      </c>
      <c r="B63" t="s">
        <v>54</v>
      </c>
      <c r="C63" t="s">
        <v>76</v>
      </c>
      <c r="D63" s="10">
        <v>111</v>
      </c>
      <c r="E63" s="5" t="s">
        <v>79</v>
      </c>
      <c r="F63" t="s">
        <v>55</v>
      </c>
    </row>
    <row r="64" spans="1:6" hidden="1" x14ac:dyDescent="0.35">
      <c r="A64" t="s">
        <v>58</v>
      </c>
      <c r="B64" t="s">
        <v>54</v>
      </c>
      <c r="C64" t="s">
        <v>76</v>
      </c>
      <c r="D64" s="10">
        <v>111</v>
      </c>
      <c r="E64" s="5" t="s">
        <v>79</v>
      </c>
      <c r="F64" t="s">
        <v>55</v>
      </c>
    </row>
    <row r="65" spans="1:6" hidden="1" x14ac:dyDescent="0.35">
      <c r="A65" t="s">
        <v>59</v>
      </c>
      <c r="B65" t="s">
        <v>54</v>
      </c>
      <c r="C65" t="s">
        <v>76</v>
      </c>
      <c r="D65" s="10">
        <v>106</v>
      </c>
      <c r="E65" s="5" t="s">
        <v>79</v>
      </c>
      <c r="F65" t="s">
        <v>55</v>
      </c>
    </row>
    <row r="66" spans="1:6" hidden="1" x14ac:dyDescent="0.35">
      <c r="A66" t="s">
        <v>60</v>
      </c>
      <c r="B66" t="s">
        <v>54</v>
      </c>
      <c r="C66" t="s">
        <v>76</v>
      </c>
      <c r="D66" s="10">
        <v>111</v>
      </c>
      <c r="E66" s="5" t="s">
        <v>79</v>
      </c>
      <c r="F66" t="s">
        <v>55</v>
      </c>
    </row>
    <row r="67" spans="1:6" hidden="1" x14ac:dyDescent="0.35">
      <c r="A67" t="s">
        <v>61</v>
      </c>
      <c r="B67" t="s">
        <v>54</v>
      </c>
      <c r="C67" t="s">
        <v>76</v>
      </c>
      <c r="D67" s="10">
        <v>260</v>
      </c>
      <c r="E67" s="5" t="s">
        <v>79</v>
      </c>
      <c r="F67" t="s">
        <v>55</v>
      </c>
    </row>
    <row r="68" spans="1:6" hidden="1" x14ac:dyDescent="0.35">
      <c r="A68" t="s">
        <v>62</v>
      </c>
      <c r="B68" t="s">
        <v>54</v>
      </c>
      <c r="C68" t="s">
        <v>76</v>
      </c>
      <c r="D68" s="10">
        <v>138</v>
      </c>
      <c r="E68" s="5" t="s">
        <v>79</v>
      </c>
      <c r="F68" t="s">
        <v>55</v>
      </c>
    </row>
    <row r="69" spans="1:6" hidden="1" x14ac:dyDescent="0.35">
      <c r="A69" t="s">
        <v>63</v>
      </c>
      <c r="B69" t="s">
        <v>54</v>
      </c>
      <c r="C69" t="s">
        <v>76</v>
      </c>
      <c r="D69" s="10">
        <v>173</v>
      </c>
      <c r="E69" s="5" t="s">
        <v>79</v>
      </c>
      <c r="F69" t="s">
        <v>55</v>
      </c>
    </row>
    <row r="70" spans="1:6" hidden="1" x14ac:dyDescent="0.35">
      <c r="A70" t="s">
        <v>64</v>
      </c>
      <c r="B70" t="s">
        <v>54</v>
      </c>
      <c r="C70" t="s">
        <v>76</v>
      </c>
      <c r="D70" s="10">
        <v>132</v>
      </c>
      <c r="E70" s="5" t="s">
        <v>79</v>
      </c>
      <c r="F70" t="s">
        <v>55</v>
      </c>
    </row>
    <row r="71" spans="1:6" hidden="1" x14ac:dyDescent="0.35">
      <c r="A71" t="s">
        <v>65</v>
      </c>
      <c r="B71" t="s">
        <v>54</v>
      </c>
      <c r="C71" t="s">
        <v>76</v>
      </c>
      <c r="D71" s="10">
        <v>163</v>
      </c>
      <c r="E71" s="5" t="s">
        <v>79</v>
      </c>
      <c r="F71" t="s">
        <v>55</v>
      </c>
    </row>
    <row r="72" spans="1:6" hidden="1" x14ac:dyDescent="0.35">
      <c r="A72" t="s">
        <v>66</v>
      </c>
      <c r="B72" t="s">
        <v>54</v>
      </c>
      <c r="C72" t="s">
        <v>76</v>
      </c>
      <c r="D72" s="10">
        <v>96</v>
      </c>
      <c r="E72" s="5" t="s">
        <v>79</v>
      </c>
      <c r="F72" t="s">
        <v>55</v>
      </c>
    </row>
    <row r="73" spans="1:6" hidden="1" x14ac:dyDescent="0.35">
      <c r="A73" t="s">
        <v>67</v>
      </c>
      <c r="B73" t="s">
        <v>54</v>
      </c>
      <c r="C73" t="s">
        <v>76</v>
      </c>
      <c r="D73" s="10">
        <v>85</v>
      </c>
      <c r="E73" s="5" t="s">
        <v>79</v>
      </c>
      <c r="F73" t="s">
        <v>55</v>
      </c>
    </row>
    <row r="74" spans="1:6" x14ac:dyDescent="0.35">
      <c r="A74" t="s">
        <v>57</v>
      </c>
      <c r="B74" t="s">
        <v>54</v>
      </c>
      <c r="C74" t="s">
        <v>80</v>
      </c>
      <c r="D74" s="10">
        <v>989</v>
      </c>
      <c r="E74" s="5" t="s">
        <v>42</v>
      </c>
      <c r="F74" t="s">
        <v>55</v>
      </c>
    </row>
    <row r="75" spans="1:6" x14ac:dyDescent="0.35">
      <c r="A75" t="s">
        <v>75</v>
      </c>
      <c r="B75" t="s">
        <v>54</v>
      </c>
      <c r="C75" t="s">
        <v>80</v>
      </c>
      <c r="D75" s="10">
        <v>936</v>
      </c>
      <c r="E75" s="5" t="s">
        <v>42</v>
      </c>
      <c r="F75" t="s">
        <v>55</v>
      </c>
    </row>
    <row r="76" spans="1:6" x14ac:dyDescent="0.35">
      <c r="A76" t="s">
        <v>58</v>
      </c>
      <c r="B76" t="s">
        <v>54</v>
      </c>
      <c r="C76" t="s">
        <v>80</v>
      </c>
      <c r="D76" s="10">
        <v>1295</v>
      </c>
      <c r="E76" s="5" t="s">
        <v>42</v>
      </c>
      <c r="F76" t="s">
        <v>55</v>
      </c>
    </row>
    <row r="77" spans="1:6" x14ac:dyDescent="0.35">
      <c r="A77" t="s">
        <v>59</v>
      </c>
      <c r="B77" t="s">
        <v>54</v>
      </c>
      <c r="C77" t="s">
        <v>80</v>
      </c>
      <c r="D77" s="10">
        <v>933</v>
      </c>
      <c r="E77" s="5" t="s">
        <v>42</v>
      </c>
      <c r="F77" t="s">
        <v>55</v>
      </c>
    </row>
    <row r="78" spans="1:6" x14ac:dyDescent="0.35">
      <c r="A78" t="s">
        <v>60</v>
      </c>
      <c r="B78" t="s">
        <v>54</v>
      </c>
      <c r="C78" t="s">
        <v>80</v>
      </c>
      <c r="D78" s="10">
        <v>946</v>
      </c>
      <c r="E78" s="5" t="s">
        <v>42</v>
      </c>
      <c r="F78" t="s">
        <v>55</v>
      </c>
    </row>
    <row r="79" spans="1:6" x14ac:dyDescent="0.35">
      <c r="A79" t="s">
        <v>61</v>
      </c>
      <c r="B79" t="s">
        <v>54</v>
      </c>
      <c r="C79" t="s">
        <v>80</v>
      </c>
      <c r="D79" s="10">
        <v>1233</v>
      </c>
      <c r="E79" s="5" t="s">
        <v>42</v>
      </c>
      <c r="F79" t="s">
        <v>55</v>
      </c>
    </row>
    <row r="80" spans="1:6" x14ac:dyDescent="0.35">
      <c r="A80" t="s">
        <v>62</v>
      </c>
      <c r="B80" t="s">
        <v>54</v>
      </c>
      <c r="C80" t="s">
        <v>80</v>
      </c>
      <c r="D80" s="10">
        <v>1115</v>
      </c>
      <c r="E80" s="5" t="s">
        <v>42</v>
      </c>
      <c r="F80" t="s">
        <v>55</v>
      </c>
    </row>
    <row r="81" spans="1:6" x14ac:dyDescent="0.35">
      <c r="A81" t="s">
        <v>63</v>
      </c>
      <c r="B81" t="s">
        <v>54</v>
      </c>
      <c r="C81" t="s">
        <v>80</v>
      </c>
      <c r="D81" s="10">
        <v>1332</v>
      </c>
      <c r="E81" s="5" t="s">
        <v>42</v>
      </c>
      <c r="F81" t="s">
        <v>55</v>
      </c>
    </row>
    <row r="82" spans="1:6" x14ac:dyDescent="0.35">
      <c r="A82" t="s">
        <v>64</v>
      </c>
      <c r="B82" t="s">
        <v>54</v>
      </c>
      <c r="C82" t="s">
        <v>80</v>
      </c>
      <c r="D82" s="10">
        <v>1103</v>
      </c>
      <c r="E82" s="5" t="s">
        <v>42</v>
      </c>
      <c r="F82" t="s">
        <v>55</v>
      </c>
    </row>
    <row r="83" spans="1:6" x14ac:dyDescent="0.35">
      <c r="A83" t="s">
        <v>65</v>
      </c>
      <c r="B83" t="s">
        <v>54</v>
      </c>
      <c r="C83" t="s">
        <v>80</v>
      </c>
      <c r="D83" s="10">
        <v>972</v>
      </c>
      <c r="E83" s="5" t="s">
        <v>42</v>
      </c>
      <c r="F83" t="s">
        <v>55</v>
      </c>
    </row>
    <row r="84" spans="1:6" x14ac:dyDescent="0.35">
      <c r="A84" t="s">
        <v>66</v>
      </c>
      <c r="B84" t="s">
        <v>54</v>
      </c>
      <c r="C84" t="s">
        <v>80</v>
      </c>
      <c r="D84" s="10">
        <v>814</v>
      </c>
      <c r="E84" s="5" t="s">
        <v>42</v>
      </c>
      <c r="F84" t="s">
        <v>55</v>
      </c>
    </row>
    <row r="85" spans="1:6" x14ac:dyDescent="0.35">
      <c r="A85" t="s">
        <v>67</v>
      </c>
      <c r="B85" t="s">
        <v>54</v>
      </c>
      <c r="C85" t="s">
        <v>80</v>
      </c>
      <c r="D85" s="10">
        <v>702</v>
      </c>
      <c r="E85" s="5" t="s">
        <v>42</v>
      </c>
      <c r="F85" t="s">
        <v>55</v>
      </c>
    </row>
    <row r="86" spans="1:6" hidden="1" x14ac:dyDescent="0.35">
      <c r="A86" t="s">
        <v>57</v>
      </c>
      <c r="B86" t="s">
        <v>54</v>
      </c>
      <c r="C86" t="s">
        <v>76</v>
      </c>
      <c r="D86" s="10">
        <v>856</v>
      </c>
      <c r="E86" s="5" t="s">
        <v>42</v>
      </c>
      <c r="F86" t="s">
        <v>55</v>
      </c>
    </row>
    <row r="87" spans="1:6" hidden="1" x14ac:dyDescent="0.35">
      <c r="A87" t="s">
        <v>75</v>
      </c>
      <c r="B87" t="s">
        <v>54</v>
      </c>
      <c r="C87" t="s">
        <v>76</v>
      </c>
      <c r="D87" s="10">
        <v>685</v>
      </c>
      <c r="E87" s="5" t="s">
        <v>42</v>
      </c>
      <c r="F87" t="s">
        <v>55</v>
      </c>
    </row>
    <row r="88" spans="1:6" hidden="1" x14ac:dyDescent="0.35">
      <c r="A88" t="s">
        <v>58</v>
      </c>
      <c r="B88" t="s">
        <v>54</v>
      </c>
      <c r="C88" t="s">
        <v>76</v>
      </c>
      <c r="D88" s="10">
        <v>668</v>
      </c>
      <c r="E88" s="5" t="s">
        <v>42</v>
      </c>
      <c r="F88" t="s">
        <v>55</v>
      </c>
    </row>
    <row r="89" spans="1:6" hidden="1" x14ac:dyDescent="0.35">
      <c r="A89" t="s">
        <v>59</v>
      </c>
      <c r="B89" t="s">
        <v>54</v>
      </c>
      <c r="C89" t="s">
        <v>76</v>
      </c>
      <c r="D89" s="10">
        <v>580</v>
      </c>
      <c r="E89" s="5" t="s">
        <v>42</v>
      </c>
      <c r="F89" t="s">
        <v>55</v>
      </c>
    </row>
    <row r="90" spans="1:6" hidden="1" x14ac:dyDescent="0.35">
      <c r="A90" t="s">
        <v>60</v>
      </c>
      <c r="B90" t="s">
        <v>54</v>
      </c>
      <c r="C90" t="s">
        <v>76</v>
      </c>
      <c r="D90" s="10">
        <v>503</v>
      </c>
      <c r="E90" s="5" t="s">
        <v>42</v>
      </c>
      <c r="F90" t="s">
        <v>55</v>
      </c>
    </row>
    <row r="91" spans="1:6" hidden="1" x14ac:dyDescent="0.35">
      <c r="A91" t="s">
        <v>61</v>
      </c>
      <c r="B91" t="s">
        <v>54</v>
      </c>
      <c r="C91" t="s">
        <v>76</v>
      </c>
      <c r="D91" s="10">
        <v>1507</v>
      </c>
      <c r="E91" s="5" t="s">
        <v>42</v>
      </c>
      <c r="F91" t="s">
        <v>55</v>
      </c>
    </row>
    <row r="92" spans="1:6" hidden="1" x14ac:dyDescent="0.35">
      <c r="A92" t="s">
        <v>62</v>
      </c>
      <c r="B92" t="s">
        <v>54</v>
      </c>
      <c r="C92" t="s">
        <v>76</v>
      </c>
      <c r="D92" s="10">
        <v>847</v>
      </c>
      <c r="E92" s="5" t="s">
        <v>42</v>
      </c>
      <c r="F92" t="s">
        <v>55</v>
      </c>
    </row>
    <row r="93" spans="1:6" hidden="1" x14ac:dyDescent="0.35">
      <c r="A93" t="s">
        <v>63</v>
      </c>
      <c r="B93" t="s">
        <v>54</v>
      </c>
      <c r="C93" t="s">
        <v>76</v>
      </c>
      <c r="D93" s="10">
        <v>1309</v>
      </c>
      <c r="E93" s="5" t="s">
        <v>42</v>
      </c>
      <c r="F93" t="s">
        <v>55</v>
      </c>
    </row>
    <row r="94" spans="1:6" hidden="1" x14ac:dyDescent="0.35">
      <c r="A94" t="s">
        <v>64</v>
      </c>
      <c r="B94" t="s">
        <v>54</v>
      </c>
      <c r="C94" t="s">
        <v>76</v>
      </c>
      <c r="D94" s="10">
        <v>805</v>
      </c>
      <c r="E94" s="5" t="s">
        <v>42</v>
      </c>
      <c r="F94" t="s">
        <v>55</v>
      </c>
    </row>
    <row r="95" spans="1:6" hidden="1" x14ac:dyDescent="0.35">
      <c r="A95" t="s">
        <v>65</v>
      </c>
      <c r="B95" t="s">
        <v>54</v>
      </c>
      <c r="C95" t="s">
        <v>76</v>
      </c>
      <c r="D95" s="10">
        <v>859</v>
      </c>
      <c r="E95" s="5" t="s">
        <v>42</v>
      </c>
      <c r="F95" t="s">
        <v>55</v>
      </c>
    </row>
    <row r="96" spans="1:6" hidden="1" x14ac:dyDescent="0.35">
      <c r="A96" t="s">
        <v>66</v>
      </c>
      <c r="B96" t="s">
        <v>54</v>
      </c>
      <c r="C96" t="s">
        <v>76</v>
      </c>
      <c r="D96" s="10">
        <v>721</v>
      </c>
      <c r="E96" s="5" t="s">
        <v>42</v>
      </c>
      <c r="F96" t="s">
        <v>55</v>
      </c>
    </row>
    <row r="97" spans="1:6" hidden="1" x14ac:dyDescent="0.35">
      <c r="A97" t="s">
        <v>67</v>
      </c>
      <c r="B97" t="s">
        <v>54</v>
      </c>
      <c r="C97" t="s">
        <v>76</v>
      </c>
      <c r="D97" s="10">
        <v>557</v>
      </c>
      <c r="E97" s="5" t="s">
        <v>42</v>
      </c>
      <c r="F97" t="s">
        <v>55</v>
      </c>
    </row>
    <row r="98" spans="1:6" hidden="1" x14ac:dyDescent="0.35">
      <c r="A98" t="s">
        <v>57</v>
      </c>
      <c r="B98" t="s">
        <v>33</v>
      </c>
      <c r="C98" t="s">
        <v>51</v>
      </c>
      <c r="D98" s="9">
        <v>90</v>
      </c>
      <c r="E98" s="5" t="s">
        <v>78</v>
      </c>
      <c r="F98" t="s">
        <v>55</v>
      </c>
    </row>
    <row r="99" spans="1:6" hidden="1" x14ac:dyDescent="0.35">
      <c r="A99" t="s">
        <v>75</v>
      </c>
      <c r="B99" t="s">
        <v>33</v>
      </c>
      <c r="C99" t="s">
        <v>51</v>
      </c>
      <c r="D99" s="9">
        <v>74</v>
      </c>
      <c r="E99" s="5" t="s">
        <v>78</v>
      </c>
      <c r="F99" t="s">
        <v>55</v>
      </c>
    </row>
    <row r="100" spans="1:6" hidden="1" x14ac:dyDescent="0.35">
      <c r="A100" t="s">
        <v>58</v>
      </c>
      <c r="B100" t="s">
        <v>33</v>
      </c>
      <c r="C100" t="s">
        <v>51</v>
      </c>
      <c r="D100" s="9">
        <v>77</v>
      </c>
      <c r="E100" s="5" t="s">
        <v>78</v>
      </c>
      <c r="F100" t="s">
        <v>55</v>
      </c>
    </row>
    <row r="101" spans="1:6" hidden="1" x14ac:dyDescent="0.35">
      <c r="A101" t="s">
        <v>59</v>
      </c>
      <c r="B101" t="s">
        <v>33</v>
      </c>
      <c r="C101" t="s">
        <v>51</v>
      </c>
      <c r="D101" s="9">
        <v>71</v>
      </c>
      <c r="E101" s="5" t="s">
        <v>78</v>
      </c>
      <c r="F101" t="s">
        <v>55</v>
      </c>
    </row>
    <row r="102" spans="1:6" hidden="1" x14ac:dyDescent="0.35">
      <c r="A102" t="s">
        <v>60</v>
      </c>
      <c r="B102" t="s">
        <v>33</v>
      </c>
      <c r="C102" t="s">
        <v>51</v>
      </c>
      <c r="D102" s="9">
        <v>61</v>
      </c>
      <c r="E102" s="5" t="s">
        <v>78</v>
      </c>
      <c r="F102" t="s">
        <v>55</v>
      </c>
    </row>
    <row r="103" spans="1:6" hidden="1" x14ac:dyDescent="0.35">
      <c r="A103" t="s">
        <v>61</v>
      </c>
      <c r="B103" t="s">
        <v>33</v>
      </c>
      <c r="C103" t="s">
        <v>51</v>
      </c>
      <c r="D103" s="9">
        <v>63</v>
      </c>
      <c r="E103" s="5" t="s">
        <v>78</v>
      </c>
      <c r="F103" t="s">
        <v>55</v>
      </c>
    </row>
    <row r="104" spans="1:6" hidden="1" x14ac:dyDescent="0.35">
      <c r="A104" t="s">
        <v>62</v>
      </c>
      <c r="B104" t="s">
        <v>33</v>
      </c>
      <c r="C104" t="s">
        <v>51</v>
      </c>
      <c r="D104" s="9">
        <v>50</v>
      </c>
      <c r="E104" s="5" t="s">
        <v>78</v>
      </c>
      <c r="F104" t="s">
        <v>55</v>
      </c>
    </row>
    <row r="105" spans="1:6" hidden="1" x14ac:dyDescent="0.35">
      <c r="A105" t="s">
        <v>63</v>
      </c>
      <c r="B105" t="s">
        <v>33</v>
      </c>
      <c r="C105" t="s">
        <v>51</v>
      </c>
      <c r="D105" s="9">
        <v>65</v>
      </c>
      <c r="E105" s="5" t="s">
        <v>78</v>
      </c>
      <c r="F105" t="s">
        <v>55</v>
      </c>
    </row>
    <row r="106" spans="1:6" hidden="1" x14ac:dyDescent="0.35">
      <c r="A106" t="s">
        <v>64</v>
      </c>
      <c r="B106" t="s">
        <v>33</v>
      </c>
      <c r="C106" t="s">
        <v>51</v>
      </c>
      <c r="D106" s="9">
        <v>58</v>
      </c>
      <c r="E106" s="5" t="s">
        <v>78</v>
      </c>
      <c r="F106" t="s">
        <v>55</v>
      </c>
    </row>
    <row r="107" spans="1:6" hidden="1" x14ac:dyDescent="0.35">
      <c r="A107" t="s">
        <v>65</v>
      </c>
      <c r="B107" t="s">
        <v>33</v>
      </c>
      <c r="C107" t="s">
        <v>51</v>
      </c>
      <c r="D107" s="9">
        <v>80</v>
      </c>
      <c r="E107" s="5" t="s">
        <v>78</v>
      </c>
      <c r="F107" t="s">
        <v>55</v>
      </c>
    </row>
    <row r="108" spans="1:6" hidden="1" x14ac:dyDescent="0.35">
      <c r="A108" t="s">
        <v>66</v>
      </c>
      <c r="B108" t="s">
        <v>33</v>
      </c>
      <c r="C108" t="s">
        <v>51</v>
      </c>
      <c r="D108" s="9">
        <v>56</v>
      </c>
      <c r="E108" s="5" t="s">
        <v>78</v>
      </c>
      <c r="F108" t="s">
        <v>55</v>
      </c>
    </row>
    <row r="109" spans="1:6" hidden="1" x14ac:dyDescent="0.35">
      <c r="A109" t="s">
        <v>67</v>
      </c>
      <c r="B109" t="s">
        <v>33</v>
      </c>
      <c r="C109" t="s">
        <v>51</v>
      </c>
      <c r="D109" s="9">
        <v>0</v>
      </c>
      <c r="E109" s="5" t="s">
        <v>78</v>
      </c>
      <c r="F109" t="s">
        <v>55</v>
      </c>
    </row>
    <row r="110" spans="1:6" hidden="1" x14ac:dyDescent="0.35">
      <c r="A110" t="s">
        <v>57</v>
      </c>
      <c r="B110" t="s">
        <v>33</v>
      </c>
      <c r="C110" t="s">
        <v>77</v>
      </c>
      <c r="D110" s="9">
        <v>69</v>
      </c>
      <c r="E110" s="5" t="s">
        <v>78</v>
      </c>
      <c r="F110" t="s">
        <v>55</v>
      </c>
    </row>
    <row r="111" spans="1:6" hidden="1" x14ac:dyDescent="0.35">
      <c r="A111" t="s">
        <v>75</v>
      </c>
      <c r="B111" t="s">
        <v>33</v>
      </c>
      <c r="C111" t="s">
        <v>77</v>
      </c>
      <c r="D111" s="9">
        <v>52</v>
      </c>
      <c r="E111" s="5" t="s">
        <v>78</v>
      </c>
      <c r="F111" t="s">
        <v>55</v>
      </c>
    </row>
    <row r="112" spans="1:6" hidden="1" x14ac:dyDescent="0.35">
      <c r="A112" t="s">
        <v>58</v>
      </c>
      <c r="B112" t="s">
        <v>33</v>
      </c>
      <c r="C112" t="s">
        <v>77</v>
      </c>
      <c r="D112" s="9">
        <v>0</v>
      </c>
      <c r="E112" s="5" t="s">
        <v>78</v>
      </c>
      <c r="F112" t="s">
        <v>55</v>
      </c>
    </row>
    <row r="113" spans="1:6" hidden="1" x14ac:dyDescent="0.35">
      <c r="A113" t="s">
        <v>59</v>
      </c>
      <c r="B113" t="s">
        <v>33</v>
      </c>
      <c r="C113" t="s">
        <v>77</v>
      </c>
      <c r="D113" s="9">
        <v>26</v>
      </c>
      <c r="E113" s="5" t="s">
        <v>78</v>
      </c>
      <c r="F113" t="s">
        <v>55</v>
      </c>
    </row>
    <row r="114" spans="1:6" hidden="1" x14ac:dyDescent="0.35">
      <c r="A114" t="s">
        <v>60</v>
      </c>
      <c r="B114" t="s">
        <v>33</v>
      </c>
      <c r="C114" t="s">
        <v>77</v>
      </c>
      <c r="D114" s="9">
        <v>35</v>
      </c>
      <c r="E114" s="5" t="s">
        <v>78</v>
      </c>
      <c r="F114" t="s">
        <v>55</v>
      </c>
    </row>
    <row r="115" spans="1:6" hidden="1" x14ac:dyDescent="0.35">
      <c r="A115" t="s">
        <v>61</v>
      </c>
      <c r="B115" t="s">
        <v>33</v>
      </c>
      <c r="C115" t="s">
        <v>77</v>
      </c>
      <c r="D115" s="9">
        <v>52</v>
      </c>
      <c r="E115" s="5" t="s">
        <v>78</v>
      </c>
      <c r="F115" t="s">
        <v>55</v>
      </c>
    </row>
    <row r="116" spans="1:6" hidden="1" x14ac:dyDescent="0.35">
      <c r="A116" t="s">
        <v>62</v>
      </c>
      <c r="B116" t="s">
        <v>33</v>
      </c>
      <c r="C116" t="s">
        <v>77</v>
      </c>
      <c r="D116" s="9">
        <v>50</v>
      </c>
      <c r="E116" s="5" t="s">
        <v>78</v>
      </c>
      <c r="F116" t="s">
        <v>55</v>
      </c>
    </row>
    <row r="117" spans="1:6" hidden="1" x14ac:dyDescent="0.35">
      <c r="A117" t="s">
        <v>63</v>
      </c>
      <c r="B117" t="s">
        <v>33</v>
      </c>
      <c r="C117" t="s">
        <v>77</v>
      </c>
      <c r="D117" s="9">
        <v>60</v>
      </c>
      <c r="E117" s="5" t="s">
        <v>78</v>
      </c>
      <c r="F117" t="s">
        <v>55</v>
      </c>
    </row>
    <row r="118" spans="1:6" hidden="1" x14ac:dyDescent="0.35">
      <c r="A118" t="s">
        <v>64</v>
      </c>
      <c r="B118" t="s">
        <v>33</v>
      </c>
      <c r="C118" t="s">
        <v>77</v>
      </c>
      <c r="D118" s="9">
        <v>40</v>
      </c>
      <c r="E118" s="5" t="s">
        <v>78</v>
      </c>
      <c r="F118" t="s">
        <v>55</v>
      </c>
    </row>
    <row r="119" spans="1:6" hidden="1" x14ac:dyDescent="0.35">
      <c r="A119" t="s">
        <v>65</v>
      </c>
      <c r="B119" t="s">
        <v>33</v>
      </c>
      <c r="C119" t="s">
        <v>77</v>
      </c>
      <c r="D119" s="9">
        <v>49</v>
      </c>
      <c r="E119" s="5" t="s">
        <v>78</v>
      </c>
      <c r="F119" t="s">
        <v>55</v>
      </c>
    </row>
    <row r="120" spans="1:6" hidden="1" x14ac:dyDescent="0.35">
      <c r="A120" t="s">
        <v>66</v>
      </c>
      <c r="B120" t="s">
        <v>33</v>
      </c>
      <c r="C120" t="s">
        <v>77</v>
      </c>
      <c r="D120" s="9">
        <v>22</v>
      </c>
      <c r="E120" s="5" t="s">
        <v>78</v>
      </c>
      <c r="F120" t="s">
        <v>55</v>
      </c>
    </row>
    <row r="121" spans="1:6" hidden="1" x14ac:dyDescent="0.35">
      <c r="A121" t="s">
        <v>67</v>
      </c>
      <c r="B121" t="s">
        <v>33</v>
      </c>
      <c r="C121" t="s">
        <v>51</v>
      </c>
      <c r="D121" s="9">
        <v>17</v>
      </c>
      <c r="E121" s="5" t="s">
        <v>78</v>
      </c>
      <c r="F121" t="s">
        <v>55</v>
      </c>
    </row>
    <row r="122" spans="1:6" hidden="1" x14ac:dyDescent="0.35">
      <c r="A122" t="s">
        <v>57</v>
      </c>
      <c r="B122" t="s">
        <v>33</v>
      </c>
      <c r="C122" t="s">
        <v>51</v>
      </c>
      <c r="D122" s="9">
        <v>114</v>
      </c>
      <c r="E122" s="5" t="s">
        <v>40</v>
      </c>
      <c r="F122" t="s">
        <v>55</v>
      </c>
    </row>
    <row r="123" spans="1:6" hidden="1" x14ac:dyDescent="0.35">
      <c r="A123" t="s">
        <v>75</v>
      </c>
      <c r="B123" t="s">
        <v>33</v>
      </c>
      <c r="C123" t="s">
        <v>51</v>
      </c>
      <c r="D123" s="9">
        <v>104</v>
      </c>
      <c r="E123" s="5" t="s">
        <v>40</v>
      </c>
      <c r="F123" t="s">
        <v>55</v>
      </c>
    </row>
    <row r="124" spans="1:6" hidden="1" x14ac:dyDescent="0.35">
      <c r="A124" t="s">
        <v>58</v>
      </c>
      <c r="B124" t="s">
        <v>33</v>
      </c>
      <c r="C124" t="s">
        <v>51</v>
      </c>
      <c r="D124" s="9">
        <v>3</v>
      </c>
      <c r="E124" s="5" t="s">
        <v>40</v>
      </c>
      <c r="F124" t="s">
        <v>55</v>
      </c>
    </row>
    <row r="125" spans="1:6" hidden="1" x14ac:dyDescent="0.35">
      <c r="A125" t="s">
        <v>59</v>
      </c>
      <c r="B125" t="s">
        <v>33</v>
      </c>
      <c r="C125" t="s">
        <v>51</v>
      </c>
      <c r="D125" s="9">
        <v>104</v>
      </c>
      <c r="E125" s="5" t="s">
        <v>40</v>
      </c>
      <c r="F125" t="s">
        <v>55</v>
      </c>
    </row>
    <row r="126" spans="1:6" hidden="1" x14ac:dyDescent="0.35">
      <c r="A126" t="s">
        <v>60</v>
      </c>
      <c r="B126" t="s">
        <v>33</v>
      </c>
      <c r="C126" t="s">
        <v>51</v>
      </c>
      <c r="D126" s="9">
        <v>147</v>
      </c>
      <c r="E126" s="5" t="s">
        <v>40</v>
      </c>
      <c r="F126" t="s">
        <v>55</v>
      </c>
    </row>
    <row r="127" spans="1:6" hidden="1" x14ac:dyDescent="0.35">
      <c r="A127" t="s">
        <v>61</v>
      </c>
      <c r="B127" t="s">
        <v>33</v>
      </c>
      <c r="C127" t="s">
        <v>51</v>
      </c>
      <c r="D127" s="9">
        <v>144</v>
      </c>
      <c r="E127" s="5" t="s">
        <v>40</v>
      </c>
      <c r="F127" t="s">
        <v>55</v>
      </c>
    </row>
    <row r="128" spans="1:6" hidden="1" x14ac:dyDescent="0.35">
      <c r="A128" t="s">
        <v>62</v>
      </c>
      <c r="B128" t="s">
        <v>33</v>
      </c>
      <c r="C128" t="s">
        <v>51</v>
      </c>
      <c r="D128" s="9">
        <v>131</v>
      </c>
      <c r="E128" s="5" t="s">
        <v>40</v>
      </c>
      <c r="F128" t="s">
        <v>55</v>
      </c>
    </row>
    <row r="129" spans="1:6" hidden="1" x14ac:dyDescent="0.35">
      <c r="A129" t="s">
        <v>63</v>
      </c>
      <c r="B129" t="s">
        <v>33</v>
      </c>
      <c r="C129" t="s">
        <v>51</v>
      </c>
      <c r="D129" s="9">
        <v>158</v>
      </c>
      <c r="E129" s="5" t="s">
        <v>40</v>
      </c>
      <c r="F129" t="s">
        <v>55</v>
      </c>
    </row>
    <row r="130" spans="1:6" hidden="1" x14ac:dyDescent="0.35">
      <c r="A130" t="s">
        <v>64</v>
      </c>
      <c r="B130" t="s">
        <v>33</v>
      </c>
      <c r="C130" t="s">
        <v>51</v>
      </c>
      <c r="D130" s="9">
        <v>120</v>
      </c>
      <c r="E130" s="5" t="s">
        <v>40</v>
      </c>
      <c r="F130" t="s">
        <v>55</v>
      </c>
    </row>
    <row r="131" spans="1:6" hidden="1" x14ac:dyDescent="0.35">
      <c r="A131" t="s">
        <v>65</v>
      </c>
      <c r="B131" t="s">
        <v>33</v>
      </c>
      <c r="C131" t="s">
        <v>51</v>
      </c>
      <c r="D131" s="9">
        <v>125</v>
      </c>
      <c r="E131" s="5" t="s">
        <v>40</v>
      </c>
      <c r="F131" t="s">
        <v>55</v>
      </c>
    </row>
    <row r="132" spans="1:6" hidden="1" x14ac:dyDescent="0.35">
      <c r="A132" t="s">
        <v>66</v>
      </c>
      <c r="B132" t="s">
        <v>33</v>
      </c>
      <c r="C132" t="s">
        <v>51</v>
      </c>
      <c r="D132" s="9">
        <v>140</v>
      </c>
      <c r="E132" s="5" t="s">
        <v>40</v>
      </c>
      <c r="F132" t="s">
        <v>55</v>
      </c>
    </row>
    <row r="133" spans="1:6" hidden="1" x14ac:dyDescent="0.35">
      <c r="A133" t="s">
        <v>67</v>
      </c>
      <c r="B133" t="s">
        <v>33</v>
      </c>
      <c r="C133" t="s">
        <v>51</v>
      </c>
      <c r="D133" s="9">
        <v>81</v>
      </c>
      <c r="E133" s="5" t="s">
        <v>40</v>
      </c>
      <c r="F133" t="s">
        <v>55</v>
      </c>
    </row>
    <row r="134" spans="1:6" hidden="1" x14ac:dyDescent="0.35">
      <c r="A134" t="s">
        <v>57</v>
      </c>
      <c r="B134" t="s">
        <v>33</v>
      </c>
      <c r="C134" t="s">
        <v>77</v>
      </c>
      <c r="D134" s="9">
        <v>26</v>
      </c>
      <c r="E134" s="5" t="s">
        <v>40</v>
      </c>
      <c r="F134" t="s">
        <v>55</v>
      </c>
    </row>
    <row r="135" spans="1:6" hidden="1" x14ac:dyDescent="0.35">
      <c r="A135" t="s">
        <v>75</v>
      </c>
      <c r="B135" t="s">
        <v>33</v>
      </c>
      <c r="C135" t="s">
        <v>77</v>
      </c>
      <c r="D135" s="9">
        <v>25</v>
      </c>
      <c r="E135" s="5" t="s">
        <v>40</v>
      </c>
      <c r="F135" t="s">
        <v>55</v>
      </c>
    </row>
    <row r="136" spans="1:6" hidden="1" x14ac:dyDescent="0.35">
      <c r="A136" t="s">
        <v>58</v>
      </c>
      <c r="B136" t="s">
        <v>33</v>
      </c>
      <c r="C136" t="s">
        <v>77</v>
      </c>
      <c r="D136" s="9">
        <v>11</v>
      </c>
      <c r="E136" s="5" t="s">
        <v>40</v>
      </c>
      <c r="F136" t="s">
        <v>55</v>
      </c>
    </row>
    <row r="137" spans="1:6" hidden="1" x14ac:dyDescent="0.35">
      <c r="A137" t="s">
        <v>59</v>
      </c>
      <c r="B137" t="s">
        <v>33</v>
      </c>
      <c r="C137" t="s">
        <v>77</v>
      </c>
      <c r="D137" s="9">
        <v>6</v>
      </c>
      <c r="E137" s="5" t="s">
        <v>40</v>
      </c>
      <c r="F137" t="s">
        <v>55</v>
      </c>
    </row>
    <row r="138" spans="1:6" hidden="1" x14ac:dyDescent="0.35">
      <c r="A138" t="s">
        <v>60</v>
      </c>
      <c r="B138" t="s">
        <v>33</v>
      </c>
      <c r="C138" t="s">
        <v>77</v>
      </c>
      <c r="D138" s="9">
        <v>18</v>
      </c>
      <c r="E138" s="5" t="s">
        <v>40</v>
      </c>
      <c r="F138" t="s">
        <v>55</v>
      </c>
    </row>
    <row r="139" spans="1:6" hidden="1" x14ac:dyDescent="0.35">
      <c r="A139" t="s">
        <v>61</v>
      </c>
      <c r="B139" t="s">
        <v>33</v>
      </c>
      <c r="C139" t="s">
        <v>77</v>
      </c>
      <c r="D139" s="9">
        <v>34</v>
      </c>
      <c r="E139" s="5" t="s">
        <v>40</v>
      </c>
      <c r="F139" t="s">
        <v>55</v>
      </c>
    </row>
    <row r="140" spans="1:6" hidden="1" x14ac:dyDescent="0.35">
      <c r="A140" t="s">
        <v>62</v>
      </c>
      <c r="B140" t="s">
        <v>33</v>
      </c>
      <c r="C140" t="s">
        <v>77</v>
      </c>
      <c r="D140" s="9">
        <v>23</v>
      </c>
      <c r="E140" s="5" t="s">
        <v>40</v>
      </c>
      <c r="F140" t="s">
        <v>55</v>
      </c>
    </row>
    <row r="141" spans="1:6" hidden="1" x14ac:dyDescent="0.35">
      <c r="A141" t="s">
        <v>63</v>
      </c>
      <c r="B141" t="s">
        <v>33</v>
      </c>
      <c r="C141" t="s">
        <v>77</v>
      </c>
      <c r="D141" s="9">
        <v>39</v>
      </c>
      <c r="E141" s="5" t="s">
        <v>40</v>
      </c>
      <c r="F141" t="s">
        <v>55</v>
      </c>
    </row>
    <row r="142" spans="1:6" hidden="1" x14ac:dyDescent="0.35">
      <c r="A142" t="s">
        <v>64</v>
      </c>
      <c r="B142" t="s">
        <v>33</v>
      </c>
      <c r="C142" t="s">
        <v>77</v>
      </c>
      <c r="D142" s="9">
        <v>31</v>
      </c>
      <c r="E142" s="5" t="s">
        <v>40</v>
      </c>
      <c r="F142" t="s">
        <v>55</v>
      </c>
    </row>
    <row r="143" spans="1:6" hidden="1" x14ac:dyDescent="0.35">
      <c r="A143" t="s">
        <v>65</v>
      </c>
      <c r="B143" t="s">
        <v>33</v>
      </c>
      <c r="C143" t="s">
        <v>77</v>
      </c>
      <c r="D143" s="9">
        <v>30</v>
      </c>
      <c r="E143" s="5" t="s">
        <v>40</v>
      </c>
      <c r="F143" t="s">
        <v>55</v>
      </c>
    </row>
    <row r="144" spans="1:6" hidden="1" x14ac:dyDescent="0.35">
      <c r="A144" t="s">
        <v>66</v>
      </c>
      <c r="B144" t="s">
        <v>33</v>
      </c>
      <c r="C144" t="s">
        <v>77</v>
      </c>
      <c r="D144" s="9">
        <v>21</v>
      </c>
      <c r="E144" s="5" t="s">
        <v>40</v>
      </c>
      <c r="F144" t="s">
        <v>55</v>
      </c>
    </row>
    <row r="145" spans="1:6" hidden="1" x14ac:dyDescent="0.35">
      <c r="A145" t="s">
        <v>67</v>
      </c>
      <c r="B145" t="s">
        <v>33</v>
      </c>
      <c r="C145" t="s">
        <v>77</v>
      </c>
      <c r="D145" s="9">
        <v>17</v>
      </c>
      <c r="E145" s="5" t="s">
        <v>40</v>
      </c>
      <c r="F145" t="s">
        <v>55</v>
      </c>
    </row>
    <row r="146" spans="1:6" hidden="1" x14ac:dyDescent="0.35">
      <c r="A146" t="s">
        <v>57</v>
      </c>
      <c r="B146" t="s">
        <v>33</v>
      </c>
      <c r="C146" t="s">
        <v>74</v>
      </c>
      <c r="D146" s="10">
        <v>30</v>
      </c>
      <c r="E146" s="5" t="s">
        <v>79</v>
      </c>
      <c r="F146" t="s">
        <v>55</v>
      </c>
    </row>
    <row r="147" spans="1:6" hidden="1" x14ac:dyDescent="0.35">
      <c r="A147" t="s">
        <v>75</v>
      </c>
      <c r="B147" t="s">
        <v>33</v>
      </c>
      <c r="C147" t="s">
        <v>74</v>
      </c>
      <c r="D147" s="10">
        <v>29</v>
      </c>
      <c r="E147" s="5" t="s">
        <v>79</v>
      </c>
      <c r="F147" t="s">
        <v>55</v>
      </c>
    </row>
    <row r="148" spans="1:6" hidden="1" x14ac:dyDescent="0.35">
      <c r="A148" t="s">
        <v>58</v>
      </c>
      <c r="B148" t="s">
        <v>33</v>
      </c>
      <c r="C148" t="s">
        <v>74</v>
      </c>
      <c r="D148" s="10">
        <v>29</v>
      </c>
      <c r="E148" s="5" t="s">
        <v>79</v>
      </c>
      <c r="F148" t="s">
        <v>55</v>
      </c>
    </row>
    <row r="149" spans="1:6" hidden="1" x14ac:dyDescent="0.35">
      <c r="A149" t="s">
        <v>59</v>
      </c>
      <c r="B149" t="s">
        <v>33</v>
      </c>
      <c r="C149" t="s">
        <v>74</v>
      </c>
      <c r="D149" s="10">
        <v>22</v>
      </c>
      <c r="E149" s="5" t="s">
        <v>79</v>
      </c>
      <c r="F149" t="s">
        <v>55</v>
      </c>
    </row>
    <row r="150" spans="1:6" hidden="1" x14ac:dyDescent="0.35">
      <c r="A150" t="s">
        <v>60</v>
      </c>
      <c r="B150" t="s">
        <v>33</v>
      </c>
      <c r="C150" t="s">
        <v>74</v>
      </c>
      <c r="D150" s="10">
        <v>22</v>
      </c>
      <c r="E150" s="5" t="s">
        <v>79</v>
      </c>
      <c r="F150" t="s">
        <v>55</v>
      </c>
    </row>
    <row r="151" spans="1:6" hidden="1" x14ac:dyDescent="0.35">
      <c r="A151" t="s">
        <v>61</v>
      </c>
      <c r="B151" t="s">
        <v>33</v>
      </c>
      <c r="C151" t="s">
        <v>74</v>
      </c>
      <c r="D151" s="10">
        <v>33</v>
      </c>
      <c r="E151" s="5" t="s">
        <v>79</v>
      </c>
      <c r="F151" t="s">
        <v>55</v>
      </c>
    </row>
    <row r="152" spans="1:6" hidden="1" x14ac:dyDescent="0.35">
      <c r="A152" t="s">
        <v>62</v>
      </c>
      <c r="B152" t="s">
        <v>33</v>
      </c>
      <c r="C152" t="s">
        <v>74</v>
      </c>
      <c r="D152" s="10">
        <v>16</v>
      </c>
      <c r="E152" s="5" t="s">
        <v>79</v>
      </c>
      <c r="F152" t="s">
        <v>55</v>
      </c>
    </row>
    <row r="153" spans="1:6" hidden="1" x14ac:dyDescent="0.35">
      <c r="A153" t="s">
        <v>63</v>
      </c>
      <c r="B153" t="s">
        <v>33</v>
      </c>
      <c r="C153" t="s">
        <v>74</v>
      </c>
      <c r="D153" s="10">
        <v>20</v>
      </c>
      <c r="E153" s="5" t="s">
        <v>79</v>
      </c>
      <c r="F153" t="s">
        <v>55</v>
      </c>
    </row>
    <row r="154" spans="1:6" hidden="1" x14ac:dyDescent="0.35">
      <c r="A154" t="s">
        <v>64</v>
      </c>
      <c r="B154" t="s">
        <v>33</v>
      </c>
      <c r="C154" t="s">
        <v>74</v>
      </c>
      <c r="D154" s="10">
        <v>23</v>
      </c>
      <c r="E154" s="5" t="s">
        <v>79</v>
      </c>
      <c r="F154" t="s">
        <v>55</v>
      </c>
    </row>
    <row r="155" spans="1:6" hidden="1" x14ac:dyDescent="0.35">
      <c r="A155" t="s">
        <v>65</v>
      </c>
      <c r="B155" t="s">
        <v>33</v>
      </c>
      <c r="C155" t="s">
        <v>74</v>
      </c>
      <c r="D155" s="10">
        <v>30</v>
      </c>
      <c r="E155" s="5" t="s">
        <v>79</v>
      </c>
      <c r="F155" t="s">
        <v>55</v>
      </c>
    </row>
    <row r="156" spans="1:6" hidden="1" x14ac:dyDescent="0.35">
      <c r="A156" t="s">
        <v>66</v>
      </c>
      <c r="B156" t="s">
        <v>33</v>
      </c>
      <c r="C156" t="s">
        <v>74</v>
      </c>
      <c r="D156" s="10">
        <v>18</v>
      </c>
      <c r="E156" s="5" t="s">
        <v>79</v>
      </c>
      <c r="F156" t="s">
        <v>55</v>
      </c>
    </row>
    <row r="157" spans="1:6" hidden="1" x14ac:dyDescent="0.35">
      <c r="A157" t="s">
        <v>67</v>
      </c>
      <c r="B157" t="s">
        <v>33</v>
      </c>
      <c r="C157" t="s">
        <v>74</v>
      </c>
      <c r="D157" s="10">
        <v>28</v>
      </c>
      <c r="E157" s="5" t="s">
        <v>79</v>
      </c>
      <c r="F157" t="s">
        <v>55</v>
      </c>
    </row>
    <row r="158" spans="1:6" hidden="1" x14ac:dyDescent="0.35">
      <c r="A158" t="s">
        <v>57</v>
      </c>
      <c r="B158" t="s">
        <v>33</v>
      </c>
      <c r="C158" t="s">
        <v>76</v>
      </c>
      <c r="D158" s="10">
        <v>31</v>
      </c>
      <c r="E158" s="5" t="s">
        <v>79</v>
      </c>
      <c r="F158" t="s">
        <v>55</v>
      </c>
    </row>
    <row r="159" spans="1:6" hidden="1" x14ac:dyDescent="0.35">
      <c r="A159" t="s">
        <v>75</v>
      </c>
      <c r="B159" t="s">
        <v>33</v>
      </c>
      <c r="C159" t="s">
        <v>76</v>
      </c>
      <c r="D159" s="10">
        <v>13</v>
      </c>
      <c r="E159" s="5" t="s">
        <v>79</v>
      </c>
      <c r="F159" t="s">
        <v>55</v>
      </c>
    </row>
    <row r="160" spans="1:6" hidden="1" x14ac:dyDescent="0.35">
      <c r="A160" t="s">
        <v>58</v>
      </c>
      <c r="B160" t="s">
        <v>33</v>
      </c>
      <c r="C160" t="s">
        <v>76</v>
      </c>
      <c r="D160" s="10">
        <v>21</v>
      </c>
      <c r="E160" s="5" t="s">
        <v>79</v>
      </c>
      <c r="F160" t="s">
        <v>55</v>
      </c>
    </row>
    <row r="161" spans="1:6" hidden="1" x14ac:dyDescent="0.35">
      <c r="A161" t="s">
        <v>59</v>
      </c>
      <c r="B161" t="s">
        <v>33</v>
      </c>
      <c r="C161" t="s">
        <v>76</v>
      </c>
      <c r="D161" s="10">
        <v>12</v>
      </c>
      <c r="E161" s="5" t="s">
        <v>79</v>
      </c>
      <c r="F161" t="s">
        <v>55</v>
      </c>
    </row>
    <row r="162" spans="1:6" hidden="1" x14ac:dyDescent="0.35">
      <c r="A162" t="s">
        <v>60</v>
      </c>
      <c r="B162" t="s">
        <v>33</v>
      </c>
      <c r="C162" t="s">
        <v>76</v>
      </c>
      <c r="D162" s="10">
        <v>19</v>
      </c>
      <c r="E162" s="5" t="s">
        <v>79</v>
      </c>
      <c r="F162" t="s">
        <v>55</v>
      </c>
    </row>
    <row r="163" spans="1:6" hidden="1" x14ac:dyDescent="0.35">
      <c r="A163" t="s">
        <v>61</v>
      </c>
      <c r="B163" t="s">
        <v>33</v>
      </c>
      <c r="C163" t="s">
        <v>76</v>
      </c>
      <c r="D163" s="10">
        <v>23</v>
      </c>
      <c r="E163" s="5" t="s">
        <v>79</v>
      </c>
      <c r="F163" t="s">
        <v>55</v>
      </c>
    </row>
    <row r="164" spans="1:6" hidden="1" x14ac:dyDescent="0.35">
      <c r="A164" t="s">
        <v>62</v>
      </c>
      <c r="B164" t="s">
        <v>33</v>
      </c>
      <c r="C164" t="s">
        <v>76</v>
      </c>
      <c r="D164" s="10">
        <v>39</v>
      </c>
      <c r="E164" s="5" t="s">
        <v>79</v>
      </c>
      <c r="F164" t="s">
        <v>55</v>
      </c>
    </row>
    <row r="165" spans="1:6" hidden="1" x14ac:dyDescent="0.35">
      <c r="A165" t="s">
        <v>63</v>
      </c>
      <c r="B165" t="s">
        <v>33</v>
      </c>
      <c r="C165" t="s">
        <v>76</v>
      </c>
      <c r="D165" s="10">
        <v>32</v>
      </c>
      <c r="E165" s="5" t="s">
        <v>79</v>
      </c>
      <c r="F165" t="s">
        <v>55</v>
      </c>
    </row>
    <row r="166" spans="1:6" hidden="1" x14ac:dyDescent="0.35">
      <c r="A166" t="s">
        <v>64</v>
      </c>
      <c r="B166" t="s">
        <v>33</v>
      </c>
      <c r="C166" t="s">
        <v>76</v>
      </c>
      <c r="D166" s="10">
        <v>28</v>
      </c>
      <c r="E166" s="5" t="s">
        <v>79</v>
      </c>
      <c r="F166" t="s">
        <v>55</v>
      </c>
    </row>
    <row r="167" spans="1:6" hidden="1" x14ac:dyDescent="0.35">
      <c r="A167" t="s">
        <v>65</v>
      </c>
      <c r="B167" t="s">
        <v>33</v>
      </c>
      <c r="C167" t="s">
        <v>76</v>
      </c>
      <c r="D167" s="10">
        <v>33</v>
      </c>
      <c r="E167" s="5" t="s">
        <v>79</v>
      </c>
      <c r="F167" t="s">
        <v>55</v>
      </c>
    </row>
    <row r="168" spans="1:6" hidden="1" x14ac:dyDescent="0.35">
      <c r="A168" t="s">
        <v>66</v>
      </c>
      <c r="B168" t="s">
        <v>33</v>
      </c>
      <c r="C168" t="s">
        <v>76</v>
      </c>
      <c r="D168" s="10">
        <v>17</v>
      </c>
      <c r="E168" s="5" t="s">
        <v>79</v>
      </c>
      <c r="F168" t="s">
        <v>55</v>
      </c>
    </row>
    <row r="169" spans="1:6" hidden="1" x14ac:dyDescent="0.35">
      <c r="A169" t="s">
        <v>67</v>
      </c>
      <c r="B169" t="s">
        <v>33</v>
      </c>
      <c r="C169" t="s">
        <v>76</v>
      </c>
      <c r="D169" s="10">
        <v>10</v>
      </c>
      <c r="E169" s="5" t="s">
        <v>79</v>
      </c>
      <c r="F169" t="s">
        <v>55</v>
      </c>
    </row>
    <row r="170" spans="1:6" hidden="1" x14ac:dyDescent="0.35">
      <c r="A170" t="s">
        <v>57</v>
      </c>
      <c r="B170" t="s">
        <v>33</v>
      </c>
      <c r="C170" t="s">
        <v>80</v>
      </c>
      <c r="D170" s="10">
        <v>62</v>
      </c>
      <c r="E170" s="5" t="s">
        <v>42</v>
      </c>
      <c r="F170" t="s">
        <v>55</v>
      </c>
    </row>
    <row r="171" spans="1:6" hidden="1" x14ac:dyDescent="0.35">
      <c r="A171" t="s">
        <v>75</v>
      </c>
      <c r="B171" t="s">
        <v>33</v>
      </c>
      <c r="C171" t="s">
        <v>80</v>
      </c>
      <c r="D171" s="10">
        <v>47</v>
      </c>
      <c r="E171" s="5" t="s">
        <v>42</v>
      </c>
      <c r="F171" t="s">
        <v>55</v>
      </c>
    </row>
    <row r="172" spans="1:6" hidden="1" x14ac:dyDescent="0.35">
      <c r="A172" t="s">
        <v>58</v>
      </c>
      <c r="B172" t="s">
        <v>33</v>
      </c>
      <c r="C172" t="s">
        <v>80</v>
      </c>
      <c r="D172" s="10">
        <v>63</v>
      </c>
      <c r="E172" s="5" t="s">
        <v>42</v>
      </c>
      <c r="F172" t="s">
        <v>55</v>
      </c>
    </row>
    <row r="173" spans="1:6" hidden="1" x14ac:dyDescent="0.35">
      <c r="A173" t="s">
        <v>59</v>
      </c>
      <c r="B173" t="s">
        <v>33</v>
      </c>
      <c r="C173" t="s">
        <v>80</v>
      </c>
      <c r="D173" s="10">
        <v>54</v>
      </c>
      <c r="E173" s="5" t="s">
        <v>42</v>
      </c>
      <c r="F173" t="s">
        <v>55</v>
      </c>
    </row>
    <row r="174" spans="1:6" hidden="1" x14ac:dyDescent="0.35">
      <c r="A174" t="s">
        <v>60</v>
      </c>
      <c r="B174" t="s">
        <v>33</v>
      </c>
      <c r="C174" t="s">
        <v>80</v>
      </c>
      <c r="D174" s="10">
        <v>78</v>
      </c>
      <c r="E174" s="5" t="s">
        <v>42</v>
      </c>
      <c r="F174" t="s">
        <v>55</v>
      </c>
    </row>
    <row r="175" spans="1:6" hidden="1" x14ac:dyDescent="0.35">
      <c r="A175" t="s">
        <v>61</v>
      </c>
      <c r="B175" t="s">
        <v>33</v>
      </c>
      <c r="C175" t="s">
        <v>80</v>
      </c>
      <c r="D175" s="10">
        <v>61</v>
      </c>
      <c r="E175" s="5" t="s">
        <v>42</v>
      </c>
      <c r="F175" t="s">
        <v>55</v>
      </c>
    </row>
    <row r="176" spans="1:6" hidden="1" x14ac:dyDescent="0.35">
      <c r="A176" t="s">
        <v>62</v>
      </c>
      <c r="B176" t="s">
        <v>33</v>
      </c>
      <c r="C176" t="s">
        <v>80</v>
      </c>
      <c r="D176" s="10">
        <v>58</v>
      </c>
      <c r="E176" s="5" t="s">
        <v>42</v>
      </c>
      <c r="F176" t="s">
        <v>55</v>
      </c>
    </row>
    <row r="177" spans="1:6" hidden="1" x14ac:dyDescent="0.35">
      <c r="A177" t="s">
        <v>63</v>
      </c>
      <c r="B177" t="s">
        <v>33</v>
      </c>
      <c r="C177" t="s">
        <v>80</v>
      </c>
      <c r="D177" s="10">
        <v>77</v>
      </c>
      <c r="E177" s="5" t="s">
        <v>42</v>
      </c>
      <c r="F177" t="s">
        <v>55</v>
      </c>
    </row>
    <row r="178" spans="1:6" hidden="1" x14ac:dyDescent="0.35">
      <c r="A178" t="s">
        <v>64</v>
      </c>
      <c r="B178" t="s">
        <v>33</v>
      </c>
      <c r="C178" t="s">
        <v>80</v>
      </c>
      <c r="D178" s="10">
        <v>81</v>
      </c>
      <c r="E178" s="5" t="s">
        <v>42</v>
      </c>
      <c r="F178" t="s">
        <v>55</v>
      </c>
    </row>
    <row r="179" spans="1:6" hidden="1" x14ac:dyDescent="0.35">
      <c r="A179" t="s">
        <v>65</v>
      </c>
      <c r="B179" t="s">
        <v>33</v>
      </c>
      <c r="C179" t="s">
        <v>80</v>
      </c>
      <c r="D179" s="10">
        <v>59</v>
      </c>
      <c r="E179" s="5" t="s">
        <v>42</v>
      </c>
      <c r="F179" t="s">
        <v>55</v>
      </c>
    </row>
    <row r="180" spans="1:6" hidden="1" x14ac:dyDescent="0.35">
      <c r="A180" t="s">
        <v>66</v>
      </c>
      <c r="B180" t="s">
        <v>33</v>
      </c>
      <c r="C180" t="s">
        <v>80</v>
      </c>
      <c r="D180" s="10">
        <v>63</v>
      </c>
      <c r="E180" s="5" t="s">
        <v>42</v>
      </c>
      <c r="F180" t="s">
        <v>55</v>
      </c>
    </row>
    <row r="181" spans="1:6" hidden="1" x14ac:dyDescent="0.35">
      <c r="A181" t="s">
        <v>67</v>
      </c>
      <c r="B181" t="s">
        <v>33</v>
      </c>
      <c r="C181" t="s">
        <v>80</v>
      </c>
      <c r="D181" s="10">
        <v>35</v>
      </c>
      <c r="E181" s="5" t="s">
        <v>42</v>
      </c>
      <c r="F181" t="s">
        <v>55</v>
      </c>
    </row>
    <row r="182" spans="1:6" hidden="1" x14ac:dyDescent="0.35">
      <c r="A182" t="s">
        <v>57</v>
      </c>
      <c r="B182" t="s">
        <v>33</v>
      </c>
      <c r="C182" t="s">
        <v>76</v>
      </c>
      <c r="D182" s="10">
        <v>64</v>
      </c>
      <c r="E182" s="5" t="s">
        <v>42</v>
      </c>
      <c r="F182" t="s">
        <v>55</v>
      </c>
    </row>
    <row r="183" spans="1:6" hidden="1" x14ac:dyDescent="0.35">
      <c r="A183" t="s">
        <v>75</v>
      </c>
      <c r="B183" t="s">
        <v>33</v>
      </c>
      <c r="C183" t="s">
        <v>76</v>
      </c>
      <c r="D183" s="10">
        <v>37</v>
      </c>
      <c r="E183" s="5" t="s">
        <v>42</v>
      </c>
      <c r="F183" t="s">
        <v>55</v>
      </c>
    </row>
    <row r="184" spans="1:6" hidden="1" x14ac:dyDescent="0.35">
      <c r="A184" t="s">
        <v>58</v>
      </c>
      <c r="B184" t="s">
        <v>33</v>
      </c>
      <c r="C184" t="s">
        <v>76</v>
      </c>
      <c r="D184" s="10">
        <v>30</v>
      </c>
      <c r="E184" s="5" t="s">
        <v>42</v>
      </c>
      <c r="F184" t="s">
        <v>55</v>
      </c>
    </row>
    <row r="185" spans="1:6" hidden="1" x14ac:dyDescent="0.35">
      <c r="A185" t="s">
        <v>59</v>
      </c>
      <c r="B185" t="s">
        <v>33</v>
      </c>
      <c r="C185" t="s">
        <v>76</v>
      </c>
      <c r="D185" s="10">
        <v>25</v>
      </c>
      <c r="E185" s="5" t="s">
        <v>42</v>
      </c>
      <c r="F185" t="s">
        <v>55</v>
      </c>
    </row>
    <row r="186" spans="1:6" hidden="1" x14ac:dyDescent="0.35">
      <c r="A186" t="s">
        <v>60</v>
      </c>
      <c r="B186" t="s">
        <v>33</v>
      </c>
      <c r="C186" t="s">
        <v>76</v>
      </c>
      <c r="D186" s="10">
        <v>30</v>
      </c>
      <c r="E186" s="5" t="s">
        <v>42</v>
      </c>
      <c r="F186" t="s">
        <v>55</v>
      </c>
    </row>
    <row r="187" spans="1:6" hidden="1" x14ac:dyDescent="0.35">
      <c r="A187" t="s">
        <v>61</v>
      </c>
      <c r="B187" t="s">
        <v>33</v>
      </c>
      <c r="C187" t="s">
        <v>76</v>
      </c>
      <c r="D187" s="10">
        <v>78</v>
      </c>
      <c r="E187" s="5" t="s">
        <v>42</v>
      </c>
      <c r="F187" t="s">
        <v>55</v>
      </c>
    </row>
    <row r="188" spans="1:6" hidden="1" x14ac:dyDescent="0.35">
      <c r="A188" t="s">
        <v>62</v>
      </c>
      <c r="B188" t="s">
        <v>33</v>
      </c>
      <c r="C188" t="s">
        <v>76</v>
      </c>
      <c r="D188" s="10">
        <v>43</v>
      </c>
      <c r="E188" s="5" t="s">
        <v>42</v>
      </c>
      <c r="F188" t="s">
        <v>55</v>
      </c>
    </row>
    <row r="189" spans="1:6" hidden="1" x14ac:dyDescent="0.35">
      <c r="A189" t="s">
        <v>63</v>
      </c>
      <c r="B189" t="s">
        <v>33</v>
      </c>
      <c r="C189" t="s">
        <v>76</v>
      </c>
      <c r="D189" s="10">
        <v>96</v>
      </c>
      <c r="E189" s="5" t="s">
        <v>42</v>
      </c>
      <c r="F189" t="s">
        <v>55</v>
      </c>
    </row>
    <row r="190" spans="1:6" hidden="1" x14ac:dyDescent="0.35">
      <c r="A190" t="s">
        <v>64</v>
      </c>
      <c r="B190" t="s">
        <v>33</v>
      </c>
      <c r="C190" t="s">
        <v>76</v>
      </c>
      <c r="D190" s="10">
        <v>59</v>
      </c>
      <c r="E190" s="5" t="s">
        <v>42</v>
      </c>
      <c r="F190" t="s">
        <v>55</v>
      </c>
    </row>
    <row r="191" spans="1:6" hidden="1" x14ac:dyDescent="0.35">
      <c r="A191" t="s">
        <v>65</v>
      </c>
      <c r="B191" t="s">
        <v>33</v>
      </c>
      <c r="C191" t="s">
        <v>76</v>
      </c>
      <c r="D191" s="10">
        <v>59</v>
      </c>
      <c r="E191" s="5" t="s">
        <v>42</v>
      </c>
      <c r="F191" t="s">
        <v>55</v>
      </c>
    </row>
    <row r="192" spans="1:6" hidden="1" x14ac:dyDescent="0.35">
      <c r="A192" t="s">
        <v>66</v>
      </c>
      <c r="B192" t="s">
        <v>33</v>
      </c>
      <c r="C192" t="s">
        <v>76</v>
      </c>
      <c r="D192" s="10">
        <v>50</v>
      </c>
      <c r="E192" s="5" t="s">
        <v>42</v>
      </c>
      <c r="F192" t="s">
        <v>55</v>
      </c>
    </row>
    <row r="193" spans="1:6" hidden="1" x14ac:dyDescent="0.35">
      <c r="A193" t="s">
        <v>67</v>
      </c>
      <c r="B193" t="s">
        <v>33</v>
      </c>
      <c r="C193" t="s">
        <v>76</v>
      </c>
      <c r="D193" s="10">
        <v>47</v>
      </c>
      <c r="E193" s="5" t="s">
        <v>42</v>
      </c>
      <c r="F193" t="s">
        <v>55</v>
      </c>
    </row>
    <row r="194" spans="1:6" x14ac:dyDescent="0.35">
      <c r="E194" s="5"/>
    </row>
  </sheetData>
  <autoFilter ref="A1:F193" xr:uid="{A6CCEDB1-6800-44A4-9573-5669A611C793}">
    <filterColumn colId="1">
      <filters>
        <filter val="Residential"/>
      </filters>
    </filterColumn>
    <filterColumn colId="2">
      <filters>
        <filter val="Total Electric Line Extension Requests Received (Applications)"/>
        <filter val="Total Upgrades requested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 xmlns="785685f2-c2e1-4352-89aa-3faca8eaba52" xsi:nil="true"/>
    <TaxCatchAll xmlns="5067c814-4b34-462c-a21d-c185ff6548d2" xsi:nil="true"/>
    <lcf76f155ced4ddcb4097134ff3c332f xmlns="785685f2-c2e1-4352-89aa-3faca8eaba5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DC9A153AAEEE45BACE06E01F8272AC" ma:contentTypeVersion="17" ma:contentTypeDescription="Create a new document." ma:contentTypeScope="" ma:versionID="57ee51cbb2b3d2827a505c4234697508">
  <xsd:schema xmlns:xsd="http://www.w3.org/2001/XMLSchema" xmlns:xs="http://www.w3.org/2001/XMLSchema" xmlns:p="http://schemas.microsoft.com/office/2006/metadata/properties" xmlns:ns2="785685f2-c2e1-4352-89aa-3faca8eaba52" xmlns:ns3="5067c814-4b34-462c-a21d-c185ff6548d2" targetNamespace="http://schemas.microsoft.com/office/2006/metadata/properties" ma:root="true" ma:fieldsID="d1ceaf3b1d89ec4147b065de7ff20251" ns2:_="" ns3:_="">
    <xsd:import namespace="785685f2-c2e1-4352-89aa-3faca8eaba52"/>
    <xsd:import namespace="5067c814-4b34-462c-a21d-c185ff654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not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685f2-c2e1-4352-89aa-3faca8eaba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note" ma:index="18" nillable="true" ma:displayName="note" ma:format="Dropdown" ma:internalName="note">
      <xsd:simpleType>
        <xsd:restriction base="dms:Text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96df981b-247c-4b11-954d-40cb19519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67c814-4b34-462c-a21d-c185ff6548d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9b5e3c-1897-4e33-84fe-bcccbae8b075}" ma:internalName="TaxCatchAll" ma:showField="CatchAllData" ma:web="5067c814-4b34-462c-a21d-c185ff654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6A90A8-92E0-4A59-AFFC-58E52E0DF4AC}">
  <ds:schemaRefs>
    <ds:schemaRef ds:uri="http://schemas.microsoft.com/office/2006/metadata/properties"/>
    <ds:schemaRef ds:uri="http://schemas.microsoft.com/office/infopath/2007/PartnerControls"/>
    <ds:schemaRef ds:uri="785685f2-c2e1-4352-89aa-3faca8eaba52"/>
    <ds:schemaRef ds:uri="5067c814-4b34-462c-a21d-c185ff6548d2"/>
  </ds:schemaRefs>
</ds:datastoreItem>
</file>

<file path=customXml/itemProps2.xml><?xml version="1.0" encoding="utf-8"?>
<ds:datastoreItem xmlns:ds="http://schemas.openxmlformats.org/officeDocument/2006/customXml" ds:itemID="{A4D31175-F12F-4A89-B26C-C80C8C1ADC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685f2-c2e1-4352-89aa-3faca8eaba52"/>
    <ds:schemaRef ds:uri="5067c814-4b34-462c-a21d-c185ff654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414875-6DD4-40E7-843C-E156F89706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QC Check</vt:lpstr>
      <vt:lpstr>PG&amp;E_2024</vt:lpstr>
      <vt:lpstr>SCE_2024</vt:lpstr>
      <vt:lpstr>SDGE_2024</vt:lpstr>
      <vt:lpstr>PG&amp;E_2023</vt:lpstr>
      <vt:lpstr>SCE_2023</vt:lpstr>
      <vt:lpstr>SDGE_2023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Ria@Energy</dc:creator>
  <cp:lastModifiedBy>Ford, Robert@Energy</cp:lastModifiedBy>
  <dcterms:created xsi:type="dcterms:W3CDTF">2015-06-05T18:17:20Z</dcterms:created>
  <dcterms:modified xsi:type="dcterms:W3CDTF">2026-04-23T02:17:58Z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</Properties>
</file>