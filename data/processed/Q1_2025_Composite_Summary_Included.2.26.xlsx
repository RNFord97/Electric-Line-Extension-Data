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13_ncr:1_{55E82764-6AC7-475E-9906-70E9CE6893A0}" xr6:coauthVersionLast="47" xr6:coauthVersionMax="47" xr10:uidLastSave="{00000000-0000-0000-0000-000000000000}"/>
  <bookViews>
    <workbookView xWindow="-120" yWindow="-16320" windowWidth="29040" windowHeight="15720" activeTab="2" xr2:uid="{0D1B25A7-D177-485C-8FD3-597A67F7868A}"/>
  </bookViews>
  <sheets>
    <sheet name="Overall_Summary_Q1_Data" sheetId="4" r:id="rId1"/>
    <sheet name="Summary_Q1_Data_IOU" sheetId="7" r:id="rId2"/>
    <sheet name="Combination" sheetId="6" r:id="rId3"/>
    <sheet name="PGE_Q1_2025" sheetId="1" r:id="rId4"/>
    <sheet name="SCE_Q1_2025" sheetId="2" r:id="rId5"/>
    <sheet name="SDGE_Q1_2025" sheetId="3" r:id="rId6"/>
  </sheets>
  <definedNames>
    <definedName name="_xlnm._FilterDatabase" localSheetId="4" hidden="1">SCE_Q1_2025!$A$1:$T$312</definedName>
    <definedName name="_xlnm._FilterDatabase" localSheetId="5" hidden="1">SDGE_Q1_2025!$A$1:$T$220</definedName>
    <definedName name="ExternalData_1" localSheetId="2" hidden="1">'Combination'!$A$1:$T$640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4" l="1"/>
  <c r="J13" i="4"/>
  <c r="J12" i="4"/>
  <c r="J11" i="4"/>
  <c r="J10" i="4"/>
  <c r="K12" i="4"/>
  <c r="D77" i="7" l="1"/>
  <c r="D24" i="7" s="1"/>
  <c r="D76" i="7"/>
  <c r="D23" i="7" s="1"/>
  <c r="D75" i="7"/>
  <c r="D74" i="7"/>
  <c r="D21" i="7" s="1"/>
  <c r="D73" i="7"/>
  <c r="D20" i="7" s="1"/>
  <c r="D72" i="7"/>
  <c r="D19" i="7" s="1"/>
  <c r="C77" i="7"/>
  <c r="C24" i="7" s="1"/>
  <c r="C76" i="7"/>
  <c r="C23" i="7" s="1"/>
  <c r="C75" i="7"/>
  <c r="C74" i="7"/>
  <c r="C73" i="7"/>
  <c r="C72" i="7"/>
  <c r="C19" i="7" s="1"/>
  <c r="D77" i="4"/>
  <c r="D24" i="4" s="1"/>
  <c r="D76" i="4"/>
  <c r="D23" i="4" s="1"/>
  <c r="D75" i="4"/>
  <c r="D22" i="4" s="1"/>
  <c r="D74" i="4"/>
  <c r="D21" i="4" s="1"/>
  <c r="D73" i="4"/>
  <c r="D20" i="4" s="1"/>
  <c r="D72" i="4"/>
  <c r="D19" i="4" s="1"/>
  <c r="C77" i="4"/>
  <c r="C24" i="4" s="1"/>
  <c r="C76" i="4"/>
  <c r="C23" i="4" s="1"/>
  <c r="C75" i="4"/>
  <c r="C22" i="4" s="1"/>
  <c r="C74" i="4"/>
  <c r="C21" i="4" s="1"/>
  <c r="C73" i="4"/>
  <c r="C20" i="4" s="1"/>
  <c r="C72" i="4"/>
  <c r="C19" i="4" s="1"/>
  <c r="D50" i="4"/>
  <c r="E50" i="4" s="1"/>
  <c r="D49" i="4"/>
  <c r="D48" i="4"/>
  <c r="E48" i="4" s="1"/>
  <c r="F48" i="4" s="1"/>
  <c r="D47" i="4"/>
  <c r="D12" i="4" s="1"/>
  <c r="D46" i="4"/>
  <c r="D11" i="4" s="1"/>
  <c r="D45" i="4"/>
  <c r="D10" i="4" s="1"/>
  <c r="D44" i="4"/>
  <c r="D9" i="4" s="1"/>
  <c r="D43" i="4"/>
  <c r="D8" i="4" s="1"/>
  <c r="D42" i="4"/>
  <c r="D41" i="4"/>
  <c r="E41" i="4" s="1"/>
  <c r="D40" i="4"/>
  <c r="E40" i="4" s="1"/>
  <c r="D39" i="4"/>
  <c r="E39" i="4" s="1"/>
  <c r="D38" i="4"/>
  <c r="E38" i="4" s="1"/>
  <c r="D37" i="4"/>
  <c r="D7" i="4" s="1"/>
  <c r="D36" i="4"/>
  <c r="C6" i="4"/>
  <c r="C37" i="4"/>
  <c r="C7" i="4" s="1"/>
  <c r="C43" i="4"/>
  <c r="C44" i="4"/>
  <c r="C45" i="4"/>
  <c r="C46" i="4"/>
  <c r="C11" i="4" s="1"/>
  <c r="C47" i="4"/>
  <c r="C12" i="4" s="1"/>
  <c r="D64" i="4"/>
  <c r="E64" i="4" s="1"/>
  <c r="D63" i="4"/>
  <c r="E63" i="4" s="1"/>
  <c r="D62" i="4"/>
  <c r="D17" i="4" s="1"/>
  <c r="D61" i="4"/>
  <c r="D16" i="4" s="1"/>
  <c r="D60" i="4"/>
  <c r="E60" i="4" s="1"/>
  <c r="D59" i="4"/>
  <c r="E59" i="4" s="1"/>
  <c r="D58" i="4"/>
  <c r="D15" i="4" s="1"/>
  <c r="D57" i="4"/>
  <c r="D14" i="4" s="1"/>
  <c r="C57" i="4"/>
  <c r="C14" i="4" s="1"/>
  <c r="C58" i="4"/>
  <c r="C15" i="4" s="1"/>
  <c r="C62" i="4"/>
  <c r="C17" i="4" s="1"/>
  <c r="C61" i="4"/>
  <c r="C16" i="4" s="1"/>
  <c r="D64" i="7"/>
  <c r="E64" i="7" s="1"/>
  <c r="F64" i="7" s="1"/>
  <c r="D63" i="7"/>
  <c r="D62" i="7"/>
  <c r="D17" i="7" s="1"/>
  <c r="C62" i="7"/>
  <c r="C17" i="7" s="1"/>
  <c r="D61" i="7"/>
  <c r="C61" i="7"/>
  <c r="D60" i="7"/>
  <c r="D59" i="7"/>
  <c r="E59" i="7" s="1"/>
  <c r="D58" i="7"/>
  <c r="D15" i="7" s="1"/>
  <c r="C58" i="7"/>
  <c r="C15" i="7" s="1"/>
  <c r="D57" i="7"/>
  <c r="D14" i="7" s="1"/>
  <c r="C57" i="7"/>
  <c r="D50" i="7"/>
  <c r="E49" i="7"/>
  <c r="F49" i="7" s="1"/>
  <c r="D49" i="7"/>
  <c r="D48" i="7"/>
  <c r="E48" i="7" s="1"/>
  <c r="F48" i="7" s="1"/>
  <c r="D47" i="7"/>
  <c r="D12" i="7" s="1"/>
  <c r="C47" i="7"/>
  <c r="D46" i="7"/>
  <c r="D11" i="7" s="1"/>
  <c r="C46" i="7"/>
  <c r="D45" i="7"/>
  <c r="D10" i="7" s="1"/>
  <c r="C45" i="7"/>
  <c r="D44" i="7"/>
  <c r="C44" i="7"/>
  <c r="D43" i="7"/>
  <c r="D8" i="7" s="1"/>
  <c r="C43" i="7"/>
  <c r="E43" i="7" s="1"/>
  <c r="E8" i="7" s="1"/>
  <c r="D42" i="7"/>
  <c r="D41" i="7"/>
  <c r="D40" i="7"/>
  <c r="E40" i="7" s="1"/>
  <c r="F40" i="7" s="1"/>
  <c r="D39" i="7"/>
  <c r="E39" i="7" s="1"/>
  <c r="F39" i="7" s="1"/>
  <c r="D38" i="7"/>
  <c r="E38" i="7" s="1"/>
  <c r="D37" i="7"/>
  <c r="D7" i="7" s="1"/>
  <c r="C37" i="7"/>
  <c r="E37" i="7" s="1"/>
  <c r="D36" i="7"/>
  <c r="D6" i="7" s="1"/>
  <c r="C36" i="7"/>
  <c r="C6" i="7" s="1"/>
  <c r="D16" i="7"/>
  <c r="C16" i="7"/>
  <c r="C14" i="7"/>
  <c r="C9" i="7"/>
  <c r="E49" i="4"/>
  <c r="C8" i="4"/>
  <c r="E42" i="4"/>
  <c r="E46" i="7" l="1"/>
  <c r="E11" i="7" s="1"/>
  <c r="C11" i="7"/>
  <c r="F46" i="7"/>
  <c r="F11" i="7" s="1"/>
  <c r="C7" i="7"/>
  <c r="E47" i="7"/>
  <c r="E12" i="7" s="1"/>
  <c r="E42" i="7"/>
  <c r="F42" i="7" s="1"/>
  <c r="E44" i="7"/>
  <c r="E9" i="7" s="1"/>
  <c r="D9" i="7"/>
  <c r="E45" i="7"/>
  <c r="E10" i="7" s="1"/>
  <c r="D6" i="4"/>
  <c r="J8" i="4"/>
  <c r="E75" i="7"/>
  <c r="F75" i="7" s="1"/>
  <c r="F22" i="7" s="1"/>
  <c r="C22" i="7"/>
  <c r="E61" i="7"/>
  <c r="F59" i="7"/>
  <c r="E57" i="7"/>
  <c r="D22" i="7"/>
  <c r="E74" i="7"/>
  <c r="E21" i="7" s="1"/>
  <c r="E73" i="7"/>
  <c r="E20" i="7" s="1"/>
  <c r="E77" i="7"/>
  <c r="E24" i="7" s="1"/>
  <c r="C21" i="7"/>
  <c r="C20" i="7"/>
  <c r="E14" i="7"/>
  <c r="F57" i="7"/>
  <c r="F14" i="7" s="1"/>
  <c r="F60" i="7"/>
  <c r="F37" i="7"/>
  <c r="F7" i="7" s="1"/>
  <c r="E7" i="7"/>
  <c r="F61" i="7"/>
  <c r="F16" i="7" s="1"/>
  <c r="E16" i="7"/>
  <c r="E76" i="7"/>
  <c r="E23" i="7" s="1"/>
  <c r="E36" i="7"/>
  <c r="E6" i="7" s="1"/>
  <c r="F38" i="7"/>
  <c r="E41" i="7"/>
  <c r="F41" i="7" s="1"/>
  <c r="F43" i="7"/>
  <c r="F8" i="7" s="1"/>
  <c r="F45" i="7"/>
  <c r="F10" i="7" s="1"/>
  <c r="E50" i="7"/>
  <c r="F50" i="7" s="1"/>
  <c r="E58" i="7"/>
  <c r="E15" i="7" s="1"/>
  <c r="E72" i="7"/>
  <c r="E19" i="7" s="1"/>
  <c r="E63" i="7"/>
  <c r="F63" i="7" s="1"/>
  <c r="C8" i="7"/>
  <c r="C10" i="7"/>
  <c r="C12" i="7"/>
  <c r="E60" i="7"/>
  <c r="E62" i="7"/>
  <c r="E17" i="7" s="1"/>
  <c r="E45" i="4"/>
  <c r="F45" i="4" s="1"/>
  <c r="F10" i="4" s="1"/>
  <c r="E44" i="4"/>
  <c r="F44" i="4" s="1"/>
  <c r="F9" i="4" s="1"/>
  <c r="E74" i="4"/>
  <c r="C10" i="4"/>
  <c r="E75" i="4"/>
  <c r="E22" i="4" s="1"/>
  <c r="F38" i="4"/>
  <c r="E76" i="4"/>
  <c r="E72" i="4"/>
  <c r="E77" i="4"/>
  <c r="E47" i="4"/>
  <c r="E73" i="4"/>
  <c r="C9" i="4"/>
  <c r="E36" i="4"/>
  <c r="F50" i="4"/>
  <c r="F64" i="4"/>
  <c r="E37" i="4"/>
  <c r="F49" i="4"/>
  <c r="F63" i="4"/>
  <c r="E62" i="4"/>
  <c r="F42" i="4"/>
  <c r="F60" i="4"/>
  <c r="F41" i="4"/>
  <c r="F59" i="4"/>
  <c r="F40" i="4"/>
  <c r="F39" i="4"/>
  <c r="E58" i="4"/>
  <c r="E61" i="4"/>
  <c r="E57" i="4"/>
  <c r="K10" i="4" s="1"/>
  <c r="E43" i="4"/>
  <c r="E46" i="4"/>
  <c r="F47" i="7" l="1"/>
  <c r="F12" i="7" s="1"/>
  <c r="F44" i="7"/>
  <c r="F9" i="7" s="1"/>
  <c r="F36" i="7"/>
  <c r="F6" i="7" s="1"/>
  <c r="E6" i="4"/>
  <c r="J9" i="4"/>
  <c r="K8" i="4" s="1"/>
  <c r="E22" i="7"/>
  <c r="F75" i="4"/>
  <c r="F22" i="4" s="1"/>
  <c r="E9" i="4"/>
  <c r="F74" i="7"/>
  <c r="F21" i="7" s="1"/>
  <c r="F73" i="7"/>
  <c r="F20" i="7" s="1"/>
  <c r="F77" i="7"/>
  <c r="F24" i="7" s="1"/>
  <c r="F72" i="7"/>
  <c r="F19" i="7" s="1"/>
  <c r="F58" i="7"/>
  <c r="F15" i="7" s="1"/>
  <c r="F62" i="7"/>
  <c r="F17" i="7" s="1"/>
  <c r="F76" i="7"/>
  <c r="F23" i="7" s="1"/>
  <c r="F76" i="4"/>
  <c r="F23" i="4" s="1"/>
  <c r="E23" i="4"/>
  <c r="F73" i="4"/>
  <c r="F20" i="4" s="1"/>
  <c r="E20" i="4"/>
  <c r="F77" i="4"/>
  <c r="F24" i="4" s="1"/>
  <c r="E24" i="4"/>
  <c r="F74" i="4"/>
  <c r="F21" i="4" s="1"/>
  <c r="E21" i="4"/>
  <c r="F72" i="4"/>
  <c r="F19" i="4" s="1"/>
  <c r="E19" i="4"/>
  <c r="F62" i="4"/>
  <c r="F17" i="4" s="1"/>
  <c r="E17" i="4"/>
  <c r="F61" i="4"/>
  <c r="F16" i="4" s="1"/>
  <c r="E16" i="4"/>
  <c r="F57" i="4"/>
  <c r="F14" i="4" s="1"/>
  <c r="E14" i="4"/>
  <c r="F58" i="4"/>
  <c r="F15" i="4" s="1"/>
  <c r="E15" i="4"/>
  <c r="E10" i="4"/>
  <c r="F43" i="4"/>
  <c r="F8" i="4" s="1"/>
  <c r="E8" i="4"/>
  <c r="F46" i="4"/>
  <c r="F11" i="4" s="1"/>
  <c r="E11" i="4"/>
  <c r="F36" i="4"/>
  <c r="F6" i="4" s="1"/>
  <c r="F37" i="4"/>
  <c r="F7" i="4" s="1"/>
  <c r="E7" i="4"/>
  <c r="F47" i="4"/>
  <c r="F12" i="4" s="1"/>
  <c r="E12" i="4"/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2" i="2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F4A0AA-70E6-4E68-A09B-8F7D84C486D5}" keepAlive="1" name="Query - Combination" description="Connection to the 'Combination' query in the workbook." type="5" refreshedVersion="8" background="1" saveData="1">
    <dbPr connection="Provider=Microsoft.Mashup.OleDb.1;Data Source=$Workbook$;Location=Combination;Extended Properties=&quot;&quot;" command="SELECT * FROM [Combination]"/>
  </connection>
  <connection id="2" xr16:uid="{98ACDDC2-B783-4628-A079-3B2469567DFA}" keepAlive="1" name="Query - PG&amp;E Q1 25" description="Connection to the 'PG&amp;E Q1 25' query in the workbook." type="5" refreshedVersion="0" background="1">
    <dbPr connection="Provider=Microsoft.Mashup.OleDb.1;Data Source=$Workbook$;Location=&quot;PG&amp;E Q1 25&quot;;Extended Properties=&quot;&quot;" command="SELECT * FROM [PG&amp;E Q1 25]"/>
  </connection>
  <connection id="3" xr16:uid="{F256B553-1628-48CC-91B2-C2B8F861A8BB}" keepAlive="1" name="Query - SCE Q1 25" description="Connection to the 'SCE Q1 25' query in the workbook." type="5" refreshedVersion="0" background="1">
    <dbPr connection="Provider=Microsoft.Mashup.OleDb.1;Data Source=$Workbook$;Location=&quot;SCE Q1 25&quot;;Extended Properties=&quot;&quot;" command="SELECT * FROM [SCE Q1 25]"/>
  </connection>
  <connection id="4" xr16:uid="{8380E797-811A-484E-9007-6E8651938DCD}" keepAlive="1" name="Query - SDGE Q1 25" description="Connection to the 'SDGE Q1 25' query in the workbook." type="5" refreshedVersion="0" background="1">
    <dbPr connection="Provider=Microsoft.Mashup.OleDb.1;Data Source=$Workbook$;Location=&quot;SDGE Q1 25&quot;;Extended Properties=&quot;&quot;" command="SELECT * FROM [SDGE Q1 25]"/>
  </connection>
</connections>
</file>

<file path=xl/sharedStrings.xml><?xml version="1.0" encoding="utf-8"?>
<sst xmlns="http://schemas.openxmlformats.org/spreadsheetml/2006/main" count="7133" uniqueCount="61">
  <si>
    <t>Mixed Fuel / All Electric</t>
  </si>
  <si>
    <t>Months</t>
  </si>
  <si>
    <t>Customer Class</t>
  </si>
  <si>
    <t>Baseline / Climate Zone</t>
  </si>
  <si>
    <t>Multi Dwelling</t>
  </si>
  <si>
    <t>Total Discounts (Non-Exempted Projects)</t>
  </si>
  <si>
    <t>Total Allowances (Non-Exempted Projects)</t>
  </si>
  <si>
    <t>Total Refund Payments Provided to Builders (Non-Exempted Projects)</t>
  </si>
  <si>
    <t>Total Discounts (Exempted projects)</t>
  </si>
  <si>
    <t>Total Allowances (Exempted projects)</t>
  </si>
  <si>
    <t>Total Refund Payments Provided to Builders  (Exempted projects)</t>
  </si>
  <si>
    <t>Total Estimated Non-Refundable</t>
  </si>
  <si>
    <t>Total Estimated Refundable</t>
  </si>
  <si>
    <t>Total Electric Line Extensions Energized</t>
  </si>
  <si>
    <t>Agency (City, County, Caltrans)</t>
  </si>
  <si>
    <t>Agricultural</t>
  </si>
  <si>
    <t>Commercial</t>
  </si>
  <si>
    <t>Industrial</t>
  </si>
  <si>
    <t>Mixed Use (Commercial / Residential)</t>
  </si>
  <si>
    <t>Residential</t>
  </si>
  <si>
    <t>Street and Outdoor area Lighting</t>
  </si>
  <si>
    <t>Telecommunications</t>
  </si>
  <si>
    <t>Temporary Services</t>
  </si>
  <si>
    <t>New Construction</t>
  </si>
  <si>
    <t>Total Electric Line Extension Applications (IOU Installed)</t>
  </si>
  <si>
    <t>Total Electric Line Extension Applications (Applicant Installed)</t>
  </si>
  <si>
    <t>All Electric</t>
  </si>
  <si>
    <t>Agriculture</t>
  </si>
  <si>
    <t>N/A</t>
  </si>
  <si>
    <t>Commercial / Industrial</t>
  </si>
  <si>
    <t>Multi-Family</t>
  </si>
  <si>
    <t>Single-Family</t>
  </si>
  <si>
    <t>Mixed Fuel</t>
  </si>
  <si>
    <t>Upgrade</t>
  </si>
  <si>
    <t>New Construction / Upgrade</t>
  </si>
  <si>
    <t>Average Number of days between full payment and Project Energization</t>
  </si>
  <si>
    <t>IoU</t>
  </si>
  <si>
    <t>PG&amp;E</t>
  </si>
  <si>
    <t>Year</t>
  </si>
  <si>
    <t>SCE</t>
  </si>
  <si>
    <t>SDGE</t>
  </si>
  <si>
    <t>All-Electric</t>
  </si>
  <si>
    <t>Total</t>
  </si>
  <si>
    <t>Percent All-Electric</t>
  </si>
  <si>
    <t>Type of Construction</t>
  </si>
  <si>
    <t>Commerical</t>
  </si>
  <si>
    <t>Commerical/Industrial</t>
  </si>
  <si>
    <t>Q1-2025 - Total Electric Line Extension Applications (IOU Installed)</t>
  </si>
  <si>
    <t>Nonresidential</t>
  </si>
  <si>
    <t>Unknown</t>
  </si>
  <si>
    <t>Total Electric Line Extension Applications</t>
  </si>
  <si>
    <t xml:space="preserve">Total Electric Line Extension Applications </t>
  </si>
  <si>
    <t>Total Electric Line Extension Applications  (IOU Installed)</t>
  </si>
  <si>
    <t xml:space="preserve">Q1-2025 - Total Electric Line Extension Applications </t>
  </si>
  <si>
    <t>Total ELE Apps</t>
  </si>
  <si>
    <t>AE Total Apps</t>
  </si>
  <si>
    <t>Calculated Percent AE</t>
  </si>
  <si>
    <t>Tableau Percent AE</t>
  </si>
  <si>
    <t>Iou</t>
  </si>
  <si>
    <t>PGE</t>
  </si>
  <si>
    <t xml:space="preserve">QC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</si>
</sst>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7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164" fontId="0" fillId="0" borderId="0" xfId="0" applyNumberFormat="1"/>
    <xf numFmtId="0" fontId="2" fillId="0" borderId="0" xfId="0" applyFont="1"/>
    <xf numFmtId="1" fontId="0" fillId="0" borderId="0" xfId="0" applyNumberFormat="1" applyAlignment="1">
      <alignment horizontal="right"/>
    </xf>
    <xf numFmtId="0" fontId="2" fillId="0" borderId="3" xfId="0" applyFont="1" applyBorder="1"/>
    <xf numFmtId="0" fontId="4" fillId="0" borderId="0" xfId="0" applyFont="1"/>
    <xf numFmtId="164" fontId="4" fillId="0" borderId="0" xfId="0" applyNumberFormat="1" applyFont="1"/>
    <xf numFmtId="44" fontId="0" fillId="0" borderId="0" xfId="1" applyFont="1"/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9" fontId="0" fillId="0" borderId="1" xfId="2" applyFont="1" applyBorder="1"/>
    <xf numFmtId="9" fontId="0" fillId="0" borderId="2" xfId="2" applyFont="1" applyBorder="1"/>
    <xf numFmtId="0" fontId="4" fillId="0" borderId="1" xfId="0" applyFont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3" fontId="0" fillId="5" borderId="1" xfId="0" applyNumberFormat="1" applyFill="1" applyBorder="1" applyAlignment="1">
      <alignment horizontal="center"/>
    </xf>
    <xf numFmtId="9" fontId="0" fillId="5" borderId="1" xfId="2" applyFon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3" fontId="0" fillId="6" borderId="1" xfId="0" applyNumberFormat="1" applyFill="1" applyBorder="1" applyAlignment="1">
      <alignment horizontal="center"/>
    </xf>
    <xf numFmtId="9" fontId="0" fillId="6" borderId="1" xfId="2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14" fontId="0" fillId="0" borderId="0" xfId="0" applyNumberFormat="1"/>
    <xf numFmtId="14" fontId="4" fillId="0" borderId="0" xfId="0" applyNumberFormat="1" applyFont="1"/>
    <xf numFmtId="14" fontId="2" fillId="0" borderId="2" xfId="0" applyNumberFormat="1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0" xfId="0" applyNumberFormat="1"/>
    <xf numFmtId="0" fontId="0" fillId="0" borderId="13" xfId="0" applyBorder="1"/>
    <xf numFmtId="0" fontId="0" fillId="0" borderId="14" xfId="0" applyBorder="1"/>
    <xf numFmtId="3" fontId="0" fillId="0" borderId="14" xfId="0" applyNumberFormat="1" applyBorder="1"/>
    <xf numFmtId="9" fontId="0" fillId="0" borderId="0" xfId="2" applyFont="1" applyBorder="1" applyAlignment="1">
      <alignment horizontal="center"/>
    </xf>
    <xf numFmtId="9" fontId="0" fillId="0" borderId="14" xfId="2" applyFont="1" applyBorder="1" applyAlignment="1">
      <alignment horizontal="center"/>
    </xf>
    <xf numFmtId="9" fontId="0" fillId="0" borderId="12" xfId="2" applyFont="1" applyBorder="1" applyAlignment="1">
      <alignment horizontal="center"/>
    </xf>
    <xf numFmtId="9" fontId="0" fillId="0" borderId="15" xfId="2" applyFont="1" applyBorder="1" applyAlignment="1">
      <alignment horizontal="center"/>
    </xf>
    <xf numFmtId="9" fontId="0" fillId="0" borderId="0" xfId="2" applyFon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49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  <alignment horizontal="right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24681C-63FC-4856-84EC-F8AD67821E3B}" autoFormatId="16" applyNumberFormats="0" applyBorderFormats="0" applyFontFormats="0" applyPatternFormats="0" applyAlignmentFormats="0" applyWidthHeightFormats="0">
  <queryTableRefresh nextId="41">
    <queryTableFields count="20">
      <queryTableField id="1" name="New Construction / Upgrade" tableColumnId="1"/>
      <queryTableField id="2" name="Mixed Fuel / All Electric" tableColumnId="2"/>
      <queryTableField id="3" name="Months" tableColumnId="3"/>
      <queryTableField id="4" name="Customer Class" tableColumnId="4"/>
      <queryTableField id="5" name="Baseline / Climate Zone" tableColumnId="5"/>
      <queryTableField id="6" name="Multi Dwelling" tableColumnId="6"/>
      <queryTableField id="7" name="Total Discounts (Non-Exempted Projects)" tableColumnId="7"/>
      <queryTableField id="8" name="Total Allowances (Non-Exempted Projects)" tableColumnId="8"/>
      <queryTableField id="9" name="Total Refund Payments Provided to Builders (Non-Exempted Projects)" tableColumnId="9"/>
      <queryTableField id="10" name="Total Discounts (Exempted projects)" tableColumnId="10"/>
      <queryTableField id="11" name="Total Allowances (Exempted projects)" tableColumnId="11"/>
      <queryTableField id="12" name="Total Refund Payments Provided to Builders  (Exempted projects)" tableColumnId="12"/>
      <queryTableField id="13" name="Total Estimated Non-Refundable" tableColumnId="13"/>
      <queryTableField id="14" name="Total Estimated Refundable" tableColumnId="14"/>
      <queryTableField id="15" name="Average Number of days between full payment and Project Energization" tableColumnId="15"/>
      <queryTableField id="16" name="Total Electric Line Extensions Energized" tableColumnId="16"/>
      <queryTableField id="17" name="Total Electric Line Extension Applications (IOU Installed)" tableColumnId="17"/>
      <queryTableField id="18" name="Total Electric Line Extension Applications (Applicant Installed)" tableColumnId="18"/>
      <queryTableField id="19" name="IoU" tableColumnId="19"/>
      <queryTableField id="20" name="Year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F1E832-CD54-4902-9E72-53F84BD06540}" name="Combination" displayName="Combination" ref="A1:T640" tableType="queryTable" totalsRowShown="0" headerRowDxfId="48">
  <autoFilter ref="A1:T640" xr:uid="{A1F1E832-CD54-4902-9E72-53F84BD06540}"/>
  <tableColumns count="20">
    <tableColumn id="1" xr3:uid="{963440E4-8F30-4006-953F-A50CEC3FAFEF}" uniqueName="1" name="New Construction / Upgrade" queryTableFieldId="1" dataDxfId="47"/>
    <tableColumn id="2" xr3:uid="{B2828335-2CC3-46AD-AF60-373B20430BEE}" uniqueName="2" name="Mixed Fuel / All Electric" queryTableFieldId="2" dataDxfId="46"/>
    <tableColumn id="3" xr3:uid="{C0580EE6-49DA-4758-9B90-266F958B0A3D}" uniqueName="3" name="Months" queryTableFieldId="3" dataDxfId="0"/>
    <tableColumn id="4" xr3:uid="{11574651-D0FE-498F-9A2C-B6A3ACBDC154}" uniqueName="4" name="Customer Class" queryTableFieldId="4" dataDxfId="45"/>
    <tableColumn id="5" xr3:uid="{8E5BB73C-B42B-45C1-8408-5256B56F31C6}" uniqueName="5" name="Baseline / Climate Zone" queryTableFieldId="5"/>
    <tableColumn id="6" xr3:uid="{594200BB-DC14-40A4-BD1A-89F790DF8D02}" uniqueName="6" name="Multi Dwelling" queryTableFieldId="6" dataDxfId="44"/>
    <tableColumn id="7" xr3:uid="{C354FCAE-3D5E-45F1-B93D-075EB7D62A9F}" uniqueName="7" name="Total Discounts (Non-Exempted Projects)" queryTableFieldId="7"/>
    <tableColumn id="8" xr3:uid="{873C91EE-7EE3-417A-9BA9-6384275E2C9B}" uniqueName="8" name="Total Allowances (Non-Exempted Projects)" queryTableFieldId="8"/>
    <tableColumn id="9" xr3:uid="{44D77318-51D1-4030-885E-C4185F9789E7}" uniqueName="9" name="Total Refund Payments Provided to Builders (Non-Exempted Projects)" queryTableFieldId="9"/>
    <tableColumn id="10" xr3:uid="{FB22E4E0-72A8-46F7-B7AF-0EF80C969000}" uniqueName="10" name="Total Discounts (Exempted projects)" queryTableFieldId="10"/>
    <tableColumn id="11" xr3:uid="{BC2037A5-AA45-4DB1-B80C-076E5360AD0E}" uniqueName="11" name="Total Allowances (Exempted projects)" queryTableFieldId="11"/>
    <tableColumn id="12" xr3:uid="{ECA6E587-1D31-4AA5-8AF9-D54283D87CFD}" uniqueName="12" name="Total Refund Payments Provided to Builders  (Exempted projects)" queryTableFieldId="12"/>
    <tableColumn id="13" xr3:uid="{961ABBA3-8D67-4AF8-B662-D6A5F4B9A97D}" uniqueName="13" name="Total Estimated Non-Refundable" queryTableFieldId="13"/>
    <tableColumn id="14" xr3:uid="{14D32A10-5AC0-4DF0-AA6A-0F688440433C}" uniqueName="14" name="Total Estimated Refundable" queryTableFieldId="14"/>
    <tableColumn id="15" xr3:uid="{E9C5F52E-13CC-4106-ACAA-2056335E179C}" uniqueName="15" name="Average Number of days between full payment and Project Energization" queryTableFieldId="15"/>
    <tableColumn id="16" xr3:uid="{7EC9FD3D-EBCC-450D-B908-70C949FEFED2}" uniqueName="16" name="Total Electric Line Extensions Energized" queryTableFieldId="16"/>
    <tableColumn id="17" xr3:uid="{66A9DF74-EA57-44AD-AE31-86D6848DE062}" uniqueName="17" name="Total Electric Line Extension Applications (IOU Installed)" queryTableFieldId="17"/>
    <tableColumn id="18" xr3:uid="{E9EA144F-F9DE-4D07-BB50-606CF024F765}" uniqueName="18" name="Total Electric Line Extension Applications (Applicant Installed)" queryTableFieldId="18"/>
    <tableColumn id="19" xr3:uid="{22AB0C71-E166-432C-8931-E2CDCCF06954}" uniqueName="19" name="IoU" queryTableFieldId="19" dataDxfId="43"/>
    <tableColumn id="20" xr3:uid="{9528E844-B15F-44DD-86AC-480320F56894}" uniqueName="20" name="Year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82460-E825-436A-9DB4-3B2E3050E7C0}" name="Table2" displayName="Table2" ref="A1:T110" totalsRowShown="0" headerRowDxfId="42" headerRowBorderDxfId="41">
  <autoFilter ref="A1:T110" xr:uid="{91D82460-E825-436A-9DB4-3B2E3050E7C0}"/>
  <tableColumns count="20">
    <tableColumn id="1" xr3:uid="{37412431-8AFD-4621-91FB-B36B0B49AFB6}" name="New Construction / Upgrade"/>
    <tableColumn id="2" xr3:uid="{CBDB3749-A240-4236-8230-92542F9D77B6}" name="Mixed Fuel / All Electric"/>
    <tableColumn id="3" xr3:uid="{39713E9E-ACE2-49F2-8119-FCC2CD5F32FF}" name="Months" dataDxfId="40"/>
    <tableColumn id="4" xr3:uid="{C7133437-5046-4AB1-911B-598699F2134A}" name="Customer Class"/>
    <tableColumn id="5" xr3:uid="{9E51DBE8-6BB7-42D8-9D06-EDC3EBC21A93}" name="Baseline / Climate Zone"/>
    <tableColumn id="6" xr3:uid="{9337F8D2-47DA-48ED-BF97-B63C985F47FE}" name="Multi Dwelling"/>
    <tableColumn id="7" xr3:uid="{1639C5B9-DC37-4536-BF27-D4116A6BED27}" name="Total Discounts (Non-Exempted Projects)"/>
    <tableColumn id="8" xr3:uid="{7E6C6637-6273-486D-B346-A6D75F8B7EC3}" name="Total Allowances (Non-Exempted Projects)"/>
    <tableColumn id="9" xr3:uid="{3FF07487-1ED4-48D1-B571-CF3AFE65EA39}" name="Total Refund Payments Provided to Builders (Non-Exempted Projects)"/>
    <tableColumn id="10" xr3:uid="{8705D557-2ABA-4393-80FC-2EAA7A612059}" name="Total Discounts (Exempted projects)"/>
    <tableColumn id="11" xr3:uid="{2EE223AE-0E89-4B90-BD17-4956FC00D5D1}" name="Total Allowances (Exempted projects)"/>
    <tableColumn id="12" xr3:uid="{26C0D8C9-F4E3-4276-833E-6C270BE7BFE8}" name="Total Refund Payments Provided to Builders  (Exempted projects)"/>
    <tableColumn id="13" xr3:uid="{B533E979-5611-4920-AF1E-47A74D061900}" name="Total Estimated Non-Refundable"/>
    <tableColumn id="14" xr3:uid="{CDE1524F-8828-4839-976A-8DE6D675EA06}" name="Total Estimated Refundable"/>
    <tableColumn id="15" xr3:uid="{849833D2-451F-4E41-9983-1E380EFE061C}" name="Average Number of days between full payment and Project Energization"/>
    <tableColumn id="16" xr3:uid="{D1404F60-A892-4B4F-98E2-55E5A2471727}" name="Total Electric Line Extensions Energized"/>
    <tableColumn id="17" xr3:uid="{8E43508B-6F3B-4397-A0FB-116794EDEE35}" name="Total Electric Line Extension Applications (IOU Installed)"/>
    <tableColumn id="18" xr3:uid="{8913EF66-B4DB-4F29-9786-C0BA4C6D0320}" name="Total Electric Line Extension Applications (Applicant Installed)"/>
    <tableColumn id="19" xr3:uid="{DE37DF9D-4BED-4D9E-8C5B-B2C585AAF283}" name="IoU"/>
    <tableColumn id="20" xr3:uid="{2C79122B-4216-43EF-AB4D-D702FB35A899}" name="Year">
      <calculatedColumnFormula>2025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22045C-30B0-4056-884E-FB7022796ED4}" name="Table3" displayName="Table3" ref="A1:T312" totalsRowShown="0" headerRowDxfId="39" headerRowBorderDxfId="38" tableBorderDxfId="37">
  <autoFilter ref="A1:T312" xr:uid="{AD7645E0-3295-46D3-9726-E4BE4171669C}">
    <filterColumn colId="3">
      <filters>
        <filter val="Residential"/>
      </filters>
    </filterColumn>
  </autoFilter>
  <tableColumns count="20">
    <tableColumn id="1" xr3:uid="{1804BCB5-FC28-408A-9389-F8BAD92F8029}" name="New Construction / Upgrade" dataDxfId="36"/>
    <tableColumn id="2" xr3:uid="{D17D8DE6-A3F2-4D51-BF42-02ABD726F58F}" name="Mixed Fuel / All Electric" dataDxfId="35"/>
    <tableColumn id="3" xr3:uid="{F02ED701-E5A2-4AFC-9F71-E2B6D7C41209}" name="Months" dataDxfId="34"/>
    <tableColumn id="4" xr3:uid="{8A2BA547-273B-4215-BA52-791BC9EC4BC7}" name="Customer Class" dataDxfId="33"/>
    <tableColumn id="5" xr3:uid="{291DA6A6-38E2-42ED-9310-998B7F8E2037}" name="Baseline / Climate Zone"/>
    <tableColumn id="6" xr3:uid="{22E41CD1-A63C-4379-A845-4A491FA4F44A}" name="Multi Dwelling"/>
    <tableColumn id="7" xr3:uid="{159636E4-366C-4DD8-9FAC-5244F70ADC49}" name="Total Discounts (Non-Exempted Projects)" dataDxfId="32"/>
    <tableColumn id="8" xr3:uid="{93C6E4F7-5585-4347-A450-06729ED23F88}" name="Total Allowances (Non-Exempted Projects)" dataDxfId="31"/>
    <tableColumn id="9" xr3:uid="{414A0B72-A02C-4F0E-A2C9-631CB63B860F}" name="Total Refund Payments Provided to Builders (Non-Exempted Projects)" dataDxfId="30"/>
    <tableColumn id="10" xr3:uid="{815BAC45-09D6-4638-B67B-D5907B1A4967}" name="Total Discounts (Exempted projects)" dataDxfId="29"/>
    <tableColumn id="11" xr3:uid="{2FADD21D-BE80-4DDA-8AC4-C76D750897EE}" name="Total Allowances (Exempted projects)" dataDxfId="28"/>
    <tableColumn id="12" xr3:uid="{5F10EA50-7533-4F54-93F2-B2108233B2F0}" name="Total Refund Payments Provided to Builders  (Exempted projects)" dataDxfId="27"/>
    <tableColumn id="13" xr3:uid="{2040171A-DE1F-403F-93AE-5D62BE9003FA}" name="Total Estimated Non-Refundable" dataDxfId="26"/>
    <tableColumn id="14" xr3:uid="{7B90EF57-C387-4A67-BC62-F738FB24E15F}" name="Total Estimated Refundable" dataDxfId="25"/>
    <tableColumn id="15" xr3:uid="{94055406-B0FC-4824-BAD7-B89ACAF518B3}" name="Average Number of days between full payment and Project Energization" dataDxfId="24"/>
    <tableColumn id="16" xr3:uid="{0332691B-A22A-4FA3-B0C5-025EC762C1CA}" name="Total Electric Line Extensions Energized"/>
    <tableColumn id="17" xr3:uid="{0A4EB373-97A6-46BB-973E-38200AF511C2}" name="Total Electric Line Extension Applications (IOU Installed)"/>
    <tableColumn id="18" xr3:uid="{0F66B131-B213-4C2E-9750-E4B39D996A03}" name="Total Electric Line Extension Applications (Applicant Installed)"/>
    <tableColumn id="19" xr3:uid="{F4051407-E82B-4CAA-9397-42BB4D4E3FFD}" name="IoU"/>
    <tableColumn id="20" xr3:uid="{367ABEE8-D9EF-4D98-B0D0-F138C410396D}" name="Year">
      <calculatedColumnFormula>2025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6804F-1790-4123-8924-7E9017732889}" name="Table4" displayName="Table4" ref="A1:T220" totalsRowShown="0" headerRowDxfId="23" dataDxfId="21" headerRowBorderDxfId="22" tableBorderDxfId="20">
  <autoFilter ref="A1:T220" xr:uid="{8B9E5EA7-D796-4DA6-8D6A-BB401E78D085}">
    <filterColumn colId="17">
      <filters>
        <filter val="1"/>
      </filters>
    </filterColumn>
  </autoFilter>
  <tableColumns count="20">
    <tableColumn id="1" xr3:uid="{645B1D4F-7AB1-4A13-889D-8573E0110FF4}" name="New Construction / Upgrade" dataDxfId="19"/>
    <tableColumn id="2" xr3:uid="{45BD7DB0-FCCD-499D-B81B-8D927079AC37}" name="Mixed Fuel / All Electric" dataDxfId="18"/>
    <tableColumn id="3" xr3:uid="{F6004E98-29FD-4641-9A38-EC6F0029B307}" name="Months" dataDxfId="17"/>
    <tableColumn id="4" xr3:uid="{9A46835A-C1B3-439A-B335-BA57CB8EAA92}" name="Customer Class" dataDxfId="16"/>
    <tableColumn id="5" xr3:uid="{5433F62D-1C69-4FF4-870D-AE4E095B20E2}" name="Baseline / Climate Zone" dataDxfId="15"/>
    <tableColumn id="6" xr3:uid="{77F99D7F-3D1F-4FCB-8F68-069940F3C8AE}" name="Multi Dwelling" dataDxfId="14"/>
    <tableColumn id="7" xr3:uid="{BFC95F4A-912E-4B0B-9EBD-7EF3F4A47798}" name="Total Discounts (Non-Exempted Projects)" dataDxfId="13"/>
    <tableColumn id="8" xr3:uid="{78C2572F-0A98-4936-B7A6-5CDDAD0FD15A}" name="Total Allowances (Non-Exempted Projects)" dataDxfId="12"/>
    <tableColumn id="9" xr3:uid="{0E6E541C-AEDA-4D5D-83EC-A26A2042BA08}" name="Total Refund Payments Provided to Builders (Non-Exempted Projects)" dataDxfId="11"/>
    <tableColumn id="10" xr3:uid="{12D4FCCE-B9E6-4458-A5C9-41B53C801801}" name="Total Discounts (Exempted projects)" dataDxfId="10"/>
    <tableColumn id="11" xr3:uid="{12FFBF38-A026-478C-9856-A1959A5A2BCE}" name="Total Allowances (Exempted projects)" dataDxfId="9"/>
    <tableColumn id="12" xr3:uid="{8976D08F-BEBD-48C6-B7F9-B7F9DC104ABE}" name="Total Refund Payments Provided to Builders  (Exempted projects)" dataDxfId="8"/>
    <tableColumn id="13" xr3:uid="{456D282F-444C-4353-AEFB-A824F5678178}" name="Total Estimated Non-Refundable" dataDxfId="7"/>
    <tableColumn id="14" xr3:uid="{1698C2BF-2044-4178-BAB0-8D231109B199}" name="Total Estimated Refundable" dataDxfId="6"/>
    <tableColumn id="15" xr3:uid="{24BE5CEE-D7B1-4E14-AECF-5B533E45350F}" name="Average Number of days between full payment and Project Energization" dataDxfId="5"/>
    <tableColumn id="16" xr3:uid="{9F7D2CCD-0E74-4EC9-B022-F9EE259FE0A8}" name="Total Electric Line Extensions Energized" dataDxfId="4"/>
    <tableColumn id="17" xr3:uid="{AAEE306C-FC6E-48BA-B628-060A877E0702}" name="Total Electric Line Extension Applications (IOU Installed)" dataDxfId="3"/>
    <tableColumn id="18" xr3:uid="{B96CFFE8-6EEF-4582-BDF8-FA3C9644C2F0}" name="Total Electric Line Extension Applications (Applicant Installed)" dataDxfId="2"/>
    <tableColumn id="19" xr3:uid="{032AD580-56FC-4D87-A0B7-6652C4910D45}" name="IoU"/>
    <tableColumn id="20" xr3:uid="{DCBC6D67-B0BE-4C02-8586-A478C952E97C}" name="Yea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F288-5826-4643-90E6-EF77541C7AC3}">
  <dimension ref="A3:M77"/>
  <sheetViews>
    <sheetView workbookViewId="0">
      <selection activeCell="H62" sqref="H62"/>
    </sheetView>
  </sheetViews>
  <sheetFormatPr defaultRowHeight="14.5" x14ac:dyDescent="0.35"/>
  <cols>
    <col min="1" max="1" width="29.453125" customWidth="1"/>
    <col min="2" max="2" width="29.54296875" style="16" customWidth="1"/>
    <col min="3" max="3" width="23" customWidth="1"/>
    <col min="4" max="4" width="30.81640625" customWidth="1"/>
    <col min="5" max="5" width="33.7265625" customWidth="1"/>
    <col min="6" max="6" width="27.7265625" customWidth="1"/>
    <col min="9" max="9" width="13.08984375" bestFit="1" customWidth="1"/>
    <col min="11" max="11" width="19.6328125" bestFit="1" customWidth="1"/>
    <col min="12" max="12" width="17.453125" bestFit="1" customWidth="1"/>
  </cols>
  <sheetData>
    <row r="3" spans="1:13" ht="16.5" customHeight="1" x14ac:dyDescent="0.35">
      <c r="A3" s="58" t="s">
        <v>53</v>
      </c>
      <c r="B3" s="59"/>
      <c r="C3" s="59"/>
      <c r="D3" s="59"/>
      <c r="E3" s="59"/>
      <c r="F3" s="59"/>
    </row>
    <row r="4" spans="1:13" s="10" customFormat="1" x14ac:dyDescent="0.35">
      <c r="A4" s="29" t="s">
        <v>44</v>
      </c>
      <c r="B4" s="30" t="s">
        <v>2</v>
      </c>
      <c r="C4" s="29" t="s">
        <v>32</v>
      </c>
      <c r="D4" s="29" t="s">
        <v>41</v>
      </c>
      <c r="E4" s="29" t="s">
        <v>42</v>
      </c>
      <c r="F4" s="29" t="s">
        <v>43</v>
      </c>
    </row>
    <row r="5" spans="1:13" ht="15" thickBot="1" x14ac:dyDescent="0.4">
      <c r="A5" s="56" t="s">
        <v>37</v>
      </c>
      <c r="B5" s="57"/>
      <c r="C5" s="57"/>
      <c r="D5" s="57"/>
      <c r="E5" s="57"/>
      <c r="F5" s="57"/>
    </row>
    <row r="6" spans="1:13" ht="15" thickBot="1" x14ac:dyDescent="0.4">
      <c r="A6" s="25" t="s">
        <v>33</v>
      </c>
      <c r="B6" s="26" t="s">
        <v>19</v>
      </c>
      <c r="C6" s="27">
        <f>C36</f>
        <v>5</v>
      </c>
      <c r="D6" s="27">
        <f t="shared" ref="D6:F7" si="0">D36</f>
        <v>132</v>
      </c>
      <c r="E6" s="27">
        <f t="shared" si="0"/>
        <v>137</v>
      </c>
      <c r="F6" s="28">
        <f t="shared" si="0"/>
        <v>0.96350364963503654</v>
      </c>
      <c r="H6" s="53" t="s">
        <v>60</v>
      </c>
      <c r="I6" s="54"/>
      <c r="J6" s="54"/>
      <c r="K6" s="54"/>
      <c r="L6" s="55"/>
    </row>
    <row r="7" spans="1:13" x14ac:dyDescent="0.35">
      <c r="A7" s="25" t="s">
        <v>33</v>
      </c>
      <c r="B7" s="26" t="s">
        <v>16</v>
      </c>
      <c r="C7" s="27">
        <f>C37</f>
        <v>1</v>
      </c>
      <c r="D7" s="27">
        <f t="shared" si="0"/>
        <v>37</v>
      </c>
      <c r="E7" s="27">
        <f t="shared" si="0"/>
        <v>38</v>
      </c>
      <c r="F7" s="28">
        <f t="shared" si="0"/>
        <v>0.97368421052631582</v>
      </c>
      <c r="H7" s="40" t="s">
        <v>58</v>
      </c>
      <c r="I7" s="41"/>
      <c r="J7" s="41"/>
      <c r="K7" s="41" t="s">
        <v>56</v>
      </c>
      <c r="L7" s="42" t="s">
        <v>57</v>
      </c>
    </row>
    <row r="8" spans="1:13" x14ac:dyDescent="0.35">
      <c r="A8" s="25" t="s">
        <v>23</v>
      </c>
      <c r="B8" s="26" t="s">
        <v>14</v>
      </c>
      <c r="C8" s="27">
        <f>C43</f>
        <v>4</v>
      </c>
      <c r="D8" s="27">
        <f t="shared" ref="D8:F8" si="1">D43</f>
        <v>226</v>
      </c>
      <c r="E8" s="27">
        <f t="shared" si="1"/>
        <v>230</v>
      </c>
      <c r="F8" s="28">
        <f t="shared" si="1"/>
        <v>0.9826086956521739</v>
      </c>
      <c r="H8" s="43" t="s">
        <v>59</v>
      </c>
      <c r="I8" t="s">
        <v>55</v>
      </c>
      <c r="J8" s="44">
        <f>SUM(D36:D50)</f>
        <v>4460</v>
      </c>
      <c r="K8" s="48">
        <f>J8/J9</f>
        <v>0.79928315412186379</v>
      </c>
      <c r="L8" s="50">
        <v>0.81</v>
      </c>
      <c r="M8" s="52"/>
    </row>
    <row r="9" spans="1:13" x14ac:dyDescent="0.35">
      <c r="A9" s="25" t="s">
        <v>23</v>
      </c>
      <c r="B9" s="26" t="s">
        <v>17</v>
      </c>
      <c r="C9" s="27">
        <f t="shared" ref="C9:F9" si="2">C44</f>
        <v>8</v>
      </c>
      <c r="D9" s="27">
        <f t="shared" si="2"/>
        <v>75</v>
      </c>
      <c r="E9" s="27">
        <f t="shared" si="2"/>
        <v>83</v>
      </c>
      <c r="F9" s="28">
        <f t="shared" si="2"/>
        <v>0.90361445783132532</v>
      </c>
      <c r="H9" s="43"/>
      <c r="I9" t="s">
        <v>54</v>
      </c>
      <c r="J9" s="44">
        <f>SUM(E36:E50)</f>
        <v>5580</v>
      </c>
      <c r="K9" s="48"/>
      <c r="L9" s="50"/>
      <c r="M9" s="52"/>
    </row>
    <row r="10" spans="1:13" ht="29" x14ac:dyDescent="0.35">
      <c r="A10" s="25" t="s">
        <v>23</v>
      </c>
      <c r="B10" s="26" t="s">
        <v>18</v>
      </c>
      <c r="C10" s="27">
        <f t="shared" ref="C10:F10" si="3">C45</f>
        <v>44</v>
      </c>
      <c r="D10" s="27">
        <f t="shared" si="3"/>
        <v>82</v>
      </c>
      <c r="E10" s="27">
        <f t="shared" si="3"/>
        <v>126</v>
      </c>
      <c r="F10" s="28">
        <f t="shared" si="3"/>
        <v>0.65079365079365081</v>
      </c>
      <c r="H10" s="43" t="s">
        <v>40</v>
      </c>
      <c r="I10" t="s">
        <v>55</v>
      </c>
      <c r="J10" s="44">
        <f>SUM(D57:D64)</f>
        <v>4338</v>
      </c>
      <c r="K10" s="48">
        <f>J10/J11</f>
        <v>0.7536483669214733</v>
      </c>
      <c r="L10" s="50">
        <v>0.75</v>
      </c>
      <c r="M10" s="52"/>
    </row>
    <row r="11" spans="1:13" x14ac:dyDescent="0.35">
      <c r="A11" s="25" t="s">
        <v>23</v>
      </c>
      <c r="B11" s="26" t="s">
        <v>16</v>
      </c>
      <c r="C11" s="27">
        <f t="shared" ref="C11:F11" si="4">C46</f>
        <v>172</v>
      </c>
      <c r="D11" s="27">
        <f t="shared" si="4"/>
        <v>669</v>
      </c>
      <c r="E11" s="27">
        <f t="shared" si="4"/>
        <v>841</v>
      </c>
      <c r="F11" s="28">
        <f t="shared" si="4"/>
        <v>0.79548156956004756</v>
      </c>
      <c r="H11" s="43"/>
      <c r="I11" t="s">
        <v>54</v>
      </c>
      <c r="J11" s="44">
        <f>SUM(E57:E64)</f>
        <v>5756</v>
      </c>
      <c r="K11" s="48"/>
      <c r="L11" s="50"/>
      <c r="M11" s="52"/>
    </row>
    <row r="12" spans="1:13" x14ac:dyDescent="0.35">
      <c r="A12" s="25" t="s">
        <v>23</v>
      </c>
      <c r="B12" s="26" t="s">
        <v>19</v>
      </c>
      <c r="C12" s="27">
        <f t="shared" ref="C12:F12" si="5">C47</f>
        <v>886</v>
      </c>
      <c r="D12" s="27">
        <f t="shared" si="5"/>
        <v>2445</v>
      </c>
      <c r="E12" s="27">
        <f t="shared" si="5"/>
        <v>3331</v>
      </c>
      <c r="F12" s="28">
        <f t="shared" si="5"/>
        <v>0.73401380966676677</v>
      </c>
      <c r="H12" s="43" t="s">
        <v>39</v>
      </c>
      <c r="I12" t="s">
        <v>55</v>
      </c>
      <c r="J12" s="44">
        <f>SUM(D72:D77)</f>
        <v>1550</v>
      </c>
      <c r="K12" s="48">
        <f t="shared" ref="K12" si="6">J12/J13</f>
        <v>0.28864059590316571</v>
      </c>
      <c r="L12" s="50">
        <v>0.28999999999999998</v>
      </c>
      <c r="M12" s="52"/>
    </row>
    <row r="13" spans="1:13" ht="15" thickBot="1" x14ac:dyDescent="0.4">
      <c r="A13" s="56" t="s">
        <v>40</v>
      </c>
      <c r="B13" s="57"/>
      <c r="C13" s="57"/>
      <c r="D13" s="57"/>
      <c r="E13" s="57"/>
      <c r="F13" s="57"/>
      <c r="H13" s="45"/>
      <c r="I13" s="46" t="s">
        <v>54</v>
      </c>
      <c r="J13" s="47">
        <f>SUM(E72:E77)</f>
        <v>5370</v>
      </c>
      <c r="K13" s="49"/>
      <c r="L13" s="51"/>
      <c r="M13" s="52"/>
    </row>
    <row r="14" spans="1:13" x14ac:dyDescent="0.35">
      <c r="A14" s="25" t="s">
        <v>33</v>
      </c>
      <c r="B14" s="26" t="s">
        <v>45</v>
      </c>
      <c r="C14" s="27">
        <f>C57</f>
        <v>62</v>
      </c>
      <c r="D14" s="27">
        <f t="shared" ref="D14:F15" si="7">D57</f>
        <v>2515</v>
      </c>
      <c r="E14" s="27">
        <f t="shared" si="7"/>
        <v>2577</v>
      </c>
      <c r="F14" s="28">
        <f t="shared" si="7"/>
        <v>0.97594101668606903</v>
      </c>
    </row>
    <row r="15" spans="1:13" x14ac:dyDescent="0.35">
      <c r="A15" s="25" t="s">
        <v>33</v>
      </c>
      <c r="B15" s="26" t="s">
        <v>19</v>
      </c>
      <c r="C15" s="27">
        <f>C58</f>
        <v>605</v>
      </c>
      <c r="D15" s="27">
        <f t="shared" si="7"/>
        <v>257</v>
      </c>
      <c r="E15" s="27">
        <f t="shared" si="7"/>
        <v>862</v>
      </c>
      <c r="F15" s="28">
        <f t="shared" si="7"/>
        <v>0.29814385150812067</v>
      </c>
    </row>
    <row r="16" spans="1:13" x14ac:dyDescent="0.35">
      <c r="A16" s="25" t="s">
        <v>23</v>
      </c>
      <c r="B16" s="26" t="s">
        <v>45</v>
      </c>
      <c r="C16" s="27">
        <f>C61</f>
        <v>167</v>
      </c>
      <c r="D16" s="27">
        <f t="shared" ref="D16:F17" si="8">D61</f>
        <v>498</v>
      </c>
      <c r="E16" s="27">
        <f t="shared" si="8"/>
        <v>665</v>
      </c>
      <c r="F16" s="28">
        <f t="shared" si="8"/>
        <v>0.7488721804511278</v>
      </c>
    </row>
    <row r="17" spans="1:6" x14ac:dyDescent="0.35">
      <c r="A17" s="25" t="s">
        <v>23</v>
      </c>
      <c r="B17" s="26" t="s">
        <v>19</v>
      </c>
      <c r="C17" s="27">
        <f>C62</f>
        <v>584</v>
      </c>
      <c r="D17" s="27">
        <f t="shared" si="8"/>
        <v>1063</v>
      </c>
      <c r="E17" s="27">
        <f t="shared" si="8"/>
        <v>1647</v>
      </c>
      <c r="F17" s="28">
        <f t="shared" si="8"/>
        <v>0.64541590771098967</v>
      </c>
    </row>
    <row r="18" spans="1:6" x14ac:dyDescent="0.35">
      <c r="A18" s="56" t="s">
        <v>39</v>
      </c>
      <c r="B18" s="57"/>
      <c r="C18" s="57"/>
      <c r="D18" s="57"/>
      <c r="E18" s="57"/>
      <c r="F18" s="57"/>
    </row>
    <row r="19" spans="1:6" x14ac:dyDescent="0.35">
      <c r="A19" s="25" t="s">
        <v>33</v>
      </c>
      <c r="B19" s="26" t="s">
        <v>19</v>
      </c>
      <c r="C19" s="27">
        <f>C72</f>
        <v>2327</v>
      </c>
      <c r="D19" s="27">
        <f t="shared" ref="D19:F19" si="9">D72</f>
        <v>95</v>
      </c>
      <c r="E19" s="27">
        <f t="shared" si="9"/>
        <v>2422</v>
      </c>
      <c r="F19" s="28">
        <f t="shared" si="9"/>
        <v>3.9223781998348473E-2</v>
      </c>
    </row>
    <row r="20" spans="1:6" x14ac:dyDescent="0.35">
      <c r="A20" s="25" t="s">
        <v>33</v>
      </c>
      <c r="B20" s="26" t="s">
        <v>46</v>
      </c>
      <c r="C20" s="27">
        <f t="shared" ref="C20:F20" si="10">C73</f>
        <v>203</v>
      </c>
      <c r="D20" s="27">
        <f t="shared" si="10"/>
        <v>72</v>
      </c>
      <c r="E20" s="27">
        <f t="shared" si="10"/>
        <v>275</v>
      </c>
      <c r="F20" s="28">
        <f t="shared" si="10"/>
        <v>0.26181818181818184</v>
      </c>
    </row>
    <row r="21" spans="1:6" x14ac:dyDescent="0.35">
      <c r="A21" s="25" t="s">
        <v>33</v>
      </c>
      <c r="B21" s="26" t="s">
        <v>27</v>
      </c>
      <c r="C21" s="27">
        <f t="shared" ref="C21:F21" si="11">C74</f>
        <v>5</v>
      </c>
      <c r="D21" s="27">
        <f t="shared" si="11"/>
        <v>24</v>
      </c>
      <c r="E21" s="27">
        <f t="shared" si="11"/>
        <v>29</v>
      </c>
      <c r="F21" s="28">
        <f t="shared" si="11"/>
        <v>0.82758620689655171</v>
      </c>
    </row>
    <row r="22" spans="1:6" x14ac:dyDescent="0.35">
      <c r="A22" s="25" t="s">
        <v>23</v>
      </c>
      <c r="B22" s="26" t="s">
        <v>19</v>
      </c>
      <c r="C22" s="27">
        <f t="shared" ref="C22:F22" si="12">C75</f>
        <v>911</v>
      </c>
      <c r="D22" s="27">
        <f t="shared" si="12"/>
        <v>867</v>
      </c>
      <c r="E22" s="27">
        <f t="shared" si="12"/>
        <v>1778</v>
      </c>
      <c r="F22" s="28">
        <f t="shared" si="12"/>
        <v>0.48762654668166477</v>
      </c>
    </row>
    <row r="23" spans="1:6" x14ac:dyDescent="0.35">
      <c r="A23" s="25" t="s">
        <v>23</v>
      </c>
      <c r="B23" s="26" t="s">
        <v>46</v>
      </c>
      <c r="C23" s="27">
        <f t="shared" ref="C23:F23" si="13">C76</f>
        <v>363</v>
      </c>
      <c r="D23" s="27">
        <f t="shared" si="13"/>
        <v>473</v>
      </c>
      <c r="E23" s="27">
        <f t="shared" si="13"/>
        <v>836</v>
      </c>
      <c r="F23" s="28">
        <f t="shared" si="13"/>
        <v>0.56578947368421051</v>
      </c>
    </row>
    <row r="24" spans="1:6" x14ac:dyDescent="0.35">
      <c r="A24" s="25" t="s">
        <v>23</v>
      </c>
      <c r="B24" s="26" t="s">
        <v>27</v>
      </c>
      <c r="C24" s="27">
        <f t="shared" ref="C24:F24" si="14">C77</f>
        <v>11</v>
      </c>
      <c r="D24" s="27">
        <f t="shared" si="14"/>
        <v>19</v>
      </c>
      <c r="E24" s="27">
        <f t="shared" si="14"/>
        <v>30</v>
      </c>
      <c r="F24" s="28">
        <f t="shared" si="14"/>
        <v>0.6333333333333333</v>
      </c>
    </row>
    <row r="32" spans="1:6" x14ac:dyDescent="0.35">
      <c r="A32" s="56" t="s">
        <v>37</v>
      </c>
      <c r="B32" s="57"/>
      <c r="C32" s="57"/>
      <c r="D32" s="57"/>
      <c r="E32" s="57"/>
      <c r="F32" s="57"/>
    </row>
    <row r="33" spans="1:6" ht="30" customHeight="1" x14ac:dyDescent="0.35">
      <c r="A33" s="58" t="s">
        <v>50</v>
      </c>
      <c r="B33" s="59"/>
      <c r="C33" s="59"/>
      <c r="D33" s="59"/>
      <c r="E33" s="59"/>
      <c r="F33" s="59"/>
    </row>
    <row r="35" spans="1:6" ht="14.25" customHeight="1" x14ac:dyDescent="0.35">
      <c r="A35" s="12" t="s">
        <v>44</v>
      </c>
      <c r="B35" s="13" t="s">
        <v>2</v>
      </c>
      <c r="C35" s="13" t="s">
        <v>32</v>
      </c>
      <c r="D35" s="13" t="s">
        <v>41</v>
      </c>
      <c r="E35" s="13" t="s">
        <v>42</v>
      </c>
      <c r="F35" s="14" t="s">
        <v>43</v>
      </c>
    </row>
    <row r="36" spans="1:6" x14ac:dyDescent="0.35">
      <c r="A36" s="21" t="s">
        <v>33</v>
      </c>
      <c r="B36" s="22" t="s">
        <v>19</v>
      </c>
      <c r="C36" s="23">
        <f>PGE_Q1_2025!Q10+PGE_Q1_2025!Q62+PGE_Q1_2025!R10+PGE_Q1_2025!R62</f>
        <v>5</v>
      </c>
      <c r="D36" s="23">
        <f>PGE_Q1_2025!Q86+PGE_Q1_2025!Q87+PGE_Q1_2025!Q95+PGE_Q1_2025!R86+PGE_Q1_2025!R87+PGE_Q1_2025!R95</f>
        <v>132</v>
      </c>
      <c r="E36" s="23">
        <f>C36+D36</f>
        <v>137</v>
      </c>
      <c r="F36" s="24">
        <f>D36/E36</f>
        <v>0.96350364963503654</v>
      </c>
    </row>
    <row r="37" spans="1:6" x14ac:dyDescent="0.35">
      <c r="A37" s="21" t="s">
        <v>33</v>
      </c>
      <c r="B37" s="22" t="s">
        <v>16</v>
      </c>
      <c r="C37" s="23">
        <f>PGE_Q1_2025!Q19+PGE_Q1_2025!R19</f>
        <v>1</v>
      </c>
      <c r="D37" s="23">
        <f>PGE_Q1_2025!Q34+PGE_Q1_2025!Q44+PGE_Q1_2025!Q53+PGE_Q1_2025!R34+PGE_Q1_2025!R44+PGE_Q1_2025!R53</f>
        <v>37</v>
      </c>
      <c r="E37" s="23">
        <f t="shared" ref="E37:E50" si="15">C37+D37</f>
        <v>38</v>
      </c>
      <c r="F37" s="24">
        <f t="shared" ref="F37:F50" si="16">D37/E37</f>
        <v>0.97368421052631582</v>
      </c>
    </row>
    <row r="38" spans="1:6" x14ac:dyDescent="0.35">
      <c r="A38" s="10" t="s">
        <v>33</v>
      </c>
      <c r="B38" s="15" t="s">
        <v>14</v>
      </c>
      <c r="C38" s="10"/>
      <c r="D38" s="11">
        <f>PGE_Q1_2025!Q42+PGE_Q1_2025!Q67+PGE_Q1_2025!R42+PGE_Q1_2025!R67</f>
        <v>3</v>
      </c>
      <c r="E38" s="11">
        <f t="shared" si="15"/>
        <v>3</v>
      </c>
      <c r="F38" s="18">
        <f t="shared" si="16"/>
        <v>1</v>
      </c>
    </row>
    <row r="39" spans="1:6" x14ac:dyDescent="0.35">
      <c r="A39" s="10" t="s">
        <v>33</v>
      </c>
      <c r="B39" s="15" t="s">
        <v>15</v>
      </c>
      <c r="C39" s="10"/>
      <c r="D39" s="11">
        <f>PGE_Q1_2025!Q43+PGE_Q1_2025!Q63+PGE_Q1_2025!R43+PGE_Q1_2025!R63</f>
        <v>5</v>
      </c>
      <c r="E39" s="11">
        <f t="shared" si="15"/>
        <v>5</v>
      </c>
      <c r="F39" s="18">
        <f t="shared" si="16"/>
        <v>1</v>
      </c>
    </row>
    <row r="40" spans="1:6" ht="29" x14ac:dyDescent="0.35">
      <c r="A40" s="10" t="s">
        <v>33</v>
      </c>
      <c r="B40" s="15" t="s">
        <v>18</v>
      </c>
      <c r="C40" s="10"/>
      <c r="D40" s="11">
        <f>PGE_Q1_2025!Q64+PGE_Q1_2025!Q65+PGE_Q1_2025!Q73+PGE_Q1_2025!R64+PGE_Q1_2025!R65+PGE_Q1_2025!R73</f>
        <v>36</v>
      </c>
      <c r="E40" s="11">
        <f t="shared" si="15"/>
        <v>36</v>
      </c>
      <c r="F40" s="18">
        <f t="shared" si="16"/>
        <v>1</v>
      </c>
    </row>
    <row r="41" spans="1:6" x14ac:dyDescent="0.35">
      <c r="A41" s="10" t="s">
        <v>33</v>
      </c>
      <c r="B41" s="15" t="s">
        <v>21</v>
      </c>
      <c r="C41" s="10"/>
      <c r="D41" s="11">
        <f>PGE_Q1_2025!Q66+PGE_Q1_2025!Q72+PGE_Q1_2025!Q74+PGE_Q1_2025!R66+PGE_Q1_2025!R72+PGE_Q1_2025!R74</f>
        <v>65</v>
      </c>
      <c r="E41" s="11">
        <f t="shared" si="15"/>
        <v>65</v>
      </c>
      <c r="F41" s="18">
        <f t="shared" si="16"/>
        <v>1</v>
      </c>
    </row>
    <row r="42" spans="1:6" x14ac:dyDescent="0.35">
      <c r="A42" s="10" t="s">
        <v>33</v>
      </c>
      <c r="B42" s="15" t="s">
        <v>20</v>
      </c>
      <c r="C42" s="10"/>
      <c r="D42" s="11">
        <f>PGE_Q1_2025!Q78+PGE_Q1_2025!R78</f>
        <v>7</v>
      </c>
      <c r="E42" s="11">
        <f t="shared" si="15"/>
        <v>7</v>
      </c>
      <c r="F42" s="18">
        <f t="shared" si="16"/>
        <v>1</v>
      </c>
    </row>
    <row r="43" spans="1:6" x14ac:dyDescent="0.35">
      <c r="A43" s="21" t="s">
        <v>23</v>
      </c>
      <c r="B43" s="22" t="s">
        <v>14</v>
      </c>
      <c r="C43" s="23">
        <f>PGE_Q1_2025!Q56+PGE_Q1_2025!Q57+PGE_Q1_2025!Q68+PGE_Q1_2025!R56+PGE_Q1_2025!R57+PGE_Q1_2025!R68</f>
        <v>4</v>
      </c>
      <c r="D43" s="23">
        <f>PGE_Q1_2025!Q89+PGE_Q1_2025!Q99+PGE_Q1_2025!Q100+PGE_Q1_2025!R89+PGE_Q1_2025!R99+PGE_Q1_2025!R100</f>
        <v>226</v>
      </c>
      <c r="E43" s="23">
        <f t="shared" si="15"/>
        <v>230</v>
      </c>
      <c r="F43" s="24">
        <f t="shared" si="16"/>
        <v>0.9826086956521739</v>
      </c>
    </row>
    <row r="44" spans="1:6" x14ac:dyDescent="0.35">
      <c r="A44" s="21" t="s">
        <v>23</v>
      </c>
      <c r="B44" s="22" t="s">
        <v>17</v>
      </c>
      <c r="C44" s="23">
        <f>PGE_Q1_2025!Q58+PGE_Q1_2025!Q69+PGE_Q1_2025!Q71+PGE_Q1_2025!R58+PGE_Q1_2025!R69+PGE_Q1_2025!R71</f>
        <v>8</v>
      </c>
      <c r="D44" s="23">
        <f>PGE_Q1_2025!Q77+PGE_Q1_2025!Q81+PGE_Q1_2025!Q82+PGE_Q1_2025!R77+PGE_Q1_2025!R81+PGE_Q1_2025!R82</f>
        <v>75</v>
      </c>
      <c r="E44" s="23">
        <f t="shared" si="15"/>
        <v>83</v>
      </c>
      <c r="F44" s="24">
        <f t="shared" si="16"/>
        <v>0.90361445783132532</v>
      </c>
    </row>
    <row r="45" spans="1:6" ht="29" x14ac:dyDescent="0.35">
      <c r="A45" s="21" t="s">
        <v>23</v>
      </c>
      <c r="B45" s="22" t="s">
        <v>18</v>
      </c>
      <c r="C45" s="23">
        <f>PGE_Q1_2025!Q70+PGE_Q1_2025!Q75+PGE_Q1_2025!Q79+PGE_Q1_2025!Q70+PGE_Q1_2025!Q75+PGE_Q1_2025!Q79+PGE_Q1_2025!R70+PGE_Q1_2025!R75+PGE_Q1_2025!R79+PGE_Q1_2025!R70+PGE_Q1_2025!R75+PGE_Q1_2025!R79</f>
        <v>44</v>
      </c>
      <c r="D45" s="23">
        <f>PGE_Q1_2025!Q80+PGE_Q1_2025!Q83+PGE_Q1_2025!Q85+PGE_Q1_2025!R80+PGE_Q1_2025!R83+PGE_Q1_2025!R85</f>
        <v>82</v>
      </c>
      <c r="E45" s="23">
        <f t="shared" si="15"/>
        <v>126</v>
      </c>
      <c r="F45" s="24">
        <f t="shared" si="16"/>
        <v>0.65079365079365081</v>
      </c>
    </row>
    <row r="46" spans="1:6" x14ac:dyDescent="0.35">
      <c r="A46" s="21" t="s">
        <v>23</v>
      </c>
      <c r="B46" s="22" t="s">
        <v>16</v>
      </c>
      <c r="C46" s="23">
        <f>PGE_Q1_2025!Q88+PGE_Q1_2025!Q90+PGE_Q1_2025!Q101+PGE_Q1_2025!Q88+PGE_Q1_2025!Q90+PGE_Q1_2025!Q101</f>
        <v>172</v>
      </c>
      <c r="D46" s="23">
        <f>PGE_Q1_2025!Q102+PGE_Q1_2025!Q104+PGE_Q1_2025!Q105+PGE_Q1_2025!R102+PGE_Q1_2025!R104+PGE_Q1_2025!R105</f>
        <v>669</v>
      </c>
      <c r="E46" s="23">
        <f t="shared" si="15"/>
        <v>841</v>
      </c>
      <c r="F46" s="24">
        <f t="shared" si="16"/>
        <v>0.79548156956004756</v>
      </c>
    </row>
    <row r="47" spans="1:6" x14ac:dyDescent="0.35">
      <c r="A47" s="21" t="s">
        <v>23</v>
      </c>
      <c r="B47" s="22" t="s">
        <v>19</v>
      </c>
      <c r="C47" s="23">
        <f>PGE_Q1_2025!Q103+PGE_Q1_2025!Q107+PGE_Q1_2025!Q106+PGE_Q1_2025!R103+PGE_Q1_2025!R107+PGE_Q1_2025!R106</f>
        <v>886</v>
      </c>
      <c r="D47" s="23">
        <f>PGE_Q1_2025!Q108+PGE_Q1_2025!Q109+PGE_Q1_2025!Q110+PGE_Q1_2025!R108+PGE_Q1_2025!R109+PGE_Q1_2025!R110</f>
        <v>2445</v>
      </c>
      <c r="E47" s="23">
        <f t="shared" si="15"/>
        <v>3331</v>
      </c>
      <c r="F47" s="24">
        <f t="shared" si="16"/>
        <v>0.73401380966676677</v>
      </c>
    </row>
    <row r="48" spans="1:6" x14ac:dyDescent="0.35">
      <c r="A48" s="10" t="s">
        <v>23</v>
      </c>
      <c r="B48" s="15" t="s">
        <v>15</v>
      </c>
      <c r="C48" s="10"/>
      <c r="D48" s="11">
        <f>PGE_Q1_2025!Q91+PGE_Q1_2025!Q93+PGE_Q1_2025!Q97+PGE_Q1_2025!R91+PGE_Q1_2025!R93+PGE_Q1_2025!R97</f>
        <v>300</v>
      </c>
      <c r="E48" s="11">
        <f t="shared" si="15"/>
        <v>300</v>
      </c>
      <c r="F48" s="18">
        <f t="shared" si="16"/>
        <v>1</v>
      </c>
    </row>
    <row r="49" spans="1:6" x14ac:dyDescent="0.35">
      <c r="A49" s="10" t="s">
        <v>23</v>
      </c>
      <c r="B49" s="15" t="s">
        <v>20</v>
      </c>
      <c r="C49" s="10"/>
      <c r="D49" s="11">
        <f>PGE_Q1_2025!Q76+PGE_Q1_2025!Q84+PGE_Q1_2025!Q98+PGE_Q1_2025!R76+PGE_Q1_2025!R84+PGE_Q1_2025!R98</f>
        <v>70</v>
      </c>
      <c r="E49" s="11">
        <f t="shared" si="15"/>
        <v>70</v>
      </c>
      <c r="F49" s="18">
        <f t="shared" si="16"/>
        <v>1</v>
      </c>
    </row>
    <row r="50" spans="1:6" x14ac:dyDescent="0.35">
      <c r="A50" s="10" t="s">
        <v>23</v>
      </c>
      <c r="B50" s="15" t="s">
        <v>21</v>
      </c>
      <c r="C50" s="10"/>
      <c r="D50" s="11">
        <f>PGE_Q1_2025!Q92+PGE_Q1_2025!Q94+PGE_Q1_2025!Q96+PGE_Q1_2025!R92+PGE_Q1_2025!R94+PGE_Q1_2025!R96</f>
        <v>308</v>
      </c>
      <c r="E50" s="11">
        <f t="shared" si="15"/>
        <v>308</v>
      </c>
      <c r="F50" s="18">
        <f t="shared" si="16"/>
        <v>1</v>
      </c>
    </row>
    <row r="53" spans="1:6" x14ac:dyDescent="0.35">
      <c r="A53" s="56" t="s">
        <v>40</v>
      </c>
      <c r="B53" s="57"/>
      <c r="C53" s="57"/>
      <c r="D53" s="57"/>
      <c r="E53" s="57"/>
      <c r="F53" s="57"/>
    </row>
    <row r="54" spans="1:6" ht="15" customHeight="1" x14ac:dyDescent="0.35">
      <c r="A54" s="58" t="s">
        <v>51</v>
      </c>
      <c r="B54" s="59"/>
      <c r="C54" s="59"/>
      <c r="D54" s="59"/>
      <c r="E54" s="59"/>
      <c r="F54" s="59"/>
    </row>
    <row r="55" spans="1:6" x14ac:dyDescent="0.35">
      <c r="A55" s="8"/>
    </row>
    <row r="56" spans="1:6" x14ac:dyDescent="0.35">
      <c r="A56" s="12" t="s">
        <v>44</v>
      </c>
      <c r="B56" s="13" t="s">
        <v>2</v>
      </c>
      <c r="C56" s="13" t="s">
        <v>32</v>
      </c>
      <c r="D56" s="13" t="s">
        <v>41</v>
      </c>
      <c r="E56" s="13" t="s">
        <v>42</v>
      </c>
      <c r="F56" s="14" t="s">
        <v>43</v>
      </c>
    </row>
    <row r="57" spans="1:6" x14ac:dyDescent="0.35">
      <c r="A57" s="21" t="s">
        <v>33</v>
      </c>
      <c r="B57" s="22" t="s">
        <v>45</v>
      </c>
      <c r="C57" s="23">
        <f>SDGE_Q1_2025!Q47+SDGE_Q1_2025!Q50+SDGE_Q1_2025!Q97+SDGE_Q1_2025!Q148+SDGE_Q1_2025!Q178+SDGE_Q1_2025!Q181+SDGE_Q1_2025!R47+SDGE_Q1_2025!R50+SDGE_Q1_2025!R97+SDGE_Q1_2025!R148+SDGE_Q1_2025!R178+SDGE_Q1_2025!R181</f>
        <v>62</v>
      </c>
      <c r="D57" s="23">
        <f>SDGE_Q1_2025!Q32+SDGE_Q1_2025!Q33+SDGE_Q1_2025!Q35+SDGE_Q1_2025!Q36+SDGE_Q1_2025!Q37+SDGE_Q1_2025!Q39+SDGE_Q1_2025!Q41+SDGE_Q1_2025!Q42+SDGE_Q1_2025!Q43+SDGE_Q1_2025!Q84+SDGE_Q1_2025!Q86+SDGE_Q1_2025!Q87+SDGE_Q1_2025!Q88+SDGE_Q1_2025!Q89+SDGE_Q1_2025!Q91+SDGE_Q1_2025!Q92+SDGE_Q1_2025!Q94+SDGE_Q1_2025!Q137+SDGE_Q1_2025!Q139+SDGE_Q1_2025!Q140+SDGE_Q1_2025!Q141+SDGE_Q1_2025!Q142+SDGE_Q1_2025!Q144+SDGE_Q1_2025!Q145+SDGE_Q1_2025!Q154+SDGE_Q1_2025!Q155+SDGE_Q1_2025!Q156+SDGE_Q1_2025!Q159+SDGE_Q1_2025!Q160+SDGE_Q1_2025!Q161+SDGE_Q1_2025!Q162+SDGE_Q1_2025!Q163+SDGE_Q1_2025!Q168+SDGE_Q1_2025!Q169+SDGE_Q1_2025!Q170+SDGE_Q1_2025!Q171+SDGE_Q1_2025!Q172+SDGE_Q1_2025!Q173+SDGE_Q1_2025!Q174+SDGE_Q1_2025!R32+SDGE_Q1_2025!R33+SDGE_Q1_2025!R35+SDGE_Q1_2025!R36+SDGE_Q1_2025!R37+SDGE_Q1_2025!R39+SDGE_Q1_2025!R41+SDGE_Q1_2025!R42+SDGE_Q1_2025!R43+SDGE_Q1_2025!R84+SDGE_Q1_2025!R86+SDGE_Q1_2025!R87+SDGE_Q1_2025!R88+SDGE_Q1_2025!R89+SDGE_Q1_2025!R91+SDGE_Q1_2025!R92+SDGE_Q1_2025!R94+SDGE_Q1_2025!R137+SDGE_Q1_2025!R139+SDGE_Q1_2025!R140+SDGE_Q1_2025!R141+SDGE_Q1_2025!R142+SDGE_Q1_2025!R144+SDGE_Q1_2025!R145+SDGE_Q1_2025!R154+SDGE_Q1_2025!R155+SDGE_Q1_2025!R156+SDGE_Q1_2025!R159+SDGE_Q1_2025!R160+SDGE_Q1_2025!R161+SDGE_Q1_2025!R162+SDGE_Q1_2025!R163+SDGE_Q1_2025!R168+SDGE_Q1_2025!R169+SDGE_Q1_2025!R170+SDGE_Q1_2025!R171+SDGE_Q1_2025!R172+SDGE_Q1_2025!R173+SDGE_Q1_2025!R174</f>
        <v>2515</v>
      </c>
      <c r="E57" s="23">
        <f>SUM(C57:D57)</f>
        <v>2577</v>
      </c>
      <c r="F57" s="24">
        <f t="shared" ref="F57:F64" si="17">D57/E57</f>
        <v>0.97594101668606903</v>
      </c>
    </row>
    <row r="58" spans="1:6" x14ac:dyDescent="0.35">
      <c r="A58" s="21" t="s">
        <v>33</v>
      </c>
      <c r="B58" s="22" t="s">
        <v>19</v>
      </c>
      <c r="C58" s="23">
        <f>SDGE_Q1_2025!Q48+SDGE_Q1_2025!Q49+SDGE_Q1_2025!Q51+SDGE_Q1_2025!Q98+SDGE_Q1_2025!Q99+SDGE_Q1_2025!Q101+SDGE_Q1_2025!Q149+SDGE_Q1_2025!Q150+SDGE_Q1_2025!Q151+SDGE_Q1_2025!Q175+SDGE_Q1_2025!Q176+SDGE_Q1_2025!Q177+SDGE_Q1_2025!Q179+SDGE_Q1_2025!Q180+SDGE_Q1_2025!Q182+SDGE_Q1_2025!Q183+SDGE_Q1_2025!Q184+SDGE_Q1_2025!R48+SDGE_Q1_2025!R49+SDGE_Q1_2025!R51+SDGE_Q1_2025!R98+SDGE_Q1_2025!R99+SDGE_Q1_2025!R101+SDGE_Q1_2025!R149+SDGE_Q1_2025!R150+SDGE_Q1_2025!R151+SDGE_Q1_2025!R175+SDGE_Q1_2025!R176+SDGE_Q1_2025!R177+SDGE_Q1_2025!R179+SDGE_Q1_2025!R180+SDGE_Q1_2025!R182+SDGE_Q1_2025!R183+SDGE_Q1_2025!R184</f>
        <v>605</v>
      </c>
      <c r="D58" s="23">
        <f>SUM(SDGE_Q1_2025!Q31,SDGE_Q1_2025!Q34,SDGE_Q1_2025!Q38,SDGE_Q1_2025!Q40,SDGE_Q1_2025!Q81,SDGE_Q1_2025!Q85,SDGE_Q1_2025!Q90,SDGE_Q1_2025!Q93,SDGE_Q1_2025!Q134,SDGE_Q1_2025!Q136,SDGE_Q1_2025!Q138,SDGE_Q1_2025!Q143,SDGE_Q1_2025!Q153,SDGE_Q1_2025!Q158,SDGE_Q1_2025!Q164,SDGE_Q1_2025!Q165,SDGE_Q1_2025!Q166)+SUM(SDGE_Q1_2025!R31,SDGE_Q1_2025!R34,SDGE_Q1_2025!R38,SDGE_Q1_2025!R40,SDGE_Q1_2025!R81,SDGE_Q1_2025!R85,SDGE_Q1_2025!R90,SDGE_Q1_2025!R93,SDGE_Q1_2025!R134,SDGE_Q1_2025!R136,SDGE_Q1_2025!R138,SDGE_Q1_2025!R143,SDGE_Q1_2025!R153,SDGE_Q1_2025!R158,SDGE_Q1_2025!R164,SDGE_Q1_2025!R165,SDGE_Q1_2025!R166)</f>
        <v>257</v>
      </c>
      <c r="E58" s="23">
        <f t="shared" ref="E58:E64" si="18">SUM(C58:D58)</f>
        <v>862</v>
      </c>
      <c r="F58" s="24">
        <f t="shared" si="17"/>
        <v>0.29814385150812067</v>
      </c>
    </row>
    <row r="59" spans="1:6" x14ac:dyDescent="0.35">
      <c r="A59" s="9" t="s">
        <v>33</v>
      </c>
      <c r="B59" s="20" t="s">
        <v>27</v>
      </c>
      <c r="C59" s="9"/>
      <c r="D59" s="9">
        <f>SUM(SDGE_Q1_2025!Q83,SDGE_Q1_2025!Q152,SDGE_Q1_2025!Q157)+SUM(SDGE_Q1_2025!R83,SDGE_Q1_2025!R152,SDGE_Q1_2025!R157)</f>
        <v>2</v>
      </c>
      <c r="E59" s="9">
        <f t="shared" si="18"/>
        <v>2</v>
      </c>
      <c r="F59" s="18">
        <f t="shared" si="17"/>
        <v>1</v>
      </c>
    </row>
    <row r="60" spans="1:6" x14ac:dyDescent="0.35">
      <c r="A60" s="9" t="s">
        <v>33</v>
      </c>
      <c r="B60" s="20" t="s">
        <v>17</v>
      </c>
      <c r="C60" s="9"/>
      <c r="D60" s="9">
        <f>SDGE_Q1_2025!Q167+SDGE_Q1_2025!R167</f>
        <v>1</v>
      </c>
      <c r="E60" s="9">
        <f t="shared" si="18"/>
        <v>1</v>
      </c>
      <c r="F60" s="18">
        <f t="shared" si="17"/>
        <v>1</v>
      </c>
    </row>
    <row r="61" spans="1:6" x14ac:dyDescent="0.35">
      <c r="A61" s="21" t="s">
        <v>23</v>
      </c>
      <c r="B61" s="22" t="s">
        <v>45</v>
      </c>
      <c r="C61" s="23">
        <f>SUM(SDGE_Q1_2025!Q21,SDGE_Q1_2025!Q26,SDGE_Q1_2025!Q70,SDGE_Q1_2025!Q77,SDGE_Q1_2025!Q125,SDGE_Q1_2025!Q130,SDGE_Q1_2025!Q208,SDGE_Q1_2025!Q209,SDGE_Q1_2025!Q210,SDGE_Q1_2025!Q211,SDGE_Q1_2025!Q212,SDGE_Q1_2025!Q213,SDGE_Q1_2025!Q214)+SUM(SDGE_Q1_2025!R21,SDGE_Q1_2025!R26,SDGE_Q1_2025!R70,SDGE_Q1_2025!R77,SDGE_Q1_2025!R125,SDGE_Q1_2025!R130,SDGE_Q1_2025!R208,SDGE_Q1_2025!R209,SDGE_Q1_2025!R210,SDGE_Q1_2025!R211,SDGE_Q1_2025!R212,SDGE_Q1_2025!R213,SDGE_Q1_2025!R214)</f>
        <v>167</v>
      </c>
      <c r="D61" s="23">
        <f>SUM(SDGE_Q1_2025!Q2,SDGE_Q1_2025!Q4,SDGE_Q1_2025!Q7,SDGE_Q1_2025!Q11,SDGE_Q1_2025!Q52,SDGE_Q1_2025!Q55,SDGE_Q1_2025!Q59,SDGE_Q1_2025!Q62,SDGE_Q1_2025!Q102,SDGE_Q1_2025!Q104,SDGE_Q1_2025!Q108,SDGE_Q1_2025!Q115,SDGE_Q1_2025!Q186,SDGE_Q1_2025!Q187,SDGE_Q1_2025!Q188,SDGE_Q1_2025!Q189,SDGE_Q1_2025!Q190,SDGE_Q1_2025!Q191,SDGE_Q1_2025!Q192,SDGE_Q1_2025!Q193,SDGE_Q1_2025!Q194,SDGE_Q1_2025!Q195,SDGE_Q1_2025!Q196,SDGE_Q1_2025!Q197)+SUM(SDGE_Q1_2025!R2,SDGE_Q1_2025!R4,SDGE_Q1_2025!R7,SDGE_Q1_2025!R11,SDGE_Q1_2025!R52,SDGE_Q1_2025!R55,SDGE_Q1_2025!R59,SDGE_Q1_2025!R62,SDGE_Q1_2025!R102,SDGE_Q1_2025!R104,SDGE_Q1_2025!R108,SDGE_Q1_2025!R115,SDGE_Q1_2025!R186,SDGE_Q1_2025!R187,SDGE_Q1_2025!R188,SDGE_Q1_2025!R189,SDGE_Q1_2025!R190,SDGE_Q1_2025!R191,SDGE_Q1_2025!R192,SDGE_Q1_2025!R193,SDGE_Q1_2025!R194,SDGE_Q1_2025!R195,SDGE_Q1_2025!R196,SDGE_Q1_2025!R197)</f>
        <v>498</v>
      </c>
      <c r="E61" s="23">
        <f t="shared" si="18"/>
        <v>665</v>
      </c>
      <c r="F61" s="24">
        <f t="shared" si="17"/>
        <v>0.7488721804511278</v>
      </c>
    </row>
    <row r="62" spans="1:6" x14ac:dyDescent="0.35">
      <c r="A62" s="21" t="s">
        <v>23</v>
      </c>
      <c r="B62" s="22" t="s">
        <v>19</v>
      </c>
      <c r="C62" s="23">
        <f>SUM(SDGE_Q1_2025!Q17,SDGE_Q1_2025!Q23,SDGE_Q1_2025!Q24,SDGE_Q1_2025!Q25,SDGE_Q1_2025!Q27,SDGE_Q1_2025!Q29,SDGE_Q1_2025!Q28,SDGE_Q1_2025!Q65,SDGE_Q1_2025!Q67,SDGE_Q1_2025!Q72,SDGE_Q1_2025!Q73,SDGE_Q1_2025!Q74,SDGE_Q1_2025!Q78,SDGE_Q1_2025!Q80,SDGE_Q1_2025!Q79,SDGE_Q1_2025!Q121,SDGE_Q1_2025!Q123,SDGE_Q1_2025!Q124,SDGE_Q1_2025!Q126,SDGE_Q1_2025!Q127,SDGE_Q1_2025!Q128,SDGE_Q1_2025!Q131,SDGE_Q1_2025!Q133,SDGE_Q1_2025!Q215,SDGE_Q1_2025!Q216,SDGE_Q1_2025!Q217,SDGE_Q1_2025!Q218,SDGE_Q1_2025!Q219,SDGE_Q1_2025!Q220)+SUM(SDGE_Q1_2025!R17,SDGE_Q1_2025!R23,SDGE_Q1_2025!R24,SDGE_Q1_2025!R25,SDGE_Q1_2025!R27,SDGE_Q1_2025!R29,SDGE_Q1_2025!R28,SDGE_Q1_2025!R65,SDGE_Q1_2025!R67,SDGE_Q1_2025!R72,SDGE_Q1_2025!R73,SDGE_Q1_2025!R74,SDGE_Q1_2025!R78,SDGE_Q1_2025!R80,SDGE_Q1_2025!R79,SDGE_Q1_2025!R121,SDGE_Q1_2025!R123,SDGE_Q1_2025!R124,SDGE_Q1_2025!R126,SDGE_Q1_2025!R127,SDGE_Q1_2025!R128,SDGE_Q1_2025!R131,SDGE_Q1_2025!R133,SDGE_Q1_2025!R215,SDGE_Q1_2025!R216,SDGE_Q1_2025!R217,SDGE_Q1_2025!R218,SDGE_Q1_2025!R219,SDGE_Q1_2025!R220)</f>
        <v>584</v>
      </c>
      <c r="D62" s="23">
        <f>SUM(SDGE_Q1_2025!Q3,SDGE_Q1_2025!Q5,SDGE_Q1_2025!Q6,SDGE_Q1_2025!Q8,SDGE_Q1_2025!Q9,SDGE_Q1_2025!Q10,SDGE_Q1_2025!Q12,SDGE_Q1_2025!Q13,SDGE_Q1_2025!Q14,SDGE_Q1_2025!Q53,SDGE_Q1_2025!Q54,SDGE_Q1_2025!Q56,SDGE_Q1_2025!Q57,SDGE_Q1_2025!Q58,SDGE_Q1_2025!Q60,SDGE_Q1_2025!Q61,SDGE_Q1_2025!Q63,SDGE_Q1_2025!Q103,SDGE_Q1_2025!Q105,SDGE_Q1_2025!Q109,SDGE_Q1_2025!Q110,SDGE_Q1_2025!Q111,SDGE_Q1_2025!Q113,SDGE_Q1_2025!Q117,SDGE_Q1_2025!Q118,SDGE_Q1_2025!Q119,SDGE_Q1_2025!Q120,SDGE_Q1_2025!Q199,SDGE_Q1_2025!Q200,SDGE_Q1_2025!Q201,SDGE_Q1_2025!Q202,SDGE_Q1_2025!Q204,SDGE_Q1_2025!Q205,SDGE_Q1_2025!Q207,SDGE_Q1_2025!Q203,SDGE_Q1_2025!Q206)+SUM(SDGE_Q1_2025!R3,SDGE_Q1_2025!R5,SDGE_Q1_2025!R6,SDGE_Q1_2025!R8,SDGE_Q1_2025!R9,SDGE_Q1_2025!R10,SDGE_Q1_2025!R12,SDGE_Q1_2025!R13,SDGE_Q1_2025!R14,SDGE_Q1_2025!R53,SDGE_Q1_2025!R54,SDGE_Q1_2025!R56,SDGE_Q1_2025!R57,SDGE_Q1_2025!R58,SDGE_Q1_2025!R60,SDGE_Q1_2025!R61,SDGE_Q1_2025!R63,SDGE_Q1_2025!R103,SDGE_Q1_2025!R105,SDGE_Q1_2025!R109,SDGE_Q1_2025!R110,SDGE_Q1_2025!R111,SDGE_Q1_2025!R113,SDGE_Q1_2025!R117,SDGE_Q1_2025!R118,SDGE_Q1_2025!R119,SDGE_Q1_2025!R120,SDGE_Q1_2025!R199,SDGE_Q1_2025!R200,SDGE_Q1_2025!R201,SDGE_Q1_2025!R202,SDGE_Q1_2025!R204,SDGE_Q1_2025!R205,SDGE_Q1_2025!R207,SDGE_Q1_2025!R203,SDGE_Q1_2025!R206)</f>
        <v>1063</v>
      </c>
      <c r="E62" s="23">
        <f t="shared" si="18"/>
        <v>1647</v>
      </c>
      <c r="F62" s="24">
        <f t="shared" si="17"/>
        <v>0.64541590771098967</v>
      </c>
    </row>
    <row r="63" spans="1:6" x14ac:dyDescent="0.35">
      <c r="A63" s="17" t="s">
        <v>23</v>
      </c>
      <c r="B63" s="20" t="s">
        <v>27</v>
      </c>
      <c r="C63" s="9"/>
      <c r="D63" s="9">
        <f>SUM(SDGE_Q1_2025!Q114+SDGE_Q1_2025!Q185)+SUM(SDGE_Q1_2025!R114+SDGE_Q1_2025!R185)</f>
        <v>1</v>
      </c>
      <c r="E63" s="9">
        <f t="shared" si="18"/>
        <v>1</v>
      </c>
      <c r="F63" s="18">
        <f t="shared" si="17"/>
        <v>1</v>
      </c>
    </row>
    <row r="64" spans="1:6" x14ac:dyDescent="0.35">
      <c r="A64" s="17" t="s">
        <v>23</v>
      </c>
      <c r="B64" s="20" t="s">
        <v>17</v>
      </c>
      <c r="C64" s="9"/>
      <c r="D64" s="9">
        <f>SUM(SDGE_Q1_2025!Q116,SDGE_Q1_2025!Q198)+SUM(SDGE_Q1_2025!R116,SDGE_Q1_2025!R198)</f>
        <v>1</v>
      </c>
      <c r="E64" s="9">
        <f t="shared" si="18"/>
        <v>1</v>
      </c>
      <c r="F64" s="18">
        <f t="shared" si="17"/>
        <v>1</v>
      </c>
    </row>
    <row r="65" spans="1:6" x14ac:dyDescent="0.35">
      <c r="F65" s="19"/>
    </row>
    <row r="66" spans="1:6" x14ac:dyDescent="0.35">
      <c r="A66" s="8"/>
    </row>
    <row r="67" spans="1:6" x14ac:dyDescent="0.35">
      <c r="A67" s="8"/>
    </row>
    <row r="68" spans="1:6" x14ac:dyDescent="0.35">
      <c r="A68" s="56" t="s">
        <v>39</v>
      </c>
      <c r="B68" s="57"/>
      <c r="C68" s="57"/>
      <c r="D68" s="57"/>
      <c r="E68" s="57"/>
      <c r="F68" s="57"/>
    </row>
    <row r="69" spans="1:6" x14ac:dyDescent="0.35">
      <c r="A69" s="58" t="s">
        <v>50</v>
      </c>
      <c r="B69" s="59"/>
      <c r="C69" s="59"/>
      <c r="D69" s="59"/>
      <c r="E69" s="59"/>
      <c r="F69" s="59"/>
    </row>
    <row r="71" spans="1:6" x14ac:dyDescent="0.35">
      <c r="A71" s="12" t="s">
        <v>44</v>
      </c>
      <c r="B71" s="13" t="s">
        <v>2</v>
      </c>
      <c r="C71" s="13" t="s">
        <v>32</v>
      </c>
      <c r="D71" s="13" t="s">
        <v>41</v>
      </c>
      <c r="E71" s="13" t="s">
        <v>42</v>
      </c>
      <c r="F71" s="14" t="s">
        <v>43</v>
      </c>
    </row>
    <row r="72" spans="1:6" x14ac:dyDescent="0.35">
      <c r="A72" s="21" t="s">
        <v>33</v>
      </c>
      <c r="B72" s="22" t="s">
        <v>19</v>
      </c>
      <c r="C72" s="23">
        <f>SUM(SCE_Q1_2025!Q243,SCE_Q1_2025!Q244,SCE_Q1_2025!Q245,SCE_Q1_2025!Q246,SCE_Q1_2025!Q247,SCE_Q1_2025!Q248,SCE_Q1_2025!Q249,SCE_Q1_2025!Q250,SCE_Q1_2025!Q251,SCE_Q1_2025!Q252,SCE_Q1_2025!Q253,SCE_Q1_2025!Q254,SCE_Q1_2025!Q255,SCE_Q1_2025!Q256,SCE_Q1_2025!Q257,SCE_Q1_2025!Q258,SCE_Q1_2025!Q259,SCE_Q1_2025!Q269,SCE_Q1_2025!Q270,SCE_Q1_2025!Q271,SCE_Q1_2025!Q272,SCE_Q1_2025!Q273,SCE_Q1_2025!Q274,SCE_Q1_2025!Q275,SCE_Q1_2025!Q276,SCE_Q1_2025!Q277,SCE_Q1_2025!Q278,SCE_Q1_2025!Q279,SCE_Q1_2025!Q280,SCE_Q1_2025!Q281,SCE_Q1_2025!Q282,SCE_Q1_2025!Q283,SCE_Q1_2025!Q284,SCE_Q1_2025!Q297,SCE_Q1_2025!Q298,SCE_Q1_2025!Q299,SCE_Q1_2025!Q300,SCE_Q1_2025!Q301,SCE_Q1_2025!Q302,SCE_Q1_2025!Q303,SCE_Q1_2025!Q304,SCE_Q1_2025!Q305,SCE_Q1_2025!Q306,SCE_Q1_2025!Q307,SCE_Q1_2025!Q308,SCE_Q1_2025!Q309,SCE_Q1_2025!Q310,SCE_Q1_2025!Q311,SCE_Q1_2025!Q312)+SUM(SCE_Q1_2025!R243,SCE_Q1_2025!R244,SCE_Q1_2025!R245,SCE_Q1_2025!R246,SCE_Q1_2025!R247,SCE_Q1_2025!R248,SCE_Q1_2025!R249,SCE_Q1_2025!R250,SCE_Q1_2025!R251,SCE_Q1_2025!R252,SCE_Q1_2025!R253,SCE_Q1_2025!R254,SCE_Q1_2025!R255,SCE_Q1_2025!R256,SCE_Q1_2025!R257,SCE_Q1_2025!R258,SCE_Q1_2025!R259,SCE_Q1_2025!R269,SCE_Q1_2025!R270,SCE_Q1_2025!R271,SCE_Q1_2025!R272,SCE_Q1_2025!R273,SCE_Q1_2025!R274,SCE_Q1_2025!R275,SCE_Q1_2025!R276,SCE_Q1_2025!R277,SCE_Q1_2025!R278,SCE_Q1_2025!R279,SCE_Q1_2025!R280,SCE_Q1_2025!R281,SCE_Q1_2025!R282,SCE_Q1_2025!R283,SCE_Q1_2025!R284,SCE_Q1_2025!R297,SCE_Q1_2025!R298,SCE_Q1_2025!R299,SCE_Q1_2025!R300,SCE_Q1_2025!R301,SCE_Q1_2025!R302,SCE_Q1_2025!R303,SCE_Q1_2025!R304,SCE_Q1_2025!R305,SCE_Q1_2025!R306,SCE_Q1_2025!R307,SCE_Q1_2025!R308,SCE_Q1_2025!R309,SCE_Q1_2025!R310,SCE_Q1_2025!R311,SCE_Q1_2025!R312)</f>
        <v>2327</v>
      </c>
      <c r="D72" s="23">
        <f>SUM(SCE_Q1_2025!Q175,SCE_Q1_2025!Q176,SCE_Q1_2025!Q177,SCE_Q1_2025!Q179,SCE_Q1_2025!Q181,SCE_Q1_2025!Q182,SCE_Q1_2025!Q184,SCE_Q1_2025!Q186,SCE_Q1_2025!Q197,SCE_Q1_2025!Q199,SCE_Q1_2025!Q200,SCE_Q1_2025!Q201,SCE_Q1_2025!Q203,SCE_Q1_2025!Q206,SCE_Q1_2025!Q208,SCE_Q1_2025!Q218,SCE_Q1_2025!Q219,SCE_Q1_2025!Q220,SCE_Q1_2025!Q222,SCE_Q1_2025!Q223,SCE_Q1_2025!Q224,SCE_Q1_2025!Q225,SCE_Q1_2025!Q226,SCE_Q1_2025!Q227,SCE_Q1_2025!Q229,SCE_Q1_2025!Q230,SCE_Q1_2025!Q231)+SUM(SCE_Q1_2025!R175,SCE_Q1_2025!R176,SCE_Q1_2025!R177,SCE_Q1_2025!R179,SCE_Q1_2025!R181,SCE_Q1_2025!R182,SCE_Q1_2025!R184,SCE_Q1_2025!R186,SCE_Q1_2025!R197,SCE_Q1_2025!R199,SCE_Q1_2025!R200,SCE_Q1_2025!R201,SCE_Q1_2025!R203,SCE_Q1_2025!R206,SCE_Q1_2025!R208,SCE_Q1_2025!R218,SCE_Q1_2025!R219,SCE_Q1_2025!R220,SCE_Q1_2025!R222,SCE_Q1_2025!R223,SCE_Q1_2025!R224,SCE_Q1_2025!R225,SCE_Q1_2025!R226,SCE_Q1_2025!R227,SCE_Q1_2025!R229,SCE_Q1_2025!R230,SCE_Q1_2025!R231)</f>
        <v>95</v>
      </c>
      <c r="E72" s="23">
        <f>C72+D72</f>
        <v>2422</v>
      </c>
      <c r="F72" s="24">
        <f t="shared" ref="F72:F77" si="19">D72/E72</f>
        <v>3.9223781998348473E-2</v>
      </c>
    </row>
    <row r="73" spans="1:6" x14ac:dyDescent="0.35">
      <c r="A73" s="21" t="s">
        <v>33</v>
      </c>
      <c r="B73" s="22" t="s">
        <v>46</v>
      </c>
      <c r="C73" s="23">
        <f>SUM(SCE_Q1_2025!Q235,SCE_Q1_2025!Q236,SCE_Q1_2025!Q237,SCE_Q1_2025!Q238,SCE_Q1_2025!Q239,SCE_Q1_2025!Q240,SCE_Q1_2025!Q241,SCE_Q1_2025!Q242,SCE_Q1_2025!Q262,SCE_Q1_2025!Q263,SCE_Q1_2025!Q264,SCE_Q1_2025!Q265,SCE_Q1_2025!Q266,SCE_Q1_2025!Q267,SCE_Q1_2025!Q268,SCE_Q1_2025!Q288,SCE_Q1_2025!Q289,SCE_Q1_2025!Q290,SCE_Q1_2025!Q291,SCE_Q1_2025!Q292,SCE_Q1_2025!Q293,SCE_Q1_2025!Q294,SCE_Q1_2025!Q295,SCE_Q1_2025!Q296)+SUM(SCE_Q1_2025!R235,SCE_Q1_2025!R236,SCE_Q1_2025!R237,SCE_Q1_2025!R238,SCE_Q1_2025!R239,SCE_Q1_2025!R240,SCE_Q1_2025!R241,SCE_Q1_2025!R242,SCE_Q1_2025!R262,SCE_Q1_2025!R263,SCE_Q1_2025!R264,SCE_Q1_2025!R265,SCE_Q1_2025!R266,SCE_Q1_2025!R267,SCE_Q1_2025!R268,SCE_Q1_2025!R288,SCE_Q1_2025!R289,SCE_Q1_2025!R290,SCE_Q1_2025!R291,SCE_Q1_2025!R292,SCE_Q1_2025!R293,SCE_Q1_2025!R294,SCE_Q1_2025!R295,SCE_Q1_2025!R296)</f>
        <v>203</v>
      </c>
      <c r="D73" s="23">
        <f>SUM(SCE_Q1_2025!Q170,SCE_Q1_2025!Q171,SCE_Q1_2025!Q172,SCE_Q1_2025!Q173,SCE_Q1_2025!Q174,SCE_Q1_2025!Q190,SCE_Q1_2025!Q191,SCE_Q1_2025!Q192,SCE_Q1_2025!Q193,SCE_Q1_2025!Q194,SCE_Q1_2025!Q195,SCE_Q1_2025!Q196,SCE_Q1_2025!Q211,SCE_Q1_2025!Q212,SCE_Q1_2025!Q213,SCE_Q1_2025!Q214,SCE_Q1_2025!Q215,SCE_Q1_2025!Q216,SCE_Q1_2025!Q217)+SUM(SCE_Q1_2025!R170,SCE_Q1_2025!R171,SCE_Q1_2025!R172,SCE_Q1_2025!R173,SCE_Q1_2025!R174,SCE_Q1_2025!R190,SCE_Q1_2025!R191,SCE_Q1_2025!R192,SCE_Q1_2025!R193,SCE_Q1_2025!R194,SCE_Q1_2025!R195,SCE_Q1_2025!R196,SCE_Q1_2025!R211,SCE_Q1_2025!R212,SCE_Q1_2025!R213,SCE_Q1_2025!R214,SCE_Q1_2025!R215,SCE_Q1_2025!R216,SCE_Q1_2025!R217)</f>
        <v>72</v>
      </c>
      <c r="E73" s="23">
        <f t="shared" ref="E73:E77" si="20">C73+D73</f>
        <v>275</v>
      </c>
      <c r="F73" s="24">
        <f t="shared" si="19"/>
        <v>0.26181818181818184</v>
      </c>
    </row>
    <row r="74" spans="1:6" x14ac:dyDescent="0.35">
      <c r="A74" s="21" t="s">
        <v>33</v>
      </c>
      <c r="B74" s="22" t="s">
        <v>27</v>
      </c>
      <c r="C74" s="23">
        <f>SUM(SCE_Q1_2025!Q233,SCE_Q1_2025!Q234,SCE_Q1_2025!Q261,SCE_Q1_2025!Q285,SCE_Q1_2025!Q286)+SUM(SCE_Q1_2025!R233,SCE_Q1_2025!R234,SCE_Q1_2025!R261,SCE_Q1_2025!R285,SCE_Q1_2025!R286)</f>
        <v>5</v>
      </c>
      <c r="D74" s="23">
        <f>SUM(SCE_Q1_2025!Q168,SCE_Q1_2025!Q169,SCE_Q1_2025!Q189,SCE_Q1_2025!Q209)+SUM(SCE_Q1_2025!R168,SCE_Q1_2025!R169,SCE_Q1_2025!R189,SCE_Q1_2025!R209)</f>
        <v>24</v>
      </c>
      <c r="E74" s="23">
        <f t="shared" si="20"/>
        <v>29</v>
      </c>
      <c r="F74" s="24">
        <f t="shared" si="19"/>
        <v>0.82758620689655171</v>
      </c>
    </row>
    <row r="75" spans="1:6" x14ac:dyDescent="0.35">
      <c r="A75" s="21" t="s">
        <v>23</v>
      </c>
      <c r="B75" s="22" t="s">
        <v>19</v>
      </c>
      <c r="C75" s="23">
        <f>SUM(SCE_Q1_2025!Q98,SCE_Q1_2025!Q99,SCE_Q1_2025!Q100,SCE_Q1_2025!Q101,SCE_Q1_2025!Q102,SCE_Q1_2025!Q103,SCE_Q1_2025!Q104,SCE_Q1_2025!Q105,SCE_Q1_2025!Q106,SCE_Q1_2025!Q108,SCE_Q1_2025!Q111,SCE_Q1_2025!Q110,SCE_Q1_2025!Q112,SCE_Q1_2025!Q125,SCE_Q1_2025!Q127,SCE_Q1_2025!Q129,SCE_Q1_2025!Q130,SCE_Q1_2025!Q131,SCE_Q1_2025!Q132,SCE_Q1_2025!Q133,SCE_Q1_2025!Q135,SCE_Q1_2025!Q137,SCE_Q1_2025!Q139,SCE_Q1_2025!Q152,SCE_Q1_2025!Q154,SCE_Q1_2025!Q155,SCE_Q1_2025!Q156,SCE_Q1_2025!Q157,SCE_Q1_2025!Q158,SCE_Q1_2025!Q159,SCE_Q1_2025!Q160,SCE_Q1_2025!Q162,SCE_Q1_2025!Q164,SCE_Q1_2025!Q166)+SUM(SCE_Q1_2025!R98,SCE_Q1_2025!R99,SCE_Q1_2025!R100,SCE_Q1_2025!R101,SCE_Q1_2025!R102,SCE_Q1_2025!R103,SCE_Q1_2025!R104,SCE_Q1_2025!R105,SCE_Q1_2025!R106,SCE_Q1_2025!R108,SCE_Q1_2025!R111,SCE_Q1_2025!R110,SCE_Q1_2025!R112,SCE_Q1_2025!R125,SCE_Q1_2025!R127,SCE_Q1_2025!R129,SCE_Q1_2025!R130,SCE_Q1_2025!R131,SCE_Q1_2025!R132,SCE_Q1_2025!R133,SCE_Q1_2025!R135,SCE_Q1_2025!R137,SCE_Q1_2025!R139,SCE_Q1_2025!R152,SCE_Q1_2025!R154,SCE_Q1_2025!R155,SCE_Q1_2025!R156,SCE_Q1_2025!R157,SCE_Q1_2025!R158,SCE_Q1_2025!R159,SCE_Q1_2025!R160,SCE_Q1_2025!R162,SCE_Q1_2025!R164,SCE_Q1_2025!R166)</f>
        <v>911</v>
      </c>
      <c r="D75" s="23">
        <f>SUM(SCE_Q1_2025!Q14,SCE_Q1_2025!Q15,SCE_Q1_2025!Q16,SCE_Q1_2025!Q17,SCE_Q1_2025!Q18,SCE_Q1_2025!Q19,SCE_Q1_2025!Q20,SCE_Q1_2025!Q22,SCE_Q1_2025!Q23,SCE_Q1_2025!Q24,SCE_Q1_2025!Q25,SCE_Q1_2025!Q26,SCE_Q1_2025!Q28,SCE_Q1_2025!Q29,SCE_Q1_2025!Q41,SCE_Q1_2025!Q42,SCE_Q1_2025!Q43,SCE_Q1_2025!Q44,SCE_Q1_2025!Q45,SCE_Q1_2025!Q47,SCE_Q1_2025!Q48,SCE_Q1_2025!Q49,SCE_Q1_2025!Q51,SCE_Q1_2025!Q52,SCE_Q1_2025!Q53,SCE_Q1_2025!Q55,SCE_Q1_2025!Q56,SCE_Q1_2025!Q70,SCE_Q1_2025!Q71,SCE_Q1_2025!Q72,SCE_Q1_2025!Q73,SCE_Q1_2025!Q74,SCE_Q1_2025!Q75,SCE_Q1_2025!Q76,SCE_Q1_2025!Q77,SCE_Q1_2025!Q78,SCE_Q1_2025!Q80,SCE_Q1_2025!Q81,SCE_Q1_2025!Q82,SCE_Q1_2025!Q84)+SUM(SCE_Q1_2025!R14,SCE_Q1_2025!R15,SCE_Q1_2025!R16,SCE_Q1_2025!R17,SCE_Q1_2025!R18,SCE_Q1_2025!R19,SCE_Q1_2025!R20,SCE_Q1_2025!R22,SCE_Q1_2025!R23,SCE_Q1_2025!R24,SCE_Q1_2025!R25,SCE_Q1_2025!R26,SCE_Q1_2025!R28,SCE_Q1_2025!R29,SCE_Q1_2025!R41,SCE_Q1_2025!R42,SCE_Q1_2025!R43,SCE_Q1_2025!R44,SCE_Q1_2025!R45,SCE_Q1_2025!R47,SCE_Q1_2025!R48,SCE_Q1_2025!R49,SCE_Q1_2025!R51,SCE_Q1_2025!R52,SCE_Q1_2025!R53,SCE_Q1_2025!R55,SCE_Q1_2025!R56,SCE_Q1_2025!R70,SCE_Q1_2025!R71,SCE_Q1_2025!R72,SCE_Q1_2025!R73,SCE_Q1_2025!R74,SCE_Q1_2025!R75,SCE_Q1_2025!R76,SCE_Q1_2025!R77,SCE_Q1_2025!R78,SCE_Q1_2025!R80,SCE_Q1_2025!R81,SCE_Q1_2025!R82,SCE_Q1_2025!R84)</f>
        <v>867</v>
      </c>
      <c r="E75" s="23">
        <f t="shared" si="20"/>
        <v>1778</v>
      </c>
      <c r="F75" s="24">
        <f t="shared" si="19"/>
        <v>0.48762654668166477</v>
      </c>
    </row>
    <row r="76" spans="1:6" x14ac:dyDescent="0.35">
      <c r="A76" s="21" t="s">
        <v>23</v>
      </c>
      <c r="B76" s="22" t="s">
        <v>46</v>
      </c>
      <c r="C76" s="23">
        <f>SUM(SCE_Q1_2025!Q90,SCE_Q1_2025!Q91,SCE_Q1_2025!Q92,SCE_Q1_2025!Q93,SCE_Q1_2025!Q94,SCE_Q1_2025!Q95,SCE_Q1_2025!Q96,SCE_Q1_2025!Q97,SCE_Q1_2025!Q117,SCE_Q1_2025!Q118,SCE_Q1_2025!Q119,SCE_Q1_2025!Q120,SCE_Q1_2025!Q121,SCE_Q1_2025!Q122,SCE_Q1_2025!Q123,SCE_Q1_2025!Q124,SCE_Q1_2025!Q144,SCE_Q1_2025!Q145,SCE_Q1_2025!Q146,SCE_Q1_2025!Q147,SCE_Q1_2025!Q148,SCE_Q1_2025!Q149,SCE_Q1_2025!Q150,SCE_Q1_2025!Q151)+SUM(SCE_Q1_2025!R90,SCE_Q1_2025!R91,SCE_Q1_2025!R92,SCE_Q1_2025!R93,SCE_Q1_2025!R94,SCE_Q1_2025!R95,SCE_Q1_2025!R96,SCE_Q1_2025!R97,SCE_Q1_2025!R117,SCE_Q1_2025!R118,SCE_Q1_2025!R119,SCE_Q1_2025!R120,SCE_Q1_2025!R121,SCE_Q1_2025!R122,SCE_Q1_2025!R123,SCE_Q1_2025!R124,SCE_Q1_2025!R144,SCE_Q1_2025!R145,SCE_Q1_2025!R146,SCE_Q1_2025!R147,SCE_Q1_2025!R148,SCE_Q1_2025!R149,SCE_Q1_2025!R150,SCE_Q1_2025!R151)</f>
        <v>363</v>
      </c>
      <c r="D76" s="23">
        <f>SUM(SCE_Q1_2025!Q6,SCE_Q1_2025!Q7,SCE_Q1_2025!Q8,SCE_Q1_2025!Q9,SCE_Q1_2025!Q10,SCE_Q1_2025!Q11,SCE_Q1_2025!Q12,SCE_Q1_2025!Q13,SCE_Q1_2025!Q33,SCE_Q1_2025!Q34,SCE_Q1_2025!Q35,SCE_Q1_2025!Q36,SCE_Q1_2025!Q37,SCE_Q1_2025!Q38,SCE_Q1_2025!Q39,SCE_Q1_2025!Q40,SCE_Q1_2025!Q62,SCE_Q1_2025!Q63,SCE_Q1_2025!Q64,SCE_Q1_2025!Q65,SCE_Q1_2025!Q66,SCE_Q1_2025!Q67,SCE_Q1_2025!Q68,SCE_Q1_2025!Q69)+SUM(SCE_Q1_2025!R6,SCE_Q1_2025!R7,SCE_Q1_2025!R8,SCE_Q1_2025!R9,SCE_Q1_2025!R10,SCE_Q1_2025!R11,SCE_Q1_2025!R12,SCE_Q1_2025!R13,SCE_Q1_2025!R33,SCE_Q1_2025!R34,SCE_Q1_2025!R35,SCE_Q1_2025!R36,SCE_Q1_2025!R37,SCE_Q1_2025!R38,SCE_Q1_2025!R39,SCE_Q1_2025!R40,SCE_Q1_2025!R62,SCE_Q1_2025!R63,SCE_Q1_2025!R64,SCE_Q1_2025!R65,SCE_Q1_2025!R66,SCE_Q1_2025!R67,SCE_Q1_2025!R68,SCE_Q1_2025!R69)</f>
        <v>473</v>
      </c>
      <c r="E76" s="23">
        <f t="shared" si="20"/>
        <v>836</v>
      </c>
      <c r="F76" s="24">
        <f t="shared" si="19"/>
        <v>0.56578947368421051</v>
      </c>
    </row>
    <row r="77" spans="1:6" x14ac:dyDescent="0.35">
      <c r="A77" s="21" t="s">
        <v>23</v>
      </c>
      <c r="B77" s="22" t="s">
        <v>27</v>
      </c>
      <c r="C77" s="23">
        <f>SUM(SCE_Q1_2025!Q86,SCE_Q1_2025!Q89,SCE_Q1_2025!Q116,SCE_Q1_2025!Q141,SCE_Q1_2025!Q142)+SUM(SCE_Q1_2025!R86,SCE_Q1_2025!R89,SCE_Q1_2025!R116,SCE_Q1_2025!R141,SCE_Q1_2025!R142)</f>
        <v>11</v>
      </c>
      <c r="D77" s="23">
        <f>SUM(SCE_Q1_2025!Q3,SCE_Q1_2025!Q4,SCE_Q1_2025!Q5,SCE_Q1_2025!Q30,SCE_Q1_2025!Q31,SCE_Q1_2025!Q32,SCE_Q1_2025!Q57,SCE_Q1_2025!Q59,SCE_Q1_2025!Q60,SCE_Q1_2025!Q61)+SUM(SCE_Q1_2025!R3,SCE_Q1_2025!R4,SCE_Q1_2025!R5,SCE_Q1_2025!R30,SCE_Q1_2025!R31,SCE_Q1_2025!R32,SCE_Q1_2025!R57,SCE_Q1_2025!R59,SCE_Q1_2025!R60,SCE_Q1_2025!R61)</f>
        <v>19</v>
      </c>
      <c r="E77" s="23">
        <f t="shared" si="20"/>
        <v>30</v>
      </c>
      <c r="F77" s="24">
        <f t="shared" si="19"/>
        <v>0.6333333333333333</v>
      </c>
    </row>
  </sheetData>
  <mergeCells count="20">
    <mergeCell ref="A68:F68"/>
    <mergeCell ref="A69:F69"/>
    <mergeCell ref="A3:F3"/>
    <mergeCell ref="A5:F5"/>
    <mergeCell ref="A13:F13"/>
    <mergeCell ref="A18:F18"/>
    <mergeCell ref="A32:F32"/>
    <mergeCell ref="A33:F33"/>
    <mergeCell ref="A53:F53"/>
    <mergeCell ref="A54:F54"/>
    <mergeCell ref="K12:K13"/>
    <mergeCell ref="L12:L13"/>
    <mergeCell ref="M12:M13"/>
    <mergeCell ref="H6:L6"/>
    <mergeCell ref="K8:K9"/>
    <mergeCell ref="L8:L9"/>
    <mergeCell ref="M8:M9"/>
    <mergeCell ref="K10:K11"/>
    <mergeCell ref="L10:L11"/>
    <mergeCell ref="M10:M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E5C8-DEB5-4BE7-A085-B0F0C3CEA80A}">
  <dimension ref="A3:F77"/>
  <sheetViews>
    <sheetView workbookViewId="0">
      <selection activeCell="D8" sqref="D8"/>
    </sheetView>
  </sheetViews>
  <sheetFormatPr defaultRowHeight="14.5" x14ac:dyDescent="0.35"/>
  <cols>
    <col min="1" max="1" width="29.453125" customWidth="1"/>
    <col min="2" max="2" width="29.54296875" style="16" customWidth="1"/>
    <col min="3" max="3" width="23" customWidth="1"/>
    <col min="4" max="4" width="30.81640625" customWidth="1"/>
    <col min="5" max="5" width="33.7265625" customWidth="1"/>
    <col min="6" max="6" width="27.7265625" customWidth="1"/>
  </cols>
  <sheetData>
    <row r="3" spans="1:6" ht="16.5" customHeight="1" x14ac:dyDescent="0.35">
      <c r="A3" s="58" t="s">
        <v>47</v>
      </c>
      <c r="B3" s="59"/>
      <c r="C3" s="59"/>
      <c r="D3" s="59"/>
      <c r="E3" s="59"/>
      <c r="F3" s="59"/>
    </row>
    <row r="4" spans="1:6" s="10" customFormat="1" x14ac:dyDescent="0.35">
      <c r="A4" s="29" t="s">
        <v>44</v>
      </c>
      <c r="B4" s="30" t="s">
        <v>2</v>
      </c>
      <c r="C4" s="29" t="s">
        <v>32</v>
      </c>
      <c r="D4" s="29" t="s">
        <v>41</v>
      </c>
      <c r="E4" s="29" t="s">
        <v>42</v>
      </c>
      <c r="F4" s="29" t="s">
        <v>43</v>
      </c>
    </row>
    <row r="5" spans="1:6" x14ac:dyDescent="0.35">
      <c r="A5" s="56" t="s">
        <v>37</v>
      </c>
      <c r="B5" s="57"/>
      <c r="C5" s="57"/>
      <c r="D5" s="57"/>
      <c r="E5" s="57"/>
      <c r="F5" s="57"/>
    </row>
    <row r="6" spans="1:6" x14ac:dyDescent="0.35">
      <c r="A6" s="25" t="s">
        <v>33</v>
      </c>
      <c r="B6" s="26" t="s">
        <v>19</v>
      </c>
      <c r="C6" s="27">
        <f>C36</f>
        <v>4</v>
      </c>
      <c r="D6" s="27">
        <f t="shared" ref="D6:F7" si="0">D36</f>
        <v>102</v>
      </c>
      <c r="E6" s="27">
        <f t="shared" si="0"/>
        <v>106</v>
      </c>
      <c r="F6" s="28">
        <f t="shared" si="0"/>
        <v>0.96226415094339623</v>
      </c>
    </row>
    <row r="7" spans="1:6" x14ac:dyDescent="0.35">
      <c r="A7" s="25" t="s">
        <v>33</v>
      </c>
      <c r="B7" s="26" t="s">
        <v>16</v>
      </c>
      <c r="C7" s="27">
        <f>C37</f>
        <v>1</v>
      </c>
      <c r="D7" s="27">
        <f t="shared" si="0"/>
        <v>37</v>
      </c>
      <c r="E7" s="27">
        <f t="shared" si="0"/>
        <v>38</v>
      </c>
      <c r="F7" s="28">
        <f t="shared" si="0"/>
        <v>0.97368421052631582</v>
      </c>
    </row>
    <row r="8" spans="1:6" x14ac:dyDescent="0.35">
      <c r="A8" s="25" t="s">
        <v>23</v>
      </c>
      <c r="B8" s="26" t="s">
        <v>14</v>
      </c>
      <c r="C8" s="27">
        <f>C43</f>
        <v>3</v>
      </c>
      <c r="D8" s="27">
        <f t="shared" ref="D8:F8" si="1">D43</f>
        <v>182</v>
      </c>
      <c r="E8" s="27">
        <f t="shared" si="1"/>
        <v>185</v>
      </c>
      <c r="F8" s="28">
        <f t="shared" si="1"/>
        <v>0.98378378378378384</v>
      </c>
    </row>
    <row r="9" spans="1:6" x14ac:dyDescent="0.35">
      <c r="A9" s="25" t="s">
        <v>23</v>
      </c>
      <c r="B9" s="26" t="s">
        <v>17</v>
      </c>
      <c r="C9" s="27">
        <f t="shared" ref="C9:F12" si="2">C44</f>
        <v>6</v>
      </c>
      <c r="D9" s="27">
        <f t="shared" si="2"/>
        <v>64</v>
      </c>
      <c r="E9" s="27">
        <f t="shared" si="2"/>
        <v>70</v>
      </c>
      <c r="F9" s="28">
        <f t="shared" si="2"/>
        <v>0.91428571428571426</v>
      </c>
    </row>
    <row r="10" spans="1:6" ht="29" x14ac:dyDescent="0.35">
      <c r="A10" s="25" t="s">
        <v>23</v>
      </c>
      <c r="B10" s="26" t="s">
        <v>18</v>
      </c>
      <c r="C10" s="27">
        <f t="shared" si="2"/>
        <v>15</v>
      </c>
      <c r="D10" s="27">
        <f t="shared" si="2"/>
        <v>66</v>
      </c>
      <c r="E10" s="27">
        <f t="shared" si="2"/>
        <v>81</v>
      </c>
      <c r="F10" s="28">
        <f t="shared" si="2"/>
        <v>0.81481481481481477</v>
      </c>
    </row>
    <row r="11" spans="1:6" x14ac:dyDescent="0.35">
      <c r="A11" s="25" t="s">
        <v>23</v>
      </c>
      <c r="B11" s="26" t="s">
        <v>16</v>
      </c>
      <c r="C11" s="27">
        <f t="shared" si="2"/>
        <v>86</v>
      </c>
      <c r="D11" s="27">
        <f t="shared" si="2"/>
        <v>526</v>
      </c>
      <c r="E11" s="27">
        <f t="shared" si="2"/>
        <v>612</v>
      </c>
      <c r="F11" s="28">
        <f t="shared" si="2"/>
        <v>0.85947712418300659</v>
      </c>
    </row>
    <row r="12" spans="1:6" x14ac:dyDescent="0.35">
      <c r="A12" s="25" t="s">
        <v>23</v>
      </c>
      <c r="B12" s="26" t="s">
        <v>19</v>
      </c>
      <c r="C12" s="27">
        <f t="shared" si="2"/>
        <v>722</v>
      </c>
      <c r="D12" s="27">
        <f t="shared" si="2"/>
        <v>1951</v>
      </c>
      <c r="E12" s="27">
        <f t="shared" si="2"/>
        <v>2673</v>
      </c>
      <c r="F12" s="28">
        <f t="shared" si="2"/>
        <v>0.72989150766928546</v>
      </c>
    </row>
    <row r="13" spans="1:6" x14ac:dyDescent="0.35">
      <c r="A13" s="56" t="s">
        <v>40</v>
      </c>
      <c r="B13" s="57"/>
      <c r="C13" s="57"/>
      <c r="D13" s="57"/>
      <c r="E13" s="57"/>
      <c r="F13" s="57"/>
    </row>
    <row r="14" spans="1:6" x14ac:dyDescent="0.35">
      <c r="A14" s="25" t="s">
        <v>33</v>
      </c>
      <c r="B14" s="26" t="s">
        <v>45</v>
      </c>
      <c r="C14" s="27">
        <f>C57</f>
        <v>62</v>
      </c>
      <c r="D14" s="27">
        <f t="shared" ref="D14:F15" si="3">D57</f>
        <v>2515</v>
      </c>
      <c r="E14" s="27">
        <f t="shared" si="3"/>
        <v>2577</v>
      </c>
      <c r="F14" s="28">
        <f t="shared" si="3"/>
        <v>0.97594101668606903</v>
      </c>
    </row>
    <row r="15" spans="1:6" x14ac:dyDescent="0.35">
      <c r="A15" s="25" t="s">
        <v>33</v>
      </c>
      <c r="B15" s="26" t="s">
        <v>19</v>
      </c>
      <c r="C15" s="27">
        <f>C58</f>
        <v>605</v>
      </c>
      <c r="D15" s="27">
        <f t="shared" si="3"/>
        <v>257</v>
      </c>
      <c r="E15" s="27">
        <f t="shared" si="3"/>
        <v>862</v>
      </c>
      <c r="F15" s="28">
        <f t="shared" si="3"/>
        <v>0.29814385150812067</v>
      </c>
    </row>
    <row r="16" spans="1:6" x14ac:dyDescent="0.35">
      <c r="A16" s="25" t="s">
        <v>23</v>
      </c>
      <c r="B16" s="26" t="s">
        <v>45</v>
      </c>
      <c r="C16" s="27">
        <f>C61</f>
        <v>167</v>
      </c>
      <c r="D16" s="27">
        <f t="shared" ref="D16:F17" si="4">D61</f>
        <v>498</v>
      </c>
      <c r="E16" s="27">
        <f t="shared" si="4"/>
        <v>665</v>
      </c>
      <c r="F16" s="28">
        <f t="shared" si="4"/>
        <v>0.7488721804511278</v>
      </c>
    </row>
    <row r="17" spans="1:6" x14ac:dyDescent="0.35">
      <c r="A17" s="25" t="s">
        <v>23</v>
      </c>
      <c r="B17" s="26" t="s">
        <v>19</v>
      </c>
      <c r="C17" s="27">
        <f>C62</f>
        <v>583</v>
      </c>
      <c r="D17" s="27">
        <f t="shared" si="4"/>
        <v>1063</v>
      </c>
      <c r="E17" s="27">
        <f t="shared" si="4"/>
        <v>1646</v>
      </c>
      <c r="F17" s="28">
        <f t="shared" si="4"/>
        <v>0.64580801944106925</v>
      </c>
    </row>
    <row r="18" spans="1:6" x14ac:dyDescent="0.35">
      <c r="A18" s="56" t="s">
        <v>39</v>
      </c>
      <c r="B18" s="57"/>
      <c r="C18" s="57"/>
      <c r="D18" s="57"/>
      <c r="E18" s="57"/>
      <c r="F18" s="57"/>
    </row>
    <row r="19" spans="1:6" x14ac:dyDescent="0.35">
      <c r="A19" s="25" t="s">
        <v>33</v>
      </c>
      <c r="B19" s="26" t="s">
        <v>19</v>
      </c>
      <c r="C19" s="27">
        <f>C72</f>
        <v>2326</v>
      </c>
      <c r="D19" s="27">
        <f t="shared" ref="D19:F19" si="5">D72</f>
        <v>95</v>
      </c>
      <c r="E19" s="27">
        <f t="shared" si="5"/>
        <v>2421</v>
      </c>
      <c r="F19" s="28">
        <f t="shared" si="5"/>
        <v>3.9239983477901696E-2</v>
      </c>
    </row>
    <row r="20" spans="1:6" x14ac:dyDescent="0.35">
      <c r="A20" s="25" t="s">
        <v>33</v>
      </c>
      <c r="B20" s="26" t="s">
        <v>46</v>
      </c>
      <c r="C20" s="27">
        <f t="shared" ref="C20:F24" si="6">C73</f>
        <v>203</v>
      </c>
      <c r="D20" s="27">
        <f t="shared" si="6"/>
        <v>71</v>
      </c>
      <c r="E20" s="27">
        <f t="shared" si="6"/>
        <v>274</v>
      </c>
      <c r="F20" s="28">
        <f t="shared" si="6"/>
        <v>0.25912408759124089</v>
      </c>
    </row>
    <row r="21" spans="1:6" x14ac:dyDescent="0.35">
      <c r="A21" s="25" t="s">
        <v>33</v>
      </c>
      <c r="B21" s="26" t="s">
        <v>27</v>
      </c>
      <c r="C21" s="27">
        <f t="shared" si="6"/>
        <v>5</v>
      </c>
      <c r="D21" s="27">
        <f t="shared" si="6"/>
        <v>24</v>
      </c>
      <c r="E21" s="27">
        <f t="shared" si="6"/>
        <v>29</v>
      </c>
      <c r="F21" s="28">
        <f t="shared" si="6"/>
        <v>0.82758620689655171</v>
      </c>
    </row>
    <row r="22" spans="1:6" x14ac:dyDescent="0.35">
      <c r="A22" s="25" t="s">
        <v>23</v>
      </c>
      <c r="B22" s="26" t="s">
        <v>19</v>
      </c>
      <c r="C22" s="27">
        <f t="shared" si="6"/>
        <v>911</v>
      </c>
      <c r="D22" s="27">
        <f t="shared" si="6"/>
        <v>788</v>
      </c>
      <c r="E22" s="27">
        <f t="shared" si="6"/>
        <v>1699</v>
      </c>
      <c r="F22" s="28">
        <f t="shared" si="6"/>
        <v>0.46380223660977044</v>
      </c>
    </row>
    <row r="23" spans="1:6" x14ac:dyDescent="0.35">
      <c r="A23" s="25" t="s">
        <v>23</v>
      </c>
      <c r="B23" s="26" t="s">
        <v>46</v>
      </c>
      <c r="C23" s="27">
        <f t="shared" si="6"/>
        <v>363</v>
      </c>
      <c r="D23" s="27">
        <f t="shared" si="6"/>
        <v>463</v>
      </c>
      <c r="E23" s="27">
        <f t="shared" si="6"/>
        <v>826</v>
      </c>
      <c r="F23" s="28">
        <f t="shared" si="6"/>
        <v>0.56053268765133168</v>
      </c>
    </row>
    <row r="24" spans="1:6" x14ac:dyDescent="0.35">
      <c r="A24" s="25" t="s">
        <v>23</v>
      </c>
      <c r="B24" s="26" t="s">
        <v>27</v>
      </c>
      <c r="C24" s="27">
        <f t="shared" si="6"/>
        <v>11</v>
      </c>
      <c r="D24" s="27">
        <f t="shared" si="6"/>
        <v>19</v>
      </c>
      <c r="E24" s="27">
        <f t="shared" si="6"/>
        <v>30</v>
      </c>
      <c r="F24" s="28">
        <f t="shared" si="6"/>
        <v>0.6333333333333333</v>
      </c>
    </row>
    <row r="32" spans="1:6" x14ac:dyDescent="0.35">
      <c r="A32" s="56" t="s">
        <v>37</v>
      </c>
      <c r="B32" s="57"/>
      <c r="C32" s="57"/>
      <c r="D32" s="57"/>
      <c r="E32" s="57"/>
      <c r="F32" s="57"/>
    </row>
    <row r="33" spans="1:6" ht="30" customHeight="1" x14ac:dyDescent="0.35">
      <c r="A33" s="58" t="s">
        <v>52</v>
      </c>
      <c r="B33" s="59"/>
      <c r="C33" s="59"/>
      <c r="D33" s="59"/>
      <c r="E33" s="59"/>
      <c r="F33" s="59"/>
    </row>
    <row r="35" spans="1:6" ht="14.25" customHeight="1" x14ac:dyDescent="0.35">
      <c r="A35" s="12" t="s">
        <v>44</v>
      </c>
      <c r="B35" s="13" t="s">
        <v>2</v>
      </c>
      <c r="C35" s="13" t="s">
        <v>32</v>
      </c>
      <c r="D35" s="13" t="s">
        <v>41</v>
      </c>
      <c r="E35" s="13" t="s">
        <v>42</v>
      </c>
      <c r="F35" s="14" t="s">
        <v>43</v>
      </c>
    </row>
    <row r="36" spans="1:6" x14ac:dyDescent="0.35">
      <c r="A36" s="21" t="s">
        <v>33</v>
      </c>
      <c r="B36" s="22" t="s">
        <v>19</v>
      </c>
      <c r="C36" s="23">
        <f>PGE_Q1_2025!Q10+PGE_Q1_2025!Q62</f>
        <v>4</v>
      </c>
      <c r="D36" s="23">
        <f>PGE_Q1_2025!Q86+PGE_Q1_2025!Q87+PGE_Q1_2025!Q95</f>
        <v>102</v>
      </c>
      <c r="E36" s="23">
        <f>C36+D36</f>
        <v>106</v>
      </c>
      <c r="F36" s="24">
        <f>D36/E36</f>
        <v>0.96226415094339623</v>
      </c>
    </row>
    <row r="37" spans="1:6" x14ac:dyDescent="0.35">
      <c r="A37" s="21" t="s">
        <v>33</v>
      </c>
      <c r="B37" s="22" t="s">
        <v>16</v>
      </c>
      <c r="C37" s="23">
        <f>PGE_Q1_2025!Q19</f>
        <v>1</v>
      </c>
      <c r="D37" s="23">
        <f>PGE_Q1_2025!Q34+PGE_Q1_2025!Q44+PGE_Q1_2025!Q53</f>
        <v>37</v>
      </c>
      <c r="E37" s="23">
        <f t="shared" ref="E37:E50" si="7">C37+D37</f>
        <v>38</v>
      </c>
      <c r="F37" s="24">
        <f t="shared" ref="F37:F50" si="8">D37/E37</f>
        <v>0.97368421052631582</v>
      </c>
    </row>
    <row r="38" spans="1:6" x14ac:dyDescent="0.35">
      <c r="A38" s="10" t="s">
        <v>33</v>
      </c>
      <c r="B38" s="15" t="s">
        <v>14</v>
      </c>
      <c r="C38" s="10"/>
      <c r="D38" s="11">
        <f>PGE_Q1_2025!Q42+PGE_Q1_2025!Q67</f>
        <v>2</v>
      </c>
      <c r="E38" s="11">
        <f t="shared" si="7"/>
        <v>2</v>
      </c>
      <c r="F38" s="18">
        <f t="shared" si="8"/>
        <v>1</v>
      </c>
    </row>
    <row r="39" spans="1:6" x14ac:dyDescent="0.35">
      <c r="A39" s="10" t="s">
        <v>33</v>
      </c>
      <c r="B39" s="15" t="s">
        <v>15</v>
      </c>
      <c r="C39" s="10"/>
      <c r="D39" s="11">
        <f>PGE_Q1_2025!Q43+PGE_Q1_2025!Q63</f>
        <v>4</v>
      </c>
      <c r="E39" s="11">
        <f t="shared" si="7"/>
        <v>4</v>
      </c>
      <c r="F39" s="18">
        <f t="shared" si="8"/>
        <v>1</v>
      </c>
    </row>
    <row r="40" spans="1:6" ht="29" x14ac:dyDescent="0.35">
      <c r="A40" s="10" t="s">
        <v>33</v>
      </c>
      <c r="B40" s="15" t="s">
        <v>18</v>
      </c>
      <c r="C40" s="10"/>
      <c r="D40" s="11">
        <f>PGE_Q1_2025!Q64+PGE_Q1_2025!Q65+PGE_Q1_2025!Q73</f>
        <v>32</v>
      </c>
      <c r="E40" s="11">
        <f t="shared" si="7"/>
        <v>32</v>
      </c>
      <c r="F40" s="18">
        <f t="shared" si="8"/>
        <v>1</v>
      </c>
    </row>
    <row r="41" spans="1:6" x14ac:dyDescent="0.35">
      <c r="A41" s="10" t="s">
        <v>33</v>
      </c>
      <c r="B41" s="15" t="s">
        <v>21</v>
      </c>
      <c r="C41" s="10"/>
      <c r="D41" s="11">
        <f>PGE_Q1_2025!Q66+PGE_Q1_2025!Q72+PGE_Q1_2025!Q74</f>
        <v>60</v>
      </c>
      <c r="E41" s="11">
        <f t="shared" si="7"/>
        <v>60</v>
      </c>
      <c r="F41" s="18">
        <f t="shared" si="8"/>
        <v>1</v>
      </c>
    </row>
    <row r="42" spans="1:6" x14ac:dyDescent="0.35">
      <c r="A42" s="10" t="s">
        <v>33</v>
      </c>
      <c r="B42" s="15" t="s">
        <v>20</v>
      </c>
      <c r="C42" s="10"/>
      <c r="D42" s="11">
        <f>PGE_Q1_2025!Q78</f>
        <v>4</v>
      </c>
      <c r="E42" s="11">
        <f t="shared" si="7"/>
        <v>4</v>
      </c>
      <c r="F42" s="18">
        <f t="shared" si="8"/>
        <v>1</v>
      </c>
    </row>
    <row r="43" spans="1:6" x14ac:dyDescent="0.35">
      <c r="A43" s="21" t="s">
        <v>23</v>
      </c>
      <c r="B43" s="22" t="s">
        <v>14</v>
      </c>
      <c r="C43" s="23">
        <f>PGE_Q1_2025!Q56+PGE_Q1_2025!Q57+PGE_Q1_2025!Q68</f>
        <v>3</v>
      </c>
      <c r="D43" s="23">
        <f>PGE_Q1_2025!Q89+PGE_Q1_2025!Q99+PGE_Q1_2025!Q100</f>
        <v>182</v>
      </c>
      <c r="E43" s="23">
        <f t="shared" si="7"/>
        <v>185</v>
      </c>
      <c r="F43" s="24">
        <f t="shared" si="8"/>
        <v>0.98378378378378384</v>
      </c>
    </row>
    <row r="44" spans="1:6" x14ac:dyDescent="0.35">
      <c r="A44" s="21" t="s">
        <v>23</v>
      </c>
      <c r="B44" s="22" t="s">
        <v>17</v>
      </c>
      <c r="C44" s="23">
        <f>PGE_Q1_2025!Q58+PGE_Q1_2025!Q69+PGE_Q1_2025!Q71</f>
        <v>6</v>
      </c>
      <c r="D44" s="23">
        <f>PGE_Q1_2025!Q77+PGE_Q1_2025!Q81+PGE_Q1_2025!Q82</f>
        <v>64</v>
      </c>
      <c r="E44" s="23">
        <f t="shared" si="7"/>
        <v>70</v>
      </c>
      <c r="F44" s="24">
        <f t="shared" si="8"/>
        <v>0.91428571428571426</v>
      </c>
    </row>
    <row r="45" spans="1:6" ht="29" x14ac:dyDescent="0.35">
      <c r="A45" s="21" t="s">
        <v>23</v>
      </c>
      <c r="B45" s="22" t="s">
        <v>18</v>
      </c>
      <c r="C45" s="23">
        <f>PGE_Q1_2025!Q70+PGE_Q1_2025!Q75+PGE_Q1_2025!Q79</f>
        <v>15</v>
      </c>
      <c r="D45" s="23">
        <f>PGE_Q1_2025!Q80+PGE_Q1_2025!Q83+PGE_Q1_2025!Q85</f>
        <v>66</v>
      </c>
      <c r="E45" s="23">
        <f t="shared" si="7"/>
        <v>81</v>
      </c>
      <c r="F45" s="24">
        <f t="shared" si="8"/>
        <v>0.81481481481481477</v>
      </c>
    </row>
    <row r="46" spans="1:6" x14ac:dyDescent="0.35">
      <c r="A46" s="21" t="s">
        <v>23</v>
      </c>
      <c r="B46" s="22" t="s">
        <v>16</v>
      </c>
      <c r="C46" s="23">
        <f>PGE_Q1_2025!Q88+PGE_Q1_2025!Q90+PGE_Q1_2025!Q101</f>
        <v>86</v>
      </c>
      <c r="D46" s="23">
        <f>PGE_Q1_2025!Q102+PGE_Q1_2025!Q104+PGE_Q1_2025!Q105</f>
        <v>526</v>
      </c>
      <c r="E46" s="23">
        <f t="shared" si="7"/>
        <v>612</v>
      </c>
      <c r="F46" s="24">
        <f t="shared" si="8"/>
        <v>0.85947712418300659</v>
      </c>
    </row>
    <row r="47" spans="1:6" x14ac:dyDescent="0.35">
      <c r="A47" s="21" t="s">
        <v>23</v>
      </c>
      <c r="B47" s="22" t="s">
        <v>19</v>
      </c>
      <c r="C47" s="23">
        <f>PGE_Q1_2025!Q103+PGE_Q1_2025!Q107+PGE_Q1_2025!Q106</f>
        <v>722</v>
      </c>
      <c r="D47" s="23">
        <f>PGE_Q1_2025!Q108+PGE_Q1_2025!Q109+PGE_Q1_2025!Q110</f>
        <v>1951</v>
      </c>
      <c r="E47" s="23">
        <f t="shared" si="7"/>
        <v>2673</v>
      </c>
      <c r="F47" s="24">
        <f t="shared" si="8"/>
        <v>0.72989150766928546</v>
      </c>
    </row>
    <row r="48" spans="1:6" x14ac:dyDescent="0.35">
      <c r="A48" s="10" t="s">
        <v>23</v>
      </c>
      <c r="B48" s="15" t="s">
        <v>15</v>
      </c>
      <c r="C48" s="10"/>
      <c r="D48" s="11">
        <f>PGE_Q1_2025!Q91+PGE_Q1_2025!Q93+PGE_Q1_2025!Q97</f>
        <v>259</v>
      </c>
      <c r="E48" s="11">
        <f t="shared" si="7"/>
        <v>259</v>
      </c>
      <c r="F48" s="18">
        <f t="shared" si="8"/>
        <v>1</v>
      </c>
    </row>
    <row r="49" spans="1:6" x14ac:dyDescent="0.35">
      <c r="A49" s="10" t="s">
        <v>23</v>
      </c>
      <c r="B49" s="15" t="s">
        <v>20</v>
      </c>
      <c r="C49" s="10"/>
      <c r="D49" s="11">
        <f>PGE_Q1_2025!Q76+PGE_Q1_2025!Q84+PGE_Q1_2025!Q98</f>
        <v>46</v>
      </c>
      <c r="E49" s="11">
        <f t="shared" si="7"/>
        <v>46</v>
      </c>
      <c r="F49" s="18">
        <f t="shared" si="8"/>
        <v>1</v>
      </c>
    </row>
    <row r="50" spans="1:6" x14ac:dyDescent="0.35">
      <c r="A50" s="10" t="s">
        <v>23</v>
      </c>
      <c r="B50" s="15" t="s">
        <v>21</v>
      </c>
      <c r="C50" s="10"/>
      <c r="D50" s="11">
        <f>PGE_Q1_2025!Q92+PGE_Q1_2025!Q94+PGE_Q1_2025!Q96</f>
        <v>267</v>
      </c>
      <c r="E50" s="11">
        <f t="shared" si="7"/>
        <v>267</v>
      </c>
      <c r="F50" s="18">
        <f t="shared" si="8"/>
        <v>1</v>
      </c>
    </row>
    <row r="53" spans="1:6" x14ac:dyDescent="0.35">
      <c r="A53" s="56" t="s">
        <v>40</v>
      </c>
      <c r="B53" s="57"/>
      <c r="C53" s="57"/>
      <c r="D53" s="57"/>
      <c r="E53" s="57"/>
      <c r="F53" s="57"/>
    </row>
    <row r="54" spans="1:6" ht="15" customHeight="1" x14ac:dyDescent="0.35">
      <c r="A54" s="58" t="s">
        <v>52</v>
      </c>
      <c r="B54" s="59"/>
      <c r="C54" s="59"/>
      <c r="D54" s="59"/>
      <c r="E54" s="59"/>
      <c r="F54" s="59"/>
    </row>
    <row r="55" spans="1:6" x14ac:dyDescent="0.35">
      <c r="A55" s="8"/>
    </row>
    <row r="56" spans="1:6" x14ac:dyDescent="0.35">
      <c r="A56" s="12" t="s">
        <v>44</v>
      </c>
      <c r="B56" s="13" t="s">
        <v>2</v>
      </c>
      <c r="C56" s="13" t="s">
        <v>32</v>
      </c>
      <c r="D56" s="13" t="s">
        <v>41</v>
      </c>
      <c r="E56" s="13" t="s">
        <v>42</v>
      </c>
      <c r="F56" s="14" t="s">
        <v>43</v>
      </c>
    </row>
    <row r="57" spans="1:6" x14ac:dyDescent="0.35">
      <c r="A57" s="21" t="s">
        <v>33</v>
      </c>
      <c r="B57" s="22" t="s">
        <v>45</v>
      </c>
      <c r="C57" s="23">
        <f>SDGE_Q1_2025!Q47+SDGE_Q1_2025!Q50+SDGE_Q1_2025!Q97+SDGE_Q1_2025!Q148+SDGE_Q1_2025!Q178+SDGE_Q1_2025!Q181</f>
        <v>62</v>
      </c>
      <c r="D57" s="23">
        <f>SDGE_Q1_2025!Q32+SDGE_Q1_2025!Q33+SDGE_Q1_2025!Q35+SDGE_Q1_2025!Q36+SDGE_Q1_2025!Q37+SDGE_Q1_2025!Q39+SDGE_Q1_2025!Q41+SDGE_Q1_2025!Q42+SDGE_Q1_2025!Q43+SDGE_Q1_2025!Q84+SDGE_Q1_2025!Q86+SDGE_Q1_2025!Q87+SDGE_Q1_2025!Q88+SDGE_Q1_2025!Q89+SDGE_Q1_2025!Q91+SDGE_Q1_2025!Q92+SDGE_Q1_2025!Q94+SDGE_Q1_2025!Q137+SDGE_Q1_2025!Q139+SDGE_Q1_2025!Q140+SDGE_Q1_2025!Q141+SDGE_Q1_2025!Q142+SDGE_Q1_2025!Q144+SDGE_Q1_2025!Q145+SDGE_Q1_2025!Q154+SDGE_Q1_2025!Q155+SDGE_Q1_2025!Q156+SDGE_Q1_2025!Q159+SDGE_Q1_2025!Q160+SDGE_Q1_2025!Q161+SDGE_Q1_2025!Q162+SDGE_Q1_2025!Q163+SDGE_Q1_2025!Q168+SDGE_Q1_2025!Q169+SDGE_Q1_2025!Q170+SDGE_Q1_2025!Q171+SDGE_Q1_2025!Q172+SDGE_Q1_2025!Q173+SDGE_Q1_2025!Q174</f>
        <v>2515</v>
      </c>
      <c r="E57" s="23">
        <f>SUM(C57:D57)</f>
        <v>2577</v>
      </c>
      <c r="F57" s="24">
        <f t="shared" ref="F57:F64" si="9">D57/E57</f>
        <v>0.97594101668606903</v>
      </c>
    </row>
    <row r="58" spans="1:6" x14ac:dyDescent="0.35">
      <c r="A58" s="21" t="s">
        <v>33</v>
      </c>
      <c r="B58" s="22" t="s">
        <v>19</v>
      </c>
      <c r="C58" s="23">
        <f>SDGE_Q1_2025!Q48+SDGE_Q1_2025!Q49+SDGE_Q1_2025!Q51+SDGE_Q1_2025!Q98+SDGE_Q1_2025!Q99+SDGE_Q1_2025!Q101+SDGE_Q1_2025!Q149+SDGE_Q1_2025!Q150+SDGE_Q1_2025!Q151+SDGE_Q1_2025!Q175+SDGE_Q1_2025!Q176+SDGE_Q1_2025!Q177+SDGE_Q1_2025!Q179+SDGE_Q1_2025!Q180+SDGE_Q1_2025!Q182+SDGE_Q1_2025!Q183+SDGE_Q1_2025!Q184</f>
        <v>605</v>
      </c>
      <c r="D58" s="23">
        <f>SUM(SDGE_Q1_2025!Q31,SDGE_Q1_2025!Q34,SDGE_Q1_2025!Q38,SDGE_Q1_2025!Q40,SDGE_Q1_2025!Q81,SDGE_Q1_2025!Q85,SDGE_Q1_2025!Q90,SDGE_Q1_2025!Q93,SDGE_Q1_2025!Q134,SDGE_Q1_2025!Q136,SDGE_Q1_2025!Q138,SDGE_Q1_2025!Q143,SDGE_Q1_2025!Q153,SDGE_Q1_2025!Q158,SDGE_Q1_2025!Q164,SDGE_Q1_2025!Q165,SDGE_Q1_2025!Q166)</f>
        <v>257</v>
      </c>
      <c r="E58" s="23">
        <f t="shared" ref="E58:E64" si="10">SUM(C58:D58)</f>
        <v>862</v>
      </c>
      <c r="F58" s="24">
        <f t="shared" si="9"/>
        <v>0.29814385150812067</v>
      </c>
    </row>
    <row r="59" spans="1:6" x14ac:dyDescent="0.35">
      <c r="A59" s="9" t="s">
        <v>33</v>
      </c>
      <c r="B59" s="20" t="s">
        <v>27</v>
      </c>
      <c r="C59" s="9"/>
      <c r="D59" s="9">
        <f>SUM(SDGE_Q1_2025!Q83,SDGE_Q1_2025!Q152,SDGE_Q1_2025!Q157)</f>
        <v>2</v>
      </c>
      <c r="E59" s="9">
        <f t="shared" si="10"/>
        <v>2</v>
      </c>
      <c r="F59" s="18">
        <f t="shared" si="9"/>
        <v>1</v>
      </c>
    </row>
    <row r="60" spans="1:6" x14ac:dyDescent="0.35">
      <c r="A60" s="9" t="s">
        <v>33</v>
      </c>
      <c r="B60" s="20" t="s">
        <v>17</v>
      </c>
      <c r="C60" s="9"/>
      <c r="D60" s="9">
        <f>SDGE_Q1_2025!Q167</f>
        <v>1</v>
      </c>
      <c r="E60" s="9">
        <f t="shared" si="10"/>
        <v>1</v>
      </c>
      <c r="F60" s="18">
        <f t="shared" si="9"/>
        <v>1</v>
      </c>
    </row>
    <row r="61" spans="1:6" x14ac:dyDescent="0.35">
      <c r="A61" s="21" t="s">
        <v>23</v>
      </c>
      <c r="B61" s="22" t="s">
        <v>45</v>
      </c>
      <c r="C61" s="23">
        <f>SUM(SDGE_Q1_2025!Q21,SDGE_Q1_2025!Q26,SDGE_Q1_2025!Q70,SDGE_Q1_2025!Q77,SDGE_Q1_2025!Q125,SDGE_Q1_2025!Q130,SDGE_Q1_2025!Q208,SDGE_Q1_2025!Q209,SDGE_Q1_2025!Q210,SDGE_Q1_2025!Q211,SDGE_Q1_2025!Q212,SDGE_Q1_2025!Q213,SDGE_Q1_2025!Q214)</f>
        <v>167</v>
      </c>
      <c r="D61" s="23">
        <f>SUM(SDGE_Q1_2025!Q2,SDGE_Q1_2025!Q4,SDGE_Q1_2025!Q7,SDGE_Q1_2025!Q11,SDGE_Q1_2025!Q52,SDGE_Q1_2025!Q55,SDGE_Q1_2025!Q59,SDGE_Q1_2025!Q62,SDGE_Q1_2025!Q102,SDGE_Q1_2025!Q104,SDGE_Q1_2025!Q108,SDGE_Q1_2025!Q115,SDGE_Q1_2025!Q186,SDGE_Q1_2025!Q187,SDGE_Q1_2025!Q188,SDGE_Q1_2025!Q189,SDGE_Q1_2025!Q190,SDGE_Q1_2025!Q191,SDGE_Q1_2025!Q192,SDGE_Q1_2025!Q193,SDGE_Q1_2025!Q194,SDGE_Q1_2025!Q195,SDGE_Q1_2025!Q196,SDGE_Q1_2025!Q197)</f>
        <v>498</v>
      </c>
      <c r="E61" s="23">
        <f t="shared" si="10"/>
        <v>665</v>
      </c>
      <c r="F61" s="24">
        <f t="shared" si="9"/>
        <v>0.7488721804511278</v>
      </c>
    </row>
    <row r="62" spans="1:6" x14ac:dyDescent="0.35">
      <c r="A62" s="21" t="s">
        <v>23</v>
      </c>
      <c r="B62" s="22" t="s">
        <v>19</v>
      </c>
      <c r="C62" s="23">
        <f>SUM(SDGE_Q1_2025!Q17,SDGE_Q1_2025!Q23,SDGE_Q1_2025!Q24,SDGE_Q1_2025!Q25,SDGE_Q1_2025!Q27,SDGE_Q1_2025!Q29,SDGE_Q1_2025!Q28,SDGE_Q1_2025!Q65,SDGE_Q1_2025!Q67,SDGE_Q1_2025!Q72,SDGE_Q1_2025!Q73,SDGE_Q1_2025!Q74,SDGE_Q1_2025!Q78,SDGE_Q1_2025!Q80,SDGE_Q1_2025!Q79,SDGE_Q1_2025!Q121,SDGE_Q1_2025!Q123,SDGE_Q1_2025!Q124,SDGE_Q1_2025!Q126,SDGE_Q1_2025!Q127,SDGE_Q1_2025!Q128,SDGE_Q1_2025!Q131,SDGE_Q1_2025!Q133,SDGE_Q1_2025!Q215,SDGE_Q1_2025!Q216,SDGE_Q1_2025!Q217,SDGE_Q1_2025!Q218,SDGE_Q1_2025!Q219,SDGE_Q1_2025!Q220)</f>
        <v>583</v>
      </c>
      <c r="D62" s="23">
        <f>SUM(SDGE_Q1_2025!Q3,SDGE_Q1_2025!Q5,SDGE_Q1_2025!Q6,SDGE_Q1_2025!Q8,SDGE_Q1_2025!Q9,SDGE_Q1_2025!Q10,SDGE_Q1_2025!Q12,SDGE_Q1_2025!Q13,SDGE_Q1_2025!Q14,SDGE_Q1_2025!Q53,SDGE_Q1_2025!Q54,SDGE_Q1_2025!Q56,SDGE_Q1_2025!Q57,SDGE_Q1_2025!Q58,SDGE_Q1_2025!Q60,SDGE_Q1_2025!Q61,SDGE_Q1_2025!Q63,SDGE_Q1_2025!Q103,SDGE_Q1_2025!Q105,SDGE_Q1_2025!Q109,SDGE_Q1_2025!Q110,SDGE_Q1_2025!Q111,SDGE_Q1_2025!Q113,SDGE_Q1_2025!Q117,SDGE_Q1_2025!Q118,SDGE_Q1_2025!Q119,SDGE_Q1_2025!Q120,SDGE_Q1_2025!Q199,SDGE_Q1_2025!Q200,SDGE_Q1_2025!Q201,SDGE_Q1_2025!Q202,SDGE_Q1_2025!Q204,SDGE_Q1_2025!Q205,SDGE_Q1_2025!Q207,SDGE_Q1_2025!Q203,SDGE_Q1_2025!Q206)</f>
        <v>1063</v>
      </c>
      <c r="E62" s="23">
        <f t="shared" si="10"/>
        <v>1646</v>
      </c>
      <c r="F62" s="24">
        <f t="shared" si="9"/>
        <v>0.64580801944106925</v>
      </c>
    </row>
    <row r="63" spans="1:6" x14ac:dyDescent="0.35">
      <c r="A63" s="17" t="s">
        <v>23</v>
      </c>
      <c r="B63" s="20" t="s">
        <v>27</v>
      </c>
      <c r="C63" s="9"/>
      <c r="D63" s="9">
        <f>SUM(SDGE_Q1_2025!Q114+SDGE_Q1_2025!Q185)</f>
        <v>1</v>
      </c>
      <c r="E63" s="9">
        <f t="shared" si="10"/>
        <v>1</v>
      </c>
      <c r="F63" s="18">
        <f t="shared" si="9"/>
        <v>1</v>
      </c>
    </row>
    <row r="64" spans="1:6" x14ac:dyDescent="0.35">
      <c r="A64" s="17" t="s">
        <v>23</v>
      </c>
      <c r="B64" s="20" t="s">
        <v>17</v>
      </c>
      <c r="C64" s="9"/>
      <c r="D64" s="9">
        <f>SUM(SDGE_Q1_2025!Q116,SDGE_Q1_2025!Q198)</f>
        <v>1</v>
      </c>
      <c r="E64" s="9">
        <f t="shared" si="10"/>
        <v>1</v>
      </c>
      <c r="F64" s="18">
        <f t="shared" si="9"/>
        <v>1</v>
      </c>
    </row>
    <row r="65" spans="1:6" x14ac:dyDescent="0.35">
      <c r="F65" s="19"/>
    </row>
    <row r="66" spans="1:6" x14ac:dyDescent="0.35">
      <c r="A66" s="8"/>
    </row>
    <row r="67" spans="1:6" x14ac:dyDescent="0.35">
      <c r="A67" s="8"/>
    </row>
    <row r="68" spans="1:6" x14ac:dyDescent="0.35">
      <c r="A68" s="56" t="s">
        <v>39</v>
      </c>
      <c r="B68" s="57"/>
      <c r="C68" s="57"/>
      <c r="D68" s="57"/>
      <c r="E68" s="57"/>
      <c r="F68" s="57"/>
    </row>
    <row r="69" spans="1:6" x14ac:dyDescent="0.35">
      <c r="A69" s="58" t="s">
        <v>24</v>
      </c>
      <c r="B69" s="59"/>
      <c r="C69" s="59"/>
      <c r="D69" s="59"/>
      <c r="E69" s="59"/>
      <c r="F69" s="59"/>
    </row>
    <row r="71" spans="1:6" x14ac:dyDescent="0.35">
      <c r="A71" s="12" t="s">
        <v>44</v>
      </c>
      <c r="B71" s="13" t="s">
        <v>2</v>
      </c>
      <c r="C71" s="13" t="s">
        <v>32</v>
      </c>
      <c r="D71" s="13" t="s">
        <v>41</v>
      </c>
      <c r="E71" s="13" t="s">
        <v>42</v>
      </c>
      <c r="F71" s="14" t="s">
        <v>43</v>
      </c>
    </row>
    <row r="72" spans="1:6" x14ac:dyDescent="0.35">
      <c r="A72" s="21" t="s">
        <v>33</v>
      </c>
      <c r="B72" s="22" t="s">
        <v>19</v>
      </c>
      <c r="C72" s="23">
        <f>SUM(SCE_Q1_2025!Q243,SCE_Q1_2025!Q244,SCE_Q1_2025!Q245,SCE_Q1_2025!Q246,SCE_Q1_2025!Q247,SCE_Q1_2025!Q248,SCE_Q1_2025!Q249,SCE_Q1_2025!Q250,SCE_Q1_2025!Q251,SCE_Q1_2025!Q252,SCE_Q1_2025!Q253,SCE_Q1_2025!Q254,SCE_Q1_2025!Q255,SCE_Q1_2025!Q256,SCE_Q1_2025!Q257,SCE_Q1_2025!Q258,SCE_Q1_2025!Q259,SCE_Q1_2025!Q269,SCE_Q1_2025!Q270,SCE_Q1_2025!Q271,SCE_Q1_2025!Q272,SCE_Q1_2025!Q273,SCE_Q1_2025!Q274,SCE_Q1_2025!Q275,SCE_Q1_2025!Q276,SCE_Q1_2025!Q277,SCE_Q1_2025!Q278,SCE_Q1_2025!Q279,SCE_Q1_2025!Q280,SCE_Q1_2025!Q281,SCE_Q1_2025!Q282,SCE_Q1_2025!Q283,SCE_Q1_2025!Q284,SCE_Q1_2025!Q297,SCE_Q1_2025!Q298,SCE_Q1_2025!Q299,SCE_Q1_2025!Q300,SCE_Q1_2025!Q301,SCE_Q1_2025!Q302,SCE_Q1_2025!Q303,SCE_Q1_2025!Q304,SCE_Q1_2025!Q305,SCE_Q1_2025!Q306,SCE_Q1_2025!Q307,SCE_Q1_2025!Q308,SCE_Q1_2025!Q309,SCE_Q1_2025!Q310,SCE_Q1_2025!Q311,SCE_Q1_2025!Q312)</f>
        <v>2326</v>
      </c>
      <c r="D72" s="23">
        <f>SUM(SCE_Q1_2025!Q175,SCE_Q1_2025!Q176,SCE_Q1_2025!Q177,SCE_Q1_2025!Q179,SCE_Q1_2025!Q181,SCE_Q1_2025!Q182,SCE_Q1_2025!Q184,SCE_Q1_2025!Q186,SCE_Q1_2025!Q197,SCE_Q1_2025!Q199,SCE_Q1_2025!Q200,SCE_Q1_2025!Q201,SCE_Q1_2025!Q203,SCE_Q1_2025!Q206,SCE_Q1_2025!Q208,SCE_Q1_2025!Q218,SCE_Q1_2025!Q219,SCE_Q1_2025!Q220,SCE_Q1_2025!Q222,SCE_Q1_2025!Q223,SCE_Q1_2025!Q224,SCE_Q1_2025!Q225,SCE_Q1_2025!Q226,SCE_Q1_2025!Q227,SCE_Q1_2025!Q229,SCE_Q1_2025!Q230,SCE_Q1_2025!Q231)</f>
        <v>95</v>
      </c>
      <c r="E72" s="23">
        <f>C72+D72</f>
        <v>2421</v>
      </c>
      <c r="F72" s="24">
        <f t="shared" ref="F72:F77" si="11">D72/E72</f>
        <v>3.9239983477901696E-2</v>
      </c>
    </row>
    <row r="73" spans="1:6" x14ac:dyDescent="0.35">
      <c r="A73" s="21" t="s">
        <v>33</v>
      </c>
      <c r="B73" s="22" t="s">
        <v>46</v>
      </c>
      <c r="C73" s="23">
        <f>SUM(SCE_Q1_2025!Q235,SCE_Q1_2025!Q236,SCE_Q1_2025!Q237,SCE_Q1_2025!Q238,SCE_Q1_2025!Q239,SCE_Q1_2025!Q240,SCE_Q1_2025!Q241,SCE_Q1_2025!Q242,SCE_Q1_2025!Q262,SCE_Q1_2025!Q263,SCE_Q1_2025!Q264,SCE_Q1_2025!Q265,SCE_Q1_2025!Q266,SCE_Q1_2025!Q267,SCE_Q1_2025!Q268,SCE_Q1_2025!Q288,SCE_Q1_2025!Q289,SCE_Q1_2025!Q290,SCE_Q1_2025!Q291,SCE_Q1_2025!Q292,SCE_Q1_2025!Q293,SCE_Q1_2025!Q294,SCE_Q1_2025!Q295,SCE_Q1_2025!Q296)</f>
        <v>203</v>
      </c>
      <c r="D73" s="23">
        <f>SUM(SCE_Q1_2025!Q170,SCE_Q1_2025!Q171,SCE_Q1_2025!Q172,SCE_Q1_2025!Q173,SCE_Q1_2025!Q174,SCE_Q1_2025!Q190,SCE_Q1_2025!Q191,SCE_Q1_2025!Q192,SCE_Q1_2025!Q193,SCE_Q1_2025!Q194,SCE_Q1_2025!Q195,SCE_Q1_2025!Q196,SCE_Q1_2025!Q211,SCE_Q1_2025!Q212,SCE_Q1_2025!Q213,SCE_Q1_2025!Q214,SCE_Q1_2025!Q215,SCE_Q1_2025!Q216,SCE_Q1_2025!Q217)</f>
        <v>71</v>
      </c>
      <c r="E73" s="23">
        <f t="shared" ref="E73:E77" si="12">C73+D73</f>
        <v>274</v>
      </c>
      <c r="F73" s="24">
        <f t="shared" si="11"/>
        <v>0.25912408759124089</v>
      </c>
    </row>
    <row r="74" spans="1:6" x14ac:dyDescent="0.35">
      <c r="A74" s="21" t="s">
        <v>33</v>
      </c>
      <c r="B74" s="22" t="s">
        <v>27</v>
      </c>
      <c r="C74" s="23">
        <f>SUM(SCE_Q1_2025!Q233,SCE_Q1_2025!Q234,SCE_Q1_2025!Q261,SCE_Q1_2025!Q285,SCE_Q1_2025!Q286)</f>
        <v>5</v>
      </c>
      <c r="D74" s="23">
        <f>SUM(SCE_Q1_2025!Q168,SCE_Q1_2025!Q169,SCE_Q1_2025!Q189,SCE_Q1_2025!Q209)</f>
        <v>24</v>
      </c>
      <c r="E74" s="23">
        <f t="shared" si="12"/>
        <v>29</v>
      </c>
      <c r="F74" s="24">
        <f t="shared" si="11"/>
        <v>0.82758620689655171</v>
      </c>
    </row>
    <row r="75" spans="1:6" x14ac:dyDescent="0.35">
      <c r="A75" s="21" t="s">
        <v>23</v>
      </c>
      <c r="B75" s="22" t="s">
        <v>19</v>
      </c>
      <c r="C75" s="23">
        <f>SUM(SCE_Q1_2025!Q98,SCE_Q1_2025!Q99,SCE_Q1_2025!Q100,SCE_Q1_2025!Q101,SCE_Q1_2025!Q102,SCE_Q1_2025!Q103,SCE_Q1_2025!Q104,SCE_Q1_2025!Q105,SCE_Q1_2025!Q106,SCE_Q1_2025!Q108,SCE_Q1_2025!Q111,SCE_Q1_2025!Q110,SCE_Q1_2025!Q112,SCE_Q1_2025!Q125,SCE_Q1_2025!Q127,SCE_Q1_2025!Q129,SCE_Q1_2025!Q130,SCE_Q1_2025!Q131,SCE_Q1_2025!Q132,SCE_Q1_2025!Q133,SCE_Q1_2025!Q135,SCE_Q1_2025!Q137,SCE_Q1_2025!Q139,SCE_Q1_2025!Q152,SCE_Q1_2025!Q154,SCE_Q1_2025!Q155,SCE_Q1_2025!Q156,SCE_Q1_2025!Q157,SCE_Q1_2025!Q158,SCE_Q1_2025!Q159,SCE_Q1_2025!Q160,SCE_Q1_2025!Q162,SCE_Q1_2025!Q164,SCE_Q1_2025!Q166)</f>
        <v>911</v>
      </c>
      <c r="D75" s="23">
        <f>SUM(SCE_Q1_2025!Q14,SCE_Q1_2025!Q15,SCE_Q1_2025!Q16,SCE_Q1_2025!Q17,SCE_Q1_2025!Q18,SCE_Q1_2025!Q19,SCE_Q1_2025!Q20,SCE_Q1_2025!Q22,SCE_Q1_2025!Q23,SCE_Q1_2025!Q24,SCE_Q1_2025!Q25,SCE_Q1_2025!Q26,SCE_Q1_2025!Q28,SCE_Q1_2025!Q29,SCE_Q1_2025!Q41,SCE_Q1_2025!Q42,SCE_Q1_2025!Q43,SCE_Q1_2025!Q44,SCE_Q1_2025!Q45,SCE_Q1_2025!Q47,SCE_Q1_2025!Q48,SCE_Q1_2025!Q49,SCE_Q1_2025!Q51,SCE_Q1_2025!Q52,SCE_Q1_2025!Q53,SCE_Q1_2025!Q55,SCE_Q1_2025!Q56,SCE_Q1_2025!Q70,SCE_Q1_2025!Q71,SCE_Q1_2025!Q72,SCE_Q1_2025!Q73,SCE_Q1_2025!Q74,SCE_Q1_2025!Q75,SCE_Q1_2025!Q76,SCE_Q1_2025!Q77,SCE_Q1_2025!Q78,SCE_Q1_2025!Q80,SCE_Q1_2025!Q81,SCE_Q1_2025!Q82,SCE_Q1_2025!Q84)</f>
        <v>788</v>
      </c>
      <c r="E75" s="23">
        <f t="shared" si="12"/>
        <v>1699</v>
      </c>
      <c r="F75" s="24">
        <f t="shared" si="11"/>
        <v>0.46380223660977044</v>
      </c>
    </row>
    <row r="76" spans="1:6" x14ac:dyDescent="0.35">
      <c r="A76" s="21" t="s">
        <v>23</v>
      </c>
      <c r="B76" s="22" t="s">
        <v>46</v>
      </c>
      <c r="C76" s="23">
        <f>SUM(SCE_Q1_2025!Q90,SCE_Q1_2025!Q91,SCE_Q1_2025!Q92,SCE_Q1_2025!Q93,SCE_Q1_2025!Q94,SCE_Q1_2025!Q95,SCE_Q1_2025!Q96,SCE_Q1_2025!Q97,SCE_Q1_2025!Q117,SCE_Q1_2025!Q118,SCE_Q1_2025!Q119,SCE_Q1_2025!Q120,SCE_Q1_2025!Q121,SCE_Q1_2025!Q122,SCE_Q1_2025!Q123,SCE_Q1_2025!Q124,SCE_Q1_2025!Q144,SCE_Q1_2025!Q145,SCE_Q1_2025!Q146,SCE_Q1_2025!Q147,SCE_Q1_2025!Q148,SCE_Q1_2025!Q149,SCE_Q1_2025!Q150,SCE_Q1_2025!Q151)</f>
        <v>363</v>
      </c>
      <c r="D76" s="23">
        <f>SUM(SCE_Q1_2025!Q6,SCE_Q1_2025!Q7,SCE_Q1_2025!Q8,SCE_Q1_2025!Q9,SCE_Q1_2025!Q10,SCE_Q1_2025!Q11,SCE_Q1_2025!Q12,SCE_Q1_2025!Q13,SCE_Q1_2025!Q33,SCE_Q1_2025!Q34,SCE_Q1_2025!Q35,SCE_Q1_2025!Q36,SCE_Q1_2025!Q37,SCE_Q1_2025!Q38,SCE_Q1_2025!Q39,SCE_Q1_2025!Q40,SCE_Q1_2025!Q62,SCE_Q1_2025!Q63,SCE_Q1_2025!Q64,SCE_Q1_2025!Q65,SCE_Q1_2025!Q66,SCE_Q1_2025!Q67,SCE_Q1_2025!Q68,SCE_Q1_2025!Q69)</f>
        <v>463</v>
      </c>
      <c r="E76" s="23">
        <f t="shared" si="12"/>
        <v>826</v>
      </c>
      <c r="F76" s="24">
        <f t="shared" si="11"/>
        <v>0.56053268765133168</v>
      </c>
    </row>
    <row r="77" spans="1:6" x14ac:dyDescent="0.35">
      <c r="A77" s="21" t="s">
        <v>23</v>
      </c>
      <c r="B77" s="22" t="s">
        <v>27</v>
      </c>
      <c r="C77" s="23">
        <f>SUM(SCE_Q1_2025!Q86,SCE_Q1_2025!Q89,SCE_Q1_2025!Q116,SCE_Q1_2025!Q141,SCE_Q1_2025!Q142)</f>
        <v>11</v>
      </c>
      <c r="D77" s="23">
        <f>SUM(SCE_Q1_2025!Q3,SCE_Q1_2025!Q4,SCE_Q1_2025!Q5,SCE_Q1_2025!Q30,SCE_Q1_2025!Q31,SCE_Q1_2025!Q32,SCE_Q1_2025!Q57,SCE_Q1_2025!Q59,SCE_Q1_2025!Q60,SCE_Q1_2025!Q61)</f>
        <v>19</v>
      </c>
      <c r="E77" s="23">
        <f t="shared" si="12"/>
        <v>30</v>
      </c>
      <c r="F77" s="24">
        <f t="shared" si="11"/>
        <v>0.6333333333333333</v>
      </c>
    </row>
  </sheetData>
  <mergeCells count="10">
    <mergeCell ref="A53:F53"/>
    <mergeCell ref="A54:F54"/>
    <mergeCell ref="A68:F68"/>
    <mergeCell ref="A69:F69"/>
    <mergeCell ref="A3:F3"/>
    <mergeCell ref="A5:F5"/>
    <mergeCell ref="A13:F13"/>
    <mergeCell ref="A18:F18"/>
    <mergeCell ref="A32:F32"/>
    <mergeCell ref="A33:F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28B8-E8F9-4CAD-B1BC-710FC64D5204}">
  <dimension ref="A1:T640"/>
  <sheetViews>
    <sheetView tabSelected="1" zoomScale="90" zoomScaleNormal="90" workbookViewId="0">
      <selection activeCell="F21" sqref="F21"/>
    </sheetView>
  </sheetViews>
  <sheetFormatPr defaultRowHeight="14.5" x14ac:dyDescent="0.35"/>
  <cols>
    <col min="1" max="1" width="20.1796875" bestFit="1" customWidth="1"/>
    <col min="2" max="2" width="16.08984375" bestFit="1" customWidth="1"/>
    <col min="3" max="3" width="10" bestFit="1" customWidth="1"/>
    <col min="4" max="4" width="33.1796875" bestFit="1" customWidth="1"/>
    <col min="5" max="5" width="14.6328125" bestFit="1" customWidth="1"/>
    <col min="6" max="6" width="15.6328125" bestFit="1" customWidth="1"/>
    <col min="7" max="7" width="21.54296875" bestFit="1" customWidth="1"/>
    <col min="8" max="8" width="22.90625" bestFit="1" customWidth="1"/>
    <col min="9" max="9" width="33.453125" bestFit="1" customWidth="1"/>
    <col min="10" max="11" width="20.6328125" bestFit="1" customWidth="1"/>
    <col min="12" max="12" width="33.36328125" bestFit="1" customWidth="1"/>
    <col min="13" max="13" width="17.36328125" bestFit="1" customWidth="1"/>
    <col min="14" max="14" width="16.7265625" bestFit="1" customWidth="1"/>
    <col min="15" max="15" width="35.81640625" bestFit="1" customWidth="1"/>
    <col min="16" max="16" width="21.1796875" bestFit="1" customWidth="1"/>
    <col min="17" max="17" width="27.08984375" bestFit="1" customWidth="1"/>
    <col min="18" max="18" width="31.1796875" bestFit="1" customWidth="1"/>
    <col min="19" max="19" width="6.453125" bestFit="1" customWidth="1"/>
    <col min="20" max="20" width="7.453125" bestFit="1" customWidth="1"/>
    <col min="21" max="21" width="15.453125" customWidth="1"/>
    <col min="22" max="22" width="13.7265625" customWidth="1"/>
  </cols>
  <sheetData>
    <row r="1" spans="1:20" s="16" customFormat="1" ht="29" x14ac:dyDescent="0.35">
      <c r="A1" s="16" t="s">
        <v>34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35</v>
      </c>
      <c r="P1" s="16" t="s">
        <v>13</v>
      </c>
      <c r="Q1" s="16" t="s">
        <v>24</v>
      </c>
      <c r="R1" s="16" t="s">
        <v>25</v>
      </c>
      <c r="S1" s="16" t="s">
        <v>36</v>
      </c>
      <c r="T1" s="16" t="s">
        <v>38</v>
      </c>
    </row>
    <row r="2" spans="1:20" x14ac:dyDescent="0.35">
      <c r="A2" t="s">
        <v>33</v>
      </c>
      <c r="B2" t="s">
        <v>32</v>
      </c>
      <c r="C2" s="32">
        <v>45689</v>
      </c>
      <c r="D2" t="s">
        <v>49</v>
      </c>
      <c r="E2" t="s">
        <v>49</v>
      </c>
      <c r="F2" t="s">
        <v>49</v>
      </c>
      <c r="G2">
        <v>0</v>
      </c>
      <c r="H2">
        <v>8533.94</v>
      </c>
      <c r="J2">
        <v>0</v>
      </c>
      <c r="K2">
        <v>0</v>
      </c>
      <c r="M2">
        <v>5383.0483999999997</v>
      </c>
      <c r="N2">
        <v>9919.08</v>
      </c>
      <c r="P2">
        <v>1</v>
      </c>
      <c r="S2" t="s">
        <v>37</v>
      </c>
      <c r="T2">
        <v>2025</v>
      </c>
    </row>
    <row r="3" spans="1:20" x14ac:dyDescent="0.35">
      <c r="A3" t="s">
        <v>33</v>
      </c>
      <c r="B3" t="s">
        <v>32</v>
      </c>
      <c r="C3" s="32">
        <v>45689</v>
      </c>
      <c r="D3" t="s">
        <v>49</v>
      </c>
      <c r="E3" t="s">
        <v>49</v>
      </c>
      <c r="F3" t="s">
        <v>49</v>
      </c>
      <c r="P3">
        <v>1</v>
      </c>
      <c r="S3" t="s">
        <v>37</v>
      </c>
      <c r="T3">
        <v>2025</v>
      </c>
    </row>
    <row r="4" spans="1:20" x14ac:dyDescent="0.35">
      <c r="A4" t="s">
        <v>33</v>
      </c>
      <c r="B4" t="s">
        <v>32</v>
      </c>
      <c r="C4" s="32">
        <v>45689</v>
      </c>
      <c r="D4" t="s">
        <v>49</v>
      </c>
      <c r="E4" t="s">
        <v>49</v>
      </c>
      <c r="F4" t="s">
        <v>49</v>
      </c>
      <c r="P4">
        <v>1</v>
      </c>
      <c r="S4" t="s">
        <v>37</v>
      </c>
      <c r="T4">
        <v>2025</v>
      </c>
    </row>
    <row r="5" spans="1:20" x14ac:dyDescent="0.35">
      <c r="A5" t="s">
        <v>33</v>
      </c>
      <c r="B5" t="s">
        <v>32</v>
      </c>
      <c r="C5" s="32">
        <v>45689</v>
      </c>
      <c r="D5" t="s">
        <v>14</v>
      </c>
      <c r="E5" t="s">
        <v>49</v>
      </c>
      <c r="F5" t="s">
        <v>48</v>
      </c>
      <c r="P5">
        <v>1</v>
      </c>
      <c r="S5" t="s">
        <v>37</v>
      </c>
      <c r="T5">
        <v>2025</v>
      </c>
    </row>
    <row r="6" spans="1:20" x14ac:dyDescent="0.35">
      <c r="A6" t="s">
        <v>33</v>
      </c>
      <c r="B6" t="s">
        <v>32</v>
      </c>
      <c r="C6" s="32">
        <v>45689</v>
      </c>
      <c r="D6" t="s">
        <v>27</v>
      </c>
      <c r="E6" t="s">
        <v>49</v>
      </c>
      <c r="F6" t="s">
        <v>48</v>
      </c>
      <c r="P6">
        <v>1</v>
      </c>
      <c r="S6" t="s">
        <v>37</v>
      </c>
      <c r="T6">
        <v>2025</v>
      </c>
    </row>
    <row r="7" spans="1:20" x14ac:dyDescent="0.35">
      <c r="A7" t="s">
        <v>33</v>
      </c>
      <c r="B7" t="s">
        <v>32</v>
      </c>
      <c r="C7" s="32">
        <v>45689</v>
      </c>
      <c r="D7" t="s">
        <v>16</v>
      </c>
      <c r="E7" t="s">
        <v>49</v>
      </c>
      <c r="F7" t="s">
        <v>48</v>
      </c>
      <c r="P7">
        <v>2</v>
      </c>
      <c r="S7" t="s">
        <v>37</v>
      </c>
      <c r="T7">
        <v>2025</v>
      </c>
    </row>
    <row r="8" spans="1:20" x14ac:dyDescent="0.35">
      <c r="A8" t="s">
        <v>33</v>
      </c>
      <c r="B8" t="s">
        <v>32</v>
      </c>
      <c r="C8" s="32">
        <v>45689</v>
      </c>
      <c r="D8" t="s">
        <v>17</v>
      </c>
      <c r="E8" t="s">
        <v>49</v>
      </c>
      <c r="F8" t="s">
        <v>48</v>
      </c>
      <c r="P8">
        <v>1</v>
      </c>
      <c r="S8" t="s">
        <v>37</v>
      </c>
      <c r="T8">
        <v>2025</v>
      </c>
    </row>
    <row r="9" spans="1:20" x14ac:dyDescent="0.35">
      <c r="A9" t="s">
        <v>33</v>
      </c>
      <c r="B9" t="s">
        <v>32</v>
      </c>
      <c r="C9" s="32">
        <v>45689</v>
      </c>
      <c r="D9" t="s">
        <v>18</v>
      </c>
      <c r="E9" t="s">
        <v>49</v>
      </c>
      <c r="F9" t="s">
        <v>49</v>
      </c>
      <c r="P9">
        <v>1</v>
      </c>
      <c r="S9" t="s">
        <v>37</v>
      </c>
      <c r="T9">
        <v>2025</v>
      </c>
    </row>
    <row r="10" spans="1:20" x14ac:dyDescent="0.35">
      <c r="A10" t="s">
        <v>33</v>
      </c>
      <c r="B10" t="s">
        <v>32</v>
      </c>
      <c r="C10" s="32">
        <v>45689</v>
      </c>
      <c r="D10" t="s">
        <v>19</v>
      </c>
      <c r="E10" t="s">
        <v>49</v>
      </c>
      <c r="F10" t="s">
        <v>49</v>
      </c>
      <c r="G10">
        <v>31936.999800000001</v>
      </c>
      <c r="H10">
        <v>156343.53080000001</v>
      </c>
      <c r="J10">
        <v>0</v>
      </c>
      <c r="K10">
        <v>0</v>
      </c>
      <c r="M10">
        <v>111666.3492</v>
      </c>
      <c r="N10">
        <v>255414.2904</v>
      </c>
      <c r="P10">
        <v>11</v>
      </c>
      <c r="Q10">
        <v>1</v>
      </c>
      <c r="S10" t="s">
        <v>37</v>
      </c>
      <c r="T10">
        <v>2025</v>
      </c>
    </row>
    <row r="11" spans="1:20" x14ac:dyDescent="0.35">
      <c r="A11" t="s">
        <v>33</v>
      </c>
      <c r="B11" t="s">
        <v>32</v>
      </c>
      <c r="C11" s="32">
        <v>45689</v>
      </c>
      <c r="D11" t="s">
        <v>20</v>
      </c>
      <c r="E11" t="s">
        <v>49</v>
      </c>
      <c r="F11" t="s">
        <v>48</v>
      </c>
      <c r="P11">
        <v>1</v>
      </c>
      <c r="S11" t="s">
        <v>37</v>
      </c>
      <c r="T11">
        <v>2025</v>
      </c>
    </row>
    <row r="12" spans="1:20" x14ac:dyDescent="0.35">
      <c r="A12" t="s">
        <v>33</v>
      </c>
      <c r="B12" t="s">
        <v>32</v>
      </c>
      <c r="C12" s="32">
        <v>45689</v>
      </c>
      <c r="D12" t="s">
        <v>21</v>
      </c>
      <c r="E12" t="s">
        <v>49</v>
      </c>
      <c r="F12" t="s">
        <v>48</v>
      </c>
      <c r="P12">
        <v>1</v>
      </c>
      <c r="S12" t="s">
        <v>37</v>
      </c>
      <c r="T12">
        <v>2025</v>
      </c>
    </row>
    <row r="13" spans="1:20" x14ac:dyDescent="0.35">
      <c r="A13" t="s">
        <v>33</v>
      </c>
      <c r="B13" t="s">
        <v>32</v>
      </c>
      <c r="C13" s="32">
        <v>45689</v>
      </c>
      <c r="D13" t="s">
        <v>22</v>
      </c>
      <c r="E13" t="s">
        <v>49</v>
      </c>
      <c r="F13" t="s">
        <v>48</v>
      </c>
      <c r="P13">
        <v>1</v>
      </c>
      <c r="S13" t="s">
        <v>37</v>
      </c>
      <c r="T13">
        <v>2025</v>
      </c>
    </row>
    <row r="14" spans="1:20" x14ac:dyDescent="0.35">
      <c r="A14" t="s">
        <v>33</v>
      </c>
      <c r="B14" t="s">
        <v>32</v>
      </c>
      <c r="C14" s="32">
        <v>45658</v>
      </c>
      <c r="D14" t="s">
        <v>49</v>
      </c>
      <c r="E14" t="s">
        <v>49</v>
      </c>
      <c r="F14" t="s">
        <v>49</v>
      </c>
      <c r="G14">
        <v>0</v>
      </c>
      <c r="H14">
        <v>5522.82</v>
      </c>
      <c r="J14">
        <v>0</v>
      </c>
      <c r="K14">
        <v>0</v>
      </c>
      <c r="M14">
        <v>953.95600000000002</v>
      </c>
      <c r="N14">
        <v>5522.82</v>
      </c>
      <c r="P14">
        <v>1</v>
      </c>
      <c r="S14" t="s">
        <v>37</v>
      </c>
      <c r="T14">
        <v>2025</v>
      </c>
    </row>
    <row r="15" spans="1:20" x14ac:dyDescent="0.35">
      <c r="A15" t="s">
        <v>33</v>
      </c>
      <c r="B15" t="s">
        <v>32</v>
      </c>
      <c r="C15" s="32">
        <v>45658</v>
      </c>
      <c r="D15" t="s">
        <v>49</v>
      </c>
      <c r="E15" t="s">
        <v>49</v>
      </c>
      <c r="F15" t="s">
        <v>49</v>
      </c>
      <c r="P15">
        <v>1</v>
      </c>
      <c r="S15" t="s">
        <v>37</v>
      </c>
      <c r="T15">
        <v>2025</v>
      </c>
    </row>
    <row r="16" spans="1:20" x14ac:dyDescent="0.35">
      <c r="A16" t="s">
        <v>33</v>
      </c>
      <c r="B16" t="s">
        <v>32</v>
      </c>
      <c r="C16" s="32">
        <v>45658</v>
      </c>
      <c r="D16" t="s">
        <v>49</v>
      </c>
      <c r="E16" t="s">
        <v>49</v>
      </c>
      <c r="F16" t="s">
        <v>49</v>
      </c>
      <c r="P16">
        <v>1</v>
      </c>
      <c r="S16" t="s">
        <v>37</v>
      </c>
      <c r="T16">
        <v>2025</v>
      </c>
    </row>
    <row r="17" spans="1:20" x14ac:dyDescent="0.35">
      <c r="A17" t="s">
        <v>33</v>
      </c>
      <c r="B17" t="s">
        <v>32</v>
      </c>
      <c r="C17" s="32">
        <v>45658</v>
      </c>
      <c r="D17" t="s">
        <v>14</v>
      </c>
      <c r="E17" t="s">
        <v>49</v>
      </c>
      <c r="F17" t="s">
        <v>48</v>
      </c>
      <c r="G17">
        <v>8548.8475691056919</v>
      </c>
      <c r="H17">
        <v>2130.1788617886182</v>
      </c>
      <c r="J17">
        <v>0</v>
      </c>
      <c r="K17">
        <v>0</v>
      </c>
      <c r="M17">
        <v>1691.9108000000001</v>
      </c>
      <c r="N17">
        <v>19227.874</v>
      </c>
      <c r="P17">
        <v>1</v>
      </c>
      <c r="S17" t="s">
        <v>37</v>
      </c>
      <c r="T17">
        <v>2025</v>
      </c>
    </row>
    <row r="18" spans="1:20" x14ac:dyDescent="0.35">
      <c r="A18" t="s">
        <v>33</v>
      </c>
      <c r="B18" t="s">
        <v>32</v>
      </c>
      <c r="C18" s="32">
        <v>45658</v>
      </c>
      <c r="D18" t="s">
        <v>27</v>
      </c>
      <c r="E18" t="s">
        <v>49</v>
      </c>
      <c r="F18" t="s">
        <v>48</v>
      </c>
      <c r="P18">
        <v>1</v>
      </c>
      <c r="S18" t="s">
        <v>37</v>
      </c>
      <c r="T18">
        <v>2025</v>
      </c>
    </row>
    <row r="19" spans="1:20" x14ac:dyDescent="0.35">
      <c r="A19" t="s">
        <v>33</v>
      </c>
      <c r="B19" t="s">
        <v>32</v>
      </c>
      <c r="C19" s="32">
        <v>45658</v>
      </c>
      <c r="D19" t="s">
        <v>16</v>
      </c>
      <c r="E19" t="s">
        <v>49</v>
      </c>
      <c r="F19" t="s">
        <v>48</v>
      </c>
      <c r="G19">
        <v>64648.526938211377</v>
      </c>
      <c r="H19">
        <v>7515.3577235772354</v>
      </c>
      <c r="J19">
        <v>0</v>
      </c>
      <c r="K19">
        <v>0</v>
      </c>
      <c r="M19">
        <v>18569.464799999998</v>
      </c>
      <c r="N19">
        <v>137089.74160000001</v>
      </c>
      <c r="P19">
        <v>3</v>
      </c>
      <c r="Q19">
        <v>1</v>
      </c>
      <c r="S19" t="s">
        <v>37</v>
      </c>
      <c r="T19">
        <v>2025</v>
      </c>
    </row>
    <row r="20" spans="1:20" x14ac:dyDescent="0.35">
      <c r="A20" t="s">
        <v>33</v>
      </c>
      <c r="B20" t="s">
        <v>32</v>
      </c>
      <c r="C20" s="32">
        <v>45658</v>
      </c>
      <c r="D20" t="s">
        <v>17</v>
      </c>
      <c r="E20" t="s">
        <v>49</v>
      </c>
      <c r="F20" t="s">
        <v>48</v>
      </c>
      <c r="P20">
        <v>1</v>
      </c>
      <c r="S20" t="s">
        <v>37</v>
      </c>
      <c r="T20">
        <v>2025</v>
      </c>
    </row>
    <row r="21" spans="1:20" x14ac:dyDescent="0.35">
      <c r="A21" t="s">
        <v>33</v>
      </c>
      <c r="B21" t="s">
        <v>32</v>
      </c>
      <c r="C21" s="32">
        <v>45658</v>
      </c>
      <c r="D21" t="s">
        <v>18</v>
      </c>
      <c r="E21" t="s">
        <v>49</v>
      </c>
      <c r="F21" t="s">
        <v>49</v>
      </c>
      <c r="P21">
        <v>1</v>
      </c>
      <c r="S21" t="s">
        <v>37</v>
      </c>
      <c r="T21">
        <v>2025</v>
      </c>
    </row>
    <row r="22" spans="1:20" x14ac:dyDescent="0.35">
      <c r="A22" t="s">
        <v>33</v>
      </c>
      <c r="B22" t="s">
        <v>32</v>
      </c>
      <c r="C22" s="32">
        <v>45658</v>
      </c>
      <c r="D22" t="s">
        <v>20</v>
      </c>
      <c r="E22" t="s">
        <v>49</v>
      </c>
      <c r="F22" t="s">
        <v>48</v>
      </c>
      <c r="P22">
        <v>1</v>
      </c>
      <c r="S22" t="s">
        <v>37</v>
      </c>
      <c r="T22">
        <v>2025</v>
      </c>
    </row>
    <row r="23" spans="1:20" x14ac:dyDescent="0.35">
      <c r="A23" t="s">
        <v>33</v>
      </c>
      <c r="B23" t="s">
        <v>32</v>
      </c>
      <c r="C23" s="32">
        <v>45658</v>
      </c>
      <c r="D23" t="s">
        <v>21</v>
      </c>
      <c r="E23" t="s">
        <v>49</v>
      </c>
      <c r="F23" t="s">
        <v>48</v>
      </c>
      <c r="P23">
        <v>1</v>
      </c>
      <c r="S23" t="s">
        <v>37</v>
      </c>
      <c r="T23">
        <v>2025</v>
      </c>
    </row>
    <row r="24" spans="1:20" x14ac:dyDescent="0.35">
      <c r="A24" t="s">
        <v>33</v>
      </c>
      <c r="B24" t="s">
        <v>32</v>
      </c>
      <c r="C24" s="32">
        <v>45658</v>
      </c>
      <c r="D24" t="s">
        <v>22</v>
      </c>
      <c r="E24" t="s">
        <v>49</v>
      </c>
      <c r="F24" t="s">
        <v>48</v>
      </c>
      <c r="P24">
        <v>1</v>
      </c>
      <c r="S24" t="s">
        <v>37</v>
      </c>
      <c r="T24">
        <v>2025</v>
      </c>
    </row>
    <row r="25" spans="1:20" x14ac:dyDescent="0.35">
      <c r="A25" t="s">
        <v>33</v>
      </c>
      <c r="B25" t="s">
        <v>32</v>
      </c>
      <c r="C25" s="32">
        <v>45717</v>
      </c>
      <c r="D25" t="s">
        <v>49</v>
      </c>
      <c r="E25" t="s">
        <v>49</v>
      </c>
      <c r="F25" t="s">
        <v>49</v>
      </c>
      <c r="G25">
        <v>0</v>
      </c>
      <c r="H25">
        <v>3255</v>
      </c>
      <c r="J25">
        <v>0</v>
      </c>
      <c r="K25">
        <v>0</v>
      </c>
      <c r="M25">
        <v>4425.1203999999998</v>
      </c>
      <c r="N25">
        <v>4896.79</v>
      </c>
      <c r="P25">
        <v>1</v>
      </c>
      <c r="S25" t="s">
        <v>37</v>
      </c>
      <c r="T25">
        <v>2025</v>
      </c>
    </row>
    <row r="26" spans="1:20" x14ac:dyDescent="0.35">
      <c r="A26" t="s">
        <v>33</v>
      </c>
      <c r="B26" t="s">
        <v>32</v>
      </c>
      <c r="C26" s="32">
        <v>45717</v>
      </c>
      <c r="D26" t="s">
        <v>14</v>
      </c>
      <c r="E26" t="s">
        <v>49</v>
      </c>
      <c r="F26" t="s">
        <v>48</v>
      </c>
      <c r="G26">
        <v>31766.717572899732</v>
      </c>
      <c r="H26">
        <v>42005.420054200527</v>
      </c>
      <c r="J26">
        <v>0</v>
      </c>
      <c r="K26">
        <v>0</v>
      </c>
      <c r="M26">
        <v>15494.13</v>
      </c>
      <c r="N26">
        <v>105538.85520000001</v>
      </c>
      <c r="P26">
        <v>1</v>
      </c>
      <c r="S26" t="s">
        <v>37</v>
      </c>
      <c r="T26">
        <v>2025</v>
      </c>
    </row>
    <row r="27" spans="1:20" x14ac:dyDescent="0.35">
      <c r="A27" t="s">
        <v>33</v>
      </c>
      <c r="B27" t="s">
        <v>32</v>
      </c>
      <c r="C27" s="32">
        <v>45717</v>
      </c>
      <c r="D27" t="s">
        <v>16</v>
      </c>
      <c r="E27" t="s">
        <v>49</v>
      </c>
      <c r="F27" t="s">
        <v>48</v>
      </c>
      <c r="G27">
        <v>49847.813999999998</v>
      </c>
      <c r="H27">
        <v>0</v>
      </c>
      <c r="J27">
        <v>0</v>
      </c>
      <c r="K27">
        <v>0</v>
      </c>
      <c r="M27">
        <v>5566.1264000000001</v>
      </c>
      <c r="N27">
        <v>99695.627999999997</v>
      </c>
      <c r="P27">
        <v>3</v>
      </c>
      <c r="S27" t="s">
        <v>37</v>
      </c>
      <c r="T27">
        <v>2025</v>
      </c>
    </row>
    <row r="28" spans="1:20" x14ac:dyDescent="0.35">
      <c r="A28" t="s">
        <v>33</v>
      </c>
      <c r="B28" t="s">
        <v>32</v>
      </c>
      <c r="C28" s="32">
        <v>45717</v>
      </c>
      <c r="D28" t="s">
        <v>19</v>
      </c>
      <c r="E28" t="s">
        <v>49</v>
      </c>
      <c r="F28" t="s">
        <v>49</v>
      </c>
      <c r="G28">
        <v>11973.613600000001</v>
      </c>
      <c r="H28">
        <v>67280.45</v>
      </c>
      <c r="J28">
        <v>0</v>
      </c>
      <c r="K28">
        <v>0</v>
      </c>
      <c r="M28">
        <v>154248.96120000002</v>
      </c>
      <c r="N28">
        <v>154079.06720000002</v>
      </c>
      <c r="P28">
        <v>26</v>
      </c>
      <c r="S28" t="s">
        <v>37</v>
      </c>
      <c r="T28">
        <v>2025</v>
      </c>
    </row>
    <row r="29" spans="1:20" x14ac:dyDescent="0.35">
      <c r="A29" t="s">
        <v>33</v>
      </c>
      <c r="B29" t="s">
        <v>26</v>
      </c>
      <c r="C29" s="32">
        <v>45689</v>
      </c>
      <c r="D29" t="s">
        <v>49</v>
      </c>
      <c r="E29" t="s">
        <v>49</v>
      </c>
      <c r="F29" t="s">
        <v>49</v>
      </c>
      <c r="G29">
        <v>141856.9424</v>
      </c>
      <c r="H29">
        <v>60385.841199999995</v>
      </c>
      <c r="J29">
        <v>0</v>
      </c>
      <c r="K29">
        <v>0</v>
      </c>
      <c r="M29">
        <v>26727.868000000002</v>
      </c>
      <c r="N29">
        <v>345389.636</v>
      </c>
      <c r="P29">
        <v>1</v>
      </c>
      <c r="S29" t="s">
        <v>37</v>
      </c>
      <c r="T29">
        <v>2025</v>
      </c>
    </row>
    <row r="30" spans="1:20" x14ac:dyDescent="0.35">
      <c r="A30" t="s">
        <v>33</v>
      </c>
      <c r="B30" t="s">
        <v>26</v>
      </c>
      <c r="C30" s="32">
        <v>45689</v>
      </c>
      <c r="D30" t="s">
        <v>49</v>
      </c>
      <c r="E30" t="s">
        <v>49</v>
      </c>
      <c r="F30" t="s">
        <v>49</v>
      </c>
      <c r="I30">
        <v>32476.71</v>
      </c>
      <c r="L30">
        <v>0</v>
      </c>
      <c r="P30">
        <v>1</v>
      </c>
      <c r="S30" t="s">
        <v>37</v>
      </c>
      <c r="T30">
        <v>2025</v>
      </c>
    </row>
    <row r="31" spans="1:20" x14ac:dyDescent="0.35">
      <c r="A31" t="s">
        <v>33</v>
      </c>
      <c r="B31" t="s">
        <v>26</v>
      </c>
      <c r="C31" s="32">
        <v>45689</v>
      </c>
      <c r="D31" t="s">
        <v>49</v>
      </c>
      <c r="E31" t="s">
        <v>49</v>
      </c>
      <c r="F31" t="s">
        <v>49</v>
      </c>
      <c r="P31">
        <v>1</v>
      </c>
      <c r="S31" t="s">
        <v>37</v>
      </c>
      <c r="T31">
        <v>2025</v>
      </c>
    </row>
    <row r="32" spans="1:20" x14ac:dyDescent="0.35">
      <c r="A32" t="s">
        <v>33</v>
      </c>
      <c r="B32" t="s">
        <v>26</v>
      </c>
      <c r="C32" s="32">
        <v>45689</v>
      </c>
      <c r="D32" t="s">
        <v>49</v>
      </c>
      <c r="E32" t="s">
        <v>49</v>
      </c>
      <c r="F32" t="s">
        <v>49</v>
      </c>
      <c r="P32">
        <v>1</v>
      </c>
      <c r="S32" t="s">
        <v>37</v>
      </c>
      <c r="T32">
        <v>2025</v>
      </c>
    </row>
    <row r="33" spans="1:20" x14ac:dyDescent="0.35">
      <c r="A33" t="s">
        <v>33</v>
      </c>
      <c r="B33" t="s">
        <v>26</v>
      </c>
      <c r="C33" s="32">
        <v>45689</v>
      </c>
      <c r="D33" t="s">
        <v>14</v>
      </c>
      <c r="E33" t="s">
        <v>49</v>
      </c>
      <c r="F33" t="s">
        <v>48</v>
      </c>
      <c r="G33">
        <v>19272.001416260158</v>
      </c>
      <c r="H33">
        <v>5161.5827674796756</v>
      </c>
      <c r="J33">
        <v>0</v>
      </c>
      <c r="K33">
        <v>0</v>
      </c>
      <c r="M33">
        <v>20241.5556</v>
      </c>
      <c r="N33">
        <v>43705.585600000006</v>
      </c>
      <c r="P33">
        <v>3</v>
      </c>
      <c r="S33" t="s">
        <v>37</v>
      </c>
      <c r="T33">
        <v>2025</v>
      </c>
    </row>
    <row r="34" spans="1:20" x14ac:dyDescent="0.35">
      <c r="A34" t="s">
        <v>33</v>
      </c>
      <c r="B34" t="s">
        <v>26</v>
      </c>
      <c r="C34" s="32">
        <v>45689</v>
      </c>
      <c r="D34" t="s">
        <v>16</v>
      </c>
      <c r="E34" t="s">
        <v>49</v>
      </c>
      <c r="F34" t="s">
        <v>48</v>
      </c>
      <c r="G34">
        <v>176103.92689214091</v>
      </c>
      <c r="H34">
        <v>361069.02901571809</v>
      </c>
      <c r="I34">
        <v>110533.13</v>
      </c>
      <c r="J34">
        <v>0</v>
      </c>
      <c r="K34">
        <v>0</v>
      </c>
      <c r="L34">
        <v>0</v>
      </c>
      <c r="M34">
        <v>48973.905599999998</v>
      </c>
      <c r="N34">
        <v>713276.88280000014</v>
      </c>
      <c r="P34">
        <v>21</v>
      </c>
      <c r="Q34">
        <v>8</v>
      </c>
      <c r="S34" t="s">
        <v>37</v>
      </c>
      <c r="T34">
        <v>2025</v>
      </c>
    </row>
    <row r="35" spans="1:20" x14ac:dyDescent="0.35">
      <c r="A35" t="s">
        <v>33</v>
      </c>
      <c r="B35" t="s">
        <v>26</v>
      </c>
      <c r="C35" s="32">
        <v>45689</v>
      </c>
      <c r="D35" t="s">
        <v>17</v>
      </c>
      <c r="E35" t="s">
        <v>49</v>
      </c>
      <c r="F35" t="s">
        <v>48</v>
      </c>
      <c r="G35">
        <v>65175.425117073166</v>
      </c>
      <c r="H35">
        <v>198405.06736585364</v>
      </c>
      <c r="J35">
        <v>0</v>
      </c>
      <c r="K35">
        <v>0</v>
      </c>
      <c r="M35">
        <v>10834.3472</v>
      </c>
      <c r="N35">
        <v>328755.91759999999</v>
      </c>
      <c r="P35">
        <v>2</v>
      </c>
      <c r="S35" t="s">
        <v>37</v>
      </c>
      <c r="T35">
        <v>2025</v>
      </c>
    </row>
    <row r="36" spans="1:20" x14ac:dyDescent="0.35">
      <c r="A36" t="s">
        <v>33</v>
      </c>
      <c r="B36" t="s">
        <v>26</v>
      </c>
      <c r="C36" s="32">
        <v>45689</v>
      </c>
      <c r="D36" t="s">
        <v>20</v>
      </c>
      <c r="E36" t="s">
        <v>49</v>
      </c>
      <c r="F36" t="s">
        <v>48</v>
      </c>
      <c r="J36">
        <v>0</v>
      </c>
      <c r="K36">
        <v>0</v>
      </c>
      <c r="M36">
        <v>71498.555200000003</v>
      </c>
      <c r="P36">
        <v>1</v>
      </c>
      <c r="S36" t="s">
        <v>37</v>
      </c>
      <c r="T36">
        <v>2025</v>
      </c>
    </row>
    <row r="37" spans="1:20" x14ac:dyDescent="0.35">
      <c r="A37" t="s">
        <v>33</v>
      </c>
      <c r="B37" t="s">
        <v>26</v>
      </c>
      <c r="C37" s="32">
        <v>45689</v>
      </c>
      <c r="D37" t="s">
        <v>22</v>
      </c>
      <c r="E37" t="s">
        <v>49</v>
      </c>
      <c r="F37" t="s">
        <v>48</v>
      </c>
      <c r="P37">
        <v>1</v>
      </c>
      <c r="S37" t="s">
        <v>37</v>
      </c>
      <c r="T37">
        <v>2025</v>
      </c>
    </row>
    <row r="38" spans="1:20" x14ac:dyDescent="0.35">
      <c r="A38" t="s">
        <v>33</v>
      </c>
      <c r="B38" t="s">
        <v>26</v>
      </c>
      <c r="C38" s="32">
        <v>45658</v>
      </c>
      <c r="D38" t="s">
        <v>49</v>
      </c>
      <c r="E38" t="s">
        <v>49</v>
      </c>
      <c r="F38" t="s">
        <v>49</v>
      </c>
      <c r="G38">
        <v>27456.272199999999</v>
      </c>
      <c r="H38">
        <v>72572.22080000001</v>
      </c>
      <c r="J38">
        <v>0</v>
      </c>
      <c r="K38">
        <v>0</v>
      </c>
      <c r="M38">
        <v>24641.874400000001</v>
      </c>
      <c r="N38">
        <v>127484.76520000001</v>
      </c>
      <c r="P38">
        <v>1</v>
      </c>
      <c r="S38" t="s">
        <v>37</v>
      </c>
      <c r="T38">
        <v>2025</v>
      </c>
    </row>
    <row r="39" spans="1:20" x14ac:dyDescent="0.35">
      <c r="A39" t="s">
        <v>33</v>
      </c>
      <c r="B39" t="s">
        <v>26</v>
      </c>
      <c r="C39" s="32">
        <v>45658</v>
      </c>
      <c r="D39" t="s">
        <v>49</v>
      </c>
      <c r="E39" t="s">
        <v>49</v>
      </c>
      <c r="F39" t="s">
        <v>49</v>
      </c>
      <c r="I39">
        <v>25433.439999999999</v>
      </c>
      <c r="L39">
        <v>0</v>
      </c>
      <c r="P39">
        <v>1</v>
      </c>
      <c r="S39" t="s">
        <v>37</v>
      </c>
      <c r="T39">
        <v>2025</v>
      </c>
    </row>
    <row r="40" spans="1:20" x14ac:dyDescent="0.35">
      <c r="A40" t="s">
        <v>33</v>
      </c>
      <c r="B40" t="s">
        <v>26</v>
      </c>
      <c r="C40" s="32">
        <v>45658</v>
      </c>
      <c r="D40" t="s">
        <v>49</v>
      </c>
      <c r="E40" t="s">
        <v>49</v>
      </c>
      <c r="F40" t="s">
        <v>49</v>
      </c>
      <c r="P40">
        <v>1</v>
      </c>
      <c r="S40" t="s">
        <v>37</v>
      </c>
      <c r="T40">
        <v>2025</v>
      </c>
    </row>
    <row r="41" spans="1:20" x14ac:dyDescent="0.35">
      <c r="A41" t="s">
        <v>33</v>
      </c>
      <c r="B41" t="s">
        <v>26</v>
      </c>
      <c r="C41" s="32">
        <v>45658</v>
      </c>
      <c r="D41" t="s">
        <v>49</v>
      </c>
      <c r="E41" t="s">
        <v>49</v>
      </c>
      <c r="F41" t="s">
        <v>49</v>
      </c>
      <c r="P41">
        <v>1</v>
      </c>
      <c r="S41" t="s">
        <v>37</v>
      </c>
      <c r="T41">
        <v>2025</v>
      </c>
    </row>
    <row r="42" spans="1:20" x14ac:dyDescent="0.35">
      <c r="A42" t="s">
        <v>33</v>
      </c>
      <c r="B42" t="s">
        <v>26</v>
      </c>
      <c r="C42" s="32">
        <v>45658</v>
      </c>
      <c r="D42" t="s">
        <v>14</v>
      </c>
      <c r="E42" t="s">
        <v>49</v>
      </c>
      <c r="F42" t="s">
        <v>48</v>
      </c>
      <c r="G42">
        <v>122107.33732466125</v>
      </c>
      <c r="H42">
        <v>316910.46015067748</v>
      </c>
      <c r="J42">
        <v>0</v>
      </c>
      <c r="K42">
        <v>0</v>
      </c>
      <c r="M42">
        <v>26607.438799999996</v>
      </c>
      <c r="N42">
        <v>561125.1348</v>
      </c>
      <c r="P42">
        <v>7</v>
      </c>
      <c r="Q42">
        <v>1</v>
      </c>
      <c r="S42" t="s">
        <v>37</v>
      </c>
      <c r="T42">
        <v>2025</v>
      </c>
    </row>
    <row r="43" spans="1:20" x14ac:dyDescent="0.35">
      <c r="A43" t="s">
        <v>33</v>
      </c>
      <c r="B43" t="s">
        <v>26</v>
      </c>
      <c r="C43" s="32">
        <v>45658</v>
      </c>
      <c r="D43" t="s">
        <v>27</v>
      </c>
      <c r="E43" t="s">
        <v>49</v>
      </c>
      <c r="F43" t="s">
        <v>48</v>
      </c>
      <c r="G43">
        <v>425497.16318536591</v>
      </c>
      <c r="H43">
        <v>372057.86202926823</v>
      </c>
      <c r="I43">
        <v>14714.5</v>
      </c>
      <c r="J43">
        <v>0</v>
      </c>
      <c r="K43">
        <v>0</v>
      </c>
      <c r="L43">
        <v>0</v>
      </c>
      <c r="M43">
        <v>46854.549999999996</v>
      </c>
      <c r="N43">
        <v>1223052.1884000001</v>
      </c>
      <c r="P43">
        <v>16</v>
      </c>
      <c r="Q43">
        <v>2</v>
      </c>
      <c r="S43" t="s">
        <v>37</v>
      </c>
      <c r="T43">
        <v>2025</v>
      </c>
    </row>
    <row r="44" spans="1:20" x14ac:dyDescent="0.35">
      <c r="A44" t="s">
        <v>33</v>
      </c>
      <c r="B44" t="s">
        <v>26</v>
      </c>
      <c r="C44" s="32">
        <v>45658</v>
      </c>
      <c r="D44" t="s">
        <v>16</v>
      </c>
      <c r="E44" t="s">
        <v>49</v>
      </c>
      <c r="F44" t="s">
        <v>48</v>
      </c>
      <c r="G44">
        <v>442428.68034525739</v>
      </c>
      <c r="H44">
        <v>505873.31370948505</v>
      </c>
      <c r="I44">
        <v>68866.7</v>
      </c>
      <c r="J44">
        <v>0</v>
      </c>
      <c r="K44">
        <v>0</v>
      </c>
      <c r="L44">
        <v>0</v>
      </c>
      <c r="M44">
        <v>150652.976</v>
      </c>
      <c r="N44">
        <v>1406090.7844</v>
      </c>
      <c r="P44">
        <v>20</v>
      </c>
      <c r="Q44">
        <v>15</v>
      </c>
      <c r="S44" t="s">
        <v>37</v>
      </c>
      <c r="T44">
        <v>2025</v>
      </c>
    </row>
    <row r="45" spans="1:20" x14ac:dyDescent="0.35">
      <c r="A45" t="s">
        <v>33</v>
      </c>
      <c r="B45" t="s">
        <v>26</v>
      </c>
      <c r="C45" s="32">
        <v>45658</v>
      </c>
      <c r="D45" t="s">
        <v>17</v>
      </c>
      <c r="E45" t="s">
        <v>49</v>
      </c>
      <c r="F45" t="s">
        <v>48</v>
      </c>
      <c r="G45">
        <v>52770.132618970187</v>
      </c>
      <c r="H45">
        <v>84335.205962059626</v>
      </c>
      <c r="J45">
        <v>0</v>
      </c>
      <c r="K45">
        <v>0</v>
      </c>
      <c r="M45">
        <v>6993.6028000000006</v>
      </c>
      <c r="N45">
        <v>189875.4712</v>
      </c>
      <c r="P45">
        <v>4</v>
      </c>
      <c r="S45" t="s">
        <v>37</v>
      </c>
      <c r="T45">
        <v>2025</v>
      </c>
    </row>
    <row r="46" spans="1:20" x14ac:dyDescent="0.35">
      <c r="A46" t="s">
        <v>33</v>
      </c>
      <c r="B46" t="s">
        <v>26</v>
      </c>
      <c r="C46" s="32">
        <v>45658</v>
      </c>
      <c r="D46" t="s">
        <v>20</v>
      </c>
      <c r="E46" t="s">
        <v>49</v>
      </c>
      <c r="F46" t="s">
        <v>48</v>
      </c>
      <c r="G46">
        <v>4378.6880000000001</v>
      </c>
      <c r="H46">
        <v>0</v>
      </c>
      <c r="J46">
        <v>0</v>
      </c>
      <c r="K46">
        <v>0</v>
      </c>
      <c r="M46">
        <v>140285.42120000001</v>
      </c>
      <c r="N46">
        <v>8757.3760000000002</v>
      </c>
      <c r="P46">
        <v>1</v>
      </c>
      <c r="S46" t="s">
        <v>37</v>
      </c>
      <c r="T46">
        <v>2025</v>
      </c>
    </row>
    <row r="47" spans="1:20" x14ac:dyDescent="0.35">
      <c r="A47" t="s">
        <v>33</v>
      </c>
      <c r="B47" t="s">
        <v>26</v>
      </c>
      <c r="C47" s="32">
        <v>45658</v>
      </c>
      <c r="D47" t="s">
        <v>22</v>
      </c>
      <c r="E47" t="s">
        <v>49</v>
      </c>
      <c r="F47" t="s">
        <v>48</v>
      </c>
      <c r="P47">
        <v>1</v>
      </c>
      <c r="S47" t="s">
        <v>37</v>
      </c>
      <c r="T47">
        <v>2025</v>
      </c>
    </row>
    <row r="48" spans="1:20" x14ac:dyDescent="0.35">
      <c r="A48" t="s">
        <v>33</v>
      </c>
      <c r="B48" t="s">
        <v>26</v>
      </c>
      <c r="C48" s="32">
        <v>45717</v>
      </c>
      <c r="D48" t="s">
        <v>49</v>
      </c>
      <c r="E48" t="s">
        <v>49</v>
      </c>
      <c r="F48" t="s">
        <v>49</v>
      </c>
      <c r="G48">
        <v>216731.42431707316</v>
      </c>
      <c r="H48">
        <v>345000.75536585355</v>
      </c>
      <c r="J48">
        <v>0</v>
      </c>
      <c r="K48">
        <v>0</v>
      </c>
      <c r="M48">
        <v>19380.238799999999</v>
      </c>
      <c r="N48">
        <v>778463.60400000005</v>
      </c>
      <c r="P48">
        <v>1</v>
      </c>
      <c r="S48" t="s">
        <v>37</v>
      </c>
      <c r="T48">
        <v>2025</v>
      </c>
    </row>
    <row r="49" spans="1:20" x14ac:dyDescent="0.35">
      <c r="A49" t="s">
        <v>33</v>
      </c>
      <c r="B49" t="s">
        <v>26</v>
      </c>
      <c r="C49" s="32">
        <v>45717</v>
      </c>
      <c r="D49" t="s">
        <v>49</v>
      </c>
      <c r="E49" t="s">
        <v>49</v>
      </c>
      <c r="F49" t="s">
        <v>49</v>
      </c>
      <c r="I49">
        <v>6091.3499999999985</v>
      </c>
      <c r="L49">
        <v>0</v>
      </c>
      <c r="P49">
        <v>1</v>
      </c>
      <c r="S49" t="s">
        <v>37</v>
      </c>
      <c r="T49">
        <v>2025</v>
      </c>
    </row>
    <row r="50" spans="1:20" x14ac:dyDescent="0.35">
      <c r="A50" t="s">
        <v>33</v>
      </c>
      <c r="B50" t="s">
        <v>26</v>
      </c>
      <c r="C50" s="32">
        <v>45717</v>
      </c>
      <c r="D50" t="s">
        <v>49</v>
      </c>
      <c r="E50" t="s">
        <v>49</v>
      </c>
      <c r="F50" t="s">
        <v>49</v>
      </c>
      <c r="P50">
        <v>1</v>
      </c>
      <c r="S50" t="s">
        <v>37</v>
      </c>
      <c r="T50">
        <v>2025</v>
      </c>
    </row>
    <row r="51" spans="1:20" x14ac:dyDescent="0.35">
      <c r="A51" t="s">
        <v>33</v>
      </c>
      <c r="B51" t="s">
        <v>26</v>
      </c>
      <c r="C51" s="32">
        <v>45717</v>
      </c>
      <c r="D51" t="s">
        <v>49</v>
      </c>
      <c r="E51" t="s">
        <v>49</v>
      </c>
      <c r="F51" t="s">
        <v>49</v>
      </c>
      <c r="P51">
        <v>1</v>
      </c>
      <c r="S51" t="s">
        <v>37</v>
      </c>
      <c r="T51">
        <v>2025</v>
      </c>
    </row>
    <row r="52" spans="1:20" x14ac:dyDescent="0.35">
      <c r="A52" t="s">
        <v>33</v>
      </c>
      <c r="B52" t="s">
        <v>26</v>
      </c>
      <c r="C52" s="32">
        <v>45717</v>
      </c>
      <c r="D52" t="s">
        <v>27</v>
      </c>
      <c r="E52" t="s">
        <v>49</v>
      </c>
      <c r="F52" t="s">
        <v>48</v>
      </c>
      <c r="G52">
        <v>209557.80222601627</v>
      </c>
      <c r="H52">
        <v>234708.93354796746</v>
      </c>
      <c r="J52">
        <v>0</v>
      </c>
      <c r="K52">
        <v>0</v>
      </c>
      <c r="M52">
        <v>42223.876799999998</v>
      </c>
      <c r="N52">
        <v>653824.53800000006</v>
      </c>
      <c r="P52">
        <v>17</v>
      </c>
      <c r="S52" t="s">
        <v>37</v>
      </c>
      <c r="T52">
        <v>2025</v>
      </c>
    </row>
    <row r="53" spans="1:20" x14ac:dyDescent="0.35">
      <c r="A53" t="s">
        <v>33</v>
      </c>
      <c r="B53" t="s">
        <v>26</v>
      </c>
      <c r="C53" s="32">
        <v>45717</v>
      </c>
      <c r="D53" t="s">
        <v>16</v>
      </c>
      <c r="E53" t="s">
        <v>49</v>
      </c>
      <c r="F53" t="s">
        <v>48</v>
      </c>
      <c r="G53">
        <v>398860.76534200535</v>
      </c>
      <c r="H53">
        <v>846850.90331598872</v>
      </c>
      <c r="I53">
        <v>18264.93</v>
      </c>
      <c r="J53">
        <v>0</v>
      </c>
      <c r="K53">
        <v>0</v>
      </c>
      <c r="L53">
        <v>0</v>
      </c>
      <c r="M53">
        <v>206783.63279999996</v>
      </c>
      <c r="N53">
        <v>1644572.4339999999</v>
      </c>
      <c r="P53">
        <v>24</v>
      </c>
      <c r="Q53">
        <v>14</v>
      </c>
      <c r="S53" t="s">
        <v>37</v>
      </c>
      <c r="T53">
        <v>2025</v>
      </c>
    </row>
    <row r="54" spans="1:20" x14ac:dyDescent="0.35">
      <c r="A54" t="s">
        <v>33</v>
      </c>
      <c r="B54" t="s">
        <v>26</v>
      </c>
      <c r="C54" s="32">
        <v>45717</v>
      </c>
      <c r="D54" t="s">
        <v>17</v>
      </c>
      <c r="E54" t="s">
        <v>49</v>
      </c>
      <c r="F54" t="s">
        <v>48</v>
      </c>
      <c r="P54">
        <v>5</v>
      </c>
      <c r="S54" t="s">
        <v>37</v>
      </c>
      <c r="T54">
        <v>2025</v>
      </c>
    </row>
    <row r="55" spans="1:20" x14ac:dyDescent="0.35">
      <c r="A55" t="s">
        <v>33</v>
      </c>
      <c r="B55" t="s">
        <v>26</v>
      </c>
      <c r="C55" s="32">
        <v>45717</v>
      </c>
      <c r="D55" t="s">
        <v>22</v>
      </c>
      <c r="E55" t="s">
        <v>49</v>
      </c>
      <c r="F55" t="s">
        <v>48</v>
      </c>
      <c r="P55">
        <v>1</v>
      </c>
      <c r="S55" t="s">
        <v>37</v>
      </c>
      <c r="T55">
        <v>2025</v>
      </c>
    </row>
    <row r="56" spans="1:20" x14ac:dyDescent="0.35">
      <c r="A56" t="s">
        <v>23</v>
      </c>
      <c r="B56" t="s">
        <v>32</v>
      </c>
      <c r="C56" s="32">
        <v>45658</v>
      </c>
      <c r="D56" t="s">
        <v>14</v>
      </c>
      <c r="E56" t="s">
        <v>49</v>
      </c>
      <c r="F56" t="s">
        <v>48</v>
      </c>
      <c r="G56">
        <v>6.8000000000000003E-13</v>
      </c>
      <c r="H56">
        <v>0</v>
      </c>
      <c r="J56">
        <v>0</v>
      </c>
      <c r="K56">
        <v>0</v>
      </c>
      <c r="M56">
        <v>54316.046000000002</v>
      </c>
      <c r="N56">
        <v>1.3600000000000001E-12</v>
      </c>
      <c r="P56">
        <v>2</v>
      </c>
      <c r="Q56">
        <v>1</v>
      </c>
      <c r="R56">
        <v>0</v>
      </c>
      <c r="S56" t="s">
        <v>37</v>
      </c>
      <c r="T56">
        <v>2025</v>
      </c>
    </row>
    <row r="57" spans="1:20" x14ac:dyDescent="0.35">
      <c r="A57" t="s">
        <v>23</v>
      </c>
      <c r="B57" t="s">
        <v>32</v>
      </c>
      <c r="C57" s="32">
        <v>45717</v>
      </c>
      <c r="D57" t="s">
        <v>14</v>
      </c>
      <c r="E57" t="s">
        <v>49</v>
      </c>
      <c r="F57" t="s">
        <v>48</v>
      </c>
      <c r="G57">
        <v>0</v>
      </c>
      <c r="H57">
        <v>38588.055999999997</v>
      </c>
      <c r="J57">
        <v>0</v>
      </c>
      <c r="K57">
        <v>0</v>
      </c>
      <c r="M57">
        <v>4406.8487999999998</v>
      </c>
      <c r="N57">
        <v>38588.055999999997</v>
      </c>
      <c r="P57">
        <v>2</v>
      </c>
      <c r="Q57">
        <v>0</v>
      </c>
      <c r="R57">
        <v>0</v>
      </c>
      <c r="S57" t="s">
        <v>37</v>
      </c>
      <c r="T57">
        <v>2025</v>
      </c>
    </row>
    <row r="58" spans="1:20" x14ac:dyDescent="0.35">
      <c r="A58" t="s">
        <v>23</v>
      </c>
      <c r="B58" t="s">
        <v>32</v>
      </c>
      <c r="C58" s="32">
        <v>45717</v>
      </c>
      <c r="D58" t="s">
        <v>17</v>
      </c>
      <c r="E58" t="s">
        <v>49</v>
      </c>
      <c r="F58" t="s">
        <v>48</v>
      </c>
      <c r="P58">
        <v>4</v>
      </c>
      <c r="Q58">
        <v>2</v>
      </c>
      <c r="R58">
        <v>0</v>
      </c>
      <c r="S58" t="s">
        <v>37</v>
      </c>
      <c r="T58">
        <v>2025</v>
      </c>
    </row>
    <row r="59" spans="1:20" x14ac:dyDescent="0.35">
      <c r="A59" t="s">
        <v>23</v>
      </c>
      <c r="B59" t="s">
        <v>26</v>
      </c>
      <c r="C59" s="32">
        <v>45689</v>
      </c>
      <c r="D59" t="s">
        <v>22</v>
      </c>
      <c r="E59" t="s">
        <v>49</v>
      </c>
      <c r="F59" t="s">
        <v>48</v>
      </c>
      <c r="G59">
        <v>21357.663723577236</v>
      </c>
      <c r="H59">
        <v>53893.449352845535</v>
      </c>
      <c r="J59">
        <v>0</v>
      </c>
      <c r="K59">
        <v>0</v>
      </c>
      <c r="M59">
        <v>55763.254399999998</v>
      </c>
      <c r="N59">
        <v>98293.716799999995</v>
      </c>
      <c r="P59">
        <v>7</v>
      </c>
      <c r="Q59">
        <v>0</v>
      </c>
      <c r="R59">
        <v>0</v>
      </c>
      <c r="S59" t="s">
        <v>37</v>
      </c>
      <c r="T59">
        <v>2025</v>
      </c>
    </row>
    <row r="60" spans="1:20" x14ac:dyDescent="0.35">
      <c r="A60" t="s">
        <v>23</v>
      </c>
      <c r="B60" t="s">
        <v>26</v>
      </c>
      <c r="C60" s="32">
        <v>45658</v>
      </c>
      <c r="D60" t="s">
        <v>22</v>
      </c>
      <c r="E60" t="s">
        <v>49</v>
      </c>
      <c r="F60" t="s">
        <v>48</v>
      </c>
      <c r="G60">
        <v>1597.1386</v>
      </c>
      <c r="H60">
        <v>13966.17</v>
      </c>
      <c r="J60">
        <v>0</v>
      </c>
      <c r="K60">
        <v>0</v>
      </c>
      <c r="M60">
        <v>23454.485200000003</v>
      </c>
      <c r="N60">
        <v>22936.4372</v>
      </c>
      <c r="P60">
        <v>7</v>
      </c>
      <c r="Q60">
        <v>0</v>
      </c>
      <c r="R60">
        <v>0</v>
      </c>
      <c r="S60" t="s">
        <v>37</v>
      </c>
      <c r="T60">
        <v>2025</v>
      </c>
    </row>
    <row r="61" spans="1:20" x14ac:dyDescent="0.35">
      <c r="A61" t="s">
        <v>23</v>
      </c>
      <c r="B61" t="s">
        <v>26</v>
      </c>
      <c r="C61" s="32">
        <v>45717</v>
      </c>
      <c r="D61" t="s">
        <v>22</v>
      </c>
      <c r="E61" t="s">
        <v>49</v>
      </c>
      <c r="F61" t="s">
        <v>48</v>
      </c>
      <c r="G61">
        <v>16754.916116260163</v>
      </c>
      <c r="H61">
        <v>22267.564967479673</v>
      </c>
      <c r="J61">
        <v>0</v>
      </c>
      <c r="K61">
        <v>0</v>
      </c>
      <c r="M61">
        <v>34194.839599999999</v>
      </c>
      <c r="N61">
        <v>67461.797200000001</v>
      </c>
      <c r="P61">
        <v>6</v>
      </c>
      <c r="Q61">
        <v>0</v>
      </c>
      <c r="R61">
        <v>0</v>
      </c>
      <c r="S61" t="s">
        <v>37</v>
      </c>
      <c r="T61">
        <v>2025</v>
      </c>
    </row>
    <row r="62" spans="1:20" x14ac:dyDescent="0.35">
      <c r="A62" t="s">
        <v>33</v>
      </c>
      <c r="B62" t="s">
        <v>32</v>
      </c>
      <c r="C62" s="32">
        <v>45658</v>
      </c>
      <c r="D62" t="s">
        <v>19</v>
      </c>
      <c r="E62" t="s">
        <v>49</v>
      </c>
      <c r="F62" t="s">
        <v>49</v>
      </c>
      <c r="G62">
        <v>8509.3883999999998</v>
      </c>
      <c r="H62">
        <v>52833.81</v>
      </c>
      <c r="J62">
        <v>0</v>
      </c>
      <c r="K62">
        <v>0</v>
      </c>
      <c r="M62">
        <v>78866.756000000008</v>
      </c>
      <c r="N62">
        <v>97532.876799999998</v>
      </c>
      <c r="P62">
        <v>16</v>
      </c>
      <c r="Q62">
        <v>3</v>
      </c>
      <c r="R62">
        <v>1</v>
      </c>
      <c r="S62" t="s">
        <v>37</v>
      </c>
      <c r="T62">
        <v>2025</v>
      </c>
    </row>
    <row r="63" spans="1:20" x14ac:dyDescent="0.35">
      <c r="A63" t="s">
        <v>33</v>
      </c>
      <c r="B63" t="s">
        <v>26</v>
      </c>
      <c r="C63" s="32">
        <v>45689</v>
      </c>
      <c r="D63" t="s">
        <v>27</v>
      </c>
      <c r="E63" t="s">
        <v>49</v>
      </c>
      <c r="F63" t="s">
        <v>48</v>
      </c>
      <c r="G63">
        <v>431306.47478915995</v>
      </c>
      <c r="H63">
        <v>770784.8252216801</v>
      </c>
      <c r="I63">
        <v>27733.39</v>
      </c>
      <c r="J63">
        <v>0</v>
      </c>
      <c r="K63">
        <v>0</v>
      </c>
      <c r="L63">
        <v>0</v>
      </c>
      <c r="M63">
        <v>68107.107999999993</v>
      </c>
      <c r="N63">
        <v>1633402.7748</v>
      </c>
      <c r="P63">
        <v>16</v>
      </c>
      <c r="Q63">
        <v>2</v>
      </c>
      <c r="R63">
        <v>1</v>
      </c>
      <c r="S63" t="s">
        <v>37</v>
      </c>
      <c r="T63">
        <v>2025</v>
      </c>
    </row>
    <row r="64" spans="1:20" x14ac:dyDescent="0.35">
      <c r="A64" t="s">
        <v>33</v>
      </c>
      <c r="B64" t="s">
        <v>26</v>
      </c>
      <c r="C64" s="32">
        <v>45689</v>
      </c>
      <c r="D64" t="s">
        <v>18</v>
      </c>
      <c r="E64" t="s">
        <v>49</v>
      </c>
      <c r="F64" t="s">
        <v>49</v>
      </c>
      <c r="G64">
        <v>51353.286977777781</v>
      </c>
      <c r="H64">
        <v>14879.759644444439</v>
      </c>
      <c r="J64">
        <v>0</v>
      </c>
      <c r="K64">
        <v>0</v>
      </c>
      <c r="M64">
        <v>163460.55119999999</v>
      </c>
      <c r="N64">
        <v>120257.69359999998</v>
      </c>
      <c r="P64">
        <v>6</v>
      </c>
      <c r="Q64">
        <v>11</v>
      </c>
      <c r="R64">
        <v>1</v>
      </c>
      <c r="S64" t="s">
        <v>37</v>
      </c>
      <c r="T64">
        <v>2025</v>
      </c>
    </row>
    <row r="65" spans="1:20" x14ac:dyDescent="0.35">
      <c r="A65" t="s">
        <v>33</v>
      </c>
      <c r="B65" t="s">
        <v>26</v>
      </c>
      <c r="C65" s="32">
        <v>45658</v>
      </c>
      <c r="D65" t="s">
        <v>18</v>
      </c>
      <c r="E65" t="s">
        <v>49</v>
      </c>
      <c r="F65" t="s">
        <v>49</v>
      </c>
      <c r="G65">
        <v>6626.4343701897033</v>
      </c>
      <c r="H65">
        <v>80913.8828596206</v>
      </c>
      <c r="J65">
        <v>0</v>
      </c>
      <c r="K65">
        <v>0</v>
      </c>
      <c r="M65">
        <v>16837.547600000002</v>
      </c>
      <c r="N65">
        <v>95833.711599999995</v>
      </c>
      <c r="P65">
        <v>6</v>
      </c>
      <c r="Q65">
        <v>8</v>
      </c>
      <c r="R65">
        <v>1</v>
      </c>
      <c r="S65" t="s">
        <v>37</v>
      </c>
      <c r="T65">
        <v>2025</v>
      </c>
    </row>
    <row r="66" spans="1:20" x14ac:dyDescent="0.35">
      <c r="A66" t="s">
        <v>33</v>
      </c>
      <c r="B66" t="s">
        <v>26</v>
      </c>
      <c r="C66" s="32">
        <v>45658</v>
      </c>
      <c r="D66" t="s">
        <v>21</v>
      </c>
      <c r="E66" t="s">
        <v>49</v>
      </c>
      <c r="F66" t="s">
        <v>48</v>
      </c>
      <c r="G66">
        <v>16999.434665040648</v>
      </c>
      <c r="H66">
        <v>2850.9918699186987</v>
      </c>
      <c r="J66">
        <v>0</v>
      </c>
      <c r="K66">
        <v>0</v>
      </c>
      <c r="M66">
        <v>16055.709999999997</v>
      </c>
      <c r="N66">
        <v>36849.861199999999</v>
      </c>
      <c r="P66">
        <v>1</v>
      </c>
      <c r="Q66">
        <v>25</v>
      </c>
      <c r="R66">
        <v>1</v>
      </c>
      <c r="S66" t="s">
        <v>37</v>
      </c>
      <c r="T66">
        <v>2025</v>
      </c>
    </row>
    <row r="67" spans="1:20" x14ac:dyDescent="0.35">
      <c r="A67" t="s">
        <v>33</v>
      </c>
      <c r="B67" t="s">
        <v>26</v>
      </c>
      <c r="C67" s="32">
        <v>45717</v>
      </c>
      <c r="D67" t="s">
        <v>14</v>
      </c>
      <c r="E67" t="s">
        <v>49</v>
      </c>
      <c r="F67" t="s">
        <v>48</v>
      </c>
      <c r="G67">
        <v>116840.26075067749</v>
      </c>
      <c r="H67">
        <v>71470.45049864499</v>
      </c>
      <c r="J67">
        <v>0</v>
      </c>
      <c r="K67">
        <v>0</v>
      </c>
      <c r="M67">
        <v>72071.5432</v>
      </c>
      <c r="N67">
        <v>305150.97200000001</v>
      </c>
      <c r="P67">
        <v>7</v>
      </c>
      <c r="Q67">
        <v>1</v>
      </c>
      <c r="R67">
        <v>1</v>
      </c>
      <c r="S67" t="s">
        <v>37</v>
      </c>
      <c r="T67">
        <v>2025</v>
      </c>
    </row>
    <row r="68" spans="1:20" x14ac:dyDescent="0.35">
      <c r="A68" t="s">
        <v>23</v>
      </c>
      <c r="B68" t="s">
        <v>32</v>
      </c>
      <c r="C68" s="32">
        <v>45689</v>
      </c>
      <c r="D68" t="s">
        <v>14</v>
      </c>
      <c r="E68" t="s">
        <v>49</v>
      </c>
      <c r="F68" t="s">
        <v>48</v>
      </c>
      <c r="G68">
        <v>1.8600000000000002E-12</v>
      </c>
      <c r="H68">
        <v>0</v>
      </c>
      <c r="J68">
        <v>0</v>
      </c>
      <c r="K68">
        <v>0</v>
      </c>
      <c r="M68">
        <v>82408.69008</v>
      </c>
      <c r="N68">
        <v>3.7200000000000003E-12</v>
      </c>
      <c r="P68">
        <v>1</v>
      </c>
      <c r="Q68">
        <v>2</v>
      </c>
      <c r="R68">
        <v>1</v>
      </c>
      <c r="S68" t="s">
        <v>37</v>
      </c>
      <c r="T68">
        <v>2025</v>
      </c>
    </row>
    <row r="69" spans="1:20" x14ac:dyDescent="0.35">
      <c r="A69" t="s">
        <v>23</v>
      </c>
      <c r="B69" t="s">
        <v>32</v>
      </c>
      <c r="C69" s="32">
        <v>45689</v>
      </c>
      <c r="D69" t="s">
        <v>17</v>
      </c>
      <c r="E69" t="s">
        <v>49</v>
      </c>
      <c r="F69" t="s">
        <v>48</v>
      </c>
      <c r="P69">
        <v>1</v>
      </c>
      <c r="Q69">
        <v>1</v>
      </c>
      <c r="R69">
        <v>1</v>
      </c>
      <c r="S69" t="s">
        <v>37</v>
      </c>
      <c r="T69">
        <v>2025</v>
      </c>
    </row>
    <row r="70" spans="1:20" x14ac:dyDescent="0.35">
      <c r="A70" t="s">
        <v>23</v>
      </c>
      <c r="B70" t="s">
        <v>32</v>
      </c>
      <c r="C70" s="32">
        <v>45689</v>
      </c>
      <c r="D70" t="s">
        <v>18</v>
      </c>
      <c r="E70" t="s">
        <v>49</v>
      </c>
      <c r="F70" t="s">
        <v>49</v>
      </c>
      <c r="G70">
        <v>35182.232531707319</v>
      </c>
      <c r="H70">
        <v>24800.175336585369</v>
      </c>
      <c r="I70">
        <v>116.98</v>
      </c>
      <c r="J70">
        <v>0</v>
      </c>
      <c r="K70">
        <v>0</v>
      </c>
      <c r="L70">
        <v>0</v>
      </c>
      <c r="M70">
        <v>229707.33119999999</v>
      </c>
      <c r="N70">
        <v>165991.41039999999</v>
      </c>
      <c r="P70">
        <v>5</v>
      </c>
      <c r="Q70">
        <v>5</v>
      </c>
      <c r="R70">
        <v>1</v>
      </c>
      <c r="S70" t="s">
        <v>37</v>
      </c>
      <c r="T70">
        <v>2025</v>
      </c>
    </row>
    <row r="71" spans="1:20" x14ac:dyDescent="0.35">
      <c r="A71" t="s">
        <v>23</v>
      </c>
      <c r="B71" t="s">
        <v>32</v>
      </c>
      <c r="C71" s="32">
        <v>45658</v>
      </c>
      <c r="D71" t="s">
        <v>17</v>
      </c>
      <c r="E71" t="s">
        <v>49</v>
      </c>
      <c r="F71" t="s">
        <v>48</v>
      </c>
      <c r="P71">
        <v>2</v>
      </c>
      <c r="Q71">
        <v>3</v>
      </c>
      <c r="R71">
        <v>1</v>
      </c>
      <c r="S71" t="s">
        <v>37</v>
      </c>
      <c r="T71">
        <v>2025</v>
      </c>
    </row>
    <row r="72" spans="1:20" x14ac:dyDescent="0.35">
      <c r="A72" t="s">
        <v>33</v>
      </c>
      <c r="B72" t="s">
        <v>26</v>
      </c>
      <c r="C72" s="32">
        <v>45689</v>
      </c>
      <c r="D72" t="s">
        <v>21</v>
      </c>
      <c r="E72" t="s">
        <v>49</v>
      </c>
      <c r="F72" t="s">
        <v>48</v>
      </c>
      <c r="G72">
        <v>8226.89346504065</v>
      </c>
      <c r="H72">
        <v>2850.9918699186987</v>
      </c>
      <c r="J72">
        <v>0</v>
      </c>
      <c r="K72">
        <v>0</v>
      </c>
      <c r="M72">
        <v>10700.786799999998</v>
      </c>
      <c r="N72">
        <v>19304.7788</v>
      </c>
      <c r="P72">
        <v>4</v>
      </c>
      <c r="Q72">
        <v>15</v>
      </c>
      <c r="R72">
        <v>2</v>
      </c>
      <c r="S72" t="s">
        <v>37</v>
      </c>
      <c r="T72">
        <v>2025</v>
      </c>
    </row>
    <row r="73" spans="1:20" x14ac:dyDescent="0.35">
      <c r="A73" t="s">
        <v>33</v>
      </c>
      <c r="B73" t="s">
        <v>26</v>
      </c>
      <c r="C73" s="32">
        <v>45717</v>
      </c>
      <c r="D73" t="s">
        <v>18</v>
      </c>
      <c r="E73" t="s">
        <v>49</v>
      </c>
      <c r="F73" t="s">
        <v>49</v>
      </c>
      <c r="G73">
        <v>95629.098473712715</v>
      </c>
      <c r="H73">
        <v>75374.607452574535</v>
      </c>
      <c r="J73">
        <v>0</v>
      </c>
      <c r="K73">
        <v>0</v>
      </c>
      <c r="M73">
        <v>14984.007599999999</v>
      </c>
      <c r="N73">
        <v>266632.80440000002</v>
      </c>
      <c r="P73">
        <v>6</v>
      </c>
      <c r="Q73">
        <v>13</v>
      </c>
      <c r="R73">
        <v>2</v>
      </c>
      <c r="S73" t="s">
        <v>37</v>
      </c>
      <c r="T73">
        <v>2025</v>
      </c>
    </row>
    <row r="74" spans="1:20" x14ac:dyDescent="0.35">
      <c r="A74" t="s">
        <v>33</v>
      </c>
      <c r="B74" t="s">
        <v>26</v>
      </c>
      <c r="C74" s="32">
        <v>45717</v>
      </c>
      <c r="D74" t="s">
        <v>21</v>
      </c>
      <c r="E74" t="s">
        <v>49</v>
      </c>
      <c r="F74" t="s">
        <v>48</v>
      </c>
      <c r="G74">
        <v>85173.394362601612</v>
      </c>
      <c r="H74">
        <v>7127.4796747967484</v>
      </c>
      <c r="J74">
        <v>0</v>
      </c>
      <c r="K74">
        <v>0</v>
      </c>
      <c r="M74">
        <v>61917.168799999999</v>
      </c>
      <c r="N74">
        <v>177474.26840000003</v>
      </c>
      <c r="P74">
        <v>3</v>
      </c>
      <c r="Q74">
        <v>20</v>
      </c>
      <c r="R74">
        <v>2</v>
      </c>
      <c r="S74" t="s">
        <v>37</v>
      </c>
      <c r="T74">
        <v>2025</v>
      </c>
    </row>
    <row r="75" spans="1:20" x14ac:dyDescent="0.35">
      <c r="A75" t="s">
        <v>23</v>
      </c>
      <c r="B75" t="s">
        <v>32</v>
      </c>
      <c r="C75" s="32">
        <v>45658</v>
      </c>
      <c r="D75" t="s">
        <v>18</v>
      </c>
      <c r="E75" t="s">
        <v>49</v>
      </c>
      <c r="F75" t="s">
        <v>49</v>
      </c>
      <c r="G75">
        <v>93063.698799999998</v>
      </c>
      <c r="H75">
        <v>35083.839999999997</v>
      </c>
      <c r="J75">
        <v>0</v>
      </c>
      <c r="K75">
        <v>0</v>
      </c>
      <c r="M75">
        <v>25680.7824</v>
      </c>
      <c r="N75">
        <v>221211.23759999999</v>
      </c>
      <c r="P75">
        <v>5</v>
      </c>
      <c r="Q75">
        <v>4</v>
      </c>
      <c r="R75">
        <v>2</v>
      </c>
      <c r="S75" t="s">
        <v>37</v>
      </c>
      <c r="T75">
        <v>2025</v>
      </c>
    </row>
    <row r="76" spans="1:20" x14ac:dyDescent="0.35">
      <c r="A76" t="s">
        <v>23</v>
      </c>
      <c r="B76" t="s">
        <v>26</v>
      </c>
      <c r="C76" s="32">
        <v>45689</v>
      </c>
      <c r="D76" t="s">
        <v>20</v>
      </c>
      <c r="E76" t="s">
        <v>49</v>
      </c>
      <c r="F76" t="s">
        <v>48</v>
      </c>
      <c r="G76">
        <v>1633.2060162601631</v>
      </c>
      <c r="H76">
        <v>712.74796747967468</v>
      </c>
      <c r="J76">
        <v>0</v>
      </c>
      <c r="K76">
        <v>0</v>
      </c>
      <c r="M76">
        <v>37605.603999999999</v>
      </c>
      <c r="N76">
        <v>3979.16</v>
      </c>
      <c r="P76">
        <v>6</v>
      </c>
      <c r="Q76">
        <v>7</v>
      </c>
      <c r="R76">
        <v>2</v>
      </c>
      <c r="S76" t="s">
        <v>37</v>
      </c>
      <c r="T76">
        <v>2025</v>
      </c>
    </row>
    <row r="77" spans="1:20" x14ac:dyDescent="0.35">
      <c r="A77" t="s">
        <v>23</v>
      </c>
      <c r="B77" t="s">
        <v>26</v>
      </c>
      <c r="C77" s="32">
        <v>45658</v>
      </c>
      <c r="D77" t="s">
        <v>17</v>
      </c>
      <c r="E77" t="s">
        <v>49</v>
      </c>
      <c r="F77" t="s">
        <v>48</v>
      </c>
      <c r="G77">
        <v>123128.24679891601</v>
      </c>
      <c r="H77">
        <v>109622.78720216802</v>
      </c>
      <c r="J77">
        <v>0</v>
      </c>
      <c r="K77">
        <v>0</v>
      </c>
      <c r="M77">
        <v>81095.7016</v>
      </c>
      <c r="N77">
        <v>355879.28080000001</v>
      </c>
      <c r="P77">
        <v>4</v>
      </c>
      <c r="Q77">
        <v>19</v>
      </c>
      <c r="R77">
        <v>2</v>
      </c>
      <c r="S77" t="s">
        <v>37</v>
      </c>
      <c r="T77">
        <v>2025</v>
      </c>
    </row>
    <row r="78" spans="1:20" x14ac:dyDescent="0.35">
      <c r="A78" t="s">
        <v>33</v>
      </c>
      <c r="B78" t="s">
        <v>26</v>
      </c>
      <c r="C78" s="32">
        <v>45717</v>
      </c>
      <c r="D78" t="s">
        <v>20</v>
      </c>
      <c r="E78" t="s">
        <v>49</v>
      </c>
      <c r="F78" t="s">
        <v>48</v>
      </c>
      <c r="J78">
        <v>0</v>
      </c>
      <c r="K78">
        <v>0</v>
      </c>
      <c r="M78">
        <v>13334.6788</v>
      </c>
      <c r="P78">
        <v>1</v>
      </c>
      <c r="Q78">
        <v>4</v>
      </c>
      <c r="R78">
        <v>3</v>
      </c>
      <c r="S78" t="s">
        <v>37</v>
      </c>
      <c r="T78">
        <v>2025</v>
      </c>
    </row>
    <row r="79" spans="1:20" x14ac:dyDescent="0.35">
      <c r="A79" t="s">
        <v>23</v>
      </c>
      <c r="B79" t="s">
        <v>32</v>
      </c>
      <c r="C79" s="32">
        <v>45717</v>
      </c>
      <c r="D79" t="s">
        <v>18</v>
      </c>
      <c r="E79" t="s">
        <v>49</v>
      </c>
      <c r="F79" t="s">
        <v>49</v>
      </c>
      <c r="G79">
        <v>32802.131569105688</v>
      </c>
      <c r="H79">
        <v>2130.1788617886182</v>
      </c>
      <c r="I79">
        <v>26905.65</v>
      </c>
      <c r="J79">
        <v>0</v>
      </c>
      <c r="K79">
        <v>0</v>
      </c>
      <c r="L79">
        <v>0</v>
      </c>
      <c r="M79">
        <v>4858.9888000000001</v>
      </c>
      <c r="N79">
        <v>67734.441999999995</v>
      </c>
      <c r="P79">
        <v>1</v>
      </c>
      <c r="Q79">
        <v>6</v>
      </c>
      <c r="R79">
        <v>4</v>
      </c>
      <c r="S79" t="s">
        <v>37</v>
      </c>
      <c r="T79">
        <v>2025</v>
      </c>
    </row>
    <row r="80" spans="1:20" x14ac:dyDescent="0.35">
      <c r="A80" t="s">
        <v>23</v>
      </c>
      <c r="B80" t="s">
        <v>26</v>
      </c>
      <c r="C80" s="32">
        <v>45689</v>
      </c>
      <c r="D80" t="s">
        <v>18</v>
      </c>
      <c r="E80" t="s">
        <v>49</v>
      </c>
      <c r="F80" t="s">
        <v>49</v>
      </c>
      <c r="G80">
        <v>2396245.5353691056</v>
      </c>
      <c r="H80">
        <v>634365.83046178834</v>
      </c>
      <c r="I80">
        <v>0.21</v>
      </c>
      <c r="J80">
        <v>0</v>
      </c>
      <c r="K80">
        <v>0</v>
      </c>
      <c r="L80">
        <v>0</v>
      </c>
      <c r="M80">
        <v>632061.66999999993</v>
      </c>
      <c r="N80">
        <v>5426856.9012000002</v>
      </c>
      <c r="P80">
        <v>8</v>
      </c>
      <c r="Q80">
        <v>21</v>
      </c>
      <c r="R80">
        <v>4</v>
      </c>
      <c r="S80" t="s">
        <v>37</v>
      </c>
      <c r="T80">
        <v>2025</v>
      </c>
    </row>
    <row r="81" spans="1:20" x14ac:dyDescent="0.35">
      <c r="A81" t="s">
        <v>23</v>
      </c>
      <c r="B81" t="s">
        <v>26</v>
      </c>
      <c r="C81" s="32">
        <v>45717</v>
      </c>
      <c r="D81" t="s">
        <v>17</v>
      </c>
      <c r="E81" t="s">
        <v>49</v>
      </c>
      <c r="F81" t="s">
        <v>48</v>
      </c>
      <c r="G81">
        <v>148989.60156151763</v>
      </c>
      <c r="H81">
        <v>387131.6964769648</v>
      </c>
      <c r="J81">
        <v>0</v>
      </c>
      <c r="K81">
        <v>0</v>
      </c>
      <c r="M81">
        <v>51853.468000000001</v>
      </c>
      <c r="N81">
        <v>685110.8996</v>
      </c>
      <c r="P81">
        <v>7</v>
      </c>
      <c r="Q81">
        <v>24</v>
      </c>
      <c r="R81">
        <v>4</v>
      </c>
      <c r="S81" t="s">
        <v>37</v>
      </c>
      <c r="T81">
        <v>2025</v>
      </c>
    </row>
    <row r="82" spans="1:20" x14ac:dyDescent="0.35">
      <c r="A82" t="s">
        <v>23</v>
      </c>
      <c r="B82" t="s">
        <v>26</v>
      </c>
      <c r="C82" s="32">
        <v>45689</v>
      </c>
      <c r="D82" t="s">
        <v>17</v>
      </c>
      <c r="E82" t="s">
        <v>49</v>
      </c>
      <c r="F82" t="s">
        <v>48</v>
      </c>
      <c r="G82">
        <v>105612.05638211382</v>
      </c>
      <c r="H82">
        <v>126665.13643577237</v>
      </c>
      <c r="J82">
        <v>0</v>
      </c>
      <c r="K82">
        <v>0</v>
      </c>
      <c r="M82">
        <v>27090.105599999995</v>
      </c>
      <c r="N82">
        <v>337889.24919999996</v>
      </c>
      <c r="P82">
        <v>5</v>
      </c>
      <c r="Q82">
        <v>21</v>
      </c>
      <c r="R82">
        <v>5</v>
      </c>
      <c r="S82" t="s">
        <v>37</v>
      </c>
      <c r="T82">
        <v>2025</v>
      </c>
    </row>
    <row r="83" spans="1:20" x14ac:dyDescent="0.35">
      <c r="A83" t="s">
        <v>23</v>
      </c>
      <c r="B83" t="s">
        <v>26</v>
      </c>
      <c r="C83" s="32">
        <v>45658</v>
      </c>
      <c r="D83" t="s">
        <v>18</v>
      </c>
      <c r="E83" t="s">
        <v>49</v>
      </c>
      <c r="F83" t="s">
        <v>49</v>
      </c>
      <c r="G83">
        <v>469071.84435447148</v>
      </c>
      <c r="H83">
        <v>1759251.3404910574</v>
      </c>
      <c r="J83">
        <v>0</v>
      </c>
      <c r="K83">
        <v>0</v>
      </c>
      <c r="M83">
        <v>257974.37400000004</v>
      </c>
      <c r="N83">
        <v>2697395.0291999998</v>
      </c>
      <c r="P83">
        <v>7</v>
      </c>
      <c r="Q83">
        <v>21</v>
      </c>
      <c r="R83">
        <v>5</v>
      </c>
      <c r="S83" t="s">
        <v>37</v>
      </c>
      <c r="T83">
        <v>2025</v>
      </c>
    </row>
    <row r="84" spans="1:20" x14ac:dyDescent="0.35">
      <c r="A84" t="s">
        <v>23</v>
      </c>
      <c r="B84" t="s">
        <v>26</v>
      </c>
      <c r="C84" s="32">
        <v>45658</v>
      </c>
      <c r="D84" t="s">
        <v>20</v>
      </c>
      <c r="E84" t="s">
        <v>49</v>
      </c>
      <c r="F84" t="s">
        <v>48</v>
      </c>
      <c r="J84">
        <v>0</v>
      </c>
      <c r="K84">
        <v>0</v>
      </c>
      <c r="M84">
        <v>15515.252</v>
      </c>
      <c r="P84">
        <v>7</v>
      </c>
      <c r="Q84">
        <v>17</v>
      </c>
      <c r="R84">
        <v>6</v>
      </c>
      <c r="S84" t="s">
        <v>37</v>
      </c>
      <c r="T84">
        <v>2025</v>
      </c>
    </row>
    <row r="85" spans="1:20" x14ac:dyDescent="0.35">
      <c r="A85" t="s">
        <v>23</v>
      </c>
      <c r="B85" t="s">
        <v>26</v>
      </c>
      <c r="C85" s="32">
        <v>45717</v>
      </c>
      <c r="D85" t="s">
        <v>18</v>
      </c>
      <c r="E85" t="s">
        <v>49</v>
      </c>
      <c r="F85" t="s">
        <v>49</v>
      </c>
      <c r="G85">
        <v>54761.373832520323</v>
      </c>
      <c r="H85">
        <v>1631.2659349593494</v>
      </c>
      <c r="J85">
        <v>0</v>
      </c>
      <c r="K85">
        <v>0</v>
      </c>
      <c r="M85">
        <v>23732.485199999999</v>
      </c>
      <c r="N85">
        <v>111154.01360000001</v>
      </c>
      <c r="P85">
        <v>6</v>
      </c>
      <c r="Q85">
        <v>24</v>
      </c>
      <c r="R85">
        <v>7</v>
      </c>
      <c r="S85" t="s">
        <v>37</v>
      </c>
      <c r="T85">
        <v>2025</v>
      </c>
    </row>
    <row r="86" spans="1:20" x14ac:dyDescent="0.35">
      <c r="A86" t="s">
        <v>33</v>
      </c>
      <c r="B86" t="s">
        <v>26</v>
      </c>
      <c r="C86" s="32">
        <v>45689</v>
      </c>
      <c r="D86" t="s">
        <v>19</v>
      </c>
      <c r="E86" t="s">
        <v>49</v>
      </c>
      <c r="F86" t="s">
        <v>49</v>
      </c>
      <c r="G86">
        <v>89066.892440650379</v>
      </c>
      <c r="H86">
        <v>959410.31151869916</v>
      </c>
      <c r="J86">
        <v>0</v>
      </c>
      <c r="K86">
        <v>0</v>
      </c>
      <c r="M86">
        <v>903055.89399999997</v>
      </c>
      <c r="N86">
        <v>1403411.9664000003</v>
      </c>
      <c r="P86">
        <v>278</v>
      </c>
      <c r="Q86">
        <v>38</v>
      </c>
      <c r="R86">
        <v>8</v>
      </c>
      <c r="S86" t="s">
        <v>37</v>
      </c>
      <c r="T86">
        <v>2025</v>
      </c>
    </row>
    <row r="87" spans="1:20" x14ac:dyDescent="0.35">
      <c r="A87" t="s">
        <v>33</v>
      </c>
      <c r="B87" t="s">
        <v>26</v>
      </c>
      <c r="C87" s="32">
        <v>45658</v>
      </c>
      <c r="D87" t="s">
        <v>19</v>
      </c>
      <c r="E87" t="s">
        <v>49</v>
      </c>
      <c r="F87" t="s">
        <v>49</v>
      </c>
      <c r="G87">
        <v>44203.596416260174</v>
      </c>
      <c r="H87">
        <v>1125250.3999674795</v>
      </c>
      <c r="J87">
        <v>0</v>
      </c>
      <c r="K87">
        <v>0</v>
      </c>
      <c r="M87">
        <v>1110236.5031999999</v>
      </c>
      <c r="N87">
        <v>1554058.6827999998</v>
      </c>
      <c r="P87">
        <v>428</v>
      </c>
      <c r="Q87">
        <v>19</v>
      </c>
      <c r="R87">
        <v>8</v>
      </c>
      <c r="S87" t="s">
        <v>37</v>
      </c>
      <c r="T87">
        <v>2025</v>
      </c>
    </row>
    <row r="88" spans="1:20" x14ac:dyDescent="0.35">
      <c r="A88" t="s">
        <v>23</v>
      </c>
      <c r="B88" t="s">
        <v>32</v>
      </c>
      <c r="C88" s="32">
        <v>45717</v>
      </c>
      <c r="D88" t="s">
        <v>16</v>
      </c>
      <c r="E88" t="s">
        <v>49</v>
      </c>
      <c r="F88" t="s">
        <v>48</v>
      </c>
      <c r="G88">
        <v>311437.94056151761</v>
      </c>
      <c r="H88">
        <v>488087.90847696475</v>
      </c>
      <c r="I88">
        <v>339861.6</v>
      </c>
      <c r="J88">
        <v>0</v>
      </c>
      <c r="K88">
        <v>0</v>
      </c>
      <c r="L88">
        <v>0</v>
      </c>
      <c r="M88">
        <v>405284.38367999997</v>
      </c>
      <c r="N88">
        <v>1110963.7896</v>
      </c>
      <c r="P88">
        <v>19</v>
      </c>
      <c r="Q88">
        <v>17</v>
      </c>
      <c r="R88">
        <v>9</v>
      </c>
      <c r="S88" t="s">
        <v>37</v>
      </c>
      <c r="T88">
        <v>2025</v>
      </c>
    </row>
    <row r="89" spans="1:20" x14ac:dyDescent="0.35">
      <c r="A89" t="s">
        <v>23</v>
      </c>
      <c r="B89" t="s">
        <v>26</v>
      </c>
      <c r="C89" s="32">
        <v>45658</v>
      </c>
      <c r="D89" t="s">
        <v>14</v>
      </c>
      <c r="E89" t="s">
        <v>49</v>
      </c>
      <c r="F89" t="s">
        <v>48</v>
      </c>
      <c r="G89">
        <v>133550.03428888888</v>
      </c>
      <c r="H89">
        <v>30475.577822222218</v>
      </c>
      <c r="I89">
        <v>77.72</v>
      </c>
      <c r="J89">
        <v>0</v>
      </c>
      <c r="K89">
        <v>0</v>
      </c>
      <c r="L89">
        <v>0</v>
      </c>
      <c r="M89">
        <v>167044.2464</v>
      </c>
      <c r="N89">
        <v>297575.64640000009</v>
      </c>
      <c r="P89">
        <v>13</v>
      </c>
      <c r="Q89">
        <v>54</v>
      </c>
      <c r="R89">
        <v>9</v>
      </c>
      <c r="S89" t="s">
        <v>37</v>
      </c>
      <c r="T89">
        <v>2025</v>
      </c>
    </row>
    <row r="90" spans="1:20" x14ac:dyDescent="0.35">
      <c r="A90" t="s">
        <v>23</v>
      </c>
      <c r="B90" t="s">
        <v>32</v>
      </c>
      <c r="C90" s="32">
        <v>45658</v>
      </c>
      <c r="D90" t="s">
        <v>16</v>
      </c>
      <c r="E90" t="s">
        <v>49</v>
      </c>
      <c r="F90" t="s">
        <v>48</v>
      </c>
      <c r="G90">
        <v>666387.07677886169</v>
      </c>
      <c r="H90">
        <v>138040.22764227641</v>
      </c>
      <c r="I90">
        <v>1340.69</v>
      </c>
      <c r="J90">
        <v>0</v>
      </c>
      <c r="K90">
        <v>0</v>
      </c>
      <c r="L90">
        <v>0</v>
      </c>
      <c r="M90">
        <v>686179.58768000011</v>
      </c>
      <c r="N90">
        <v>1473324.1412000002</v>
      </c>
      <c r="P90">
        <v>20</v>
      </c>
      <c r="Q90">
        <v>29</v>
      </c>
      <c r="R90">
        <v>11</v>
      </c>
      <c r="S90" t="s">
        <v>37</v>
      </c>
      <c r="T90">
        <v>2025</v>
      </c>
    </row>
    <row r="91" spans="1:20" x14ac:dyDescent="0.35">
      <c r="A91" t="s">
        <v>23</v>
      </c>
      <c r="B91" t="s">
        <v>26</v>
      </c>
      <c r="C91" s="32">
        <v>45689</v>
      </c>
      <c r="D91" t="s">
        <v>27</v>
      </c>
      <c r="E91" t="s">
        <v>49</v>
      </c>
      <c r="F91" t="s">
        <v>48</v>
      </c>
      <c r="G91">
        <v>276669.81172574521</v>
      </c>
      <c r="H91">
        <v>1035787.2497485094</v>
      </c>
      <c r="I91">
        <v>122848.51</v>
      </c>
      <c r="J91">
        <v>0</v>
      </c>
      <c r="K91">
        <v>0</v>
      </c>
      <c r="L91">
        <v>0</v>
      </c>
      <c r="M91">
        <v>101620.89400000001</v>
      </c>
      <c r="N91">
        <v>1604882.2131999999</v>
      </c>
      <c r="P91">
        <v>39</v>
      </c>
      <c r="Q91">
        <v>90</v>
      </c>
      <c r="R91">
        <v>12</v>
      </c>
      <c r="S91" t="s">
        <v>37</v>
      </c>
      <c r="T91">
        <v>2025</v>
      </c>
    </row>
    <row r="92" spans="1:20" x14ac:dyDescent="0.35">
      <c r="A92" t="s">
        <v>23</v>
      </c>
      <c r="B92" t="s">
        <v>26</v>
      </c>
      <c r="C92" s="32">
        <v>45689</v>
      </c>
      <c r="D92" t="s">
        <v>21</v>
      </c>
      <c r="E92" t="s">
        <v>49</v>
      </c>
      <c r="F92" t="s">
        <v>48</v>
      </c>
      <c r="G92">
        <v>795528.4077252032</v>
      </c>
      <c r="H92">
        <v>73836.351749593581</v>
      </c>
      <c r="J92">
        <v>0</v>
      </c>
      <c r="K92">
        <v>0</v>
      </c>
      <c r="M92">
        <v>687583.30520000018</v>
      </c>
      <c r="N92">
        <v>1664893.1671999998</v>
      </c>
      <c r="P92">
        <v>11</v>
      </c>
      <c r="Q92">
        <v>112</v>
      </c>
      <c r="R92">
        <v>13</v>
      </c>
      <c r="S92" t="s">
        <v>37</v>
      </c>
      <c r="T92">
        <v>2025</v>
      </c>
    </row>
    <row r="93" spans="1:20" x14ac:dyDescent="0.35">
      <c r="A93" t="s">
        <v>23</v>
      </c>
      <c r="B93" t="s">
        <v>26</v>
      </c>
      <c r="C93" s="32">
        <v>45717</v>
      </c>
      <c r="D93" t="s">
        <v>27</v>
      </c>
      <c r="E93" t="s">
        <v>49</v>
      </c>
      <c r="F93" t="s">
        <v>48</v>
      </c>
      <c r="G93">
        <v>467907.55110948521</v>
      </c>
      <c r="H93">
        <v>2307377.6177810295</v>
      </c>
      <c r="I93">
        <v>77837.45</v>
      </c>
      <c r="J93">
        <v>0</v>
      </c>
      <c r="K93">
        <v>0</v>
      </c>
      <c r="L93">
        <v>0</v>
      </c>
      <c r="M93">
        <v>151662.45359999998</v>
      </c>
      <c r="N93">
        <v>3251066.5799999987</v>
      </c>
      <c r="P93">
        <v>50</v>
      </c>
      <c r="Q93">
        <v>85</v>
      </c>
      <c r="R93">
        <v>13</v>
      </c>
      <c r="S93" t="s">
        <v>37</v>
      </c>
      <c r="T93">
        <v>2025</v>
      </c>
    </row>
    <row r="94" spans="1:20" x14ac:dyDescent="0.35">
      <c r="A94" t="s">
        <v>23</v>
      </c>
      <c r="B94" t="s">
        <v>26</v>
      </c>
      <c r="C94" s="32">
        <v>45717</v>
      </c>
      <c r="D94" t="s">
        <v>21</v>
      </c>
      <c r="E94" t="s">
        <v>49</v>
      </c>
      <c r="F94" t="s">
        <v>48</v>
      </c>
      <c r="G94">
        <v>738763.3438688349</v>
      </c>
      <c r="H94">
        <v>103952.68386233074</v>
      </c>
      <c r="J94">
        <v>0</v>
      </c>
      <c r="K94">
        <v>0</v>
      </c>
      <c r="M94">
        <v>472580.63079999998</v>
      </c>
      <c r="N94">
        <v>1581479.3716000002</v>
      </c>
      <c r="P94">
        <v>23</v>
      </c>
      <c r="Q94">
        <v>76</v>
      </c>
      <c r="R94">
        <v>13</v>
      </c>
      <c r="S94" t="s">
        <v>37</v>
      </c>
      <c r="T94">
        <v>2025</v>
      </c>
    </row>
    <row r="95" spans="1:20" x14ac:dyDescent="0.35">
      <c r="A95" t="s">
        <v>33</v>
      </c>
      <c r="B95" t="s">
        <v>26</v>
      </c>
      <c r="C95" s="32">
        <v>45717</v>
      </c>
      <c r="D95" t="s">
        <v>19</v>
      </c>
      <c r="E95" t="s">
        <v>49</v>
      </c>
      <c r="F95" t="s">
        <v>49</v>
      </c>
      <c r="G95">
        <v>97193.886280216786</v>
      </c>
      <c r="H95">
        <v>1282162.4630395668</v>
      </c>
      <c r="J95">
        <v>0</v>
      </c>
      <c r="K95">
        <v>0</v>
      </c>
      <c r="M95">
        <v>1063569.1015999992</v>
      </c>
      <c r="N95">
        <v>1799659.055600001</v>
      </c>
      <c r="P95">
        <v>346</v>
      </c>
      <c r="Q95">
        <v>45</v>
      </c>
      <c r="R95">
        <v>14</v>
      </c>
      <c r="S95" t="s">
        <v>37</v>
      </c>
      <c r="T95">
        <v>2025</v>
      </c>
    </row>
    <row r="96" spans="1:20" x14ac:dyDescent="0.35">
      <c r="A96" t="s">
        <v>23</v>
      </c>
      <c r="B96" t="s">
        <v>26</v>
      </c>
      <c r="C96" s="32">
        <v>45658</v>
      </c>
      <c r="D96" t="s">
        <v>21</v>
      </c>
      <c r="E96" t="s">
        <v>49</v>
      </c>
      <c r="F96" t="s">
        <v>48</v>
      </c>
      <c r="G96">
        <v>634108.12770677509</v>
      </c>
      <c r="H96">
        <v>96735.345386449946</v>
      </c>
      <c r="J96">
        <v>0</v>
      </c>
      <c r="K96">
        <v>0</v>
      </c>
      <c r="M96">
        <v>322515.36200000008</v>
      </c>
      <c r="N96">
        <v>1364951.6007999999</v>
      </c>
      <c r="P96">
        <v>26</v>
      </c>
      <c r="Q96">
        <v>79</v>
      </c>
      <c r="R96">
        <v>15</v>
      </c>
      <c r="S96" t="s">
        <v>37</v>
      </c>
      <c r="T96">
        <v>2025</v>
      </c>
    </row>
    <row r="97" spans="1:20" x14ac:dyDescent="0.35">
      <c r="A97" t="s">
        <v>23</v>
      </c>
      <c r="B97" t="s">
        <v>26</v>
      </c>
      <c r="C97" s="32">
        <v>45658</v>
      </c>
      <c r="D97" t="s">
        <v>27</v>
      </c>
      <c r="E97" t="s">
        <v>49</v>
      </c>
      <c r="F97" t="s">
        <v>48</v>
      </c>
      <c r="G97">
        <v>632838.26686016261</v>
      </c>
      <c r="H97">
        <v>2158548.592279675</v>
      </c>
      <c r="I97">
        <v>128019.42999999998</v>
      </c>
      <c r="J97">
        <v>0</v>
      </c>
      <c r="K97">
        <v>0</v>
      </c>
      <c r="L97">
        <v>0</v>
      </c>
      <c r="M97">
        <v>551954.57920000004</v>
      </c>
      <c r="N97">
        <v>3502679.6959999995</v>
      </c>
      <c r="P97">
        <v>48</v>
      </c>
      <c r="Q97">
        <v>84</v>
      </c>
      <c r="R97">
        <v>16</v>
      </c>
      <c r="S97" t="s">
        <v>37</v>
      </c>
      <c r="T97">
        <v>2025</v>
      </c>
    </row>
    <row r="98" spans="1:20" x14ac:dyDescent="0.35">
      <c r="A98" t="s">
        <v>23</v>
      </c>
      <c r="B98" t="s">
        <v>26</v>
      </c>
      <c r="C98" s="32">
        <v>45717</v>
      </c>
      <c r="D98" t="s">
        <v>20</v>
      </c>
      <c r="E98" t="s">
        <v>49</v>
      </c>
      <c r="F98" t="s">
        <v>48</v>
      </c>
      <c r="G98">
        <v>18344.336648780489</v>
      </c>
      <c r="H98">
        <v>2138.2439024390242</v>
      </c>
      <c r="I98">
        <v>104542.5</v>
      </c>
      <c r="J98">
        <v>0</v>
      </c>
      <c r="K98">
        <v>0</v>
      </c>
      <c r="L98">
        <v>0</v>
      </c>
      <c r="M98">
        <v>345448.78519999998</v>
      </c>
      <c r="N98">
        <v>38826.917199999996</v>
      </c>
      <c r="P98">
        <v>6</v>
      </c>
      <c r="Q98">
        <v>22</v>
      </c>
      <c r="R98">
        <v>16</v>
      </c>
      <c r="S98" t="s">
        <v>37</v>
      </c>
      <c r="T98">
        <v>2025</v>
      </c>
    </row>
    <row r="99" spans="1:20" x14ac:dyDescent="0.35">
      <c r="A99" t="s">
        <v>23</v>
      </c>
      <c r="B99" t="s">
        <v>26</v>
      </c>
      <c r="C99" s="32">
        <v>45689</v>
      </c>
      <c r="D99" t="s">
        <v>14</v>
      </c>
      <c r="E99" t="s">
        <v>49</v>
      </c>
      <c r="F99" t="s">
        <v>48</v>
      </c>
      <c r="G99">
        <v>92901.351800000004</v>
      </c>
      <c r="H99">
        <v>0</v>
      </c>
      <c r="J99">
        <v>0</v>
      </c>
      <c r="K99">
        <v>0</v>
      </c>
      <c r="M99">
        <v>143691.42440000002</v>
      </c>
      <c r="N99">
        <v>185802.70360000001</v>
      </c>
      <c r="P99">
        <v>26</v>
      </c>
      <c r="Q99">
        <v>72</v>
      </c>
      <c r="R99">
        <v>17</v>
      </c>
      <c r="S99" t="s">
        <v>37</v>
      </c>
      <c r="T99">
        <v>2025</v>
      </c>
    </row>
    <row r="100" spans="1:20" x14ac:dyDescent="0.35">
      <c r="A100" t="s">
        <v>23</v>
      </c>
      <c r="B100" t="s">
        <v>26</v>
      </c>
      <c r="C100" s="32">
        <v>45717</v>
      </c>
      <c r="D100" t="s">
        <v>14</v>
      </c>
      <c r="E100" t="s">
        <v>49</v>
      </c>
      <c r="F100" t="s">
        <v>48</v>
      </c>
      <c r="G100">
        <v>346673.55307696474</v>
      </c>
      <c r="H100">
        <v>168136.60704607045</v>
      </c>
      <c r="J100">
        <v>0</v>
      </c>
      <c r="K100">
        <v>0</v>
      </c>
      <c r="M100">
        <v>434481.92640000005</v>
      </c>
      <c r="N100">
        <v>861483.71319999988</v>
      </c>
      <c r="P100">
        <v>12</v>
      </c>
      <c r="Q100">
        <v>56</v>
      </c>
      <c r="R100">
        <v>18</v>
      </c>
      <c r="S100" t="s">
        <v>37</v>
      </c>
      <c r="T100">
        <v>2025</v>
      </c>
    </row>
    <row r="101" spans="1:20" x14ac:dyDescent="0.35">
      <c r="A101" t="s">
        <v>23</v>
      </c>
      <c r="B101" t="s">
        <v>32</v>
      </c>
      <c r="C101" s="32">
        <v>45689</v>
      </c>
      <c r="D101" t="s">
        <v>16</v>
      </c>
      <c r="E101" t="s">
        <v>49</v>
      </c>
      <c r="F101" t="s">
        <v>48</v>
      </c>
      <c r="G101">
        <v>499792.02812195121</v>
      </c>
      <c r="H101">
        <v>584294.64095609763</v>
      </c>
      <c r="I101">
        <v>2101.09</v>
      </c>
      <c r="J101">
        <v>0</v>
      </c>
      <c r="K101">
        <v>0</v>
      </c>
      <c r="L101">
        <v>0</v>
      </c>
      <c r="M101">
        <v>1554896.2877599997</v>
      </c>
      <c r="N101">
        <v>1583878.6972000001</v>
      </c>
      <c r="P101">
        <v>9</v>
      </c>
      <c r="Q101">
        <v>40</v>
      </c>
      <c r="R101">
        <v>22</v>
      </c>
      <c r="S101" t="s">
        <v>37</v>
      </c>
      <c r="T101">
        <v>2025</v>
      </c>
    </row>
    <row r="102" spans="1:20" x14ac:dyDescent="0.35">
      <c r="A102" t="s">
        <v>23</v>
      </c>
      <c r="B102" t="s">
        <v>26</v>
      </c>
      <c r="C102" s="32">
        <v>45717</v>
      </c>
      <c r="D102" t="s">
        <v>16</v>
      </c>
      <c r="E102" t="s">
        <v>49</v>
      </c>
      <c r="F102" t="s">
        <v>48</v>
      </c>
      <c r="G102">
        <v>1061075.1819691055</v>
      </c>
      <c r="H102">
        <v>1111731.7744617888</v>
      </c>
      <c r="I102">
        <v>29087.949999999997</v>
      </c>
      <c r="J102">
        <v>0</v>
      </c>
      <c r="K102">
        <v>0</v>
      </c>
      <c r="L102">
        <v>0</v>
      </c>
      <c r="M102">
        <v>560299.50160000008</v>
      </c>
      <c r="N102">
        <v>3233882.1384000001</v>
      </c>
      <c r="P102">
        <v>51</v>
      </c>
      <c r="Q102">
        <v>174</v>
      </c>
      <c r="R102">
        <v>43</v>
      </c>
      <c r="S102" t="s">
        <v>37</v>
      </c>
      <c r="T102">
        <v>2025</v>
      </c>
    </row>
    <row r="103" spans="1:20" x14ac:dyDescent="0.35">
      <c r="A103" t="s">
        <v>23</v>
      </c>
      <c r="B103" t="s">
        <v>32</v>
      </c>
      <c r="C103" s="32">
        <v>45658</v>
      </c>
      <c r="D103" t="s">
        <v>19</v>
      </c>
      <c r="E103" t="s">
        <v>49</v>
      </c>
      <c r="F103" t="s">
        <v>49</v>
      </c>
      <c r="G103">
        <v>808944.67877089779</v>
      </c>
      <c r="H103">
        <v>452563.28365820437</v>
      </c>
      <c r="I103">
        <v>13208.320000000002</v>
      </c>
      <c r="J103">
        <v>0</v>
      </c>
      <c r="K103">
        <v>0</v>
      </c>
      <c r="L103">
        <v>0</v>
      </c>
      <c r="M103">
        <v>3189537.4124800004</v>
      </c>
      <c r="N103">
        <v>2897004.8212000001</v>
      </c>
      <c r="P103">
        <v>68</v>
      </c>
      <c r="Q103">
        <v>199</v>
      </c>
      <c r="R103">
        <v>44</v>
      </c>
      <c r="S103" t="s">
        <v>37</v>
      </c>
      <c r="T103">
        <v>2025</v>
      </c>
    </row>
    <row r="104" spans="1:20" x14ac:dyDescent="0.35">
      <c r="A104" t="s">
        <v>23</v>
      </c>
      <c r="B104" t="s">
        <v>26</v>
      </c>
      <c r="C104" s="32">
        <v>45658</v>
      </c>
      <c r="D104" t="s">
        <v>16</v>
      </c>
      <c r="E104" t="s">
        <v>49</v>
      </c>
      <c r="F104" t="s">
        <v>48</v>
      </c>
      <c r="G104">
        <v>1364516.2971533875</v>
      </c>
      <c r="H104">
        <v>2951018.7728932258</v>
      </c>
      <c r="I104">
        <v>22164.05</v>
      </c>
      <c r="J104">
        <v>0</v>
      </c>
      <c r="K104">
        <v>0</v>
      </c>
      <c r="L104">
        <v>0</v>
      </c>
      <c r="M104">
        <v>525087.12920000008</v>
      </c>
      <c r="N104">
        <v>5700922.2672000024</v>
      </c>
      <c r="P104">
        <v>50</v>
      </c>
      <c r="Q104">
        <v>163</v>
      </c>
      <c r="R104">
        <v>47</v>
      </c>
      <c r="S104" t="s">
        <v>37</v>
      </c>
      <c r="T104">
        <v>2025</v>
      </c>
    </row>
    <row r="105" spans="1:20" x14ac:dyDescent="0.35">
      <c r="A105" t="s">
        <v>23</v>
      </c>
      <c r="B105" t="s">
        <v>26</v>
      </c>
      <c r="C105" s="32">
        <v>45689</v>
      </c>
      <c r="D105" t="s">
        <v>16</v>
      </c>
      <c r="E105" t="s">
        <v>49</v>
      </c>
      <c r="F105" t="s">
        <v>48</v>
      </c>
      <c r="G105">
        <v>664959.23455639591</v>
      </c>
      <c r="H105">
        <v>1467322.602887209</v>
      </c>
      <c r="I105">
        <v>11314.43</v>
      </c>
      <c r="J105">
        <v>0</v>
      </c>
      <c r="K105">
        <v>0</v>
      </c>
      <c r="L105">
        <v>0</v>
      </c>
      <c r="M105">
        <v>260137.77239999999</v>
      </c>
      <c r="N105">
        <v>2797241.0719999997</v>
      </c>
      <c r="P105">
        <v>49</v>
      </c>
      <c r="Q105">
        <v>189</v>
      </c>
      <c r="R105">
        <v>53</v>
      </c>
      <c r="S105" t="s">
        <v>37</v>
      </c>
      <c r="T105">
        <v>2025</v>
      </c>
    </row>
    <row r="106" spans="1:20" x14ac:dyDescent="0.35">
      <c r="A106" t="s">
        <v>23</v>
      </c>
      <c r="B106" t="s">
        <v>32</v>
      </c>
      <c r="C106" s="32">
        <v>45689</v>
      </c>
      <c r="D106" t="s">
        <v>19</v>
      </c>
      <c r="E106" t="s">
        <v>49</v>
      </c>
      <c r="F106" t="s">
        <v>49</v>
      </c>
      <c r="G106">
        <v>825417.10532023874</v>
      </c>
      <c r="H106">
        <v>311720.30735952267</v>
      </c>
      <c r="I106">
        <v>9127.8900000000012</v>
      </c>
      <c r="J106">
        <v>0</v>
      </c>
      <c r="K106">
        <v>0</v>
      </c>
      <c r="L106">
        <v>0</v>
      </c>
      <c r="M106">
        <v>2048580.5131999999</v>
      </c>
      <c r="N106">
        <v>2534540.5279999995</v>
      </c>
      <c r="P106">
        <v>84</v>
      </c>
      <c r="Q106">
        <v>259</v>
      </c>
      <c r="R106">
        <v>55</v>
      </c>
      <c r="S106" t="s">
        <v>37</v>
      </c>
      <c r="T106">
        <v>2025</v>
      </c>
    </row>
    <row r="107" spans="1:20" x14ac:dyDescent="0.35">
      <c r="A107" t="s">
        <v>23</v>
      </c>
      <c r="B107" t="s">
        <v>32</v>
      </c>
      <c r="C107" s="32">
        <v>45717</v>
      </c>
      <c r="D107" t="s">
        <v>19</v>
      </c>
      <c r="E107" t="s">
        <v>49</v>
      </c>
      <c r="F107" t="s">
        <v>49</v>
      </c>
      <c r="G107">
        <v>1272764.4781162268</v>
      </c>
      <c r="H107">
        <v>914610.97216754605</v>
      </c>
      <c r="I107">
        <v>1212.42</v>
      </c>
      <c r="J107">
        <v>0</v>
      </c>
      <c r="K107">
        <v>0</v>
      </c>
      <c r="L107">
        <v>0</v>
      </c>
      <c r="M107">
        <v>5003662.4628800014</v>
      </c>
      <c r="N107">
        <v>4652604.0083999997</v>
      </c>
      <c r="P107">
        <v>85</v>
      </c>
      <c r="Q107">
        <v>264</v>
      </c>
      <c r="R107">
        <v>65</v>
      </c>
      <c r="S107" t="s">
        <v>37</v>
      </c>
      <c r="T107">
        <v>2025</v>
      </c>
    </row>
    <row r="108" spans="1:20" x14ac:dyDescent="0.35">
      <c r="A108" t="s">
        <v>23</v>
      </c>
      <c r="B108" t="s">
        <v>26</v>
      </c>
      <c r="C108" s="32">
        <v>45658</v>
      </c>
      <c r="D108" t="s">
        <v>19</v>
      </c>
      <c r="E108" t="s">
        <v>49</v>
      </c>
      <c r="F108" t="s">
        <v>49</v>
      </c>
      <c r="G108">
        <v>3597566.5558289587</v>
      </c>
      <c r="H108">
        <v>3420063.0087420829</v>
      </c>
      <c r="I108">
        <v>709.67</v>
      </c>
      <c r="J108">
        <v>0</v>
      </c>
      <c r="K108">
        <v>0</v>
      </c>
      <c r="L108">
        <v>0</v>
      </c>
      <c r="M108">
        <v>3018624.0039999993</v>
      </c>
      <c r="N108">
        <v>11136398.220400004</v>
      </c>
      <c r="P108">
        <v>251</v>
      </c>
      <c r="Q108">
        <v>612</v>
      </c>
      <c r="R108">
        <v>142</v>
      </c>
      <c r="S108" t="s">
        <v>37</v>
      </c>
      <c r="T108">
        <v>2025</v>
      </c>
    </row>
    <row r="109" spans="1:20" x14ac:dyDescent="0.35">
      <c r="A109" t="s">
        <v>23</v>
      </c>
      <c r="B109" t="s">
        <v>26</v>
      </c>
      <c r="C109" s="32">
        <v>45689</v>
      </c>
      <c r="D109" t="s">
        <v>19</v>
      </c>
      <c r="E109" t="s">
        <v>49</v>
      </c>
      <c r="F109" t="s">
        <v>49</v>
      </c>
      <c r="G109">
        <v>8873497.9813813306</v>
      </c>
      <c r="H109">
        <v>4892933.0076373424</v>
      </c>
      <c r="I109">
        <v>99937.43999999993</v>
      </c>
      <c r="J109">
        <v>0</v>
      </c>
      <c r="K109">
        <v>0</v>
      </c>
      <c r="L109">
        <v>0</v>
      </c>
      <c r="M109">
        <v>4409906.4312000014</v>
      </c>
      <c r="N109">
        <v>23246011.8904</v>
      </c>
      <c r="P109">
        <v>211</v>
      </c>
      <c r="Q109">
        <v>638</v>
      </c>
      <c r="R109">
        <v>166</v>
      </c>
      <c r="S109" t="s">
        <v>37</v>
      </c>
      <c r="T109">
        <v>2025</v>
      </c>
    </row>
    <row r="110" spans="1:20" x14ac:dyDescent="0.35">
      <c r="A110" t="s">
        <v>23</v>
      </c>
      <c r="B110" t="s">
        <v>26</v>
      </c>
      <c r="C110" s="32">
        <v>45717</v>
      </c>
      <c r="D110" t="s">
        <v>19</v>
      </c>
      <c r="E110" t="s">
        <v>49</v>
      </c>
      <c r="F110" t="s">
        <v>49</v>
      </c>
      <c r="G110">
        <v>3456387.0189085151</v>
      </c>
      <c r="H110">
        <v>4215510.9393829685</v>
      </c>
      <c r="I110">
        <v>20106.34</v>
      </c>
      <c r="J110">
        <v>0</v>
      </c>
      <c r="K110">
        <v>0</v>
      </c>
      <c r="L110">
        <v>0</v>
      </c>
      <c r="M110">
        <v>2867273.0431999988</v>
      </c>
      <c r="N110">
        <v>11645566.897200005</v>
      </c>
      <c r="P110">
        <v>220</v>
      </c>
      <c r="Q110">
        <v>701</v>
      </c>
      <c r="R110">
        <v>186</v>
      </c>
      <c r="S110" t="s">
        <v>37</v>
      </c>
      <c r="T110">
        <v>2025</v>
      </c>
    </row>
    <row r="111" spans="1:20" x14ac:dyDescent="0.35">
      <c r="A111" t="s">
        <v>23</v>
      </c>
      <c r="B111" t="s">
        <v>26</v>
      </c>
      <c r="C111" s="32">
        <v>45658</v>
      </c>
      <c r="D111" t="s">
        <v>27</v>
      </c>
      <c r="E111">
        <v>6</v>
      </c>
      <c r="F111" t="s">
        <v>48</v>
      </c>
      <c r="G111">
        <v>0</v>
      </c>
      <c r="H111">
        <v>4742.7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217.67910029939958</v>
      </c>
      <c r="P111">
        <v>1</v>
      </c>
      <c r="Q111">
        <v>0</v>
      </c>
      <c r="R111">
        <v>0</v>
      </c>
      <c r="S111" t="s">
        <v>39</v>
      </c>
      <c r="T111">
        <v>2025</v>
      </c>
    </row>
    <row r="112" spans="1:20" x14ac:dyDescent="0.35">
      <c r="A112" t="s">
        <v>23</v>
      </c>
      <c r="B112" t="s">
        <v>26</v>
      </c>
      <c r="C112" s="32">
        <v>45658</v>
      </c>
      <c r="D112" t="s">
        <v>27</v>
      </c>
      <c r="E112">
        <v>9</v>
      </c>
      <c r="F112" t="s">
        <v>48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28</v>
      </c>
      <c r="P112">
        <v>0</v>
      </c>
      <c r="Q112">
        <v>2</v>
      </c>
      <c r="R112">
        <v>0</v>
      </c>
      <c r="S112" t="s">
        <v>39</v>
      </c>
      <c r="T112">
        <v>2025</v>
      </c>
    </row>
    <row r="113" spans="1:20" x14ac:dyDescent="0.35">
      <c r="A113" t="s">
        <v>23</v>
      </c>
      <c r="B113" t="s">
        <v>26</v>
      </c>
      <c r="C113" s="32">
        <v>45658</v>
      </c>
      <c r="D113" t="s">
        <v>27</v>
      </c>
      <c r="E113">
        <v>13</v>
      </c>
      <c r="F113" t="s">
        <v>48</v>
      </c>
      <c r="G113">
        <v>0</v>
      </c>
      <c r="H113">
        <v>77692.039999999994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213.49861663284901</v>
      </c>
      <c r="P113">
        <v>2</v>
      </c>
      <c r="Q113">
        <v>2</v>
      </c>
      <c r="R113">
        <v>0</v>
      </c>
      <c r="S113" t="s">
        <v>39</v>
      </c>
      <c r="T113">
        <v>2025</v>
      </c>
    </row>
    <row r="114" spans="1:20" x14ac:dyDescent="0.35">
      <c r="A114" t="s">
        <v>23</v>
      </c>
      <c r="B114" t="s">
        <v>26</v>
      </c>
      <c r="C114" s="32">
        <v>45658</v>
      </c>
      <c r="D114" t="s">
        <v>27</v>
      </c>
      <c r="E114">
        <v>16</v>
      </c>
      <c r="F114" t="s">
        <v>48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28</v>
      </c>
      <c r="P114">
        <v>0</v>
      </c>
      <c r="Q114">
        <v>1</v>
      </c>
      <c r="R114">
        <v>0</v>
      </c>
      <c r="S114" t="s">
        <v>39</v>
      </c>
      <c r="T114">
        <v>2025</v>
      </c>
    </row>
    <row r="115" spans="1:20" x14ac:dyDescent="0.35">
      <c r="A115" t="s">
        <v>23</v>
      </c>
      <c r="B115" t="s">
        <v>26</v>
      </c>
      <c r="C115" s="32">
        <v>45658</v>
      </c>
      <c r="D115" t="s">
        <v>29</v>
      </c>
      <c r="E115">
        <v>6</v>
      </c>
      <c r="F115" t="s">
        <v>48</v>
      </c>
      <c r="G115">
        <v>0</v>
      </c>
      <c r="H115">
        <v>164760.29999999999</v>
      </c>
      <c r="I115">
        <v>31706.560000000001</v>
      </c>
      <c r="J115">
        <v>0</v>
      </c>
      <c r="K115">
        <v>0</v>
      </c>
      <c r="L115">
        <v>0</v>
      </c>
      <c r="M115">
        <v>11145.22</v>
      </c>
      <c r="N115">
        <v>0</v>
      </c>
      <c r="O115">
        <v>54.565177486223547</v>
      </c>
      <c r="P115">
        <v>4</v>
      </c>
      <c r="Q115">
        <v>30</v>
      </c>
      <c r="R115">
        <v>0</v>
      </c>
      <c r="S115" t="s">
        <v>39</v>
      </c>
      <c r="T115">
        <v>2025</v>
      </c>
    </row>
    <row r="116" spans="1:20" x14ac:dyDescent="0.35">
      <c r="A116" t="s">
        <v>23</v>
      </c>
      <c r="B116" t="s">
        <v>26</v>
      </c>
      <c r="C116" s="32">
        <v>45658</v>
      </c>
      <c r="D116" t="s">
        <v>29</v>
      </c>
      <c r="E116">
        <v>8</v>
      </c>
      <c r="F116" t="s">
        <v>48</v>
      </c>
      <c r="G116">
        <v>11715.03</v>
      </c>
      <c r="H116">
        <v>369003.74</v>
      </c>
      <c r="I116">
        <v>15143.32</v>
      </c>
      <c r="J116">
        <v>0</v>
      </c>
      <c r="K116">
        <v>0</v>
      </c>
      <c r="L116">
        <v>0</v>
      </c>
      <c r="M116">
        <v>30179.01</v>
      </c>
      <c r="N116">
        <v>2128.4699999999998</v>
      </c>
      <c r="O116">
        <v>145.88971874732266</v>
      </c>
      <c r="P116">
        <v>17</v>
      </c>
      <c r="Q116">
        <v>31</v>
      </c>
      <c r="R116">
        <v>1</v>
      </c>
      <c r="S116" t="s">
        <v>39</v>
      </c>
      <c r="T116">
        <v>2025</v>
      </c>
    </row>
    <row r="117" spans="1:20" x14ac:dyDescent="0.35">
      <c r="A117" t="s">
        <v>23</v>
      </c>
      <c r="B117" t="s">
        <v>26</v>
      </c>
      <c r="C117" s="32">
        <v>45658</v>
      </c>
      <c r="D117" t="s">
        <v>29</v>
      </c>
      <c r="E117">
        <v>9</v>
      </c>
      <c r="F117" t="s">
        <v>48</v>
      </c>
      <c r="G117">
        <v>0</v>
      </c>
      <c r="H117">
        <v>176387.16</v>
      </c>
      <c r="I117">
        <v>15091.02</v>
      </c>
      <c r="J117">
        <v>0</v>
      </c>
      <c r="K117">
        <v>0</v>
      </c>
      <c r="L117">
        <v>0</v>
      </c>
      <c r="M117">
        <v>11608.94</v>
      </c>
      <c r="N117">
        <v>0</v>
      </c>
      <c r="O117">
        <v>79.625056287997722</v>
      </c>
      <c r="P117">
        <v>2</v>
      </c>
      <c r="Q117">
        <v>19</v>
      </c>
      <c r="R117">
        <v>0</v>
      </c>
      <c r="S117" t="s">
        <v>39</v>
      </c>
      <c r="T117">
        <v>2025</v>
      </c>
    </row>
    <row r="118" spans="1:20" x14ac:dyDescent="0.35">
      <c r="A118" t="s">
        <v>23</v>
      </c>
      <c r="B118" t="s">
        <v>26</v>
      </c>
      <c r="C118" s="32">
        <v>45658</v>
      </c>
      <c r="D118" t="s">
        <v>29</v>
      </c>
      <c r="E118">
        <v>10</v>
      </c>
      <c r="F118" t="s">
        <v>48</v>
      </c>
      <c r="G118">
        <v>12051.9</v>
      </c>
      <c r="H118">
        <v>27211.39</v>
      </c>
      <c r="I118">
        <v>21954.27</v>
      </c>
      <c r="J118">
        <v>0</v>
      </c>
      <c r="K118">
        <v>0</v>
      </c>
      <c r="L118">
        <v>0</v>
      </c>
      <c r="M118">
        <v>21230.080000000002</v>
      </c>
      <c r="N118">
        <v>0</v>
      </c>
      <c r="O118">
        <v>151.98325406116828</v>
      </c>
      <c r="P118">
        <v>14</v>
      </c>
      <c r="Q118">
        <v>34</v>
      </c>
      <c r="R118">
        <v>1</v>
      </c>
      <c r="S118" t="s">
        <v>39</v>
      </c>
      <c r="T118">
        <v>2025</v>
      </c>
    </row>
    <row r="119" spans="1:20" x14ac:dyDescent="0.35">
      <c r="A119" t="s">
        <v>23</v>
      </c>
      <c r="B119" t="s">
        <v>26</v>
      </c>
      <c r="C119" s="32">
        <v>45658</v>
      </c>
      <c r="D119" t="s">
        <v>29</v>
      </c>
      <c r="E119">
        <v>13</v>
      </c>
      <c r="F119" t="s">
        <v>48</v>
      </c>
      <c r="G119">
        <v>0</v>
      </c>
      <c r="H119">
        <v>232453.87</v>
      </c>
      <c r="I119">
        <v>0</v>
      </c>
      <c r="J119">
        <v>0</v>
      </c>
      <c r="K119">
        <v>0</v>
      </c>
      <c r="L119">
        <v>0</v>
      </c>
      <c r="M119">
        <v>26598.16</v>
      </c>
      <c r="N119">
        <v>0</v>
      </c>
      <c r="O119">
        <v>101.01832689447474</v>
      </c>
      <c r="P119">
        <v>4</v>
      </c>
      <c r="Q119">
        <v>12</v>
      </c>
      <c r="R119">
        <v>0</v>
      </c>
      <c r="S119" t="s">
        <v>39</v>
      </c>
      <c r="T119">
        <v>2025</v>
      </c>
    </row>
    <row r="120" spans="1:20" x14ac:dyDescent="0.35">
      <c r="A120" t="s">
        <v>23</v>
      </c>
      <c r="B120" t="s">
        <v>26</v>
      </c>
      <c r="C120" s="32">
        <v>45658</v>
      </c>
      <c r="D120" t="s">
        <v>29</v>
      </c>
      <c r="E120">
        <v>14</v>
      </c>
      <c r="F120" t="s">
        <v>48</v>
      </c>
      <c r="G120">
        <v>0</v>
      </c>
      <c r="H120">
        <v>837364.93</v>
      </c>
      <c r="I120">
        <v>1498.26</v>
      </c>
      <c r="J120">
        <v>0</v>
      </c>
      <c r="K120">
        <v>0</v>
      </c>
      <c r="L120">
        <v>0</v>
      </c>
      <c r="M120">
        <v>42533.15</v>
      </c>
      <c r="N120">
        <v>0</v>
      </c>
      <c r="O120">
        <v>104.20254134763188</v>
      </c>
      <c r="P120">
        <v>3</v>
      </c>
      <c r="Q120">
        <v>7</v>
      </c>
      <c r="R120">
        <v>0</v>
      </c>
      <c r="S120" t="s">
        <v>39</v>
      </c>
      <c r="T120">
        <v>2025</v>
      </c>
    </row>
    <row r="121" spans="1:20" x14ac:dyDescent="0.35">
      <c r="A121" t="s">
        <v>23</v>
      </c>
      <c r="B121" t="s">
        <v>26</v>
      </c>
      <c r="C121" s="32">
        <v>45658</v>
      </c>
      <c r="D121" t="s">
        <v>29</v>
      </c>
      <c r="E121">
        <v>15</v>
      </c>
      <c r="F121" t="s">
        <v>48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28</v>
      </c>
      <c r="P121">
        <v>0</v>
      </c>
      <c r="Q121">
        <v>6</v>
      </c>
      <c r="R121">
        <v>0</v>
      </c>
      <c r="S121" t="s">
        <v>39</v>
      </c>
      <c r="T121">
        <v>2025</v>
      </c>
    </row>
    <row r="122" spans="1:20" x14ac:dyDescent="0.35">
      <c r="A122" t="s">
        <v>23</v>
      </c>
      <c r="B122" t="s">
        <v>26</v>
      </c>
      <c r="C122" s="32">
        <v>45658</v>
      </c>
      <c r="D122" t="s">
        <v>29</v>
      </c>
      <c r="E122">
        <v>16</v>
      </c>
      <c r="F122" t="s">
        <v>48</v>
      </c>
      <c r="G122">
        <v>0</v>
      </c>
      <c r="H122">
        <v>24934.69</v>
      </c>
      <c r="I122">
        <v>2259.15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164.16595444919949</v>
      </c>
      <c r="P122">
        <v>2</v>
      </c>
      <c r="Q122">
        <v>5</v>
      </c>
      <c r="R122">
        <v>0</v>
      </c>
      <c r="S122" t="s">
        <v>39</v>
      </c>
      <c r="T122">
        <v>2025</v>
      </c>
    </row>
    <row r="123" spans="1:20" x14ac:dyDescent="0.35">
      <c r="A123" t="s">
        <v>23</v>
      </c>
      <c r="B123" t="s">
        <v>26</v>
      </c>
      <c r="C123" s="32">
        <v>45658</v>
      </c>
      <c r="D123" t="s">
        <v>19</v>
      </c>
      <c r="E123">
        <v>6</v>
      </c>
      <c r="F123" t="s">
        <v>30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28</v>
      </c>
      <c r="P123">
        <v>0</v>
      </c>
      <c r="Q123">
        <v>20</v>
      </c>
      <c r="R123">
        <v>3</v>
      </c>
      <c r="S123" t="s">
        <v>39</v>
      </c>
      <c r="T123">
        <v>2025</v>
      </c>
    </row>
    <row r="124" spans="1:20" x14ac:dyDescent="0.35">
      <c r="A124" t="s">
        <v>23</v>
      </c>
      <c r="B124" t="s">
        <v>26</v>
      </c>
      <c r="C124" s="32">
        <v>45658</v>
      </c>
      <c r="D124" t="s">
        <v>19</v>
      </c>
      <c r="E124">
        <v>6</v>
      </c>
      <c r="F124" t="s">
        <v>31</v>
      </c>
      <c r="G124">
        <v>600.98</v>
      </c>
      <c r="H124">
        <v>32135.4</v>
      </c>
      <c r="I124">
        <v>1709.26</v>
      </c>
      <c r="J124">
        <v>0</v>
      </c>
      <c r="K124">
        <v>0</v>
      </c>
      <c r="L124">
        <v>0</v>
      </c>
      <c r="M124">
        <v>2389.4</v>
      </c>
      <c r="N124">
        <v>0</v>
      </c>
      <c r="O124">
        <v>69.052253794380519</v>
      </c>
      <c r="P124">
        <v>15</v>
      </c>
      <c r="Q124">
        <v>1</v>
      </c>
      <c r="R124">
        <v>0</v>
      </c>
      <c r="S124" t="s">
        <v>39</v>
      </c>
      <c r="T124">
        <v>2025</v>
      </c>
    </row>
    <row r="125" spans="1:20" x14ac:dyDescent="0.35">
      <c r="A125" t="s">
        <v>23</v>
      </c>
      <c r="B125" t="s">
        <v>26</v>
      </c>
      <c r="C125" s="32">
        <v>45658</v>
      </c>
      <c r="D125" t="s">
        <v>19</v>
      </c>
      <c r="E125">
        <v>8</v>
      </c>
      <c r="F125" t="s">
        <v>30</v>
      </c>
      <c r="G125">
        <v>21343.31</v>
      </c>
      <c r="H125">
        <v>28811.27</v>
      </c>
      <c r="I125">
        <v>0</v>
      </c>
      <c r="J125">
        <v>0</v>
      </c>
      <c r="K125">
        <v>0</v>
      </c>
      <c r="L125">
        <v>0</v>
      </c>
      <c r="M125">
        <v>22276.9</v>
      </c>
      <c r="N125">
        <v>0</v>
      </c>
      <c r="O125">
        <v>87.03422904202489</v>
      </c>
      <c r="P125">
        <v>4</v>
      </c>
      <c r="Q125">
        <v>15</v>
      </c>
      <c r="R125">
        <v>1</v>
      </c>
      <c r="S125" t="s">
        <v>39</v>
      </c>
      <c r="T125">
        <v>2025</v>
      </c>
    </row>
    <row r="126" spans="1:20" x14ac:dyDescent="0.35">
      <c r="A126" t="s">
        <v>23</v>
      </c>
      <c r="B126" t="s">
        <v>26</v>
      </c>
      <c r="C126" s="32">
        <v>45658</v>
      </c>
      <c r="D126" t="s">
        <v>19</v>
      </c>
      <c r="E126">
        <v>8</v>
      </c>
      <c r="F126" t="s">
        <v>31</v>
      </c>
      <c r="G126">
        <v>1113.46</v>
      </c>
      <c r="H126">
        <v>67664.350000000006</v>
      </c>
      <c r="I126">
        <v>1901.8</v>
      </c>
      <c r="J126">
        <v>0</v>
      </c>
      <c r="K126">
        <v>0</v>
      </c>
      <c r="L126">
        <v>0</v>
      </c>
      <c r="M126">
        <v>14505.9</v>
      </c>
      <c r="N126">
        <v>78636.62</v>
      </c>
      <c r="O126">
        <v>68.319214410320498</v>
      </c>
      <c r="P126">
        <v>19</v>
      </c>
      <c r="Q126">
        <v>2</v>
      </c>
      <c r="R126">
        <v>3</v>
      </c>
      <c r="S126" t="s">
        <v>39</v>
      </c>
      <c r="T126">
        <v>2025</v>
      </c>
    </row>
    <row r="127" spans="1:20" x14ac:dyDescent="0.35">
      <c r="A127" t="s">
        <v>23</v>
      </c>
      <c r="B127" t="s">
        <v>26</v>
      </c>
      <c r="C127" s="32">
        <v>45658</v>
      </c>
      <c r="D127" t="s">
        <v>19</v>
      </c>
      <c r="E127">
        <v>9</v>
      </c>
      <c r="F127" t="s">
        <v>30</v>
      </c>
      <c r="G127">
        <v>0</v>
      </c>
      <c r="H127">
        <v>3107.94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284.59857723479945</v>
      </c>
      <c r="P127">
        <v>1</v>
      </c>
      <c r="Q127">
        <v>48</v>
      </c>
      <c r="R127">
        <v>2</v>
      </c>
      <c r="S127" t="s">
        <v>39</v>
      </c>
      <c r="T127">
        <v>2025</v>
      </c>
    </row>
    <row r="128" spans="1:20" x14ac:dyDescent="0.35">
      <c r="A128" t="s">
        <v>23</v>
      </c>
      <c r="B128" t="s">
        <v>26</v>
      </c>
      <c r="C128" s="32">
        <v>45658</v>
      </c>
      <c r="D128" t="s">
        <v>19</v>
      </c>
      <c r="E128">
        <v>9</v>
      </c>
      <c r="F128" t="s">
        <v>31</v>
      </c>
      <c r="G128">
        <v>0</v>
      </c>
      <c r="H128">
        <v>26169.88</v>
      </c>
      <c r="I128">
        <v>0</v>
      </c>
      <c r="J128">
        <v>0</v>
      </c>
      <c r="K128">
        <v>0</v>
      </c>
      <c r="L128">
        <v>0</v>
      </c>
      <c r="M128">
        <v>20143.13</v>
      </c>
      <c r="N128">
        <v>126177.32</v>
      </c>
      <c r="O128">
        <v>64.292540391690466</v>
      </c>
      <c r="P128">
        <v>21</v>
      </c>
      <c r="Q128">
        <v>1</v>
      </c>
      <c r="R128">
        <v>0</v>
      </c>
      <c r="S128" t="s">
        <v>39</v>
      </c>
      <c r="T128">
        <v>2025</v>
      </c>
    </row>
    <row r="129" spans="1:20" x14ac:dyDescent="0.35">
      <c r="A129" t="s">
        <v>23</v>
      </c>
      <c r="B129" t="s">
        <v>26</v>
      </c>
      <c r="C129" s="32">
        <v>45658</v>
      </c>
      <c r="D129" t="s">
        <v>19</v>
      </c>
      <c r="E129">
        <v>10</v>
      </c>
      <c r="F129" t="s">
        <v>30</v>
      </c>
      <c r="G129">
        <v>0</v>
      </c>
      <c r="H129">
        <v>4160.66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90.859166665250086</v>
      </c>
      <c r="P129">
        <v>2</v>
      </c>
      <c r="Q129">
        <v>66</v>
      </c>
      <c r="R129">
        <v>7</v>
      </c>
      <c r="S129" t="s">
        <v>39</v>
      </c>
      <c r="T129">
        <v>2025</v>
      </c>
    </row>
    <row r="130" spans="1:20" x14ac:dyDescent="0.35">
      <c r="A130" t="s">
        <v>23</v>
      </c>
      <c r="B130" t="s">
        <v>26</v>
      </c>
      <c r="C130" s="32">
        <v>45658</v>
      </c>
      <c r="D130" t="s">
        <v>19</v>
      </c>
      <c r="E130">
        <v>10</v>
      </c>
      <c r="F130" t="s">
        <v>31</v>
      </c>
      <c r="G130">
        <v>14423.28</v>
      </c>
      <c r="H130">
        <v>93718.2</v>
      </c>
      <c r="I130">
        <v>16561.84</v>
      </c>
      <c r="J130">
        <v>0</v>
      </c>
      <c r="K130">
        <v>0</v>
      </c>
      <c r="L130">
        <v>0</v>
      </c>
      <c r="M130">
        <v>70334.83</v>
      </c>
      <c r="N130">
        <v>534448.73</v>
      </c>
      <c r="O130">
        <v>135.72583814143763</v>
      </c>
      <c r="P130">
        <v>22</v>
      </c>
      <c r="Q130">
        <v>0</v>
      </c>
      <c r="R130">
        <v>0</v>
      </c>
      <c r="S130" t="s">
        <v>39</v>
      </c>
      <c r="T130">
        <v>2025</v>
      </c>
    </row>
    <row r="131" spans="1:20" x14ac:dyDescent="0.35">
      <c r="A131" t="s">
        <v>23</v>
      </c>
      <c r="B131" t="s">
        <v>26</v>
      </c>
      <c r="C131" s="32">
        <v>45658</v>
      </c>
      <c r="D131" t="s">
        <v>19</v>
      </c>
      <c r="E131">
        <v>13</v>
      </c>
      <c r="F131" t="s">
        <v>30</v>
      </c>
      <c r="G131">
        <v>0</v>
      </c>
      <c r="H131">
        <v>1306.3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39.581985942350002</v>
      </c>
      <c r="P131">
        <v>2</v>
      </c>
      <c r="Q131">
        <v>8</v>
      </c>
      <c r="R131">
        <v>5</v>
      </c>
      <c r="S131" t="s">
        <v>39</v>
      </c>
      <c r="T131">
        <v>2025</v>
      </c>
    </row>
    <row r="132" spans="1:20" x14ac:dyDescent="0.35">
      <c r="A132" t="s">
        <v>23</v>
      </c>
      <c r="B132" t="s">
        <v>26</v>
      </c>
      <c r="C132" s="32">
        <v>45658</v>
      </c>
      <c r="D132" t="s">
        <v>19</v>
      </c>
      <c r="E132">
        <v>13</v>
      </c>
      <c r="F132" t="s">
        <v>31</v>
      </c>
      <c r="G132">
        <v>0</v>
      </c>
      <c r="H132">
        <v>3068.23</v>
      </c>
      <c r="I132">
        <v>298130.71000000002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77.663107634225526</v>
      </c>
      <c r="P132">
        <v>4</v>
      </c>
      <c r="Q132">
        <v>3</v>
      </c>
      <c r="R132">
        <v>0</v>
      </c>
      <c r="S132" t="s">
        <v>39</v>
      </c>
      <c r="T132">
        <v>2025</v>
      </c>
    </row>
    <row r="133" spans="1:20" x14ac:dyDescent="0.35">
      <c r="A133" t="s">
        <v>23</v>
      </c>
      <c r="B133" t="s">
        <v>26</v>
      </c>
      <c r="C133" s="32">
        <v>45658</v>
      </c>
      <c r="D133" t="s">
        <v>19</v>
      </c>
      <c r="E133">
        <v>14</v>
      </c>
      <c r="F133" t="s">
        <v>30</v>
      </c>
      <c r="G133">
        <v>0</v>
      </c>
      <c r="H133">
        <v>3051.95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37.90133261277515</v>
      </c>
      <c r="P133">
        <v>4</v>
      </c>
      <c r="Q133">
        <v>63</v>
      </c>
      <c r="R133">
        <v>0</v>
      </c>
      <c r="S133" t="s">
        <v>39</v>
      </c>
      <c r="T133">
        <v>2025</v>
      </c>
    </row>
    <row r="134" spans="1:20" x14ac:dyDescent="0.35">
      <c r="A134" t="s">
        <v>23</v>
      </c>
      <c r="B134" t="s">
        <v>26</v>
      </c>
      <c r="C134" s="32">
        <v>45658</v>
      </c>
      <c r="D134" t="s">
        <v>19</v>
      </c>
      <c r="E134">
        <v>14</v>
      </c>
      <c r="F134" t="s">
        <v>31</v>
      </c>
      <c r="G134">
        <v>24966.71</v>
      </c>
      <c r="H134">
        <v>60639.74</v>
      </c>
      <c r="I134">
        <v>10341.41</v>
      </c>
      <c r="J134">
        <v>0</v>
      </c>
      <c r="K134">
        <v>0</v>
      </c>
      <c r="L134">
        <v>0</v>
      </c>
      <c r="M134">
        <v>6292.2</v>
      </c>
      <c r="N134">
        <v>0</v>
      </c>
      <c r="O134">
        <v>87.305828946336717</v>
      </c>
      <c r="P134">
        <v>27</v>
      </c>
      <c r="Q134">
        <v>4</v>
      </c>
      <c r="R134">
        <v>0</v>
      </c>
      <c r="S134" t="s">
        <v>39</v>
      </c>
      <c r="T134">
        <v>2025</v>
      </c>
    </row>
    <row r="135" spans="1:20" x14ac:dyDescent="0.35">
      <c r="A135" t="s">
        <v>23</v>
      </c>
      <c r="B135" t="s">
        <v>26</v>
      </c>
      <c r="C135" s="32">
        <v>45658</v>
      </c>
      <c r="D135" t="s">
        <v>19</v>
      </c>
      <c r="E135">
        <v>15</v>
      </c>
      <c r="F135" t="s">
        <v>30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28</v>
      </c>
      <c r="P135">
        <v>0</v>
      </c>
      <c r="Q135">
        <v>7</v>
      </c>
      <c r="R135">
        <v>0</v>
      </c>
      <c r="S135" t="s">
        <v>39</v>
      </c>
      <c r="T135">
        <v>2025</v>
      </c>
    </row>
    <row r="136" spans="1:20" x14ac:dyDescent="0.35">
      <c r="A136" t="s">
        <v>23</v>
      </c>
      <c r="B136" t="s">
        <v>26</v>
      </c>
      <c r="C136" s="32">
        <v>45658</v>
      </c>
      <c r="D136" t="s">
        <v>19</v>
      </c>
      <c r="E136">
        <v>15</v>
      </c>
      <c r="F136" t="s">
        <v>31</v>
      </c>
      <c r="G136">
        <v>2128.27</v>
      </c>
      <c r="H136">
        <v>7378.46</v>
      </c>
      <c r="I136">
        <v>0</v>
      </c>
      <c r="J136">
        <v>0</v>
      </c>
      <c r="K136">
        <v>0</v>
      </c>
      <c r="L136">
        <v>0</v>
      </c>
      <c r="M136">
        <v>1808.44</v>
      </c>
      <c r="N136">
        <v>0</v>
      </c>
      <c r="O136">
        <v>48.921385539334246</v>
      </c>
      <c r="P136">
        <v>3</v>
      </c>
      <c r="Q136">
        <v>0</v>
      </c>
      <c r="R136">
        <v>0</v>
      </c>
      <c r="S136" t="s">
        <v>39</v>
      </c>
      <c r="T136">
        <v>2025</v>
      </c>
    </row>
    <row r="137" spans="1:20" x14ac:dyDescent="0.35">
      <c r="A137" t="s">
        <v>23</v>
      </c>
      <c r="B137" t="s">
        <v>26</v>
      </c>
      <c r="C137" s="32">
        <v>45658</v>
      </c>
      <c r="D137" t="s">
        <v>19</v>
      </c>
      <c r="E137">
        <v>16</v>
      </c>
      <c r="F137" t="s">
        <v>30</v>
      </c>
      <c r="G137">
        <v>0</v>
      </c>
      <c r="H137">
        <v>6881.45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227.83416021573308</v>
      </c>
      <c r="P137">
        <v>3</v>
      </c>
      <c r="Q137">
        <v>6</v>
      </c>
      <c r="R137">
        <v>0</v>
      </c>
      <c r="S137" t="s">
        <v>39</v>
      </c>
      <c r="T137">
        <v>2025</v>
      </c>
    </row>
    <row r="138" spans="1:20" x14ac:dyDescent="0.35">
      <c r="A138" t="s">
        <v>23</v>
      </c>
      <c r="B138" t="s">
        <v>26</v>
      </c>
      <c r="C138" s="32">
        <v>45658</v>
      </c>
      <c r="D138" t="s">
        <v>19</v>
      </c>
      <c r="E138">
        <v>16</v>
      </c>
      <c r="F138" t="s">
        <v>31</v>
      </c>
      <c r="G138">
        <v>0</v>
      </c>
      <c r="H138">
        <v>4024.96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168.63177543497659</v>
      </c>
      <c r="P138">
        <v>4</v>
      </c>
      <c r="Q138">
        <v>1</v>
      </c>
      <c r="R138">
        <v>0</v>
      </c>
      <c r="S138" t="s">
        <v>39</v>
      </c>
      <c r="T138">
        <v>2025</v>
      </c>
    </row>
    <row r="139" spans="1:20" x14ac:dyDescent="0.35">
      <c r="A139" t="s">
        <v>23</v>
      </c>
      <c r="B139" t="s">
        <v>26</v>
      </c>
      <c r="C139" s="32">
        <v>45689</v>
      </c>
      <c r="D139" t="s">
        <v>27</v>
      </c>
      <c r="E139">
        <v>6</v>
      </c>
      <c r="F139" t="s">
        <v>48</v>
      </c>
      <c r="G139">
        <v>0</v>
      </c>
      <c r="H139">
        <v>637.61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51.598835475801025</v>
      </c>
      <c r="P139">
        <v>1</v>
      </c>
      <c r="Q139">
        <v>1</v>
      </c>
      <c r="R139">
        <v>0</v>
      </c>
      <c r="S139" t="s">
        <v>39</v>
      </c>
      <c r="T139">
        <v>2025</v>
      </c>
    </row>
    <row r="140" spans="1:20" x14ac:dyDescent="0.35">
      <c r="A140" t="s">
        <v>23</v>
      </c>
      <c r="B140" t="s">
        <v>26</v>
      </c>
      <c r="C140" s="32">
        <v>45689</v>
      </c>
      <c r="D140" t="s">
        <v>27</v>
      </c>
      <c r="E140">
        <v>9</v>
      </c>
      <c r="F140" t="s">
        <v>48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28</v>
      </c>
      <c r="P140">
        <v>0</v>
      </c>
      <c r="Q140">
        <v>3</v>
      </c>
      <c r="R140">
        <v>0</v>
      </c>
      <c r="S140" t="s">
        <v>39</v>
      </c>
      <c r="T140">
        <v>2025</v>
      </c>
    </row>
    <row r="141" spans="1:20" x14ac:dyDescent="0.35">
      <c r="A141" t="s">
        <v>23</v>
      </c>
      <c r="B141" t="s">
        <v>26</v>
      </c>
      <c r="C141" s="32">
        <v>45689</v>
      </c>
      <c r="D141" t="s">
        <v>27</v>
      </c>
      <c r="E141">
        <v>13</v>
      </c>
      <c r="F141" t="s">
        <v>48</v>
      </c>
      <c r="G141">
        <v>0</v>
      </c>
      <c r="H141">
        <v>140535.03</v>
      </c>
      <c r="I141">
        <v>0</v>
      </c>
      <c r="J141">
        <v>0</v>
      </c>
      <c r="K141">
        <v>0</v>
      </c>
      <c r="L141">
        <v>0</v>
      </c>
      <c r="M141">
        <v>2848.18</v>
      </c>
      <c r="N141">
        <v>0</v>
      </c>
      <c r="O141">
        <v>55.039584034002473</v>
      </c>
      <c r="P141">
        <v>2</v>
      </c>
      <c r="Q141">
        <v>2</v>
      </c>
      <c r="R141">
        <v>0</v>
      </c>
      <c r="S141" t="s">
        <v>39</v>
      </c>
      <c r="T141">
        <v>2025</v>
      </c>
    </row>
    <row r="142" spans="1:20" x14ac:dyDescent="0.35">
      <c r="A142" t="s">
        <v>23</v>
      </c>
      <c r="B142" t="s">
        <v>26</v>
      </c>
      <c r="C142" s="32">
        <v>45689</v>
      </c>
      <c r="D142" t="s">
        <v>29</v>
      </c>
      <c r="E142">
        <v>6</v>
      </c>
      <c r="F142" t="s">
        <v>48</v>
      </c>
      <c r="G142">
        <v>0</v>
      </c>
      <c r="H142">
        <v>38328.74</v>
      </c>
      <c r="I142">
        <v>6921.12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163.50408277179667</v>
      </c>
      <c r="P142">
        <v>1</v>
      </c>
      <c r="Q142">
        <v>22</v>
      </c>
      <c r="R142">
        <v>0</v>
      </c>
      <c r="S142" t="s">
        <v>39</v>
      </c>
      <c r="T142">
        <v>2025</v>
      </c>
    </row>
    <row r="143" spans="1:20" x14ac:dyDescent="0.35">
      <c r="A143" t="s">
        <v>23</v>
      </c>
      <c r="B143" t="s">
        <v>26</v>
      </c>
      <c r="C143" s="32">
        <v>45689</v>
      </c>
      <c r="D143" t="s">
        <v>29</v>
      </c>
      <c r="E143">
        <v>8</v>
      </c>
      <c r="F143" t="s">
        <v>48</v>
      </c>
      <c r="G143">
        <v>4653.45</v>
      </c>
      <c r="H143">
        <v>109160.85</v>
      </c>
      <c r="I143">
        <v>19530</v>
      </c>
      <c r="J143">
        <v>0</v>
      </c>
      <c r="K143">
        <v>0</v>
      </c>
      <c r="L143">
        <v>0</v>
      </c>
      <c r="M143">
        <v>13351.96</v>
      </c>
      <c r="N143">
        <v>0</v>
      </c>
      <c r="O143">
        <v>98.341146089510588</v>
      </c>
      <c r="P143">
        <v>8</v>
      </c>
      <c r="Q143">
        <v>11</v>
      </c>
      <c r="R143">
        <v>1</v>
      </c>
      <c r="S143" t="s">
        <v>39</v>
      </c>
      <c r="T143">
        <v>2025</v>
      </c>
    </row>
    <row r="144" spans="1:20" x14ac:dyDescent="0.35">
      <c r="A144" t="s">
        <v>23</v>
      </c>
      <c r="B144" t="s">
        <v>26</v>
      </c>
      <c r="C144" s="32">
        <v>45689</v>
      </c>
      <c r="D144" t="s">
        <v>29</v>
      </c>
      <c r="E144">
        <v>9</v>
      </c>
      <c r="F144" t="s">
        <v>48</v>
      </c>
      <c r="G144">
        <v>0</v>
      </c>
      <c r="H144">
        <v>557446.14</v>
      </c>
      <c r="I144">
        <v>205499.55</v>
      </c>
      <c r="J144">
        <v>0</v>
      </c>
      <c r="K144">
        <v>0</v>
      </c>
      <c r="L144">
        <v>0</v>
      </c>
      <c r="M144">
        <v>34385.379999999997</v>
      </c>
      <c r="N144">
        <v>0</v>
      </c>
      <c r="O144">
        <v>98.56129696959033</v>
      </c>
      <c r="P144">
        <v>8</v>
      </c>
      <c r="Q144">
        <v>29</v>
      </c>
      <c r="R144">
        <v>0</v>
      </c>
      <c r="S144" t="s">
        <v>39</v>
      </c>
      <c r="T144">
        <v>2025</v>
      </c>
    </row>
    <row r="145" spans="1:20" x14ac:dyDescent="0.35">
      <c r="A145" t="s">
        <v>23</v>
      </c>
      <c r="B145" t="s">
        <v>26</v>
      </c>
      <c r="C145" s="32">
        <v>45689</v>
      </c>
      <c r="D145" t="s">
        <v>29</v>
      </c>
      <c r="E145">
        <v>10</v>
      </c>
      <c r="F145" t="s">
        <v>48</v>
      </c>
      <c r="G145">
        <v>218929.18</v>
      </c>
      <c r="H145">
        <v>601816.47</v>
      </c>
      <c r="I145">
        <v>3705.91</v>
      </c>
      <c r="J145">
        <v>0</v>
      </c>
      <c r="K145">
        <v>0</v>
      </c>
      <c r="L145">
        <v>0</v>
      </c>
      <c r="M145">
        <v>131538.85999999999</v>
      </c>
      <c r="N145">
        <v>0</v>
      </c>
      <c r="O145">
        <v>139.02361058306391</v>
      </c>
      <c r="P145">
        <v>26</v>
      </c>
      <c r="Q145">
        <v>63</v>
      </c>
      <c r="R145">
        <v>2</v>
      </c>
      <c r="S145" t="s">
        <v>39</v>
      </c>
      <c r="T145">
        <v>2025</v>
      </c>
    </row>
    <row r="146" spans="1:20" x14ac:dyDescent="0.35">
      <c r="A146" t="s">
        <v>23</v>
      </c>
      <c r="B146" t="s">
        <v>26</v>
      </c>
      <c r="C146" s="32">
        <v>45689</v>
      </c>
      <c r="D146" t="s">
        <v>29</v>
      </c>
      <c r="E146">
        <v>13</v>
      </c>
      <c r="F146" t="s">
        <v>48</v>
      </c>
      <c r="G146">
        <v>0</v>
      </c>
      <c r="H146">
        <v>60918.92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159.40526958421978</v>
      </c>
      <c r="P146">
        <v>3</v>
      </c>
      <c r="Q146">
        <v>6</v>
      </c>
      <c r="R146">
        <v>2</v>
      </c>
      <c r="S146" t="s">
        <v>39</v>
      </c>
      <c r="T146">
        <v>2025</v>
      </c>
    </row>
    <row r="147" spans="1:20" x14ac:dyDescent="0.35">
      <c r="A147" t="s">
        <v>23</v>
      </c>
      <c r="B147" t="s">
        <v>26</v>
      </c>
      <c r="C147" s="32">
        <v>45689</v>
      </c>
      <c r="D147" t="s">
        <v>29</v>
      </c>
      <c r="E147">
        <v>14</v>
      </c>
      <c r="F147" t="s">
        <v>48</v>
      </c>
      <c r="G147">
        <v>1435.55</v>
      </c>
      <c r="H147">
        <v>167074.64000000001</v>
      </c>
      <c r="I147">
        <v>51473.65</v>
      </c>
      <c r="J147">
        <v>0</v>
      </c>
      <c r="K147">
        <v>0</v>
      </c>
      <c r="L147">
        <v>0</v>
      </c>
      <c r="M147">
        <v>20570.419999999998</v>
      </c>
      <c r="N147">
        <v>0</v>
      </c>
      <c r="O147">
        <v>177.32804364463664</v>
      </c>
      <c r="P147">
        <v>7</v>
      </c>
      <c r="Q147">
        <v>14</v>
      </c>
      <c r="R147">
        <v>0</v>
      </c>
      <c r="S147" t="s">
        <v>39</v>
      </c>
      <c r="T147">
        <v>2025</v>
      </c>
    </row>
    <row r="148" spans="1:20" x14ac:dyDescent="0.35">
      <c r="A148" t="s">
        <v>23</v>
      </c>
      <c r="B148" t="s">
        <v>26</v>
      </c>
      <c r="C148" s="32">
        <v>45689</v>
      </c>
      <c r="D148" t="s">
        <v>29</v>
      </c>
      <c r="E148">
        <v>15</v>
      </c>
      <c r="F148" t="s">
        <v>48</v>
      </c>
      <c r="G148">
        <v>75332.479999999996</v>
      </c>
      <c r="H148">
        <v>457654.81</v>
      </c>
      <c r="I148">
        <v>4464.03</v>
      </c>
      <c r="J148">
        <v>0</v>
      </c>
      <c r="K148">
        <v>0</v>
      </c>
      <c r="L148">
        <v>0</v>
      </c>
      <c r="M148">
        <v>120856.81</v>
      </c>
      <c r="N148">
        <v>0</v>
      </c>
      <c r="O148">
        <v>156.98474765993402</v>
      </c>
      <c r="P148">
        <v>3</v>
      </c>
      <c r="Q148">
        <v>8</v>
      </c>
      <c r="R148">
        <v>0</v>
      </c>
      <c r="S148" t="s">
        <v>39</v>
      </c>
      <c r="T148">
        <v>2025</v>
      </c>
    </row>
    <row r="149" spans="1:20" x14ac:dyDescent="0.35">
      <c r="A149" t="s">
        <v>23</v>
      </c>
      <c r="B149" t="s">
        <v>26</v>
      </c>
      <c r="C149" s="32">
        <v>45689</v>
      </c>
      <c r="D149" t="s">
        <v>29</v>
      </c>
      <c r="E149">
        <v>16</v>
      </c>
      <c r="F149" t="s">
        <v>48</v>
      </c>
      <c r="G149">
        <v>0</v>
      </c>
      <c r="H149">
        <v>3633.64</v>
      </c>
      <c r="I149">
        <v>2441.89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214.54488099574883</v>
      </c>
      <c r="P149">
        <v>2</v>
      </c>
      <c r="Q149">
        <v>6</v>
      </c>
      <c r="R149">
        <v>0</v>
      </c>
      <c r="S149" t="s">
        <v>39</v>
      </c>
      <c r="T149">
        <v>2025</v>
      </c>
    </row>
    <row r="150" spans="1:20" x14ac:dyDescent="0.35">
      <c r="A150" t="s">
        <v>23</v>
      </c>
      <c r="B150" t="s">
        <v>26</v>
      </c>
      <c r="C150" s="32">
        <v>45689</v>
      </c>
      <c r="D150" t="s">
        <v>19</v>
      </c>
      <c r="E150">
        <v>6</v>
      </c>
      <c r="F150" t="s">
        <v>30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28</v>
      </c>
      <c r="P150">
        <v>0</v>
      </c>
      <c r="Q150">
        <v>21</v>
      </c>
      <c r="R150">
        <v>1</v>
      </c>
      <c r="S150" t="s">
        <v>39</v>
      </c>
      <c r="T150">
        <v>2025</v>
      </c>
    </row>
    <row r="151" spans="1:20" x14ac:dyDescent="0.35">
      <c r="A151" t="s">
        <v>23</v>
      </c>
      <c r="B151" t="s">
        <v>26</v>
      </c>
      <c r="C151" s="32">
        <v>45689</v>
      </c>
      <c r="D151" t="s">
        <v>19</v>
      </c>
      <c r="E151">
        <v>6</v>
      </c>
      <c r="F151" t="s">
        <v>31</v>
      </c>
      <c r="G151">
        <v>19702.93</v>
      </c>
      <c r="H151">
        <v>13614.74</v>
      </c>
      <c r="I151">
        <v>33.92</v>
      </c>
      <c r="J151">
        <v>0</v>
      </c>
      <c r="K151">
        <v>0</v>
      </c>
      <c r="L151">
        <v>0</v>
      </c>
      <c r="M151">
        <v>11201.71</v>
      </c>
      <c r="N151">
        <v>0</v>
      </c>
      <c r="O151">
        <v>71.82981633058472</v>
      </c>
      <c r="P151">
        <v>13</v>
      </c>
      <c r="Q151">
        <v>1</v>
      </c>
      <c r="R151">
        <v>0</v>
      </c>
      <c r="S151" t="s">
        <v>39</v>
      </c>
      <c r="T151">
        <v>2025</v>
      </c>
    </row>
    <row r="152" spans="1:20" x14ac:dyDescent="0.35">
      <c r="A152" t="s">
        <v>23</v>
      </c>
      <c r="B152" t="s">
        <v>26</v>
      </c>
      <c r="C152" s="32">
        <v>45689</v>
      </c>
      <c r="D152" t="s">
        <v>19</v>
      </c>
      <c r="E152">
        <v>8</v>
      </c>
      <c r="F152" t="s">
        <v>30</v>
      </c>
      <c r="G152">
        <v>0</v>
      </c>
      <c r="H152">
        <v>1038.52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14.557103634149826</v>
      </c>
      <c r="P152">
        <v>2</v>
      </c>
      <c r="Q152">
        <v>16</v>
      </c>
      <c r="R152">
        <v>1</v>
      </c>
      <c r="S152" t="s">
        <v>39</v>
      </c>
      <c r="T152">
        <v>2025</v>
      </c>
    </row>
    <row r="153" spans="1:20" x14ac:dyDescent="0.35">
      <c r="A153" t="s">
        <v>23</v>
      </c>
      <c r="B153" t="s">
        <v>26</v>
      </c>
      <c r="C153" s="32">
        <v>45689</v>
      </c>
      <c r="D153" t="s">
        <v>19</v>
      </c>
      <c r="E153">
        <v>8</v>
      </c>
      <c r="F153" t="s">
        <v>31</v>
      </c>
      <c r="G153">
        <v>7096.22</v>
      </c>
      <c r="H153">
        <v>91049.49</v>
      </c>
      <c r="I153">
        <v>0</v>
      </c>
      <c r="J153">
        <v>0</v>
      </c>
      <c r="K153">
        <v>0</v>
      </c>
      <c r="L153">
        <v>0</v>
      </c>
      <c r="M153">
        <v>23383.84</v>
      </c>
      <c r="N153">
        <v>23167.05</v>
      </c>
      <c r="O153">
        <v>134.54706414405709</v>
      </c>
      <c r="P153">
        <v>19</v>
      </c>
      <c r="Q153">
        <v>4</v>
      </c>
      <c r="R153">
        <v>3</v>
      </c>
      <c r="S153" t="s">
        <v>39</v>
      </c>
      <c r="T153">
        <v>2025</v>
      </c>
    </row>
    <row r="154" spans="1:20" x14ac:dyDescent="0.35">
      <c r="A154" t="s">
        <v>23</v>
      </c>
      <c r="B154" t="s">
        <v>26</v>
      </c>
      <c r="C154" s="32">
        <v>45689</v>
      </c>
      <c r="D154" t="s">
        <v>19</v>
      </c>
      <c r="E154">
        <v>9</v>
      </c>
      <c r="F154" t="s">
        <v>30</v>
      </c>
      <c r="G154">
        <v>0</v>
      </c>
      <c r="H154">
        <v>7530.68</v>
      </c>
      <c r="I154">
        <v>0</v>
      </c>
      <c r="J154">
        <v>0</v>
      </c>
      <c r="K154">
        <v>0</v>
      </c>
      <c r="L154">
        <v>0</v>
      </c>
      <c r="M154">
        <v>1592.16</v>
      </c>
      <c r="N154">
        <v>0</v>
      </c>
      <c r="O154">
        <v>141.32800925929769</v>
      </c>
      <c r="P154">
        <v>1</v>
      </c>
      <c r="Q154">
        <v>30</v>
      </c>
      <c r="R154">
        <v>3</v>
      </c>
      <c r="S154" t="s">
        <v>39</v>
      </c>
      <c r="T154">
        <v>2025</v>
      </c>
    </row>
    <row r="155" spans="1:20" x14ac:dyDescent="0.35">
      <c r="A155" t="s">
        <v>23</v>
      </c>
      <c r="B155" t="s">
        <v>26</v>
      </c>
      <c r="C155" s="32">
        <v>45689</v>
      </c>
      <c r="D155" t="s">
        <v>19</v>
      </c>
      <c r="E155">
        <v>9</v>
      </c>
      <c r="F155" t="s">
        <v>31</v>
      </c>
      <c r="G155">
        <v>456.39</v>
      </c>
      <c r="H155">
        <v>54759.55</v>
      </c>
      <c r="I155">
        <v>0</v>
      </c>
      <c r="J155">
        <v>0</v>
      </c>
      <c r="K155">
        <v>0</v>
      </c>
      <c r="L155">
        <v>0</v>
      </c>
      <c r="M155">
        <v>9869.27</v>
      </c>
      <c r="N155">
        <v>0</v>
      </c>
      <c r="O155">
        <v>57.022671787708319</v>
      </c>
      <c r="P155">
        <v>34</v>
      </c>
      <c r="Q155">
        <v>0</v>
      </c>
      <c r="R155">
        <v>0</v>
      </c>
      <c r="S155" t="s">
        <v>39</v>
      </c>
      <c r="T155">
        <v>2025</v>
      </c>
    </row>
    <row r="156" spans="1:20" x14ac:dyDescent="0.35">
      <c r="A156" t="s">
        <v>23</v>
      </c>
      <c r="B156" t="s">
        <v>26</v>
      </c>
      <c r="C156" s="32">
        <v>45689</v>
      </c>
      <c r="D156" t="s">
        <v>19</v>
      </c>
      <c r="E156">
        <v>10</v>
      </c>
      <c r="F156" t="s">
        <v>30</v>
      </c>
      <c r="G156">
        <v>0</v>
      </c>
      <c r="H156">
        <v>20164.490000000002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87.288916119733287</v>
      </c>
      <c r="P156">
        <v>6</v>
      </c>
      <c r="Q156">
        <v>90</v>
      </c>
      <c r="R156">
        <v>1</v>
      </c>
      <c r="S156" t="s">
        <v>39</v>
      </c>
      <c r="T156">
        <v>2025</v>
      </c>
    </row>
    <row r="157" spans="1:20" x14ac:dyDescent="0.35">
      <c r="A157" t="s">
        <v>23</v>
      </c>
      <c r="B157" t="s">
        <v>26</v>
      </c>
      <c r="C157" s="32">
        <v>45689</v>
      </c>
      <c r="D157" t="s">
        <v>19</v>
      </c>
      <c r="E157">
        <v>10</v>
      </c>
      <c r="F157" t="s">
        <v>31</v>
      </c>
      <c r="G157">
        <v>123966.04</v>
      </c>
      <c r="H157">
        <v>59032.94</v>
      </c>
      <c r="I157">
        <v>535927.96</v>
      </c>
      <c r="J157">
        <v>0</v>
      </c>
      <c r="K157">
        <v>0</v>
      </c>
      <c r="L157">
        <v>0</v>
      </c>
      <c r="M157">
        <v>171687.15</v>
      </c>
      <c r="N157">
        <v>1331472.5900000001</v>
      </c>
      <c r="O157">
        <v>133.04091285014104</v>
      </c>
      <c r="P157">
        <v>32</v>
      </c>
      <c r="Q157">
        <v>1</v>
      </c>
      <c r="R157">
        <v>0</v>
      </c>
      <c r="S157" t="s">
        <v>39</v>
      </c>
      <c r="T157">
        <v>2025</v>
      </c>
    </row>
    <row r="158" spans="1:20" x14ac:dyDescent="0.35">
      <c r="A158" t="s">
        <v>23</v>
      </c>
      <c r="B158" t="s">
        <v>26</v>
      </c>
      <c r="C158" s="32">
        <v>45689</v>
      </c>
      <c r="D158" t="s">
        <v>19</v>
      </c>
      <c r="E158">
        <v>13</v>
      </c>
      <c r="F158" t="s">
        <v>30</v>
      </c>
      <c r="G158">
        <v>0</v>
      </c>
      <c r="H158">
        <v>2817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19.440840844074046</v>
      </c>
      <c r="P158">
        <v>4</v>
      </c>
      <c r="Q158">
        <v>13</v>
      </c>
      <c r="R158">
        <v>26</v>
      </c>
      <c r="S158" t="s">
        <v>39</v>
      </c>
      <c r="T158">
        <v>2025</v>
      </c>
    </row>
    <row r="159" spans="1:20" x14ac:dyDescent="0.35">
      <c r="A159" t="s">
        <v>23</v>
      </c>
      <c r="B159" t="s">
        <v>26</v>
      </c>
      <c r="C159" s="32">
        <v>45689</v>
      </c>
      <c r="D159" t="s">
        <v>19</v>
      </c>
      <c r="E159">
        <v>13</v>
      </c>
      <c r="F159" t="s">
        <v>31</v>
      </c>
      <c r="G159">
        <v>9692.65</v>
      </c>
      <c r="H159">
        <v>77693.820000000007</v>
      </c>
      <c r="I159">
        <v>0</v>
      </c>
      <c r="J159">
        <v>0</v>
      </c>
      <c r="K159">
        <v>0</v>
      </c>
      <c r="L159">
        <v>0</v>
      </c>
      <c r="M159">
        <v>272.8</v>
      </c>
      <c r="N159">
        <v>0</v>
      </c>
      <c r="O159">
        <v>46.778978244113205</v>
      </c>
      <c r="P159">
        <v>8</v>
      </c>
      <c r="Q159">
        <v>0</v>
      </c>
      <c r="R159">
        <v>0</v>
      </c>
      <c r="S159" t="s">
        <v>39</v>
      </c>
      <c r="T159">
        <v>2025</v>
      </c>
    </row>
    <row r="160" spans="1:20" x14ac:dyDescent="0.35">
      <c r="A160" t="s">
        <v>23</v>
      </c>
      <c r="B160" t="s">
        <v>26</v>
      </c>
      <c r="C160" s="32">
        <v>45689</v>
      </c>
      <c r="D160" t="s">
        <v>19</v>
      </c>
      <c r="E160">
        <v>14</v>
      </c>
      <c r="F160" t="s">
        <v>30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28</v>
      </c>
      <c r="P160">
        <v>0</v>
      </c>
      <c r="Q160">
        <v>49</v>
      </c>
      <c r="R160">
        <v>0</v>
      </c>
      <c r="S160" t="s">
        <v>39</v>
      </c>
      <c r="T160">
        <v>2025</v>
      </c>
    </row>
    <row r="161" spans="1:20" x14ac:dyDescent="0.35">
      <c r="A161" t="s">
        <v>23</v>
      </c>
      <c r="B161" t="s">
        <v>26</v>
      </c>
      <c r="C161" s="32">
        <v>45689</v>
      </c>
      <c r="D161" t="s">
        <v>19</v>
      </c>
      <c r="E161">
        <v>14</v>
      </c>
      <c r="F161" t="s">
        <v>31</v>
      </c>
      <c r="G161">
        <v>99389.78</v>
      </c>
      <c r="H161">
        <v>142458.78</v>
      </c>
      <c r="I161">
        <v>31.44</v>
      </c>
      <c r="J161">
        <v>0</v>
      </c>
      <c r="K161">
        <v>0</v>
      </c>
      <c r="L161">
        <v>0</v>
      </c>
      <c r="M161">
        <v>68397.929999999993</v>
      </c>
      <c r="N161">
        <v>182792.86</v>
      </c>
      <c r="O161">
        <v>94.875408979258154</v>
      </c>
      <c r="P161">
        <v>43</v>
      </c>
      <c r="Q161">
        <v>3</v>
      </c>
      <c r="R161">
        <v>0</v>
      </c>
      <c r="S161" t="s">
        <v>39</v>
      </c>
      <c r="T161">
        <v>2025</v>
      </c>
    </row>
    <row r="162" spans="1:20" x14ac:dyDescent="0.35">
      <c r="A162" t="s">
        <v>23</v>
      </c>
      <c r="B162" t="s">
        <v>26</v>
      </c>
      <c r="C162" s="32">
        <v>45689</v>
      </c>
      <c r="D162" t="s">
        <v>19</v>
      </c>
      <c r="E162">
        <v>15</v>
      </c>
      <c r="F162" t="s">
        <v>30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28</v>
      </c>
      <c r="P162">
        <v>0</v>
      </c>
      <c r="Q162">
        <v>20</v>
      </c>
      <c r="R162">
        <v>3</v>
      </c>
      <c r="S162" t="s">
        <v>39</v>
      </c>
      <c r="T162">
        <v>2025</v>
      </c>
    </row>
    <row r="163" spans="1:20" x14ac:dyDescent="0.35">
      <c r="A163" t="s">
        <v>23</v>
      </c>
      <c r="B163" t="s">
        <v>26</v>
      </c>
      <c r="C163" s="32">
        <v>45689</v>
      </c>
      <c r="D163" t="s">
        <v>19</v>
      </c>
      <c r="E163">
        <v>15</v>
      </c>
      <c r="F163" t="s">
        <v>31</v>
      </c>
      <c r="G163">
        <v>50678.26</v>
      </c>
      <c r="H163">
        <v>6968.73</v>
      </c>
      <c r="I163">
        <v>0</v>
      </c>
      <c r="J163">
        <v>0</v>
      </c>
      <c r="K163">
        <v>0</v>
      </c>
      <c r="L163">
        <v>0</v>
      </c>
      <c r="M163">
        <v>20177.32</v>
      </c>
      <c r="N163">
        <v>0</v>
      </c>
      <c r="O163">
        <v>113.73425178286561</v>
      </c>
      <c r="P163">
        <v>6</v>
      </c>
      <c r="Q163">
        <v>0</v>
      </c>
      <c r="R163">
        <v>0</v>
      </c>
      <c r="S163" t="s">
        <v>39</v>
      </c>
      <c r="T163">
        <v>2025</v>
      </c>
    </row>
    <row r="164" spans="1:20" x14ac:dyDescent="0.35">
      <c r="A164" t="s">
        <v>23</v>
      </c>
      <c r="B164" t="s">
        <v>26</v>
      </c>
      <c r="C164" s="32">
        <v>45689</v>
      </c>
      <c r="D164" t="s">
        <v>19</v>
      </c>
      <c r="E164">
        <v>16</v>
      </c>
      <c r="F164" t="s">
        <v>30</v>
      </c>
      <c r="G164">
        <v>0</v>
      </c>
      <c r="H164">
        <v>7674.82</v>
      </c>
      <c r="I164">
        <v>0</v>
      </c>
      <c r="J164">
        <v>0</v>
      </c>
      <c r="K164">
        <v>0</v>
      </c>
      <c r="L164">
        <v>0</v>
      </c>
      <c r="M164">
        <v>3602.82</v>
      </c>
      <c r="N164">
        <v>0</v>
      </c>
      <c r="O164">
        <v>71.080450156248844</v>
      </c>
      <c r="P164">
        <v>2</v>
      </c>
      <c r="Q164">
        <v>5</v>
      </c>
      <c r="R164">
        <v>0</v>
      </c>
      <c r="S164" t="s">
        <v>39</v>
      </c>
      <c r="T164">
        <v>2025</v>
      </c>
    </row>
    <row r="165" spans="1:20" x14ac:dyDescent="0.35">
      <c r="A165" t="s">
        <v>23</v>
      </c>
      <c r="B165" t="s">
        <v>26</v>
      </c>
      <c r="C165" s="32">
        <v>45689</v>
      </c>
      <c r="D165" t="s">
        <v>19</v>
      </c>
      <c r="E165">
        <v>16</v>
      </c>
      <c r="F165" t="s">
        <v>31</v>
      </c>
      <c r="G165">
        <v>13160.5</v>
      </c>
      <c r="H165">
        <v>35199.910000000003</v>
      </c>
      <c r="I165">
        <v>0</v>
      </c>
      <c r="J165">
        <v>0</v>
      </c>
      <c r="K165">
        <v>0</v>
      </c>
      <c r="L165">
        <v>0</v>
      </c>
      <c r="M165">
        <v>1465.5</v>
      </c>
      <c r="N165">
        <v>0</v>
      </c>
      <c r="O165">
        <v>55.345988293799749</v>
      </c>
      <c r="P165">
        <v>10</v>
      </c>
      <c r="Q165">
        <v>1</v>
      </c>
      <c r="R165">
        <v>0</v>
      </c>
      <c r="S165" t="s">
        <v>39</v>
      </c>
      <c r="T165">
        <v>2025</v>
      </c>
    </row>
    <row r="166" spans="1:20" x14ac:dyDescent="0.35">
      <c r="A166" t="s">
        <v>23</v>
      </c>
      <c r="B166" t="s">
        <v>26</v>
      </c>
      <c r="C166" s="32">
        <v>45717</v>
      </c>
      <c r="D166" t="s">
        <v>27</v>
      </c>
      <c r="E166">
        <v>9</v>
      </c>
      <c r="F166" t="s">
        <v>48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28</v>
      </c>
      <c r="P166">
        <v>0</v>
      </c>
      <c r="Q166">
        <v>2</v>
      </c>
      <c r="R166">
        <v>0</v>
      </c>
      <c r="S166" t="s">
        <v>39</v>
      </c>
      <c r="T166">
        <v>2025</v>
      </c>
    </row>
    <row r="167" spans="1:20" x14ac:dyDescent="0.35">
      <c r="A167" t="s">
        <v>23</v>
      </c>
      <c r="B167" t="s">
        <v>26</v>
      </c>
      <c r="C167" s="32">
        <v>45717</v>
      </c>
      <c r="D167" t="s">
        <v>27</v>
      </c>
      <c r="E167">
        <v>10</v>
      </c>
      <c r="F167" t="s">
        <v>48</v>
      </c>
      <c r="G167">
        <v>13737.48</v>
      </c>
      <c r="H167">
        <v>21638.12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51.500559209402127</v>
      </c>
      <c r="P167">
        <v>1</v>
      </c>
      <c r="Q167">
        <v>0</v>
      </c>
      <c r="R167">
        <v>0</v>
      </c>
      <c r="S167" t="s">
        <v>39</v>
      </c>
      <c r="T167">
        <v>2025</v>
      </c>
    </row>
    <row r="168" spans="1:20" x14ac:dyDescent="0.35">
      <c r="A168" t="s">
        <v>23</v>
      </c>
      <c r="B168" t="s">
        <v>26</v>
      </c>
      <c r="C168" s="32">
        <v>45717</v>
      </c>
      <c r="D168" t="s">
        <v>27</v>
      </c>
      <c r="E168">
        <v>13</v>
      </c>
      <c r="F168" t="s">
        <v>48</v>
      </c>
      <c r="G168">
        <v>978.08</v>
      </c>
      <c r="H168">
        <v>265154.03000000003</v>
      </c>
      <c r="I168">
        <v>6821.86</v>
      </c>
      <c r="J168">
        <v>0</v>
      </c>
      <c r="K168">
        <v>0</v>
      </c>
      <c r="L168">
        <v>0</v>
      </c>
      <c r="M168">
        <v>984.56</v>
      </c>
      <c r="N168">
        <v>0</v>
      </c>
      <c r="O168">
        <v>148.53762011707477</v>
      </c>
      <c r="P168">
        <v>8</v>
      </c>
      <c r="Q168">
        <v>4</v>
      </c>
      <c r="R168">
        <v>0</v>
      </c>
      <c r="S168" t="s">
        <v>39</v>
      </c>
      <c r="T168">
        <v>2025</v>
      </c>
    </row>
    <row r="169" spans="1:20" x14ac:dyDescent="0.35">
      <c r="A169" t="s">
        <v>23</v>
      </c>
      <c r="B169" t="s">
        <v>26</v>
      </c>
      <c r="C169" s="32">
        <v>45717</v>
      </c>
      <c r="D169" t="s">
        <v>27</v>
      </c>
      <c r="E169">
        <v>14</v>
      </c>
      <c r="F169" t="s">
        <v>48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28</v>
      </c>
      <c r="P169">
        <v>0</v>
      </c>
      <c r="Q169">
        <v>1</v>
      </c>
      <c r="R169">
        <v>0</v>
      </c>
      <c r="S169" t="s">
        <v>39</v>
      </c>
      <c r="T169">
        <v>2025</v>
      </c>
    </row>
    <row r="170" spans="1:20" x14ac:dyDescent="0.35">
      <c r="A170" t="s">
        <v>23</v>
      </c>
      <c r="B170" t="s">
        <v>26</v>
      </c>
      <c r="C170" s="32">
        <v>45717</v>
      </c>
      <c r="D170" t="s">
        <v>27</v>
      </c>
      <c r="E170">
        <v>16</v>
      </c>
      <c r="F170" t="s">
        <v>48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28</v>
      </c>
      <c r="P170">
        <v>0</v>
      </c>
      <c r="Q170">
        <v>1</v>
      </c>
      <c r="R170">
        <v>0</v>
      </c>
      <c r="S170" t="s">
        <v>39</v>
      </c>
      <c r="T170">
        <v>2025</v>
      </c>
    </row>
    <row r="171" spans="1:20" x14ac:dyDescent="0.35">
      <c r="A171" t="s">
        <v>23</v>
      </c>
      <c r="B171" t="s">
        <v>26</v>
      </c>
      <c r="C171" s="32">
        <v>45717</v>
      </c>
      <c r="D171" t="s">
        <v>29</v>
      </c>
      <c r="E171">
        <v>6</v>
      </c>
      <c r="F171" t="s">
        <v>48</v>
      </c>
      <c r="G171">
        <v>0</v>
      </c>
      <c r="H171">
        <v>118068.97</v>
      </c>
      <c r="I171">
        <v>2505.87</v>
      </c>
      <c r="J171">
        <v>0</v>
      </c>
      <c r="K171">
        <v>0</v>
      </c>
      <c r="L171">
        <v>0</v>
      </c>
      <c r="M171">
        <v>16486.52</v>
      </c>
      <c r="N171">
        <v>0</v>
      </c>
      <c r="O171">
        <v>205.68469772751754</v>
      </c>
      <c r="P171">
        <v>6</v>
      </c>
      <c r="Q171">
        <v>13</v>
      </c>
      <c r="R171">
        <v>0</v>
      </c>
      <c r="S171" t="s">
        <v>39</v>
      </c>
      <c r="T171">
        <v>2025</v>
      </c>
    </row>
    <row r="172" spans="1:20" x14ac:dyDescent="0.35">
      <c r="A172" t="s">
        <v>23</v>
      </c>
      <c r="B172" t="s">
        <v>26</v>
      </c>
      <c r="C172" s="32">
        <v>45717</v>
      </c>
      <c r="D172" t="s">
        <v>29</v>
      </c>
      <c r="E172">
        <v>8</v>
      </c>
      <c r="F172" t="s">
        <v>48</v>
      </c>
      <c r="G172">
        <v>0</v>
      </c>
      <c r="H172">
        <v>134667.89000000001</v>
      </c>
      <c r="I172">
        <v>5454.27</v>
      </c>
      <c r="J172">
        <v>0</v>
      </c>
      <c r="K172">
        <v>0</v>
      </c>
      <c r="L172">
        <v>0</v>
      </c>
      <c r="M172">
        <v>19537.72</v>
      </c>
      <c r="N172">
        <v>53207.54</v>
      </c>
      <c r="O172">
        <v>163.74160848882602</v>
      </c>
      <c r="P172">
        <v>15</v>
      </c>
      <c r="Q172">
        <v>17</v>
      </c>
      <c r="R172">
        <v>2</v>
      </c>
      <c r="S172" t="s">
        <v>39</v>
      </c>
      <c r="T172">
        <v>2025</v>
      </c>
    </row>
    <row r="173" spans="1:20" x14ac:dyDescent="0.35">
      <c r="A173" t="s">
        <v>23</v>
      </c>
      <c r="B173" t="s">
        <v>26</v>
      </c>
      <c r="C173" s="32">
        <v>45717</v>
      </c>
      <c r="D173" t="s">
        <v>29</v>
      </c>
      <c r="E173">
        <v>9</v>
      </c>
      <c r="F173" t="s">
        <v>48</v>
      </c>
      <c r="G173">
        <v>7834.09</v>
      </c>
      <c r="H173">
        <v>143124.54</v>
      </c>
      <c r="I173">
        <v>800.52</v>
      </c>
      <c r="J173">
        <v>0</v>
      </c>
      <c r="K173">
        <v>0</v>
      </c>
      <c r="L173">
        <v>0</v>
      </c>
      <c r="M173">
        <v>18728.810000000001</v>
      </c>
      <c r="N173">
        <v>0</v>
      </c>
      <c r="O173">
        <v>152.15841707629079</v>
      </c>
      <c r="P173">
        <v>10</v>
      </c>
      <c r="Q173">
        <v>37</v>
      </c>
      <c r="R173">
        <v>0</v>
      </c>
      <c r="S173" t="s">
        <v>39</v>
      </c>
      <c r="T173">
        <v>2025</v>
      </c>
    </row>
    <row r="174" spans="1:20" x14ac:dyDescent="0.35">
      <c r="A174" t="s">
        <v>23</v>
      </c>
      <c r="B174" t="s">
        <v>26</v>
      </c>
      <c r="C174" s="32">
        <v>45717</v>
      </c>
      <c r="D174" t="s">
        <v>29</v>
      </c>
      <c r="E174">
        <v>10</v>
      </c>
      <c r="F174" t="s">
        <v>48</v>
      </c>
      <c r="G174">
        <v>10535.35</v>
      </c>
      <c r="H174">
        <v>681623.16</v>
      </c>
      <c r="I174">
        <v>172599.58</v>
      </c>
      <c r="J174">
        <v>0</v>
      </c>
      <c r="K174">
        <v>0</v>
      </c>
      <c r="L174">
        <v>0</v>
      </c>
      <c r="M174">
        <v>83008.66</v>
      </c>
      <c r="N174">
        <v>5518.06</v>
      </c>
      <c r="O174">
        <v>146.14539586068597</v>
      </c>
      <c r="P174">
        <v>36</v>
      </c>
      <c r="Q174">
        <v>58</v>
      </c>
      <c r="R174">
        <v>1</v>
      </c>
      <c r="S174" t="s">
        <v>39</v>
      </c>
      <c r="T174">
        <v>2025</v>
      </c>
    </row>
    <row r="175" spans="1:20" x14ac:dyDescent="0.35">
      <c r="A175" t="s">
        <v>23</v>
      </c>
      <c r="B175" t="s">
        <v>26</v>
      </c>
      <c r="C175" s="32">
        <v>45717</v>
      </c>
      <c r="D175" t="s">
        <v>29</v>
      </c>
      <c r="E175">
        <v>13</v>
      </c>
      <c r="F175" t="s">
        <v>48</v>
      </c>
      <c r="G175">
        <v>9326.94</v>
      </c>
      <c r="H175">
        <v>129948.18</v>
      </c>
      <c r="I175">
        <v>0</v>
      </c>
      <c r="J175">
        <v>0</v>
      </c>
      <c r="K175">
        <v>0</v>
      </c>
      <c r="L175">
        <v>0</v>
      </c>
      <c r="M175">
        <v>272.8</v>
      </c>
      <c r="N175">
        <v>0</v>
      </c>
      <c r="O175">
        <v>213.95533038483458</v>
      </c>
      <c r="P175">
        <v>3</v>
      </c>
      <c r="Q175">
        <v>16</v>
      </c>
      <c r="R175">
        <v>0</v>
      </c>
      <c r="S175" t="s">
        <v>39</v>
      </c>
      <c r="T175">
        <v>2025</v>
      </c>
    </row>
    <row r="176" spans="1:20" x14ac:dyDescent="0.35">
      <c r="A176" t="s">
        <v>23</v>
      </c>
      <c r="B176" t="s">
        <v>26</v>
      </c>
      <c r="C176" s="32">
        <v>45717</v>
      </c>
      <c r="D176" t="s">
        <v>29</v>
      </c>
      <c r="E176">
        <v>14</v>
      </c>
      <c r="F176" t="s">
        <v>48</v>
      </c>
      <c r="G176">
        <v>0</v>
      </c>
      <c r="H176">
        <v>335424.5</v>
      </c>
      <c r="I176">
        <v>35208.17</v>
      </c>
      <c r="J176">
        <v>0</v>
      </c>
      <c r="K176">
        <v>0</v>
      </c>
      <c r="L176">
        <v>0</v>
      </c>
      <c r="M176">
        <v>16008.06</v>
      </c>
      <c r="N176">
        <v>0</v>
      </c>
      <c r="O176">
        <v>255.6104604038992</v>
      </c>
      <c r="P176">
        <v>8</v>
      </c>
      <c r="Q176">
        <v>8</v>
      </c>
      <c r="R176">
        <v>0</v>
      </c>
      <c r="S176" t="s">
        <v>39</v>
      </c>
      <c r="T176">
        <v>2025</v>
      </c>
    </row>
    <row r="177" spans="1:20" x14ac:dyDescent="0.35">
      <c r="A177" t="s">
        <v>23</v>
      </c>
      <c r="B177" t="s">
        <v>26</v>
      </c>
      <c r="C177" s="32">
        <v>45717</v>
      </c>
      <c r="D177" t="s">
        <v>29</v>
      </c>
      <c r="E177">
        <v>15</v>
      </c>
      <c r="F177" t="s">
        <v>48</v>
      </c>
      <c r="G177">
        <v>0</v>
      </c>
      <c r="H177">
        <v>138001.45000000001</v>
      </c>
      <c r="I177">
        <v>0</v>
      </c>
      <c r="J177">
        <v>0</v>
      </c>
      <c r="K177">
        <v>0</v>
      </c>
      <c r="L177">
        <v>0</v>
      </c>
      <c r="M177">
        <v>4101.21</v>
      </c>
      <c r="N177">
        <v>0</v>
      </c>
      <c r="O177">
        <v>146.01279486115163</v>
      </c>
      <c r="P177">
        <v>2</v>
      </c>
      <c r="Q177">
        <v>6</v>
      </c>
      <c r="R177">
        <v>0</v>
      </c>
      <c r="S177" t="s">
        <v>39</v>
      </c>
      <c r="T177">
        <v>2025</v>
      </c>
    </row>
    <row r="178" spans="1:20" x14ac:dyDescent="0.35">
      <c r="A178" t="s">
        <v>23</v>
      </c>
      <c r="B178" t="s">
        <v>26</v>
      </c>
      <c r="C178" s="32">
        <v>45717</v>
      </c>
      <c r="D178" t="s">
        <v>29</v>
      </c>
      <c r="E178">
        <v>16</v>
      </c>
      <c r="F178" t="s">
        <v>48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28</v>
      </c>
      <c r="P178">
        <v>0</v>
      </c>
      <c r="Q178">
        <v>5</v>
      </c>
      <c r="R178">
        <v>0</v>
      </c>
      <c r="S178" t="s">
        <v>39</v>
      </c>
      <c r="T178">
        <v>2025</v>
      </c>
    </row>
    <row r="179" spans="1:20" x14ac:dyDescent="0.35">
      <c r="A179" t="s">
        <v>23</v>
      </c>
      <c r="B179" t="s">
        <v>26</v>
      </c>
      <c r="C179" s="32">
        <v>45717</v>
      </c>
      <c r="D179" t="s">
        <v>19</v>
      </c>
      <c r="E179">
        <v>6</v>
      </c>
      <c r="F179" t="s">
        <v>30</v>
      </c>
      <c r="G179">
        <v>147.57</v>
      </c>
      <c r="H179">
        <v>9365.94</v>
      </c>
      <c r="I179">
        <v>0</v>
      </c>
      <c r="J179">
        <v>0</v>
      </c>
      <c r="K179">
        <v>0</v>
      </c>
      <c r="L179">
        <v>0</v>
      </c>
      <c r="M179">
        <v>7854.83</v>
      </c>
      <c r="N179">
        <v>0</v>
      </c>
      <c r="O179">
        <v>78.679364847865756</v>
      </c>
      <c r="P179">
        <v>3</v>
      </c>
      <c r="Q179">
        <v>25</v>
      </c>
      <c r="R179">
        <v>1</v>
      </c>
      <c r="S179" t="s">
        <v>39</v>
      </c>
      <c r="T179">
        <v>2025</v>
      </c>
    </row>
    <row r="180" spans="1:20" x14ac:dyDescent="0.35">
      <c r="A180" t="s">
        <v>23</v>
      </c>
      <c r="B180" t="s">
        <v>26</v>
      </c>
      <c r="C180" s="32">
        <v>45717</v>
      </c>
      <c r="D180" t="s">
        <v>19</v>
      </c>
      <c r="E180">
        <v>6</v>
      </c>
      <c r="F180" t="s">
        <v>31</v>
      </c>
      <c r="G180">
        <v>26746.32</v>
      </c>
      <c r="H180">
        <v>29792.97</v>
      </c>
      <c r="I180">
        <v>0</v>
      </c>
      <c r="J180">
        <v>0</v>
      </c>
      <c r="K180">
        <v>0</v>
      </c>
      <c r="L180">
        <v>0</v>
      </c>
      <c r="M180">
        <v>16215.85</v>
      </c>
      <c r="N180">
        <v>0</v>
      </c>
      <c r="O180">
        <v>96.35537871944598</v>
      </c>
      <c r="P180">
        <v>24</v>
      </c>
      <c r="Q180">
        <v>5</v>
      </c>
      <c r="R180">
        <v>0</v>
      </c>
      <c r="S180" t="s">
        <v>39</v>
      </c>
      <c r="T180">
        <v>2025</v>
      </c>
    </row>
    <row r="181" spans="1:20" x14ac:dyDescent="0.35">
      <c r="A181" t="s">
        <v>23</v>
      </c>
      <c r="B181" t="s">
        <v>26</v>
      </c>
      <c r="C181" s="32">
        <v>45717</v>
      </c>
      <c r="D181" t="s">
        <v>19</v>
      </c>
      <c r="E181">
        <v>8</v>
      </c>
      <c r="F181" t="s">
        <v>30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28</v>
      </c>
      <c r="P181">
        <v>0</v>
      </c>
      <c r="Q181">
        <v>24</v>
      </c>
      <c r="R181">
        <v>0</v>
      </c>
      <c r="S181" t="s">
        <v>39</v>
      </c>
      <c r="T181">
        <v>2025</v>
      </c>
    </row>
    <row r="182" spans="1:20" x14ac:dyDescent="0.35">
      <c r="A182" t="s">
        <v>23</v>
      </c>
      <c r="B182" t="s">
        <v>26</v>
      </c>
      <c r="C182" s="32">
        <v>45717</v>
      </c>
      <c r="D182" t="s">
        <v>19</v>
      </c>
      <c r="E182">
        <v>8</v>
      </c>
      <c r="F182" t="s">
        <v>31</v>
      </c>
      <c r="G182">
        <v>0</v>
      </c>
      <c r="H182">
        <v>20091.79</v>
      </c>
      <c r="I182">
        <v>0</v>
      </c>
      <c r="J182">
        <v>0</v>
      </c>
      <c r="K182">
        <v>0</v>
      </c>
      <c r="L182">
        <v>0</v>
      </c>
      <c r="M182">
        <v>2035.39</v>
      </c>
      <c r="N182">
        <v>0</v>
      </c>
      <c r="O182">
        <v>67.785826931506136</v>
      </c>
      <c r="P182">
        <v>19</v>
      </c>
      <c r="Q182">
        <v>3</v>
      </c>
      <c r="R182">
        <v>3</v>
      </c>
      <c r="S182" t="s">
        <v>39</v>
      </c>
      <c r="T182">
        <v>2025</v>
      </c>
    </row>
    <row r="183" spans="1:20" x14ac:dyDescent="0.35">
      <c r="A183" t="s">
        <v>23</v>
      </c>
      <c r="B183" t="s">
        <v>26</v>
      </c>
      <c r="C183" s="32">
        <v>45717</v>
      </c>
      <c r="D183" t="s">
        <v>19</v>
      </c>
      <c r="E183">
        <v>9</v>
      </c>
      <c r="F183" t="s">
        <v>30</v>
      </c>
      <c r="G183">
        <v>0</v>
      </c>
      <c r="H183">
        <v>1128.81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33.576668185651215</v>
      </c>
      <c r="P183">
        <v>2</v>
      </c>
      <c r="Q183">
        <v>35</v>
      </c>
      <c r="R183">
        <v>1</v>
      </c>
      <c r="S183" t="s">
        <v>39</v>
      </c>
      <c r="T183">
        <v>2025</v>
      </c>
    </row>
    <row r="184" spans="1:20" x14ac:dyDescent="0.35">
      <c r="A184" t="s">
        <v>23</v>
      </c>
      <c r="B184" t="s">
        <v>26</v>
      </c>
      <c r="C184" s="32">
        <v>45717</v>
      </c>
      <c r="D184" t="s">
        <v>19</v>
      </c>
      <c r="E184">
        <v>9</v>
      </c>
      <c r="F184" t="s">
        <v>31</v>
      </c>
      <c r="G184">
        <v>14866.3</v>
      </c>
      <c r="H184">
        <v>28498.43</v>
      </c>
      <c r="I184">
        <v>108951.35</v>
      </c>
      <c r="J184">
        <v>0</v>
      </c>
      <c r="K184">
        <v>0</v>
      </c>
      <c r="L184">
        <v>0</v>
      </c>
      <c r="M184">
        <v>13932.75</v>
      </c>
      <c r="N184">
        <v>0</v>
      </c>
      <c r="O184">
        <v>76.271049155479602</v>
      </c>
      <c r="P184">
        <v>29</v>
      </c>
      <c r="Q184">
        <v>3</v>
      </c>
      <c r="R184">
        <v>1</v>
      </c>
      <c r="S184" t="s">
        <v>39</v>
      </c>
      <c r="T184">
        <v>2025</v>
      </c>
    </row>
    <row r="185" spans="1:20" x14ac:dyDescent="0.35">
      <c r="A185" t="s">
        <v>23</v>
      </c>
      <c r="B185" t="s">
        <v>26</v>
      </c>
      <c r="C185" s="32">
        <v>45717</v>
      </c>
      <c r="D185" t="s">
        <v>19</v>
      </c>
      <c r="E185">
        <v>10</v>
      </c>
      <c r="F185" t="s">
        <v>30</v>
      </c>
      <c r="G185">
        <v>0</v>
      </c>
      <c r="H185">
        <v>21068.54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73.939913683932289</v>
      </c>
      <c r="P185">
        <v>6</v>
      </c>
      <c r="Q185">
        <v>83</v>
      </c>
      <c r="R185">
        <v>2</v>
      </c>
      <c r="S185" t="s">
        <v>39</v>
      </c>
      <c r="T185">
        <v>2025</v>
      </c>
    </row>
    <row r="186" spans="1:20" x14ac:dyDescent="0.35">
      <c r="A186" t="s">
        <v>23</v>
      </c>
      <c r="B186" t="s">
        <v>26</v>
      </c>
      <c r="C186" s="32">
        <v>45717</v>
      </c>
      <c r="D186" t="s">
        <v>19</v>
      </c>
      <c r="E186">
        <v>10</v>
      </c>
      <c r="F186" t="s">
        <v>31</v>
      </c>
      <c r="G186">
        <v>182957.77</v>
      </c>
      <c r="H186">
        <v>145521.29</v>
      </c>
      <c r="I186">
        <v>361766.91</v>
      </c>
      <c r="J186">
        <v>0</v>
      </c>
      <c r="K186">
        <v>0</v>
      </c>
      <c r="L186">
        <v>0</v>
      </c>
      <c r="M186">
        <v>166554.76999999999</v>
      </c>
      <c r="N186">
        <v>782413.52</v>
      </c>
      <c r="O186">
        <v>109.00326078287699</v>
      </c>
      <c r="P186">
        <v>41</v>
      </c>
      <c r="Q186">
        <v>2</v>
      </c>
      <c r="R186">
        <v>1</v>
      </c>
      <c r="S186" t="s">
        <v>39</v>
      </c>
      <c r="T186">
        <v>2025</v>
      </c>
    </row>
    <row r="187" spans="1:20" x14ac:dyDescent="0.35">
      <c r="A187" t="s">
        <v>23</v>
      </c>
      <c r="B187" t="s">
        <v>26</v>
      </c>
      <c r="C187" s="32">
        <v>45717</v>
      </c>
      <c r="D187" t="s">
        <v>19</v>
      </c>
      <c r="E187">
        <v>13</v>
      </c>
      <c r="F187" t="s">
        <v>30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28</v>
      </c>
      <c r="P187">
        <v>0</v>
      </c>
      <c r="Q187">
        <v>15</v>
      </c>
      <c r="R187">
        <v>11</v>
      </c>
      <c r="S187" t="s">
        <v>39</v>
      </c>
      <c r="T187">
        <v>2025</v>
      </c>
    </row>
    <row r="188" spans="1:20" x14ac:dyDescent="0.35">
      <c r="A188" t="s">
        <v>23</v>
      </c>
      <c r="B188" t="s">
        <v>26</v>
      </c>
      <c r="C188" s="32">
        <v>45717</v>
      </c>
      <c r="D188" t="s">
        <v>19</v>
      </c>
      <c r="E188">
        <v>13</v>
      </c>
      <c r="F188" t="s">
        <v>31</v>
      </c>
      <c r="G188">
        <v>326209.7</v>
      </c>
      <c r="H188">
        <v>4060.96</v>
      </c>
      <c r="I188">
        <v>10</v>
      </c>
      <c r="J188">
        <v>0</v>
      </c>
      <c r="K188">
        <v>0</v>
      </c>
      <c r="L188">
        <v>0</v>
      </c>
      <c r="M188">
        <v>38263.39</v>
      </c>
      <c r="N188">
        <v>0</v>
      </c>
      <c r="O188">
        <v>93.340945532188925</v>
      </c>
      <c r="P188">
        <v>8</v>
      </c>
      <c r="Q188">
        <v>0</v>
      </c>
      <c r="R188">
        <v>0</v>
      </c>
      <c r="S188" t="s">
        <v>39</v>
      </c>
      <c r="T188">
        <v>2025</v>
      </c>
    </row>
    <row r="189" spans="1:20" x14ac:dyDescent="0.35">
      <c r="A189" t="s">
        <v>23</v>
      </c>
      <c r="B189" t="s">
        <v>26</v>
      </c>
      <c r="C189" s="32">
        <v>45717</v>
      </c>
      <c r="D189" t="s">
        <v>19</v>
      </c>
      <c r="E189">
        <v>14</v>
      </c>
      <c r="F189" t="s">
        <v>30</v>
      </c>
      <c r="G189">
        <v>0</v>
      </c>
      <c r="H189">
        <v>4235.18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19.04594254030053</v>
      </c>
      <c r="P189">
        <v>4</v>
      </c>
      <c r="Q189">
        <v>60</v>
      </c>
      <c r="R189">
        <v>0</v>
      </c>
      <c r="S189" t="s">
        <v>39</v>
      </c>
      <c r="T189">
        <v>2025</v>
      </c>
    </row>
    <row r="190" spans="1:20" x14ac:dyDescent="0.35">
      <c r="A190" t="s">
        <v>23</v>
      </c>
      <c r="B190" t="s">
        <v>26</v>
      </c>
      <c r="C190" s="32">
        <v>45717</v>
      </c>
      <c r="D190" t="s">
        <v>19</v>
      </c>
      <c r="E190">
        <v>14</v>
      </c>
      <c r="F190" t="s">
        <v>31</v>
      </c>
      <c r="G190">
        <v>663851.18999999994</v>
      </c>
      <c r="H190">
        <v>142507.92000000001</v>
      </c>
      <c r="I190">
        <v>115275.63</v>
      </c>
      <c r="J190">
        <v>0</v>
      </c>
      <c r="K190">
        <v>0</v>
      </c>
      <c r="L190">
        <v>0</v>
      </c>
      <c r="M190">
        <v>148222.01</v>
      </c>
      <c r="N190">
        <v>0</v>
      </c>
      <c r="O190">
        <v>90.934943114025458</v>
      </c>
      <c r="P190">
        <v>43</v>
      </c>
      <c r="Q190">
        <v>5</v>
      </c>
      <c r="R190">
        <v>0</v>
      </c>
      <c r="S190" t="s">
        <v>39</v>
      </c>
      <c r="T190">
        <v>2025</v>
      </c>
    </row>
    <row r="191" spans="1:20" x14ac:dyDescent="0.35">
      <c r="A191" t="s">
        <v>23</v>
      </c>
      <c r="B191" t="s">
        <v>26</v>
      </c>
      <c r="C191" s="32">
        <v>45717</v>
      </c>
      <c r="D191" t="s">
        <v>19</v>
      </c>
      <c r="E191">
        <v>15</v>
      </c>
      <c r="F191" t="s">
        <v>30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28</v>
      </c>
      <c r="P191">
        <v>0</v>
      </c>
      <c r="Q191">
        <v>23</v>
      </c>
      <c r="R191">
        <v>0</v>
      </c>
      <c r="S191" t="s">
        <v>39</v>
      </c>
      <c r="T191">
        <v>2025</v>
      </c>
    </row>
    <row r="192" spans="1:20" x14ac:dyDescent="0.35">
      <c r="A192" t="s">
        <v>23</v>
      </c>
      <c r="B192" t="s">
        <v>26</v>
      </c>
      <c r="C192" s="32">
        <v>45717</v>
      </c>
      <c r="D192" t="s">
        <v>19</v>
      </c>
      <c r="E192">
        <v>15</v>
      </c>
      <c r="F192" t="s">
        <v>31</v>
      </c>
      <c r="G192">
        <v>0</v>
      </c>
      <c r="H192">
        <v>4244.8599999999997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261.34968923292035</v>
      </c>
      <c r="P192">
        <v>5</v>
      </c>
      <c r="Q192">
        <v>0</v>
      </c>
      <c r="R192">
        <v>0</v>
      </c>
      <c r="S192" t="s">
        <v>39</v>
      </c>
      <c r="T192">
        <v>2025</v>
      </c>
    </row>
    <row r="193" spans="1:20" x14ac:dyDescent="0.35">
      <c r="A193" t="s">
        <v>23</v>
      </c>
      <c r="B193" t="s">
        <v>26</v>
      </c>
      <c r="C193" s="32">
        <v>45717</v>
      </c>
      <c r="D193" t="s">
        <v>19</v>
      </c>
      <c r="E193">
        <v>16</v>
      </c>
      <c r="F193" t="s">
        <v>30</v>
      </c>
      <c r="G193">
        <v>0</v>
      </c>
      <c r="H193">
        <v>5129.8500000000004</v>
      </c>
      <c r="I193">
        <v>0</v>
      </c>
      <c r="J193">
        <v>0</v>
      </c>
      <c r="K193">
        <v>0</v>
      </c>
      <c r="L193">
        <v>0</v>
      </c>
      <c r="M193">
        <v>459.26</v>
      </c>
      <c r="N193">
        <v>0</v>
      </c>
      <c r="O193">
        <v>94.097066787966469</v>
      </c>
      <c r="P193">
        <v>3</v>
      </c>
      <c r="Q193">
        <v>6</v>
      </c>
      <c r="R193">
        <v>0</v>
      </c>
      <c r="S193" t="s">
        <v>39</v>
      </c>
      <c r="T193">
        <v>2025</v>
      </c>
    </row>
    <row r="194" spans="1:20" x14ac:dyDescent="0.35">
      <c r="A194" t="s">
        <v>23</v>
      </c>
      <c r="B194" t="s">
        <v>26</v>
      </c>
      <c r="C194" s="32">
        <v>45717</v>
      </c>
      <c r="D194" t="s">
        <v>19</v>
      </c>
      <c r="E194">
        <v>16</v>
      </c>
      <c r="F194" t="s">
        <v>31</v>
      </c>
      <c r="G194">
        <v>0</v>
      </c>
      <c r="H194">
        <v>7543.45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74.48937698480222</v>
      </c>
      <c r="P194">
        <v>2</v>
      </c>
      <c r="Q194">
        <v>0</v>
      </c>
      <c r="R194">
        <v>0</v>
      </c>
      <c r="S194" t="s">
        <v>39</v>
      </c>
      <c r="T194">
        <v>2025</v>
      </c>
    </row>
    <row r="195" spans="1:20" x14ac:dyDescent="0.35">
      <c r="A195" t="s">
        <v>23</v>
      </c>
      <c r="B195" t="s">
        <v>32</v>
      </c>
      <c r="C195" s="32">
        <v>45658</v>
      </c>
      <c r="D195" t="s">
        <v>27</v>
      </c>
      <c r="E195">
        <v>6</v>
      </c>
      <c r="F195" t="s">
        <v>48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28</v>
      </c>
      <c r="P195">
        <v>0</v>
      </c>
      <c r="Q195">
        <v>3</v>
      </c>
      <c r="R195">
        <v>0</v>
      </c>
      <c r="S195" t="s">
        <v>39</v>
      </c>
      <c r="T195">
        <v>2025</v>
      </c>
    </row>
    <row r="196" spans="1:20" x14ac:dyDescent="0.35">
      <c r="A196" t="s">
        <v>23</v>
      </c>
      <c r="B196" t="s">
        <v>32</v>
      </c>
      <c r="C196" s="32">
        <v>45658</v>
      </c>
      <c r="D196" t="s">
        <v>27</v>
      </c>
      <c r="E196">
        <v>9</v>
      </c>
      <c r="F196" t="s">
        <v>48</v>
      </c>
      <c r="G196">
        <v>0</v>
      </c>
      <c r="H196">
        <v>0</v>
      </c>
      <c r="I196">
        <v>1594.8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28</v>
      </c>
      <c r="P196">
        <v>0</v>
      </c>
      <c r="Q196">
        <v>0</v>
      </c>
      <c r="R196">
        <v>0</v>
      </c>
      <c r="S196" t="s">
        <v>39</v>
      </c>
      <c r="T196">
        <v>2025</v>
      </c>
    </row>
    <row r="197" spans="1:20" x14ac:dyDescent="0.35">
      <c r="A197" t="s">
        <v>23</v>
      </c>
      <c r="B197" t="s">
        <v>32</v>
      </c>
      <c r="C197" s="32">
        <v>45658</v>
      </c>
      <c r="D197" t="s">
        <v>27</v>
      </c>
      <c r="E197">
        <v>10</v>
      </c>
      <c r="F197" t="s">
        <v>48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865.69887106039823</v>
      </c>
      <c r="P197">
        <v>0</v>
      </c>
      <c r="Q197">
        <v>0</v>
      </c>
      <c r="R197">
        <v>0</v>
      </c>
      <c r="S197" t="s">
        <v>39</v>
      </c>
      <c r="T197">
        <v>2025</v>
      </c>
    </row>
    <row r="198" spans="1:20" x14ac:dyDescent="0.35">
      <c r="A198" t="s">
        <v>23</v>
      </c>
      <c r="B198" t="s">
        <v>32</v>
      </c>
      <c r="C198" s="32">
        <v>45658</v>
      </c>
      <c r="D198" t="s">
        <v>27</v>
      </c>
      <c r="E198">
        <v>13</v>
      </c>
      <c r="F198" t="s">
        <v>48</v>
      </c>
      <c r="G198">
        <v>0</v>
      </c>
      <c r="H198">
        <v>58140.98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426.59400001360336</v>
      </c>
      <c r="P198">
        <v>1</v>
      </c>
      <c r="Q198">
        <v>1</v>
      </c>
      <c r="R198">
        <v>0</v>
      </c>
      <c r="S198" t="s">
        <v>39</v>
      </c>
      <c r="T198">
        <v>2025</v>
      </c>
    </row>
    <row r="199" spans="1:20" x14ac:dyDescent="0.35">
      <c r="A199" t="s">
        <v>23</v>
      </c>
      <c r="B199" t="s">
        <v>32</v>
      </c>
      <c r="C199" s="32">
        <v>45658</v>
      </c>
      <c r="D199" t="s">
        <v>29</v>
      </c>
      <c r="E199">
        <v>6</v>
      </c>
      <c r="F199" t="s">
        <v>48</v>
      </c>
      <c r="G199">
        <v>5254.14</v>
      </c>
      <c r="H199">
        <v>207493.59</v>
      </c>
      <c r="I199">
        <v>25610.86</v>
      </c>
      <c r="J199">
        <v>0</v>
      </c>
      <c r="K199">
        <v>0</v>
      </c>
      <c r="L199">
        <v>0</v>
      </c>
      <c r="M199">
        <v>44078.16</v>
      </c>
      <c r="N199">
        <v>0</v>
      </c>
      <c r="O199">
        <v>145.53038525400027</v>
      </c>
      <c r="P199">
        <v>9</v>
      </c>
      <c r="Q199">
        <v>10</v>
      </c>
      <c r="R199">
        <v>0</v>
      </c>
      <c r="S199" t="s">
        <v>39</v>
      </c>
      <c r="T199">
        <v>2025</v>
      </c>
    </row>
    <row r="200" spans="1:20" x14ac:dyDescent="0.35">
      <c r="A200" t="s">
        <v>23</v>
      </c>
      <c r="B200" t="s">
        <v>32</v>
      </c>
      <c r="C200" s="32">
        <v>45658</v>
      </c>
      <c r="D200" t="s">
        <v>29</v>
      </c>
      <c r="E200">
        <v>8</v>
      </c>
      <c r="F200" t="s">
        <v>48</v>
      </c>
      <c r="G200">
        <v>407599.73</v>
      </c>
      <c r="H200">
        <v>509279.54</v>
      </c>
      <c r="I200">
        <v>438213.67</v>
      </c>
      <c r="J200">
        <v>0</v>
      </c>
      <c r="K200">
        <v>0</v>
      </c>
      <c r="L200">
        <v>0</v>
      </c>
      <c r="M200">
        <v>151947.01</v>
      </c>
      <c r="N200">
        <v>0</v>
      </c>
      <c r="O200">
        <v>432.80407600737504</v>
      </c>
      <c r="P200">
        <v>28</v>
      </c>
      <c r="Q200">
        <v>25</v>
      </c>
      <c r="R200">
        <v>0</v>
      </c>
      <c r="S200" t="s">
        <v>39</v>
      </c>
      <c r="T200">
        <v>2025</v>
      </c>
    </row>
    <row r="201" spans="1:20" x14ac:dyDescent="0.35">
      <c r="A201" t="s">
        <v>23</v>
      </c>
      <c r="B201" t="s">
        <v>32</v>
      </c>
      <c r="C201" s="32">
        <v>45658</v>
      </c>
      <c r="D201" t="s">
        <v>29</v>
      </c>
      <c r="E201">
        <v>9</v>
      </c>
      <c r="F201" t="s">
        <v>48</v>
      </c>
      <c r="G201">
        <v>0</v>
      </c>
      <c r="H201">
        <v>102394.18</v>
      </c>
      <c r="I201">
        <v>29668.240000000002</v>
      </c>
      <c r="J201">
        <v>0</v>
      </c>
      <c r="K201">
        <v>0</v>
      </c>
      <c r="L201">
        <v>0</v>
      </c>
      <c r="M201">
        <v>21153.78</v>
      </c>
      <c r="N201">
        <v>0</v>
      </c>
      <c r="O201">
        <v>386.80410476233953</v>
      </c>
      <c r="P201">
        <v>5</v>
      </c>
      <c r="Q201">
        <v>15</v>
      </c>
      <c r="R201">
        <v>0</v>
      </c>
      <c r="S201" t="s">
        <v>39</v>
      </c>
      <c r="T201">
        <v>2025</v>
      </c>
    </row>
    <row r="202" spans="1:20" x14ac:dyDescent="0.35">
      <c r="A202" t="s">
        <v>23</v>
      </c>
      <c r="B202" t="s">
        <v>32</v>
      </c>
      <c r="C202" s="32">
        <v>45658</v>
      </c>
      <c r="D202" t="s">
        <v>29</v>
      </c>
      <c r="E202">
        <v>10</v>
      </c>
      <c r="F202" t="s">
        <v>48</v>
      </c>
      <c r="G202">
        <v>107214.66</v>
      </c>
      <c r="H202">
        <v>284377.37</v>
      </c>
      <c r="I202">
        <v>29236.240000000002</v>
      </c>
      <c r="J202">
        <v>0</v>
      </c>
      <c r="K202">
        <v>0</v>
      </c>
      <c r="L202">
        <v>0</v>
      </c>
      <c r="M202">
        <v>51516.41</v>
      </c>
      <c r="N202">
        <v>0</v>
      </c>
      <c r="O202">
        <v>370.05106634716714</v>
      </c>
      <c r="P202">
        <v>20</v>
      </c>
      <c r="Q202">
        <v>19</v>
      </c>
      <c r="R202">
        <v>0</v>
      </c>
      <c r="S202" t="s">
        <v>39</v>
      </c>
      <c r="T202">
        <v>2025</v>
      </c>
    </row>
    <row r="203" spans="1:20" x14ac:dyDescent="0.35">
      <c r="A203" t="s">
        <v>23</v>
      </c>
      <c r="B203" t="s">
        <v>32</v>
      </c>
      <c r="C203" s="32">
        <v>45658</v>
      </c>
      <c r="D203" t="s">
        <v>29</v>
      </c>
      <c r="E203">
        <v>13</v>
      </c>
      <c r="F203" t="s">
        <v>48</v>
      </c>
      <c r="G203">
        <v>0</v>
      </c>
      <c r="H203">
        <v>13440.8</v>
      </c>
      <c r="I203">
        <v>871.98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681.5580811298023</v>
      </c>
      <c r="P203">
        <v>1</v>
      </c>
      <c r="Q203">
        <v>3</v>
      </c>
      <c r="R203">
        <v>0</v>
      </c>
      <c r="S203" t="s">
        <v>39</v>
      </c>
      <c r="T203">
        <v>2025</v>
      </c>
    </row>
    <row r="204" spans="1:20" x14ac:dyDescent="0.35">
      <c r="A204" t="s">
        <v>23</v>
      </c>
      <c r="B204" t="s">
        <v>32</v>
      </c>
      <c r="C204" s="32">
        <v>45658</v>
      </c>
      <c r="D204" t="s">
        <v>29</v>
      </c>
      <c r="E204">
        <v>14</v>
      </c>
      <c r="F204" t="s">
        <v>48</v>
      </c>
      <c r="G204">
        <v>0</v>
      </c>
      <c r="H204">
        <v>234178.46</v>
      </c>
      <c r="I204">
        <v>33749.46</v>
      </c>
      <c r="J204">
        <v>0</v>
      </c>
      <c r="K204">
        <v>0</v>
      </c>
      <c r="L204">
        <v>0</v>
      </c>
      <c r="M204">
        <v>21924.560000000001</v>
      </c>
      <c r="N204">
        <v>0</v>
      </c>
      <c r="O204">
        <v>310.67504630984877</v>
      </c>
      <c r="P204">
        <v>4</v>
      </c>
      <c r="Q204">
        <v>10</v>
      </c>
      <c r="R204">
        <v>0</v>
      </c>
      <c r="S204" t="s">
        <v>39</v>
      </c>
      <c r="T204">
        <v>2025</v>
      </c>
    </row>
    <row r="205" spans="1:20" x14ac:dyDescent="0.35">
      <c r="A205" t="s">
        <v>23</v>
      </c>
      <c r="B205" t="s">
        <v>32</v>
      </c>
      <c r="C205" s="32">
        <v>45658</v>
      </c>
      <c r="D205" t="s">
        <v>29</v>
      </c>
      <c r="E205">
        <v>15</v>
      </c>
      <c r="F205" t="s">
        <v>48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28</v>
      </c>
      <c r="P205">
        <v>0</v>
      </c>
      <c r="Q205">
        <v>6</v>
      </c>
      <c r="R205">
        <v>0</v>
      </c>
      <c r="S205" t="s">
        <v>39</v>
      </c>
      <c r="T205">
        <v>2025</v>
      </c>
    </row>
    <row r="206" spans="1:20" x14ac:dyDescent="0.35">
      <c r="A206" t="s">
        <v>23</v>
      </c>
      <c r="B206" t="s">
        <v>32</v>
      </c>
      <c r="C206" s="32">
        <v>45658</v>
      </c>
      <c r="D206" t="s">
        <v>29</v>
      </c>
      <c r="E206">
        <v>16</v>
      </c>
      <c r="F206" t="s">
        <v>48</v>
      </c>
      <c r="G206">
        <v>21427.46</v>
      </c>
      <c r="H206">
        <v>4143.12</v>
      </c>
      <c r="I206">
        <v>85.84</v>
      </c>
      <c r="J206">
        <v>0</v>
      </c>
      <c r="K206">
        <v>0</v>
      </c>
      <c r="L206">
        <v>0</v>
      </c>
      <c r="M206">
        <v>887.92</v>
      </c>
      <c r="N206">
        <v>0</v>
      </c>
      <c r="O206">
        <v>395.97014485689942</v>
      </c>
      <c r="P206">
        <v>2</v>
      </c>
      <c r="Q206">
        <v>6</v>
      </c>
      <c r="R206">
        <v>0</v>
      </c>
      <c r="S206" t="s">
        <v>39</v>
      </c>
      <c r="T206">
        <v>2025</v>
      </c>
    </row>
    <row r="207" spans="1:20" x14ac:dyDescent="0.35">
      <c r="A207" t="s">
        <v>23</v>
      </c>
      <c r="B207" t="s">
        <v>32</v>
      </c>
      <c r="C207" s="32">
        <v>45658</v>
      </c>
      <c r="D207" t="s">
        <v>19</v>
      </c>
      <c r="E207">
        <v>6</v>
      </c>
      <c r="F207" t="s">
        <v>30</v>
      </c>
      <c r="G207">
        <v>0</v>
      </c>
      <c r="H207">
        <v>51846.36</v>
      </c>
      <c r="I207">
        <v>0</v>
      </c>
      <c r="J207">
        <v>0</v>
      </c>
      <c r="K207">
        <v>0</v>
      </c>
      <c r="L207">
        <v>0</v>
      </c>
      <c r="M207">
        <v>9645.1</v>
      </c>
      <c r="N207">
        <v>1662.12</v>
      </c>
      <c r="O207">
        <v>300.13768464650155</v>
      </c>
      <c r="P207">
        <v>3</v>
      </c>
      <c r="Q207">
        <v>66</v>
      </c>
      <c r="R207">
        <v>0</v>
      </c>
      <c r="S207" t="s">
        <v>39</v>
      </c>
      <c r="T207">
        <v>2025</v>
      </c>
    </row>
    <row r="208" spans="1:20" x14ac:dyDescent="0.35">
      <c r="A208" t="s">
        <v>23</v>
      </c>
      <c r="B208" t="s">
        <v>32</v>
      </c>
      <c r="C208" s="32">
        <v>45658</v>
      </c>
      <c r="D208" t="s">
        <v>19</v>
      </c>
      <c r="E208">
        <v>6</v>
      </c>
      <c r="F208" t="s">
        <v>31</v>
      </c>
      <c r="G208">
        <v>0</v>
      </c>
      <c r="H208">
        <v>188168.47</v>
      </c>
      <c r="I208">
        <v>33682.29</v>
      </c>
      <c r="J208">
        <v>0</v>
      </c>
      <c r="K208">
        <v>0</v>
      </c>
      <c r="L208">
        <v>0</v>
      </c>
      <c r="M208">
        <v>87667.7</v>
      </c>
      <c r="N208">
        <v>540601.47</v>
      </c>
      <c r="O208">
        <v>225.3797711634013</v>
      </c>
      <c r="P208">
        <v>73</v>
      </c>
      <c r="Q208">
        <v>1</v>
      </c>
      <c r="R208">
        <v>0</v>
      </c>
      <c r="S208" t="s">
        <v>39</v>
      </c>
      <c r="T208">
        <v>2025</v>
      </c>
    </row>
    <row r="209" spans="1:20" x14ac:dyDescent="0.35">
      <c r="A209" t="s">
        <v>23</v>
      </c>
      <c r="B209" t="s">
        <v>32</v>
      </c>
      <c r="C209" s="32">
        <v>45658</v>
      </c>
      <c r="D209" t="s">
        <v>19</v>
      </c>
      <c r="E209">
        <v>8</v>
      </c>
      <c r="F209" t="s">
        <v>30</v>
      </c>
      <c r="G209">
        <v>5857.96</v>
      </c>
      <c r="H209">
        <v>27012.05</v>
      </c>
      <c r="I209">
        <v>0</v>
      </c>
      <c r="J209">
        <v>0</v>
      </c>
      <c r="K209">
        <v>0</v>
      </c>
      <c r="L209">
        <v>0</v>
      </c>
      <c r="M209">
        <v>6796.6</v>
      </c>
      <c r="N209">
        <v>0</v>
      </c>
      <c r="O209">
        <v>236.11015624855827</v>
      </c>
      <c r="P209">
        <v>12</v>
      </c>
      <c r="Q209">
        <v>75</v>
      </c>
      <c r="R209">
        <v>0</v>
      </c>
      <c r="S209" t="s">
        <v>39</v>
      </c>
      <c r="T209">
        <v>2025</v>
      </c>
    </row>
    <row r="210" spans="1:20" x14ac:dyDescent="0.35">
      <c r="A210" t="s">
        <v>23</v>
      </c>
      <c r="B210" t="s">
        <v>32</v>
      </c>
      <c r="C210" s="32">
        <v>45658</v>
      </c>
      <c r="D210" t="s">
        <v>19</v>
      </c>
      <c r="E210">
        <v>8</v>
      </c>
      <c r="F210" t="s">
        <v>31</v>
      </c>
      <c r="G210">
        <v>64896.47</v>
      </c>
      <c r="H210">
        <v>234155.62</v>
      </c>
      <c r="I210">
        <v>240372.83</v>
      </c>
      <c r="J210">
        <v>0</v>
      </c>
      <c r="K210">
        <v>0</v>
      </c>
      <c r="L210">
        <v>0</v>
      </c>
      <c r="M210">
        <v>118076.69</v>
      </c>
      <c r="N210">
        <v>562850.34</v>
      </c>
      <c r="O210">
        <v>194.95984998131524</v>
      </c>
      <c r="P210">
        <v>58</v>
      </c>
      <c r="Q210">
        <v>2</v>
      </c>
      <c r="R210">
        <v>0</v>
      </c>
      <c r="S210" t="s">
        <v>39</v>
      </c>
      <c r="T210">
        <v>2025</v>
      </c>
    </row>
    <row r="211" spans="1:20" x14ac:dyDescent="0.35">
      <c r="A211" t="s">
        <v>23</v>
      </c>
      <c r="B211" t="s">
        <v>32</v>
      </c>
      <c r="C211" s="32">
        <v>45658</v>
      </c>
      <c r="D211" t="s">
        <v>19</v>
      </c>
      <c r="E211">
        <v>9</v>
      </c>
      <c r="F211" t="s">
        <v>30</v>
      </c>
      <c r="G211">
        <v>0</v>
      </c>
      <c r="H211">
        <v>24250.05</v>
      </c>
      <c r="I211">
        <v>0</v>
      </c>
      <c r="J211">
        <v>0</v>
      </c>
      <c r="K211">
        <v>0</v>
      </c>
      <c r="L211">
        <v>0</v>
      </c>
      <c r="M211">
        <v>5731.24</v>
      </c>
      <c r="N211">
        <v>0</v>
      </c>
      <c r="O211">
        <v>258.0819986223978</v>
      </c>
      <c r="P211">
        <v>2</v>
      </c>
      <c r="Q211">
        <v>57</v>
      </c>
      <c r="R211">
        <v>0</v>
      </c>
      <c r="S211" t="s">
        <v>39</v>
      </c>
      <c r="T211">
        <v>2025</v>
      </c>
    </row>
    <row r="212" spans="1:20" x14ac:dyDescent="0.35">
      <c r="A212" t="s">
        <v>23</v>
      </c>
      <c r="B212" t="s">
        <v>32</v>
      </c>
      <c r="C212" s="32">
        <v>45658</v>
      </c>
      <c r="D212" t="s">
        <v>19</v>
      </c>
      <c r="E212">
        <v>9</v>
      </c>
      <c r="F212" t="s">
        <v>31</v>
      </c>
      <c r="G212">
        <v>0</v>
      </c>
      <c r="H212">
        <v>57994.83</v>
      </c>
      <c r="I212">
        <v>558027.15</v>
      </c>
      <c r="J212">
        <v>0</v>
      </c>
      <c r="K212">
        <v>0</v>
      </c>
      <c r="L212">
        <v>0</v>
      </c>
      <c r="M212">
        <v>58649.19</v>
      </c>
      <c r="N212">
        <v>457035.34</v>
      </c>
      <c r="O212">
        <v>187.48534321844267</v>
      </c>
      <c r="P212">
        <v>57</v>
      </c>
      <c r="Q212">
        <v>2</v>
      </c>
      <c r="R212">
        <v>0</v>
      </c>
      <c r="S212" t="s">
        <v>39</v>
      </c>
      <c r="T212">
        <v>2025</v>
      </c>
    </row>
    <row r="213" spans="1:20" x14ac:dyDescent="0.35">
      <c r="A213" t="s">
        <v>23</v>
      </c>
      <c r="B213" t="s">
        <v>32</v>
      </c>
      <c r="C213" s="32">
        <v>45658</v>
      </c>
      <c r="D213" t="s">
        <v>19</v>
      </c>
      <c r="E213">
        <v>10</v>
      </c>
      <c r="F213" t="s">
        <v>30</v>
      </c>
      <c r="G213">
        <v>0</v>
      </c>
      <c r="H213">
        <v>121108.67</v>
      </c>
      <c r="I213">
        <v>0</v>
      </c>
      <c r="J213">
        <v>0</v>
      </c>
      <c r="K213">
        <v>0</v>
      </c>
      <c r="L213">
        <v>0</v>
      </c>
      <c r="M213">
        <v>2099</v>
      </c>
      <c r="N213">
        <v>629.54999999999995</v>
      </c>
      <c r="O213">
        <v>552.59290413438839</v>
      </c>
      <c r="P213">
        <v>9</v>
      </c>
      <c r="Q213">
        <v>50</v>
      </c>
      <c r="R213">
        <v>0</v>
      </c>
      <c r="S213" t="s">
        <v>39</v>
      </c>
      <c r="T213">
        <v>2025</v>
      </c>
    </row>
    <row r="214" spans="1:20" x14ac:dyDescent="0.35">
      <c r="A214" t="s">
        <v>23</v>
      </c>
      <c r="B214" t="s">
        <v>32</v>
      </c>
      <c r="C214" s="32">
        <v>45658</v>
      </c>
      <c r="D214" t="s">
        <v>19</v>
      </c>
      <c r="E214">
        <v>10</v>
      </c>
      <c r="F214" t="s">
        <v>31</v>
      </c>
      <c r="G214">
        <v>348991.64</v>
      </c>
      <c r="H214">
        <v>186942.78</v>
      </c>
      <c r="I214">
        <v>3384834.4</v>
      </c>
      <c r="J214">
        <v>0</v>
      </c>
      <c r="K214">
        <v>0</v>
      </c>
      <c r="L214">
        <v>0</v>
      </c>
      <c r="M214">
        <v>108805.99</v>
      </c>
      <c r="N214">
        <v>127790.91</v>
      </c>
      <c r="O214">
        <v>274.10744734753672</v>
      </c>
      <c r="P214">
        <v>32</v>
      </c>
      <c r="Q214">
        <v>4</v>
      </c>
      <c r="R214">
        <v>0</v>
      </c>
      <c r="S214" t="s">
        <v>39</v>
      </c>
      <c r="T214">
        <v>2025</v>
      </c>
    </row>
    <row r="215" spans="1:20" x14ac:dyDescent="0.35">
      <c r="A215" t="s">
        <v>23</v>
      </c>
      <c r="B215" t="s">
        <v>32</v>
      </c>
      <c r="C215" s="32">
        <v>45658</v>
      </c>
      <c r="D215" t="s">
        <v>19</v>
      </c>
      <c r="E215">
        <v>13</v>
      </c>
      <c r="F215" t="s">
        <v>30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28</v>
      </c>
      <c r="P215">
        <v>0</v>
      </c>
      <c r="Q215">
        <v>13</v>
      </c>
      <c r="R215">
        <v>0</v>
      </c>
      <c r="S215" t="s">
        <v>39</v>
      </c>
      <c r="T215">
        <v>2025</v>
      </c>
    </row>
    <row r="216" spans="1:20" x14ac:dyDescent="0.35">
      <c r="A216" t="s">
        <v>23</v>
      </c>
      <c r="B216" t="s">
        <v>32</v>
      </c>
      <c r="C216" s="32">
        <v>45658</v>
      </c>
      <c r="D216" t="s">
        <v>19</v>
      </c>
      <c r="E216">
        <v>13</v>
      </c>
      <c r="F216" t="s">
        <v>31</v>
      </c>
      <c r="G216">
        <v>0</v>
      </c>
      <c r="H216">
        <v>2719.92</v>
      </c>
      <c r="I216">
        <v>421642.98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747.50942375476848</v>
      </c>
      <c r="P216">
        <v>4</v>
      </c>
      <c r="Q216">
        <v>0</v>
      </c>
      <c r="R216">
        <v>0</v>
      </c>
      <c r="S216" t="s">
        <v>39</v>
      </c>
      <c r="T216">
        <v>2025</v>
      </c>
    </row>
    <row r="217" spans="1:20" x14ac:dyDescent="0.35">
      <c r="A217" t="s">
        <v>23</v>
      </c>
      <c r="B217" t="s">
        <v>32</v>
      </c>
      <c r="C217" s="32">
        <v>45658</v>
      </c>
      <c r="D217" t="s">
        <v>19</v>
      </c>
      <c r="E217">
        <v>14</v>
      </c>
      <c r="F217" t="s">
        <v>30</v>
      </c>
      <c r="G217">
        <v>2856.63</v>
      </c>
      <c r="H217">
        <v>11436</v>
      </c>
      <c r="I217">
        <v>0</v>
      </c>
      <c r="J217">
        <v>0</v>
      </c>
      <c r="K217">
        <v>0</v>
      </c>
      <c r="L217">
        <v>0</v>
      </c>
      <c r="M217">
        <v>2650.11</v>
      </c>
      <c r="N217">
        <v>0</v>
      </c>
      <c r="O217">
        <v>483.36827546299901</v>
      </c>
      <c r="P217">
        <v>1</v>
      </c>
      <c r="Q217">
        <v>18</v>
      </c>
      <c r="R217">
        <v>0</v>
      </c>
      <c r="S217" t="s">
        <v>39</v>
      </c>
      <c r="T217">
        <v>2025</v>
      </c>
    </row>
    <row r="218" spans="1:20" x14ac:dyDescent="0.35">
      <c r="A218" t="s">
        <v>23</v>
      </c>
      <c r="B218" t="s">
        <v>32</v>
      </c>
      <c r="C218" s="32">
        <v>45658</v>
      </c>
      <c r="D218" t="s">
        <v>19</v>
      </c>
      <c r="E218">
        <v>14</v>
      </c>
      <c r="F218" t="s">
        <v>31</v>
      </c>
      <c r="G218">
        <v>18260.830000000002</v>
      </c>
      <c r="H218">
        <v>80141.17</v>
      </c>
      <c r="I218">
        <v>247042.94</v>
      </c>
      <c r="J218">
        <v>0</v>
      </c>
      <c r="K218">
        <v>0</v>
      </c>
      <c r="L218">
        <v>0</v>
      </c>
      <c r="M218">
        <v>39132.269999999997</v>
      </c>
      <c r="N218">
        <v>123907.39</v>
      </c>
      <c r="O218">
        <v>178.67517237353252</v>
      </c>
      <c r="P218">
        <v>31</v>
      </c>
      <c r="Q218">
        <v>0</v>
      </c>
      <c r="R218">
        <v>0</v>
      </c>
      <c r="S218" t="s">
        <v>39</v>
      </c>
      <c r="T218">
        <v>2025</v>
      </c>
    </row>
    <row r="219" spans="1:20" x14ac:dyDescent="0.35">
      <c r="A219" t="s">
        <v>23</v>
      </c>
      <c r="B219" t="s">
        <v>32</v>
      </c>
      <c r="C219" s="32">
        <v>45658</v>
      </c>
      <c r="D219" t="s">
        <v>19</v>
      </c>
      <c r="E219">
        <v>15</v>
      </c>
      <c r="F219" t="s">
        <v>30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28</v>
      </c>
      <c r="P219">
        <v>0</v>
      </c>
      <c r="Q219">
        <v>8</v>
      </c>
      <c r="R219">
        <v>0</v>
      </c>
      <c r="S219" t="s">
        <v>39</v>
      </c>
      <c r="T219">
        <v>2025</v>
      </c>
    </row>
    <row r="220" spans="1:20" x14ac:dyDescent="0.35">
      <c r="A220" t="s">
        <v>23</v>
      </c>
      <c r="B220" t="s">
        <v>32</v>
      </c>
      <c r="C220" s="32">
        <v>45658</v>
      </c>
      <c r="D220" t="s">
        <v>19</v>
      </c>
      <c r="E220">
        <v>15</v>
      </c>
      <c r="F220" t="s">
        <v>31</v>
      </c>
      <c r="G220">
        <v>0</v>
      </c>
      <c r="H220">
        <v>0</v>
      </c>
      <c r="I220">
        <v>70101.66</v>
      </c>
      <c r="J220">
        <v>0</v>
      </c>
      <c r="K220">
        <v>0</v>
      </c>
      <c r="L220">
        <v>0</v>
      </c>
      <c r="M220">
        <v>9986.42</v>
      </c>
      <c r="N220">
        <v>40658.67</v>
      </c>
      <c r="O220">
        <v>76.815981668101813</v>
      </c>
      <c r="P220">
        <v>4</v>
      </c>
      <c r="Q220">
        <v>0</v>
      </c>
      <c r="R220">
        <v>0</v>
      </c>
      <c r="S220" t="s">
        <v>39</v>
      </c>
      <c r="T220">
        <v>2025</v>
      </c>
    </row>
    <row r="221" spans="1:20" x14ac:dyDescent="0.35">
      <c r="A221" t="s">
        <v>23</v>
      </c>
      <c r="B221" t="s">
        <v>32</v>
      </c>
      <c r="C221" s="32">
        <v>45658</v>
      </c>
      <c r="D221" t="s">
        <v>19</v>
      </c>
      <c r="E221">
        <v>16</v>
      </c>
      <c r="F221" t="s">
        <v>30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28</v>
      </c>
      <c r="P221">
        <v>0</v>
      </c>
      <c r="Q221">
        <v>11</v>
      </c>
      <c r="R221">
        <v>0</v>
      </c>
      <c r="S221" t="s">
        <v>39</v>
      </c>
      <c r="T221">
        <v>2025</v>
      </c>
    </row>
    <row r="222" spans="1:20" x14ac:dyDescent="0.35">
      <c r="A222" t="s">
        <v>23</v>
      </c>
      <c r="B222" t="s">
        <v>32</v>
      </c>
      <c r="C222" s="32">
        <v>45658</v>
      </c>
      <c r="D222" t="s">
        <v>19</v>
      </c>
      <c r="E222">
        <v>16</v>
      </c>
      <c r="F222" t="s">
        <v>31</v>
      </c>
      <c r="G222">
        <v>0</v>
      </c>
      <c r="H222">
        <v>641.16999999999996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104.49365352369689</v>
      </c>
      <c r="P222">
        <v>3</v>
      </c>
      <c r="Q222">
        <v>0</v>
      </c>
      <c r="R222">
        <v>0</v>
      </c>
      <c r="S222" t="s">
        <v>39</v>
      </c>
      <c r="T222">
        <v>2025</v>
      </c>
    </row>
    <row r="223" spans="1:20" x14ac:dyDescent="0.35">
      <c r="A223" t="s">
        <v>23</v>
      </c>
      <c r="B223" t="s">
        <v>32</v>
      </c>
      <c r="C223" s="32">
        <v>45689</v>
      </c>
      <c r="D223" t="s">
        <v>27</v>
      </c>
      <c r="E223">
        <v>10</v>
      </c>
      <c r="F223" t="s">
        <v>48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575.56966423099948</v>
      </c>
      <c r="P223">
        <v>3</v>
      </c>
      <c r="Q223">
        <v>0</v>
      </c>
      <c r="R223">
        <v>0</v>
      </c>
      <c r="S223" t="s">
        <v>39</v>
      </c>
      <c r="T223">
        <v>2025</v>
      </c>
    </row>
    <row r="224" spans="1:20" x14ac:dyDescent="0.35">
      <c r="A224" t="s">
        <v>23</v>
      </c>
      <c r="B224" t="s">
        <v>32</v>
      </c>
      <c r="C224" s="32">
        <v>45689</v>
      </c>
      <c r="D224" t="s">
        <v>27</v>
      </c>
      <c r="E224">
        <v>13</v>
      </c>
      <c r="F224" t="s">
        <v>48</v>
      </c>
      <c r="G224">
        <v>0</v>
      </c>
      <c r="H224">
        <v>0</v>
      </c>
      <c r="I224">
        <v>295.44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28</v>
      </c>
      <c r="P224">
        <v>0</v>
      </c>
      <c r="Q224">
        <v>0</v>
      </c>
      <c r="R224">
        <v>0</v>
      </c>
      <c r="S224" t="s">
        <v>39</v>
      </c>
      <c r="T224">
        <v>2025</v>
      </c>
    </row>
    <row r="225" spans="1:20" x14ac:dyDescent="0.35">
      <c r="A225" t="s">
        <v>23</v>
      </c>
      <c r="B225" t="s">
        <v>32</v>
      </c>
      <c r="C225" s="32">
        <v>45689</v>
      </c>
      <c r="D225" t="s">
        <v>27</v>
      </c>
      <c r="E225">
        <v>14</v>
      </c>
      <c r="F225" t="s">
        <v>48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28</v>
      </c>
      <c r="P225">
        <v>0</v>
      </c>
      <c r="Q225">
        <v>3</v>
      </c>
      <c r="R225">
        <v>0</v>
      </c>
      <c r="S225" t="s">
        <v>39</v>
      </c>
      <c r="T225">
        <v>2025</v>
      </c>
    </row>
    <row r="226" spans="1:20" x14ac:dyDescent="0.35">
      <c r="A226" t="s">
        <v>23</v>
      </c>
      <c r="B226" t="s">
        <v>32</v>
      </c>
      <c r="C226" s="32">
        <v>45689</v>
      </c>
      <c r="D226" t="s">
        <v>29</v>
      </c>
      <c r="E226">
        <v>6</v>
      </c>
      <c r="F226" t="s">
        <v>48</v>
      </c>
      <c r="G226">
        <v>0</v>
      </c>
      <c r="H226">
        <v>517781.35</v>
      </c>
      <c r="I226">
        <v>11132.18</v>
      </c>
      <c r="J226">
        <v>0</v>
      </c>
      <c r="K226">
        <v>0</v>
      </c>
      <c r="L226">
        <v>0</v>
      </c>
      <c r="M226">
        <v>78593.509999999995</v>
      </c>
      <c r="N226">
        <v>42642.03</v>
      </c>
      <c r="O226">
        <v>250.05513612560753</v>
      </c>
      <c r="P226">
        <v>11</v>
      </c>
      <c r="Q226">
        <v>12</v>
      </c>
      <c r="R226">
        <v>0</v>
      </c>
      <c r="S226" t="s">
        <v>39</v>
      </c>
      <c r="T226">
        <v>2025</v>
      </c>
    </row>
    <row r="227" spans="1:20" x14ac:dyDescent="0.35">
      <c r="A227" t="s">
        <v>23</v>
      </c>
      <c r="B227" t="s">
        <v>32</v>
      </c>
      <c r="C227" s="32">
        <v>45689</v>
      </c>
      <c r="D227" t="s">
        <v>29</v>
      </c>
      <c r="E227">
        <v>8</v>
      </c>
      <c r="F227" t="s">
        <v>48</v>
      </c>
      <c r="G227">
        <v>0</v>
      </c>
      <c r="H227">
        <v>393810.38</v>
      </c>
      <c r="I227">
        <v>99175.81</v>
      </c>
      <c r="J227">
        <v>0</v>
      </c>
      <c r="K227">
        <v>0</v>
      </c>
      <c r="L227">
        <v>0</v>
      </c>
      <c r="M227">
        <v>16118.38</v>
      </c>
      <c r="N227">
        <v>0</v>
      </c>
      <c r="O227">
        <v>474.4184607776765</v>
      </c>
      <c r="P227">
        <v>17</v>
      </c>
      <c r="Q227">
        <v>29</v>
      </c>
      <c r="R227">
        <v>0</v>
      </c>
      <c r="S227" t="s">
        <v>39</v>
      </c>
      <c r="T227">
        <v>2025</v>
      </c>
    </row>
    <row r="228" spans="1:20" x14ac:dyDescent="0.35">
      <c r="A228" t="s">
        <v>23</v>
      </c>
      <c r="B228" t="s">
        <v>32</v>
      </c>
      <c r="C228" s="32">
        <v>45689</v>
      </c>
      <c r="D228" t="s">
        <v>29</v>
      </c>
      <c r="E228">
        <v>9</v>
      </c>
      <c r="F228" t="s">
        <v>48</v>
      </c>
      <c r="G228">
        <v>0</v>
      </c>
      <c r="H228">
        <v>429558.78</v>
      </c>
      <c r="I228">
        <v>20113.36</v>
      </c>
      <c r="J228">
        <v>0</v>
      </c>
      <c r="K228">
        <v>0</v>
      </c>
      <c r="L228">
        <v>0</v>
      </c>
      <c r="M228">
        <v>28134.27</v>
      </c>
      <c r="N228">
        <v>0</v>
      </c>
      <c r="O228">
        <v>344.37531570231596</v>
      </c>
      <c r="P228">
        <v>12</v>
      </c>
      <c r="Q228">
        <v>26</v>
      </c>
      <c r="R228">
        <v>0</v>
      </c>
      <c r="S228" t="s">
        <v>39</v>
      </c>
      <c r="T228">
        <v>2025</v>
      </c>
    </row>
    <row r="229" spans="1:20" x14ac:dyDescent="0.35">
      <c r="A229" t="s">
        <v>23</v>
      </c>
      <c r="B229" t="s">
        <v>32</v>
      </c>
      <c r="C229" s="32">
        <v>45689</v>
      </c>
      <c r="D229" t="s">
        <v>29</v>
      </c>
      <c r="E229">
        <v>10</v>
      </c>
      <c r="F229" t="s">
        <v>48</v>
      </c>
      <c r="G229">
        <v>55747.77</v>
      </c>
      <c r="H229">
        <v>255698.4</v>
      </c>
      <c r="I229">
        <v>16023.03</v>
      </c>
      <c r="J229">
        <v>0</v>
      </c>
      <c r="K229">
        <v>0</v>
      </c>
      <c r="L229">
        <v>0</v>
      </c>
      <c r="M229">
        <v>84300.77</v>
      </c>
      <c r="N229">
        <v>533764.29</v>
      </c>
      <c r="O229">
        <v>368.77429087696186</v>
      </c>
      <c r="P229">
        <v>17</v>
      </c>
      <c r="Q229">
        <v>28</v>
      </c>
      <c r="R229">
        <v>0</v>
      </c>
      <c r="S229" t="s">
        <v>39</v>
      </c>
      <c r="T229">
        <v>2025</v>
      </c>
    </row>
    <row r="230" spans="1:20" x14ac:dyDescent="0.35">
      <c r="A230" t="s">
        <v>23</v>
      </c>
      <c r="B230" t="s">
        <v>32</v>
      </c>
      <c r="C230" s="32">
        <v>45689</v>
      </c>
      <c r="D230" t="s">
        <v>29</v>
      </c>
      <c r="E230">
        <v>13</v>
      </c>
      <c r="F230" t="s">
        <v>48</v>
      </c>
      <c r="G230">
        <v>0</v>
      </c>
      <c r="H230">
        <v>0</v>
      </c>
      <c r="I230">
        <v>953.3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28</v>
      </c>
      <c r="P230">
        <v>0</v>
      </c>
      <c r="Q230">
        <v>2</v>
      </c>
      <c r="R230">
        <v>0</v>
      </c>
      <c r="S230" t="s">
        <v>39</v>
      </c>
      <c r="T230">
        <v>2025</v>
      </c>
    </row>
    <row r="231" spans="1:20" x14ac:dyDescent="0.35">
      <c r="A231" t="s">
        <v>23</v>
      </c>
      <c r="B231" t="s">
        <v>32</v>
      </c>
      <c r="C231" s="32">
        <v>45689</v>
      </c>
      <c r="D231" t="s">
        <v>29</v>
      </c>
      <c r="E231">
        <v>14</v>
      </c>
      <c r="F231" t="s">
        <v>48</v>
      </c>
      <c r="G231">
        <v>0</v>
      </c>
      <c r="H231">
        <v>275369.86</v>
      </c>
      <c r="I231">
        <v>898.92</v>
      </c>
      <c r="J231">
        <v>0</v>
      </c>
      <c r="K231">
        <v>0</v>
      </c>
      <c r="L231">
        <v>0</v>
      </c>
      <c r="M231">
        <v>16362.08</v>
      </c>
      <c r="N231">
        <v>0</v>
      </c>
      <c r="O231">
        <v>305.20429982603309</v>
      </c>
      <c r="P231">
        <v>6</v>
      </c>
      <c r="Q231">
        <v>11</v>
      </c>
      <c r="R231">
        <v>0</v>
      </c>
      <c r="S231" t="s">
        <v>39</v>
      </c>
      <c r="T231">
        <v>2025</v>
      </c>
    </row>
    <row r="232" spans="1:20" x14ac:dyDescent="0.35">
      <c r="A232" t="s">
        <v>23</v>
      </c>
      <c r="B232" t="s">
        <v>32</v>
      </c>
      <c r="C232" s="32">
        <v>45689</v>
      </c>
      <c r="D232" t="s">
        <v>29</v>
      </c>
      <c r="E232">
        <v>15</v>
      </c>
      <c r="F232" t="s">
        <v>48</v>
      </c>
      <c r="G232">
        <v>117178.4</v>
      </c>
      <c r="H232">
        <v>70823.27</v>
      </c>
      <c r="I232">
        <v>4609.26</v>
      </c>
      <c r="J232">
        <v>0</v>
      </c>
      <c r="K232">
        <v>0</v>
      </c>
      <c r="L232">
        <v>0</v>
      </c>
      <c r="M232">
        <v>44212.4</v>
      </c>
      <c r="N232">
        <v>0</v>
      </c>
      <c r="O232">
        <v>146.17191019963261</v>
      </c>
      <c r="P232">
        <v>3</v>
      </c>
      <c r="Q232">
        <v>4</v>
      </c>
      <c r="R232">
        <v>0</v>
      </c>
      <c r="S232" t="s">
        <v>39</v>
      </c>
      <c r="T232">
        <v>2025</v>
      </c>
    </row>
    <row r="233" spans="1:20" x14ac:dyDescent="0.35">
      <c r="A233" t="s">
        <v>23</v>
      </c>
      <c r="B233" t="s">
        <v>32</v>
      </c>
      <c r="C233" s="32">
        <v>45689</v>
      </c>
      <c r="D233" t="s">
        <v>29</v>
      </c>
      <c r="E233">
        <v>16</v>
      </c>
      <c r="F233" t="s">
        <v>48</v>
      </c>
      <c r="G233">
        <v>0</v>
      </c>
      <c r="H233">
        <v>0</v>
      </c>
      <c r="I233">
        <v>4271.41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28</v>
      </c>
      <c r="P233">
        <v>0</v>
      </c>
      <c r="Q233">
        <v>5</v>
      </c>
      <c r="R233">
        <v>0</v>
      </c>
      <c r="S233" t="s">
        <v>39</v>
      </c>
      <c r="T233">
        <v>2025</v>
      </c>
    </row>
    <row r="234" spans="1:20" x14ac:dyDescent="0.35">
      <c r="A234" t="s">
        <v>23</v>
      </c>
      <c r="B234" t="s">
        <v>32</v>
      </c>
      <c r="C234" s="32">
        <v>45689</v>
      </c>
      <c r="D234" t="s">
        <v>19</v>
      </c>
      <c r="E234">
        <v>6</v>
      </c>
      <c r="F234" t="s">
        <v>30</v>
      </c>
      <c r="G234">
        <v>0</v>
      </c>
      <c r="H234">
        <v>8472.2999999999993</v>
      </c>
      <c r="I234">
        <v>0</v>
      </c>
      <c r="J234">
        <v>0</v>
      </c>
      <c r="K234">
        <v>0</v>
      </c>
      <c r="L234">
        <v>0</v>
      </c>
      <c r="M234">
        <v>9086.2800000000007</v>
      </c>
      <c r="N234">
        <v>2776.25</v>
      </c>
      <c r="O234">
        <v>240.51481219930139</v>
      </c>
      <c r="P234">
        <v>5</v>
      </c>
      <c r="Q234">
        <v>51</v>
      </c>
      <c r="R234">
        <v>0</v>
      </c>
      <c r="S234" t="s">
        <v>39</v>
      </c>
      <c r="T234">
        <v>2025</v>
      </c>
    </row>
    <row r="235" spans="1:20" x14ac:dyDescent="0.35">
      <c r="A235" t="s">
        <v>23</v>
      </c>
      <c r="B235" t="s">
        <v>32</v>
      </c>
      <c r="C235" s="32">
        <v>45689</v>
      </c>
      <c r="D235" t="s">
        <v>19</v>
      </c>
      <c r="E235">
        <v>6</v>
      </c>
      <c r="F235" t="s">
        <v>31</v>
      </c>
      <c r="G235">
        <v>206289.81</v>
      </c>
      <c r="H235">
        <v>73661.7</v>
      </c>
      <c r="I235">
        <v>5225.25</v>
      </c>
      <c r="J235">
        <v>0</v>
      </c>
      <c r="K235">
        <v>0</v>
      </c>
      <c r="L235">
        <v>0</v>
      </c>
      <c r="M235">
        <v>262689.46999999997</v>
      </c>
      <c r="N235">
        <v>539607.46</v>
      </c>
      <c r="O235">
        <v>228.34221132478578</v>
      </c>
      <c r="P235">
        <v>57</v>
      </c>
      <c r="Q235">
        <v>0</v>
      </c>
      <c r="R235">
        <v>0</v>
      </c>
      <c r="S235" t="s">
        <v>39</v>
      </c>
      <c r="T235">
        <v>2025</v>
      </c>
    </row>
    <row r="236" spans="1:20" x14ac:dyDescent="0.35">
      <c r="A236" t="s">
        <v>23</v>
      </c>
      <c r="B236" t="s">
        <v>32</v>
      </c>
      <c r="C236" s="32">
        <v>45689</v>
      </c>
      <c r="D236" t="s">
        <v>19</v>
      </c>
      <c r="E236">
        <v>8</v>
      </c>
      <c r="F236" t="s">
        <v>30</v>
      </c>
      <c r="G236">
        <v>0</v>
      </c>
      <c r="H236">
        <v>20448.400000000001</v>
      </c>
      <c r="I236">
        <v>0</v>
      </c>
      <c r="J236">
        <v>0</v>
      </c>
      <c r="K236">
        <v>0</v>
      </c>
      <c r="L236">
        <v>0</v>
      </c>
      <c r="M236">
        <v>3101.89</v>
      </c>
      <c r="N236">
        <v>0</v>
      </c>
      <c r="O236">
        <v>303.76555205414377</v>
      </c>
      <c r="P236">
        <v>14</v>
      </c>
      <c r="Q236">
        <v>58</v>
      </c>
      <c r="R236">
        <v>0</v>
      </c>
      <c r="S236" t="s">
        <v>39</v>
      </c>
      <c r="T236">
        <v>2025</v>
      </c>
    </row>
    <row r="237" spans="1:20" x14ac:dyDescent="0.35">
      <c r="A237" t="s">
        <v>23</v>
      </c>
      <c r="B237" t="s">
        <v>32</v>
      </c>
      <c r="C237" s="32">
        <v>45689</v>
      </c>
      <c r="D237" t="s">
        <v>19</v>
      </c>
      <c r="E237">
        <v>8</v>
      </c>
      <c r="F237" t="s">
        <v>31</v>
      </c>
      <c r="G237">
        <v>147380.24</v>
      </c>
      <c r="H237">
        <v>150281.18</v>
      </c>
      <c r="I237">
        <v>389801.77</v>
      </c>
      <c r="J237">
        <v>0</v>
      </c>
      <c r="K237">
        <v>0</v>
      </c>
      <c r="L237">
        <v>0</v>
      </c>
      <c r="M237">
        <v>144244.48000000001</v>
      </c>
      <c r="N237">
        <v>629521.06999999995</v>
      </c>
      <c r="O237">
        <v>221.08947388299882</v>
      </c>
      <c r="P237">
        <v>59</v>
      </c>
      <c r="Q237">
        <v>0</v>
      </c>
      <c r="R237">
        <v>0</v>
      </c>
      <c r="S237" t="s">
        <v>39</v>
      </c>
      <c r="T237">
        <v>2025</v>
      </c>
    </row>
    <row r="238" spans="1:20" x14ac:dyDescent="0.35">
      <c r="A238" t="s">
        <v>23</v>
      </c>
      <c r="B238" t="s">
        <v>32</v>
      </c>
      <c r="C238" s="32">
        <v>45689</v>
      </c>
      <c r="D238" t="s">
        <v>19</v>
      </c>
      <c r="E238">
        <v>9</v>
      </c>
      <c r="F238" t="s">
        <v>30</v>
      </c>
      <c r="G238">
        <v>0</v>
      </c>
      <c r="H238">
        <v>1692.93</v>
      </c>
      <c r="I238">
        <v>38120.32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1387.7150068831033</v>
      </c>
      <c r="P238">
        <v>1</v>
      </c>
      <c r="Q238">
        <v>84</v>
      </c>
      <c r="R238">
        <v>0</v>
      </c>
      <c r="S238" t="s">
        <v>39</v>
      </c>
      <c r="T238">
        <v>2025</v>
      </c>
    </row>
    <row r="239" spans="1:20" x14ac:dyDescent="0.35">
      <c r="A239" t="s">
        <v>23</v>
      </c>
      <c r="B239" t="s">
        <v>32</v>
      </c>
      <c r="C239" s="32">
        <v>45689</v>
      </c>
      <c r="D239" t="s">
        <v>19</v>
      </c>
      <c r="E239">
        <v>9</v>
      </c>
      <c r="F239" t="s">
        <v>31</v>
      </c>
      <c r="G239">
        <v>46966.879999999997</v>
      </c>
      <c r="H239">
        <v>223328.77</v>
      </c>
      <c r="I239">
        <v>690025.8</v>
      </c>
      <c r="J239">
        <v>0</v>
      </c>
      <c r="K239">
        <v>0</v>
      </c>
      <c r="L239">
        <v>0</v>
      </c>
      <c r="M239">
        <v>263857.26</v>
      </c>
      <c r="N239">
        <v>710302.68</v>
      </c>
      <c r="O239">
        <v>162.58593852137892</v>
      </c>
      <c r="P239">
        <v>48</v>
      </c>
      <c r="Q239">
        <v>1</v>
      </c>
      <c r="R239">
        <v>0</v>
      </c>
      <c r="S239" t="s">
        <v>39</v>
      </c>
      <c r="T239">
        <v>2025</v>
      </c>
    </row>
    <row r="240" spans="1:20" x14ac:dyDescent="0.35">
      <c r="A240" t="s">
        <v>23</v>
      </c>
      <c r="B240" t="s">
        <v>32</v>
      </c>
      <c r="C240" s="32">
        <v>45689</v>
      </c>
      <c r="D240" t="s">
        <v>19</v>
      </c>
      <c r="E240">
        <v>10</v>
      </c>
      <c r="F240" t="s">
        <v>30</v>
      </c>
      <c r="G240">
        <v>0</v>
      </c>
      <c r="H240">
        <v>110622.98</v>
      </c>
      <c r="I240">
        <v>560.44000000000005</v>
      </c>
      <c r="J240">
        <v>0</v>
      </c>
      <c r="K240">
        <v>0</v>
      </c>
      <c r="L240">
        <v>0</v>
      </c>
      <c r="M240">
        <v>11651.29</v>
      </c>
      <c r="N240">
        <v>4911.7</v>
      </c>
      <c r="O240">
        <v>290.55827894961988</v>
      </c>
      <c r="P240">
        <v>5</v>
      </c>
      <c r="Q240">
        <v>46</v>
      </c>
      <c r="R240">
        <v>0</v>
      </c>
      <c r="S240" t="s">
        <v>39</v>
      </c>
      <c r="T240">
        <v>2025</v>
      </c>
    </row>
    <row r="241" spans="1:20" x14ac:dyDescent="0.35">
      <c r="A241" t="s">
        <v>23</v>
      </c>
      <c r="B241" t="s">
        <v>32</v>
      </c>
      <c r="C241" s="32">
        <v>45689</v>
      </c>
      <c r="D241" t="s">
        <v>19</v>
      </c>
      <c r="E241">
        <v>10</v>
      </c>
      <c r="F241" t="s">
        <v>31</v>
      </c>
      <c r="G241">
        <v>189215.35</v>
      </c>
      <c r="H241">
        <v>278522</v>
      </c>
      <c r="I241">
        <v>2564159.1800000002</v>
      </c>
      <c r="J241">
        <v>0</v>
      </c>
      <c r="K241">
        <v>0</v>
      </c>
      <c r="L241">
        <v>0</v>
      </c>
      <c r="M241">
        <v>290503.73</v>
      </c>
      <c r="N241">
        <v>1930908.23</v>
      </c>
      <c r="O241">
        <v>303.54623757006584</v>
      </c>
      <c r="P241">
        <v>57</v>
      </c>
      <c r="Q241">
        <v>4</v>
      </c>
      <c r="R241">
        <v>0</v>
      </c>
      <c r="S241" t="s">
        <v>39</v>
      </c>
      <c r="T241">
        <v>2025</v>
      </c>
    </row>
    <row r="242" spans="1:20" x14ac:dyDescent="0.35">
      <c r="A242" t="s">
        <v>23</v>
      </c>
      <c r="B242" t="s">
        <v>32</v>
      </c>
      <c r="C242" s="32">
        <v>45689</v>
      </c>
      <c r="D242" t="s">
        <v>19</v>
      </c>
      <c r="E242">
        <v>13</v>
      </c>
      <c r="F242" t="s">
        <v>30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667.97143562570034</v>
      </c>
      <c r="P242">
        <v>2</v>
      </c>
      <c r="Q242">
        <v>6</v>
      </c>
      <c r="R242">
        <v>0</v>
      </c>
      <c r="S242" t="s">
        <v>39</v>
      </c>
      <c r="T242">
        <v>2025</v>
      </c>
    </row>
    <row r="243" spans="1:20" x14ac:dyDescent="0.35">
      <c r="A243" t="s">
        <v>23</v>
      </c>
      <c r="B243" t="s">
        <v>32</v>
      </c>
      <c r="C243" s="32">
        <v>45689</v>
      </c>
      <c r="D243" t="s">
        <v>19</v>
      </c>
      <c r="E243">
        <v>13</v>
      </c>
      <c r="F243" t="s">
        <v>31</v>
      </c>
      <c r="G243">
        <v>87613.08</v>
      </c>
      <c r="H243">
        <v>5254.94</v>
      </c>
      <c r="I243">
        <v>242710.38</v>
      </c>
      <c r="J243">
        <v>0</v>
      </c>
      <c r="K243">
        <v>0</v>
      </c>
      <c r="L243">
        <v>0</v>
      </c>
      <c r="M243">
        <v>18384.79</v>
      </c>
      <c r="N243">
        <v>0</v>
      </c>
      <c r="O243">
        <v>380.87790749468485</v>
      </c>
      <c r="P243">
        <v>10</v>
      </c>
      <c r="Q243">
        <v>0</v>
      </c>
      <c r="R243">
        <v>0</v>
      </c>
      <c r="S243" t="s">
        <v>39</v>
      </c>
      <c r="T243">
        <v>2025</v>
      </c>
    </row>
    <row r="244" spans="1:20" x14ac:dyDescent="0.35">
      <c r="A244" t="s">
        <v>23</v>
      </c>
      <c r="B244" t="s">
        <v>32</v>
      </c>
      <c r="C244" s="32">
        <v>45689</v>
      </c>
      <c r="D244" t="s">
        <v>19</v>
      </c>
      <c r="E244">
        <v>14</v>
      </c>
      <c r="F244" t="s">
        <v>30</v>
      </c>
      <c r="G244">
        <v>0</v>
      </c>
      <c r="H244">
        <v>0</v>
      </c>
      <c r="I244">
        <v>6.77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28</v>
      </c>
      <c r="P244">
        <v>0</v>
      </c>
      <c r="Q244">
        <v>18</v>
      </c>
      <c r="R244">
        <v>0</v>
      </c>
      <c r="S244" t="s">
        <v>39</v>
      </c>
      <c r="T244">
        <v>2025</v>
      </c>
    </row>
    <row r="245" spans="1:20" x14ac:dyDescent="0.35">
      <c r="A245" t="s">
        <v>23</v>
      </c>
      <c r="B245" t="s">
        <v>32</v>
      </c>
      <c r="C245" s="32">
        <v>45689</v>
      </c>
      <c r="D245" t="s">
        <v>19</v>
      </c>
      <c r="E245">
        <v>14</v>
      </c>
      <c r="F245" t="s">
        <v>31</v>
      </c>
      <c r="G245">
        <v>36881.96</v>
      </c>
      <c r="H245">
        <v>61486.62</v>
      </c>
      <c r="I245">
        <v>27846.32</v>
      </c>
      <c r="J245">
        <v>0</v>
      </c>
      <c r="K245">
        <v>0</v>
      </c>
      <c r="L245">
        <v>0</v>
      </c>
      <c r="M245">
        <v>83507.509999999995</v>
      </c>
      <c r="N245">
        <v>244467.36</v>
      </c>
      <c r="O245">
        <v>170.85961359703975</v>
      </c>
      <c r="P245">
        <v>35</v>
      </c>
      <c r="Q245">
        <v>0</v>
      </c>
      <c r="R245">
        <v>0</v>
      </c>
      <c r="S245" t="s">
        <v>39</v>
      </c>
      <c r="T245">
        <v>2025</v>
      </c>
    </row>
    <row r="246" spans="1:20" x14ac:dyDescent="0.35">
      <c r="A246" t="s">
        <v>23</v>
      </c>
      <c r="B246" t="s">
        <v>32</v>
      </c>
      <c r="C246" s="32">
        <v>45689</v>
      </c>
      <c r="D246" t="s">
        <v>19</v>
      </c>
      <c r="E246">
        <v>15</v>
      </c>
      <c r="F246" t="s">
        <v>30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28</v>
      </c>
      <c r="P246">
        <v>0</v>
      </c>
      <c r="Q246">
        <v>5</v>
      </c>
      <c r="R246">
        <v>0</v>
      </c>
      <c r="S246" t="s">
        <v>39</v>
      </c>
      <c r="T246">
        <v>2025</v>
      </c>
    </row>
    <row r="247" spans="1:20" x14ac:dyDescent="0.35">
      <c r="A247" t="s">
        <v>23</v>
      </c>
      <c r="B247" t="s">
        <v>32</v>
      </c>
      <c r="C247" s="32">
        <v>45689</v>
      </c>
      <c r="D247" t="s">
        <v>19</v>
      </c>
      <c r="E247">
        <v>15</v>
      </c>
      <c r="F247" t="s">
        <v>31</v>
      </c>
      <c r="G247">
        <v>9395.75</v>
      </c>
      <c r="H247">
        <v>23818.67</v>
      </c>
      <c r="I247">
        <v>185.21</v>
      </c>
      <c r="J247">
        <v>0</v>
      </c>
      <c r="K247">
        <v>0</v>
      </c>
      <c r="L247">
        <v>0</v>
      </c>
      <c r="M247">
        <v>82657.710000000006</v>
      </c>
      <c r="N247">
        <v>560946.88</v>
      </c>
      <c r="O247">
        <v>217.62759105885522</v>
      </c>
      <c r="P247">
        <v>18</v>
      </c>
      <c r="Q247">
        <v>0</v>
      </c>
      <c r="R247">
        <v>0</v>
      </c>
      <c r="S247" t="s">
        <v>39</v>
      </c>
      <c r="T247">
        <v>2025</v>
      </c>
    </row>
    <row r="248" spans="1:20" x14ac:dyDescent="0.35">
      <c r="A248" t="s">
        <v>23</v>
      </c>
      <c r="B248" t="s">
        <v>32</v>
      </c>
      <c r="C248" s="32">
        <v>45689</v>
      </c>
      <c r="D248" t="s">
        <v>19</v>
      </c>
      <c r="E248">
        <v>16</v>
      </c>
      <c r="F248" t="s">
        <v>30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28</v>
      </c>
      <c r="P248">
        <v>0</v>
      </c>
      <c r="Q248">
        <v>8</v>
      </c>
      <c r="R248">
        <v>0</v>
      </c>
      <c r="S248" t="s">
        <v>39</v>
      </c>
      <c r="T248">
        <v>2025</v>
      </c>
    </row>
    <row r="249" spans="1:20" x14ac:dyDescent="0.35">
      <c r="A249" t="s">
        <v>23</v>
      </c>
      <c r="B249" t="s">
        <v>32</v>
      </c>
      <c r="C249" s="32">
        <v>45689</v>
      </c>
      <c r="D249" t="s">
        <v>19</v>
      </c>
      <c r="E249">
        <v>16</v>
      </c>
      <c r="F249" t="s">
        <v>31</v>
      </c>
      <c r="G249">
        <v>0</v>
      </c>
      <c r="H249">
        <v>6933.82</v>
      </c>
      <c r="I249">
        <v>0</v>
      </c>
      <c r="J249">
        <v>0</v>
      </c>
      <c r="K249">
        <v>0</v>
      </c>
      <c r="L249">
        <v>0</v>
      </c>
      <c r="M249">
        <v>1628.87</v>
      </c>
      <c r="N249">
        <v>0</v>
      </c>
      <c r="O249">
        <v>93.169106490934311</v>
      </c>
      <c r="P249">
        <v>6</v>
      </c>
      <c r="Q249">
        <v>0</v>
      </c>
      <c r="R249">
        <v>0</v>
      </c>
      <c r="S249" t="s">
        <v>39</v>
      </c>
      <c r="T249">
        <v>2025</v>
      </c>
    </row>
    <row r="250" spans="1:20" x14ac:dyDescent="0.35">
      <c r="A250" t="s">
        <v>23</v>
      </c>
      <c r="B250" t="s">
        <v>32</v>
      </c>
      <c r="C250" s="32">
        <v>45717</v>
      </c>
      <c r="D250" t="s">
        <v>27</v>
      </c>
      <c r="E250">
        <v>6</v>
      </c>
      <c r="F250" t="s">
        <v>48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28</v>
      </c>
      <c r="P250">
        <v>0</v>
      </c>
      <c r="Q250">
        <v>1</v>
      </c>
      <c r="R250">
        <v>0</v>
      </c>
      <c r="S250" t="s">
        <v>39</v>
      </c>
      <c r="T250">
        <v>2025</v>
      </c>
    </row>
    <row r="251" spans="1:20" x14ac:dyDescent="0.35">
      <c r="A251" t="s">
        <v>23</v>
      </c>
      <c r="B251" t="s">
        <v>32</v>
      </c>
      <c r="C251" s="32">
        <v>45717</v>
      </c>
      <c r="D251" t="s">
        <v>27</v>
      </c>
      <c r="E251">
        <v>13</v>
      </c>
      <c r="F251" t="s">
        <v>48</v>
      </c>
      <c r="G251">
        <v>0</v>
      </c>
      <c r="H251">
        <v>0</v>
      </c>
      <c r="I251">
        <v>5513.61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28</v>
      </c>
      <c r="P251">
        <v>0</v>
      </c>
      <c r="Q251">
        <v>3</v>
      </c>
      <c r="R251">
        <v>0</v>
      </c>
      <c r="S251" t="s">
        <v>39</v>
      </c>
      <c r="T251">
        <v>2025</v>
      </c>
    </row>
    <row r="252" spans="1:20" x14ac:dyDescent="0.35">
      <c r="A252" t="s">
        <v>23</v>
      </c>
      <c r="B252" t="s">
        <v>32</v>
      </c>
      <c r="C252" s="32">
        <v>45717</v>
      </c>
      <c r="D252" t="s">
        <v>27</v>
      </c>
      <c r="E252">
        <v>14</v>
      </c>
      <c r="F252" t="s">
        <v>48</v>
      </c>
      <c r="G252">
        <v>0</v>
      </c>
      <c r="H252">
        <v>0</v>
      </c>
      <c r="I252">
        <v>1028.9100000000001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28</v>
      </c>
      <c r="P252">
        <v>0</v>
      </c>
      <c r="Q252">
        <v>0</v>
      </c>
      <c r="R252">
        <v>0</v>
      </c>
      <c r="S252" t="s">
        <v>39</v>
      </c>
      <c r="T252">
        <v>2025</v>
      </c>
    </row>
    <row r="253" spans="1:20" x14ac:dyDescent="0.35">
      <c r="A253" t="s">
        <v>23</v>
      </c>
      <c r="B253" t="s">
        <v>32</v>
      </c>
      <c r="C253" s="32">
        <v>45717</v>
      </c>
      <c r="D253" t="s">
        <v>29</v>
      </c>
      <c r="E253">
        <v>6</v>
      </c>
      <c r="F253" t="s">
        <v>48</v>
      </c>
      <c r="G253">
        <v>100648.17</v>
      </c>
      <c r="H253">
        <v>545785.06999999995</v>
      </c>
      <c r="I253">
        <v>1375186.65</v>
      </c>
      <c r="J253">
        <v>0</v>
      </c>
      <c r="K253">
        <v>0</v>
      </c>
      <c r="L253">
        <v>0</v>
      </c>
      <c r="M253">
        <v>136885.57</v>
      </c>
      <c r="N253">
        <v>147796.14000000001</v>
      </c>
      <c r="O253">
        <v>218.40750839932974</v>
      </c>
      <c r="P253">
        <v>14</v>
      </c>
      <c r="Q253">
        <v>28</v>
      </c>
      <c r="R253">
        <v>0</v>
      </c>
      <c r="S253" t="s">
        <v>39</v>
      </c>
      <c r="T253">
        <v>2025</v>
      </c>
    </row>
    <row r="254" spans="1:20" x14ac:dyDescent="0.35">
      <c r="A254" t="s">
        <v>23</v>
      </c>
      <c r="B254" t="s">
        <v>32</v>
      </c>
      <c r="C254" s="32">
        <v>45717</v>
      </c>
      <c r="D254" t="s">
        <v>29</v>
      </c>
      <c r="E254">
        <v>8</v>
      </c>
      <c r="F254" t="s">
        <v>48</v>
      </c>
      <c r="G254">
        <v>3904.86</v>
      </c>
      <c r="H254">
        <v>721209.45</v>
      </c>
      <c r="I254">
        <v>27738.55</v>
      </c>
      <c r="J254">
        <v>0</v>
      </c>
      <c r="K254">
        <v>0</v>
      </c>
      <c r="L254">
        <v>0</v>
      </c>
      <c r="M254">
        <v>70700.92</v>
      </c>
      <c r="N254">
        <v>0</v>
      </c>
      <c r="O254">
        <v>311.19366814461569</v>
      </c>
      <c r="P254">
        <v>18</v>
      </c>
      <c r="Q254">
        <v>26</v>
      </c>
      <c r="R254">
        <v>0</v>
      </c>
      <c r="S254" t="s">
        <v>39</v>
      </c>
      <c r="T254">
        <v>2025</v>
      </c>
    </row>
    <row r="255" spans="1:20" x14ac:dyDescent="0.35">
      <c r="A255" t="s">
        <v>23</v>
      </c>
      <c r="B255" t="s">
        <v>32</v>
      </c>
      <c r="C255" s="32">
        <v>45717</v>
      </c>
      <c r="D255" t="s">
        <v>29</v>
      </c>
      <c r="E255">
        <v>9</v>
      </c>
      <c r="F255" t="s">
        <v>48</v>
      </c>
      <c r="G255">
        <v>0</v>
      </c>
      <c r="H255">
        <v>404976.45</v>
      </c>
      <c r="I255">
        <v>29530.47</v>
      </c>
      <c r="J255">
        <v>0</v>
      </c>
      <c r="K255">
        <v>0</v>
      </c>
      <c r="L255">
        <v>0</v>
      </c>
      <c r="M255">
        <v>3333.28</v>
      </c>
      <c r="N255">
        <v>0</v>
      </c>
      <c r="O255">
        <v>278.52027494481121</v>
      </c>
      <c r="P255">
        <v>9</v>
      </c>
      <c r="Q255">
        <v>23</v>
      </c>
      <c r="R255">
        <v>0</v>
      </c>
      <c r="S255" t="s">
        <v>39</v>
      </c>
      <c r="T255">
        <v>2025</v>
      </c>
    </row>
    <row r="256" spans="1:20" x14ac:dyDescent="0.35">
      <c r="A256" t="s">
        <v>23</v>
      </c>
      <c r="B256" t="s">
        <v>32</v>
      </c>
      <c r="C256" s="32">
        <v>45717</v>
      </c>
      <c r="D256" t="s">
        <v>29</v>
      </c>
      <c r="E256">
        <v>10</v>
      </c>
      <c r="F256" t="s">
        <v>48</v>
      </c>
      <c r="G256">
        <v>170356.95</v>
      </c>
      <c r="H256">
        <v>515661.86</v>
      </c>
      <c r="I256">
        <v>67508.91</v>
      </c>
      <c r="J256">
        <v>0</v>
      </c>
      <c r="K256">
        <v>0</v>
      </c>
      <c r="L256">
        <v>0</v>
      </c>
      <c r="M256">
        <v>125277.44</v>
      </c>
      <c r="N256">
        <v>85327.26</v>
      </c>
      <c r="O256">
        <v>369.97169473856343</v>
      </c>
      <c r="P256">
        <v>22</v>
      </c>
      <c r="Q256">
        <v>54</v>
      </c>
      <c r="R256">
        <v>0</v>
      </c>
      <c r="S256" t="s">
        <v>39</v>
      </c>
      <c r="T256">
        <v>2025</v>
      </c>
    </row>
    <row r="257" spans="1:20" x14ac:dyDescent="0.35">
      <c r="A257" t="s">
        <v>23</v>
      </c>
      <c r="B257" t="s">
        <v>32</v>
      </c>
      <c r="C257" s="32">
        <v>45717</v>
      </c>
      <c r="D257" t="s">
        <v>29</v>
      </c>
      <c r="E257">
        <v>13</v>
      </c>
      <c r="F257" t="s">
        <v>48</v>
      </c>
      <c r="G257">
        <v>0</v>
      </c>
      <c r="H257">
        <v>311121.38</v>
      </c>
      <c r="I257">
        <v>1717.88</v>
      </c>
      <c r="J257">
        <v>0</v>
      </c>
      <c r="K257">
        <v>0</v>
      </c>
      <c r="L257">
        <v>0</v>
      </c>
      <c r="M257">
        <v>32354.48</v>
      </c>
      <c r="N257">
        <v>0</v>
      </c>
      <c r="O257">
        <v>719.85956472130056</v>
      </c>
      <c r="P257">
        <v>4</v>
      </c>
      <c r="Q257">
        <v>7</v>
      </c>
      <c r="R257">
        <v>0</v>
      </c>
      <c r="S257" t="s">
        <v>39</v>
      </c>
      <c r="T257">
        <v>2025</v>
      </c>
    </row>
    <row r="258" spans="1:20" x14ac:dyDescent="0.35">
      <c r="A258" t="s">
        <v>23</v>
      </c>
      <c r="B258" t="s">
        <v>32</v>
      </c>
      <c r="C258" s="32">
        <v>45717</v>
      </c>
      <c r="D258" t="s">
        <v>29</v>
      </c>
      <c r="E258">
        <v>14</v>
      </c>
      <c r="F258" t="s">
        <v>48</v>
      </c>
      <c r="G258">
        <v>0</v>
      </c>
      <c r="H258">
        <v>236209.39</v>
      </c>
      <c r="I258">
        <v>4452</v>
      </c>
      <c r="J258">
        <v>0</v>
      </c>
      <c r="K258">
        <v>0</v>
      </c>
      <c r="L258">
        <v>0</v>
      </c>
      <c r="M258">
        <v>3944.19</v>
      </c>
      <c r="N258">
        <v>0</v>
      </c>
      <c r="O258">
        <v>345.19568391480061</v>
      </c>
      <c r="P258">
        <v>6</v>
      </c>
      <c r="Q258">
        <v>9</v>
      </c>
      <c r="R258">
        <v>0</v>
      </c>
      <c r="S258" t="s">
        <v>39</v>
      </c>
      <c r="T258">
        <v>2025</v>
      </c>
    </row>
    <row r="259" spans="1:20" x14ac:dyDescent="0.35">
      <c r="A259" t="s">
        <v>23</v>
      </c>
      <c r="B259" t="s">
        <v>32</v>
      </c>
      <c r="C259" s="32">
        <v>45717</v>
      </c>
      <c r="D259" t="s">
        <v>29</v>
      </c>
      <c r="E259">
        <v>15</v>
      </c>
      <c r="F259" t="s">
        <v>48</v>
      </c>
      <c r="G259">
        <v>0</v>
      </c>
      <c r="H259">
        <v>1199121.74</v>
      </c>
      <c r="I259">
        <v>4395.67</v>
      </c>
      <c r="J259">
        <v>0</v>
      </c>
      <c r="K259">
        <v>0</v>
      </c>
      <c r="L259">
        <v>0</v>
      </c>
      <c r="M259">
        <v>33577.699999999997</v>
      </c>
      <c r="N259">
        <v>0</v>
      </c>
      <c r="O259">
        <v>281.59102412352695</v>
      </c>
      <c r="P259">
        <v>4</v>
      </c>
      <c r="Q259">
        <v>2</v>
      </c>
      <c r="R259">
        <v>0</v>
      </c>
      <c r="S259" t="s">
        <v>39</v>
      </c>
      <c r="T259">
        <v>2025</v>
      </c>
    </row>
    <row r="260" spans="1:20" x14ac:dyDescent="0.35">
      <c r="A260" t="s">
        <v>23</v>
      </c>
      <c r="B260" t="s">
        <v>32</v>
      </c>
      <c r="C260" s="32">
        <v>45717</v>
      </c>
      <c r="D260" t="s">
        <v>29</v>
      </c>
      <c r="E260">
        <v>16</v>
      </c>
      <c r="F260" t="s">
        <v>48</v>
      </c>
      <c r="G260">
        <v>0</v>
      </c>
      <c r="H260">
        <v>547.66999999999996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1460.655892471601</v>
      </c>
      <c r="P260">
        <v>1</v>
      </c>
      <c r="Q260">
        <v>3</v>
      </c>
      <c r="R260">
        <v>0</v>
      </c>
      <c r="S260" t="s">
        <v>39</v>
      </c>
      <c r="T260">
        <v>2025</v>
      </c>
    </row>
    <row r="261" spans="1:20" x14ac:dyDescent="0.35">
      <c r="A261" t="s">
        <v>23</v>
      </c>
      <c r="B261" t="s">
        <v>32</v>
      </c>
      <c r="C261" s="32">
        <v>45717</v>
      </c>
      <c r="D261" t="s">
        <v>19</v>
      </c>
      <c r="E261">
        <v>6</v>
      </c>
      <c r="F261" t="s">
        <v>30</v>
      </c>
      <c r="G261">
        <v>307.55</v>
      </c>
      <c r="H261">
        <v>5718</v>
      </c>
      <c r="I261">
        <v>0</v>
      </c>
      <c r="J261">
        <v>0</v>
      </c>
      <c r="K261">
        <v>0</v>
      </c>
      <c r="L261">
        <v>0</v>
      </c>
      <c r="M261">
        <v>2014</v>
      </c>
      <c r="N261">
        <v>0</v>
      </c>
      <c r="O261">
        <v>14.452951388899237</v>
      </c>
      <c r="P261">
        <v>1</v>
      </c>
      <c r="Q261">
        <v>52</v>
      </c>
      <c r="R261">
        <v>0</v>
      </c>
      <c r="S261" t="s">
        <v>39</v>
      </c>
      <c r="T261">
        <v>2025</v>
      </c>
    </row>
    <row r="262" spans="1:20" x14ac:dyDescent="0.35">
      <c r="A262" t="s">
        <v>23</v>
      </c>
      <c r="B262" t="s">
        <v>32</v>
      </c>
      <c r="C262" s="32">
        <v>45717</v>
      </c>
      <c r="D262" t="s">
        <v>19</v>
      </c>
      <c r="E262">
        <v>6</v>
      </c>
      <c r="F262" t="s">
        <v>31</v>
      </c>
      <c r="G262">
        <v>18773.07</v>
      </c>
      <c r="H262">
        <v>292545.3</v>
      </c>
      <c r="I262">
        <v>62676.07</v>
      </c>
      <c r="J262">
        <v>0</v>
      </c>
      <c r="K262">
        <v>0</v>
      </c>
      <c r="L262">
        <v>0</v>
      </c>
      <c r="M262">
        <v>116098.04</v>
      </c>
      <c r="N262">
        <v>61121.21</v>
      </c>
      <c r="O262">
        <v>266.69186799071741</v>
      </c>
      <c r="P262">
        <v>89</v>
      </c>
      <c r="Q262">
        <v>0</v>
      </c>
      <c r="R262">
        <v>0</v>
      </c>
      <c r="S262" t="s">
        <v>39</v>
      </c>
      <c r="T262">
        <v>2025</v>
      </c>
    </row>
    <row r="263" spans="1:20" x14ac:dyDescent="0.35">
      <c r="A263" t="s">
        <v>23</v>
      </c>
      <c r="B263" t="s">
        <v>32</v>
      </c>
      <c r="C263" s="32">
        <v>45717</v>
      </c>
      <c r="D263" t="s">
        <v>19</v>
      </c>
      <c r="E263">
        <v>8</v>
      </c>
      <c r="F263" t="s">
        <v>30</v>
      </c>
      <c r="G263">
        <v>19687.13</v>
      </c>
      <c r="H263">
        <v>17154</v>
      </c>
      <c r="I263">
        <v>0</v>
      </c>
      <c r="J263">
        <v>0</v>
      </c>
      <c r="K263">
        <v>0</v>
      </c>
      <c r="L263">
        <v>0</v>
      </c>
      <c r="M263">
        <v>15791.13</v>
      </c>
      <c r="N263">
        <v>0</v>
      </c>
      <c r="O263">
        <v>123.7231331434826</v>
      </c>
      <c r="P263">
        <v>6</v>
      </c>
      <c r="Q263">
        <v>50</v>
      </c>
      <c r="R263">
        <v>0</v>
      </c>
      <c r="S263" t="s">
        <v>39</v>
      </c>
      <c r="T263">
        <v>2025</v>
      </c>
    </row>
    <row r="264" spans="1:20" x14ac:dyDescent="0.35">
      <c r="A264" t="s">
        <v>23</v>
      </c>
      <c r="B264" t="s">
        <v>32</v>
      </c>
      <c r="C264" s="32">
        <v>45717</v>
      </c>
      <c r="D264" t="s">
        <v>19</v>
      </c>
      <c r="E264">
        <v>8</v>
      </c>
      <c r="F264" t="s">
        <v>31</v>
      </c>
      <c r="G264">
        <v>131512.09</v>
      </c>
      <c r="H264">
        <v>123329.03</v>
      </c>
      <c r="I264">
        <v>407604.66</v>
      </c>
      <c r="J264">
        <v>0</v>
      </c>
      <c r="K264">
        <v>0</v>
      </c>
      <c r="L264">
        <v>0</v>
      </c>
      <c r="M264">
        <v>88723.81</v>
      </c>
      <c r="N264">
        <v>430405.84</v>
      </c>
      <c r="O264">
        <v>175.94657670073295</v>
      </c>
      <c r="P264">
        <v>63</v>
      </c>
      <c r="Q264">
        <v>1</v>
      </c>
      <c r="R264">
        <v>0</v>
      </c>
      <c r="S264" t="s">
        <v>39</v>
      </c>
      <c r="T264">
        <v>2025</v>
      </c>
    </row>
    <row r="265" spans="1:20" x14ac:dyDescent="0.35">
      <c r="A265" t="s">
        <v>23</v>
      </c>
      <c r="B265" t="s">
        <v>32</v>
      </c>
      <c r="C265" s="32">
        <v>45717</v>
      </c>
      <c r="D265" t="s">
        <v>19</v>
      </c>
      <c r="E265">
        <v>9</v>
      </c>
      <c r="F265" t="s">
        <v>30</v>
      </c>
      <c r="G265">
        <v>0</v>
      </c>
      <c r="H265">
        <v>4943.84</v>
      </c>
      <c r="I265">
        <v>0</v>
      </c>
      <c r="J265">
        <v>0</v>
      </c>
      <c r="K265">
        <v>0</v>
      </c>
      <c r="L265">
        <v>0</v>
      </c>
      <c r="M265">
        <v>1398.89</v>
      </c>
      <c r="N265">
        <v>0</v>
      </c>
      <c r="O265">
        <v>317.88638159906742</v>
      </c>
      <c r="P265">
        <v>3</v>
      </c>
      <c r="Q265">
        <v>108</v>
      </c>
      <c r="R265">
        <v>0</v>
      </c>
      <c r="S265" t="s">
        <v>39</v>
      </c>
      <c r="T265">
        <v>2025</v>
      </c>
    </row>
    <row r="266" spans="1:20" x14ac:dyDescent="0.35">
      <c r="A266" t="s">
        <v>23</v>
      </c>
      <c r="B266" t="s">
        <v>32</v>
      </c>
      <c r="C266" s="32">
        <v>45717</v>
      </c>
      <c r="D266" t="s">
        <v>19</v>
      </c>
      <c r="E266">
        <v>9</v>
      </c>
      <c r="F266" t="s">
        <v>31</v>
      </c>
      <c r="G266">
        <v>165406.98000000001</v>
      </c>
      <c r="H266">
        <v>212191.39</v>
      </c>
      <c r="I266">
        <v>939581.21</v>
      </c>
      <c r="J266">
        <v>0</v>
      </c>
      <c r="K266">
        <v>0</v>
      </c>
      <c r="L266">
        <v>0</v>
      </c>
      <c r="M266">
        <v>76707.47</v>
      </c>
      <c r="N266">
        <v>95028.86</v>
      </c>
      <c r="O266">
        <v>156.68544724837685</v>
      </c>
      <c r="P266">
        <v>84</v>
      </c>
      <c r="Q266">
        <v>2</v>
      </c>
      <c r="R266">
        <v>0</v>
      </c>
      <c r="S266" t="s">
        <v>39</v>
      </c>
      <c r="T266">
        <v>2025</v>
      </c>
    </row>
    <row r="267" spans="1:20" x14ac:dyDescent="0.35">
      <c r="A267" t="s">
        <v>23</v>
      </c>
      <c r="B267" t="s">
        <v>32</v>
      </c>
      <c r="C267" s="32">
        <v>45717</v>
      </c>
      <c r="D267" t="s">
        <v>19</v>
      </c>
      <c r="E267">
        <v>10</v>
      </c>
      <c r="F267" t="s">
        <v>30</v>
      </c>
      <c r="G267">
        <v>0</v>
      </c>
      <c r="H267">
        <v>218457.1</v>
      </c>
      <c r="I267">
        <v>354.09</v>
      </c>
      <c r="J267">
        <v>0</v>
      </c>
      <c r="K267">
        <v>0</v>
      </c>
      <c r="L267">
        <v>0</v>
      </c>
      <c r="M267">
        <v>2032.06</v>
      </c>
      <c r="N267">
        <v>0</v>
      </c>
      <c r="O267">
        <v>351.03026130360035</v>
      </c>
      <c r="P267">
        <v>16</v>
      </c>
      <c r="Q267">
        <v>42</v>
      </c>
      <c r="R267">
        <v>0</v>
      </c>
      <c r="S267" t="s">
        <v>39</v>
      </c>
      <c r="T267">
        <v>2025</v>
      </c>
    </row>
    <row r="268" spans="1:20" x14ac:dyDescent="0.35">
      <c r="A268" t="s">
        <v>23</v>
      </c>
      <c r="B268" t="s">
        <v>32</v>
      </c>
      <c r="C268" s="32">
        <v>45717</v>
      </c>
      <c r="D268" t="s">
        <v>19</v>
      </c>
      <c r="E268">
        <v>10</v>
      </c>
      <c r="F268" t="s">
        <v>31</v>
      </c>
      <c r="G268">
        <v>135755.45000000001</v>
      </c>
      <c r="H268">
        <v>414475.07</v>
      </c>
      <c r="I268">
        <v>2541651.34</v>
      </c>
      <c r="J268">
        <v>0</v>
      </c>
      <c r="K268">
        <v>0</v>
      </c>
      <c r="L268">
        <v>0</v>
      </c>
      <c r="M268">
        <v>322151.74</v>
      </c>
      <c r="N268">
        <v>1800048.75</v>
      </c>
      <c r="O268">
        <v>287.78794938201969</v>
      </c>
      <c r="P268">
        <v>76</v>
      </c>
      <c r="Q268">
        <v>2</v>
      </c>
      <c r="R268">
        <v>0</v>
      </c>
      <c r="S268" t="s">
        <v>39</v>
      </c>
      <c r="T268">
        <v>2025</v>
      </c>
    </row>
    <row r="269" spans="1:20" x14ac:dyDescent="0.35">
      <c r="A269" t="s">
        <v>23</v>
      </c>
      <c r="B269" t="s">
        <v>32</v>
      </c>
      <c r="C269" s="32">
        <v>45717</v>
      </c>
      <c r="D269" t="s">
        <v>19</v>
      </c>
      <c r="E269">
        <v>13</v>
      </c>
      <c r="F269" t="s">
        <v>30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28</v>
      </c>
      <c r="P269">
        <v>0</v>
      </c>
      <c r="Q269">
        <v>19</v>
      </c>
      <c r="R269">
        <v>0</v>
      </c>
      <c r="S269" t="s">
        <v>39</v>
      </c>
      <c r="T269">
        <v>2025</v>
      </c>
    </row>
    <row r="270" spans="1:20" x14ac:dyDescent="0.35">
      <c r="A270" t="s">
        <v>23</v>
      </c>
      <c r="B270" t="s">
        <v>32</v>
      </c>
      <c r="C270" s="32">
        <v>45717</v>
      </c>
      <c r="D270" t="s">
        <v>19</v>
      </c>
      <c r="E270">
        <v>13</v>
      </c>
      <c r="F270" t="s">
        <v>31</v>
      </c>
      <c r="G270">
        <v>0</v>
      </c>
      <c r="H270">
        <v>407.15</v>
      </c>
      <c r="I270">
        <v>74119.820000000007</v>
      </c>
      <c r="J270">
        <v>0</v>
      </c>
      <c r="K270">
        <v>0</v>
      </c>
      <c r="L270">
        <v>0</v>
      </c>
      <c r="M270">
        <v>38699.85</v>
      </c>
      <c r="N270">
        <v>250354.03</v>
      </c>
      <c r="O270">
        <v>204.34949798821495</v>
      </c>
      <c r="P270">
        <v>6</v>
      </c>
      <c r="Q270">
        <v>0</v>
      </c>
      <c r="R270">
        <v>0</v>
      </c>
      <c r="S270" t="s">
        <v>39</v>
      </c>
      <c r="T270">
        <v>2025</v>
      </c>
    </row>
    <row r="271" spans="1:20" x14ac:dyDescent="0.35">
      <c r="A271" t="s">
        <v>23</v>
      </c>
      <c r="B271" t="s">
        <v>32</v>
      </c>
      <c r="C271" s="32">
        <v>45717</v>
      </c>
      <c r="D271" t="s">
        <v>19</v>
      </c>
      <c r="E271">
        <v>14</v>
      </c>
      <c r="F271" t="s">
        <v>30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91.548986401299771</v>
      </c>
      <c r="P271">
        <v>1</v>
      </c>
      <c r="Q271">
        <v>29</v>
      </c>
      <c r="R271">
        <v>0</v>
      </c>
      <c r="S271" t="s">
        <v>39</v>
      </c>
      <c r="T271">
        <v>2025</v>
      </c>
    </row>
    <row r="272" spans="1:20" x14ac:dyDescent="0.35">
      <c r="A272" t="s">
        <v>23</v>
      </c>
      <c r="B272" t="s">
        <v>32</v>
      </c>
      <c r="C272" s="32">
        <v>45717</v>
      </c>
      <c r="D272" t="s">
        <v>19</v>
      </c>
      <c r="E272">
        <v>14</v>
      </c>
      <c r="F272" t="s">
        <v>31</v>
      </c>
      <c r="G272">
        <v>42420.75</v>
      </c>
      <c r="H272">
        <v>134490.9</v>
      </c>
      <c r="I272">
        <v>200169.05</v>
      </c>
      <c r="J272">
        <v>0</v>
      </c>
      <c r="K272">
        <v>0</v>
      </c>
      <c r="L272">
        <v>0</v>
      </c>
      <c r="M272">
        <v>63573.85</v>
      </c>
      <c r="N272">
        <v>229382.78</v>
      </c>
      <c r="O272">
        <v>326.07892028679476</v>
      </c>
      <c r="P272">
        <v>35</v>
      </c>
      <c r="Q272">
        <v>0</v>
      </c>
      <c r="R272">
        <v>0</v>
      </c>
      <c r="S272" t="s">
        <v>39</v>
      </c>
      <c r="T272">
        <v>2025</v>
      </c>
    </row>
    <row r="273" spans="1:20" x14ac:dyDescent="0.35">
      <c r="A273" t="s">
        <v>23</v>
      </c>
      <c r="B273" t="s">
        <v>32</v>
      </c>
      <c r="C273" s="32">
        <v>45717</v>
      </c>
      <c r="D273" t="s">
        <v>19</v>
      </c>
      <c r="E273">
        <v>15</v>
      </c>
      <c r="F273" t="s">
        <v>30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110.63786515084939</v>
      </c>
      <c r="P273">
        <v>2</v>
      </c>
      <c r="Q273">
        <v>7</v>
      </c>
      <c r="R273">
        <v>0</v>
      </c>
      <c r="S273" t="s">
        <v>39</v>
      </c>
      <c r="T273">
        <v>2025</v>
      </c>
    </row>
    <row r="274" spans="1:20" x14ac:dyDescent="0.35">
      <c r="A274" t="s">
        <v>23</v>
      </c>
      <c r="B274" t="s">
        <v>32</v>
      </c>
      <c r="C274" s="32">
        <v>45717</v>
      </c>
      <c r="D274" t="s">
        <v>19</v>
      </c>
      <c r="E274">
        <v>15</v>
      </c>
      <c r="F274" t="s">
        <v>31</v>
      </c>
      <c r="G274">
        <v>98243.1</v>
      </c>
      <c r="H274">
        <v>36941.24</v>
      </c>
      <c r="I274">
        <v>26366.720000000001</v>
      </c>
      <c r="J274">
        <v>0</v>
      </c>
      <c r="K274">
        <v>0</v>
      </c>
      <c r="L274">
        <v>0</v>
      </c>
      <c r="M274">
        <v>92454.84</v>
      </c>
      <c r="N274">
        <v>710716.44</v>
      </c>
      <c r="O274">
        <v>364.64880592642902</v>
      </c>
      <c r="P274">
        <v>24</v>
      </c>
      <c r="Q274">
        <v>0</v>
      </c>
      <c r="R274">
        <v>0</v>
      </c>
      <c r="S274" t="s">
        <v>39</v>
      </c>
      <c r="T274">
        <v>2025</v>
      </c>
    </row>
    <row r="275" spans="1:20" x14ac:dyDescent="0.35">
      <c r="A275" t="s">
        <v>23</v>
      </c>
      <c r="B275" t="s">
        <v>32</v>
      </c>
      <c r="C275" s="32">
        <v>45717</v>
      </c>
      <c r="D275" t="s">
        <v>19</v>
      </c>
      <c r="E275">
        <v>16</v>
      </c>
      <c r="F275" t="s">
        <v>30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28</v>
      </c>
      <c r="P275">
        <v>0</v>
      </c>
      <c r="Q275">
        <v>11</v>
      </c>
      <c r="R275">
        <v>0</v>
      </c>
      <c r="S275" t="s">
        <v>39</v>
      </c>
      <c r="T275">
        <v>2025</v>
      </c>
    </row>
    <row r="276" spans="1:20" x14ac:dyDescent="0.35">
      <c r="A276" t="s">
        <v>23</v>
      </c>
      <c r="B276" t="s">
        <v>32</v>
      </c>
      <c r="C276" s="32">
        <v>45717</v>
      </c>
      <c r="D276" t="s">
        <v>19</v>
      </c>
      <c r="E276">
        <v>16</v>
      </c>
      <c r="F276" t="s">
        <v>31</v>
      </c>
      <c r="G276">
        <v>0</v>
      </c>
      <c r="H276">
        <v>0</v>
      </c>
      <c r="I276">
        <v>76695.72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17.439924993297609</v>
      </c>
      <c r="P276">
        <v>1</v>
      </c>
      <c r="Q276">
        <v>0</v>
      </c>
      <c r="R276">
        <v>0</v>
      </c>
      <c r="S276" t="s">
        <v>39</v>
      </c>
      <c r="T276">
        <v>2025</v>
      </c>
    </row>
    <row r="277" spans="1:20" x14ac:dyDescent="0.35">
      <c r="A277" t="s">
        <v>33</v>
      </c>
      <c r="B277" t="s">
        <v>26</v>
      </c>
      <c r="C277" s="32">
        <v>45658</v>
      </c>
      <c r="D277" t="s">
        <v>27</v>
      </c>
      <c r="E277">
        <v>9</v>
      </c>
      <c r="F277" t="s">
        <v>48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28</v>
      </c>
      <c r="P277">
        <v>0</v>
      </c>
      <c r="Q277">
        <v>1</v>
      </c>
      <c r="R277">
        <v>0</v>
      </c>
      <c r="S277" t="s">
        <v>39</v>
      </c>
      <c r="T277">
        <v>2025</v>
      </c>
    </row>
    <row r="278" spans="1:20" x14ac:dyDescent="0.35">
      <c r="A278" t="s">
        <v>33</v>
      </c>
      <c r="B278" t="s">
        <v>26</v>
      </c>
      <c r="C278" s="32">
        <v>45658</v>
      </c>
      <c r="D278" t="s">
        <v>27</v>
      </c>
      <c r="E278">
        <v>13</v>
      </c>
      <c r="F278" t="s">
        <v>48</v>
      </c>
      <c r="G278">
        <v>0</v>
      </c>
      <c r="H278">
        <v>19476.22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48.974810245847038</v>
      </c>
      <c r="P278">
        <v>2</v>
      </c>
      <c r="Q278">
        <v>5</v>
      </c>
      <c r="R278">
        <v>0</v>
      </c>
      <c r="S278" t="s">
        <v>39</v>
      </c>
      <c r="T278">
        <v>2025</v>
      </c>
    </row>
    <row r="279" spans="1:20" x14ac:dyDescent="0.35">
      <c r="A279" t="s">
        <v>33</v>
      </c>
      <c r="B279" t="s">
        <v>26</v>
      </c>
      <c r="C279" s="32">
        <v>45658</v>
      </c>
      <c r="D279" t="s">
        <v>29</v>
      </c>
      <c r="E279">
        <v>6</v>
      </c>
      <c r="F279" t="s">
        <v>48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28</v>
      </c>
      <c r="P279">
        <v>0</v>
      </c>
      <c r="Q279">
        <v>3</v>
      </c>
      <c r="R279">
        <v>0</v>
      </c>
      <c r="S279" t="s">
        <v>39</v>
      </c>
      <c r="T279">
        <v>2025</v>
      </c>
    </row>
    <row r="280" spans="1:20" x14ac:dyDescent="0.35">
      <c r="A280" t="s">
        <v>33</v>
      </c>
      <c r="B280" t="s">
        <v>26</v>
      </c>
      <c r="C280" s="32">
        <v>45658</v>
      </c>
      <c r="D280" t="s">
        <v>29</v>
      </c>
      <c r="E280">
        <v>8</v>
      </c>
      <c r="F280" t="s">
        <v>48</v>
      </c>
      <c r="G280">
        <v>0</v>
      </c>
      <c r="H280">
        <v>118144.4</v>
      </c>
      <c r="I280">
        <v>920.3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45.269177964950359</v>
      </c>
      <c r="P280">
        <v>2</v>
      </c>
      <c r="Q280">
        <v>1</v>
      </c>
      <c r="R280">
        <v>0</v>
      </c>
      <c r="S280" t="s">
        <v>39</v>
      </c>
      <c r="T280">
        <v>2025</v>
      </c>
    </row>
    <row r="281" spans="1:20" x14ac:dyDescent="0.35">
      <c r="A281" t="s">
        <v>33</v>
      </c>
      <c r="B281" t="s">
        <v>26</v>
      </c>
      <c r="C281" s="32">
        <v>45658</v>
      </c>
      <c r="D281" t="s">
        <v>29</v>
      </c>
      <c r="E281">
        <v>9</v>
      </c>
      <c r="F281" t="s">
        <v>48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28</v>
      </c>
      <c r="P281">
        <v>0</v>
      </c>
      <c r="Q281">
        <v>5</v>
      </c>
      <c r="R281">
        <v>1</v>
      </c>
      <c r="S281" t="s">
        <v>39</v>
      </c>
      <c r="T281">
        <v>2025</v>
      </c>
    </row>
    <row r="282" spans="1:20" x14ac:dyDescent="0.35">
      <c r="A282" t="s">
        <v>33</v>
      </c>
      <c r="B282" t="s">
        <v>26</v>
      </c>
      <c r="C282" s="32">
        <v>45658</v>
      </c>
      <c r="D282" t="s">
        <v>29</v>
      </c>
      <c r="E282">
        <v>10</v>
      </c>
      <c r="F282" t="s">
        <v>48</v>
      </c>
      <c r="G282">
        <v>0</v>
      </c>
      <c r="H282">
        <v>2480.0300000000002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29.884128084566328</v>
      </c>
      <c r="P282">
        <v>3</v>
      </c>
      <c r="Q282">
        <v>4</v>
      </c>
      <c r="R282">
        <v>0</v>
      </c>
      <c r="S282" t="s">
        <v>39</v>
      </c>
      <c r="T282">
        <v>2025</v>
      </c>
    </row>
    <row r="283" spans="1:20" x14ac:dyDescent="0.35">
      <c r="A283" t="s">
        <v>33</v>
      </c>
      <c r="B283" t="s">
        <v>26</v>
      </c>
      <c r="C283" s="32">
        <v>45658</v>
      </c>
      <c r="D283" t="s">
        <v>29</v>
      </c>
      <c r="E283">
        <v>14</v>
      </c>
      <c r="F283" t="s">
        <v>48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28</v>
      </c>
      <c r="P283">
        <v>0</v>
      </c>
      <c r="Q283">
        <v>3</v>
      </c>
      <c r="R283">
        <v>0</v>
      </c>
      <c r="S283" t="s">
        <v>39</v>
      </c>
      <c r="T283">
        <v>2025</v>
      </c>
    </row>
    <row r="284" spans="1:20" x14ac:dyDescent="0.35">
      <c r="A284" t="s">
        <v>33</v>
      </c>
      <c r="B284" t="s">
        <v>26</v>
      </c>
      <c r="C284" s="32">
        <v>45658</v>
      </c>
      <c r="D284" t="s">
        <v>19</v>
      </c>
      <c r="E284">
        <v>6</v>
      </c>
      <c r="F284" t="s">
        <v>30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28</v>
      </c>
      <c r="P284">
        <v>0</v>
      </c>
      <c r="Q284">
        <v>8</v>
      </c>
      <c r="R284">
        <v>0</v>
      </c>
      <c r="S284" t="s">
        <v>39</v>
      </c>
      <c r="T284">
        <v>2025</v>
      </c>
    </row>
    <row r="285" spans="1:20" x14ac:dyDescent="0.35">
      <c r="A285" t="s">
        <v>33</v>
      </c>
      <c r="B285" t="s">
        <v>26</v>
      </c>
      <c r="C285" s="32">
        <v>45658</v>
      </c>
      <c r="D285" t="s">
        <v>19</v>
      </c>
      <c r="E285">
        <v>6</v>
      </c>
      <c r="F285" t="s">
        <v>31</v>
      </c>
      <c r="G285">
        <v>0</v>
      </c>
      <c r="H285">
        <v>660.1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44.500322649000736</v>
      </c>
      <c r="P285">
        <v>1</v>
      </c>
      <c r="Q285">
        <v>2</v>
      </c>
      <c r="R285">
        <v>0</v>
      </c>
      <c r="S285" t="s">
        <v>39</v>
      </c>
      <c r="T285">
        <v>2025</v>
      </c>
    </row>
    <row r="286" spans="1:20" x14ac:dyDescent="0.35">
      <c r="A286" t="s">
        <v>33</v>
      </c>
      <c r="B286" t="s">
        <v>26</v>
      </c>
      <c r="C286" s="32">
        <v>45658</v>
      </c>
      <c r="D286" t="s">
        <v>19</v>
      </c>
      <c r="E286">
        <v>8</v>
      </c>
      <c r="F286" t="s">
        <v>30</v>
      </c>
      <c r="G286">
        <v>0</v>
      </c>
      <c r="H286">
        <v>685.48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140.39124977569736</v>
      </c>
      <c r="P286">
        <v>1</v>
      </c>
      <c r="Q286">
        <v>2</v>
      </c>
      <c r="R286">
        <v>0</v>
      </c>
      <c r="S286" t="s">
        <v>39</v>
      </c>
      <c r="T286">
        <v>2025</v>
      </c>
    </row>
    <row r="287" spans="1:20" x14ac:dyDescent="0.35">
      <c r="A287" t="s">
        <v>33</v>
      </c>
      <c r="B287" t="s">
        <v>26</v>
      </c>
      <c r="C287" s="32">
        <v>45658</v>
      </c>
      <c r="D287" t="s">
        <v>19</v>
      </c>
      <c r="E287">
        <v>8</v>
      </c>
      <c r="F287" t="s">
        <v>31</v>
      </c>
      <c r="G287">
        <v>0</v>
      </c>
      <c r="H287">
        <v>2756.45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87.806527478802309</v>
      </c>
      <c r="P287">
        <v>4</v>
      </c>
      <c r="Q287">
        <v>0</v>
      </c>
      <c r="R287">
        <v>0</v>
      </c>
      <c r="S287" t="s">
        <v>39</v>
      </c>
      <c r="T287">
        <v>2025</v>
      </c>
    </row>
    <row r="288" spans="1:20" x14ac:dyDescent="0.35">
      <c r="A288" t="s">
        <v>33</v>
      </c>
      <c r="B288" t="s">
        <v>26</v>
      </c>
      <c r="C288" s="32">
        <v>45658</v>
      </c>
      <c r="D288" t="s">
        <v>19</v>
      </c>
      <c r="E288">
        <v>9</v>
      </c>
      <c r="F288" t="s">
        <v>30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28</v>
      </c>
      <c r="P288">
        <v>0</v>
      </c>
      <c r="Q288">
        <v>5</v>
      </c>
      <c r="R288">
        <v>0</v>
      </c>
      <c r="S288" t="s">
        <v>39</v>
      </c>
      <c r="T288">
        <v>2025</v>
      </c>
    </row>
    <row r="289" spans="1:20" x14ac:dyDescent="0.35">
      <c r="A289" t="s">
        <v>33</v>
      </c>
      <c r="B289" t="s">
        <v>26</v>
      </c>
      <c r="C289" s="32">
        <v>45658</v>
      </c>
      <c r="D289" t="s">
        <v>19</v>
      </c>
      <c r="E289">
        <v>9</v>
      </c>
      <c r="F289" t="s">
        <v>31</v>
      </c>
      <c r="G289">
        <v>0</v>
      </c>
      <c r="H289">
        <v>5568.06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245.38747140946217</v>
      </c>
      <c r="P289">
        <v>5</v>
      </c>
      <c r="Q289">
        <v>0</v>
      </c>
      <c r="R289">
        <v>0</v>
      </c>
      <c r="S289" t="s">
        <v>39</v>
      </c>
      <c r="T289">
        <v>2025</v>
      </c>
    </row>
    <row r="290" spans="1:20" x14ac:dyDescent="0.35">
      <c r="A290" t="s">
        <v>33</v>
      </c>
      <c r="B290" t="s">
        <v>26</v>
      </c>
      <c r="C290" s="32">
        <v>45658</v>
      </c>
      <c r="D290" t="s">
        <v>19</v>
      </c>
      <c r="E290">
        <v>10</v>
      </c>
      <c r="F290" t="s">
        <v>30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28</v>
      </c>
      <c r="P290">
        <v>0</v>
      </c>
      <c r="Q290">
        <v>6</v>
      </c>
      <c r="R290">
        <v>0</v>
      </c>
      <c r="S290" t="s">
        <v>39</v>
      </c>
      <c r="T290">
        <v>2025</v>
      </c>
    </row>
    <row r="291" spans="1:20" x14ac:dyDescent="0.35">
      <c r="A291" t="s">
        <v>33</v>
      </c>
      <c r="B291" t="s">
        <v>26</v>
      </c>
      <c r="C291" s="32">
        <v>45658</v>
      </c>
      <c r="D291" t="s">
        <v>19</v>
      </c>
      <c r="E291">
        <v>10</v>
      </c>
      <c r="F291" t="s">
        <v>31</v>
      </c>
      <c r="G291">
        <v>0</v>
      </c>
      <c r="H291">
        <v>2001.23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29.907126408750628</v>
      </c>
      <c r="P291">
        <v>2</v>
      </c>
      <c r="Q291">
        <v>1</v>
      </c>
      <c r="R291">
        <v>0</v>
      </c>
      <c r="S291" t="s">
        <v>39</v>
      </c>
      <c r="T291">
        <v>2025</v>
      </c>
    </row>
    <row r="292" spans="1:20" x14ac:dyDescent="0.35">
      <c r="A292" t="s">
        <v>33</v>
      </c>
      <c r="B292" t="s">
        <v>26</v>
      </c>
      <c r="C292" s="32">
        <v>45658</v>
      </c>
      <c r="D292" t="s">
        <v>19</v>
      </c>
      <c r="E292">
        <v>13</v>
      </c>
      <c r="F292" t="s">
        <v>31</v>
      </c>
      <c r="G292">
        <v>0</v>
      </c>
      <c r="H292">
        <v>774.62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62.559285539500706</v>
      </c>
      <c r="P292">
        <v>1</v>
      </c>
      <c r="Q292">
        <v>0</v>
      </c>
      <c r="R292">
        <v>0</v>
      </c>
      <c r="S292" t="s">
        <v>39</v>
      </c>
      <c r="T292">
        <v>2025</v>
      </c>
    </row>
    <row r="293" spans="1:20" x14ac:dyDescent="0.35">
      <c r="A293" t="s">
        <v>33</v>
      </c>
      <c r="B293" t="s">
        <v>26</v>
      </c>
      <c r="C293" s="32">
        <v>45658</v>
      </c>
      <c r="D293" t="s">
        <v>19</v>
      </c>
      <c r="E293">
        <v>14</v>
      </c>
      <c r="F293" t="s">
        <v>30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28</v>
      </c>
      <c r="P293">
        <v>0</v>
      </c>
      <c r="Q293">
        <v>4</v>
      </c>
      <c r="R293">
        <v>0</v>
      </c>
      <c r="S293" t="s">
        <v>39</v>
      </c>
      <c r="T293">
        <v>2025</v>
      </c>
    </row>
    <row r="294" spans="1:20" x14ac:dyDescent="0.35">
      <c r="A294" t="s">
        <v>33</v>
      </c>
      <c r="B294" t="s">
        <v>26</v>
      </c>
      <c r="C294" s="32">
        <v>45658</v>
      </c>
      <c r="D294" t="s">
        <v>19</v>
      </c>
      <c r="E294">
        <v>14</v>
      </c>
      <c r="F294" t="s">
        <v>31</v>
      </c>
      <c r="G294">
        <v>0</v>
      </c>
      <c r="H294">
        <v>2275.52</v>
      </c>
      <c r="I294">
        <v>1284.26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79.994203186248342</v>
      </c>
      <c r="P294">
        <v>2</v>
      </c>
      <c r="Q294">
        <v>0</v>
      </c>
      <c r="R294">
        <v>0</v>
      </c>
      <c r="S294" t="s">
        <v>39</v>
      </c>
      <c r="T294">
        <v>2025</v>
      </c>
    </row>
    <row r="295" spans="1:20" x14ac:dyDescent="0.35">
      <c r="A295" t="s">
        <v>33</v>
      </c>
      <c r="B295" t="s">
        <v>26</v>
      </c>
      <c r="C295" s="32">
        <v>45658</v>
      </c>
      <c r="D295" t="s">
        <v>19</v>
      </c>
      <c r="E295">
        <v>15</v>
      </c>
      <c r="F295" t="s">
        <v>30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28</v>
      </c>
      <c r="P295">
        <v>0</v>
      </c>
      <c r="Q295">
        <v>1</v>
      </c>
      <c r="R295">
        <v>0</v>
      </c>
      <c r="S295" t="s">
        <v>39</v>
      </c>
      <c r="T295">
        <v>2025</v>
      </c>
    </row>
    <row r="296" spans="1:20" x14ac:dyDescent="0.35">
      <c r="A296" t="s">
        <v>33</v>
      </c>
      <c r="B296" t="s">
        <v>26</v>
      </c>
      <c r="C296" s="32">
        <v>45658</v>
      </c>
      <c r="D296" t="s">
        <v>19</v>
      </c>
      <c r="E296">
        <v>16</v>
      </c>
      <c r="F296" t="s">
        <v>30</v>
      </c>
      <c r="G296">
        <v>0</v>
      </c>
      <c r="H296">
        <v>1587.19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56.294021825997334</v>
      </c>
      <c r="P296">
        <v>1</v>
      </c>
      <c r="Q296">
        <v>0</v>
      </c>
      <c r="R296">
        <v>0</v>
      </c>
      <c r="S296" t="s">
        <v>39</v>
      </c>
      <c r="T296">
        <v>2025</v>
      </c>
    </row>
    <row r="297" spans="1:20" x14ac:dyDescent="0.35">
      <c r="A297" t="s">
        <v>33</v>
      </c>
      <c r="B297" t="s">
        <v>26</v>
      </c>
      <c r="C297" s="32">
        <v>45658</v>
      </c>
      <c r="D297" t="s">
        <v>19</v>
      </c>
      <c r="E297">
        <v>16</v>
      </c>
      <c r="F297" t="s">
        <v>31</v>
      </c>
      <c r="G297">
        <v>0</v>
      </c>
      <c r="H297">
        <v>1819.85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84.641041948998463</v>
      </c>
      <c r="P297">
        <v>1</v>
      </c>
      <c r="Q297">
        <v>0</v>
      </c>
      <c r="R297">
        <v>0</v>
      </c>
      <c r="S297" t="s">
        <v>39</v>
      </c>
      <c r="T297">
        <v>2025</v>
      </c>
    </row>
    <row r="298" spans="1:20" x14ac:dyDescent="0.35">
      <c r="A298" t="s">
        <v>33</v>
      </c>
      <c r="B298" t="s">
        <v>26</v>
      </c>
      <c r="C298" s="32">
        <v>45689</v>
      </c>
      <c r="D298" t="s">
        <v>27</v>
      </c>
      <c r="E298">
        <v>13</v>
      </c>
      <c r="F298" t="s">
        <v>48</v>
      </c>
      <c r="G298">
        <v>0</v>
      </c>
      <c r="H298">
        <v>41141.21</v>
      </c>
      <c r="I298">
        <v>32.57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54.57040922610031</v>
      </c>
      <c r="P298">
        <v>5</v>
      </c>
      <c r="Q298">
        <v>8</v>
      </c>
      <c r="R298">
        <v>0</v>
      </c>
      <c r="S298" t="s">
        <v>39</v>
      </c>
      <c r="T298">
        <v>2025</v>
      </c>
    </row>
    <row r="299" spans="1:20" x14ac:dyDescent="0.35">
      <c r="A299" t="s">
        <v>33</v>
      </c>
      <c r="B299" t="s">
        <v>26</v>
      </c>
      <c r="C299" s="32">
        <v>45689</v>
      </c>
      <c r="D299" t="s">
        <v>29</v>
      </c>
      <c r="E299">
        <v>6</v>
      </c>
      <c r="F299" t="s">
        <v>48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28</v>
      </c>
      <c r="P299">
        <v>0</v>
      </c>
      <c r="Q299">
        <v>2</v>
      </c>
      <c r="R299">
        <v>0</v>
      </c>
      <c r="S299" t="s">
        <v>39</v>
      </c>
      <c r="T299">
        <v>2025</v>
      </c>
    </row>
    <row r="300" spans="1:20" x14ac:dyDescent="0.35">
      <c r="A300" t="s">
        <v>33</v>
      </c>
      <c r="B300" t="s">
        <v>26</v>
      </c>
      <c r="C300" s="32">
        <v>45689</v>
      </c>
      <c r="D300" t="s">
        <v>29</v>
      </c>
      <c r="E300">
        <v>8</v>
      </c>
      <c r="F300" t="s">
        <v>48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28</v>
      </c>
      <c r="P300">
        <v>0</v>
      </c>
      <c r="Q300">
        <v>6</v>
      </c>
      <c r="R300">
        <v>0</v>
      </c>
      <c r="S300" t="s">
        <v>39</v>
      </c>
      <c r="T300">
        <v>2025</v>
      </c>
    </row>
    <row r="301" spans="1:20" x14ac:dyDescent="0.35">
      <c r="A301" t="s">
        <v>33</v>
      </c>
      <c r="B301" t="s">
        <v>26</v>
      </c>
      <c r="C301" s="32">
        <v>45689</v>
      </c>
      <c r="D301" t="s">
        <v>29</v>
      </c>
      <c r="E301">
        <v>9</v>
      </c>
      <c r="F301" t="s">
        <v>48</v>
      </c>
      <c r="G301">
        <v>0</v>
      </c>
      <c r="H301">
        <v>98017.22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45.88974420240023</v>
      </c>
      <c r="P301">
        <v>3</v>
      </c>
      <c r="Q301">
        <v>4</v>
      </c>
      <c r="R301">
        <v>0</v>
      </c>
      <c r="S301" t="s">
        <v>39</v>
      </c>
      <c r="T301">
        <v>2025</v>
      </c>
    </row>
    <row r="302" spans="1:20" x14ac:dyDescent="0.35">
      <c r="A302" t="s">
        <v>33</v>
      </c>
      <c r="B302" t="s">
        <v>26</v>
      </c>
      <c r="C302" s="32">
        <v>45689</v>
      </c>
      <c r="D302" t="s">
        <v>29</v>
      </c>
      <c r="E302">
        <v>10</v>
      </c>
      <c r="F302" t="s">
        <v>48</v>
      </c>
      <c r="G302">
        <v>0</v>
      </c>
      <c r="H302">
        <v>20503.68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110.89228435450059</v>
      </c>
      <c r="P302">
        <v>3</v>
      </c>
      <c r="Q302">
        <v>7</v>
      </c>
      <c r="R302">
        <v>0</v>
      </c>
      <c r="S302" t="s">
        <v>39</v>
      </c>
      <c r="T302">
        <v>2025</v>
      </c>
    </row>
    <row r="303" spans="1:20" x14ac:dyDescent="0.35">
      <c r="A303" t="s">
        <v>33</v>
      </c>
      <c r="B303" t="s">
        <v>26</v>
      </c>
      <c r="C303" s="32">
        <v>45689</v>
      </c>
      <c r="D303" t="s">
        <v>29</v>
      </c>
      <c r="E303">
        <v>13</v>
      </c>
      <c r="F303" t="s">
        <v>48</v>
      </c>
      <c r="G303">
        <v>0</v>
      </c>
      <c r="H303">
        <v>550.83000000000004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14.354277895399719</v>
      </c>
      <c r="P303">
        <v>1</v>
      </c>
      <c r="Q303">
        <v>3</v>
      </c>
      <c r="R303">
        <v>0</v>
      </c>
      <c r="S303" t="s">
        <v>39</v>
      </c>
      <c r="T303">
        <v>2025</v>
      </c>
    </row>
    <row r="304" spans="1:20" x14ac:dyDescent="0.35">
      <c r="A304" t="s">
        <v>33</v>
      </c>
      <c r="B304" t="s">
        <v>26</v>
      </c>
      <c r="C304" s="32">
        <v>45689</v>
      </c>
      <c r="D304" t="s">
        <v>29</v>
      </c>
      <c r="E304">
        <v>14</v>
      </c>
      <c r="F304" t="s">
        <v>48</v>
      </c>
      <c r="G304">
        <v>0</v>
      </c>
      <c r="H304">
        <v>6081.12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97.683748085502884</v>
      </c>
      <c r="P304">
        <v>1</v>
      </c>
      <c r="Q304">
        <v>3</v>
      </c>
      <c r="R304">
        <v>0</v>
      </c>
      <c r="S304" t="s">
        <v>39</v>
      </c>
      <c r="T304">
        <v>2025</v>
      </c>
    </row>
    <row r="305" spans="1:20" x14ac:dyDescent="0.35">
      <c r="A305" t="s">
        <v>33</v>
      </c>
      <c r="B305" t="s">
        <v>26</v>
      </c>
      <c r="C305" s="32">
        <v>45689</v>
      </c>
      <c r="D305" t="s">
        <v>29</v>
      </c>
      <c r="E305">
        <v>15</v>
      </c>
      <c r="F305" t="s">
        <v>48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28</v>
      </c>
      <c r="P305">
        <v>0</v>
      </c>
      <c r="Q305">
        <v>1</v>
      </c>
      <c r="R305">
        <v>0</v>
      </c>
      <c r="S305" t="s">
        <v>39</v>
      </c>
      <c r="T305">
        <v>2025</v>
      </c>
    </row>
    <row r="306" spans="1:20" x14ac:dyDescent="0.35">
      <c r="A306" t="s">
        <v>33</v>
      </c>
      <c r="B306" t="s">
        <v>26</v>
      </c>
      <c r="C306" s="32">
        <v>45689</v>
      </c>
      <c r="D306" t="s">
        <v>19</v>
      </c>
      <c r="E306">
        <v>6</v>
      </c>
      <c r="F306" t="s">
        <v>30</v>
      </c>
      <c r="G306">
        <v>0</v>
      </c>
      <c r="H306">
        <v>1870.47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105.69813733729825</v>
      </c>
      <c r="P306">
        <v>1</v>
      </c>
      <c r="Q306">
        <v>7</v>
      </c>
      <c r="R306">
        <v>0</v>
      </c>
      <c r="S306" t="s">
        <v>39</v>
      </c>
      <c r="T306">
        <v>2025</v>
      </c>
    </row>
    <row r="307" spans="1:20" x14ac:dyDescent="0.35">
      <c r="A307" t="s">
        <v>33</v>
      </c>
      <c r="B307" t="s">
        <v>26</v>
      </c>
      <c r="C307" s="32">
        <v>45689</v>
      </c>
      <c r="D307" t="s">
        <v>19</v>
      </c>
      <c r="E307">
        <v>6</v>
      </c>
      <c r="F307" t="s">
        <v>31</v>
      </c>
      <c r="G307">
        <v>0</v>
      </c>
      <c r="H307">
        <v>2930.28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32.118006790330888</v>
      </c>
      <c r="P307">
        <v>3</v>
      </c>
      <c r="Q307">
        <v>0</v>
      </c>
      <c r="R307">
        <v>0</v>
      </c>
      <c r="S307" t="s">
        <v>39</v>
      </c>
      <c r="T307">
        <v>2025</v>
      </c>
    </row>
    <row r="308" spans="1:20" x14ac:dyDescent="0.35">
      <c r="A308" t="s">
        <v>33</v>
      </c>
      <c r="B308" t="s">
        <v>26</v>
      </c>
      <c r="C308" s="32">
        <v>45689</v>
      </c>
      <c r="D308" t="s">
        <v>19</v>
      </c>
      <c r="E308">
        <v>8</v>
      </c>
      <c r="F308" t="s">
        <v>30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28</v>
      </c>
      <c r="P308">
        <v>0</v>
      </c>
      <c r="Q308">
        <v>4</v>
      </c>
      <c r="R308">
        <v>0</v>
      </c>
      <c r="S308" t="s">
        <v>39</v>
      </c>
      <c r="T308">
        <v>2025</v>
      </c>
    </row>
    <row r="309" spans="1:20" x14ac:dyDescent="0.35">
      <c r="A309" t="s">
        <v>33</v>
      </c>
      <c r="B309" t="s">
        <v>26</v>
      </c>
      <c r="C309" s="32">
        <v>45689</v>
      </c>
      <c r="D309" t="s">
        <v>19</v>
      </c>
      <c r="E309">
        <v>8</v>
      </c>
      <c r="F309" t="s">
        <v>31</v>
      </c>
      <c r="G309">
        <v>0</v>
      </c>
      <c r="H309">
        <v>46537.2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68.685378421199857</v>
      </c>
      <c r="P309">
        <v>1</v>
      </c>
      <c r="Q309">
        <v>1</v>
      </c>
      <c r="R309">
        <v>0</v>
      </c>
      <c r="S309" t="s">
        <v>39</v>
      </c>
      <c r="T309">
        <v>2025</v>
      </c>
    </row>
    <row r="310" spans="1:20" x14ac:dyDescent="0.35">
      <c r="A310" t="s">
        <v>33</v>
      </c>
      <c r="B310" t="s">
        <v>26</v>
      </c>
      <c r="C310" s="32">
        <v>45689</v>
      </c>
      <c r="D310" t="s">
        <v>19</v>
      </c>
      <c r="E310">
        <v>9</v>
      </c>
      <c r="F310" t="s">
        <v>30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28</v>
      </c>
      <c r="P310">
        <v>0</v>
      </c>
      <c r="Q310">
        <v>5</v>
      </c>
      <c r="R310">
        <v>0</v>
      </c>
      <c r="S310" t="s">
        <v>39</v>
      </c>
      <c r="T310">
        <v>2025</v>
      </c>
    </row>
    <row r="311" spans="1:20" x14ac:dyDescent="0.35">
      <c r="A311" t="s">
        <v>33</v>
      </c>
      <c r="B311" t="s">
        <v>26</v>
      </c>
      <c r="C311" s="32">
        <v>45689</v>
      </c>
      <c r="D311" t="s">
        <v>19</v>
      </c>
      <c r="E311">
        <v>9</v>
      </c>
      <c r="F311" t="s">
        <v>31</v>
      </c>
      <c r="G311">
        <v>0</v>
      </c>
      <c r="H311">
        <v>3738.78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47.254985468474842</v>
      </c>
      <c r="P311">
        <v>4</v>
      </c>
      <c r="Q311">
        <v>0</v>
      </c>
      <c r="R311">
        <v>0</v>
      </c>
      <c r="S311" t="s">
        <v>39</v>
      </c>
      <c r="T311">
        <v>2025</v>
      </c>
    </row>
    <row r="312" spans="1:20" x14ac:dyDescent="0.35">
      <c r="A312" t="s">
        <v>33</v>
      </c>
      <c r="B312" t="s">
        <v>26</v>
      </c>
      <c r="C312" s="32">
        <v>45689</v>
      </c>
      <c r="D312" t="s">
        <v>19</v>
      </c>
      <c r="E312">
        <v>10</v>
      </c>
      <c r="F312" t="s">
        <v>30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28</v>
      </c>
      <c r="P312">
        <v>0</v>
      </c>
      <c r="Q312">
        <v>4</v>
      </c>
      <c r="R312">
        <v>0</v>
      </c>
      <c r="S312" t="s">
        <v>39</v>
      </c>
      <c r="T312">
        <v>2025</v>
      </c>
    </row>
    <row r="313" spans="1:20" x14ac:dyDescent="0.35">
      <c r="A313" t="s">
        <v>33</v>
      </c>
      <c r="B313" t="s">
        <v>26</v>
      </c>
      <c r="C313" s="32">
        <v>45689</v>
      </c>
      <c r="D313" t="s">
        <v>19</v>
      </c>
      <c r="E313">
        <v>10</v>
      </c>
      <c r="F313" t="s">
        <v>31</v>
      </c>
      <c r="G313">
        <v>0</v>
      </c>
      <c r="H313">
        <v>3708.29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65.653357163922919</v>
      </c>
      <c r="P313">
        <v>4</v>
      </c>
      <c r="Q313">
        <v>0</v>
      </c>
      <c r="R313">
        <v>0</v>
      </c>
      <c r="S313" t="s">
        <v>39</v>
      </c>
      <c r="T313">
        <v>2025</v>
      </c>
    </row>
    <row r="314" spans="1:20" x14ac:dyDescent="0.35">
      <c r="A314" t="s">
        <v>33</v>
      </c>
      <c r="B314" t="s">
        <v>26</v>
      </c>
      <c r="C314" s="32">
        <v>45689</v>
      </c>
      <c r="D314" t="s">
        <v>19</v>
      </c>
      <c r="E314">
        <v>13</v>
      </c>
      <c r="F314" t="s">
        <v>31</v>
      </c>
      <c r="G314">
        <v>0</v>
      </c>
      <c r="H314">
        <v>544.41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10.684619644198392</v>
      </c>
      <c r="P314">
        <v>1</v>
      </c>
      <c r="Q314">
        <v>0</v>
      </c>
      <c r="R314">
        <v>0</v>
      </c>
      <c r="S314" t="s">
        <v>39</v>
      </c>
      <c r="T314">
        <v>2025</v>
      </c>
    </row>
    <row r="315" spans="1:20" x14ac:dyDescent="0.35">
      <c r="A315" t="s">
        <v>33</v>
      </c>
      <c r="B315" t="s">
        <v>26</v>
      </c>
      <c r="C315" s="32">
        <v>45689</v>
      </c>
      <c r="D315" t="s">
        <v>19</v>
      </c>
      <c r="E315">
        <v>14</v>
      </c>
      <c r="F315" t="s">
        <v>30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28</v>
      </c>
      <c r="P315">
        <v>0</v>
      </c>
      <c r="Q315">
        <v>5</v>
      </c>
      <c r="R315">
        <v>0</v>
      </c>
      <c r="S315" t="s">
        <v>39</v>
      </c>
      <c r="T315">
        <v>2025</v>
      </c>
    </row>
    <row r="316" spans="1:20" x14ac:dyDescent="0.35">
      <c r="A316" t="s">
        <v>33</v>
      </c>
      <c r="B316" t="s">
        <v>26</v>
      </c>
      <c r="C316" s="32">
        <v>45689</v>
      </c>
      <c r="D316" t="s">
        <v>19</v>
      </c>
      <c r="E316">
        <v>14</v>
      </c>
      <c r="F316" t="s">
        <v>31</v>
      </c>
      <c r="G316">
        <v>0</v>
      </c>
      <c r="H316">
        <v>973.24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50.589007133203268</v>
      </c>
      <c r="P316">
        <v>1</v>
      </c>
      <c r="Q316">
        <v>0</v>
      </c>
      <c r="R316">
        <v>0</v>
      </c>
      <c r="S316" t="s">
        <v>39</v>
      </c>
      <c r="T316">
        <v>2025</v>
      </c>
    </row>
    <row r="317" spans="1:20" x14ac:dyDescent="0.35">
      <c r="A317" t="s">
        <v>33</v>
      </c>
      <c r="B317" t="s">
        <v>26</v>
      </c>
      <c r="C317" s="32">
        <v>45689</v>
      </c>
      <c r="D317" t="s">
        <v>19</v>
      </c>
      <c r="E317">
        <v>16</v>
      </c>
      <c r="F317" t="s">
        <v>30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28</v>
      </c>
      <c r="P317">
        <v>0</v>
      </c>
      <c r="Q317">
        <v>1</v>
      </c>
      <c r="R317">
        <v>0</v>
      </c>
      <c r="S317" t="s">
        <v>39</v>
      </c>
      <c r="T317">
        <v>2025</v>
      </c>
    </row>
    <row r="318" spans="1:20" x14ac:dyDescent="0.35">
      <c r="A318" t="s">
        <v>33</v>
      </c>
      <c r="B318" t="s">
        <v>26</v>
      </c>
      <c r="C318" s="32">
        <v>45717</v>
      </c>
      <c r="D318" t="s">
        <v>27</v>
      </c>
      <c r="E318">
        <v>13</v>
      </c>
      <c r="F318" t="s">
        <v>48</v>
      </c>
      <c r="G318">
        <v>0</v>
      </c>
      <c r="H318">
        <v>884.96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33.36420215889666</v>
      </c>
      <c r="P318">
        <v>1</v>
      </c>
      <c r="Q318">
        <v>10</v>
      </c>
      <c r="R318">
        <v>0</v>
      </c>
      <c r="S318" t="s">
        <v>39</v>
      </c>
      <c r="T318">
        <v>2025</v>
      </c>
    </row>
    <row r="319" spans="1:20" x14ac:dyDescent="0.35">
      <c r="A319" t="s">
        <v>33</v>
      </c>
      <c r="B319" t="s">
        <v>26</v>
      </c>
      <c r="C319" s="32">
        <v>45717</v>
      </c>
      <c r="D319" t="s">
        <v>27</v>
      </c>
      <c r="E319">
        <v>16</v>
      </c>
      <c r="F319" t="s">
        <v>48</v>
      </c>
      <c r="G319">
        <v>0</v>
      </c>
      <c r="H319">
        <v>749.69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47.626238653501787</v>
      </c>
      <c r="P319">
        <v>1</v>
      </c>
      <c r="Q319">
        <v>0</v>
      </c>
      <c r="R319">
        <v>0</v>
      </c>
      <c r="S319" t="s">
        <v>39</v>
      </c>
      <c r="T319">
        <v>2025</v>
      </c>
    </row>
    <row r="320" spans="1:20" x14ac:dyDescent="0.35">
      <c r="A320" t="s">
        <v>33</v>
      </c>
      <c r="B320" t="s">
        <v>26</v>
      </c>
      <c r="C320" s="32">
        <v>45717</v>
      </c>
      <c r="D320" t="s">
        <v>29</v>
      </c>
      <c r="E320">
        <v>6</v>
      </c>
      <c r="F320" t="s">
        <v>48</v>
      </c>
      <c r="G320">
        <v>0</v>
      </c>
      <c r="H320">
        <v>348.86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139.46584071999678</v>
      </c>
      <c r="P320">
        <v>1</v>
      </c>
      <c r="Q320">
        <v>4</v>
      </c>
      <c r="R320">
        <v>0</v>
      </c>
      <c r="S320" t="s">
        <v>39</v>
      </c>
      <c r="T320">
        <v>2025</v>
      </c>
    </row>
    <row r="321" spans="1:20" x14ac:dyDescent="0.35">
      <c r="A321" t="s">
        <v>33</v>
      </c>
      <c r="B321" t="s">
        <v>26</v>
      </c>
      <c r="C321" s="32">
        <v>45717</v>
      </c>
      <c r="D321" t="s">
        <v>29</v>
      </c>
      <c r="E321">
        <v>8</v>
      </c>
      <c r="F321" t="s">
        <v>48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28</v>
      </c>
      <c r="P321">
        <v>0</v>
      </c>
      <c r="Q321">
        <v>6</v>
      </c>
      <c r="R321">
        <v>0</v>
      </c>
      <c r="S321" t="s">
        <v>39</v>
      </c>
      <c r="T321">
        <v>2025</v>
      </c>
    </row>
    <row r="322" spans="1:20" x14ac:dyDescent="0.35">
      <c r="A322" t="s">
        <v>33</v>
      </c>
      <c r="B322" t="s">
        <v>26</v>
      </c>
      <c r="C322" s="32">
        <v>45717</v>
      </c>
      <c r="D322" t="s">
        <v>29</v>
      </c>
      <c r="E322">
        <v>9</v>
      </c>
      <c r="F322" t="s">
        <v>48</v>
      </c>
      <c r="G322">
        <v>0</v>
      </c>
      <c r="H322">
        <v>808.87</v>
      </c>
      <c r="I322">
        <v>1277.8499999999999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34.516891224702704</v>
      </c>
      <c r="P322">
        <v>1</v>
      </c>
      <c r="Q322">
        <v>8</v>
      </c>
      <c r="R322">
        <v>0</v>
      </c>
      <c r="S322" t="s">
        <v>39</v>
      </c>
      <c r="T322">
        <v>2025</v>
      </c>
    </row>
    <row r="323" spans="1:20" x14ac:dyDescent="0.35">
      <c r="A323" t="s">
        <v>33</v>
      </c>
      <c r="B323" t="s">
        <v>26</v>
      </c>
      <c r="C323" s="32">
        <v>45717</v>
      </c>
      <c r="D323" t="s">
        <v>29</v>
      </c>
      <c r="E323">
        <v>10</v>
      </c>
      <c r="F323" t="s">
        <v>48</v>
      </c>
      <c r="G323">
        <v>0</v>
      </c>
      <c r="H323">
        <v>858.41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18.355865422803618</v>
      </c>
      <c r="P323">
        <v>1</v>
      </c>
      <c r="Q323">
        <v>6</v>
      </c>
      <c r="R323">
        <v>0</v>
      </c>
      <c r="S323" t="s">
        <v>39</v>
      </c>
      <c r="T323">
        <v>2025</v>
      </c>
    </row>
    <row r="324" spans="1:20" x14ac:dyDescent="0.35">
      <c r="A324" t="s">
        <v>33</v>
      </c>
      <c r="B324" t="s">
        <v>26</v>
      </c>
      <c r="C324" s="32">
        <v>45717</v>
      </c>
      <c r="D324" t="s">
        <v>29</v>
      </c>
      <c r="E324">
        <v>14</v>
      </c>
      <c r="F324" t="s">
        <v>48</v>
      </c>
      <c r="G324">
        <v>0</v>
      </c>
      <c r="H324">
        <v>3634.64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10.604487714801508</v>
      </c>
      <c r="P324">
        <v>1</v>
      </c>
      <c r="Q324">
        <v>1</v>
      </c>
      <c r="R324">
        <v>0</v>
      </c>
      <c r="S324" t="s">
        <v>39</v>
      </c>
      <c r="T324">
        <v>2025</v>
      </c>
    </row>
    <row r="325" spans="1:20" x14ac:dyDescent="0.35">
      <c r="A325" t="s">
        <v>33</v>
      </c>
      <c r="B325" t="s">
        <v>26</v>
      </c>
      <c r="C325" s="32">
        <v>45717</v>
      </c>
      <c r="D325" t="s">
        <v>29</v>
      </c>
      <c r="E325">
        <v>15</v>
      </c>
      <c r="F325" t="s">
        <v>48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28</v>
      </c>
      <c r="P325">
        <v>0</v>
      </c>
      <c r="Q325">
        <v>1</v>
      </c>
      <c r="R325">
        <v>0</v>
      </c>
      <c r="S325" t="s">
        <v>39</v>
      </c>
      <c r="T325">
        <v>2025</v>
      </c>
    </row>
    <row r="326" spans="1:20" x14ac:dyDescent="0.35">
      <c r="A326" t="s">
        <v>33</v>
      </c>
      <c r="B326" t="s">
        <v>26</v>
      </c>
      <c r="C326" s="32">
        <v>45717</v>
      </c>
      <c r="D326" t="s">
        <v>29</v>
      </c>
      <c r="E326">
        <v>16</v>
      </c>
      <c r="F326" t="s">
        <v>48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28</v>
      </c>
      <c r="P326">
        <v>0</v>
      </c>
      <c r="Q326">
        <v>3</v>
      </c>
      <c r="R326">
        <v>0</v>
      </c>
      <c r="S326" t="s">
        <v>39</v>
      </c>
      <c r="T326">
        <v>2025</v>
      </c>
    </row>
    <row r="327" spans="1:20" x14ac:dyDescent="0.35">
      <c r="A327" t="s">
        <v>33</v>
      </c>
      <c r="B327" t="s">
        <v>26</v>
      </c>
      <c r="C327" s="32">
        <v>45717</v>
      </c>
      <c r="D327" t="s">
        <v>19</v>
      </c>
      <c r="E327">
        <v>6</v>
      </c>
      <c r="F327" t="s">
        <v>30</v>
      </c>
      <c r="G327">
        <v>0</v>
      </c>
      <c r="H327">
        <v>739.34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34.568677727496834</v>
      </c>
      <c r="P327">
        <v>1</v>
      </c>
      <c r="Q327">
        <v>6</v>
      </c>
      <c r="R327">
        <v>0</v>
      </c>
      <c r="S327" t="s">
        <v>39</v>
      </c>
      <c r="T327">
        <v>2025</v>
      </c>
    </row>
    <row r="328" spans="1:20" x14ac:dyDescent="0.35">
      <c r="A328" t="s">
        <v>33</v>
      </c>
      <c r="B328" t="s">
        <v>26</v>
      </c>
      <c r="C328" s="32">
        <v>45717</v>
      </c>
      <c r="D328" t="s">
        <v>19</v>
      </c>
      <c r="E328">
        <v>6</v>
      </c>
      <c r="F328" t="s">
        <v>31</v>
      </c>
      <c r="G328">
        <v>0</v>
      </c>
      <c r="H328">
        <v>6908.7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72.916601850583291</v>
      </c>
      <c r="P328">
        <v>6</v>
      </c>
      <c r="Q328">
        <v>3</v>
      </c>
      <c r="R328">
        <v>0</v>
      </c>
      <c r="S328" t="s">
        <v>39</v>
      </c>
      <c r="T328">
        <v>2025</v>
      </c>
    </row>
    <row r="329" spans="1:20" x14ac:dyDescent="0.35">
      <c r="A329" t="s">
        <v>33</v>
      </c>
      <c r="B329" t="s">
        <v>26</v>
      </c>
      <c r="C329" s="32">
        <v>45717</v>
      </c>
      <c r="D329" t="s">
        <v>19</v>
      </c>
      <c r="E329">
        <v>8</v>
      </c>
      <c r="F329" t="s">
        <v>30</v>
      </c>
      <c r="G329">
        <v>0</v>
      </c>
      <c r="H329">
        <v>1908.71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124.91081660439886</v>
      </c>
      <c r="P329">
        <v>2</v>
      </c>
      <c r="Q329">
        <v>5</v>
      </c>
      <c r="R329">
        <v>0</v>
      </c>
      <c r="S329" t="s">
        <v>39</v>
      </c>
      <c r="T329">
        <v>2025</v>
      </c>
    </row>
    <row r="330" spans="1:20" x14ac:dyDescent="0.35">
      <c r="A330" t="s">
        <v>33</v>
      </c>
      <c r="B330" t="s">
        <v>26</v>
      </c>
      <c r="C330" s="32">
        <v>45717</v>
      </c>
      <c r="D330" t="s">
        <v>19</v>
      </c>
      <c r="E330">
        <v>8</v>
      </c>
      <c r="F330" t="s">
        <v>31</v>
      </c>
      <c r="G330">
        <v>0</v>
      </c>
      <c r="H330">
        <v>846.4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28.672734186002344</v>
      </c>
      <c r="P330">
        <v>1</v>
      </c>
      <c r="Q330">
        <v>0</v>
      </c>
      <c r="R330">
        <v>0</v>
      </c>
      <c r="S330" t="s">
        <v>39</v>
      </c>
      <c r="T330">
        <v>2025</v>
      </c>
    </row>
    <row r="331" spans="1:20" x14ac:dyDescent="0.35">
      <c r="A331" t="s">
        <v>33</v>
      </c>
      <c r="B331" t="s">
        <v>26</v>
      </c>
      <c r="C331" s="32">
        <v>45717</v>
      </c>
      <c r="D331" t="s">
        <v>19</v>
      </c>
      <c r="E331">
        <v>9</v>
      </c>
      <c r="F331" t="s">
        <v>30</v>
      </c>
      <c r="G331">
        <v>0</v>
      </c>
      <c r="H331">
        <v>631.42999999999995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13.271877920400584</v>
      </c>
      <c r="P331">
        <v>1</v>
      </c>
      <c r="Q331">
        <v>3</v>
      </c>
      <c r="R331">
        <v>0</v>
      </c>
      <c r="S331" t="s">
        <v>39</v>
      </c>
      <c r="T331">
        <v>2025</v>
      </c>
    </row>
    <row r="332" spans="1:20" x14ac:dyDescent="0.35">
      <c r="A332" t="s">
        <v>33</v>
      </c>
      <c r="B332" t="s">
        <v>26</v>
      </c>
      <c r="C332" s="32">
        <v>45717</v>
      </c>
      <c r="D332" t="s">
        <v>19</v>
      </c>
      <c r="E332">
        <v>9</v>
      </c>
      <c r="F332" t="s">
        <v>31</v>
      </c>
      <c r="G332">
        <v>0</v>
      </c>
      <c r="H332">
        <v>2489.13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72.9496722085496</v>
      </c>
      <c r="P332">
        <v>2</v>
      </c>
      <c r="Q332">
        <v>2</v>
      </c>
      <c r="R332">
        <v>0</v>
      </c>
      <c r="S332" t="s">
        <v>39</v>
      </c>
      <c r="T332">
        <v>2025</v>
      </c>
    </row>
    <row r="333" spans="1:20" x14ac:dyDescent="0.35">
      <c r="A333" t="s">
        <v>33</v>
      </c>
      <c r="B333" t="s">
        <v>26</v>
      </c>
      <c r="C333" s="32">
        <v>45717</v>
      </c>
      <c r="D333" t="s">
        <v>19</v>
      </c>
      <c r="E333">
        <v>10</v>
      </c>
      <c r="F333" t="s">
        <v>30</v>
      </c>
      <c r="G333">
        <v>0</v>
      </c>
      <c r="H333">
        <v>318.08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-0.48215061720111407</v>
      </c>
      <c r="P333">
        <v>1</v>
      </c>
      <c r="Q333">
        <v>8</v>
      </c>
      <c r="R333">
        <v>0</v>
      </c>
      <c r="S333" t="s">
        <v>39</v>
      </c>
      <c r="T333">
        <v>2025</v>
      </c>
    </row>
    <row r="334" spans="1:20" x14ac:dyDescent="0.35">
      <c r="A334" t="s">
        <v>33</v>
      </c>
      <c r="B334" t="s">
        <v>26</v>
      </c>
      <c r="C334" s="32">
        <v>45717</v>
      </c>
      <c r="D334" t="s">
        <v>19</v>
      </c>
      <c r="E334">
        <v>10</v>
      </c>
      <c r="F334" t="s">
        <v>31</v>
      </c>
      <c r="G334">
        <v>0</v>
      </c>
      <c r="H334">
        <v>2993.01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57.011776188450312</v>
      </c>
      <c r="P334">
        <v>4</v>
      </c>
      <c r="Q334">
        <v>2</v>
      </c>
      <c r="R334">
        <v>0</v>
      </c>
      <c r="S334" t="s">
        <v>39</v>
      </c>
      <c r="T334">
        <v>2025</v>
      </c>
    </row>
    <row r="335" spans="1:20" x14ac:dyDescent="0.35">
      <c r="A335" t="s">
        <v>33</v>
      </c>
      <c r="B335" t="s">
        <v>26</v>
      </c>
      <c r="C335" s="32">
        <v>45717</v>
      </c>
      <c r="D335" t="s">
        <v>19</v>
      </c>
      <c r="E335">
        <v>13</v>
      </c>
      <c r="F335" t="s">
        <v>30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28</v>
      </c>
      <c r="P335">
        <v>0</v>
      </c>
      <c r="Q335">
        <v>3</v>
      </c>
      <c r="R335">
        <v>0</v>
      </c>
      <c r="S335" t="s">
        <v>39</v>
      </c>
      <c r="T335">
        <v>2025</v>
      </c>
    </row>
    <row r="336" spans="1:20" x14ac:dyDescent="0.35">
      <c r="A336" t="s">
        <v>33</v>
      </c>
      <c r="B336" t="s">
        <v>26</v>
      </c>
      <c r="C336" s="32">
        <v>45717</v>
      </c>
      <c r="D336" t="s">
        <v>19</v>
      </c>
      <c r="E336">
        <v>14</v>
      </c>
      <c r="F336" t="s">
        <v>30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28</v>
      </c>
      <c r="P336">
        <v>0</v>
      </c>
      <c r="Q336">
        <v>4</v>
      </c>
      <c r="R336">
        <v>0</v>
      </c>
      <c r="S336" t="s">
        <v>39</v>
      </c>
      <c r="T336">
        <v>2025</v>
      </c>
    </row>
    <row r="337" spans="1:20" x14ac:dyDescent="0.35">
      <c r="A337" t="s">
        <v>33</v>
      </c>
      <c r="B337" t="s">
        <v>26</v>
      </c>
      <c r="C337" s="32">
        <v>45717</v>
      </c>
      <c r="D337" t="s">
        <v>19</v>
      </c>
      <c r="E337">
        <v>14</v>
      </c>
      <c r="F337" t="s">
        <v>31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162.62603267750092</v>
      </c>
      <c r="P337">
        <v>1</v>
      </c>
      <c r="Q337">
        <v>0</v>
      </c>
      <c r="R337">
        <v>0</v>
      </c>
      <c r="S337" t="s">
        <v>39</v>
      </c>
      <c r="T337">
        <v>2025</v>
      </c>
    </row>
    <row r="338" spans="1:20" x14ac:dyDescent="0.35">
      <c r="A338" t="s">
        <v>33</v>
      </c>
      <c r="B338" t="s">
        <v>26</v>
      </c>
      <c r="C338" s="32">
        <v>45717</v>
      </c>
      <c r="D338" t="s">
        <v>19</v>
      </c>
      <c r="E338">
        <v>15</v>
      </c>
      <c r="F338" t="s">
        <v>30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28</v>
      </c>
      <c r="P338">
        <v>0</v>
      </c>
      <c r="Q338">
        <v>1</v>
      </c>
      <c r="R338">
        <v>0</v>
      </c>
      <c r="S338" t="s">
        <v>39</v>
      </c>
      <c r="T338">
        <v>2025</v>
      </c>
    </row>
    <row r="339" spans="1:20" x14ac:dyDescent="0.35">
      <c r="A339" t="s">
        <v>33</v>
      </c>
      <c r="B339" t="s">
        <v>26</v>
      </c>
      <c r="C339" s="32">
        <v>45717</v>
      </c>
      <c r="D339" t="s">
        <v>19</v>
      </c>
      <c r="E339">
        <v>15</v>
      </c>
      <c r="F339" t="s">
        <v>31</v>
      </c>
      <c r="G339">
        <v>0</v>
      </c>
      <c r="H339">
        <v>798.14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41.346816419398237</v>
      </c>
      <c r="P339">
        <v>1</v>
      </c>
      <c r="Q339">
        <v>0</v>
      </c>
      <c r="R339">
        <v>0</v>
      </c>
      <c r="S339" t="s">
        <v>39</v>
      </c>
      <c r="T339">
        <v>2025</v>
      </c>
    </row>
    <row r="340" spans="1:20" x14ac:dyDescent="0.35">
      <c r="A340" t="s">
        <v>33</v>
      </c>
      <c r="B340" t="s">
        <v>26</v>
      </c>
      <c r="C340" s="32">
        <v>45717</v>
      </c>
      <c r="D340" t="s">
        <v>19</v>
      </c>
      <c r="E340">
        <v>16</v>
      </c>
      <c r="F340" t="s">
        <v>30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28</v>
      </c>
      <c r="P340">
        <v>0</v>
      </c>
      <c r="Q340">
        <v>2</v>
      </c>
      <c r="R340">
        <v>0</v>
      </c>
      <c r="S340" t="s">
        <v>39</v>
      </c>
      <c r="T340">
        <v>2025</v>
      </c>
    </row>
    <row r="341" spans="1:20" x14ac:dyDescent="0.35">
      <c r="A341" t="s">
        <v>33</v>
      </c>
      <c r="B341" t="s">
        <v>26</v>
      </c>
      <c r="C341" s="32">
        <v>45717</v>
      </c>
      <c r="D341" t="s">
        <v>19</v>
      </c>
      <c r="E341">
        <v>16</v>
      </c>
      <c r="F341" t="s">
        <v>31</v>
      </c>
      <c r="G341">
        <v>0</v>
      </c>
      <c r="H341">
        <v>2345.41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41.610595396101417</v>
      </c>
      <c r="P341">
        <v>1</v>
      </c>
      <c r="Q341">
        <v>0</v>
      </c>
      <c r="R341">
        <v>0</v>
      </c>
      <c r="S341" t="s">
        <v>39</v>
      </c>
      <c r="T341">
        <v>2025</v>
      </c>
    </row>
    <row r="342" spans="1:20" x14ac:dyDescent="0.35">
      <c r="A342" t="s">
        <v>33</v>
      </c>
      <c r="B342" t="s">
        <v>32</v>
      </c>
      <c r="C342" s="32">
        <v>45658</v>
      </c>
      <c r="D342" t="s">
        <v>27</v>
      </c>
      <c r="E342">
        <v>8</v>
      </c>
      <c r="F342" t="s">
        <v>48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28</v>
      </c>
      <c r="P342">
        <v>0</v>
      </c>
      <c r="Q342">
        <v>1</v>
      </c>
      <c r="R342">
        <v>0</v>
      </c>
      <c r="S342" t="s">
        <v>39</v>
      </c>
      <c r="T342">
        <v>2025</v>
      </c>
    </row>
    <row r="343" spans="1:20" x14ac:dyDescent="0.35">
      <c r="A343" t="s">
        <v>33</v>
      </c>
      <c r="B343" t="s">
        <v>32</v>
      </c>
      <c r="C343" s="32">
        <v>45658</v>
      </c>
      <c r="D343" t="s">
        <v>27</v>
      </c>
      <c r="E343">
        <v>13</v>
      </c>
      <c r="F343" t="s">
        <v>48</v>
      </c>
      <c r="G343">
        <v>0</v>
      </c>
      <c r="H343">
        <v>4952.6099999999997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947.72465277349693</v>
      </c>
      <c r="P343">
        <v>1</v>
      </c>
      <c r="Q343">
        <v>1</v>
      </c>
      <c r="R343">
        <v>0</v>
      </c>
      <c r="S343" t="s">
        <v>39</v>
      </c>
      <c r="T343">
        <v>2025</v>
      </c>
    </row>
    <row r="344" spans="1:20" x14ac:dyDescent="0.35">
      <c r="A344" t="s">
        <v>33</v>
      </c>
      <c r="B344" t="s">
        <v>32</v>
      </c>
      <c r="C344" s="32">
        <v>45658</v>
      </c>
      <c r="D344" t="s">
        <v>29</v>
      </c>
      <c r="E344">
        <v>6</v>
      </c>
      <c r="F344" t="s">
        <v>48</v>
      </c>
      <c r="G344">
        <v>0</v>
      </c>
      <c r="H344">
        <v>62867.02</v>
      </c>
      <c r="I344">
        <v>39.15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585.946942320159</v>
      </c>
      <c r="P344">
        <v>5</v>
      </c>
      <c r="Q344">
        <v>8</v>
      </c>
      <c r="R344">
        <v>0</v>
      </c>
      <c r="S344" t="s">
        <v>39</v>
      </c>
      <c r="T344">
        <v>2025</v>
      </c>
    </row>
    <row r="345" spans="1:20" x14ac:dyDescent="0.35">
      <c r="A345" t="s">
        <v>33</v>
      </c>
      <c r="B345" t="s">
        <v>32</v>
      </c>
      <c r="C345" s="32">
        <v>45658</v>
      </c>
      <c r="D345" t="s">
        <v>29</v>
      </c>
      <c r="E345">
        <v>8</v>
      </c>
      <c r="F345" t="s">
        <v>48</v>
      </c>
      <c r="G345">
        <v>0</v>
      </c>
      <c r="H345">
        <v>221326.78</v>
      </c>
      <c r="I345">
        <v>2080.81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321.71908820841128</v>
      </c>
      <c r="P345">
        <v>10</v>
      </c>
      <c r="Q345">
        <v>16</v>
      </c>
      <c r="R345">
        <v>0</v>
      </c>
      <c r="S345" t="s">
        <v>39</v>
      </c>
      <c r="T345">
        <v>2025</v>
      </c>
    </row>
    <row r="346" spans="1:20" x14ac:dyDescent="0.35">
      <c r="A346" t="s">
        <v>33</v>
      </c>
      <c r="B346" t="s">
        <v>32</v>
      </c>
      <c r="C346" s="32">
        <v>45658</v>
      </c>
      <c r="D346" t="s">
        <v>29</v>
      </c>
      <c r="E346">
        <v>9</v>
      </c>
      <c r="F346" t="s">
        <v>48</v>
      </c>
      <c r="G346">
        <v>0</v>
      </c>
      <c r="H346">
        <v>1191.31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8.4265582950974931</v>
      </c>
      <c r="P346">
        <v>1</v>
      </c>
      <c r="Q346">
        <v>15</v>
      </c>
      <c r="R346">
        <v>0</v>
      </c>
      <c r="S346" t="s">
        <v>39</v>
      </c>
      <c r="T346">
        <v>2025</v>
      </c>
    </row>
    <row r="347" spans="1:20" x14ac:dyDescent="0.35">
      <c r="A347" t="s">
        <v>33</v>
      </c>
      <c r="B347" t="s">
        <v>32</v>
      </c>
      <c r="C347" s="32">
        <v>45658</v>
      </c>
      <c r="D347" t="s">
        <v>29</v>
      </c>
      <c r="E347">
        <v>10</v>
      </c>
      <c r="F347" t="s">
        <v>48</v>
      </c>
      <c r="G347">
        <v>0</v>
      </c>
      <c r="H347">
        <v>87130.85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713.36329808180017</v>
      </c>
      <c r="P347">
        <v>3</v>
      </c>
      <c r="Q347">
        <v>7</v>
      </c>
      <c r="R347">
        <v>0</v>
      </c>
      <c r="S347" t="s">
        <v>39</v>
      </c>
      <c r="T347">
        <v>2025</v>
      </c>
    </row>
    <row r="348" spans="1:20" x14ac:dyDescent="0.35">
      <c r="A348" t="s">
        <v>33</v>
      </c>
      <c r="B348" t="s">
        <v>32</v>
      </c>
      <c r="C348" s="32">
        <v>45658</v>
      </c>
      <c r="D348" t="s">
        <v>29</v>
      </c>
      <c r="E348">
        <v>13</v>
      </c>
      <c r="F348" t="s">
        <v>48</v>
      </c>
      <c r="G348">
        <v>0</v>
      </c>
      <c r="H348">
        <v>0</v>
      </c>
      <c r="I348">
        <v>130981.37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28</v>
      </c>
      <c r="P348">
        <v>0</v>
      </c>
      <c r="Q348">
        <v>4</v>
      </c>
      <c r="R348">
        <v>0</v>
      </c>
      <c r="S348" t="s">
        <v>39</v>
      </c>
      <c r="T348">
        <v>2025</v>
      </c>
    </row>
    <row r="349" spans="1:20" x14ac:dyDescent="0.35">
      <c r="A349" t="s">
        <v>33</v>
      </c>
      <c r="B349" t="s">
        <v>32</v>
      </c>
      <c r="C349" s="32">
        <v>45658</v>
      </c>
      <c r="D349" t="s">
        <v>29</v>
      </c>
      <c r="E349">
        <v>14</v>
      </c>
      <c r="F349" t="s">
        <v>48</v>
      </c>
      <c r="G349">
        <v>0</v>
      </c>
      <c r="H349">
        <v>128479.67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354.62976270050058</v>
      </c>
      <c r="P349">
        <v>2</v>
      </c>
      <c r="Q349">
        <v>6</v>
      </c>
      <c r="R349">
        <v>0</v>
      </c>
      <c r="S349" t="s">
        <v>39</v>
      </c>
      <c r="T349">
        <v>2025</v>
      </c>
    </row>
    <row r="350" spans="1:20" x14ac:dyDescent="0.35">
      <c r="A350" t="s">
        <v>33</v>
      </c>
      <c r="B350" t="s">
        <v>32</v>
      </c>
      <c r="C350" s="32">
        <v>45658</v>
      </c>
      <c r="D350" t="s">
        <v>29</v>
      </c>
      <c r="E350">
        <v>15</v>
      </c>
      <c r="F350" t="s">
        <v>48</v>
      </c>
      <c r="G350">
        <v>0</v>
      </c>
      <c r="H350">
        <v>55972.53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87.564170453602856</v>
      </c>
      <c r="P350">
        <v>1</v>
      </c>
      <c r="Q350">
        <v>0</v>
      </c>
      <c r="R350">
        <v>0</v>
      </c>
      <c r="S350" t="s">
        <v>39</v>
      </c>
      <c r="T350">
        <v>2025</v>
      </c>
    </row>
    <row r="351" spans="1:20" x14ac:dyDescent="0.35">
      <c r="A351" t="s">
        <v>33</v>
      </c>
      <c r="B351" t="s">
        <v>32</v>
      </c>
      <c r="C351" s="32">
        <v>45658</v>
      </c>
      <c r="D351" t="s">
        <v>29</v>
      </c>
      <c r="E351">
        <v>16</v>
      </c>
      <c r="F351" t="s">
        <v>48</v>
      </c>
      <c r="G351">
        <v>0</v>
      </c>
      <c r="H351">
        <v>739.92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31.722060649502964</v>
      </c>
      <c r="P351">
        <v>1</v>
      </c>
      <c r="Q351">
        <v>0</v>
      </c>
      <c r="R351">
        <v>0</v>
      </c>
      <c r="S351" t="s">
        <v>39</v>
      </c>
      <c r="T351">
        <v>2025</v>
      </c>
    </row>
    <row r="352" spans="1:20" x14ac:dyDescent="0.35">
      <c r="A352" t="s">
        <v>33</v>
      </c>
      <c r="B352" t="s">
        <v>32</v>
      </c>
      <c r="C352" s="32">
        <v>45658</v>
      </c>
      <c r="D352" t="s">
        <v>19</v>
      </c>
      <c r="E352">
        <v>5</v>
      </c>
      <c r="F352" t="s">
        <v>31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28</v>
      </c>
      <c r="P352">
        <v>0</v>
      </c>
      <c r="Q352">
        <v>1</v>
      </c>
      <c r="R352">
        <v>0</v>
      </c>
      <c r="S352" t="s">
        <v>39</v>
      </c>
      <c r="T352">
        <v>2025</v>
      </c>
    </row>
    <row r="353" spans="1:20" x14ac:dyDescent="0.35">
      <c r="A353" t="s">
        <v>33</v>
      </c>
      <c r="B353" t="s">
        <v>32</v>
      </c>
      <c r="C353" s="32">
        <v>45658</v>
      </c>
      <c r="D353" t="s">
        <v>19</v>
      </c>
      <c r="E353">
        <v>6</v>
      </c>
      <c r="F353" t="s">
        <v>30</v>
      </c>
      <c r="G353">
        <v>0</v>
      </c>
      <c r="H353">
        <v>15555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59.97048804910628</v>
      </c>
      <c r="P353">
        <v>16</v>
      </c>
      <c r="Q353">
        <v>137</v>
      </c>
      <c r="R353">
        <v>0</v>
      </c>
      <c r="S353" t="s">
        <v>39</v>
      </c>
      <c r="T353">
        <v>2025</v>
      </c>
    </row>
    <row r="354" spans="1:20" x14ac:dyDescent="0.35">
      <c r="A354" t="s">
        <v>33</v>
      </c>
      <c r="B354" t="s">
        <v>32</v>
      </c>
      <c r="C354" s="32">
        <v>45658</v>
      </c>
      <c r="D354" t="s">
        <v>19</v>
      </c>
      <c r="E354">
        <v>6</v>
      </c>
      <c r="F354" t="s">
        <v>31</v>
      </c>
      <c r="G354">
        <v>0</v>
      </c>
      <c r="H354">
        <v>51135.82</v>
      </c>
      <c r="I354">
        <v>4.5599999999999996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144.07388887187136</v>
      </c>
      <c r="P354">
        <v>66</v>
      </c>
      <c r="Q354">
        <v>27</v>
      </c>
      <c r="R354">
        <v>0</v>
      </c>
      <c r="S354" t="s">
        <v>39</v>
      </c>
      <c r="T354">
        <v>2025</v>
      </c>
    </row>
    <row r="355" spans="1:20" x14ac:dyDescent="0.35">
      <c r="A355" t="s">
        <v>33</v>
      </c>
      <c r="B355" t="s">
        <v>32</v>
      </c>
      <c r="C355" s="32">
        <v>45658</v>
      </c>
      <c r="D355" t="s">
        <v>19</v>
      </c>
      <c r="E355">
        <v>8</v>
      </c>
      <c r="F355" t="s">
        <v>30</v>
      </c>
      <c r="G355">
        <v>0</v>
      </c>
      <c r="H355">
        <v>12051.87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232.48806516723124</v>
      </c>
      <c r="P355">
        <v>10</v>
      </c>
      <c r="Q355">
        <v>156</v>
      </c>
      <c r="R355">
        <v>0</v>
      </c>
      <c r="S355" t="s">
        <v>39</v>
      </c>
      <c r="T355">
        <v>2025</v>
      </c>
    </row>
    <row r="356" spans="1:20" x14ac:dyDescent="0.35">
      <c r="A356" t="s">
        <v>33</v>
      </c>
      <c r="B356" t="s">
        <v>32</v>
      </c>
      <c r="C356" s="32">
        <v>45658</v>
      </c>
      <c r="D356" t="s">
        <v>19</v>
      </c>
      <c r="E356">
        <v>8</v>
      </c>
      <c r="F356" t="s">
        <v>31</v>
      </c>
      <c r="G356">
        <v>0</v>
      </c>
      <c r="H356">
        <v>64992.07</v>
      </c>
      <c r="I356">
        <v>686.21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209.95037290866847</v>
      </c>
      <c r="P356">
        <v>95</v>
      </c>
      <c r="Q356">
        <v>30</v>
      </c>
      <c r="R356">
        <v>0</v>
      </c>
      <c r="S356" t="s">
        <v>39</v>
      </c>
      <c r="T356">
        <v>2025</v>
      </c>
    </row>
    <row r="357" spans="1:20" x14ac:dyDescent="0.35">
      <c r="A357" t="s">
        <v>33</v>
      </c>
      <c r="B357" t="s">
        <v>32</v>
      </c>
      <c r="C357" s="32">
        <v>45658</v>
      </c>
      <c r="D357" t="s">
        <v>19</v>
      </c>
      <c r="E357">
        <v>9</v>
      </c>
      <c r="F357" t="s">
        <v>30</v>
      </c>
      <c r="G357">
        <v>0</v>
      </c>
      <c r="H357">
        <v>17594.47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141.07423895133942</v>
      </c>
      <c r="P357">
        <v>20</v>
      </c>
      <c r="Q357">
        <v>153</v>
      </c>
      <c r="R357">
        <v>0</v>
      </c>
      <c r="S357" t="s">
        <v>39</v>
      </c>
      <c r="T357">
        <v>2025</v>
      </c>
    </row>
    <row r="358" spans="1:20" x14ac:dyDescent="0.35">
      <c r="A358" t="s">
        <v>33</v>
      </c>
      <c r="B358" t="s">
        <v>32</v>
      </c>
      <c r="C358" s="32">
        <v>45658</v>
      </c>
      <c r="D358" t="s">
        <v>19</v>
      </c>
      <c r="E358">
        <v>9</v>
      </c>
      <c r="F358" t="s">
        <v>31</v>
      </c>
      <c r="G358">
        <v>0</v>
      </c>
      <c r="H358">
        <v>102370.13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106.41753358152296</v>
      </c>
      <c r="P358">
        <v>117</v>
      </c>
      <c r="Q358">
        <v>25</v>
      </c>
      <c r="R358">
        <v>0</v>
      </c>
      <c r="S358" t="s">
        <v>39</v>
      </c>
      <c r="T358">
        <v>2025</v>
      </c>
    </row>
    <row r="359" spans="1:20" x14ac:dyDescent="0.35">
      <c r="A359" t="s">
        <v>33</v>
      </c>
      <c r="B359" t="s">
        <v>32</v>
      </c>
      <c r="C359" s="32">
        <v>45658</v>
      </c>
      <c r="D359" t="s">
        <v>19</v>
      </c>
      <c r="E359">
        <v>10</v>
      </c>
      <c r="F359" t="s">
        <v>30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158.697079265301</v>
      </c>
      <c r="P359">
        <v>1</v>
      </c>
      <c r="Q359">
        <v>71</v>
      </c>
      <c r="R359">
        <v>0</v>
      </c>
      <c r="S359" t="s">
        <v>39</v>
      </c>
      <c r="T359">
        <v>2025</v>
      </c>
    </row>
    <row r="360" spans="1:20" x14ac:dyDescent="0.35">
      <c r="A360" t="s">
        <v>33</v>
      </c>
      <c r="B360" t="s">
        <v>32</v>
      </c>
      <c r="C360" s="32">
        <v>45658</v>
      </c>
      <c r="D360" t="s">
        <v>19</v>
      </c>
      <c r="E360">
        <v>10</v>
      </c>
      <c r="F360" t="s">
        <v>31</v>
      </c>
      <c r="G360">
        <v>0</v>
      </c>
      <c r="H360">
        <v>19046.150000000001</v>
      </c>
      <c r="I360">
        <v>4771.8599999999997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172.19816031555311</v>
      </c>
      <c r="P360">
        <v>30</v>
      </c>
      <c r="Q360">
        <v>5</v>
      </c>
      <c r="R360">
        <v>0</v>
      </c>
      <c r="S360" t="s">
        <v>39</v>
      </c>
      <c r="T360">
        <v>2025</v>
      </c>
    </row>
    <row r="361" spans="1:20" x14ac:dyDescent="0.35">
      <c r="A361" t="s">
        <v>33</v>
      </c>
      <c r="B361" t="s">
        <v>32</v>
      </c>
      <c r="C361" s="32">
        <v>45658</v>
      </c>
      <c r="D361" t="s">
        <v>19</v>
      </c>
      <c r="E361">
        <v>13</v>
      </c>
      <c r="F361" t="s">
        <v>30</v>
      </c>
      <c r="G361">
        <v>0</v>
      </c>
      <c r="H361">
        <v>4554.28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57.549501956000313</v>
      </c>
      <c r="P361">
        <v>2</v>
      </c>
      <c r="Q361">
        <v>20</v>
      </c>
      <c r="R361">
        <v>0</v>
      </c>
      <c r="S361" t="s">
        <v>39</v>
      </c>
      <c r="T361">
        <v>2025</v>
      </c>
    </row>
    <row r="362" spans="1:20" x14ac:dyDescent="0.35">
      <c r="A362" t="s">
        <v>33</v>
      </c>
      <c r="B362" t="s">
        <v>32</v>
      </c>
      <c r="C362" s="32">
        <v>45658</v>
      </c>
      <c r="D362" t="s">
        <v>19</v>
      </c>
      <c r="E362">
        <v>13</v>
      </c>
      <c r="F362" t="s">
        <v>31</v>
      </c>
      <c r="G362">
        <v>0</v>
      </c>
      <c r="H362">
        <v>11283.97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112.97916744821784</v>
      </c>
      <c r="P362">
        <v>11</v>
      </c>
      <c r="Q362">
        <v>8</v>
      </c>
      <c r="R362">
        <v>0</v>
      </c>
      <c r="S362" t="s">
        <v>39</v>
      </c>
      <c r="T362">
        <v>2025</v>
      </c>
    </row>
    <row r="363" spans="1:20" x14ac:dyDescent="0.35">
      <c r="A363" t="s">
        <v>33</v>
      </c>
      <c r="B363" t="s">
        <v>32</v>
      </c>
      <c r="C363" s="32">
        <v>45658</v>
      </c>
      <c r="D363" t="s">
        <v>19</v>
      </c>
      <c r="E363">
        <v>14</v>
      </c>
      <c r="F363" t="s">
        <v>30</v>
      </c>
      <c r="G363">
        <v>0</v>
      </c>
      <c r="H363">
        <v>2057.31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78.477010759699624</v>
      </c>
      <c r="P363">
        <v>1</v>
      </c>
      <c r="Q363">
        <v>15</v>
      </c>
      <c r="R363">
        <v>0</v>
      </c>
      <c r="S363" t="s">
        <v>39</v>
      </c>
      <c r="T363">
        <v>2025</v>
      </c>
    </row>
    <row r="364" spans="1:20" x14ac:dyDescent="0.35">
      <c r="A364" t="s">
        <v>33</v>
      </c>
      <c r="B364" t="s">
        <v>32</v>
      </c>
      <c r="C364" s="32">
        <v>45658</v>
      </c>
      <c r="D364" t="s">
        <v>19</v>
      </c>
      <c r="E364">
        <v>14</v>
      </c>
      <c r="F364" t="s">
        <v>31</v>
      </c>
      <c r="G364">
        <v>0</v>
      </c>
      <c r="H364">
        <v>1813.89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182.36226754789823</v>
      </c>
      <c r="P364">
        <v>4</v>
      </c>
      <c r="Q364">
        <v>1</v>
      </c>
      <c r="R364">
        <v>0</v>
      </c>
      <c r="S364" t="s">
        <v>39</v>
      </c>
      <c r="T364">
        <v>2025</v>
      </c>
    </row>
    <row r="365" spans="1:20" x14ac:dyDescent="0.35">
      <c r="A365" t="s">
        <v>33</v>
      </c>
      <c r="B365" t="s">
        <v>32</v>
      </c>
      <c r="C365" s="32">
        <v>45658</v>
      </c>
      <c r="D365" t="s">
        <v>19</v>
      </c>
      <c r="E365">
        <v>15</v>
      </c>
      <c r="F365" t="s">
        <v>30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28</v>
      </c>
      <c r="P365">
        <v>0</v>
      </c>
      <c r="Q365">
        <v>14</v>
      </c>
      <c r="R365">
        <v>0</v>
      </c>
      <c r="S365" t="s">
        <v>39</v>
      </c>
      <c r="T365">
        <v>2025</v>
      </c>
    </row>
    <row r="366" spans="1:20" x14ac:dyDescent="0.35">
      <c r="A366" t="s">
        <v>33</v>
      </c>
      <c r="B366" t="s">
        <v>32</v>
      </c>
      <c r="C366" s="32">
        <v>45658</v>
      </c>
      <c r="D366" t="s">
        <v>19</v>
      </c>
      <c r="E366">
        <v>15</v>
      </c>
      <c r="F366" t="s">
        <v>31</v>
      </c>
      <c r="G366">
        <v>0</v>
      </c>
      <c r="H366">
        <v>729.61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17.607069993100595</v>
      </c>
      <c r="P366">
        <v>1</v>
      </c>
      <c r="Q366">
        <v>2</v>
      </c>
      <c r="R366">
        <v>0</v>
      </c>
      <c r="S366" t="s">
        <v>39</v>
      </c>
      <c r="T366">
        <v>2025</v>
      </c>
    </row>
    <row r="367" spans="1:20" x14ac:dyDescent="0.35">
      <c r="A367" t="s">
        <v>33</v>
      </c>
      <c r="B367" t="s">
        <v>32</v>
      </c>
      <c r="C367" s="32">
        <v>45658</v>
      </c>
      <c r="D367" t="s">
        <v>19</v>
      </c>
      <c r="E367">
        <v>16</v>
      </c>
      <c r="F367" t="s">
        <v>30</v>
      </c>
      <c r="G367">
        <v>0</v>
      </c>
      <c r="H367">
        <v>5959.69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47.017616440998609</v>
      </c>
      <c r="P367">
        <v>4</v>
      </c>
      <c r="Q367">
        <v>15</v>
      </c>
      <c r="R367">
        <v>0</v>
      </c>
      <c r="S367" t="s">
        <v>39</v>
      </c>
      <c r="T367">
        <v>2025</v>
      </c>
    </row>
    <row r="368" spans="1:20" x14ac:dyDescent="0.35">
      <c r="A368" t="s">
        <v>33</v>
      </c>
      <c r="B368" t="s">
        <v>32</v>
      </c>
      <c r="C368" s="32">
        <v>45658</v>
      </c>
      <c r="D368" t="s">
        <v>19</v>
      </c>
      <c r="E368">
        <v>16</v>
      </c>
      <c r="F368" t="s">
        <v>31</v>
      </c>
      <c r="G368">
        <v>0</v>
      </c>
      <c r="H368">
        <v>2073.0100000000002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51.66721320429739</v>
      </c>
      <c r="P368">
        <v>3</v>
      </c>
      <c r="Q368">
        <v>3</v>
      </c>
      <c r="R368">
        <v>0</v>
      </c>
      <c r="S368" t="s">
        <v>39</v>
      </c>
      <c r="T368">
        <v>2025</v>
      </c>
    </row>
    <row r="369" spans="1:20" x14ac:dyDescent="0.35">
      <c r="A369" t="s">
        <v>33</v>
      </c>
      <c r="B369" t="s">
        <v>32</v>
      </c>
      <c r="C369" s="32">
        <v>45689</v>
      </c>
      <c r="D369" t="s">
        <v>27</v>
      </c>
      <c r="E369">
        <v>9</v>
      </c>
      <c r="F369" t="s">
        <v>48</v>
      </c>
      <c r="G369">
        <v>0</v>
      </c>
      <c r="H369">
        <v>2734.09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260.98936861656694</v>
      </c>
      <c r="P369">
        <v>3</v>
      </c>
      <c r="Q369">
        <v>0</v>
      </c>
      <c r="R369">
        <v>0</v>
      </c>
      <c r="S369" t="s">
        <v>39</v>
      </c>
      <c r="T369">
        <v>2025</v>
      </c>
    </row>
    <row r="370" spans="1:20" x14ac:dyDescent="0.35">
      <c r="A370" t="s">
        <v>33</v>
      </c>
      <c r="B370" t="s">
        <v>32</v>
      </c>
      <c r="C370" s="32">
        <v>45689</v>
      </c>
      <c r="D370" t="s">
        <v>27</v>
      </c>
      <c r="E370">
        <v>13</v>
      </c>
      <c r="F370" t="s">
        <v>48</v>
      </c>
      <c r="G370">
        <v>0</v>
      </c>
      <c r="H370">
        <v>70736.990000000005</v>
      </c>
      <c r="I370">
        <v>268.39999999999998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608.63169087380084</v>
      </c>
      <c r="P370">
        <v>1</v>
      </c>
      <c r="Q370">
        <v>1</v>
      </c>
      <c r="R370">
        <v>0</v>
      </c>
      <c r="S370" t="s">
        <v>39</v>
      </c>
      <c r="T370">
        <v>2025</v>
      </c>
    </row>
    <row r="371" spans="1:20" x14ac:dyDescent="0.35">
      <c r="A371" t="s">
        <v>33</v>
      </c>
      <c r="B371" t="s">
        <v>32</v>
      </c>
      <c r="C371" s="32">
        <v>45689</v>
      </c>
      <c r="D371" t="s">
        <v>29</v>
      </c>
      <c r="E371">
        <v>6</v>
      </c>
      <c r="F371" t="s">
        <v>48</v>
      </c>
      <c r="G371">
        <v>0</v>
      </c>
      <c r="H371">
        <v>22374.1</v>
      </c>
      <c r="I371">
        <v>1874.48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323.54409095788805</v>
      </c>
      <c r="P371">
        <v>7</v>
      </c>
      <c r="Q371">
        <v>12</v>
      </c>
      <c r="R371">
        <v>0</v>
      </c>
      <c r="S371" t="s">
        <v>39</v>
      </c>
      <c r="T371">
        <v>2025</v>
      </c>
    </row>
    <row r="372" spans="1:20" x14ac:dyDescent="0.35">
      <c r="A372" t="s">
        <v>33</v>
      </c>
      <c r="B372" t="s">
        <v>32</v>
      </c>
      <c r="C372" s="32">
        <v>45689</v>
      </c>
      <c r="D372" t="s">
        <v>29</v>
      </c>
      <c r="E372">
        <v>8</v>
      </c>
      <c r="F372" t="s">
        <v>48</v>
      </c>
      <c r="G372">
        <v>0</v>
      </c>
      <c r="H372">
        <v>65025.78</v>
      </c>
      <c r="I372">
        <v>3511.82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172.09242620850273</v>
      </c>
      <c r="P372">
        <v>2</v>
      </c>
      <c r="Q372">
        <v>23</v>
      </c>
      <c r="R372">
        <v>0</v>
      </c>
      <c r="S372" t="s">
        <v>39</v>
      </c>
      <c r="T372">
        <v>2025</v>
      </c>
    </row>
    <row r="373" spans="1:20" x14ac:dyDescent="0.35">
      <c r="A373" t="s">
        <v>33</v>
      </c>
      <c r="B373" t="s">
        <v>32</v>
      </c>
      <c r="C373" s="32">
        <v>45689</v>
      </c>
      <c r="D373" t="s">
        <v>29</v>
      </c>
      <c r="E373">
        <v>9</v>
      </c>
      <c r="F373" t="s">
        <v>48</v>
      </c>
      <c r="G373">
        <v>0</v>
      </c>
      <c r="H373">
        <v>53966.73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324.60101140913201</v>
      </c>
      <c r="P373">
        <v>6</v>
      </c>
      <c r="Q373">
        <v>19</v>
      </c>
      <c r="R373">
        <v>0</v>
      </c>
      <c r="S373" t="s">
        <v>39</v>
      </c>
      <c r="T373">
        <v>2025</v>
      </c>
    </row>
    <row r="374" spans="1:20" x14ac:dyDescent="0.35">
      <c r="A374" t="s">
        <v>33</v>
      </c>
      <c r="B374" t="s">
        <v>32</v>
      </c>
      <c r="C374" s="32">
        <v>45689</v>
      </c>
      <c r="D374" t="s">
        <v>29</v>
      </c>
      <c r="E374">
        <v>10</v>
      </c>
      <c r="F374" t="s">
        <v>48</v>
      </c>
      <c r="G374">
        <v>0</v>
      </c>
      <c r="H374">
        <v>131763.53</v>
      </c>
      <c r="I374">
        <v>1263.8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186.88189414384942</v>
      </c>
      <c r="P374">
        <v>4</v>
      </c>
      <c r="Q374">
        <v>10</v>
      </c>
      <c r="R374">
        <v>0</v>
      </c>
      <c r="S374" t="s">
        <v>39</v>
      </c>
      <c r="T374">
        <v>2025</v>
      </c>
    </row>
    <row r="375" spans="1:20" x14ac:dyDescent="0.35">
      <c r="A375" t="s">
        <v>33</v>
      </c>
      <c r="B375" t="s">
        <v>32</v>
      </c>
      <c r="C375" s="32">
        <v>45689</v>
      </c>
      <c r="D375" t="s">
        <v>29</v>
      </c>
      <c r="E375">
        <v>13</v>
      </c>
      <c r="F375" t="s">
        <v>48</v>
      </c>
      <c r="G375">
        <v>0</v>
      </c>
      <c r="H375">
        <v>0</v>
      </c>
      <c r="I375">
        <v>2161.44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28</v>
      </c>
      <c r="P375">
        <v>0</v>
      </c>
      <c r="Q375">
        <v>3</v>
      </c>
      <c r="R375">
        <v>0</v>
      </c>
      <c r="S375" t="s">
        <v>39</v>
      </c>
      <c r="T375">
        <v>2025</v>
      </c>
    </row>
    <row r="376" spans="1:20" x14ac:dyDescent="0.35">
      <c r="A376" t="s">
        <v>33</v>
      </c>
      <c r="B376" t="s">
        <v>32</v>
      </c>
      <c r="C376" s="32">
        <v>45689</v>
      </c>
      <c r="D376" t="s">
        <v>29</v>
      </c>
      <c r="E376">
        <v>14</v>
      </c>
      <c r="F376" t="s">
        <v>48</v>
      </c>
      <c r="G376">
        <v>0</v>
      </c>
      <c r="H376">
        <v>1380.58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37.638270833696879</v>
      </c>
      <c r="P376">
        <v>1</v>
      </c>
      <c r="Q376">
        <v>4</v>
      </c>
      <c r="R376">
        <v>0</v>
      </c>
      <c r="S376" t="s">
        <v>39</v>
      </c>
      <c r="T376">
        <v>2025</v>
      </c>
    </row>
    <row r="377" spans="1:20" x14ac:dyDescent="0.35">
      <c r="A377" t="s">
        <v>33</v>
      </c>
      <c r="B377" t="s">
        <v>32</v>
      </c>
      <c r="C377" s="32">
        <v>45689</v>
      </c>
      <c r="D377" t="s">
        <v>29</v>
      </c>
      <c r="E377">
        <v>16</v>
      </c>
      <c r="F377" t="s">
        <v>48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210.61651073260145</v>
      </c>
      <c r="P377">
        <v>1</v>
      </c>
      <c r="Q377">
        <v>0</v>
      </c>
      <c r="R377">
        <v>0</v>
      </c>
      <c r="S377" t="s">
        <v>39</v>
      </c>
      <c r="T377">
        <v>2025</v>
      </c>
    </row>
    <row r="378" spans="1:20" x14ac:dyDescent="0.35">
      <c r="A378" t="s">
        <v>33</v>
      </c>
      <c r="B378" t="s">
        <v>32</v>
      </c>
      <c r="C378" s="32">
        <v>45689</v>
      </c>
      <c r="D378" t="s">
        <v>19</v>
      </c>
      <c r="E378">
        <v>6</v>
      </c>
      <c r="F378" t="s">
        <v>30</v>
      </c>
      <c r="G378">
        <v>0</v>
      </c>
      <c r="H378">
        <v>20836.07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130.04750477206508</v>
      </c>
      <c r="P378">
        <v>20</v>
      </c>
      <c r="Q378">
        <v>124</v>
      </c>
      <c r="R378">
        <v>0</v>
      </c>
      <c r="S378" t="s">
        <v>39</v>
      </c>
      <c r="T378">
        <v>2025</v>
      </c>
    </row>
    <row r="379" spans="1:20" x14ac:dyDescent="0.35">
      <c r="A379" t="s">
        <v>33</v>
      </c>
      <c r="B379" t="s">
        <v>32</v>
      </c>
      <c r="C379" s="32">
        <v>45689</v>
      </c>
      <c r="D379" t="s">
        <v>19</v>
      </c>
      <c r="E379">
        <v>6</v>
      </c>
      <c r="F379" t="s">
        <v>31</v>
      </c>
      <c r="G379">
        <v>0</v>
      </c>
      <c r="H379">
        <v>50194.69</v>
      </c>
      <c r="I379">
        <v>146.84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105.53239987825417</v>
      </c>
      <c r="P379">
        <v>63</v>
      </c>
      <c r="Q379">
        <v>29</v>
      </c>
      <c r="R379">
        <v>0</v>
      </c>
      <c r="S379" t="s">
        <v>39</v>
      </c>
      <c r="T379">
        <v>2025</v>
      </c>
    </row>
    <row r="380" spans="1:20" x14ac:dyDescent="0.35">
      <c r="A380" t="s">
        <v>33</v>
      </c>
      <c r="B380" t="s">
        <v>32</v>
      </c>
      <c r="C380" s="32">
        <v>45689</v>
      </c>
      <c r="D380" t="s">
        <v>19</v>
      </c>
      <c r="E380">
        <v>8</v>
      </c>
      <c r="F380" t="s">
        <v>30</v>
      </c>
      <c r="G380">
        <v>0</v>
      </c>
      <c r="H380">
        <v>11082.42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160.72429824786619</v>
      </c>
      <c r="P380">
        <v>12</v>
      </c>
      <c r="Q380">
        <v>170</v>
      </c>
      <c r="R380">
        <v>1</v>
      </c>
      <c r="S380" t="s">
        <v>39</v>
      </c>
      <c r="T380">
        <v>2025</v>
      </c>
    </row>
    <row r="381" spans="1:20" x14ac:dyDescent="0.35">
      <c r="A381" t="s">
        <v>33</v>
      </c>
      <c r="B381" t="s">
        <v>32</v>
      </c>
      <c r="C381" s="32">
        <v>45689</v>
      </c>
      <c r="D381" t="s">
        <v>19</v>
      </c>
      <c r="E381">
        <v>8</v>
      </c>
      <c r="F381" t="s">
        <v>31</v>
      </c>
      <c r="G381">
        <v>0</v>
      </c>
      <c r="H381">
        <v>72171.61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193.35788871568232</v>
      </c>
      <c r="P381">
        <v>92</v>
      </c>
      <c r="Q381">
        <v>37</v>
      </c>
      <c r="R381">
        <v>0</v>
      </c>
      <c r="S381" t="s">
        <v>39</v>
      </c>
      <c r="T381">
        <v>2025</v>
      </c>
    </row>
    <row r="382" spans="1:20" x14ac:dyDescent="0.35">
      <c r="A382" t="s">
        <v>33</v>
      </c>
      <c r="B382" t="s">
        <v>32</v>
      </c>
      <c r="C382" s="32">
        <v>45689</v>
      </c>
      <c r="D382" t="s">
        <v>19</v>
      </c>
      <c r="E382">
        <v>9</v>
      </c>
      <c r="F382" t="s">
        <v>30</v>
      </c>
      <c r="G382">
        <v>0</v>
      </c>
      <c r="H382">
        <v>16581.830000000002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215.36644098652849</v>
      </c>
      <c r="P382">
        <v>18</v>
      </c>
      <c r="Q382">
        <v>218</v>
      </c>
      <c r="R382">
        <v>0</v>
      </c>
      <c r="S382" t="s">
        <v>39</v>
      </c>
      <c r="T382">
        <v>2025</v>
      </c>
    </row>
    <row r="383" spans="1:20" x14ac:dyDescent="0.35">
      <c r="A383" t="s">
        <v>33</v>
      </c>
      <c r="B383" t="s">
        <v>32</v>
      </c>
      <c r="C383" s="32">
        <v>45689</v>
      </c>
      <c r="D383" t="s">
        <v>19</v>
      </c>
      <c r="E383">
        <v>9</v>
      </c>
      <c r="F383" t="s">
        <v>31</v>
      </c>
      <c r="G383">
        <v>0</v>
      </c>
      <c r="H383">
        <v>89451.47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79.736567886728068</v>
      </c>
      <c r="P383">
        <v>92</v>
      </c>
      <c r="Q383">
        <v>30</v>
      </c>
      <c r="R383">
        <v>0</v>
      </c>
      <c r="S383" t="s">
        <v>39</v>
      </c>
      <c r="T383">
        <v>2025</v>
      </c>
    </row>
    <row r="384" spans="1:20" x14ac:dyDescent="0.35">
      <c r="A384" t="s">
        <v>33</v>
      </c>
      <c r="B384" t="s">
        <v>32</v>
      </c>
      <c r="C384" s="32">
        <v>45689</v>
      </c>
      <c r="D384" t="s">
        <v>19</v>
      </c>
      <c r="E384">
        <v>10</v>
      </c>
      <c r="F384" t="s">
        <v>30</v>
      </c>
      <c r="G384">
        <v>0</v>
      </c>
      <c r="H384">
        <v>4123.5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84.752790829099467</v>
      </c>
      <c r="P384">
        <v>8</v>
      </c>
      <c r="Q384">
        <v>67</v>
      </c>
      <c r="R384">
        <v>0</v>
      </c>
      <c r="S384" t="s">
        <v>39</v>
      </c>
      <c r="T384">
        <v>2025</v>
      </c>
    </row>
    <row r="385" spans="1:20" x14ac:dyDescent="0.35">
      <c r="A385" t="s">
        <v>33</v>
      </c>
      <c r="B385" t="s">
        <v>32</v>
      </c>
      <c r="C385" s="32">
        <v>45689</v>
      </c>
      <c r="D385" t="s">
        <v>19</v>
      </c>
      <c r="E385">
        <v>10</v>
      </c>
      <c r="F385" t="s">
        <v>31</v>
      </c>
      <c r="G385">
        <v>0</v>
      </c>
      <c r="H385">
        <v>37908.9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99.746612177452178</v>
      </c>
      <c r="P385">
        <v>48</v>
      </c>
      <c r="Q385">
        <v>2</v>
      </c>
      <c r="R385">
        <v>0</v>
      </c>
      <c r="S385" t="s">
        <v>39</v>
      </c>
      <c r="T385">
        <v>2025</v>
      </c>
    </row>
    <row r="386" spans="1:20" x14ac:dyDescent="0.35">
      <c r="A386" t="s">
        <v>33</v>
      </c>
      <c r="B386" t="s">
        <v>32</v>
      </c>
      <c r="C386" s="32">
        <v>45689</v>
      </c>
      <c r="D386" t="s">
        <v>19</v>
      </c>
      <c r="E386">
        <v>13</v>
      </c>
      <c r="F386" t="s">
        <v>30</v>
      </c>
      <c r="G386">
        <v>0</v>
      </c>
      <c r="H386">
        <v>5489.44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22.330414902539633</v>
      </c>
      <c r="P386">
        <v>5</v>
      </c>
      <c r="Q386">
        <v>20</v>
      </c>
      <c r="R386">
        <v>0</v>
      </c>
      <c r="S386" t="s">
        <v>39</v>
      </c>
      <c r="T386">
        <v>2025</v>
      </c>
    </row>
    <row r="387" spans="1:20" x14ac:dyDescent="0.35">
      <c r="A387" t="s">
        <v>33</v>
      </c>
      <c r="B387" t="s">
        <v>32</v>
      </c>
      <c r="C387" s="32">
        <v>45689</v>
      </c>
      <c r="D387" t="s">
        <v>19</v>
      </c>
      <c r="E387">
        <v>13</v>
      </c>
      <c r="F387" t="s">
        <v>31</v>
      </c>
      <c r="G387">
        <v>0</v>
      </c>
      <c r="H387">
        <v>22057.040000000001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54.767146779184621</v>
      </c>
      <c r="P387">
        <v>20</v>
      </c>
      <c r="Q387">
        <v>1</v>
      </c>
      <c r="R387">
        <v>0</v>
      </c>
      <c r="S387" t="s">
        <v>39</v>
      </c>
      <c r="T387">
        <v>2025</v>
      </c>
    </row>
    <row r="388" spans="1:20" x14ac:dyDescent="0.35">
      <c r="A388" t="s">
        <v>33</v>
      </c>
      <c r="B388" t="s">
        <v>32</v>
      </c>
      <c r="C388" s="32">
        <v>45689</v>
      </c>
      <c r="D388" t="s">
        <v>19</v>
      </c>
      <c r="E388">
        <v>14</v>
      </c>
      <c r="F388" t="s">
        <v>30</v>
      </c>
      <c r="G388">
        <v>0</v>
      </c>
      <c r="H388">
        <v>1243.49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22.368785659702553</v>
      </c>
      <c r="P388">
        <v>1</v>
      </c>
      <c r="Q388">
        <v>40</v>
      </c>
      <c r="R388">
        <v>0</v>
      </c>
      <c r="S388" t="s">
        <v>39</v>
      </c>
      <c r="T388">
        <v>2025</v>
      </c>
    </row>
    <row r="389" spans="1:20" x14ac:dyDescent="0.35">
      <c r="A389" t="s">
        <v>33</v>
      </c>
      <c r="B389" t="s">
        <v>32</v>
      </c>
      <c r="C389" s="32">
        <v>45689</v>
      </c>
      <c r="D389" t="s">
        <v>19</v>
      </c>
      <c r="E389">
        <v>14</v>
      </c>
      <c r="F389" t="s">
        <v>31</v>
      </c>
      <c r="G389">
        <v>0</v>
      </c>
      <c r="H389">
        <v>53296.35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77.165829403520917</v>
      </c>
      <c r="P389">
        <v>10</v>
      </c>
      <c r="Q389">
        <v>3</v>
      </c>
      <c r="R389">
        <v>0</v>
      </c>
      <c r="S389" t="s">
        <v>39</v>
      </c>
      <c r="T389">
        <v>2025</v>
      </c>
    </row>
    <row r="390" spans="1:20" x14ac:dyDescent="0.35">
      <c r="A390" t="s">
        <v>33</v>
      </c>
      <c r="B390" t="s">
        <v>32</v>
      </c>
      <c r="C390" s="32">
        <v>45689</v>
      </c>
      <c r="D390" t="s">
        <v>19</v>
      </c>
      <c r="E390">
        <v>15</v>
      </c>
      <c r="F390" t="s">
        <v>30</v>
      </c>
      <c r="G390">
        <v>0</v>
      </c>
      <c r="H390">
        <v>965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45.556841570003598</v>
      </c>
      <c r="P390">
        <v>1</v>
      </c>
      <c r="Q390">
        <v>15</v>
      </c>
      <c r="R390">
        <v>0</v>
      </c>
      <c r="S390" t="s">
        <v>39</v>
      </c>
      <c r="T390">
        <v>2025</v>
      </c>
    </row>
    <row r="391" spans="1:20" x14ac:dyDescent="0.35">
      <c r="A391" t="s">
        <v>33</v>
      </c>
      <c r="B391" t="s">
        <v>32</v>
      </c>
      <c r="C391" s="32">
        <v>45689</v>
      </c>
      <c r="D391" t="s">
        <v>19</v>
      </c>
      <c r="E391">
        <v>15</v>
      </c>
      <c r="F391" t="s">
        <v>31</v>
      </c>
      <c r="G391">
        <v>0</v>
      </c>
      <c r="H391">
        <v>10126.61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100.99530484884532</v>
      </c>
      <c r="P391">
        <v>11</v>
      </c>
      <c r="Q391">
        <v>1</v>
      </c>
      <c r="R391">
        <v>0</v>
      </c>
      <c r="S391" t="s">
        <v>39</v>
      </c>
      <c r="T391">
        <v>2025</v>
      </c>
    </row>
    <row r="392" spans="1:20" x14ac:dyDescent="0.35">
      <c r="A392" t="s">
        <v>33</v>
      </c>
      <c r="B392" t="s">
        <v>32</v>
      </c>
      <c r="C392" s="32">
        <v>45689</v>
      </c>
      <c r="D392" t="s">
        <v>19</v>
      </c>
      <c r="E392">
        <v>16</v>
      </c>
      <c r="F392" t="s">
        <v>30</v>
      </c>
      <c r="G392">
        <v>0</v>
      </c>
      <c r="H392">
        <v>1673.79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74.360225961601827</v>
      </c>
      <c r="P392">
        <v>1</v>
      </c>
      <c r="Q392">
        <v>13</v>
      </c>
      <c r="R392">
        <v>0</v>
      </c>
      <c r="S392" t="s">
        <v>39</v>
      </c>
      <c r="T392">
        <v>2025</v>
      </c>
    </row>
    <row r="393" spans="1:20" x14ac:dyDescent="0.35">
      <c r="A393" t="s">
        <v>33</v>
      </c>
      <c r="B393" t="s">
        <v>32</v>
      </c>
      <c r="C393" s="32">
        <v>45689</v>
      </c>
      <c r="D393" t="s">
        <v>19</v>
      </c>
      <c r="E393">
        <v>16</v>
      </c>
      <c r="F393" t="s">
        <v>31</v>
      </c>
      <c r="G393">
        <v>0</v>
      </c>
      <c r="H393">
        <v>6458.07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199.12814285260052</v>
      </c>
      <c r="P393">
        <v>6</v>
      </c>
      <c r="Q393">
        <v>5</v>
      </c>
      <c r="R393">
        <v>0</v>
      </c>
      <c r="S393" t="s">
        <v>39</v>
      </c>
      <c r="T393">
        <v>2025</v>
      </c>
    </row>
    <row r="394" spans="1:20" x14ac:dyDescent="0.35">
      <c r="A394" t="s">
        <v>33</v>
      </c>
      <c r="B394" t="s">
        <v>32</v>
      </c>
      <c r="C394" s="32">
        <v>45717</v>
      </c>
      <c r="D394" t="s">
        <v>27</v>
      </c>
      <c r="E394">
        <v>6</v>
      </c>
      <c r="F394" t="s">
        <v>48</v>
      </c>
      <c r="G394">
        <v>0</v>
      </c>
      <c r="H394">
        <v>663.21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328.38581940640142</v>
      </c>
      <c r="P394">
        <v>1</v>
      </c>
      <c r="Q394">
        <v>1</v>
      </c>
      <c r="R394">
        <v>0</v>
      </c>
      <c r="S394" t="s">
        <v>39</v>
      </c>
      <c r="T394">
        <v>2025</v>
      </c>
    </row>
    <row r="395" spans="1:20" x14ac:dyDescent="0.35">
      <c r="A395" t="s">
        <v>33</v>
      </c>
      <c r="B395" t="s">
        <v>32</v>
      </c>
      <c r="C395" s="32">
        <v>45717</v>
      </c>
      <c r="D395" t="s">
        <v>27</v>
      </c>
      <c r="E395">
        <v>10</v>
      </c>
      <c r="F395" t="s">
        <v>48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28</v>
      </c>
      <c r="P395">
        <v>0</v>
      </c>
      <c r="Q395">
        <v>1</v>
      </c>
      <c r="R395">
        <v>0</v>
      </c>
      <c r="S395" t="s">
        <v>39</v>
      </c>
      <c r="T395">
        <v>2025</v>
      </c>
    </row>
    <row r="396" spans="1:20" x14ac:dyDescent="0.35">
      <c r="A396" t="s">
        <v>33</v>
      </c>
      <c r="B396" t="s">
        <v>32</v>
      </c>
      <c r="C396" s="32">
        <v>45717</v>
      </c>
      <c r="D396" t="s">
        <v>27</v>
      </c>
      <c r="E396">
        <v>13</v>
      </c>
      <c r="F396" t="s">
        <v>48</v>
      </c>
      <c r="G396">
        <v>0</v>
      </c>
      <c r="H396">
        <v>149975.03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551.19246207047581</v>
      </c>
      <c r="P396">
        <v>4</v>
      </c>
      <c r="Q396">
        <v>0</v>
      </c>
      <c r="R396">
        <v>0</v>
      </c>
      <c r="S396" t="s">
        <v>39</v>
      </c>
      <c r="T396">
        <v>2025</v>
      </c>
    </row>
    <row r="397" spans="1:20" x14ac:dyDescent="0.35">
      <c r="A397" t="s">
        <v>33</v>
      </c>
      <c r="B397" t="s">
        <v>32</v>
      </c>
      <c r="C397" s="32">
        <v>45717</v>
      </c>
      <c r="D397" t="s">
        <v>29</v>
      </c>
      <c r="E397">
        <v>5</v>
      </c>
      <c r="F397" t="s">
        <v>48</v>
      </c>
      <c r="G397">
        <v>0</v>
      </c>
      <c r="H397">
        <v>2059.1799999999998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310.58211921119801</v>
      </c>
      <c r="P397">
        <v>1</v>
      </c>
      <c r="Q397">
        <v>0</v>
      </c>
      <c r="R397">
        <v>0</v>
      </c>
      <c r="S397" t="s">
        <v>39</v>
      </c>
      <c r="T397">
        <v>2025</v>
      </c>
    </row>
    <row r="398" spans="1:20" x14ac:dyDescent="0.35">
      <c r="A398" t="s">
        <v>33</v>
      </c>
      <c r="B398" t="s">
        <v>32</v>
      </c>
      <c r="C398" s="32">
        <v>45717</v>
      </c>
      <c r="D398" t="s">
        <v>29</v>
      </c>
      <c r="E398">
        <v>6</v>
      </c>
      <c r="F398" t="s">
        <v>48</v>
      </c>
      <c r="G398">
        <v>0</v>
      </c>
      <c r="H398">
        <v>8916.9699999999993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129.27020263656013</v>
      </c>
      <c r="P398">
        <v>4</v>
      </c>
      <c r="Q398">
        <v>13</v>
      </c>
      <c r="R398">
        <v>0</v>
      </c>
      <c r="S398" t="s">
        <v>39</v>
      </c>
      <c r="T398">
        <v>2025</v>
      </c>
    </row>
    <row r="399" spans="1:20" x14ac:dyDescent="0.35">
      <c r="A399" t="s">
        <v>33</v>
      </c>
      <c r="B399" t="s">
        <v>32</v>
      </c>
      <c r="C399" s="32">
        <v>45717</v>
      </c>
      <c r="D399" t="s">
        <v>29</v>
      </c>
      <c r="E399">
        <v>8</v>
      </c>
      <c r="F399" t="s">
        <v>48</v>
      </c>
      <c r="G399">
        <v>0</v>
      </c>
      <c r="H399">
        <v>121855.58</v>
      </c>
      <c r="I399">
        <v>818.4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158.04507697503686</v>
      </c>
      <c r="P399">
        <v>8</v>
      </c>
      <c r="Q399">
        <v>18</v>
      </c>
      <c r="R399">
        <v>0</v>
      </c>
      <c r="S399" t="s">
        <v>39</v>
      </c>
      <c r="T399">
        <v>2025</v>
      </c>
    </row>
    <row r="400" spans="1:20" x14ac:dyDescent="0.35">
      <c r="A400" t="s">
        <v>33</v>
      </c>
      <c r="B400" t="s">
        <v>32</v>
      </c>
      <c r="C400" s="32">
        <v>45717</v>
      </c>
      <c r="D400" t="s">
        <v>29</v>
      </c>
      <c r="E400">
        <v>9</v>
      </c>
      <c r="F400" t="s">
        <v>48</v>
      </c>
      <c r="G400">
        <v>0</v>
      </c>
      <c r="H400">
        <v>80281.789999999994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281.69172590834933</v>
      </c>
      <c r="P400">
        <v>6</v>
      </c>
      <c r="Q400">
        <v>17</v>
      </c>
      <c r="R400">
        <v>0</v>
      </c>
      <c r="S400" t="s">
        <v>39</v>
      </c>
      <c r="T400">
        <v>2025</v>
      </c>
    </row>
    <row r="401" spans="1:20" x14ac:dyDescent="0.35">
      <c r="A401" t="s">
        <v>33</v>
      </c>
      <c r="B401" t="s">
        <v>32</v>
      </c>
      <c r="C401" s="32">
        <v>45717</v>
      </c>
      <c r="D401" t="s">
        <v>29</v>
      </c>
      <c r="E401">
        <v>10</v>
      </c>
      <c r="F401" t="s">
        <v>48</v>
      </c>
      <c r="G401">
        <v>0</v>
      </c>
      <c r="H401">
        <v>215969.8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226.92394219343259</v>
      </c>
      <c r="P401">
        <v>6</v>
      </c>
      <c r="Q401">
        <v>12</v>
      </c>
      <c r="R401">
        <v>0</v>
      </c>
      <c r="S401" t="s">
        <v>39</v>
      </c>
      <c r="T401">
        <v>2025</v>
      </c>
    </row>
    <row r="402" spans="1:20" x14ac:dyDescent="0.35">
      <c r="A402" t="s">
        <v>33</v>
      </c>
      <c r="B402" t="s">
        <v>32</v>
      </c>
      <c r="C402" s="32">
        <v>45717</v>
      </c>
      <c r="D402" t="s">
        <v>29</v>
      </c>
      <c r="E402">
        <v>13</v>
      </c>
      <c r="F402" t="s">
        <v>48</v>
      </c>
      <c r="G402">
        <v>0</v>
      </c>
      <c r="H402">
        <v>20024.71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220.10327069659979</v>
      </c>
      <c r="P402">
        <v>4</v>
      </c>
      <c r="Q402">
        <v>1</v>
      </c>
      <c r="R402">
        <v>0</v>
      </c>
      <c r="S402" t="s">
        <v>39</v>
      </c>
      <c r="T402">
        <v>2025</v>
      </c>
    </row>
    <row r="403" spans="1:20" x14ac:dyDescent="0.35">
      <c r="A403" t="s">
        <v>33</v>
      </c>
      <c r="B403" t="s">
        <v>32</v>
      </c>
      <c r="C403" s="32">
        <v>45717</v>
      </c>
      <c r="D403" t="s">
        <v>29</v>
      </c>
      <c r="E403">
        <v>14</v>
      </c>
      <c r="F403" t="s">
        <v>48</v>
      </c>
      <c r="G403">
        <v>0</v>
      </c>
      <c r="H403">
        <v>73309.95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232.44654043340051</v>
      </c>
      <c r="P403">
        <v>2</v>
      </c>
      <c r="Q403">
        <v>3</v>
      </c>
      <c r="R403">
        <v>0</v>
      </c>
      <c r="S403" t="s">
        <v>39</v>
      </c>
      <c r="T403">
        <v>2025</v>
      </c>
    </row>
    <row r="404" spans="1:20" x14ac:dyDescent="0.35">
      <c r="A404" t="s">
        <v>33</v>
      </c>
      <c r="B404" t="s">
        <v>32</v>
      </c>
      <c r="C404" s="32">
        <v>45717</v>
      </c>
      <c r="D404" t="s">
        <v>29</v>
      </c>
      <c r="E404">
        <v>15</v>
      </c>
      <c r="F404" t="s">
        <v>48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28</v>
      </c>
      <c r="P404">
        <v>0</v>
      </c>
      <c r="Q404">
        <v>1</v>
      </c>
      <c r="R404">
        <v>0</v>
      </c>
      <c r="S404" t="s">
        <v>39</v>
      </c>
      <c r="T404">
        <v>2025</v>
      </c>
    </row>
    <row r="405" spans="1:20" x14ac:dyDescent="0.35">
      <c r="A405" t="s">
        <v>33</v>
      </c>
      <c r="B405" t="s">
        <v>32</v>
      </c>
      <c r="C405" s="32">
        <v>45717</v>
      </c>
      <c r="D405" t="s">
        <v>29</v>
      </c>
      <c r="E405">
        <v>16</v>
      </c>
      <c r="F405" t="s">
        <v>48</v>
      </c>
      <c r="G405">
        <v>0</v>
      </c>
      <c r="H405">
        <v>0</v>
      </c>
      <c r="I405">
        <v>1760.87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28</v>
      </c>
      <c r="P405">
        <v>0</v>
      </c>
      <c r="Q405">
        <v>11</v>
      </c>
      <c r="R405">
        <v>0</v>
      </c>
      <c r="S405" t="s">
        <v>39</v>
      </c>
      <c r="T405">
        <v>2025</v>
      </c>
    </row>
    <row r="406" spans="1:20" x14ac:dyDescent="0.35">
      <c r="A406" t="s">
        <v>33</v>
      </c>
      <c r="B406" t="s">
        <v>32</v>
      </c>
      <c r="C406" s="32">
        <v>45717</v>
      </c>
      <c r="D406" t="s">
        <v>19</v>
      </c>
      <c r="E406">
        <v>6</v>
      </c>
      <c r="F406" t="s">
        <v>30</v>
      </c>
      <c r="G406">
        <v>0</v>
      </c>
      <c r="H406">
        <v>27485.14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107.24658790819609</v>
      </c>
      <c r="P406">
        <v>25</v>
      </c>
      <c r="Q406">
        <v>165</v>
      </c>
      <c r="R406">
        <v>0</v>
      </c>
      <c r="S406" t="s">
        <v>39</v>
      </c>
      <c r="T406">
        <v>2025</v>
      </c>
    </row>
    <row r="407" spans="1:20" x14ac:dyDescent="0.35">
      <c r="A407" t="s">
        <v>33</v>
      </c>
      <c r="B407" t="s">
        <v>32</v>
      </c>
      <c r="C407" s="32">
        <v>45717</v>
      </c>
      <c r="D407" t="s">
        <v>19</v>
      </c>
      <c r="E407">
        <v>6</v>
      </c>
      <c r="F407" t="s">
        <v>31</v>
      </c>
      <c r="G407">
        <v>0</v>
      </c>
      <c r="H407">
        <v>71885.97</v>
      </c>
      <c r="I407">
        <v>3068.34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103.36637378378389</v>
      </c>
      <c r="P407">
        <v>78</v>
      </c>
      <c r="Q407">
        <v>45</v>
      </c>
      <c r="R407">
        <v>0</v>
      </c>
      <c r="S407" t="s">
        <v>39</v>
      </c>
      <c r="T407">
        <v>2025</v>
      </c>
    </row>
    <row r="408" spans="1:20" x14ac:dyDescent="0.35">
      <c r="A408" t="s">
        <v>33</v>
      </c>
      <c r="B408" t="s">
        <v>32</v>
      </c>
      <c r="C408" s="32">
        <v>45717</v>
      </c>
      <c r="D408" t="s">
        <v>19</v>
      </c>
      <c r="E408">
        <v>8</v>
      </c>
      <c r="F408" t="s">
        <v>30</v>
      </c>
      <c r="G408">
        <v>0</v>
      </c>
      <c r="H408">
        <v>28968.02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106.57662307362571</v>
      </c>
      <c r="P408">
        <v>27</v>
      </c>
      <c r="Q408">
        <v>170</v>
      </c>
      <c r="R408">
        <v>0</v>
      </c>
      <c r="S408" t="s">
        <v>39</v>
      </c>
      <c r="T408">
        <v>2025</v>
      </c>
    </row>
    <row r="409" spans="1:20" x14ac:dyDescent="0.35">
      <c r="A409" t="s">
        <v>33</v>
      </c>
      <c r="B409" t="s">
        <v>32</v>
      </c>
      <c r="C409" s="32">
        <v>45717</v>
      </c>
      <c r="D409" t="s">
        <v>19</v>
      </c>
      <c r="E409">
        <v>8</v>
      </c>
      <c r="F409" t="s">
        <v>31</v>
      </c>
      <c r="G409">
        <v>0</v>
      </c>
      <c r="H409">
        <v>81288.929999999993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143.04688298936532</v>
      </c>
      <c r="P409">
        <v>109</v>
      </c>
      <c r="Q409">
        <v>44</v>
      </c>
      <c r="R409">
        <v>0</v>
      </c>
      <c r="S409" t="s">
        <v>39</v>
      </c>
      <c r="T409">
        <v>2025</v>
      </c>
    </row>
    <row r="410" spans="1:20" x14ac:dyDescent="0.35">
      <c r="A410" t="s">
        <v>33</v>
      </c>
      <c r="B410" t="s">
        <v>32</v>
      </c>
      <c r="C410" s="32">
        <v>45717</v>
      </c>
      <c r="D410" t="s">
        <v>19</v>
      </c>
      <c r="E410">
        <v>9</v>
      </c>
      <c r="F410" t="s">
        <v>30</v>
      </c>
      <c r="G410">
        <v>0</v>
      </c>
      <c r="H410">
        <v>21480.93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73.640470702587081</v>
      </c>
      <c r="P410">
        <v>22</v>
      </c>
      <c r="Q410">
        <v>239</v>
      </c>
      <c r="R410">
        <v>0</v>
      </c>
      <c r="S410" t="s">
        <v>39</v>
      </c>
      <c r="T410">
        <v>2025</v>
      </c>
    </row>
    <row r="411" spans="1:20" x14ac:dyDescent="0.35">
      <c r="A411" t="s">
        <v>33</v>
      </c>
      <c r="B411" t="s">
        <v>32</v>
      </c>
      <c r="C411" s="32">
        <v>45717</v>
      </c>
      <c r="D411" t="s">
        <v>19</v>
      </c>
      <c r="E411">
        <v>9</v>
      </c>
      <c r="F411" t="s">
        <v>31</v>
      </c>
      <c r="G411">
        <v>0</v>
      </c>
      <c r="H411">
        <v>137368.35999999999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70.367349456281815</v>
      </c>
      <c r="P411">
        <v>150</v>
      </c>
      <c r="Q411">
        <v>37</v>
      </c>
      <c r="R411">
        <v>0</v>
      </c>
      <c r="S411" t="s">
        <v>39</v>
      </c>
      <c r="T411">
        <v>2025</v>
      </c>
    </row>
    <row r="412" spans="1:20" x14ac:dyDescent="0.35">
      <c r="A412" t="s">
        <v>33</v>
      </c>
      <c r="B412" t="s">
        <v>32</v>
      </c>
      <c r="C412" s="32">
        <v>45717</v>
      </c>
      <c r="D412" t="s">
        <v>19</v>
      </c>
      <c r="E412">
        <v>10</v>
      </c>
      <c r="F412" t="s">
        <v>30</v>
      </c>
      <c r="G412">
        <v>0</v>
      </c>
      <c r="H412">
        <v>7297.74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143.23578504942893</v>
      </c>
      <c r="P412">
        <v>7</v>
      </c>
      <c r="Q412">
        <v>64</v>
      </c>
      <c r="R412">
        <v>0</v>
      </c>
      <c r="S412" t="s">
        <v>39</v>
      </c>
      <c r="T412">
        <v>2025</v>
      </c>
    </row>
    <row r="413" spans="1:20" x14ac:dyDescent="0.35">
      <c r="A413" t="s">
        <v>33</v>
      </c>
      <c r="B413" t="s">
        <v>32</v>
      </c>
      <c r="C413" s="32">
        <v>45717</v>
      </c>
      <c r="D413" t="s">
        <v>19</v>
      </c>
      <c r="E413">
        <v>10</v>
      </c>
      <c r="F413" t="s">
        <v>31</v>
      </c>
      <c r="G413">
        <v>0</v>
      </c>
      <c r="H413">
        <v>22294.98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56.54492601992763</v>
      </c>
      <c r="P413">
        <v>33</v>
      </c>
      <c r="Q413">
        <v>8</v>
      </c>
      <c r="R413">
        <v>0</v>
      </c>
      <c r="S413" t="s">
        <v>39</v>
      </c>
      <c r="T413">
        <v>2025</v>
      </c>
    </row>
    <row r="414" spans="1:20" x14ac:dyDescent="0.35">
      <c r="A414" t="s">
        <v>33</v>
      </c>
      <c r="B414" t="s">
        <v>32</v>
      </c>
      <c r="C414" s="32">
        <v>45717</v>
      </c>
      <c r="D414" t="s">
        <v>19</v>
      </c>
      <c r="E414">
        <v>13</v>
      </c>
      <c r="F414" t="s">
        <v>30</v>
      </c>
      <c r="G414">
        <v>0</v>
      </c>
      <c r="H414">
        <v>3058.47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106.15953452719987</v>
      </c>
      <c r="P414">
        <v>4</v>
      </c>
      <c r="Q414">
        <v>13</v>
      </c>
      <c r="R414">
        <v>0</v>
      </c>
      <c r="S414" t="s">
        <v>39</v>
      </c>
      <c r="T414">
        <v>2025</v>
      </c>
    </row>
    <row r="415" spans="1:20" x14ac:dyDescent="0.35">
      <c r="A415" t="s">
        <v>33</v>
      </c>
      <c r="B415" t="s">
        <v>32</v>
      </c>
      <c r="C415" s="32">
        <v>45717</v>
      </c>
      <c r="D415" t="s">
        <v>19</v>
      </c>
      <c r="E415">
        <v>13</v>
      </c>
      <c r="F415" t="s">
        <v>31</v>
      </c>
      <c r="G415">
        <v>0</v>
      </c>
      <c r="H415">
        <v>11917.62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29.638246036208027</v>
      </c>
      <c r="P415">
        <v>12</v>
      </c>
      <c r="Q415">
        <v>4</v>
      </c>
      <c r="R415">
        <v>0</v>
      </c>
      <c r="S415" t="s">
        <v>39</v>
      </c>
      <c r="T415">
        <v>2025</v>
      </c>
    </row>
    <row r="416" spans="1:20" x14ac:dyDescent="0.35">
      <c r="A416" t="s">
        <v>33</v>
      </c>
      <c r="B416" t="s">
        <v>32</v>
      </c>
      <c r="C416" s="32">
        <v>45717</v>
      </c>
      <c r="D416" t="s">
        <v>19</v>
      </c>
      <c r="E416">
        <v>14</v>
      </c>
      <c r="F416" t="s">
        <v>30</v>
      </c>
      <c r="G416">
        <v>0</v>
      </c>
      <c r="H416">
        <v>756.2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0.67431630219653016</v>
      </c>
      <c r="P416">
        <v>1</v>
      </c>
      <c r="Q416">
        <v>44</v>
      </c>
      <c r="R416">
        <v>0</v>
      </c>
      <c r="S416" t="s">
        <v>39</v>
      </c>
      <c r="T416">
        <v>2025</v>
      </c>
    </row>
    <row r="417" spans="1:20" x14ac:dyDescent="0.35">
      <c r="A417" t="s">
        <v>33</v>
      </c>
      <c r="B417" t="s">
        <v>32</v>
      </c>
      <c r="C417" s="32">
        <v>45717</v>
      </c>
      <c r="D417" t="s">
        <v>19</v>
      </c>
      <c r="E417">
        <v>14</v>
      </c>
      <c r="F417" t="s">
        <v>31</v>
      </c>
      <c r="G417">
        <v>0</v>
      </c>
      <c r="H417">
        <v>29300.43</v>
      </c>
      <c r="I417">
        <v>565.87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72.849993565235692</v>
      </c>
      <c r="P417">
        <v>28</v>
      </c>
      <c r="Q417">
        <v>5</v>
      </c>
      <c r="R417">
        <v>0</v>
      </c>
      <c r="S417" t="s">
        <v>39</v>
      </c>
      <c r="T417">
        <v>2025</v>
      </c>
    </row>
    <row r="418" spans="1:20" x14ac:dyDescent="0.35">
      <c r="A418" t="s">
        <v>33</v>
      </c>
      <c r="B418" t="s">
        <v>32</v>
      </c>
      <c r="C418" s="32">
        <v>45717</v>
      </c>
      <c r="D418" t="s">
        <v>19</v>
      </c>
      <c r="E418">
        <v>15</v>
      </c>
      <c r="F418" t="s">
        <v>30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28</v>
      </c>
      <c r="P418">
        <v>0</v>
      </c>
      <c r="Q418">
        <v>8</v>
      </c>
      <c r="R418">
        <v>0</v>
      </c>
      <c r="S418" t="s">
        <v>39</v>
      </c>
      <c r="T418">
        <v>2025</v>
      </c>
    </row>
    <row r="419" spans="1:20" x14ac:dyDescent="0.35">
      <c r="A419" t="s">
        <v>33</v>
      </c>
      <c r="B419" t="s">
        <v>32</v>
      </c>
      <c r="C419" s="32">
        <v>45717</v>
      </c>
      <c r="D419" t="s">
        <v>19</v>
      </c>
      <c r="E419">
        <v>15</v>
      </c>
      <c r="F419" t="s">
        <v>31</v>
      </c>
      <c r="G419">
        <v>0</v>
      </c>
      <c r="H419">
        <v>10572.62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127.20557168243081</v>
      </c>
      <c r="P419">
        <v>13</v>
      </c>
      <c r="Q419">
        <v>1</v>
      </c>
      <c r="R419">
        <v>0</v>
      </c>
      <c r="S419" t="s">
        <v>39</v>
      </c>
      <c r="T419">
        <v>2025</v>
      </c>
    </row>
    <row r="420" spans="1:20" x14ac:dyDescent="0.35">
      <c r="A420" t="s">
        <v>33</v>
      </c>
      <c r="B420" t="s">
        <v>32</v>
      </c>
      <c r="C420" s="32">
        <v>45717</v>
      </c>
      <c r="D420" t="s">
        <v>19</v>
      </c>
      <c r="E420">
        <v>16</v>
      </c>
      <c r="F420" t="s">
        <v>30</v>
      </c>
      <c r="G420">
        <v>0</v>
      </c>
      <c r="H420">
        <v>819.02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7.6115896240007714</v>
      </c>
      <c r="P420">
        <v>1</v>
      </c>
      <c r="Q420">
        <v>18</v>
      </c>
      <c r="R420">
        <v>0</v>
      </c>
      <c r="S420" t="s">
        <v>39</v>
      </c>
      <c r="T420">
        <v>2025</v>
      </c>
    </row>
    <row r="421" spans="1:20" x14ac:dyDescent="0.35">
      <c r="A421" t="s">
        <v>33</v>
      </c>
      <c r="B421" t="s">
        <v>32</v>
      </c>
      <c r="C421" s="32">
        <v>45717</v>
      </c>
      <c r="D421" t="s">
        <v>19</v>
      </c>
      <c r="E421">
        <v>16</v>
      </c>
      <c r="F421" t="s">
        <v>31</v>
      </c>
      <c r="G421">
        <v>0</v>
      </c>
      <c r="H421">
        <v>9660.24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37.388792646099837</v>
      </c>
      <c r="P421">
        <v>7</v>
      </c>
      <c r="Q421">
        <v>3</v>
      </c>
      <c r="R421">
        <v>0</v>
      </c>
      <c r="S421" t="s">
        <v>39</v>
      </c>
      <c r="T421">
        <v>2025</v>
      </c>
    </row>
    <row r="422" spans="1:20" x14ac:dyDescent="0.35">
      <c r="A422" t="s">
        <v>23</v>
      </c>
      <c r="B422" t="s">
        <v>26</v>
      </c>
      <c r="C422" s="32">
        <v>45658</v>
      </c>
      <c r="D422" t="s">
        <v>16</v>
      </c>
      <c r="E422" t="s">
        <v>49</v>
      </c>
      <c r="F422" t="s">
        <v>48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37</v>
      </c>
      <c r="R422">
        <v>0</v>
      </c>
      <c r="S422" t="s">
        <v>40</v>
      </c>
      <c r="T422">
        <v>2025</v>
      </c>
    </row>
    <row r="423" spans="1:20" x14ac:dyDescent="0.35">
      <c r="A423" t="s">
        <v>23</v>
      </c>
      <c r="B423" t="s">
        <v>26</v>
      </c>
      <c r="C423" s="32">
        <v>45658</v>
      </c>
      <c r="D423" t="s">
        <v>19</v>
      </c>
      <c r="E423" t="s">
        <v>49</v>
      </c>
      <c r="F423" t="s">
        <v>49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5</v>
      </c>
      <c r="R423">
        <v>0</v>
      </c>
      <c r="S423" t="s">
        <v>40</v>
      </c>
      <c r="T423">
        <v>2025</v>
      </c>
    </row>
    <row r="424" spans="1:20" x14ac:dyDescent="0.35">
      <c r="A424" t="s">
        <v>23</v>
      </c>
      <c r="B424" t="s">
        <v>26</v>
      </c>
      <c r="C424" s="32">
        <v>45658</v>
      </c>
      <c r="D424" t="s">
        <v>16</v>
      </c>
      <c r="E424">
        <v>6</v>
      </c>
      <c r="F424" t="s">
        <v>48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47</v>
      </c>
      <c r="P424">
        <v>2</v>
      </c>
      <c r="Q424">
        <v>13</v>
      </c>
      <c r="R424">
        <v>0</v>
      </c>
      <c r="S424" t="s">
        <v>40</v>
      </c>
      <c r="T424">
        <v>2025</v>
      </c>
    </row>
    <row r="425" spans="1:20" x14ac:dyDescent="0.35">
      <c r="A425" t="s">
        <v>23</v>
      </c>
      <c r="B425" t="s">
        <v>26</v>
      </c>
      <c r="C425" s="32">
        <v>45658</v>
      </c>
      <c r="D425" t="s">
        <v>19</v>
      </c>
      <c r="E425">
        <v>6</v>
      </c>
      <c r="F425" t="s">
        <v>49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</v>
      </c>
      <c r="Q425">
        <v>13</v>
      </c>
      <c r="R425">
        <v>0</v>
      </c>
      <c r="S425" t="s">
        <v>40</v>
      </c>
      <c r="T425">
        <v>2025</v>
      </c>
    </row>
    <row r="426" spans="1:20" x14ac:dyDescent="0.35">
      <c r="A426" t="s">
        <v>23</v>
      </c>
      <c r="B426" t="s">
        <v>26</v>
      </c>
      <c r="C426" s="32">
        <v>45658</v>
      </c>
      <c r="D426" t="s">
        <v>19</v>
      </c>
      <c r="E426">
        <v>6</v>
      </c>
      <c r="F426" t="s">
        <v>31</v>
      </c>
      <c r="G426">
        <v>0</v>
      </c>
      <c r="H426">
        <v>2610.91</v>
      </c>
      <c r="I426">
        <v>0</v>
      </c>
      <c r="J426">
        <v>0</v>
      </c>
      <c r="K426">
        <v>0</v>
      </c>
      <c r="L426">
        <v>0</v>
      </c>
      <c r="M426">
        <v>853</v>
      </c>
      <c r="N426">
        <v>0</v>
      </c>
      <c r="O426">
        <v>161</v>
      </c>
      <c r="P426">
        <v>4</v>
      </c>
      <c r="Q426">
        <v>1</v>
      </c>
      <c r="R426">
        <v>0</v>
      </c>
      <c r="S426" t="s">
        <v>40</v>
      </c>
      <c r="T426">
        <v>2025</v>
      </c>
    </row>
    <row r="427" spans="1:20" x14ac:dyDescent="0.35">
      <c r="A427" t="s">
        <v>23</v>
      </c>
      <c r="B427" t="s">
        <v>26</v>
      </c>
      <c r="C427" s="32">
        <v>45658</v>
      </c>
      <c r="D427" t="s">
        <v>16</v>
      </c>
      <c r="E427">
        <v>7</v>
      </c>
      <c r="F427" t="s">
        <v>48</v>
      </c>
      <c r="G427">
        <v>0</v>
      </c>
      <c r="H427">
        <v>59343.11</v>
      </c>
      <c r="I427">
        <v>0</v>
      </c>
      <c r="J427">
        <v>0</v>
      </c>
      <c r="K427">
        <v>0</v>
      </c>
      <c r="L427">
        <v>0</v>
      </c>
      <c r="M427">
        <v>260</v>
      </c>
      <c r="N427">
        <v>0</v>
      </c>
      <c r="O427">
        <v>88</v>
      </c>
      <c r="P427">
        <v>21</v>
      </c>
      <c r="Q427">
        <v>106</v>
      </c>
      <c r="R427">
        <v>0</v>
      </c>
      <c r="S427" t="s">
        <v>40</v>
      </c>
      <c r="T427">
        <v>2025</v>
      </c>
    </row>
    <row r="428" spans="1:20" x14ac:dyDescent="0.35">
      <c r="A428" t="s">
        <v>23</v>
      </c>
      <c r="B428" t="s">
        <v>26</v>
      </c>
      <c r="C428" s="32">
        <v>45658</v>
      </c>
      <c r="D428" t="s">
        <v>19</v>
      </c>
      <c r="E428">
        <v>7</v>
      </c>
      <c r="F428" t="s">
        <v>49</v>
      </c>
      <c r="G428">
        <v>15489</v>
      </c>
      <c r="H428">
        <v>48292.14</v>
      </c>
      <c r="I428">
        <v>0</v>
      </c>
      <c r="J428">
        <v>0</v>
      </c>
      <c r="K428">
        <v>0</v>
      </c>
      <c r="L428">
        <v>0</v>
      </c>
      <c r="M428">
        <v>47726</v>
      </c>
      <c r="N428">
        <v>0</v>
      </c>
      <c r="O428">
        <v>269</v>
      </c>
      <c r="P428">
        <v>74</v>
      </c>
      <c r="Q428">
        <v>162</v>
      </c>
      <c r="R428">
        <v>0</v>
      </c>
      <c r="S428" t="s">
        <v>40</v>
      </c>
      <c r="T428">
        <v>2025</v>
      </c>
    </row>
    <row r="429" spans="1:20" x14ac:dyDescent="0.35">
      <c r="A429" t="s">
        <v>23</v>
      </c>
      <c r="B429" t="s">
        <v>26</v>
      </c>
      <c r="C429" s="32">
        <v>45658</v>
      </c>
      <c r="D429" t="s">
        <v>19</v>
      </c>
      <c r="E429">
        <v>7</v>
      </c>
      <c r="F429" t="s">
        <v>30</v>
      </c>
      <c r="G429">
        <v>0</v>
      </c>
      <c r="H429">
        <v>10560.6</v>
      </c>
      <c r="I429">
        <v>0</v>
      </c>
      <c r="J429">
        <v>0</v>
      </c>
      <c r="K429">
        <v>0</v>
      </c>
      <c r="L429">
        <v>0</v>
      </c>
      <c r="M429">
        <v>1120</v>
      </c>
      <c r="N429">
        <v>0</v>
      </c>
      <c r="O429">
        <v>147</v>
      </c>
      <c r="P429">
        <v>3</v>
      </c>
      <c r="Q429">
        <v>6</v>
      </c>
      <c r="R429">
        <v>0</v>
      </c>
      <c r="S429" t="s">
        <v>40</v>
      </c>
      <c r="T429">
        <v>2025</v>
      </c>
    </row>
    <row r="430" spans="1:20" x14ac:dyDescent="0.35">
      <c r="A430" t="s">
        <v>23</v>
      </c>
      <c r="B430" t="s">
        <v>26</v>
      </c>
      <c r="C430" s="32">
        <v>45658</v>
      </c>
      <c r="D430" t="s">
        <v>19</v>
      </c>
      <c r="E430">
        <v>7</v>
      </c>
      <c r="F430" t="s">
        <v>31</v>
      </c>
      <c r="G430">
        <v>31803.25</v>
      </c>
      <c r="H430">
        <v>61925.62</v>
      </c>
      <c r="I430">
        <v>0</v>
      </c>
      <c r="J430">
        <v>0</v>
      </c>
      <c r="K430">
        <v>0</v>
      </c>
      <c r="L430">
        <v>0</v>
      </c>
      <c r="M430">
        <v>55552</v>
      </c>
      <c r="N430">
        <v>46500.62</v>
      </c>
      <c r="O430">
        <v>181</v>
      </c>
      <c r="P430">
        <v>14</v>
      </c>
      <c r="Q430">
        <v>49</v>
      </c>
      <c r="R430">
        <v>0</v>
      </c>
      <c r="S430" t="s">
        <v>40</v>
      </c>
      <c r="T430">
        <v>2025</v>
      </c>
    </row>
    <row r="431" spans="1:20" x14ac:dyDescent="0.35">
      <c r="A431" t="s">
        <v>23</v>
      </c>
      <c r="B431" t="s">
        <v>26</v>
      </c>
      <c r="C431" s="32">
        <v>45658</v>
      </c>
      <c r="D431" t="s">
        <v>16</v>
      </c>
      <c r="E431">
        <v>10</v>
      </c>
      <c r="F431" t="s">
        <v>48</v>
      </c>
      <c r="G431">
        <v>0</v>
      </c>
      <c r="H431">
        <v>35317.839999999997</v>
      </c>
      <c r="I431">
        <v>0</v>
      </c>
      <c r="J431">
        <v>0</v>
      </c>
      <c r="K431">
        <v>0</v>
      </c>
      <c r="L431">
        <v>0</v>
      </c>
      <c r="M431">
        <v>1677</v>
      </c>
      <c r="N431">
        <v>0</v>
      </c>
      <c r="O431">
        <v>116</v>
      </c>
      <c r="P431">
        <v>6</v>
      </c>
      <c r="Q431">
        <v>29</v>
      </c>
      <c r="R431">
        <v>0</v>
      </c>
      <c r="S431" t="s">
        <v>40</v>
      </c>
      <c r="T431">
        <v>2025</v>
      </c>
    </row>
    <row r="432" spans="1:20" x14ac:dyDescent="0.35">
      <c r="A432" t="s">
        <v>23</v>
      </c>
      <c r="B432" t="s">
        <v>26</v>
      </c>
      <c r="C432" s="32">
        <v>45658</v>
      </c>
      <c r="D432" t="s">
        <v>19</v>
      </c>
      <c r="E432">
        <v>10</v>
      </c>
      <c r="F432" t="s">
        <v>49</v>
      </c>
      <c r="G432">
        <v>0</v>
      </c>
      <c r="H432">
        <v>17630.46</v>
      </c>
      <c r="I432">
        <v>0</v>
      </c>
      <c r="J432">
        <v>0</v>
      </c>
      <c r="K432">
        <v>0</v>
      </c>
      <c r="L432">
        <v>0</v>
      </c>
      <c r="M432">
        <v>34487</v>
      </c>
      <c r="N432">
        <v>0</v>
      </c>
      <c r="O432">
        <v>95</v>
      </c>
      <c r="P432">
        <v>20</v>
      </c>
      <c r="Q432">
        <v>46</v>
      </c>
      <c r="R432">
        <v>0</v>
      </c>
      <c r="S432" t="s">
        <v>40</v>
      </c>
      <c r="T432">
        <v>2025</v>
      </c>
    </row>
    <row r="433" spans="1:20" x14ac:dyDescent="0.35">
      <c r="A433" t="s">
        <v>23</v>
      </c>
      <c r="B433" t="s">
        <v>26</v>
      </c>
      <c r="C433" s="32">
        <v>45658</v>
      </c>
      <c r="D433" t="s">
        <v>19</v>
      </c>
      <c r="E433">
        <v>10</v>
      </c>
      <c r="F433" t="s">
        <v>30</v>
      </c>
      <c r="G433">
        <v>18690.53</v>
      </c>
      <c r="H433">
        <v>1903.89</v>
      </c>
      <c r="I433">
        <v>0</v>
      </c>
      <c r="J433">
        <v>0</v>
      </c>
      <c r="K433">
        <v>0</v>
      </c>
      <c r="L433">
        <v>0</v>
      </c>
      <c r="M433">
        <v>34560</v>
      </c>
      <c r="N433">
        <v>37381.06</v>
      </c>
      <c r="O433">
        <v>467</v>
      </c>
      <c r="P433">
        <v>2</v>
      </c>
      <c r="Q433">
        <v>3</v>
      </c>
      <c r="R433">
        <v>0</v>
      </c>
      <c r="S433" t="s">
        <v>40</v>
      </c>
      <c r="T433">
        <v>2025</v>
      </c>
    </row>
    <row r="434" spans="1:20" x14ac:dyDescent="0.35">
      <c r="A434" t="s">
        <v>23</v>
      </c>
      <c r="B434" t="s">
        <v>26</v>
      </c>
      <c r="C434" s="32">
        <v>45658</v>
      </c>
      <c r="D434" t="s">
        <v>19</v>
      </c>
      <c r="E434">
        <v>10</v>
      </c>
      <c r="F434" t="s">
        <v>31</v>
      </c>
      <c r="G434">
        <v>22284</v>
      </c>
      <c r="H434">
        <v>19293.38</v>
      </c>
      <c r="I434">
        <v>0</v>
      </c>
      <c r="J434">
        <v>0</v>
      </c>
      <c r="K434">
        <v>0</v>
      </c>
      <c r="L434">
        <v>0</v>
      </c>
      <c r="M434">
        <v>27349</v>
      </c>
      <c r="N434">
        <v>0</v>
      </c>
      <c r="O434">
        <v>325</v>
      </c>
      <c r="P434">
        <v>18</v>
      </c>
      <c r="Q434">
        <v>41</v>
      </c>
      <c r="R434">
        <v>0</v>
      </c>
      <c r="S434" t="s">
        <v>40</v>
      </c>
      <c r="T434">
        <v>2025</v>
      </c>
    </row>
    <row r="435" spans="1:20" x14ac:dyDescent="0.35">
      <c r="A435" t="s">
        <v>23</v>
      </c>
      <c r="B435" t="s">
        <v>26</v>
      </c>
      <c r="C435" s="32">
        <v>45658</v>
      </c>
      <c r="D435" t="s">
        <v>19</v>
      </c>
      <c r="E435">
        <v>14</v>
      </c>
      <c r="F435" t="s">
        <v>49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64</v>
      </c>
      <c r="P435">
        <v>1</v>
      </c>
      <c r="Q435">
        <v>0</v>
      </c>
      <c r="R435">
        <v>0</v>
      </c>
      <c r="S435" t="s">
        <v>40</v>
      </c>
      <c r="T435">
        <v>2025</v>
      </c>
    </row>
    <row r="436" spans="1:20" x14ac:dyDescent="0.35">
      <c r="A436" t="s">
        <v>23</v>
      </c>
      <c r="B436" t="s">
        <v>32</v>
      </c>
      <c r="C436" s="32">
        <v>45658</v>
      </c>
      <c r="D436" t="s">
        <v>16</v>
      </c>
      <c r="E436" t="s">
        <v>49</v>
      </c>
      <c r="F436" t="s">
        <v>48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138</v>
      </c>
      <c r="P436">
        <v>1</v>
      </c>
      <c r="Q436">
        <v>0</v>
      </c>
      <c r="R436">
        <v>0</v>
      </c>
      <c r="S436" t="s">
        <v>40</v>
      </c>
      <c r="T436">
        <v>2025</v>
      </c>
    </row>
    <row r="437" spans="1:20" x14ac:dyDescent="0.35">
      <c r="A437" t="s">
        <v>23</v>
      </c>
      <c r="B437" t="s">
        <v>32</v>
      </c>
      <c r="C437" s="32">
        <v>45658</v>
      </c>
      <c r="D437" t="s">
        <v>19</v>
      </c>
      <c r="E437" t="s">
        <v>49</v>
      </c>
      <c r="F437" t="s">
        <v>49</v>
      </c>
      <c r="G437">
        <v>0</v>
      </c>
      <c r="H437">
        <v>743.78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7</v>
      </c>
      <c r="Q437">
        <v>4</v>
      </c>
      <c r="R437">
        <v>0</v>
      </c>
      <c r="S437" t="s">
        <v>40</v>
      </c>
      <c r="T437">
        <v>2025</v>
      </c>
    </row>
    <row r="438" spans="1:20" x14ac:dyDescent="0.35">
      <c r="A438" t="s">
        <v>23</v>
      </c>
      <c r="B438" t="s">
        <v>32</v>
      </c>
      <c r="C438" s="32">
        <v>45658</v>
      </c>
      <c r="D438" t="s">
        <v>16</v>
      </c>
      <c r="E438">
        <v>6</v>
      </c>
      <c r="F438" t="s">
        <v>48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23663</v>
      </c>
      <c r="N438">
        <v>0</v>
      </c>
      <c r="O438">
        <v>230</v>
      </c>
      <c r="P438">
        <v>1</v>
      </c>
      <c r="Q438">
        <v>0</v>
      </c>
      <c r="R438">
        <v>0</v>
      </c>
      <c r="S438" t="s">
        <v>40</v>
      </c>
      <c r="T438">
        <v>2025</v>
      </c>
    </row>
    <row r="439" spans="1:20" x14ac:dyDescent="0.35">
      <c r="A439" t="s">
        <v>23</v>
      </c>
      <c r="B439" t="s">
        <v>32</v>
      </c>
      <c r="C439" s="32">
        <v>45658</v>
      </c>
      <c r="D439" t="s">
        <v>19</v>
      </c>
      <c r="E439">
        <v>6</v>
      </c>
      <c r="F439" t="s">
        <v>49</v>
      </c>
      <c r="G439">
        <v>0</v>
      </c>
      <c r="H439">
        <v>1142.3599999999999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 t="s">
        <v>40</v>
      </c>
      <c r="T439">
        <v>2025</v>
      </c>
    </row>
    <row r="440" spans="1:20" x14ac:dyDescent="0.35">
      <c r="A440" t="s">
        <v>23</v>
      </c>
      <c r="B440" t="s">
        <v>32</v>
      </c>
      <c r="C440" s="32">
        <v>45658</v>
      </c>
      <c r="D440" t="s">
        <v>19</v>
      </c>
      <c r="E440">
        <v>6</v>
      </c>
      <c r="F440" t="s">
        <v>31</v>
      </c>
      <c r="G440">
        <v>6074.04</v>
      </c>
      <c r="H440">
        <v>4602.3999999999996</v>
      </c>
      <c r="I440">
        <v>0</v>
      </c>
      <c r="J440">
        <v>0</v>
      </c>
      <c r="K440">
        <v>0</v>
      </c>
      <c r="L440">
        <v>0</v>
      </c>
      <c r="M440">
        <v>529</v>
      </c>
      <c r="N440">
        <v>0</v>
      </c>
      <c r="O440">
        <v>436</v>
      </c>
      <c r="P440">
        <v>3</v>
      </c>
      <c r="Q440">
        <v>0</v>
      </c>
      <c r="R440">
        <v>0</v>
      </c>
      <c r="S440" t="s">
        <v>40</v>
      </c>
      <c r="T440">
        <v>2025</v>
      </c>
    </row>
    <row r="441" spans="1:20" x14ac:dyDescent="0.35">
      <c r="A441" t="s">
        <v>23</v>
      </c>
      <c r="B441" t="s">
        <v>32</v>
      </c>
      <c r="C441" s="32">
        <v>45658</v>
      </c>
      <c r="D441" t="s">
        <v>16</v>
      </c>
      <c r="E441">
        <v>7</v>
      </c>
      <c r="F441" t="s">
        <v>48</v>
      </c>
      <c r="G441">
        <v>63755.99</v>
      </c>
      <c r="H441">
        <v>70545.02</v>
      </c>
      <c r="I441">
        <v>0</v>
      </c>
      <c r="J441">
        <v>0</v>
      </c>
      <c r="K441">
        <v>0</v>
      </c>
      <c r="L441">
        <v>0</v>
      </c>
      <c r="M441">
        <v>128430</v>
      </c>
      <c r="N441">
        <v>8945</v>
      </c>
      <c r="O441">
        <v>214</v>
      </c>
      <c r="P441">
        <v>28</v>
      </c>
      <c r="Q441">
        <v>31</v>
      </c>
      <c r="R441">
        <v>0</v>
      </c>
      <c r="S441" t="s">
        <v>40</v>
      </c>
      <c r="T441">
        <v>2025</v>
      </c>
    </row>
    <row r="442" spans="1:20" x14ac:dyDescent="0.35">
      <c r="A442" t="s">
        <v>23</v>
      </c>
      <c r="B442" t="s">
        <v>32</v>
      </c>
      <c r="C442" s="32">
        <v>45658</v>
      </c>
      <c r="D442" t="s">
        <v>17</v>
      </c>
      <c r="E442">
        <v>7</v>
      </c>
      <c r="F442" t="s">
        <v>48</v>
      </c>
      <c r="G442">
        <v>0</v>
      </c>
      <c r="H442">
        <v>27600.720000000001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 t="s">
        <v>40</v>
      </c>
      <c r="T442">
        <v>2025</v>
      </c>
    </row>
    <row r="443" spans="1:20" x14ac:dyDescent="0.35">
      <c r="A443" t="s">
        <v>23</v>
      </c>
      <c r="B443" t="s">
        <v>32</v>
      </c>
      <c r="C443" s="32">
        <v>45658</v>
      </c>
      <c r="D443" t="s">
        <v>19</v>
      </c>
      <c r="E443">
        <v>7</v>
      </c>
      <c r="F443" t="s">
        <v>49</v>
      </c>
      <c r="G443">
        <v>274651.90000000002</v>
      </c>
      <c r="H443">
        <v>16438.09</v>
      </c>
      <c r="I443">
        <v>0</v>
      </c>
      <c r="J443">
        <v>0</v>
      </c>
      <c r="K443">
        <v>0</v>
      </c>
      <c r="L443">
        <v>0</v>
      </c>
      <c r="M443">
        <v>380908</v>
      </c>
      <c r="N443">
        <v>0</v>
      </c>
      <c r="O443">
        <v>157</v>
      </c>
      <c r="P443">
        <v>58</v>
      </c>
      <c r="Q443">
        <v>64</v>
      </c>
      <c r="R443">
        <v>0</v>
      </c>
      <c r="S443" t="s">
        <v>40</v>
      </c>
      <c r="T443">
        <v>2025</v>
      </c>
    </row>
    <row r="444" spans="1:20" x14ac:dyDescent="0.35">
      <c r="A444" t="s">
        <v>23</v>
      </c>
      <c r="B444" t="s">
        <v>32</v>
      </c>
      <c r="C444" s="32">
        <v>45658</v>
      </c>
      <c r="D444" t="s">
        <v>19</v>
      </c>
      <c r="E444">
        <v>7</v>
      </c>
      <c r="F444" t="s">
        <v>30</v>
      </c>
      <c r="G444">
        <v>18708.3</v>
      </c>
      <c r="H444">
        <v>201584.93</v>
      </c>
      <c r="I444">
        <v>0</v>
      </c>
      <c r="J444">
        <v>0</v>
      </c>
      <c r="K444">
        <v>0</v>
      </c>
      <c r="L444">
        <v>0</v>
      </c>
      <c r="M444">
        <v>37632</v>
      </c>
      <c r="N444">
        <v>37416.61</v>
      </c>
      <c r="O444">
        <v>431</v>
      </c>
      <c r="P444">
        <v>13</v>
      </c>
      <c r="Q444">
        <v>1</v>
      </c>
      <c r="R444">
        <v>0</v>
      </c>
      <c r="S444" t="s">
        <v>40</v>
      </c>
      <c r="T444">
        <v>2025</v>
      </c>
    </row>
    <row r="445" spans="1:20" x14ac:dyDescent="0.35">
      <c r="A445" t="s">
        <v>23</v>
      </c>
      <c r="B445" t="s">
        <v>32</v>
      </c>
      <c r="C445" s="32">
        <v>45658</v>
      </c>
      <c r="D445" t="s">
        <v>19</v>
      </c>
      <c r="E445">
        <v>7</v>
      </c>
      <c r="F445" t="s">
        <v>31</v>
      </c>
      <c r="G445">
        <v>515.45000000000005</v>
      </c>
      <c r="H445">
        <v>88033.52</v>
      </c>
      <c r="I445">
        <v>0</v>
      </c>
      <c r="J445">
        <v>0</v>
      </c>
      <c r="K445">
        <v>0</v>
      </c>
      <c r="L445">
        <v>0</v>
      </c>
      <c r="M445">
        <v>23163</v>
      </c>
      <c r="N445">
        <v>0</v>
      </c>
      <c r="O445">
        <v>246</v>
      </c>
      <c r="P445">
        <v>20</v>
      </c>
      <c r="Q445">
        <v>11</v>
      </c>
      <c r="R445">
        <v>0</v>
      </c>
      <c r="S445" t="s">
        <v>40</v>
      </c>
      <c r="T445">
        <v>2025</v>
      </c>
    </row>
    <row r="446" spans="1:20" x14ac:dyDescent="0.35">
      <c r="A446" t="s">
        <v>23</v>
      </c>
      <c r="B446" t="s">
        <v>32</v>
      </c>
      <c r="C446" s="32">
        <v>45658</v>
      </c>
      <c r="D446" t="s">
        <v>16</v>
      </c>
      <c r="E446">
        <v>10</v>
      </c>
      <c r="F446" t="s">
        <v>48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6504</v>
      </c>
      <c r="N446">
        <v>0</v>
      </c>
      <c r="O446">
        <v>124</v>
      </c>
      <c r="P446">
        <v>4</v>
      </c>
      <c r="Q446">
        <v>22</v>
      </c>
      <c r="R446">
        <v>0</v>
      </c>
      <c r="S446" t="s">
        <v>40</v>
      </c>
      <c r="T446">
        <v>2025</v>
      </c>
    </row>
    <row r="447" spans="1:20" x14ac:dyDescent="0.35">
      <c r="A447" t="s">
        <v>23</v>
      </c>
      <c r="B447" t="s">
        <v>32</v>
      </c>
      <c r="C447" s="32">
        <v>45658</v>
      </c>
      <c r="D447" t="s">
        <v>19</v>
      </c>
      <c r="E447">
        <v>10</v>
      </c>
      <c r="F447" t="s">
        <v>49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4670</v>
      </c>
      <c r="N447">
        <v>0</v>
      </c>
      <c r="O447">
        <v>63</v>
      </c>
      <c r="P447">
        <v>4</v>
      </c>
      <c r="Q447">
        <v>17</v>
      </c>
      <c r="R447">
        <v>0</v>
      </c>
      <c r="S447" t="s">
        <v>40</v>
      </c>
      <c r="T447">
        <v>2025</v>
      </c>
    </row>
    <row r="448" spans="1:20" x14ac:dyDescent="0.35">
      <c r="A448" t="s">
        <v>23</v>
      </c>
      <c r="B448" t="s">
        <v>32</v>
      </c>
      <c r="C448" s="32">
        <v>45658</v>
      </c>
      <c r="D448" t="s">
        <v>19</v>
      </c>
      <c r="E448">
        <v>10</v>
      </c>
      <c r="F448" t="s">
        <v>30</v>
      </c>
      <c r="G448">
        <v>0</v>
      </c>
      <c r="H448">
        <v>53496.04</v>
      </c>
      <c r="I448">
        <v>0</v>
      </c>
      <c r="J448">
        <v>0</v>
      </c>
      <c r="K448">
        <v>0</v>
      </c>
      <c r="L448">
        <v>0</v>
      </c>
      <c r="M448">
        <v>5676</v>
      </c>
      <c r="N448">
        <v>0</v>
      </c>
      <c r="O448">
        <v>355</v>
      </c>
      <c r="P448">
        <v>1</v>
      </c>
      <c r="Q448">
        <v>2</v>
      </c>
      <c r="R448">
        <v>0</v>
      </c>
      <c r="S448" t="s">
        <v>40</v>
      </c>
      <c r="T448">
        <v>2025</v>
      </c>
    </row>
    <row r="449" spans="1:20" x14ac:dyDescent="0.35">
      <c r="A449" t="s">
        <v>23</v>
      </c>
      <c r="B449" t="s">
        <v>32</v>
      </c>
      <c r="C449" s="32">
        <v>45658</v>
      </c>
      <c r="D449" t="s">
        <v>19</v>
      </c>
      <c r="E449">
        <v>10</v>
      </c>
      <c r="F449" t="s">
        <v>31</v>
      </c>
      <c r="G449">
        <v>0</v>
      </c>
      <c r="H449">
        <v>2228.38</v>
      </c>
      <c r="I449">
        <v>0</v>
      </c>
      <c r="J449">
        <v>0</v>
      </c>
      <c r="K449">
        <v>0</v>
      </c>
      <c r="L449">
        <v>0</v>
      </c>
      <c r="M449">
        <v>3967</v>
      </c>
      <c r="N449">
        <v>0</v>
      </c>
      <c r="O449">
        <v>122</v>
      </c>
      <c r="P449">
        <v>4</v>
      </c>
      <c r="Q449">
        <v>15</v>
      </c>
      <c r="R449">
        <v>0</v>
      </c>
      <c r="S449" t="s">
        <v>40</v>
      </c>
      <c r="T449">
        <v>2025</v>
      </c>
    </row>
    <row r="450" spans="1:20" x14ac:dyDescent="0.35">
      <c r="A450" t="s">
        <v>33</v>
      </c>
      <c r="B450" t="s">
        <v>26</v>
      </c>
      <c r="C450" s="32">
        <v>45658</v>
      </c>
      <c r="D450" t="s">
        <v>19</v>
      </c>
      <c r="E450" t="s">
        <v>49</v>
      </c>
      <c r="F450" t="s">
        <v>49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</v>
      </c>
      <c r="Q450">
        <v>0</v>
      </c>
      <c r="R450">
        <v>0</v>
      </c>
      <c r="S450" t="s">
        <v>40</v>
      </c>
      <c r="T450">
        <v>2025</v>
      </c>
    </row>
    <row r="451" spans="1:20" x14ac:dyDescent="0.35">
      <c r="A451" t="s">
        <v>33</v>
      </c>
      <c r="B451" t="s">
        <v>26</v>
      </c>
      <c r="C451" s="32">
        <v>45658</v>
      </c>
      <c r="D451" t="s">
        <v>16</v>
      </c>
      <c r="E451">
        <v>6</v>
      </c>
      <c r="F451" t="s">
        <v>48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5</v>
      </c>
      <c r="R451">
        <v>0</v>
      </c>
      <c r="S451" t="s">
        <v>40</v>
      </c>
      <c r="T451">
        <v>2025</v>
      </c>
    </row>
    <row r="452" spans="1:20" x14ac:dyDescent="0.35">
      <c r="A452" t="s">
        <v>33</v>
      </c>
      <c r="B452" t="s">
        <v>26</v>
      </c>
      <c r="C452" s="32">
        <v>45658</v>
      </c>
      <c r="D452" t="s">
        <v>19</v>
      </c>
      <c r="E452">
        <v>6</v>
      </c>
      <c r="F452" t="s">
        <v>49</v>
      </c>
      <c r="G452">
        <v>0</v>
      </c>
      <c r="H452">
        <v>21717.52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35</v>
      </c>
      <c r="Q452">
        <v>60</v>
      </c>
      <c r="R452">
        <v>0</v>
      </c>
      <c r="S452" t="s">
        <v>40</v>
      </c>
      <c r="T452">
        <v>2025</v>
      </c>
    </row>
    <row r="453" spans="1:20" x14ac:dyDescent="0.35">
      <c r="A453" t="s">
        <v>33</v>
      </c>
      <c r="B453" t="s">
        <v>26</v>
      </c>
      <c r="C453" s="32">
        <v>45658</v>
      </c>
      <c r="D453" t="s">
        <v>19</v>
      </c>
      <c r="E453">
        <v>6</v>
      </c>
      <c r="F453" t="s">
        <v>31</v>
      </c>
      <c r="G453">
        <v>0</v>
      </c>
      <c r="H453">
        <v>727.04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 t="s">
        <v>40</v>
      </c>
      <c r="T453">
        <v>2025</v>
      </c>
    </row>
    <row r="454" spans="1:20" x14ac:dyDescent="0.35">
      <c r="A454" t="s">
        <v>33</v>
      </c>
      <c r="B454" t="s">
        <v>26</v>
      </c>
      <c r="C454" s="32">
        <v>45658</v>
      </c>
      <c r="D454" t="s">
        <v>16</v>
      </c>
      <c r="E454">
        <v>7</v>
      </c>
      <c r="F454" t="s">
        <v>48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69</v>
      </c>
      <c r="P454">
        <v>4</v>
      </c>
      <c r="Q454">
        <v>84</v>
      </c>
      <c r="R454">
        <v>0</v>
      </c>
      <c r="S454" t="s">
        <v>40</v>
      </c>
      <c r="T454">
        <v>2025</v>
      </c>
    </row>
    <row r="455" spans="1:20" x14ac:dyDescent="0.35">
      <c r="A455" t="s">
        <v>33</v>
      </c>
      <c r="B455" t="s">
        <v>26</v>
      </c>
      <c r="C455" s="32">
        <v>45658</v>
      </c>
      <c r="D455" t="s">
        <v>19</v>
      </c>
      <c r="E455">
        <v>7</v>
      </c>
      <c r="F455" t="s">
        <v>49</v>
      </c>
      <c r="G455">
        <v>0</v>
      </c>
      <c r="H455">
        <v>264279.78000000003</v>
      </c>
      <c r="I455">
        <v>0</v>
      </c>
      <c r="J455">
        <v>0</v>
      </c>
      <c r="K455">
        <v>0</v>
      </c>
      <c r="L455">
        <v>0</v>
      </c>
      <c r="M455">
        <v>9668</v>
      </c>
      <c r="N455">
        <v>0</v>
      </c>
      <c r="O455">
        <v>124</v>
      </c>
      <c r="P455">
        <v>281</v>
      </c>
      <c r="Q455">
        <v>445</v>
      </c>
      <c r="R455">
        <v>0</v>
      </c>
      <c r="S455" t="s">
        <v>40</v>
      </c>
      <c r="T455">
        <v>2025</v>
      </c>
    </row>
    <row r="456" spans="1:20" x14ac:dyDescent="0.35">
      <c r="A456" t="s">
        <v>33</v>
      </c>
      <c r="B456" t="s">
        <v>26</v>
      </c>
      <c r="C456" s="32">
        <v>45658</v>
      </c>
      <c r="D456" t="s">
        <v>19</v>
      </c>
      <c r="E456">
        <v>7</v>
      </c>
      <c r="F456" t="s">
        <v>30</v>
      </c>
      <c r="G456">
        <v>0</v>
      </c>
      <c r="H456">
        <v>2412.15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5</v>
      </c>
      <c r="R456">
        <v>0</v>
      </c>
      <c r="S456" t="s">
        <v>40</v>
      </c>
      <c r="T456">
        <v>2025</v>
      </c>
    </row>
    <row r="457" spans="1:20" x14ac:dyDescent="0.35">
      <c r="A457" t="s">
        <v>33</v>
      </c>
      <c r="B457" t="s">
        <v>26</v>
      </c>
      <c r="C457" s="32">
        <v>45658</v>
      </c>
      <c r="D457" t="s">
        <v>19</v>
      </c>
      <c r="E457">
        <v>7</v>
      </c>
      <c r="F457" t="s">
        <v>31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12</v>
      </c>
      <c r="R457">
        <v>0</v>
      </c>
      <c r="S457" t="s">
        <v>40</v>
      </c>
      <c r="T457">
        <v>2025</v>
      </c>
    </row>
    <row r="458" spans="1:20" x14ac:dyDescent="0.35">
      <c r="A458" t="s">
        <v>33</v>
      </c>
      <c r="B458" t="s">
        <v>26</v>
      </c>
      <c r="C458" s="32">
        <v>45658</v>
      </c>
      <c r="D458" t="s">
        <v>16</v>
      </c>
      <c r="E458">
        <v>8</v>
      </c>
      <c r="F458" t="s">
        <v>48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 t="s">
        <v>40</v>
      </c>
      <c r="T458">
        <v>2025</v>
      </c>
    </row>
    <row r="459" spans="1:20" x14ac:dyDescent="0.35">
      <c r="A459" t="s">
        <v>33</v>
      </c>
      <c r="B459" t="s">
        <v>26</v>
      </c>
      <c r="C459" s="32">
        <v>45658</v>
      </c>
      <c r="D459" t="s">
        <v>19</v>
      </c>
      <c r="E459">
        <v>8</v>
      </c>
      <c r="F459" t="s">
        <v>49</v>
      </c>
      <c r="G459">
        <v>0</v>
      </c>
      <c r="H459">
        <v>3981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</v>
      </c>
      <c r="Q459">
        <v>10</v>
      </c>
      <c r="R459">
        <v>0</v>
      </c>
      <c r="S459" t="s">
        <v>40</v>
      </c>
      <c r="T459">
        <v>2025</v>
      </c>
    </row>
    <row r="460" spans="1:20" x14ac:dyDescent="0.35">
      <c r="A460" t="s">
        <v>33</v>
      </c>
      <c r="B460" t="s">
        <v>26</v>
      </c>
      <c r="C460" s="32">
        <v>45658</v>
      </c>
      <c r="D460" t="s">
        <v>16</v>
      </c>
      <c r="E460">
        <v>10</v>
      </c>
      <c r="F460" t="s">
        <v>48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</v>
      </c>
      <c r="Q460">
        <v>13</v>
      </c>
      <c r="R460">
        <v>0</v>
      </c>
      <c r="S460" t="s">
        <v>40</v>
      </c>
      <c r="T460">
        <v>2025</v>
      </c>
    </row>
    <row r="461" spans="1:20" x14ac:dyDescent="0.35">
      <c r="A461" t="s">
        <v>33</v>
      </c>
      <c r="B461" t="s">
        <v>26</v>
      </c>
      <c r="C461" s="32">
        <v>45658</v>
      </c>
      <c r="D461" t="s">
        <v>19</v>
      </c>
      <c r="E461">
        <v>10</v>
      </c>
      <c r="F461" t="s">
        <v>49</v>
      </c>
      <c r="G461">
        <v>0</v>
      </c>
      <c r="H461">
        <v>118064.98</v>
      </c>
      <c r="I461">
        <v>0</v>
      </c>
      <c r="J461">
        <v>0</v>
      </c>
      <c r="K461">
        <v>0</v>
      </c>
      <c r="L461">
        <v>0</v>
      </c>
      <c r="M461">
        <v>812</v>
      </c>
      <c r="N461">
        <v>0</v>
      </c>
      <c r="O461">
        <v>160</v>
      </c>
      <c r="P461">
        <v>143</v>
      </c>
      <c r="Q461">
        <v>199</v>
      </c>
      <c r="R461">
        <v>0</v>
      </c>
      <c r="S461" t="s">
        <v>40</v>
      </c>
      <c r="T461">
        <v>2025</v>
      </c>
    </row>
    <row r="462" spans="1:20" x14ac:dyDescent="0.35">
      <c r="A462" t="s">
        <v>33</v>
      </c>
      <c r="B462" t="s">
        <v>26</v>
      </c>
      <c r="C462" s="32">
        <v>45658</v>
      </c>
      <c r="D462" t="s">
        <v>19</v>
      </c>
      <c r="E462">
        <v>10</v>
      </c>
      <c r="F462" t="s">
        <v>31</v>
      </c>
      <c r="G462">
        <v>0</v>
      </c>
      <c r="H462">
        <v>1432.24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54</v>
      </c>
      <c r="R462">
        <v>0</v>
      </c>
      <c r="S462" t="s">
        <v>40</v>
      </c>
      <c r="T462">
        <v>2025</v>
      </c>
    </row>
    <row r="463" spans="1:20" x14ac:dyDescent="0.35">
      <c r="A463" t="s">
        <v>33</v>
      </c>
      <c r="B463" t="s">
        <v>26</v>
      </c>
      <c r="C463" s="32">
        <v>45658</v>
      </c>
      <c r="D463" t="s">
        <v>19</v>
      </c>
      <c r="E463">
        <v>14</v>
      </c>
      <c r="F463" t="s">
        <v>49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6</v>
      </c>
      <c r="R463">
        <v>0</v>
      </c>
      <c r="S463" t="s">
        <v>40</v>
      </c>
      <c r="T463">
        <v>2025</v>
      </c>
    </row>
    <row r="464" spans="1:20" x14ac:dyDescent="0.35">
      <c r="A464" t="s">
        <v>33</v>
      </c>
      <c r="B464" t="s">
        <v>32</v>
      </c>
      <c r="C464" s="32">
        <v>45658</v>
      </c>
      <c r="D464" t="s">
        <v>19</v>
      </c>
      <c r="E464" t="s">
        <v>49</v>
      </c>
      <c r="F464" t="s">
        <v>49</v>
      </c>
      <c r="G464">
        <v>0</v>
      </c>
      <c r="H464">
        <v>3095.07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0</v>
      </c>
      <c r="S464" t="s">
        <v>40</v>
      </c>
      <c r="T464">
        <v>2025</v>
      </c>
    </row>
    <row r="465" spans="1:20" x14ac:dyDescent="0.35">
      <c r="A465" t="s">
        <v>33</v>
      </c>
      <c r="B465" t="s">
        <v>32</v>
      </c>
      <c r="C465" s="32">
        <v>45658</v>
      </c>
      <c r="D465" t="s">
        <v>19</v>
      </c>
      <c r="E465">
        <v>6</v>
      </c>
      <c r="F465" t="s">
        <v>49</v>
      </c>
      <c r="G465">
        <v>0</v>
      </c>
      <c r="H465">
        <v>4758.7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</v>
      </c>
      <c r="Q465">
        <v>0</v>
      </c>
      <c r="R465">
        <v>0</v>
      </c>
      <c r="S465" t="s">
        <v>40</v>
      </c>
      <c r="T465">
        <v>2025</v>
      </c>
    </row>
    <row r="466" spans="1:20" x14ac:dyDescent="0.35">
      <c r="A466" t="s">
        <v>33</v>
      </c>
      <c r="B466" t="s">
        <v>32</v>
      </c>
      <c r="C466" s="32">
        <v>45658</v>
      </c>
      <c r="D466" t="s">
        <v>19</v>
      </c>
      <c r="E466">
        <v>6</v>
      </c>
      <c r="F466" t="s">
        <v>31</v>
      </c>
      <c r="G466">
        <v>0</v>
      </c>
      <c r="H466">
        <v>979.58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 t="s">
        <v>40</v>
      </c>
      <c r="T466">
        <v>2025</v>
      </c>
    </row>
    <row r="467" spans="1:20" x14ac:dyDescent="0.35">
      <c r="A467" t="s">
        <v>33</v>
      </c>
      <c r="B467" t="s">
        <v>32</v>
      </c>
      <c r="C467" s="32">
        <v>45658</v>
      </c>
      <c r="D467" t="s">
        <v>16</v>
      </c>
      <c r="E467">
        <v>7</v>
      </c>
      <c r="F467" t="s">
        <v>48</v>
      </c>
      <c r="G467">
        <v>0</v>
      </c>
      <c r="H467">
        <v>10728.01</v>
      </c>
      <c r="I467">
        <v>0</v>
      </c>
      <c r="J467">
        <v>0</v>
      </c>
      <c r="K467">
        <v>0</v>
      </c>
      <c r="L467">
        <v>0</v>
      </c>
      <c r="M467">
        <v>51724</v>
      </c>
      <c r="N467">
        <v>0</v>
      </c>
      <c r="O467">
        <v>256</v>
      </c>
      <c r="P467">
        <v>5</v>
      </c>
      <c r="Q467">
        <v>26</v>
      </c>
      <c r="R467">
        <v>0</v>
      </c>
      <c r="S467" t="s">
        <v>40</v>
      </c>
      <c r="T467">
        <v>2025</v>
      </c>
    </row>
    <row r="468" spans="1:20" x14ac:dyDescent="0.35">
      <c r="A468" t="s">
        <v>33</v>
      </c>
      <c r="B468" t="s">
        <v>32</v>
      </c>
      <c r="C468" s="32">
        <v>45658</v>
      </c>
      <c r="D468" t="s">
        <v>19</v>
      </c>
      <c r="E468">
        <v>7</v>
      </c>
      <c r="F468" t="s">
        <v>49</v>
      </c>
      <c r="G468">
        <v>7174.7</v>
      </c>
      <c r="H468">
        <v>12834.83</v>
      </c>
      <c r="I468">
        <v>0</v>
      </c>
      <c r="J468">
        <v>0</v>
      </c>
      <c r="K468">
        <v>0</v>
      </c>
      <c r="L468">
        <v>0</v>
      </c>
      <c r="M468">
        <v>32819</v>
      </c>
      <c r="N468">
        <v>0</v>
      </c>
      <c r="O468">
        <v>195</v>
      </c>
      <c r="P468">
        <v>28</v>
      </c>
      <c r="Q468">
        <v>81</v>
      </c>
      <c r="R468">
        <v>0</v>
      </c>
      <c r="S468" t="s">
        <v>40</v>
      </c>
      <c r="T468">
        <v>2025</v>
      </c>
    </row>
    <row r="469" spans="1:20" x14ac:dyDescent="0.35">
      <c r="A469" t="s">
        <v>33</v>
      </c>
      <c r="B469" t="s">
        <v>32</v>
      </c>
      <c r="C469" s="32">
        <v>45658</v>
      </c>
      <c r="D469" t="s">
        <v>19</v>
      </c>
      <c r="E469">
        <v>7</v>
      </c>
      <c r="F469" t="s">
        <v>30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2114</v>
      </c>
      <c r="N469">
        <v>0</v>
      </c>
      <c r="O469">
        <v>869</v>
      </c>
      <c r="P469">
        <v>1</v>
      </c>
      <c r="Q469">
        <v>4</v>
      </c>
      <c r="R469">
        <v>0</v>
      </c>
      <c r="S469" t="s">
        <v>40</v>
      </c>
      <c r="T469">
        <v>2025</v>
      </c>
    </row>
    <row r="470" spans="1:20" x14ac:dyDescent="0.35">
      <c r="A470" t="s">
        <v>33</v>
      </c>
      <c r="B470" t="s">
        <v>32</v>
      </c>
      <c r="C470" s="32">
        <v>45658</v>
      </c>
      <c r="D470" t="s">
        <v>16</v>
      </c>
      <c r="E470">
        <v>10</v>
      </c>
      <c r="F470" t="s">
        <v>48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15232</v>
      </c>
      <c r="N470">
        <v>0</v>
      </c>
      <c r="O470">
        <v>167</v>
      </c>
      <c r="P470">
        <v>2</v>
      </c>
      <c r="Q470">
        <v>5</v>
      </c>
      <c r="R470">
        <v>0</v>
      </c>
      <c r="S470" t="s">
        <v>40</v>
      </c>
      <c r="T470">
        <v>2025</v>
      </c>
    </row>
    <row r="471" spans="1:20" x14ac:dyDescent="0.35">
      <c r="A471" t="s">
        <v>33</v>
      </c>
      <c r="B471" t="s">
        <v>32</v>
      </c>
      <c r="C471" s="32">
        <v>45658</v>
      </c>
      <c r="D471" t="s">
        <v>19</v>
      </c>
      <c r="E471">
        <v>10</v>
      </c>
      <c r="F471" t="s">
        <v>49</v>
      </c>
      <c r="G471">
        <v>0</v>
      </c>
      <c r="H471">
        <v>2614</v>
      </c>
      <c r="I471">
        <v>0</v>
      </c>
      <c r="J471">
        <v>0</v>
      </c>
      <c r="K471">
        <v>0</v>
      </c>
      <c r="L471">
        <v>0</v>
      </c>
      <c r="M471">
        <v>4689</v>
      </c>
      <c r="N471">
        <v>0</v>
      </c>
      <c r="O471">
        <v>334</v>
      </c>
      <c r="P471">
        <v>4</v>
      </c>
      <c r="Q471">
        <v>21</v>
      </c>
      <c r="R471">
        <v>0</v>
      </c>
      <c r="S471" t="s">
        <v>40</v>
      </c>
      <c r="T471">
        <v>2025</v>
      </c>
    </row>
    <row r="472" spans="1:20" x14ac:dyDescent="0.35">
      <c r="A472" t="s">
        <v>23</v>
      </c>
      <c r="B472" t="s">
        <v>26</v>
      </c>
      <c r="C472" s="32">
        <v>45689</v>
      </c>
      <c r="D472" t="s">
        <v>16</v>
      </c>
      <c r="E472" t="s">
        <v>49</v>
      </c>
      <c r="F472" t="s">
        <v>48</v>
      </c>
      <c r="G472">
        <v>0</v>
      </c>
      <c r="H472">
        <v>476.82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19</v>
      </c>
      <c r="R472">
        <v>0</v>
      </c>
      <c r="S472" t="s">
        <v>40</v>
      </c>
      <c r="T472">
        <v>2025</v>
      </c>
    </row>
    <row r="473" spans="1:20" x14ac:dyDescent="0.35">
      <c r="A473" t="s">
        <v>23</v>
      </c>
      <c r="B473" t="s">
        <v>26</v>
      </c>
      <c r="C473" s="32">
        <v>45689</v>
      </c>
      <c r="D473" t="s">
        <v>19</v>
      </c>
      <c r="E473">
        <v>6</v>
      </c>
      <c r="F473" t="s">
        <v>49</v>
      </c>
      <c r="G473">
        <v>0</v>
      </c>
      <c r="H473">
        <v>2830.61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167</v>
      </c>
      <c r="P473">
        <v>3</v>
      </c>
      <c r="Q473">
        <v>7</v>
      </c>
      <c r="R473">
        <v>0</v>
      </c>
      <c r="S473" t="s">
        <v>40</v>
      </c>
      <c r="T473">
        <v>2025</v>
      </c>
    </row>
    <row r="474" spans="1:20" x14ac:dyDescent="0.35">
      <c r="A474" t="s">
        <v>23</v>
      </c>
      <c r="B474" t="s">
        <v>26</v>
      </c>
      <c r="C474" s="32">
        <v>45689</v>
      </c>
      <c r="D474" t="s">
        <v>19</v>
      </c>
      <c r="E474">
        <v>6</v>
      </c>
      <c r="F474" t="s">
        <v>31</v>
      </c>
      <c r="G474">
        <v>0</v>
      </c>
      <c r="H474">
        <v>836.29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0</v>
      </c>
      <c r="S474" t="s">
        <v>40</v>
      </c>
      <c r="T474">
        <v>2025</v>
      </c>
    </row>
    <row r="475" spans="1:20" x14ac:dyDescent="0.35">
      <c r="A475" t="s">
        <v>23</v>
      </c>
      <c r="B475" t="s">
        <v>26</v>
      </c>
      <c r="C475" s="32">
        <v>45689</v>
      </c>
      <c r="D475" t="s">
        <v>16</v>
      </c>
      <c r="E475">
        <v>7</v>
      </c>
      <c r="F475" t="s">
        <v>48</v>
      </c>
      <c r="G475">
        <v>42272.74</v>
      </c>
      <c r="H475">
        <v>711611.17</v>
      </c>
      <c r="I475">
        <v>0</v>
      </c>
      <c r="J475">
        <v>0</v>
      </c>
      <c r="K475">
        <v>0</v>
      </c>
      <c r="L475">
        <v>0</v>
      </c>
      <c r="M475">
        <v>80102</v>
      </c>
      <c r="N475">
        <v>84545.48</v>
      </c>
      <c r="O475">
        <v>129</v>
      </c>
      <c r="P475">
        <v>33</v>
      </c>
      <c r="Q475">
        <v>88</v>
      </c>
      <c r="R475">
        <v>0</v>
      </c>
      <c r="S475" t="s">
        <v>40</v>
      </c>
      <c r="T475">
        <v>2025</v>
      </c>
    </row>
    <row r="476" spans="1:20" x14ac:dyDescent="0.35">
      <c r="A476" t="s">
        <v>23</v>
      </c>
      <c r="B476" t="s">
        <v>26</v>
      </c>
      <c r="C476" s="32">
        <v>45689</v>
      </c>
      <c r="D476" t="s">
        <v>19</v>
      </c>
      <c r="E476">
        <v>7</v>
      </c>
      <c r="F476" t="s">
        <v>49</v>
      </c>
      <c r="G476">
        <v>0</v>
      </c>
      <c r="H476">
        <v>57171.32</v>
      </c>
      <c r="I476">
        <v>0</v>
      </c>
      <c r="J476">
        <v>0</v>
      </c>
      <c r="K476">
        <v>0</v>
      </c>
      <c r="L476">
        <v>0</v>
      </c>
      <c r="M476">
        <v>8259</v>
      </c>
      <c r="N476">
        <v>0</v>
      </c>
      <c r="O476">
        <v>164</v>
      </c>
      <c r="P476">
        <v>65</v>
      </c>
      <c r="Q476">
        <v>162</v>
      </c>
      <c r="R476">
        <v>0</v>
      </c>
      <c r="S476" t="s">
        <v>40</v>
      </c>
      <c r="T476">
        <v>2025</v>
      </c>
    </row>
    <row r="477" spans="1:20" x14ac:dyDescent="0.35">
      <c r="A477" t="s">
        <v>23</v>
      </c>
      <c r="B477" t="s">
        <v>26</v>
      </c>
      <c r="C477" s="32">
        <v>45689</v>
      </c>
      <c r="D477" t="s">
        <v>19</v>
      </c>
      <c r="E477">
        <v>7</v>
      </c>
      <c r="F477" t="s">
        <v>30</v>
      </c>
      <c r="G477">
        <v>0</v>
      </c>
      <c r="H477">
        <v>26026.22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104</v>
      </c>
      <c r="P477">
        <v>3</v>
      </c>
      <c r="Q477">
        <v>23</v>
      </c>
      <c r="R477">
        <v>0</v>
      </c>
      <c r="S477" t="s">
        <v>40</v>
      </c>
      <c r="T477">
        <v>2025</v>
      </c>
    </row>
    <row r="478" spans="1:20" x14ac:dyDescent="0.35">
      <c r="A478" t="s">
        <v>23</v>
      </c>
      <c r="B478" t="s">
        <v>26</v>
      </c>
      <c r="C478" s="32">
        <v>45689</v>
      </c>
      <c r="D478" t="s">
        <v>19</v>
      </c>
      <c r="E478">
        <v>7</v>
      </c>
      <c r="F478" t="s">
        <v>31</v>
      </c>
      <c r="G478">
        <v>56824.25</v>
      </c>
      <c r="H478">
        <v>40042.21</v>
      </c>
      <c r="I478">
        <v>0</v>
      </c>
      <c r="J478">
        <v>0</v>
      </c>
      <c r="K478">
        <v>0</v>
      </c>
      <c r="L478">
        <v>0</v>
      </c>
      <c r="M478">
        <v>108525</v>
      </c>
      <c r="N478">
        <v>113648.5</v>
      </c>
      <c r="O478">
        <v>218</v>
      </c>
      <c r="P478">
        <v>14</v>
      </c>
      <c r="Q478">
        <v>99</v>
      </c>
      <c r="R478">
        <v>0</v>
      </c>
      <c r="S478" t="s">
        <v>40</v>
      </c>
      <c r="T478">
        <v>2025</v>
      </c>
    </row>
    <row r="479" spans="1:20" x14ac:dyDescent="0.35">
      <c r="A479" t="s">
        <v>23</v>
      </c>
      <c r="B479" t="s">
        <v>26</v>
      </c>
      <c r="C479" s="32">
        <v>45689</v>
      </c>
      <c r="D479" t="s">
        <v>16</v>
      </c>
      <c r="E479">
        <v>10</v>
      </c>
      <c r="F479" t="s">
        <v>48</v>
      </c>
      <c r="G479">
        <v>0</v>
      </c>
      <c r="H479">
        <v>2305.7600000000002</v>
      </c>
      <c r="I479">
        <v>0</v>
      </c>
      <c r="J479">
        <v>0</v>
      </c>
      <c r="K479">
        <v>0</v>
      </c>
      <c r="L479">
        <v>0</v>
      </c>
      <c r="M479">
        <v>20278</v>
      </c>
      <c r="N479">
        <v>0</v>
      </c>
      <c r="O479">
        <v>92</v>
      </c>
      <c r="P479">
        <v>11</v>
      </c>
      <c r="Q479">
        <v>33</v>
      </c>
      <c r="R479">
        <v>0</v>
      </c>
      <c r="S479" t="s">
        <v>40</v>
      </c>
      <c r="T479">
        <v>2025</v>
      </c>
    </row>
    <row r="480" spans="1:20" x14ac:dyDescent="0.35">
      <c r="A480" t="s">
        <v>23</v>
      </c>
      <c r="B480" t="s">
        <v>26</v>
      </c>
      <c r="C480" s="32">
        <v>45689</v>
      </c>
      <c r="D480" t="s">
        <v>19</v>
      </c>
      <c r="E480">
        <v>10</v>
      </c>
      <c r="F480" t="s">
        <v>49</v>
      </c>
      <c r="G480">
        <v>0</v>
      </c>
      <c r="H480">
        <v>28351.53</v>
      </c>
      <c r="I480">
        <v>0</v>
      </c>
      <c r="J480">
        <v>0</v>
      </c>
      <c r="K480">
        <v>0</v>
      </c>
      <c r="L480">
        <v>0</v>
      </c>
      <c r="M480">
        <v>2450</v>
      </c>
      <c r="N480">
        <v>0</v>
      </c>
      <c r="O480">
        <v>112</v>
      </c>
      <c r="P480">
        <v>23</v>
      </c>
      <c r="Q480">
        <v>50</v>
      </c>
      <c r="R480">
        <v>0</v>
      </c>
      <c r="S480" t="s">
        <v>40</v>
      </c>
      <c r="T480">
        <v>2025</v>
      </c>
    </row>
    <row r="481" spans="1:20" x14ac:dyDescent="0.35">
      <c r="A481" t="s">
        <v>23</v>
      </c>
      <c r="B481" t="s">
        <v>26</v>
      </c>
      <c r="C481" s="32">
        <v>45689</v>
      </c>
      <c r="D481" t="s">
        <v>19</v>
      </c>
      <c r="E481">
        <v>10</v>
      </c>
      <c r="F481" t="s">
        <v>31</v>
      </c>
      <c r="G481">
        <v>80773.320000000007</v>
      </c>
      <c r="H481">
        <v>51235.77</v>
      </c>
      <c r="I481">
        <v>0</v>
      </c>
      <c r="J481">
        <v>0</v>
      </c>
      <c r="K481">
        <v>0</v>
      </c>
      <c r="L481">
        <v>0</v>
      </c>
      <c r="M481">
        <v>131707</v>
      </c>
      <c r="N481">
        <v>100812.64</v>
      </c>
      <c r="O481">
        <v>302</v>
      </c>
      <c r="P481">
        <v>26</v>
      </c>
      <c r="Q481">
        <v>16</v>
      </c>
      <c r="R481">
        <v>0</v>
      </c>
      <c r="S481" t="s">
        <v>40</v>
      </c>
      <c r="T481">
        <v>2025</v>
      </c>
    </row>
    <row r="482" spans="1:20" x14ac:dyDescent="0.35">
      <c r="A482" t="s">
        <v>23</v>
      </c>
      <c r="B482" t="s">
        <v>26</v>
      </c>
      <c r="C482" s="32">
        <v>45689</v>
      </c>
      <c r="D482" t="s">
        <v>16</v>
      </c>
      <c r="E482">
        <v>14</v>
      </c>
      <c r="F482" t="s">
        <v>48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34</v>
      </c>
      <c r="P482">
        <v>1</v>
      </c>
      <c r="Q482">
        <v>4</v>
      </c>
      <c r="R482">
        <v>0</v>
      </c>
      <c r="S482" t="s">
        <v>40</v>
      </c>
      <c r="T482">
        <v>2025</v>
      </c>
    </row>
    <row r="483" spans="1:20" x14ac:dyDescent="0.35">
      <c r="A483" t="s">
        <v>23</v>
      </c>
      <c r="B483" t="s">
        <v>26</v>
      </c>
      <c r="C483" s="32">
        <v>45689</v>
      </c>
      <c r="D483" t="s">
        <v>19</v>
      </c>
      <c r="E483">
        <v>14</v>
      </c>
      <c r="F483" t="s">
        <v>31</v>
      </c>
      <c r="G483">
        <v>5872</v>
      </c>
      <c r="H483">
        <v>5283.44</v>
      </c>
      <c r="I483">
        <v>0</v>
      </c>
      <c r="J483">
        <v>0</v>
      </c>
      <c r="K483">
        <v>0</v>
      </c>
      <c r="L483">
        <v>0</v>
      </c>
      <c r="M483">
        <v>9432</v>
      </c>
      <c r="N483">
        <v>0</v>
      </c>
      <c r="O483">
        <v>502</v>
      </c>
      <c r="P483">
        <v>4</v>
      </c>
      <c r="Q483">
        <v>1</v>
      </c>
      <c r="R483">
        <v>0</v>
      </c>
      <c r="S483" t="s">
        <v>40</v>
      </c>
      <c r="T483">
        <v>2025</v>
      </c>
    </row>
    <row r="484" spans="1:20" x14ac:dyDescent="0.35">
      <c r="A484" t="s">
        <v>23</v>
      </c>
      <c r="B484" t="s">
        <v>26</v>
      </c>
      <c r="C484" s="32">
        <v>45689</v>
      </c>
      <c r="D484" t="s">
        <v>19</v>
      </c>
      <c r="E484">
        <v>15</v>
      </c>
      <c r="F484" t="s">
        <v>31</v>
      </c>
      <c r="G484">
        <v>0</v>
      </c>
      <c r="H484">
        <v>463.84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 t="s">
        <v>40</v>
      </c>
      <c r="T484">
        <v>2025</v>
      </c>
    </row>
    <row r="485" spans="1:20" x14ac:dyDescent="0.35">
      <c r="A485" t="s">
        <v>23</v>
      </c>
      <c r="B485" t="s">
        <v>32</v>
      </c>
      <c r="C485" s="32">
        <v>45689</v>
      </c>
      <c r="D485" t="s">
        <v>19</v>
      </c>
      <c r="E485" t="s">
        <v>49</v>
      </c>
      <c r="F485" t="s">
        <v>49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5</v>
      </c>
      <c r="R485">
        <v>0</v>
      </c>
      <c r="S485" t="s">
        <v>40</v>
      </c>
      <c r="T485">
        <v>2025</v>
      </c>
    </row>
    <row r="486" spans="1:20" x14ac:dyDescent="0.35">
      <c r="A486" t="s">
        <v>23</v>
      </c>
      <c r="B486" t="s">
        <v>32</v>
      </c>
      <c r="C486" s="32">
        <v>45689</v>
      </c>
      <c r="D486" t="s">
        <v>19</v>
      </c>
      <c r="E486" t="s">
        <v>49</v>
      </c>
      <c r="F486" t="s">
        <v>30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 t="s">
        <v>40</v>
      </c>
      <c r="T486">
        <v>2025</v>
      </c>
    </row>
    <row r="487" spans="1:20" x14ac:dyDescent="0.35">
      <c r="A487" t="s">
        <v>23</v>
      </c>
      <c r="B487" t="s">
        <v>32</v>
      </c>
      <c r="C487" s="32">
        <v>45689</v>
      </c>
      <c r="D487" t="s">
        <v>19</v>
      </c>
      <c r="E487" t="s">
        <v>49</v>
      </c>
      <c r="F487" t="s">
        <v>31</v>
      </c>
      <c r="G487">
        <v>8612.83</v>
      </c>
      <c r="H487">
        <v>61599.33</v>
      </c>
      <c r="I487">
        <v>0</v>
      </c>
      <c r="J487">
        <v>0</v>
      </c>
      <c r="K487">
        <v>0</v>
      </c>
      <c r="L487">
        <v>0</v>
      </c>
      <c r="M487">
        <v>3593</v>
      </c>
      <c r="N487">
        <v>17225.650000000001</v>
      </c>
      <c r="O487">
        <v>937</v>
      </c>
      <c r="P487">
        <v>3</v>
      </c>
      <c r="Q487">
        <v>2</v>
      </c>
      <c r="R487">
        <v>0</v>
      </c>
      <c r="S487" t="s">
        <v>40</v>
      </c>
      <c r="T487">
        <v>2025</v>
      </c>
    </row>
    <row r="488" spans="1:20" x14ac:dyDescent="0.35">
      <c r="A488" t="s">
        <v>23</v>
      </c>
      <c r="B488" t="s">
        <v>32</v>
      </c>
      <c r="C488" s="32">
        <v>45689</v>
      </c>
      <c r="D488" t="s">
        <v>16</v>
      </c>
      <c r="E488">
        <v>6</v>
      </c>
      <c r="F488" t="s">
        <v>48</v>
      </c>
      <c r="G488">
        <v>0</v>
      </c>
      <c r="H488">
        <v>25150.93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</v>
      </c>
      <c r="Q488">
        <v>0</v>
      </c>
      <c r="R488">
        <v>0</v>
      </c>
      <c r="S488" t="s">
        <v>40</v>
      </c>
      <c r="T488">
        <v>2025</v>
      </c>
    </row>
    <row r="489" spans="1:20" x14ac:dyDescent="0.35">
      <c r="A489" t="s">
        <v>23</v>
      </c>
      <c r="B489" t="s">
        <v>32</v>
      </c>
      <c r="C489" s="32">
        <v>45689</v>
      </c>
      <c r="D489" t="s">
        <v>19</v>
      </c>
      <c r="E489">
        <v>6</v>
      </c>
      <c r="F489" t="s">
        <v>31</v>
      </c>
      <c r="G489">
        <v>0</v>
      </c>
      <c r="H489">
        <v>2821.75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 t="s">
        <v>40</v>
      </c>
      <c r="T489">
        <v>2025</v>
      </c>
    </row>
    <row r="490" spans="1:20" x14ac:dyDescent="0.35">
      <c r="A490" t="s">
        <v>23</v>
      </c>
      <c r="B490" t="s">
        <v>32</v>
      </c>
      <c r="C490" s="32">
        <v>45689</v>
      </c>
      <c r="D490" t="s">
        <v>16</v>
      </c>
      <c r="E490">
        <v>7</v>
      </c>
      <c r="F490" t="s">
        <v>48</v>
      </c>
      <c r="G490">
        <v>0</v>
      </c>
      <c r="H490">
        <v>86787.82</v>
      </c>
      <c r="I490">
        <v>0</v>
      </c>
      <c r="J490">
        <v>0</v>
      </c>
      <c r="K490">
        <v>0</v>
      </c>
      <c r="L490">
        <v>0</v>
      </c>
      <c r="M490">
        <v>66465</v>
      </c>
      <c r="N490">
        <v>0</v>
      </c>
      <c r="O490">
        <v>362</v>
      </c>
      <c r="P490">
        <v>24</v>
      </c>
      <c r="Q490">
        <v>21</v>
      </c>
      <c r="R490">
        <v>0</v>
      </c>
      <c r="S490" t="s">
        <v>40</v>
      </c>
      <c r="T490">
        <v>2025</v>
      </c>
    </row>
    <row r="491" spans="1:20" x14ac:dyDescent="0.35">
      <c r="A491" t="s">
        <v>23</v>
      </c>
      <c r="B491" t="s">
        <v>32</v>
      </c>
      <c r="C491" s="32">
        <v>45689</v>
      </c>
      <c r="D491" t="s">
        <v>17</v>
      </c>
      <c r="E491">
        <v>7</v>
      </c>
      <c r="F491" t="s">
        <v>48</v>
      </c>
      <c r="G491">
        <v>0</v>
      </c>
      <c r="H491">
        <v>30740.78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 t="s">
        <v>40</v>
      </c>
      <c r="T491">
        <v>2025</v>
      </c>
    </row>
    <row r="492" spans="1:20" x14ac:dyDescent="0.35">
      <c r="A492" t="s">
        <v>23</v>
      </c>
      <c r="B492" t="s">
        <v>32</v>
      </c>
      <c r="C492" s="32">
        <v>45689</v>
      </c>
      <c r="D492" t="s">
        <v>19</v>
      </c>
      <c r="E492">
        <v>7</v>
      </c>
      <c r="F492" t="s">
        <v>49</v>
      </c>
      <c r="G492">
        <v>2566</v>
      </c>
      <c r="H492">
        <v>14519.63</v>
      </c>
      <c r="I492">
        <v>0</v>
      </c>
      <c r="J492">
        <v>0</v>
      </c>
      <c r="K492">
        <v>0</v>
      </c>
      <c r="L492">
        <v>0</v>
      </c>
      <c r="M492">
        <v>56238</v>
      </c>
      <c r="N492">
        <v>0</v>
      </c>
      <c r="O492">
        <v>144</v>
      </c>
      <c r="P492">
        <v>50</v>
      </c>
      <c r="Q492">
        <v>93</v>
      </c>
      <c r="R492">
        <v>0</v>
      </c>
      <c r="S492" t="s">
        <v>40</v>
      </c>
      <c r="T492">
        <v>2025</v>
      </c>
    </row>
    <row r="493" spans="1:20" x14ac:dyDescent="0.35">
      <c r="A493" t="s">
        <v>23</v>
      </c>
      <c r="B493" t="s">
        <v>32</v>
      </c>
      <c r="C493" s="32">
        <v>45689</v>
      </c>
      <c r="D493" t="s">
        <v>19</v>
      </c>
      <c r="E493">
        <v>7</v>
      </c>
      <c r="F493" t="s">
        <v>30</v>
      </c>
      <c r="G493">
        <v>774.12</v>
      </c>
      <c r="H493">
        <v>285118.75</v>
      </c>
      <c r="I493">
        <v>0</v>
      </c>
      <c r="J493">
        <v>0</v>
      </c>
      <c r="K493">
        <v>0</v>
      </c>
      <c r="L493">
        <v>0</v>
      </c>
      <c r="M493">
        <v>7334</v>
      </c>
      <c r="N493">
        <v>1548.23</v>
      </c>
      <c r="O493">
        <v>397</v>
      </c>
      <c r="P493">
        <v>10</v>
      </c>
      <c r="Q493">
        <v>39</v>
      </c>
      <c r="R493">
        <v>0</v>
      </c>
      <c r="S493" t="s">
        <v>40</v>
      </c>
      <c r="T493">
        <v>2025</v>
      </c>
    </row>
    <row r="494" spans="1:20" x14ac:dyDescent="0.35">
      <c r="A494" t="s">
        <v>23</v>
      </c>
      <c r="B494" t="s">
        <v>32</v>
      </c>
      <c r="C494" s="32">
        <v>45689</v>
      </c>
      <c r="D494" t="s">
        <v>19</v>
      </c>
      <c r="E494">
        <v>7</v>
      </c>
      <c r="F494" t="s">
        <v>31</v>
      </c>
      <c r="G494">
        <v>137765.81</v>
      </c>
      <c r="H494">
        <v>37438.050000000003</v>
      </c>
      <c r="I494">
        <v>93171.18</v>
      </c>
      <c r="J494">
        <v>0</v>
      </c>
      <c r="K494">
        <v>0</v>
      </c>
      <c r="L494">
        <v>0</v>
      </c>
      <c r="M494">
        <v>203646</v>
      </c>
      <c r="N494">
        <v>234775.6</v>
      </c>
      <c r="O494">
        <v>218</v>
      </c>
      <c r="P494">
        <v>22</v>
      </c>
      <c r="Q494">
        <v>92</v>
      </c>
      <c r="R494">
        <v>1</v>
      </c>
      <c r="S494" t="s">
        <v>40</v>
      </c>
      <c r="T494">
        <v>2025</v>
      </c>
    </row>
    <row r="495" spans="1:20" x14ac:dyDescent="0.35">
      <c r="A495" t="s">
        <v>23</v>
      </c>
      <c r="B495" t="s">
        <v>32</v>
      </c>
      <c r="C495" s="32">
        <v>45689</v>
      </c>
      <c r="D495" t="s">
        <v>19</v>
      </c>
      <c r="E495">
        <v>8</v>
      </c>
      <c r="F495" t="s">
        <v>31</v>
      </c>
      <c r="G495">
        <v>44791.38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62423</v>
      </c>
      <c r="N495">
        <v>89582.75</v>
      </c>
      <c r="O495">
        <v>568</v>
      </c>
      <c r="P495">
        <v>1</v>
      </c>
      <c r="Q495">
        <v>0</v>
      </c>
      <c r="R495">
        <v>0</v>
      </c>
      <c r="S495" t="s">
        <v>40</v>
      </c>
      <c r="T495">
        <v>2025</v>
      </c>
    </row>
    <row r="496" spans="1:20" x14ac:dyDescent="0.35">
      <c r="A496" t="s">
        <v>23</v>
      </c>
      <c r="B496" t="s">
        <v>32</v>
      </c>
      <c r="C496" s="32">
        <v>45689</v>
      </c>
      <c r="D496" t="s">
        <v>27</v>
      </c>
      <c r="E496">
        <v>10</v>
      </c>
      <c r="F496" t="s">
        <v>48</v>
      </c>
      <c r="G496">
        <v>0</v>
      </c>
      <c r="H496">
        <v>361</v>
      </c>
      <c r="I496">
        <v>0</v>
      </c>
      <c r="J496">
        <v>0</v>
      </c>
      <c r="K496">
        <v>0</v>
      </c>
      <c r="L496">
        <v>0</v>
      </c>
      <c r="M496">
        <v>102</v>
      </c>
      <c r="N496">
        <v>0</v>
      </c>
      <c r="O496">
        <v>332</v>
      </c>
      <c r="P496">
        <v>1</v>
      </c>
      <c r="Q496">
        <v>0</v>
      </c>
      <c r="R496">
        <v>0</v>
      </c>
      <c r="S496" t="s">
        <v>40</v>
      </c>
      <c r="T496">
        <v>2025</v>
      </c>
    </row>
    <row r="497" spans="1:20" x14ac:dyDescent="0.35">
      <c r="A497" t="s">
        <v>23</v>
      </c>
      <c r="B497" t="s">
        <v>32</v>
      </c>
      <c r="C497" s="32">
        <v>45689</v>
      </c>
      <c r="D497" t="s">
        <v>16</v>
      </c>
      <c r="E497">
        <v>10</v>
      </c>
      <c r="F497" t="s">
        <v>48</v>
      </c>
      <c r="G497">
        <v>0</v>
      </c>
      <c r="H497">
        <v>6427.5</v>
      </c>
      <c r="I497">
        <v>0</v>
      </c>
      <c r="J497">
        <v>0</v>
      </c>
      <c r="K497">
        <v>0</v>
      </c>
      <c r="L497">
        <v>0</v>
      </c>
      <c r="M497">
        <v>246</v>
      </c>
      <c r="N497">
        <v>0</v>
      </c>
      <c r="O497">
        <v>75</v>
      </c>
      <c r="P497">
        <v>10</v>
      </c>
      <c r="Q497">
        <v>21</v>
      </c>
      <c r="R497">
        <v>0</v>
      </c>
      <c r="S497" t="s">
        <v>40</v>
      </c>
      <c r="T497">
        <v>2025</v>
      </c>
    </row>
    <row r="498" spans="1:20" x14ac:dyDescent="0.35">
      <c r="A498" t="s">
        <v>23</v>
      </c>
      <c r="B498" t="s">
        <v>32</v>
      </c>
      <c r="C498" s="32">
        <v>45689</v>
      </c>
      <c r="D498" t="s">
        <v>19</v>
      </c>
      <c r="E498">
        <v>10</v>
      </c>
      <c r="F498" t="s">
        <v>49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97844</v>
      </c>
      <c r="N498">
        <v>0</v>
      </c>
      <c r="O498">
        <v>64</v>
      </c>
      <c r="P498">
        <v>7</v>
      </c>
      <c r="Q498">
        <v>17</v>
      </c>
      <c r="R498">
        <v>0</v>
      </c>
      <c r="S498" t="s">
        <v>40</v>
      </c>
      <c r="T498">
        <v>2025</v>
      </c>
    </row>
    <row r="499" spans="1:20" x14ac:dyDescent="0.35">
      <c r="A499" t="s">
        <v>23</v>
      </c>
      <c r="B499" t="s">
        <v>32</v>
      </c>
      <c r="C499" s="32">
        <v>45689</v>
      </c>
      <c r="D499" t="s">
        <v>19</v>
      </c>
      <c r="E499">
        <v>10</v>
      </c>
      <c r="F499" t="s">
        <v>30</v>
      </c>
      <c r="G499">
        <v>0</v>
      </c>
      <c r="H499">
        <v>25115.01</v>
      </c>
      <c r="I499">
        <v>0</v>
      </c>
      <c r="J499">
        <v>0</v>
      </c>
      <c r="K499">
        <v>0</v>
      </c>
      <c r="L499">
        <v>0</v>
      </c>
      <c r="M499">
        <v>7006</v>
      </c>
      <c r="N499">
        <v>0</v>
      </c>
      <c r="O499">
        <v>485</v>
      </c>
      <c r="P499">
        <v>3</v>
      </c>
      <c r="Q499">
        <v>1</v>
      </c>
      <c r="R499">
        <v>0</v>
      </c>
      <c r="S499" t="s">
        <v>40</v>
      </c>
      <c r="T499">
        <v>2025</v>
      </c>
    </row>
    <row r="500" spans="1:20" x14ac:dyDescent="0.35">
      <c r="A500" t="s">
        <v>23</v>
      </c>
      <c r="B500" t="s">
        <v>32</v>
      </c>
      <c r="C500" s="32">
        <v>45689</v>
      </c>
      <c r="D500" t="s">
        <v>19</v>
      </c>
      <c r="E500">
        <v>10</v>
      </c>
      <c r="F500" t="s">
        <v>31</v>
      </c>
      <c r="G500">
        <v>0</v>
      </c>
      <c r="H500">
        <v>21887.54</v>
      </c>
      <c r="I500">
        <v>0</v>
      </c>
      <c r="J500">
        <v>0</v>
      </c>
      <c r="K500">
        <v>0</v>
      </c>
      <c r="L500">
        <v>0</v>
      </c>
      <c r="M500">
        <v>7832</v>
      </c>
      <c r="N500">
        <v>0</v>
      </c>
      <c r="O500">
        <v>149</v>
      </c>
      <c r="P500">
        <v>9</v>
      </c>
      <c r="Q500">
        <v>1</v>
      </c>
      <c r="R500">
        <v>0</v>
      </c>
      <c r="S500" t="s">
        <v>40</v>
      </c>
      <c r="T500">
        <v>2025</v>
      </c>
    </row>
    <row r="501" spans="1:20" x14ac:dyDescent="0.35">
      <c r="A501" t="s">
        <v>33</v>
      </c>
      <c r="B501" t="s">
        <v>26</v>
      </c>
      <c r="C501" s="32">
        <v>45689</v>
      </c>
      <c r="D501" t="s">
        <v>16</v>
      </c>
      <c r="E501" t="s">
        <v>49</v>
      </c>
      <c r="F501" t="s">
        <v>48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 t="s">
        <v>40</v>
      </c>
      <c r="T501">
        <v>2025</v>
      </c>
    </row>
    <row r="502" spans="1:20" x14ac:dyDescent="0.35">
      <c r="A502" t="s">
        <v>33</v>
      </c>
      <c r="B502" t="s">
        <v>26</v>
      </c>
      <c r="C502" s="32">
        <v>45689</v>
      </c>
      <c r="D502" t="s">
        <v>19</v>
      </c>
      <c r="E502" t="s">
        <v>49</v>
      </c>
      <c r="F502" t="s">
        <v>49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0</v>
      </c>
      <c r="R502">
        <v>0</v>
      </c>
      <c r="S502" t="s">
        <v>40</v>
      </c>
      <c r="T502">
        <v>2025</v>
      </c>
    </row>
    <row r="503" spans="1:20" x14ac:dyDescent="0.35">
      <c r="A503" t="s">
        <v>33</v>
      </c>
      <c r="B503" t="s">
        <v>26</v>
      </c>
      <c r="C503" s="32">
        <v>45689</v>
      </c>
      <c r="D503" t="s">
        <v>27</v>
      </c>
      <c r="E503">
        <v>6</v>
      </c>
      <c r="F503" t="s">
        <v>48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 t="s">
        <v>40</v>
      </c>
      <c r="T503">
        <v>2025</v>
      </c>
    </row>
    <row r="504" spans="1:20" x14ac:dyDescent="0.35">
      <c r="A504" t="s">
        <v>33</v>
      </c>
      <c r="B504" t="s">
        <v>26</v>
      </c>
      <c r="C504" s="32">
        <v>45689</v>
      </c>
      <c r="D504" t="s">
        <v>19</v>
      </c>
      <c r="E504">
        <v>6</v>
      </c>
      <c r="F504" t="s">
        <v>49</v>
      </c>
      <c r="G504">
        <v>0</v>
      </c>
      <c r="H504">
        <v>22264.54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37</v>
      </c>
      <c r="Q504">
        <v>52</v>
      </c>
      <c r="R504">
        <v>0</v>
      </c>
      <c r="S504" t="s">
        <v>40</v>
      </c>
      <c r="T504">
        <v>2025</v>
      </c>
    </row>
    <row r="505" spans="1:20" x14ac:dyDescent="0.35">
      <c r="A505" t="s">
        <v>33</v>
      </c>
      <c r="B505" t="s">
        <v>26</v>
      </c>
      <c r="C505" s="32">
        <v>45689</v>
      </c>
      <c r="D505" t="s">
        <v>16</v>
      </c>
      <c r="E505">
        <v>7</v>
      </c>
      <c r="F505" t="s">
        <v>48</v>
      </c>
      <c r="G505">
        <v>0</v>
      </c>
      <c r="H505">
        <v>89381.14</v>
      </c>
      <c r="I505">
        <v>0</v>
      </c>
      <c r="J505">
        <v>0</v>
      </c>
      <c r="K505">
        <v>0</v>
      </c>
      <c r="L505">
        <v>0</v>
      </c>
      <c r="M505">
        <v>5711</v>
      </c>
      <c r="N505">
        <v>0</v>
      </c>
      <c r="O505">
        <v>471</v>
      </c>
      <c r="P505">
        <v>15</v>
      </c>
      <c r="Q505">
        <v>65</v>
      </c>
      <c r="R505">
        <v>0</v>
      </c>
      <c r="S505" t="s">
        <v>40</v>
      </c>
      <c r="T505">
        <v>2025</v>
      </c>
    </row>
    <row r="506" spans="1:20" x14ac:dyDescent="0.35">
      <c r="A506" t="s">
        <v>33</v>
      </c>
      <c r="B506" t="s">
        <v>26</v>
      </c>
      <c r="C506" s="32">
        <v>45689</v>
      </c>
      <c r="D506" t="s">
        <v>19</v>
      </c>
      <c r="E506">
        <v>7</v>
      </c>
      <c r="F506" t="s">
        <v>49</v>
      </c>
      <c r="G506">
        <v>0</v>
      </c>
      <c r="H506">
        <v>324522.96000000002</v>
      </c>
      <c r="I506">
        <v>0</v>
      </c>
      <c r="J506">
        <v>0</v>
      </c>
      <c r="K506">
        <v>0</v>
      </c>
      <c r="L506">
        <v>0</v>
      </c>
      <c r="M506">
        <v>20674</v>
      </c>
      <c r="N506">
        <v>0</v>
      </c>
      <c r="O506">
        <v>149</v>
      </c>
      <c r="P506">
        <v>331</v>
      </c>
      <c r="Q506">
        <v>565</v>
      </c>
      <c r="R506">
        <v>0</v>
      </c>
      <c r="S506" t="s">
        <v>40</v>
      </c>
      <c r="T506">
        <v>2025</v>
      </c>
    </row>
    <row r="507" spans="1:20" x14ac:dyDescent="0.35">
      <c r="A507" t="s">
        <v>33</v>
      </c>
      <c r="B507" t="s">
        <v>26</v>
      </c>
      <c r="C507" s="32">
        <v>45689</v>
      </c>
      <c r="D507" t="s">
        <v>19</v>
      </c>
      <c r="E507">
        <v>7</v>
      </c>
      <c r="F507" t="s">
        <v>30</v>
      </c>
      <c r="G507">
        <v>0</v>
      </c>
      <c r="H507">
        <v>1456.24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799</v>
      </c>
      <c r="P507">
        <v>1</v>
      </c>
      <c r="Q507">
        <v>7</v>
      </c>
      <c r="R507">
        <v>0</v>
      </c>
      <c r="S507" t="s">
        <v>40</v>
      </c>
      <c r="T507">
        <v>2025</v>
      </c>
    </row>
    <row r="508" spans="1:20" x14ac:dyDescent="0.35">
      <c r="A508" t="s">
        <v>33</v>
      </c>
      <c r="B508" t="s">
        <v>26</v>
      </c>
      <c r="C508" s="32">
        <v>45689</v>
      </c>
      <c r="D508" t="s">
        <v>19</v>
      </c>
      <c r="E508">
        <v>7</v>
      </c>
      <c r="F508" t="s">
        <v>31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12</v>
      </c>
      <c r="R508">
        <v>0</v>
      </c>
      <c r="S508" t="s">
        <v>40</v>
      </c>
      <c r="T508">
        <v>2025</v>
      </c>
    </row>
    <row r="509" spans="1:20" x14ac:dyDescent="0.35">
      <c r="A509" t="s">
        <v>33</v>
      </c>
      <c r="B509" t="s">
        <v>26</v>
      </c>
      <c r="C509" s="32">
        <v>45689</v>
      </c>
      <c r="D509" t="s">
        <v>19</v>
      </c>
      <c r="E509">
        <v>8</v>
      </c>
      <c r="F509" t="s">
        <v>49</v>
      </c>
      <c r="G509">
        <v>0</v>
      </c>
      <c r="H509">
        <v>6316.85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7</v>
      </c>
      <c r="Q509">
        <v>8</v>
      </c>
      <c r="R509">
        <v>0</v>
      </c>
      <c r="S509" t="s">
        <v>40</v>
      </c>
      <c r="T509">
        <v>2025</v>
      </c>
    </row>
    <row r="510" spans="1:20" x14ac:dyDescent="0.35">
      <c r="A510" t="s">
        <v>33</v>
      </c>
      <c r="B510" t="s">
        <v>26</v>
      </c>
      <c r="C510" s="32">
        <v>45689</v>
      </c>
      <c r="D510" t="s">
        <v>16</v>
      </c>
      <c r="E510">
        <v>10</v>
      </c>
      <c r="F510" t="s">
        <v>48</v>
      </c>
      <c r="G510">
        <v>0</v>
      </c>
      <c r="H510">
        <v>1393.37</v>
      </c>
      <c r="I510">
        <v>0</v>
      </c>
      <c r="J510">
        <v>0</v>
      </c>
      <c r="K510">
        <v>0</v>
      </c>
      <c r="L510">
        <v>0</v>
      </c>
      <c r="M510">
        <v>1403</v>
      </c>
      <c r="N510">
        <v>0</v>
      </c>
      <c r="O510">
        <v>165</v>
      </c>
      <c r="P510">
        <v>2</v>
      </c>
      <c r="Q510">
        <v>21</v>
      </c>
      <c r="R510">
        <v>0</v>
      </c>
      <c r="S510" t="s">
        <v>40</v>
      </c>
      <c r="T510">
        <v>2025</v>
      </c>
    </row>
    <row r="511" spans="1:20" x14ac:dyDescent="0.35">
      <c r="A511" t="s">
        <v>33</v>
      </c>
      <c r="B511" t="s">
        <v>26</v>
      </c>
      <c r="C511" s="32">
        <v>45689</v>
      </c>
      <c r="D511" t="s">
        <v>19</v>
      </c>
      <c r="E511">
        <v>10</v>
      </c>
      <c r="F511" t="s">
        <v>49</v>
      </c>
      <c r="G511">
        <v>0</v>
      </c>
      <c r="H511">
        <v>112185.46</v>
      </c>
      <c r="I511">
        <v>0</v>
      </c>
      <c r="J511">
        <v>0</v>
      </c>
      <c r="K511">
        <v>0</v>
      </c>
      <c r="L511">
        <v>0</v>
      </c>
      <c r="M511">
        <v>13191</v>
      </c>
      <c r="N511">
        <v>0</v>
      </c>
      <c r="O511">
        <v>189</v>
      </c>
      <c r="P511">
        <v>141</v>
      </c>
      <c r="Q511">
        <v>129</v>
      </c>
      <c r="R511">
        <v>0</v>
      </c>
      <c r="S511" t="s">
        <v>40</v>
      </c>
      <c r="T511">
        <v>2025</v>
      </c>
    </row>
    <row r="512" spans="1:20" x14ac:dyDescent="0.35">
      <c r="A512" t="s">
        <v>33</v>
      </c>
      <c r="B512" t="s">
        <v>26</v>
      </c>
      <c r="C512" s="32">
        <v>45689</v>
      </c>
      <c r="D512" t="s">
        <v>19</v>
      </c>
      <c r="E512">
        <v>10</v>
      </c>
      <c r="F512" t="s">
        <v>30</v>
      </c>
      <c r="G512">
        <v>0</v>
      </c>
      <c r="H512">
        <v>1829.4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3</v>
      </c>
      <c r="R512">
        <v>0</v>
      </c>
      <c r="S512" t="s">
        <v>40</v>
      </c>
      <c r="T512">
        <v>2025</v>
      </c>
    </row>
    <row r="513" spans="1:20" x14ac:dyDescent="0.35">
      <c r="A513" t="s">
        <v>33</v>
      </c>
      <c r="B513" t="s">
        <v>26</v>
      </c>
      <c r="C513" s="32">
        <v>45689</v>
      </c>
      <c r="D513" t="s">
        <v>16</v>
      </c>
      <c r="E513">
        <v>14</v>
      </c>
      <c r="F513" t="s">
        <v>48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1</v>
      </c>
      <c r="R513">
        <v>0</v>
      </c>
      <c r="S513" t="s">
        <v>40</v>
      </c>
      <c r="T513">
        <v>2025</v>
      </c>
    </row>
    <row r="514" spans="1:20" x14ac:dyDescent="0.35">
      <c r="A514" t="s">
        <v>33</v>
      </c>
      <c r="B514" t="s">
        <v>26</v>
      </c>
      <c r="C514" s="32">
        <v>45689</v>
      </c>
      <c r="D514" t="s">
        <v>19</v>
      </c>
      <c r="E514">
        <v>14</v>
      </c>
      <c r="F514" t="s">
        <v>49</v>
      </c>
      <c r="G514">
        <v>0</v>
      </c>
      <c r="H514">
        <v>1648.39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8</v>
      </c>
      <c r="Q514">
        <v>6</v>
      </c>
      <c r="R514">
        <v>0</v>
      </c>
      <c r="S514" t="s">
        <v>40</v>
      </c>
      <c r="T514">
        <v>2025</v>
      </c>
    </row>
    <row r="515" spans="1:20" x14ac:dyDescent="0.35">
      <c r="A515" t="s">
        <v>33</v>
      </c>
      <c r="B515" t="s">
        <v>32</v>
      </c>
      <c r="C515" s="32">
        <v>45689</v>
      </c>
      <c r="D515" t="s">
        <v>19</v>
      </c>
      <c r="E515" t="s">
        <v>49</v>
      </c>
      <c r="F515" t="s">
        <v>49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 t="s">
        <v>40</v>
      </c>
      <c r="T515">
        <v>2025</v>
      </c>
    </row>
    <row r="516" spans="1:20" x14ac:dyDescent="0.35">
      <c r="A516" t="s">
        <v>33</v>
      </c>
      <c r="B516" t="s">
        <v>32</v>
      </c>
      <c r="C516" s="32">
        <v>45689</v>
      </c>
      <c r="D516" t="s">
        <v>19</v>
      </c>
      <c r="E516">
        <v>6</v>
      </c>
      <c r="F516" t="s">
        <v>49</v>
      </c>
      <c r="G516">
        <v>0</v>
      </c>
      <c r="H516">
        <v>2133.87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</v>
      </c>
      <c r="Q516">
        <v>0</v>
      </c>
      <c r="R516">
        <v>0</v>
      </c>
      <c r="S516" t="s">
        <v>40</v>
      </c>
      <c r="T516">
        <v>2025</v>
      </c>
    </row>
    <row r="517" spans="1:20" x14ac:dyDescent="0.35">
      <c r="A517" t="s">
        <v>33</v>
      </c>
      <c r="B517" t="s">
        <v>32</v>
      </c>
      <c r="C517" s="32">
        <v>45689</v>
      </c>
      <c r="D517" t="s">
        <v>16</v>
      </c>
      <c r="E517">
        <v>7</v>
      </c>
      <c r="F517" t="s">
        <v>48</v>
      </c>
      <c r="G517">
        <v>0</v>
      </c>
      <c r="H517">
        <v>5575.03</v>
      </c>
      <c r="I517">
        <v>0</v>
      </c>
      <c r="J517">
        <v>0</v>
      </c>
      <c r="K517">
        <v>0</v>
      </c>
      <c r="L517">
        <v>0</v>
      </c>
      <c r="M517">
        <v>7539</v>
      </c>
      <c r="N517">
        <v>0</v>
      </c>
      <c r="O517">
        <v>222</v>
      </c>
      <c r="P517">
        <v>4</v>
      </c>
      <c r="Q517">
        <v>5</v>
      </c>
      <c r="R517">
        <v>0</v>
      </c>
      <c r="S517" t="s">
        <v>40</v>
      </c>
      <c r="T517">
        <v>2025</v>
      </c>
    </row>
    <row r="518" spans="1:20" x14ac:dyDescent="0.35">
      <c r="A518" t="s">
        <v>33</v>
      </c>
      <c r="B518" t="s">
        <v>32</v>
      </c>
      <c r="C518" s="32">
        <v>45689</v>
      </c>
      <c r="D518" t="s">
        <v>19</v>
      </c>
      <c r="E518">
        <v>7</v>
      </c>
      <c r="F518" t="s">
        <v>49</v>
      </c>
      <c r="G518">
        <v>0</v>
      </c>
      <c r="H518">
        <v>5633.99</v>
      </c>
      <c r="I518">
        <v>0</v>
      </c>
      <c r="J518">
        <v>0</v>
      </c>
      <c r="K518">
        <v>0</v>
      </c>
      <c r="L518">
        <v>0</v>
      </c>
      <c r="M518">
        <v>17662</v>
      </c>
      <c r="N518">
        <v>0</v>
      </c>
      <c r="O518">
        <v>63</v>
      </c>
      <c r="P518">
        <v>21</v>
      </c>
      <c r="Q518">
        <v>64</v>
      </c>
      <c r="R518">
        <v>0</v>
      </c>
      <c r="S518" t="s">
        <v>40</v>
      </c>
      <c r="T518">
        <v>2025</v>
      </c>
    </row>
    <row r="519" spans="1:20" x14ac:dyDescent="0.35">
      <c r="A519" t="s">
        <v>33</v>
      </c>
      <c r="B519" t="s">
        <v>32</v>
      </c>
      <c r="C519" s="32">
        <v>45689</v>
      </c>
      <c r="D519" t="s">
        <v>19</v>
      </c>
      <c r="E519">
        <v>7</v>
      </c>
      <c r="F519" t="s">
        <v>31</v>
      </c>
      <c r="G519">
        <v>0</v>
      </c>
      <c r="H519">
        <v>1867.13</v>
      </c>
      <c r="I519">
        <v>0</v>
      </c>
      <c r="J519">
        <v>0</v>
      </c>
      <c r="K519">
        <v>0</v>
      </c>
      <c r="L519">
        <v>0</v>
      </c>
      <c r="M519">
        <v>8272</v>
      </c>
      <c r="N519">
        <v>0</v>
      </c>
      <c r="O519">
        <v>244</v>
      </c>
      <c r="P519">
        <v>3</v>
      </c>
      <c r="Q519">
        <v>182</v>
      </c>
      <c r="R519">
        <v>0</v>
      </c>
      <c r="S519" t="s">
        <v>40</v>
      </c>
      <c r="T519">
        <v>2025</v>
      </c>
    </row>
    <row r="520" spans="1:20" x14ac:dyDescent="0.35">
      <c r="A520" t="s">
        <v>33</v>
      </c>
      <c r="B520" t="s">
        <v>32</v>
      </c>
      <c r="C520" s="32">
        <v>45689</v>
      </c>
      <c r="D520" t="s">
        <v>19</v>
      </c>
      <c r="E520">
        <v>8</v>
      </c>
      <c r="F520" t="s">
        <v>49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 t="s">
        <v>40</v>
      </c>
      <c r="T520">
        <v>2025</v>
      </c>
    </row>
    <row r="521" spans="1:20" x14ac:dyDescent="0.35">
      <c r="A521" t="s">
        <v>33</v>
      </c>
      <c r="B521" t="s">
        <v>32</v>
      </c>
      <c r="C521" s="32">
        <v>45689</v>
      </c>
      <c r="D521" t="s">
        <v>19</v>
      </c>
      <c r="E521">
        <v>10</v>
      </c>
      <c r="F521" t="s">
        <v>49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2922</v>
      </c>
      <c r="N521">
        <v>0</v>
      </c>
      <c r="O521">
        <v>50</v>
      </c>
      <c r="P521">
        <v>2</v>
      </c>
      <c r="Q521">
        <v>19</v>
      </c>
      <c r="R521">
        <v>0</v>
      </c>
      <c r="S521" t="s">
        <v>40</v>
      </c>
      <c r="T521">
        <v>2025</v>
      </c>
    </row>
    <row r="522" spans="1:20" x14ac:dyDescent="0.35">
      <c r="A522" t="s">
        <v>23</v>
      </c>
      <c r="B522" t="s">
        <v>26</v>
      </c>
      <c r="C522" s="32">
        <v>45717</v>
      </c>
      <c r="D522" t="s">
        <v>16</v>
      </c>
      <c r="E522" t="s">
        <v>49</v>
      </c>
      <c r="F522" t="s">
        <v>48</v>
      </c>
      <c r="G522">
        <v>0</v>
      </c>
      <c r="H522">
        <v>1112.43</v>
      </c>
      <c r="I522">
        <v>0</v>
      </c>
      <c r="J522">
        <v>0</v>
      </c>
      <c r="K522">
        <v>0</v>
      </c>
      <c r="L522">
        <v>0</v>
      </c>
      <c r="M522">
        <v>710</v>
      </c>
      <c r="N522">
        <v>0</v>
      </c>
      <c r="O522">
        <v>0</v>
      </c>
      <c r="P522">
        <v>6</v>
      </c>
      <c r="Q522">
        <v>6</v>
      </c>
      <c r="R522">
        <v>0</v>
      </c>
      <c r="S522" t="s">
        <v>40</v>
      </c>
      <c r="T522">
        <v>2025</v>
      </c>
    </row>
    <row r="523" spans="1:20" x14ac:dyDescent="0.35">
      <c r="A523" t="s">
        <v>23</v>
      </c>
      <c r="B523" t="s">
        <v>26</v>
      </c>
      <c r="C523" s="32">
        <v>45717</v>
      </c>
      <c r="D523" t="s">
        <v>19</v>
      </c>
      <c r="E523" t="s">
        <v>49</v>
      </c>
      <c r="F523" t="s">
        <v>49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163</v>
      </c>
      <c r="P523">
        <v>1</v>
      </c>
      <c r="Q523">
        <v>1</v>
      </c>
      <c r="R523">
        <v>0</v>
      </c>
      <c r="S523" t="s">
        <v>40</v>
      </c>
      <c r="T523">
        <v>2025</v>
      </c>
    </row>
    <row r="524" spans="1:20" x14ac:dyDescent="0.35">
      <c r="A524" t="s">
        <v>23</v>
      </c>
      <c r="B524" t="s">
        <v>26</v>
      </c>
      <c r="C524" s="32">
        <v>45717</v>
      </c>
      <c r="D524" t="s">
        <v>16</v>
      </c>
      <c r="E524">
        <v>6</v>
      </c>
      <c r="F524" t="s">
        <v>48</v>
      </c>
      <c r="G524">
        <v>0</v>
      </c>
      <c r="H524">
        <v>462.44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31</v>
      </c>
      <c r="P524">
        <v>5</v>
      </c>
      <c r="Q524">
        <v>3</v>
      </c>
      <c r="R524">
        <v>0</v>
      </c>
      <c r="S524" t="s">
        <v>40</v>
      </c>
      <c r="T524">
        <v>2025</v>
      </c>
    </row>
    <row r="525" spans="1:20" x14ac:dyDescent="0.35">
      <c r="A525" t="s">
        <v>23</v>
      </c>
      <c r="B525" t="s">
        <v>26</v>
      </c>
      <c r="C525" s="32">
        <v>45717</v>
      </c>
      <c r="D525" t="s">
        <v>19</v>
      </c>
      <c r="E525">
        <v>6</v>
      </c>
      <c r="F525" t="s">
        <v>49</v>
      </c>
      <c r="G525">
        <v>0</v>
      </c>
      <c r="H525">
        <v>1350.16</v>
      </c>
      <c r="I525">
        <v>0</v>
      </c>
      <c r="J525">
        <v>0</v>
      </c>
      <c r="K525">
        <v>0</v>
      </c>
      <c r="L525">
        <v>0</v>
      </c>
      <c r="M525">
        <v>1185</v>
      </c>
      <c r="N525">
        <v>0</v>
      </c>
      <c r="O525">
        <v>237</v>
      </c>
      <c r="P525">
        <v>2</v>
      </c>
      <c r="Q525">
        <v>11</v>
      </c>
      <c r="R525">
        <v>0</v>
      </c>
      <c r="S525" t="s">
        <v>40</v>
      </c>
      <c r="T525">
        <v>2025</v>
      </c>
    </row>
    <row r="526" spans="1:20" x14ac:dyDescent="0.35">
      <c r="A526" t="s">
        <v>23</v>
      </c>
      <c r="B526" t="s">
        <v>26</v>
      </c>
      <c r="C526" s="32">
        <v>45717</v>
      </c>
      <c r="D526" t="s">
        <v>19</v>
      </c>
      <c r="E526">
        <v>6</v>
      </c>
      <c r="F526" t="s">
        <v>30</v>
      </c>
      <c r="G526">
        <v>0</v>
      </c>
      <c r="H526">
        <v>1398.72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 t="s">
        <v>40</v>
      </c>
      <c r="T526">
        <v>2025</v>
      </c>
    </row>
    <row r="527" spans="1:20" x14ac:dyDescent="0.35">
      <c r="A527" t="s">
        <v>23</v>
      </c>
      <c r="B527" t="s">
        <v>26</v>
      </c>
      <c r="C527" s="32">
        <v>45717</v>
      </c>
      <c r="D527" t="s">
        <v>19</v>
      </c>
      <c r="E527">
        <v>6</v>
      </c>
      <c r="F527" t="s">
        <v>31</v>
      </c>
      <c r="G527">
        <v>0</v>
      </c>
      <c r="H527">
        <v>3135.89</v>
      </c>
      <c r="I527">
        <v>0</v>
      </c>
      <c r="J527">
        <v>0</v>
      </c>
      <c r="K527">
        <v>0</v>
      </c>
      <c r="L527">
        <v>0</v>
      </c>
      <c r="M527">
        <v>1123</v>
      </c>
      <c r="N527">
        <v>0</v>
      </c>
      <c r="O527">
        <v>553</v>
      </c>
      <c r="P527">
        <v>3</v>
      </c>
      <c r="Q527">
        <v>0</v>
      </c>
      <c r="R527">
        <v>0</v>
      </c>
      <c r="S527" t="s">
        <v>40</v>
      </c>
      <c r="T527">
        <v>2025</v>
      </c>
    </row>
    <row r="528" spans="1:20" x14ac:dyDescent="0.35">
      <c r="A528" t="s">
        <v>23</v>
      </c>
      <c r="B528" t="s">
        <v>26</v>
      </c>
      <c r="C528" s="32">
        <v>45717</v>
      </c>
      <c r="D528" t="s">
        <v>16</v>
      </c>
      <c r="E528">
        <v>7</v>
      </c>
      <c r="F528" t="s">
        <v>48</v>
      </c>
      <c r="G528">
        <v>6214.49</v>
      </c>
      <c r="H528">
        <v>174971.66</v>
      </c>
      <c r="I528">
        <v>0</v>
      </c>
      <c r="J528">
        <v>0</v>
      </c>
      <c r="K528">
        <v>0</v>
      </c>
      <c r="L528">
        <v>0</v>
      </c>
      <c r="M528">
        <v>27960</v>
      </c>
      <c r="N528">
        <v>0</v>
      </c>
      <c r="O528">
        <v>224</v>
      </c>
      <c r="P528">
        <v>32</v>
      </c>
      <c r="Q528">
        <v>92</v>
      </c>
      <c r="R528">
        <v>0</v>
      </c>
      <c r="S528" t="s">
        <v>40</v>
      </c>
      <c r="T528">
        <v>2025</v>
      </c>
    </row>
    <row r="529" spans="1:20" x14ac:dyDescent="0.35">
      <c r="A529" t="s">
        <v>23</v>
      </c>
      <c r="B529" t="s">
        <v>26</v>
      </c>
      <c r="C529" s="32">
        <v>45717</v>
      </c>
      <c r="D529" t="s">
        <v>19</v>
      </c>
      <c r="E529">
        <v>7</v>
      </c>
      <c r="F529" t="s">
        <v>49</v>
      </c>
      <c r="G529">
        <v>17372</v>
      </c>
      <c r="H529">
        <v>52383.98</v>
      </c>
      <c r="I529">
        <v>0</v>
      </c>
      <c r="J529">
        <v>0</v>
      </c>
      <c r="K529">
        <v>0</v>
      </c>
      <c r="L529">
        <v>0</v>
      </c>
      <c r="M529">
        <v>22476</v>
      </c>
      <c r="N529">
        <v>0</v>
      </c>
      <c r="O529">
        <v>161</v>
      </c>
      <c r="P529">
        <v>71</v>
      </c>
      <c r="Q529">
        <v>171</v>
      </c>
      <c r="R529">
        <v>0</v>
      </c>
      <c r="S529" t="s">
        <v>40</v>
      </c>
      <c r="T529">
        <v>2025</v>
      </c>
    </row>
    <row r="530" spans="1:20" x14ac:dyDescent="0.35">
      <c r="A530" t="s">
        <v>23</v>
      </c>
      <c r="B530" t="s">
        <v>26</v>
      </c>
      <c r="C530" s="32">
        <v>45717</v>
      </c>
      <c r="D530" t="s">
        <v>19</v>
      </c>
      <c r="E530">
        <v>7</v>
      </c>
      <c r="F530" t="s">
        <v>30</v>
      </c>
      <c r="G530">
        <v>140778.93</v>
      </c>
      <c r="H530">
        <v>180304.34</v>
      </c>
      <c r="I530">
        <v>0</v>
      </c>
      <c r="J530">
        <v>0</v>
      </c>
      <c r="K530">
        <v>0</v>
      </c>
      <c r="L530">
        <v>0</v>
      </c>
      <c r="M530">
        <v>214489</v>
      </c>
      <c r="N530">
        <v>192989.51</v>
      </c>
      <c r="O530">
        <v>283</v>
      </c>
      <c r="P530">
        <v>12</v>
      </c>
      <c r="Q530">
        <v>13</v>
      </c>
      <c r="R530">
        <v>0</v>
      </c>
      <c r="S530" t="s">
        <v>40</v>
      </c>
      <c r="T530">
        <v>2025</v>
      </c>
    </row>
    <row r="531" spans="1:20" x14ac:dyDescent="0.35">
      <c r="A531" t="s">
        <v>23</v>
      </c>
      <c r="B531" t="s">
        <v>26</v>
      </c>
      <c r="C531" s="32">
        <v>45717</v>
      </c>
      <c r="D531" t="s">
        <v>19</v>
      </c>
      <c r="E531">
        <v>7</v>
      </c>
      <c r="F531" t="s">
        <v>31</v>
      </c>
      <c r="G531">
        <v>0</v>
      </c>
      <c r="H531">
        <v>28440.6</v>
      </c>
      <c r="I531">
        <v>0</v>
      </c>
      <c r="J531">
        <v>0</v>
      </c>
      <c r="K531">
        <v>0</v>
      </c>
      <c r="L531">
        <v>0</v>
      </c>
      <c r="M531">
        <v>14506</v>
      </c>
      <c r="N531">
        <v>0</v>
      </c>
      <c r="O531">
        <v>204</v>
      </c>
      <c r="P531">
        <v>15</v>
      </c>
      <c r="Q531">
        <v>76</v>
      </c>
      <c r="R531">
        <v>0</v>
      </c>
      <c r="S531" t="s">
        <v>40</v>
      </c>
      <c r="T531">
        <v>2025</v>
      </c>
    </row>
    <row r="532" spans="1:20" x14ac:dyDescent="0.35">
      <c r="A532" t="s">
        <v>23</v>
      </c>
      <c r="B532" t="s">
        <v>26</v>
      </c>
      <c r="C532" s="32">
        <v>45717</v>
      </c>
      <c r="D532" t="s">
        <v>16</v>
      </c>
      <c r="E532">
        <v>8</v>
      </c>
      <c r="F532" t="s">
        <v>48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14248</v>
      </c>
      <c r="N532">
        <v>0</v>
      </c>
      <c r="O532">
        <v>100</v>
      </c>
      <c r="P532">
        <v>3</v>
      </c>
      <c r="Q532">
        <v>0</v>
      </c>
      <c r="R532">
        <v>0</v>
      </c>
      <c r="S532" t="s">
        <v>40</v>
      </c>
      <c r="T532">
        <v>2025</v>
      </c>
    </row>
    <row r="533" spans="1:20" x14ac:dyDescent="0.35">
      <c r="A533" t="s">
        <v>23</v>
      </c>
      <c r="B533" t="s">
        <v>26</v>
      </c>
      <c r="C533" s="32">
        <v>45717</v>
      </c>
      <c r="D533" t="s">
        <v>19</v>
      </c>
      <c r="E533">
        <v>8</v>
      </c>
      <c r="F533" t="s">
        <v>49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2</v>
      </c>
      <c r="R533">
        <v>0</v>
      </c>
      <c r="S533" t="s">
        <v>40</v>
      </c>
      <c r="T533">
        <v>2025</v>
      </c>
    </row>
    <row r="534" spans="1:20" x14ac:dyDescent="0.35">
      <c r="A534" t="s">
        <v>23</v>
      </c>
      <c r="B534" t="s">
        <v>26</v>
      </c>
      <c r="C534" s="32">
        <v>45717</v>
      </c>
      <c r="D534" t="s">
        <v>27</v>
      </c>
      <c r="E534">
        <v>10</v>
      </c>
      <c r="F534" t="s">
        <v>48</v>
      </c>
      <c r="G534">
        <v>0</v>
      </c>
      <c r="H534">
        <v>23263.62</v>
      </c>
      <c r="I534">
        <v>0</v>
      </c>
      <c r="J534">
        <v>0</v>
      </c>
      <c r="K534">
        <v>0</v>
      </c>
      <c r="L534">
        <v>0</v>
      </c>
      <c r="M534">
        <v>1001</v>
      </c>
      <c r="N534">
        <v>0</v>
      </c>
      <c r="O534">
        <v>376</v>
      </c>
      <c r="P534">
        <v>1</v>
      </c>
      <c r="Q534">
        <v>0</v>
      </c>
      <c r="R534">
        <v>0</v>
      </c>
      <c r="S534" t="s">
        <v>40</v>
      </c>
      <c r="T534">
        <v>2025</v>
      </c>
    </row>
    <row r="535" spans="1:20" x14ac:dyDescent="0.35">
      <c r="A535" t="s">
        <v>23</v>
      </c>
      <c r="B535" t="s">
        <v>26</v>
      </c>
      <c r="C535" s="32">
        <v>45717</v>
      </c>
      <c r="D535" t="s">
        <v>16</v>
      </c>
      <c r="E535">
        <v>10</v>
      </c>
      <c r="F535" t="s">
        <v>48</v>
      </c>
      <c r="G535">
        <v>5559</v>
      </c>
      <c r="H535">
        <v>203374.01</v>
      </c>
      <c r="I535">
        <v>0</v>
      </c>
      <c r="J535">
        <v>0</v>
      </c>
      <c r="K535">
        <v>0</v>
      </c>
      <c r="L535">
        <v>0</v>
      </c>
      <c r="M535">
        <v>190232</v>
      </c>
      <c r="N535">
        <v>31139.03</v>
      </c>
      <c r="O535">
        <v>291</v>
      </c>
      <c r="P535">
        <v>18</v>
      </c>
      <c r="Q535">
        <v>43</v>
      </c>
      <c r="R535">
        <v>0</v>
      </c>
      <c r="S535" t="s">
        <v>40</v>
      </c>
      <c r="T535">
        <v>2025</v>
      </c>
    </row>
    <row r="536" spans="1:20" x14ac:dyDescent="0.35">
      <c r="A536" t="s">
        <v>23</v>
      </c>
      <c r="B536" t="s">
        <v>26</v>
      </c>
      <c r="C536" s="32">
        <v>45717</v>
      </c>
      <c r="D536" t="s">
        <v>17</v>
      </c>
      <c r="E536">
        <v>10</v>
      </c>
      <c r="F536" t="s">
        <v>48</v>
      </c>
      <c r="G536">
        <v>0</v>
      </c>
      <c r="H536">
        <v>23634.18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</v>
      </c>
      <c r="Q536">
        <v>0</v>
      </c>
      <c r="R536">
        <v>0</v>
      </c>
      <c r="S536" t="s">
        <v>40</v>
      </c>
      <c r="T536">
        <v>2025</v>
      </c>
    </row>
    <row r="537" spans="1:20" x14ac:dyDescent="0.35">
      <c r="A537" t="s">
        <v>23</v>
      </c>
      <c r="B537" t="s">
        <v>26</v>
      </c>
      <c r="C537" s="32">
        <v>45717</v>
      </c>
      <c r="D537" t="s">
        <v>19</v>
      </c>
      <c r="E537">
        <v>10</v>
      </c>
      <c r="F537" t="s">
        <v>49</v>
      </c>
      <c r="G537">
        <v>2799</v>
      </c>
      <c r="H537">
        <v>16589.36</v>
      </c>
      <c r="I537">
        <v>0</v>
      </c>
      <c r="J537">
        <v>0</v>
      </c>
      <c r="K537">
        <v>0</v>
      </c>
      <c r="L537">
        <v>0</v>
      </c>
      <c r="M537">
        <v>27687</v>
      </c>
      <c r="N537">
        <v>0</v>
      </c>
      <c r="O537">
        <v>137</v>
      </c>
      <c r="P537">
        <v>21</v>
      </c>
      <c r="Q537">
        <v>41</v>
      </c>
      <c r="R537">
        <v>0</v>
      </c>
      <c r="S537" t="s">
        <v>40</v>
      </c>
      <c r="T537">
        <v>2025</v>
      </c>
    </row>
    <row r="538" spans="1:20" x14ac:dyDescent="0.35">
      <c r="A538" t="s">
        <v>23</v>
      </c>
      <c r="B538" t="s">
        <v>26</v>
      </c>
      <c r="C538" s="32">
        <v>45717</v>
      </c>
      <c r="D538" t="s">
        <v>19</v>
      </c>
      <c r="E538">
        <v>10</v>
      </c>
      <c r="F538" t="s">
        <v>30</v>
      </c>
      <c r="G538">
        <v>0</v>
      </c>
      <c r="H538">
        <v>1092.79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152</v>
      </c>
      <c r="P538">
        <v>3</v>
      </c>
      <c r="Q538">
        <v>3</v>
      </c>
      <c r="R538">
        <v>0</v>
      </c>
      <c r="S538" t="s">
        <v>40</v>
      </c>
      <c r="T538">
        <v>2025</v>
      </c>
    </row>
    <row r="539" spans="1:20" x14ac:dyDescent="0.35">
      <c r="A539" t="s">
        <v>23</v>
      </c>
      <c r="B539" t="s">
        <v>26</v>
      </c>
      <c r="C539" s="32">
        <v>45717</v>
      </c>
      <c r="D539" t="s">
        <v>19</v>
      </c>
      <c r="E539">
        <v>10</v>
      </c>
      <c r="F539" t="s">
        <v>31</v>
      </c>
      <c r="G539">
        <v>18250.14</v>
      </c>
      <c r="H539">
        <v>27885.3</v>
      </c>
      <c r="I539">
        <v>0</v>
      </c>
      <c r="J539">
        <v>0</v>
      </c>
      <c r="K539">
        <v>0</v>
      </c>
      <c r="L539">
        <v>0</v>
      </c>
      <c r="M539">
        <v>35382</v>
      </c>
      <c r="N539">
        <v>0</v>
      </c>
      <c r="O539">
        <v>237</v>
      </c>
      <c r="P539">
        <v>19</v>
      </c>
      <c r="Q539">
        <v>26</v>
      </c>
      <c r="R539">
        <v>0</v>
      </c>
      <c r="S539" t="s">
        <v>40</v>
      </c>
      <c r="T539">
        <v>2025</v>
      </c>
    </row>
    <row r="540" spans="1:20" x14ac:dyDescent="0.35">
      <c r="A540" t="s">
        <v>23</v>
      </c>
      <c r="B540" t="s">
        <v>26</v>
      </c>
      <c r="C540" s="32">
        <v>45717</v>
      </c>
      <c r="D540" t="s">
        <v>19</v>
      </c>
      <c r="E540">
        <v>14</v>
      </c>
      <c r="F540" t="s">
        <v>31</v>
      </c>
      <c r="G540">
        <v>0</v>
      </c>
      <c r="H540">
        <v>1387.22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3</v>
      </c>
      <c r="R540">
        <v>0</v>
      </c>
      <c r="S540" t="s">
        <v>40</v>
      </c>
      <c r="T540">
        <v>2025</v>
      </c>
    </row>
    <row r="541" spans="1:20" x14ac:dyDescent="0.35">
      <c r="A541" t="s">
        <v>23</v>
      </c>
      <c r="B541" t="s">
        <v>32</v>
      </c>
      <c r="C541" s="32">
        <v>45717</v>
      </c>
      <c r="D541" t="s">
        <v>19</v>
      </c>
      <c r="E541" t="s">
        <v>49</v>
      </c>
      <c r="F541" t="s">
        <v>49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4895</v>
      </c>
      <c r="N541">
        <v>0</v>
      </c>
      <c r="O541">
        <v>77</v>
      </c>
      <c r="P541">
        <v>2</v>
      </c>
      <c r="Q541">
        <v>1</v>
      </c>
      <c r="R541">
        <v>0</v>
      </c>
      <c r="S541" t="s">
        <v>40</v>
      </c>
      <c r="T541">
        <v>2025</v>
      </c>
    </row>
    <row r="542" spans="1:20" x14ac:dyDescent="0.35">
      <c r="A542" t="s">
        <v>23</v>
      </c>
      <c r="B542" t="s">
        <v>32</v>
      </c>
      <c r="C542" s="32">
        <v>45717</v>
      </c>
      <c r="D542" t="s">
        <v>19</v>
      </c>
      <c r="E542" t="s">
        <v>49</v>
      </c>
      <c r="F542" t="s">
        <v>31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250</v>
      </c>
      <c r="P542">
        <v>1</v>
      </c>
      <c r="Q542">
        <v>0</v>
      </c>
      <c r="R542">
        <v>0</v>
      </c>
      <c r="S542" t="s">
        <v>40</v>
      </c>
      <c r="T542">
        <v>2025</v>
      </c>
    </row>
    <row r="543" spans="1:20" x14ac:dyDescent="0.35">
      <c r="A543" t="s">
        <v>23</v>
      </c>
      <c r="B543" t="s">
        <v>32</v>
      </c>
      <c r="C543" s="32">
        <v>45717</v>
      </c>
      <c r="D543" t="s">
        <v>19</v>
      </c>
      <c r="E543">
        <v>6</v>
      </c>
      <c r="F543" t="s">
        <v>49</v>
      </c>
      <c r="G543">
        <v>0</v>
      </c>
      <c r="H543">
        <v>2562.0300000000002</v>
      </c>
      <c r="I543">
        <v>0</v>
      </c>
      <c r="J543">
        <v>0</v>
      </c>
      <c r="K543">
        <v>0</v>
      </c>
      <c r="L543">
        <v>0</v>
      </c>
      <c r="M543">
        <v>3307</v>
      </c>
      <c r="N543">
        <v>0</v>
      </c>
      <c r="O543">
        <v>0</v>
      </c>
      <c r="P543">
        <v>3</v>
      </c>
      <c r="Q543">
        <v>2</v>
      </c>
      <c r="R543">
        <v>0</v>
      </c>
      <c r="S543" t="s">
        <v>40</v>
      </c>
      <c r="T543">
        <v>2025</v>
      </c>
    </row>
    <row r="544" spans="1:20" x14ac:dyDescent="0.35">
      <c r="A544" t="s">
        <v>23</v>
      </c>
      <c r="B544" t="s">
        <v>32</v>
      </c>
      <c r="C544" s="32">
        <v>45717</v>
      </c>
      <c r="D544" t="s">
        <v>19</v>
      </c>
      <c r="E544">
        <v>6</v>
      </c>
      <c r="F544" t="s">
        <v>31</v>
      </c>
      <c r="G544">
        <v>0</v>
      </c>
      <c r="H544">
        <v>2416.3200000000002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2</v>
      </c>
      <c r="R544">
        <v>0</v>
      </c>
      <c r="S544" t="s">
        <v>40</v>
      </c>
      <c r="T544">
        <v>2025</v>
      </c>
    </row>
    <row r="545" spans="1:20" x14ac:dyDescent="0.35">
      <c r="A545" t="s">
        <v>23</v>
      </c>
      <c r="B545" t="s">
        <v>32</v>
      </c>
      <c r="C545" s="32">
        <v>45717</v>
      </c>
      <c r="D545" t="s">
        <v>16</v>
      </c>
      <c r="E545">
        <v>7</v>
      </c>
      <c r="F545" t="s">
        <v>48</v>
      </c>
      <c r="G545">
        <v>0</v>
      </c>
      <c r="H545">
        <v>408166.79</v>
      </c>
      <c r="I545">
        <v>0</v>
      </c>
      <c r="J545">
        <v>0</v>
      </c>
      <c r="K545">
        <v>0</v>
      </c>
      <c r="L545">
        <v>0</v>
      </c>
      <c r="M545">
        <v>89913</v>
      </c>
      <c r="N545">
        <v>20376.82</v>
      </c>
      <c r="O545">
        <v>231</v>
      </c>
      <c r="P545">
        <v>33</v>
      </c>
      <c r="Q545">
        <v>45</v>
      </c>
      <c r="R545">
        <v>0</v>
      </c>
      <c r="S545" t="s">
        <v>40</v>
      </c>
      <c r="T545">
        <v>2025</v>
      </c>
    </row>
    <row r="546" spans="1:20" x14ac:dyDescent="0.35">
      <c r="A546" t="s">
        <v>23</v>
      </c>
      <c r="B546" t="s">
        <v>32</v>
      </c>
      <c r="C546" s="32">
        <v>45717</v>
      </c>
      <c r="D546" t="s">
        <v>19</v>
      </c>
      <c r="E546">
        <v>7</v>
      </c>
      <c r="F546" t="s">
        <v>49</v>
      </c>
      <c r="G546">
        <v>0</v>
      </c>
      <c r="H546">
        <v>39578.74</v>
      </c>
      <c r="I546">
        <v>0</v>
      </c>
      <c r="J546">
        <v>0</v>
      </c>
      <c r="K546">
        <v>0</v>
      </c>
      <c r="L546">
        <v>0</v>
      </c>
      <c r="M546">
        <v>88724</v>
      </c>
      <c r="N546">
        <v>0</v>
      </c>
      <c r="O546">
        <v>134</v>
      </c>
      <c r="P546">
        <v>59</v>
      </c>
      <c r="Q546">
        <v>82</v>
      </c>
      <c r="R546">
        <v>0</v>
      </c>
      <c r="S546" t="s">
        <v>40</v>
      </c>
      <c r="T546">
        <v>2025</v>
      </c>
    </row>
    <row r="547" spans="1:20" x14ac:dyDescent="0.35">
      <c r="A547" t="s">
        <v>23</v>
      </c>
      <c r="B547" t="s">
        <v>32</v>
      </c>
      <c r="C547" s="32">
        <v>45717</v>
      </c>
      <c r="D547" t="s">
        <v>19</v>
      </c>
      <c r="E547">
        <v>7</v>
      </c>
      <c r="F547" t="s">
        <v>30</v>
      </c>
      <c r="G547">
        <v>158717.21</v>
      </c>
      <c r="H547">
        <v>285080.37</v>
      </c>
      <c r="I547">
        <v>0</v>
      </c>
      <c r="J547">
        <v>0</v>
      </c>
      <c r="K547">
        <v>0</v>
      </c>
      <c r="L547">
        <v>0</v>
      </c>
      <c r="M547">
        <v>348773</v>
      </c>
      <c r="N547">
        <v>310072.42</v>
      </c>
      <c r="O547">
        <v>442</v>
      </c>
      <c r="P547">
        <v>14</v>
      </c>
      <c r="Q547">
        <v>19</v>
      </c>
      <c r="R547">
        <v>0</v>
      </c>
      <c r="S547" t="s">
        <v>40</v>
      </c>
      <c r="T547">
        <v>2025</v>
      </c>
    </row>
    <row r="548" spans="1:20" x14ac:dyDescent="0.35">
      <c r="A548" t="s">
        <v>23</v>
      </c>
      <c r="B548" t="s">
        <v>32</v>
      </c>
      <c r="C548" s="32">
        <v>45717</v>
      </c>
      <c r="D548" t="s">
        <v>19</v>
      </c>
      <c r="E548">
        <v>7</v>
      </c>
      <c r="F548" t="s">
        <v>31</v>
      </c>
      <c r="G548">
        <v>63372.160000000003</v>
      </c>
      <c r="H548">
        <v>107980.4</v>
      </c>
      <c r="I548">
        <v>0</v>
      </c>
      <c r="J548">
        <v>0</v>
      </c>
      <c r="K548">
        <v>0</v>
      </c>
      <c r="L548">
        <v>0</v>
      </c>
      <c r="M548">
        <v>69348</v>
      </c>
      <c r="N548">
        <v>0</v>
      </c>
      <c r="O548">
        <v>100</v>
      </c>
      <c r="P548">
        <v>29</v>
      </c>
      <c r="Q548">
        <v>37</v>
      </c>
      <c r="R548">
        <v>0</v>
      </c>
      <c r="S548" t="s">
        <v>40</v>
      </c>
      <c r="T548">
        <v>2025</v>
      </c>
    </row>
    <row r="549" spans="1:20" x14ac:dyDescent="0.35">
      <c r="A549" t="s">
        <v>23</v>
      </c>
      <c r="B549" t="s">
        <v>32</v>
      </c>
      <c r="C549" s="32">
        <v>45717</v>
      </c>
      <c r="D549" t="s">
        <v>27</v>
      </c>
      <c r="E549">
        <v>10</v>
      </c>
      <c r="F549" t="s">
        <v>48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567</v>
      </c>
      <c r="N549">
        <v>0</v>
      </c>
      <c r="O549">
        <v>209</v>
      </c>
      <c r="P549">
        <v>1</v>
      </c>
      <c r="Q549">
        <v>0</v>
      </c>
      <c r="R549">
        <v>0</v>
      </c>
      <c r="S549" t="s">
        <v>40</v>
      </c>
      <c r="T549">
        <v>2025</v>
      </c>
    </row>
    <row r="550" spans="1:20" x14ac:dyDescent="0.35">
      <c r="A550" t="s">
        <v>23</v>
      </c>
      <c r="B550" t="s">
        <v>32</v>
      </c>
      <c r="C550" s="32">
        <v>45717</v>
      </c>
      <c r="D550" t="s">
        <v>16</v>
      </c>
      <c r="E550">
        <v>10</v>
      </c>
      <c r="F550" t="s">
        <v>48</v>
      </c>
      <c r="G550">
        <v>0</v>
      </c>
      <c r="H550">
        <v>1456.38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20</v>
      </c>
      <c r="P550">
        <v>3</v>
      </c>
      <c r="Q550">
        <v>19</v>
      </c>
      <c r="R550">
        <v>0</v>
      </c>
      <c r="S550" t="s">
        <v>40</v>
      </c>
      <c r="T550">
        <v>2025</v>
      </c>
    </row>
    <row r="551" spans="1:20" x14ac:dyDescent="0.35">
      <c r="A551" t="s">
        <v>23</v>
      </c>
      <c r="B551" t="s">
        <v>32</v>
      </c>
      <c r="C551" s="32">
        <v>45717</v>
      </c>
      <c r="D551" t="s">
        <v>19</v>
      </c>
      <c r="E551">
        <v>10</v>
      </c>
      <c r="F551" t="s">
        <v>49</v>
      </c>
      <c r="G551">
        <v>0</v>
      </c>
      <c r="H551">
        <v>4465.22</v>
      </c>
      <c r="I551">
        <v>0</v>
      </c>
      <c r="J551">
        <v>0</v>
      </c>
      <c r="K551">
        <v>0</v>
      </c>
      <c r="L551">
        <v>0</v>
      </c>
      <c r="M551">
        <v>54148</v>
      </c>
      <c r="N551">
        <v>0</v>
      </c>
      <c r="O551">
        <v>336</v>
      </c>
      <c r="P551">
        <v>9</v>
      </c>
      <c r="Q551">
        <v>19</v>
      </c>
      <c r="R551">
        <v>0</v>
      </c>
      <c r="S551" t="s">
        <v>40</v>
      </c>
      <c r="T551">
        <v>2025</v>
      </c>
    </row>
    <row r="552" spans="1:20" x14ac:dyDescent="0.35">
      <c r="A552" t="s">
        <v>23</v>
      </c>
      <c r="B552" t="s">
        <v>32</v>
      </c>
      <c r="C552" s="32">
        <v>45717</v>
      </c>
      <c r="D552" t="s">
        <v>19</v>
      </c>
      <c r="E552">
        <v>10</v>
      </c>
      <c r="F552" t="s">
        <v>30</v>
      </c>
      <c r="G552">
        <v>8864.3799999999992</v>
      </c>
      <c r="H552">
        <v>47871.13</v>
      </c>
      <c r="I552">
        <v>0</v>
      </c>
      <c r="J552">
        <v>0</v>
      </c>
      <c r="K552">
        <v>0</v>
      </c>
      <c r="L552">
        <v>0</v>
      </c>
      <c r="M552">
        <v>46262</v>
      </c>
      <c r="N552">
        <v>0</v>
      </c>
      <c r="O552">
        <v>250</v>
      </c>
      <c r="P552">
        <v>3</v>
      </c>
      <c r="Q552">
        <v>0</v>
      </c>
      <c r="R552">
        <v>0</v>
      </c>
      <c r="S552" t="s">
        <v>40</v>
      </c>
      <c r="T552">
        <v>2025</v>
      </c>
    </row>
    <row r="553" spans="1:20" x14ac:dyDescent="0.35">
      <c r="A553" t="s">
        <v>23</v>
      </c>
      <c r="B553" t="s">
        <v>32</v>
      </c>
      <c r="C553" s="32">
        <v>45717</v>
      </c>
      <c r="D553" t="s">
        <v>19</v>
      </c>
      <c r="E553">
        <v>10</v>
      </c>
      <c r="F553" t="s">
        <v>31</v>
      </c>
      <c r="G553">
        <v>20012.810000000001</v>
      </c>
      <c r="H553">
        <v>8079.33</v>
      </c>
      <c r="I553">
        <v>0</v>
      </c>
      <c r="J553">
        <v>0</v>
      </c>
      <c r="K553">
        <v>0</v>
      </c>
      <c r="L553">
        <v>0</v>
      </c>
      <c r="M553">
        <v>42293</v>
      </c>
      <c r="N553">
        <v>33997.71</v>
      </c>
      <c r="O553">
        <v>142</v>
      </c>
      <c r="P553">
        <v>12</v>
      </c>
      <c r="Q553">
        <v>7</v>
      </c>
      <c r="R553">
        <v>0</v>
      </c>
      <c r="S553" t="s">
        <v>40</v>
      </c>
      <c r="T553">
        <v>2025</v>
      </c>
    </row>
    <row r="554" spans="1:20" x14ac:dyDescent="0.35">
      <c r="A554" t="s">
        <v>33</v>
      </c>
      <c r="B554" t="s">
        <v>26</v>
      </c>
      <c r="C554" s="32">
        <v>45717</v>
      </c>
      <c r="D554" t="s">
        <v>16</v>
      </c>
      <c r="E554" t="s">
        <v>49</v>
      </c>
      <c r="F554" t="s">
        <v>48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 t="s">
        <v>40</v>
      </c>
      <c r="T554">
        <v>2025</v>
      </c>
    </row>
    <row r="555" spans="1:20" x14ac:dyDescent="0.35">
      <c r="A555" t="s">
        <v>33</v>
      </c>
      <c r="B555" t="s">
        <v>26</v>
      </c>
      <c r="C555" s="32">
        <v>45717</v>
      </c>
      <c r="D555" t="s">
        <v>19</v>
      </c>
      <c r="E555" t="s">
        <v>49</v>
      </c>
      <c r="F555" t="s">
        <v>31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433</v>
      </c>
      <c r="N555">
        <v>0</v>
      </c>
      <c r="O555">
        <v>2017</v>
      </c>
      <c r="P555">
        <v>1</v>
      </c>
      <c r="Q555">
        <v>0</v>
      </c>
      <c r="R555">
        <v>0</v>
      </c>
      <c r="S555" t="s">
        <v>40</v>
      </c>
      <c r="T555">
        <v>2025</v>
      </c>
    </row>
    <row r="556" spans="1:20" x14ac:dyDescent="0.35">
      <c r="A556" t="s">
        <v>33</v>
      </c>
      <c r="B556" t="s">
        <v>26</v>
      </c>
      <c r="C556" s="32">
        <v>45717</v>
      </c>
      <c r="D556" t="s">
        <v>16</v>
      </c>
      <c r="E556">
        <v>6</v>
      </c>
      <c r="F556" t="s">
        <v>48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30</v>
      </c>
      <c r="P556">
        <v>1</v>
      </c>
      <c r="Q556">
        <v>4</v>
      </c>
      <c r="R556">
        <v>0</v>
      </c>
      <c r="S556" t="s">
        <v>40</v>
      </c>
      <c r="T556">
        <v>2025</v>
      </c>
    </row>
    <row r="557" spans="1:20" x14ac:dyDescent="0.35">
      <c r="A557" t="s">
        <v>33</v>
      </c>
      <c r="B557" t="s">
        <v>26</v>
      </c>
      <c r="C557" s="32">
        <v>45717</v>
      </c>
      <c r="D557" t="s">
        <v>19</v>
      </c>
      <c r="E557">
        <v>6</v>
      </c>
      <c r="F557" t="s">
        <v>49</v>
      </c>
      <c r="G557">
        <v>0</v>
      </c>
      <c r="H557">
        <v>44012.2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35</v>
      </c>
      <c r="Q557">
        <v>58</v>
      </c>
      <c r="R557">
        <v>0</v>
      </c>
      <c r="S557" t="s">
        <v>40</v>
      </c>
      <c r="T557">
        <v>2025</v>
      </c>
    </row>
    <row r="558" spans="1:20" x14ac:dyDescent="0.35">
      <c r="A558" t="s">
        <v>33</v>
      </c>
      <c r="B558" t="s">
        <v>26</v>
      </c>
      <c r="C558" s="32">
        <v>45717</v>
      </c>
      <c r="D558" t="s">
        <v>16</v>
      </c>
      <c r="E558">
        <v>7</v>
      </c>
      <c r="F558" t="s">
        <v>48</v>
      </c>
      <c r="G558">
        <v>0</v>
      </c>
      <c r="H558">
        <v>33129.86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13</v>
      </c>
      <c r="Q558">
        <v>31</v>
      </c>
      <c r="R558">
        <v>0</v>
      </c>
      <c r="S558" t="s">
        <v>40</v>
      </c>
      <c r="T558">
        <v>2025</v>
      </c>
    </row>
    <row r="559" spans="1:20" x14ac:dyDescent="0.35">
      <c r="A559" t="s">
        <v>33</v>
      </c>
      <c r="B559" t="s">
        <v>26</v>
      </c>
      <c r="C559" s="32">
        <v>45717</v>
      </c>
      <c r="D559" t="s">
        <v>19</v>
      </c>
      <c r="E559">
        <v>7</v>
      </c>
      <c r="F559" t="s">
        <v>49</v>
      </c>
      <c r="G559">
        <v>0</v>
      </c>
      <c r="H559">
        <v>339858.44</v>
      </c>
      <c r="I559">
        <v>0</v>
      </c>
      <c r="J559">
        <v>0</v>
      </c>
      <c r="K559">
        <v>0</v>
      </c>
      <c r="L559">
        <v>0</v>
      </c>
      <c r="M559">
        <v>11007</v>
      </c>
      <c r="N559">
        <v>0</v>
      </c>
      <c r="O559">
        <v>113</v>
      </c>
      <c r="P559">
        <v>370</v>
      </c>
      <c r="Q559">
        <v>569</v>
      </c>
      <c r="R559">
        <v>0</v>
      </c>
      <c r="S559" t="s">
        <v>40</v>
      </c>
      <c r="T559">
        <v>2025</v>
      </c>
    </row>
    <row r="560" spans="1:20" x14ac:dyDescent="0.35">
      <c r="A560" t="s">
        <v>33</v>
      </c>
      <c r="B560" t="s">
        <v>26</v>
      </c>
      <c r="C560" s="32">
        <v>45717</v>
      </c>
      <c r="D560" t="s">
        <v>19</v>
      </c>
      <c r="E560">
        <v>7</v>
      </c>
      <c r="F560" t="s">
        <v>30</v>
      </c>
      <c r="G560">
        <v>0</v>
      </c>
      <c r="H560">
        <v>5014.22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</v>
      </c>
      <c r="Q560">
        <v>7</v>
      </c>
      <c r="R560">
        <v>0</v>
      </c>
      <c r="S560" t="s">
        <v>40</v>
      </c>
      <c r="T560">
        <v>2025</v>
      </c>
    </row>
    <row r="561" spans="1:20" x14ac:dyDescent="0.35">
      <c r="A561" t="s">
        <v>33</v>
      </c>
      <c r="B561" t="s">
        <v>26</v>
      </c>
      <c r="C561" s="32">
        <v>45717</v>
      </c>
      <c r="D561" t="s">
        <v>19</v>
      </c>
      <c r="E561">
        <v>7</v>
      </c>
      <c r="F561" t="s">
        <v>31</v>
      </c>
      <c r="G561">
        <v>1614</v>
      </c>
      <c r="H561">
        <v>2200.96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</v>
      </c>
      <c r="Q561">
        <v>10</v>
      </c>
      <c r="R561">
        <v>0</v>
      </c>
      <c r="S561" t="s">
        <v>40</v>
      </c>
      <c r="T561">
        <v>2025</v>
      </c>
    </row>
    <row r="562" spans="1:20" x14ac:dyDescent="0.35">
      <c r="A562" t="s">
        <v>33</v>
      </c>
      <c r="B562" t="s">
        <v>26</v>
      </c>
      <c r="C562" s="32">
        <v>45717</v>
      </c>
      <c r="D562" t="s">
        <v>19</v>
      </c>
      <c r="E562">
        <v>8</v>
      </c>
      <c r="F562" t="s">
        <v>49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</v>
      </c>
      <c r="Q562">
        <v>10</v>
      </c>
      <c r="R562">
        <v>0</v>
      </c>
      <c r="S562" t="s">
        <v>40</v>
      </c>
      <c r="T562">
        <v>2025</v>
      </c>
    </row>
    <row r="563" spans="1:20" x14ac:dyDescent="0.35">
      <c r="A563" t="s">
        <v>33</v>
      </c>
      <c r="B563" t="s">
        <v>26</v>
      </c>
      <c r="C563" s="32">
        <v>45717</v>
      </c>
      <c r="D563" t="s">
        <v>16</v>
      </c>
      <c r="E563">
        <v>10</v>
      </c>
      <c r="F563" t="s">
        <v>48</v>
      </c>
      <c r="G563">
        <v>0</v>
      </c>
      <c r="H563">
        <v>4256.9399999999996</v>
      </c>
      <c r="I563">
        <v>0</v>
      </c>
      <c r="J563">
        <v>0</v>
      </c>
      <c r="K563">
        <v>0</v>
      </c>
      <c r="L563">
        <v>0</v>
      </c>
      <c r="M563">
        <v>91512</v>
      </c>
      <c r="N563">
        <v>0</v>
      </c>
      <c r="O563">
        <v>61</v>
      </c>
      <c r="P563">
        <v>6</v>
      </c>
      <c r="Q563">
        <v>27</v>
      </c>
      <c r="R563">
        <v>0</v>
      </c>
      <c r="S563" t="s">
        <v>40</v>
      </c>
      <c r="T563">
        <v>2025</v>
      </c>
    </row>
    <row r="564" spans="1:20" x14ac:dyDescent="0.35">
      <c r="A564" t="s">
        <v>33</v>
      </c>
      <c r="B564" t="s">
        <v>26</v>
      </c>
      <c r="C564" s="32">
        <v>45717</v>
      </c>
      <c r="D564" t="s">
        <v>19</v>
      </c>
      <c r="E564">
        <v>10</v>
      </c>
      <c r="F564" t="s">
        <v>49</v>
      </c>
      <c r="G564">
        <v>0</v>
      </c>
      <c r="H564">
        <v>139848.92000000001</v>
      </c>
      <c r="I564">
        <v>0</v>
      </c>
      <c r="J564">
        <v>0</v>
      </c>
      <c r="K564">
        <v>0</v>
      </c>
      <c r="L564">
        <v>0</v>
      </c>
      <c r="M564">
        <v>6317</v>
      </c>
      <c r="N564">
        <v>0</v>
      </c>
      <c r="O564">
        <v>234</v>
      </c>
      <c r="P564">
        <v>114</v>
      </c>
      <c r="Q564">
        <v>205</v>
      </c>
      <c r="R564">
        <v>0</v>
      </c>
      <c r="S564" t="s">
        <v>40</v>
      </c>
      <c r="T564">
        <v>2025</v>
      </c>
    </row>
    <row r="565" spans="1:20" x14ac:dyDescent="0.35">
      <c r="A565" t="s">
        <v>33</v>
      </c>
      <c r="B565" t="s">
        <v>26</v>
      </c>
      <c r="C565" s="32">
        <v>45717</v>
      </c>
      <c r="D565" t="s">
        <v>19</v>
      </c>
      <c r="E565">
        <v>14</v>
      </c>
      <c r="F565" t="s">
        <v>49</v>
      </c>
      <c r="G565">
        <v>0</v>
      </c>
      <c r="H565">
        <v>3001.77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</v>
      </c>
      <c r="Q565">
        <v>6</v>
      </c>
      <c r="R565">
        <v>0</v>
      </c>
      <c r="S565" t="s">
        <v>40</v>
      </c>
      <c r="T565">
        <v>2025</v>
      </c>
    </row>
    <row r="566" spans="1:20" x14ac:dyDescent="0.35">
      <c r="A566" t="s">
        <v>33</v>
      </c>
      <c r="B566" t="s">
        <v>32</v>
      </c>
      <c r="C566" s="32">
        <v>45717</v>
      </c>
      <c r="D566" t="s">
        <v>19</v>
      </c>
      <c r="E566">
        <v>6</v>
      </c>
      <c r="F566" t="s">
        <v>49</v>
      </c>
      <c r="G566">
        <v>0</v>
      </c>
      <c r="H566">
        <v>420.58</v>
      </c>
      <c r="I566">
        <v>0</v>
      </c>
      <c r="J566">
        <v>0</v>
      </c>
      <c r="K566">
        <v>0</v>
      </c>
      <c r="L566">
        <v>0</v>
      </c>
      <c r="M566">
        <v>2529</v>
      </c>
      <c r="N566">
        <v>0</v>
      </c>
      <c r="O566">
        <v>109</v>
      </c>
      <c r="P566">
        <v>6</v>
      </c>
      <c r="Q566">
        <v>0</v>
      </c>
      <c r="R566">
        <v>0</v>
      </c>
      <c r="S566" t="s">
        <v>40</v>
      </c>
      <c r="T566">
        <v>2025</v>
      </c>
    </row>
    <row r="567" spans="1:20" x14ac:dyDescent="0.35">
      <c r="A567" t="s">
        <v>33</v>
      </c>
      <c r="B567" t="s">
        <v>32</v>
      </c>
      <c r="C567" s="32">
        <v>45717</v>
      </c>
      <c r="D567" t="s">
        <v>19</v>
      </c>
      <c r="E567">
        <v>6</v>
      </c>
      <c r="F567" t="s">
        <v>31</v>
      </c>
      <c r="G567">
        <v>0</v>
      </c>
      <c r="H567">
        <v>1806.17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</v>
      </c>
      <c r="Q567">
        <v>0</v>
      </c>
      <c r="R567">
        <v>0</v>
      </c>
      <c r="S567" t="s">
        <v>40</v>
      </c>
      <c r="T567">
        <v>2025</v>
      </c>
    </row>
    <row r="568" spans="1:20" x14ac:dyDescent="0.35">
      <c r="A568" t="s">
        <v>33</v>
      </c>
      <c r="B568" t="s">
        <v>32</v>
      </c>
      <c r="C568" s="32">
        <v>45717</v>
      </c>
      <c r="D568" t="s">
        <v>16</v>
      </c>
      <c r="E568">
        <v>7</v>
      </c>
      <c r="F568" t="s">
        <v>48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10637</v>
      </c>
      <c r="N568">
        <v>0</v>
      </c>
      <c r="O568">
        <v>53</v>
      </c>
      <c r="P568">
        <v>5</v>
      </c>
      <c r="Q568">
        <v>10</v>
      </c>
      <c r="R568">
        <v>0</v>
      </c>
      <c r="S568" t="s">
        <v>40</v>
      </c>
      <c r="T568">
        <v>2025</v>
      </c>
    </row>
    <row r="569" spans="1:20" x14ac:dyDescent="0.35">
      <c r="A569" t="s">
        <v>33</v>
      </c>
      <c r="B569" t="s">
        <v>32</v>
      </c>
      <c r="C569" s="32">
        <v>45717</v>
      </c>
      <c r="D569" t="s">
        <v>19</v>
      </c>
      <c r="E569">
        <v>7</v>
      </c>
      <c r="F569" t="s">
        <v>49</v>
      </c>
      <c r="G569">
        <v>0</v>
      </c>
      <c r="H569">
        <v>7442.8</v>
      </c>
      <c r="I569">
        <v>0</v>
      </c>
      <c r="J569">
        <v>0</v>
      </c>
      <c r="K569">
        <v>0</v>
      </c>
      <c r="L569">
        <v>0</v>
      </c>
      <c r="M569">
        <v>16821</v>
      </c>
      <c r="N569">
        <v>0</v>
      </c>
      <c r="O569">
        <v>92</v>
      </c>
      <c r="P569">
        <v>20</v>
      </c>
      <c r="Q569">
        <v>61</v>
      </c>
      <c r="R569">
        <v>0</v>
      </c>
      <c r="S569" t="s">
        <v>40</v>
      </c>
      <c r="T569">
        <v>2025</v>
      </c>
    </row>
    <row r="570" spans="1:20" x14ac:dyDescent="0.35">
      <c r="A570" t="s">
        <v>33</v>
      </c>
      <c r="B570" t="s">
        <v>32</v>
      </c>
      <c r="C570" s="32">
        <v>45717</v>
      </c>
      <c r="D570" t="s">
        <v>19</v>
      </c>
      <c r="E570">
        <v>7</v>
      </c>
      <c r="F570" t="s">
        <v>31</v>
      </c>
      <c r="G570">
        <v>0</v>
      </c>
      <c r="H570">
        <v>5544.61</v>
      </c>
      <c r="I570">
        <v>0</v>
      </c>
      <c r="J570">
        <v>0</v>
      </c>
      <c r="K570">
        <v>0</v>
      </c>
      <c r="L570">
        <v>0</v>
      </c>
      <c r="M570">
        <v>9286</v>
      </c>
      <c r="N570">
        <v>0</v>
      </c>
      <c r="O570">
        <v>90</v>
      </c>
      <c r="P570">
        <v>5</v>
      </c>
      <c r="Q570">
        <v>70</v>
      </c>
      <c r="R570">
        <v>0</v>
      </c>
      <c r="S570" t="s">
        <v>40</v>
      </c>
      <c r="T570">
        <v>2025</v>
      </c>
    </row>
    <row r="571" spans="1:20" x14ac:dyDescent="0.35">
      <c r="A571" t="s">
        <v>33</v>
      </c>
      <c r="B571" t="s">
        <v>32</v>
      </c>
      <c r="C571" s="32">
        <v>45717</v>
      </c>
      <c r="D571" t="s">
        <v>19</v>
      </c>
      <c r="E571">
        <v>10</v>
      </c>
      <c r="F571" t="s">
        <v>49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3724</v>
      </c>
      <c r="N571">
        <v>0</v>
      </c>
      <c r="O571">
        <v>128</v>
      </c>
      <c r="P571">
        <v>1</v>
      </c>
      <c r="Q571">
        <v>19</v>
      </c>
      <c r="R571">
        <v>0</v>
      </c>
      <c r="S571" t="s">
        <v>40</v>
      </c>
      <c r="T571">
        <v>2025</v>
      </c>
    </row>
    <row r="572" spans="1:20" x14ac:dyDescent="0.35">
      <c r="A572" t="s">
        <v>33</v>
      </c>
      <c r="B572" t="s">
        <v>26</v>
      </c>
      <c r="C572" s="32">
        <v>45658</v>
      </c>
      <c r="D572" t="s">
        <v>27</v>
      </c>
      <c r="E572">
        <v>7</v>
      </c>
      <c r="F572" t="s">
        <v>48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 t="s">
        <v>40</v>
      </c>
      <c r="T572">
        <v>2025</v>
      </c>
    </row>
    <row r="573" spans="1:20" x14ac:dyDescent="0.35">
      <c r="A573" t="s">
        <v>33</v>
      </c>
      <c r="B573" t="s">
        <v>26</v>
      </c>
      <c r="C573" s="32">
        <v>45658</v>
      </c>
      <c r="D573" t="s">
        <v>16</v>
      </c>
      <c r="E573">
        <v>14</v>
      </c>
      <c r="F573" t="s">
        <v>48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 t="s">
        <v>40</v>
      </c>
      <c r="T573">
        <v>2025</v>
      </c>
    </row>
    <row r="574" spans="1:20" x14ac:dyDescent="0.35">
      <c r="A574" t="s">
        <v>33</v>
      </c>
      <c r="B574" t="s">
        <v>26</v>
      </c>
      <c r="C574" s="32">
        <v>45658</v>
      </c>
      <c r="D574" t="s">
        <v>19</v>
      </c>
      <c r="E574">
        <v>10</v>
      </c>
      <c r="F574" t="s">
        <v>30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5</v>
      </c>
      <c r="R574">
        <v>0</v>
      </c>
      <c r="S574" t="s">
        <v>40</v>
      </c>
      <c r="T574">
        <v>2025</v>
      </c>
    </row>
    <row r="575" spans="1:20" x14ac:dyDescent="0.35">
      <c r="A575" t="s">
        <v>33</v>
      </c>
      <c r="B575" t="s">
        <v>26</v>
      </c>
      <c r="C575" s="32">
        <v>45658</v>
      </c>
      <c r="D575" t="s">
        <v>19</v>
      </c>
      <c r="E575">
        <v>6</v>
      </c>
      <c r="F575" t="s">
        <v>30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 t="s">
        <v>40</v>
      </c>
      <c r="T575">
        <v>2025</v>
      </c>
    </row>
    <row r="576" spans="1:20" x14ac:dyDescent="0.35">
      <c r="A576" t="s">
        <v>33</v>
      </c>
      <c r="B576" t="s">
        <v>26</v>
      </c>
      <c r="C576" s="32">
        <v>45658</v>
      </c>
      <c r="D576" t="s">
        <v>19</v>
      </c>
      <c r="E576">
        <v>14</v>
      </c>
      <c r="F576" t="s">
        <v>31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  <c r="R576">
        <v>0</v>
      </c>
      <c r="S576" t="s">
        <v>40</v>
      </c>
      <c r="T576">
        <v>2025</v>
      </c>
    </row>
    <row r="577" spans="1:20" x14ac:dyDescent="0.35">
      <c r="A577" t="s">
        <v>33</v>
      </c>
      <c r="B577" t="s">
        <v>26</v>
      </c>
      <c r="C577" s="32">
        <v>45689</v>
      </c>
      <c r="D577" t="s">
        <v>27</v>
      </c>
      <c r="E577">
        <v>7</v>
      </c>
      <c r="F577" t="s">
        <v>48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 t="s">
        <v>40</v>
      </c>
      <c r="T577">
        <v>2025</v>
      </c>
    </row>
    <row r="578" spans="1:20" x14ac:dyDescent="0.35">
      <c r="A578" t="s">
        <v>33</v>
      </c>
      <c r="B578" t="s">
        <v>26</v>
      </c>
      <c r="C578" s="32">
        <v>45689</v>
      </c>
      <c r="D578" t="s">
        <v>16</v>
      </c>
      <c r="E578">
        <v>6</v>
      </c>
      <c r="F578" t="s">
        <v>48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 t="s">
        <v>40</v>
      </c>
      <c r="T578">
        <v>2025</v>
      </c>
    </row>
    <row r="579" spans="1:20" x14ac:dyDescent="0.35">
      <c r="A579" t="s">
        <v>33</v>
      </c>
      <c r="B579" t="s">
        <v>26</v>
      </c>
      <c r="C579" s="32">
        <v>45689</v>
      </c>
      <c r="D579" t="s">
        <v>19</v>
      </c>
      <c r="E579">
        <v>15</v>
      </c>
      <c r="F579" t="s">
        <v>49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</v>
      </c>
      <c r="R579">
        <v>0</v>
      </c>
      <c r="S579" t="s">
        <v>40</v>
      </c>
      <c r="T579">
        <v>2025</v>
      </c>
    </row>
    <row r="580" spans="1:20" x14ac:dyDescent="0.35">
      <c r="A580" t="s">
        <v>33</v>
      </c>
      <c r="B580" t="s">
        <v>26</v>
      </c>
      <c r="C580" s="32">
        <v>45689</v>
      </c>
      <c r="D580" t="s">
        <v>19</v>
      </c>
      <c r="E580">
        <v>10</v>
      </c>
      <c r="F580" t="s">
        <v>31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20</v>
      </c>
      <c r="R580">
        <v>0</v>
      </c>
      <c r="S580" t="s">
        <v>40</v>
      </c>
      <c r="T580">
        <v>2025</v>
      </c>
    </row>
    <row r="581" spans="1:20" x14ac:dyDescent="0.35">
      <c r="A581" t="s">
        <v>33</v>
      </c>
      <c r="B581" t="s">
        <v>26</v>
      </c>
      <c r="C581" s="32">
        <v>45689</v>
      </c>
      <c r="D581" t="s">
        <v>19</v>
      </c>
      <c r="E581">
        <v>14</v>
      </c>
      <c r="F581" t="s">
        <v>31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</v>
      </c>
      <c r="R581">
        <v>0</v>
      </c>
      <c r="S581" t="s">
        <v>40</v>
      </c>
      <c r="T581">
        <v>2025</v>
      </c>
    </row>
    <row r="582" spans="1:20" x14ac:dyDescent="0.35">
      <c r="A582" t="s">
        <v>33</v>
      </c>
      <c r="B582" t="s">
        <v>26</v>
      </c>
      <c r="C582" s="32">
        <v>45689</v>
      </c>
      <c r="D582" t="s">
        <v>19</v>
      </c>
      <c r="E582">
        <v>6</v>
      </c>
      <c r="F582" t="s">
        <v>31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</v>
      </c>
      <c r="R582">
        <v>0</v>
      </c>
      <c r="S582" t="s">
        <v>40</v>
      </c>
      <c r="T582">
        <v>2025</v>
      </c>
    </row>
    <row r="583" spans="1:20" x14ac:dyDescent="0.35">
      <c r="A583" t="s">
        <v>33</v>
      </c>
      <c r="B583" t="s">
        <v>26</v>
      </c>
      <c r="C583" s="32">
        <v>45689</v>
      </c>
      <c r="D583" t="s">
        <v>19</v>
      </c>
      <c r="E583">
        <v>15</v>
      </c>
      <c r="F583" t="s">
        <v>31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 t="s">
        <v>40</v>
      </c>
      <c r="T583">
        <v>2025</v>
      </c>
    </row>
    <row r="584" spans="1:20" x14ac:dyDescent="0.35">
      <c r="A584" t="s">
        <v>33</v>
      </c>
      <c r="B584" t="s">
        <v>26</v>
      </c>
      <c r="C584" s="32">
        <v>45717</v>
      </c>
      <c r="D584" t="s">
        <v>16</v>
      </c>
      <c r="E584">
        <v>14</v>
      </c>
      <c r="F584" t="s">
        <v>48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 t="s">
        <v>40</v>
      </c>
      <c r="T584">
        <v>2025</v>
      </c>
    </row>
    <row r="585" spans="1:20" x14ac:dyDescent="0.35">
      <c r="A585" t="s">
        <v>33</v>
      </c>
      <c r="B585" t="s">
        <v>26</v>
      </c>
      <c r="C585" s="32">
        <v>45717</v>
      </c>
      <c r="D585" t="s">
        <v>16</v>
      </c>
      <c r="E585">
        <v>15</v>
      </c>
      <c r="F585" t="s">
        <v>48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</v>
      </c>
      <c r="R585">
        <v>0</v>
      </c>
      <c r="S585" t="s">
        <v>40</v>
      </c>
      <c r="T585">
        <v>2025</v>
      </c>
    </row>
    <row r="586" spans="1:20" x14ac:dyDescent="0.35">
      <c r="A586" t="s">
        <v>33</v>
      </c>
      <c r="B586" t="s">
        <v>26</v>
      </c>
      <c r="C586" s="32">
        <v>45717</v>
      </c>
      <c r="D586" t="s">
        <v>16</v>
      </c>
      <c r="E586">
        <v>8</v>
      </c>
      <c r="F586" t="s">
        <v>48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 t="s">
        <v>40</v>
      </c>
      <c r="T586">
        <v>2025</v>
      </c>
    </row>
    <row r="587" spans="1:20" x14ac:dyDescent="0.35">
      <c r="A587" t="s">
        <v>33</v>
      </c>
      <c r="B587" t="s">
        <v>26</v>
      </c>
      <c r="C587" s="32">
        <v>45717</v>
      </c>
      <c r="D587" t="s">
        <v>17</v>
      </c>
      <c r="E587">
        <v>7</v>
      </c>
      <c r="F587" t="s">
        <v>48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 t="s">
        <v>40</v>
      </c>
      <c r="T587">
        <v>2025</v>
      </c>
    </row>
    <row r="588" spans="1:20" x14ac:dyDescent="0.35">
      <c r="A588" t="s">
        <v>33</v>
      </c>
      <c r="B588" t="s">
        <v>26</v>
      </c>
      <c r="C588" s="32">
        <v>45717</v>
      </c>
      <c r="D588" t="s">
        <v>19</v>
      </c>
      <c r="E588">
        <v>10</v>
      </c>
      <c r="F588" t="s">
        <v>30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</v>
      </c>
      <c r="R588">
        <v>0</v>
      </c>
      <c r="S588" t="s">
        <v>40</v>
      </c>
      <c r="T588">
        <v>2025</v>
      </c>
    </row>
    <row r="589" spans="1:20" x14ac:dyDescent="0.35">
      <c r="A589" t="s">
        <v>33</v>
      </c>
      <c r="B589" t="s">
        <v>26</v>
      </c>
      <c r="C589" s="32">
        <v>45717</v>
      </c>
      <c r="D589" t="s">
        <v>19</v>
      </c>
      <c r="E589">
        <v>15</v>
      </c>
      <c r="F589" t="s">
        <v>49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 t="s">
        <v>40</v>
      </c>
      <c r="T589">
        <v>2025</v>
      </c>
    </row>
    <row r="590" spans="1:20" x14ac:dyDescent="0.35">
      <c r="A590" t="s">
        <v>33</v>
      </c>
      <c r="B590" t="s">
        <v>26</v>
      </c>
      <c r="C590" s="32">
        <v>45717</v>
      </c>
      <c r="D590" t="s">
        <v>19</v>
      </c>
      <c r="E590">
        <v>10</v>
      </c>
      <c r="F590" t="s">
        <v>31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30</v>
      </c>
      <c r="R590">
        <v>0</v>
      </c>
      <c r="S590" t="s">
        <v>40</v>
      </c>
      <c r="T590">
        <v>2025</v>
      </c>
    </row>
    <row r="591" spans="1:20" x14ac:dyDescent="0.35">
      <c r="A591" t="s">
        <v>33</v>
      </c>
      <c r="B591" t="s">
        <v>26</v>
      </c>
      <c r="C591" s="32">
        <v>45717</v>
      </c>
      <c r="D591" t="s">
        <v>19</v>
      </c>
      <c r="E591">
        <v>14</v>
      </c>
      <c r="F591" t="s">
        <v>31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3</v>
      </c>
      <c r="R591">
        <v>0</v>
      </c>
      <c r="S591" t="s">
        <v>40</v>
      </c>
      <c r="T591">
        <v>2025</v>
      </c>
    </row>
    <row r="592" spans="1:20" x14ac:dyDescent="0.35">
      <c r="A592" t="s">
        <v>33</v>
      </c>
      <c r="B592" t="s">
        <v>26</v>
      </c>
      <c r="C592" s="32">
        <v>45717</v>
      </c>
      <c r="D592" t="s">
        <v>19</v>
      </c>
      <c r="E592">
        <v>6</v>
      </c>
      <c r="F592" t="s">
        <v>31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</v>
      </c>
      <c r="R592">
        <v>0</v>
      </c>
      <c r="S592" t="s">
        <v>40</v>
      </c>
      <c r="T592">
        <v>2025</v>
      </c>
    </row>
    <row r="593" spans="1:20" x14ac:dyDescent="0.35">
      <c r="A593" t="s">
        <v>33</v>
      </c>
      <c r="B593" t="s">
        <v>26</v>
      </c>
      <c r="C593" s="32">
        <v>45717</v>
      </c>
      <c r="D593" t="s">
        <v>19</v>
      </c>
      <c r="E593">
        <v>15</v>
      </c>
      <c r="F593" t="s">
        <v>31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 t="s">
        <v>40</v>
      </c>
      <c r="T593">
        <v>2025</v>
      </c>
    </row>
    <row r="594" spans="1:20" x14ac:dyDescent="0.35">
      <c r="A594" t="s">
        <v>33</v>
      </c>
      <c r="B594" t="s">
        <v>26</v>
      </c>
      <c r="C594" s="32">
        <v>45717</v>
      </c>
      <c r="D594" t="s">
        <v>19</v>
      </c>
      <c r="E594">
        <v>8</v>
      </c>
      <c r="F594" t="s">
        <v>31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 t="s">
        <v>40</v>
      </c>
      <c r="T594">
        <v>2025</v>
      </c>
    </row>
    <row r="595" spans="1:20" x14ac:dyDescent="0.35">
      <c r="A595" t="s">
        <v>33</v>
      </c>
      <c r="B595" t="s">
        <v>32</v>
      </c>
      <c r="C595" s="32">
        <v>45658</v>
      </c>
      <c r="D595" t="s">
        <v>19</v>
      </c>
      <c r="E595">
        <v>10</v>
      </c>
      <c r="F595" t="s">
        <v>30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3</v>
      </c>
      <c r="R595">
        <v>0</v>
      </c>
      <c r="S595" t="s">
        <v>40</v>
      </c>
      <c r="T595">
        <v>2025</v>
      </c>
    </row>
    <row r="596" spans="1:20" x14ac:dyDescent="0.35">
      <c r="A596" t="s">
        <v>33</v>
      </c>
      <c r="B596" t="s">
        <v>32</v>
      </c>
      <c r="C596" s="32">
        <v>45658</v>
      </c>
      <c r="D596" t="s">
        <v>19</v>
      </c>
      <c r="E596">
        <v>10</v>
      </c>
      <c r="F596" t="s">
        <v>31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9</v>
      </c>
      <c r="R596">
        <v>0</v>
      </c>
      <c r="S596" t="s">
        <v>40</v>
      </c>
      <c r="T596">
        <v>2025</v>
      </c>
    </row>
    <row r="597" spans="1:20" x14ac:dyDescent="0.35">
      <c r="A597" t="s">
        <v>33</v>
      </c>
      <c r="B597" t="s">
        <v>32</v>
      </c>
      <c r="C597" s="32">
        <v>45658</v>
      </c>
      <c r="D597" t="s">
        <v>19</v>
      </c>
      <c r="E597">
        <v>7</v>
      </c>
      <c r="F597" t="s">
        <v>31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50</v>
      </c>
      <c r="R597">
        <v>0</v>
      </c>
      <c r="S597" t="s">
        <v>40</v>
      </c>
      <c r="T597">
        <v>2025</v>
      </c>
    </row>
    <row r="598" spans="1:20" x14ac:dyDescent="0.35">
      <c r="A598" t="s">
        <v>33</v>
      </c>
      <c r="B598" t="s">
        <v>32</v>
      </c>
      <c r="C598" s="32">
        <v>45689</v>
      </c>
      <c r="D598" t="s">
        <v>16</v>
      </c>
      <c r="E598">
        <v>10</v>
      </c>
      <c r="F598" t="s">
        <v>48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12</v>
      </c>
      <c r="R598">
        <v>0</v>
      </c>
      <c r="S598" t="s">
        <v>40</v>
      </c>
      <c r="T598">
        <v>2025</v>
      </c>
    </row>
    <row r="599" spans="1:20" x14ac:dyDescent="0.35">
      <c r="A599" t="s">
        <v>33</v>
      </c>
      <c r="B599" t="s">
        <v>32</v>
      </c>
      <c r="C599" s="32">
        <v>45689</v>
      </c>
      <c r="D599" t="s">
        <v>19</v>
      </c>
      <c r="E599">
        <v>7</v>
      </c>
      <c r="F599" t="s">
        <v>30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8</v>
      </c>
      <c r="R599">
        <v>0</v>
      </c>
      <c r="S599" t="s">
        <v>40</v>
      </c>
      <c r="T599">
        <v>2025</v>
      </c>
    </row>
    <row r="600" spans="1:20" x14ac:dyDescent="0.35">
      <c r="A600" t="s">
        <v>33</v>
      </c>
      <c r="B600" t="s">
        <v>32</v>
      </c>
      <c r="C600" s="32">
        <v>45689</v>
      </c>
      <c r="D600" t="s">
        <v>19</v>
      </c>
      <c r="E600">
        <v>10</v>
      </c>
      <c r="F600" t="s">
        <v>31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</v>
      </c>
      <c r="R600">
        <v>0</v>
      </c>
      <c r="S600" t="s">
        <v>40</v>
      </c>
      <c r="T600">
        <v>2025</v>
      </c>
    </row>
    <row r="601" spans="1:20" x14ac:dyDescent="0.35">
      <c r="A601" t="s">
        <v>33</v>
      </c>
      <c r="B601" t="s">
        <v>32</v>
      </c>
      <c r="C601" s="32">
        <v>45717</v>
      </c>
      <c r="D601" t="s">
        <v>16</v>
      </c>
      <c r="E601">
        <v>10</v>
      </c>
      <c r="F601" t="s">
        <v>48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4</v>
      </c>
      <c r="R601">
        <v>0</v>
      </c>
      <c r="S601" t="s">
        <v>40</v>
      </c>
      <c r="T601">
        <v>2025</v>
      </c>
    </row>
    <row r="602" spans="1:20" x14ac:dyDescent="0.35">
      <c r="A602" t="s">
        <v>33</v>
      </c>
      <c r="B602" t="s">
        <v>32</v>
      </c>
      <c r="C602" s="32">
        <v>45717</v>
      </c>
      <c r="D602" t="s">
        <v>19</v>
      </c>
      <c r="E602">
        <v>10</v>
      </c>
      <c r="F602" t="s">
        <v>30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</v>
      </c>
      <c r="R602">
        <v>0</v>
      </c>
      <c r="S602" t="s">
        <v>40</v>
      </c>
      <c r="T602">
        <v>2025</v>
      </c>
    </row>
    <row r="603" spans="1:20" x14ac:dyDescent="0.35">
      <c r="A603" t="s">
        <v>33</v>
      </c>
      <c r="B603" t="s">
        <v>32</v>
      </c>
      <c r="C603" s="32">
        <v>45717</v>
      </c>
      <c r="D603" t="s">
        <v>19</v>
      </c>
      <c r="E603">
        <v>7</v>
      </c>
      <c r="F603" t="s">
        <v>30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6</v>
      </c>
      <c r="R603">
        <v>0</v>
      </c>
      <c r="S603" t="s">
        <v>40</v>
      </c>
      <c r="T603">
        <v>2025</v>
      </c>
    </row>
    <row r="604" spans="1:20" x14ac:dyDescent="0.35">
      <c r="A604" t="s">
        <v>33</v>
      </c>
      <c r="B604" t="s">
        <v>32</v>
      </c>
      <c r="C604" s="32">
        <v>45717</v>
      </c>
      <c r="D604" t="s">
        <v>19</v>
      </c>
      <c r="E604">
        <v>10</v>
      </c>
      <c r="F604" t="s">
        <v>31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4</v>
      </c>
      <c r="R604">
        <v>0</v>
      </c>
      <c r="S604" t="s">
        <v>40</v>
      </c>
      <c r="T604">
        <v>2025</v>
      </c>
    </row>
    <row r="605" spans="1:20" x14ac:dyDescent="0.35">
      <c r="A605" t="s">
        <v>23</v>
      </c>
      <c r="B605" t="s">
        <v>26</v>
      </c>
      <c r="C605" s="32">
        <v>45689</v>
      </c>
      <c r="D605" t="s">
        <v>27</v>
      </c>
      <c r="E605">
        <v>7</v>
      </c>
      <c r="F605" t="s">
        <v>48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 t="s">
        <v>40</v>
      </c>
      <c r="T605">
        <v>2025</v>
      </c>
    </row>
    <row r="606" spans="1:20" x14ac:dyDescent="0.35">
      <c r="A606" t="s">
        <v>23</v>
      </c>
      <c r="B606" t="s">
        <v>26</v>
      </c>
      <c r="C606" s="32">
        <v>45658</v>
      </c>
      <c r="D606" t="s">
        <v>16</v>
      </c>
      <c r="E606">
        <v>7</v>
      </c>
      <c r="F606" t="s">
        <v>30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0</v>
      </c>
      <c r="S606" t="s">
        <v>40</v>
      </c>
      <c r="T606">
        <v>2025</v>
      </c>
    </row>
    <row r="607" spans="1:20" x14ac:dyDescent="0.35">
      <c r="A607" t="s">
        <v>23</v>
      </c>
      <c r="B607" t="s">
        <v>26</v>
      </c>
      <c r="C607" s="32">
        <v>45658</v>
      </c>
      <c r="D607" t="s">
        <v>16</v>
      </c>
      <c r="E607">
        <v>10</v>
      </c>
      <c r="F607" t="s">
        <v>30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 t="s">
        <v>40</v>
      </c>
      <c r="T607">
        <v>2025</v>
      </c>
    </row>
    <row r="608" spans="1:20" x14ac:dyDescent="0.35">
      <c r="A608" t="s">
        <v>23</v>
      </c>
      <c r="B608" t="s">
        <v>26</v>
      </c>
      <c r="C608" s="32">
        <v>45658</v>
      </c>
      <c r="D608" t="s">
        <v>16</v>
      </c>
      <c r="E608">
        <v>14</v>
      </c>
      <c r="F608" t="s">
        <v>48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3</v>
      </c>
      <c r="R608">
        <v>0</v>
      </c>
      <c r="S608" t="s">
        <v>40</v>
      </c>
      <c r="T608">
        <v>2025</v>
      </c>
    </row>
    <row r="609" spans="1:20" x14ac:dyDescent="0.35">
      <c r="A609" t="s">
        <v>23</v>
      </c>
      <c r="B609" t="s">
        <v>26</v>
      </c>
      <c r="C609" s="32">
        <v>45658</v>
      </c>
      <c r="D609" t="s">
        <v>16</v>
      </c>
      <c r="E609">
        <v>10</v>
      </c>
      <c r="F609" t="s">
        <v>31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 t="s">
        <v>40</v>
      </c>
      <c r="T609">
        <v>2025</v>
      </c>
    </row>
    <row r="610" spans="1:20" x14ac:dyDescent="0.35">
      <c r="A610" t="s">
        <v>23</v>
      </c>
      <c r="B610" t="s">
        <v>26</v>
      </c>
      <c r="C610" s="32">
        <v>45689</v>
      </c>
      <c r="D610" t="s">
        <v>16</v>
      </c>
      <c r="E610">
        <v>6</v>
      </c>
      <c r="F610" t="s">
        <v>48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8</v>
      </c>
      <c r="R610">
        <v>0</v>
      </c>
      <c r="S610" t="s">
        <v>40</v>
      </c>
      <c r="T610">
        <v>2025</v>
      </c>
    </row>
    <row r="611" spans="1:20" x14ac:dyDescent="0.35">
      <c r="A611" t="s">
        <v>23</v>
      </c>
      <c r="B611" t="s">
        <v>26</v>
      </c>
      <c r="C611" s="32">
        <v>45689</v>
      </c>
      <c r="D611" t="s">
        <v>16</v>
      </c>
      <c r="E611">
        <v>8</v>
      </c>
      <c r="F611" t="s">
        <v>48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 t="s">
        <v>40</v>
      </c>
      <c r="T611">
        <v>2025</v>
      </c>
    </row>
    <row r="612" spans="1:20" x14ac:dyDescent="0.35">
      <c r="A612" t="s">
        <v>23</v>
      </c>
      <c r="B612" t="s">
        <v>26</v>
      </c>
      <c r="C612" s="32">
        <v>45689</v>
      </c>
      <c r="D612" t="s">
        <v>16</v>
      </c>
      <c r="E612">
        <v>15</v>
      </c>
      <c r="F612" t="s">
        <v>48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2</v>
      </c>
      <c r="R612">
        <v>0</v>
      </c>
      <c r="S612" t="s">
        <v>40</v>
      </c>
      <c r="T612">
        <v>2025</v>
      </c>
    </row>
    <row r="613" spans="1:20" x14ac:dyDescent="0.35">
      <c r="A613" t="s">
        <v>23</v>
      </c>
      <c r="B613" t="s">
        <v>26</v>
      </c>
      <c r="C613" s="32">
        <v>45689</v>
      </c>
      <c r="D613" t="s">
        <v>16</v>
      </c>
      <c r="E613">
        <v>6</v>
      </c>
      <c r="F613" t="s">
        <v>31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 t="s">
        <v>40</v>
      </c>
      <c r="T613">
        <v>2025</v>
      </c>
    </row>
    <row r="614" spans="1:20" x14ac:dyDescent="0.35">
      <c r="A614" t="s">
        <v>23</v>
      </c>
      <c r="B614" t="s">
        <v>26</v>
      </c>
      <c r="C614" s="32">
        <v>45689</v>
      </c>
      <c r="D614" t="s">
        <v>16</v>
      </c>
      <c r="E614">
        <v>10</v>
      </c>
      <c r="F614" t="s">
        <v>31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 t="s">
        <v>40</v>
      </c>
      <c r="T614">
        <v>2025</v>
      </c>
    </row>
    <row r="615" spans="1:20" x14ac:dyDescent="0.35">
      <c r="A615" t="s">
        <v>23</v>
      </c>
      <c r="B615" t="s">
        <v>26</v>
      </c>
      <c r="C615" s="32">
        <v>45689</v>
      </c>
      <c r="D615" t="s">
        <v>16</v>
      </c>
      <c r="E615">
        <v>14</v>
      </c>
      <c r="F615" t="s">
        <v>31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 t="s">
        <v>40</v>
      </c>
      <c r="T615">
        <v>2025</v>
      </c>
    </row>
    <row r="616" spans="1:20" x14ac:dyDescent="0.35">
      <c r="A616" t="s">
        <v>23</v>
      </c>
      <c r="B616" t="s">
        <v>26</v>
      </c>
      <c r="C616" s="32">
        <v>45717</v>
      </c>
      <c r="D616" t="s">
        <v>16</v>
      </c>
      <c r="E616">
        <v>14</v>
      </c>
      <c r="F616" t="s">
        <v>48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</v>
      </c>
      <c r="R616">
        <v>0</v>
      </c>
      <c r="S616" t="s">
        <v>40</v>
      </c>
      <c r="T616">
        <v>2025</v>
      </c>
    </row>
    <row r="617" spans="1:20" x14ac:dyDescent="0.35">
      <c r="A617" t="s">
        <v>23</v>
      </c>
      <c r="B617" t="s">
        <v>26</v>
      </c>
      <c r="C617" s="32">
        <v>45717</v>
      </c>
      <c r="D617" t="s">
        <v>16</v>
      </c>
      <c r="E617">
        <v>10</v>
      </c>
      <c r="F617" t="s">
        <v>31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</v>
      </c>
      <c r="R617">
        <v>0</v>
      </c>
      <c r="S617" t="s">
        <v>40</v>
      </c>
      <c r="T617">
        <v>2025</v>
      </c>
    </row>
    <row r="618" spans="1:20" x14ac:dyDescent="0.35">
      <c r="A618" t="s">
        <v>23</v>
      </c>
      <c r="B618" t="s">
        <v>26</v>
      </c>
      <c r="C618" s="32">
        <v>45717</v>
      </c>
      <c r="D618" t="s">
        <v>17</v>
      </c>
      <c r="E618">
        <v>7</v>
      </c>
      <c r="F618" t="s">
        <v>48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 t="s">
        <v>40</v>
      </c>
      <c r="T618">
        <v>2025</v>
      </c>
    </row>
    <row r="619" spans="1:20" x14ac:dyDescent="0.35">
      <c r="A619" t="s">
        <v>23</v>
      </c>
      <c r="B619" t="s">
        <v>26</v>
      </c>
      <c r="C619" s="32">
        <v>45658</v>
      </c>
      <c r="D619" t="s">
        <v>19</v>
      </c>
      <c r="E619">
        <v>6</v>
      </c>
      <c r="F619" t="s">
        <v>30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 t="s">
        <v>40</v>
      </c>
      <c r="T619">
        <v>2025</v>
      </c>
    </row>
    <row r="620" spans="1:20" x14ac:dyDescent="0.35">
      <c r="A620" t="s">
        <v>23</v>
      </c>
      <c r="B620" t="s">
        <v>26</v>
      </c>
      <c r="C620" s="32">
        <v>45658</v>
      </c>
      <c r="D620" t="s">
        <v>19</v>
      </c>
      <c r="E620">
        <v>8</v>
      </c>
      <c r="F620" t="s">
        <v>49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</v>
      </c>
      <c r="R620">
        <v>0</v>
      </c>
      <c r="S620" t="s">
        <v>40</v>
      </c>
      <c r="T620">
        <v>2025</v>
      </c>
    </row>
    <row r="621" spans="1:20" x14ac:dyDescent="0.35">
      <c r="A621" t="s">
        <v>23</v>
      </c>
      <c r="B621" t="s">
        <v>26</v>
      </c>
      <c r="C621" s="32">
        <v>45689</v>
      </c>
      <c r="D621" t="s">
        <v>19</v>
      </c>
      <c r="E621">
        <v>8</v>
      </c>
      <c r="F621" t="s">
        <v>49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 t="s">
        <v>40</v>
      </c>
      <c r="T621">
        <v>2025</v>
      </c>
    </row>
    <row r="622" spans="1:20" x14ac:dyDescent="0.35">
      <c r="A622" t="s">
        <v>23</v>
      </c>
      <c r="B622" t="s">
        <v>26</v>
      </c>
      <c r="C622" s="32">
        <v>45689</v>
      </c>
      <c r="D622" t="s">
        <v>19</v>
      </c>
      <c r="E622">
        <v>14</v>
      </c>
      <c r="F622" t="s">
        <v>49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4</v>
      </c>
      <c r="R622">
        <v>0</v>
      </c>
      <c r="S622" t="s">
        <v>40</v>
      </c>
      <c r="T622">
        <v>2025</v>
      </c>
    </row>
    <row r="623" spans="1:20" x14ac:dyDescent="0.35">
      <c r="A623" t="s">
        <v>23</v>
      </c>
      <c r="B623" t="s">
        <v>26</v>
      </c>
      <c r="C623" s="32">
        <v>45689</v>
      </c>
      <c r="D623" t="s">
        <v>19</v>
      </c>
      <c r="E623" t="s">
        <v>49</v>
      </c>
      <c r="F623" t="s">
        <v>49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5</v>
      </c>
      <c r="R623">
        <v>0</v>
      </c>
      <c r="S623" t="s">
        <v>40</v>
      </c>
      <c r="T623">
        <v>2025</v>
      </c>
    </row>
    <row r="624" spans="1:20" x14ac:dyDescent="0.35">
      <c r="A624" t="s">
        <v>23</v>
      </c>
      <c r="B624" t="s">
        <v>26</v>
      </c>
      <c r="C624" s="32">
        <v>45717</v>
      </c>
      <c r="D624" t="s">
        <v>19</v>
      </c>
      <c r="E624">
        <v>14</v>
      </c>
      <c r="F624" t="s">
        <v>49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4</v>
      </c>
      <c r="R624">
        <v>0</v>
      </c>
      <c r="S624" t="s">
        <v>40</v>
      </c>
      <c r="T624">
        <v>2025</v>
      </c>
    </row>
    <row r="625" spans="1:20" x14ac:dyDescent="0.35">
      <c r="A625" t="s">
        <v>23</v>
      </c>
      <c r="B625" t="s">
        <v>26</v>
      </c>
      <c r="C625" s="32">
        <v>45717</v>
      </c>
      <c r="D625" t="s">
        <v>19</v>
      </c>
      <c r="E625">
        <v>15</v>
      </c>
      <c r="F625" t="s">
        <v>49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 t="s">
        <v>40</v>
      </c>
      <c r="T625">
        <v>2025</v>
      </c>
    </row>
    <row r="626" spans="1:20" x14ac:dyDescent="0.35">
      <c r="A626" t="s">
        <v>23</v>
      </c>
      <c r="B626" t="s">
        <v>26</v>
      </c>
      <c r="C626" s="32">
        <v>45717</v>
      </c>
      <c r="D626" t="s">
        <v>19</v>
      </c>
      <c r="E626">
        <v>8</v>
      </c>
      <c r="F626" t="s">
        <v>31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12</v>
      </c>
      <c r="R626">
        <v>0</v>
      </c>
      <c r="S626" t="s">
        <v>40</v>
      </c>
      <c r="T626">
        <v>2025</v>
      </c>
    </row>
    <row r="627" spans="1:20" x14ac:dyDescent="0.35">
      <c r="A627" t="s">
        <v>23</v>
      </c>
      <c r="B627" t="s">
        <v>26</v>
      </c>
      <c r="C627" s="32">
        <v>45717</v>
      </c>
      <c r="D627" t="s">
        <v>19</v>
      </c>
      <c r="E627">
        <v>15</v>
      </c>
      <c r="F627" t="s">
        <v>31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 t="s">
        <v>40</v>
      </c>
      <c r="T627">
        <v>2025</v>
      </c>
    </row>
    <row r="628" spans="1:20" x14ac:dyDescent="0.35">
      <c r="A628" t="s">
        <v>23</v>
      </c>
      <c r="B628" t="s">
        <v>32</v>
      </c>
      <c r="C628" s="32">
        <v>45658</v>
      </c>
      <c r="D628" t="s">
        <v>16</v>
      </c>
      <c r="E628">
        <v>7</v>
      </c>
      <c r="F628" t="s">
        <v>30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 t="s">
        <v>40</v>
      </c>
      <c r="T628">
        <v>2025</v>
      </c>
    </row>
    <row r="629" spans="1:20" x14ac:dyDescent="0.35">
      <c r="A629" t="s">
        <v>23</v>
      </c>
      <c r="B629" t="s">
        <v>32</v>
      </c>
      <c r="C629" s="32">
        <v>45658</v>
      </c>
      <c r="D629" t="s">
        <v>16</v>
      </c>
      <c r="E629">
        <v>10</v>
      </c>
      <c r="F629" t="s">
        <v>30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 t="s">
        <v>40</v>
      </c>
      <c r="T629">
        <v>2025</v>
      </c>
    </row>
    <row r="630" spans="1:20" x14ac:dyDescent="0.35">
      <c r="A630" t="s">
        <v>23</v>
      </c>
      <c r="B630" t="s">
        <v>32</v>
      </c>
      <c r="C630" s="32">
        <v>45689</v>
      </c>
      <c r="D630" t="s">
        <v>16</v>
      </c>
      <c r="E630">
        <v>7</v>
      </c>
      <c r="F630" t="s">
        <v>30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 t="s">
        <v>40</v>
      </c>
      <c r="T630">
        <v>2025</v>
      </c>
    </row>
    <row r="631" spans="1:20" x14ac:dyDescent="0.35">
      <c r="A631" t="s">
        <v>23</v>
      </c>
      <c r="B631" t="s">
        <v>32</v>
      </c>
      <c r="C631" s="32">
        <v>45689</v>
      </c>
      <c r="D631" t="s">
        <v>16</v>
      </c>
      <c r="E631" t="s">
        <v>49</v>
      </c>
      <c r="F631" t="s">
        <v>48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2</v>
      </c>
      <c r="R631">
        <v>0</v>
      </c>
      <c r="S631" t="s">
        <v>40</v>
      </c>
      <c r="T631">
        <v>2025</v>
      </c>
    </row>
    <row r="632" spans="1:20" x14ac:dyDescent="0.35">
      <c r="A632" t="s">
        <v>23</v>
      </c>
      <c r="B632" t="s">
        <v>32</v>
      </c>
      <c r="C632" s="32">
        <v>45689</v>
      </c>
      <c r="D632" t="s">
        <v>16</v>
      </c>
      <c r="E632">
        <v>10</v>
      </c>
      <c r="F632" t="s">
        <v>31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 t="s">
        <v>40</v>
      </c>
      <c r="T632">
        <v>2025</v>
      </c>
    </row>
    <row r="633" spans="1:20" x14ac:dyDescent="0.35">
      <c r="A633" t="s">
        <v>23</v>
      </c>
      <c r="B633" t="s">
        <v>32</v>
      </c>
      <c r="C633" s="32">
        <v>45717</v>
      </c>
      <c r="D633" t="s">
        <v>16</v>
      </c>
      <c r="E633" t="s">
        <v>49</v>
      </c>
      <c r="F633" t="s">
        <v>48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 t="s">
        <v>40</v>
      </c>
      <c r="T633">
        <v>2025</v>
      </c>
    </row>
    <row r="634" spans="1:20" x14ac:dyDescent="0.35">
      <c r="A634" t="s">
        <v>23</v>
      </c>
      <c r="B634" t="s">
        <v>32</v>
      </c>
      <c r="C634" s="32">
        <v>45717</v>
      </c>
      <c r="D634" t="s">
        <v>16</v>
      </c>
      <c r="E634">
        <v>8</v>
      </c>
      <c r="F634" t="s">
        <v>31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 t="s">
        <v>40</v>
      </c>
      <c r="T634">
        <v>2025</v>
      </c>
    </row>
    <row r="635" spans="1:20" x14ac:dyDescent="0.35">
      <c r="A635" t="s">
        <v>23</v>
      </c>
      <c r="B635" t="s">
        <v>32</v>
      </c>
      <c r="C635" s="32">
        <v>45658</v>
      </c>
      <c r="D635" t="s">
        <v>19</v>
      </c>
      <c r="E635">
        <v>14</v>
      </c>
      <c r="F635" t="s">
        <v>31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2</v>
      </c>
      <c r="R635">
        <v>0</v>
      </c>
      <c r="S635" t="s">
        <v>40</v>
      </c>
      <c r="T635">
        <v>2025</v>
      </c>
    </row>
    <row r="636" spans="1:20" x14ac:dyDescent="0.35">
      <c r="A636" t="s">
        <v>23</v>
      </c>
      <c r="B636" t="s">
        <v>32</v>
      </c>
      <c r="C636" s="32">
        <v>45658</v>
      </c>
      <c r="D636" t="s">
        <v>19</v>
      </c>
      <c r="E636" t="s">
        <v>49</v>
      </c>
      <c r="F636" t="s">
        <v>31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2</v>
      </c>
      <c r="R636">
        <v>0</v>
      </c>
      <c r="S636" t="s">
        <v>40</v>
      </c>
      <c r="T636">
        <v>2025</v>
      </c>
    </row>
    <row r="637" spans="1:20" x14ac:dyDescent="0.35">
      <c r="A637" t="s">
        <v>23</v>
      </c>
      <c r="B637" t="s">
        <v>32</v>
      </c>
      <c r="C637" s="32">
        <v>45689</v>
      </c>
      <c r="D637" t="s">
        <v>19</v>
      </c>
      <c r="E637">
        <v>6</v>
      </c>
      <c r="F637" t="s">
        <v>49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2</v>
      </c>
      <c r="R637">
        <v>0</v>
      </c>
      <c r="S637" t="s">
        <v>40</v>
      </c>
      <c r="T637">
        <v>2025</v>
      </c>
    </row>
    <row r="638" spans="1:20" x14ac:dyDescent="0.35">
      <c r="A638" t="s">
        <v>23</v>
      </c>
      <c r="B638" t="s">
        <v>32</v>
      </c>
      <c r="C638" s="32">
        <v>45689</v>
      </c>
      <c r="D638" t="s">
        <v>19</v>
      </c>
      <c r="E638">
        <v>15</v>
      </c>
      <c r="F638" t="s">
        <v>31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 t="s">
        <v>40</v>
      </c>
      <c r="T638">
        <v>2025</v>
      </c>
    </row>
    <row r="639" spans="1:20" x14ac:dyDescent="0.35">
      <c r="A639" t="s">
        <v>23</v>
      </c>
      <c r="B639" t="s">
        <v>32</v>
      </c>
      <c r="C639" s="32">
        <v>45717</v>
      </c>
      <c r="D639" t="s">
        <v>19</v>
      </c>
      <c r="E639">
        <v>8</v>
      </c>
      <c r="F639" t="s">
        <v>49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 t="s">
        <v>40</v>
      </c>
      <c r="T639">
        <v>2025</v>
      </c>
    </row>
    <row r="640" spans="1:20" x14ac:dyDescent="0.35">
      <c r="A640" t="s">
        <v>23</v>
      </c>
      <c r="B640" t="s">
        <v>32</v>
      </c>
      <c r="C640" s="32">
        <v>45717</v>
      </c>
      <c r="D640" t="s">
        <v>19</v>
      </c>
      <c r="E640">
        <v>8</v>
      </c>
      <c r="F640" t="s">
        <v>31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42</v>
      </c>
      <c r="R640">
        <v>0</v>
      </c>
      <c r="S640" t="s">
        <v>40</v>
      </c>
      <c r="T640">
        <v>2025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3338-B4CE-4ACC-B9EF-3A133371E0FE}">
  <dimension ref="A1:T110"/>
  <sheetViews>
    <sheetView topLeftCell="C1" zoomScale="78" zoomScaleNormal="78" workbookViewId="0">
      <selection activeCell="F118" sqref="F118"/>
    </sheetView>
  </sheetViews>
  <sheetFormatPr defaultRowHeight="14.5" x14ac:dyDescent="0.35"/>
  <cols>
    <col min="1" max="1" width="27.26953125" customWidth="1"/>
    <col min="2" max="2" width="24.1796875" customWidth="1"/>
    <col min="3" max="3" width="10" style="32" customWidth="1"/>
    <col min="4" max="4" width="33.54296875" customWidth="1"/>
    <col min="5" max="5" width="15.453125" customWidth="1"/>
    <col min="6" max="6" width="15.26953125" customWidth="1"/>
    <col min="7" max="8" width="17.26953125" customWidth="1"/>
    <col min="9" max="9" width="26.453125" customWidth="1"/>
    <col min="10" max="10" width="14.54296875" customWidth="1"/>
    <col min="11" max="11" width="15.81640625" customWidth="1"/>
    <col min="12" max="12" width="21" customWidth="1"/>
    <col min="13" max="13" width="18" customWidth="1"/>
    <col min="14" max="14" width="15.1796875" customWidth="1"/>
    <col min="15" max="15" width="16.1796875" customWidth="1"/>
    <col min="16" max="16" width="17.1796875" customWidth="1"/>
    <col min="17" max="17" width="25.1796875" customWidth="1"/>
    <col min="18" max="18" width="22.7265625" customWidth="1"/>
    <col min="20" max="20" width="10.54296875" bestFit="1" customWidth="1"/>
  </cols>
  <sheetData>
    <row r="1" spans="1:20" ht="72.5" x14ac:dyDescent="0.35">
      <c r="A1" s="38" t="s">
        <v>34</v>
      </c>
      <c r="B1" s="31" t="s">
        <v>0</v>
      </c>
      <c r="C1" s="34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6" t="s">
        <v>35</v>
      </c>
      <c r="P1" s="37" t="s">
        <v>13</v>
      </c>
      <c r="Q1" s="31" t="s">
        <v>24</v>
      </c>
      <c r="R1" s="35" t="s">
        <v>25</v>
      </c>
      <c r="S1" s="31" t="s">
        <v>36</v>
      </c>
      <c r="T1" s="31" t="s">
        <v>38</v>
      </c>
    </row>
    <row r="2" spans="1:20" x14ac:dyDescent="0.35">
      <c r="A2" t="s">
        <v>33</v>
      </c>
      <c r="B2" t="s">
        <v>32</v>
      </c>
      <c r="C2" s="32">
        <v>45689</v>
      </c>
      <c r="D2" t="s">
        <v>49</v>
      </c>
      <c r="E2" t="s">
        <v>49</v>
      </c>
      <c r="F2" t="s">
        <v>49</v>
      </c>
      <c r="G2">
        <v>0</v>
      </c>
      <c r="H2">
        <v>8533.94</v>
      </c>
      <c r="J2">
        <v>0</v>
      </c>
      <c r="K2">
        <v>0</v>
      </c>
      <c r="M2">
        <v>5383.0483999999997</v>
      </c>
      <c r="N2">
        <v>9919.08</v>
      </c>
      <c r="P2">
        <v>1</v>
      </c>
      <c r="S2" t="s">
        <v>37</v>
      </c>
      <c r="T2">
        <f>2025</f>
        <v>2025</v>
      </c>
    </row>
    <row r="3" spans="1:20" x14ac:dyDescent="0.35">
      <c r="A3" t="s">
        <v>33</v>
      </c>
      <c r="B3" t="s">
        <v>32</v>
      </c>
      <c r="C3" s="32">
        <v>45689</v>
      </c>
      <c r="D3" t="s">
        <v>49</v>
      </c>
      <c r="E3" t="s">
        <v>49</v>
      </c>
      <c r="F3" t="s">
        <v>49</v>
      </c>
      <c r="P3">
        <v>1</v>
      </c>
      <c r="S3" t="s">
        <v>37</v>
      </c>
      <c r="T3">
        <f>2025</f>
        <v>2025</v>
      </c>
    </row>
    <row r="4" spans="1:20" x14ac:dyDescent="0.35">
      <c r="A4" t="s">
        <v>33</v>
      </c>
      <c r="B4" t="s">
        <v>32</v>
      </c>
      <c r="C4" s="32">
        <v>45689</v>
      </c>
      <c r="D4" t="s">
        <v>49</v>
      </c>
      <c r="E4" t="s">
        <v>49</v>
      </c>
      <c r="F4" t="s">
        <v>49</v>
      </c>
      <c r="P4">
        <v>1</v>
      </c>
      <c r="S4" t="s">
        <v>37</v>
      </c>
      <c r="T4">
        <f>2025</f>
        <v>2025</v>
      </c>
    </row>
    <row r="5" spans="1:20" x14ac:dyDescent="0.35">
      <c r="A5" t="s">
        <v>33</v>
      </c>
      <c r="B5" t="s">
        <v>32</v>
      </c>
      <c r="C5" s="32">
        <v>45689</v>
      </c>
      <c r="D5" t="s">
        <v>14</v>
      </c>
      <c r="E5" t="s">
        <v>49</v>
      </c>
      <c r="F5" t="s">
        <v>48</v>
      </c>
      <c r="P5">
        <v>1</v>
      </c>
      <c r="S5" t="s">
        <v>37</v>
      </c>
      <c r="T5">
        <f>2025</f>
        <v>2025</v>
      </c>
    </row>
    <row r="6" spans="1:20" x14ac:dyDescent="0.35">
      <c r="A6" t="s">
        <v>33</v>
      </c>
      <c r="B6" t="s">
        <v>32</v>
      </c>
      <c r="C6" s="32">
        <v>45689</v>
      </c>
      <c r="D6" t="s">
        <v>27</v>
      </c>
      <c r="E6" t="s">
        <v>49</v>
      </c>
      <c r="F6" t="s">
        <v>48</v>
      </c>
      <c r="P6">
        <v>1</v>
      </c>
      <c r="S6" t="s">
        <v>37</v>
      </c>
      <c r="T6">
        <f>2025</f>
        <v>2025</v>
      </c>
    </row>
    <row r="7" spans="1:20" x14ac:dyDescent="0.35">
      <c r="A7" t="s">
        <v>33</v>
      </c>
      <c r="B7" t="s">
        <v>32</v>
      </c>
      <c r="C7" s="32">
        <v>45689</v>
      </c>
      <c r="D7" t="s">
        <v>16</v>
      </c>
      <c r="E7" t="s">
        <v>49</v>
      </c>
      <c r="F7" t="s">
        <v>48</v>
      </c>
      <c r="P7">
        <v>2</v>
      </c>
      <c r="S7" t="s">
        <v>37</v>
      </c>
      <c r="T7">
        <f>2025</f>
        <v>2025</v>
      </c>
    </row>
    <row r="8" spans="1:20" x14ac:dyDescent="0.35">
      <c r="A8" t="s">
        <v>33</v>
      </c>
      <c r="B8" t="s">
        <v>32</v>
      </c>
      <c r="C8" s="32">
        <v>45689</v>
      </c>
      <c r="D8" t="s">
        <v>17</v>
      </c>
      <c r="E8" t="s">
        <v>49</v>
      </c>
      <c r="F8" t="s">
        <v>48</v>
      </c>
      <c r="P8">
        <v>1</v>
      </c>
      <c r="S8" t="s">
        <v>37</v>
      </c>
      <c r="T8">
        <f>2025</f>
        <v>2025</v>
      </c>
    </row>
    <row r="9" spans="1:20" x14ac:dyDescent="0.35">
      <c r="A9" t="s">
        <v>33</v>
      </c>
      <c r="B9" t="s">
        <v>32</v>
      </c>
      <c r="C9" s="32">
        <v>45689</v>
      </c>
      <c r="D9" t="s">
        <v>18</v>
      </c>
      <c r="E9" t="s">
        <v>49</v>
      </c>
      <c r="F9" t="s">
        <v>49</v>
      </c>
      <c r="P9">
        <v>1</v>
      </c>
      <c r="S9" t="s">
        <v>37</v>
      </c>
      <c r="T9">
        <f>2025</f>
        <v>2025</v>
      </c>
    </row>
    <row r="10" spans="1:20" x14ac:dyDescent="0.35">
      <c r="A10" t="s">
        <v>33</v>
      </c>
      <c r="B10" t="s">
        <v>32</v>
      </c>
      <c r="C10" s="32">
        <v>45689</v>
      </c>
      <c r="D10" t="s">
        <v>19</v>
      </c>
      <c r="E10" t="s">
        <v>49</v>
      </c>
      <c r="F10" t="s">
        <v>49</v>
      </c>
      <c r="G10">
        <v>31936.999800000001</v>
      </c>
      <c r="H10">
        <v>156343.53080000001</v>
      </c>
      <c r="J10">
        <v>0</v>
      </c>
      <c r="K10">
        <v>0</v>
      </c>
      <c r="M10">
        <v>111666.3492</v>
      </c>
      <c r="N10">
        <v>255414.2904</v>
      </c>
      <c r="P10">
        <v>11</v>
      </c>
      <c r="Q10">
        <v>1</v>
      </c>
      <c r="S10" t="s">
        <v>37</v>
      </c>
      <c r="T10">
        <f>2025</f>
        <v>2025</v>
      </c>
    </row>
    <row r="11" spans="1:20" x14ac:dyDescent="0.35">
      <c r="A11" t="s">
        <v>33</v>
      </c>
      <c r="B11" t="s">
        <v>32</v>
      </c>
      <c r="C11" s="32">
        <v>45689</v>
      </c>
      <c r="D11" t="s">
        <v>20</v>
      </c>
      <c r="E11" t="s">
        <v>49</v>
      </c>
      <c r="F11" t="s">
        <v>48</v>
      </c>
      <c r="P11">
        <v>1</v>
      </c>
      <c r="S11" t="s">
        <v>37</v>
      </c>
      <c r="T11">
        <f>2025</f>
        <v>2025</v>
      </c>
    </row>
    <row r="12" spans="1:20" x14ac:dyDescent="0.35">
      <c r="A12" t="s">
        <v>33</v>
      </c>
      <c r="B12" t="s">
        <v>32</v>
      </c>
      <c r="C12" s="32">
        <v>45689</v>
      </c>
      <c r="D12" t="s">
        <v>21</v>
      </c>
      <c r="E12" t="s">
        <v>49</v>
      </c>
      <c r="F12" t="s">
        <v>48</v>
      </c>
      <c r="P12">
        <v>1</v>
      </c>
      <c r="S12" t="s">
        <v>37</v>
      </c>
      <c r="T12">
        <f>2025</f>
        <v>2025</v>
      </c>
    </row>
    <row r="13" spans="1:20" x14ac:dyDescent="0.35">
      <c r="A13" t="s">
        <v>33</v>
      </c>
      <c r="B13" t="s">
        <v>32</v>
      </c>
      <c r="C13" s="32">
        <v>45689</v>
      </c>
      <c r="D13" t="s">
        <v>22</v>
      </c>
      <c r="E13" t="s">
        <v>49</v>
      </c>
      <c r="F13" t="s">
        <v>48</v>
      </c>
      <c r="P13">
        <v>1</v>
      </c>
      <c r="S13" t="s">
        <v>37</v>
      </c>
      <c r="T13">
        <f>2025</f>
        <v>2025</v>
      </c>
    </row>
    <row r="14" spans="1:20" x14ac:dyDescent="0.35">
      <c r="A14" t="s">
        <v>33</v>
      </c>
      <c r="B14" t="s">
        <v>32</v>
      </c>
      <c r="C14" s="32">
        <v>45658</v>
      </c>
      <c r="D14" t="s">
        <v>49</v>
      </c>
      <c r="E14" t="s">
        <v>49</v>
      </c>
      <c r="F14" t="s">
        <v>49</v>
      </c>
      <c r="G14">
        <v>0</v>
      </c>
      <c r="H14">
        <v>5522.82</v>
      </c>
      <c r="J14">
        <v>0</v>
      </c>
      <c r="K14">
        <v>0</v>
      </c>
      <c r="M14">
        <v>953.95600000000002</v>
      </c>
      <c r="N14">
        <v>5522.82</v>
      </c>
      <c r="P14">
        <v>1</v>
      </c>
      <c r="S14" t="s">
        <v>37</v>
      </c>
      <c r="T14">
        <f>2025</f>
        <v>2025</v>
      </c>
    </row>
    <row r="15" spans="1:20" x14ac:dyDescent="0.35">
      <c r="A15" t="s">
        <v>33</v>
      </c>
      <c r="B15" t="s">
        <v>32</v>
      </c>
      <c r="C15" s="32">
        <v>45658</v>
      </c>
      <c r="D15" t="s">
        <v>49</v>
      </c>
      <c r="E15" t="s">
        <v>49</v>
      </c>
      <c r="F15" t="s">
        <v>49</v>
      </c>
      <c r="P15">
        <v>1</v>
      </c>
      <c r="S15" t="s">
        <v>37</v>
      </c>
      <c r="T15">
        <f>2025</f>
        <v>2025</v>
      </c>
    </row>
    <row r="16" spans="1:20" x14ac:dyDescent="0.35">
      <c r="A16" t="s">
        <v>33</v>
      </c>
      <c r="B16" t="s">
        <v>32</v>
      </c>
      <c r="C16" s="32">
        <v>45658</v>
      </c>
      <c r="D16" t="s">
        <v>49</v>
      </c>
      <c r="E16" t="s">
        <v>49</v>
      </c>
      <c r="F16" t="s">
        <v>49</v>
      </c>
      <c r="P16">
        <v>1</v>
      </c>
      <c r="S16" t="s">
        <v>37</v>
      </c>
      <c r="T16">
        <f>2025</f>
        <v>2025</v>
      </c>
    </row>
    <row r="17" spans="1:20" x14ac:dyDescent="0.35">
      <c r="A17" t="s">
        <v>33</v>
      </c>
      <c r="B17" t="s">
        <v>32</v>
      </c>
      <c r="C17" s="32">
        <v>45658</v>
      </c>
      <c r="D17" t="s">
        <v>14</v>
      </c>
      <c r="E17" t="s">
        <v>49</v>
      </c>
      <c r="F17" t="s">
        <v>48</v>
      </c>
      <c r="G17">
        <v>8548.8475691056919</v>
      </c>
      <c r="H17">
        <v>2130.1788617886182</v>
      </c>
      <c r="J17">
        <v>0</v>
      </c>
      <c r="K17">
        <v>0</v>
      </c>
      <c r="M17">
        <v>1691.9108000000001</v>
      </c>
      <c r="N17">
        <v>19227.874</v>
      </c>
      <c r="P17">
        <v>1</v>
      </c>
      <c r="S17" t="s">
        <v>37</v>
      </c>
      <c r="T17">
        <f>2025</f>
        <v>2025</v>
      </c>
    </row>
    <row r="18" spans="1:20" x14ac:dyDescent="0.35">
      <c r="A18" t="s">
        <v>33</v>
      </c>
      <c r="B18" t="s">
        <v>32</v>
      </c>
      <c r="C18" s="32">
        <v>45658</v>
      </c>
      <c r="D18" t="s">
        <v>27</v>
      </c>
      <c r="E18" t="s">
        <v>49</v>
      </c>
      <c r="F18" t="s">
        <v>48</v>
      </c>
      <c r="P18">
        <v>1</v>
      </c>
      <c r="S18" t="s">
        <v>37</v>
      </c>
      <c r="T18">
        <f>2025</f>
        <v>2025</v>
      </c>
    </row>
    <row r="19" spans="1:20" x14ac:dyDescent="0.35">
      <c r="A19" t="s">
        <v>33</v>
      </c>
      <c r="B19" t="s">
        <v>32</v>
      </c>
      <c r="C19" s="32">
        <v>45658</v>
      </c>
      <c r="D19" t="s">
        <v>16</v>
      </c>
      <c r="E19" t="s">
        <v>49</v>
      </c>
      <c r="F19" t="s">
        <v>48</v>
      </c>
      <c r="G19">
        <v>64648.526938211377</v>
      </c>
      <c r="H19">
        <v>7515.3577235772354</v>
      </c>
      <c r="J19">
        <v>0</v>
      </c>
      <c r="K19">
        <v>0</v>
      </c>
      <c r="M19">
        <v>18569.464799999998</v>
      </c>
      <c r="N19">
        <v>137089.74160000001</v>
      </c>
      <c r="P19">
        <v>3</v>
      </c>
      <c r="Q19">
        <v>1</v>
      </c>
      <c r="S19" t="s">
        <v>37</v>
      </c>
      <c r="T19">
        <f>2025</f>
        <v>2025</v>
      </c>
    </row>
    <row r="20" spans="1:20" x14ac:dyDescent="0.35">
      <c r="A20" t="s">
        <v>33</v>
      </c>
      <c r="B20" t="s">
        <v>32</v>
      </c>
      <c r="C20" s="32">
        <v>45658</v>
      </c>
      <c r="D20" t="s">
        <v>17</v>
      </c>
      <c r="E20" t="s">
        <v>49</v>
      </c>
      <c r="F20" t="s">
        <v>48</v>
      </c>
      <c r="P20">
        <v>1</v>
      </c>
      <c r="S20" t="s">
        <v>37</v>
      </c>
      <c r="T20">
        <f>2025</f>
        <v>2025</v>
      </c>
    </row>
    <row r="21" spans="1:20" x14ac:dyDescent="0.35">
      <c r="A21" t="s">
        <v>33</v>
      </c>
      <c r="B21" t="s">
        <v>32</v>
      </c>
      <c r="C21" s="32">
        <v>45658</v>
      </c>
      <c r="D21" t="s">
        <v>18</v>
      </c>
      <c r="E21" t="s">
        <v>49</v>
      </c>
      <c r="F21" t="s">
        <v>49</v>
      </c>
      <c r="P21">
        <v>1</v>
      </c>
      <c r="S21" t="s">
        <v>37</v>
      </c>
      <c r="T21">
        <f>2025</f>
        <v>2025</v>
      </c>
    </row>
    <row r="22" spans="1:20" x14ac:dyDescent="0.35">
      <c r="A22" t="s">
        <v>33</v>
      </c>
      <c r="B22" t="s">
        <v>32</v>
      </c>
      <c r="C22" s="32">
        <v>45658</v>
      </c>
      <c r="D22" t="s">
        <v>20</v>
      </c>
      <c r="E22" t="s">
        <v>49</v>
      </c>
      <c r="F22" t="s">
        <v>48</v>
      </c>
      <c r="P22">
        <v>1</v>
      </c>
      <c r="S22" t="s">
        <v>37</v>
      </c>
      <c r="T22">
        <f>2025</f>
        <v>2025</v>
      </c>
    </row>
    <row r="23" spans="1:20" x14ac:dyDescent="0.35">
      <c r="A23" t="s">
        <v>33</v>
      </c>
      <c r="B23" t="s">
        <v>32</v>
      </c>
      <c r="C23" s="32">
        <v>45658</v>
      </c>
      <c r="D23" t="s">
        <v>21</v>
      </c>
      <c r="E23" t="s">
        <v>49</v>
      </c>
      <c r="F23" t="s">
        <v>48</v>
      </c>
      <c r="P23">
        <v>1</v>
      </c>
      <c r="S23" t="s">
        <v>37</v>
      </c>
      <c r="T23">
        <f>2025</f>
        <v>2025</v>
      </c>
    </row>
    <row r="24" spans="1:20" x14ac:dyDescent="0.35">
      <c r="A24" t="s">
        <v>33</v>
      </c>
      <c r="B24" t="s">
        <v>32</v>
      </c>
      <c r="C24" s="32">
        <v>45658</v>
      </c>
      <c r="D24" t="s">
        <v>22</v>
      </c>
      <c r="E24" t="s">
        <v>49</v>
      </c>
      <c r="F24" t="s">
        <v>48</v>
      </c>
      <c r="P24">
        <v>1</v>
      </c>
      <c r="S24" t="s">
        <v>37</v>
      </c>
      <c r="T24">
        <f>2025</f>
        <v>2025</v>
      </c>
    </row>
    <row r="25" spans="1:20" x14ac:dyDescent="0.35">
      <c r="A25" t="s">
        <v>33</v>
      </c>
      <c r="B25" t="s">
        <v>32</v>
      </c>
      <c r="C25" s="32">
        <v>45717</v>
      </c>
      <c r="D25" t="s">
        <v>49</v>
      </c>
      <c r="E25" t="s">
        <v>49</v>
      </c>
      <c r="F25" t="s">
        <v>49</v>
      </c>
      <c r="G25">
        <v>0</v>
      </c>
      <c r="H25">
        <v>3255</v>
      </c>
      <c r="J25">
        <v>0</v>
      </c>
      <c r="K25">
        <v>0</v>
      </c>
      <c r="M25">
        <v>4425.1203999999998</v>
      </c>
      <c r="N25">
        <v>4896.79</v>
      </c>
      <c r="P25">
        <v>1</v>
      </c>
      <c r="S25" t="s">
        <v>37</v>
      </c>
      <c r="T25">
        <f>2025</f>
        <v>2025</v>
      </c>
    </row>
    <row r="26" spans="1:20" x14ac:dyDescent="0.35">
      <c r="A26" t="s">
        <v>33</v>
      </c>
      <c r="B26" t="s">
        <v>32</v>
      </c>
      <c r="C26" s="32">
        <v>45717</v>
      </c>
      <c r="D26" t="s">
        <v>14</v>
      </c>
      <c r="E26" t="s">
        <v>49</v>
      </c>
      <c r="F26" t="s">
        <v>48</v>
      </c>
      <c r="G26">
        <v>31766.717572899732</v>
      </c>
      <c r="H26">
        <v>42005.420054200527</v>
      </c>
      <c r="J26">
        <v>0</v>
      </c>
      <c r="K26">
        <v>0</v>
      </c>
      <c r="M26">
        <v>15494.13</v>
      </c>
      <c r="N26">
        <v>105538.85520000001</v>
      </c>
      <c r="P26">
        <v>1</v>
      </c>
      <c r="S26" t="s">
        <v>37</v>
      </c>
      <c r="T26">
        <f>2025</f>
        <v>2025</v>
      </c>
    </row>
    <row r="27" spans="1:20" x14ac:dyDescent="0.35">
      <c r="A27" t="s">
        <v>33</v>
      </c>
      <c r="B27" t="s">
        <v>32</v>
      </c>
      <c r="C27" s="32">
        <v>45717</v>
      </c>
      <c r="D27" t="s">
        <v>16</v>
      </c>
      <c r="E27" t="s">
        <v>49</v>
      </c>
      <c r="F27" t="s">
        <v>48</v>
      </c>
      <c r="G27">
        <v>49847.813999999998</v>
      </c>
      <c r="H27">
        <v>0</v>
      </c>
      <c r="J27">
        <v>0</v>
      </c>
      <c r="K27">
        <v>0</v>
      </c>
      <c r="M27">
        <v>5566.1264000000001</v>
      </c>
      <c r="N27">
        <v>99695.627999999997</v>
      </c>
      <c r="P27">
        <v>3</v>
      </c>
      <c r="S27" t="s">
        <v>37</v>
      </c>
      <c r="T27">
        <f>2025</f>
        <v>2025</v>
      </c>
    </row>
    <row r="28" spans="1:20" x14ac:dyDescent="0.35">
      <c r="A28" t="s">
        <v>33</v>
      </c>
      <c r="B28" t="s">
        <v>32</v>
      </c>
      <c r="C28" s="32">
        <v>45717</v>
      </c>
      <c r="D28" t="s">
        <v>19</v>
      </c>
      <c r="E28" t="s">
        <v>49</v>
      </c>
      <c r="F28" t="s">
        <v>49</v>
      </c>
      <c r="G28">
        <v>11973.613600000001</v>
      </c>
      <c r="H28">
        <v>67280.45</v>
      </c>
      <c r="J28">
        <v>0</v>
      </c>
      <c r="K28">
        <v>0</v>
      </c>
      <c r="M28">
        <v>154248.96120000002</v>
      </c>
      <c r="N28">
        <v>154079.06720000002</v>
      </c>
      <c r="P28">
        <v>26</v>
      </c>
      <c r="S28" t="s">
        <v>37</v>
      </c>
      <c r="T28">
        <f>2025</f>
        <v>2025</v>
      </c>
    </row>
    <row r="29" spans="1:20" x14ac:dyDescent="0.35">
      <c r="A29" t="s">
        <v>33</v>
      </c>
      <c r="B29" t="s">
        <v>26</v>
      </c>
      <c r="C29" s="32">
        <v>45689</v>
      </c>
      <c r="D29" t="s">
        <v>49</v>
      </c>
      <c r="E29" t="s">
        <v>49</v>
      </c>
      <c r="F29" t="s">
        <v>49</v>
      </c>
      <c r="G29">
        <v>141856.9424</v>
      </c>
      <c r="H29">
        <v>60385.841199999995</v>
      </c>
      <c r="J29">
        <v>0</v>
      </c>
      <c r="K29">
        <v>0</v>
      </c>
      <c r="M29">
        <v>26727.868000000002</v>
      </c>
      <c r="N29">
        <v>345389.636</v>
      </c>
      <c r="P29">
        <v>1</v>
      </c>
      <c r="S29" t="s">
        <v>37</v>
      </c>
      <c r="T29">
        <f>2025</f>
        <v>2025</v>
      </c>
    </row>
    <row r="30" spans="1:20" x14ac:dyDescent="0.35">
      <c r="A30" t="s">
        <v>33</v>
      </c>
      <c r="B30" t="s">
        <v>26</v>
      </c>
      <c r="C30" s="32">
        <v>45689</v>
      </c>
      <c r="D30" t="s">
        <v>49</v>
      </c>
      <c r="E30" t="s">
        <v>49</v>
      </c>
      <c r="F30" t="s">
        <v>49</v>
      </c>
      <c r="I30">
        <v>32476.71</v>
      </c>
      <c r="L30">
        <v>0</v>
      </c>
      <c r="P30">
        <v>1</v>
      </c>
      <c r="S30" t="s">
        <v>37</v>
      </c>
      <c r="T30">
        <f>2025</f>
        <v>2025</v>
      </c>
    </row>
    <row r="31" spans="1:20" x14ac:dyDescent="0.35">
      <c r="A31" t="s">
        <v>33</v>
      </c>
      <c r="B31" t="s">
        <v>26</v>
      </c>
      <c r="C31" s="32">
        <v>45689</v>
      </c>
      <c r="D31" t="s">
        <v>49</v>
      </c>
      <c r="E31" t="s">
        <v>49</v>
      </c>
      <c r="F31" t="s">
        <v>49</v>
      </c>
      <c r="P31">
        <v>1</v>
      </c>
      <c r="S31" t="s">
        <v>37</v>
      </c>
      <c r="T31">
        <f>2025</f>
        <v>2025</v>
      </c>
    </row>
    <row r="32" spans="1:20" x14ac:dyDescent="0.35">
      <c r="A32" t="s">
        <v>33</v>
      </c>
      <c r="B32" t="s">
        <v>26</v>
      </c>
      <c r="C32" s="32">
        <v>45689</v>
      </c>
      <c r="D32" t="s">
        <v>49</v>
      </c>
      <c r="E32" t="s">
        <v>49</v>
      </c>
      <c r="F32" t="s">
        <v>49</v>
      </c>
      <c r="P32">
        <v>1</v>
      </c>
      <c r="S32" t="s">
        <v>37</v>
      </c>
      <c r="T32">
        <f>2025</f>
        <v>2025</v>
      </c>
    </row>
    <row r="33" spans="1:20" x14ac:dyDescent="0.35">
      <c r="A33" t="s">
        <v>33</v>
      </c>
      <c r="B33" t="s">
        <v>26</v>
      </c>
      <c r="C33" s="32">
        <v>45689</v>
      </c>
      <c r="D33" t="s">
        <v>14</v>
      </c>
      <c r="E33" t="s">
        <v>49</v>
      </c>
      <c r="F33" t="s">
        <v>48</v>
      </c>
      <c r="G33">
        <v>19272.001416260158</v>
      </c>
      <c r="H33">
        <v>5161.5827674796756</v>
      </c>
      <c r="J33">
        <v>0</v>
      </c>
      <c r="K33">
        <v>0</v>
      </c>
      <c r="M33">
        <v>20241.5556</v>
      </c>
      <c r="N33">
        <v>43705.585600000006</v>
      </c>
      <c r="P33">
        <v>3</v>
      </c>
      <c r="S33" t="s">
        <v>37</v>
      </c>
      <c r="T33">
        <f>2025</f>
        <v>2025</v>
      </c>
    </row>
    <row r="34" spans="1:20" x14ac:dyDescent="0.35">
      <c r="A34" t="s">
        <v>33</v>
      </c>
      <c r="B34" t="s">
        <v>26</v>
      </c>
      <c r="C34" s="32">
        <v>45689</v>
      </c>
      <c r="D34" t="s">
        <v>16</v>
      </c>
      <c r="E34" t="s">
        <v>49</v>
      </c>
      <c r="F34" t="s">
        <v>48</v>
      </c>
      <c r="G34">
        <v>176103.92689214091</v>
      </c>
      <c r="H34">
        <v>361069.02901571809</v>
      </c>
      <c r="I34">
        <v>110533.13</v>
      </c>
      <c r="J34">
        <v>0</v>
      </c>
      <c r="K34">
        <v>0</v>
      </c>
      <c r="L34">
        <v>0</v>
      </c>
      <c r="M34">
        <v>48973.905599999998</v>
      </c>
      <c r="N34">
        <v>713276.88280000014</v>
      </c>
      <c r="P34">
        <v>21</v>
      </c>
      <c r="Q34">
        <v>8</v>
      </c>
      <c r="S34" t="s">
        <v>37</v>
      </c>
      <c r="T34">
        <f>2025</f>
        <v>2025</v>
      </c>
    </row>
    <row r="35" spans="1:20" x14ac:dyDescent="0.35">
      <c r="A35" t="s">
        <v>33</v>
      </c>
      <c r="B35" t="s">
        <v>26</v>
      </c>
      <c r="C35" s="32">
        <v>45689</v>
      </c>
      <c r="D35" t="s">
        <v>17</v>
      </c>
      <c r="E35" t="s">
        <v>49</v>
      </c>
      <c r="F35" t="s">
        <v>48</v>
      </c>
      <c r="G35">
        <v>65175.425117073166</v>
      </c>
      <c r="H35">
        <v>198405.06736585364</v>
      </c>
      <c r="J35">
        <v>0</v>
      </c>
      <c r="K35">
        <v>0</v>
      </c>
      <c r="M35">
        <v>10834.3472</v>
      </c>
      <c r="N35">
        <v>328755.91759999999</v>
      </c>
      <c r="P35">
        <v>2</v>
      </c>
      <c r="S35" t="s">
        <v>37</v>
      </c>
      <c r="T35">
        <f>2025</f>
        <v>2025</v>
      </c>
    </row>
    <row r="36" spans="1:20" x14ac:dyDescent="0.35">
      <c r="A36" t="s">
        <v>33</v>
      </c>
      <c r="B36" t="s">
        <v>26</v>
      </c>
      <c r="C36" s="32">
        <v>45689</v>
      </c>
      <c r="D36" t="s">
        <v>20</v>
      </c>
      <c r="E36" t="s">
        <v>49</v>
      </c>
      <c r="F36" t="s">
        <v>48</v>
      </c>
      <c r="J36">
        <v>0</v>
      </c>
      <c r="K36">
        <v>0</v>
      </c>
      <c r="M36">
        <v>71498.555200000003</v>
      </c>
      <c r="P36">
        <v>1</v>
      </c>
      <c r="S36" t="s">
        <v>37</v>
      </c>
      <c r="T36">
        <f>2025</f>
        <v>2025</v>
      </c>
    </row>
    <row r="37" spans="1:20" x14ac:dyDescent="0.35">
      <c r="A37" t="s">
        <v>33</v>
      </c>
      <c r="B37" t="s">
        <v>26</v>
      </c>
      <c r="C37" s="32">
        <v>45689</v>
      </c>
      <c r="D37" t="s">
        <v>22</v>
      </c>
      <c r="E37" t="s">
        <v>49</v>
      </c>
      <c r="F37" t="s">
        <v>48</v>
      </c>
      <c r="P37">
        <v>1</v>
      </c>
      <c r="S37" t="s">
        <v>37</v>
      </c>
      <c r="T37">
        <f>2025</f>
        <v>2025</v>
      </c>
    </row>
    <row r="38" spans="1:20" x14ac:dyDescent="0.35">
      <c r="A38" t="s">
        <v>33</v>
      </c>
      <c r="B38" t="s">
        <v>26</v>
      </c>
      <c r="C38" s="32">
        <v>45658</v>
      </c>
      <c r="D38" t="s">
        <v>49</v>
      </c>
      <c r="E38" t="s">
        <v>49</v>
      </c>
      <c r="F38" t="s">
        <v>49</v>
      </c>
      <c r="G38">
        <v>27456.272199999999</v>
      </c>
      <c r="H38">
        <v>72572.22080000001</v>
      </c>
      <c r="J38">
        <v>0</v>
      </c>
      <c r="K38">
        <v>0</v>
      </c>
      <c r="M38">
        <v>24641.874400000001</v>
      </c>
      <c r="N38">
        <v>127484.76520000001</v>
      </c>
      <c r="P38">
        <v>1</v>
      </c>
      <c r="S38" t="s">
        <v>37</v>
      </c>
      <c r="T38">
        <f>2025</f>
        <v>2025</v>
      </c>
    </row>
    <row r="39" spans="1:20" x14ac:dyDescent="0.35">
      <c r="A39" t="s">
        <v>33</v>
      </c>
      <c r="B39" t="s">
        <v>26</v>
      </c>
      <c r="C39" s="32">
        <v>45658</v>
      </c>
      <c r="D39" t="s">
        <v>49</v>
      </c>
      <c r="E39" t="s">
        <v>49</v>
      </c>
      <c r="F39" t="s">
        <v>49</v>
      </c>
      <c r="I39">
        <v>25433.439999999999</v>
      </c>
      <c r="L39">
        <v>0</v>
      </c>
      <c r="P39">
        <v>1</v>
      </c>
      <c r="S39" t="s">
        <v>37</v>
      </c>
      <c r="T39">
        <f>2025</f>
        <v>2025</v>
      </c>
    </row>
    <row r="40" spans="1:20" x14ac:dyDescent="0.35">
      <c r="A40" t="s">
        <v>33</v>
      </c>
      <c r="B40" t="s">
        <v>26</v>
      </c>
      <c r="C40" s="32">
        <v>45658</v>
      </c>
      <c r="D40" t="s">
        <v>49</v>
      </c>
      <c r="E40" t="s">
        <v>49</v>
      </c>
      <c r="F40" t="s">
        <v>49</v>
      </c>
      <c r="P40">
        <v>1</v>
      </c>
      <c r="S40" t="s">
        <v>37</v>
      </c>
      <c r="T40">
        <f>2025</f>
        <v>2025</v>
      </c>
    </row>
    <row r="41" spans="1:20" x14ac:dyDescent="0.35">
      <c r="A41" t="s">
        <v>33</v>
      </c>
      <c r="B41" t="s">
        <v>26</v>
      </c>
      <c r="C41" s="32">
        <v>45658</v>
      </c>
      <c r="D41" t="s">
        <v>49</v>
      </c>
      <c r="E41" t="s">
        <v>49</v>
      </c>
      <c r="F41" t="s">
        <v>49</v>
      </c>
      <c r="P41">
        <v>1</v>
      </c>
      <c r="S41" t="s">
        <v>37</v>
      </c>
      <c r="T41">
        <f>2025</f>
        <v>2025</v>
      </c>
    </row>
    <row r="42" spans="1:20" x14ac:dyDescent="0.35">
      <c r="A42" t="s">
        <v>33</v>
      </c>
      <c r="B42" t="s">
        <v>26</v>
      </c>
      <c r="C42" s="32">
        <v>45658</v>
      </c>
      <c r="D42" t="s">
        <v>14</v>
      </c>
      <c r="E42" t="s">
        <v>49</v>
      </c>
      <c r="F42" t="s">
        <v>48</v>
      </c>
      <c r="G42">
        <v>122107.33732466125</v>
      </c>
      <c r="H42">
        <v>316910.46015067748</v>
      </c>
      <c r="J42">
        <v>0</v>
      </c>
      <c r="K42">
        <v>0</v>
      </c>
      <c r="M42">
        <v>26607.438799999996</v>
      </c>
      <c r="N42">
        <v>561125.1348</v>
      </c>
      <c r="P42">
        <v>7</v>
      </c>
      <c r="Q42">
        <v>1</v>
      </c>
      <c r="S42" t="s">
        <v>37</v>
      </c>
      <c r="T42">
        <f>2025</f>
        <v>2025</v>
      </c>
    </row>
    <row r="43" spans="1:20" x14ac:dyDescent="0.35">
      <c r="A43" t="s">
        <v>33</v>
      </c>
      <c r="B43" t="s">
        <v>26</v>
      </c>
      <c r="C43" s="32">
        <v>45658</v>
      </c>
      <c r="D43" t="s">
        <v>27</v>
      </c>
      <c r="E43" t="s">
        <v>49</v>
      </c>
      <c r="F43" t="s">
        <v>48</v>
      </c>
      <c r="G43">
        <v>425497.16318536591</v>
      </c>
      <c r="H43">
        <v>372057.86202926823</v>
      </c>
      <c r="I43">
        <v>14714.5</v>
      </c>
      <c r="J43">
        <v>0</v>
      </c>
      <c r="K43">
        <v>0</v>
      </c>
      <c r="L43">
        <v>0</v>
      </c>
      <c r="M43">
        <v>46854.549999999996</v>
      </c>
      <c r="N43">
        <v>1223052.1884000001</v>
      </c>
      <c r="P43">
        <v>16</v>
      </c>
      <c r="Q43">
        <v>2</v>
      </c>
      <c r="S43" t="s">
        <v>37</v>
      </c>
      <c r="T43">
        <f>2025</f>
        <v>2025</v>
      </c>
    </row>
    <row r="44" spans="1:20" x14ac:dyDescent="0.35">
      <c r="A44" t="s">
        <v>33</v>
      </c>
      <c r="B44" t="s">
        <v>26</v>
      </c>
      <c r="C44" s="32">
        <v>45658</v>
      </c>
      <c r="D44" t="s">
        <v>16</v>
      </c>
      <c r="E44" t="s">
        <v>49</v>
      </c>
      <c r="F44" t="s">
        <v>48</v>
      </c>
      <c r="G44">
        <v>442428.68034525739</v>
      </c>
      <c r="H44">
        <v>505873.31370948505</v>
      </c>
      <c r="I44">
        <v>68866.7</v>
      </c>
      <c r="J44">
        <v>0</v>
      </c>
      <c r="K44">
        <v>0</v>
      </c>
      <c r="L44">
        <v>0</v>
      </c>
      <c r="M44">
        <v>150652.976</v>
      </c>
      <c r="N44">
        <v>1406090.7844</v>
      </c>
      <c r="P44">
        <v>20</v>
      </c>
      <c r="Q44">
        <v>15</v>
      </c>
      <c r="S44" t="s">
        <v>37</v>
      </c>
      <c r="T44">
        <f>2025</f>
        <v>2025</v>
      </c>
    </row>
    <row r="45" spans="1:20" x14ac:dyDescent="0.35">
      <c r="A45" t="s">
        <v>33</v>
      </c>
      <c r="B45" t="s">
        <v>26</v>
      </c>
      <c r="C45" s="32">
        <v>45658</v>
      </c>
      <c r="D45" t="s">
        <v>17</v>
      </c>
      <c r="E45" t="s">
        <v>49</v>
      </c>
      <c r="F45" t="s">
        <v>48</v>
      </c>
      <c r="G45">
        <v>52770.132618970187</v>
      </c>
      <c r="H45">
        <v>84335.205962059626</v>
      </c>
      <c r="J45">
        <v>0</v>
      </c>
      <c r="K45">
        <v>0</v>
      </c>
      <c r="M45">
        <v>6993.6028000000006</v>
      </c>
      <c r="N45">
        <v>189875.4712</v>
      </c>
      <c r="P45">
        <v>4</v>
      </c>
      <c r="S45" t="s">
        <v>37</v>
      </c>
      <c r="T45">
        <f>2025</f>
        <v>2025</v>
      </c>
    </row>
    <row r="46" spans="1:20" x14ac:dyDescent="0.35">
      <c r="A46" t="s">
        <v>33</v>
      </c>
      <c r="B46" t="s">
        <v>26</v>
      </c>
      <c r="C46" s="32">
        <v>45658</v>
      </c>
      <c r="D46" t="s">
        <v>20</v>
      </c>
      <c r="E46" t="s">
        <v>49</v>
      </c>
      <c r="F46" t="s">
        <v>48</v>
      </c>
      <c r="G46">
        <v>4378.6880000000001</v>
      </c>
      <c r="H46">
        <v>0</v>
      </c>
      <c r="J46">
        <v>0</v>
      </c>
      <c r="K46">
        <v>0</v>
      </c>
      <c r="M46">
        <v>140285.42120000001</v>
      </c>
      <c r="N46">
        <v>8757.3760000000002</v>
      </c>
      <c r="P46">
        <v>1</v>
      </c>
      <c r="S46" t="s">
        <v>37</v>
      </c>
      <c r="T46">
        <f>2025</f>
        <v>2025</v>
      </c>
    </row>
    <row r="47" spans="1:20" x14ac:dyDescent="0.35">
      <c r="A47" t="s">
        <v>33</v>
      </c>
      <c r="B47" t="s">
        <v>26</v>
      </c>
      <c r="C47" s="32">
        <v>45658</v>
      </c>
      <c r="D47" t="s">
        <v>22</v>
      </c>
      <c r="E47" t="s">
        <v>49</v>
      </c>
      <c r="F47" t="s">
        <v>48</v>
      </c>
      <c r="P47">
        <v>1</v>
      </c>
      <c r="S47" t="s">
        <v>37</v>
      </c>
      <c r="T47">
        <f>2025</f>
        <v>2025</v>
      </c>
    </row>
    <row r="48" spans="1:20" x14ac:dyDescent="0.35">
      <c r="A48" t="s">
        <v>33</v>
      </c>
      <c r="B48" t="s">
        <v>26</v>
      </c>
      <c r="C48" s="32">
        <v>45717</v>
      </c>
      <c r="D48" t="s">
        <v>49</v>
      </c>
      <c r="E48" t="s">
        <v>49</v>
      </c>
      <c r="F48" t="s">
        <v>49</v>
      </c>
      <c r="G48">
        <v>216731.42431707316</v>
      </c>
      <c r="H48">
        <v>345000.75536585355</v>
      </c>
      <c r="J48">
        <v>0</v>
      </c>
      <c r="K48">
        <v>0</v>
      </c>
      <c r="M48">
        <v>19380.238799999999</v>
      </c>
      <c r="N48">
        <v>778463.60400000005</v>
      </c>
      <c r="P48">
        <v>1</v>
      </c>
      <c r="S48" t="s">
        <v>37</v>
      </c>
      <c r="T48">
        <f>2025</f>
        <v>2025</v>
      </c>
    </row>
    <row r="49" spans="1:20" x14ac:dyDescent="0.35">
      <c r="A49" t="s">
        <v>33</v>
      </c>
      <c r="B49" t="s">
        <v>26</v>
      </c>
      <c r="C49" s="32">
        <v>45717</v>
      </c>
      <c r="D49" t="s">
        <v>49</v>
      </c>
      <c r="E49" t="s">
        <v>49</v>
      </c>
      <c r="F49" t="s">
        <v>49</v>
      </c>
      <c r="I49">
        <v>6091.3499999999985</v>
      </c>
      <c r="L49">
        <v>0</v>
      </c>
      <c r="P49">
        <v>1</v>
      </c>
      <c r="S49" t="s">
        <v>37</v>
      </c>
      <c r="T49">
        <f>2025</f>
        <v>2025</v>
      </c>
    </row>
    <row r="50" spans="1:20" x14ac:dyDescent="0.35">
      <c r="A50" t="s">
        <v>33</v>
      </c>
      <c r="B50" t="s">
        <v>26</v>
      </c>
      <c r="C50" s="32">
        <v>45717</v>
      </c>
      <c r="D50" t="s">
        <v>49</v>
      </c>
      <c r="E50" t="s">
        <v>49</v>
      </c>
      <c r="F50" t="s">
        <v>49</v>
      </c>
      <c r="P50">
        <v>1</v>
      </c>
      <c r="S50" t="s">
        <v>37</v>
      </c>
      <c r="T50">
        <f>2025</f>
        <v>2025</v>
      </c>
    </row>
    <row r="51" spans="1:20" x14ac:dyDescent="0.35">
      <c r="A51" t="s">
        <v>33</v>
      </c>
      <c r="B51" t="s">
        <v>26</v>
      </c>
      <c r="C51" s="32">
        <v>45717</v>
      </c>
      <c r="D51" t="s">
        <v>49</v>
      </c>
      <c r="E51" t="s">
        <v>49</v>
      </c>
      <c r="F51" t="s">
        <v>49</v>
      </c>
      <c r="P51">
        <v>1</v>
      </c>
      <c r="S51" t="s">
        <v>37</v>
      </c>
      <c r="T51">
        <f>2025</f>
        <v>2025</v>
      </c>
    </row>
    <row r="52" spans="1:20" x14ac:dyDescent="0.35">
      <c r="A52" t="s">
        <v>33</v>
      </c>
      <c r="B52" t="s">
        <v>26</v>
      </c>
      <c r="C52" s="32">
        <v>45717</v>
      </c>
      <c r="D52" t="s">
        <v>27</v>
      </c>
      <c r="E52" t="s">
        <v>49</v>
      </c>
      <c r="F52" t="s">
        <v>48</v>
      </c>
      <c r="G52">
        <v>209557.80222601627</v>
      </c>
      <c r="H52">
        <v>234708.93354796746</v>
      </c>
      <c r="J52">
        <v>0</v>
      </c>
      <c r="K52">
        <v>0</v>
      </c>
      <c r="M52">
        <v>42223.876799999998</v>
      </c>
      <c r="N52">
        <v>653824.53800000006</v>
      </c>
      <c r="P52">
        <v>17</v>
      </c>
      <c r="S52" t="s">
        <v>37</v>
      </c>
      <c r="T52">
        <f>2025</f>
        <v>2025</v>
      </c>
    </row>
    <row r="53" spans="1:20" x14ac:dyDescent="0.35">
      <c r="A53" t="s">
        <v>33</v>
      </c>
      <c r="B53" t="s">
        <v>26</v>
      </c>
      <c r="C53" s="32">
        <v>45717</v>
      </c>
      <c r="D53" t="s">
        <v>16</v>
      </c>
      <c r="E53" t="s">
        <v>49</v>
      </c>
      <c r="F53" t="s">
        <v>48</v>
      </c>
      <c r="G53">
        <v>398860.76534200535</v>
      </c>
      <c r="H53">
        <v>846850.90331598872</v>
      </c>
      <c r="I53">
        <v>18264.93</v>
      </c>
      <c r="J53">
        <v>0</v>
      </c>
      <c r="K53">
        <v>0</v>
      </c>
      <c r="L53">
        <v>0</v>
      </c>
      <c r="M53">
        <v>206783.63279999996</v>
      </c>
      <c r="N53">
        <v>1644572.4339999999</v>
      </c>
      <c r="P53">
        <v>24</v>
      </c>
      <c r="Q53">
        <v>14</v>
      </c>
      <c r="S53" t="s">
        <v>37</v>
      </c>
      <c r="T53">
        <f>2025</f>
        <v>2025</v>
      </c>
    </row>
    <row r="54" spans="1:20" x14ac:dyDescent="0.35">
      <c r="A54" t="s">
        <v>33</v>
      </c>
      <c r="B54" t="s">
        <v>26</v>
      </c>
      <c r="C54" s="32">
        <v>45717</v>
      </c>
      <c r="D54" t="s">
        <v>17</v>
      </c>
      <c r="E54" t="s">
        <v>49</v>
      </c>
      <c r="F54" t="s">
        <v>48</v>
      </c>
      <c r="P54">
        <v>5</v>
      </c>
      <c r="S54" t="s">
        <v>37</v>
      </c>
      <c r="T54">
        <f>2025</f>
        <v>2025</v>
      </c>
    </row>
    <row r="55" spans="1:20" x14ac:dyDescent="0.35">
      <c r="A55" t="s">
        <v>33</v>
      </c>
      <c r="B55" t="s">
        <v>26</v>
      </c>
      <c r="C55" s="32">
        <v>45717</v>
      </c>
      <c r="D55" t="s">
        <v>22</v>
      </c>
      <c r="E55" t="s">
        <v>49</v>
      </c>
      <c r="F55" t="s">
        <v>48</v>
      </c>
      <c r="P55">
        <v>1</v>
      </c>
      <c r="S55" t="s">
        <v>37</v>
      </c>
      <c r="T55">
        <f>2025</f>
        <v>2025</v>
      </c>
    </row>
    <row r="56" spans="1:20" x14ac:dyDescent="0.35">
      <c r="A56" t="s">
        <v>23</v>
      </c>
      <c r="B56" t="s">
        <v>32</v>
      </c>
      <c r="C56" s="32">
        <v>45658</v>
      </c>
      <c r="D56" t="s">
        <v>14</v>
      </c>
      <c r="E56" t="s">
        <v>49</v>
      </c>
      <c r="F56" t="s">
        <v>48</v>
      </c>
      <c r="G56">
        <v>6.8000000000000003E-13</v>
      </c>
      <c r="H56">
        <v>0</v>
      </c>
      <c r="J56">
        <v>0</v>
      </c>
      <c r="K56">
        <v>0</v>
      </c>
      <c r="M56">
        <v>54316.046000000002</v>
      </c>
      <c r="N56">
        <v>1.3600000000000001E-12</v>
      </c>
      <c r="P56">
        <v>2</v>
      </c>
      <c r="Q56">
        <v>1</v>
      </c>
      <c r="R56">
        <v>0</v>
      </c>
      <c r="S56" t="s">
        <v>37</v>
      </c>
      <c r="T56">
        <f>2025</f>
        <v>2025</v>
      </c>
    </row>
    <row r="57" spans="1:20" x14ac:dyDescent="0.35">
      <c r="A57" t="s">
        <v>23</v>
      </c>
      <c r="B57" t="s">
        <v>32</v>
      </c>
      <c r="C57" s="32">
        <v>45717</v>
      </c>
      <c r="D57" t="s">
        <v>14</v>
      </c>
      <c r="E57" t="s">
        <v>49</v>
      </c>
      <c r="F57" t="s">
        <v>48</v>
      </c>
      <c r="G57">
        <v>0</v>
      </c>
      <c r="H57">
        <v>38588.055999999997</v>
      </c>
      <c r="J57">
        <v>0</v>
      </c>
      <c r="K57">
        <v>0</v>
      </c>
      <c r="M57">
        <v>4406.8487999999998</v>
      </c>
      <c r="N57">
        <v>38588.055999999997</v>
      </c>
      <c r="P57">
        <v>2</v>
      </c>
      <c r="Q57">
        <v>0</v>
      </c>
      <c r="R57">
        <v>0</v>
      </c>
      <c r="S57" t="s">
        <v>37</v>
      </c>
      <c r="T57">
        <f>2025</f>
        <v>2025</v>
      </c>
    </row>
    <row r="58" spans="1:20" x14ac:dyDescent="0.35">
      <c r="A58" t="s">
        <v>23</v>
      </c>
      <c r="B58" t="s">
        <v>32</v>
      </c>
      <c r="C58" s="32">
        <v>45717</v>
      </c>
      <c r="D58" t="s">
        <v>17</v>
      </c>
      <c r="E58" t="s">
        <v>49</v>
      </c>
      <c r="F58" t="s">
        <v>48</v>
      </c>
      <c r="P58">
        <v>4</v>
      </c>
      <c r="Q58">
        <v>2</v>
      </c>
      <c r="R58">
        <v>0</v>
      </c>
      <c r="S58" t="s">
        <v>37</v>
      </c>
      <c r="T58">
        <f>2025</f>
        <v>2025</v>
      </c>
    </row>
    <row r="59" spans="1:20" x14ac:dyDescent="0.35">
      <c r="A59" t="s">
        <v>23</v>
      </c>
      <c r="B59" t="s">
        <v>26</v>
      </c>
      <c r="C59" s="32">
        <v>45689</v>
      </c>
      <c r="D59" t="s">
        <v>22</v>
      </c>
      <c r="E59" t="s">
        <v>49</v>
      </c>
      <c r="F59" t="s">
        <v>48</v>
      </c>
      <c r="G59">
        <v>21357.663723577236</v>
      </c>
      <c r="H59">
        <v>53893.449352845535</v>
      </c>
      <c r="J59">
        <v>0</v>
      </c>
      <c r="K59">
        <v>0</v>
      </c>
      <c r="M59">
        <v>55763.254399999998</v>
      </c>
      <c r="N59">
        <v>98293.716799999995</v>
      </c>
      <c r="P59">
        <v>7</v>
      </c>
      <c r="Q59">
        <v>0</v>
      </c>
      <c r="R59">
        <v>0</v>
      </c>
      <c r="S59" t="s">
        <v>37</v>
      </c>
      <c r="T59">
        <f>2025</f>
        <v>2025</v>
      </c>
    </row>
    <row r="60" spans="1:20" x14ac:dyDescent="0.35">
      <c r="A60" t="s">
        <v>23</v>
      </c>
      <c r="B60" t="s">
        <v>26</v>
      </c>
      <c r="C60" s="32">
        <v>45658</v>
      </c>
      <c r="D60" t="s">
        <v>22</v>
      </c>
      <c r="E60" t="s">
        <v>49</v>
      </c>
      <c r="F60" t="s">
        <v>48</v>
      </c>
      <c r="G60">
        <v>1597.1386</v>
      </c>
      <c r="H60">
        <v>13966.17</v>
      </c>
      <c r="J60">
        <v>0</v>
      </c>
      <c r="K60">
        <v>0</v>
      </c>
      <c r="M60">
        <v>23454.485200000003</v>
      </c>
      <c r="N60">
        <v>22936.4372</v>
      </c>
      <c r="P60">
        <v>7</v>
      </c>
      <c r="Q60">
        <v>0</v>
      </c>
      <c r="R60">
        <v>0</v>
      </c>
      <c r="S60" t="s">
        <v>37</v>
      </c>
      <c r="T60">
        <f>2025</f>
        <v>2025</v>
      </c>
    </row>
    <row r="61" spans="1:20" x14ac:dyDescent="0.35">
      <c r="A61" t="s">
        <v>23</v>
      </c>
      <c r="B61" t="s">
        <v>26</v>
      </c>
      <c r="C61" s="32">
        <v>45717</v>
      </c>
      <c r="D61" t="s">
        <v>22</v>
      </c>
      <c r="E61" t="s">
        <v>49</v>
      </c>
      <c r="F61" t="s">
        <v>48</v>
      </c>
      <c r="G61">
        <v>16754.916116260163</v>
      </c>
      <c r="H61">
        <v>22267.564967479673</v>
      </c>
      <c r="J61">
        <v>0</v>
      </c>
      <c r="K61">
        <v>0</v>
      </c>
      <c r="M61">
        <v>34194.839599999999</v>
      </c>
      <c r="N61">
        <v>67461.797200000001</v>
      </c>
      <c r="P61">
        <v>6</v>
      </c>
      <c r="Q61">
        <v>0</v>
      </c>
      <c r="R61">
        <v>0</v>
      </c>
      <c r="S61" t="s">
        <v>37</v>
      </c>
      <c r="T61">
        <f>2025</f>
        <v>2025</v>
      </c>
    </row>
    <row r="62" spans="1:20" x14ac:dyDescent="0.35">
      <c r="A62" t="s">
        <v>33</v>
      </c>
      <c r="B62" t="s">
        <v>32</v>
      </c>
      <c r="C62" s="32">
        <v>45658</v>
      </c>
      <c r="D62" t="s">
        <v>19</v>
      </c>
      <c r="E62" t="s">
        <v>49</v>
      </c>
      <c r="F62" t="s">
        <v>49</v>
      </c>
      <c r="G62">
        <v>8509.3883999999998</v>
      </c>
      <c r="H62">
        <v>52833.81</v>
      </c>
      <c r="J62">
        <v>0</v>
      </c>
      <c r="K62">
        <v>0</v>
      </c>
      <c r="M62">
        <v>78866.756000000008</v>
      </c>
      <c r="N62">
        <v>97532.876799999998</v>
      </c>
      <c r="P62">
        <v>16</v>
      </c>
      <c r="Q62">
        <v>3</v>
      </c>
      <c r="R62">
        <v>1</v>
      </c>
      <c r="S62" t="s">
        <v>37</v>
      </c>
      <c r="T62">
        <f>2025</f>
        <v>2025</v>
      </c>
    </row>
    <row r="63" spans="1:20" x14ac:dyDescent="0.35">
      <c r="A63" t="s">
        <v>33</v>
      </c>
      <c r="B63" t="s">
        <v>26</v>
      </c>
      <c r="C63" s="32">
        <v>45689</v>
      </c>
      <c r="D63" t="s">
        <v>27</v>
      </c>
      <c r="E63" t="s">
        <v>49</v>
      </c>
      <c r="F63" t="s">
        <v>48</v>
      </c>
      <c r="G63">
        <v>431306.47478915995</v>
      </c>
      <c r="H63">
        <v>770784.8252216801</v>
      </c>
      <c r="I63">
        <v>27733.39</v>
      </c>
      <c r="J63">
        <v>0</v>
      </c>
      <c r="K63">
        <v>0</v>
      </c>
      <c r="L63">
        <v>0</v>
      </c>
      <c r="M63">
        <v>68107.107999999993</v>
      </c>
      <c r="N63">
        <v>1633402.7748</v>
      </c>
      <c r="P63">
        <v>16</v>
      </c>
      <c r="Q63">
        <v>2</v>
      </c>
      <c r="R63">
        <v>1</v>
      </c>
      <c r="S63" t="s">
        <v>37</v>
      </c>
      <c r="T63">
        <f>2025</f>
        <v>2025</v>
      </c>
    </row>
    <row r="64" spans="1:20" x14ac:dyDescent="0.35">
      <c r="A64" t="s">
        <v>33</v>
      </c>
      <c r="B64" t="s">
        <v>26</v>
      </c>
      <c r="C64" s="32">
        <v>45689</v>
      </c>
      <c r="D64" t="s">
        <v>18</v>
      </c>
      <c r="E64" t="s">
        <v>49</v>
      </c>
      <c r="F64" t="s">
        <v>49</v>
      </c>
      <c r="G64">
        <v>51353.286977777781</v>
      </c>
      <c r="H64">
        <v>14879.759644444439</v>
      </c>
      <c r="J64">
        <v>0</v>
      </c>
      <c r="K64">
        <v>0</v>
      </c>
      <c r="M64">
        <v>163460.55119999999</v>
      </c>
      <c r="N64">
        <v>120257.69359999998</v>
      </c>
      <c r="P64">
        <v>6</v>
      </c>
      <c r="Q64">
        <v>11</v>
      </c>
      <c r="R64">
        <v>1</v>
      </c>
      <c r="S64" t="s">
        <v>37</v>
      </c>
      <c r="T64">
        <f>2025</f>
        <v>2025</v>
      </c>
    </row>
    <row r="65" spans="1:20" x14ac:dyDescent="0.35">
      <c r="A65" t="s">
        <v>33</v>
      </c>
      <c r="B65" t="s">
        <v>26</v>
      </c>
      <c r="C65" s="32">
        <v>45658</v>
      </c>
      <c r="D65" t="s">
        <v>18</v>
      </c>
      <c r="E65" t="s">
        <v>49</v>
      </c>
      <c r="F65" t="s">
        <v>49</v>
      </c>
      <c r="G65">
        <v>6626.4343701897033</v>
      </c>
      <c r="H65">
        <v>80913.8828596206</v>
      </c>
      <c r="J65">
        <v>0</v>
      </c>
      <c r="K65">
        <v>0</v>
      </c>
      <c r="M65">
        <v>16837.547600000002</v>
      </c>
      <c r="N65">
        <v>95833.711599999995</v>
      </c>
      <c r="P65">
        <v>6</v>
      </c>
      <c r="Q65">
        <v>8</v>
      </c>
      <c r="R65">
        <v>1</v>
      </c>
      <c r="S65" t="s">
        <v>37</v>
      </c>
      <c r="T65">
        <f>2025</f>
        <v>2025</v>
      </c>
    </row>
    <row r="66" spans="1:20" x14ac:dyDescent="0.35">
      <c r="A66" t="s">
        <v>33</v>
      </c>
      <c r="B66" t="s">
        <v>26</v>
      </c>
      <c r="C66" s="32">
        <v>45658</v>
      </c>
      <c r="D66" t="s">
        <v>21</v>
      </c>
      <c r="E66" t="s">
        <v>49</v>
      </c>
      <c r="F66" t="s">
        <v>48</v>
      </c>
      <c r="G66">
        <v>16999.434665040648</v>
      </c>
      <c r="H66">
        <v>2850.9918699186987</v>
      </c>
      <c r="J66">
        <v>0</v>
      </c>
      <c r="K66">
        <v>0</v>
      </c>
      <c r="M66">
        <v>16055.709999999997</v>
      </c>
      <c r="N66">
        <v>36849.861199999999</v>
      </c>
      <c r="P66">
        <v>1</v>
      </c>
      <c r="Q66">
        <v>25</v>
      </c>
      <c r="R66">
        <v>1</v>
      </c>
      <c r="S66" t="s">
        <v>37</v>
      </c>
      <c r="T66">
        <f>2025</f>
        <v>2025</v>
      </c>
    </row>
    <row r="67" spans="1:20" x14ac:dyDescent="0.35">
      <c r="A67" t="s">
        <v>33</v>
      </c>
      <c r="B67" t="s">
        <v>26</v>
      </c>
      <c r="C67" s="32">
        <v>45717</v>
      </c>
      <c r="D67" t="s">
        <v>14</v>
      </c>
      <c r="E67" t="s">
        <v>49</v>
      </c>
      <c r="F67" t="s">
        <v>48</v>
      </c>
      <c r="G67">
        <v>116840.26075067749</v>
      </c>
      <c r="H67">
        <v>71470.45049864499</v>
      </c>
      <c r="J67">
        <v>0</v>
      </c>
      <c r="K67">
        <v>0</v>
      </c>
      <c r="M67">
        <v>72071.5432</v>
      </c>
      <c r="N67">
        <v>305150.97200000001</v>
      </c>
      <c r="P67">
        <v>7</v>
      </c>
      <c r="Q67">
        <v>1</v>
      </c>
      <c r="R67">
        <v>1</v>
      </c>
      <c r="S67" t="s">
        <v>37</v>
      </c>
      <c r="T67">
        <f>2025</f>
        <v>2025</v>
      </c>
    </row>
    <row r="68" spans="1:20" x14ac:dyDescent="0.35">
      <c r="A68" t="s">
        <v>23</v>
      </c>
      <c r="B68" t="s">
        <v>32</v>
      </c>
      <c r="C68" s="32">
        <v>45689</v>
      </c>
      <c r="D68" t="s">
        <v>14</v>
      </c>
      <c r="E68" t="s">
        <v>49</v>
      </c>
      <c r="F68" t="s">
        <v>48</v>
      </c>
      <c r="G68">
        <v>1.8600000000000002E-12</v>
      </c>
      <c r="H68">
        <v>0</v>
      </c>
      <c r="J68">
        <v>0</v>
      </c>
      <c r="K68">
        <v>0</v>
      </c>
      <c r="M68">
        <v>82408.69008</v>
      </c>
      <c r="N68">
        <v>3.7200000000000003E-12</v>
      </c>
      <c r="P68">
        <v>1</v>
      </c>
      <c r="Q68">
        <v>2</v>
      </c>
      <c r="R68">
        <v>1</v>
      </c>
      <c r="S68" t="s">
        <v>37</v>
      </c>
      <c r="T68">
        <f>2025</f>
        <v>2025</v>
      </c>
    </row>
    <row r="69" spans="1:20" x14ac:dyDescent="0.35">
      <c r="A69" t="s">
        <v>23</v>
      </c>
      <c r="B69" t="s">
        <v>32</v>
      </c>
      <c r="C69" s="32">
        <v>45689</v>
      </c>
      <c r="D69" t="s">
        <v>17</v>
      </c>
      <c r="E69" t="s">
        <v>49</v>
      </c>
      <c r="F69" t="s">
        <v>48</v>
      </c>
      <c r="P69">
        <v>1</v>
      </c>
      <c r="Q69">
        <v>1</v>
      </c>
      <c r="R69">
        <v>1</v>
      </c>
      <c r="S69" t="s">
        <v>37</v>
      </c>
      <c r="T69">
        <f>2025</f>
        <v>2025</v>
      </c>
    </row>
    <row r="70" spans="1:20" x14ac:dyDescent="0.35">
      <c r="A70" t="s">
        <v>23</v>
      </c>
      <c r="B70" t="s">
        <v>32</v>
      </c>
      <c r="C70" s="32">
        <v>45689</v>
      </c>
      <c r="D70" t="s">
        <v>18</v>
      </c>
      <c r="E70" t="s">
        <v>49</v>
      </c>
      <c r="F70" t="s">
        <v>49</v>
      </c>
      <c r="G70">
        <v>35182.232531707319</v>
      </c>
      <c r="H70">
        <v>24800.175336585369</v>
      </c>
      <c r="I70">
        <v>116.98</v>
      </c>
      <c r="J70">
        <v>0</v>
      </c>
      <c r="K70">
        <v>0</v>
      </c>
      <c r="L70">
        <v>0</v>
      </c>
      <c r="M70">
        <v>229707.33119999999</v>
      </c>
      <c r="N70">
        <v>165991.41039999999</v>
      </c>
      <c r="P70">
        <v>5</v>
      </c>
      <c r="Q70">
        <v>5</v>
      </c>
      <c r="R70">
        <v>1</v>
      </c>
      <c r="S70" t="s">
        <v>37</v>
      </c>
      <c r="T70">
        <f>2025</f>
        <v>2025</v>
      </c>
    </row>
    <row r="71" spans="1:20" x14ac:dyDescent="0.35">
      <c r="A71" t="s">
        <v>23</v>
      </c>
      <c r="B71" t="s">
        <v>32</v>
      </c>
      <c r="C71" s="32">
        <v>45658</v>
      </c>
      <c r="D71" t="s">
        <v>17</v>
      </c>
      <c r="E71" t="s">
        <v>49</v>
      </c>
      <c r="F71" t="s">
        <v>48</v>
      </c>
      <c r="P71">
        <v>2</v>
      </c>
      <c r="Q71">
        <v>3</v>
      </c>
      <c r="R71">
        <v>1</v>
      </c>
      <c r="S71" t="s">
        <v>37</v>
      </c>
      <c r="T71">
        <f>2025</f>
        <v>2025</v>
      </c>
    </row>
    <row r="72" spans="1:20" x14ac:dyDescent="0.35">
      <c r="A72" t="s">
        <v>33</v>
      </c>
      <c r="B72" t="s">
        <v>26</v>
      </c>
      <c r="C72" s="32">
        <v>45689</v>
      </c>
      <c r="D72" t="s">
        <v>21</v>
      </c>
      <c r="E72" t="s">
        <v>49</v>
      </c>
      <c r="F72" t="s">
        <v>48</v>
      </c>
      <c r="G72">
        <v>8226.89346504065</v>
      </c>
      <c r="H72">
        <v>2850.9918699186987</v>
      </c>
      <c r="J72">
        <v>0</v>
      </c>
      <c r="K72">
        <v>0</v>
      </c>
      <c r="M72">
        <v>10700.786799999998</v>
      </c>
      <c r="N72">
        <v>19304.7788</v>
      </c>
      <c r="P72">
        <v>4</v>
      </c>
      <c r="Q72">
        <v>15</v>
      </c>
      <c r="R72">
        <v>2</v>
      </c>
      <c r="S72" t="s">
        <v>37</v>
      </c>
      <c r="T72">
        <f>2025</f>
        <v>2025</v>
      </c>
    </row>
    <row r="73" spans="1:20" x14ac:dyDescent="0.35">
      <c r="A73" t="s">
        <v>33</v>
      </c>
      <c r="B73" t="s">
        <v>26</v>
      </c>
      <c r="C73" s="32">
        <v>45717</v>
      </c>
      <c r="D73" t="s">
        <v>18</v>
      </c>
      <c r="E73" t="s">
        <v>49</v>
      </c>
      <c r="F73" t="s">
        <v>49</v>
      </c>
      <c r="G73">
        <v>95629.098473712715</v>
      </c>
      <c r="H73">
        <v>75374.607452574535</v>
      </c>
      <c r="J73">
        <v>0</v>
      </c>
      <c r="K73">
        <v>0</v>
      </c>
      <c r="M73">
        <v>14984.007599999999</v>
      </c>
      <c r="N73">
        <v>266632.80440000002</v>
      </c>
      <c r="P73">
        <v>6</v>
      </c>
      <c r="Q73">
        <v>13</v>
      </c>
      <c r="R73">
        <v>2</v>
      </c>
      <c r="S73" t="s">
        <v>37</v>
      </c>
      <c r="T73">
        <f>2025</f>
        <v>2025</v>
      </c>
    </row>
    <row r="74" spans="1:20" x14ac:dyDescent="0.35">
      <c r="A74" t="s">
        <v>33</v>
      </c>
      <c r="B74" t="s">
        <v>26</v>
      </c>
      <c r="C74" s="32">
        <v>45717</v>
      </c>
      <c r="D74" t="s">
        <v>21</v>
      </c>
      <c r="E74" t="s">
        <v>49</v>
      </c>
      <c r="F74" t="s">
        <v>48</v>
      </c>
      <c r="G74">
        <v>85173.394362601612</v>
      </c>
      <c r="H74">
        <v>7127.4796747967484</v>
      </c>
      <c r="J74">
        <v>0</v>
      </c>
      <c r="K74">
        <v>0</v>
      </c>
      <c r="M74">
        <v>61917.168799999999</v>
      </c>
      <c r="N74">
        <v>177474.26840000003</v>
      </c>
      <c r="P74">
        <v>3</v>
      </c>
      <c r="Q74">
        <v>20</v>
      </c>
      <c r="R74">
        <v>2</v>
      </c>
      <c r="S74" t="s">
        <v>37</v>
      </c>
      <c r="T74">
        <f>2025</f>
        <v>2025</v>
      </c>
    </row>
    <row r="75" spans="1:20" x14ac:dyDescent="0.35">
      <c r="A75" t="s">
        <v>23</v>
      </c>
      <c r="B75" t="s">
        <v>32</v>
      </c>
      <c r="C75" s="32">
        <v>45658</v>
      </c>
      <c r="D75" t="s">
        <v>18</v>
      </c>
      <c r="E75" t="s">
        <v>49</v>
      </c>
      <c r="F75" t="s">
        <v>49</v>
      </c>
      <c r="G75">
        <v>93063.698799999998</v>
      </c>
      <c r="H75">
        <v>35083.839999999997</v>
      </c>
      <c r="J75">
        <v>0</v>
      </c>
      <c r="K75">
        <v>0</v>
      </c>
      <c r="M75">
        <v>25680.7824</v>
      </c>
      <c r="N75">
        <v>221211.23759999999</v>
      </c>
      <c r="P75">
        <v>5</v>
      </c>
      <c r="Q75">
        <v>4</v>
      </c>
      <c r="R75">
        <v>2</v>
      </c>
      <c r="S75" t="s">
        <v>37</v>
      </c>
      <c r="T75">
        <f>2025</f>
        <v>2025</v>
      </c>
    </row>
    <row r="76" spans="1:20" x14ac:dyDescent="0.35">
      <c r="A76" t="s">
        <v>23</v>
      </c>
      <c r="B76" t="s">
        <v>26</v>
      </c>
      <c r="C76" s="32">
        <v>45689</v>
      </c>
      <c r="D76" t="s">
        <v>20</v>
      </c>
      <c r="E76" t="s">
        <v>49</v>
      </c>
      <c r="F76" t="s">
        <v>48</v>
      </c>
      <c r="G76">
        <v>1633.2060162601631</v>
      </c>
      <c r="H76">
        <v>712.74796747967468</v>
      </c>
      <c r="J76">
        <v>0</v>
      </c>
      <c r="K76">
        <v>0</v>
      </c>
      <c r="M76">
        <v>37605.603999999999</v>
      </c>
      <c r="N76">
        <v>3979.16</v>
      </c>
      <c r="P76">
        <v>6</v>
      </c>
      <c r="Q76">
        <v>7</v>
      </c>
      <c r="R76">
        <v>2</v>
      </c>
      <c r="S76" t="s">
        <v>37</v>
      </c>
      <c r="T76">
        <f>2025</f>
        <v>2025</v>
      </c>
    </row>
    <row r="77" spans="1:20" x14ac:dyDescent="0.35">
      <c r="A77" t="s">
        <v>23</v>
      </c>
      <c r="B77" t="s">
        <v>26</v>
      </c>
      <c r="C77" s="32">
        <v>45658</v>
      </c>
      <c r="D77" t="s">
        <v>17</v>
      </c>
      <c r="E77" t="s">
        <v>49</v>
      </c>
      <c r="F77" t="s">
        <v>48</v>
      </c>
      <c r="G77">
        <v>123128.24679891601</v>
      </c>
      <c r="H77">
        <v>109622.78720216802</v>
      </c>
      <c r="J77">
        <v>0</v>
      </c>
      <c r="K77">
        <v>0</v>
      </c>
      <c r="M77">
        <v>81095.7016</v>
      </c>
      <c r="N77">
        <v>355879.28080000001</v>
      </c>
      <c r="P77">
        <v>4</v>
      </c>
      <c r="Q77">
        <v>19</v>
      </c>
      <c r="R77">
        <v>2</v>
      </c>
      <c r="S77" t="s">
        <v>37</v>
      </c>
      <c r="T77">
        <f>2025</f>
        <v>2025</v>
      </c>
    </row>
    <row r="78" spans="1:20" x14ac:dyDescent="0.35">
      <c r="A78" t="s">
        <v>33</v>
      </c>
      <c r="B78" t="s">
        <v>26</v>
      </c>
      <c r="C78" s="32">
        <v>45717</v>
      </c>
      <c r="D78" t="s">
        <v>20</v>
      </c>
      <c r="E78" t="s">
        <v>49</v>
      </c>
      <c r="F78" t="s">
        <v>48</v>
      </c>
      <c r="J78">
        <v>0</v>
      </c>
      <c r="K78">
        <v>0</v>
      </c>
      <c r="M78">
        <v>13334.6788</v>
      </c>
      <c r="P78">
        <v>1</v>
      </c>
      <c r="Q78">
        <v>4</v>
      </c>
      <c r="R78">
        <v>3</v>
      </c>
      <c r="S78" t="s">
        <v>37</v>
      </c>
      <c r="T78">
        <f>2025</f>
        <v>2025</v>
      </c>
    </row>
    <row r="79" spans="1:20" x14ac:dyDescent="0.35">
      <c r="A79" t="s">
        <v>23</v>
      </c>
      <c r="B79" t="s">
        <v>32</v>
      </c>
      <c r="C79" s="32">
        <v>45717</v>
      </c>
      <c r="D79" t="s">
        <v>18</v>
      </c>
      <c r="E79" t="s">
        <v>49</v>
      </c>
      <c r="F79" t="s">
        <v>49</v>
      </c>
      <c r="G79">
        <v>32802.131569105688</v>
      </c>
      <c r="H79">
        <v>2130.1788617886182</v>
      </c>
      <c r="I79">
        <v>26905.65</v>
      </c>
      <c r="J79">
        <v>0</v>
      </c>
      <c r="K79">
        <v>0</v>
      </c>
      <c r="L79">
        <v>0</v>
      </c>
      <c r="M79">
        <v>4858.9888000000001</v>
      </c>
      <c r="N79">
        <v>67734.441999999995</v>
      </c>
      <c r="P79">
        <v>1</v>
      </c>
      <c r="Q79">
        <v>6</v>
      </c>
      <c r="R79">
        <v>4</v>
      </c>
      <c r="S79" t="s">
        <v>37</v>
      </c>
      <c r="T79">
        <f>2025</f>
        <v>2025</v>
      </c>
    </row>
    <row r="80" spans="1:20" x14ac:dyDescent="0.35">
      <c r="A80" t="s">
        <v>23</v>
      </c>
      <c r="B80" t="s">
        <v>26</v>
      </c>
      <c r="C80" s="32">
        <v>45689</v>
      </c>
      <c r="D80" t="s">
        <v>18</v>
      </c>
      <c r="E80" t="s">
        <v>49</v>
      </c>
      <c r="F80" t="s">
        <v>49</v>
      </c>
      <c r="G80">
        <v>2396245.5353691056</v>
      </c>
      <c r="H80">
        <v>634365.83046178834</v>
      </c>
      <c r="I80">
        <v>0.21</v>
      </c>
      <c r="J80">
        <v>0</v>
      </c>
      <c r="K80">
        <v>0</v>
      </c>
      <c r="L80">
        <v>0</v>
      </c>
      <c r="M80">
        <v>632061.66999999993</v>
      </c>
      <c r="N80">
        <v>5426856.9012000002</v>
      </c>
      <c r="P80">
        <v>8</v>
      </c>
      <c r="Q80">
        <v>21</v>
      </c>
      <c r="R80">
        <v>4</v>
      </c>
      <c r="S80" t="s">
        <v>37</v>
      </c>
      <c r="T80">
        <f>2025</f>
        <v>2025</v>
      </c>
    </row>
    <row r="81" spans="1:20" x14ac:dyDescent="0.35">
      <c r="A81" t="s">
        <v>23</v>
      </c>
      <c r="B81" t="s">
        <v>26</v>
      </c>
      <c r="C81" s="32">
        <v>45717</v>
      </c>
      <c r="D81" t="s">
        <v>17</v>
      </c>
      <c r="E81" t="s">
        <v>49</v>
      </c>
      <c r="F81" t="s">
        <v>48</v>
      </c>
      <c r="G81">
        <v>148989.60156151763</v>
      </c>
      <c r="H81">
        <v>387131.6964769648</v>
      </c>
      <c r="J81">
        <v>0</v>
      </c>
      <c r="K81">
        <v>0</v>
      </c>
      <c r="M81">
        <v>51853.468000000001</v>
      </c>
      <c r="N81">
        <v>685110.8996</v>
      </c>
      <c r="P81">
        <v>7</v>
      </c>
      <c r="Q81">
        <v>24</v>
      </c>
      <c r="R81">
        <v>4</v>
      </c>
      <c r="S81" t="s">
        <v>37</v>
      </c>
      <c r="T81">
        <f>2025</f>
        <v>2025</v>
      </c>
    </row>
    <row r="82" spans="1:20" x14ac:dyDescent="0.35">
      <c r="A82" t="s">
        <v>23</v>
      </c>
      <c r="B82" t="s">
        <v>26</v>
      </c>
      <c r="C82" s="32">
        <v>45689</v>
      </c>
      <c r="D82" t="s">
        <v>17</v>
      </c>
      <c r="E82" t="s">
        <v>49</v>
      </c>
      <c r="F82" t="s">
        <v>48</v>
      </c>
      <c r="G82">
        <v>105612.05638211382</v>
      </c>
      <c r="H82">
        <v>126665.13643577237</v>
      </c>
      <c r="J82">
        <v>0</v>
      </c>
      <c r="K82">
        <v>0</v>
      </c>
      <c r="M82">
        <v>27090.105599999995</v>
      </c>
      <c r="N82">
        <v>337889.24919999996</v>
      </c>
      <c r="P82">
        <v>5</v>
      </c>
      <c r="Q82">
        <v>21</v>
      </c>
      <c r="R82">
        <v>5</v>
      </c>
      <c r="S82" t="s">
        <v>37</v>
      </c>
      <c r="T82">
        <f>2025</f>
        <v>2025</v>
      </c>
    </row>
    <row r="83" spans="1:20" x14ac:dyDescent="0.35">
      <c r="A83" t="s">
        <v>23</v>
      </c>
      <c r="B83" t="s">
        <v>26</v>
      </c>
      <c r="C83" s="32">
        <v>45658</v>
      </c>
      <c r="D83" t="s">
        <v>18</v>
      </c>
      <c r="E83" t="s">
        <v>49</v>
      </c>
      <c r="F83" t="s">
        <v>49</v>
      </c>
      <c r="G83">
        <v>469071.84435447148</v>
      </c>
      <c r="H83">
        <v>1759251.3404910574</v>
      </c>
      <c r="J83">
        <v>0</v>
      </c>
      <c r="K83">
        <v>0</v>
      </c>
      <c r="M83">
        <v>257974.37400000004</v>
      </c>
      <c r="N83">
        <v>2697395.0291999998</v>
      </c>
      <c r="P83">
        <v>7</v>
      </c>
      <c r="Q83">
        <v>21</v>
      </c>
      <c r="R83">
        <v>5</v>
      </c>
      <c r="S83" t="s">
        <v>37</v>
      </c>
      <c r="T83">
        <f>2025</f>
        <v>2025</v>
      </c>
    </row>
    <row r="84" spans="1:20" x14ac:dyDescent="0.35">
      <c r="A84" t="s">
        <v>23</v>
      </c>
      <c r="B84" t="s">
        <v>26</v>
      </c>
      <c r="C84" s="32">
        <v>45658</v>
      </c>
      <c r="D84" t="s">
        <v>20</v>
      </c>
      <c r="E84" t="s">
        <v>49</v>
      </c>
      <c r="F84" t="s">
        <v>48</v>
      </c>
      <c r="J84">
        <v>0</v>
      </c>
      <c r="K84">
        <v>0</v>
      </c>
      <c r="M84">
        <v>15515.252</v>
      </c>
      <c r="P84">
        <v>7</v>
      </c>
      <c r="Q84">
        <v>17</v>
      </c>
      <c r="R84">
        <v>6</v>
      </c>
      <c r="S84" t="s">
        <v>37</v>
      </c>
      <c r="T84">
        <f>2025</f>
        <v>2025</v>
      </c>
    </row>
    <row r="85" spans="1:20" x14ac:dyDescent="0.35">
      <c r="A85" t="s">
        <v>23</v>
      </c>
      <c r="B85" t="s">
        <v>26</v>
      </c>
      <c r="C85" s="32">
        <v>45717</v>
      </c>
      <c r="D85" t="s">
        <v>18</v>
      </c>
      <c r="E85" t="s">
        <v>49</v>
      </c>
      <c r="F85" t="s">
        <v>49</v>
      </c>
      <c r="G85">
        <v>54761.373832520323</v>
      </c>
      <c r="H85">
        <v>1631.2659349593494</v>
      </c>
      <c r="J85">
        <v>0</v>
      </c>
      <c r="K85">
        <v>0</v>
      </c>
      <c r="M85">
        <v>23732.485199999999</v>
      </c>
      <c r="N85">
        <v>111154.01360000001</v>
      </c>
      <c r="P85">
        <v>6</v>
      </c>
      <c r="Q85">
        <v>24</v>
      </c>
      <c r="R85">
        <v>7</v>
      </c>
      <c r="S85" t="s">
        <v>37</v>
      </c>
      <c r="T85">
        <f>2025</f>
        <v>2025</v>
      </c>
    </row>
    <row r="86" spans="1:20" x14ac:dyDescent="0.35">
      <c r="A86" t="s">
        <v>33</v>
      </c>
      <c r="B86" t="s">
        <v>26</v>
      </c>
      <c r="C86" s="32">
        <v>45689</v>
      </c>
      <c r="D86" t="s">
        <v>19</v>
      </c>
      <c r="E86" t="s">
        <v>49</v>
      </c>
      <c r="F86" t="s">
        <v>49</v>
      </c>
      <c r="G86">
        <v>89066.892440650379</v>
      </c>
      <c r="H86">
        <v>959410.31151869916</v>
      </c>
      <c r="J86">
        <v>0</v>
      </c>
      <c r="K86">
        <v>0</v>
      </c>
      <c r="M86">
        <v>903055.89399999997</v>
      </c>
      <c r="N86">
        <v>1403411.9664000003</v>
      </c>
      <c r="P86">
        <v>278</v>
      </c>
      <c r="Q86">
        <v>38</v>
      </c>
      <c r="R86">
        <v>8</v>
      </c>
      <c r="S86" t="s">
        <v>37</v>
      </c>
      <c r="T86">
        <f>2025</f>
        <v>2025</v>
      </c>
    </row>
    <row r="87" spans="1:20" x14ac:dyDescent="0.35">
      <c r="A87" t="s">
        <v>33</v>
      </c>
      <c r="B87" t="s">
        <v>26</v>
      </c>
      <c r="C87" s="32">
        <v>45658</v>
      </c>
      <c r="D87" t="s">
        <v>19</v>
      </c>
      <c r="E87" t="s">
        <v>49</v>
      </c>
      <c r="F87" t="s">
        <v>49</v>
      </c>
      <c r="G87">
        <v>44203.596416260174</v>
      </c>
      <c r="H87">
        <v>1125250.3999674795</v>
      </c>
      <c r="J87">
        <v>0</v>
      </c>
      <c r="K87">
        <v>0</v>
      </c>
      <c r="M87">
        <v>1110236.5031999999</v>
      </c>
      <c r="N87">
        <v>1554058.6827999998</v>
      </c>
      <c r="P87">
        <v>428</v>
      </c>
      <c r="Q87">
        <v>19</v>
      </c>
      <c r="R87">
        <v>8</v>
      </c>
      <c r="S87" t="s">
        <v>37</v>
      </c>
      <c r="T87">
        <f>2025</f>
        <v>2025</v>
      </c>
    </row>
    <row r="88" spans="1:20" x14ac:dyDescent="0.35">
      <c r="A88" t="s">
        <v>23</v>
      </c>
      <c r="B88" t="s">
        <v>32</v>
      </c>
      <c r="C88" s="32">
        <v>45717</v>
      </c>
      <c r="D88" t="s">
        <v>16</v>
      </c>
      <c r="E88" t="s">
        <v>49</v>
      </c>
      <c r="F88" t="s">
        <v>48</v>
      </c>
      <c r="G88">
        <v>311437.94056151761</v>
      </c>
      <c r="H88">
        <v>488087.90847696475</v>
      </c>
      <c r="I88">
        <v>339861.6</v>
      </c>
      <c r="J88">
        <v>0</v>
      </c>
      <c r="K88">
        <v>0</v>
      </c>
      <c r="L88">
        <v>0</v>
      </c>
      <c r="M88">
        <v>405284.38367999997</v>
      </c>
      <c r="N88">
        <v>1110963.7896</v>
      </c>
      <c r="P88">
        <v>19</v>
      </c>
      <c r="Q88">
        <v>17</v>
      </c>
      <c r="R88">
        <v>9</v>
      </c>
      <c r="S88" t="s">
        <v>37</v>
      </c>
      <c r="T88">
        <f>2025</f>
        <v>2025</v>
      </c>
    </row>
    <row r="89" spans="1:20" x14ac:dyDescent="0.35">
      <c r="A89" t="s">
        <v>23</v>
      </c>
      <c r="B89" t="s">
        <v>26</v>
      </c>
      <c r="C89" s="32">
        <v>45658</v>
      </c>
      <c r="D89" t="s">
        <v>14</v>
      </c>
      <c r="E89" t="s">
        <v>49</v>
      </c>
      <c r="F89" t="s">
        <v>48</v>
      </c>
      <c r="G89">
        <v>133550.03428888888</v>
      </c>
      <c r="H89">
        <v>30475.577822222218</v>
      </c>
      <c r="I89">
        <v>77.72</v>
      </c>
      <c r="J89">
        <v>0</v>
      </c>
      <c r="K89">
        <v>0</v>
      </c>
      <c r="L89">
        <v>0</v>
      </c>
      <c r="M89">
        <v>167044.2464</v>
      </c>
      <c r="N89">
        <v>297575.64640000009</v>
      </c>
      <c r="P89">
        <v>13</v>
      </c>
      <c r="Q89">
        <v>54</v>
      </c>
      <c r="R89">
        <v>9</v>
      </c>
      <c r="S89" t="s">
        <v>37</v>
      </c>
      <c r="T89">
        <f>2025</f>
        <v>2025</v>
      </c>
    </row>
    <row r="90" spans="1:20" x14ac:dyDescent="0.35">
      <c r="A90" t="s">
        <v>23</v>
      </c>
      <c r="B90" t="s">
        <v>32</v>
      </c>
      <c r="C90" s="32">
        <v>45658</v>
      </c>
      <c r="D90" t="s">
        <v>16</v>
      </c>
      <c r="E90" t="s">
        <v>49</v>
      </c>
      <c r="F90" t="s">
        <v>48</v>
      </c>
      <c r="G90">
        <v>666387.07677886169</v>
      </c>
      <c r="H90">
        <v>138040.22764227641</v>
      </c>
      <c r="I90">
        <v>1340.69</v>
      </c>
      <c r="J90">
        <v>0</v>
      </c>
      <c r="K90">
        <v>0</v>
      </c>
      <c r="L90">
        <v>0</v>
      </c>
      <c r="M90">
        <v>686179.58768000011</v>
      </c>
      <c r="N90">
        <v>1473324.1412000002</v>
      </c>
      <c r="P90">
        <v>20</v>
      </c>
      <c r="Q90">
        <v>29</v>
      </c>
      <c r="R90">
        <v>11</v>
      </c>
      <c r="S90" t="s">
        <v>37</v>
      </c>
      <c r="T90">
        <f>2025</f>
        <v>2025</v>
      </c>
    </row>
    <row r="91" spans="1:20" x14ac:dyDescent="0.35">
      <c r="A91" t="s">
        <v>23</v>
      </c>
      <c r="B91" t="s">
        <v>26</v>
      </c>
      <c r="C91" s="32">
        <v>45689</v>
      </c>
      <c r="D91" t="s">
        <v>27</v>
      </c>
      <c r="E91" t="s">
        <v>49</v>
      </c>
      <c r="F91" t="s">
        <v>48</v>
      </c>
      <c r="G91">
        <v>276669.81172574521</v>
      </c>
      <c r="H91">
        <v>1035787.2497485094</v>
      </c>
      <c r="I91">
        <v>122848.51</v>
      </c>
      <c r="J91">
        <v>0</v>
      </c>
      <c r="K91">
        <v>0</v>
      </c>
      <c r="L91">
        <v>0</v>
      </c>
      <c r="M91">
        <v>101620.89400000001</v>
      </c>
      <c r="N91">
        <v>1604882.2131999999</v>
      </c>
      <c r="P91">
        <v>39</v>
      </c>
      <c r="Q91">
        <v>90</v>
      </c>
      <c r="R91">
        <v>12</v>
      </c>
      <c r="S91" t="s">
        <v>37</v>
      </c>
      <c r="T91">
        <f>2025</f>
        <v>2025</v>
      </c>
    </row>
    <row r="92" spans="1:20" x14ac:dyDescent="0.35">
      <c r="A92" t="s">
        <v>23</v>
      </c>
      <c r="B92" t="s">
        <v>26</v>
      </c>
      <c r="C92" s="32">
        <v>45689</v>
      </c>
      <c r="D92" t="s">
        <v>21</v>
      </c>
      <c r="E92" t="s">
        <v>49</v>
      </c>
      <c r="F92" t="s">
        <v>48</v>
      </c>
      <c r="G92">
        <v>795528.4077252032</v>
      </c>
      <c r="H92">
        <v>73836.351749593581</v>
      </c>
      <c r="J92">
        <v>0</v>
      </c>
      <c r="K92">
        <v>0</v>
      </c>
      <c r="M92">
        <v>687583.30520000018</v>
      </c>
      <c r="N92">
        <v>1664893.1671999998</v>
      </c>
      <c r="P92">
        <v>11</v>
      </c>
      <c r="Q92">
        <v>112</v>
      </c>
      <c r="R92">
        <v>13</v>
      </c>
      <c r="S92" t="s">
        <v>37</v>
      </c>
      <c r="T92">
        <f>2025</f>
        <v>2025</v>
      </c>
    </row>
    <row r="93" spans="1:20" x14ac:dyDescent="0.35">
      <c r="A93" t="s">
        <v>23</v>
      </c>
      <c r="B93" t="s">
        <v>26</v>
      </c>
      <c r="C93" s="32">
        <v>45717</v>
      </c>
      <c r="D93" t="s">
        <v>27</v>
      </c>
      <c r="E93" t="s">
        <v>49</v>
      </c>
      <c r="F93" t="s">
        <v>48</v>
      </c>
      <c r="G93">
        <v>467907.55110948521</v>
      </c>
      <c r="H93">
        <v>2307377.6177810295</v>
      </c>
      <c r="I93">
        <v>77837.45</v>
      </c>
      <c r="J93">
        <v>0</v>
      </c>
      <c r="K93">
        <v>0</v>
      </c>
      <c r="L93">
        <v>0</v>
      </c>
      <c r="M93">
        <v>151662.45359999998</v>
      </c>
      <c r="N93">
        <v>3251066.5799999987</v>
      </c>
      <c r="P93">
        <v>50</v>
      </c>
      <c r="Q93">
        <v>85</v>
      </c>
      <c r="R93">
        <v>13</v>
      </c>
      <c r="S93" t="s">
        <v>37</v>
      </c>
      <c r="T93">
        <f>2025</f>
        <v>2025</v>
      </c>
    </row>
    <row r="94" spans="1:20" x14ac:dyDescent="0.35">
      <c r="A94" t="s">
        <v>23</v>
      </c>
      <c r="B94" t="s">
        <v>26</v>
      </c>
      <c r="C94" s="32">
        <v>45717</v>
      </c>
      <c r="D94" t="s">
        <v>21</v>
      </c>
      <c r="E94" t="s">
        <v>49</v>
      </c>
      <c r="F94" t="s">
        <v>48</v>
      </c>
      <c r="G94">
        <v>738763.3438688349</v>
      </c>
      <c r="H94">
        <v>103952.68386233074</v>
      </c>
      <c r="J94">
        <v>0</v>
      </c>
      <c r="K94">
        <v>0</v>
      </c>
      <c r="M94">
        <v>472580.63079999998</v>
      </c>
      <c r="N94">
        <v>1581479.3716000002</v>
      </c>
      <c r="P94">
        <v>23</v>
      </c>
      <c r="Q94">
        <v>76</v>
      </c>
      <c r="R94">
        <v>13</v>
      </c>
      <c r="S94" t="s">
        <v>37</v>
      </c>
      <c r="T94">
        <f>2025</f>
        <v>2025</v>
      </c>
    </row>
    <row r="95" spans="1:20" x14ac:dyDescent="0.35">
      <c r="A95" t="s">
        <v>33</v>
      </c>
      <c r="B95" t="s">
        <v>26</v>
      </c>
      <c r="C95" s="32">
        <v>45717</v>
      </c>
      <c r="D95" t="s">
        <v>19</v>
      </c>
      <c r="E95" t="s">
        <v>49</v>
      </c>
      <c r="F95" t="s">
        <v>49</v>
      </c>
      <c r="G95">
        <v>97193.886280216786</v>
      </c>
      <c r="H95">
        <v>1282162.4630395668</v>
      </c>
      <c r="J95">
        <v>0</v>
      </c>
      <c r="K95">
        <v>0</v>
      </c>
      <c r="M95">
        <v>1063569.1015999992</v>
      </c>
      <c r="N95">
        <v>1799659.055600001</v>
      </c>
      <c r="P95">
        <v>346</v>
      </c>
      <c r="Q95">
        <v>45</v>
      </c>
      <c r="R95">
        <v>14</v>
      </c>
      <c r="S95" t="s">
        <v>37</v>
      </c>
      <c r="T95">
        <f>2025</f>
        <v>2025</v>
      </c>
    </row>
    <row r="96" spans="1:20" x14ac:dyDescent="0.35">
      <c r="A96" t="s">
        <v>23</v>
      </c>
      <c r="B96" t="s">
        <v>26</v>
      </c>
      <c r="C96" s="32">
        <v>45658</v>
      </c>
      <c r="D96" t="s">
        <v>21</v>
      </c>
      <c r="E96" t="s">
        <v>49</v>
      </c>
      <c r="F96" t="s">
        <v>48</v>
      </c>
      <c r="G96">
        <v>634108.12770677509</v>
      </c>
      <c r="H96">
        <v>96735.345386449946</v>
      </c>
      <c r="J96">
        <v>0</v>
      </c>
      <c r="K96">
        <v>0</v>
      </c>
      <c r="M96">
        <v>322515.36200000008</v>
      </c>
      <c r="N96">
        <v>1364951.6007999999</v>
      </c>
      <c r="P96">
        <v>26</v>
      </c>
      <c r="Q96">
        <v>79</v>
      </c>
      <c r="R96">
        <v>15</v>
      </c>
      <c r="S96" t="s">
        <v>37</v>
      </c>
      <c r="T96">
        <f>2025</f>
        <v>2025</v>
      </c>
    </row>
    <row r="97" spans="1:20" x14ac:dyDescent="0.35">
      <c r="A97" t="s">
        <v>23</v>
      </c>
      <c r="B97" t="s">
        <v>26</v>
      </c>
      <c r="C97" s="32">
        <v>45658</v>
      </c>
      <c r="D97" t="s">
        <v>27</v>
      </c>
      <c r="E97" t="s">
        <v>49</v>
      </c>
      <c r="F97" t="s">
        <v>48</v>
      </c>
      <c r="G97">
        <v>632838.26686016261</v>
      </c>
      <c r="H97">
        <v>2158548.592279675</v>
      </c>
      <c r="I97">
        <v>128019.42999999998</v>
      </c>
      <c r="J97">
        <v>0</v>
      </c>
      <c r="K97">
        <v>0</v>
      </c>
      <c r="L97">
        <v>0</v>
      </c>
      <c r="M97">
        <v>551954.57920000004</v>
      </c>
      <c r="N97">
        <v>3502679.6959999995</v>
      </c>
      <c r="P97">
        <v>48</v>
      </c>
      <c r="Q97">
        <v>84</v>
      </c>
      <c r="R97">
        <v>16</v>
      </c>
      <c r="S97" t="s">
        <v>37</v>
      </c>
      <c r="T97">
        <f>2025</f>
        <v>2025</v>
      </c>
    </row>
    <row r="98" spans="1:20" x14ac:dyDescent="0.35">
      <c r="A98" t="s">
        <v>23</v>
      </c>
      <c r="B98" t="s">
        <v>26</v>
      </c>
      <c r="C98" s="32">
        <v>45717</v>
      </c>
      <c r="D98" t="s">
        <v>20</v>
      </c>
      <c r="E98" t="s">
        <v>49</v>
      </c>
      <c r="F98" t="s">
        <v>48</v>
      </c>
      <c r="G98">
        <v>18344.336648780489</v>
      </c>
      <c r="H98">
        <v>2138.2439024390242</v>
      </c>
      <c r="I98">
        <v>104542.5</v>
      </c>
      <c r="J98">
        <v>0</v>
      </c>
      <c r="K98">
        <v>0</v>
      </c>
      <c r="L98">
        <v>0</v>
      </c>
      <c r="M98">
        <v>345448.78519999998</v>
      </c>
      <c r="N98">
        <v>38826.917199999996</v>
      </c>
      <c r="P98">
        <v>6</v>
      </c>
      <c r="Q98">
        <v>22</v>
      </c>
      <c r="R98">
        <v>16</v>
      </c>
      <c r="S98" t="s">
        <v>37</v>
      </c>
      <c r="T98">
        <f>2025</f>
        <v>2025</v>
      </c>
    </row>
    <row r="99" spans="1:20" x14ac:dyDescent="0.35">
      <c r="A99" t="s">
        <v>23</v>
      </c>
      <c r="B99" t="s">
        <v>26</v>
      </c>
      <c r="C99" s="32">
        <v>45689</v>
      </c>
      <c r="D99" t="s">
        <v>14</v>
      </c>
      <c r="E99" t="s">
        <v>49</v>
      </c>
      <c r="F99" t="s">
        <v>48</v>
      </c>
      <c r="G99">
        <v>92901.351800000004</v>
      </c>
      <c r="H99">
        <v>0</v>
      </c>
      <c r="J99">
        <v>0</v>
      </c>
      <c r="K99">
        <v>0</v>
      </c>
      <c r="M99">
        <v>143691.42440000002</v>
      </c>
      <c r="N99">
        <v>185802.70360000001</v>
      </c>
      <c r="P99">
        <v>26</v>
      </c>
      <c r="Q99">
        <v>72</v>
      </c>
      <c r="R99">
        <v>17</v>
      </c>
      <c r="S99" t="s">
        <v>37</v>
      </c>
      <c r="T99">
        <f>2025</f>
        <v>2025</v>
      </c>
    </row>
    <row r="100" spans="1:20" x14ac:dyDescent="0.35">
      <c r="A100" t="s">
        <v>23</v>
      </c>
      <c r="B100" t="s">
        <v>26</v>
      </c>
      <c r="C100" s="32">
        <v>45717</v>
      </c>
      <c r="D100" t="s">
        <v>14</v>
      </c>
      <c r="E100" t="s">
        <v>49</v>
      </c>
      <c r="F100" t="s">
        <v>48</v>
      </c>
      <c r="G100">
        <v>346673.55307696474</v>
      </c>
      <c r="H100">
        <v>168136.60704607045</v>
      </c>
      <c r="J100">
        <v>0</v>
      </c>
      <c r="K100">
        <v>0</v>
      </c>
      <c r="M100">
        <v>434481.92640000005</v>
      </c>
      <c r="N100">
        <v>861483.71319999988</v>
      </c>
      <c r="P100">
        <v>12</v>
      </c>
      <c r="Q100">
        <v>56</v>
      </c>
      <c r="R100">
        <v>18</v>
      </c>
      <c r="S100" t="s">
        <v>37</v>
      </c>
      <c r="T100">
        <f>2025</f>
        <v>2025</v>
      </c>
    </row>
    <row r="101" spans="1:20" x14ac:dyDescent="0.35">
      <c r="A101" t="s">
        <v>23</v>
      </c>
      <c r="B101" t="s">
        <v>32</v>
      </c>
      <c r="C101" s="32">
        <v>45689</v>
      </c>
      <c r="D101" t="s">
        <v>16</v>
      </c>
      <c r="E101" t="s">
        <v>49</v>
      </c>
      <c r="F101" t="s">
        <v>48</v>
      </c>
      <c r="G101">
        <v>499792.02812195121</v>
      </c>
      <c r="H101">
        <v>584294.64095609763</v>
      </c>
      <c r="I101">
        <v>2101.09</v>
      </c>
      <c r="J101">
        <v>0</v>
      </c>
      <c r="K101">
        <v>0</v>
      </c>
      <c r="L101">
        <v>0</v>
      </c>
      <c r="M101">
        <v>1554896.2877599997</v>
      </c>
      <c r="N101">
        <v>1583878.6972000001</v>
      </c>
      <c r="P101">
        <v>9</v>
      </c>
      <c r="Q101">
        <v>40</v>
      </c>
      <c r="R101">
        <v>22</v>
      </c>
      <c r="S101" t="s">
        <v>37</v>
      </c>
      <c r="T101">
        <f>2025</f>
        <v>2025</v>
      </c>
    </row>
    <row r="102" spans="1:20" x14ac:dyDescent="0.35">
      <c r="A102" t="s">
        <v>23</v>
      </c>
      <c r="B102" t="s">
        <v>26</v>
      </c>
      <c r="C102" s="32">
        <v>45717</v>
      </c>
      <c r="D102" t="s">
        <v>16</v>
      </c>
      <c r="E102" t="s">
        <v>49</v>
      </c>
      <c r="F102" t="s">
        <v>48</v>
      </c>
      <c r="G102">
        <v>1061075.1819691055</v>
      </c>
      <c r="H102">
        <v>1111731.7744617888</v>
      </c>
      <c r="I102">
        <v>29087.949999999997</v>
      </c>
      <c r="J102">
        <v>0</v>
      </c>
      <c r="K102">
        <v>0</v>
      </c>
      <c r="L102">
        <v>0</v>
      </c>
      <c r="M102">
        <v>560299.50160000008</v>
      </c>
      <c r="N102">
        <v>3233882.1384000001</v>
      </c>
      <c r="P102">
        <v>51</v>
      </c>
      <c r="Q102">
        <v>174</v>
      </c>
      <c r="R102">
        <v>43</v>
      </c>
      <c r="S102" t="s">
        <v>37</v>
      </c>
      <c r="T102">
        <f>2025</f>
        <v>2025</v>
      </c>
    </row>
    <row r="103" spans="1:20" x14ac:dyDescent="0.35">
      <c r="A103" t="s">
        <v>23</v>
      </c>
      <c r="B103" t="s">
        <v>32</v>
      </c>
      <c r="C103" s="32">
        <v>45658</v>
      </c>
      <c r="D103" t="s">
        <v>19</v>
      </c>
      <c r="E103" t="s">
        <v>49</v>
      </c>
      <c r="F103" t="s">
        <v>49</v>
      </c>
      <c r="G103">
        <v>808944.67877089779</v>
      </c>
      <c r="H103">
        <v>452563.28365820437</v>
      </c>
      <c r="I103">
        <v>13208.320000000002</v>
      </c>
      <c r="J103">
        <v>0</v>
      </c>
      <c r="K103">
        <v>0</v>
      </c>
      <c r="L103">
        <v>0</v>
      </c>
      <c r="M103">
        <v>3189537.4124800004</v>
      </c>
      <c r="N103">
        <v>2897004.8212000001</v>
      </c>
      <c r="P103">
        <v>68</v>
      </c>
      <c r="Q103">
        <v>199</v>
      </c>
      <c r="R103">
        <v>44</v>
      </c>
      <c r="S103" t="s">
        <v>37</v>
      </c>
      <c r="T103">
        <f>2025</f>
        <v>2025</v>
      </c>
    </row>
    <row r="104" spans="1:20" x14ac:dyDescent="0.35">
      <c r="A104" t="s">
        <v>23</v>
      </c>
      <c r="B104" t="s">
        <v>26</v>
      </c>
      <c r="C104" s="32">
        <v>45658</v>
      </c>
      <c r="D104" t="s">
        <v>16</v>
      </c>
      <c r="E104" t="s">
        <v>49</v>
      </c>
      <c r="F104" t="s">
        <v>48</v>
      </c>
      <c r="G104">
        <v>1364516.2971533875</v>
      </c>
      <c r="H104">
        <v>2951018.7728932258</v>
      </c>
      <c r="I104">
        <v>22164.05</v>
      </c>
      <c r="J104">
        <v>0</v>
      </c>
      <c r="K104">
        <v>0</v>
      </c>
      <c r="L104">
        <v>0</v>
      </c>
      <c r="M104">
        <v>525087.12920000008</v>
      </c>
      <c r="N104">
        <v>5700922.2672000024</v>
      </c>
      <c r="P104">
        <v>50</v>
      </c>
      <c r="Q104">
        <v>163</v>
      </c>
      <c r="R104">
        <v>47</v>
      </c>
      <c r="S104" t="s">
        <v>37</v>
      </c>
      <c r="T104">
        <f>2025</f>
        <v>2025</v>
      </c>
    </row>
    <row r="105" spans="1:20" x14ac:dyDescent="0.35">
      <c r="A105" t="s">
        <v>23</v>
      </c>
      <c r="B105" t="s">
        <v>26</v>
      </c>
      <c r="C105" s="32">
        <v>45689</v>
      </c>
      <c r="D105" t="s">
        <v>16</v>
      </c>
      <c r="E105" t="s">
        <v>49</v>
      </c>
      <c r="F105" t="s">
        <v>48</v>
      </c>
      <c r="G105">
        <v>664959.23455639591</v>
      </c>
      <c r="H105">
        <v>1467322.602887209</v>
      </c>
      <c r="I105">
        <v>11314.43</v>
      </c>
      <c r="J105">
        <v>0</v>
      </c>
      <c r="K105">
        <v>0</v>
      </c>
      <c r="L105">
        <v>0</v>
      </c>
      <c r="M105">
        <v>260137.77239999999</v>
      </c>
      <c r="N105">
        <v>2797241.0719999997</v>
      </c>
      <c r="P105">
        <v>49</v>
      </c>
      <c r="Q105">
        <v>189</v>
      </c>
      <c r="R105">
        <v>53</v>
      </c>
      <c r="S105" t="s">
        <v>37</v>
      </c>
      <c r="T105">
        <f>2025</f>
        <v>2025</v>
      </c>
    </row>
    <row r="106" spans="1:20" x14ac:dyDescent="0.35">
      <c r="A106" t="s">
        <v>23</v>
      </c>
      <c r="B106" t="s">
        <v>32</v>
      </c>
      <c r="C106" s="32">
        <v>45689</v>
      </c>
      <c r="D106" t="s">
        <v>19</v>
      </c>
      <c r="E106" t="s">
        <v>49</v>
      </c>
      <c r="F106" t="s">
        <v>49</v>
      </c>
      <c r="G106">
        <v>825417.10532023874</v>
      </c>
      <c r="H106">
        <v>311720.30735952267</v>
      </c>
      <c r="I106">
        <v>9127.8900000000012</v>
      </c>
      <c r="J106">
        <v>0</v>
      </c>
      <c r="K106">
        <v>0</v>
      </c>
      <c r="L106">
        <v>0</v>
      </c>
      <c r="M106">
        <v>2048580.5131999999</v>
      </c>
      <c r="N106">
        <v>2534540.5279999995</v>
      </c>
      <c r="P106">
        <v>84</v>
      </c>
      <c r="Q106">
        <v>259</v>
      </c>
      <c r="R106">
        <v>55</v>
      </c>
      <c r="S106" t="s">
        <v>37</v>
      </c>
      <c r="T106">
        <f>2025</f>
        <v>2025</v>
      </c>
    </row>
    <row r="107" spans="1:20" x14ac:dyDescent="0.35">
      <c r="A107" t="s">
        <v>23</v>
      </c>
      <c r="B107" t="s">
        <v>32</v>
      </c>
      <c r="C107" s="32">
        <v>45717</v>
      </c>
      <c r="D107" t="s">
        <v>19</v>
      </c>
      <c r="E107" t="s">
        <v>49</v>
      </c>
      <c r="F107" t="s">
        <v>49</v>
      </c>
      <c r="G107">
        <v>1272764.4781162268</v>
      </c>
      <c r="H107">
        <v>914610.97216754605</v>
      </c>
      <c r="I107">
        <v>1212.42</v>
      </c>
      <c r="J107">
        <v>0</v>
      </c>
      <c r="K107">
        <v>0</v>
      </c>
      <c r="L107">
        <v>0</v>
      </c>
      <c r="M107">
        <v>5003662.4628800014</v>
      </c>
      <c r="N107">
        <v>4652604.0083999997</v>
      </c>
      <c r="P107">
        <v>85</v>
      </c>
      <c r="Q107">
        <v>264</v>
      </c>
      <c r="R107">
        <v>65</v>
      </c>
      <c r="S107" t="s">
        <v>37</v>
      </c>
      <c r="T107">
        <f>2025</f>
        <v>2025</v>
      </c>
    </row>
    <row r="108" spans="1:20" x14ac:dyDescent="0.35">
      <c r="A108" t="s">
        <v>23</v>
      </c>
      <c r="B108" t="s">
        <v>26</v>
      </c>
      <c r="C108" s="32">
        <v>45658</v>
      </c>
      <c r="D108" t="s">
        <v>19</v>
      </c>
      <c r="E108" t="s">
        <v>49</v>
      </c>
      <c r="F108" t="s">
        <v>49</v>
      </c>
      <c r="G108">
        <v>3597566.5558289587</v>
      </c>
      <c r="H108">
        <v>3420063.0087420829</v>
      </c>
      <c r="I108">
        <v>709.67</v>
      </c>
      <c r="J108">
        <v>0</v>
      </c>
      <c r="K108">
        <v>0</v>
      </c>
      <c r="L108">
        <v>0</v>
      </c>
      <c r="M108">
        <v>3018624.0039999993</v>
      </c>
      <c r="N108">
        <v>11136398.220400004</v>
      </c>
      <c r="P108">
        <v>251</v>
      </c>
      <c r="Q108">
        <v>612</v>
      </c>
      <c r="R108">
        <v>142</v>
      </c>
      <c r="S108" t="s">
        <v>37</v>
      </c>
      <c r="T108">
        <f>2025</f>
        <v>2025</v>
      </c>
    </row>
    <row r="109" spans="1:20" x14ac:dyDescent="0.35">
      <c r="A109" t="s">
        <v>23</v>
      </c>
      <c r="B109" t="s">
        <v>26</v>
      </c>
      <c r="C109" s="32">
        <v>45689</v>
      </c>
      <c r="D109" t="s">
        <v>19</v>
      </c>
      <c r="E109" t="s">
        <v>49</v>
      </c>
      <c r="F109" t="s">
        <v>49</v>
      </c>
      <c r="G109">
        <v>8873497.9813813306</v>
      </c>
      <c r="H109">
        <v>4892933.0076373424</v>
      </c>
      <c r="I109">
        <v>99937.43999999993</v>
      </c>
      <c r="J109">
        <v>0</v>
      </c>
      <c r="K109">
        <v>0</v>
      </c>
      <c r="L109">
        <v>0</v>
      </c>
      <c r="M109">
        <v>4409906.4312000014</v>
      </c>
      <c r="N109">
        <v>23246011.8904</v>
      </c>
      <c r="P109">
        <v>211</v>
      </c>
      <c r="Q109">
        <v>638</v>
      </c>
      <c r="R109">
        <v>166</v>
      </c>
      <c r="S109" t="s">
        <v>37</v>
      </c>
      <c r="T109">
        <f>2025</f>
        <v>2025</v>
      </c>
    </row>
    <row r="110" spans="1:20" x14ac:dyDescent="0.35">
      <c r="A110" t="s">
        <v>23</v>
      </c>
      <c r="B110" t="s">
        <v>26</v>
      </c>
      <c r="C110" s="32">
        <v>45717</v>
      </c>
      <c r="D110" t="s">
        <v>19</v>
      </c>
      <c r="E110" t="s">
        <v>49</v>
      </c>
      <c r="F110" t="s">
        <v>49</v>
      </c>
      <c r="G110">
        <v>3456387.0189085151</v>
      </c>
      <c r="H110">
        <v>4215510.9393829685</v>
      </c>
      <c r="I110">
        <v>20106.34</v>
      </c>
      <c r="J110">
        <v>0</v>
      </c>
      <c r="K110">
        <v>0</v>
      </c>
      <c r="L110">
        <v>0</v>
      </c>
      <c r="M110">
        <v>2867273.0431999988</v>
      </c>
      <c r="N110">
        <v>11645566.897200005</v>
      </c>
      <c r="P110">
        <v>220</v>
      </c>
      <c r="Q110">
        <v>701</v>
      </c>
      <c r="R110">
        <v>186</v>
      </c>
      <c r="S110" t="s">
        <v>37</v>
      </c>
      <c r="T110">
        <f>2025</f>
        <v>2025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45E0-3295-46D3-9726-E4BE4171669C}">
  <dimension ref="A1:T312"/>
  <sheetViews>
    <sheetView topLeftCell="A162" zoomScale="75" zoomScaleNormal="75" workbookViewId="0">
      <selection activeCell="F6" sqref="F6"/>
    </sheetView>
  </sheetViews>
  <sheetFormatPr defaultRowHeight="14.5" x14ac:dyDescent="0.35"/>
  <cols>
    <col min="1" max="1" width="21.54296875" customWidth="1"/>
    <col min="2" max="2" width="23.08984375" customWidth="1"/>
    <col min="3" max="3" width="10.90625" style="32" bestFit="1" customWidth="1"/>
    <col min="4" max="4" width="21.1796875" bestFit="1" customWidth="1"/>
    <col min="5" max="5" width="22.81640625" customWidth="1"/>
    <col min="6" max="6" width="15.453125" customWidth="1"/>
    <col min="7" max="7" width="37" customWidth="1"/>
    <col min="8" max="8" width="38.36328125" customWidth="1"/>
    <col min="9" max="9" width="60.7265625" customWidth="1"/>
    <col min="10" max="10" width="32.90625" customWidth="1"/>
    <col min="11" max="11" width="34.36328125" customWidth="1"/>
    <col min="12" max="12" width="57.1796875" customWidth="1"/>
    <col min="13" max="13" width="29.90625" customWidth="1"/>
    <col min="14" max="14" width="25.81640625" customWidth="1"/>
    <col min="15" max="15" width="62.7265625" customWidth="1"/>
    <col min="16" max="16" width="35.6328125" customWidth="1"/>
    <col min="17" max="17" width="49.54296875" customWidth="1"/>
    <col min="18" max="18" width="54.54296875" customWidth="1"/>
  </cols>
  <sheetData>
    <row r="1" spans="1:20" ht="29" x14ac:dyDescent="0.35">
      <c r="A1" s="38" t="s">
        <v>34</v>
      </c>
      <c r="B1" s="31" t="s">
        <v>0</v>
      </c>
      <c r="C1" s="34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6" t="s">
        <v>35</v>
      </c>
      <c r="P1" s="37" t="s">
        <v>13</v>
      </c>
      <c r="Q1" s="31" t="s">
        <v>24</v>
      </c>
      <c r="R1" s="39" t="s">
        <v>25</v>
      </c>
      <c r="S1" s="31" t="s">
        <v>36</v>
      </c>
      <c r="T1" s="31" t="s">
        <v>38</v>
      </c>
    </row>
    <row r="2" spans="1:20" hidden="1" x14ac:dyDescent="0.35">
      <c r="A2" s="2" t="s">
        <v>23</v>
      </c>
      <c r="B2" s="2" t="s">
        <v>26</v>
      </c>
      <c r="C2" s="32">
        <v>45658</v>
      </c>
      <c r="D2" s="2" t="s">
        <v>27</v>
      </c>
      <c r="E2">
        <v>6</v>
      </c>
      <c r="F2" t="s">
        <v>48</v>
      </c>
      <c r="G2" s="1">
        <v>0</v>
      </c>
      <c r="H2" s="1">
        <v>4742.7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3">
        <v>217.67910029939958</v>
      </c>
      <c r="P2">
        <v>1</v>
      </c>
      <c r="Q2">
        <v>0</v>
      </c>
      <c r="R2">
        <v>0</v>
      </c>
      <c r="S2" t="s">
        <v>39</v>
      </c>
      <c r="T2">
        <f>2025</f>
        <v>2025</v>
      </c>
    </row>
    <row r="3" spans="1:20" hidden="1" x14ac:dyDescent="0.35">
      <c r="A3" s="2" t="s">
        <v>23</v>
      </c>
      <c r="B3" s="2" t="s">
        <v>26</v>
      </c>
      <c r="C3" s="32">
        <v>45658</v>
      </c>
      <c r="D3" s="2" t="s">
        <v>27</v>
      </c>
      <c r="E3">
        <v>9</v>
      </c>
      <c r="F3" t="s">
        <v>48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3" t="s">
        <v>28</v>
      </c>
      <c r="P3">
        <v>0</v>
      </c>
      <c r="Q3">
        <v>2</v>
      </c>
      <c r="R3">
        <v>0</v>
      </c>
      <c r="S3" t="s">
        <v>39</v>
      </c>
      <c r="T3">
        <f>2025</f>
        <v>2025</v>
      </c>
    </row>
    <row r="4" spans="1:20" hidden="1" x14ac:dyDescent="0.35">
      <c r="A4" s="2" t="s">
        <v>23</v>
      </c>
      <c r="B4" s="2" t="s">
        <v>26</v>
      </c>
      <c r="C4" s="32">
        <v>45658</v>
      </c>
      <c r="D4" s="2" t="s">
        <v>27</v>
      </c>
      <c r="E4">
        <v>13</v>
      </c>
      <c r="F4" t="s">
        <v>48</v>
      </c>
      <c r="G4" s="1">
        <v>0</v>
      </c>
      <c r="H4" s="1">
        <v>77692.039999999994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3">
        <v>213.49861663284901</v>
      </c>
      <c r="P4">
        <v>2</v>
      </c>
      <c r="Q4">
        <v>2</v>
      </c>
      <c r="R4">
        <v>0</v>
      </c>
      <c r="S4" t="s">
        <v>39</v>
      </c>
      <c r="T4">
        <f>2025</f>
        <v>2025</v>
      </c>
    </row>
    <row r="5" spans="1:20" hidden="1" x14ac:dyDescent="0.35">
      <c r="A5" s="2" t="s">
        <v>23</v>
      </c>
      <c r="B5" s="2" t="s">
        <v>26</v>
      </c>
      <c r="C5" s="32">
        <v>45658</v>
      </c>
      <c r="D5" s="2" t="s">
        <v>27</v>
      </c>
      <c r="E5">
        <v>16</v>
      </c>
      <c r="F5" t="s">
        <v>48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3" t="s">
        <v>28</v>
      </c>
      <c r="P5">
        <v>0</v>
      </c>
      <c r="Q5">
        <v>1</v>
      </c>
      <c r="R5">
        <v>0</v>
      </c>
      <c r="S5" t="s">
        <v>39</v>
      </c>
      <c r="T5">
        <f>2025</f>
        <v>2025</v>
      </c>
    </row>
    <row r="6" spans="1:20" hidden="1" x14ac:dyDescent="0.35">
      <c r="A6" s="2" t="s">
        <v>23</v>
      </c>
      <c r="B6" s="2" t="s">
        <v>26</v>
      </c>
      <c r="C6" s="32">
        <v>45658</v>
      </c>
      <c r="D6" s="2" t="s">
        <v>29</v>
      </c>
      <c r="E6">
        <v>6</v>
      </c>
      <c r="F6" t="s">
        <v>48</v>
      </c>
      <c r="G6" s="1">
        <v>0</v>
      </c>
      <c r="H6" s="1">
        <v>164760.29999999999</v>
      </c>
      <c r="I6" s="1">
        <v>31706.560000000001</v>
      </c>
      <c r="J6" s="1">
        <v>0</v>
      </c>
      <c r="K6" s="1">
        <v>0</v>
      </c>
      <c r="L6" s="1">
        <v>0</v>
      </c>
      <c r="M6" s="1">
        <v>11145.220000000001</v>
      </c>
      <c r="N6" s="1">
        <v>0</v>
      </c>
      <c r="O6" s="3">
        <v>54.565177486223547</v>
      </c>
      <c r="P6">
        <v>4</v>
      </c>
      <c r="Q6">
        <v>30</v>
      </c>
      <c r="R6">
        <v>0</v>
      </c>
      <c r="S6" t="s">
        <v>39</v>
      </c>
      <c r="T6">
        <f>2025</f>
        <v>2025</v>
      </c>
    </row>
    <row r="7" spans="1:20" hidden="1" x14ac:dyDescent="0.35">
      <c r="A7" s="2" t="s">
        <v>23</v>
      </c>
      <c r="B7" s="2" t="s">
        <v>26</v>
      </c>
      <c r="C7" s="32">
        <v>45658</v>
      </c>
      <c r="D7" s="2" t="s">
        <v>29</v>
      </c>
      <c r="E7">
        <v>8</v>
      </c>
      <c r="F7" t="s">
        <v>48</v>
      </c>
      <c r="G7" s="1">
        <v>11715.029999999999</v>
      </c>
      <c r="H7" s="1">
        <v>369003.74</v>
      </c>
      <c r="I7" s="1">
        <v>15143.32</v>
      </c>
      <c r="J7" s="1">
        <v>0</v>
      </c>
      <c r="K7" s="1">
        <v>0</v>
      </c>
      <c r="L7" s="1">
        <v>0</v>
      </c>
      <c r="M7" s="1">
        <v>30179.010000000002</v>
      </c>
      <c r="N7" s="1">
        <v>2128.4699999999998</v>
      </c>
      <c r="O7" s="3">
        <v>145.88971874732266</v>
      </c>
      <c r="P7">
        <v>17</v>
      </c>
      <c r="Q7">
        <v>31</v>
      </c>
      <c r="R7">
        <v>1</v>
      </c>
      <c r="S7" t="s">
        <v>39</v>
      </c>
      <c r="T7">
        <f>2025</f>
        <v>2025</v>
      </c>
    </row>
    <row r="8" spans="1:20" hidden="1" x14ac:dyDescent="0.35">
      <c r="A8" s="2" t="s">
        <v>23</v>
      </c>
      <c r="B8" s="2" t="s">
        <v>26</v>
      </c>
      <c r="C8" s="32">
        <v>45658</v>
      </c>
      <c r="D8" s="2" t="s">
        <v>29</v>
      </c>
      <c r="E8">
        <v>9</v>
      </c>
      <c r="F8" t="s">
        <v>48</v>
      </c>
      <c r="G8" s="1">
        <v>0</v>
      </c>
      <c r="H8" s="1">
        <v>176387.15999999997</v>
      </c>
      <c r="I8" s="1">
        <v>15091.019999999999</v>
      </c>
      <c r="J8" s="1">
        <v>0</v>
      </c>
      <c r="K8" s="1">
        <v>0</v>
      </c>
      <c r="L8" s="1">
        <v>0</v>
      </c>
      <c r="M8" s="1">
        <v>11608.94</v>
      </c>
      <c r="N8" s="1">
        <v>0</v>
      </c>
      <c r="O8" s="3">
        <v>79.625056287997722</v>
      </c>
      <c r="P8">
        <v>2</v>
      </c>
      <c r="Q8">
        <v>19</v>
      </c>
      <c r="R8">
        <v>0</v>
      </c>
      <c r="S8" t="s">
        <v>39</v>
      </c>
      <c r="T8">
        <f>2025</f>
        <v>2025</v>
      </c>
    </row>
    <row r="9" spans="1:20" hidden="1" x14ac:dyDescent="0.35">
      <c r="A9" s="2" t="s">
        <v>23</v>
      </c>
      <c r="B9" s="2" t="s">
        <v>26</v>
      </c>
      <c r="C9" s="32">
        <v>45658</v>
      </c>
      <c r="D9" s="2" t="s">
        <v>29</v>
      </c>
      <c r="E9">
        <v>10</v>
      </c>
      <c r="F9" t="s">
        <v>48</v>
      </c>
      <c r="G9" s="1">
        <v>12051.9</v>
      </c>
      <c r="H9" s="1">
        <v>27211.39</v>
      </c>
      <c r="I9" s="1">
        <v>21954.27</v>
      </c>
      <c r="J9" s="1">
        <v>0</v>
      </c>
      <c r="K9" s="1">
        <v>0</v>
      </c>
      <c r="L9" s="1">
        <v>0</v>
      </c>
      <c r="M9" s="1">
        <v>21230.080000000002</v>
      </c>
      <c r="N9" s="1">
        <v>0</v>
      </c>
      <c r="O9" s="3">
        <v>151.98325406116828</v>
      </c>
      <c r="P9">
        <v>14</v>
      </c>
      <c r="Q9">
        <v>34</v>
      </c>
      <c r="R9">
        <v>1</v>
      </c>
      <c r="S9" t="s">
        <v>39</v>
      </c>
      <c r="T9">
        <f>2025</f>
        <v>2025</v>
      </c>
    </row>
    <row r="10" spans="1:20" hidden="1" x14ac:dyDescent="0.35">
      <c r="A10" s="2" t="s">
        <v>23</v>
      </c>
      <c r="B10" s="2" t="s">
        <v>26</v>
      </c>
      <c r="C10" s="32">
        <v>45658</v>
      </c>
      <c r="D10" s="2" t="s">
        <v>29</v>
      </c>
      <c r="E10">
        <v>13</v>
      </c>
      <c r="F10" t="s">
        <v>48</v>
      </c>
      <c r="G10" s="1">
        <v>0</v>
      </c>
      <c r="H10" s="1">
        <v>232453.86999999997</v>
      </c>
      <c r="I10" s="1">
        <v>0</v>
      </c>
      <c r="J10" s="1">
        <v>0</v>
      </c>
      <c r="K10" s="1">
        <v>0</v>
      </c>
      <c r="L10" s="1">
        <v>0</v>
      </c>
      <c r="M10" s="1">
        <v>26598.16</v>
      </c>
      <c r="N10" s="1">
        <v>0</v>
      </c>
      <c r="O10" s="3">
        <v>101.01832689447474</v>
      </c>
      <c r="P10">
        <v>4</v>
      </c>
      <c r="Q10">
        <v>12</v>
      </c>
      <c r="R10">
        <v>0</v>
      </c>
      <c r="S10" t="s">
        <v>39</v>
      </c>
      <c r="T10">
        <f>2025</f>
        <v>2025</v>
      </c>
    </row>
    <row r="11" spans="1:20" hidden="1" x14ac:dyDescent="0.35">
      <c r="A11" s="2" t="s">
        <v>23</v>
      </c>
      <c r="B11" s="2" t="s">
        <v>26</v>
      </c>
      <c r="C11" s="32">
        <v>45658</v>
      </c>
      <c r="D11" s="2" t="s">
        <v>29</v>
      </c>
      <c r="E11">
        <v>14</v>
      </c>
      <c r="F11" t="s">
        <v>48</v>
      </c>
      <c r="G11" s="1">
        <v>0</v>
      </c>
      <c r="H11" s="1">
        <v>837364.93</v>
      </c>
      <c r="I11" s="1">
        <v>1498.26</v>
      </c>
      <c r="J11" s="1">
        <v>0</v>
      </c>
      <c r="K11" s="1">
        <v>0</v>
      </c>
      <c r="L11" s="1">
        <v>0</v>
      </c>
      <c r="M11" s="1">
        <v>42533.15</v>
      </c>
      <c r="N11" s="1">
        <v>0</v>
      </c>
      <c r="O11" s="3">
        <v>104.20254134763188</v>
      </c>
      <c r="P11">
        <v>3</v>
      </c>
      <c r="Q11">
        <v>7</v>
      </c>
      <c r="R11">
        <v>0</v>
      </c>
      <c r="S11" t="s">
        <v>39</v>
      </c>
      <c r="T11">
        <f>2025</f>
        <v>2025</v>
      </c>
    </row>
    <row r="12" spans="1:20" hidden="1" x14ac:dyDescent="0.35">
      <c r="A12" s="2" t="s">
        <v>23</v>
      </c>
      <c r="B12" s="2" t="s">
        <v>26</v>
      </c>
      <c r="C12" s="32">
        <v>45658</v>
      </c>
      <c r="D12" s="2" t="s">
        <v>29</v>
      </c>
      <c r="E12">
        <v>15</v>
      </c>
      <c r="F12" t="s">
        <v>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3" t="s">
        <v>28</v>
      </c>
      <c r="P12">
        <v>0</v>
      </c>
      <c r="Q12">
        <v>6</v>
      </c>
      <c r="R12">
        <v>0</v>
      </c>
      <c r="S12" t="s">
        <v>39</v>
      </c>
      <c r="T12">
        <f>2025</f>
        <v>2025</v>
      </c>
    </row>
    <row r="13" spans="1:20" hidden="1" x14ac:dyDescent="0.35">
      <c r="A13" s="2" t="s">
        <v>23</v>
      </c>
      <c r="B13" s="2" t="s">
        <v>26</v>
      </c>
      <c r="C13" s="32">
        <v>45658</v>
      </c>
      <c r="D13" s="2" t="s">
        <v>29</v>
      </c>
      <c r="E13">
        <v>16</v>
      </c>
      <c r="F13" t="s">
        <v>48</v>
      </c>
      <c r="G13" s="1">
        <v>0</v>
      </c>
      <c r="H13" s="1">
        <v>24934.69</v>
      </c>
      <c r="I13" s="1">
        <v>2259.15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3">
        <v>164.16595444919949</v>
      </c>
      <c r="P13">
        <v>2</v>
      </c>
      <c r="Q13">
        <v>5</v>
      </c>
      <c r="R13">
        <v>0</v>
      </c>
      <c r="S13" t="s">
        <v>39</v>
      </c>
      <c r="T13">
        <f>2025</f>
        <v>2025</v>
      </c>
    </row>
    <row r="14" spans="1:20" x14ac:dyDescent="0.35">
      <c r="A14" s="2" t="s">
        <v>23</v>
      </c>
      <c r="B14" s="2" t="s">
        <v>26</v>
      </c>
      <c r="C14" s="32">
        <v>45658</v>
      </c>
      <c r="D14" s="2" t="s">
        <v>19</v>
      </c>
      <c r="E14">
        <v>6</v>
      </c>
      <c r="F14" t="s">
        <v>30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3" t="s">
        <v>28</v>
      </c>
      <c r="P14">
        <v>0</v>
      </c>
      <c r="Q14">
        <v>20</v>
      </c>
      <c r="R14">
        <v>3</v>
      </c>
      <c r="S14" t="s">
        <v>39</v>
      </c>
      <c r="T14">
        <f>2025</f>
        <v>2025</v>
      </c>
    </row>
    <row r="15" spans="1:20" x14ac:dyDescent="0.35">
      <c r="A15" s="2" t="s">
        <v>23</v>
      </c>
      <c r="B15" s="2" t="s">
        <v>26</v>
      </c>
      <c r="C15" s="32">
        <v>45658</v>
      </c>
      <c r="D15" s="2" t="s">
        <v>19</v>
      </c>
      <c r="E15">
        <v>6</v>
      </c>
      <c r="F15" t="s">
        <v>31</v>
      </c>
      <c r="G15" s="1">
        <v>600.98</v>
      </c>
      <c r="H15" s="1">
        <v>32135.399999999998</v>
      </c>
      <c r="I15" s="1">
        <v>1709.26</v>
      </c>
      <c r="J15" s="1">
        <v>0</v>
      </c>
      <c r="K15" s="1">
        <v>0</v>
      </c>
      <c r="L15" s="1">
        <v>0</v>
      </c>
      <c r="M15" s="1">
        <v>2389.4</v>
      </c>
      <c r="N15" s="1">
        <v>0</v>
      </c>
      <c r="O15" s="3">
        <v>69.052253794380519</v>
      </c>
      <c r="P15">
        <v>15</v>
      </c>
      <c r="Q15">
        <v>1</v>
      </c>
      <c r="R15">
        <v>0</v>
      </c>
      <c r="S15" t="s">
        <v>39</v>
      </c>
      <c r="T15">
        <f>2025</f>
        <v>2025</v>
      </c>
    </row>
    <row r="16" spans="1:20" x14ac:dyDescent="0.35">
      <c r="A16" s="2" t="s">
        <v>23</v>
      </c>
      <c r="B16" s="2" t="s">
        <v>26</v>
      </c>
      <c r="C16" s="32">
        <v>45658</v>
      </c>
      <c r="D16" s="2" t="s">
        <v>19</v>
      </c>
      <c r="E16">
        <v>8</v>
      </c>
      <c r="F16" t="s">
        <v>30</v>
      </c>
      <c r="G16" s="1">
        <v>21343.309999999998</v>
      </c>
      <c r="H16" s="1">
        <v>28811.27</v>
      </c>
      <c r="I16" s="1">
        <v>0</v>
      </c>
      <c r="J16" s="1">
        <v>0</v>
      </c>
      <c r="K16" s="1">
        <v>0</v>
      </c>
      <c r="L16" s="1">
        <v>0</v>
      </c>
      <c r="M16" s="1">
        <v>22276.899999999998</v>
      </c>
      <c r="N16" s="1">
        <v>0</v>
      </c>
      <c r="O16" s="3">
        <v>87.03422904202489</v>
      </c>
      <c r="P16">
        <v>4</v>
      </c>
      <c r="Q16">
        <v>15</v>
      </c>
      <c r="R16">
        <v>1</v>
      </c>
      <c r="S16" t="s">
        <v>39</v>
      </c>
      <c r="T16">
        <f>2025</f>
        <v>2025</v>
      </c>
    </row>
    <row r="17" spans="1:20" x14ac:dyDescent="0.35">
      <c r="A17" s="2" t="s">
        <v>23</v>
      </c>
      <c r="B17" s="2" t="s">
        <v>26</v>
      </c>
      <c r="C17" s="32">
        <v>45658</v>
      </c>
      <c r="D17" s="2" t="s">
        <v>19</v>
      </c>
      <c r="E17">
        <v>8</v>
      </c>
      <c r="F17" t="s">
        <v>31</v>
      </c>
      <c r="G17" s="1">
        <v>1113.46</v>
      </c>
      <c r="H17" s="1">
        <v>67664.349999999991</v>
      </c>
      <c r="I17" s="1">
        <v>1901.8</v>
      </c>
      <c r="J17" s="1">
        <v>0</v>
      </c>
      <c r="K17" s="1">
        <v>0</v>
      </c>
      <c r="L17" s="1">
        <v>0</v>
      </c>
      <c r="M17" s="1">
        <v>14505.9</v>
      </c>
      <c r="N17" s="1">
        <v>78636.62</v>
      </c>
      <c r="O17" s="3">
        <v>68.319214410320498</v>
      </c>
      <c r="P17">
        <v>19</v>
      </c>
      <c r="Q17">
        <v>2</v>
      </c>
      <c r="R17">
        <v>3</v>
      </c>
      <c r="S17" t="s">
        <v>39</v>
      </c>
      <c r="T17">
        <f>2025</f>
        <v>2025</v>
      </c>
    </row>
    <row r="18" spans="1:20" x14ac:dyDescent="0.35">
      <c r="A18" s="2" t="s">
        <v>23</v>
      </c>
      <c r="B18" s="2" t="s">
        <v>26</v>
      </c>
      <c r="C18" s="32">
        <v>45658</v>
      </c>
      <c r="D18" s="2" t="s">
        <v>19</v>
      </c>
      <c r="E18">
        <v>9</v>
      </c>
      <c r="F18" t="s">
        <v>30</v>
      </c>
      <c r="G18" s="1">
        <v>0</v>
      </c>
      <c r="H18" s="1">
        <v>3107.94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3">
        <v>284.59857723479945</v>
      </c>
      <c r="P18">
        <v>1</v>
      </c>
      <c r="Q18">
        <v>48</v>
      </c>
      <c r="R18">
        <v>2</v>
      </c>
      <c r="S18" t="s">
        <v>39</v>
      </c>
      <c r="T18">
        <f>2025</f>
        <v>2025</v>
      </c>
    </row>
    <row r="19" spans="1:20" x14ac:dyDescent="0.35">
      <c r="A19" s="2" t="s">
        <v>23</v>
      </c>
      <c r="B19" s="2" t="s">
        <v>26</v>
      </c>
      <c r="C19" s="32">
        <v>45658</v>
      </c>
      <c r="D19" s="2" t="s">
        <v>19</v>
      </c>
      <c r="E19">
        <v>9</v>
      </c>
      <c r="F19" t="s">
        <v>31</v>
      </c>
      <c r="G19" s="1">
        <v>0</v>
      </c>
      <c r="H19" s="1">
        <v>26169.880000000005</v>
      </c>
      <c r="I19" s="1">
        <v>0</v>
      </c>
      <c r="J19" s="1">
        <v>0</v>
      </c>
      <c r="K19" s="1">
        <v>0</v>
      </c>
      <c r="L19" s="1">
        <v>0</v>
      </c>
      <c r="M19" s="1">
        <v>20143.129999999997</v>
      </c>
      <c r="N19" s="1">
        <v>126177.32</v>
      </c>
      <c r="O19" s="3">
        <v>64.292540391690466</v>
      </c>
      <c r="P19">
        <v>21</v>
      </c>
      <c r="Q19">
        <v>1</v>
      </c>
      <c r="R19">
        <v>0</v>
      </c>
      <c r="S19" t="s">
        <v>39</v>
      </c>
      <c r="T19">
        <f>2025</f>
        <v>2025</v>
      </c>
    </row>
    <row r="20" spans="1:20" x14ac:dyDescent="0.35">
      <c r="A20" s="2" t="s">
        <v>23</v>
      </c>
      <c r="B20" s="2" t="s">
        <v>26</v>
      </c>
      <c r="C20" s="32">
        <v>45658</v>
      </c>
      <c r="D20" s="2" t="s">
        <v>19</v>
      </c>
      <c r="E20">
        <v>10</v>
      </c>
      <c r="F20" t="s">
        <v>30</v>
      </c>
      <c r="G20" s="1">
        <v>0</v>
      </c>
      <c r="H20" s="1">
        <v>4160.66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3">
        <v>90.859166665250086</v>
      </c>
      <c r="P20">
        <v>2</v>
      </c>
      <c r="Q20">
        <v>66</v>
      </c>
      <c r="R20">
        <v>7</v>
      </c>
      <c r="S20" t="s">
        <v>39</v>
      </c>
      <c r="T20">
        <f>2025</f>
        <v>2025</v>
      </c>
    </row>
    <row r="21" spans="1:20" x14ac:dyDescent="0.35">
      <c r="A21" s="2" t="s">
        <v>23</v>
      </c>
      <c r="B21" s="2" t="s">
        <v>26</v>
      </c>
      <c r="C21" s="32">
        <v>45658</v>
      </c>
      <c r="D21" s="2" t="s">
        <v>19</v>
      </c>
      <c r="E21">
        <v>10</v>
      </c>
      <c r="F21" t="s">
        <v>31</v>
      </c>
      <c r="G21" s="1">
        <v>14423.28</v>
      </c>
      <c r="H21" s="1">
        <v>93718.2</v>
      </c>
      <c r="I21" s="1">
        <v>16561.84</v>
      </c>
      <c r="J21" s="1">
        <v>0</v>
      </c>
      <c r="K21" s="1">
        <v>0</v>
      </c>
      <c r="L21" s="1">
        <v>0</v>
      </c>
      <c r="M21" s="1">
        <v>70334.83</v>
      </c>
      <c r="N21" s="1">
        <v>534448.73</v>
      </c>
      <c r="O21" s="3">
        <v>135.72583814143763</v>
      </c>
      <c r="P21">
        <v>22</v>
      </c>
      <c r="Q21">
        <v>0</v>
      </c>
      <c r="R21">
        <v>0</v>
      </c>
      <c r="S21" t="s">
        <v>39</v>
      </c>
      <c r="T21">
        <f>2025</f>
        <v>2025</v>
      </c>
    </row>
    <row r="22" spans="1:20" x14ac:dyDescent="0.35">
      <c r="A22" s="2" t="s">
        <v>23</v>
      </c>
      <c r="B22" s="2" t="s">
        <v>26</v>
      </c>
      <c r="C22" s="32">
        <v>45658</v>
      </c>
      <c r="D22" s="2" t="s">
        <v>19</v>
      </c>
      <c r="E22">
        <v>13</v>
      </c>
      <c r="F22" t="s">
        <v>30</v>
      </c>
      <c r="G22" s="1">
        <v>0</v>
      </c>
      <c r="H22" s="1">
        <v>1306.3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3">
        <v>39.581985942350002</v>
      </c>
      <c r="P22">
        <v>2</v>
      </c>
      <c r="Q22">
        <v>8</v>
      </c>
      <c r="R22">
        <v>5</v>
      </c>
      <c r="S22" t="s">
        <v>39</v>
      </c>
      <c r="T22">
        <f>2025</f>
        <v>2025</v>
      </c>
    </row>
    <row r="23" spans="1:20" x14ac:dyDescent="0.35">
      <c r="A23" s="2" t="s">
        <v>23</v>
      </c>
      <c r="B23" s="2" t="s">
        <v>26</v>
      </c>
      <c r="C23" s="32">
        <v>45658</v>
      </c>
      <c r="D23" s="2" t="s">
        <v>19</v>
      </c>
      <c r="E23">
        <v>13</v>
      </c>
      <c r="F23" t="s">
        <v>31</v>
      </c>
      <c r="G23" s="1">
        <v>0</v>
      </c>
      <c r="H23" s="1">
        <v>3068.23</v>
      </c>
      <c r="I23" s="1">
        <v>298130.71000000002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3">
        <v>77.663107634225526</v>
      </c>
      <c r="P23">
        <v>4</v>
      </c>
      <c r="Q23">
        <v>3</v>
      </c>
      <c r="R23">
        <v>0</v>
      </c>
      <c r="S23" t="s">
        <v>39</v>
      </c>
      <c r="T23">
        <f>2025</f>
        <v>2025</v>
      </c>
    </row>
    <row r="24" spans="1:20" x14ac:dyDescent="0.35">
      <c r="A24" s="2" t="s">
        <v>23</v>
      </c>
      <c r="B24" s="2" t="s">
        <v>26</v>
      </c>
      <c r="C24" s="32">
        <v>45658</v>
      </c>
      <c r="D24" s="2" t="s">
        <v>19</v>
      </c>
      <c r="E24">
        <v>14</v>
      </c>
      <c r="F24" t="s">
        <v>30</v>
      </c>
      <c r="G24" s="1">
        <v>0</v>
      </c>
      <c r="H24" s="1">
        <v>3051.95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3">
        <v>37.90133261277515</v>
      </c>
      <c r="P24">
        <v>4</v>
      </c>
      <c r="Q24">
        <v>63</v>
      </c>
      <c r="R24">
        <v>0</v>
      </c>
      <c r="S24" t="s">
        <v>39</v>
      </c>
      <c r="T24">
        <f>2025</f>
        <v>2025</v>
      </c>
    </row>
    <row r="25" spans="1:20" x14ac:dyDescent="0.35">
      <c r="A25" s="2" t="s">
        <v>23</v>
      </c>
      <c r="B25" s="2" t="s">
        <v>26</v>
      </c>
      <c r="C25" s="32">
        <v>45658</v>
      </c>
      <c r="D25" s="2" t="s">
        <v>19</v>
      </c>
      <c r="E25">
        <v>14</v>
      </c>
      <c r="F25" t="s">
        <v>31</v>
      </c>
      <c r="G25" s="1">
        <v>24966.710000000003</v>
      </c>
      <c r="H25" s="1">
        <v>60639.74</v>
      </c>
      <c r="I25" s="1">
        <v>10341.41</v>
      </c>
      <c r="J25" s="1">
        <v>0</v>
      </c>
      <c r="K25" s="1">
        <v>0</v>
      </c>
      <c r="L25" s="1">
        <v>0</v>
      </c>
      <c r="M25" s="1">
        <v>6292.2000000000007</v>
      </c>
      <c r="N25" s="1">
        <v>0</v>
      </c>
      <c r="O25" s="3">
        <v>87.305828946336717</v>
      </c>
      <c r="P25">
        <v>27</v>
      </c>
      <c r="Q25">
        <v>4</v>
      </c>
      <c r="R25">
        <v>0</v>
      </c>
      <c r="S25" t="s">
        <v>39</v>
      </c>
      <c r="T25">
        <f>2025</f>
        <v>2025</v>
      </c>
    </row>
    <row r="26" spans="1:20" x14ac:dyDescent="0.35">
      <c r="A26" s="2" t="s">
        <v>23</v>
      </c>
      <c r="B26" s="2" t="s">
        <v>26</v>
      </c>
      <c r="C26" s="32">
        <v>45658</v>
      </c>
      <c r="D26" s="2" t="s">
        <v>19</v>
      </c>
      <c r="E26">
        <v>15</v>
      </c>
      <c r="F26" t="s">
        <v>30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3" t="s">
        <v>28</v>
      </c>
      <c r="P26">
        <v>0</v>
      </c>
      <c r="Q26">
        <v>7</v>
      </c>
      <c r="R26">
        <v>0</v>
      </c>
      <c r="S26" t="s">
        <v>39</v>
      </c>
      <c r="T26">
        <f>2025</f>
        <v>2025</v>
      </c>
    </row>
    <row r="27" spans="1:20" x14ac:dyDescent="0.35">
      <c r="A27" s="2" t="s">
        <v>23</v>
      </c>
      <c r="B27" s="2" t="s">
        <v>26</v>
      </c>
      <c r="C27" s="32">
        <v>45658</v>
      </c>
      <c r="D27" s="2" t="s">
        <v>19</v>
      </c>
      <c r="E27">
        <v>15</v>
      </c>
      <c r="F27" t="s">
        <v>31</v>
      </c>
      <c r="G27" s="1">
        <v>2128.27</v>
      </c>
      <c r="H27" s="1">
        <v>7378.46</v>
      </c>
      <c r="I27" s="1">
        <v>0</v>
      </c>
      <c r="J27" s="1">
        <v>0</v>
      </c>
      <c r="K27" s="1">
        <v>0</v>
      </c>
      <c r="L27" s="1">
        <v>0</v>
      </c>
      <c r="M27" s="1">
        <v>1808.44</v>
      </c>
      <c r="N27" s="1">
        <v>0</v>
      </c>
      <c r="O27" s="3">
        <v>48.921385539334246</v>
      </c>
      <c r="P27">
        <v>3</v>
      </c>
      <c r="Q27">
        <v>0</v>
      </c>
      <c r="R27">
        <v>0</v>
      </c>
      <c r="S27" t="s">
        <v>39</v>
      </c>
      <c r="T27">
        <f>2025</f>
        <v>2025</v>
      </c>
    </row>
    <row r="28" spans="1:20" x14ac:dyDescent="0.35">
      <c r="A28" s="2" t="s">
        <v>23</v>
      </c>
      <c r="B28" s="2" t="s">
        <v>26</v>
      </c>
      <c r="C28" s="32">
        <v>45658</v>
      </c>
      <c r="D28" s="2" t="s">
        <v>19</v>
      </c>
      <c r="E28">
        <v>16</v>
      </c>
      <c r="F28" t="s">
        <v>30</v>
      </c>
      <c r="G28" s="1">
        <v>0</v>
      </c>
      <c r="H28" s="1">
        <v>6881.45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3">
        <v>227.83416021573308</v>
      </c>
      <c r="P28">
        <v>3</v>
      </c>
      <c r="Q28">
        <v>6</v>
      </c>
      <c r="R28">
        <v>0</v>
      </c>
      <c r="S28" t="s">
        <v>39</v>
      </c>
      <c r="T28">
        <f>2025</f>
        <v>2025</v>
      </c>
    </row>
    <row r="29" spans="1:20" x14ac:dyDescent="0.35">
      <c r="A29" s="2" t="s">
        <v>23</v>
      </c>
      <c r="B29" s="2" t="s">
        <v>26</v>
      </c>
      <c r="C29" s="32">
        <v>45658</v>
      </c>
      <c r="D29" s="2" t="s">
        <v>19</v>
      </c>
      <c r="E29">
        <v>16</v>
      </c>
      <c r="F29" t="s">
        <v>31</v>
      </c>
      <c r="G29" s="1">
        <v>0</v>
      </c>
      <c r="H29" s="1">
        <v>4024.96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3">
        <v>168.63177543497659</v>
      </c>
      <c r="P29">
        <v>4</v>
      </c>
      <c r="Q29">
        <v>1</v>
      </c>
      <c r="R29">
        <v>0</v>
      </c>
      <c r="S29" t="s">
        <v>39</v>
      </c>
      <c r="T29">
        <f>2025</f>
        <v>2025</v>
      </c>
    </row>
    <row r="30" spans="1:20" hidden="1" x14ac:dyDescent="0.35">
      <c r="A30" s="2" t="s">
        <v>23</v>
      </c>
      <c r="B30" s="2" t="s">
        <v>26</v>
      </c>
      <c r="C30" s="32">
        <v>45689</v>
      </c>
      <c r="D30" s="2" t="s">
        <v>27</v>
      </c>
      <c r="E30">
        <v>6</v>
      </c>
      <c r="F30" t="s">
        <v>48</v>
      </c>
      <c r="G30" s="1">
        <v>0</v>
      </c>
      <c r="H30" s="1">
        <v>637.61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3">
        <v>51.598835475801025</v>
      </c>
      <c r="P30">
        <v>1</v>
      </c>
      <c r="Q30">
        <v>1</v>
      </c>
      <c r="R30">
        <v>0</v>
      </c>
      <c r="S30" t="s">
        <v>39</v>
      </c>
      <c r="T30">
        <f>2025</f>
        <v>2025</v>
      </c>
    </row>
    <row r="31" spans="1:20" hidden="1" x14ac:dyDescent="0.35">
      <c r="A31" s="2" t="s">
        <v>23</v>
      </c>
      <c r="B31" s="2" t="s">
        <v>26</v>
      </c>
      <c r="C31" s="32">
        <v>45689</v>
      </c>
      <c r="D31" s="2" t="s">
        <v>27</v>
      </c>
      <c r="E31">
        <v>9</v>
      </c>
      <c r="F31" t="s">
        <v>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3" t="s">
        <v>28</v>
      </c>
      <c r="P31">
        <v>0</v>
      </c>
      <c r="Q31">
        <v>3</v>
      </c>
      <c r="R31">
        <v>0</v>
      </c>
      <c r="S31" t="s">
        <v>39</v>
      </c>
      <c r="T31">
        <f>2025</f>
        <v>2025</v>
      </c>
    </row>
    <row r="32" spans="1:20" hidden="1" x14ac:dyDescent="0.35">
      <c r="A32" s="2" t="s">
        <v>23</v>
      </c>
      <c r="B32" s="2" t="s">
        <v>26</v>
      </c>
      <c r="C32" s="32">
        <v>45689</v>
      </c>
      <c r="D32" s="2" t="s">
        <v>27</v>
      </c>
      <c r="E32">
        <v>13</v>
      </c>
      <c r="F32" t="s">
        <v>48</v>
      </c>
      <c r="G32" s="1">
        <v>0</v>
      </c>
      <c r="H32" s="1">
        <v>140535.03</v>
      </c>
      <c r="I32" s="1">
        <v>0</v>
      </c>
      <c r="J32" s="1">
        <v>0</v>
      </c>
      <c r="K32" s="1">
        <v>0</v>
      </c>
      <c r="L32" s="1">
        <v>0</v>
      </c>
      <c r="M32" s="1">
        <v>2848.18</v>
      </c>
      <c r="N32" s="1">
        <v>0</v>
      </c>
      <c r="O32" s="3">
        <v>55.039584034002473</v>
      </c>
      <c r="P32">
        <v>2</v>
      </c>
      <c r="Q32">
        <v>2</v>
      </c>
      <c r="R32">
        <v>0</v>
      </c>
      <c r="S32" t="s">
        <v>39</v>
      </c>
      <c r="T32">
        <f>2025</f>
        <v>2025</v>
      </c>
    </row>
    <row r="33" spans="1:20" hidden="1" x14ac:dyDescent="0.35">
      <c r="A33" s="2" t="s">
        <v>23</v>
      </c>
      <c r="B33" s="2" t="s">
        <v>26</v>
      </c>
      <c r="C33" s="32">
        <v>45689</v>
      </c>
      <c r="D33" s="2" t="s">
        <v>29</v>
      </c>
      <c r="E33">
        <v>6</v>
      </c>
      <c r="F33" t="s">
        <v>48</v>
      </c>
      <c r="G33" s="1">
        <v>0</v>
      </c>
      <c r="H33" s="1">
        <v>38328.74</v>
      </c>
      <c r="I33" s="1">
        <v>6921.12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3">
        <v>163.50408277179667</v>
      </c>
      <c r="P33">
        <v>1</v>
      </c>
      <c r="Q33">
        <v>22</v>
      </c>
      <c r="R33">
        <v>0</v>
      </c>
      <c r="S33" t="s">
        <v>39</v>
      </c>
      <c r="T33">
        <f>2025</f>
        <v>2025</v>
      </c>
    </row>
    <row r="34" spans="1:20" hidden="1" x14ac:dyDescent="0.35">
      <c r="A34" s="2" t="s">
        <v>23</v>
      </c>
      <c r="B34" s="2" t="s">
        <v>26</v>
      </c>
      <c r="C34" s="32">
        <v>45689</v>
      </c>
      <c r="D34" s="2" t="s">
        <v>29</v>
      </c>
      <c r="E34">
        <v>8</v>
      </c>
      <c r="F34" t="s">
        <v>48</v>
      </c>
      <c r="G34" s="1">
        <v>4653.45</v>
      </c>
      <c r="H34" s="1">
        <v>109160.85</v>
      </c>
      <c r="I34" s="1">
        <v>19530</v>
      </c>
      <c r="J34" s="1">
        <v>0</v>
      </c>
      <c r="K34" s="1">
        <v>0</v>
      </c>
      <c r="L34" s="1">
        <v>0</v>
      </c>
      <c r="M34" s="1">
        <v>13351.96</v>
      </c>
      <c r="N34" s="1">
        <v>0</v>
      </c>
      <c r="O34" s="3">
        <v>98.341146089510588</v>
      </c>
      <c r="P34">
        <v>8</v>
      </c>
      <c r="Q34">
        <v>11</v>
      </c>
      <c r="R34">
        <v>1</v>
      </c>
      <c r="S34" t="s">
        <v>39</v>
      </c>
      <c r="T34">
        <f>2025</f>
        <v>2025</v>
      </c>
    </row>
    <row r="35" spans="1:20" hidden="1" x14ac:dyDescent="0.35">
      <c r="A35" s="2" t="s">
        <v>23</v>
      </c>
      <c r="B35" s="2" t="s">
        <v>26</v>
      </c>
      <c r="C35" s="32">
        <v>45689</v>
      </c>
      <c r="D35" s="2" t="s">
        <v>29</v>
      </c>
      <c r="E35">
        <v>9</v>
      </c>
      <c r="F35" t="s">
        <v>48</v>
      </c>
      <c r="G35" s="1">
        <v>0</v>
      </c>
      <c r="H35" s="1">
        <v>557446.14000000013</v>
      </c>
      <c r="I35" s="1">
        <v>205499.55000000002</v>
      </c>
      <c r="J35" s="1">
        <v>0</v>
      </c>
      <c r="K35" s="1">
        <v>0</v>
      </c>
      <c r="L35" s="1">
        <v>0</v>
      </c>
      <c r="M35" s="1">
        <v>34385.379999999997</v>
      </c>
      <c r="N35" s="1">
        <v>0</v>
      </c>
      <c r="O35" s="3">
        <v>98.56129696959033</v>
      </c>
      <c r="P35">
        <v>8</v>
      </c>
      <c r="Q35">
        <v>29</v>
      </c>
      <c r="R35">
        <v>0</v>
      </c>
      <c r="S35" t="s">
        <v>39</v>
      </c>
      <c r="T35">
        <f>2025</f>
        <v>2025</v>
      </c>
    </row>
    <row r="36" spans="1:20" hidden="1" x14ac:dyDescent="0.35">
      <c r="A36" s="2" t="s">
        <v>23</v>
      </c>
      <c r="B36" s="2" t="s">
        <v>26</v>
      </c>
      <c r="C36" s="32">
        <v>45689</v>
      </c>
      <c r="D36" s="2" t="s">
        <v>29</v>
      </c>
      <c r="E36">
        <v>10</v>
      </c>
      <c r="F36" t="s">
        <v>48</v>
      </c>
      <c r="G36" s="1">
        <v>218929.18</v>
      </c>
      <c r="H36" s="1">
        <v>601816.47</v>
      </c>
      <c r="I36" s="1">
        <v>3705.91</v>
      </c>
      <c r="J36" s="1">
        <v>0</v>
      </c>
      <c r="K36" s="1">
        <v>0</v>
      </c>
      <c r="L36" s="1">
        <v>0</v>
      </c>
      <c r="M36" s="1">
        <v>131538.85999999999</v>
      </c>
      <c r="N36" s="1">
        <v>0</v>
      </c>
      <c r="O36" s="3">
        <v>139.02361058306391</v>
      </c>
      <c r="P36">
        <v>26</v>
      </c>
      <c r="Q36">
        <v>63</v>
      </c>
      <c r="R36">
        <v>2</v>
      </c>
      <c r="S36" t="s">
        <v>39</v>
      </c>
      <c r="T36">
        <f>2025</f>
        <v>2025</v>
      </c>
    </row>
    <row r="37" spans="1:20" hidden="1" x14ac:dyDescent="0.35">
      <c r="A37" s="2" t="s">
        <v>23</v>
      </c>
      <c r="B37" s="2" t="s">
        <v>26</v>
      </c>
      <c r="C37" s="32">
        <v>45689</v>
      </c>
      <c r="D37" s="2" t="s">
        <v>29</v>
      </c>
      <c r="E37">
        <v>13</v>
      </c>
      <c r="F37" t="s">
        <v>48</v>
      </c>
      <c r="G37" s="1">
        <v>0</v>
      </c>
      <c r="H37" s="1">
        <v>60918.92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3">
        <v>159.40526958421978</v>
      </c>
      <c r="P37">
        <v>3</v>
      </c>
      <c r="Q37">
        <v>6</v>
      </c>
      <c r="R37">
        <v>2</v>
      </c>
      <c r="S37" t="s">
        <v>39</v>
      </c>
      <c r="T37">
        <f>2025</f>
        <v>2025</v>
      </c>
    </row>
    <row r="38" spans="1:20" hidden="1" x14ac:dyDescent="0.35">
      <c r="A38" s="2" t="s">
        <v>23</v>
      </c>
      <c r="B38" s="2" t="s">
        <v>26</v>
      </c>
      <c r="C38" s="32">
        <v>45689</v>
      </c>
      <c r="D38" s="2" t="s">
        <v>29</v>
      </c>
      <c r="E38">
        <v>14</v>
      </c>
      <c r="F38" t="s">
        <v>48</v>
      </c>
      <c r="G38" s="1">
        <v>1435.55</v>
      </c>
      <c r="H38" s="1">
        <v>167074.64000000001</v>
      </c>
      <c r="I38" s="1">
        <v>51473.65</v>
      </c>
      <c r="J38" s="1">
        <v>0</v>
      </c>
      <c r="K38" s="1">
        <v>0</v>
      </c>
      <c r="L38" s="1">
        <v>0</v>
      </c>
      <c r="M38" s="1">
        <v>20570.419999999998</v>
      </c>
      <c r="N38" s="1">
        <v>0</v>
      </c>
      <c r="O38" s="3">
        <v>177.32804364463664</v>
      </c>
      <c r="P38">
        <v>7</v>
      </c>
      <c r="Q38">
        <v>14</v>
      </c>
      <c r="R38">
        <v>0</v>
      </c>
      <c r="S38" t="s">
        <v>39</v>
      </c>
      <c r="T38">
        <f>2025</f>
        <v>2025</v>
      </c>
    </row>
    <row r="39" spans="1:20" hidden="1" x14ac:dyDescent="0.35">
      <c r="A39" s="2" t="s">
        <v>23</v>
      </c>
      <c r="B39" s="2" t="s">
        <v>26</v>
      </c>
      <c r="C39" s="32">
        <v>45689</v>
      </c>
      <c r="D39" s="2" t="s">
        <v>29</v>
      </c>
      <c r="E39">
        <v>15</v>
      </c>
      <c r="F39" t="s">
        <v>48</v>
      </c>
      <c r="G39" s="1">
        <v>75332.48000000001</v>
      </c>
      <c r="H39" s="1">
        <v>457654.81</v>
      </c>
      <c r="I39" s="1">
        <v>4464.03</v>
      </c>
      <c r="J39" s="1">
        <v>0</v>
      </c>
      <c r="K39" s="1">
        <v>0</v>
      </c>
      <c r="L39" s="1">
        <v>0</v>
      </c>
      <c r="M39" s="1">
        <v>120856.81</v>
      </c>
      <c r="N39" s="1">
        <v>0</v>
      </c>
      <c r="O39" s="3">
        <v>156.98474765993402</v>
      </c>
      <c r="P39">
        <v>3</v>
      </c>
      <c r="Q39">
        <v>8</v>
      </c>
      <c r="R39">
        <v>0</v>
      </c>
      <c r="S39" t="s">
        <v>39</v>
      </c>
      <c r="T39">
        <f>2025</f>
        <v>2025</v>
      </c>
    </row>
    <row r="40" spans="1:20" hidden="1" x14ac:dyDescent="0.35">
      <c r="A40" s="2" t="s">
        <v>23</v>
      </c>
      <c r="B40" s="2" t="s">
        <v>26</v>
      </c>
      <c r="C40" s="32">
        <v>45689</v>
      </c>
      <c r="D40" s="2" t="s">
        <v>29</v>
      </c>
      <c r="E40">
        <v>16</v>
      </c>
      <c r="F40" t="s">
        <v>48</v>
      </c>
      <c r="G40" s="1">
        <v>0</v>
      </c>
      <c r="H40" s="1">
        <v>3633.6400000000003</v>
      </c>
      <c r="I40" s="1">
        <v>2441.89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3">
        <v>214.54488099574883</v>
      </c>
      <c r="P40">
        <v>2</v>
      </c>
      <c r="Q40">
        <v>6</v>
      </c>
      <c r="R40">
        <v>0</v>
      </c>
      <c r="S40" t="s">
        <v>39</v>
      </c>
      <c r="T40">
        <f>2025</f>
        <v>2025</v>
      </c>
    </row>
    <row r="41" spans="1:20" x14ac:dyDescent="0.35">
      <c r="A41" s="2" t="s">
        <v>23</v>
      </c>
      <c r="B41" s="2" t="s">
        <v>26</v>
      </c>
      <c r="C41" s="32">
        <v>45689</v>
      </c>
      <c r="D41" s="2" t="s">
        <v>19</v>
      </c>
      <c r="E41">
        <v>6</v>
      </c>
      <c r="F41" t="s">
        <v>30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3" t="s">
        <v>28</v>
      </c>
      <c r="P41">
        <v>0</v>
      </c>
      <c r="Q41">
        <v>21</v>
      </c>
      <c r="R41">
        <v>1</v>
      </c>
      <c r="S41" t="s">
        <v>39</v>
      </c>
      <c r="T41">
        <f>2025</f>
        <v>2025</v>
      </c>
    </row>
    <row r="42" spans="1:20" x14ac:dyDescent="0.35">
      <c r="A42" s="2" t="s">
        <v>23</v>
      </c>
      <c r="B42" s="2" t="s">
        <v>26</v>
      </c>
      <c r="C42" s="32">
        <v>45689</v>
      </c>
      <c r="D42" s="2" t="s">
        <v>19</v>
      </c>
      <c r="E42">
        <v>6</v>
      </c>
      <c r="F42" t="s">
        <v>31</v>
      </c>
      <c r="G42" s="1">
        <v>19702.93</v>
      </c>
      <c r="H42" s="1">
        <v>13614.74</v>
      </c>
      <c r="I42" s="1">
        <v>33.92</v>
      </c>
      <c r="J42" s="1">
        <v>0</v>
      </c>
      <c r="K42" s="1">
        <v>0</v>
      </c>
      <c r="L42" s="1">
        <v>0</v>
      </c>
      <c r="M42" s="1">
        <v>11201.71</v>
      </c>
      <c r="N42" s="1">
        <v>0</v>
      </c>
      <c r="O42" s="3">
        <v>71.82981633058472</v>
      </c>
      <c r="P42">
        <v>13</v>
      </c>
      <c r="Q42">
        <v>1</v>
      </c>
      <c r="R42">
        <v>0</v>
      </c>
      <c r="S42" t="s">
        <v>39</v>
      </c>
      <c r="T42">
        <f>2025</f>
        <v>2025</v>
      </c>
    </row>
    <row r="43" spans="1:20" x14ac:dyDescent="0.35">
      <c r="A43" s="2" t="s">
        <v>23</v>
      </c>
      <c r="B43" s="2" t="s">
        <v>26</v>
      </c>
      <c r="C43" s="32">
        <v>45689</v>
      </c>
      <c r="D43" s="2" t="s">
        <v>19</v>
      </c>
      <c r="E43">
        <v>8</v>
      </c>
      <c r="F43" t="s">
        <v>30</v>
      </c>
      <c r="G43" s="1">
        <v>0</v>
      </c>
      <c r="H43" s="1">
        <v>1038.52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3">
        <v>14.557103634149826</v>
      </c>
      <c r="P43">
        <v>2</v>
      </c>
      <c r="Q43">
        <v>16</v>
      </c>
      <c r="R43">
        <v>1</v>
      </c>
      <c r="S43" t="s">
        <v>39</v>
      </c>
      <c r="T43">
        <f>2025</f>
        <v>2025</v>
      </c>
    </row>
    <row r="44" spans="1:20" x14ac:dyDescent="0.35">
      <c r="A44" s="2" t="s">
        <v>23</v>
      </c>
      <c r="B44" s="2" t="s">
        <v>26</v>
      </c>
      <c r="C44" s="32">
        <v>45689</v>
      </c>
      <c r="D44" s="2" t="s">
        <v>19</v>
      </c>
      <c r="E44">
        <v>8</v>
      </c>
      <c r="F44" t="s">
        <v>31</v>
      </c>
      <c r="G44" s="1">
        <v>7096.22</v>
      </c>
      <c r="H44" s="1">
        <v>91049.49000000002</v>
      </c>
      <c r="I44" s="1">
        <v>0</v>
      </c>
      <c r="J44" s="1">
        <v>0</v>
      </c>
      <c r="K44" s="1">
        <v>0</v>
      </c>
      <c r="L44" s="1">
        <v>0</v>
      </c>
      <c r="M44" s="1">
        <v>23383.840000000004</v>
      </c>
      <c r="N44" s="1">
        <v>23167.05</v>
      </c>
      <c r="O44" s="3">
        <v>134.54706414405709</v>
      </c>
      <c r="P44">
        <v>19</v>
      </c>
      <c r="Q44">
        <v>4</v>
      </c>
      <c r="R44">
        <v>3</v>
      </c>
      <c r="S44" t="s">
        <v>39</v>
      </c>
      <c r="T44">
        <f>2025</f>
        <v>2025</v>
      </c>
    </row>
    <row r="45" spans="1:20" x14ac:dyDescent="0.35">
      <c r="A45" s="2" t="s">
        <v>23</v>
      </c>
      <c r="B45" s="2" t="s">
        <v>26</v>
      </c>
      <c r="C45" s="32">
        <v>45689</v>
      </c>
      <c r="D45" s="2" t="s">
        <v>19</v>
      </c>
      <c r="E45">
        <v>9</v>
      </c>
      <c r="F45" t="s">
        <v>30</v>
      </c>
      <c r="G45" s="1">
        <v>0</v>
      </c>
      <c r="H45" s="1">
        <v>7530.6799999999994</v>
      </c>
      <c r="I45" s="1">
        <v>0</v>
      </c>
      <c r="J45" s="1">
        <v>0</v>
      </c>
      <c r="K45" s="1">
        <v>0</v>
      </c>
      <c r="L45" s="1">
        <v>0</v>
      </c>
      <c r="M45" s="1">
        <v>1592.16</v>
      </c>
      <c r="N45" s="1">
        <v>0</v>
      </c>
      <c r="O45" s="3">
        <v>141.32800925929769</v>
      </c>
      <c r="P45">
        <v>1</v>
      </c>
      <c r="Q45">
        <v>30</v>
      </c>
      <c r="R45">
        <v>3</v>
      </c>
      <c r="S45" t="s">
        <v>39</v>
      </c>
      <c r="T45">
        <f>2025</f>
        <v>2025</v>
      </c>
    </row>
    <row r="46" spans="1:20" x14ac:dyDescent="0.35">
      <c r="A46" s="2" t="s">
        <v>23</v>
      </c>
      <c r="B46" s="2" t="s">
        <v>26</v>
      </c>
      <c r="C46" s="32">
        <v>45689</v>
      </c>
      <c r="D46" s="2" t="s">
        <v>19</v>
      </c>
      <c r="E46">
        <v>9</v>
      </c>
      <c r="F46" t="s">
        <v>31</v>
      </c>
      <c r="G46" s="1">
        <v>456.39</v>
      </c>
      <c r="H46" s="1">
        <v>54759.549999999996</v>
      </c>
      <c r="I46" s="1">
        <v>0</v>
      </c>
      <c r="J46" s="1">
        <v>0</v>
      </c>
      <c r="K46" s="1">
        <v>0</v>
      </c>
      <c r="L46" s="1">
        <v>0</v>
      </c>
      <c r="M46" s="1">
        <v>9869.27</v>
      </c>
      <c r="N46" s="1">
        <v>0</v>
      </c>
      <c r="O46" s="3">
        <v>57.022671787708319</v>
      </c>
      <c r="P46">
        <v>34</v>
      </c>
      <c r="Q46">
        <v>0</v>
      </c>
      <c r="R46">
        <v>0</v>
      </c>
      <c r="S46" t="s">
        <v>39</v>
      </c>
      <c r="T46">
        <f>2025</f>
        <v>2025</v>
      </c>
    </row>
    <row r="47" spans="1:20" x14ac:dyDescent="0.35">
      <c r="A47" s="2" t="s">
        <v>23</v>
      </c>
      <c r="B47" s="2" t="s">
        <v>26</v>
      </c>
      <c r="C47" s="32">
        <v>45689</v>
      </c>
      <c r="D47" s="2" t="s">
        <v>19</v>
      </c>
      <c r="E47">
        <v>10</v>
      </c>
      <c r="F47" t="s">
        <v>30</v>
      </c>
      <c r="G47" s="1">
        <v>0</v>
      </c>
      <c r="H47" s="1">
        <v>20164.490000000002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3">
        <v>87.288916119733287</v>
      </c>
      <c r="P47">
        <v>6</v>
      </c>
      <c r="Q47">
        <v>90</v>
      </c>
      <c r="R47">
        <v>1</v>
      </c>
      <c r="S47" t="s">
        <v>39</v>
      </c>
      <c r="T47">
        <f>2025</f>
        <v>2025</v>
      </c>
    </row>
    <row r="48" spans="1:20" x14ac:dyDescent="0.35">
      <c r="A48" s="2" t="s">
        <v>23</v>
      </c>
      <c r="B48" s="2" t="s">
        <v>26</v>
      </c>
      <c r="C48" s="32">
        <v>45689</v>
      </c>
      <c r="D48" s="2" t="s">
        <v>19</v>
      </c>
      <c r="E48">
        <v>10</v>
      </c>
      <c r="F48" t="s">
        <v>31</v>
      </c>
      <c r="G48" s="1">
        <v>123966.04000000001</v>
      </c>
      <c r="H48" s="1">
        <v>59032.939999999995</v>
      </c>
      <c r="I48" s="1">
        <v>535927.96000000008</v>
      </c>
      <c r="J48" s="1">
        <v>0</v>
      </c>
      <c r="K48" s="1">
        <v>0</v>
      </c>
      <c r="L48" s="1">
        <v>0</v>
      </c>
      <c r="M48" s="1">
        <v>171687.14999999997</v>
      </c>
      <c r="N48" s="1">
        <v>1331472.5899999999</v>
      </c>
      <c r="O48" s="3">
        <v>133.04091285014104</v>
      </c>
      <c r="P48">
        <v>32</v>
      </c>
      <c r="Q48">
        <v>1</v>
      </c>
      <c r="R48">
        <v>0</v>
      </c>
      <c r="S48" t="s">
        <v>39</v>
      </c>
      <c r="T48">
        <f>2025</f>
        <v>2025</v>
      </c>
    </row>
    <row r="49" spans="1:20" x14ac:dyDescent="0.35">
      <c r="A49" s="2" t="s">
        <v>23</v>
      </c>
      <c r="B49" s="2" t="s">
        <v>26</v>
      </c>
      <c r="C49" s="32">
        <v>45689</v>
      </c>
      <c r="D49" s="2" t="s">
        <v>19</v>
      </c>
      <c r="E49">
        <v>13</v>
      </c>
      <c r="F49" t="s">
        <v>30</v>
      </c>
      <c r="G49" s="1">
        <v>0</v>
      </c>
      <c r="H49" s="1">
        <v>2817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3">
        <v>19.440840844074046</v>
      </c>
      <c r="P49">
        <v>4</v>
      </c>
      <c r="Q49">
        <v>13</v>
      </c>
      <c r="R49">
        <v>26</v>
      </c>
      <c r="S49" t="s">
        <v>39</v>
      </c>
      <c r="T49">
        <f>2025</f>
        <v>2025</v>
      </c>
    </row>
    <row r="50" spans="1:20" x14ac:dyDescent="0.35">
      <c r="A50" s="2" t="s">
        <v>23</v>
      </c>
      <c r="B50" s="2" t="s">
        <v>26</v>
      </c>
      <c r="C50" s="32">
        <v>45689</v>
      </c>
      <c r="D50" s="2" t="s">
        <v>19</v>
      </c>
      <c r="E50">
        <v>13</v>
      </c>
      <c r="F50" t="s">
        <v>31</v>
      </c>
      <c r="G50" s="1">
        <v>9692.65</v>
      </c>
      <c r="H50" s="1">
        <v>77693.819999999992</v>
      </c>
      <c r="I50" s="1">
        <v>0</v>
      </c>
      <c r="J50" s="1">
        <v>0</v>
      </c>
      <c r="K50" s="1">
        <v>0</v>
      </c>
      <c r="L50" s="1">
        <v>0</v>
      </c>
      <c r="M50" s="1">
        <v>272.8</v>
      </c>
      <c r="N50" s="1">
        <v>0</v>
      </c>
      <c r="O50" s="3">
        <v>46.778978244113205</v>
      </c>
      <c r="P50">
        <v>8</v>
      </c>
      <c r="Q50">
        <v>0</v>
      </c>
      <c r="R50">
        <v>0</v>
      </c>
      <c r="S50" t="s">
        <v>39</v>
      </c>
      <c r="T50">
        <f>2025</f>
        <v>2025</v>
      </c>
    </row>
    <row r="51" spans="1:20" x14ac:dyDescent="0.35">
      <c r="A51" s="2" t="s">
        <v>23</v>
      </c>
      <c r="B51" s="2" t="s">
        <v>26</v>
      </c>
      <c r="C51" s="32">
        <v>45689</v>
      </c>
      <c r="D51" s="2" t="s">
        <v>19</v>
      </c>
      <c r="E51">
        <v>14</v>
      </c>
      <c r="F51" t="s">
        <v>30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3" t="s">
        <v>28</v>
      </c>
      <c r="P51">
        <v>0</v>
      </c>
      <c r="Q51">
        <v>49</v>
      </c>
      <c r="R51">
        <v>0</v>
      </c>
      <c r="S51" t="s">
        <v>39</v>
      </c>
      <c r="T51">
        <f>2025</f>
        <v>2025</v>
      </c>
    </row>
    <row r="52" spans="1:20" x14ac:dyDescent="0.35">
      <c r="A52" s="2" t="s">
        <v>23</v>
      </c>
      <c r="B52" s="2" t="s">
        <v>26</v>
      </c>
      <c r="C52" s="32">
        <v>45689</v>
      </c>
      <c r="D52" s="2" t="s">
        <v>19</v>
      </c>
      <c r="E52">
        <v>14</v>
      </c>
      <c r="F52" t="s">
        <v>31</v>
      </c>
      <c r="G52" s="1">
        <v>99389.78</v>
      </c>
      <c r="H52" s="1">
        <v>142458.78000000003</v>
      </c>
      <c r="I52" s="1">
        <v>31.44</v>
      </c>
      <c r="J52" s="1">
        <v>0</v>
      </c>
      <c r="K52" s="1">
        <v>0</v>
      </c>
      <c r="L52" s="1">
        <v>0</v>
      </c>
      <c r="M52" s="1">
        <v>68397.929999999993</v>
      </c>
      <c r="N52" s="1">
        <v>182792.86</v>
      </c>
      <c r="O52" s="3">
        <v>94.875408979258154</v>
      </c>
      <c r="P52">
        <v>43</v>
      </c>
      <c r="Q52">
        <v>3</v>
      </c>
      <c r="R52">
        <v>0</v>
      </c>
      <c r="S52" t="s">
        <v>39</v>
      </c>
      <c r="T52">
        <f>2025</f>
        <v>2025</v>
      </c>
    </row>
    <row r="53" spans="1:20" x14ac:dyDescent="0.35">
      <c r="A53" s="2" t="s">
        <v>23</v>
      </c>
      <c r="B53" s="2" t="s">
        <v>26</v>
      </c>
      <c r="C53" s="32">
        <v>45689</v>
      </c>
      <c r="D53" s="2" t="s">
        <v>19</v>
      </c>
      <c r="E53">
        <v>15</v>
      </c>
      <c r="F53" t="s">
        <v>30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3" t="s">
        <v>28</v>
      </c>
      <c r="P53">
        <v>0</v>
      </c>
      <c r="Q53">
        <v>20</v>
      </c>
      <c r="R53">
        <v>3</v>
      </c>
      <c r="S53" t="s">
        <v>39</v>
      </c>
      <c r="T53">
        <f>2025</f>
        <v>2025</v>
      </c>
    </row>
    <row r="54" spans="1:20" x14ac:dyDescent="0.35">
      <c r="A54" s="2" t="s">
        <v>23</v>
      </c>
      <c r="B54" s="2" t="s">
        <v>26</v>
      </c>
      <c r="C54" s="32">
        <v>45689</v>
      </c>
      <c r="D54" s="2" t="s">
        <v>19</v>
      </c>
      <c r="E54">
        <v>15</v>
      </c>
      <c r="F54" t="s">
        <v>31</v>
      </c>
      <c r="G54" s="1">
        <v>50678.26</v>
      </c>
      <c r="H54" s="1">
        <v>6968.7300000000005</v>
      </c>
      <c r="I54" s="1">
        <v>0</v>
      </c>
      <c r="J54" s="1">
        <v>0</v>
      </c>
      <c r="K54" s="1">
        <v>0</v>
      </c>
      <c r="L54" s="1">
        <v>0</v>
      </c>
      <c r="M54" s="1">
        <v>20177.32</v>
      </c>
      <c r="N54" s="1">
        <v>0</v>
      </c>
      <c r="O54" s="3">
        <v>113.73425178286561</v>
      </c>
      <c r="P54">
        <v>6</v>
      </c>
      <c r="Q54">
        <v>0</v>
      </c>
      <c r="R54">
        <v>0</v>
      </c>
      <c r="S54" t="s">
        <v>39</v>
      </c>
      <c r="T54">
        <f>2025</f>
        <v>2025</v>
      </c>
    </row>
    <row r="55" spans="1:20" x14ac:dyDescent="0.35">
      <c r="A55" s="2" t="s">
        <v>23</v>
      </c>
      <c r="B55" s="2" t="s">
        <v>26</v>
      </c>
      <c r="C55" s="32">
        <v>45689</v>
      </c>
      <c r="D55" s="2" t="s">
        <v>19</v>
      </c>
      <c r="E55">
        <v>16</v>
      </c>
      <c r="F55" t="s">
        <v>30</v>
      </c>
      <c r="G55" s="1">
        <v>0</v>
      </c>
      <c r="H55" s="1">
        <v>7674.8200000000006</v>
      </c>
      <c r="I55" s="1">
        <v>0</v>
      </c>
      <c r="J55" s="1">
        <v>0</v>
      </c>
      <c r="K55" s="1">
        <v>0</v>
      </c>
      <c r="L55" s="1">
        <v>0</v>
      </c>
      <c r="M55" s="1">
        <v>3602.8199999999997</v>
      </c>
      <c r="N55" s="1">
        <v>0</v>
      </c>
      <c r="O55" s="3">
        <v>71.080450156248844</v>
      </c>
      <c r="P55">
        <v>2</v>
      </c>
      <c r="Q55">
        <v>5</v>
      </c>
      <c r="R55">
        <v>0</v>
      </c>
      <c r="S55" t="s">
        <v>39</v>
      </c>
      <c r="T55">
        <f>2025</f>
        <v>2025</v>
      </c>
    </row>
    <row r="56" spans="1:20" x14ac:dyDescent="0.35">
      <c r="A56" s="2" t="s">
        <v>23</v>
      </c>
      <c r="B56" s="2" t="s">
        <v>26</v>
      </c>
      <c r="C56" s="32">
        <v>45689</v>
      </c>
      <c r="D56" s="2" t="s">
        <v>19</v>
      </c>
      <c r="E56">
        <v>16</v>
      </c>
      <c r="F56" t="s">
        <v>31</v>
      </c>
      <c r="G56" s="1">
        <v>13160.5</v>
      </c>
      <c r="H56" s="1">
        <v>35199.910000000003</v>
      </c>
      <c r="I56" s="1">
        <v>0</v>
      </c>
      <c r="J56" s="1">
        <v>0</v>
      </c>
      <c r="K56" s="1">
        <v>0</v>
      </c>
      <c r="L56" s="1">
        <v>0</v>
      </c>
      <c r="M56" s="1">
        <v>1465.5</v>
      </c>
      <c r="N56" s="1">
        <v>0</v>
      </c>
      <c r="O56" s="3">
        <v>55.345988293799749</v>
      </c>
      <c r="P56">
        <v>10</v>
      </c>
      <c r="Q56">
        <v>1</v>
      </c>
      <c r="R56">
        <v>0</v>
      </c>
      <c r="S56" t="s">
        <v>39</v>
      </c>
      <c r="T56">
        <f>2025</f>
        <v>2025</v>
      </c>
    </row>
    <row r="57" spans="1:20" hidden="1" x14ac:dyDescent="0.35">
      <c r="A57" s="2" t="s">
        <v>23</v>
      </c>
      <c r="B57" s="2" t="s">
        <v>26</v>
      </c>
      <c r="C57" s="32">
        <v>45717</v>
      </c>
      <c r="D57" s="2" t="s">
        <v>27</v>
      </c>
      <c r="E57">
        <v>9</v>
      </c>
      <c r="F57" t="s">
        <v>48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 t="s">
        <v>28</v>
      </c>
      <c r="P57">
        <v>0</v>
      </c>
      <c r="Q57">
        <v>2</v>
      </c>
      <c r="R57">
        <v>0</v>
      </c>
      <c r="S57" t="s">
        <v>39</v>
      </c>
      <c r="T57">
        <f>2025</f>
        <v>2025</v>
      </c>
    </row>
    <row r="58" spans="1:20" hidden="1" x14ac:dyDescent="0.35">
      <c r="A58" s="2" t="s">
        <v>23</v>
      </c>
      <c r="B58" s="2" t="s">
        <v>26</v>
      </c>
      <c r="C58" s="32">
        <v>45717</v>
      </c>
      <c r="D58" s="2" t="s">
        <v>27</v>
      </c>
      <c r="E58">
        <v>10</v>
      </c>
      <c r="F58" t="s">
        <v>48</v>
      </c>
      <c r="G58" s="1">
        <v>13737.48</v>
      </c>
      <c r="H58" s="1">
        <v>21638.12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3">
        <v>51.500559209402127</v>
      </c>
      <c r="P58">
        <v>1</v>
      </c>
      <c r="Q58">
        <v>0</v>
      </c>
      <c r="R58">
        <v>0</v>
      </c>
      <c r="S58" t="s">
        <v>39</v>
      </c>
      <c r="T58">
        <f>2025</f>
        <v>2025</v>
      </c>
    </row>
    <row r="59" spans="1:20" hidden="1" x14ac:dyDescent="0.35">
      <c r="A59" s="2" t="s">
        <v>23</v>
      </c>
      <c r="B59" s="2" t="s">
        <v>26</v>
      </c>
      <c r="C59" s="32">
        <v>45717</v>
      </c>
      <c r="D59" s="2" t="s">
        <v>27</v>
      </c>
      <c r="E59">
        <v>13</v>
      </c>
      <c r="F59" t="s">
        <v>48</v>
      </c>
      <c r="G59" s="1">
        <v>978.08</v>
      </c>
      <c r="H59" s="1">
        <v>265154.03000000003</v>
      </c>
      <c r="I59" s="1">
        <v>6821.86</v>
      </c>
      <c r="J59" s="1">
        <v>0</v>
      </c>
      <c r="K59" s="1">
        <v>0</v>
      </c>
      <c r="L59" s="1">
        <v>0</v>
      </c>
      <c r="M59" s="1">
        <v>984.56</v>
      </c>
      <c r="N59" s="1">
        <v>0</v>
      </c>
      <c r="O59" s="3">
        <v>148.53762011707477</v>
      </c>
      <c r="P59">
        <v>8</v>
      </c>
      <c r="Q59">
        <v>4</v>
      </c>
      <c r="R59">
        <v>0</v>
      </c>
      <c r="S59" t="s">
        <v>39</v>
      </c>
      <c r="T59">
        <f>2025</f>
        <v>2025</v>
      </c>
    </row>
    <row r="60" spans="1:20" hidden="1" x14ac:dyDescent="0.35">
      <c r="A60" s="2" t="s">
        <v>23</v>
      </c>
      <c r="B60" s="2" t="s">
        <v>26</v>
      </c>
      <c r="C60" s="32">
        <v>45717</v>
      </c>
      <c r="D60" s="2" t="s">
        <v>27</v>
      </c>
      <c r="E60">
        <v>14</v>
      </c>
      <c r="F60" t="s">
        <v>48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3" t="s">
        <v>28</v>
      </c>
      <c r="P60">
        <v>0</v>
      </c>
      <c r="Q60">
        <v>1</v>
      </c>
      <c r="R60">
        <v>0</v>
      </c>
      <c r="S60" t="s">
        <v>39</v>
      </c>
      <c r="T60">
        <f>2025</f>
        <v>2025</v>
      </c>
    </row>
    <row r="61" spans="1:20" hidden="1" x14ac:dyDescent="0.35">
      <c r="A61" s="2" t="s">
        <v>23</v>
      </c>
      <c r="B61" s="2" t="s">
        <v>26</v>
      </c>
      <c r="C61" s="32">
        <v>45717</v>
      </c>
      <c r="D61" s="2" t="s">
        <v>27</v>
      </c>
      <c r="E61">
        <v>16</v>
      </c>
      <c r="F61" t="s">
        <v>48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3" t="s">
        <v>28</v>
      </c>
      <c r="P61">
        <v>0</v>
      </c>
      <c r="Q61">
        <v>1</v>
      </c>
      <c r="R61">
        <v>0</v>
      </c>
      <c r="S61" t="s">
        <v>39</v>
      </c>
      <c r="T61">
        <f>2025</f>
        <v>2025</v>
      </c>
    </row>
    <row r="62" spans="1:20" hidden="1" x14ac:dyDescent="0.35">
      <c r="A62" s="2" t="s">
        <v>23</v>
      </c>
      <c r="B62" s="2" t="s">
        <v>26</v>
      </c>
      <c r="C62" s="32">
        <v>45717</v>
      </c>
      <c r="D62" s="2" t="s">
        <v>29</v>
      </c>
      <c r="E62">
        <v>6</v>
      </c>
      <c r="F62" t="s">
        <v>48</v>
      </c>
      <c r="G62" s="1">
        <v>0</v>
      </c>
      <c r="H62" s="1">
        <v>118068.97</v>
      </c>
      <c r="I62" s="1">
        <v>2505.87</v>
      </c>
      <c r="J62" s="1">
        <v>0</v>
      </c>
      <c r="K62" s="1">
        <v>0</v>
      </c>
      <c r="L62" s="1">
        <v>0</v>
      </c>
      <c r="M62" s="1">
        <v>16486.52</v>
      </c>
      <c r="N62" s="1">
        <v>0</v>
      </c>
      <c r="O62" s="3">
        <v>205.68469772751754</v>
      </c>
      <c r="P62">
        <v>6</v>
      </c>
      <c r="Q62">
        <v>13</v>
      </c>
      <c r="R62">
        <v>0</v>
      </c>
      <c r="S62" t="s">
        <v>39</v>
      </c>
      <c r="T62">
        <f>2025</f>
        <v>2025</v>
      </c>
    </row>
    <row r="63" spans="1:20" hidden="1" x14ac:dyDescent="0.35">
      <c r="A63" s="2" t="s">
        <v>23</v>
      </c>
      <c r="B63" s="2" t="s">
        <v>26</v>
      </c>
      <c r="C63" s="32">
        <v>45717</v>
      </c>
      <c r="D63" s="2" t="s">
        <v>29</v>
      </c>
      <c r="E63">
        <v>8</v>
      </c>
      <c r="F63" t="s">
        <v>48</v>
      </c>
      <c r="G63" s="1">
        <v>0</v>
      </c>
      <c r="H63" s="1">
        <v>134667.89000000004</v>
      </c>
      <c r="I63" s="1">
        <v>5454.27</v>
      </c>
      <c r="J63" s="1">
        <v>0</v>
      </c>
      <c r="K63" s="1">
        <v>0</v>
      </c>
      <c r="L63" s="1">
        <v>0</v>
      </c>
      <c r="M63" s="1">
        <v>19537.719999999998</v>
      </c>
      <c r="N63" s="1">
        <v>53207.54</v>
      </c>
      <c r="O63" s="3">
        <v>163.74160848882602</v>
      </c>
      <c r="P63">
        <v>15</v>
      </c>
      <c r="Q63">
        <v>17</v>
      </c>
      <c r="R63">
        <v>2</v>
      </c>
      <c r="S63" t="s">
        <v>39</v>
      </c>
      <c r="T63">
        <f>2025</f>
        <v>2025</v>
      </c>
    </row>
    <row r="64" spans="1:20" hidden="1" x14ac:dyDescent="0.35">
      <c r="A64" s="2" t="s">
        <v>23</v>
      </c>
      <c r="B64" s="2" t="s">
        <v>26</v>
      </c>
      <c r="C64" s="32">
        <v>45717</v>
      </c>
      <c r="D64" s="2" t="s">
        <v>29</v>
      </c>
      <c r="E64">
        <v>9</v>
      </c>
      <c r="F64" t="s">
        <v>48</v>
      </c>
      <c r="G64" s="1">
        <v>7834.09</v>
      </c>
      <c r="H64" s="1">
        <v>143124.53999999998</v>
      </c>
      <c r="I64" s="1">
        <v>800.52</v>
      </c>
      <c r="J64" s="1">
        <v>0</v>
      </c>
      <c r="K64" s="1">
        <v>0</v>
      </c>
      <c r="L64" s="1">
        <v>0</v>
      </c>
      <c r="M64" s="1">
        <v>18728.809999999998</v>
      </c>
      <c r="N64" s="1">
        <v>0</v>
      </c>
      <c r="O64" s="3">
        <v>152.15841707629079</v>
      </c>
      <c r="P64">
        <v>10</v>
      </c>
      <c r="Q64">
        <v>37</v>
      </c>
      <c r="R64">
        <v>0</v>
      </c>
      <c r="S64" t="s">
        <v>39</v>
      </c>
      <c r="T64">
        <f>2025</f>
        <v>2025</v>
      </c>
    </row>
    <row r="65" spans="1:20" hidden="1" x14ac:dyDescent="0.35">
      <c r="A65" s="2" t="s">
        <v>23</v>
      </c>
      <c r="B65" s="2" t="s">
        <v>26</v>
      </c>
      <c r="C65" s="32">
        <v>45717</v>
      </c>
      <c r="D65" s="2" t="s">
        <v>29</v>
      </c>
      <c r="E65">
        <v>10</v>
      </c>
      <c r="F65" t="s">
        <v>48</v>
      </c>
      <c r="G65" s="1">
        <v>10535.35</v>
      </c>
      <c r="H65" s="1">
        <v>681623.15999999992</v>
      </c>
      <c r="I65" s="1">
        <v>172599.58000000002</v>
      </c>
      <c r="J65" s="1">
        <v>0</v>
      </c>
      <c r="K65" s="1">
        <v>0</v>
      </c>
      <c r="L65" s="1">
        <v>0</v>
      </c>
      <c r="M65" s="1">
        <v>83008.659999999989</v>
      </c>
      <c r="N65" s="1">
        <v>5518.06</v>
      </c>
      <c r="O65" s="3">
        <v>146.14539586068597</v>
      </c>
      <c r="P65">
        <v>36</v>
      </c>
      <c r="Q65">
        <v>58</v>
      </c>
      <c r="R65">
        <v>1</v>
      </c>
      <c r="S65" t="s">
        <v>39</v>
      </c>
      <c r="T65">
        <f>2025</f>
        <v>2025</v>
      </c>
    </row>
    <row r="66" spans="1:20" hidden="1" x14ac:dyDescent="0.35">
      <c r="A66" s="2" t="s">
        <v>23</v>
      </c>
      <c r="B66" s="2" t="s">
        <v>26</v>
      </c>
      <c r="C66" s="32">
        <v>45717</v>
      </c>
      <c r="D66" s="2" t="s">
        <v>29</v>
      </c>
      <c r="E66">
        <v>13</v>
      </c>
      <c r="F66" t="s">
        <v>48</v>
      </c>
      <c r="G66" s="1">
        <v>9326.94</v>
      </c>
      <c r="H66" s="1">
        <v>129948.18000000001</v>
      </c>
      <c r="I66" s="1">
        <v>0</v>
      </c>
      <c r="J66" s="1">
        <v>0</v>
      </c>
      <c r="K66" s="1">
        <v>0</v>
      </c>
      <c r="L66" s="1">
        <v>0</v>
      </c>
      <c r="M66" s="1">
        <v>272.8</v>
      </c>
      <c r="N66" s="1">
        <v>0</v>
      </c>
      <c r="O66" s="3">
        <v>213.95533038483458</v>
      </c>
      <c r="P66">
        <v>3</v>
      </c>
      <c r="Q66">
        <v>16</v>
      </c>
      <c r="R66">
        <v>0</v>
      </c>
      <c r="S66" t="s">
        <v>39</v>
      </c>
      <c r="T66">
        <f>2025</f>
        <v>2025</v>
      </c>
    </row>
    <row r="67" spans="1:20" hidden="1" x14ac:dyDescent="0.35">
      <c r="A67" s="2" t="s">
        <v>23</v>
      </c>
      <c r="B67" s="2" t="s">
        <v>26</v>
      </c>
      <c r="C67" s="32">
        <v>45717</v>
      </c>
      <c r="D67" s="2" t="s">
        <v>29</v>
      </c>
      <c r="E67">
        <v>14</v>
      </c>
      <c r="F67" t="s">
        <v>48</v>
      </c>
      <c r="G67" s="1">
        <v>0</v>
      </c>
      <c r="H67" s="1">
        <v>335424.5</v>
      </c>
      <c r="I67" s="1">
        <v>35208.17</v>
      </c>
      <c r="J67" s="1">
        <v>0</v>
      </c>
      <c r="K67" s="1">
        <v>0</v>
      </c>
      <c r="L67" s="1">
        <v>0</v>
      </c>
      <c r="M67" s="1">
        <v>16008.06</v>
      </c>
      <c r="N67" s="1">
        <v>0</v>
      </c>
      <c r="O67" s="3">
        <v>255.6104604038992</v>
      </c>
      <c r="P67">
        <v>8</v>
      </c>
      <c r="Q67">
        <v>8</v>
      </c>
      <c r="R67">
        <v>0</v>
      </c>
      <c r="S67" t="s">
        <v>39</v>
      </c>
      <c r="T67">
        <f>2025</f>
        <v>2025</v>
      </c>
    </row>
    <row r="68" spans="1:20" hidden="1" x14ac:dyDescent="0.35">
      <c r="A68" s="2" t="s">
        <v>23</v>
      </c>
      <c r="B68" s="2" t="s">
        <v>26</v>
      </c>
      <c r="C68" s="32">
        <v>45717</v>
      </c>
      <c r="D68" s="2" t="s">
        <v>29</v>
      </c>
      <c r="E68">
        <v>15</v>
      </c>
      <c r="F68" t="s">
        <v>48</v>
      </c>
      <c r="G68" s="1">
        <v>0</v>
      </c>
      <c r="H68" s="1">
        <v>138001.45000000001</v>
      </c>
      <c r="I68" s="1">
        <v>0</v>
      </c>
      <c r="J68" s="1">
        <v>0</v>
      </c>
      <c r="K68" s="1">
        <v>0</v>
      </c>
      <c r="L68" s="1">
        <v>0</v>
      </c>
      <c r="M68" s="1">
        <v>4101.21</v>
      </c>
      <c r="N68" s="1">
        <v>0</v>
      </c>
      <c r="O68" s="3">
        <v>146.01279486115163</v>
      </c>
      <c r="P68">
        <v>2</v>
      </c>
      <c r="Q68">
        <v>6</v>
      </c>
      <c r="R68">
        <v>0</v>
      </c>
      <c r="S68" t="s">
        <v>39</v>
      </c>
      <c r="T68">
        <f>2025</f>
        <v>2025</v>
      </c>
    </row>
    <row r="69" spans="1:20" hidden="1" x14ac:dyDescent="0.35">
      <c r="A69" s="2" t="s">
        <v>23</v>
      </c>
      <c r="B69" s="2" t="s">
        <v>26</v>
      </c>
      <c r="C69" s="32">
        <v>45717</v>
      </c>
      <c r="D69" s="2" t="s">
        <v>29</v>
      </c>
      <c r="E69">
        <v>16</v>
      </c>
      <c r="F69" t="s">
        <v>48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3" t="s">
        <v>28</v>
      </c>
      <c r="P69">
        <v>0</v>
      </c>
      <c r="Q69">
        <v>5</v>
      </c>
      <c r="R69">
        <v>0</v>
      </c>
      <c r="S69" t="s">
        <v>39</v>
      </c>
      <c r="T69">
        <f>2025</f>
        <v>2025</v>
      </c>
    </row>
    <row r="70" spans="1:20" x14ac:dyDescent="0.35">
      <c r="A70" s="2" t="s">
        <v>23</v>
      </c>
      <c r="B70" s="2" t="s">
        <v>26</v>
      </c>
      <c r="C70" s="32">
        <v>45717</v>
      </c>
      <c r="D70" s="2" t="s">
        <v>19</v>
      </c>
      <c r="E70">
        <v>6</v>
      </c>
      <c r="F70" t="s">
        <v>30</v>
      </c>
      <c r="G70" s="1">
        <v>147.57</v>
      </c>
      <c r="H70" s="1">
        <v>9365.94</v>
      </c>
      <c r="I70" s="1">
        <v>0</v>
      </c>
      <c r="J70" s="1">
        <v>0</v>
      </c>
      <c r="K70" s="1">
        <v>0</v>
      </c>
      <c r="L70" s="1">
        <v>0</v>
      </c>
      <c r="M70" s="1">
        <v>7854.83</v>
      </c>
      <c r="N70" s="1">
        <v>0</v>
      </c>
      <c r="O70" s="3">
        <v>78.679364847865756</v>
      </c>
      <c r="P70">
        <v>3</v>
      </c>
      <c r="Q70">
        <v>25</v>
      </c>
      <c r="R70">
        <v>1</v>
      </c>
      <c r="S70" t="s">
        <v>39</v>
      </c>
      <c r="T70">
        <f>2025</f>
        <v>2025</v>
      </c>
    </row>
    <row r="71" spans="1:20" x14ac:dyDescent="0.35">
      <c r="A71" s="2" t="s">
        <v>23</v>
      </c>
      <c r="B71" s="2" t="s">
        <v>26</v>
      </c>
      <c r="C71" s="32">
        <v>45717</v>
      </c>
      <c r="D71" s="2" t="s">
        <v>19</v>
      </c>
      <c r="E71">
        <v>6</v>
      </c>
      <c r="F71" t="s">
        <v>31</v>
      </c>
      <c r="G71" s="1">
        <v>26746.32</v>
      </c>
      <c r="H71" s="1">
        <v>29792.969999999998</v>
      </c>
      <c r="I71" s="1">
        <v>0</v>
      </c>
      <c r="J71" s="1">
        <v>0</v>
      </c>
      <c r="K71" s="1">
        <v>0</v>
      </c>
      <c r="L71" s="1">
        <v>0</v>
      </c>
      <c r="M71" s="1">
        <v>16215.85</v>
      </c>
      <c r="N71" s="1">
        <v>0</v>
      </c>
      <c r="O71" s="3">
        <v>96.35537871944598</v>
      </c>
      <c r="P71">
        <v>24</v>
      </c>
      <c r="Q71">
        <v>5</v>
      </c>
      <c r="R71">
        <v>0</v>
      </c>
      <c r="S71" t="s">
        <v>39</v>
      </c>
      <c r="T71">
        <f>2025</f>
        <v>2025</v>
      </c>
    </row>
    <row r="72" spans="1:20" x14ac:dyDescent="0.35">
      <c r="A72" s="2" t="s">
        <v>23</v>
      </c>
      <c r="B72" s="2" t="s">
        <v>26</v>
      </c>
      <c r="C72" s="32">
        <v>45717</v>
      </c>
      <c r="D72" s="2" t="s">
        <v>19</v>
      </c>
      <c r="E72">
        <v>8</v>
      </c>
      <c r="F72" t="s">
        <v>30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3" t="s">
        <v>28</v>
      </c>
      <c r="P72">
        <v>0</v>
      </c>
      <c r="Q72">
        <v>24</v>
      </c>
      <c r="R72">
        <v>0</v>
      </c>
      <c r="S72" t="s">
        <v>39</v>
      </c>
      <c r="T72">
        <f>2025</f>
        <v>2025</v>
      </c>
    </row>
    <row r="73" spans="1:20" x14ac:dyDescent="0.35">
      <c r="A73" s="2" t="s">
        <v>23</v>
      </c>
      <c r="B73" s="2" t="s">
        <v>26</v>
      </c>
      <c r="C73" s="32">
        <v>45717</v>
      </c>
      <c r="D73" s="2" t="s">
        <v>19</v>
      </c>
      <c r="E73">
        <v>8</v>
      </c>
      <c r="F73" t="s">
        <v>31</v>
      </c>
      <c r="G73" s="1">
        <v>0</v>
      </c>
      <c r="H73" s="1">
        <v>20091.79</v>
      </c>
      <c r="I73" s="1">
        <v>0</v>
      </c>
      <c r="J73" s="1">
        <v>0</v>
      </c>
      <c r="K73" s="1">
        <v>0</v>
      </c>
      <c r="L73" s="1">
        <v>0</v>
      </c>
      <c r="M73" s="1">
        <v>2035.3899999999999</v>
      </c>
      <c r="N73" s="1">
        <v>0</v>
      </c>
      <c r="O73" s="3">
        <v>67.785826931506136</v>
      </c>
      <c r="P73">
        <v>19</v>
      </c>
      <c r="Q73">
        <v>3</v>
      </c>
      <c r="R73">
        <v>3</v>
      </c>
      <c r="S73" t="s">
        <v>39</v>
      </c>
      <c r="T73">
        <f>2025</f>
        <v>2025</v>
      </c>
    </row>
    <row r="74" spans="1:20" x14ac:dyDescent="0.35">
      <c r="A74" s="2" t="s">
        <v>23</v>
      </c>
      <c r="B74" s="2" t="s">
        <v>26</v>
      </c>
      <c r="C74" s="32">
        <v>45717</v>
      </c>
      <c r="D74" s="2" t="s">
        <v>19</v>
      </c>
      <c r="E74">
        <v>9</v>
      </c>
      <c r="F74" t="s">
        <v>30</v>
      </c>
      <c r="G74" s="1">
        <v>0</v>
      </c>
      <c r="H74" s="1">
        <v>1128.81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3">
        <v>33.576668185651215</v>
      </c>
      <c r="P74">
        <v>2</v>
      </c>
      <c r="Q74">
        <v>35</v>
      </c>
      <c r="R74">
        <v>1</v>
      </c>
      <c r="S74" t="s">
        <v>39</v>
      </c>
      <c r="T74">
        <f>2025</f>
        <v>2025</v>
      </c>
    </row>
    <row r="75" spans="1:20" x14ac:dyDescent="0.35">
      <c r="A75" s="2" t="s">
        <v>23</v>
      </c>
      <c r="B75" s="2" t="s">
        <v>26</v>
      </c>
      <c r="C75" s="32">
        <v>45717</v>
      </c>
      <c r="D75" s="2" t="s">
        <v>19</v>
      </c>
      <c r="E75">
        <v>9</v>
      </c>
      <c r="F75" t="s">
        <v>31</v>
      </c>
      <c r="G75" s="1">
        <v>14866.3</v>
      </c>
      <c r="H75" s="1">
        <v>28498.43</v>
      </c>
      <c r="I75" s="1">
        <v>108951.35</v>
      </c>
      <c r="J75" s="1">
        <v>0</v>
      </c>
      <c r="K75" s="1">
        <v>0</v>
      </c>
      <c r="L75" s="1">
        <v>0</v>
      </c>
      <c r="M75" s="1">
        <v>13932.75</v>
      </c>
      <c r="N75" s="1">
        <v>0</v>
      </c>
      <c r="O75" s="3">
        <v>76.271049155479602</v>
      </c>
      <c r="P75">
        <v>29</v>
      </c>
      <c r="Q75">
        <v>3</v>
      </c>
      <c r="R75">
        <v>1</v>
      </c>
      <c r="S75" t="s">
        <v>39</v>
      </c>
      <c r="T75">
        <f>2025</f>
        <v>2025</v>
      </c>
    </row>
    <row r="76" spans="1:20" x14ac:dyDescent="0.35">
      <c r="A76" s="2" t="s">
        <v>23</v>
      </c>
      <c r="B76" s="2" t="s">
        <v>26</v>
      </c>
      <c r="C76" s="32">
        <v>45717</v>
      </c>
      <c r="D76" s="2" t="s">
        <v>19</v>
      </c>
      <c r="E76">
        <v>10</v>
      </c>
      <c r="F76" t="s">
        <v>30</v>
      </c>
      <c r="G76" s="1">
        <v>0</v>
      </c>
      <c r="H76" s="1">
        <v>21068.54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3">
        <v>73.939913683932289</v>
      </c>
      <c r="P76">
        <v>6</v>
      </c>
      <c r="Q76">
        <v>83</v>
      </c>
      <c r="R76">
        <v>2</v>
      </c>
      <c r="S76" t="s">
        <v>39</v>
      </c>
      <c r="T76">
        <f>2025</f>
        <v>2025</v>
      </c>
    </row>
    <row r="77" spans="1:20" x14ac:dyDescent="0.35">
      <c r="A77" s="2" t="s">
        <v>23</v>
      </c>
      <c r="B77" s="2" t="s">
        <v>26</v>
      </c>
      <c r="C77" s="32">
        <v>45717</v>
      </c>
      <c r="D77" s="2" t="s">
        <v>19</v>
      </c>
      <c r="E77">
        <v>10</v>
      </c>
      <c r="F77" t="s">
        <v>31</v>
      </c>
      <c r="G77" s="1">
        <v>182957.77000000002</v>
      </c>
      <c r="H77" s="1">
        <v>145521.29</v>
      </c>
      <c r="I77" s="1">
        <v>361766.91000000003</v>
      </c>
      <c r="J77" s="1">
        <v>0</v>
      </c>
      <c r="K77" s="1">
        <v>0</v>
      </c>
      <c r="L77" s="1">
        <v>0</v>
      </c>
      <c r="M77" s="1">
        <v>166554.77000000002</v>
      </c>
      <c r="N77" s="1">
        <v>782413.52000000014</v>
      </c>
      <c r="O77" s="3">
        <v>109.00326078287699</v>
      </c>
      <c r="P77">
        <v>41</v>
      </c>
      <c r="Q77">
        <v>2</v>
      </c>
      <c r="R77">
        <v>1</v>
      </c>
      <c r="S77" t="s">
        <v>39</v>
      </c>
      <c r="T77">
        <f>2025</f>
        <v>2025</v>
      </c>
    </row>
    <row r="78" spans="1:20" x14ac:dyDescent="0.35">
      <c r="A78" s="2" t="s">
        <v>23</v>
      </c>
      <c r="B78" s="2" t="s">
        <v>26</v>
      </c>
      <c r="C78" s="32">
        <v>45717</v>
      </c>
      <c r="D78" s="2" t="s">
        <v>19</v>
      </c>
      <c r="E78">
        <v>13</v>
      </c>
      <c r="F78" t="s">
        <v>30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3" t="s">
        <v>28</v>
      </c>
      <c r="P78">
        <v>0</v>
      </c>
      <c r="Q78">
        <v>15</v>
      </c>
      <c r="R78">
        <v>11</v>
      </c>
      <c r="S78" t="s">
        <v>39</v>
      </c>
      <c r="T78">
        <f>2025</f>
        <v>2025</v>
      </c>
    </row>
    <row r="79" spans="1:20" x14ac:dyDescent="0.35">
      <c r="A79" s="2" t="s">
        <v>23</v>
      </c>
      <c r="B79" s="2" t="s">
        <v>26</v>
      </c>
      <c r="C79" s="32">
        <v>45717</v>
      </c>
      <c r="D79" s="2" t="s">
        <v>19</v>
      </c>
      <c r="E79">
        <v>13</v>
      </c>
      <c r="F79" t="s">
        <v>31</v>
      </c>
      <c r="G79" s="1">
        <v>326209.7</v>
      </c>
      <c r="H79" s="1">
        <v>4060.96</v>
      </c>
      <c r="I79" s="1">
        <v>10</v>
      </c>
      <c r="J79" s="1">
        <v>0</v>
      </c>
      <c r="K79" s="1">
        <v>0</v>
      </c>
      <c r="L79" s="1">
        <v>0</v>
      </c>
      <c r="M79" s="1">
        <v>38263.39</v>
      </c>
      <c r="N79" s="1">
        <v>0</v>
      </c>
      <c r="O79" s="3">
        <v>93.340945532188925</v>
      </c>
      <c r="P79">
        <v>8</v>
      </c>
      <c r="Q79">
        <v>0</v>
      </c>
      <c r="R79">
        <v>0</v>
      </c>
      <c r="S79" t="s">
        <v>39</v>
      </c>
      <c r="T79">
        <f>2025</f>
        <v>2025</v>
      </c>
    </row>
    <row r="80" spans="1:20" x14ac:dyDescent="0.35">
      <c r="A80" s="2" t="s">
        <v>23</v>
      </c>
      <c r="B80" s="2" t="s">
        <v>26</v>
      </c>
      <c r="C80" s="32">
        <v>45717</v>
      </c>
      <c r="D80" s="2" t="s">
        <v>19</v>
      </c>
      <c r="E80">
        <v>14</v>
      </c>
      <c r="F80" t="s">
        <v>30</v>
      </c>
      <c r="G80" s="1">
        <v>0</v>
      </c>
      <c r="H80" s="1">
        <v>4235.18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3">
        <v>19.04594254030053</v>
      </c>
      <c r="P80">
        <v>4</v>
      </c>
      <c r="Q80">
        <v>60</v>
      </c>
      <c r="R80">
        <v>0</v>
      </c>
      <c r="S80" t="s">
        <v>39</v>
      </c>
      <c r="T80">
        <f>2025</f>
        <v>2025</v>
      </c>
    </row>
    <row r="81" spans="1:20" x14ac:dyDescent="0.35">
      <c r="A81" s="2" t="s">
        <v>23</v>
      </c>
      <c r="B81" s="2" t="s">
        <v>26</v>
      </c>
      <c r="C81" s="32">
        <v>45717</v>
      </c>
      <c r="D81" s="2" t="s">
        <v>19</v>
      </c>
      <c r="E81">
        <v>14</v>
      </c>
      <c r="F81" t="s">
        <v>31</v>
      </c>
      <c r="G81" s="1">
        <v>663851.19000000006</v>
      </c>
      <c r="H81" s="1">
        <v>142507.91999999995</v>
      </c>
      <c r="I81" s="1">
        <v>115275.63</v>
      </c>
      <c r="J81" s="1">
        <v>0</v>
      </c>
      <c r="K81" s="1">
        <v>0</v>
      </c>
      <c r="L81" s="1">
        <v>0</v>
      </c>
      <c r="M81" s="1">
        <v>148222.01</v>
      </c>
      <c r="N81" s="1">
        <v>0</v>
      </c>
      <c r="O81" s="3">
        <v>90.934943114025458</v>
      </c>
      <c r="P81">
        <v>43</v>
      </c>
      <c r="Q81">
        <v>5</v>
      </c>
      <c r="R81">
        <v>0</v>
      </c>
      <c r="S81" t="s">
        <v>39</v>
      </c>
      <c r="T81">
        <f>2025</f>
        <v>2025</v>
      </c>
    </row>
    <row r="82" spans="1:20" x14ac:dyDescent="0.35">
      <c r="A82" s="2" t="s">
        <v>23</v>
      </c>
      <c r="B82" s="2" t="s">
        <v>26</v>
      </c>
      <c r="C82" s="32">
        <v>45717</v>
      </c>
      <c r="D82" s="2" t="s">
        <v>19</v>
      </c>
      <c r="E82">
        <v>15</v>
      </c>
      <c r="F82" t="s">
        <v>30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3" t="s">
        <v>28</v>
      </c>
      <c r="P82">
        <v>0</v>
      </c>
      <c r="Q82">
        <v>23</v>
      </c>
      <c r="R82">
        <v>0</v>
      </c>
      <c r="S82" t="s">
        <v>39</v>
      </c>
      <c r="T82">
        <f>2025</f>
        <v>2025</v>
      </c>
    </row>
    <row r="83" spans="1:20" x14ac:dyDescent="0.35">
      <c r="A83" s="2" t="s">
        <v>23</v>
      </c>
      <c r="B83" s="2" t="s">
        <v>26</v>
      </c>
      <c r="C83" s="32">
        <v>45717</v>
      </c>
      <c r="D83" s="2" t="s">
        <v>19</v>
      </c>
      <c r="E83">
        <v>15</v>
      </c>
      <c r="F83" t="s">
        <v>31</v>
      </c>
      <c r="G83" s="1">
        <v>0</v>
      </c>
      <c r="H83" s="1">
        <v>4244.8599999999997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3">
        <v>261.34968923292035</v>
      </c>
      <c r="P83">
        <v>5</v>
      </c>
      <c r="Q83">
        <v>0</v>
      </c>
      <c r="R83">
        <v>0</v>
      </c>
      <c r="S83" t="s">
        <v>39</v>
      </c>
      <c r="T83">
        <f>2025</f>
        <v>2025</v>
      </c>
    </row>
    <row r="84" spans="1:20" x14ac:dyDescent="0.35">
      <c r="A84" s="2" t="s">
        <v>23</v>
      </c>
      <c r="B84" s="2" t="s">
        <v>26</v>
      </c>
      <c r="C84" s="32">
        <v>45717</v>
      </c>
      <c r="D84" s="2" t="s">
        <v>19</v>
      </c>
      <c r="E84">
        <v>16</v>
      </c>
      <c r="F84" t="s">
        <v>30</v>
      </c>
      <c r="G84" s="1">
        <v>0</v>
      </c>
      <c r="H84" s="1">
        <v>5129.8500000000004</v>
      </c>
      <c r="I84" s="1">
        <v>0</v>
      </c>
      <c r="J84" s="1">
        <v>0</v>
      </c>
      <c r="K84" s="1">
        <v>0</v>
      </c>
      <c r="L84" s="1">
        <v>0</v>
      </c>
      <c r="M84" s="1">
        <v>459.26</v>
      </c>
      <c r="N84" s="1">
        <v>0</v>
      </c>
      <c r="O84" s="3">
        <v>94.097066787966469</v>
      </c>
      <c r="P84">
        <v>3</v>
      </c>
      <c r="Q84">
        <v>6</v>
      </c>
      <c r="R84">
        <v>0</v>
      </c>
      <c r="S84" t="s">
        <v>39</v>
      </c>
      <c r="T84">
        <f>2025</f>
        <v>2025</v>
      </c>
    </row>
    <row r="85" spans="1:20" x14ac:dyDescent="0.35">
      <c r="A85" s="2" t="s">
        <v>23</v>
      </c>
      <c r="B85" s="2" t="s">
        <v>26</v>
      </c>
      <c r="C85" s="32">
        <v>45717</v>
      </c>
      <c r="D85" s="2" t="s">
        <v>19</v>
      </c>
      <c r="E85">
        <v>16</v>
      </c>
      <c r="F85" t="s">
        <v>31</v>
      </c>
      <c r="G85" s="1">
        <v>0</v>
      </c>
      <c r="H85" s="1">
        <v>7543.45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3">
        <v>74.48937698480222</v>
      </c>
      <c r="P85">
        <v>2</v>
      </c>
      <c r="Q85">
        <v>0</v>
      </c>
      <c r="R85">
        <v>0</v>
      </c>
      <c r="S85" t="s">
        <v>39</v>
      </c>
      <c r="T85">
        <f>2025</f>
        <v>2025</v>
      </c>
    </row>
    <row r="86" spans="1:20" hidden="1" x14ac:dyDescent="0.35">
      <c r="A86" s="2" t="s">
        <v>23</v>
      </c>
      <c r="B86" s="2" t="s">
        <v>32</v>
      </c>
      <c r="C86" s="32">
        <v>45658</v>
      </c>
      <c r="D86" s="2" t="s">
        <v>27</v>
      </c>
      <c r="E86">
        <v>6</v>
      </c>
      <c r="F86" t="s">
        <v>48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3" t="s">
        <v>28</v>
      </c>
      <c r="P86">
        <v>0</v>
      </c>
      <c r="Q86">
        <v>3</v>
      </c>
      <c r="R86">
        <v>0</v>
      </c>
      <c r="S86" t="s">
        <v>39</v>
      </c>
      <c r="T86">
        <f>2025</f>
        <v>2025</v>
      </c>
    </row>
    <row r="87" spans="1:20" hidden="1" x14ac:dyDescent="0.35">
      <c r="A87" s="2" t="s">
        <v>23</v>
      </c>
      <c r="B87" s="2" t="s">
        <v>32</v>
      </c>
      <c r="C87" s="32">
        <v>45658</v>
      </c>
      <c r="D87" s="2" t="s">
        <v>27</v>
      </c>
      <c r="E87">
        <v>9</v>
      </c>
      <c r="F87" t="s">
        <v>48</v>
      </c>
      <c r="G87" s="1">
        <v>0</v>
      </c>
      <c r="H87" s="1">
        <v>0</v>
      </c>
      <c r="I87" s="1">
        <v>1594.8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3" t="s">
        <v>28</v>
      </c>
      <c r="P87">
        <v>0</v>
      </c>
      <c r="Q87">
        <v>0</v>
      </c>
      <c r="R87">
        <v>0</v>
      </c>
      <c r="S87" t="s">
        <v>39</v>
      </c>
      <c r="T87">
        <f>2025</f>
        <v>2025</v>
      </c>
    </row>
    <row r="88" spans="1:20" hidden="1" x14ac:dyDescent="0.35">
      <c r="A88" s="2" t="s">
        <v>23</v>
      </c>
      <c r="B88" s="2" t="s">
        <v>32</v>
      </c>
      <c r="C88" s="32">
        <v>45658</v>
      </c>
      <c r="D88" s="2" t="s">
        <v>27</v>
      </c>
      <c r="E88">
        <v>10</v>
      </c>
      <c r="F88" t="s">
        <v>48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3">
        <v>865.69887106039823</v>
      </c>
      <c r="P88">
        <v>0</v>
      </c>
      <c r="Q88">
        <v>0</v>
      </c>
      <c r="R88">
        <v>0</v>
      </c>
      <c r="S88" t="s">
        <v>39</v>
      </c>
      <c r="T88">
        <f>2025</f>
        <v>2025</v>
      </c>
    </row>
    <row r="89" spans="1:20" hidden="1" x14ac:dyDescent="0.35">
      <c r="A89" s="2" t="s">
        <v>23</v>
      </c>
      <c r="B89" s="2" t="s">
        <v>32</v>
      </c>
      <c r="C89" s="32">
        <v>45658</v>
      </c>
      <c r="D89" s="2" t="s">
        <v>27</v>
      </c>
      <c r="E89">
        <v>13</v>
      </c>
      <c r="F89" t="s">
        <v>48</v>
      </c>
      <c r="G89" s="1">
        <v>0</v>
      </c>
      <c r="H89" s="1">
        <v>58140.98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3">
        <v>426.59400001360336</v>
      </c>
      <c r="P89">
        <v>1</v>
      </c>
      <c r="Q89">
        <v>1</v>
      </c>
      <c r="R89">
        <v>0</v>
      </c>
      <c r="S89" t="s">
        <v>39</v>
      </c>
      <c r="T89">
        <f>2025</f>
        <v>2025</v>
      </c>
    </row>
    <row r="90" spans="1:20" hidden="1" x14ac:dyDescent="0.35">
      <c r="A90" s="2" t="s">
        <v>23</v>
      </c>
      <c r="B90" s="2" t="s">
        <v>32</v>
      </c>
      <c r="C90" s="32">
        <v>45658</v>
      </c>
      <c r="D90" s="2" t="s">
        <v>29</v>
      </c>
      <c r="E90">
        <v>6</v>
      </c>
      <c r="F90" t="s">
        <v>48</v>
      </c>
      <c r="G90" s="1">
        <v>5254.14</v>
      </c>
      <c r="H90" s="1">
        <v>207493.59</v>
      </c>
      <c r="I90" s="1">
        <v>25610.86</v>
      </c>
      <c r="J90" s="1">
        <v>0</v>
      </c>
      <c r="K90" s="1">
        <v>0</v>
      </c>
      <c r="L90" s="1">
        <v>0</v>
      </c>
      <c r="M90" s="1">
        <v>44078.159999999996</v>
      </c>
      <c r="N90" s="1">
        <v>0</v>
      </c>
      <c r="O90" s="3">
        <v>145.53038525400027</v>
      </c>
      <c r="P90">
        <v>9</v>
      </c>
      <c r="Q90">
        <v>10</v>
      </c>
      <c r="R90">
        <v>0</v>
      </c>
      <c r="S90" t="s">
        <v>39</v>
      </c>
      <c r="T90">
        <f>2025</f>
        <v>2025</v>
      </c>
    </row>
    <row r="91" spans="1:20" hidden="1" x14ac:dyDescent="0.35">
      <c r="A91" s="2" t="s">
        <v>23</v>
      </c>
      <c r="B91" s="2" t="s">
        <v>32</v>
      </c>
      <c r="C91" s="32">
        <v>45658</v>
      </c>
      <c r="D91" s="2" t="s">
        <v>29</v>
      </c>
      <c r="E91">
        <v>8</v>
      </c>
      <c r="F91" t="s">
        <v>48</v>
      </c>
      <c r="G91" s="1">
        <v>407599.73</v>
      </c>
      <c r="H91" s="1">
        <v>509279.53999999986</v>
      </c>
      <c r="I91" s="1">
        <v>438213.66999999993</v>
      </c>
      <c r="J91" s="1">
        <v>0</v>
      </c>
      <c r="K91" s="1">
        <v>0</v>
      </c>
      <c r="L91" s="1">
        <v>0</v>
      </c>
      <c r="M91" s="1">
        <v>151947.00999999998</v>
      </c>
      <c r="N91" s="1">
        <v>0</v>
      </c>
      <c r="O91" s="3">
        <v>432.80407600737504</v>
      </c>
      <c r="P91">
        <v>28</v>
      </c>
      <c r="Q91">
        <v>25</v>
      </c>
      <c r="R91">
        <v>0</v>
      </c>
      <c r="S91" t="s">
        <v>39</v>
      </c>
      <c r="T91">
        <f>2025</f>
        <v>2025</v>
      </c>
    </row>
    <row r="92" spans="1:20" hidden="1" x14ac:dyDescent="0.35">
      <c r="A92" s="2" t="s">
        <v>23</v>
      </c>
      <c r="B92" s="2" t="s">
        <v>32</v>
      </c>
      <c r="C92" s="32">
        <v>45658</v>
      </c>
      <c r="D92" s="2" t="s">
        <v>29</v>
      </c>
      <c r="E92">
        <v>9</v>
      </c>
      <c r="F92" t="s">
        <v>48</v>
      </c>
      <c r="G92" s="1">
        <v>0</v>
      </c>
      <c r="H92" s="1">
        <v>102394.17999999998</v>
      </c>
      <c r="I92" s="1">
        <v>29668.239999999998</v>
      </c>
      <c r="J92" s="1">
        <v>0</v>
      </c>
      <c r="K92" s="1">
        <v>0</v>
      </c>
      <c r="L92" s="1">
        <v>0</v>
      </c>
      <c r="M92" s="1">
        <v>21153.78</v>
      </c>
      <c r="N92" s="1">
        <v>0</v>
      </c>
      <c r="O92" s="3">
        <v>386.80410476233953</v>
      </c>
      <c r="P92">
        <v>5</v>
      </c>
      <c r="Q92">
        <v>15</v>
      </c>
      <c r="R92">
        <v>0</v>
      </c>
      <c r="S92" t="s">
        <v>39</v>
      </c>
      <c r="T92">
        <f>2025</f>
        <v>2025</v>
      </c>
    </row>
    <row r="93" spans="1:20" hidden="1" x14ac:dyDescent="0.35">
      <c r="A93" s="2" t="s">
        <v>23</v>
      </c>
      <c r="B93" s="2" t="s">
        <v>32</v>
      </c>
      <c r="C93" s="32">
        <v>45658</v>
      </c>
      <c r="D93" s="2" t="s">
        <v>29</v>
      </c>
      <c r="E93">
        <v>10</v>
      </c>
      <c r="F93" t="s">
        <v>48</v>
      </c>
      <c r="G93" s="1">
        <v>107214.66</v>
      </c>
      <c r="H93" s="1">
        <v>284377.37</v>
      </c>
      <c r="I93" s="1">
        <v>29236.239999999998</v>
      </c>
      <c r="J93" s="1">
        <v>0</v>
      </c>
      <c r="K93" s="1">
        <v>0</v>
      </c>
      <c r="L93" s="1">
        <v>0</v>
      </c>
      <c r="M93" s="1">
        <v>51516.41</v>
      </c>
      <c r="N93" s="1">
        <v>0</v>
      </c>
      <c r="O93" s="3">
        <v>370.05106634716714</v>
      </c>
      <c r="P93">
        <v>20</v>
      </c>
      <c r="Q93">
        <v>19</v>
      </c>
      <c r="R93">
        <v>0</v>
      </c>
      <c r="S93" t="s">
        <v>39</v>
      </c>
      <c r="T93">
        <f>2025</f>
        <v>2025</v>
      </c>
    </row>
    <row r="94" spans="1:20" hidden="1" x14ac:dyDescent="0.35">
      <c r="A94" s="2" t="s">
        <v>23</v>
      </c>
      <c r="B94" s="2" t="s">
        <v>32</v>
      </c>
      <c r="C94" s="32">
        <v>45658</v>
      </c>
      <c r="D94" s="2" t="s">
        <v>29</v>
      </c>
      <c r="E94">
        <v>13</v>
      </c>
      <c r="F94" t="s">
        <v>48</v>
      </c>
      <c r="G94" s="1">
        <v>0</v>
      </c>
      <c r="H94" s="1">
        <v>13440.8</v>
      </c>
      <c r="I94" s="1">
        <v>871.98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3">
        <v>681.5580811298023</v>
      </c>
      <c r="P94">
        <v>1</v>
      </c>
      <c r="Q94">
        <v>3</v>
      </c>
      <c r="R94">
        <v>0</v>
      </c>
      <c r="S94" t="s">
        <v>39</v>
      </c>
      <c r="T94">
        <f>2025</f>
        <v>2025</v>
      </c>
    </row>
    <row r="95" spans="1:20" hidden="1" x14ac:dyDescent="0.35">
      <c r="A95" s="2" t="s">
        <v>23</v>
      </c>
      <c r="B95" s="2" t="s">
        <v>32</v>
      </c>
      <c r="C95" s="32">
        <v>45658</v>
      </c>
      <c r="D95" s="2" t="s">
        <v>29</v>
      </c>
      <c r="E95">
        <v>14</v>
      </c>
      <c r="F95" t="s">
        <v>48</v>
      </c>
      <c r="G95" s="1">
        <v>0</v>
      </c>
      <c r="H95" s="1">
        <v>234178.46000000002</v>
      </c>
      <c r="I95" s="1">
        <v>33749.46</v>
      </c>
      <c r="J95" s="1">
        <v>0</v>
      </c>
      <c r="K95" s="1">
        <v>0</v>
      </c>
      <c r="L95" s="1">
        <v>0</v>
      </c>
      <c r="M95" s="1">
        <v>21924.560000000001</v>
      </c>
      <c r="N95" s="1">
        <v>0</v>
      </c>
      <c r="O95" s="3">
        <v>310.67504630984877</v>
      </c>
      <c r="P95">
        <v>4</v>
      </c>
      <c r="Q95">
        <v>10</v>
      </c>
      <c r="R95">
        <v>0</v>
      </c>
      <c r="S95" t="s">
        <v>39</v>
      </c>
      <c r="T95">
        <f>2025</f>
        <v>2025</v>
      </c>
    </row>
    <row r="96" spans="1:20" hidden="1" x14ac:dyDescent="0.35">
      <c r="A96" s="2" t="s">
        <v>23</v>
      </c>
      <c r="B96" s="2" t="s">
        <v>32</v>
      </c>
      <c r="C96" s="32">
        <v>45658</v>
      </c>
      <c r="D96" s="2" t="s">
        <v>29</v>
      </c>
      <c r="E96">
        <v>15</v>
      </c>
      <c r="F96" t="s">
        <v>48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3" t="s">
        <v>28</v>
      </c>
      <c r="P96">
        <v>0</v>
      </c>
      <c r="Q96">
        <v>6</v>
      </c>
      <c r="R96">
        <v>0</v>
      </c>
      <c r="S96" t="s">
        <v>39</v>
      </c>
      <c r="T96">
        <f>2025</f>
        <v>2025</v>
      </c>
    </row>
    <row r="97" spans="1:20" hidden="1" x14ac:dyDescent="0.35">
      <c r="A97" s="2" t="s">
        <v>23</v>
      </c>
      <c r="B97" s="2" t="s">
        <v>32</v>
      </c>
      <c r="C97" s="32">
        <v>45658</v>
      </c>
      <c r="D97" s="2" t="s">
        <v>29</v>
      </c>
      <c r="E97">
        <v>16</v>
      </c>
      <c r="F97" t="s">
        <v>48</v>
      </c>
      <c r="G97" s="1">
        <v>21427.46</v>
      </c>
      <c r="H97" s="1">
        <v>4143.12</v>
      </c>
      <c r="I97" s="1">
        <v>85.84</v>
      </c>
      <c r="J97" s="1">
        <v>0</v>
      </c>
      <c r="K97" s="1">
        <v>0</v>
      </c>
      <c r="L97" s="1">
        <v>0</v>
      </c>
      <c r="M97" s="1">
        <v>887.92</v>
      </c>
      <c r="N97" s="1">
        <v>0</v>
      </c>
      <c r="O97" s="3">
        <v>395.97014485689942</v>
      </c>
      <c r="P97">
        <v>2</v>
      </c>
      <c r="Q97">
        <v>6</v>
      </c>
      <c r="R97">
        <v>0</v>
      </c>
      <c r="S97" t="s">
        <v>39</v>
      </c>
      <c r="T97">
        <f>2025</f>
        <v>2025</v>
      </c>
    </row>
    <row r="98" spans="1:20" x14ac:dyDescent="0.35">
      <c r="A98" s="2" t="s">
        <v>23</v>
      </c>
      <c r="B98" s="2" t="s">
        <v>32</v>
      </c>
      <c r="C98" s="32">
        <v>45658</v>
      </c>
      <c r="D98" s="2" t="s">
        <v>19</v>
      </c>
      <c r="E98">
        <v>6</v>
      </c>
      <c r="F98" t="s">
        <v>30</v>
      </c>
      <c r="G98" s="1">
        <v>0</v>
      </c>
      <c r="H98" s="1">
        <v>51846.36</v>
      </c>
      <c r="I98" s="1">
        <v>0</v>
      </c>
      <c r="J98" s="1">
        <v>0</v>
      </c>
      <c r="K98" s="1">
        <v>0</v>
      </c>
      <c r="L98" s="1">
        <v>0</v>
      </c>
      <c r="M98" s="1">
        <v>9645.1</v>
      </c>
      <c r="N98" s="1">
        <v>1662.12</v>
      </c>
      <c r="O98" s="3">
        <v>300.13768464650155</v>
      </c>
      <c r="P98">
        <v>3</v>
      </c>
      <c r="Q98">
        <v>66</v>
      </c>
      <c r="R98">
        <v>0</v>
      </c>
      <c r="S98" t="s">
        <v>39</v>
      </c>
      <c r="T98">
        <f>2025</f>
        <v>2025</v>
      </c>
    </row>
    <row r="99" spans="1:20" x14ac:dyDescent="0.35">
      <c r="A99" s="2" t="s">
        <v>23</v>
      </c>
      <c r="B99" s="2" t="s">
        <v>32</v>
      </c>
      <c r="C99" s="32">
        <v>45658</v>
      </c>
      <c r="D99" s="2" t="s">
        <v>19</v>
      </c>
      <c r="E99">
        <v>6</v>
      </c>
      <c r="F99" t="s">
        <v>31</v>
      </c>
      <c r="G99" s="1">
        <v>0</v>
      </c>
      <c r="H99" s="1">
        <v>188168.47000000006</v>
      </c>
      <c r="I99" s="1">
        <v>33682.29</v>
      </c>
      <c r="J99" s="1">
        <v>0</v>
      </c>
      <c r="K99" s="1">
        <v>0</v>
      </c>
      <c r="L99" s="1">
        <v>0</v>
      </c>
      <c r="M99" s="1">
        <v>87667.7</v>
      </c>
      <c r="N99" s="1">
        <v>540601.47</v>
      </c>
      <c r="O99" s="3">
        <v>225.3797711634013</v>
      </c>
      <c r="P99">
        <v>73</v>
      </c>
      <c r="Q99">
        <v>1</v>
      </c>
      <c r="R99">
        <v>0</v>
      </c>
      <c r="S99" t="s">
        <v>39</v>
      </c>
      <c r="T99">
        <f>2025</f>
        <v>2025</v>
      </c>
    </row>
    <row r="100" spans="1:20" x14ac:dyDescent="0.35">
      <c r="A100" s="2" t="s">
        <v>23</v>
      </c>
      <c r="B100" s="2" t="s">
        <v>32</v>
      </c>
      <c r="C100" s="32">
        <v>45658</v>
      </c>
      <c r="D100" s="2" t="s">
        <v>19</v>
      </c>
      <c r="E100">
        <v>8</v>
      </c>
      <c r="F100" t="s">
        <v>30</v>
      </c>
      <c r="G100" s="1">
        <v>5857.96</v>
      </c>
      <c r="H100" s="1">
        <v>27012.05</v>
      </c>
      <c r="I100" s="1">
        <v>0</v>
      </c>
      <c r="J100" s="1">
        <v>0</v>
      </c>
      <c r="K100" s="1">
        <v>0</v>
      </c>
      <c r="L100" s="1">
        <v>0</v>
      </c>
      <c r="M100" s="1">
        <v>6796.6</v>
      </c>
      <c r="N100" s="1">
        <v>0</v>
      </c>
      <c r="O100" s="3">
        <v>236.11015624855827</v>
      </c>
      <c r="P100">
        <v>12</v>
      </c>
      <c r="Q100">
        <v>75</v>
      </c>
      <c r="R100">
        <v>0</v>
      </c>
      <c r="S100" t="s">
        <v>39</v>
      </c>
      <c r="T100">
        <f>2025</f>
        <v>2025</v>
      </c>
    </row>
    <row r="101" spans="1:20" x14ac:dyDescent="0.35">
      <c r="A101" s="2" t="s">
        <v>23</v>
      </c>
      <c r="B101" s="2" t="s">
        <v>32</v>
      </c>
      <c r="C101" s="32">
        <v>45658</v>
      </c>
      <c r="D101" s="2" t="s">
        <v>19</v>
      </c>
      <c r="E101">
        <v>8</v>
      </c>
      <c r="F101" t="s">
        <v>31</v>
      </c>
      <c r="G101" s="1">
        <v>64896.47</v>
      </c>
      <c r="H101" s="1">
        <v>234155.62</v>
      </c>
      <c r="I101" s="1">
        <v>240372.83</v>
      </c>
      <c r="J101" s="1">
        <v>0</v>
      </c>
      <c r="K101" s="1">
        <v>0</v>
      </c>
      <c r="L101" s="1">
        <v>0</v>
      </c>
      <c r="M101" s="1">
        <v>118076.68999999999</v>
      </c>
      <c r="N101" s="1">
        <v>562850.34</v>
      </c>
      <c r="O101" s="3">
        <v>194.95984998131524</v>
      </c>
      <c r="P101">
        <v>58</v>
      </c>
      <c r="Q101">
        <v>2</v>
      </c>
      <c r="R101">
        <v>0</v>
      </c>
      <c r="S101" t="s">
        <v>39</v>
      </c>
      <c r="T101">
        <f>2025</f>
        <v>2025</v>
      </c>
    </row>
    <row r="102" spans="1:20" x14ac:dyDescent="0.35">
      <c r="A102" s="2" t="s">
        <v>23</v>
      </c>
      <c r="B102" s="2" t="s">
        <v>32</v>
      </c>
      <c r="C102" s="32">
        <v>45658</v>
      </c>
      <c r="D102" s="2" t="s">
        <v>19</v>
      </c>
      <c r="E102">
        <v>9</v>
      </c>
      <c r="F102" t="s">
        <v>30</v>
      </c>
      <c r="G102" s="1">
        <v>0</v>
      </c>
      <c r="H102" s="1">
        <v>24250.05</v>
      </c>
      <c r="I102" s="1">
        <v>0</v>
      </c>
      <c r="J102" s="1">
        <v>0</v>
      </c>
      <c r="K102" s="1">
        <v>0</v>
      </c>
      <c r="L102" s="1">
        <v>0</v>
      </c>
      <c r="M102" s="1">
        <v>5731.24</v>
      </c>
      <c r="N102" s="1">
        <v>0</v>
      </c>
      <c r="O102" s="3">
        <v>258.0819986223978</v>
      </c>
      <c r="P102">
        <v>2</v>
      </c>
      <c r="Q102">
        <v>57</v>
      </c>
      <c r="R102">
        <v>0</v>
      </c>
      <c r="S102" t="s">
        <v>39</v>
      </c>
      <c r="T102">
        <f>2025</f>
        <v>2025</v>
      </c>
    </row>
    <row r="103" spans="1:20" x14ac:dyDescent="0.35">
      <c r="A103" s="2" t="s">
        <v>23</v>
      </c>
      <c r="B103" s="2" t="s">
        <v>32</v>
      </c>
      <c r="C103" s="32">
        <v>45658</v>
      </c>
      <c r="D103" s="2" t="s">
        <v>19</v>
      </c>
      <c r="E103">
        <v>9</v>
      </c>
      <c r="F103" t="s">
        <v>31</v>
      </c>
      <c r="G103" s="1">
        <v>0</v>
      </c>
      <c r="H103" s="1">
        <v>57994.830000000009</v>
      </c>
      <c r="I103" s="1">
        <v>558027.15000000014</v>
      </c>
      <c r="J103" s="1">
        <v>0</v>
      </c>
      <c r="K103" s="1">
        <v>0</v>
      </c>
      <c r="L103" s="1">
        <v>0</v>
      </c>
      <c r="M103" s="1">
        <v>58649.19</v>
      </c>
      <c r="N103" s="1">
        <v>457035.33999999997</v>
      </c>
      <c r="O103" s="3">
        <v>187.48534321844267</v>
      </c>
      <c r="P103">
        <v>57</v>
      </c>
      <c r="Q103">
        <v>2</v>
      </c>
      <c r="R103">
        <v>0</v>
      </c>
      <c r="S103" t="s">
        <v>39</v>
      </c>
      <c r="T103">
        <f>2025</f>
        <v>2025</v>
      </c>
    </row>
    <row r="104" spans="1:20" x14ac:dyDescent="0.35">
      <c r="A104" s="2" t="s">
        <v>23</v>
      </c>
      <c r="B104" s="2" t="s">
        <v>32</v>
      </c>
      <c r="C104" s="32">
        <v>45658</v>
      </c>
      <c r="D104" s="2" t="s">
        <v>19</v>
      </c>
      <c r="E104">
        <v>10</v>
      </c>
      <c r="F104" t="s">
        <v>30</v>
      </c>
      <c r="G104" s="1">
        <v>0</v>
      </c>
      <c r="H104" s="1">
        <v>121108.67000000001</v>
      </c>
      <c r="I104" s="1">
        <v>0</v>
      </c>
      <c r="J104" s="1">
        <v>0</v>
      </c>
      <c r="K104" s="1">
        <v>0</v>
      </c>
      <c r="L104" s="1">
        <v>0</v>
      </c>
      <c r="M104" s="1">
        <v>2099</v>
      </c>
      <c r="N104" s="1">
        <v>629.54999999999995</v>
      </c>
      <c r="O104" s="3">
        <v>552.59290413438839</v>
      </c>
      <c r="P104">
        <v>9</v>
      </c>
      <c r="Q104">
        <v>50</v>
      </c>
      <c r="R104">
        <v>0</v>
      </c>
      <c r="S104" t="s">
        <v>39</v>
      </c>
      <c r="T104">
        <f>2025</f>
        <v>2025</v>
      </c>
    </row>
    <row r="105" spans="1:20" x14ac:dyDescent="0.35">
      <c r="A105" s="2" t="s">
        <v>23</v>
      </c>
      <c r="B105" s="2" t="s">
        <v>32</v>
      </c>
      <c r="C105" s="32">
        <v>45658</v>
      </c>
      <c r="D105" s="2" t="s">
        <v>19</v>
      </c>
      <c r="E105">
        <v>10</v>
      </c>
      <c r="F105" t="s">
        <v>31</v>
      </c>
      <c r="G105" s="1">
        <v>348991.64</v>
      </c>
      <c r="H105" s="1">
        <v>186942.78000000003</v>
      </c>
      <c r="I105" s="1">
        <v>3384834.4</v>
      </c>
      <c r="J105" s="1">
        <v>0</v>
      </c>
      <c r="K105" s="1">
        <v>0</v>
      </c>
      <c r="L105" s="1">
        <v>0</v>
      </c>
      <c r="M105" s="1">
        <v>108805.98999999999</v>
      </c>
      <c r="N105" s="1">
        <v>127790.91</v>
      </c>
      <c r="O105" s="3">
        <v>274.10744734753672</v>
      </c>
      <c r="P105">
        <v>32</v>
      </c>
      <c r="Q105">
        <v>4</v>
      </c>
      <c r="R105">
        <v>0</v>
      </c>
      <c r="S105" t="s">
        <v>39</v>
      </c>
      <c r="T105">
        <f>2025</f>
        <v>2025</v>
      </c>
    </row>
    <row r="106" spans="1:20" x14ac:dyDescent="0.35">
      <c r="A106" s="2" t="s">
        <v>23</v>
      </c>
      <c r="B106" s="2" t="s">
        <v>32</v>
      </c>
      <c r="C106" s="32">
        <v>45658</v>
      </c>
      <c r="D106" s="2" t="s">
        <v>19</v>
      </c>
      <c r="E106">
        <v>13</v>
      </c>
      <c r="F106" t="s">
        <v>30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3" t="s">
        <v>28</v>
      </c>
      <c r="P106">
        <v>0</v>
      </c>
      <c r="Q106">
        <v>13</v>
      </c>
      <c r="R106">
        <v>0</v>
      </c>
      <c r="S106" t="s">
        <v>39</v>
      </c>
      <c r="T106">
        <f>2025</f>
        <v>2025</v>
      </c>
    </row>
    <row r="107" spans="1:20" x14ac:dyDescent="0.35">
      <c r="A107" s="2" t="s">
        <v>23</v>
      </c>
      <c r="B107" s="2" t="s">
        <v>32</v>
      </c>
      <c r="C107" s="32">
        <v>45658</v>
      </c>
      <c r="D107" s="2" t="s">
        <v>19</v>
      </c>
      <c r="E107">
        <v>13</v>
      </c>
      <c r="F107" t="s">
        <v>31</v>
      </c>
      <c r="G107" s="1">
        <v>0</v>
      </c>
      <c r="H107" s="1">
        <v>2719.92</v>
      </c>
      <c r="I107" s="1">
        <v>421642.98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3">
        <v>747.50942375476848</v>
      </c>
      <c r="P107">
        <v>4</v>
      </c>
      <c r="Q107">
        <v>0</v>
      </c>
      <c r="R107">
        <v>0</v>
      </c>
      <c r="S107" t="s">
        <v>39</v>
      </c>
      <c r="T107">
        <f>2025</f>
        <v>2025</v>
      </c>
    </row>
    <row r="108" spans="1:20" x14ac:dyDescent="0.35">
      <c r="A108" s="2" t="s">
        <v>23</v>
      </c>
      <c r="B108" s="2" t="s">
        <v>32</v>
      </c>
      <c r="C108" s="32">
        <v>45658</v>
      </c>
      <c r="D108" s="2" t="s">
        <v>19</v>
      </c>
      <c r="E108">
        <v>14</v>
      </c>
      <c r="F108" t="s">
        <v>30</v>
      </c>
      <c r="G108" s="1">
        <v>2856.63</v>
      </c>
      <c r="H108" s="1">
        <v>11436</v>
      </c>
      <c r="I108" s="1">
        <v>0</v>
      </c>
      <c r="J108" s="1">
        <v>0</v>
      </c>
      <c r="K108" s="1">
        <v>0</v>
      </c>
      <c r="L108" s="1">
        <v>0</v>
      </c>
      <c r="M108" s="1">
        <v>2650.11</v>
      </c>
      <c r="N108" s="1">
        <v>0</v>
      </c>
      <c r="O108" s="3">
        <v>483.36827546299901</v>
      </c>
      <c r="P108">
        <v>1</v>
      </c>
      <c r="Q108">
        <v>18</v>
      </c>
      <c r="R108">
        <v>0</v>
      </c>
      <c r="S108" t="s">
        <v>39</v>
      </c>
      <c r="T108">
        <f>2025</f>
        <v>2025</v>
      </c>
    </row>
    <row r="109" spans="1:20" x14ac:dyDescent="0.35">
      <c r="A109" s="2" t="s">
        <v>23</v>
      </c>
      <c r="B109" s="2" t="s">
        <v>32</v>
      </c>
      <c r="C109" s="32">
        <v>45658</v>
      </c>
      <c r="D109" s="2" t="s">
        <v>19</v>
      </c>
      <c r="E109">
        <v>14</v>
      </c>
      <c r="F109" t="s">
        <v>31</v>
      </c>
      <c r="G109" s="1">
        <v>18260.830000000002</v>
      </c>
      <c r="H109" s="1">
        <v>80141.17</v>
      </c>
      <c r="I109" s="1">
        <v>247042.94</v>
      </c>
      <c r="J109" s="1">
        <v>0</v>
      </c>
      <c r="K109" s="1">
        <v>0</v>
      </c>
      <c r="L109" s="1">
        <v>0</v>
      </c>
      <c r="M109" s="1">
        <v>39132.270000000004</v>
      </c>
      <c r="N109" s="1">
        <v>123907.38999999998</v>
      </c>
      <c r="O109" s="3">
        <v>178.67517237353252</v>
      </c>
      <c r="P109">
        <v>31</v>
      </c>
      <c r="Q109">
        <v>0</v>
      </c>
      <c r="R109">
        <v>0</v>
      </c>
      <c r="S109" t="s">
        <v>39</v>
      </c>
      <c r="T109">
        <f>2025</f>
        <v>2025</v>
      </c>
    </row>
    <row r="110" spans="1:20" x14ac:dyDescent="0.35">
      <c r="A110" s="2" t="s">
        <v>23</v>
      </c>
      <c r="B110" s="2" t="s">
        <v>32</v>
      </c>
      <c r="C110" s="32">
        <v>45658</v>
      </c>
      <c r="D110" s="2" t="s">
        <v>19</v>
      </c>
      <c r="E110">
        <v>15</v>
      </c>
      <c r="F110" t="s">
        <v>30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3" t="s">
        <v>28</v>
      </c>
      <c r="P110">
        <v>0</v>
      </c>
      <c r="Q110">
        <v>8</v>
      </c>
      <c r="R110">
        <v>0</v>
      </c>
      <c r="S110" t="s">
        <v>39</v>
      </c>
      <c r="T110">
        <f>2025</f>
        <v>2025</v>
      </c>
    </row>
    <row r="111" spans="1:20" x14ac:dyDescent="0.35">
      <c r="A111" s="2" t="s">
        <v>23</v>
      </c>
      <c r="B111" s="2" t="s">
        <v>32</v>
      </c>
      <c r="C111" s="32">
        <v>45658</v>
      </c>
      <c r="D111" s="2" t="s">
        <v>19</v>
      </c>
      <c r="E111">
        <v>15</v>
      </c>
      <c r="F111" t="s">
        <v>31</v>
      </c>
      <c r="G111" s="1">
        <v>0</v>
      </c>
      <c r="H111" s="1">
        <v>0</v>
      </c>
      <c r="I111" s="1">
        <v>70101.66</v>
      </c>
      <c r="J111" s="1">
        <v>0</v>
      </c>
      <c r="K111" s="1">
        <v>0</v>
      </c>
      <c r="L111" s="1">
        <v>0</v>
      </c>
      <c r="M111" s="1">
        <v>9986.42</v>
      </c>
      <c r="N111" s="1">
        <v>40658.67</v>
      </c>
      <c r="O111" s="3">
        <v>76.815981668101813</v>
      </c>
      <c r="P111">
        <v>4</v>
      </c>
      <c r="Q111">
        <v>0</v>
      </c>
      <c r="R111">
        <v>0</v>
      </c>
      <c r="S111" t="s">
        <v>39</v>
      </c>
      <c r="T111">
        <f>2025</f>
        <v>2025</v>
      </c>
    </row>
    <row r="112" spans="1:20" x14ac:dyDescent="0.35">
      <c r="A112" s="2" t="s">
        <v>23</v>
      </c>
      <c r="B112" s="2" t="s">
        <v>32</v>
      </c>
      <c r="C112" s="32">
        <v>45658</v>
      </c>
      <c r="D112" s="2" t="s">
        <v>19</v>
      </c>
      <c r="E112">
        <v>16</v>
      </c>
      <c r="F112" t="s">
        <v>30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3" t="s">
        <v>28</v>
      </c>
      <c r="P112">
        <v>0</v>
      </c>
      <c r="Q112">
        <v>11</v>
      </c>
      <c r="R112">
        <v>0</v>
      </c>
      <c r="S112" t="s">
        <v>39</v>
      </c>
      <c r="T112">
        <f>2025</f>
        <v>2025</v>
      </c>
    </row>
    <row r="113" spans="1:20" x14ac:dyDescent="0.35">
      <c r="A113" s="2" t="s">
        <v>23</v>
      </c>
      <c r="B113" s="2" t="s">
        <v>32</v>
      </c>
      <c r="C113" s="32">
        <v>45658</v>
      </c>
      <c r="D113" s="2" t="s">
        <v>19</v>
      </c>
      <c r="E113">
        <v>16</v>
      </c>
      <c r="F113" t="s">
        <v>31</v>
      </c>
      <c r="G113" s="1">
        <v>0</v>
      </c>
      <c r="H113" s="1">
        <v>641.16999999999996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3">
        <v>104.49365352369689</v>
      </c>
      <c r="P113">
        <v>3</v>
      </c>
      <c r="Q113">
        <v>0</v>
      </c>
      <c r="R113">
        <v>0</v>
      </c>
      <c r="S113" t="s">
        <v>39</v>
      </c>
      <c r="T113">
        <f>2025</f>
        <v>2025</v>
      </c>
    </row>
    <row r="114" spans="1:20" hidden="1" x14ac:dyDescent="0.35">
      <c r="A114" s="2" t="s">
        <v>23</v>
      </c>
      <c r="B114" s="2" t="s">
        <v>32</v>
      </c>
      <c r="C114" s="32">
        <v>45689</v>
      </c>
      <c r="D114" s="2" t="s">
        <v>27</v>
      </c>
      <c r="E114">
        <v>10</v>
      </c>
      <c r="F114" t="s">
        <v>48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3">
        <v>575.56966423099948</v>
      </c>
      <c r="P114">
        <v>3</v>
      </c>
      <c r="Q114">
        <v>0</v>
      </c>
      <c r="R114">
        <v>0</v>
      </c>
      <c r="S114" t="s">
        <v>39</v>
      </c>
      <c r="T114">
        <f>2025</f>
        <v>2025</v>
      </c>
    </row>
    <row r="115" spans="1:20" hidden="1" x14ac:dyDescent="0.35">
      <c r="A115" s="2" t="s">
        <v>23</v>
      </c>
      <c r="B115" s="2" t="s">
        <v>32</v>
      </c>
      <c r="C115" s="32">
        <v>45689</v>
      </c>
      <c r="D115" s="2" t="s">
        <v>27</v>
      </c>
      <c r="E115">
        <v>13</v>
      </c>
      <c r="F115" t="s">
        <v>48</v>
      </c>
      <c r="G115" s="1">
        <v>0</v>
      </c>
      <c r="H115" s="1">
        <v>0</v>
      </c>
      <c r="I115" s="1">
        <v>295.44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3" t="s">
        <v>28</v>
      </c>
      <c r="P115">
        <v>0</v>
      </c>
      <c r="Q115">
        <v>0</v>
      </c>
      <c r="R115">
        <v>0</v>
      </c>
      <c r="S115" t="s">
        <v>39</v>
      </c>
      <c r="T115">
        <f>2025</f>
        <v>2025</v>
      </c>
    </row>
    <row r="116" spans="1:20" hidden="1" x14ac:dyDescent="0.35">
      <c r="A116" s="2" t="s">
        <v>23</v>
      </c>
      <c r="B116" s="2" t="s">
        <v>32</v>
      </c>
      <c r="C116" s="32">
        <v>45689</v>
      </c>
      <c r="D116" s="2" t="s">
        <v>27</v>
      </c>
      <c r="E116">
        <v>14</v>
      </c>
      <c r="F116" t="s">
        <v>48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3" t="s">
        <v>28</v>
      </c>
      <c r="P116">
        <v>0</v>
      </c>
      <c r="Q116">
        <v>3</v>
      </c>
      <c r="R116">
        <v>0</v>
      </c>
      <c r="S116" t="s">
        <v>39</v>
      </c>
      <c r="T116">
        <f>2025</f>
        <v>2025</v>
      </c>
    </row>
    <row r="117" spans="1:20" hidden="1" x14ac:dyDescent="0.35">
      <c r="A117" s="2" t="s">
        <v>23</v>
      </c>
      <c r="B117" s="2" t="s">
        <v>32</v>
      </c>
      <c r="C117" s="32">
        <v>45689</v>
      </c>
      <c r="D117" s="2" t="s">
        <v>29</v>
      </c>
      <c r="E117">
        <v>6</v>
      </c>
      <c r="F117" t="s">
        <v>48</v>
      </c>
      <c r="G117" s="1">
        <v>0</v>
      </c>
      <c r="H117" s="1">
        <v>517781.35000000003</v>
      </c>
      <c r="I117" s="1">
        <v>11132.18</v>
      </c>
      <c r="J117" s="1">
        <v>0</v>
      </c>
      <c r="K117" s="1">
        <v>0</v>
      </c>
      <c r="L117" s="1">
        <v>0</v>
      </c>
      <c r="M117" s="1">
        <v>78593.510000000009</v>
      </c>
      <c r="N117" s="1">
        <v>42642.03</v>
      </c>
      <c r="O117" s="3">
        <v>250.05513612560753</v>
      </c>
      <c r="P117">
        <v>11</v>
      </c>
      <c r="Q117">
        <v>12</v>
      </c>
      <c r="R117">
        <v>0</v>
      </c>
      <c r="S117" t="s">
        <v>39</v>
      </c>
      <c r="T117">
        <f>2025</f>
        <v>2025</v>
      </c>
    </row>
    <row r="118" spans="1:20" hidden="1" x14ac:dyDescent="0.35">
      <c r="A118" s="2" t="s">
        <v>23</v>
      </c>
      <c r="B118" s="2" t="s">
        <v>32</v>
      </c>
      <c r="C118" s="32">
        <v>45689</v>
      </c>
      <c r="D118" s="2" t="s">
        <v>29</v>
      </c>
      <c r="E118">
        <v>8</v>
      </c>
      <c r="F118" t="s">
        <v>48</v>
      </c>
      <c r="G118" s="1">
        <v>0</v>
      </c>
      <c r="H118" s="1">
        <v>393810.37999999995</v>
      </c>
      <c r="I118" s="1">
        <v>99175.81</v>
      </c>
      <c r="J118" s="1">
        <v>0</v>
      </c>
      <c r="K118" s="1">
        <v>0</v>
      </c>
      <c r="L118" s="1">
        <v>0</v>
      </c>
      <c r="M118" s="1">
        <v>16118.380000000001</v>
      </c>
      <c r="N118" s="1">
        <v>0</v>
      </c>
      <c r="O118" s="3">
        <v>474.4184607776765</v>
      </c>
      <c r="P118">
        <v>17</v>
      </c>
      <c r="Q118">
        <v>29</v>
      </c>
      <c r="R118">
        <v>0</v>
      </c>
      <c r="S118" t="s">
        <v>39</v>
      </c>
      <c r="T118">
        <f>2025</f>
        <v>2025</v>
      </c>
    </row>
    <row r="119" spans="1:20" hidden="1" x14ac:dyDescent="0.35">
      <c r="A119" s="2" t="s">
        <v>23</v>
      </c>
      <c r="B119" s="2" t="s">
        <v>32</v>
      </c>
      <c r="C119" s="32">
        <v>45689</v>
      </c>
      <c r="D119" s="2" t="s">
        <v>29</v>
      </c>
      <c r="E119">
        <v>9</v>
      </c>
      <c r="F119" t="s">
        <v>48</v>
      </c>
      <c r="G119" s="1">
        <v>0</v>
      </c>
      <c r="H119" s="1">
        <v>429558.78</v>
      </c>
      <c r="I119" s="1">
        <v>20113.36</v>
      </c>
      <c r="J119" s="1">
        <v>0</v>
      </c>
      <c r="K119" s="1">
        <v>0</v>
      </c>
      <c r="L119" s="1">
        <v>0</v>
      </c>
      <c r="M119" s="1">
        <v>28134.270000000004</v>
      </c>
      <c r="N119" s="1">
        <v>0</v>
      </c>
      <c r="O119" s="3">
        <v>344.37531570231596</v>
      </c>
      <c r="P119">
        <v>12</v>
      </c>
      <c r="Q119">
        <v>26</v>
      </c>
      <c r="R119">
        <v>0</v>
      </c>
      <c r="S119" t="s">
        <v>39</v>
      </c>
      <c r="T119">
        <f>2025</f>
        <v>2025</v>
      </c>
    </row>
    <row r="120" spans="1:20" hidden="1" x14ac:dyDescent="0.35">
      <c r="A120" s="2" t="s">
        <v>23</v>
      </c>
      <c r="B120" s="2" t="s">
        <v>32</v>
      </c>
      <c r="C120" s="32">
        <v>45689</v>
      </c>
      <c r="D120" s="2" t="s">
        <v>29</v>
      </c>
      <c r="E120">
        <v>10</v>
      </c>
      <c r="F120" t="s">
        <v>48</v>
      </c>
      <c r="G120" s="1">
        <v>55747.770000000004</v>
      </c>
      <c r="H120" s="1">
        <v>255698.40000000002</v>
      </c>
      <c r="I120" s="1">
        <v>16023.03</v>
      </c>
      <c r="J120" s="1">
        <v>0</v>
      </c>
      <c r="K120" s="1">
        <v>0</v>
      </c>
      <c r="L120" s="1">
        <v>0</v>
      </c>
      <c r="M120" s="1">
        <v>84300.77</v>
      </c>
      <c r="N120" s="1">
        <v>533764.29</v>
      </c>
      <c r="O120" s="3">
        <v>368.77429087696186</v>
      </c>
      <c r="P120">
        <v>17</v>
      </c>
      <c r="Q120">
        <v>28</v>
      </c>
      <c r="R120">
        <v>0</v>
      </c>
      <c r="S120" t="s">
        <v>39</v>
      </c>
      <c r="T120">
        <f>2025</f>
        <v>2025</v>
      </c>
    </row>
    <row r="121" spans="1:20" hidden="1" x14ac:dyDescent="0.35">
      <c r="A121" s="2" t="s">
        <v>23</v>
      </c>
      <c r="B121" s="2" t="s">
        <v>32</v>
      </c>
      <c r="C121" s="32">
        <v>45689</v>
      </c>
      <c r="D121" s="2" t="s">
        <v>29</v>
      </c>
      <c r="E121">
        <v>13</v>
      </c>
      <c r="F121" t="s">
        <v>48</v>
      </c>
      <c r="G121" s="1">
        <v>0</v>
      </c>
      <c r="H121" s="1">
        <v>0</v>
      </c>
      <c r="I121" s="1">
        <v>953.3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3" t="s">
        <v>28</v>
      </c>
      <c r="P121">
        <v>0</v>
      </c>
      <c r="Q121">
        <v>2</v>
      </c>
      <c r="R121">
        <v>0</v>
      </c>
      <c r="S121" t="s">
        <v>39</v>
      </c>
      <c r="T121">
        <f>2025</f>
        <v>2025</v>
      </c>
    </row>
    <row r="122" spans="1:20" hidden="1" x14ac:dyDescent="0.35">
      <c r="A122" s="2" t="s">
        <v>23</v>
      </c>
      <c r="B122" s="2" t="s">
        <v>32</v>
      </c>
      <c r="C122" s="32">
        <v>45689</v>
      </c>
      <c r="D122" s="2" t="s">
        <v>29</v>
      </c>
      <c r="E122">
        <v>14</v>
      </c>
      <c r="F122" t="s">
        <v>48</v>
      </c>
      <c r="G122" s="1">
        <v>0</v>
      </c>
      <c r="H122" s="1">
        <v>275369.86</v>
      </c>
      <c r="I122" s="1">
        <v>898.92</v>
      </c>
      <c r="J122" s="1">
        <v>0</v>
      </c>
      <c r="K122" s="1">
        <v>0</v>
      </c>
      <c r="L122" s="1">
        <v>0</v>
      </c>
      <c r="M122" s="1">
        <v>16362.08</v>
      </c>
      <c r="N122" s="1">
        <v>0</v>
      </c>
      <c r="O122" s="3">
        <v>305.20429982603309</v>
      </c>
      <c r="P122">
        <v>6</v>
      </c>
      <c r="Q122">
        <v>11</v>
      </c>
      <c r="R122">
        <v>0</v>
      </c>
      <c r="S122" t="s">
        <v>39</v>
      </c>
      <c r="T122">
        <f>2025</f>
        <v>2025</v>
      </c>
    </row>
    <row r="123" spans="1:20" hidden="1" x14ac:dyDescent="0.35">
      <c r="A123" s="2" t="s">
        <v>23</v>
      </c>
      <c r="B123" s="2" t="s">
        <v>32</v>
      </c>
      <c r="C123" s="32">
        <v>45689</v>
      </c>
      <c r="D123" s="2" t="s">
        <v>29</v>
      </c>
      <c r="E123">
        <v>15</v>
      </c>
      <c r="F123" t="s">
        <v>48</v>
      </c>
      <c r="G123" s="1">
        <v>117178.40000000001</v>
      </c>
      <c r="H123" s="1">
        <v>70823.26999999999</v>
      </c>
      <c r="I123" s="1">
        <v>4609.26</v>
      </c>
      <c r="J123" s="1">
        <v>0</v>
      </c>
      <c r="K123" s="1">
        <v>0</v>
      </c>
      <c r="L123" s="1">
        <v>0</v>
      </c>
      <c r="M123" s="1">
        <v>44212.399999999994</v>
      </c>
      <c r="N123" s="1">
        <v>0</v>
      </c>
      <c r="O123" s="3">
        <v>146.17191019963261</v>
      </c>
      <c r="P123">
        <v>3</v>
      </c>
      <c r="Q123">
        <v>4</v>
      </c>
      <c r="R123">
        <v>0</v>
      </c>
      <c r="S123" t="s">
        <v>39</v>
      </c>
      <c r="T123">
        <f>2025</f>
        <v>2025</v>
      </c>
    </row>
    <row r="124" spans="1:20" hidden="1" x14ac:dyDescent="0.35">
      <c r="A124" s="2" t="s">
        <v>23</v>
      </c>
      <c r="B124" s="2" t="s">
        <v>32</v>
      </c>
      <c r="C124" s="32">
        <v>45689</v>
      </c>
      <c r="D124" s="2" t="s">
        <v>29</v>
      </c>
      <c r="E124">
        <v>16</v>
      </c>
      <c r="F124" t="s">
        <v>48</v>
      </c>
      <c r="G124" s="1">
        <v>0</v>
      </c>
      <c r="H124" s="1">
        <v>0</v>
      </c>
      <c r="I124" s="1">
        <v>4271.41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3" t="s">
        <v>28</v>
      </c>
      <c r="P124">
        <v>0</v>
      </c>
      <c r="Q124">
        <v>5</v>
      </c>
      <c r="R124">
        <v>0</v>
      </c>
      <c r="S124" t="s">
        <v>39</v>
      </c>
      <c r="T124">
        <f>2025</f>
        <v>2025</v>
      </c>
    </row>
    <row r="125" spans="1:20" x14ac:dyDescent="0.35">
      <c r="A125" s="2" t="s">
        <v>23</v>
      </c>
      <c r="B125" s="2" t="s">
        <v>32</v>
      </c>
      <c r="C125" s="32">
        <v>45689</v>
      </c>
      <c r="D125" s="2" t="s">
        <v>19</v>
      </c>
      <c r="E125">
        <v>6</v>
      </c>
      <c r="F125" t="s">
        <v>30</v>
      </c>
      <c r="G125" s="1">
        <v>0</v>
      </c>
      <c r="H125" s="1">
        <v>8472.2999999999993</v>
      </c>
      <c r="I125" s="1">
        <v>0</v>
      </c>
      <c r="J125" s="1">
        <v>0</v>
      </c>
      <c r="K125" s="1">
        <v>0</v>
      </c>
      <c r="L125" s="1">
        <v>0</v>
      </c>
      <c r="M125" s="1">
        <v>9086.2799999999988</v>
      </c>
      <c r="N125" s="1">
        <v>2776.25</v>
      </c>
      <c r="O125" s="3">
        <v>240.51481219930139</v>
      </c>
      <c r="P125">
        <v>5</v>
      </c>
      <c r="Q125">
        <v>51</v>
      </c>
      <c r="R125">
        <v>0</v>
      </c>
      <c r="S125" t="s">
        <v>39</v>
      </c>
      <c r="T125">
        <f>2025</f>
        <v>2025</v>
      </c>
    </row>
    <row r="126" spans="1:20" x14ac:dyDescent="0.35">
      <c r="A126" s="2" t="s">
        <v>23</v>
      </c>
      <c r="B126" s="2" t="s">
        <v>32</v>
      </c>
      <c r="C126" s="32">
        <v>45689</v>
      </c>
      <c r="D126" s="2" t="s">
        <v>19</v>
      </c>
      <c r="E126">
        <v>6</v>
      </c>
      <c r="F126" t="s">
        <v>31</v>
      </c>
      <c r="G126" s="1">
        <v>206289.81</v>
      </c>
      <c r="H126" s="1">
        <v>73661.7</v>
      </c>
      <c r="I126" s="1">
        <v>5225.25</v>
      </c>
      <c r="J126" s="1">
        <v>0</v>
      </c>
      <c r="K126" s="1">
        <v>0</v>
      </c>
      <c r="L126" s="1">
        <v>0</v>
      </c>
      <c r="M126" s="1">
        <v>262689.47000000003</v>
      </c>
      <c r="N126" s="1">
        <v>539607.46</v>
      </c>
      <c r="O126" s="3">
        <v>228.34221132478578</v>
      </c>
      <c r="P126">
        <v>57</v>
      </c>
      <c r="Q126">
        <v>0</v>
      </c>
      <c r="R126">
        <v>0</v>
      </c>
      <c r="S126" t="s">
        <v>39</v>
      </c>
      <c r="T126">
        <f>2025</f>
        <v>2025</v>
      </c>
    </row>
    <row r="127" spans="1:20" x14ac:dyDescent="0.35">
      <c r="A127" s="2" t="s">
        <v>23</v>
      </c>
      <c r="B127" s="2" t="s">
        <v>32</v>
      </c>
      <c r="C127" s="32">
        <v>45689</v>
      </c>
      <c r="D127" s="2" t="s">
        <v>19</v>
      </c>
      <c r="E127">
        <v>8</v>
      </c>
      <c r="F127" t="s">
        <v>30</v>
      </c>
      <c r="G127" s="1">
        <v>0</v>
      </c>
      <c r="H127" s="1">
        <v>20448.399999999998</v>
      </c>
      <c r="I127" s="1">
        <v>0</v>
      </c>
      <c r="J127" s="1">
        <v>0</v>
      </c>
      <c r="K127" s="1">
        <v>0</v>
      </c>
      <c r="L127" s="1">
        <v>0</v>
      </c>
      <c r="M127" s="1">
        <v>3101.8900000000003</v>
      </c>
      <c r="N127" s="1">
        <v>0</v>
      </c>
      <c r="O127" s="3">
        <v>303.76555205414377</v>
      </c>
      <c r="P127">
        <v>14</v>
      </c>
      <c r="Q127">
        <v>58</v>
      </c>
      <c r="R127">
        <v>0</v>
      </c>
      <c r="S127" t="s">
        <v>39</v>
      </c>
      <c r="T127">
        <f>2025</f>
        <v>2025</v>
      </c>
    </row>
    <row r="128" spans="1:20" x14ac:dyDescent="0.35">
      <c r="A128" s="2" t="s">
        <v>23</v>
      </c>
      <c r="B128" s="2" t="s">
        <v>32</v>
      </c>
      <c r="C128" s="32">
        <v>45689</v>
      </c>
      <c r="D128" s="2" t="s">
        <v>19</v>
      </c>
      <c r="E128">
        <v>8</v>
      </c>
      <c r="F128" t="s">
        <v>31</v>
      </c>
      <c r="G128" s="1">
        <v>147380.24</v>
      </c>
      <c r="H128" s="1">
        <v>150281.18</v>
      </c>
      <c r="I128" s="1">
        <v>389801.77</v>
      </c>
      <c r="J128" s="1">
        <v>0</v>
      </c>
      <c r="K128" s="1">
        <v>0</v>
      </c>
      <c r="L128" s="1">
        <v>0</v>
      </c>
      <c r="M128" s="1">
        <v>144244.48000000001</v>
      </c>
      <c r="N128" s="1">
        <v>629521.07000000007</v>
      </c>
      <c r="O128" s="3">
        <v>221.08947388299882</v>
      </c>
      <c r="P128">
        <v>59</v>
      </c>
      <c r="Q128">
        <v>0</v>
      </c>
      <c r="R128">
        <v>0</v>
      </c>
      <c r="S128" t="s">
        <v>39</v>
      </c>
      <c r="T128">
        <f>2025</f>
        <v>2025</v>
      </c>
    </row>
    <row r="129" spans="1:20" x14ac:dyDescent="0.35">
      <c r="A129" s="2" t="s">
        <v>23</v>
      </c>
      <c r="B129" s="2" t="s">
        <v>32</v>
      </c>
      <c r="C129" s="32">
        <v>45689</v>
      </c>
      <c r="D129" s="2" t="s">
        <v>19</v>
      </c>
      <c r="E129">
        <v>9</v>
      </c>
      <c r="F129" t="s">
        <v>30</v>
      </c>
      <c r="G129" s="1">
        <v>0</v>
      </c>
      <c r="H129" s="1">
        <v>1692.93</v>
      </c>
      <c r="I129" s="1">
        <v>38120.32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3">
        <v>1387.7150068831033</v>
      </c>
      <c r="P129">
        <v>1</v>
      </c>
      <c r="Q129">
        <v>84</v>
      </c>
      <c r="R129">
        <v>0</v>
      </c>
      <c r="S129" t="s">
        <v>39</v>
      </c>
      <c r="T129">
        <f>2025</f>
        <v>2025</v>
      </c>
    </row>
    <row r="130" spans="1:20" x14ac:dyDescent="0.35">
      <c r="A130" s="2" t="s">
        <v>23</v>
      </c>
      <c r="B130" s="2" t="s">
        <v>32</v>
      </c>
      <c r="C130" s="32">
        <v>45689</v>
      </c>
      <c r="D130" s="2" t="s">
        <v>19</v>
      </c>
      <c r="E130">
        <v>9</v>
      </c>
      <c r="F130" t="s">
        <v>31</v>
      </c>
      <c r="G130" s="1">
        <v>46966.879999999997</v>
      </c>
      <c r="H130" s="1">
        <v>223328.77</v>
      </c>
      <c r="I130" s="1">
        <v>690025.79999999993</v>
      </c>
      <c r="J130" s="1">
        <v>0</v>
      </c>
      <c r="K130" s="1">
        <v>0</v>
      </c>
      <c r="L130" s="1">
        <v>0</v>
      </c>
      <c r="M130" s="1">
        <v>263857.26</v>
      </c>
      <c r="N130" s="1">
        <v>710302.67999999993</v>
      </c>
      <c r="O130" s="3">
        <v>162.58593852137892</v>
      </c>
      <c r="P130">
        <v>48</v>
      </c>
      <c r="Q130">
        <v>1</v>
      </c>
      <c r="R130">
        <v>0</v>
      </c>
      <c r="S130" t="s">
        <v>39</v>
      </c>
      <c r="T130">
        <f>2025</f>
        <v>2025</v>
      </c>
    </row>
    <row r="131" spans="1:20" x14ac:dyDescent="0.35">
      <c r="A131" s="2" t="s">
        <v>23</v>
      </c>
      <c r="B131" s="2" t="s">
        <v>32</v>
      </c>
      <c r="C131" s="32">
        <v>45689</v>
      </c>
      <c r="D131" s="2" t="s">
        <v>19</v>
      </c>
      <c r="E131">
        <v>10</v>
      </c>
      <c r="F131" t="s">
        <v>30</v>
      </c>
      <c r="G131" s="1">
        <v>0</v>
      </c>
      <c r="H131" s="1">
        <v>110622.98</v>
      </c>
      <c r="I131" s="1">
        <v>560.44000000000005</v>
      </c>
      <c r="J131" s="1">
        <v>0</v>
      </c>
      <c r="K131" s="1">
        <v>0</v>
      </c>
      <c r="L131" s="1">
        <v>0</v>
      </c>
      <c r="M131" s="1">
        <v>11651.289999999999</v>
      </c>
      <c r="N131" s="1">
        <v>4911.7</v>
      </c>
      <c r="O131" s="3">
        <v>290.55827894961988</v>
      </c>
      <c r="P131">
        <v>5</v>
      </c>
      <c r="Q131">
        <v>46</v>
      </c>
      <c r="R131">
        <v>0</v>
      </c>
      <c r="S131" t="s">
        <v>39</v>
      </c>
      <c r="T131">
        <f>2025</f>
        <v>2025</v>
      </c>
    </row>
    <row r="132" spans="1:20" x14ac:dyDescent="0.35">
      <c r="A132" s="2" t="s">
        <v>23</v>
      </c>
      <c r="B132" s="2" t="s">
        <v>32</v>
      </c>
      <c r="C132" s="32">
        <v>45689</v>
      </c>
      <c r="D132" s="2" t="s">
        <v>19</v>
      </c>
      <c r="E132">
        <v>10</v>
      </c>
      <c r="F132" t="s">
        <v>31</v>
      </c>
      <c r="G132" s="1">
        <v>189215.35</v>
      </c>
      <c r="H132" s="1">
        <v>278521.99999999994</v>
      </c>
      <c r="I132" s="1">
        <v>2564159.1799999997</v>
      </c>
      <c r="J132" s="1">
        <v>0</v>
      </c>
      <c r="K132" s="1">
        <v>0</v>
      </c>
      <c r="L132" s="1">
        <v>0</v>
      </c>
      <c r="M132" s="1">
        <v>290503.73</v>
      </c>
      <c r="N132" s="1">
        <v>1930908.2300000002</v>
      </c>
      <c r="O132" s="3">
        <v>303.54623757006584</v>
      </c>
      <c r="P132">
        <v>57</v>
      </c>
      <c r="Q132">
        <v>4</v>
      </c>
      <c r="R132">
        <v>0</v>
      </c>
      <c r="S132" t="s">
        <v>39</v>
      </c>
      <c r="T132">
        <f>2025</f>
        <v>2025</v>
      </c>
    </row>
    <row r="133" spans="1:20" x14ac:dyDescent="0.35">
      <c r="A133" s="2" t="s">
        <v>23</v>
      </c>
      <c r="B133" s="2" t="s">
        <v>32</v>
      </c>
      <c r="C133" s="32">
        <v>45689</v>
      </c>
      <c r="D133" s="2" t="s">
        <v>19</v>
      </c>
      <c r="E133">
        <v>13</v>
      </c>
      <c r="F133" t="s">
        <v>30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3">
        <v>667.97143562570034</v>
      </c>
      <c r="P133">
        <v>2</v>
      </c>
      <c r="Q133">
        <v>6</v>
      </c>
      <c r="R133">
        <v>0</v>
      </c>
      <c r="S133" t="s">
        <v>39</v>
      </c>
      <c r="T133">
        <f>2025</f>
        <v>2025</v>
      </c>
    </row>
    <row r="134" spans="1:20" x14ac:dyDescent="0.35">
      <c r="A134" s="2" t="s">
        <v>23</v>
      </c>
      <c r="B134" s="2" t="s">
        <v>32</v>
      </c>
      <c r="C134" s="32">
        <v>45689</v>
      </c>
      <c r="D134" s="2" t="s">
        <v>19</v>
      </c>
      <c r="E134">
        <v>13</v>
      </c>
      <c r="F134" t="s">
        <v>31</v>
      </c>
      <c r="G134" s="1">
        <v>87613.08</v>
      </c>
      <c r="H134" s="1">
        <v>5254.94</v>
      </c>
      <c r="I134" s="1">
        <v>242710.38</v>
      </c>
      <c r="J134" s="1">
        <v>0</v>
      </c>
      <c r="K134" s="1">
        <v>0</v>
      </c>
      <c r="L134" s="1">
        <v>0</v>
      </c>
      <c r="M134" s="1">
        <v>18384.79</v>
      </c>
      <c r="N134" s="1">
        <v>0</v>
      </c>
      <c r="O134" s="3">
        <v>380.87790749468485</v>
      </c>
      <c r="P134">
        <v>10</v>
      </c>
      <c r="Q134">
        <v>0</v>
      </c>
      <c r="R134">
        <v>0</v>
      </c>
      <c r="S134" t="s">
        <v>39</v>
      </c>
      <c r="T134">
        <f>2025</f>
        <v>2025</v>
      </c>
    </row>
    <row r="135" spans="1:20" x14ac:dyDescent="0.35">
      <c r="A135" s="2" t="s">
        <v>23</v>
      </c>
      <c r="B135" s="2" t="s">
        <v>32</v>
      </c>
      <c r="C135" s="32">
        <v>45689</v>
      </c>
      <c r="D135" s="2" t="s">
        <v>19</v>
      </c>
      <c r="E135">
        <v>14</v>
      </c>
      <c r="F135" t="s">
        <v>30</v>
      </c>
      <c r="G135" s="1">
        <v>0</v>
      </c>
      <c r="H135" s="1">
        <v>0</v>
      </c>
      <c r="I135" s="1">
        <v>6.77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3" t="s">
        <v>28</v>
      </c>
      <c r="P135">
        <v>0</v>
      </c>
      <c r="Q135">
        <v>18</v>
      </c>
      <c r="R135">
        <v>0</v>
      </c>
      <c r="S135" t="s">
        <v>39</v>
      </c>
      <c r="T135">
        <f>2025</f>
        <v>2025</v>
      </c>
    </row>
    <row r="136" spans="1:20" x14ac:dyDescent="0.35">
      <c r="A136" s="2" t="s">
        <v>23</v>
      </c>
      <c r="B136" s="2" t="s">
        <v>32</v>
      </c>
      <c r="C136" s="32">
        <v>45689</v>
      </c>
      <c r="D136" s="2" t="s">
        <v>19</v>
      </c>
      <c r="E136">
        <v>14</v>
      </c>
      <c r="F136" t="s">
        <v>31</v>
      </c>
      <c r="G136" s="1">
        <v>36881.960000000006</v>
      </c>
      <c r="H136" s="1">
        <v>61486.62</v>
      </c>
      <c r="I136" s="1">
        <v>27846.32</v>
      </c>
      <c r="J136" s="1">
        <v>0</v>
      </c>
      <c r="K136" s="1">
        <v>0</v>
      </c>
      <c r="L136" s="1">
        <v>0</v>
      </c>
      <c r="M136" s="1">
        <v>83507.509999999995</v>
      </c>
      <c r="N136" s="1">
        <v>244467.36</v>
      </c>
      <c r="O136" s="3">
        <v>170.85961359703975</v>
      </c>
      <c r="P136">
        <v>35</v>
      </c>
      <c r="Q136">
        <v>0</v>
      </c>
      <c r="R136">
        <v>0</v>
      </c>
      <c r="S136" t="s">
        <v>39</v>
      </c>
      <c r="T136">
        <f>2025</f>
        <v>2025</v>
      </c>
    </row>
    <row r="137" spans="1:20" x14ac:dyDescent="0.35">
      <c r="A137" s="2" t="s">
        <v>23</v>
      </c>
      <c r="B137" s="2" t="s">
        <v>32</v>
      </c>
      <c r="C137" s="32">
        <v>45689</v>
      </c>
      <c r="D137" s="2" t="s">
        <v>19</v>
      </c>
      <c r="E137">
        <v>15</v>
      </c>
      <c r="F137" t="s">
        <v>30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3" t="s">
        <v>28</v>
      </c>
      <c r="P137">
        <v>0</v>
      </c>
      <c r="Q137">
        <v>5</v>
      </c>
      <c r="R137">
        <v>0</v>
      </c>
      <c r="S137" t="s">
        <v>39</v>
      </c>
      <c r="T137">
        <f>2025</f>
        <v>2025</v>
      </c>
    </row>
    <row r="138" spans="1:20" x14ac:dyDescent="0.35">
      <c r="A138" s="2" t="s">
        <v>23</v>
      </c>
      <c r="B138" s="2" t="s">
        <v>32</v>
      </c>
      <c r="C138" s="32">
        <v>45689</v>
      </c>
      <c r="D138" s="2" t="s">
        <v>19</v>
      </c>
      <c r="E138">
        <v>15</v>
      </c>
      <c r="F138" t="s">
        <v>31</v>
      </c>
      <c r="G138" s="1">
        <v>9395.75</v>
      </c>
      <c r="H138" s="1">
        <v>23818.67</v>
      </c>
      <c r="I138" s="1">
        <v>185.21</v>
      </c>
      <c r="J138" s="1">
        <v>0</v>
      </c>
      <c r="K138" s="1">
        <v>0</v>
      </c>
      <c r="L138" s="1">
        <v>0</v>
      </c>
      <c r="M138" s="1">
        <v>82657.709999999992</v>
      </c>
      <c r="N138" s="1">
        <v>560946.88</v>
      </c>
      <c r="O138" s="3">
        <v>217.62759105885522</v>
      </c>
      <c r="P138">
        <v>18</v>
      </c>
      <c r="Q138">
        <v>0</v>
      </c>
      <c r="R138">
        <v>0</v>
      </c>
      <c r="S138" t="s">
        <v>39</v>
      </c>
      <c r="T138">
        <f>2025</f>
        <v>2025</v>
      </c>
    </row>
    <row r="139" spans="1:20" x14ac:dyDescent="0.35">
      <c r="A139" s="2" t="s">
        <v>23</v>
      </c>
      <c r="B139" s="2" t="s">
        <v>32</v>
      </c>
      <c r="C139" s="32">
        <v>45689</v>
      </c>
      <c r="D139" s="2" t="s">
        <v>19</v>
      </c>
      <c r="E139">
        <v>16</v>
      </c>
      <c r="F139" t="s">
        <v>30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3" t="s">
        <v>28</v>
      </c>
      <c r="P139">
        <v>0</v>
      </c>
      <c r="Q139">
        <v>8</v>
      </c>
      <c r="R139">
        <v>0</v>
      </c>
      <c r="S139" t="s">
        <v>39</v>
      </c>
      <c r="T139">
        <f>2025</f>
        <v>2025</v>
      </c>
    </row>
    <row r="140" spans="1:20" x14ac:dyDescent="0.35">
      <c r="A140" s="2" t="s">
        <v>23</v>
      </c>
      <c r="B140" s="2" t="s">
        <v>32</v>
      </c>
      <c r="C140" s="32">
        <v>45689</v>
      </c>
      <c r="D140" s="2" t="s">
        <v>19</v>
      </c>
      <c r="E140">
        <v>16</v>
      </c>
      <c r="F140" t="s">
        <v>31</v>
      </c>
      <c r="G140" s="1">
        <v>0</v>
      </c>
      <c r="H140" s="1">
        <v>6933.82</v>
      </c>
      <c r="I140" s="1">
        <v>0</v>
      </c>
      <c r="J140" s="1">
        <v>0</v>
      </c>
      <c r="K140" s="1">
        <v>0</v>
      </c>
      <c r="L140" s="1">
        <v>0</v>
      </c>
      <c r="M140" s="1">
        <v>1628.87</v>
      </c>
      <c r="N140" s="1">
        <v>0</v>
      </c>
      <c r="O140" s="3">
        <v>93.169106490934311</v>
      </c>
      <c r="P140">
        <v>6</v>
      </c>
      <c r="Q140">
        <v>0</v>
      </c>
      <c r="R140">
        <v>0</v>
      </c>
      <c r="S140" t="s">
        <v>39</v>
      </c>
      <c r="T140">
        <f>2025</f>
        <v>2025</v>
      </c>
    </row>
    <row r="141" spans="1:20" hidden="1" x14ac:dyDescent="0.35">
      <c r="A141" s="2" t="s">
        <v>23</v>
      </c>
      <c r="B141" s="2" t="s">
        <v>32</v>
      </c>
      <c r="C141" s="32">
        <v>45717</v>
      </c>
      <c r="D141" s="2" t="s">
        <v>27</v>
      </c>
      <c r="E141">
        <v>6</v>
      </c>
      <c r="F141" t="s">
        <v>48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3" t="s">
        <v>28</v>
      </c>
      <c r="P141">
        <v>0</v>
      </c>
      <c r="Q141">
        <v>1</v>
      </c>
      <c r="R141">
        <v>0</v>
      </c>
      <c r="S141" t="s">
        <v>39</v>
      </c>
      <c r="T141">
        <f>2025</f>
        <v>2025</v>
      </c>
    </row>
    <row r="142" spans="1:20" hidden="1" x14ac:dyDescent="0.35">
      <c r="A142" s="2" t="s">
        <v>23</v>
      </c>
      <c r="B142" s="2" t="s">
        <v>32</v>
      </c>
      <c r="C142" s="32">
        <v>45717</v>
      </c>
      <c r="D142" s="2" t="s">
        <v>27</v>
      </c>
      <c r="E142">
        <v>13</v>
      </c>
      <c r="F142" t="s">
        <v>48</v>
      </c>
      <c r="G142" s="1">
        <v>0</v>
      </c>
      <c r="H142" s="1">
        <v>0</v>
      </c>
      <c r="I142" s="1">
        <v>5513.61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3" t="s">
        <v>28</v>
      </c>
      <c r="P142">
        <v>0</v>
      </c>
      <c r="Q142">
        <v>3</v>
      </c>
      <c r="R142">
        <v>0</v>
      </c>
      <c r="S142" t="s">
        <v>39</v>
      </c>
      <c r="T142">
        <f>2025</f>
        <v>2025</v>
      </c>
    </row>
    <row r="143" spans="1:20" hidden="1" x14ac:dyDescent="0.35">
      <c r="A143" s="2" t="s">
        <v>23</v>
      </c>
      <c r="B143" s="2" t="s">
        <v>32</v>
      </c>
      <c r="C143" s="32">
        <v>45717</v>
      </c>
      <c r="D143" s="2" t="s">
        <v>27</v>
      </c>
      <c r="E143">
        <v>14</v>
      </c>
      <c r="F143" t="s">
        <v>48</v>
      </c>
      <c r="G143" s="1">
        <v>0</v>
      </c>
      <c r="H143" s="1">
        <v>0</v>
      </c>
      <c r="I143" s="1">
        <v>1028.9100000000001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3" t="s">
        <v>28</v>
      </c>
      <c r="P143">
        <v>0</v>
      </c>
      <c r="Q143">
        <v>0</v>
      </c>
      <c r="R143">
        <v>0</v>
      </c>
      <c r="S143" t="s">
        <v>39</v>
      </c>
      <c r="T143">
        <f>2025</f>
        <v>2025</v>
      </c>
    </row>
    <row r="144" spans="1:20" hidden="1" x14ac:dyDescent="0.35">
      <c r="A144" s="2" t="s">
        <v>23</v>
      </c>
      <c r="B144" s="2" t="s">
        <v>32</v>
      </c>
      <c r="C144" s="32">
        <v>45717</v>
      </c>
      <c r="D144" s="2" t="s">
        <v>29</v>
      </c>
      <c r="E144">
        <v>6</v>
      </c>
      <c r="F144" t="s">
        <v>48</v>
      </c>
      <c r="G144" s="1">
        <v>100648.17</v>
      </c>
      <c r="H144" s="1">
        <v>545785.07000000007</v>
      </c>
      <c r="I144" s="1">
        <v>1375186.65</v>
      </c>
      <c r="J144" s="1">
        <v>0</v>
      </c>
      <c r="K144" s="1">
        <v>0</v>
      </c>
      <c r="L144" s="1">
        <v>0</v>
      </c>
      <c r="M144" s="1">
        <v>136885.57</v>
      </c>
      <c r="N144" s="1">
        <v>147796.13999999998</v>
      </c>
      <c r="O144" s="3">
        <v>218.40750839932974</v>
      </c>
      <c r="P144">
        <v>14</v>
      </c>
      <c r="Q144">
        <v>28</v>
      </c>
      <c r="R144">
        <v>0</v>
      </c>
      <c r="S144" t="s">
        <v>39</v>
      </c>
      <c r="T144">
        <f>2025</f>
        <v>2025</v>
      </c>
    </row>
    <row r="145" spans="1:20" hidden="1" x14ac:dyDescent="0.35">
      <c r="A145" s="2" t="s">
        <v>23</v>
      </c>
      <c r="B145" s="2" t="s">
        <v>32</v>
      </c>
      <c r="C145" s="32">
        <v>45717</v>
      </c>
      <c r="D145" s="2" t="s">
        <v>29</v>
      </c>
      <c r="E145">
        <v>8</v>
      </c>
      <c r="F145" t="s">
        <v>48</v>
      </c>
      <c r="G145" s="1">
        <v>3904.86</v>
      </c>
      <c r="H145" s="1">
        <v>721209.45000000007</v>
      </c>
      <c r="I145" s="1">
        <v>27738.549999999996</v>
      </c>
      <c r="J145" s="1">
        <v>0</v>
      </c>
      <c r="K145" s="1">
        <v>0</v>
      </c>
      <c r="L145" s="1">
        <v>0</v>
      </c>
      <c r="M145" s="1">
        <v>70700.919999999984</v>
      </c>
      <c r="N145" s="1">
        <v>0</v>
      </c>
      <c r="O145" s="3">
        <v>311.19366814461569</v>
      </c>
      <c r="P145">
        <v>18</v>
      </c>
      <c r="Q145">
        <v>26</v>
      </c>
      <c r="R145">
        <v>0</v>
      </c>
      <c r="S145" t="s">
        <v>39</v>
      </c>
      <c r="T145">
        <f>2025</f>
        <v>2025</v>
      </c>
    </row>
    <row r="146" spans="1:20" hidden="1" x14ac:dyDescent="0.35">
      <c r="A146" s="2" t="s">
        <v>23</v>
      </c>
      <c r="B146" s="2" t="s">
        <v>32</v>
      </c>
      <c r="C146" s="32">
        <v>45717</v>
      </c>
      <c r="D146" s="2" t="s">
        <v>29</v>
      </c>
      <c r="E146">
        <v>9</v>
      </c>
      <c r="F146" t="s">
        <v>48</v>
      </c>
      <c r="G146" s="1">
        <v>0</v>
      </c>
      <c r="H146" s="1">
        <v>404976.45</v>
      </c>
      <c r="I146" s="1">
        <v>29530.469999999998</v>
      </c>
      <c r="J146" s="1">
        <v>0</v>
      </c>
      <c r="K146" s="1">
        <v>0</v>
      </c>
      <c r="L146" s="1">
        <v>0</v>
      </c>
      <c r="M146" s="1">
        <v>3333.28</v>
      </c>
      <c r="N146" s="1">
        <v>0</v>
      </c>
      <c r="O146" s="3">
        <v>278.52027494481121</v>
      </c>
      <c r="P146">
        <v>9</v>
      </c>
      <c r="Q146">
        <v>23</v>
      </c>
      <c r="R146">
        <v>0</v>
      </c>
      <c r="S146" t="s">
        <v>39</v>
      </c>
      <c r="T146">
        <f>2025</f>
        <v>2025</v>
      </c>
    </row>
    <row r="147" spans="1:20" hidden="1" x14ac:dyDescent="0.35">
      <c r="A147" s="2" t="s">
        <v>23</v>
      </c>
      <c r="B147" s="2" t="s">
        <v>32</v>
      </c>
      <c r="C147" s="32">
        <v>45717</v>
      </c>
      <c r="D147" s="2" t="s">
        <v>29</v>
      </c>
      <c r="E147">
        <v>10</v>
      </c>
      <c r="F147" t="s">
        <v>48</v>
      </c>
      <c r="G147" s="1">
        <v>170356.94999999998</v>
      </c>
      <c r="H147" s="1">
        <v>515661.86</v>
      </c>
      <c r="I147" s="1">
        <v>67508.91</v>
      </c>
      <c r="J147" s="1">
        <v>0</v>
      </c>
      <c r="K147" s="1">
        <v>0</v>
      </c>
      <c r="L147" s="1">
        <v>0</v>
      </c>
      <c r="M147" s="1">
        <v>125277.44</v>
      </c>
      <c r="N147" s="1">
        <v>85327.26</v>
      </c>
      <c r="O147" s="3">
        <v>369.97169473856343</v>
      </c>
      <c r="P147">
        <v>22</v>
      </c>
      <c r="Q147">
        <v>54</v>
      </c>
      <c r="R147">
        <v>0</v>
      </c>
      <c r="S147" t="s">
        <v>39</v>
      </c>
      <c r="T147">
        <f>2025</f>
        <v>2025</v>
      </c>
    </row>
    <row r="148" spans="1:20" hidden="1" x14ac:dyDescent="0.35">
      <c r="A148" s="2" t="s">
        <v>23</v>
      </c>
      <c r="B148" s="2" t="s">
        <v>32</v>
      </c>
      <c r="C148" s="32">
        <v>45717</v>
      </c>
      <c r="D148" s="2" t="s">
        <v>29</v>
      </c>
      <c r="E148">
        <v>13</v>
      </c>
      <c r="F148" t="s">
        <v>48</v>
      </c>
      <c r="G148" s="1">
        <v>0</v>
      </c>
      <c r="H148" s="1">
        <v>311121.37999999995</v>
      </c>
      <c r="I148" s="1">
        <v>1717.88</v>
      </c>
      <c r="J148" s="1">
        <v>0</v>
      </c>
      <c r="K148" s="1">
        <v>0</v>
      </c>
      <c r="L148" s="1">
        <v>0</v>
      </c>
      <c r="M148" s="1">
        <v>32354.48</v>
      </c>
      <c r="N148" s="1">
        <v>0</v>
      </c>
      <c r="O148" s="3">
        <v>719.85956472130056</v>
      </c>
      <c r="P148">
        <v>4</v>
      </c>
      <c r="Q148">
        <v>7</v>
      </c>
      <c r="R148">
        <v>0</v>
      </c>
      <c r="S148" t="s">
        <v>39</v>
      </c>
      <c r="T148">
        <f>2025</f>
        <v>2025</v>
      </c>
    </row>
    <row r="149" spans="1:20" hidden="1" x14ac:dyDescent="0.35">
      <c r="A149" s="2" t="s">
        <v>23</v>
      </c>
      <c r="B149" s="2" t="s">
        <v>32</v>
      </c>
      <c r="C149" s="32">
        <v>45717</v>
      </c>
      <c r="D149" s="2" t="s">
        <v>29</v>
      </c>
      <c r="E149">
        <v>14</v>
      </c>
      <c r="F149" t="s">
        <v>48</v>
      </c>
      <c r="G149" s="1">
        <v>0</v>
      </c>
      <c r="H149" s="1">
        <v>236209.39</v>
      </c>
      <c r="I149" s="1">
        <v>4452</v>
      </c>
      <c r="J149" s="1">
        <v>0</v>
      </c>
      <c r="K149" s="1">
        <v>0</v>
      </c>
      <c r="L149" s="1">
        <v>0</v>
      </c>
      <c r="M149" s="1">
        <v>3944.19</v>
      </c>
      <c r="N149" s="1">
        <v>0</v>
      </c>
      <c r="O149" s="3">
        <v>345.19568391480061</v>
      </c>
      <c r="P149">
        <v>6</v>
      </c>
      <c r="Q149">
        <v>9</v>
      </c>
      <c r="R149">
        <v>0</v>
      </c>
      <c r="S149" t="s">
        <v>39</v>
      </c>
      <c r="T149">
        <f>2025</f>
        <v>2025</v>
      </c>
    </row>
    <row r="150" spans="1:20" hidden="1" x14ac:dyDescent="0.35">
      <c r="A150" s="2" t="s">
        <v>23</v>
      </c>
      <c r="B150" s="2" t="s">
        <v>32</v>
      </c>
      <c r="C150" s="32">
        <v>45717</v>
      </c>
      <c r="D150" s="2" t="s">
        <v>29</v>
      </c>
      <c r="E150">
        <v>15</v>
      </c>
      <c r="F150" t="s">
        <v>48</v>
      </c>
      <c r="G150" s="1">
        <v>0</v>
      </c>
      <c r="H150" s="1">
        <v>1199121.7400000002</v>
      </c>
      <c r="I150" s="1">
        <v>4395.67</v>
      </c>
      <c r="J150" s="1">
        <v>0</v>
      </c>
      <c r="K150" s="1">
        <v>0</v>
      </c>
      <c r="L150" s="1">
        <v>0</v>
      </c>
      <c r="M150" s="1">
        <v>33577.699999999997</v>
      </c>
      <c r="N150" s="1">
        <v>0</v>
      </c>
      <c r="O150" s="3">
        <v>281.59102412352695</v>
      </c>
      <c r="P150">
        <v>4</v>
      </c>
      <c r="Q150">
        <v>2</v>
      </c>
      <c r="R150">
        <v>0</v>
      </c>
      <c r="S150" t="s">
        <v>39</v>
      </c>
      <c r="T150">
        <f>2025</f>
        <v>2025</v>
      </c>
    </row>
    <row r="151" spans="1:20" hidden="1" x14ac:dyDescent="0.35">
      <c r="A151" s="2" t="s">
        <v>23</v>
      </c>
      <c r="B151" s="2" t="s">
        <v>32</v>
      </c>
      <c r="C151" s="32">
        <v>45717</v>
      </c>
      <c r="D151" s="2" t="s">
        <v>29</v>
      </c>
      <c r="E151">
        <v>16</v>
      </c>
      <c r="F151" t="s">
        <v>48</v>
      </c>
      <c r="G151" s="1">
        <v>0</v>
      </c>
      <c r="H151" s="1">
        <v>547.66999999999996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3">
        <v>1460.655892471601</v>
      </c>
      <c r="P151">
        <v>1</v>
      </c>
      <c r="Q151">
        <v>3</v>
      </c>
      <c r="R151">
        <v>0</v>
      </c>
      <c r="S151" t="s">
        <v>39</v>
      </c>
      <c r="T151">
        <f>2025</f>
        <v>2025</v>
      </c>
    </row>
    <row r="152" spans="1:20" x14ac:dyDescent="0.35">
      <c r="A152" s="2" t="s">
        <v>23</v>
      </c>
      <c r="B152" s="2" t="s">
        <v>32</v>
      </c>
      <c r="C152" s="32">
        <v>45717</v>
      </c>
      <c r="D152" s="2" t="s">
        <v>19</v>
      </c>
      <c r="E152">
        <v>6</v>
      </c>
      <c r="F152" t="s">
        <v>30</v>
      </c>
      <c r="G152" s="1">
        <v>307.55</v>
      </c>
      <c r="H152" s="1">
        <v>5718</v>
      </c>
      <c r="I152" s="1">
        <v>0</v>
      </c>
      <c r="J152" s="1">
        <v>0</v>
      </c>
      <c r="K152" s="1">
        <v>0</v>
      </c>
      <c r="L152" s="1">
        <v>0</v>
      </c>
      <c r="M152" s="1">
        <v>2014</v>
      </c>
      <c r="N152" s="1">
        <v>0</v>
      </c>
      <c r="O152" s="3">
        <v>14.452951388899237</v>
      </c>
      <c r="P152">
        <v>1</v>
      </c>
      <c r="Q152">
        <v>52</v>
      </c>
      <c r="R152">
        <v>0</v>
      </c>
      <c r="S152" t="s">
        <v>39</v>
      </c>
      <c r="T152">
        <f>2025</f>
        <v>2025</v>
      </c>
    </row>
    <row r="153" spans="1:20" x14ac:dyDescent="0.35">
      <c r="A153" s="2" t="s">
        <v>23</v>
      </c>
      <c r="B153" s="2" t="s">
        <v>32</v>
      </c>
      <c r="C153" s="32">
        <v>45717</v>
      </c>
      <c r="D153" s="2" t="s">
        <v>19</v>
      </c>
      <c r="E153">
        <v>6</v>
      </c>
      <c r="F153" t="s">
        <v>31</v>
      </c>
      <c r="G153" s="1">
        <v>18773.07</v>
      </c>
      <c r="H153" s="1">
        <v>292545.30000000005</v>
      </c>
      <c r="I153" s="1">
        <v>62676.07</v>
      </c>
      <c r="J153" s="1">
        <v>0</v>
      </c>
      <c r="K153" s="1">
        <v>0</v>
      </c>
      <c r="L153" s="1">
        <v>0</v>
      </c>
      <c r="M153" s="1">
        <v>116098.04</v>
      </c>
      <c r="N153" s="1">
        <v>61121.21</v>
      </c>
      <c r="O153" s="3">
        <v>266.69186799071741</v>
      </c>
      <c r="P153">
        <v>89</v>
      </c>
      <c r="Q153">
        <v>0</v>
      </c>
      <c r="R153">
        <v>0</v>
      </c>
      <c r="S153" t="s">
        <v>39</v>
      </c>
      <c r="T153">
        <f>2025</f>
        <v>2025</v>
      </c>
    </row>
    <row r="154" spans="1:20" x14ac:dyDescent="0.35">
      <c r="A154" s="2" t="s">
        <v>23</v>
      </c>
      <c r="B154" s="2" t="s">
        <v>32</v>
      </c>
      <c r="C154" s="32">
        <v>45717</v>
      </c>
      <c r="D154" s="2" t="s">
        <v>19</v>
      </c>
      <c r="E154">
        <v>8</v>
      </c>
      <c r="F154" t="s">
        <v>30</v>
      </c>
      <c r="G154" s="1">
        <v>19687.129999999997</v>
      </c>
      <c r="H154" s="1">
        <v>17154</v>
      </c>
      <c r="I154" s="1">
        <v>0</v>
      </c>
      <c r="J154" s="1">
        <v>0</v>
      </c>
      <c r="K154" s="1">
        <v>0</v>
      </c>
      <c r="L154" s="1">
        <v>0</v>
      </c>
      <c r="M154" s="1">
        <v>15791.13</v>
      </c>
      <c r="N154" s="1">
        <v>0</v>
      </c>
      <c r="O154" s="3">
        <v>123.7231331434826</v>
      </c>
      <c r="P154">
        <v>6</v>
      </c>
      <c r="Q154">
        <v>50</v>
      </c>
      <c r="R154">
        <v>0</v>
      </c>
      <c r="S154" t="s">
        <v>39</v>
      </c>
      <c r="T154">
        <f>2025</f>
        <v>2025</v>
      </c>
    </row>
    <row r="155" spans="1:20" x14ac:dyDescent="0.35">
      <c r="A155" s="2" t="s">
        <v>23</v>
      </c>
      <c r="B155" s="2" t="s">
        <v>32</v>
      </c>
      <c r="C155" s="32">
        <v>45717</v>
      </c>
      <c r="D155" s="2" t="s">
        <v>19</v>
      </c>
      <c r="E155">
        <v>8</v>
      </c>
      <c r="F155" t="s">
        <v>31</v>
      </c>
      <c r="G155" s="1">
        <v>131512.09</v>
      </c>
      <c r="H155" s="1">
        <v>123329.03</v>
      </c>
      <c r="I155" s="1">
        <v>407604.66000000003</v>
      </c>
      <c r="J155" s="1">
        <v>0</v>
      </c>
      <c r="K155" s="1">
        <v>0</v>
      </c>
      <c r="L155" s="1">
        <v>0</v>
      </c>
      <c r="M155" s="1">
        <v>88723.81</v>
      </c>
      <c r="N155" s="1">
        <v>430405.84</v>
      </c>
      <c r="O155" s="3">
        <v>175.94657670073295</v>
      </c>
      <c r="P155">
        <v>63</v>
      </c>
      <c r="Q155">
        <v>1</v>
      </c>
      <c r="R155">
        <v>0</v>
      </c>
      <c r="S155" t="s">
        <v>39</v>
      </c>
      <c r="T155">
        <f>2025</f>
        <v>2025</v>
      </c>
    </row>
    <row r="156" spans="1:20" x14ac:dyDescent="0.35">
      <c r="A156" s="2" t="s">
        <v>23</v>
      </c>
      <c r="B156" s="2" t="s">
        <v>32</v>
      </c>
      <c r="C156" s="32">
        <v>45717</v>
      </c>
      <c r="D156" s="2" t="s">
        <v>19</v>
      </c>
      <c r="E156">
        <v>9</v>
      </c>
      <c r="F156" t="s">
        <v>30</v>
      </c>
      <c r="G156" s="1">
        <v>0</v>
      </c>
      <c r="H156" s="1">
        <v>4943.84</v>
      </c>
      <c r="I156" s="1">
        <v>0</v>
      </c>
      <c r="J156" s="1">
        <v>0</v>
      </c>
      <c r="K156" s="1">
        <v>0</v>
      </c>
      <c r="L156" s="1">
        <v>0</v>
      </c>
      <c r="M156" s="1">
        <v>1398.89</v>
      </c>
      <c r="N156" s="1">
        <v>0</v>
      </c>
      <c r="O156" s="3">
        <v>317.88638159906742</v>
      </c>
      <c r="P156">
        <v>3</v>
      </c>
      <c r="Q156">
        <v>108</v>
      </c>
      <c r="R156">
        <v>0</v>
      </c>
      <c r="S156" t="s">
        <v>39</v>
      </c>
      <c r="T156">
        <f>2025</f>
        <v>2025</v>
      </c>
    </row>
    <row r="157" spans="1:20" x14ac:dyDescent="0.35">
      <c r="A157" s="2" t="s">
        <v>23</v>
      </c>
      <c r="B157" s="2" t="s">
        <v>32</v>
      </c>
      <c r="C157" s="32">
        <v>45717</v>
      </c>
      <c r="D157" s="2" t="s">
        <v>19</v>
      </c>
      <c r="E157">
        <v>9</v>
      </c>
      <c r="F157" t="s">
        <v>31</v>
      </c>
      <c r="G157" s="1">
        <v>165406.98000000001</v>
      </c>
      <c r="H157" s="1">
        <v>212191.38999999993</v>
      </c>
      <c r="I157" s="1">
        <v>939581.21</v>
      </c>
      <c r="J157" s="1">
        <v>0</v>
      </c>
      <c r="K157" s="1">
        <v>0</v>
      </c>
      <c r="L157" s="1">
        <v>0</v>
      </c>
      <c r="M157" s="1">
        <v>76707.47</v>
      </c>
      <c r="N157" s="1">
        <v>95028.86</v>
      </c>
      <c r="O157" s="3">
        <v>156.68544724837685</v>
      </c>
      <c r="P157">
        <v>84</v>
      </c>
      <c r="Q157">
        <v>2</v>
      </c>
      <c r="R157">
        <v>0</v>
      </c>
      <c r="S157" t="s">
        <v>39</v>
      </c>
      <c r="T157">
        <f>2025</f>
        <v>2025</v>
      </c>
    </row>
    <row r="158" spans="1:20" x14ac:dyDescent="0.35">
      <c r="A158" s="2" t="s">
        <v>23</v>
      </c>
      <c r="B158" s="2" t="s">
        <v>32</v>
      </c>
      <c r="C158" s="32">
        <v>45717</v>
      </c>
      <c r="D158" s="2" t="s">
        <v>19</v>
      </c>
      <c r="E158">
        <v>10</v>
      </c>
      <c r="F158" t="s">
        <v>30</v>
      </c>
      <c r="G158" s="1">
        <v>0</v>
      </c>
      <c r="H158" s="1">
        <v>218457.09999999998</v>
      </c>
      <c r="I158" s="1">
        <v>354.09</v>
      </c>
      <c r="J158" s="1">
        <v>0</v>
      </c>
      <c r="K158" s="1">
        <v>0</v>
      </c>
      <c r="L158" s="1">
        <v>0</v>
      </c>
      <c r="M158" s="1">
        <v>2032.06</v>
      </c>
      <c r="N158" s="1">
        <v>0</v>
      </c>
      <c r="O158" s="3">
        <v>351.03026130360035</v>
      </c>
      <c r="P158">
        <v>16</v>
      </c>
      <c r="Q158">
        <v>42</v>
      </c>
      <c r="R158">
        <v>0</v>
      </c>
      <c r="S158" t="s">
        <v>39</v>
      </c>
      <c r="T158">
        <f>2025</f>
        <v>2025</v>
      </c>
    </row>
    <row r="159" spans="1:20" x14ac:dyDescent="0.35">
      <c r="A159" s="2" t="s">
        <v>23</v>
      </c>
      <c r="B159" s="2" t="s">
        <v>32</v>
      </c>
      <c r="C159" s="32">
        <v>45717</v>
      </c>
      <c r="D159" s="2" t="s">
        <v>19</v>
      </c>
      <c r="E159">
        <v>10</v>
      </c>
      <c r="F159" t="s">
        <v>31</v>
      </c>
      <c r="G159" s="1">
        <v>135755.45000000001</v>
      </c>
      <c r="H159" s="1">
        <v>414475.06999999989</v>
      </c>
      <c r="I159" s="1">
        <v>2541651.3399999994</v>
      </c>
      <c r="J159" s="1">
        <v>0</v>
      </c>
      <c r="K159" s="1">
        <v>0</v>
      </c>
      <c r="L159" s="1">
        <v>0</v>
      </c>
      <c r="M159" s="1">
        <v>322151.74</v>
      </c>
      <c r="N159" s="1">
        <v>1800048.7499999998</v>
      </c>
      <c r="O159" s="3">
        <v>287.78794938201969</v>
      </c>
      <c r="P159">
        <v>76</v>
      </c>
      <c r="Q159">
        <v>2</v>
      </c>
      <c r="R159">
        <v>0</v>
      </c>
      <c r="S159" t="s">
        <v>39</v>
      </c>
      <c r="T159">
        <f>2025</f>
        <v>2025</v>
      </c>
    </row>
    <row r="160" spans="1:20" x14ac:dyDescent="0.35">
      <c r="A160" s="2" t="s">
        <v>23</v>
      </c>
      <c r="B160" s="2" t="s">
        <v>32</v>
      </c>
      <c r="C160" s="32">
        <v>45717</v>
      </c>
      <c r="D160" s="2" t="s">
        <v>19</v>
      </c>
      <c r="E160">
        <v>13</v>
      </c>
      <c r="F160" t="s">
        <v>30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3" t="s">
        <v>28</v>
      </c>
      <c r="P160">
        <v>0</v>
      </c>
      <c r="Q160">
        <v>19</v>
      </c>
      <c r="R160">
        <v>0</v>
      </c>
      <c r="S160" t="s">
        <v>39</v>
      </c>
      <c r="T160">
        <f>2025</f>
        <v>2025</v>
      </c>
    </row>
    <row r="161" spans="1:20" x14ac:dyDescent="0.35">
      <c r="A161" s="2" t="s">
        <v>23</v>
      </c>
      <c r="B161" s="2" t="s">
        <v>32</v>
      </c>
      <c r="C161" s="32">
        <v>45717</v>
      </c>
      <c r="D161" s="2" t="s">
        <v>19</v>
      </c>
      <c r="E161">
        <v>13</v>
      </c>
      <c r="F161" t="s">
        <v>31</v>
      </c>
      <c r="G161" s="1">
        <v>0</v>
      </c>
      <c r="H161" s="1">
        <v>407.15</v>
      </c>
      <c r="I161" s="1">
        <v>74119.820000000007</v>
      </c>
      <c r="J161" s="1">
        <v>0</v>
      </c>
      <c r="K161" s="1">
        <v>0</v>
      </c>
      <c r="L161" s="1">
        <v>0</v>
      </c>
      <c r="M161" s="1">
        <v>38699.85</v>
      </c>
      <c r="N161" s="1">
        <v>250354.03</v>
      </c>
      <c r="O161" s="3">
        <v>204.34949798821495</v>
      </c>
      <c r="P161">
        <v>6</v>
      </c>
      <c r="Q161">
        <v>0</v>
      </c>
      <c r="R161">
        <v>0</v>
      </c>
      <c r="S161" t="s">
        <v>39</v>
      </c>
      <c r="T161">
        <f>2025</f>
        <v>2025</v>
      </c>
    </row>
    <row r="162" spans="1:20" x14ac:dyDescent="0.35">
      <c r="A162" s="2" t="s">
        <v>23</v>
      </c>
      <c r="B162" s="2" t="s">
        <v>32</v>
      </c>
      <c r="C162" s="32">
        <v>45717</v>
      </c>
      <c r="D162" s="2" t="s">
        <v>19</v>
      </c>
      <c r="E162">
        <v>14</v>
      </c>
      <c r="F162" t="s">
        <v>30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3">
        <v>91.548986401299771</v>
      </c>
      <c r="P162">
        <v>1</v>
      </c>
      <c r="Q162">
        <v>29</v>
      </c>
      <c r="R162">
        <v>0</v>
      </c>
      <c r="S162" t="s">
        <v>39</v>
      </c>
      <c r="T162">
        <f>2025</f>
        <v>2025</v>
      </c>
    </row>
    <row r="163" spans="1:20" x14ac:dyDescent="0.35">
      <c r="A163" s="2" t="s">
        <v>23</v>
      </c>
      <c r="B163" s="2" t="s">
        <v>32</v>
      </c>
      <c r="C163" s="32">
        <v>45717</v>
      </c>
      <c r="D163" s="2" t="s">
        <v>19</v>
      </c>
      <c r="E163">
        <v>14</v>
      </c>
      <c r="F163" t="s">
        <v>31</v>
      </c>
      <c r="G163" s="1">
        <v>42420.75</v>
      </c>
      <c r="H163" s="1">
        <v>134490.89999999997</v>
      </c>
      <c r="I163" s="1">
        <v>200169.05</v>
      </c>
      <c r="J163" s="1">
        <v>0</v>
      </c>
      <c r="K163" s="1">
        <v>0</v>
      </c>
      <c r="L163" s="1">
        <v>0</v>
      </c>
      <c r="M163" s="1">
        <v>63573.849999999991</v>
      </c>
      <c r="N163" s="1">
        <v>229382.78</v>
      </c>
      <c r="O163" s="3">
        <v>326.07892028679476</v>
      </c>
      <c r="P163">
        <v>35</v>
      </c>
      <c r="Q163">
        <v>0</v>
      </c>
      <c r="R163">
        <v>0</v>
      </c>
      <c r="S163" t="s">
        <v>39</v>
      </c>
      <c r="T163">
        <f>2025</f>
        <v>2025</v>
      </c>
    </row>
    <row r="164" spans="1:20" x14ac:dyDescent="0.35">
      <c r="A164" s="2" t="s">
        <v>23</v>
      </c>
      <c r="B164" s="2" t="s">
        <v>32</v>
      </c>
      <c r="C164" s="32">
        <v>45717</v>
      </c>
      <c r="D164" s="2" t="s">
        <v>19</v>
      </c>
      <c r="E164">
        <v>15</v>
      </c>
      <c r="F164" t="s">
        <v>30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3">
        <v>110.63786515084939</v>
      </c>
      <c r="P164">
        <v>2</v>
      </c>
      <c r="Q164">
        <v>7</v>
      </c>
      <c r="R164">
        <v>0</v>
      </c>
      <c r="S164" t="s">
        <v>39</v>
      </c>
      <c r="T164">
        <f>2025</f>
        <v>2025</v>
      </c>
    </row>
    <row r="165" spans="1:20" x14ac:dyDescent="0.35">
      <c r="A165" s="2" t="s">
        <v>23</v>
      </c>
      <c r="B165" s="2" t="s">
        <v>32</v>
      </c>
      <c r="C165" s="32">
        <v>45717</v>
      </c>
      <c r="D165" s="2" t="s">
        <v>19</v>
      </c>
      <c r="E165">
        <v>15</v>
      </c>
      <c r="F165" t="s">
        <v>31</v>
      </c>
      <c r="G165" s="1">
        <v>98243.1</v>
      </c>
      <c r="H165" s="1">
        <v>36941.240000000005</v>
      </c>
      <c r="I165" s="1">
        <v>26366.719999999998</v>
      </c>
      <c r="J165" s="1">
        <v>0</v>
      </c>
      <c r="K165" s="1">
        <v>0</v>
      </c>
      <c r="L165" s="1">
        <v>0</v>
      </c>
      <c r="M165" s="1">
        <v>92454.84</v>
      </c>
      <c r="N165" s="1">
        <v>710716.44000000006</v>
      </c>
      <c r="O165" s="3">
        <v>364.64880592642902</v>
      </c>
      <c r="P165">
        <v>24</v>
      </c>
      <c r="Q165">
        <v>0</v>
      </c>
      <c r="R165">
        <v>0</v>
      </c>
      <c r="S165" t="s">
        <v>39</v>
      </c>
      <c r="T165">
        <f>2025</f>
        <v>2025</v>
      </c>
    </row>
    <row r="166" spans="1:20" x14ac:dyDescent="0.35">
      <c r="A166" s="2" t="s">
        <v>23</v>
      </c>
      <c r="B166" s="2" t="s">
        <v>32</v>
      </c>
      <c r="C166" s="32">
        <v>45717</v>
      </c>
      <c r="D166" s="2" t="s">
        <v>19</v>
      </c>
      <c r="E166">
        <v>16</v>
      </c>
      <c r="F166" t="s">
        <v>30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3" t="s">
        <v>28</v>
      </c>
      <c r="P166">
        <v>0</v>
      </c>
      <c r="Q166">
        <v>11</v>
      </c>
      <c r="R166">
        <v>0</v>
      </c>
      <c r="S166" t="s">
        <v>39</v>
      </c>
      <c r="T166">
        <f>2025</f>
        <v>2025</v>
      </c>
    </row>
    <row r="167" spans="1:20" x14ac:dyDescent="0.35">
      <c r="A167" s="4" t="s">
        <v>23</v>
      </c>
      <c r="B167" s="2" t="s">
        <v>32</v>
      </c>
      <c r="C167" s="32">
        <v>45717</v>
      </c>
      <c r="D167" s="2" t="s">
        <v>19</v>
      </c>
      <c r="E167">
        <v>16</v>
      </c>
      <c r="F167" t="s">
        <v>31</v>
      </c>
      <c r="G167" s="1">
        <v>0</v>
      </c>
      <c r="H167" s="1">
        <v>0</v>
      </c>
      <c r="I167" s="1">
        <v>76695.72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3">
        <v>17.439924993297609</v>
      </c>
      <c r="P167">
        <v>1</v>
      </c>
      <c r="Q167">
        <v>0</v>
      </c>
      <c r="R167">
        <v>0</v>
      </c>
      <c r="S167" t="s">
        <v>39</v>
      </c>
      <c r="T167">
        <f>2025</f>
        <v>2025</v>
      </c>
    </row>
    <row r="168" spans="1:20" hidden="1" x14ac:dyDescent="0.35">
      <c r="A168" s="2" t="s">
        <v>33</v>
      </c>
      <c r="B168" s="2" t="s">
        <v>26</v>
      </c>
      <c r="C168" s="32">
        <v>45658</v>
      </c>
      <c r="D168" s="2" t="s">
        <v>27</v>
      </c>
      <c r="E168">
        <v>9</v>
      </c>
      <c r="F168" t="s">
        <v>48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3" t="s">
        <v>28</v>
      </c>
      <c r="P168">
        <v>0</v>
      </c>
      <c r="Q168">
        <v>1</v>
      </c>
      <c r="R168">
        <v>0</v>
      </c>
      <c r="S168" t="s">
        <v>39</v>
      </c>
      <c r="T168">
        <f>2025</f>
        <v>2025</v>
      </c>
    </row>
    <row r="169" spans="1:20" hidden="1" x14ac:dyDescent="0.35">
      <c r="A169" s="2" t="s">
        <v>33</v>
      </c>
      <c r="B169" s="2" t="s">
        <v>26</v>
      </c>
      <c r="C169" s="32">
        <v>45658</v>
      </c>
      <c r="D169" s="2" t="s">
        <v>27</v>
      </c>
      <c r="E169">
        <v>13</v>
      </c>
      <c r="F169" t="s">
        <v>48</v>
      </c>
      <c r="G169" s="1">
        <v>0</v>
      </c>
      <c r="H169" s="1">
        <v>19476.22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3">
        <v>48.974810245847038</v>
      </c>
      <c r="P169">
        <v>2</v>
      </c>
      <c r="Q169">
        <v>5</v>
      </c>
      <c r="R169">
        <v>0</v>
      </c>
      <c r="S169" t="s">
        <v>39</v>
      </c>
      <c r="T169">
        <f>2025</f>
        <v>2025</v>
      </c>
    </row>
    <row r="170" spans="1:20" hidden="1" x14ac:dyDescent="0.35">
      <c r="A170" s="2" t="s">
        <v>33</v>
      </c>
      <c r="B170" s="2" t="s">
        <v>26</v>
      </c>
      <c r="C170" s="32">
        <v>45658</v>
      </c>
      <c r="D170" s="2" t="s">
        <v>29</v>
      </c>
      <c r="E170">
        <v>6</v>
      </c>
      <c r="F170" t="s">
        <v>48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3" t="s">
        <v>28</v>
      </c>
      <c r="P170">
        <v>0</v>
      </c>
      <c r="Q170">
        <v>3</v>
      </c>
      <c r="R170">
        <v>0</v>
      </c>
      <c r="S170" t="s">
        <v>39</v>
      </c>
      <c r="T170">
        <f>2025</f>
        <v>2025</v>
      </c>
    </row>
    <row r="171" spans="1:20" hidden="1" x14ac:dyDescent="0.35">
      <c r="A171" s="2" t="s">
        <v>33</v>
      </c>
      <c r="B171" s="2" t="s">
        <v>26</v>
      </c>
      <c r="C171" s="32">
        <v>45658</v>
      </c>
      <c r="D171" s="2" t="s">
        <v>29</v>
      </c>
      <c r="E171">
        <v>8</v>
      </c>
      <c r="F171" t="s">
        <v>48</v>
      </c>
      <c r="G171" s="1">
        <v>0</v>
      </c>
      <c r="H171" s="1">
        <v>118144.40000000001</v>
      </c>
      <c r="I171" s="1">
        <v>920.3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3">
        <v>45.269177964950359</v>
      </c>
      <c r="P171">
        <v>2</v>
      </c>
      <c r="Q171">
        <v>1</v>
      </c>
      <c r="R171">
        <v>0</v>
      </c>
      <c r="S171" t="s">
        <v>39</v>
      </c>
      <c r="T171">
        <f>2025</f>
        <v>2025</v>
      </c>
    </row>
    <row r="172" spans="1:20" hidden="1" x14ac:dyDescent="0.35">
      <c r="A172" s="2" t="s">
        <v>33</v>
      </c>
      <c r="B172" s="2" t="s">
        <v>26</v>
      </c>
      <c r="C172" s="32">
        <v>45658</v>
      </c>
      <c r="D172" s="2" t="s">
        <v>29</v>
      </c>
      <c r="E172">
        <v>9</v>
      </c>
      <c r="F172" t="s">
        <v>48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3" t="s">
        <v>28</v>
      </c>
      <c r="P172">
        <v>0</v>
      </c>
      <c r="Q172">
        <v>5</v>
      </c>
      <c r="R172">
        <v>1</v>
      </c>
      <c r="S172" t="s">
        <v>39</v>
      </c>
      <c r="T172">
        <f>2025</f>
        <v>2025</v>
      </c>
    </row>
    <row r="173" spans="1:20" hidden="1" x14ac:dyDescent="0.35">
      <c r="A173" s="2" t="s">
        <v>33</v>
      </c>
      <c r="B173" s="2" t="s">
        <v>26</v>
      </c>
      <c r="C173" s="32">
        <v>45658</v>
      </c>
      <c r="D173" s="2" t="s">
        <v>29</v>
      </c>
      <c r="E173">
        <v>10</v>
      </c>
      <c r="F173" t="s">
        <v>48</v>
      </c>
      <c r="G173" s="1">
        <v>0</v>
      </c>
      <c r="H173" s="1">
        <v>2480.0299999999997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3">
        <v>29.884128084566328</v>
      </c>
      <c r="P173">
        <v>3</v>
      </c>
      <c r="Q173">
        <v>4</v>
      </c>
      <c r="R173">
        <v>0</v>
      </c>
      <c r="S173" t="s">
        <v>39</v>
      </c>
      <c r="T173">
        <f>2025</f>
        <v>2025</v>
      </c>
    </row>
    <row r="174" spans="1:20" hidden="1" x14ac:dyDescent="0.35">
      <c r="A174" s="2" t="s">
        <v>33</v>
      </c>
      <c r="B174" s="2" t="s">
        <v>26</v>
      </c>
      <c r="C174" s="32">
        <v>45658</v>
      </c>
      <c r="D174" s="2" t="s">
        <v>29</v>
      </c>
      <c r="E174">
        <v>14</v>
      </c>
      <c r="F174" t="s">
        <v>48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3" t="s">
        <v>28</v>
      </c>
      <c r="P174">
        <v>0</v>
      </c>
      <c r="Q174">
        <v>3</v>
      </c>
      <c r="R174">
        <v>0</v>
      </c>
      <c r="S174" t="s">
        <v>39</v>
      </c>
      <c r="T174">
        <f>2025</f>
        <v>2025</v>
      </c>
    </row>
    <row r="175" spans="1:20" x14ac:dyDescent="0.35">
      <c r="A175" s="2" t="s">
        <v>33</v>
      </c>
      <c r="B175" s="2" t="s">
        <v>26</v>
      </c>
      <c r="C175" s="32">
        <v>45658</v>
      </c>
      <c r="D175" s="2" t="s">
        <v>19</v>
      </c>
      <c r="E175">
        <v>6</v>
      </c>
      <c r="F175" t="s">
        <v>30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3" t="s">
        <v>28</v>
      </c>
      <c r="P175">
        <v>0</v>
      </c>
      <c r="Q175">
        <v>8</v>
      </c>
      <c r="R175">
        <v>0</v>
      </c>
      <c r="S175" t="s">
        <v>39</v>
      </c>
      <c r="T175">
        <f>2025</f>
        <v>2025</v>
      </c>
    </row>
    <row r="176" spans="1:20" x14ac:dyDescent="0.35">
      <c r="A176" s="2" t="s">
        <v>33</v>
      </c>
      <c r="B176" s="2" t="s">
        <v>26</v>
      </c>
      <c r="C176" s="32">
        <v>45658</v>
      </c>
      <c r="D176" s="2" t="s">
        <v>19</v>
      </c>
      <c r="E176">
        <v>6</v>
      </c>
      <c r="F176" t="s">
        <v>31</v>
      </c>
      <c r="G176" s="1">
        <v>0</v>
      </c>
      <c r="H176" s="1">
        <v>660.1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3">
        <v>44.500322649000736</v>
      </c>
      <c r="P176">
        <v>1</v>
      </c>
      <c r="Q176">
        <v>2</v>
      </c>
      <c r="R176">
        <v>0</v>
      </c>
      <c r="S176" t="s">
        <v>39</v>
      </c>
      <c r="T176">
        <f>2025</f>
        <v>2025</v>
      </c>
    </row>
    <row r="177" spans="1:20" x14ac:dyDescent="0.35">
      <c r="A177" s="2" t="s">
        <v>33</v>
      </c>
      <c r="B177" s="2" t="s">
        <v>26</v>
      </c>
      <c r="C177" s="32">
        <v>45658</v>
      </c>
      <c r="D177" s="2" t="s">
        <v>19</v>
      </c>
      <c r="E177">
        <v>8</v>
      </c>
      <c r="F177" t="s">
        <v>30</v>
      </c>
      <c r="G177" s="1">
        <v>0</v>
      </c>
      <c r="H177" s="1">
        <v>685.48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3">
        <v>140.39124977569736</v>
      </c>
      <c r="P177">
        <v>1</v>
      </c>
      <c r="Q177">
        <v>2</v>
      </c>
      <c r="R177">
        <v>0</v>
      </c>
      <c r="S177" t="s">
        <v>39</v>
      </c>
      <c r="T177">
        <f>2025</f>
        <v>2025</v>
      </c>
    </row>
    <row r="178" spans="1:20" x14ac:dyDescent="0.35">
      <c r="A178" s="2" t="s">
        <v>33</v>
      </c>
      <c r="B178" s="2" t="s">
        <v>26</v>
      </c>
      <c r="C178" s="32">
        <v>45658</v>
      </c>
      <c r="D178" s="2" t="s">
        <v>19</v>
      </c>
      <c r="E178">
        <v>8</v>
      </c>
      <c r="F178" t="s">
        <v>31</v>
      </c>
      <c r="G178" s="1">
        <v>0</v>
      </c>
      <c r="H178" s="1">
        <v>2756.45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3">
        <v>87.806527478802309</v>
      </c>
      <c r="P178">
        <v>4</v>
      </c>
      <c r="Q178">
        <v>0</v>
      </c>
      <c r="R178">
        <v>0</v>
      </c>
      <c r="S178" t="s">
        <v>39</v>
      </c>
      <c r="T178">
        <f>2025</f>
        <v>2025</v>
      </c>
    </row>
    <row r="179" spans="1:20" x14ac:dyDescent="0.35">
      <c r="A179" s="2" t="s">
        <v>33</v>
      </c>
      <c r="B179" s="2" t="s">
        <v>26</v>
      </c>
      <c r="C179" s="32">
        <v>45658</v>
      </c>
      <c r="D179" s="2" t="s">
        <v>19</v>
      </c>
      <c r="E179">
        <v>9</v>
      </c>
      <c r="F179" t="s">
        <v>30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3" t="s">
        <v>28</v>
      </c>
      <c r="P179">
        <v>0</v>
      </c>
      <c r="Q179">
        <v>5</v>
      </c>
      <c r="R179">
        <v>0</v>
      </c>
      <c r="S179" t="s">
        <v>39</v>
      </c>
      <c r="T179">
        <f>2025</f>
        <v>2025</v>
      </c>
    </row>
    <row r="180" spans="1:20" x14ac:dyDescent="0.35">
      <c r="A180" s="2" t="s">
        <v>33</v>
      </c>
      <c r="B180" s="2" t="s">
        <v>26</v>
      </c>
      <c r="C180" s="32">
        <v>45658</v>
      </c>
      <c r="D180" s="2" t="s">
        <v>19</v>
      </c>
      <c r="E180">
        <v>9</v>
      </c>
      <c r="F180" t="s">
        <v>31</v>
      </c>
      <c r="G180" s="1">
        <v>0</v>
      </c>
      <c r="H180" s="1">
        <v>5568.0599999999995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3">
        <v>245.38747140946217</v>
      </c>
      <c r="P180">
        <v>5</v>
      </c>
      <c r="Q180">
        <v>0</v>
      </c>
      <c r="R180">
        <v>0</v>
      </c>
      <c r="S180" t="s">
        <v>39</v>
      </c>
      <c r="T180">
        <f>2025</f>
        <v>2025</v>
      </c>
    </row>
    <row r="181" spans="1:20" x14ac:dyDescent="0.35">
      <c r="A181" s="2" t="s">
        <v>33</v>
      </c>
      <c r="B181" s="2" t="s">
        <v>26</v>
      </c>
      <c r="C181" s="32">
        <v>45658</v>
      </c>
      <c r="D181" s="2" t="s">
        <v>19</v>
      </c>
      <c r="E181">
        <v>10</v>
      </c>
      <c r="F181" t="s">
        <v>30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3" t="s">
        <v>28</v>
      </c>
      <c r="P181">
        <v>0</v>
      </c>
      <c r="Q181">
        <v>6</v>
      </c>
      <c r="R181">
        <v>0</v>
      </c>
      <c r="S181" t="s">
        <v>39</v>
      </c>
      <c r="T181">
        <f>2025</f>
        <v>2025</v>
      </c>
    </row>
    <row r="182" spans="1:20" x14ac:dyDescent="0.35">
      <c r="A182" s="2" t="s">
        <v>33</v>
      </c>
      <c r="B182" s="2" t="s">
        <v>26</v>
      </c>
      <c r="C182" s="32">
        <v>45658</v>
      </c>
      <c r="D182" s="2" t="s">
        <v>19</v>
      </c>
      <c r="E182">
        <v>10</v>
      </c>
      <c r="F182" t="s">
        <v>31</v>
      </c>
      <c r="G182" s="1">
        <v>0</v>
      </c>
      <c r="H182" s="1">
        <v>2001.23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3">
        <v>29.907126408750628</v>
      </c>
      <c r="P182">
        <v>2</v>
      </c>
      <c r="Q182">
        <v>1</v>
      </c>
      <c r="R182">
        <v>0</v>
      </c>
      <c r="S182" t="s">
        <v>39</v>
      </c>
      <c r="T182">
        <f>2025</f>
        <v>2025</v>
      </c>
    </row>
    <row r="183" spans="1:20" x14ac:dyDescent="0.35">
      <c r="A183" s="2" t="s">
        <v>33</v>
      </c>
      <c r="B183" s="2" t="s">
        <v>26</v>
      </c>
      <c r="C183" s="32">
        <v>45658</v>
      </c>
      <c r="D183" s="2" t="s">
        <v>19</v>
      </c>
      <c r="E183">
        <v>13</v>
      </c>
      <c r="F183" t="s">
        <v>31</v>
      </c>
      <c r="G183" s="1">
        <v>0</v>
      </c>
      <c r="H183" s="1">
        <v>774.62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3">
        <v>62.559285539500706</v>
      </c>
      <c r="P183">
        <v>1</v>
      </c>
      <c r="Q183">
        <v>0</v>
      </c>
      <c r="R183">
        <v>0</v>
      </c>
      <c r="S183" t="s">
        <v>39</v>
      </c>
      <c r="T183">
        <f>2025</f>
        <v>2025</v>
      </c>
    </row>
    <row r="184" spans="1:20" x14ac:dyDescent="0.35">
      <c r="A184" s="2" t="s">
        <v>33</v>
      </c>
      <c r="B184" s="2" t="s">
        <v>26</v>
      </c>
      <c r="C184" s="32">
        <v>45658</v>
      </c>
      <c r="D184" s="2" t="s">
        <v>19</v>
      </c>
      <c r="E184">
        <v>14</v>
      </c>
      <c r="F184" t="s">
        <v>30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3" t="s">
        <v>28</v>
      </c>
      <c r="P184">
        <v>0</v>
      </c>
      <c r="Q184">
        <v>4</v>
      </c>
      <c r="R184">
        <v>0</v>
      </c>
      <c r="S184" t="s">
        <v>39</v>
      </c>
      <c r="T184">
        <f>2025</f>
        <v>2025</v>
      </c>
    </row>
    <row r="185" spans="1:20" x14ac:dyDescent="0.35">
      <c r="A185" s="2" t="s">
        <v>33</v>
      </c>
      <c r="B185" s="2" t="s">
        <v>26</v>
      </c>
      <c r="C185" s="32">
        <v>45658</v>
      </c>
      <c r="D185" s="2" t="s">
        <v>19</v>
      </c>
      <c r="E185">
        <v>14</v>
      </c>
      <c r="F185" t="s">
        <v>31</v>
      </c>
      <c r="G185" s="1">
        <v>0</v>
      </c>
      <c r="H185" s="1">
        <v>2275.52</v>
      </c>
      <c r="I185" s="1">
        <v>1284.26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3">
        <v>79.994203186248342</v>
      </c>
      <c r="P185">
        <v>2</v>
      </c>
      <c r="Q185">
        <v>0</v>
      </c>
      <c r="R185">
        <v>0</v>
      </c>
      <c r="S185" t="s">
        <v>39</v>
      </c>
      <c r="T185">
        <f>2025</f>
        <v>2025</v>
      </c>
    </row>
    <row r="186" spans="1:20" x14ac:dyDescent="0.35">
      <c r="A186" s="2" t="s">
        <v>33</v>
      </c>
      <c r="B186" s="2" t="s">
        <v>26</v>
      </c>
      <c r="C186" s="32">
        <v>45658</v>
      </c>
      <c r="D186" s="2" t="s">
        <v>19</v>
      </c>
      <c r="E186">
        <v>15</v>
      </c>
      <c r="F186" t="s">
        <v>30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3" t="s">
        <v>28</v>
      </c>
      <c r="P186">
        <v>0</v>
      </c>
      <c r="Q186">
        <v>1</v>
      </c>
      <c r="R186">
        <v>0</v>
      </c>
      <c r="S186" t="s">
        <v>39</v>
      </c>
      <c r="T186">
        <f>2025</f>
        <v>2025</v>
      </c>
    </row>
    <row r="187" spans="1:20" x14ac:dyDescent="0.35">
      <c r="A187" s="2" t="s">
        <v>33</v>
      </c>
      <c r="B187" s="2" t="s">
        <v>26</v>
      </c>
      <c r="C187" s="32">
        <v>45658</v>
      </c>
      <c r="D187" s="2" t="s">
        <v>19</v>
      </c>
      <c r="E187">
        <v>16</v>
      </c>
      <c r="F187" t="s">
        <v>30</v>
      </c>
      <c r="G187" s="1">
        <v>0</v>
      </c>
      <c r="H187" s="1">
        <v>1587.19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3">
        <v>56.294021825997334</v>
      </c>
      <c r="P187">
        <v>1</v>
      </c>
      <c r="Q187">
        <v>0</v>
      </c>
      <c r="R187">
        <v>0</v>
      </c>
      <c r="S187" t="s">
        <v>39</v>
      </c>
      <c r="T187">
        <f>2025</f>
        <v>2025</v>
      </c>
    </row>
    <row r="188" spans="1:20" x14ac:dyDescent="0.35">
      <c r="A188" s="2" t="s">
        <v>33</v>
      </c>
      <c r="B188" s="2" t="s">
        <v>26</v>
      </c>
      <c r="C188" s="32">
        <v>45658</v>
      </c>
      <c r="D188" s="2" t="s">
        <v>19</v>
      </c>
      <c r="E188">
        <v>16</v>
      </c>
      <c r="F188" t="s">
        <v>31</v>
      </c>
      <c r="G188" s="1">
        <v>0</v>
      </c>
      <c r="H188" s="1">
        <v>1819.85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3">
        <v>84.641041948998463</v>
      </c>
      <c r="P188">
        <v>1</v>
      </c>
      <c r="Q188">
        <v>0</v>
      </c>
      <c r="R188">
        <v>0</v>
      </c>
      <c r="S188" t="s">
        <v>39</v>
      </c>
      <c r="T188">
        <f>2025</f>
        <v>2025</v>
      </c>
    </row>
    <row r="189" spans="1:20" hidden="1" x14ac:dyDescent="0.35">
      <c r="A189" s="2" t="s">
        <v>33</v>
      </c>
      <c r="B189" s="2" t="s">
        <v>26</v>
      </c>
      <c r="C189" s="32">
        <v>45689</v>
      </c>
      <c r="D189" s="2" t="s">
        <v>27</v>
      </c>
      <c r="E189">
        <v>13</v>
      </c>
      <c r="F189" t="s">
        <v>48</v>
      </c>
      <c r="G189" s="1">
        <v>0</v>
      </c>
      <c r="H189" s="1">
        <v>41141.21</v>
      </c>
      <c r="I189" s="1">
        <v>32.57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3">
        <v>54.57040922610031</v>
      </c>
      <c r="P189">
        <v>5</v>
      </c>
      <c r="Q189">
        <v>8</v>
      </c>
      <c r="R189">
        <v>0</v>
      </c>
      <c r="S189" t="s">
        <v>39</v>
      </c>
      <c r="T189">
        <f>2025</f>
        <v>2025</v>
      </c>
    </row>
    <row r="190" spans="1:20" hidden="1" x14ac:dyDescent="0.35">
      <c r="A190" s="2" t="s">
        <v>33</v>
      </c>
      <c r="B190" s="2" t="s">
        <v>26</v>
      </c>
      <c r="C190" s="32">
        <v>45689</v>
      </c>
      <c r="D190" s="2" t="s">
        <v>29</v>
      </c>
      <c r="E190">
        <v>6</v>
      </c>
      <c r="F190" t="s">
        <v>48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3" t="s">
        <v>28</v>
      </c>
      <c r="P190">
        <v>0</v>
      </c>
      <c r="Q190">
        <v>2</v>
      </c>
      <c r="R190">
        <v>0</v>
      </c>
      <c r="S190" t="s">
        <v>39</v>
      </c>
      <c r="T190">
        <f>2025</f>
        <v>2025</v>
      </c>
    </row>
    <row r="191" spans="1:20" hidden="1" x14ac:dyDescent="0.35">
      <c r="A191" s="2" t="s">
        <v>33</v>
      </c>
      <c r="B191" s="2" t="s">
        <v>26</v>
      </c>
      <c r="C191" s="32">
        <v>45689</v>
      </c>
      <c r="D191" s="2" t="s">
        <v>29</v>
      </c>
      <c r="E191">
        <v>8</v>
      </c>
      <c r="F191" t="s">
        <v>48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3" t="s">
        <v>28</v>
      </c>
      <c r="P191">
        <v>0</v>
      </c>
      <c r="Q191">
        <v>6</v>
      </c>
      <c r="R191">
        <v>0</v>
      </c>
      <c r="S191" t="s">
        <v>39</v>
      </c>
      <c r="T191">
        <f>2025</f>
        <v>2025</v>
      </c>
    </row>
    <row r="192" spans="1:20" hidden="1" x14ac:dyDescent="0.35">
      <c r="A192" s="2" t="s">
        <v>33</v>
      </c>
      <c r="B192" s="2" t="s">
        <v>26</v>
      </c>
      <c r="C192" s="32">
        <v>45689</v>
      </c>
      <c r="D192" s="2" t="s">
        <v>29</v>
      </c>
      <c r="E192">
        <v>9</v>
      </c>
      <c r="F192" t="s">
        <v>48</v>
      </c>
      <c r="G192" s="1">
        <v>0</v>
      </c>
      <c r="H192" s="1">
        <v>98017.22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3">
        <v>45.88974420240023</v>
      </c>
      <c r="P192">
        <v>3</v>
      </c>
      <c r="Q192">
        <v>4</v>
      </c>
      <c r="R192">
        <v>0</v>
      </c>
      <c r="S192" t="s">
        <v>39</v>
      </c>
      <c r="T192">
        <f>2025</f>
        <v>2025</v>
      </c>
    </row>
    <row r="193" spans="1:20" hidden="1" x14ac:dyDescent="0.35">
      <c r="A193" s="2" t="s">
        <v>33</v>
      </c>
      <c r="B193" s="2" t="s">
        <v>26</v>
      </c>
      <c r="C193" s="32">
        <v>45689</v>
      </c>
      <c r="D193" s="2" t="s">
        <v>29</v>
      </c>
      <c r="E193">
        <v>10</v>
      </c>
      <c r="F193" t="s">
        <v>48</v>
      </c>
      <c r="G193" s="1">
        <v>0</v>
      </c>
      <c r="H193" s="1">
        <v>20503.68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3">
        <v>110.89228435450059</v>
      </c>
      <c r="P193">
        <v>3</v>
      </c>
      <c r="Q193">
        <v>7</v>
      </c>
      <c r="R193">
        <v>0</v>
      </c>
      <c r="S193" t="s">
        <v>39</v>
      </c>
      <c r="T193">
        <f>2025</f>
        <v>2025</v>
      </c>
    </row>
    <row r="194" spans="1:20" hidden="1" x14ac:dyDescent="0.35">
      <c r="A194" s="2" t="s">
        <v>33</v>
      </c>
      <c r="B194" s="2" t="s">
        <v>26</v>
      </c>
      <c r="C194" s="32">
        <v>45689</v>
      </c>
      <c r="D194" s="2" t="s">
        <v>29</v>
      </c>
      <c r="E194">
        <v>13</v>
      </c>
      <c r="F194" t="s">
        <v>48</v>
      </c>
      <c r="G194" s="1">
        <v>0</v>
      </c>
      <c r="H194" s="1">
        <v>550.83000000000004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3">
        <v>14.354277895399719</v>
      </c>
      <c r="P194">
        <v>1</v>
      </c>
      <c r="Q194">
        <v>3</v>
      </c>
      <c r="R194">
        <v>0</v>
      </c>
      <c r="S194" t="s">
        <v>39</v>
      </c>
      <c r="T194">
        <f>2025</f>
        <v>2025</v>
      </c>
    </row>
    <row r="195" spans="1:20" hidden="1" x14ac:dyDescent="0.35">
      <c r="A195" s="2" t="s">
        <v>33</v>
      </c>
      <c r="B195" s="2" t="s">
        <v>26</v>
      </c>
      <c r="C195" s="32">
        <v>45689</v>
      </c>
      <c r="D195" s="2" t="s">
        <v>29</v>
      </c>
      <c r="E195">
        <v>14</v>
      </c>
      <c r="F195" t="s">
        <v>48</v>
      </c>
      <c r="G195" s="1">
        <v>0</v>
      </c>
      <c r="H195" s="1">
        <v>6081.12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3">
        <v>97.683748085502884</v>
      </c>
      <c r="P195">
        <v>1</v>
      </c>
      <c r="Q195">
        <v>3</v>
      </c>
      <c r="R195">
        <v>0</v>
      </c>
      <c r="S195" t="s">
        <v>39</v>
      </c>
      <c r="T195">
        <f>2025</f>
        <v>2025</v>
      </c>
    </row>
    <row r="196" spans="1:20" hidden="1" x14ac:dyDescent="0.35">
      <c r="A196" s="2" t="s">
        <v>33</v>
      </c>
      <c r="B196" s="2" t="s">
        <v>26</v>
      </c>
      <c r="C196" s="32">
        <v>45689</v>
      </c>
      <c r="D196" s="2" t="s">
        <v>29</v>
      </c>
      <c r="E196">
        <v>15</v>
      </c>
      <c r="F196" t="s">
        <v>48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3" t="s">
        <v>28</v>
      </c>
      <c r="P196">
        <v>0</v>
      </c>
      <c r="Q196">
        <v>1</v>
      </c>
      <c r="R196">
        <v>0</v>
      </c>
      <c r="S196" t="s">
        <v>39</v>
      </c>
      <c r="T196">
        <f>2025</f>
        <v>2025</v>
      </c>
    </row>
    <row r="197" spans="1:20" x14ac:dyDescent="0.35">
      <c r="A197" s="2" t="s">
        <v>33</v>
      </c>
      <c r="B197" s="2" t="s">
        <v>26</v>
      </c>
      <c r="C197" s="32">
        <v>45689</v>
      </c>
      <c r="D197" s="2" t="s">
        <v>19</v>
      </c>
      <c r="E197">
        <v>6</v>
      </c>
      <c r="F197" t="s">
        <v>30</v>
      </c>
      <c r="G197" s="1">
        <v>0</v>
      </c>
      <c r="H197" s="1">
        <v>1870.47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3">
        <v>105.69813733729825</v>
      </c>
      <c r="P197">
        <v>1</v>
      </c>
      <c r="Q197">
        <v>7</v>
      </c>
      <c r="R197">
        <v>0</v>
      </c>
      <c r="S197" t="s">
        <v>39</v>
      </c>
      <c r="T197">
        <f>2025</f>
        <v>2025</v>
      </c>
    </row>
    <row r="198" spans="1:20" x14ac:dyDescent="0.35">
      <c r="A198" s="2" t="s">
        <v>33</v>
      </c>
      <c r="B198" s="2" t="s">
        <v>26</v>
      </c>
      <c r="C198" s="32">
        <v>45689</v>
      </c>
      <c r="D198" s="2" t="s">
        <v>19</v>
      </c>
      <c r="E198">
        <v>6</v>
      </c>
      <c r="F198" t="s">
        <v>31</v>
      </c>
      <c r="G198" s="1">
        <v>0</v>
      </c>
      <c r="H198" s="1">
        <v>2930.28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3">
        <v>32.118006790330888</v>
      </c>
      <c r="P198">
        <v>3</v>
      </c>
      <c r="Q198">
        <v>0</v>
      </c>
      <c r="R198">
        <v>0</v>
      </c>
      <c r="S198" t="s">
        <v>39</v>
      </c>
      <c r="T198">
        <f>2025</f>
        <v>2025</v>
      </c>
    </row>
    <row r="199" spans="1:20" x14ac:dyDescent="0.35">
      <c r="A199" s="2" t="s">
        <v>33</v>
      </c>
      <c r="B199" s="2" t="s">
        <v>26</v>
      </c>
      <c r="C199" s="32">
        <v>45689</v>
      </c>
      <c r="D199" s="2" t="s">
        <v>19</v>
      </c>
      <c r="E199">
        <v>8</v>
      </c>
      <c r="F199" t="s">
        <v>30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3" t="s">
        <v>28</v>
      </c>
      <c r="P199">
        <v>0</v>
      </c>
      <c r="Q199">
        <v>4</v>
      </c>
      <c r="R199">
        <v>0</v>
      </c>
      <c r="S199" t="s">
        <v>39</v>
      </c>
      <c r="T199">
        <f>2025</f>
        <v>2025</v>
      </c>
    </row>
    <row r="200" spans="1:20" x14ac:dyDescent="0.35">
      <c r="A200" s="2" t="s">
        <v>33</v>
      </c>
      <c r="B200" s="2" t="s">
        <v>26</v>
      </c>
      <c r="C200" s="32">
        <v>45689</v>
      </c>
      <c r="D200" s="2" t="s">
        <v>19</v>
      </c>
      <c r="E200">
        <v>8</v>
      </c>
      <c r="F200" t="s">
        <v>31</v>
      </c>
      <c r="G200" s="1">
        <v>0</v>
      </c>
      <c r="H200" s="1">
        <v>46537.2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3">
        <v>68.685378421199857</v>
      </c>
      <c r="P200">
        <v>1</v>
      </c>
      <c r="Q200">
        <v>1</v>
      </c>
      <c r="R200">
        <v>0</v>
      </c>
      <c r="S200" t="s">
        <v>39</v>
      </c>
      <c r="T200">
        <f>2025</f>
        <v>2025</v>
      </c>
    </row>
    <row r="201" spans="1:20" x14ac:dyDescent="0.35">
      <c r="A201" s="2" t="s">
        <v>33</v>
      </c>
      <c r="B201" s="2" t="s">
        <v>26</v>
      </c>
      <c r="C201" s="32">
        <v>45689</v>
      </c>
      <c r="D201" s="2" t="s">
        <v>19</v>
      </c>
      <c r="E201">
        <v>9</v>
      </c>
      <c r="F201" t="s">
        <v>30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3" t="s">
        <v>28</v>
      </c>
      <c r="P201">
        <v>0</v>
      </c>
      <c r="Q201">
        <v>5</v>
      </c>
      <c r="R201">
        <v>0</v>
      </c>
      <c r="S201" t="s">
        <v>39</v>
      </c>
      <c r="T201">
        <f>2025</f>
        <v>2025</v>
      </c>
    </row>
    <row r="202" spans="1:20" x14ac:dyDescent="0.35">
      <c r="A202" s="2" t="s">
        <v>33</v>
      </c>
      <c r="B202" s="2" t="s">
        <v>26</v>
      </c>
      <c r="C202" s="32">
        <v>45689</v>
      </c>
      <c r="D202" s="2" t="s">
        <v>19</v>
      </c>
      <c r="E202">
        <v>9</v>
      </c>
      <c r="F202" t="s">
        <v>31</v>
      </c>
      <c r="G202" s="1">
        <v>0</v>
      </c>
      <c r="H202" s="1">
        <v>3738.78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3">
        <v>47.254985468474842</v>
      </c>
      <c r="P202">
        <v>4</v>
      </c>
      <c r="Q202">
        <v>0</v>
      </c>
      <c r="R202">
        <v>0</v>
      </c>
      <c r="S202" t="s">
        <v>39</v>
      </c>
      <c r="T202">
        <f>2025</f>
        <v>2025</v>
      </c>
    </row>
    <row r="203" spans="1:20" x14ac:dyDescent="0.35">
      <c r="A203" s="2" t="s">
        <v>33</v>
      </c>
      <c r="B203" s="2" t="s">
        <v>26</v>
      </c>
      <c r="C203" s="32">
        <v>45689</v>
      </c>
      <c r="D203" s="2" t="s">
        <v>19</v>
      </c>
      <c r="E203">
        <v>10</v>
      </c>
      <c r="F203" t="s">
        <v>30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3" t="s">
        <v>28</v>
      </c>
      <c r="P203">
        <v>0</v>
      </c>
      <c r="Q203">
        <v>4</v>
      </c>
      <c r="R203">
        <v>0</v>
      </c>
      <c r="S203" t="s">
        <v>39</v>
      </c>
      <c r="T203">
        <f>2025</f>
        <v>2025</v>
      </c>
    </row>
    <row r="204" spans="1:20" x14ac:dyDescent="0.35">
      <c r="A204" s="2" t="s">
        <v>33</v>
      </c>
      <c r="B204" s="2" t="s">
        <v>26</v>
      </c>
      <c r="C204" s="32">
        <v>45689</v>
      </c>
      <c r="D204" s="2" t="s">
        <v>19</v>
      </c>
      <c r="E204">
        <v>10</v>
      </c>
      <c r="F204" t="s">
        <v>31</v>
      </c>
      <c r="G204" s="1">
        <v>0</v>
      </c>
      <c r="H204" s="1">
        <v>3708.29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3">
        <v>65.653357163922919</v>
      </c>
      <c r="P204">
        <v>4</v>
      </c>
      <c r="Q204">
        <v>0</v>
      </c>
      <c r="R204">
        <v>0</v>
      </c>
      <c r="S204" t="s">
        <v>39</v>
      </c>
      <c r="T204">
        <f>2025</f>
        <v>2025</v>
      </c>
    </row>
    <row r="205" spans="1:20" x14ac:dyDescent="0.35">
      <c r="A205" s="2" t="s">
        <v>33</v>
      </c>
      <c r="B205" s="2" t="s">
        <v>26</v>
      </c>
      <c r="C205" s="32">
        <v>45689</v>
      </c>
      <c r="D205" s="2" t="s">
        <v>19</v>
      </c>
      <c r="E205">
        <v>13</v>
      </c>
      <c r="F205" t="s">
        <v>31</v>
      </c>
      <c r="G205" s="1">
        <v>0</v>
      </c>
      <c r="H205" s="1">
        <v>544.41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3">
        <v>10.684619644198392</v>
      </c>
      <c r="P205">
        <v>1</v>
      </c>
      <c r="Q205">
        <v>0</v>
      </c>
      <c r="R205">
        <v>0</v>
      </c>
      <c r="S205" t="s">
        <v>39</v>
      </c>
      <c r="T205">
        <f>2025</f>
        <v>2025</v>
      </c>
    </row>
    <row r="206" spans="1:20" x14ac:dyDescent="0.35">
      <c r="A206" s="2" t="s">
        <v>33</v>
      </c>
      <c r="B206" s="2" t="s">
        <v>26</v>
      </c>
      <c r="C206" s="32">
        <v>45689</v>
      </c>
      <c r="D206" s="2" t="s">
        <v>19</v>
      </c>
      <c r="E206">
        <v>14</v>
      </c>
      <c r="F206" t="s">
        <v>30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3" t="s">
        <v>28</v>
      </c>
      <c r="P206">
        <v>0</v>
      </c>
      <c r="Q206">
        <v>5</v>
      </c>
      <c r="R206">
        <v>0</v>
      </c>
      <c r="S206" t="s">
        <v>39</v>
      </c>
      <c r="T206">
        <f>2025</f>
        <v>2025</v>
      </c>
    </row>
    <row r="207" spans="1:20" x14ac:dyDescent="0.35">
      <c r="A207" s="2" t="s">
        <v>33</v>
      </c>
      <c r="B207" s="2" t="s">
        <v>26</v>
      </c>
      <c r="C207" s="32">
        <v>45689</v>
      </c>
      <c r="D207" s="2" t="s">
        <v>19</v>
      </c>
      <c r="E207">
        <v>14</v>
      </c>
      <c r="F207" t="s">
        <v>31</v>
      </c>
      <c r="G207" s="1">
        <v>0</v>
      </c>
      <c r="H207" s="1">
        <v>973.24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3">
        <v>50.589007133203268</v>
      </c>
      <c r="P207">
        <v>1</v>
      </c>
      <c r="Q207">
        <v>0</v>
      </c>
      <c r="R207">
        <v>0</v>
      </c>
      <c r="S207" t="s">
        <v>39</v>
      </c>
      <c r="T207">
        <f>2025</f>
        <v>2025</v>
      </c>
    </row>
    <row r="208" spans="1:20" x14ac:dyDescent="0.35">
      <c r="A208" s="2" t="s">
        <v>33</v>
      </c>
      <c r="B208" s="2" t="s">
        <v>26</v>
      </c>
      <c r="C208" s="32">
        <v>45689</v>
      </c>
      <c r="D208" s="2" t="s">
        <v>19</v>
      </c>
      <c r="E208">
        <v>16</v>
      </c>
      <c r="F208" t="s">
        <v>30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3" t="s">
        <v>28</v>
      </c>
      <c r="P208">
        <v>0</v>
      </c>
      <c r="Q208">
        <v>1</v>
      </c>
      <c r="R208">
        <v>0</v>
      </c>
      <c r="S208" t="s">
        <v>39</v>
      </c>
      <c r="T208">
        <f>2025</f>
        <v>2025</v>
      </c>
    </row>
    <row r="209" spans="1:20" hidden="1" x14ac:dyDescent="0.35">
      <c r="A209" s="2" t="s">
        <v>33</v>
      </c>
      <c r="B209" s="2" t="s">
        <v>26</v>
      </c>
      <c r="C209" s="32">
        <v>45717</v>
      </c>
      <c r="D209" s="2" t="s">
        <v>27</v>
      </c>
      <c r="E209">
        <v>13</v>
      </c>
      <c r="F209" t="s">
        <v>48</v>
      </c>
      <c r="G209" s="1">
        <v>0</v>
      </c>
      <c r="H209" s="1">
        <v>884.96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3">
        <v>33.36420215889666</v>
      </c>
      <c r="P209">
        <v>1</v>
      </c>
      <c r="Q209">
        <v>10</v>
      </c>
      <c r="R209">
        <v>0</v>
      </c>
      <c r="S209" t="s">
        <v>39</v>
      </c>
      <c r="T209">
        <f>2025</f>
        <v>2025</v>
      </c>
    </row>
    <row r="210" spans="1:20" hidden="1" x14ac:dyDescent="0.35">
      <c r="A210" s="2" t="s">
        <v>33</v>
      </c>
      <c r="B210" s="2" t="s">
        <v>26</v>
      </c>
      <c r="C210" s="32">
        <v>45717</v>
      </c>
      <c r="D210" s="2" t="s">
        <v>27</v>
      </c>
      <c r="E210">
        <v>16</v>
      </c>
      <c r="F210" t="s">
        <v>48</v>
      </c>
      <c r="G210" s="1">
        <v>0</v>
      </c>
      <c r="H210" s="1">
        <v>749.69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3">
        <v>47.626238653501787</v>
      </c>
      <c r="P210">
        <v>1</v>
      </c>
      <c r="Q210">
        <v>0</v>
      </c>
      <c r="R210">
        <v>0</v>
      </c>
      <c r="S210" t="s">
        <v>39</v>
      </c>
      <c r="T210">
        <f>2025</f>
        <v>2025</v>
      </c>
    </row>
    <row r="211" spans="1:20" hidden="1" x14ac:dyDescent="0.35">
      <c r="A211" s="2" t="s">
        <v>33</v>
      </c>
      <c r="B211" s="2" t="s">
        <v>26</v>
      </c>
      <c r="C211" s="32">
        <v>45717</v>
      </c>
      <c r="D211" s="2" t="s">
        <v>29</v>
      </c>
      <c r="E211">
        <v>6</v>
      </c>
      <c r="F211" t="s">
        <v>48</v>
      </c>
      <c r="G211" s="1">
        <v>0</v>
      </c>
      <c r="H211" s="1">
        <v>348.86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3">
        <v>139.46584071999678</v>
      </c>
      <c r="P211">
        <v>1</v>
      </c>
      <c r="Q211">
        <v>4</v>
      </c>
      <c r="R211">
        <v>0</v>
      </c>
      <c r="S211" t="s">
        <v>39</v>
      </c>
      <c r="T211">
        <f>2025</f>
        <v>2025</v>
      </c>
    </row>
    <row r="212" spans="1:20" hidden="1" x14ac:dyDescent="0.35">
      <c r="A212" s="2" t="s">
        <v>33</v>
      </c>
      <c r="B212" s="2" t="s">
        <v>26</v>
      </c>
      <c r="C212" s="32">
        <v>45717</v>
      </c>
      <c r="D212" s="2" t="s">
        <v>29</v>
      </c>
      <c r="E212">
        <v>8</v>
      </c>
      <c r="F212" t="s">
        <v>48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3" t="s">
        <v>28</v>
      </c>
      <c r="P212">
        <v>0</v>
      </c>
      <c r="Q212">
        <v>6</v>
      </c>
      <c r="R212">
        <v>0</v>
      </c>
      <c r="S212" t="s">
        <v>39</v>
      </c>
      <c r="T212">
        <f>2025</f>
        <v>2025</v>
      </c>
    </row>
    <row r="213" spans="1:20" hidden="1" x14ac:dyDescent="0.35">
      <c r="A213" s="2" t="s">
        <v>33</v>
      </c>
      <c r="B213" s="2" t="s">
        <v>26</v>
      </c>
      <c r="C213" s="32">
        <v>45717</v>
      </c>
      <c r="D213" s="2" t="s">
        <v>29</v>
      </c>
      <c r="E213">
        <v>9</v>
      </c>
      <c r="F213" t="s">
        <v>48</v>
      </c>
      <c r="G213" s="1">
        <v>0</v>
      </c>
      <c r="H213" s="1">
        <v>808.87</v>
      </c>
      <c r="I213" s="1">
        <v>1277.8499999999999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3">
        <v>34.516891224702704</v>
      </c>
      <c r="P213">
        <v>1</v>
      </c>
      <c r="Q213">
        <v>8</v>
      </c>
      <c r="R213">
        <v>0</v>
      </c>
      <c r="S213" t="s">
        <v>39</v>
      </c>
      <c r="T213">
        <f>2025</f>
        <v>2025</v>
      </c>
    </row>
    <row r="214" spans="1:20" hidden="1" x14ac:dyDescent="0.35">
      <c r="A214" s="2" t="s">
        <v>33</v>
      </c>
      <c r="B214" s="2" t="s">
        <v>26</v>
      </c>
      <c r="C214" s="32">
        <v>45717</v>
      </c>
      <c r="D214" s="2" t="s">
        <v>29</v>
      </c>
      <c r="E214">
        <v>10</v>
      </c>
      <c r="F214" t="s">
        <v>48</v>
      </c>
      <c r="G214" s="1">
        <v>0</v>
      </c>
      <c r="H214" s="1">
        <v>858.41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3">
        <v>18.355865422803618</v>
      </c>
      <c r="P214">
        <v>1</v>
      </c>
      <c r="Q214">
        <v>6</v>
      </c>
      <c r="R214">
        <v>0</v>
      </c>
      <c r="S214" t="s">
        <v>39</v>
      </c>
      <c r="T214">
        <f>2025</f>
        <v>2025</v>
      </c>
    </row>
    <row r="215" spans="1:20" hidden="1" x14ac:dyDescent="0.35">
      <c r="A215" s="2" t="s">
        <v>33</v>
      </c>
      <c r="B215" s="2" t="s">
        <v>26</v>
      </c>
      <c r="C215" s="32">
        <v>45717</v>
      </c>
      <c r="D215" s="2" t="s">
        <v>29</v>
      </c>
      <c r="E215">
        <v>14</v>
      </c>
      <c r="F215" t="s">
        <v>48</v>
      </c>
      <c r="G215" s="1">
        <v>0</v>
      </c>
      <c r="H215" s="1">
        <v>3634.64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3">
        <v>10.604487714801508</v>
      </c>
      <c r="P215">
        <v>1</v>
      </c>
      <c r="Q215">
        <v>1</v>
      </c>
      <c r="R215">
        <v>0</v>
      </c>
      <c r="S215" t="s">
        <v>39</v>
      </c>
      <c r="T215">
        <f>2025</f>
        <v>2025</v>
      </c>
    </row>
    <row r="216" spans="1:20" hidden="1" x14ac:dyDescent="0.35">
      <c r="A216" s="2" t="s">
        <v>33</v>
      </c>
      <c r="B216" s="2" t="s">
        <v>26</v>
      </c>
      <c r="C216" s="32">
        <v>45717</v>
      </c>
      <c r="D216" s="2" t="s">
        <v>29</v>
      </c>
      <c r="E216">
        <v>15</v>
      </c>
      <c r="F216" t="s">
        <v>48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3" t="s">
        <v>28</v>
      </c>
      <c r="P216">
        <v>0</v>
      </c>
      <c r="Q216">
        <v>1</v>
      </c>
      <c r="R216">
        <v>0</v>
      </c>
      <c r="S216" t="s">
        <v>39</v>
      </c>
      <c r="T216">
        <f>2025</f>
        <v>2025</v>
      </c>
    </row>
    <row r="217" spans="1:20" hidden="1" x14ac:dyDescent="0.35">
      <c r="A217" s="2" t="s">
        <v>33</v>
      </c>
      <c r="B217" s="2" t="s">
        <v>26</v>
      </c>
      <c r="C217" s="32">
        <v>45717</v>
      </c>
      <c r="D217" s="2" t="s">
        <v>29</v>
      </c>
      <c r="E217">
        <v>16</v>
      </c>
      <c r="F217" t="s">
        <v>48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3" t="s">
        <v>28</v>
      </c>
      <c r="P217">
        <v>0</v>
      </c>
      <c r="Q217">
        <v>3</v>
      </c>
      <c r="R217">
        <v>0</v>
      </c>
      <c r="S217" t="s">
        <v>39</v>
      </c>
      <c r="T217">
        <f>2025</f>
        <v>2025</v>
      </c>
    </row>
    <row r="218" spans="1:20" x14ac:dyDescent="0.35">
      <c r="A218" s="2" t="s">
        <v>33</v>
      </c>
      <c r="B218" s="2" t="s">
        <v>26</v>
      </c>
      <c r="C218" s="32">
        <v>45717</v>
      </c>
      <c r="D218" s="2" t="s">
        <v>19</v>
      </c>
      <c r="E218">
        <v>6</v>
      </c>
      <c r="F218" t="s">
        <v>30</v>
      </c>
      <c r="G218" s="1">
        <v>0</v>
      </c>
      <c r="H218" s="1">
        <v>739.34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3">
        <v>34.568677727496834</v>
      </c>
      <c r="P218">
        <v>1</v>
      </c>
      <c r="Q218">
        <v>6</v>
      </c>
      <c r="R218">
        <v>0</v>
      </c>
      <c r="S218" t="s">
        <v>39</v>
      </c>
      <c r="T218">
        <f>2025</f>
        <v>2025</v>
      </c>
    </row>
    <row r="219" spans="1:20" x14ac:dyDescent="0.35">
      <c r="A219" s="2" t="s">
        <v>33</v>
      </c>
      <c r="B219" s="2" t="s">
        <v>26</v>
      </c>
      <c r="C219" s="32">
        <v>45717</v>
      </c>
      <c r="D219" s="2" t="s">
        <v>19</v>
      </c>
      <c r="E219">
        <v>6</v>
      </c>
      <c r="F219" t="s">
        <v>31</v>
      </c>
      <c r="G219" s="1">
        <v>0</v>
      </c>
      <c r="H219" s="1">
        <v>6908.6999999999989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3">
        <v>72.916601850583291</v>
      </c>
      <c r="P219">
        <v>6</v>
      </c>
      <c r="Q219">
        <v>3</v>
      </c>
      <c r="R219">
        <v>0</v>
      </c>
      <c r="S219" t="s">
        <v>39</v>
      </c>
      <c r="T219">
        <f>2025</f>
        <v>2025</v>
      </c>
    </row>
    <row r="220" spans="1:20" x14ac:dyDescent="0.35">
      <c r="A220" s="2" t="s">
        <v>33</v>
      </c>
      <c r="B220" s="2" t="s">
        <v>26</v>
      </c>
      <c r="C220" s="32">
        <v>45717</v>
      </c>
      <c r="D220" s="2" t="s">
        <v>19</v>
      </c>
      <c r="E220">
        <v>8</v>
      </c>
      <c r="F220" t="s">
        <v>30</v>
      </c>
      <c r="G220" s="1">
        <v>0</v>
      </c>
      <c r="H220" s="1">
        <v>1908.71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3">
        <v>124.91081660439886</v>
      </c>
      <c r="P220">
        <v>2</v>
      </c>
      <c r="Q220">
        <v>5</v>
      </c>
      <c r="R220">
        <v>0</v>
      </c>
      <c r="S220" t="s">
        <v>39</v>
      </c>
      <c r="T220">
        <f>2025</f>
        <v>2025</v>
      </c>
    </row>
    <row r="221" spans="1:20" x14ac:dyDescent="0.35">
      <c r="A221" s="2" t="s">
        <v>33</v>
      </c>
      <c r="B221" s="2" t="s">
        <v>26</v>
      </c>
      <c r="C221" s="32">
        <v>45717</v>
      </c>
      <c r="D221" s="2" t="s">
        <v>19</v>
      </c>
      <c r="E221">
        <v>8</v>
      </c>
      <c r="F221" t="s">
        <v>31</v>
      </c>
      <c r="G221" s="1">
        <v>0</v>
      </c>
      <c r="H221" s="1">
        <v>846.4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3">
        <v>28.672734186002344</v>
      </c>
      <c r="P221">
        <v>1</v>
      </c>
      <c r="Q221">
        <v>0</v>
      </c>
      <c r="R221">
        <v>0</v>
      </c>
      <c r="S221" t="s">
        <v>39</v>
      </c>
      <c r="T221">
        <f>2025</f>
        <v>2025</v>
      </c>
    </row>
    <row r="222" spans="1:20" x14ac:dyDescent="0.35">
      <c r="A222" s="2" t="s">
        <v>33</v>
      </c>
      <c r="B222" s="2" t="s">
        <v>26</v>
      </c>
      <c r="C222" s="32">
        <v>45717</v>
      </c>
      <c r="D222" s="2" t="s">
        <v>19</v>
      </c>
      <c r="E222">
        <v>9</v>
      </c>
      <c r="F222" t="s">
        <v>30</v>
      </c>
      <c r="G222" s="1">
        <v>0</v>
      </c>
      <c r="H222" s="1">
        <v>631.42999999999995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3">
        <v>13.271877920400584</v>
      </c>
      <c r="P222">
        <v>1</v>
      </c>
      <c r="Q222">
        <v>3</v>
      </c>
      <c r="R222">
        <v>0</v>
      </c>
      <c r="S222" t="s">
        <v>39</v>
      </c>
      <c r="T222">
        <f>2025</f>
        <v>2025</v>
      </c>
    </row>
    <row r="223" spans="1:20" x14ac:dyDescent="0.35">
      <c r="A223" s="2" t="s">
        <v>33</v>
      </c>
      <c r="B223" s="2" t="s">
        <v>26</v>
      </c>
      <c r="C223" s="32">
        <v>45717</v>
      </c>
      <c r="D223" s="2" t="s">
        <v>19</v>
      </c>
      <c r="E223">
        <v>9</v>
      </c>
      <c r="F223" t="s">
        <v>31</v>
      </c>
      <c r="G223" s="1">
        <v>0</v>
      </c>
      <c r="H223" s="1">
        <v>2489.13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3">
        <v>72.9496722085496</v>
      </c>
      <c r="P223">
        <v>2</v>
      </c>
      <c r="Q223">
        <v>2</v>
      </c>
      <c r="R223">
        <v>0</v>
      </c>
      <c r="S223" t="s">
        <v>39</v>
      </c>
      <c r="T223">
        <f>2025</f>
        <v>2025</v>
      </c>
    </row>
    <row r="224" spans="1:20" x14ac:dyDescent="0.35">
      <c r="A224" s="2" t="s">
        <v>33</v>
      </c>
      <c r="B224" s="2" t="s">
        <v>26</v>
      </c>
      <c r="C224" s="32">
        <v>45717</v>
      </c>
      <c r="D224" s="2" t="s">
        <v>19</v>
      </c>
      <c r="E224">
        <v>10</v>
      </c>
      <c r="F224" t="s">
        <v>30</v>
      </c>
      <c r="G224" s="1">
        <v>0</v>
      </c>
      <c r="H224" s="1">
        <v>318.08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3">
        <v>-0.48215061720111407</v>
      </c>
      <c r="P224">
        <v>1</v>
      </c>
      <c r="Q224">
        <v>8</v>
      </c>
      <c r="R224">
        <v>0</v>
      </c>
      <c r="S224" t="s">
        <v>39</v>
      </c>
      <c r="T224">
        <f>2025</f>
        <v>2025</v>
      </c>
    </row>
    <row r="225" spans="1:20" x14ac:dyDescent="0.35">
      <c r="A225" s="2" t="s">
        <v>33</v>
      </c>
      <c r="B225" s="2" t="s">
        <v>26</v>
      </c>
      <c r="C225" s="32">
        <v>45717</v>
      </c>
      <c r="D225" s="2" t="s">
        <v>19</v>
      </c>
      <c r="E225">
        <v>10</v>
      </c>
      <c r="F225" t="s">
        <v>31</v>
      </c>
      <c r="G225" s="1">
        <v>0</v>
      </c>
      <c r="H225" s="1">
        <v>2993.0099999999998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3">
        <v>57.011776188450312</v>
      </c>
      <c r="P225">
        <v>4</v>
      </c>
      <c r="Q225">
        <v>2</v>
      </c>
      <c r="R225">
        <v>0</v>
      </c>
      <c r="S225" t="s">
        <v>39</v>
      </c>
      <c r="T225">
        <f>2025</f>
        <v>2025</v>
      </c>
    </row>
    <row r="226" spans="1:20" x14ac:dyDescent="0.35">
      <c r="A226" s="2" t="s">
        <v>33</v>
      </c>
      <c r="B226" s="2" t="s">
        <v>26</v>
      </c>
      <c r="C226" s="32">
        <v>45717</v>
      </c>
      <c r="D226" s="2" t="s">
        <v>19</v>
      </c>
      <c r="E226">
        <v>13</v>
      </c>
      <c r="F226" t="s">
        <v>30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3" t="s">
        <v>28</v>
      </c>
      <c r="P226">
        <v>0</v>
      </c>
      <c r="Q226">
        <v>3</v>
      </c>
      <c r="R226">
        <v>0</v>
      </c>
      <c r="S226" t="s">
        <v>39</v>
      </c>
      <c r="T226">
        <f>2025</f>
        <v>2025</v>
      </c>
    </row>
    <row r="227" spans="1:20" x14ac:dyDescent="0.35">
      <c r="A227" s="2" t="s">
        <v>33</v>
      </c>
      <c r="B227" s="2" t="s">
        <v>26</v>
      </c>
      <c r="C227" s="32">
        <v>45717</v>
      </c>
      <c r="D227" s="2" t="s">
        <v>19</v>
      </c>
      <c r="E227">
        <v>14</v>
      </c>
      <c r="F227" t="s">
        <v>30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3" t="s">
        <v>28</v>
      </c>
      <c r="P227">
        <v>0</v>
      </c>
      <c r="Q227">
        <v>4</v>
      </c>
      <c r="R227">
        <v>0</v>
      </c>
      <c r="S227" t="s">
        <v>39</v>
      </c>
      <c r="T227">
        <f>2025</f>
        <v>2025</v>
      </c>
    </row>
    <row r="228" spans="1:20" x14ac:dyDescent="0.35">
      <c r="A228" s="2" t="s">
        <v>33</v>
      </c>
      <c r="B228" s="2" t="s">
        <v>26</v>
      </c>
      <c r="C228" s="32">
        <v>45717</v>
      </c>
      <c r="D228" s="2" t="s">
        <v>19</v>
      </c>
      <c r="E228">
        <v>14</v>
      </c>
      <c r="F228" t="s">
        <v>31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3">
        <v>162.62603267750092</v>
      </c>
      <c r="P228">
        <v>1</v>
      </c>
      <c r="Q228">
        <v>0</v>
      </c>
      <c r="R228">
        <v>0</v>
      </c>
      <c r="S228" t="s">
        <v>39</v>
      </c>
      <c r="T228">
        <f>2025</f>
        <v>2025</v>
      </c>
    </row>
    <row r="229" spans="1:20" x14ac:dyDescent="0.35">
      <c r="A229" s="2" t="s">
        <v>33</v>
      </c>
      <c r="B229" s="2" t="s">
        <v>26</v>
      </c>
      <c r="C229" s="32">
        <v>45717</v>
      </c>
      <c r="D229" s="2" t="s">
        <v>19</v>
      </c>
      <c r="E229">
        <v>15</v>
      </c>
      <c r="F229" t="s">
        <v>30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3" t="s">
        <v>28</v>
      </c>
      <c r="P229">
        <v>0</v>
      </c>
      <c r="Q229">
        <v>1</v>
      </c>
      <c r="R229">
        <v>0</v>
      </c>
      <c r="S229" t="s">
        <v>39</v>
      </c>
      <c r="T229">
        <f>2025</f>
        <v>2025</v>
      </c>
    </row>
    <row r="230" spans="1:20" x14ac:dyDescent="0.35">
      <c r="A230" s="2" t="s">
        <v>33</v>
      </c>
      <c r="B230" s="2" t="s">
        <v>26</v>
      </c>
      <c r="C230" s="32">
        <v>45717</v>
      </c>
      <c r="D230" s="2" t="s">
        <v>19</v>
      </c>
      <c r="E230">
        <v>15</v>
      </c>
      <c r="F230" t="s">
        <v>31</v>
      </c>
      <c r="G230" s="1">
        <v>0</v>
      </c>
      <c r="H230" s="1">
        <v>798.14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3">
        <v>41.346816419398237</v>
      </c>
      <c r="P230">
        <v>1</v>
      </c>
      <c r="Q230">
        <v>0</v>
      </c>
      <c r="R230">
        <v>0</v>
      </c>
      <c r="S230" t="s">
        <v>39</v>
      </c>
      <c r="T230">
        <f>2025</f>
        <v>2025</v>
      </c>
    </row>
    <row r="231" spans="1:20" x14ac:dyDescent="0.35">
      <c r="A231" s="2" t="s">
        <v>33</v>
      </c>
      <c r="B231" s="2" t="s">
        <v>26</v>
      </c>
      <c r="C231" s="32">
        <v>45717</v>
      </c>
      <c r="D231" s="2" t="s">
        <v>19</v>
      </c>
      <c r="E231">
        <v>16</v>
      </c>
      <c r="F231" t="s">
        <v>30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3" t="s">
        <v>28</v>
      </c>
      <c r="P231">
        <v>0</v>
      </c>
      <c r="Q231">
        <v>2</v>
      </c>
      <c r="R231">
        <v>0</v>
      </c>
      <c r="S231" t="s">
        <v>39</v>
      </c>
      <c r="T231">
        <f>2025</f>
        <v>2025</v>
      </c>
    </row>
    <row r="232" spans="1:20" x14ac:dyDescent="0.35">
      <c r="A232" s="2" t="s">
        <v>33</v>
      </c>
      <c r="B232" s="2" t="s">
        <v>26</v>
      </c>
      <c r="C232" s="32">
        <v>45717</v>
      </c>
      <c r="D232" s="2" t="s">
        <v>19</v>
      </c>
      <c r="E232">
        <v>16</v>
      </c>
      <c r="F232" t="s">
        <v>31</v>
      </c>
      <c r="G232" s="1">
        <v>0</v>
      </c>
      <c r="H232" s="1">
        <v>2345.41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3">
        <v>41.610595396101417</v>
      </c>
      <c r="P232">
        <v>1</v>
      </c>
      <c r="Q232">
        <v>0</v>
      </c>
      <c r="R232">
        <v>0</v>
      </c>
      <c r="S232" t="s">
        <v>39</v>
      </c>
      <c r="T232">
        <f>2025</f>
        <v>2025</v>
      </c>
    </row>
    <row r="233" spans="1:20" hidden="1" x14ac:dyDescent="0.35">
      <c r="A233" s="2" t="s">
        <v>33</v>
      </c>
      <c r="B233" s="2" t="s">
        <v>32</v>
      </c>
      <c r="C233" s="32">
        <v>45658</v>
      </c>
      <c r="D233" s="2" t="s">
        <v>27</v>
      </c>
      <c r="E233">
        <v>8</v>
      </c>
      <c r="F233" t="s">
        <v>48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3" t="s">
        <v>28</v>
      </c>
      <c r="P233">
        <v>0</v>
      </c>
      <c r="Q233">
        <v>1</v>
      </c>
      <c r="R233">
        <v>0</v>
      </c>
      <c r="S233" t="s">
        <v>39</v>
      </c>
      <c r="T233">
        <f>2025</f>
        <v>2025</v>
      </c>
    </row>
    <row r="234" spans="1:20" hidden="1" x14ac:dyDescent="0.35">
      <c r="A234" s="2" t="s">
        <v>33</v>
      </c>
      <c r="B234" s="2" t="s">
        <v>32</v>
      </c>
      <c r="C234" s="32">
        <v>45658</v>
      </c>
      <c r="D234" s="2" t="s">
        <v>27</v>
      </c>
      <c r="E234">
        <v>13</v>
      </c>
      <c r="F234" t="s">
        <v>48</v>
      </c>
      <c r="G234" s="1">
        <v>0</v>
      </c>
      <c r="H234" s="1">
        <v>4952.6099999999997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3">
        <v>947.72465277349693</v>
      </c>
      <c r="P234">
        <v>1</v>
      </c>
      <c r="Q234">
        <v>1</v>
      </c>
      <c r="R234">
        <v>0</v>
      </c>
      <c r="S234" t="s">
        <v>39</v>
      </c>
      <c r="T234">
        <f>2025</f>
        <v>2025</v>
      </c>
    </row>
    <row r="235" spans="1:20" hidden="1" x14ac:dyDescent="0.35">
      <c r="A235" s="2" t="s">
        <v>33</v>
      </c>
      <c r="B235" s="2" t="s">
        <v>32</v>
      </c>
      <c r="C235" s="32">
        <v>45658</v>
      </c>
      <c r="D235" s="2" t="s">
        <v>29</v>
      </c>
      <c r="E235">
        <v>6</v>
      </c>
      <c r="F235" t="s">
        <v>48</v>
      </c>
      <c r="G235" s="1">
        <v>0</v>
      </c>
      <c r="H235" s="1">
        <v>62867.020000000004</v>
      </c>
      <c r="I235" s="1">
        <v>39.15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3">
        <v>585.946942320159</v>
      </c>
      <c r="P235">
        <v>5</v>
      </c>
      <c r="Q235">
        <v>8</v>
      </c>
      <c r="R235">
        <v>0</v>
      </c>
      <c r="S235" t="s">
        <v>39</v>
      </c>
      <c r="T235">
        <f>2025</f>
        <v>2025</v>
      </c>
    </row>
    <row r="236" spans="1:20" hidden="1" x14ac:dyDescent="0.35">
      <c r="A236" s="2" t="s">
        <v>33</v>
      </c>
      <c r="B236" s="2" t="s">
        <v>32</v>
      </c>
      <c r="C236" s="32">
        <v>45658</v>
      </c>
      <c r="D236" s="2" t="s">
        <v>29</v>
      </c>
      <c r="E236">
        <v>8</v>
      </c>
      <c r="F236" t="s">
        <v>48</v>
      </c>
      <c r="G236" s="1">
        <v>0</v>
      </c>
      <c r="H236" s="1">
        <v>221326.78</v>
      </c>
      <c r="I236" s="1">
        <v>2080.81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3">
        <v>321.71908820841128</v>
      </c>
      <c r="P236">
        <v>10</v>
      </c>
      <c r="Q236">
        <v>16</v>
      </c>
      <c r="R236">
        <v>0</v>
      </c>
      <c r="S236" t="s">
        <v>39</v>
      </c>
      <c r="T236">
        <f>2025</f>
        <v>2025</v>
      </c>
    </row>
    <row r="237" spans="1:20" hidden="1" x14ac:dyDescent="0.35">
      <c r="A237" s="2" t="s">
        <v>33</v>
      </c>
      <c r="B237" s="2" t="s">
        <v>32</v>
      </c>
      <c r="C237" s="32">
        <v>45658</v>
      </c>
      <c r="D237" s="2" t="s">
        <v>29</v>
      </c>
      <c r="E237">
        <v>9</v>
      </c>
      <c r="F237" t="s">
        <v>48</v>
      </c>
      <c r="G237" s="1">
        <v>0</v>
      </c>
      <c r="H237" s="1">
        <v>1191.31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3">
        <v>8.4265582950974931</v>
      </c>
      <c r="P237">
        <v>1</v>
      </c>
      <c r="Q237">
        <v>15</v>
      </c>
      <c r="R237">
        <v>0</v>
      </c>
      <c r="S237" t="s">
        <v>39</v>
      </c>
      <c r="T237">
        <f>2025</f>
        <v>2025</v>
      </c>
    </row>
    <row r="238" spans="1:20" hidden="1" x14ac:dyDescent="0.35">
      <c r="A238" s="2" t="s">
        <v>33</v>
      </c>
      <c r="B238" s="2" t="s">
        <v>32</v>
      </c>
      <c r="C238" s="32">
        <v>45658</v>
      </c>
      <c r="D238" s="2" t="s">
        <v>29</v>
      </c>
      <c r="E238">
        <v>10</v>
      </c>
      <c r="F238" t="s">
        <v>48</v>
      </c>
      <c r="G238" s="1">
        <v>0</v>
      </c>
      <c r="H238" s="1">
        <v>87130.85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3">
        <v>713.36329808180017</v>
      </c>
      <c r="P238">
        <v>3</v>
      </c>
      <c r="Q238">
        <v>7</v>
      </c>
      <c r="R238">
        <v>0</v>
      </c>
      <c r="S238" t="s">
        <v>39</v>
      </c>
      <c r="T238">
        <f>2025</f>
        <v>2025</v>
      </c>
    </row>
    <row r="239" spans="1:20" hidden="1" x14ac:dyDescent="0.35">
      <c r="A239" s="2" t="s">
        <v>33</v>
      </c>
      <c r="B239" s="2" t="s">
        <v>32</v>
      </c>
      <c r="C239" s="32">
        <v>45658</v>
      </c>
      <c r="D239" s="2" t="s">
        <v>29</v>
      </c>
      <c r="E239">
        <v>13</v>
      </c>
      <c r="F239" t="s">
        <v>48</v>
      </c>
      <c r="G239" s="1">
        <v>0</v>
      </c>
      <c r="H239" s="1">
        <v>0</v>
      </c>
      <c r="I239" s="1">
        <v>130981.37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3" t="s">
        <v>28</v>
      </c>
      <c r="P239">
        <v>0</v>
      </c>
      <c r="Q239">
        <v>4</v>
      </c>
      <c r="R239">
        <v>0</v>
      </c>
      <c r="S239" t="s">
        <v>39</v>
      </c>
      <c r="T239">
        <f>2025</f>
        <v>2025</v>
      </c>
    </row>
    <row r="240" spans="1:20" hidden="1" x14ac:dyDescent="0.35">
      <c r="A240" s="2" t="s">
        <v>33</v>
      </c>
      <c r="B240" s="2" t="s">
        <v>32</v>
      </c>
      <c r="C240" s="32">
        <v>45658</v>
      </c>
      <c r="D240" s="2" t="s">
        <v>29</v>
      </c>
      <c r="E240">
        <v>14</v>
      </c>
      <c r="F240" t="s">
        <v>48</v>
      </c>
      <c r="G240" s="1">
        <v>0</v>
      </c>
      <c r="H240" s="1">
        <v>128479.67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3">
        <v>354.62976270050058</v>
      </c>
      <c r="P240">
        <v>2</v>
      </c>
      <c r="Q240">
        <v>6</v>
      </c>
      <c r="R240">
        <v>0</v>
      </c>
      <c r="S240" t="s">
        <v>39</v>
      </c>
      <c r="T240">
        <f>2025</f>
        <v>2025</v>
      </c>
    </row>
    <row r="241" spans="1:20" hidden="1" x14ac:dyDescent="0.35">
      <c r="A241" s="2" t="s">
        <v>33</v>
      </c>
      <c r="B241" s="2" t="s">
        <v>32</v>
      </c>
      <c r="C241" s="32">
        <v>45658</v>
      </c>
      <c r="D241" s="2" t="s">
        <v>29</v>
      </c>
      <c r="E241">
        <v>15</v>
      </c>
      <c r="F241" t="s">
        <v>48</v>
      </c>
      <c r="G241" s="1">
        <v>0</v>
      </c>
      <c r="H241" s="1">
        <v>55972.53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3">
        <v>87.564170453602856</v>
      </c>
      <c r="P241">
        <v>1</v>
      </c>
      <c r="Q241">
        <v>0</v>
      </c>
      <c r="R241">
        <v>0</v>
      </c>
      <c r="S241" t="s">
        <v>39</v>
      </c>
      <c r="T241">
        <f>2025</f>
        <v>2025</v>
      </c>
    </row>
    <row r="242" spans="1:20" hidden="1" x14ac:dyDescent="0.35">
      <c r="A242" s="2" t="s">
        <v>33</v>
      </c>
      <c r="B242" s="2" t="s">
        <v>32</v>
      </c>
      <c r="C242" s="32">
        <v>45658</v>
      </c>
      <c r="D242" s="2" t="s">
        <v>29</v>
      </c>
      <c r="E242">
        <v>16</v>
      </c>
      <c r="F242" t="s">
        <v>48</v>
      </c>
      <c r="G242" s="1">
        <v>0</v>
      </c>
      <c r="H242" s="1">
        <v>739.92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3">
        <v>31.722060649502964</v>
      </c>
      <c r="P242">
        <v>1</v>
      </c>
      <c r="Q242">
        <v>0</v>
      </c>
      <c r="R242">
        <v>0</v>
      </c>
      <c r="S242" t="s">
        <v>39</v>
      </c>
      <c r="T242">
        <f>2025</f>
        <v>2025</v>
      </c>
    </row>
    <row r="243" spans="1:20" x14ac:dyDescent="0.35">
      <c r="A243" s="2" t="s">
        <v>33</v>
      </c>
      <c r="B243" s="2" t="s">
        <v>32</v>
      </c>
      <c r="C243" s="32">
        <v>45658</v>
      </c>
      <c r="D243" s="2" t="s">
        <v>19</v>
      </c>
      <c r="E243">
        <v>5</v>
      </c>
      <c r="F243" t="s">
        <v>31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3" t="s">
        <v>28</v>
      </c>
      <c r="P243">
        <v>0</v>
      </c>
      <c r="Q243">
        <v>1</v>
      </c>
      <c r="R243">
        <v>0</v>
      </c>
      <c r="S243" t="s">
        <v>39</v>
      </c>
      <c r="T243">
        <f>2025</f>
        <v>2025</v>
      </c>
    </row>
    <row r="244" spans="1:20" x14ac:dyDescent="0.35">
      <c r="A244" s="2" t="s">
        <v>33</v>
      </c>
      <c r="B244" s="2" t="s">
        <v>32</v>
      </c>
      <c r="C244" s="32">
        <v>45658</v>
      </c>
      <c r="D244" s="2" t="s">
        <v>19</v>
      </c>
      <c r="E244">
        <v>6</v>
      </c>
      <c r="F244" t="s">
        <v>30</v>
      </c>
      <c r="G244" s="1">
        <v>0</v>
      </c>
      <c r="H244" s="1">
        <v>15555.000000000002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3">
        <v>59.97048804910628</v>
      </c>
      <c r="P244">
        <v>16</v>
      </c>
      <c r="Q244">
        <v>137</v>
      </c>
      <c r="R244">
        <v>0</v>
      </c>
      <c r="S244" t="s">
        <v>39</v>
      </c>
      <c r="T244">
        <f>2025</f>
        <v>2025</v>
      </c>
    </row>
    <row r="245" spans="1:20" x14ac:dyDescent="0.35">
      <c r="A245" s="2" t="s">
        <v>33</v>
      </c>
      <c r="B245" s="2" t="s">
        <v>32</v>
      </c>
      <c r="C245" s="32">
        <v>45658</v>
      </c>
      <c r="D245" s="2" t="s">
        <v>19</v>
      </c>
      <c r="E245">
        <v>6</v>
      </c>
      <c r="F245" t="s">
        <v>31</v>
      </c>
      <c r="G245" s="1">
        <v>0</v>
      </c>
      <c r="H245" s="1">
        <v>51135.819999999992</v>
      </c>
      <c r="I245" s="1">
        <v>4.5599999999999996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3">
        <v>144.07388887187136</v>
      </c>
      <c r="P245">
        <v>66</v>
      </c>
      <c r="Q245">
        <v>27</v>
      </c>
      <c r="R245">
        <v>0</v>
      </c>
      <c r="S245" t="s">
        <v>39</v>
      </c>
      <c r="T245">
        <f>2025</f>
        <v>2025</v>
      </c>
    </row>
    <row r="246" spans="1:20" x14ac:dyDescent="0.35">
      <c r="A246" s="2" t="s">
        <v>33</v>
      </c>
      <c r="B246" s="2" t="s">
        <v>32</v>
      </c>
      <c r="C246" s="32">
        <v>45658</v>
      </c>
      <c r="D246" s="2" t="s">
        <v>19</v>
      </c>
      <c r="E246">
        <v>8</v>
      </c>
      <c r="F246" t="s">
        <v>30</v>
      </c>
      <c r="G246" s="1">
        <v>0</v>
      </c>
      <c r="H246" s="1">
        <v>12051.87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3">
        <v>232.48806516723124</v>
      </c>
      <c r="P246">
        <v>10</v>
      </c>
      <c r="Q246">
        <v>156</v>
      </c>
      <c r="R246">
        <v>0</v>
      </c>
      <c r="S246" t="s">
        <v>39</v>
      </c>
      <c r="T246">
        <f>2025</f>
        <v>2025</v>
      </c>
    </row>
    <row r="247" spans="1:20" x14ac:dyDescent="0.35">
      <c r="A247" s="2" t="s">
        <v>33</v>
      </c>
      <c r="B247" s="2" t="s">
        <v>32</v>
      </c>
      <c r="C247" s="32">
        <v>45658</v>
      </c>
      <c r="D247" s="2" t="s">
        <v>19</v>
      </c>
      <c r="E247">
        <v>8</v>
      </c>
      <c r="F247" t="s">
        <v>31</v>
      </c>
      <c r="G247" s="1">
        <v>0</v>
      </c>
      <c r="H247" s="1">
        <v>64992.069999999992</v>
      </c>
      <c r="I247" s="1">
        <v>686.21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3">
        <v>209.95037290866847</v>
      </c>
      <c r="P247">
        <v>95</v>
      </c>
      <c r="Q247">
        <v>30</v>
      </c>
      <c r="R247">
        <v>0</v>
      </c>
      <c r="S247" t="s">
        <v>39</v>
      </c>
      <c r="T247">
        <f>2025</f>
        <v>2025</v>
      </c>
    </row>
    <row r="248" spans="1:20" x14ac:dyDescent="0.35">
      <c r="A248" s="2" t="s">
        <v>33</v>
      </c>
      <c r="B248" s="2" t="s">
        <v>32</v>
      </c>
      <c r="C248" s="32">
        <v>45658</v>
      </c>
      <c r="D248" s="2" t="s">
        <v>19</v>
      </c>
      <c r="E248">
        <v>9</v>
      </c>
      <c r="F248" t="s">
        <v>30</v>
      </c>
      <c r="G248" s="1">
        <v>0</v>
      </c>
      <c r="H248" s="1">
        <v>17594.47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3">
        <v>141.07423895133942</v>
      </c>
      <c r="P248">
        <v>20</v>
      </c>
      <c r="Q248">
        <v>153</v>
      </c>
      <c r="R248">
        <v>0</v>
      </c>
      <c r="S248" t="s">
        <v>39</v>
      </c>
      <c r="T248">
        <f>2025</f>
        <v>2025</v>
      </c>
    </row>
    <row r="249" spans="1:20" x14ac:dyDescent="0.35">
      <c r="A249" s="2" t="s">
        <v>33</v>
      </c>
      <c r="B249" s="2" t="s">
        <v>32</v>
      </c>
      <c r="C249" s="32">
        <v>45658</v>
      </c>
      <c r="D249" s="2" t="s">
        <v>19</v>
      </c>
      <c r="E249">
        <v>9</v>
      </c>
      <c r="F249" t="s">
        <v>31</v>
      </c>
      <c r="G249" s="1">
        <v>0</v>
      </c>
      <c r="H249" s="1">
        <v>102370.12999999998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3">
        <v>106.41753358152296</v>
      </c>
      <c r="P249">
        <v>117</v>
      </c>
      <c r="Q249">
        <v>25</v>
      </c>
      <c r="R249">
        <v>0</v>
      </c>
      <c r="S249" t="s">
        <v>39</v>
      </c>
      <c r="T249">
        <f>2025</f>
        <v>2025</v>
      </c>
    </row>
    <row r="250" spans="1:20" x14ac:dyDescent="0.35">
      <c r="A250" s="2" t="s">
        <v>33</v>
      </c>
      <c r="B250" s="2" t="s">
        <v>32</v>
      </c>
      <c r="C250" s="32">
        <v>45658</v>
      </c>
      <c r="D250" s="2" t="s">
        <v>19</v>
      </c>
      <c r="E250">
        <v>10</v>
      </c>
      <c r="F250" t="s">
        <v>30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3">
        <v>158.697079265301</v>
      </c>
      <c r="P250">
        <v>1</v>
      </c>
      <c r="Q250">
        <v>71</v>
      </c>
      <c r="R250">
        <v>0</v>
      </c>
      <c r="S250" t="s">
        <v>39</v>
      </c>
      <c r="T250">
        <f>2025</f>
        <v>2025</v>
      </c>
    </row>
    <row r="251" spans="1:20" x14ac:dyDescent="0.35">
      <c r="A251" s="2" t="s">
        <v>33</v>
      </c>
      <c r="B251" s="2" t="s">
        <v>32</v>
      </c>
      <c r="C251" s="32">
        <v>45658</v>
      </c>
      <c r="D251" s="2" t="s">
        <v>19</v>
      </c>
      <c r="E251">
        <v>10</v>
      </c>
      <c r="F251" t="s">
        <v>31</v>
      </c>
      <c r="G251" s="1">
        <v>0</v>
      </c>
      <c r="H251" s="1">
        <v>19046.150000000005</v>
      </c>
      <c r="I251" s="1">
        <v>4771.8599999999997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3">
        <v>172.19816031555311</v>
      </c>
      <c r="P251">
        <v>30</v>
      </c>
      <c r="Q251">
        <v>5</v>
      </c>
      <c r="R251">
        <v>0</v>
      </c>
      <c r="S251" t="s">
        <v>39</v>
      </c>
      <c r="T251">
        <f>2025</f>
        <v>2025</v>
      </c>
    </row>
    <row r="252" spans="1:20" x14ac:dyDescent="0.35">
      <c r="A252" s="2" t="s">
        <v>33</v>
      </c>
      <c r="B252" s="2" t="s">
        <v>32</v>
      </c>
      <c r="C252" s="32">
        <v>45658</v>
      </c>
      <c r="D252" s="2" t="s">
        <v>19</v>
      </c>
      <c r="E252">
        <v>13</v>
      </c>
      <c r="F252" t="s">
        <v>30</v>
      </c>
      <c r="G252" s="1">
        <v>0</v>
      </c>
      <c r="H252" s="1">
        <v>4554.28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3">
        <v>57.549501956000313</v>
      </c>
      <c r="P252">
        <v>2</v>
      </c>
      <c r="Q252">
        <v>20</v>
      </c>
      <c r="R252">
        <v>0</v>
      </c>
      <c r="S252" t="s">
        <v>39</v>
      </c>
      <c r="T252">
        <f>2025</f>
        <v>2025</v>
      </c>
    </row>
    <row r="253" spans="1:20" x14ac:dyDescent="0.35">
      <c r="A253" s="2" t="s">
        <v>33</v>
      </c>
      <c r="B253" s="2" t="s">
        <v>32</v>
      </c>
      <c r="C253" s="32">
        <v>45658</v>
      </c>
      <c r="D253" s="2" t="s">
        <v>19</v>
      </c>
      <c r="E253">
        <v>13</v>
      </c>
      <c r="F253" t="s">
        <v>31</v>
      </c>
      <c r="G253" s="1">
        <v>0</v>
      </c>
      <c r="H253" s="1">
        <v>11283.97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3">
        <v>112.97916744821784</v>
      </c>
      <c r="P253">
        <v>11</v>
      </c>
      <c r="Q253">
        <v>8</v>
      </c>
      <c r="R253">
        <v>0</v>
      </c>
      <c r="S253" t="s">
        <v>39</v>
      </c>
      <c r="T253">
        <f>2025</f>
        <v>2025</v>
      </c>
    </row>
    <row r="254" spans="1:20" x14ac:dyDescent="0.35">
      <c r="A254" s="2" t="s">
        <v>33</v>
      </c>
      <c r="B254" s="2" t="s">
        <v>32</v>
      </c>
      <c r="C254" s="32">
        <v>45658</v>
      </c>
      <c r="D254" s="2" t="s">
        <v>19</v>
      </c>
      <c r="E254">
        <v>14</v>
      </c>
      <c r="F254" t="s">
        <v>30</v>
      </c>
      <c r="G254" s="1">
        <v>0</v>
      </c>
      <c r="H254" s="1">
        <v>2057.31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3">
        <v>78.477010759699624</v>
      </c>
      <c r="P254">
        <v>1</v>
      </c>
      <c r="Q254">
        <v>15</v>
      </c>
      <c r="R254">
        <v>0</v>
      </c>
      <c r="S254" t="s">
        <v>39</v>
      </c>
      <c r="T254">
        <f>2025</f>
        <v>2025</v>
      </c>
    </row>
    <row r="255" spans="1:20" x14ac:dyDescent="0.35">
      <c r="A255" s="2" t="s">
        <v>33</v>
      </c>
      <c r="B255" s="2" t="s">
        <v>32</v>
      </c>
      <c r="C255" s="32">
        <v>45658</v>
      </c>
      <c r="D255" s="2" t="s">
        <v>19</v>
      </c>
      <c r="E255">
        <v>14</v>
      </c>
      <c r="F255" t="s">
        <v>31</v>
      </c>
      <c r="G255" s="1">
        <v>0</v>
      </c>
      <c r="H255" s="1">
        <v>1813.8899999999999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3">
        <v>182.36226754789823</v>
      </c>
      <c r="P255">
        <v>4</v>
      </c>
      <c r="Q255">
        <v>1</v>
      </c>
      <c r="R255">
        <v>0</v>
      </c>
      <c r="S255" t="s">
        <v>39</v>
      </c>
      <c r="T255">
        <f>2025</f>
        <v>2025</v>
      </c>
    </row>
    <row r="256" spans="1:20" x14ac:dyDescent="0.35">
      <c r="A256" s="2" t="s">
        <v>33</v>
      </c>
      <c r="B256" s="2" t="s">
        <v>32</v>
      </c>
      <c r="C256" s="32">
        <v>45658</v>
      </c>
      <c r="D256" s="2" t="s">
        <v>19</v>
      </c>
      <c r="E256">
        <v>15</v>
      </c>
      <c r="F256" t="s">
        <v>30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3" t="s">
        <v>28</v>
      </c>
      <c r="P256">
        <v>0</v>
      </c>
      <c r="Q256">
        <v>14</v>
      </c>
      <c r="R256">
        <v>0</v>
      </c>
      <c r="S256" t="s">
        <v>39</v>
      </c>
      <c r="T256">
        <f>2025</f>
        <v>2025</v>
      </c>
    </row>
    <row r="257" spans="1:20" x14ac:dyDescent="0.35">
      <c r="A257" s="2" t="s">
        <v>33</v>
      </c>
      <c r="B257" s="2" t="s">
        <v>32</v>
      </c>
      <c r="C257" s="32">
        <v>45658</v>
      </c>
      <c r="D257" s="2" t="s">
        <v>19</v>
      </c>
      <c r="E257">
        <v>15</v>
      </c>
      <c r="F257" t="s">
        <v>31</v>
      </c>
      <c r="G257" s="1">
        <v>0</v>
      </c>
      <c r="H257" s="1">
        <v>729.61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3">
        <v>17.607069993100595</v>
      </c>
      <c r="P257">
        <v>1</v>
      </c>
      <c r="Q257">
        <v>2</v>
      </c>
      <c r="R257">
        <v>0</v>
      </c>
      <c r="S257" t="s">
        <v>39</v>
      </c>
      <c r="T257">
        <f>2025</f>
        <v>2025</v>
      </c>
    </row>
    <row r="258" spans="1:20" x14ac:dyDescent="0.35">
      <c r="A258" s="2" t="s">
        <v>33</v>
      </c>
      <c r="B258" s="2" t="s">
        <v>32</v>
      </c>
      <c r="C258" s="32">
        <v>45658</v>
      </c>
      <c r="D258" s="2" t="s">
        <v>19</v>
      </c>
      <c r="E258">
        <v>16</v>
      </c>
      <c r="F258" t="s">
        <v>30</v>
      </c>
      <c r="G258" s="1">
        <v>0</v>
      </c>
      <c r="H258" s="1">
        <v>5959.69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3">
        <v>47.017616440998609</v>
      </c>
      <c r="P258">
        <v>4</v>
      </c>
      <c r="Q258">
        <v>15</v>
      </c>
      <c r="R258">
        <v>0</v>
      </c>
      <c r="S258" t="s">
        <v>39</v>
      </c>
      <c r="T258">
        <f>2025</f>
        <v>2025</v>
      </c>
    </row>
    <row r="259" spans="1:20" x14ac:dyDescent="0.35">
      <c r="A259" s="2" t="s">
        <v>33</v>
      </c>
      <c r="B259" s="2" t="s">
        <v>32</v>
      </c>
      <c r="C259" s="32">
        <v>45658</v>
      </c>
      <c r="D259" s="2" t="s">
        <v>19</v>
      </c>
      <c r="E259">
        <v>16</v>
      </c>
      <c r="F259" t="s">
        <v>31</v>
      </c>
      <c r="G259" s="1">
        <v>0</v>
      </c>
      <c r="H259" s="1">
        <v>2073.0100000000002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3">
        <v>51.66721320429739</v>
      </c>
      <c r="P259">
        <v>3</v>
      </c>
      <c r="Q259">
        <v>3</v>
      </c>
      <c r="R259">
        <v>0</v>
      </c>
      <c r="S259" t="s">
        <v>39</v>
      </c>
      <c r="T259">
        <f>2025</f>
        <v>2025</v>
      </c>
    </row>
    <row r="260" spans="1:20" hidden="1" x14ac:dyDescent="0.35">
      <c r="A260" s="2" t="s">
        <v>33</v>
      </c>
      <c r="B260" s="2" t="s">
        <v>32</v>
      </c>
      <c r="C260" s="32">
        <v>45689</v>
      </c>
      <c r="D260" s="2" t="s">
        <v>27</v>
      </c>
      <c r="E260">
        <v>9</v>
      </c>
      <c r="F260" t="s">
        <v>48</v>
      </c>
      <c r="G260" s="1">
        <v>0</v>
      </c>
      <c r="H260" s="1">
        <v>2734.09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3">
        <v>260.98936861656694</v>
      </c>
      <c r="P260">
        <v>3</v>
      </c>
      <c r="Q260">
        <v>0</v>
      </c>
      <c r="R260">
        <v>0</v>
      </c>
      <c r="S260" t="s">
        <v>39</v>
      </c>
      <c r="T260">
        <f>2025</f>
        <v>2025</v>
      </c>
    </row>
    <row r="261" spans="1:20" hidden="1" x14ac:dyDescent="0.35">
      <c r="A261" s="2" t="s">
        <v>33</v>
      </c>
      <c r="B261" s="2" t="s">
        <v>32</v>
      </c>
      <c r="C261" s="32">
        <v>45689</v>
      </c>
      <c r="D261" s="2" t="s">
        <v>27</v>
      </c>
      <c r="E261">
        <v>13</v>
      </c>
      <c r="F261" t="s">
        <v>48</v>
      </c>
      <c r="G261" s="1">
        <v>0</v>
      </c>
      <c r="H261" s="1">
        <v>70736.990000000005</v>
      </c>
      <c r="I261" s="1">
        <v>268.39999999999998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3">
        <v>608.63169087380084</v>
      </c>
      <c r="P261">
        <v>1</v>
      </c>
      <c r="Q261">
        <v>1</v>
      </c>
      <c r="R261">
        <v>0</v>
      </c>
      <c r="S261" t="s">
        <v>39</v>
      </c>
      <c r="T261">
        <f>2025</f>
        <v>2025</v>
      </c>
    </row>
    <row r="262" spans="1:20" hidden="1" x14ac:dyDescent="0.35">
      <c r="A262" s="2" t="s">
        <v>33</v>
      </c>
      <c r="B262" s="2" t="s">
        <v>32</v>
      </c>
      <c r="C262" s="32">
        <v>45689</v>
      </c>
      <c r="D262" s="2" t="s">
        <v>29</v>
      </c>
      <c r="E262">
        <v>6</v>
      </c>
      <c r="F262" t="s">
        <v>48</v>
      </c>
      <c r="G262" s="1">
        <v>0</v>
      </c>
      <c r="H262" s="1">
        <v>22374.100000000002</v>
      </c>
      <c r="I262" s="1">
        <v>1874.48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3">
        <v>323.54409095788805</v>
      </c>
      <c r="P262">
        <v>7</v>
      </c>
      <c r="Q262">
        <v>12</v>
      </c>
      <c r="R262">
        <v>0</v>
      </c>
      <c r="S262" t="s">
        <v>39</v>
      </c>
      <c r="T262">
        <f>2025</f>
        <v>2025</v>
      </c>
    </row>
    <row r="263" spans="1:20" hidden="1" x14ac:dyDescent="0.35">
      <c r="A263" s="2" t="s">
        <v>33</v>
      </c>
      <c r="B263" s="2" t="s">
        <v>32</v>
      </c>
      <c r="C263" s="32">
        <v>45689</v>
      </c>
      <c r="D263" s="2" t="s">
        <v>29</v>
      </c>
      <c r="E263">
        <v>8</v>
      </c>
      <c r="F263" t="s">
        <v>48</v>
      </c>
      <c r="G263" s="1">
        <v>0</v>
      </c>
      <c r="H263" s="1">
        <v>65025.78</v>
      </c>
      <c r="I263" s="1">
        <v>3511.82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3">
        <v>172.09242620850273</v>
      </c>
      <c r="P263">
        <v>2</v>
      </c>
      <c r="Q263">
        <v>23</v>
      </c>
      <c r="R263">
        <v>0</v>
      </c>
      <c r="S263" t="s">
        <v>39</v>
      </c>
      <c r="T263">
        <f>2025</f>
        <v>2025</v>
      </c>
    </row>
    <row r="264" spans="1:20" hidden="1" x14ac:dyDescent="0.35">
      <c r="A264" s="2" t="s">
        <v>33</v>
      </c>
      <c r="B264" s="2" t="s">
        <v>32</v>
      </c>
      <c r="C264" s="32">
        <v>45689</v>
      </c>
      <c r="D264" s="2" t="s">
        <v>29</v>
      </c>
      <c r="E264">
        <v>9</v>
      </c>
      <c r="F264" t="s">
        <v>48</v>
      </c>
      <c r="G264" s="1">
        <v>0</v>
      </c>
      <c r="H264" s="1">
        <v>53966.729999999996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3">
        <v>324.60101140913201</v>
      </c>
      <c r="P264">
        <v>6</v>
      </c>
      <c r="Q264">
        <v>19</v>
      </c>
      <c r="R264">
        <v>0</v>
      </c>
      <c r="S264" t="s">
        <v>39</v>
      </c>
      <c r="T264">
        <f>2025</f>
        <v>2025</v>
      </c>
    </row>
    <row r="265" spans="1:20" hidden="1" x14ac:dyDescent="0.35">
      <c r="A265" s="2" t="s">
        <v>33</v>
      </c>
      <c r="B265" s="2" t="s">
        <v>32</v>
      </c>
      <c r="C265" s="32">
        <v>45689</v>
      </c>
      <c r="D265" s="2" t="s">
        <v>29</v>
      </c>
      <c r="E265">
        <v>10</v>
      </c>
      <c r="F265" t="s">
        <v>48</v>
      </c>
      <c r="G265" s="1">
        <v>0</v>
      </c>
      <c r="H265" s="1">
        <v>131763.53</v>
      </c>
      <c r="I265" s="1">
        <v>1263.8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3">
        <v>186.88189414384942</v>
      </c>
      <c r="P265">
        <v>4</v>
      </c>
      <c r="Q265">
        <v>10</v>
      </c>
      <c r="R265">
        <v>0</v>
      </c>
      <c r="S265" t="s">
        <v>39</v>
      </c>
      <c r="T265">
        <f>2025</f>
        <v>2025</v>
      </c>
    </row>
    <row r="266" spans="1:20" hidden="1" x14ac:dyDescent="0.35">
      <c r="A266" s="2" t="s">
        <v>33</v>
      </c>
      <c r="B266" s="2" t="s">
        <v>32</v>
      </c>
      <c r="C266" s="32">
        <v>45689</v>
      </c>
      <c r="D266" s="2" t="s">
        <v>29</v>
      </c>
      <c r="E266">
        <v>13</v>
      </c>
      <c r="F266" t="s">
        <v>48</v>
      </c>
      <c r="G266" s="1">
        <v>0</v>
      </c>
      <c r="H266" s="1">
        <v>0</v>
      </c>
      <c r="I266" s="1">
        <v>2161.44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3" t="s">
        <v>28</v>
      </c>
      <c r="P266">
        <v>0</v>
      </c>
      <c r="Q266">
        <v>3</v>
      </c>
      <c r="R266">
        <v>0</v>
      </c>
      <c r="S266" t="s">
        <v>39</v>
      </c>
      <c r="T266">
        <f>2025</f>
        <v>2025</v>
      </c>
    </row>
    <row r="267" spans="1:20" hidden="1" x14ac:dyDescent="0.35">
      <c r="A267" s="2" t="s">
        <v>33</v>
      </c>
      <c r="B267" s="2" t="s">
        <v>32</v>
      </c>
      <c r="C267" s="32">
        <v>45689</v>
      </c>
      <c r="D267" s="2" t="s">
        <v>29</v>
      </c>
      <c r="E267">
        <v>14</v>
      </c>
      <c r="F267" t="s">
        <v>48</v>
      </c>
      <c r="G267" s="1">
        <v>0</v>
      </c>
      <c r="H267" s="1">
        <v>1380.58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3">
        <v>37.638270833696879</v>
      </c>
      <c r="P267">
        <v>1</v>
      </c>
      <c r="Q267">
        <v>4</v>
      </c>
      <c r="R267">
        <v>0</v>
      </c>
      <c r="S267" t="s">
        <v>39</v>
      </c>
      <c r="T267">
        <f>2025</f>
        <v>2025</v>
      </c>
    </row>
    <row r="268" spans="1:20" hidden="1" x14ac:dyDescent="0.35">
      <c r="A268" s="2" t="s">
        <v>33</v>
      </c>
      <c r="B268" s="2" t="s">
        <v>32</v>
      </c>
      <c r="C268" s="32">
        <v>45689</v>
      </c>
      <c r="D268" s="2" t="s">
        <v>29</v>
      </c>
      <c r="E268">
        <v>16</v>
      </c>
      <c r="F268" t="s">
        <v>48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3">
        <v>210.61651073260145</v>
      </c>
      <c r="P268">
        <v>1</v>
      </c>
      <c r="Q268">
        <v>0</v>
      </c>
      <c r="R268">
        <v>0</v>
      </c>
      <c r="S268" t="s">
        <v>39</v>
      </c>
      <c r="T268">
        <f>2025</f>
        <v>2025</v>
      </c>
    </row>
    <row r="269" spans="1:20" x14ac:dyDescent="0.35">
      <c r="A269" s="2" t="s">
        <v>33</v>
      </c>
      <c r="B269" s="2" t="s">
        <v>32</v>
      </c>
      <c r="C269" s="32">
        <v>45689</v>
      </c>
      <c r="D269" s="2" t="s">
        <v>19</v>
      </c>
      <c r="E269">
        <v>6</v>
      </c>
      <c r="F269" t="s">
        <v>30</v>
      </c>
      <c r="G269" s="1">
        <v>0</v>
      </c>
      <c r="H269" s="1">
        <v>20836.07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3">
        <v>130.04750477206508</v>
      </c>
      <c r="P269">
        <v>20</v>
      </c>
      <c r="Q269">
        <v>124</v>
      </c>
      <c r="R269">
        <v>0</v>
      </c>
      <c r="S269" t="s">
        <v>39</v>
      </c>
      <c r="T269">
        <f>2025</f>
        <v>2025</v>
      </c>
    </row>
    <row r="270" spans="1:20" x14ac:dyDescent="0.35">
      <c r="A270" s="2" t="s">
        <v>33</v>
      </c>
      <c r="B270" s="2" t="s">
        <v>32</v>
      </c>
      <c r="C270" s="32">
        <v>45689</v>
      </c>
      <c r="D270" s="2" t="s">
        <v>19</v>
      </c>
      <c r="E270">
        <v>6</v>
      </c>
      <c r="F270" t="s">
        <v>31</v>
      </c>
      <c r="G270" s="1">
        <v>0</v>
      </c>
      <c r="H270" s="1">
        <v>50194.689999999988</v>
      </c>
      <c r="I270" s="1">
        <v>146.84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3">
        <v>105.53239987825417</v>
      </c>
      <c r="P270">
        <v>63</v>
      </c>
      <c r="Q270">
        <v>29</v>
      </c>
      <c r="R270">
        <v>0</v>
      </c>
      <c r="S270" t="s">
        <v>39</v>
      </c>
      <c r="T270">
        <f>2025</f>
        <v>2025</v>
      </c>
    </row>
    <row r="271" spans="1:20" x14ac:dyDescent="0.35">
      <c r="A271" s="2" t="s">
        <v>33</v>
      </c>
      <c r="B271" s="2" t="s">
        <v>32</v>
      </c>
      <c r="C271" s="32">
        <v>45689</v>
      </c>
      <c r="D271" s="2" t="s">
        <v>19</v>
      </c>
      <c r="E271">
        <v>8</v>
      </c>
      <c r="F271" t="s">
        <v>30</v>
      </c>
      <c r="G271" s="1">
        <v>0</v>
      </c>
      <c r="H271" s="1">
        <v>11082.42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3">
        <v>160.72429824786619</v>
      </c>
      <c r="P271">
        <v>12</v>
      </c>
      <c r="Q271">
        <v>170</v>
      </c>
      <c r="R271">
        <v>1</v>
      </c>
      <c r="S271" t="s">
        <v>39</v>
      </c>
      <c r="T271">
        <f>2025</f>
        <v>2025</v>
      </c>
    </row>
    <row r="272" spans="1:20" x14ac:dyDescent="0.35">
      <c r="A272" s="2" t="s">
        <v>33</v>
      </c>
      <c r="B272" s="2" t="s">
        <v>32</v>
      </c>
      <c r="C272" s="32">
        <v>45689</v>
      </c>
      <c r="D272" s="2" t="s">
        <v>19</v>
      </c>
      <c r="E272">
        <v>8</v>
      </c>
      <c r="F272" t="s">
        <v>31</v>
      </c>
      <c r="G272" s="1">
        <v>0</v>
      </c>
      <c r="H272" s="1">
        <v>72171.610000000015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3">
        <v>193.35788871568232</v>
      </c>
      <c r="P272">
        <v>92</v>
      </c>
      <c r="Q272">
        <v>37</v>
      </c>
      <c r="R272">
        <v>0</v>
      </c>
      <c r="S272" t="s">
        <v>39</v>
      </c>
      <c r="T272">
        <f>2025</f>
        <v>2025</v>
      </c>
    </row>
    <row r="273" spans="1:20" x14ac:dyDescent="0.35">
      <c r="A273" s="2" t="s">
        <v>33</v>
      </c>
      <c r="B273" s="2" t="s">
        <v>32</v>
      </c>
      <c r="C273" s="32">
        <v>45689</v>
      </c>
      <c r="D273" s="2" t="s">
        <v>19</v>
      </c>
      <c r="E273">
        <v>9</v>
      </c>
      <c r="F273" t="s">
        <v>30</v>
      </c>
      <c r="G273" s="1">
        <v>0</v>
      </c>
      <c r="H273" s="1">
        <v>16581.830000000002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3">
        <v>215.36644098652849</v>
      </c>
      <c r="P273">
        <v>18</v>
      </c>
      <c r="Q273">
        <v>218</v>
      </c>
      <c r="R273">
        <v>0</v>
      </c>
      <c r="S273" t="s">
        <v>39</v>
      </c>
      <c r="T273">
        <f>2025</f>
        <v>2025</v>
      </c>
    </row>
    <row r="274" spans="1:20" x14ac:dyDescent="0.35">
      <c r="A274" s="2" t="s">
        <v>33</v>
      </c>
      <c r="B274" s="2" t="s">
        <v>32</v>
      </c>
      <c r="C274" s="32">
        <v>45689</v>
      </c>
      <c r="D274" s="2" t="s">
        <v>19</v>
      </c>
      <c r="E274">
        <v>9</v>
      </c>
      <c r="F274" t="s">
        <v>31</v>
      </c>
      <c r="G274" s="1">
        <v>0</v>
      </c>
      <c r="H274" s="1">
        <v>89451.469999999972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3">
        <v>79.736567886728068</v>
      </c>
      <c r="P274">
        <v>92</v>
      </c>
      <c r="Q274">
        <v>30</v>
      </c>
      <c r="R274">
        <v>0</v>
      </c>
      <c r="S274" t="s">
        <v>39</v>
      </c>
      <c r="T274">
        <f>2025</f>
        <v>2025</v>
      </c>
    </row>
    <row r="275" spans="1:20" x14ac:dyDescent="0.35">
      <c r="A275" s="2" t="s">
        <v>33</v>
      </c>
      <c r="B275" s="2" t="s">
        <v>32</v>
      </c>
      <c r="C275" s="32">
        <v>45689</v>
      </c>
      <c r="D275" s="2" t="s">
        <v>19</v>
      </c>
      <c r="E275">
        <v>10</v>
      </c>
      <c r="F275" t="s">
        <v>30</v>
      </c>
      <c r="G275" s="1">
        <v>0</v>
      </c>
      <c r="H275" s="1">
        <v>4123.5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3">
        <v>84.752790829099467</v>
      </c>
      <c r="P275">
        <v>8</v>
      </c>
      <c r="Q275">
        <v>67</v>
      </c>
      <c r="R275">
        <v>0</v>
      </c>
      <c r="S275" t="s">
        <v>39</v>
      </c>
      <c r="T275">
        <f>2025</f>
        <v>2025</v>
      </c>
    </row>
    <row r="276" spans="1:20" x14ac:dyDescent="0.35">
      <c r="A276" s="2" t="s">
        <v>33</v>
      </c>
      <c r="B276" s="2" t="s">
        <v>32</v>
      </c>
      <c r="C276" s="32">
        <v>45689</v>
      </c>
      <c r="D276" s="2" t="s">
        <v>19</v>
      </c>
      <c r="E276">
        <v>10</v>
      </c>
      <c r="F276" t="s">
        <v>31</v>
      </c>
      <c r="G276" s="1">
        <v>0</v>
      </c>
      <c r="H276" s="1">
        <v>37908.900000000016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3">
        <v>99.746612177452178</v>
      </c>
      <c r="P276">
        <v>48</v>
      </c>
      <c r="Q276">
        <v>2</v>
      </c>
      <c r="R276">
        <v>0</v>
      </c>
      <c r="S276" t="s">
        <v>39</v>
      </c>
      <c r="T276">
        <f>2025</f>
        <v>2025</v>
      </c>
    </row>
    <row r="277" spans="1:20" x14ac:dyDescent="0.35">
      <c r="A277" s="2" t="s">
        <v>33</v>
      </c>
      <c r="B277" s="2" t="s">
        <v>32</v>
      </c>
      <c r="C277" s="32">
        <v>45689</v>
      </c>
      <c r="D277" s="2" t="s">
        <v>19</v>
      </c>
      <c r="E277">
        <v>13</v>
      </c>
      <c r="F277" t="s">
        <v>30</v>
      </c>
      <c r="G277" s="1">
        <v>0</v>
      </c>
      <c r="H277" s="1">
        <v>5489.44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3">
        <v>22.330414902539633</v>
      </c>
      <c r="P277">
        <v>5</v>
      </c>
      <c r="Q277">
        <v>20</v>
      </c>
      <c r="R277">
        <v>0</v>
      </c>
      <c r="S277" t="s">
        <v>39</v>
      </c>
      <c r="T277">
        <f>2025</f>
        <v>2025</v>
      </c>
    </row>
    <row r="278" spans="1:20" x14ac:dyDescent="0.35">
      <c r="A278" s="2" t="s">
        <v>33</v>
      </c>
      <c r="B278" s="2" t="s">
        <v>32</v>
      </c>
      <c r="C278" s="32">
        <v>45689</v>
      </c>
      <c r="D278" s="2" t="s">
        <v>19</v>
      </c>
      <c r="E278">
        <v>13</v>
      </c>
      <c r="F278" t="s">
        <v>31</v>
      </c>
      <c r="G278" s="1">
        <v>0</v>
      </c>
      <c r="H278" s="1">
        <v>22057.039999999997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3">
        <v>54.767146779184621</v>
      </c>
      <c r="P278">
        <v>20</v>
      </c>
      <c r="Q278">
        <v>1</v>
      </c>
      <c r="R278">
        <v>0</v>
      </c>
      <c r="S278" t="s">
        <v>39</v>
      </c>
      <c r="T278">
        <f>2025</f>
        <v>2025</v>
      </c>
    </row>
    <row r="279" spans="1:20" x14ac:dyDescent="0.35">
      <c r="A279" s="2" t="s">
        <v>33</v>
      </c>
      <c r="B279" s="2" t="s">
        <v>32</v>
      </c>
      <c r="C279" s="32">
        <v>45689</v>
      </c>
      <c r="D279" s="2" t="s">
        <v>19</v>
      </c>
      <c r="E279">
        <v>14</v>
      </c>
      <c r="F279" t="s">
        <v>30</v>
      </c>
      <c r="G279" s="1">
        <v>0</v>
      </c>
      <c r="H279" s="1">
        <v>1243.49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3">
        <v>22.368785659702553</v>
      </c>
      <c r="P279">
        <v>1</v>
      </c>
      <c r="Q279">
        <v>40</v>
      </c>
      <c r="R279">
        <v>0</v>
      </c>
      <c r="S279" t="s">
        <v>39</v>
      </c>
      <c r="T279">
        <f>2025</f>
        <v>2025</v>
      </c>
    </row>
    <row r="280" spans="1:20" x14ac:dyDescent="0.35">
      <c r="A280" s="2" t="s">
        <v>33</v>
      </c>
      <c r="B280" s="2" t="s">
        <v>32</v>
      </c>
      <c r="C280" s="32">
        <v>45689</v>
      </c>
      <c r="D280" s="2" t="s">
        <v>19</v>
      </c>
      <c r="E280">
        <v>14</v>
      </c>
      <c r="F280" t="s">
        <v>31</v>
      </c>
      <c r="G280" s="1">
        <v>0</v>
      </c>
      <c r="H280" s="1">
        <v>53296.350000000006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3">
        <v>77.165829403520917</v>
      </c>
      <c r="P280">
        <v>10</v>
      </c>
      <c r="Q280">
        <v>3</v>
      </c>
      <c r="R280">
        <v>0</v>
      </c>
      <c r="S280" t="s">
        <v>39</v>
      </c>
      <c r="T280">
        <f>2025</f>
        <v>2025</v>
      </c>
    </row>
    <row r="281" spans="1:20" x14ac:dyDescent="0.35">
      <c r="A281" s="2" t="s">
        <v>33</v>
      </c>
      <c r="B281" s="2" t="s">
        <v>32</v>
      </c>
      <c r="C281" s="32">
        <v>45689</v>
      </c>
      <c r="D281" s="2" t="s">
        <v>19</v>
      </c>
      <c r="E281">
        <v>15</v>
      </c>
      <c r="F281" t="s">
        <v>30</v>
      </c>
      <c r="G281" s="1">
        <v>0</v>
      </c>
      <c r="H281" s="1">
        <v>965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3">
        <v>45.556841570003598</v>
      </c>
      <c r="P281">
        <v>1</v>
      </c>
      <c r="Q281">
        <v>15</v>
      </c>
      <c r="R281">
        <v>0</v>
      </c>
      <c r="S281" t="s">
        <v>39</v>
      </c>
      <c r="T281">
        <f>2025</f>
        <v>2025</v>
      </c>
    </row>
    <row r="282" spans="1:20" x14ac:dyDescent="0.35">
      <c r="A282" s="2" t="s">
        <v>33</v>
      </c>
      <c r="B282" s="2" t="s">
        <v>32</v>
      </c>
      <c r="C282" s="32">
        <v>45689</v>
      </c>
      <c r="D282" s="2" t="s">
        <v>19</v>
      </c>
      <c r="E282">
        <v>15</v>
      </c>
      <c r="F282" t="s">
        <v>31</v>
      </c>
      <c r="G282" s="1">
        <v>0</v>
      </c>
      <c r="H282" s="1">
        <v>10126.609999999999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3">
        <v>100.99530484884532</v>
      </c>
      <c r="P282">
        <v>11</v>
      </c>
      <c r="Q282">
        <v>1</v>
      </c>
      <c r="R282">
        <v>0</v>
      </c>
      <c r="S282" t="s">
        <v>39</v>
      </c>
      <c r="T282">
        <f>2025</f>
        <v>2025</v>
      </c>
    </row>
    <row r="283" spans="1:20" x14ac:dyDescent="0.35">
      <c r="A283" s="2" t="s">
        <v>33</v>
      </c>
      <c r="B283" s="2" t="s">
        <v>32</v>
      </c>
      <c r="C283" s="32">
        <v>45689</v>
      </c>
      <c r="D283" s="2" t="s">
        <v>19</v>
      </c>
      <c r="E283">
        <v>16</v>
      </c>
      <c r="F283" t="s">
        <v>30</v>
      </c>
      <c r="G283" s="1">
        <v>0</v>
      </c>
      <c r="H283" s="1">
        <v>1673.79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3">
        <v>74.360225961601827</v>
      </c>
      <c r="P283">
        <v>1</v>
      </c>
      <c r="Q283">
        <v>13</v>
      </c>
      <c r="R283">
        <v>0</v>
      </c>
      <c r="S283" t="s">
        <v>39</v>
      </c>
      <c r="T283">
        <f>2025</f>
        <v>2025</v>
      </c>
    </row>
    <row r="284" spans="1:20" x14ac:dyDescent="0.35">
      <c r="A284" s="2" t="s">
        <v>33</v>
      </c>
      <c r="B284" s="2" t="s">
        <v>32</v>
      </c>
      <c r="C284" s="32">
        <v>45689</v>
      </c>
      <c r="D284" s="2" t="s">
        <v>19</v>
      </c>
      <c r="E284">
        <v>16</v>
      </c>
      <c r="F284" t="s">
        <v>31</v>
      </c>
      <c r="G284" s="1">
        <v>0</v>
      </c>
      <c r="H284" s="1">
        <v>6458.07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3">
        <v>199.12814285260052</v>
      </c>
      <c r="P284">
        <v>6</v>
      </c>
      <c r="Q284">
        <v>5</v>
      </c>
      <c r="R284">
        <v>0</v>
      </c>
      <c r="S284" t="s">
        <v>39</v>
      </c>
      <c r="T284">
        <f>2025</f>
        <v>2025</v>
      </c>
    </row>
    <row r="285" spans="1:20" hidden="1" x14ac:dyDescent="0.35">
      <c r="A285" s="2" t="s">
        <v>33</v>
      </c>
      <c r="B285" s="2" t="s">
        <v>32</v>
      </c>
      <c r="C285" s="32">
        <v>45717</v>
      </c>
      <c r="D285" s="2" t="s">
        <v>27</v>
      </c>
      <c r="E285">
        <v>6</v>
      </c>
      <c r="F285" t="s">
        <v>48</v>
      </c>
      <c r="G285" s="1">
        <v>0</v>
      </c>
      <c r="H285" s="1">
        <v>663.21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3">
        <v>328.38581940640142</v>
      </c>
      <c r="P285">
        <v>1</v>
      </c>
      <c r="Q285">
        <v>1</v>
      </c>
      <c r="R285">
        <v>0</v>
      </c>
      <c r="S285" t="s">
        <v>39</v>
      </c>
      <c r="T285">
        <f>2025</f>
        <v>2025</v>
      </c>
    </row>
    <row r="286" spans="1:20" hidden="1" x14ac:dyDescent="0.35">
      <c r="A286" s="2" t="s">
        <v>33</v>
      </c>
      <c r="B286" s="2" t="s">
        <v>32</v>
      </c>
      <c r="C286" s="32">
        <v>45717</v>
      </c>
      <c r="D286" s="2" t="s">
        <v>27</v>
      </c>
      <c r="E286">
        <v>10</v>
      </c>
      <c r="F286" t="s">
        <v>48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3" t="s">
        <v>28</v>
      </c>
      <c r="P286">
        <v>0</v>
      </c>
      <c r="Q286">
        <v>1</v>
      </c>
      <c r="R286">
        <v>0</v>
      </c>
      <c r="S286" t="s">
        <v>39</v>
      </c>
      <c r="T286">
        <f>2025</f>
        <v>2025</v>
      </c>
    </row>
    <row r="287" spans="1:20" hidden="1" x14ac:dyDescent="0.35">
      <c r="A287" s="2" t="s">
        <v>33</v>
      </c>
      <c r="B287" s="2" t="s">
        <v>32</v>
      </c>
      <c r="C287" s="32">
        <v>45717</v>
      </c>
      <c r="D287" s="2" t="s">
        <v>27</v>
      </c>
      <c r="E287">
        <v>13</v>
      </c>
      <c r="F287" t="s">
        <v>48</v>
      </c>
      <c r="G287" s="1">
        <v>0</v>
      </c>
      <c r="H287" s="1">
        <v>149975.03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3">
        <v>551.19246207047581</v>
      </c>
      <c r="P287">
        <v>4</v>
      </c>
      <c r="Q287">
        <v>0</v>
      </c>
      <c r="R287">
        <v>0</v>
      </c>
      <c r="S287" t="s">
        <v>39</v>
      </c>
      <c r="T287">
        <f>2025</f>
        <v>2025</v>
      </c>
    </row>
    <row r="288" spans="1:20" hidden="1" x14ac:dyDescent="0.35">
      <c r="A288" s="2" t="s">
        <v>33</v>
      </c>
      <c r="B288" s="2" t="s">
        <v>32</v>
      </c>
      <c r="C288" s="32">
        <v>45717</v>
      </c>
      <c r="D288" s="2" t="s">
        <v>29</v>
      </c>
      <c r="E288">
        <v>5</v>
      </c>
      <c r="F288" t="s">
        <v>48</v>
      </c>
      <c r="G288" s="1">
        <v>0</v>
      </c>
      <c r="H288" s="1">
        <v>2059.1799999999998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3">
        <v>310.58211921119801</v>
      </c>
      <c r="P288">
        <v>1</v>
      </c>
      <c r="Q288">
        <v>0</v>
      </c>
      <c r="R288">
        <v>0</v>
      </c>
      <c r="S288" t="s">
        <v>39</v>
      </c>
      <c r="T288">
        <f>2025</f>
        <v>2025</v>
      </c>
    </row>
    <row r="289" spans="1:20" hidden="1" x14ac:dyDescent="0.35">
      <c r="A289" s="2" t="s">
        <v>33</v>
      </c>
      <c r="B289" s="2" t="s">
        <v>32</v>
      </c>
      <c r="C289" s="32">
        <v>45717</v>
      </c>
      <c r="D289" s="2" t="s">
        <v>29</v>
      </c>
      <c r="E289">
        <v>6</v>
      </c>
      <c r="F289" t="s">
        <v>48</v>
      </c>
      <c r="G289" s="1">
        <v>0</v>
      </c>
      <c r="H289" s="1">
        <v>8916.9700000000012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3">
        <v>129.27020263656013</v>
      </c>
      <c r="P289">
        <v>4</v>
      </c>
      <c r="Q289">
        <v>13</v>
      </c>
      <c r="R289">
        <v>0</v>
      </c>
      <c r="S289" t="s">
        <v>39</v>
      </c>
      <c r="T289">
        <f>2025</f>
        <v>2025</v>
      </c>
    </row>
    <row r="290" spans="1:20" hidden="1" x14ac:dyDescent="0.35">
      <c r="A290" s="2" t="s">
        <v>33</v>
      </c>
      <c r="B290" s="2" t="s">
        <v>32</v>
      </c>
      <c r="C290" s="32">
        <v>45717</v>
      </c>
      <c r="D290" s="2" t="s">
        <v>29</v>
      </c>
      <c r="E290">
        <v>8</v>
      </c>
      <c r="F290" t="s">
        <v>48</v>
      </c>
      <c r="G290" s="1">
        <v>0</v>
      </c>
      <c r="H290" s="1">
        <v>121855.58</v>
      </c>
      <c r="I290" s="1">
        <v>818.4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3">
        <v>158.04507697503686</v>
      </c>
      <c r="P290">
        <v>8</v>
      </c>
      <c r="Q290">
        <v>18</v>
      </c>
      <c r="R290">
        <v>0</v>
      </c>
      <c r="S290" t="s">
        <v>39</v>
      </c>
      <c r="T290">
        <f>2025</f>
        <v>2025</v>
      </c>
    </row>
    <row r="291" spans="1:20" hidden="1" x14ac:dyDescent="0.35">
      <c r="A291" s="2" t="s">
        <v>33</v>
      </c>
      <c r="B291" s="2" t="s">
        <v>32</v>
      </c>
      <c r="C291" s="32">
        <v>45717</v>
      </c>
      <c r="D291" s="2" t="s">
        <v>29</v>
      </c>
      <c r="E291">
        <v>9</v>
      </c>
      <c r="F291" t="s">
        <v>48</v>
      </c>
      <c r="G291" s="1">
        <v>0</v>
      </c>
      <c r="H291" s="1">
        <v>80281.789999999994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3">
        <v>281.69172590834933</v>
      </c>
      <c r="P291">
        <v>6</v>
      </c>
      <c r="Q291">
        <v>17</v>
      </c>
      <c r="R291">
        <v>0</v>
      </c>
      <c r="S291" t="s">
        <v>39</v>
      </c>
      <c r="T291">
        <f>2025</f>
        <v>2025</v>
      </c>
    </row>
    <row r="292" spans="1:20" hidden="1" x14ac:dyDescent="0.35">
      <c r="A292" s="2" t="s">
        <v>33</v>
      </c>
      <c r="B292" s="2" t="s">
        <v>32</v>
      </c>
      <c r="C292" s="32">
        <v>45717</v>
      </c>
      <c r="D292" s="2" t="s">
        <v>29</v>
      </c>
      <c r="E292">
        <v>10</v>
      </c>
      <c r="F292" t="s">
        <v>48</v>
      </c>
      <c r="G292" s="1">
        <v>0</v>
      </c>
      <c r="H292" s="1">
        <v>215969.8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3">
        <v>226.92394219343259</v>
      </c>
      <c r="P292">
        <v>6</v>
      </c>
      <c r="Q292">
        <v>12</v>
      </c>
      <c r="R292">
        <v>0</v>
      </c>
      <c r="S292" t="s">
        <v>39</v>
      </c>
      <c r="T292">
        <f>2025</f>
        <v>2025</v>
      </c>
    </row>
    <row r="293" spans="1:20" hidden="1" x14ac:dyDescent="0.35">
      <c r="A293" s="2" t="s">
        <v>33</v>
      </c>
      <c r="B293" s="2" t="s">
        <v>32</v>
      </c>
      <c r="C293" s="32">
        <v>45717</v>
      </c>
      <c r="D293" s="2" t="s">
        <v>29</v>
      </c>
      <c r="E293">
        <v>13</v>
      </c>
      <c r="F293" t="s">
        <v>48</v>
      </c>
      <c r="G293" s="1">
        <v>0</v>
      </c>
      <c r="H293" s="1">
        <v>20024.710000000003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3">
        <v>220.10327069659979</v>
      </c>
      <c r="P293">
        <v>4</v>
      </c>
      <c r="Q293">
        <v>1</v>
      </c>
      <c r="R293">
        <v>0</v>
      </c>
      <c r="S293" t="s">
        <v>39</v>
      </c>
      <c r="T293">
        <f>2025</f>
        <v>2025</v>
      </c>
    </row>
    <row r="294" spans="1:20" hidden="1" x14ac:dyDescent="0.35">
      <c r="A294" s="2" t="s">
        <v>33</v>
      </c>
      <c r="B294" s="2" t="s">
        <v>32</v>
      </c>
      <c r="C294" s="32">
        <v>45717</v>
      </c>
      <c r="D294" s="2" t="s">
        <v>29</v>
      </c>
      <c r="E294">
        <v>14</v>
      </c>
      <c r="F294" t="s">
        <v>48</v>
      </c>
      <c r="G294" s="1">
        <v>0</v>
      </c>
      <c r="H294" s="1">
        <v>73309.95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3">
        <v>232.44654043340051</v>
      </c>
      <c r="P294">
        <v>2</v>
      </c>
      <c r="Q294">
        <v>3</v>
      </c>
      <c r="R294">
        <v>0</v>
      </c>
      <c r="S294" t="s">
        <v>39</v>
      </c>
      <c r="T294">
        <f>2025</f>
        <v>2025</v>
      </c>
    </row>
    <row r="295" spans="1:20" hidden="1" x14ac:dyDescent="0.35">
      <c r="A295" s="2" t="s">
        <v>33</v>
      </c>
      <c r="B295" s="2" t="s">
        <v>32</v>
      </c>
      <c r="C295" s="32">
        <v>45717</v>
      </c>
      <c r="D295" s="2" t="s">
        <v>29</v>
      </c>
      <c r="E295">
        <v>15</v>
      </c>
      <c r="F295" t="s">
        <v>48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3" t="s">
        <v>28</v>
      </c>
      <c r="P295">
        <v>0</v>
      </c>
      <c r="Q295">
        <v>1</v>
      </c>
      <c r="R295">
        <v>0</v>
      </c>
      <c r="S295" t="s">
        <v>39</v>
      </c>
      <c r="T295">
        <f>2025</f>
        <v>2025</v>
      </c>
    </row>
    <row r="296" spans="1:20" hidden="1" x14ac:dyDescent="0.35">
      <c r="A296" s="2" t="s">
        <v>33</v>
      </c>
      <c r="B296" s="2" t="s">
        <v>32</v>
      </c>
      <c r="C296" s="32">
        <v>45717</v>
      </c>
      <c r="D296" s="2" t="s">
        <v>29</v>
      </c>
      <c r="E296">
        <v>16</v>
      </c>
      <c r="F296" t="s">
        <v>48</v>
      </c>
      <c r="G296" s="1">
        <v>0</v>
      </c>
      <c r="H296" s="1">
        <v>0</v>
      </c>
      <c r="I296" s="1">
        <v>1760.87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3" t="s">
        <v>28</v>
      </c>
      <c r="P296">
        <v>0</v>
      </c>
      <c r="Q296">
        <v>11</v>
      </c>
      <c r="R296">
        <v>0</v>
      </c>
      <c r="S296" t="s">
        <v>39</v>
      </c>
      <c r="T296">
        <f>2025</f>
        <v>2025</v>
      </c>
    </row>
    <row r="297" spans="1:20" x14ac:dyDescent="0.35">
      <c r="A297" s="2" t="s">
        <v>33</v>
      </c>
      <c r="B297" s="2" t="s">
        <v>32</v>
      </c>
      <c r="C297" s="32">
        <v>45717</v>
      </c>
      <c r="D297" s="2" t="s">
        <v>19</v>
      </c>
      <c r="E297">
        <v>6</v>
      </c>
      <c r="F297" t="s">
        <v>30</v>
      </c>
      <c r="G297" s="1">
        <v>0</v>
      </c>
      <c r="H297" s="1">
        <v>27485.140000000003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3">
        <v>107.24658790819609</v>
      </c>
      <c r="P297">
        <v>25</v>
      </c>
      <c r="Q297">
        <v>165</v>
      </c>
      <c r="R297">
        <v>0</v>
      </c>
      <c r="S297" t="s">
        <v>39</v>
      </c>
      <c r="T297">
        <f>2025</f>
        <v>2025</v>
      </c>
    </row>
    <row r="298" spans="1:20" x14ac:dyDescent="0.35">
      <c r="A298" s="2" t="s">
        <v>33</v>
      </c>
      <c r="B298" s="2" t="s">
        <v>32</v>
      </c>
      <c r="C298" s="32">
        <v>45717</v>
      </c>
      <c r="D298" s="2" t="s">
        <v>19</v>
      </c>
      <c r="E298">
        <v>6</v>
      </c>
      <c r="F298" t="s">
        <v>31</v>
      </c>
      <c r="G298" s="1">
        <v>0</v>
      </c>
      <c r="H298" s="1">
        <v>71885.969999999987</v>
      </c>
      <c r="I298" s="1">
        <v>3068.34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3">
        <v>103.36637378378389</v>
      </c>
      <c r="P298">
        <v>78</v>
      </c>
      <c r="Q298">
        <v>45</v>
      </c>
      <c r="R298">
        <v>0</v>
      </c>
      <c r="S298" t="s">
        <v>39</v>
      </c>
      <c r="T298">
        <f>2025</f>
        <v>2025</v>
      </c>
    </row>
    <row r="299" spans="1:20" x14ac:dyDescent="0.35">
      <c r="A299" s="2" t="s">
        <v>33</v>
      </c>
      <c r="B299" s="2" t="s">
        <v>32</v>
      </c>
      <c r="C299" s="32">
        <v>45717</v>
      </c>
      <c r="D299" s="2" t="s">
        <v>19</v>
      </c>
      <c r="E299">
        <v>8</v>
      </c>
      <c r="F299" t="s">
        <v>30</v>
      </c>
      <c r="G299" s="1">
        <v>0</v>
      </c>
      <c r="H299" s="1">
        <v>28968.020000000004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3">
        <v>106.57662307362571</v>
      </c>
      <c r="P299">
        <v>27</v>
      </c>
      <c r="Q299">
        <v>170</v>
      </c>
      <c r="R299">
        <v>0</v>
      </c>
      <c r="S299" t="s">
        <v>39</v>
      </c>
      <c r="T299">
        <f>2025</f>
        <v>2025</v>
      </c>
    </row>
    <row r="300" spans="1:20" x14ac:dyDescent="0.35">
      <c r="A300" s="2" t="s">
        <v>33</v>
      </c>
      <c r="B300" s="2" t="s">
        <v>32</v>
      </c>
      <c r="C300" s="32">
        <v>45717</v>
      </c>
      <c r="D300" s="2" t="s">
        <v>19</v>
      </c>
      <c r="E300">
        <v>8</v>
      </c>
      <c r="F300" t="s">
        <v>31</v>
      </c>
      <c r="G300" s="1">
        <v>0</v>
      </c>
      <c r="H300" s="1">
        <v>81288.929999999978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3">
        <v>143.04688298936532</v>
      </c>
      <c r="P300">
        <v>109</v>
      </c>
      <c r="Q300">
        <v>44</v>
      </c>
      <c r="R300">
        <v>0</v>
      </c>
      <c r="S300" t="s">
        <v>39</v>
      </c>
      <c r="T300">
        <f>2025</f>
        <v>2025</v>
      </c>
    </row>
    <row r="301" spans="1:20" x14ac:dyDescent="0.35">
      <c r="A301" s="2" t="s">
        <v>33</v>
      </c>
      <c r="B301" s="2" t="s">
        <v>32</v>
      </c>
      <c r="C301" s="32">
        <v>45717</v>
      </c>
      <c r="D301" s="2" t="s">
        <v>19</v>
      </c>
      <c r="E301">
        <v>9</v>
      </c>
      <c r="F301" t="s">
        <v>30</v>
      </c>
      <c r="G301" s="1">
        <v>0</v>
      </c>
      <c r="H301" s="1">
        <v>21480.93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3">
        <v>73.640470702587081</v>
      </c>
      <c r="P301">
        <v>22</v>
      </c>
      <c r="Q301">
        <v>239</v>
      </c>
      <c r="R301">
        <v>0</v>
      </c>
      <c r="S301" t="s">
        <v>39</v>
      </c>
      <c r="T301">
        <f>2025</f>
        <v>2025</v>
      </c>
    </row>
    <row r="302" spans="1:20" x14ac:dyDescent="0.35">
      <c r="A302" s="2" t="s">
        <v>33</v>
      </c>
      <c r="B302" s="2" t="s">
        <v>32</v>
      </c>
      <c r="C302" s="32">
        <v>45717</v>
      </c>
      <c r="D302" s="2" t="s">
        <v>19</v>
      </c>
      <c r="E302">
        <v>9</v>
      </c>
      <c r="F302" t="s">
        <v>31</v>
      </c>
      <c r="G302" s="1">
        <v>0</v>
      </c>
      <c r="H302" s="1">
        <v>137368.35999999999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3">
        <v>70.367349456281815</v>
      </c>
      <c r="P302">
        <v>150</v>
      </c>
      <c r="Q302">
        <v>37</v>
      </c>
      <c r="R302">
        <v>0</v>
      </c>
      <c r="S302" t="s">
        <v>39</v>
      </c>
      <c r="T302">
        <f>2025</f>
        <v>2025</v>
      </c>
    </row>
    <row r="303" spans="1:20" x14ac:dyDescent="0.35">
      <c r="A303" s="2" t="s">
        <v>33</v>
      </c>
      <c r="B303" s="2" t="s">
        <v>32</v>
      </c>
      <c r="C303" s="32">
        <v>45717</v>
      </c>
      <c r="D303" s="2" t="s">
        <v>19</v>
      </c>
      <c r="E303">
        <v>10</v>
      </c>
      <c r="F303" t="s">
        <v>30</v>
      </c>
      <c r="G303" s="1">
        <v>0</v>
      </c>
      <c r="H303" s="1">
        <v>7297.74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3">
        <v>143.23578504942893</v>
      </c>
      <c r="P303">
        <v>7</v>
      </c>
      <c r="Q303">
        <v>64</v>
      </c>
      <c r="R303">
        <v>0</v>
      </c>
      <c r="S303" t="s">
        <v>39</v>
      </c>
      <c r="T303">
        <f>2025</f>
        <v>2025</v>
      </c>
    </row>
    <row r="304" spans="1:20" x14ac:dyDescent="0.35">
      <c r="A304" s="2" t="s">
        <v>33</v>
      </c>
      <c r="B304" s="2" t="s">
        <v>32</v>
      </c>
      <c r="C304" s="32">
        <v>45717</v>
      </c>
      <c r="D304" s="2" t="s">
        <v>19</v>
      </c>
      <c r="E304">
        <v>10</v>
      </c>
      <c r="F304" t="s">
        <v>31</v>
      </c>
      <c r="G304" s="1">
        <v>0</v>
      </c>
      <c r="H304" s="1">
        <v>22294.979999999996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3">
        <v>56.54492601992763</v>
      </c>
      <c r="P304">
        <v>33</v>
      </c>
      <c r="Q304">
        <v>8</v>
      </c>
      <c r="R304">
        <v>0</v>
      </c>
      <c r="S304" t="s">
        <v>39</v>
      </c>
      <c r="T304">
        <f>2025</f>
        <v>2025</v>
      </c>
    </row>
    <row r="305" spans="1:20" x14ac:dyDescent="0.35">
      <c r="A305" s="2" t="s">
        <v>33</v>
      </c>
      <c r="B305" s="2" t="s">
        <v>32</v>
      </c>
      <c r="C305" s="32">
        <v>45717</v>
      </c>
      <c r="D305" s="2" t="s">
        <v>19</v>
      </c>
      <c r="E305">
        <v>13</v>
      </c>
      <c r="F305" t="s">
        <v>30</v>
      </c>
      <c r="G305" s="1">
        <v>0</v>
      </c>
      <c r="H305" s="1">
        <v>3058.47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3">
        <v>106.15953452719987</v>
      </c>
      <c r="P305">
        <v>4</v>
      </c>
      <c r="Q305">
        <v>13</v>
      </c>
      <c r="R305">
        <v>0</v>
      </c>
      <c r="S305" t="s">
        <v>39</v>
      </c>
      <c r="T305">
        <f>2025</f>
        <v>2025</v>
      </c>
    </row>
    <row r="306" spans="1:20" x14ac:dyDescent="0.35">
      <c r="A306" s="2" t="s">
        <v>33</v>
      </c>
      <c r="B306" s="2" t="s">
        <v>32</v>
      </c>
      <c r="C306" s="32">
        <v>45717</v>
      </c>
      <c r="D306" s="2" t="s">
        <v>19</v>
      </c>
      <c r="E306">
        <v>13</v>
      </c>
      <c r="F306" t="s">
        <v>31</v>
      </c>
      <c r="G306" s="1">
        <v>0</v>
      </c>
      <c r="H306" s="1">
        <v>11917.62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3">
        <v>29.638246036208027</v>
      </c>
      <c r="P306">
        <v>12</v>
      </c>
      <c r="Q306">
        <v>4</v>
      </c>
      <c r="R306">
        <v>0</v>
      </c>
      <c r="S306" t="s">
        <v>39</v>
      </c>
      <c r="T306">
        <f>2025</f>
        <v>2025</v>
      </c>
    </row>
    <row r="307" spans="1:20" x14ac:dyDescent="0.35">
      <c r="A307" s="2" t="s">
        <v>33</v>
      </c>
      <c r="B307" s="2" t="s">
        <v>32</v>
      </c>
      <c r="C307" s="32">
        <v>45717</v>
      </c>
      <c r="D307" s="2" t="s">
        <v>19</v>
      </c>
      <c r="E307">
        <v>14</v>
      </c>
      <c r="F307" t="s">
        <v>30</v>
      </c>
      <c r="G307" s="1">
        <v>0</v>
      </c>
      <c r="H307" s="1">
        <v>756.2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3">
        <v>0.67431630219653016</v>
      </c>
      <c r="P307">
        <v>1</v>
      </c>
      <c r="Q307">
        <v>44</v>
      </c>
      <c r="R307">
        <v>0</v>
      </c>
      <c r="S307" t="s">
        <v>39</v>
      </c>
      <c r="T307">
        <f>2025</f>
        <v>2025</v>
      </c>
    </row>
    <row r="308" spans="1:20" x14ac:dyDescent="0.35">
      <c r="A308" s="2" t="s">
        <v>33</v>
      </c>
      <c r="B308" s="2" t="s">
        <v>32</v>
      </c>
      <c r="C308" s="32">
        <v>45717</v>
      </c>
      <c r="D308" s="2" t="s">
        <v>19</v>
      </c>
      <c r="E308">
        <v>14</v>
      </c>
      <c r="F308" t="s">
        <v>31</v>
      </c>
      <c r="G308" s="1">
        <v>0</v>
      </c>
      <c r="H308" s="1">
        <v>29300.43</v>
      </c>
      <c r="I308" s="1">
        <v>565.87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3">
        <v>72.849993565235692</v>
      </c>
      <c r="P308">
        <v>28</v>
      </c>
      <c r="Q308">
        <v>5</v>
      </c>
      <c r="R308">
        <v>0</v>
      </c>
      <c r="S308" t="s">
        <v>39</v>
      </c>
      <c r="T308">
        <f>2025</f>
        <v>2025</v>
      </c>
    </row>
    <row r="309" spans="1:20" x14ac:dyDescent="0.35">
      <c r="A309" s="2" t="s">
        <v>33</v>
      </c>
      <c r="B309" s="2" t="s">
        <v>32</v>
      </c>
      <c r="C309" s="32">
        <v>45717</v>
      </c>
      <c r="D309" s="2" t="s">
        <v>19</v>
      </c>
      <c r="E309">
        <v>15</v>
      </c>
      <c r="F309" t="s">
        <v>30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3" t="s">
        <v>28</v>
      </c>
      <c r="P309">
        <v>0</v>
      </c>
      <c r="Q309">
        <v>8</v>
      </c>
      <c r="R309">
        <v>0</v>
      </c>
      <c r="S309" t="s">
        <v>39</v>
      </c>
      <c r="T309">
        <f>2025</f>
        <v>2025</v>
      </c>
    </row>
    <row r="310" spans="1:20" x14ac:dyDescent="0.35">
      <c r="A310" s="2" t="s">
        <v>33</v>
      </c>
      <c r="B310" s="2" t="s">
        <v>32</v>
      </c>
      <c r="C310" s="32">
        <v>45717</v>
      </c>
      <c r="D310" s="2" t="s">
        <v>19</v>
      </c>
      <c r="E310">
        <v>15</v>
      </c>
      <c r="F310" t="s">
        <v>31</v>
      </c>
      <c r="G310" s="1">
        <v>0</v>
      </c>
      <c r="H310" s="1">
        <v>10572.619999999999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3">
        <v>127.20557168243081</v>
      </c>
      <c r="P310">
        <v>13</v>
      </c>
      <c r="Q310">
        <v>1</v>
      </c>
      <c r="R310">
        <v>0</v>
      </c>
      <c r="S310" t="s">
        <v>39</v>
      </c>
      <c r="T310">
        <f>2025</f>
        <v>2025</v>
      </c>
    </row>
    <row r="311" spans="1:20" x14ac:dyDescent="0.35">
      <c r="A311" s="2" t="s">
        <v>33</v>
      </c>
      <c r="B311" s="2" t="s">
        <v>32</v>
      </c>
      <c r="C311" s="32">
        <v>45717</v>
      </c>
      <c r="D311" s="2" t="s">
        <v>19</v>
      </c>
      <c r="E311">
        <v>16</v>
      </c>
      <c r="F311" t="s">
        <v>30</v>
      </c>
      <c r="G311" s="1">
        <v>0</v>
      </c>
      <c r="H311" s="1">
        <v>819.02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3">
        <v>7.6115896240007714</v>
      </c>
      <c r="P311">
        <v>1</v>
      </c>
      <c r="Q311">
        <v>18</v>
      </c>
      <c r="R311">
        <v>0</v>
      </c>
      <c r="S311" t="s">
        <v>39</v>
      </c>
      <c r="T311">
        <f>2025</f>
        <v>2025</v>
      </c>
    </row>
    <row r="312" spans="1:20" x14ac:dyDescent="0.35">
      <c r="A312" s="4" t="s">
        <v>33</v>
      </c>
      <c r="B312" s="2" t="s">
        <v>32</v>
      </c>
      <c r="C312" s="32">
        <v>45717</v>
      </c>
      <c r="D312" s="2" t="s">
        <v>19</v>
      </c>
      <c r="E312">
        <v>16</v>
      </c>
      <c r="F312" t="s">
        <v>31</v>
      </c>
      <c r="G312" s="1">
        <v>0</v>
      </c>
      <c r="H312" s="1">
        <v>9660.24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3">
        <v>37.388792646099837</v>
      </c>
      <c r="P312">
        <v>7</v>
      </c>
      <c r="Q312">
        <v>3</v>
      </c>
      <c r="R312">
        <v>0</v>
      </c>
      <c r="S312" t="s">
        <v>39</v>
      </c>
      <c r="T312">
        <f>2025</f>
        <v>2025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5EA7-D796-4DA6-8D6A-BB401E78D085}">
  <dimension ref="A1:T220"/>
  <sheetViews>
    <sheetView zoomScale="82" zoomScaleNormal="82" workbookViewId="0">
      <selection activeCell="Q2" sqref="Q2"/>
    </sheetView>
  </sheetViews>
  <sheetFormatPr defaultColWidth="13.26953125" defaultRowHeight="14.5" x14ac:dyDescent="0.35"/>
  <cols>
    <col min="1" max="1" width="26.7265625" bestFit="1" customWidth="1"/>
    <col min="2" max="2" width="22.6328125" customWidth="1"/>
    <col min="3" max="3" width="12.1796875" style="32" bestFit="1" customWidth="1"/>
    <col min="4" max="4" width="15.453125" customWidth="1"/>
    <col min="5" max="5" width="22.6328125" customWidth="1"/>
    <col min="6" max="6" width="18.26953125" bestFit="1" customWidth="1"/>
    <col min="7" max="7" width="36.81640625" style="1" customWidth="1"/>
    <col min="8" max="8" width="38.08984375" style="1" customWidth="1"/>
    <col min="9" max="9" width="60.7265625" style="1" customWidth="1"/>
    <col min="10" max="10" width="32.7265625" style="1" customWidth="1"/>
    <col min="11" max="11" width="33.26953125" style="1" customWidth="1"/>
    <col min="12" max="12" width="56.7265625" style="1" customWidth="1"/>
    <col min="13" max="13" width="29.7265625" style="1" customWidth="1"/>
    <col min="14" max="14" width="25.81640625" style="1" customWidth="1"/>
    <col min="15" max="15" width="62.36328125" customWidth="1"/>
    <col min="16" max="16" width="34.36328125" customWidth="1"/>
    <col min="17" max="17" width="49" customWidth="1"/>
    <col min="18" max="18" width="53.36328125" customWidth="1"/>
  </cols>
  <sheetData>
    <row r="1" spans="1:20" ht="29" x14ac:dyDescent="0.35">
      <c r="A1" s="38" t="s">
        <v>34</v>
      </c>
      <c r="B1" s="31" t="s">
        <v>0</v>
      </c>
      <c r="C1" s="34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6" t="s">
        <v>35</v>
      </c>
      <c r="P1" s="37" t="s">
        <v>13</v>
      </c>
      <c r="Q1" s="31" t="s">
        <v>24</v>
      </c>
      <c r="R1" s="35" t="s">
        <v>25</v>
      </c>
      <c r="S1" s="31" t="s">
        <v>36</v>
      </c>
      <c r="T1" s="31" t="s">
        <v>38</v>
      </c>
    </row>
    <row r="2" spans="1:20" hidden="1" x14ac:dyDescent="0.35">
      <c r="A2" s="5" t="s">
        <v>23</v>
      </c>
      <c r="B2" s="5" t="s">
        <v>26</v>
      </c>
      <c r="C2" s="33">
        <v>45658</v>
      </c>
      <c r="D2" s="5" t="s">
        <v>16</v>
      </c>
      <c r="E2" s="5" t="s">
        <v>49</v>
      </c>
      <c r="F2" s="5" t="s">
        <v>48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5">
        <v>0</v>
      </c>
      <c r="P2" s="5">
        <v>1</v>
      </c>
      <c r="Q2" s="5">
        <v>37</v>
      </c>
      <c r="R2" s="5">
        <v>0</v>
      </c>
      <c r="S2" t="s">
        <v>40</v>
      </c>
      <c r="T2" s="5">
        <v>2025</v>
      </c>
    </row>
    <row r="3" spans="1:20" hidden="1" x14ac:dyDescent="0.35">
      <c r="A3" s="5" t="s">
        <v>23</v>
      </c>
      <c r="B3" s="5" t="s">
        <v>26</v>
      </c>
      <c r="C3" s="33">
        <v>45658</v>
      </c>
      <c r="D3" s="5" t="s">
        <v>19</v>
      </c>
      <c r="E3" s="5" t="s">
        <v>49</v>
      </c>
      <c r="F3" s="5" t="s">
        <v>49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5">
        <v>0</v>
      </c>
      <c r="P3" s="5">
        <v>1</v>
      </c>
      <c r="Q3" s="5">
        <v>5</v>
      </c>
      <c r="R3" s="5">
        <v>0</v>
      </c>
      <c r="S3" t="s">
        <v>40</v>
      </c>
      <c r="T3" s="5">
        <v>2025</v>
      </c>
    </row>
    <row r="4" spans="1:20" hidden="1" x14ac:dyDescent="0.35">
      <c r="A4" s="5" t="s">
        <v>23</v>
      </c>
      <c r="B4" s="5" t="s">
        <v>26</v>
      </c>
      <c r="C4" s="33">
        <v>45658</v>
      </c>
      <c r="D4" s="5" t="s">
        <v>16</v>
      </c>
      <c r="E4" s="5">
        <v>6</v>
      </c>
      <c r="F4" s="5" t="s">
        <v>48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5">
        <v>47</v>
      </c>
      <c r="P4" s="5">
        <v>2</v>
      </c>
      <c r="Q4" s="5">
        <v>13</v>
      </c>
      <c r="R4" s="5">
        <v>0</v>
      </c>
      <c r="S4" t="s">
        <v>40</v>
      </c>
      <c r="T4" s="5">
        <v>2025</v>
      </c>
    </row>
    <row r="5" spans="1:20" hidden="1" x14ac:dyDescent="0.35">
      <c r="A5" s="5" t="s">
        <v>23</v>
      </c>
      <c r="B5" s="5" t="s">
        <v>26</v>
      </c>
      <c r="C5" s="33">
        <v>45658</v>
      </c>
      <c r="D5" s="5" t="s">
        <v>19</v>
      </c>
      <c r="E5" s="5">
        <v>6</v>
      </c>
      <c r="F5" s="5" t="s">
        <v>49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5">
        <v>0</v>
      </c>
      <c r="P5" s="5">
        <v>4</v>
      </c>
      <c r="Q5" s="5">
        <v>13</v>
      </c>
      <c r="R5" s="5">
        <v>0</v>
      </c>
      <c r="S5" t="s">
        <v>40</v>
      </c>
      <c r="T5" s="5">
        <v>2025</v>
      </c>
    </row>
    <row r="6" spans="1:20" hidden="1" x14ac:dyDescent="0.35">
      <c r="A6" s="5" t="s">
        <v>23</v>
      </c>
      <c r="B6" s="5" t="s">
        <v>26</v>
      </c>
      <c r="C6" s="33">
        <v>45658</v>
      </c>
      <c r="D6" s="5" t="s">
        <v>19</v>
      </c>
      <c r="E6" s="5">
        <v>6</v>
      </c>
      <c r="F6" s="5" t="s">
        <v>31</v>
      </c>
      <c r="G6" s="6">
        <v>0</v>
      </c>
      <c r="H6" s="7">
        <v>2610.91</v>
      </c>
      <c r="I6" s="6">
        <v>0</v>
      </c>
      <c r="J6" s="6">
        <v>0</v>
      </c>
      <c r="K6" s="6">
        <v>0</v>
      </c>
      <c r="L6" s="6">
        <v>0</v>
      </c>
      <c r="M6" s="6">
        <v>853</v>
      </c>
      <c r="N6" s="6">
        <v>0</v>
      </c>
      <c r="O6" s="5">
        <v>161</v>
      </c>
      <c r="P6" s="5">
        <v>4</v>
      </c>
      <c r="Q6" s="5">
        <v>1</v>
      </c>
      <c r="R6" s="5">
        <v>0</v>
      </c>
      <c r="S6" t="s">
        <v>40</v>
      </c>
      <c r="T6" s="5">
        <v>2025</v>
      </c>
    </row>
    <row r="7" spans="1:20" hidden="1" x14ac:dyDescent="0.35">
      <c r="A7" s="5" t="s">
        <v>23</v>
      </c>
      <c r="B7" s="5" t="s">
        <v>26</v>
      </c>
      <c r="C7" s="33">
        <v>45658</v>
      </c>
      <c r="D7" s="5" t="s">
        <v>16</v>
      </c>
      <c r="E7" s="5">
        <v>7</v>
      </c>
      <c r="F7" s="5" t="s">
        <v>48</v>
      </c>
      <c r="G7" s="6">
        <v>0</v>
      </c>
      <c r="H7" s="7">
        <v>59343.11</v>
      </c>
      <c r="I7" s="6">
        <v>0</v>
      </c>
      <c r="J7" s="6">
        <v>0</v>
      </c>
      <c r="K7" s="6">
        <v>0</v>
      </c>
      <c r="L7" s="6">
        <v>0</v>
      </c>
      <c r="M7" s="6">
        <v>260</v>
      </c>
      <c r="N7" s="6">
        <v>0</v>
      </c>
      <c r="O7" s="5">
        <v>88</v>
      </c>
      <c r="P7" s="5">
        <v>21</v>
      </c>
      <c r="Q7" s="5">
        <v>106</v>
      </c>
      <c r="R7" s="5">
        <v>0</v>
      </c>
      <c r="S7" t="s">
        <v>40</v>
      </c>
      <c r="T7" s="5">
        <v>2025</v>
      </c>
    </row>
    <row r="8" spans="1:20" hidden="1" x14ac:dyDescent="0.35">
      <c r="A8" s="5" t="s">
        <v>23</v>
      </c>
      <c r="B8" s="5" t="s">
        <v>26</v>
      </c>
      <c r="C8" s="33">
        <v>45658</v>
      </c>
      <c r="D8" s="5" t="s">
        <v>19</v>
      </c>
      <c r="E8" s="5">
        <v>7</v>
      </c>
      <c r="F8" s="5" t="s">
        <v>49</v>
      </c>
      <c r="G8" s="6">
        <v>15489</v>
      </c>
      <c r="H8" s="7">
        <v>48292.14</v>
      </c>
      <c r="I8" s="6">
        <v>0</v>
      </c>
      <c r="J8" s="6">
        <v>0</v>
      </c>
      <c r="K8" s="6">
        <v>0</v>
      </c>
      <c r="L8" s="6">
        <v>0</v>
      </c>
      <c r="M8" s="6">
        <v>47726</v>
      </c>
      <c r="N8" s="6">
        <v>0</v>
      </c>
      <c r="O8" s="5">
        <v>269</v>
      </c>
      <c r="P8" s="5">
        <v>74</v>
      </c>
      <c r="Q8" s="5">
        <v>162</v>
      </c>
      <c r="R8" s="5">
        <v>0</v>
      </c>
      <c r="S8" t="s">
        <v>40</v>
      </c>
      <c r="T8" s="5">
        <v>2025</v>
      </c>
    </row>
    <row r="9" spans="1:20" hidden="1" x14ac:dyDescent="0.35">
      <c r="A9" s="5" t="s">
        <v>23</v>
      </c>
      <c r="B9" s="5" t="s">
        <v>26</v>
      </c>
      <c r="C9" s="33">
        <v>45658</v>
      </c>
      <c r="D9" s="5" t="s">
        <v>19</v>
      </c>
      <c r="E9" s="5">
        <v>7</v>
      </c>
      <c r="F9" s="5" t="s">
        <v>30</v>
      </c>
      <c r="G9" s="6">
        <v>0</v>
      </c>
      <c r="H9" s="7">
        <v>10560.5999999999</v>
      </c>
      <c r="I9" s="6">
        <v>0</v>
      </c>
      <c r="J9" s="6">
        <v>0</v>
      </c>
      <c r="K9" s="6">
        <v>0</v>
      </c>
      <c r="L9" s="6">
        <v>0</v>
      </c>
      <c r="M9" s="6">
        <v>1120</v>
      </c>
      <c r="N9" s="6">
        <v>0</v>
      </c>
      <c r="O9" s="5">
        <v>147</v>
      </c>
      <c r="P9" s="5">
        <v>3</v>
      </c>
      <c r="Q9" s="5">
        <v>6</v>
      </c>
      <c r="R9" s="5">
        <v>0</v>
      </c>
      <c r="S9" t="s">
        <v>40</v>
      </c>
      <c r="T9" s="5">
        <v>2025</v>
      </c>
    </row>
    <row r="10" spans="1:20" hidden="1" x14ac:dyDescent="0.35">
      <c r="A10" s="5" t="s">
        <v>23</v>
      </c>
      <c r="B10" s="5" t="s">
        <v>26</v>
      </c>
      <c r="C10" s="33">
        <v>45658</v>
      </c>
      <c r="D10" s="5" t="s">
        <v>19</v>
      </c>
      <c r="E10" s="5">
        <v>7</v>
      </c>
      <c r="F10" s="5" t="s">
        <v>31</v>
      </c>
      <c r="G10" s="6">
        <v>31803.25</v>
      </c>
      <c r="H10" s="7">
        <v>61925.619999999901</v>
      </c>
      <c r="I10" s="6">
        <v>0</v>
      </c>
      <c r="J10" s="6">
        <v>0</v>
      </c>
      <c r="K10" s="6">
        <v>0</v>
      </c>
      <c r="L10" s="6">
        <v>0</v>
      </c>
      <c r="M10" s="6">
        <v>55552</v>
      </c>
      <c r="N10" s="6">
        <v>46500.62</v>
      </c>
      <c r="O10" s="5">
        <v>181</v>
      </c>
      <c r="P10" s="5">
        <v>14</v>
      </c>
      <c r="Q10" s="5">
        <v>49</v>
      </c>
      <c r="R10" s="5">
        <v>0</v>
      </c>
      <c r="S10" t="s">
        <v>40</v>
      </c>
      <c r="T10" s="5">
        <v>2025</v>
      </c>
    </row>
    <row r="11" spans="1:20" hidden="1" x14ac:dyDescent="0.35">
      <c r="A11" s="5" t="s">
        <v>23</v>
      </c>
      <c r="B11" s="5" t="s">
        <v>26</v>
      </c>
      <c r="C11" s="33">
        <v>45658</v>
      </c>
      <c r="D11" s="5" t="s">
        <v>16</v>
      </c>
      <c r="E11" s="5">
        <v>10</v>
      </c>
      <c r="F11" s="5" t="s">
        <v>48</v>
      </c>
      <c r="G11" s="6">
        <v>0</v>
      </c>
      <c r="H11" s="7">
        <v>35317.839999999997</v>
      </c>
      <c r="I11" s="6">
        <v>0</v>
      </c>
      <c r="J11" s="6">
        <v>0</v>
      </c>
      <c r="K11" s="6">
        <v>0</v>
      </c>
      <c r="L11" s="6">
        <v>0</v>
      </c>
      <c r="M11" s="6">
        <v>1677</v>
      </c>
      <c r="N11" s="6">
        <v>0</v>
      </c>
      <c r="O11" s="5">
        <v>116</v>
      </c>
      <c r="P11" s="5">
        <v>6</v>
      </c>
      <c r="Q11" s="5">
        <v>29</v>
      </c>
      <c r="R11" s="5">
        <v>0</v>
      </c>
      <c r="S11" t="s">
        <v>40</v>
      </c>
      <c r="T11" s="5">
        <v>2025</v>
      </c>
    </row>
    <row r="12" spans="1:20" hidden="1" x14ac:dyDescent="0.35">
      <c r="A12" s="5" t="s">
        <v>23</v>
      </c>
      <c r="B12" s="5" t="s">
        <v>26</v>
      </c>
      <c r="C12" s="33">
        <v>45658</v>
      </c>
      <c r="D12" s="5" t="s">
        <v>19</v>
      </c>
      <c r="E12" s="5">
        <v>10</v>
      </c>
      <c r="F12" s="5" t="s">
        <v>49</v>
      </c>
      <c r="G12" s="6">
        <v>0</v>
      </c>
      <c r="H12" s="7">
        <v>17630.46</v>
      </c>
      <c r="I12" s="6">
        <v>0</v>
      </c>
      <c r="J12" s="6">
        <v>0</v>
      </c>
      <c r="K12" s="6">
        <v>0</v>
      </c>
      <c r="L12" s="6">
        <v>0</v>
      </c>
      <c r="M12" s="6">
        <v>34487</v>
      </c>
      <c r="N12" s="6">
        <v>0</v>
      </c>
      <c r="O12" s="5">
        <v>95</v>
      </c>
      <c r="P12" s="5">
        <v>20</v>
      </c>
      <c r="Q12" s="5">
        <v>46</v>
      </c>
      <c r="R12" s="5">
        <v>0</v>
      </c>
      <c r="S12" t="s">
        <v>40</v>
      </c>
      <c r="T12" s="5">
        <v>2025</v>
      </c>
    </row>
    <row r="13" spans="1:20" hidden="1" x14ac:dyDescent="0.35">
      <c r="A13" s="5" t="s">
        <v>23</v>
      </c>
      <c r="B13" s="5" t="s">
        <v>26</v>
      </c>
      <c r="C13" s="33">
        <v>45658</v>
      </c>
      <c r="D13" s="5" t="s">
        <v>19</v>
      </c>
      <c r="E13" s="5">
        <v>10</v>
      </c>
      <c r="F13" s="5" t="s">
        <v>30</v>
      </c>
      <c r="G13" s="6">
        <v>18690.53</v>
      </c>
      <c r="H13" s="7">
        <v>1903.89</v>
      </c>
      <c r="I13" s="6">
        <v>0</v>
      </c>
      <c r="J13" s="6">
        <v>0</v>
      </c>
      <c r="K13" s="6">
        <v>0</v>
      </c>
      <c r="L13" s="6">
        <v>0</v>
      </c>
      <c r="M13" s="6">
        <v>34560</v>
      </c>
      <c r="N13" s="6">
        <v>37381.06</v>
      </c>
      <c r="O13" s="5">
        <v>467</v>
      </c>
      <c r="P13" s="5">
        <v>2</v>
      </c>
      <c r="Q13" s="5">
        <v>3</v>
      </c>
      <c r="R13" s="5">
        <v>0</v>
      </c>
      <c r="S13" t="s">
        <v>40</v>
      </c>
      <c r="T13" s="5">
        <v>2025</v>
      </c>
    </row>
    <row r="14" spans="1:20" hidden="1" x14ac:dyDescent="0.35">
      <c r="A14" s="5" t="s">
        <v>23</v>
      </c>
      <c r="B14" s="5" t="s">
        <v>26</v>
      </c>
      <c r="C14" s="33">
        <v>45658</v>
      </c>
      <c r="D14" s="5" t="s">
        <v>19</v>
      </c>
      <c r="E14" s="5">
        <v>10</v>
      </c>
      <c r="F14" s="5" t="s">
        <v>31</v>
      </c>
      <c r="G14" s="6">
        <v>22284</v>
      </c>
      <c r="H14" s="7">
        <v>19293.38</v>
      </c>
      <c r="I14" s="6">
        <v>0</v>
      </c>
      <c r="J14" s="6">
        <v>0</v>
      </c>
      <c r="K14" s="6">
        <v>0</v>
      </c>
      <c r="L14" s="6">
        <v>0</v>
      </c>
      <c r="M14" s="6">
        <v>27349</v>
      </c>
      <c r="N14" s="6">
        <v>0</v>
      </c>
      <c r="O14" s="5">
        <v>325</v>
      </c>
      <c r="P14" s="5">
        <v>18</v>
      </c>
      <c r="Q14" s="5">
        <v>41</v>
      </c>
      <c r="R14" s="5">
        <v>0</v>
      </c>
      <c r="S14" t="s">
        <v>40</v>
      </c>
      <c r="T14" s="5">
        <v>2025</v>
      </c>
    </row>
    <row r="15" spans="1:20" hidden="1" x14ac:dyDescent="0.35">
      <c r="A15" s="5" t="s">
        <v>23</v>
      </c>
      <c r="B15" s="5" t="s">
        <v>26</v>
      </c>
      <c r="C15" s="33">
        <v>45658</v>
      </c>
      <c r="D15" s="5" t="s">
        <v>19</v>
      </c>
      <c r="E15" s="5">
        <v>14</v>
      </c>
      <c r="F15" s="5" t="s">
        <v>49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">
        <v>64</v>
      </c>
      <c r="P15" s="5">
        <v>1</v>
      </c>
      <c r="Q15" s="5">
        <v>0</v>
      </c>
      <c r="R15" s="5">
        <v>0</v>
      </c>
      <c r="S15" t="s">
        <v>40</v>
      </c>
      <c r="T15" s="5">
        <v>2025</v>
      </c>
    </row>
    <row r="16" spans="1:20" hidden="1" x14ac:dyDescent="0.35">
      <c r="A16" s="5" t="s">
        <v>23</v>
      </c>
      <c r="B16" s="5" t="s">
        <v>32</v>
      </c>
      <c r="C16" s="33">
        <v>45658</v>
      </c>
      <c r="D16" s="5" t="s">
        <v>16</v>
      </c>
      <c r="E16" s="5" t="s">
        <v>49</v>
      </c>
      <c r="F16" s="5" t="s">
        <v>48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5">
        <v>138</v>
      </c>
      <c r="P16" s="5">
        <v>1</v>
      </c>
      <c r="Q16" s="5">
        <v>0</v>
      </c>
      <c r="R16" s="5">
        <v>0</v>
      </c>
      <c r="S16" t="s">
        <v>40</v>
      </c>
      <c r="T16" s="5">
        <v>2025</v>
      </c>
    </row>
    <row r="17" spans="1:20" hidden="1" x14ac:dyDescent="0.35">
      <c r="A17" s="5" t="s">
        <v>23</v>
      </c>
      <c r="B17" s="5" t="s">
        <v>32</v>
      </c>
      <c r="C17" s="33">
        <v>45658</v>
      </c>
      <c r="D17" s="5" t="s">
        <v>19</v>
      </c>
      <c r="E17" s="5" t="s">
        <v>49</v>
      </c>
      <c r="F17" s="5" t="s">
        <v>49</v>
      </c>
      <c r="G17" s="6">
        <v>0</v>
      </c>
      <c r="H17" s="7">
        <v>743.78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5">
        <v>0</v>
      </c>
      <c r="P17" s="5">
        <v>7</v>
      </c>
      <c r="Q17" s="5">
        <v>4</v>
      </c>
      <c r="R17" s="5">
        <v>0</v>
      </c>
      <c r="S17" t="s">
        <v>40</v>
      </c>
      <c r="T17" s="5">
        <v>2025</v>
      </c>
    </row>
    <row r="18" spans="1:20" hidden="1" x14ac:dyDescent="0.35">
      <c r="A18" s="5" t="s">
        <v>23</v>
      </c>
      <c r="B18" s="5" t="s">
        <v>32</v>
      </c>
      <c r="C18" s="33">
        <v>45658</v>
      </c>
      <c r="D18" s="5" t="s">
        <v>16</v>
      </c>
      <c r="E18" s="5">
        <v>6</v>
      </c>
      <c r="F18" s="5" t="s">
        <v>48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23663</v>
      </c>
      <c r="N18" s="6">
        <v>0</v>
      </c>
      <c r="O18" s="5">
        <v>230</v>
      </c>
      <c r="P18" s="5">
        <v>1</v>
      </c>
      <c r="Q18" s="5">
        <v>0</v>
      </c>
      <c r="R18" s="5">
        <v>0</v>
      </c>
      <c r="S18" t="s">
        <v>40</v>
      </c>
      <c r="T18" s="5">
        <v>2025</v>
      </c>
    </row>
    <row r="19" spans="1:20" hidden="1" x14ac:dyDescent="0.35">
      <c r="A19" s="5" t="s">
        <v>23</v>
      </c>
      <c r="B19" s="5" t="s">
        <v>32</v>
      </c>
      <c r="C19" s="33">
        <v>45658</v>
      </c>
      <c r="D19" s="5" t="s">
        <v>19</v>
      </c>
      <c r="E19" s="5">
        <v>6</v>
      </c>
      <c r="F19" s="5" t="s">
        <v>49</v>
      </c>
      <c r="G19" s="6">
        <v>0</v>
      </c>
      <c r="H19" s="7">
        <v>1142.3599999999999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5">
        <v>0</v>
      </c>
      <c r="P19" s="5">
        <v>1</v>
      </c>
      <c r="Q19" s="5">
        <v>0</v>
      </c>
      <c r="R19" s="5">
        <v>0</v>
      </c>
      <c r="S19" t="s">
        <v>40</v>
      </c>
      <c r="T19" s="5">
        <v>2025</v>
      </c>
    </row>
    <row r="20" spans="1:20" hidden="1" x14ac:dyDescent="0.35">
      <c r="A20" s="5" t="s">
        <v>23</v>
      </c>
      <c r="B20" s="5" t="s">
        <v>32</v>
      </c>
      <c r="C20" s="33">
        <v>45658</v>
      </c>
      <c r="D20" s="5" t="s">
        <v>19</v>
      </c>
      <c r="E20" s="5">
        <v>6</v>
      </c>
      <c r="F20" s="5" t="s">
        <v>31</v>
      </c>
      <c r="G20" s="6">
        <v>6074.04</v>
      </c>
      <c r="H20" s="7">
        <v>4602.3999999999996</v>
      </c>
      <c r="I20" s="6">
        <v>0</v>
      </c>
      <c r="J20" s="6">
        <v>0</v>
      </c>
      <c r="K20" s="6">
        <v>0</v>
      </c>
      <c r="L20" s="6">
        <v>0</v>
      </c>
      <c r="M20" s="6">
        <v>529</v>
      </c>
      <c r="N20" s="6">
        <v>0</v>
      </c>
      <c r="O20" s="5">
        <v>436</v>
      </c>
      <c r="P20" s="5">
        <v>3</v>
      </c>
      <c r="Q20" s="5">
        <v>0</v>
      </c>
      <c r="R20" s="5">
        <v>0</v>
      </c>
      <c r="S20" t="s">
        <v>40</v>
      </c>
      <c r="T20" s="5">
        <v>2025</v>
      </c>
    </row>
    <row r="21" spans="1:20" hidden="1" x14ac:dyDescent="0.35">
      <c r="A21" s="5" t="s">
        <v>23</v>
      </c>
      <c r="B21" s="5" t="s">
        <v>32</v>
      </c>
      <c r="C21" s="33">
        <v>45658</v>
      </c>
      <c r="D21" s="5" t="s">
        <v>16</v>
      </c>
      <c r="E21" s="5">
        <v>7</v>
      </c>
      <c r="F21" s="5" t="s">
        <v>48</v>
      </c>
      <c r="G21" s="6">
        <v>63755.99</v>
      </c>
      <c r="H21" s="7">
        <v>70545.019999999902</v>
      </c>
      <c r="I21" s="6">
        <v>0</v>
      </c>
      <c r="J21" s="6">
        <v>0</v>
      </c>
      <c r="K21" s="6">
        <v>0</v>
      </c>
      <c r="L21" s="6">
        <v>0</v>
      </c>
      <c r="M21" s="6">
        <v>128430</v>
      </c>
      <c r="N21" s="6">
        <v>8945</v>
      </c>
      <c r="O21" s="5">
        <v>214</v>
      </c>
      <c r="P21" s="5">
        <v>28</v>
      </c>
      <c r="Q21" s="5">
        <v>31</v>
      </c>
      <c r="R21" s="5">
        <v>0</v>
      </c>
      <c r="S21" t="s">
        <v>40</v>
      </c>
      <c r="T21" s="5">
        <v>2025</v>
      </c>
    </row>
    <row r="22" spans="1:20" hidden="1" x14ac:dyDescent="0.35">
      <c r="A22" s="5" t="s">
        <v>23</v>
      </c>
      <c r="B22" s="5" t="s">
        <v>32</v>
      </c>
      <c r="C22" s="33">
        <v>45658</v>
      </c>
      <c r="D22" s="5" t="s">
        <v>17</v>
      </c>
      <c r="E22" s="5">
        <v>7</v>
      </c>
      <c r="F22" s="5" t="s">
        <v>48</v>
      </c>
      <c r="G22" s="6">
        <v>0</v>
      </c>
      <c r="H22" s="7">
        <v>27600.720000000001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5">
        <v>0</v>
      </c>
      <c r="P22" s="5">
        <v>1</v>
      </c>
      <c r="Q22" s="5">
        <v>0</v>
      </c>
      <c r="R22" s="5">
        <v>0</v>
      </c>
      <c r="S22" t="s">
        <v>40</v>
      </c>
      <c r="T22" s="5">
        <v>2025</v>
      </c>
    </row>
    <row r="23" spans="1:20" hidden="1" x14ac:dyDescent="0.35">
      <c r="A23" s="5" t="s">
        <v>23</v>
      </c>
      <c r="B23" s="5" t="s">
        <v>32</v>
      </c>
      <c r="C23" s="33">
        <v>45658</v>
      </c>
      <c r="D23" s="5" t="s">
        <v>19</v>
      </c>
      <c r="E23" s="5">
        <v>7</v>
      </c>
      <c r="F23" s="5" t="s">
        <v>49</v>
      </c>
      <c r="G23" s="6">
        <v>274651.90000000002</v>
      </c>
      <c r="H23" s="7">
        <v>16438.09</v>
      </c>
      <c r="I23" s="6">
        <v>0</v>
      </c>
      <c r="J23" s="6">
        <v>0</v>
      </c>
      <c r="K23" s="6">
        <v>0</v>
      </c>
      <c r="L23" s="6">
        <v>0</v>
      </c>
      <c r="M23" s="6">
        <v>380908</v>
      </c>
      <c r="N23" s="6">
        <v>0</v>
      </c>
      <c r="O23" s="5">
        <v>157</v>
      </c>
      <c r="P23" s="5">
        <v>58</v>
      </c>
      <c r="Q23" s="5">
        <v>64</v>
      </c>
      <c r="R23" s="5">
        <v>0</v>
      </c>
      <c r="S23" t="s">
        <v>40</v>
      </c>
      <c r="T23" s="5">
        <v>2025</v>
      </c>
    </row>
    <row r="24" spans="1:20" hidden="1" x14ac:dyDescent="0.35">
      <c r="A24" s="5" t="s">
        <v>23</v>
      </c>
      <c r="B24" s="5" t="s">
        <v>32</v>
      </c>
      <c r="C24" s="33">
        <v>45658</v>
      </c>
      <c r="D24" s="5" t="s">
        <v>19</v>
      </c>
      <c r="E24" s="5">
        <v>7</v>
      </c>
      <c r="F24" s="5" t="s">
        <v>30</v>
      </c>
      <c r="G24" s="6">
        <v>18708.3</v>
      </c>
      <c r="H24" s="7">
        <v>201584.93</v>
      </c>
      <c r="I24" s="6">
        <v>0</v>
      </c>
      <c r="J24" s="6">
        <v>0</v>
      </c>
      <c r="K24" s="6">
        <v>0</v>
      </c>
      <c r="L24" s="6">
        <v>0</v>
      </c>
      <c r="M24" s="6">
        <v>37632</v>
      </c>
      <c r="N24" s="6">
        <v>37416.61</v>
      </c>
      <c r="O24" s="5">
        <v>431</v>
      </c>
      <c r="P24" s="5">
        <v>13</v>
      </c>
      <c r="Q24" s="5">
        <v>1</v>
      </c>
      <c r="R24" s="5">
        <v>0</v>
      </c>
      <c r="S24" t="s">
        <v>40</v>
      </c>
      <c r="T24" s="5">
        <v>2025</v>
      </c>
    </row>
    <row r="25" spans="1:20" hidden="1" x14ac:dyDescent="0.35">
      <c r="A25" s="5" t="s">
        <v>23</v>
      </c>
      <c r="B25" s="5" t="s">
        <v>32</v>
      </c>
      <c r="C25" s="33">
        <v>45658</v>
      </c>
      <c r="D25" s="5" t="s">
        <v>19</v>
      </c>
      <c r="E25" s="5">
        <v>7</v>
      </c>
      <c r="F25" s="5" t="s">
        <v>31</v>
      </c>
      <c r="G25" s="6">
        <v>515.45000000000005</v>
      </c>
      <c r="H25" s="7">
        <v>88033.519999999902</v>
      </c>
      <c r="I25" s="6">
        <v>0</v>
      </c>
      <c r="J25" s="6">
        <v>0</v>
      </c>
      <c r="K25" s="6">
        <v>0</v>
      </c>
      <c r="L25" s="6">
        <v>0</v>
      </c>
      <c r="M25" s="6">
        <v>23163</v>
      </c>
      <c r="N25" s="6">
        <v>0</v>
      </c>
      <c r="O25" s="5">
        <v>246</v>
      </c>
      <c r="P25" s="5">
        <v>20</v>
      </c>
      <c r="Q25" s="5">
        <v>11</v>
      </c>
      <c r="R25" s="5">
        <v>0</v>
      </c>
      <c r="S25" t="s">
        <v>40</v>
      </c>
      <c r="T25" s="5">
        <v>2025</v>
      </c>
    </row>
    <row r="26" spans="1:20" hidden="1" x14ac:dyDescent="0.35">
      <c r="A26" s="5" t="s">
        <v>23</v>
      </c>
      <c r="B26" s="5" t="s">
        <v>32</v>
      </c>
      <c r="C26" s="33">
        <v>45658</v>
      </c>
      <c r="D26" s="5" t="s">
        <v>16</v>
      </c>
      <c r="E26" s="5">
        <v>10</v>
      </c>
      <c r="F26" s="5" t="s">
        <v>48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6504</v>
      </c>
      <c r="N26" s="6">
        <v>0</v>
      </c>
      <c r="O26" s="5">
        <v>124</v>
      </c>
      <c r="P26" s="5">
        <v>4</v>
      </c>
      <c r="Q26" s="5">
        <v>22</v>
      </c>
      <c r="R26" s="5">
        <v>0</v>
      </c>
      <c r="S26" t="s">
        <v>40</v>
      </c>
      <c r="T26" s="5">
        <v>2025</v>
      </c>
    </row>
    <row r="27" spans="1:20" hidden="1" x14ac:dyDescent="0.35">
      <c r="A27" s="5" t="s">
        <v>23</v>
      </c>
      <c r="B27" s="5" t="s">
        <v>32</v>
      </c>
      <c r="C27" s="33">
        <v>45658</v>
      </c>
      <c r="D27" s="5" t="s">
        <v>19</v>
      </c>
      <c r="E27" s="5">
        <v>10</v>
      </c>
      <c r="F27" s="5" t="s">
        <v>49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4670</v>
      </c>
      <c r="N27" s="6">
        <v>0</v>
      </c>
      <c r="O27" s="5">
        <v>63</v>
      </c>
      <c r="P27" s="5">
        <v>4</v>
      </c>
      <c r="Q27" s="5">
        <v>17</v>
      </c>
      <c r="R27" s="5">
        <v>0</v>
      </c>
      <c r="S27" t="s">
        <v>40</v>
      </c>
      <c r="T27" s="5">
        <v>2025</v>
      </c>
    </row>
    <row r="28" spans="1:20" hidden="1" x14ac:dyDescent="0.35">
      <c r="A28" s="5" t="s">
        <v>23</v>
      </c>
      <c r="B28" s="5" t="s">
        <v>32</v>
      </c>
      <c r="C28" s="33">
        <v>45658</v>
      </c>
      <c r="D28" s="5" t="s">
        <v>19</v>
      </c>
      <c r="E28" s="5">
        <v>10</v>
      </c>
      <c r="F28" s="5" t="s">
        <v>30</v>
      </c>
      <c r="G28" s="6">
        <v>0</v>
      </c>
      <c r="H28" s="7">
        <v>53496.04</v>
      </c>
      <c r="I28" s="6">
        <v>0</v>
      </c>
      <c r="J28" s="6">
        <v>0</v>
      </c>
      <c r="K28" s="6">
        <v>0</v>
      </c>
      <c r="L28" s="6">
        <v>0</v>
      </c>
      <c r="M28" s="6">
        <v>5676</v>
      </c>
      <c r="N28" s="6">
        <v>0</v>
      </c>
      <c r="O28" s="5">
        <v>355</v>
      </c>
      <c r="P28" s="5">
        <v>1</v>
      </c>
      <c r="Q28" s="5">
        <v>2</v>
      </c>
      <c r="R28" s="5">
        <v>0</v>
      </c>
      <c r="S28" t="s">
        <v>40</v>
      </c>
      <c r="T28" s="5">
        <v>2025</v>
      </c>
    </row>
    <row r="29" spans="1:20" hidden="1" x14ac:dyDescent="0.35">
      <c r="A29" s="5" t="s">
        <v>23</v>
      </c>
      <c r="B29" s="5" t="s">
        <v>32</v>
      </c>
      <c r="C29" s="33">
        <v>45658</v>
      </c>
      <c r="D29" s="5" t="s">
        <v>19</v>
      </c>
      <c r="E29" s="5">
        <v>10</v>
      </c>
      <c r="F29" s="5" t="s">
        <v>31</v>
      </c>
      <c r="G29" s="6">
        <v>0</v>
      </c>
      <c r="H29" s="7">
        <v>2228.38</v>
      </c>
      <c r="I29" s="6">
        <v>0</v>
      </c>
      <c r="J29" s="6">
        <v>0</v>
      </c>
      <c r="K29" s="6">
        <v>0</v>
      </c>
      <c r="L29" s="6">
        <v>0</v>
      </c>
      <c r="M29" s="6">
        <v>3967</v>
      </c>
      <c r="N29" s="6">
        <v>0</v>
      </c>
      <c r="O29" s="5">
        <v>122</v>
      </c>
      <c r="P29" s="5">
        <v>4</v>
      </c>
      <c r="Q29" s="5">
        <v>15</v>
      </c>
      <c r="R29" s="5">
        <v>0</v>
      </c>
      <c r="S29" t="s">
        <v>40</v>
      </c>
      <c r="T29" s="5">
        <v>2025</v>
      </c>
    </row>
    <row r="30" spans="1:20" hidden="1" x14ac:dyDescent="0.35">
      <c r="A30" s="5" t="s">
        <v>33</v>
      </c>
      <c r="B30" s="5" t="s">
        <v>26</v>
      </c>
      <c r="C30" s="33">
        <v>45658</v>
      </c>
      <c r="D30" s="5" t="s">
        <v>19</v>
      </c>
      <c r="E30" s="5" t="s">
        <v>49</v>
      </c>
      <c r="F30" s="5" t="s">
        <v>49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5">
        <v>0</v>
      </c>
      <c r="P30" s="5">
        <v>4</v>
      </c>
      <c r="Q30" s="5">
        <v>0</v>
      </c>
      <c r="R30" s="5">
        <v>0</v>
      </c>
      <c r="S30" t="s">
        <v>40</v>
      </c>
      <c r="T30" s="5">
        <v>2025</v>
      </c>
    </row>
    <row r="31" spans="1:20" hidden="1" x14ac:dyDescent="0.35">
      <c r="A31" s="5" t="s">
        <v>33</v>
      </c>
      <c r="B31" s="5" t="s">
        <v>26</v>
      </c>
      <c r="C31" s="33">
        <v>45658</v>
      </c>
      <c r="D31" s="5" t="s">
        <v>16</v>
      </c>
      <c r="E31" s="5">
        <v>6</v>
      </c>
      <c r="F31" s="5" t="s">
        <v>48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5">
        <v>0</v>
      </c>
      <c r="P31" s="5">
        <v>1</v>
      </c>
      <c r="Q31" s="5">
        <v>5</v>
      </c>
      <c r="R31" s="5">
        <v>0</v>
      </c>
      <c r="S31" t="s">
        <v>40</v>
      </c>
      <c r="T31" s="5">
        <v>2025</v>
      </c>
    </row>
    <row r="32" spans="1:20" hidden="1" x14ac:dyDescent="0.35">
      <c r="A32" s="5" t="s">
        <v>33</v>
      </c>
      <c r="B32" s="5" t="s">
        <v>26</v>
      </c>
      <c r="C32" s="33">
        <v>45658</v>
      </c>
      <c r="D32" s="5" t="s">
        <v>19</v>
      </c>
      <c r="E32" s="5">
        <v>6</v>
      </c>
      <c r="F32" s="5" t="s">
        <v>49</v>
      </c>
      <c r="G32" s="6">
        <v>0</v>
      </c>
      <c r="H32" s="7">
        <v>21717.52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5">
        <v>0</v>
      </c>
      <c r="P32" s="5">
        <v>35</v>
      </c>
      <c r="Q32" s="5">
        <v>60</v>
      </c>
      <c r="R32" s="5">
        <v>0</v>
      </c>
      <c r="S32" t="s">
        <v>40</v>
      </c>
      <c r="T32" s="5">
        <v>2025</v>
      </c>
    </row>
    <row r="33" spans="1:20" hidden="1" x14ac:dyDescent="0.35">
      <c r="A33" s="5" t="s">
        <v>33</v>
      </c>
      <c r="B33" s="5" t="s">
        <v>26</v>
      </c>
      <c r="C33" s="33">
        <v>45658</v>
      </c>
      <c r="D33" s="5" t="s">
        <v>19</v>
      </c>
      <c r="E33" s="5">
        <v>6</v>
      </c>
      <c r="F33" s="5" t="s">
        <v>31</v>
      </c>
      <c r="G33" s="6">
        <v>0</v>
      </c>
      <c r="H33" s="7">
        <v>727.04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5">
        <v>0</v>
      </c>
      <c r="P33" s="5">
        <v>1</v>
      </c>
      <c r="Q33" s="5">
        <v>1</v>
      </c>
      <c r="R33" s="5">
        <v>0</v>
      </c>
      <c r="S33" t="s">
        <v>40</v>
      </c>
      <c r="T33" s="5">
        <v>2025</v>
      </c>
    </row>
    <row r="34" spans="1:20" hidden="1" x14ac:dyDescent="0.35">
      <c r="A34" s="5" t="s">
        <v>33</v>
      </c>
      <c r="B34" s="5" t="s">
        <v>26</v>
      </c>
      <c r="C34" s="33">
        <v>45658</v>
      </c>
      <c r="D34" s="5" t="s">
        <v>16</v>
      </c>
      <c r="E34" s="5">
        <v>7</v>
      </c>
      <c r="F34" s="5" t="s">
        <v>48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5">
        <v>69</v>
      </c>
      <c r="P34" s="5">
        <v>4</v>
      </c>
      <c r="Q34" s="5">
        <v>84</v>
      </c>
      <c r="R34" s="5">
        <v>0</v>
      </c>
      <c r="S34" t="s">
        <v>40</v>
      </c>
      <c r="T34" s="5">
        <v>2025</v>
      </c>
    </row>
    <row r="35" spans="1:20" hidden="1" x14ac:dyDescent="0.35">
      <c r="A35" s="5" t="s">
        <v>33</v>
      </c>
      <c r="B35" s="5" t="s">
        <v>26</v>
      </c>
      <c r="C35" s="33">
        <v>45658</v>
      </c>
      <c r="D35" s="5" t="s">
        <v>19</v>
      </c>
      <c r="E35" s="5">
        <v>7</v>
      </c>
      <c r="F35" s="5" t="s">
        <v>49</v>
      </c>
      <c r="G35" s="6">
        <v>0</v>
      </c>
      <c r="H35" s="7">
        <v>264279.78000000003</v>
      </c>
      <c r="I35" s="6">
        <v>0</v>
      </c>
      <c r="J35" s="6">
        <v>0</v>
      </c>
      <c r="K35" s="6">
        <v>0</v>
      </c>
      <c r="L35" s="6">
        <v>0</v>
      </c>
      <c r="M35" s="6">
        <v>9668</v>
      </c>
      <c r="N35" s="6">
        <v>0</v>
      </c>
      <c r="O35" s="5">
        <v>124</v>
      </c>
      <c r="P35" s="5">
        <v>281</v>
      </c>
      <c r="Q35" s="5">
        <v>445</v>
      </c>
      <c r="R35" s="5">
        <v>0</v>
      </c>
      <c r="S35" t="s">
        <v>40</v>
      </c>
      <c r="T35" s="5">
        <v>2025</v>
      </c>
    </row>
    <row r="36" spans="1:20" hidden="1" x14ac:dyDescent="0.35">
      <c r="A36" s="5" t="s">
        <v>33</v>
      </c>
      <c r="B36" s="5" t="s">
        <v>26</v>
      </c>
      <c r="C36" s="33">
        <v>45658</v>
      </c>
      <c r="D36" s="5" t="s">
        <v>19</v>
      </c>
      <c r="E36" s="5">
        <v>7</v>
      </c>
      <c r="F36" s="5" t="s">
        <v>30</v>
      </c>
      <c r="G36" s="6">
        <v>0</v>
      </c>
      <c r="H36" s="7">
        <v>2412.15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5">
        <v>0</v>
      </c>
      <c r="P36" s="5">
        <v>1</v>
      </c>
      <c r="Q36" s="5">
        <v>5</v>
      </c>
      <c r="R36" s="5">
        <v>0</v>
      </c>
      <c r="S36" t="s">
        <v>40</v>
      </c>
      <c r="T36" s="5">
        <v>2025</v>
      </c>
    </row>
    <row r="37" spans="1:20" hidden="1" x14ac:dyDescent="0.35">
      <c r="A37" s="5" t="s">
        <v>33</v>
      </c>
      <c r="B37" s="5" t="s">
        <v>26</v>
      </c>
      <c r="C37" s="33">
        <v>45658</v>
      </c>
      <c r="D37" s="5" t="s">
        <v>19</v>
      </c>
      <c r="E37" s="5">
        <v>7</v>
      </c>
      <c r="F37" s="5" t="s">
        <v>31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5">
        <v>0</v>
      </c>
      <c r="P37" s="5">
        <v>1</v>
      </c>
      <c r="Q37" s="5">
        <v>12</v>
      </c>
      <c r="R37" s="5">
        <v>0</v>
      </c>
      <c r="S37" t="s">
        <v>40</v>
      </c>
      <c r="T37" s="5">
        <v>2025</v>
      </c>
    </row>
    <row r="38" spans="1:20" hidden="1" x14ac:dyDescent="0.35">
      <c r="A38" s="5" t="s">
        <v>33</v>
      </c>
      <c r="B38" s="5" t="s">
        <v>26</v>
      </c>
      <c r="C38" s="33">
        <v>45658</v>
      </c>
      <c r="D38" s="5" t="s">
        <v>16</v>
      </c>
      <c r="E38" s="5">
        <v>8</v>
      </c>
      <c r="F38" s="5" t="s">
        <v>48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5">
        <v>0</v>
      </c>
      <c r="P38" s="5">
        <v>1</v>
      </c>
      <c r="Q38" s="5">
        <v>0</v>
      </c>
      <c r="R38" s="5">
        <v>0</v>
      </c>
      <c r="S38" t="s">
        <v>40</v>
      </c>
      <c r="T38" s="5">
        <v>2025</v>
      </c>
    </row>
    <row r="39" spans="1:20" hidden="1" x14ac:dyDescent="0.35">
      <c r="A39" s="5" t="s">
        <v>33</v>
      </c>
      <c r="B39" s="5" t="s">
        <v>26</v>
      </c>
      <c r="C39" s="33">
        <v>45658</v>
      </c>
      <c r="D39" s="5" t="s">
        <v>19</v>
      </c>
      <c r="E39" s="5">
        <v>8</v>
      </c>
      <c r="F39" s="5" t="s">
        <v>49</v>
      </c>
      <c r="G39" s="6">
        <v>0</v>
      </c>
      <c r="H39" s="7">
        <v>3981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5">
        <v>0</v>
      </c>
      <c r="P39" s="5">
        <v>5</v>
      </c>
      <c r="Q39" s="5">
        <v>10</v>
      </c>
      <c r="R39" s="5">
        <v>0</v>
      </c>
      <c r="S39" t="s">
        <v>40</v>
      </c>
      <c r="T39" s="5">
        <v>2025</v>
      </c>
    </row>
    <row r="40" spans="1:20" hidden="1" x14ac:dyDescent="0.35">
      <c r="A40" s="5" t="s">
        <v>33</v>
      </c>
      <c r="B40" s="5" t="s">
        <v>26</v>
      </c>
      <c r="C40" s="33">
        <v>45658</v>
      </c>
      <c r="D40" s="5" t="s">
        <v>16</v>
      </c>
      <c r="E40" s="5">
        <v>10</v>
      </c>
      <c r="F40" s="5" t="s">
        <v>48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5">
        <v>0</v>
      </c>
      <c r="P40" s="5">
        <v>4</v>
      </c>
      <c r="Q40" s="5">
        <v>13</v>
      </c>
      <c r="R40" s="5">
        <v>0</v>
      </c>
      <c r="S40" t="s">
        <v>40</v>
      </c>
      <c r="T40" s="5">
        <v>2025</v>
      </c>
    </row>
    <row r="41" spans="1:20" hidden="1" x14ac:dyDescent="0.35">
      <c r="A41" s="5" t="s">
        <v>33</v>
      </c>
      <c r="B41" s="5" t="s">
        <v>26</v>
      </c>
      <c r="C41" s="33">
        <v>45658</v>
      </c>
      <c r="D41" s="5" t="s">
        <v>19</v>
      </c>
      <c r="E41" s="5">
        <v>10</v>
      </c>
      <c r="F41" s="5" t="s">
        <v>49</v>
      </c>
      <c r="G41" s="6">
        <v>0</v>
      </c>
      <c r="H41" s="7">
        <v>118064.97999999901</v>
      </c>
      <c r="I41" s="6">
        <v>0</v>
      </c>
      <c r="J41" s="6">
        <v>0</v>
      </c>
      <c r="K41" s="6">
        <v>0</v>
      </c>
      <c r="L41" s="6">
        <v>0</v>
      </c>
      <c r="M41" s="6">
        <v>812</v>
      </c>
      <c r="N41" s="6">
        <v>0</v>
      </c>
      <c r="O41" s="5">
        <v>160</v>
      </c>
      <c r="P41" s="5">
        <v>143</v>
      </c>
      <c r="Q41" s="5">
        <v>199</v>
      </c>
      <c r="R41" s="5">
        <v>0</v>
      </c>
      <c r="S41" t="s">
        <v>40</v>
      </c>
      <c r="T41" s="5">
        <v>2025</v>
      </c>
    </row>
    <row r="42" spans="1:20" hidden="1" x14ac:dyDescent="0.35">
      <c r="A42" s="5" t="s">
        <v>33</v>
      </c>
      <c r="B42" s="5" t="s">
        <v>26</v>
      </c>
      <c r="C42" s="33">
        <v>45658</v>
      </c>
      <c r="D42" s="5" t="s">
        <v>19</v>
      </c>
      <c r="E42" s="5">
        <v>10</v>
      </c>
      <c r="F42" s="5" t="s">
        <v>31</v>
      </c>
      <c r="G42" s="6">
        <v>0</v>
      </c>
      <c r="H42" s="7">
        <v>1432.24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5">
        <v>0</v>
      </c>
      <c r="P42" s="5">
        <v>1</v>
      </c>
      <c r="Q42" s="5">
        <v>54</v>
      </c>
      <c r="R42" s="5">
        <v>0</v>
      </c>
      <c r="S42" t="s">
        <v>40</v>
      </c>
      <c r="T42" s="5">
        <v>2025</v>
      </c>
    </row>
    <row r="43" spans="1:20" hidden="1" x14ac:dyDescent="0.35">
      <c r="A43" s="5" t="s">
        <v>33</v>
      </c>
      <c r="B43" s="5" t="s">
        <v>26</v>
      </c>
      <c r="C43" s="33">
        <v>45658</v>
      </c>
      <c r="D43" s="5" t="s">
        <v>19</v>
      </c>
      <c r="E43" s="5">
        <v>14</v>
      </c>
      <c r="F43" s="5" t="s">
        <v>49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5">
        <v>0</v>
      </c>
      <c r="P43" s="5">
        <v>1</v>
      </c>
      <c r="Q43" s="5">
        <v>6</v>
      </c>
      <c r="R43" s="5">
        <v>0</v>
      </c>
      <c r="S43" t="s">
        <v>40</v>
      </c>
      <c r="T43" s="5">
        <v>2025</v>
      </c>
    </row>
    <row r="44" spans="1:20" hidden="1" x14ac:dyDescent="0.35">
      <c r="A44" s="5" t="s">
        <v>33</v>
      </c>
      <c r="B44" s="5" t="s">
        <v>32</v>
      </c>
      <c r="C44" s="33">
        <v>45658</v>
      </c>
      <c r="D44" s="5" t="s">
        <v>19</v>
      </c>
      <c r="E44" s="5" t="s">
        <v>49</v>
      </c>
      <c r="F44" s="5" t="s">
        <v>49</v>
      </c>
      <c r="G44" s="6">
        <v>0</v>
      </c>
      <c r="H44" s="7">
        <v>3095.07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5">
        <v>0</v>
      </c>
      <c r="P44" s="5">
        <v>2</v>
      </c>
      <c r="Q44" s="5">
        <v>0</v>
      </c>
      <c r="R44" s="5">
        <v>0</v>
      </c>
      <c r="S44" t="s">
        <v>40</v>
      </c>
      <c r="T44" s="5">
        <v>2025</v>
      </c>
    </row>
    <row r="45" spans="1:20" hidden="1" x14ac:dyDescent="0.35">
      <c r="A45" s="5" t="s">
        <v>33</v>
      </c>
      <c r="B45" s="5" t="s">
        <v>32</v>
      </c>
      <c r="C45" s="33">
        <v>45658</v>
      </c>
      <c r="D45" s="5" t="s">
        <v>19</v>
      </c>
      <c r="E45" s="5">
        <v>6</v>
      </c>
      <c r="F45" s="5" t="s">
        <v>49</v>
      </c>
      <c r="G45" s="6">
        <v>0</v>
      </c>
      <c r="H45" s="7">
        <v>4758.7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5">
        <v>0</v>
      </c>
      <c r="P45" s="5">
        <v>5</v>
      </c>
      <c r="Q45" s="5">
        <v>0</v>
      </c>
      <c r="R45" s="5">
        <v>0</v>
      </c>
      <c r="S45" t="s">
        <v>40</v>
      </c>
      <c r="T45" s="5">
        <v>2025</v>
      </c>
    </row>
    <row r="46" spans="1:20" hidden="1" x14ac:dyDescent="0.35">
      <c r="A46" s="5" t="s">
        <v>33</v>
      </c>
      <c r="B46" s="5" t="s">
        <v>32</v>
      </c>
      <c r="C46" s="33">
        <v>45658</v>
      </c>
      <c r="D46" s="5" t="s">
        <v>19</v>
      </c>
      <c r="E46" s="5">
        <v>6</v>
      </c>
      <c r="F46" s="5" t="s">
        <v>31</v>
      </c>
      <c r="G46" s="6">
        <v>0</v>
      </c>
      <c r="H46" s="7">
        <v>979.58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5">
        <v>0</v>
      </c>
      <c r="P46" s="5">
        <v>1</v>
      </c>
      <c r="Q46" s="5">
        <v>0</v>
      </c>
      <c r="R46" s="5">
        <v>0</v>
      </c>
      <c r="S46" t="s">
        <v>40</v>
      </c>
      <c r="T46" s="5">
        <v>2025</v>
      </c>
    </row>
    <row r="47" spans="1:20" hidden="1" x14ac:dyDescent="0.35">
      <c r="A47" s="5" t="s">
        <v>33</v>
      </c>
      <c r="B47" s="5" t="s">
        <v>32</v>
      </c>
      <c r="C47" s="33">
        <v>45658</v>
      </c>
      <c r="D47" s="5" t="s">
        <v>16</v>
      </c>
      <c r="E47" s="5">
        <v>7</v>
      </c>
      <c r="F47" s="5" t="s">
        <v>48</v>
      </c>
      <c r="G47" s="6">
        <v>0</v>
      </c>
      <c r="H47" s="7">
        <v>10728.01</v>
      </c>
      <c r="I47" s="6">
        <v>0</v>
      </c>
      <c r="J47" s="6">
        <v>0</v>
      </c>
      <c r="K47" s="6">
        <v>0</v>
      </c>
      <c r="L47" s="6">
        <v>0</v>
      </c>
      <c r="M47" s="6">
        <v>51724</v>
      </c>
      <c r="N47" s="6">
        <v>0</v>
      </c>
      <c r="O47" s="5">
        <v>256</v>
      </c>
      <c r="P47" s="5">
        <v>5</v>
      </c>
      <c r="Q47" s="5">
        <v>26</v>
      </c>
      <c r="R47" s="5">
        <v>0</v>
      </c>
      <c r="S47" t="s">
        <v>40</v>
      </c>
      <c r="T47" s="5">
        <v>2025</v>
      </c>
    </row>
    <row r="48" spans="1:20" hidden="1" x14ac:dyDescent="0.35">
      <c r="A48" s="5" t="s">
        <v>33</v>
      </c>
      <c r="B48" s="5" t="s">
        <v>32</v>
      </c>
      <c r="C48" s="33">
        <v>45658</v>
      </c>
      <c r="D48" s="5" t="s">
        <v>19</v>
      </c>
      <c r="E48" s="5">
        <v>7</v>
      </c>
      <c r="F48" s="5" t="s">
        <v>49</v>
      </c>
      <c r="G48" s="6">
        <v>7174.7</v>
      </c>
      <c r="H48" s="7">
        <v>12834.83</v>
      </c>
      <c r="I48" s="6">
        <v>0</v>
      </c>
      <c r="J48" s="6">
        <v>0</v>
      </c>
      <c r="K48" s="6">
        <v>0</v>
      </c>
      <c r="L48" s="6">
        <v>0</v>
      </c>
      <c r="M48" s="6">
        <v>32819</v>
      </c>
      <c r="N48" s="6">
        <v>0</v>
      </c>
      <c r="O48" s="5">
        <v>195</v>
      </c>
      <c r="P48" s="5">
        <v>28</v>
      </c>
      <c r="Q48" s="5">
        <v>81</v>
      </c>
      <c r="R48" s="5">
        <v>0</v>
      </c>
      <c r="S48" t="s">
        <v>40</v>
      </c>
      <c r="T48" s="5">
        <v>2025</v>
      </c>
    </row>
    <row r="49" spans="1:20" hidden="1" x14ac:dyDescent="0.35">
      <c r="A49" s="5" t="s">
        <v>33</v>
      </c>
      <c r="B49" s="5" t="s">
        <v>32</v>
      </c>
      <c r="C49" s="33">
        <v>45658</v>
      </c>
      <c r="D49" s="5" t="s">
        <v>19</v>
      </c>
      <c r="E49" s="5">
        <v>7</v>
      </c>
      <c r="F49" s="5" t="s">
        <v>30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2114</v>
      </c>
      <c r="N49" s="6">
        <v>0</v>
      </c>
      <c r="O49" s="5">
        <v>869</v>
      </c>
      <c r="P49" s="5">
        <v>1</v>
      </c>
      <c r="Q49" s="5">
        <v>4</v>
      </c>
      <c r="R49" s="5">
        <v>0</v>
      </c>
      <c r="S49" t="s">
        <v>40</v>
      </c>
      <c r="T49" s="5">
        <v>2025</v>
      </c>
    </row>
    <row r="50" spans="1:20" hidden="1" x14ac:dyDescent="0.35">
      <c r="A50" s="5" t="s">
        <v>33</v>
      </c>
      <c r="B50" s="5" t="s">
        <v>32</v>
      </c>
      <c r="C50" s="33">
        <v>45658</v>
      </c>
      <c r="D50" s="5" t="s">
        <v>16</v>
      </c>
      <c r="E50" s="5">
        <v>10</v>
      </c>
      <c r="F50" s="5" t="s">
        <v>48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15232</v>
      </c>
      <c r="N50" s="6">
        <v>0</v>
      </c>
      <c r="O50" s="5">
        <v>167</v>
      </c>
      <c r="P50" s="5">
        <v>2</v>
      </c>
      <c r="Q50" s="5">
        <v>5</v>
      </c>
      <c r="R50" s="5">
        <v>0</v>
      </c>
      <c r="S50" t="s">
        <v>40</v>
      </c>
      <c r="T50" s="5">
        <v>2025</v>
      </c>
    </row>
    <row r="51" spans="1:20" hidden="1" x14ac:dyDescent="0.35">
      <c r="A51" s="5" t="s">
        <v>33</v>
      </c>
      <c r="B51" s="5" t="s">
        <v>32</v>
      </c>
      <c r="C51" s="33">
        <v>45658</v>
      </c>
      <c r="D51" s="5" t="s">
        <v>19</v>
      </c>
      <c r="E51" s="5">
        <v>10</v>
      </c>
      <c r="F51" s="5" t="s">
        <v>49</v>
      </c>
      <c r="G51" s="6">
        <v>0</v>
      </c>
      <c r="H51" s="7">
        <v>2614</v>
      </c>
      <c r="I51" s="6">
        <v>0</v>
      </c>
      <c r="J51" s="6">
        <v>0</v>
      </c>
      <c r="K51" s="6">
        <v>0</v>
      </c>
      <c r="L51" s="6">
        <v>0</v>
      </c>
      <c r="M51" s="6">
        <v>4689</v>
      </c>
      <c r="N51" s="6">
        <v>0</v>
      </c>
      <c r="O51" s="5">
        <v>334</v>
      </c>
      <c r="P51" s="5">
        <v>4</v>
      </c>
      <c r="Q51" s="5">
        <v>21</v>
      </c>
      <c r="R51" s="5">
        <v>0</v>
      </c>
      <c r="S51" t="s">
        <v>40</v>
      </c>
      <c r="T51" s="5">
        <v>2025</v>
      </c>
    </row>
    <row r="52" spans="1:20" hidden="1" x14ac:dyDescent="0.35">
      <c r="A52" s="5" t="s">
        <v>23</v>
      </c>
      <c r="B52" s="5" t="s">
        <v>26</v>
      </c>
      <c r="C52" s="33">
        <v>45689</v>
      </c>
      <c r="D52" s="5" t="s">
        <v>16</v>
      </c>
      <c r="E52" s="5" t="s">
        <v>49</v>
      </c>
      <c r="F52" s="5" t="s">
        <v>48</v>
      </c>
      <c r="G52" s="6">
        <v>0</v>
      </c>
      <c r="H52" s="7">
        <v>476.82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5">
        <v>0</v>
      </c>
      <c r="P52" s="5">
        <v>1</v>
      </c>
      <c r="Q52" s="5">
        <v>19</v>
      </c>
      <c r="R52" s="5">
        <v>0</v>
      </c>
      <c r="S52" t="s">
        <v>40</v>
      </c>
      <c r="T52" s="5">
        <v>2025</v>
      </c>
    </row>
    <row r="53" spans="1:20" hidden="1" x14ac:dyDescent="0.35">
      <c r="A53" s="5" t="s">
        <v>23</v>
      </c>
      <c r="B53" s="5" t="s">
        <v>26</v>
      </c>
      <c r="C53" s="33">
        <v>45689</v>
      </c>
      <c r="D53" s="5" t="s">
        <v>19</v>
      </c>
      <c r="E53" s="5">
        <v>6</v>
      </c>
      <c r="F53" s="5" t="s">
        <v>49</v>
      </c>
      <c r="G53" s="6">
        <v>0</v>
      </c>
      <c r="H53" s="7">
        <v>2830.61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5">
        <v>167</v>
      </c>
      <c r="P53" s="5">
        <v>3</v>
      </c>
      <c r="Q53" s="5">
        <v>7</v>
      </c>
      <c r="R53" s="5">
        <v>0</v>
      </c>
      <c r="S53" t="s">
        <v>40</v>
      </c>
      <c r="T53" s="5">
        <v>2025</v>
      </c>
    </row>
    <row r="54" spans="1:20" hidden="1" x14ac:dyDescent="0.35">
      <c r="A54" s="5" t="s">
        <v>23</v>
      </c>
      <c r="B54" s="5" t="s">
        <v>26</v>
      </c>
      <c r="C54" s="33">
        <v>45689</v>
      </c>
      <c r="D54" s="5" t="s">
        <v>19</v>
      </c>
      <c r="E54" s="5">
        <v>6</v>
      </c>
      <c r="F54" s="5" t="s">
        <v>31</v>
      </c>
      <c r="G54" s="6">
        <v>0</v>
      </c>
      <c r="H54" s="7">
        <v>836.29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5">
        <v>0</v>
      </c>
      <c r="P54" s="5">
        <v>1</v>
      </c>
      <c r="Q54" s="5">
        <v>1</v>
      </c>
      <c r="R54" s="5">
        <v>0</v>
      </c>
      <c r="S54" t="s">
        <v>40</v>
      </c>
      <c r="T54" s="5">
        <v>2025</v>
      </c>
    </row>
    <row r="55" spans="1:20" hidden="1" x14ac:dyDescent="0.35">
      <c r="A55" s="5" t="s">
        <v>23</v>
      </c>
      <c r="B55" s="5" t="s">
        <v>26</v>
      </c>
      <c r="C55" s="33">
        <v>45689</v>
      </c>
      <c r="D55" s="5" t="s">
        <v>16</v>
      </c>
      <c r="E55" s="5">
        <v>7</v>
      </c>
      <c r="F55" s="5" t="s">
        <v>48</v>
      </c>
      <c r="G55" s="6">
        <v>42272.74</v>
      </c>
      <c r="H55" s="7">
        <v>711611.16999999899</v>
      </c>
      <c r="I55" s="6">
        <v>0</v>
      </c>
      <c r="J55" s="6">
        <v>0</v>
      </c>
      <c r="K55" s="6">
        <v>0</v>
      </c>
      <c r="L55" s="6">
        <v>0</v>
      </c>
      <c r="M55" s="6">
        <v>80102</v>
      </c>
      <c r="N55" s="6">
        <v>84545.48</v>
      </c>
      <c r="O55" s="5">
        <v>129</v>
      </c>
      <c r="P55" s="5">
        <v>33</v>
      </c>
      <c r="Q55" s="5">
        <v>88</v>
      </c>
      <c r="R55" s="5">
        <v>0</v>
      </c>
      <c r="S55" t="s">
        <v>40</v>
      </c>
      <c r="T55" s="5">
        <v>2025</v>
      </c>
    </row>
    <row r="56" spans="1:20" hidden="1" x14ac:dyDescent="0.35">
      <c r="A56" s="5" t="s">
        <v>23</v>
      </c>
      <c r="B56" s="5" t="s">
        <v>26</v>
      </c>
      <c r="C56" s="33">
        <v>45689</v>
      </c>
      <c r="D56" s="5" t="s">
        <v>19</v>
      </c>
      <c r="E56" s="5">
        <v>7</v>
      </c>
      <c r="F56" s="5" t="s">
        <v>49</v>
      </c>
      <c r="G56" s="6">
        <v>0</v>
      </c>
      <c r="H56" s="7">
        <v>57171.32</v>
      </c>
      <c r="I56" s="6">
        <v>0</v>
      </c>
      <c r="J56" s="6">
        <v>0</v>
      </c>
      <c r="K56" s="6">
        <v>0</v>
      </c>
      <c r="L56" s="6">
        <v>0</v>
      </c>
      <c r="M56" s="6">
        <v>8259</v>
      </c>
      <c r="N56" s="6">
        <v>0</v>
      </c>
      <c r="O56" s="5">
        <v>164</v>
      </c>
      <c r="P56" s="5">
        <v>65</v>
      </c>
      <c r="Q56" s="5">
        <v>162</v>
      </c>
      <c r="R56" s="5">
        <v>0</v>
      </c>
      <c r="S56" t="s">
        <v>40</v>
      </c>
      <c r="T56" s="5">
        <v>2025</v>
      </c>
    </row>
    <row r="57" spans="1:20" hidden="1" x14ac:dyDescent="0.35">
      <c r="A57" s="5" t="s">
        <v>23</v>
      </c>
      <c r="B57" s="5" t="s">
        <v>26</v>
      </c>
      <c r="C57" s="33">
        <v>45689</v>
      </c>
      <c r="D57" s="5" t="s">
        <v>19</v>
      </c>
      <c r="E57" s="5">
        <v>7</v>
      </c>
      <c r="F57" s="5" t="s">
        <v>30</v>
      </c>
      <c r="G57" s="6">
        <v>0</v>
      </c>
      <c r="H57" s="7">
        <v>26026.219999999899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5">
        <v>104</v>
      </c>
      <c r="P57" s="5">
        <v>3</v>
      </c>
      <c r="Q57" s="5">
        <v>23</v>
      </c>
      <c r="R57" s="5">
        <v>0</v>
      </c>
      <c r="S57" t="s">
        <v>40</v>
      </c>
      <c r="T57" s="5">
        <v>2025</v>
      </c>
    </row>
    <row r="58" spans="1:20" hidden="1" x14ac:dyDescent="0.35">
      <c r="A58" s="5" t="s">
        <v>23</v>
      </c>
      <c r="B58" s="5" t="s">
        <v>26</v>
      </c>
      <c r="C58" s="33">
        <v>45689</v>
      </c>
      <c r="D58" s="5" t="s">
        <v>19</v>
      </c>
      <c r="E58" s="5">
        <v>7</v>
      </c>
      <c r="F58" s="5" t="s">
        <v>31</v>
      </c>
      <c r="G58" s="6">
        <v>56824.25</v>
      </c>
      <c r="H58" s="7">
        <v>40042.21</v>
      </c>
      <c r="I58" s="6">
        <v>0</v>
      </c>
      <c r="J58" s="6">
        <v>0</v>
      </c>
      <c r="K58" s="6">
        <v>0</v>
      </c>
      <c r="L58" s="6">
        <v>0</v>
      </c>
      <c r="M58" s="6">
        <v>108525</v>
      </c>
      <c r="N58" s="6">
        <v>113648.5</v>
      </c>
      <c r="O58" s="5">
        <v>218</v>
      </c>
      <c r="P58" s="5">
        <v>14</v>
      </c>
      <c r="Q58" s="5">
        <v>99</v>
      </c>
      <c r="R58" s="5">
        <v>0</v>
      </c>
      <c r="S58" t="s">
        <v>40</v>
      </c>
      <c r="T58" s="5">
        <v>2025</v>
      </c>
    </row>
    <row r="59" spans="1:20" hidden="1" x14ac:dyDescent="0.35">
      <c r="A59" s="5" t="s">
        <v>23</v>
      </c>
      <c r="B59" s="5" t="s">
        <v>26</v>
      </c>
      <c r="C59" s="33">
        <v>45689</v>
      </c>
      <c r="D59" s="5" t="s">
        <v>16</v>
      </c>
      <c r="E59" s="5">
        <v>10</v>
      </c>
      <c r="F59" s="5" t="s">
        <v>48</v>
      </c>
      <c r="G59" s="6">
        <v>0</v>
      </c>
      <c r="H59" s="7">
        <v>2305.7599999999902</v>
      </c>
      <c r="I59" s="6">
        <v>0</v>
      </c>
      <c r="J59" s="6">
        <v>0</v>
      </c>
      <c r="K59" s="6">
        <v>0</v>
      </c>
      <c r="L59" s="6">
        <v>0</v>
      </c>
      <c r="M59" s="6">
        <v>20278</v>
      </c>
      <c r="N59" s="6">
        <v>0</v>
      </c>
      <c r="O59" s="5">
        <v>92</v>
      </c>
      <c r="P59" s="5">
        <v>11</v>
      </c>
      <c r="Q59" s="5">
        <v>33</v>
      </c>
      <c r="R59" s="5">
        <v>0</v>
      </c>
      <c r="S59" t="s">
        <v>40</v>
      </c>
      <c r="T59" s="5">
        <v>2025</v>
      </c>
    </row>
    <row r="60" spans="1:20" hidden="1" x14ac:dyDescent="0.35">
      <c r="A60" s="5" t="s">
        <v>23</v>
      </c>
      <c r="B60" s="5" t="s">
        <v>26</v>
      </c>
      <c r="C60" s="33">
        <v>45689</v>
      </c>
      <c r="D60" s="5" t="s">
        <v>19</v>
      </c>
      <c r="E60" s="5">
        <v>10</v>
      </c>
      <c r="F60" s="5" t="s">
        <v>49</v>
      </c>
      <c r="G60" s="6">
        <v>0</v>
      </c>
      <c r="H60" s="7">
        <v>28351.53</v>
      </c>
      <c r="I60" s="6">
        <v>0</v>
      </c>
      <c r="J60" s="6">
        <v>0</v>
      </c>
      <c r="K60" s="6">
        <v>0</v>
      </c>
      <c r="L60" s="6">
        <v>0</v>
      </c>
      <c r="M60" s="6">
        <v>2450</v>
      </c>
      <c r="N60" s="6">
        <v>0</v>
      </c>
      <c r="O60" s="5">
        <v>112</v>
      </c>
      <c r="P60" s="5">
        <v>23</v>
      </c>
      <c r="Q60" s="5">
        <v>50</v>
      </c>
      <c r="R60" s="5">
        <v>0</v>
      </c>
      <c r="S60" t="s">
        <v>40</v>
      </c>
      <c r="T60" s="5">
        <v>2025</v>
      </c>
    </row>
    <row r="61" spans="1:20" hidden="1" x14ac:dyDescent="0.35">
      <c r="A61" s="5" t="s">
        <v>23</v>
      </c>
      <c r="B61" s="5" t="s">
        <v>26</v>
      </c>
      <c r="C61" s="33">
        <v>45689</v>
      </c>
      <c r="D61" s="5" t="s">
        <v>19</v>
      </c>
      <c r="E61" s="5">
        <v>10</v>
      </c>
      <c r="F61" s="5" t="s">
        <v>31</v>
      </c>
      <c r="G61" s="6">
        <v>80773.320000000007</v>
      </c>
      <c r="H61" s="7">
        <v>51235.769999999902</v>
      </c>
      <c r="I61" s="6">
        <v>0</v>
      </c>
      <c r="J61" s="6">
        <v>0</v>
      </c>
      <c r="K61" s="6">
        <v>0</v>
      </c>
      <c r="L61" s="6">
        <v>0</v>
      </c>
      <c r="M61" s="6">
        <v>131707</v>
      </c>
      <c r="N61" s="6">
        <v>100812.64</v>
      </c>
      <c r="O61" s="5">
        <v>302</v>
      </c>
      <c r="P61" s="5">
        <v>26</v>
      </c>
      <c r="Q61" s="5">
        <v>16</v>
      </c>
      <c r="R61" s="5">
        <v>0</v>
      </c>
      <c r="S61" t="s">
        <v>40</v>
      </c>
      <c r="T61" s="5">
        <v>2025</v>
      </c>
    </row>
    <row r="62" spans="1:20" hidden="1" x14ac:dyDescent="0.35">
      <c r="A62" s="5" t="s">
        <v>23</v>
      </c>
      <c r="B62" s="5" t="s">
        <v>26</v>
      </c>
      <c r="C62" s="33">
        <v>45689</v>
      </c>
      <c r="D62" s="5" t="s">
        <v>16</v>
      </c>
      <c r="E62" s="5">
        <v>14</v>
      </c>
      <c r="F62" s="5" t="s">
        <v>48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5">
        <v>34</v>
      </c>
      <c r="P62" s="5">
        <v>1</v>
      </c>
      <c r="Q62" s="5">
        <v>4</v>
      </c>
      <c r="R62" s="5">
        <v>0</v>
      </c>
      <c r="S62" t="s">
        <v>40</v>
      </c>
      <c r="T62" s="5">
        <v>2025</v>
      </c>
    </row>
    <row r="63" spans="1:20" hidden="1" x14ac:dyDescent="0.35">
      <c r="A63" s="5" t="s">
        <v>23</v>
      </c>
      <c r="B63" s="5" t="s">
        <v>26</v>
      </c>
      <c r="C63" s="33">
        <v>45689</v>
      </c>
      <c r="D63" s="5" t="s">
        <v>19</v>
      </c>
      <c r="E63" s="5">
        <v>14</v>
      </c>
      <c r="F63" s="5" t="s">
        <v>31</v>
      </c>
      <c r="G63" s="6">
        <v>5872</v>
      </c>
      <c r="H63" s="7">
        <v>5283.44</v>
      </c>
      <c r="I63" s="6">
        <v>0</v>
      </c>
      <c r="J63" s="6">
        <v>0</v>
      </c>
      <c r="K63" s="6">
        <v>0</v>
      </c>
      <c r="L63" s="6">
        <v>0</v>
      </c>
      <c r="M63" s="6">
        <v>9432</v>
      </c>
      <c r="N63" s="6">
        <v>0</v>
      </c>
      <c r="O63" s="5">
        <v>502</v>
      </c>
      <c r="P63" s="5">
        <v>4</v>
      </c>
      <c r="Q63" s="5">
        <v>1</v>
      </c>
      <c r="R63" s="5">
        <v>0</v>
      </c>
      <c r="S63" t="s">
        <v>40</v>
      </c>
      <c r="T63" s="5">
        <v>2025</v>
      </c>
    </row>
    <row r="64" spans="1:20" hidden="1" x14ac:dyDescent="0.35">
      <c r="A64" s="5" t="s">
        <v>23</v>
      </c>
      <c r="B64" s="5" t="s">
        <v>26</v>
      </c>
      <c r="C64" s="33">
        <v>45689</v>
      </c>
      <c r="D64" s="5" t="s">
        <v>19</v>
      </c>
      <c r="E64" s="5">
        <v>15</v>
      </c>
      <c r="F64" s="5" t="s">
        <v>31</v>
      </c>
      <c r="G64" s="6">
        <v>0</v>
      </c>
      <c r="H64" s="7">
        <v>463.84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5">
        <v>0</v>
      </c>
      <c r="P64" s="5">
        <v>1</v>
      </c>
      <c r="Q64" s="5">
        <v>0</v>
      </c>
      <c r="R64" s="5">
        <v>0</v>
      </c>
      <c r="S64" t="s">
        <v>40</v>
      </c>
      <c r="T64" s="5">
        <v>2025</v>
      </c>
    </row>
    <row r="65" spans="1:20" hidden="1" x14ac:dyDescent="0.35">
      <c r="A65" s="5" t="s">
        <v>23</v>
      </c>
      <c r="B65" s="5" t="s">
        <v>32</v>
      </c>
      <c r="C65" s="33">
        <v>45689</v>
      </c>
      <c r="D65" s="5" t="s">
        <v>19</v>
      </c>
      <c r="E65" s="5" t="s">
        <v>49</v>
      </c>
      <c r="F65" s="5" t="s">
        <v>49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5">
        <v>0</v>
      </c>
      <c r="P65" s="5">
        <v>1</v>
      </c>
      <c r="Q65" s="5">
        <v>5</v>
      </c>
      <c r="R65" s="5">
        <v>0</v>
      </c>
      <c r="S65" t="s">
        <v>40</v>
      </c>
      <c r="T65" s="5">
        <v>2025</v>
      </c>
    </row>
    <row r="66" spans="1:20" hidden="1" x14ac:dyDescent="0.35">
      <c r="A66" s="5" t="s">
        <v>23</v>
      </c>
      <c r="B66" s="5" t="s">
        <v>32</v>
      </c>
      <c r="C66" s="33">
        <v>45689</v>
      </c>
      <c r="D66" s="5" t="s">
        <v>19</v>
      </c>
      <c r="E66" s="5" t="s">
        <v>49</v>
      </c>
      <c r="F66" s="5" t="s">
        <v>30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5">
        <v>0</v>
      </c>
      <c r="P66" s="5">
        <v>1</v>
      </c>
      <c r="Q66" s="5">
        <v>0</v>
      </c>
      <c r="R66" s="5">
        <v>0</v>
      </c>
      <c r="S66" t="s">
        <v>40</v>
      </c>
      <c r="T66" s="5">
        <v>2025</v>
      </c>
    </row>
    <row r="67" spans="1:20" hidden="1" x14ac:dyDescent="0.35">
      <c r="A67" s="5" t="s">
        <v>23</v>
      </c>
      <c r="B67" s="5" t="s">
        <v>32</v>
      </c>
      <c r="C67" s="33">
        <v>45689</v>
      </c>
      <c r="D67" s="5" t="s">
        <v>19</v>
      </c>
      <c r="E67" s="5" t="s">
        <v>49</v>
      </c>
      <c r="F67" s="5" t="s">
        <v>31</v>
      </c>
      <c r="G67" s="6">
        <v>8612.83</v>
      </c>
      <c r="H67" s="7">
        <v>61599.33</v>
      </c>
      <c r="I67" s="6">
        <v>0</v>
      </c>
      <c r="J67" s="6">
        <v>0</v>
      </c>
      <c r="K67" s="6">
        <v>0</v>
      </c>
      <c r="L67" s="6">
        <v>0</v>
      </c>
      <c r="M67" s="6">
        <v>3593</v>
      </c>
      <c r="N67" s="6">
        <v>17225.650000000001</v>
      </c>
      <c r="O67" s="5">
        <v>937</v>
      </c>
      <c r="P67" s="5">
        <v>3</v>
      </c>
      <c r="Q67" s="5">
        <v>2</v>
      </c>
      <c r="R67" s="5">
        <v>0</v>
      </c>
      <c r="S67" t="s">
        <v>40</v>
      </c>
      <c r="T67" s="5">
        <v>2025</v>
      </c>
    </row>
    <row r="68" spans="1:20" hidden="1" x14ac:dyDescent="0.35">
      <c r="A68" s="5" t="s">
        <v>23</v>
      </c>
      <c r="B68" s="5" t="s">
        <v>32</v>
      </c>
      <c r="C68" s="33">
        <v>45689</v>
      </c>
      <c r="D68" s="5" t="s">
        <v>16</v>
      </c>
      <c r="E68" s="5">
        <v>6</v>
      </c>
      <c r="F68" s="5" t="s">
        <v>48</v>
      </c>
      <c r="G68" s="6">
        <v>0</v>
      </c>
      <c r="H68" s="7">
        <v>25150.93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5">
        <v>0</v>
      </c>
      <c r="P68" s="5">
        <v>2</v>
      </c>
      <c r="Q68" s="5">
        <v>0</v>
      </c>
      <c r="R68" s="5">
        <v>0</v>
      </c>
      <c r="S68" t="s">
        <v>40</v>
      </c>
      <c r="T68" s="5">
        <v>2025</v>
      </c>
    </row>
    <row r="69" spans="1:20" hidden="1" x14ac:dyDescent="0.35">
      <c r="A69" s="5" t="s">
        <v>23</v>
      </c>
      <c r="B69" s="5" t="s">
        <v>32</v>
      </c>
      <c r="C69" s="33">
        <v>45689</v>
      </c>
      <c r="D69" s="5" t="s">
        <v>19</v>
      </c>
      <c r="E69" s="5">
        <v>6</v>
      </c>
      <c r="F69" s="5" t="s">
        <v>31</v>
      </c>
      <c r="G69" s="6">
        <v>0</v>
      </c>
      <c r="H69" s="7">
        <v>2821.75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5">
        <v>0</v>
      </c>
      <c r="P69" s="5">
        <v>1</v>
      </c>
      <c r="Q69" s="5">
        <v>0</v>
      </c>
      <c r="R69" s="5">
        <v>0</v>
      </c>
      <c r="S69" t="s">
        <v>40</v>
      </c>
      <c r="T69" s="5">
        <v>2025</v>
      </c>
    </row>
    <row r="70" spans="1:20" hidden="1" x14ac:dyDescent="0.35">
      <c r="A70" s="5" t="s">
        <v>23</v>
      </c>
      <c r="B70" s="5" t="s">
        <v>32</v>
      </c>
      <c r="C70" s="33">
        <v>45689</v>
      </c>
      <c r="D70" s="5" t="s">
        <v>16</v>
      </c>
      <c r="E70" s="5">
        <v>7</v>
      </c>
      <c r="F70" s="5" t="s">
        <v>48</v>
      </c>
      <c r="G70" s="6">
        <v>0</v>
      </c>
      <c r="H70" s="7">
        <v>86787.82</v>
      </c>
      <c r="I70" s="6">
        <v>0</v>
      </c>
      <c r="J70" s="6">
        <v>0</v>
      </c>
      <c r="K70" s="6">
        <v>0</v>
      </c>
      <c r="L70" s="6">
        <v>0</v>
      </c>
      <c r="M70" s="6">
        <v>66465</v>
      </c>
      <c r="N70" s="6">
        <v>0</v>
      </c>
      <c r="O70" s="5">
        <v>362</v>
      </c>
      <c r="P70" s="5">
        <v>24</v>
      </c>
      <c r="Q70" s="5">
        <v>21</v>
      </c>
      <c r="R70" s="5">
        <v>0</v>
      </c>
      <c r="S70" t="s">
        <v>40</v>
      </c>
      <c r="T70" s="5">
        <v>2025</v>
      </c>
    </row>
    <row r="71" spans="1:20" hidden="1" x14ac:dyDescent="0.35">
      <c r="A71" s="5" t="s">
        <v>23</v>
      </c>
      <c r="B71" s="5" t="s">
        <v>32</v>
      </c>
      <c r="C71" s="33">
        <v>45689</v>
      </c>
      <c r="D71" s="5" t="s">
        <v>17</v>
      </c>
      <c r="E71" s="5">
        <v>7</v>
      </c>
      <c r="F71" s="5" t="s">
        <v>48</v>
      </c>
      <c r="G71" s="6">
        <v>0</v>
      </c>
      <c r="H71" s="7">
        <v>30740.78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5">
        <v>0</v>
      </c>
      <c r="P71" s="5">
        <v>1</v>
      </c>
      <c r="Q71" s="5">
        <v>0</v>
      </c>
      <c r="R71" s="5">
        <v>0</v>
      </c>
      <c r="S71" t="s">
        <v>40</v>
      </c>
      <c r="T71" s="5">
        <v>2025</v>
      </c>
    </row>
    <row r="72" spans="1:20" hidden="1" x14ac:dyDescent="0.35">
      <c r="A72" s="5" t="s">
        <v>23</v>
      </c>
      <c r="B72" s="5" t="s">
        <v>32</v>
      </c>
      <c r="C72" s="33">
        <v>45689</v>
      </c>
      <c r="D72" s="5" t="s">
        <v>19</v>
      </c>
      <c r="E72" s="5">
        <v>7</v>
      </c>
      <c r="F72" s="5" t="s">
        <v>49</v>
      </c>
      <c r="G72" s="6">
        <v>2566</v>
      </c>
      <c r="H72" s="7">
        <v>14519.63</v>
      </c>
      <c r="I72" s="6">
        <v>0</v>
      </c>
      <c r="J72" s="6">
        <v>0</v>
      </c>
      <c r="K72" s="6">
        <v>0</v>
      </c>
      <c r="L72" s="6">
        <v>0</v>
      </c>
      <c r="M72" s="6">
        <v>56238</v>
      </c>
      <c r="N72" s="6">
        <v>0</v>
      </c>
      <c r="O72" s="5">
        <v>144</v>
      </c>
      <c r="P72" s="5">
        <v>50</v>
      </c>
      <c r="Q72" s="5">
        <v>93</v>
      </c>
      <c r="R72" s="5">
        <v>0</v>
      </c>
      <c r="S72" t="s">
        <v>40</v>
      </c>
      <c r="T72" s="5">
        <v>2025</v>
      </c>
    </row>
    <row r="73" spans="1:20" hidden="1" x14ac:dyDescent="0.35">
      <c r="A73" s="5" t="s">
        <v>23</v>
      </c>
      <c r="B73" s="5" t="s">
        <v>32</v>
      </c>
      <c r="C73" s="33">
        <v>45689</v>
      </c>
      <c r="D73" s="5" t="s">
        <v>19</v>
      </c>
      <c r="E73" s="5">
        <v>7</v>
      </c>
      <c r="F73" s="5" t="s">
        <v>30</v>
      </c>
      <c r="G73" s="6">
        <v>774.12</v>
      </c>
      <c r="H73" s="7">
        <v>285118.75</v>
      </c>
      <c r="I73" s="6">
        <v>0</v>
      </c>
      <c r="J73" s="6">
        <v>0</v>
      </c>
      <c r="K73" s="6">
        <v>0</v>
      </c>
      <c r="L73" s="6">
        <v>0</v>
      </c>
      <c r="M73" s="6">
        <v>7334</v>
      </c>
      <c r="N73" s="6">
        <v>1548.23</v>
      </c>
      <c r="O73" s="5">
        <v>397</v>
      </c>
      <c r="P73" s="5">
        <v>10</v>
      </c>
      <c r="Q73" s="5">
        <v>39</v>
      </c>
      <c r="R73" s="5">
        <v>0</v>
      </c>
      <c r="S73" t="s">
        <v>40</v>
      </c>
      <c r="T73" s="5">
        <v>2025</v>
      </c>
    </row>
    <row r="74" spans="1:20" x14ac:dyDescent="0.35">
      <c r="A74" s="5" t="s">
        <v>23</v>
      </c>
      <c r="B74" s="5" t="s">
        <v>32</v>
      </c>
      <c r="C74" s="33">
        <v>45689</v>
      </c>
      <c r="D74" s="5" t="s">
        <v>19</v>
      </c>
      <c r="E74" s="5">
        <v>7</v>
      </c>
      <c r="F74" s="5" t="s">
        <v>31</v>
      </c>
      <c r="G74" s="6">
        <v>137765.81</v>
      </c>
      <c r="H74" s="7">
        <v>37438.049999999901</v>
      </c>
      <c r="I74" s="6">
        <v>93171.18</v>
      </c>
      <c r="J74" s="6">
        <v>0</v>
      </c>
      <c r="K74" s="6">
        <v>0</v>
      </c>
      <c r="L74" s="6">
        <v>0</v>
      </c>
      <c r="M74" s="6">
        <v>203646</v>
      </c>
      <c r="N74" s="6">
        <v>234775.6</v>
      </c>
      <c r="O74" s="5">
        <v>218</v>
      </c>
      <c r="P74" s="5">
        <v>22</v>
      </c>
      <c r="Q74" s="5">
        <v>92</v>
      </c>
      <c r="R74" s="5">
        <v>1</v>
      </c>
      <c r="S74" t="s">
        <v>40</v>
      </c>
      <c r="T74" s="5">
        <v>2025</v>
      </c>
    </row>
    <row r="75" spans="1:20" hidden="1" x14ac:dyDescent="0.35">
      <c r="A75" s="5" t="s">
        <v>23</v>
      </c>
      <c r="B75" s="5" t="s">
        <v>32</v>
      </c>
      <c r="C75" s="33">
        <v>45689</v>
      </c>
      <c r="D75" s="5" t="s">
        <v>19</v>
      </c>
      <c r="E75" s="5">
        <v>8</v>
      </c>
      <c r="F75" s="5" t="s">
        <v>31</v>
      </c>
      <c r="G75" s="6">
        <v>44791.38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62423</v>
      </c>
      <c r="N75" s="6">
        <v>89582.75</v>
      </c>
      <c r="O75" s="5">
        <v>568</v>
      </c>
      <c r="P75" s="5">
        <v>1</v>
      </c>
      <c r="Q75" s="5">
        <v>0</v>
      </c>
      <c r="R75" s="5">
        <v>0</v>
      </c>
      <c r="S75" t="s">
        <v>40</v>
      </c>
      <c r="T75" s="5">
        <v>2025</v>
      </c>
    </row>
    <row r="76" spans="1:20" hidden="1" x14ac:dyDescent="0.35">
      <c r="A76" s="5" t="s">
        <v>23</v>
      </c>
      <c r="B76" s="5" t="s">
        <v>32</v>
      </c>
      <c r="C76" s="33">
        <v>45689</v>
      </c>
      <c r="D76" s="5" t="s">
        <v>27</v>
      </c>
      <c r="E76" s="5">
        <v>10</v>
      </c>
      <c r="F76" s="5" t="s">
        <v>48</v>
      </c>
      <c r="G76" s="6">
        <v>0</v>
      </c>
      <c r="H76" s="7">
        <v>361</v>
      </c>
      <c r="I76" s="6">
        <v>0</v>
      </c>
      <c r="J76" s="6">
        <v>0</v>
      </c>
      <c r="K76" s="6">
        <v>0</v>
      </c>
      <c r="L76" s="6">
        <v>0</v>
      </c>
      <c r="M76" s="6">
        <v>102</v>
      </c>
      <c r="N76" s="6">
        <v>0</v>
      </c>
      <c r="O76" s="5">
        <v>332</v>
      </c>
      <c r="P76" s="5">
        <v>1</v>
      </c>
      <c r="Q76" s="5">
        <v>0</v>
      </c>
      <c r="R76" s="5">
        <v>0</v>
      </c>
      <c r="S76" t="s">
        <v>40</v>
      </c>
      <c r="T76" s="5">
        <v>2025</v>
      </c>
    </row>
    <row r="77" spans="1:20" hidden="1" x14ac:dyDescent="0.35">
      <c r="A77" s="5" t="s">
        <v>23</v>
      </c>
      <c r="B77" s="5" t="s">
        <v>32</v>
      </c>
      <c r="C77" s="33">
        <v>45689</v>
      </c>
      <c r="D77" s="5" t="s">
        <v>16</v>
      </c>
      <c r="E77" s="5">
        <v>10</v>
      </c>
      <c r="F77" s="5" t="s">
        <v>48</v>
      </c>
      <c r="G77" s="6">
        <v>0</v>
      </c>
      <c r="H77" s="7">
        <v>6427.5</v>
      </c>
      <c r="I77" s="6">
        <v>0</v>
      </c>
      <c r="J77" s="6">
        <v>0</v>
      </c>
      <c r="K77" s="6">
        <v>0</v>
      </c>
      <c r="L77" s="6">
        <v>0</v>
      </c>
      <c r="M77" s="6">
        <v>246</v>
      </c>
      <c r="N77" s="6">
        <v>0</v>
      </c>
      <c r="O77" s="5">
        <v>75</v>
      </c>
      <c r="P77" s="5">
        <v>10</v>
      </c>
      <c r="Q77" s="5">
        <v>21</v>
      </c>
      <c r="R77" s="5">
        <v>0</v>
      </c>
      <c r="S77" t="s">
        <v>40</v>
      </c>
      <c r="T77" s="5">
        <v>2025</v>
      </c>
    </row>
    <row r="78" spans="1:20" hidden="1" x14ac:dyDescent="0.35">
      <c r="A78" s="5" t="s">
        <v>23</v>
      </c>
      <c r="B78" s="5" t="s">
        <v>32</v>
      </c>
      <c r="C78" s="33">
        <v>45689</v>
      </c>
      <c r="D78" s="5" t="s">
        <v>19</v>
      </c>
      <c r="E78" s="5">
        <v>10</v>
      </c>
      <c r="F78" s="5" t="s">
        <v>49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97844</v>
      </c>
      <c r="N78" s="6">
        <v>0</v>
      </c>
      <c r="O78" s="5">
        <v>64</v>
      </c>
      <c r="P78" s="5">
        <v>7</v>
      </c>
      <c r="Q78" s="5">
        <v>17</v>
      </c>
      <c r="R78" s="5">
        <v>0</v>
      </c>
      <c r="S78" t="s">
        <v>40</v>
      </c>
      <c r="T78" s="5">
        <v>2025</v>
      </c>
    </row>
    <row r="79" spans="1:20" hidden="1" x14ac:dyDescent="0.35">
      <c r="A79" s="5" t="s">
        <v>23</v>
      </c>
      <c r="B79" s="5" t="s">
        <v>32</v>
      </c>
      <c r="C79" s="33">
        <v>45689</v>
      </c>
      <c r="D79" s="5" t="s">
        <v>19</v>
      </c>
      <c r="E79" s="5">
        <v>10</v>
      </c>
      <c r="F79" s="5" t="s">
        <v>30</v>
      </c>
      <c r="G79" s="6">
        <v>0</v>
      </c>
      <c r="H79" s="7">
        <v>25115.01</v>
      </c>
      <c r="I79" s="6">
        <v>0</v>
      </c>
      <c r="J79" s="6">
        <v>0</v>
      </c>
      <c r="K79" s="6">
        <v>0</v>
      </c>
      <c r="L79" s="6">
        <v>0</v>
      </c>
      <c r="M79" s="6">
        <v>7006</v>
      </c>
      <c r="N79" s="6">
        <v>0</v>
      </c>
      <c r="O79" s="5">
        <v>485</v>
      </c>
      <c r="P79" s="5">
        <v>3</v>
      </c>
      <c r="Q79" s="5">
        <v>1</v>
      </c>
      <c r="R79" s="5">
        <v>0</v>
      </c>
      <c r="S79" t="s">
        <v>40</v>
      </c>
      <c r="T79" s="5">
        <v>2025</v>
      </c>
    </row>
    <row r="80" spans="1:20" hidden="1" x14ac:dyDescent="0.35">
      <c r="A80" s="5" t="s">
        <v>23</v>
      </c>
      <c r="B80" s="5" t="s">
        <v>32</v>
      </c>
      <c r="C80" s="33">
        <v>45689</v>
      </c>
      <c r="D80" s="5" t="s">
        <v>19</v>
      </c>
      <c r="E80" s="5">
        <v>10</v>
      </c>
      <c r="F80" s="5" t="s">
        <v>31</v>
      </c>
      <c r="G80" s="6">
        <v>0</v>
      </c>
      <c r="H80" s="7">
        <v>21887.54</v>
      </c>
      <c r="I80" s="6">
        <v>0</v>
      </c>
      <c r="J80" s="6">
        <v>0</v>
      </c>
      <c r="K80" s="6">
        <v>0</v>
      </c>
      <c r="L80" s="6">
        <v>0</v>
      </c>
      <c r="M80" s="6">
        <v>7832</v>
      </c>
      <c r="N80" s="6">
        <v>0</v>
      </c>
      <c r="O80" s="5">
        <v>149</v>
      </c>
      <c r="P80" s="5">
        <v>9</v>
      </c>
      <c r="Q80" s="5">
        <v>1</v>
      </c>
      <c r="R80" s="5">
        <v>0</v>
      </c>
      <c r="S80" t="s">
        <v>40</v>
      </c>
      <c r="T80" s="5">
        <v>2025</v>
      </c>
    </row>
    <row r="81" spans="1:20" hidden="1" x14ac:dyDescent="0.35">
      <c r="A81" s="5" t="s">
        <v>33</v>
      </c>
      <c r="B81" s="5" t="s">
        <v>26</v>
      </c>
      <c r="C81" s="33">
        <v>45689</v>
      </c>
      <c r="D81" s="5" t="s">
        <v>16</v>
      </c>
      <c r="E81" s="5" t="s">
        <v>49</v>
      </c>
      <c r="F81" s="5" t="s">
        <v>48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5">
        <v>0</v>
      </c>
      <c r="P81" s="5">
        <v>1</v>
      </c>
      <c r="Q81" s="5">
        <v>0</v>
      </c>
      <c r="R81" s="5">
        <v>0</v>
      </c>
      <c r="S81" t="s">
        <v>40</v>
      </c>
      <c r="T81" s="5">
        <v>2025</v>
      </c>
    </row>
    <row r="82" spans="1:20" hidden="1" x14ac:dyDescent="0.35">
      <c r="A82" s="5" t="s">
        <v>33</v>
      </c>
      <c r="B82" s="5" t="s">
        <v>26</v>
      </c>
      <c r="C82" s="33">
        <v>45689</v>
      </c>
      <c r="D82" s="5" t="s">
        <v>19</v>
      </c>
      <c r="E82" s="5" t="s">
        <v>49</v>
      </c>
      <c r="F82" s="5" t="s">
        <v>49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5">
        <v>0</v>
      </c>
      <c r="P82" s="5">
        <v>2</v>
      </c>
      <c r="Q82" s="5">
        <v>0</v>
      </c>
      <c r="R82" s="5">
        <v>0</v>
      </c>
      <c r="S82" t="s">
        <v>40</v>
      </c>
      <c r="T82" s="5">
        <v>2025</v>
      </c>
    </row>
    <row r="83" spans="1:20" hidden="1" x14ac:dyDescent="0.35">
      <c r="A83" s="5" t="s">
        <v>33</v>
      </c>
      <c r="B83" s="5" t="s">
        <v>26</v>
      </c>
      <c r="C83" s="33">
        <v>45689</v>
      </c>
      <c r="D83" s="5" t="s">
        <v>27</v>
      </c>
      <c r="E83" s="5">
        <v>6</v>
      </c>
      <c r="F83" s="5" t="s">
        <v>48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5">
        <v>0</v>
      </c>
      <c r="P83" s="5">
        <v>1</v>
      </c>
      <c r="Q83" s="5">
        <v>0</v>
      </c>
      <c r="R83" s="5">
        <v>0</v>
      </c>
      <c r="S83" t="s">
        <v>40</v>
      </c>
      <c r="T83" s="5">
        <v>2025</v>
      </c>
    </row>
    <row r="84" spans="1:20" hidden="1" x14ac:dyDescent="0.35">
      <c r="A84" s="5" t="s">
        <v>33</v>
      </c>
      <c r="B84" s="5" t="s">
        <v>26</v>
      </c>
      <c r="C84" s="33">
        <v>45689</v>
      </c>
      <c r="D84" s="5" t="s">
        <v>19</v>
      </c>
      <c r="E84" s="5">
        <v>6</v>
      </c>
      <c r="F84" s="5" t="s">
        <v>49</v>
      </c>
      <c r="G84" s="6">
        <v>0</v>
      </c>
      <c r="H84" s="7">
        <v>22264.54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5">
        <v>0</v>
      </c>
      <c r="P84" s="5">
        <v>37</v>
      </c>
      <c r="Q84" s="5">
        <v>52</v>
      </c>
      <c r="R84" s="5">
        <v>0</v>
      </c>
      <c r="S84" t="s">
        <v>40</v>
      </c>
      <c r="T84" s="5">
        <v>2025</v>
      </c>
    </row>
    <row r="85" spans="1:20" hidden="1" x14ac:dyDescent="0.35">
      <c r="A85" s="5" t="s">
        <v>33</v>
      </c>
      <c r="B85" s="5" t="s">
        <v>26</v>
      </c>
      <c r="C85" s="33">
        <v>45689</v>
      </c>
      <c r="D85" s="5" t="s">
        <v>16</v>
      </c>
      <c r="E85" s="5">
        <v>7</v>
      </c>
      <c r="F85" s="5" t="s">
        <v>48</v>
      </c>
      <c r="G85" s="6">
        <v>0</v>
      </c>
      <c r="H85" s="7">
        <v>89381.14</v>
      </c>
      <c r="I85" s="6">
        <v>0</v>
      </c>
      <c r="J85" s="6">
        <v>0</v>
      </c>
      <c r="K85" s="6">
        <v>0</v>
      </c>
      <c r="L85" s="6">
        <v>0</v>
      </c>
      <c r="M85" s="6">
        <v>5711</v>
      </c>
      <c r="N85" s="6">
        <v>0</v>
      </c>
      <c r="O85" s="5">
        <v>471</v>
      </c>
      <c r="P85" s="5">
        <v>15</v>
      </c>
      <c r="Q85" s="5">
        <v>65</v>
      </c>
      <c r="R85" s="5">
        <v>0</v>
      </c>
      <c r="S85" t="s">
        <v>40</v>
      </c>
      <c r="T85" s="5">
        <v>2025</v>
      </c>
    </row>
    <row r="86" spans="1:20" hidden="1" x14ac:dyDescent="0.35">
      <c r="A86" s="5" t="s">
        <v>33</v>
      </c>
      <c r="B86" s="5" t="s">
        <v>26</v>
      </c>
      <c r="C86" s="33">
        <v>45689</v>
      </c>
      <c r="D86" s="5" t="s">
        <v>19</v>
      </c>
      <c r="E86" s="5">
        <v>7</v>
      </c>
      <c r="F86" s="5" t="s">
        <v>49</v>
      </c>
      <c r="G86" s="6">
        <v>0</v>
      </c>
      <c r="H86" s="7">
        <v>324522.95999999897</v>
      </c>
      <c r="I86" s="6">
        <v>0</v>
      </c>
      <c r="J86" s="6">
        <v>0</v>
      </c>
      <c r="K86" s="6">
        <v>0</v>
      </c>
      <c r="L86" s="6">
        <v>0</v>
      </c>
      <c r="M86" s="6">
        <v>20674</v>
      </c>
      <c r="N86" s="6">
        <v>0</v>
      </c>
      <c r="O86" s="5">
        <v>149</v>
      </c>
      <c r="P86" s="5">
        <v>331</v>
      </c>
      <c r="Q86" s="5">
        <v>565</v>
      </c>
      <c r="R86" s="5">
        <v>0</v>
      </c>
      <c r="S86" t="s">
        <v>40</v>
      </c>
      <c r="T86" s="5">
        <v>2025</v>
      </c>
    </row>
    <row r="87" spans="1:20" hidden="1" x14ac:dyDescent="0.35">
      <c r="A87" s="5" t="s">
        <v>33</v>
      </c>
      <c r="B87" s="5" t="s">
        <v>26</v>
      </c>
      <c r="C87" s="33">
        <v>45689</v>
      </c>
      <c r="D87" s="5" t="s">
        <v>19</v>
      </c>
      <c r="E87" s="5">
        <v>7</v>
      </c>
      <c r="F87" s="5" t="s">
        <v>30</v>
      </c>
      <c r="G87" s="6">
        <v>0</v>
      </c>
      <c r="H87" s="7">
        <v>1456.24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5">
        <v>799</v>
      </c>
      <c r="P87" s="5">
        <v>1</v>
      </c>
      <c r="Q87" s="5">
        <v>7</v>
      </c>
      <c r="R87" s="5">
        <v>0</v>
      </c>
      <c r="S87" t="s">
        <v>40</v>
      </c>
      <c r="T87" s="5">
        <v>2025</v>
      </c>
    </row>
    <row r="88" spans="1:20" hidden="1" x14ac:dyDescent="0.35">
      <c r="A88" s="5" t="s">
        <v>33</v>
      </c>
      <c r="B88" s="5" t="s">
        <v>26</v>
      </c>
      <c r="C88" s="33">
        <v>45689</v>
      </c>
      <c r="D88" s="5" t="s">
        <v>19</v>
      </c>
      <c r="E88" s="5">
        <v>7</v>
      </c>
      <c r="F88" s="5" t="s">
        <v>31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5">
        <v>0</v>
      </c>
      <c r="P88" s="5">
        <v>1</v>
      </c>
      <c r="Q88" s="5">
        <v>12</v>
      </c>
      <c r="R88" s="5">
        <v>0</v>
      </c>
      <c r="S88" t="s">
        <v>40</v>
      </c>
      <c r="T88" s="5">
        <v>2025</v>
      </c>
    </row>
    <row r="89" spans="1:20" hidden="1" x14ac:dyDescent="0.35">
      <c r="A89" s="5" t="s">
        <v>33</v>
      </c>
      <c r="B89" s="5" t="s">
        <v>26</v>
      </c>
      <c r="C89" s="33">
        <v>45689</v>
      </c>
      <c r="D89" s="5" t="s">
        <v>19</v>
      </c>
      <c r="E89" s="5">
        <v>8</v>
      </c>
      <c r="F89" s="5" t="s">
        <v>49</v>
      </c>
      <c r="G89" s="6">
        <v>0</v>
      </c>
      <c r="H89" s="7">
        <v>6316.85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5">
        <v>0</v>
      </c>
      <c r="P89" s="5">
        <v>7</v>
      </c>
      <c r="Q89" s="5">
        <v>8</v>
      </c>
      <c r="R89" s="5">
        <v>0</v>
      </c>
      <c r="S89" t="s">
        <v>40</v>
      </c>
      <c r="T89" s="5">
        <v>2025</v>
      </c>
    </row>
    <row r="90" spans="1:20" hidden="1" x14ac:dyDescent="0.35">
      <c r="A90" s="5" t="s">
        <v>33</v>
      </c>
      <c r="B90" s="5" t="s">
        <v>26</v>
      </c>
      <c r="C90" s="33">
        <v>45689</v>
      </c>
      <c r="D90" s="5" t="s">
        <v>16</v>
      </c>
      <c r="E90" s="5">
        <v>10</v>
      </c>
      <c r="F90" s="5" t="s">
        <v>48</v>
      </c>
      <c r="G90" s="6">
        <v>0</v>
      </c>
      <c r="H90" s="7">
        <v>1393.37</v>
      </c>
      <c r="I90" s="6">
        <v>0</v>
      </c>
      <c r="J90" s="6">
        <v>0</v>
      </c>
      <c r="K90" s="6">
        <v>0</v>
      </c>
      <c r="L90" s="6">
        <v>0</v>
      </c>
      <c r="M90" s="6">
        <v>1403</v>
      </c>
      <c r="N90" s="6">
        <v>0</v>
      </c>
      <c r="O90" s="5">
        <v>165</v>
      </c>
      <c r="P90" s="5">
        <v>2</v>
      </c>
      <c r="Q90" s="5">
        <v>21</v>
      </c>
      <c r="R90" s="5">
        <v>0</v>
      </c>
      <c r="S90" t="s">
        <v>40</v>
      </c>
      <c r="T90" s="5">
        <v>2025</v>
      </c>
    </row>
    <row r="91" spans="1:20" hidden="1" x14ac:dyDescent="0.35">
      <c r="A91" s="5" t="s">
        <v>33</v>
      </c>
      <c r="B91" s="5" t="s">
        <v>26</v>
      </c>
      <c r="C91" s="33">
        <v>45689</v>
      </c>
      <c r="D91" s="5" t="s">
        <v>19</v>
      </c>
      <c r="E91" s="5">
        <v>10</v>
      </c>
      <c r="F91" s="5" t="s">
        <v>49</v>
      </c>
      <c r="G91" s="6">
        <v>0</v>
      </c>
      <c r="H91" s="7">
        <v>112185.46</v>
      </c>
      <c r="I91" s="6">
        <v>0</v>
      </c>
      <c r="J91" s="6">
        <v>0</v>
      </c>
      <c r="K91" s="6">
        <v>0</v>
      </c>
      <c r="L91" s="6">
        <v>0</v>
      </c>
      <c r="M91" s="6">
        <v>13191</v>
      </c>
      <c r="N91" s="6">
        <v>0</v>
      </c>
      <c r="O91" s="5">
        <v>189</v>
      </c>
      <c r="P91" s="5">
        <v>141</v>
      </c>
      <c r="Q91" s="5">
        <v>129</v>
      </c>
      <c r="R91" s="5">
        <v>0</v>
      </c>
      <c r="S91" t="s">
        <v>40</v>
      </c>
      <c r="T91" s="5">
        <v>2025</v>
      </c>
    </row>
    <row r="92" spans="1:20" hidden="1" x14ac:dyDescent="0.35">
      <c r="A92" s="5" t="s">
        <v>33</v>
      </c>
      <c r="B92" s="5" t="s">
        <v>26</v>
      </c>
      <c r="C92" s="33">
        <v>45689</v>
      </c>
      <c r="D92" s="5" t="s">
        <v>19</v>
      </c>
      <c r="E92" s="5">
        <v>10</v>
      </c>
      <c r="F92" s="5" t="s">
        <v>30</v>
      </c>
      <c r="G92" s="6">
        <v>0</v>
      </c>
      <c r="H92" s="7">
        <v>1829.4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5">
        <v>0</v>
      </c>
      <c r="P92" s="5">
        <v>1</v>
      </c>
      <c r="Q92" s="5">
        <v>3</v>
      </c>
      <c r="R92" s="5">
        <v>0</v>
      </c>
      <c r="S92" t="s">
        <v>40</v>
      </c>
      <c r="T92" s="5">
        <v>2025</v>
      </c>
    </row>
    <row r="93" spans="1:20" hidden="1" x14ac:dyDescent="0.35">
      <c r="A93" s="5" t="s">
        <v>33</v>
      </c>
      <c r="B93" s="5" t="s">
        <v>26</v>
      </c>
      <c r="C93" s="33">
        <v>45689</v>
      </c>
      <c r="D93" s="5" t="s">
        <v>16</v>
      </c>
      <c r="E93" s="5">
        <v>14</v>
      </c>
      <c r="F93" s="5" t="s">
        <v>48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5">
        <v>0</v>
      </c>
      <c r="P93" s="5">
        <v>1</v>
      </c>
      <c r="Q93" s="5">
        <v>1</v>
      </c>
      <c r="R93" s="5">
        <v>0</v>
      </c>
      <c r="S93" t="s">
        <v>40</v>
      </c>
      <c r="T93" s="5">
        <v>2025</v>
      </c>
    </row>
    <row r="94" spans="1:20" hidden="1" x14ac:dyDescent="0.35">
      <c r="A94" s="5" t="s">
        <v>33</v>
      </c>
      <c r="B94" s="5" t="s">
        <v>26</v>
      </c>
      <c r="C94" s="33">
        <v>45689</v>
      </c>
      <c r="D94" s="5" t="s">
        <v>19</v>
      </c>
      <c r="E94" s="5">
        <v>14</v>
      </c>
      <c r="F94" s="5" t="s">
        <v>49</v>
      </c>
      <c r="G94" s="6">
        <v>0</v>
      </c>
      <c r="H94" s="7">
        <v>1648.3899999999901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5">
        <v>0</v>
      </c>
      <c r="P94" s="5">
        <v>8</v>
      </c>
      <c r="Q94" s="5">
        <v>6</v>
      </c>
      <c r="R94" s="5">
        <v>0</v>
      </c>
      <c r="S94" t="s">
        <v>40</v>
      </c>
      <c r="T94" s="5">
        <v>2025</v>
      </c>
    </row>
    <row r="95" spans="1:20" hidden="1" x14ac:dyDescent="0.35">
      <c r="A95" s="5" t="s">
        <v>33</v>
      </c>
      <c r="B95" s="5" t="s">
        <v>32</v>
      </c>
      <c r="C95" s="33">
        <v>45689</v>
      </c>
      <c r="D95" s="5" t="s">
        <v>19</v>
      </c>
      <c r="E95" s="5" t="s">
        <v>49</v>
      </c>
      <c r="F95" s="5" t="s">
        <v>49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5">
        <v>0</v>
      </c>
      <c r="P95" s="5">
        <v>1</v>
      </c>
      <c r="Q95" s="5">
        <v>0</v>
      </c>
      <c r="R95" s="5">
        <v>0</v>
      </c>
      <c r="S95" t="s">
        <v>40</v>
      </c>
      <c r="T95" s="5">
        <v>2025</v>
      </c>
    </row>
    <row r="96" spans="1:20" hidden="1" x14ac:dyDescent="0.35">
      <c r="A96" s="5" t="s">
        <v>33</v>
      </c>
      <c r="B96" s="5" t="s">
        <v>32</v>
      </c>
      <c r="C96" s="33">
        <v>45689</v>
      </c>
      <c r="D96" s="5" t="s">
        <v>19</v>
      </c>
      <c r="E96" s="5">
        <v>6</v>
      </c>
      <c r="F96" s="5" t="s">
        <v>49</v>
      </c>
      <c r="G96" s="6">
        <v>0</v>
      </c>
      <c r="H96" s="7">
        <v>2133.87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5">
        <v>0</v>
      </c>
      <c r="P96" s="5">
        <v>2</v>
      </c>
      <c r="Q96" s="5">
        <v>0</v>
      </c>
      <c r="R96" s="5">
        <v>0</v>
      </c>
      <c r="S96" t="s">
        <v>40</v>
      </c>
      <c r="T96" s="5">
        <v>2025</v>
      </c>
    </row>
    <row r="97" spans="1:20" hidden="1" x14ac:dyDescent="0.35">
      <c r="A97" s="5" t="s">
        <v>33</v>
      </c>
      <c r="B97" s="5" t="s">
        <v>32</v>
      </c>
      <c r="C97" s="33">
        <v>45689</v>
      </c>
      <c r="D97" s="5" t="s">
        <v>16</v>
      </c>
      <c r="E97" s="5">
        <v>7</v>
      </c>
      <c r="F97" s="5" t="s">
        <v>48</v>
      </c>
      <c r="G97" s="6">
        <v>0</v>
      </c>
      <c r="H97" s="7">
        <v>5575.03</v>
      </c>
      <c r="I97" s="6">
        <v>0</v>
      </c>
      <c r="J97" s="6">
        <v>0</v>
      </c>
      <c r="K97" s="6">
        <v>0</v>
      </c>
      <c r="L97" s="6">
        <v>0</v>
      </c>
      <c r="M97" s="6">
        <v>7539</v>
      </c>
      <c r="N97" s="6">
        <v>0</v>
      </c>
      <c r="O97" s="5">
        <v>222</v>
      </c>
      <c r="P97" s="5">
        <v>4</v>
      </c>
      <c r="Q97" s="5">
        <v>5</v>
      </c>
      <c r="R97" s="5">
        <v>0</v>
      </c>
      <c r="S97" t="s">
        <v>40</v>
      </c>
      <c r="T97" s="5">
        <v>2025</v>
      </c>
    </row>
    <row r="98" spans="1:20" hidden="1" x14ac:dyDescent="0.35">
      <c r="A98" s="5" t="s">
        <v>33</v>
      </c>
      <c r="B98" s="5" t="s">
        <v>32</v>
      </c>
      <c r="C98" s="33">
        <v>45689</v>
      </c>
      <c r="D98" s="5" t="s">
        <v>19</v>
      </c>
      <c r="E98" s="5">
        <v>7</v>
      </c>
      <c r="F98" s="5" t="s">
        <v>49</v>
      </c>
      <c r="G98" s="6">
        <v>0</v>
      </c>
      <c r="H98" s="7">
        <v>5633.99</v>
      </c>
      <c r="I98" s="6">
        <v>0</v>
      </c>
      <c r="J98" s="6">
        <v>0</v>
      </c>
      <c r="K98" s="6">
        <v>0</v>
      </c>
      <c r="L98" s="6">
        <v>0</v>
      </c>
      <c r="M98" s="6">
        <v>17662</v>
      </c>
      <c r="N98" s="6">
        <v>0</v>
      </c>
      <c r="O98" s="5">
        <v>63</v>
      </c>
      <c r="P98" s="5">
        <v>21</v>
      </c>
      <c r="Q98" s="5">
        <v>64</v>
      </c>
      <c r="R98" s="5">
        <v>0</v>
      </c>
      <c r="S98" t="s">
        <v>40</v>
      </c>
      <c r="T98" s="5">
        <v>2025</v>
      </c>
    </row>
    <row r="99" spans="1:20" hidden="1" x14ac:dyDescent="0.35">
      <c r="A99" s="5" t="s">
        <v>33</v>
      </c>
      <c r="B99" s="5" t="s">
        <v>32</v>
      </c>
      <c r="C99" s="33">
        <v>45689</v>
      </c>
      <c r="D99" s="5" t="s">
        <v>19</v>
      </c>
      <c r="E99" s="5">
        <v>7</v>
      </c>
      <c r="F99" s="5" t="s">
        <v>31</v>
      </c>
      <c r="G99" s="6">
        <v>0</v>
      </c>
      <c r="H99" s="7">
        <v>1867.13</v>
      </c>
      <c r="I99" s="6">
        <v>0</v>
      </c>
      <c r="J99" s="6">
        <v>0</v>
      </c>
      <c r="K99" s="6">
        <v>0</v>
      </c>
      <c r="L99" s="6">
        <v>0</v>
      </c>
      <c r="M99" s="6">
        <v>8272</v>
      </c>
      <c r="N99" s="6">
        <v>0</v>
      </c>
      <c r="O99" s="5">
        <v>244</v>
      </c>
      <c r="P99" s="5">
        <v>3</v>
      </c>
      <c r="Q99" s="5">
        <v>182</v>
      </c>
      <c r="R99" s="5">
        <v>0</v>
      </c>
      <c r="S99" t="s">
        <v>40</v>
      </c>
      <c r="T99" s="5">
        <v>2025</v>
      </c>
    </row>
    <row r="100" spans="1:20" hidden="1" x14ac:dyDescent="0.35">
      <c r="A100" s="5" t="s">
        <v>33</v>
      </c>
      <c r="B100" s="5" t="s">
        <v>32</v>
      </c>
      <c r="C100" s="33">
        <v>45689</v>
      </c>
      <c r="D100" s="5" t="s">
        <v>19</v>
      </c>
      <c r="E100" s="5">
        <v>8</v>
      </c>
      <c r="F100" s="5" t="s">
        <v>49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5">
        <v>0</v>
      </c>
      <c r="P100" s="5">
        <v>1</v>
      </c>
      <c r="Q100" s="5">
        <v>0</v>
      </c>
      <c r="R100" s="5">
        <v>0</v>
      </c>
      <c r="S100" t="s">
        <v>40</v>
      </c>
      <c r="T100" s="5">
        <v>2025</v>
      </c>
    </row>
    <row r="101" spans="1:20" hidden="1" x14ac:dyDescent="0.35">
      <c r="A101" s="5" t="s">
        <v>33</v>
      </c>
      <c r="B101" s="5" t="s">
        <v>32</v>
      </c>
      <c r="C101" s="33">
        <v>45689</v>
      </c>
      <c r="D101" s="5" t="s">
        <v>19</v>
      </c>
      <c r="E101" s="5">
        <v>10</v>
      </c>
      <c r="F101" s="5" t="s">
        <v>49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2922</v>
      </c>
      <c r="N101" s="6">
        <v>0</v>
      </c>
      <c r="O101" s="5">
        <v>50</v>
      </c>
      <c r="P101" s="5">
        <v>2</v>
      </c>
      <c r="Q101" s="5">
        <v>19</v>
      </c>
      <c r="R101" s="5">
        <v>0</v>
      </c>
      <c r="S101" t="s">
        <v>40</v>
      </c>
      <c r="T101" s="5">
        <v>2025</v>
      </c>
    </row>
    <row r="102" spans="1:20" hidden="1" x14ac:dyDescent="0.35">
      <c r="A102" s="5" t="s">
        <v>23</v>
      </c>
      <c r="B102" s="5" t="s">
        <v>26</v>
      </c>
      <c r="C102" s="33">
        <v>45717</v>
      </c>
      <c r="D102" s="5" t="s">
        <v>16</v>
      </c>
      <c r="E102" s="5" t="s">
        <v>49</v>
      </c>
      <c r="F102" s="5" t="s">
        <v>48</v>
      </c>
      <c r="G102" s="6">
        <v>0</v>
      </c>
      <c r="H102" s="7">
        <v>1112.43</v>
      </c>
      <c r="I102" s="6">
        <v>0</v>
      </c>
      <c r="J102" s="6">
        <v>0</v>
      </c>
      <c r="K102" s="6">
        <v>0</v>
      </c>
      <c r="L102" s="6">
        <v>0</v>
      </c>
      <c r="M102" s="6">
        <v>710</v>
      </c>
      <c r="N102" s="6">
        <v>0</v>
      </c>
      <c r="O102" s="5">
        <v>0</v>
      </c>
      <c r="P102" s="5">
        <v>6</v>
      </c>
      <c r="Q102" s="5">
        <v>6</v>
      </c>
      <c r="R102" s="5">
        <v>0</v>
      </c>
      <c r="S102" t="s">
        <v>40</v>
      </c>
      <c r="T102" s="5">
        <v>2025</v>
      </c>
    </row>
    <row r="103" spans="1:20" hidden="1" x14ac:dyDescent="0.35">
      <c r="A103" s="5" t="s">
        <v>23</v>
      </c>
      <c r="B103" s="5" t="s">
        <v>26</v>
      </c>
      <c r="C103" s="33">
        <v>45717</v>
      </c>
      <c r="D103" s="5" t="s">
        <v>19</v>
      </c>
      <c r="E103" s="5" t="s">
        <v>49</v>
      </c>
      <c r="F103" s="5" t="s">
        <v>49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5">
        <v>163</v>
      </c>
      <c r="P103" s="5">
        <v>1</v>
      </c>
      <c r="Q103" s="5">
        <v>1</v>
      </c>
      <c r="R103" s="5">
        <v>0</v>
      </c>
      <c r="S103" t="s">
        <v>40</v>
      </c>
      <c r="T103" s="5">
        <v>2025</v>
      </c>
    </row>
    <row r="104" spans="1:20" hidden="1" x14ac:dyDescent="0.35">
      <c r="A104" s="5" t="s">
        <v>23</v>
      </c>
      <c r="B104" s="5" t="s">
        <v>26</v>
      </c>
      <c r="C104" s="33">
        <v>45717</v>
      </c>
      <c r="D104" s="5" t="s">
        <v>16</v>
      </c>
      <c r="E104" s="5">
        <v>6</v>
      </c>
      <c r="F104" s="5" t="s">
        <v>48</v>
      </c>
      <c r="G104" s="6">
        <v>0</v>
      </c>
      <c r="H104" s="7">
        <v>462.44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5">
        <v>31</v>
      </c>
      <c r="P104" s="5">
        <v>5</v>
      </c>
      <c r="Q104" s="5">
        <v>3</v>
      </c>
      <c r="R104" s="5">
        <v>0</v>
      </c>
      <c r="S104" t="s">
        <v>40</v>
      </c>
      <c r="T104" s="5">
        <v>2025</v>
      </c>
    </row>
    <row r="105" spans="1:20" hidden="1" x14ac:dyDescent="0.35">
      <c r="A105" s="5" t="s">
        <v>23</v>
      </c>
      <c r="B105" s="5" t="s">
        <v>26</v>
      </c>
      <c r="C105" s="33">
        <v>45717</v>
      </c>
      <c r="D105" s="5" t="s">
        <v>19</v>
      </c>
      <c r="E105" s="5">
        <v>6</v>
      </c>
      <c r="F105" s="5" t="s">
        <v>49</v>
      </c>
      <c r="G105" s="6">
        <v>0</v>
      </c>
      <c r="H105" s="7">
        <v>1350.1599999999901</v>
      </c>
      <c r="I105" s="6">
        <v>0</v>
      </c>
      <c r="J105" s="6">
        <v>0</v>
      </c>
      <c r="K105" s="6">
        <v>0</v>
      </c>
      <c r="L105" s="6">
        <v>0</v>
      </c>
      <c r="M105" s="6">
        <v>1185</v>
      </c>
      <c r="N105" s="6">
        <v>0</v>
      </c>
      <c r="O105" s="5">
        <v>237</v>
      </c>
      <c r="P105" s="5">
        <v>2</v>
      </c>
      <c r="Q105" s="5">
        <v>11</v>
      </c>
      <c r="R105" s="5">
        <v>0</v>
      </c>
      <c r="S105" t="s">
        <v>40</v>
      </c>
      <c r="T105" s="5">
        <v>2025</v>
      </c>
    </row>
    <row r="106" spans="1:20" hidden="1" x14ac:dyDescent="0.35">
      <c r="A106" s="5" t="s">
        <v>23</v>
      </c>
      <c r="B106" s="5" t="s">
        <v>26</v>
      </c>
      <c r="C106" s="33">
        <v>45717</v>
      </c>
      <c r="D106" s="5" t="s">
        <v>19</v>
      </c>
      <c r="E106" s="5">
        <v>6</v>
      </c>
      <c r="F106" s="5" t="s">
        <v>30</v>
      </c>
      <c r="G106" s="6">
        <v>0</v>
      </c>
      <c r="H106" s="7">
        <v>1398.72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5">
        <v>0</v>
      </c>
      <c r="P106" s="5">
        <v>1</v>
      </c>
      <c r="Q106" s="5">
        <v>0</v>
      </c>
      <c r="R106" s="5">
        <v>0</v>
      </c>
      <c r="S106" t="s">
        <v>40</v>
      </c>
      <c r="T106" s="5">
        <v>2025</v>
      </c>
    </row>
    <row r="107" spans="1:20" hidden="1" x14ac:dyDescent="0.35">
      <c r="A107" s="5" t="s">
        <v>23</v>
      </c>
      <c r="B107" s="5" t="s">
        <v>26</v>
      </c>
      <c r="C107" s="33">
        <v>45717</v>
      </c>
      <c r="D107" s="5" t="s">
        <v>19</v>
      </c>
      <c r="E107" s="5">
        <v>6</v>
      </c>
      <c r="F107" s="5" t="s">
        <v>31</v>
      </c>
      <c r="G107" s="6">
        <v>0</v>
      </c>
      <c r="H107" s="7">
        <v>3135.89</v>
      </c>
      <c r="I107" s="6">
        <v>0</v>
      </c>
      <c r="J107" s="6">
        <v>0</v>
      </c>
      <c r="K107" s="6">
        <v>0</v>
      </c>
      <c r="L107" s="6">
        <v>0</v>
      </c>
      <c r="M107" s="6">
        <v>1123</v>
      </c>
      <c r="N107" s="6">
        <v>0</v>
      </c>
      <c r="O107" s="5">
        <v>553</v>
      </c>
      <c r="P107" s="5">
        <v>3</v>
      </c>
      <c r="Q107" s="5">
        <v>0</v>
      </c>
      <c r="R107" s="5">
        <v>0</v>
      </c>
      <c r="S107" t="s">
        <v>40</v>
      </c>
      <c r="T107" s="5">
        <v>2025</v>
      </c>
    </row>
    <row r="108" spans="1:20" hidden="1" x14ac:dyDescent="0.35">
      <c r="A108" s="5" t="s">
        <v>23</v>
      </c>
      <c r="B108" s="5" t="s">
        <v>26</v>
      </c>
      <c r="C108" s="33">
        <v>45717</v>
      </c>
      <c r="D108" s="5" t="s">
        <v>16</v>
      </c>
      <c r="E108" s="5">
        <v>7</v>
      </c>
      <c r="F108" s="5" t="s">
        <v>48</v>
      </c>
      <c r="G108" s="6">
        <v>6214.49</v>
      </c>
      <c r="H108" s="7">
        <v>174971.66</v>
      </c>
      <c r="I108" s="6">
        <v>0</v>
      </c>
      <c r="J108" s="6">
        <v>0</v>
      </c>
      <c r="K108" s="6">
        <v>0</v>
      </c>
      <c r="L108" s="6">
        <v>0</v>
      </c>
      <c r="M108" s="6">
        <v>27960</v>
      </c>
      <c r="N108" s="6">
        <v>0</v>
      </c>
      <c r="O108" s="5">
        <v>224</v>
      </c>
      <c r="P108" s="5">
        <v>32</v>
      </c>
      <c r="Q108" s="5">
        <v>92</v>
      </c>
      <c r="R108" s="5">
        <v>0</v>
      </c>
      <c r="S108" t="s">
        <v>40</v>
      </c>
      <c r="T108" s="5">
        <v>2025</v>
      </c>
    </row>
    <row r="109" spans="1:20" hidden="1" x14ac:dyDescent="0.35">
      <c r="A109" s="5" t="s">
        <v>23</v>
      </c>
      <c r="B109" s="5" t="s">
        <v>26</v>
      </c>
      <c r="C109" s="33">
        <v>45717</v>
      </c>
      <c r="D109" s="5" t="s">
        <v>19</v>
      </c>
      <c r="E109" s="5">
        <v>7</v>
      </c>
      <c r="F109" s="5" t="s">
        <v>49</v>
      </c>
      <c r="G109" s="6">
        <v>17372</v>
      </c>
      <c r="H109" s="7">
        <v>52383.98</v>
      </c>
      <c r="I109" s="6">
        <v>0</v>
      </c>
      <c r="J109" s="6">
        <v>0</v>
      </c>
      <c r="K109" s="6">
        <v>0</v>
      </c>
      <c r="L109" s="6">
        <v>0</v>
      </c>
      <c r="M109" s="6">
        <v>22476</v>
      </c>
      <c r="N109" s="6">
        <v>0</v>
      </c>
      <c r="O109" s="5">
        <v>161</v>
      </c>
      <c r="P109" s="5">
        <v>71</v>
      </c>
      <c r="Q109" s="5">
        <v>171</v>
      </c>
      <c r="R109" s="5">
        <v>0</v>
      </c>
      <c r="S109" t="s">
        <v>40</v>
      </c>
      <c r="T109" s="5">
        <v>2025</v>
      </c>
    </row>
    <row r="110" spans="1:20" hidden="1" x14ac:dyDescent="0.35">
      <c r="A110" s="5" t="s">
        <v>23</v>
      </c>
      <c r="B110" s="5" t="s">
        <v>26</v>
      </c>
      <c r="C110" s="33">
        <v>45717</v>
      </c>
      <c r="D110" s="5" t="s">
        <v>19</v>
      </c>
      <c r="E110" s="5">
        <v>7</v>
      </c>
      <c r="F110" s="5" t="s">
        <v>30</v>
      </c>
      <c r="G110" s="6">
        <v>140778.93</v>
      </c>
      <c r="H110" s="7">
        <v>180304.34</v>
      </c>
      <c r="I110" s="6">
        <v>0</v>
      </c>
      <c r="J110" s="6">
        <v>0</v>
      </c>
      <c r="K110" s="6">
        <v>0</v>
      </c>
      <c r="L110" s="6">
        <v>0</v>
      </c>
      <c r="M110" s="6">
        <v>214489</v>
      </c>
      <c r="N110" s="6">
        <v>192989.51</v>
      </c>
      <c r="O110" s="5">
        <v>283</v>
      </c>
      <c r="P110" s="5">
        <v>12</v>
      </c>
      <c r="Q110" s="5">
        <v>13</v>
      </c>
      <c r="R110" s="5">
        <v>0</v>
      </c>
      <c r="S110" t="s">
        <v>40</v>
      </c>
      <c r="T110" s="5">
        <v>2025</v>
      </c>
    </row>
    <row r="111" spans="1:20" hidden="1" x14ac:dyDescent="0.35">
      <c r="A111" s="5" t="s">
        <v>23</v>
      </c>
      <c r="B111" s="5" t="s">
        <v>26</v>
      </c>
      <c r="C111" s="33">
        <v>45717</v>
      </c>
      <c r="D111" s="5" t="s">
        <v>19</v>
      </c>
      <c r="E111" s="5">
        <v>7</v>
      </c>
      <c r="F111" s="5" t="s">
        <v>31</v>
      </c>
      <c r="G111" s="6">
        <v>0</v>
      </c>
      <c r="H111" s="7">
        <v>28440.6</v>
      </c>
      <c r="I111" s="6">
        <v>0</v>
      </c>
      <c r="J111" s="6">
        <v>0</v>
      </c>
      <c r="K111" s="6">
        <v>0</v>
      </c>
      <c r="L111" s="6">
        <v>0</v>
      </c>
      <c r="M111" s="6">
        <v>14506</v>
      </c>
      <c r="N111" s="6">
        <v>0</v>
      </c>
      <c r="O111" s="5">
        <v>204</v>
      </c>
      <c r="P111" s="5">
        <v>15</v>
      </c>
      <c r="Q111" s="5">
        <v>76</v>
      </c>
      <c r="R111" s="5">
        <v>0</v>
      </c>
      <c r="S111" t="s">
        <v>40</v>
      </c>
      <c r="T111" s="5">
        <v>2025</v>
      </c>
    </row>
    <row r="112" spans="1:20" hidden="1" x14ac:dyDescent="0.35">
      <c r="A112" s="5" t="s">
        <v>23</v>
      </c>
      <c r="B112" s="5" t="s">
        <v>26</v>
      </c>
      <c r="C112" s="33">
        <v>45717</v>
      </c>
      <c r="D112" s="5" t="s">
        <v>16</v>
      </c>
      <c r="E112" s="5">
        <v>8</v>
      </c>
      <c r="F112" s="5" t="s">
        <v>48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14248</v>
      </c>
      <c r="N112" s="6">
        <v>0</v>
      </c>
      <c r="O112" s="5">
        <v>100</v>
      </c>
      <c r="P112" s="5">
        <v>3</v>
      </c>
      <c r="Q112" s="5">
        <v>0</v>
      </c>
      <c r="R112" s="5">
        <v>0</v>
      </c>
      <c r="S112" t="s">
        <v>40</v>
      </c>
      <c r="T112" s="5">
        <v>2025</v>
      </c>
    </row>
    <row r="113" spans="1:20" hidden="1" x14ac:dyDescent="0.35">
      <c r="A113" s="5" t="s">
        <v>23</v>
      </c>
      <c r="B113" s="5" t="s">
        <v>26</v>
      </c>
      <c r="C113" s="33">
        <v>45717</v>
      </c>
      <c r="D113" s="5" t="s">
        <v>19</v>
      </c>
      <c r="E113" s="5">
        <v>8</v>
      </c>
      <c r="F113" s="5" t="s">
        <v>49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5">
        <v>0</v>
      </c>
      <c r="P113" s="5">
        <v>1</v>
      </c>
      <c r="Q113" s="5">
        <v>2</v>
      </c>
      <c r="R113" s="5">
        <v>0</v>
      </c>
      <c r="S113" t="s">
        <v>40</v>
      </c>
      <c r="T113" s="5">
        <v>2025</v>
      </c>
    </row>
    <row r="114" spans="1:20" hidden="1" x14ac:dyDescent="0.35">
      <c r="A114" s="5" t="s">
        <v>23</v>
      </c>
      <c r="B114" s="5" t="s">
        <v>26</v>
      </c>
      <c r="C114" s="33">
        <v>45717</v>
      </c>
      <c r="D114" s="5" t="s">
        <v>27</v>
      </c>
      <c r="E114" s="5">
        <v>10</v>
      </c>
      <c r="F114" s="5" t="s">
        <v>48</v>
      </c>
      <c r="G114" s="6">
        <v>0</v>
      </c>
      <c r="H114" s="7">
        <v>23263.62</v>
      </c>
      <c r="I114" s="6">
        <v>0</v>
      </c>
      <c r="J114" s="6">
        <v>0</v>
      </c>
      <c r="K114" s="6">
        <v>0</v>
      </c>
      <c r="L114" s="6">
        <v>0</v>
      </c>
      <c r="M114" s="6">
        <v>1001</v>
      </c>
      <c r="N114" s="6">
        <v>0</v>
      </c>
      <c r="O114" s="5">
        <v>376</v>
      </c>
      <c r="P114" s="5">
        <v>1</v>
      </c>
      <c r="Q114" s="5">
        <v>0</v>
      </c>
      <c r="R114" s="5">
        <v>0</v>
      </c>
      <c r="S114" t="s">
        <v>40</v>
      </c>
      <c r="T114" s="5">
        <v>2025</v>
      </c>
    </row>
    <row r="115" spans="1:20" hidden="1" x14ac:dyDescent="0.35">
      <c r="A115" s="5" t="s">
        <v>23</v>
      </c>
      <c r="B115" s="5" t="s">
        <v>26</v>
      </c>
      <c r="C115" s="33">
        <v>45717</v>
      </c>
      <c r="D115" s="5" t="s">
        <v>16</v>
      </c>
      <c r="E115" s="5">
        <v>10</v>
      </c>
      <c r="F115" s="5" t="s">
        <v>48</v>
      </c>
      <c r="G115" s="6">
        <v>5559</v>
      </c>
      <c r="H115" s="7">
        <v>203374.01</v>
      </c>
      <c r="I115" s="6">
        <v>0</v>
      </c>
      <c r="J115" s="6">
        <v>0</v>
      </c>
      <c r="K115" s="6">
        <v>0</v>
      </c>
      <c r="L115" s="6">
        <v>0</v>
      </c>
      <c r="M115" s="6">
        <v>190232</v>
      </c>
      <c r="N115" s="6">
        <v>31139.03</v>
      </c>
      <c r="O115" s="5">
        <v>291</v>
      </c>
      <c r="P115" s="5">
        <v>18</v>
      </c>
      <c r="Q115" s="5">
        <v>43</v>
      </c>
      <c r="R115" s="5">
        <v>0</v>
      </c>
      <c r="S115" t="s">
        <v>40</v>
      </c>
      <c r="T115" s="5">
        <v>2025</v>
      </c>
    </row>
    <row r="116" spans="1:20" hidden="1" x14ac:dyDescent="0.35">
      <c r="A116" s="5" t="s">
        <v>23</v>
      </c>
      <c r="B116" s="5" t="s">
        <v>26</v>
      </c>
      <c r="C116" s="33">
        <v>45717</v>
      </c>
      <c r="D116" s="5" t="s">
        <v>17</v>
      </c>
      <c r="E116" s="5">
        <v>10</v>
      </c>
      <c r="F116" s="5" t="s">
        <v>48</v>
      </c>
      <c r="G116" s="6">
        <v>0</v>
      </c>
      <c r="H116" s="7">
        <v>23634.18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5">
        <v>0</v>
      </c>
      <c r="P116" s="5">
        <v>2</v>
      </c>
      <c r="Q116" s="5">
        <v>0</v>
      </c>
      <c r="R116" s="5">
        <v>0</v>
      </c>
      <c r="S116" t="s">
        <v>40</v>
      </c>
      <c r="T116" s="5">
        <v>2025</v>
      </c>
    </row>
    <row r="117" spans="1:20" hidden="1" x14ac:dyDescent="0.35">
      <c r="A117" s="5" t="s">
        <v>23</v>
      </c>
      <c r="B117" s="5" t="s">
        <v>26</v>
      </c>
      <c r="C117" s="33">
        <v>45717</v>
      </c>
      <c r="D117" s="5" t="s">
        <v>19</v>
      </c>
      <c r="E117" s="5">
        <v>10</v>
      </c>
      <c r="F117" s="5" t="s">
        <v>49</v>
      </c>
      <c r="G117" s="6">
        <v>2799</v>
      </c>
      <c r="H117" s="7">
        <v>16589.36</v>
      </c>
      <c r="I117" s="6">
        <v>0</v>
      </c>
      <c r="J117" s="6">
        <v>0</v>
      </c>
      <c r="K117" s="6">
        <v>0</v>
      </c>
      <c r="L117" s="6">
        <v>0</v>
      </c>
      <c r="M117" s="6">
        <v>27687</v>
      </c>
      <c r="N117" s="6">
        <v>0</v>
      </c>
      <c r="O117" s="5">
        <v>137</v>
      </c>
      <c r="P117" s="5">
        <v>21</v>
      </c>
      <c r="Q117" s="5">
        <v>41</v>
      </c>
      <c r="R117" s="5">
        <v>0</v>
      </c>
      <c r="S117" t="s">
        <v>40</v>
      </c>
      <c r="T117" s="5">
        <v>2025</v>
      </c>
    </row>
    <row r="118" spans="1:20" hidden="1" x14ac:dyDescent="0.35">
      <c r="A118" s="5" t="s">
        <v>23</v>
      </c>
      <c r="B118" s="5" t="s">
        <v>26</v>
      </c>
      <c r="C118" s="33">
        <v>45717</v>
      </c>
      <c r="D118" s="5" t="s">
        <v>19</v>
      </c>
      <c r="E118" s="5">
        <v>10</v>
      </c>
      <c r="F118" s="5" t="s">
        <v>30</v>
      </c>
      <c r="G118" s="6">
        <v>0</v>
      </c>
      <c r="H118" s="7">
        <v>1092.79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5">
        <v>152</v>
      </c>
      <c r="P118" s="5">
        <v>3</v>
      </c>
      <c r="Q118" s="5">
        <v>3</v>
      </c>
      <c r="R118" s="5">
        <v>0</v>
      </c>
      <c r="S118" t="s">
        <v>40</v>
      </c>
      <c r="T118" s="5">
        <v>2025</v>
      </c>
    </row>
    <row r="119" spans="1:20" hidden="1" x14ac:dyDescent="0.35">
      <c r="A119" s="5" t="s">
        <v>23</v>
      </c>
      <c r="B119" s="5" t="s">
        <v>26</v>
      </c>
      <c r="C119" s="33">
        <v>45717</v>
      </c>
      <c r="D119" s="5" t="s">
        <v>19</v>
      </c>
      <c r="E119" s="5">
        <v>10</v>
      </c>
      <c r="F119" s="5" t="s">
        <v>31</v>
      </c>
      <c r="G119" s="6">
        <v>18250.14</v>
      </c>
      <c r="H119" s="7">
        <v>27885.3</v>
      </c>
      <c r="I119" s="6">
        <v>0</v>
      </c>
      <c r="J119" s="6">
        <v>0</v>
      </c>
      <c r="K119" s="6">
        <v>0</v>
      </c>
      <c r="L119" s="6">
        <v>0</v>
      </c>
      <c r="M119" s="6">
        <v>35382</v>
      </c>
      <c r="N119" s="6">
        <v>0</v>
      </c>
      <c r="O119" s="5">
        <v>237</v>
      </c>
      <c r="P119" s="5">
        <v>19</v>
      </c>
      <c r="Q119" s="5">
        <v>26</v>
      </c>
      <c r="R119" s="5">
        <v>0</v>
      </c>
      <c r="S119" t="s">
        <v>40</v>
      </c>
      <c r="T119" s="5">
        <v>2025</v>
      </c>
    </row>
    <row r="120" spans="1:20" hidden="1" x14ac:dyDescent="0.35">
      <c r="A120" s="5" t="s">
        <v>23</v>
      </c>
      <c r="B120" s="5" t="s">
        <v>26</v>
      </c>
      <c r="C120" s="33">
        <v>45717</v>
      </c>
      <c r="D120" s="5" t="s">
        <v>19</v>
      </c>
      <c r="E120" s="5">
        <v>14</v>
      </c>
      <c r="F120" s="5" t="s">
        <v>31</v>
      </c>
      <c r="G120" s="6">
        <v>0</v>
      </c>
      <c r="H120" s="7">
        <v>1387.22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5">
        <v>0</v>
      </c>
      <c r="P120" s="5">
        <v>1</v>
      </c>
      <c r="Q120" s="5">
        <v>3</v>
      </c>
      <c r="R120" s="5">
        <v>0</v>
      </c>
      <c r="S120" t="s">
        <v>40</v>
      </c>
      <c r="T120" s="5">
        <v>2025</v>
      </c>
    </row>
    <row r="121" spans="1:20" hidden="1" x14ac:dyDescent="0.35">
      <c r="A121" s="5" t="s">
        <v>23</v>
      </c>
      <c r="B121" s="5" t="s">
        <v>32</v>
      </c>
      <c r="C121" s="33">
        <v>45717</v>
      </c>
      <c r="D121" s="5" t="s">
        <v>19</v>
      </c>
      <c r="E121" s="5" t="s">
        <v>49</v>
      </c>
      <c r="F121" s="5" t="s">
        <v>49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4895</v>
      </c>
      <c r="N121" s="6">
        <v>0</v>
      </c>
      <c r="O121" s="5">
        <v>77</v>
      </c>
      <c r="P121" s="5">
        <v>2</v>
      </c>
      <c r="Q121" s="5">
        <v>1</v>
      </c>
      <c r="R121" s="5">
        <v>0</v>
      </c>
      <c r="S121" t="s">
        <v>40</v>
      </c>
      <c r="T121" s="5">
        <v>2025</v>
      </c>
    </row>
    <row r="122" spans="1:20" hidden="1" x14ac:dyDescent="0.35">
      <c r="A122" s="5" t="s">
        <v>23</v>
      </c>
      <c r="B122" s="5" t="s">
        <v>32</v>
      </c>
      <c r="C122" s="33">
        <v>45717</v>
      </c>
      <c r="D122" s="5" t="s">
        <v>19</v>
      </c>
      <c r="E122" s="5" t="s">
        <v>49</v>
      </c>
      <c r="F122" s="5" t="s">
        <v>31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5">
        <v>250</v>
      </c>
      <c r="P122" s="5">
        <v>1</v>
      </c>
      <c r="Q122" s="5">
        <v>0</v>
      </c>
      <c r="R122" s="5">
        <v>0</v>
      </c>
      <c r="S122" t="s">
        <v>40</v>
      </c>
      <c r="T122" s="5">
        <v>2025</v>
      </c>
    </row>
    <row r="123" spans="1:20" hidden="1" x14ac:dyDescent="0.35">
      <c r="A123" s="5" t="s">
        <v>23</v>
      </c>
      <c r="B123" s="5" t="s">
        <v>32</v>
      </c>
      <c r="C123" s="33">
        <v>45717</v>
      </c>
      <c r="D123" s="5" t="s">
        <v>19</v>
      </c>
      <c r="E123" s="5">
        <v>6</v>
      </c>
      <c r="F123" s="5" t="s">
        <v>49</v>
      </c>
      <c r="G123" s="6">
        <v>0</v>
      </c>
      <c r="H123" s="7">
        <v>2562.0300000000002</v>
      </c>
      <c r="I123" s="6">
        <v>0</v>
      </c>
      <c r="J123" s="6">
        <v>0</v>
      </c>
      <c r="K123" s="6">
        <v>0</v>
      </c>
      <c r="L123" s="6">
        <v>0</v>
      </c>
      <c r="M123" s="6">
        <v>3307</v>
      </c>
      <c r="N123" s="6">
        <v>0</v>
      </c>
      <c r="O123" s="5">
        <v>0</v>
      </c>
      <c r="P123" s="5">
        <v>3</v>
      </c>
      <c r="Q123" s="5">
        <v>2</v>
      </c>
      <c r="R123" s="5">
        <v>0</v>
      </c>
      <c r="S123" t="s">
        <v>40</v>
      </c>
      <c r="T123" s="5">
        <v>2025</v>
      </c>
    </row>
    <row r="124" spans="1:20" hidden="1" x14ac:dyDescent="0.35">
      <c r="A124" s="5" t="s">
        <v>23</v>
      </c>
      <c r="B124" s="5" t="s">
        <v>32</v>
      </c>
      <c r="C124" s="33">
        <v>45717</v>
      </c>
      <c r="D124" s="5" t="s">
        <v>19</v>
      </c>
      <c r="E124" s="5">
        <v>6</v>
      </c>
      <c r="F124" s="5" t="s">
        <v>31</v>
      </c>
      <c r="G124" s="6">
        <v>0</v>
      </c>
      <c r="H124" s="7">
        <v>2416.3200000000002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5">
        <v>0</v>
      </c>
      <c r="P124" s="5">
        <v>1</v>
      </c>
      <c r="Q124" s="5">
        <v>2</v>
      </c>
      <c r="R124" s="5">
        <v>0</v>
      </c>
      <c r="S124" t="s">
        <v>40</v>
      </c>
      <c r="T124" s="5">
        <v>2025</v>
      </c>
    </row>
    <row r="125" spans="1:20" hidden="1" x14ac:dyDescent="0.35">
      <c r="A125" s="5" t="s">
        <v>23</v>
      </c>
      <c r="B125" s="5" t="s">
        <v>32</v>
      </c>
      <c r="C125" s="33">
        <v>45717</v>
      </c>
      <c r="D125" s="5" t="s">
        <v>16</v>
      </c>
      <c r="E125" s="5">
        <v>7</v>
      </c>
      <c r="F125" s="5" t="s">
        <v>48</v>
      </c>
      <c r="G125" s="6">
        <v>0</v>
      </c>
      <c r="H125" s="7">
        <v>408166.79</v>
      </c>
      <c r="I125" s="6">
        <v>0</v>
      </c>
      <c r="J125" s="6">
        <v>0</v>
      </c>
      <c r="K125" s="6">
        <v>0</v>
      </c>
      <c r="L125" s="6">
        <v>0</v>
      </c>
      <c r="M125" s="6">
        <v>89913</v>
      </c>
      <c r="N125" s="6">
        <v>20376.82</v>
      </c>
      <c r="O125" s="5">
        <v>231</v>
      </c>
      <c r="P125" s="5">
        <v>33</v>
      </c>
      <c r="Q125" s="5">
        <v>45</v>
      </c>
      <c r="R125" s="5">
        <v>0</v>
      </c>
      <c r="S125" t="s">
        <v>40</v>
      </c>
      <c r="T125" s="5">
        <v>2025</v>
      </c>
    </row>
    <row r="126" spans="1:20" hidden="1" x14ac:dyDescent="0.35">
      <c r="A126" s="5" t="s">
        <v>23</v>
      </c>
      <c r="B126" s="5" t="s">
        <v>32</v>
      </c>
      <c r="C126" s="33">
        <v>45717</v>
      </c>
      <c r="D126" s="5" t="s">
        <v>19</v>
      </c>
      <c r="E126" s="5">
        <v>7</v>
      </c>
      <c r="F126" s="5" t="s">
        <v>49</v>
      </c>
      <c r="G126" s="6">
        <v>0</v>
      </c>
      <c r="H126" s="7">
        <v>39578.74</v>
      </c>
      <c r="I126" s="6">
        <v>0</v>
      </c>
      <c r="J126" s="6">
        <v>0</v>
      </c>
      <c r="K126" s="6">
        <v>0</v>
      </c>
      <c r="L126" s="6">
        <v>0</v>
      </c>
      <c r="M126" s="6">
        <v>88724</v>
      </c>
      <c r="N126" s="6">
        <v>0</v>
      </c>
      <c r="O126" s="5">
        <v>134</v>
      </c>
      <c r="P126" s="5">
        <v>59</v>
      </c>
      <c r="Q126" s="5">
        <v>82</v>
      </c>
      <c r="R126" s="5">
        <v>0</v>
      </c>
      <c r="S126" t="s">
        <v>40</v>
      </c>
      <c r="T126" s="5">
        <v>2025</v>
      </c>
    </row>
    <row r="127" spans="1:20" hidden="1" x14ac:dyDescent="0.35">
      <c r="A127" s="5" t="s">
        <v>23</v>
      </c>
      <c r="B127" s="5" t="s">
        <v>32</v>
      </c>
      <c r="C127" s="33">
        <v>45717</v>
      </c>
      <c r="D127" s="5" t="s">
        <v>19</v>
      </c>
      <c r="E127" s="5">
        <v>7</v>
      </c>
      <c r="F127" s="5" t="s">
        <v>30</v>
      </c>
      <c r="G127" s="6">
        <v>158717.21</v>
      </c>
      <c r="H127" s="7">
        <v>285080.37</v>
      </c>
      <c r="I127" s="6">
        <v>0</v>
      </c>
      <c r="J127" s="6">
        <v>0</v>
      </c>
      <c r="K127" s="6">
        <v>0</v>
      </c>
      <c r="L127" s="6">
        <v>0</v>
      </c>
      <c r="M127" s="6">
        <v>348773</v>
      </c>
      <c r="N127" s="6">
        <v>310072.42</v>
      </c>
      <c r="O127" s="5">
        <v>442</v>
      </c>
      <c r="P127" s="5">
        <v>14</v>
      </c>
      <c r="Q127" s="5">
        <v>19</v>
      </c>
      <c r="R127" s="5">
        <v>0</v>
      </c>
      <c r="S127" t="s">
        <v>40</v>
      </c>
      <c r="T127" s="5">
        <v>2025</v>
      </c>
    </row>
    <row r="128" spans="1:20" hidden="1" x14ac:dyDescent="0.35">
      <c r="A128" s="5" t="s">
        <v>23</v>
      </c>
      <c r="B128" s="5" t="s">
        <v>32</v>
      </c>
      <c r="C128" s="33">
        <v>45717</v>
      </c>
      <c r="D128" s="5" t="s">
        <v>19</v>
      </c>
      <c r="E128" s="5">
        <v>7</v>
      </c>
      <c r="F128" s="5" t="s">
        <v>31</v>
      </c>
      <c r="G128" s="6">
        <v>63372.160000000003</v>
      </c>
      <c r="H128" s="7">
        <v>107980.4</v>
      </c>
      <c r="I128" s="6">
        <v>0</v>
      </c>
      <c r="J128" s="6">
        <v>0</v>
      </c>
      <c r="K128" s="6">
        <v>0</v>
      </c>
      <c r="L128" s="6">
        <v>0</v>
      </c>
      <c r="M128" s="6">
        <v>69348</v>
      </c>
      <c r="N128" s="6">
        <v>0</v>
      </c>
      <c r="O128" s="5">
        <v>100</v>
      </c>
      <c r="P128" s="5">
        <v>29</v>
      </c>
      <c r="Q128" s="5">
        <v>37</v>
      </c>
      <c r="R128" s="5">
        <v>0</v>
      </c>
      <c r="S128" t="s">
        <v>40</v>
      </c>
      <c r="T128" s="5">
        <v>2025</v>
      </c>
    </row>
    <row r="129" spans="1:20" hidden="1" x14ac:dyDescent="0.35">
      <c r="A129" s="5" t="s">
        <v>23</v>
      </c>
      <c r="B129" s="5" t="s">
        <v>32</v>
      </c>
      <c r="C129" s="33">
        <v>45717</v>
      </c>
      <c r="D129" s="5" t="s">
        <v>27</v>
      </c>
      <c r="E129" s="5">
        <v>10</v>
      </c>
      <c r="F129" s="5" t="s">
        <v>48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567</v>
      </c>
      <c r="N129" s="6">
        <v>0</v>
      </c>
      <c r="O129" s="5">
        <v>209</v>
      </c>
      <c r="P129" s="5">
        <v>1</v>
      </c>
      <c r="Q129" s="5">
        <v>0</v>
      </c>
      <c r="R129" s="5">
        <v>0</v>
      </c>
      <c r="S129" t="s">
        <v>40</v>
      </c>
      <c r="T129" s="5">
        <v>2025</v>
      </c>
    </row>
    <row r="130" spans="1:20" hidden="1" x14ac:dyDescent="0.35">
      <c r="A130" s="5" t="s">
        <v>23</v>
      </c>
      <c r="B130" s="5" t="s">
        <v>32</v>
      </c>
      <c r="C130" s="33">
        <v>45717</v>
      </c>
      <c r="D130" s="5" t="s">
        <v>16</v>
      </c>
      <c r="E130" s="5">
        <v>10</v>
      </c>
      <c r="F130" s="5" t="s">
        <v>48</v>
      </c>
      <c r="G130" s="6">
        <v>0</v>
      </c>
      <c r="H130" s="7">
        <v>1456.38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5">
        <v>20</v>
      </c>
      <c r="P130" s="5">
        <v>3</v>
      </c>
      <c r="Q130" s="5">
        <v>19</v>
      </c>
      <c r="R130" s="5">
        <v>0</v>
      </c>
      <c r="S130" t="s">
        <v>40</v>
      </c>
      <c r="T130" s="5">
        <v>2025</v>
      </c>
    </row>
    <row r="131" spans="1:20" hidden="1" x14ac:dyDescent="0.35">
      <c r="A131" s="5" t="s">
        <v>23</v>
      </c>
      <c r="B131" s="5" t="s">
        <v>32</v>
      </c>
      <c r="C131" s="33">
        <v>45717</v>
      </c>
      <c r="D131" s="5" t="s">
        <v>19</v>
      </c>
      <c r="E131" s="5">
        <v>10</v>
      </c>
      <c r="F131" s="5" t="s">
        <v>49</v>
      </c>
      <c r="G131" s="6">
        <v>0</v>
      </c>
      <c r="H131" s="7">
        <v>4465.22</v>
      </c>
      <c r="I131" s="6">
        <v>0</v>
      </c>
      <c r="J131" s="6">
        <v>0</v>
      </c>
      <c r="K131" s="6">
        <v>0</v>
      </c>
      <c r="L131" s="6">
        <v>0</v>
      </c>
      <c r="M131" s="6">
        <v>54148</v>
      </c>
      <c r="N131" s="6">
        <v>0</v>
      </c>
      <c r="O131" s="5">
        <v>336</v>
      </c>
      <c r="P131" s="5">
        <v>9</v>
      </c>
      <c r="Q131" s="5">
        <v>19</v>
      </c>
      <c r="R131" s="5">
        <v>0</v>
      </c>
      <c r="S131" t="s">
        <v>40</v>
      </c>
      <c r="T131" s="5">
        <v>2025</v>
      </c>
    </row>
    <row r="132" spans="1:20" hidden="1" x14ac:dyDescent="0.35">
      <c r="A132" s="5" t="s">
        <v>23</v>
      </c>
      <c r="B132" s="5" t="s">
        <v>32</v>
      </c>
      <c r="C132" s="33">
        <v>45717</v>
      </c>
      <c r="D132" s="5" t="s">
        <v>19</v>
      </c>
      <c r="E132" s="5">
        <v>10</v>
      </c>
      <c r="F132" s="5" t="s">
        <v>30</v>
      </c>
      <c r="G132" s="6">
        <v>8864.3799999999992</v>
      </c>
      <c r="H132" s="7">
        <v>47871.13</v>
      </c>
      <c r="I132" s="6">
        <v>0</v>
      </c>
      <c r="J132" s="6">
        <v>0</v>
      </c>
      <c r="K132" s="6">
        <v>0</v>
      </c>
      <c r="L132" s="6">
        <v>0</v>
      </c>
      <c r="M132" s="6">
        <v>46262</v>
      </c>
      <c r="N132" s="6">
        <v>0</v>
      </c>
      <c r="O132" s="5">
        <v>250</v>
      </c>
      <c r="P132" s="5">
        <v>3</v>
      </c>
      <c r="Q132" s="5">
        <v>0</v>
      </c>
      <c r="R132" s="5">
        <v>0</v>
      </c>
      <c r="S132" t="s">
        <v>40</v>
      </c>
      <c r="T132" s="5">
        <v>2025</v>
      </c>
    </row>
    <row r="133" spans="1:20" hidden="1" x14ac:dyDescent="0.35">
      <c r="A133" s="5" t="s">
        <v>23</v>
      </c>
      <c r="B133" s="5" t="s">
        <v>32</v>
      </c>
      <c r="C133" s="33">
        <v>45717</v>
      </c>
      <c r="D133" s="5" t="s">
        <v>19</v>
      </c>
      <c r="E133" s="5">
        <v>10</v>
      </c>
      <c r="F133" s="5" t="s">
        <v>31</v>
      </c>
      <c r="G133" s="6">
        <v>20012.809999999899</v>
      </c>
      <c r="H133" s="7">
        <v>8079.33</v>
      </c>
      <c r="I133" s="6">
        <v>0</v>
      </c>
      <c r="J133" s="6">
        <v>0</v>
      </c>
      <c r="K133" s="6">
        <v>0</v>
      </c>
      <c r="L133" s="6">
        <v>0</v>
      </c>
      <c r="M133" s="6">
        <v>42293</v>
      </c>
      <c r="N133" s="6">
        <v>33997.71</v>
      </c>
      <c r="O133" s="5">
        <v>142</v>
      </c>
      <c r="P133" s="5">
        <v>12</v>
      </c>
      <c r="Q133" s="5">
        <v>7</v>
      </c>
      <c r="R133" s="5">
        <v>0</v>
      </c>
      <c r="S133" t="s">
        <v>40</v>
      </c>
      <c r="T133" s="5">
        <v>2025</v>
      </c>
    </row>
    <row r="134" spans="1:20" hidden="1" x14ac:dyDescent="0.35">
      <c r="A134" s="5" t="s">
        <v>33</v>
      </c>
      <c r="B134" s="5" t="s">
        <v>26</v>
      </c>
      <c r="C134" s="33">
        <v>45717</v>
      </c>
      <c r="D134" s="5" t="s">
        <v>16</v>
      </c>
      <c r="E134" s="5" t="s">
        <v>49</v>
      </c>
      <c r="F134" s="5" t="s">
        <v>48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5">
        <v>0</v>
      </c>
      <c r="P134" s="5">
        <v>1</v>
      </c>
      <c r="Q134" s="5">
        <v>0</v>
      </c>
      <c r="R134" s="5">
        <v>0</v>
      </c>
      <c r="S134" t="s">
        <v>40</v>
      </c>
      <c r="T134" s="5">
        <v>2025</v>
      </c>
    </row>
    <row r="135" spans="1:20" hidden="1" x14ac:dyDescent="0.35">
      <c r="A135" s="5" t="s">
        <v>33</v>
      </c>
      <c r="B135" s="5" t="s">
        <v>26</v>
      </c>
      <c r="C135" s="33">
        <v>45717</v>
      </c>
      <c r="D135" s="5" t="s">
        <v>19</v>
      </c>
      <c r="E135" s="5" t="s">
        <v>49</v>
      </c>
      <c r="F135" s="5" t="s">
        <v>31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433</v>
      </c>
      <c r="N135" s="6">
        <v>0</v>
      </c>
      <c r="O135" s="5">
        <v>2017</v>
      </c>
      <c r="P135" s="5">
        <v>1</v>
      </c>
      <c r="Q135" s="5">
        <v>0</v>
      </c>
      <c r="R135" s="5">
        <v>0</v>
      </c>
      <c r="S135" t="s">
        <v>40</v>
      </c>
      <c r="T135" s="5">
        <v>2025</v>
      </c>
    </row>
    <row r="136" spans="1:20" hidden="1" x14ac:dyDescent="0.35">
      <c r="A136" s="5" t="s">
        <v>33</v>
      </c>
      <c r="B136" s="5" t="s">
        <v>26</v>
      </c>
      <c r="C136" s="33">
        <v>45717</v>
      </c>
      <c r="D136" s="5" t="s">
        <v>16</v>
      </c>
      <c r="E136" s="5">
        <v>6</v>
      </c>
      <c r="F136" s="5" t="s">
        <v>48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5">
        <v>30</v>
      </c>
      <c r="P136" s="5">
        <v>1</v>
      </c>
      <c r="Q136" s="5">
        <v>4</v>
      </c>
      <c r="R136" s="5">
        <v>0</v>
      </c>
      <c r="S136" t="s">
        <v>40</v>
      </c>
      <c r="T136" s="5">
        <v>2025</v>
      </c>
    </row>
    <row r="137" spans="1:20" hidden="1" x14ac:dyDescent="0.35">
      <c r="A137" s="5" t="s">
        <v>33</v>
      </c>
      <c r="B137" s="5" t="s">
        <v>26</v>
      </c>
      <c r="C137" s="33">
        <v>45717</v>
      </c>
      <c r="D137" s="5" t="s">
        <v>19</v>
      </c>
      <c r="E137" s="5">
        <v>6</v>
      </c>
      <c r="F137" s="5" t="s">
        <v>49</v>
      </c>
      <c r="G137" s="6">
        <v>0</v>
      </c>
      <c r="H137" s="7">
        <v>44012.2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5">
        <v>0</v>
      </c>
      <c r="P137" s="5">
        <v>35</v>
      </c>
      <c r="Q137" s="5">
        <v>58</v>
      </c>
      <c r="R137" s="5">
        <v>0</v>
      </c>
      <c r="S137" t="s">
        <v>40</v>
      </c>
      <c r="T137" s="5">
        <v>2025</v>
      </c>
    </row>
    <row r="138" spans="1:20" hidden="1" x14ac:dyDescent="0.35">
      <c r="A138" s="5" t="s">
        <v>33</v>
      </c>
      <c r="B138" s="5" t="s">
        <v>26</v>
      </c>
      <c r="C138" s="33">
        <v>45717</v>
      </c>
      <c r="D138" s="5" t="s">
        <v>16</v>
      </c>
      <c r="E138" s="5">
        <v>7</v>
      </c>
      <c r="F138" s="5" t="s">
        <v>48</v>
      </c>
      <c r="G138" s="6">
        <v>0</v>
      </c>
      <c r="H138" s="7">
        <v>33129.86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5">
        <v>0</v>
      </c>
      <c r="P138" s="5">
        <v>13</v>
      </c>
      <c r="Q138" s="5">
        <v>31</v>
      </c>
      <c r="R138" s="5">
        <v>0</v>
      </c>
      <c r="S138" t="s">
        <v>40</v>
      </c>
      <c r="T138" s="5">
        <v>2025</v>
      </c>
    </row>
    <row r="139" spans="1:20" hidden="1" x14ac:dyDescent="0.35">
      <c r="A139" s="5" t="s">
        <v>33</v>
      </c>
      <c r="B139" s="5" t="s">
        <v>26</v>
      </c>
      <c r="C139" s="33">
        <v>45717</v>
      </c>
      <c r="D139" s="5" t="s">
        <v>19</v>
      </c>
      <c r="E139" s="5">
        <v>7</v>
      </c>
      <c r="F139" s="5" t="s">
        <v>49</v>
      </c>
      <c r="G139" s="6">
        <v>0</v>
      </c>
      <c r="H139" s="7">
        <v>339858.44</v>
      </c>
      <c r="I139" s="6">
        <v>0</v>
      </c>
      <c r="J139" s="6">
        <v>0</v>
      </c>
      <c r="K139" s="6">
        <v>0</v>
      </c>
      <c r="L139" s="6">
        <v>0</v>
      </c>
      <c r="M139" s="6">
        <v>11007</v>
      </c>
      <c r="N139" s="6">
        <v>0</v>
      </c>
      <c r="O139" s="5">
        <v>113</v>
      </c>
      <c r="P139" s="5">
        <v>370</v>
      </c>
      <c r="Q139" s="5">
        <v>569</v>
      </c>
      <c r="R139" s="5">
        <v>0</v>
      </c>
      <c r="S139" t="s">
        <v>40</v>
      </c>
      <c r="T139" s="5">
        <v>2025</v>
      </c>
    </row>
    <row r="140" spans="1:20" hidden="1" x14ac:dyDescent="0.35">
      <c r="A140" s="5" t="s">
        <v>33</v>
      </c>
      <c r="B140" s="5" t="s">
        <v>26</v>
      </c>
      <c r="C140" s="33">
        <v>45717</v>
      </c>
      <c r="D140" s="5" t="s">
        <v>19</v>
      </c>
      <c r="E140" s="5">
        <v>7</v>
      </c>
      <c r="F140" s="5" t="s">
        <v>30</v>
      </c>
      <c r="G140" s="6">
        <v>0</v>
      </c>
      <c r="H140" s="7">
        <v>5014.2199999999903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5">
        <v>0</v>
      </c>
      <c r="P140" s="5">
        <v>2</v>
      </c>
      <c r="Q140" s="5">
        <v>7</v>
      </c>
      <c r="R140" s="5">
        <v>0</v>
      </c>
      <c r="S140" t="s">
        <v>40</v>
      </c>
      <c r="T140" s="5">
        <v>2025</v>
      </c>
    </row>
    <row r="141" spans="1:20" hidden="1" x14ac:dyDescent="0.35">
      <c r="A141" s="5" t="s">
        <v>33</v>
      </c>
      <c r="B141" s="5" t="s">
        <v>26</v>
      </c>
      <c r="C141" s="33">
        <v>45717</v>
      </c>
      <c r="D141" s="5" t="s">
        <v>19</v>
      </c>
      <c r="E141" s="5">
        <v>7</v>
      </c>
      <c r="F141" s="5" t="s">
        <v>31</v>
      </c>
      <c r="G141" s="6">
        <v>1614</v>
      </c>
      <c r="H141" s="7">
        <v>2200.96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5">
        <v>0</v>
      </c>
      <c r="P141" s="5">
        <v>5</v>
      </c>
      <c r="Q141" s="5">
        <v>10</v>
      </c>
      <c r="R141" s="5">
        <v>0</v>
      </c>
      <c r="S141" t="s">
        <v>40</v>
      </c>
      <c r="T141" s="5">
        <v>2025</v>
      </c>
    </row>
    <row r="142" spans="1:20" hidden="1" x14ac:dyDescent="0.35">
      <c r="A142" s="5" t="s">
        <v>33</v>
      </c>
      <c r="B142" s="5" t="s">
        <v>26</v>
      </c>
      <c r="C142" s="33">
        <v>45717</v>
      </c>
      <c r="D142" s="5" t="s">
        <v>19</v>
      </c>
      <c r="E142" s="5">
        <v>8</v>
      </c>
      <c r="F142" s="5" t="s">
        <v>49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5">
        <v>0</v>
      </c>
      <c r="P142" s="5">
        <v>4</v>
      </c>
      <c r="Q142" s="5">
        <v>10</v>
      </c>
      <c r="R142" s="5">
        <v>0</v>
      </c>
      <c r="S142" t="s">
        <v>40</v>
      </c>
      <c r="T142" s="5">
        <v>2025</v>
      </c>
    </row>
    <row r="143" spans="1:20" hidden="1" x14ac:dyDescent="0.35">
      <c r="A143" s="5" t="s">
        <v>33</v>
      </c>
      <c r="B143" s="5" t="s">
        <v>26</v>
      </c>
      <c r="C143" s="33">
        <v>45717</v>
      </c>
      <c r="D143" s="5" t="s">
        <v>16</v>
      </c>
      <c r="E143" s="5">
        <v>10</v>
      </c>
      <c r="F143" s="5" t="s">
        <v>48</v>
      </c>
      <c r="G143" s="6">
        <v>0</v>
      </c>
      <c r="H143" s="7">
        <v>4256.9399999999996</v>
      </c>
      <c r="I143" s="6">
        <v>0</v>
      </c>
      <c r="J143" s="6">
        <v>0</v>
      </c>
      <c r="K143" s="6">
        <v>0</v>
      </c>
      <c r="L143" s="6">
        <v>0</v>
      </c>
      <c r="M143" s="6">
        <v>91512</v>
      </c>
      <c r="N143" s="6">
        <v>0</v>
      </c>
      <c r="O143" s="5">
        <v>61</v>
      </c>
      <c r="P143" s="5">
        <v>6</v>
      </c>
      <c r="Q143" s="5">
        <v>27</v>
      </c>
      <c r="R143" s="5">
        <v>0</v>
      </c>
      <c r="S143" t="s">
        <v>40</v>
      </c>
      <c r="T143" s="5">
        <v>2025</v>
      </c>
    </row>
    <row r="144" spans="1:20" hidden="1" x14ac:dyDescent="0.35">
      <c r="A144" s="5" t="s">
        <v>33</v>
      </c>
      <c r="B144" s="5" t="s">
        <v>26</v>
      </c>
      <c r="C144" s="33">
        <v>45717</v>
      </c>
      <c r="D144" s="5" t="s">
        <v>19</v>
      </c>
      <c r="E144" s="5">
        <v>10</v>
      </c>
      <c r="F144" s="5" t="s">
        <v>49</v>
      </c>
      <c r="G144" s="6">
        <v>0</v>
      </c>
      <c r="H144" s="7">
        <v>139848.91999999899</v>
      </c>
      <c r="I144" s="6">
        <v>0</v>
      </c>
      <c r="J144" s="6">
        <v>0</v>
      </c>
      <c r="K144" s="6">
        <v>0</v>
      </c>
      <c r="L144" s="6">
        <v>0</v>
      </c>
      <c r="M144" s="6">
        <v>6317</v>
      </c>
      <c r="N144" s="6">
        <v>0</v>
      </c>
      <c r="O144" s="5">
        <v>234</v>
      </c>
      <c r="P144" s="5">
        <v>114</v>
      </c>
      <c r="Q144" s="5">
        <v>205</v>
      </c>
      <c r="R144" s="5">
        <v>0</v>
      </c>
      <c r="S144" t="s">
        <v>40</v>
      </c>
      <c r="T144" s="5">
        <v>2025</v>
      </c>
    </row>
    <row r="145" spans="1:20" hidden="1" x14ac:dyDescent="0.35">
      <c r="A145" s="5" t="s">
        <v>33</v>
      </c>
      <c r="B145" s="5" t="s">
        <v>26</v>
      </c>
      <c r="C145" s="33">
        <v>45717</v>
      </c>
      <c r="D145" s="5" t="s">
        <v>19</v>
      </c>
      <c r="E145" s="5">
        <v>14</v>
      </c>
      <c r="F145" s="5" t="s">
        <v>49</v>
      </c>
      <c r="G145" s="6">
        <v>0</v>
      </c>
      <c r="H145" s="7">
        <v>3001.77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5">
        <v>0</v>
      </c>
      <c r="P145" s="5">
        <v>6</v>
      </c>
      <c r="Q145" s="5">
        <v>6</v>
      </c>
      <c r="R145" s="5">
        <v>0</v>
      </c>
      <c r="S145" t="s">
        <v>40</v>
      </c>
      <c r="T145" s="5">
        <v>2025</v>
      </c>
    </row>
    <row r="146" spans="1:20" hidden="1" x14ac:dyDescent="0.35">
      <c r="A146" s="5" t="s">
        <v>33</v>
      </c>
      <c r="B146" s="5" t="s">
        <v>32</v>
      </c>
      <c r="C146" s="33">
        <v>45717</v>
      </c>
      <c r="D146" s="5" t="s">
        <v>19</v>
      </c>
      <c r="E146" s="5">
        <v>6</v>
      </c>
      <c r="F146" s="5" t="s">
        <v>49</v>
      </c>
      <c r="G146" s="6">
        <v>0</v>
      </c>
      <c r="H146" s="7">
        <v>420.58</v>
      </c>
      <c r="I146" s="6">
        <v>0</v>
      </c>
      <c r="J146" s="6">
        <v>0</v>
      </c>
      <c r="K146" s="6">
        <v>0</v>
      </c>
      <c r="L146" s="6">
        <v>0</v>
      </c>
      <c r="M146" s="6">
        <v>2529</v>
      </c>
      <c r="N146" s="6">
        <v>0</v>
      </c>
      <c r="O146" s="5">
        <v>109</v>
      </c>
      <c r="P146" s="5">
        <v>6</v>
      </c>
      <c r="Q146" s="5">
        <v>0</v>
      </c>
      <c r="R146" s="5">
        <v>0</v>
      </c>
      <c r="S146" t="s">
        <v>40</v>
      </c>
      <c r="T146" s="5">
        <v>2025</v>
      </c>
    </row>
    <row r="147" spans="1:20" hidden="1" x14ac:dyDescent="0.35">
      <c r="A147" s="5" t="s">
        <v>33</v>
      </c>
      <c r="B147" s="5" t="s">
        <v>32</v>
      </c>
      <c r="C147" s="33">
        <v>45717</v>
      </c>
      <c r="D147" s="5" t="s">
        <v>19</v>
      </c>
      <c r="E147" s="5">
        <v>6</v>
      </c>
      <c r="F147" s="5" t="s">
        <v>31</v>
      </c>
      <c r="G147" s="6">
        <v>0</v>
      </c>
      <c r="H147" s="7">
        <v>1806.17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5">
        <v>0</v>
      </c>
      <c r="P147" s="5">
        <v>2</v>
      </c>
      <c r="Q147" s="5">
        <v>0</v>
      </c>
      <c r="R147" s="5">
        <v>0</v>
      </c>
      <c r="S147" t="s">
        <v>40</v>
      </c>
      <c r="T147" s="5">
        <v>2025</v>
      </c>
    </row>
    <row r="148" spans="1:20" hidden="1" x14ac:dyDescent="0.35">
      <c r="A148" s="5" t="s">
        <v>33</v>
      </c>
      <c r="B148" s="5" t="s">
        <v>32</v>
      </c>
      <c r="C148" s="33">
        <v>45717</v>
      </c>
      <c r="D148" s="5" t="s">
        <v>16</v>
      </c>
      <c r="E148" s="5">
        <v>7</v>
      </c>
      <c r="F148" s="5" t="s">
        <v>48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10637</v>
      </c>
      <c r="N148" s="6">
        <v>0</v>
      </c>
      <c r="O148" s="5">
        <v>53</v>
      </c>
      <c r="P148" s="5">
        <v>5</v>
      </c>
      <c r="Q148" s="5">
        <v>10</v>
      </c>
      <c r="R148" s="5">
        <v>0</v>
      </c>
      <c r="S148" t="s">
        <v>40</v>
      </c>
      <c r="T148" s="5">
        <v>2025</v>
      </c>
    </row>
    <row r="149" spans="1:20" hidden="1" x14ac:dyDescent="0.35">
      <c r="A149" s="5" t="s">
        <v>33</v>
      </c>
      <c r="B149" s="5" t="s">
        <v>32</v>
      </c>
      <c r="C149" s="33">
        <v>45717</v>
      </c>
      <c r="D149" s="5" t="s">
        <v>19</v>
      </c>
      <c r="E149" s="5">
        <v>7</v>
      </c>
      <c r="F149" s="5" t="s">
        <v>49</v>
      </c>
      <c r="G149" s="6">
        <v>0</v>
      </c>
      <c r="H149" s="7">
        <v>7442.7999999999902</v>
      </c>
      <c r="I149" s="6">
        <v>0</v>
      </c>
      <c r="J149" s="6">
        <v>0</v>
      </c>
      <c r="K149" s="6">
        <v>0</v>
      </c>
      <c r="L149" s="6">
        <v>0</v>
      </c>
      <c r="M149" s="6">
        <v>16821</v>
      </c>
      <c r="N149" s="6">
        <v>0</v>
      </c>
      <c r="O149" s="5">
        <v>92</v>
      </c>
      <c r="P149" s="5">
        <v>20</v>
      </c>
      <c r="Q149" s="5">
        <v>61</v>
      </c>
      <c r="R149" s="5">
        <v>0</v>
      </c>
      <c r="S149" t="s">
        <v>40</v>
      </c>
      <c r="T149" s="5">
        <v>2025</v>
      </c>
    </row>
    <row r="150" spans="1:20" hidden="1" x14ac:dyDescent="0.35">
      <c r="A150" s="5" t="s">
        <v>33</v>
      </c>
      <c r="B150" s="5" t="s">
        <v>32</v>
      </c>
      <c r="C150" s="33">
        <v>45717</v>
      </c>
      <c r="D150" s="5" t="s">
        <v>19</v>
      </c>
      <c r="E150" s="5">
        <v>7</v>
      </c>
      <c r="F150" s="5" t="s">
        <v>31</v>
      </c>
      <c r="G150" s="6">
        <v>0</v>
      </c>
      <c r="H150" s="7">
        <v>5544.61</v>
      </c>
      <c r="I150" s="6">
        <v>0</v>
      </c>
      <c r="J150" s="6">
        <v>0</v>
      </c>
      <c r="K150" s="6">
        <v>0</v>
      </c>
      <c r="L150" s="6">
        <v>0</v>
      </c>
      <c r="M150" s="6">
        <v>9286</v>
      </c>
      <c r="N150" s="6">
        <v>0</v>
      </c>
      <c r="O150" s="5">
        <v>90</v>
      </c>
      <c r="P150" s="5">
        <v>5</v>
      </c>
      <c r="Q150" s="5">
        <v>70</v>
      </c>
      <c r="R150" s="5">
        <v>0</v>
      </c>
      <c r="S150" t="s">
        <v>40</v>
      </c>
      <c r="T150" s="5">
        <v>2025</v>
      </c>
    </row>
    <row r="151" spans="1:20" hidden="1" x14ac:dyDescent="0.35">
      <c r="A151" s="5" t="s">
        <v>33</v>
      </c>
      <c r="B151" s="5" t="s">
        <v>32</v>
      </c>
      <c r="C151" s="33">
        <v>45717</v>
      </c>
      <c r="D151" s="5" t="s">
        <v>19</v>
      </c>
      <c r="E151" s="5">
        <v>10</v>
      </c>
      <c r="F151" s="5" t="s">
        <v>49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3724</v>
      </c>
      <c r="N151" s="6">
        <v>0</v>
      </c>
      <c r="O151" s="5">
        <v>128</v>
      </c>
      <c r="P151" s="5">
        <v>1</v>
      </c>
      <c r="Q151" s="5">
        <v>19</v>
      </c>
      <c r="R151" s="5">
        <v>0</v>
      </c>
      <c r="S151" t="s">
        <v>40</v>
      </c>
      <c r="T151" s="5">
        <v>2025</v>
      </c>
    </row>
    <row r="152" spans="1:20" hidden="1" x14ac:dyDescent="0.35">
      <c r="A152" s="5" t="s">
        <v>33</v>
      </c>
      <c r="B152" s="5" t="s">
        <v>26</v>
      </c>
      <c r="C152" s="33">
        <v>45658</v>
      </c>
      <c r="D152" s="5" t="s">
        <v>27</v>
      </c>
      <c r="E152" s="5">
        <v>7</v>
      </c>
      <c r="F152" s="5" t="s">
        <v>48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5">
        <v>0</v>
      </c>
      <c r="P152" s="5">
        <v>0</v>
      </c>
      <c r="Q152" s="5">
        <v>1</v>
      </c>
      <c r="R152" s="5">
        <v>0</v>
      </c>
      <c r="S152" t="s">
        <v>40</v>
      </c>
      <c r="T152" s="5">
        <v>2025</v>
      </c>
    </row>
    <row r="153" spans="1:20" hidden="1" x14ac:dyDescent="0.35">
      <c r="A153" s="5" t="s">
        <v>33</v>
      </c>
      <c r="B153" s="5" t="s">
        <v>26</v>
      </c>
      <c r="C153" s="33">
        <v>45658</v>
      </c>
      <c r="D153" s="5" t="s">
        <v>16</v>
      </c>
      <c r="E153" s="5">
        <v>14</v>
      </c>
      <c r="F153" s="5" t="s">
        <v>48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5">
        <v>0</v>
      </c>
      <c r="P153" s="5">
        <v>0</v>
      </c>
      <c r="Q153" s="5">
        <v>1</v>
      </c>
      <c r="R153" s="5">
        <v>0</v>
      </c>
      <c r="S153" t="s">
        <v>40</v>
      </c>
      <c r="T153" s="5">
        <v>2025</v>
      </c>
    </row>
    <row r="154" spans="1:20" hidden="1" x14ac:dyDescent="0.35">
      <c r="A154" s="5" t="s">
        <v>33</v>
      </c>
      <c r="B154" s="5" t="s">
        <v>26</v>
      </c>
      <c r="C154" s="33">
        <v>45658</v>
      </c>
      <c r="D154" s="5" t="s">
        <v>19</v>
      </c>
      <c r="E154" s="5">
        <v>10</v>
      </c>
      <c r="F154" s="5" t="s">
        <v>30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5">
        <v>0</v>
      </c>
      <c r="P154" s="5">
        <v>0</v>
      </c>
      <c r="Q154" s="5">
        <v>5</v>
      </c>
      <c r="R154" s="5">
        <v>0</v>
      </c>
      <c r="S154" t="s">
        <v>40</v>
      </c>
      <c r="T154" s="5">
        <v>2025</v>
      </c>
    </row>
    <row r="155" spans="1:20" hidden="1" x14ac:dyDescent="0.35">
      <c r="A155" s="5" t="s">
        <v>33</v>
      </c>
      <c r="B155" s="5" t="s">
        <v>26</v>
      </c>
      <c r="C155" s="33">
        <v>45658</v>
      </c>
      <c r="D155" s="5" t="s">
        <v>19</v>
      </c>
      <c r="E155" s="5">
        <v>6</v>
      </c>
      <c r="F155" s="5" t="s">
        <v>30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5">
        <v>0</v>
      </c>
      <c r="P155" s="5">
        <v>0</v>
      </c>
      <c r="Q155" s="5">
        <v>1</v>
      </c>
      <c r="R155" s="5">
        <v>0</v>
      </c>
      <c r="S155" t="s">
        <v>40</v>
      </c>
      <c r="T155" s="5">
        <v>2025</v>
      </c>
    </row>
    <row r="156" spans="1:20" hidden="1" x14ac:dyDescent="0.35">
      <c r="A156" s="5" t="s">
        <v>33</v>
      </c>
      <c r="B156" s="5" t="s">
        <v>26</v>
      </c>
      <c r="C156" s="33">
        <v>45658</v>
      </c>
      <c r="D156" s="5" t="s">
        <v>19</v>
      </c>
      <c r="E156" s="5">
        <v>14</v>
      </c>
      <c r="F156" s="5" t="s">
        <v>31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5">
        <v>0</v>
      </c>
      <c r="P156" s="5">
        <v>0</v>
      </c>
      <c r="Q156" s="5">
        <v>3</v>
      </c>
      <c r="R156" s="5">
        <v>0</v>
      </c>
      <c r="S156" t="s">
        <v>40</v>
      </c>
      <c r="T156" s="5">
        <v>2025</v>
      </c>
    </row>
    <row r="157" spans="1:20" hidden="1" x14ac:dyDescent="0.35">
      <c r="A157" s="5" t="s">
        <v>33</v>
      </c>
      <c r="B157" s="5" t="s">
        <v>26</v>
      </c>
      <c r="C157" s="33">
        <v>45689</v>
      </c>
      <c r="D157" s="5" t="s">
        <v>27</v>
      </c>
      <c r="E157" s="5">
        <v>7</v>
      </c>
      <c r="F157" s="5" t="s">
        <v>48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5">
        <v>0</v>
      </c>
      <c r="P157" s="5">
        <v>0</v>
      </c>
      <c r="Q157" s="5">
        <v>1</v>
      </c>
      <c r="R157" s="5">
        <v>0</v>
      </c>
      <c r="S157" t="s">
        <v>40</v>
      </c>
      <c r="T157" s="5">
        <v>2025</v>
      </c>
    </row>
    <row r="158" spans="1:20" hidden="1" x14ac:dyDescent="0.35">
      <c r="A158" s="5" t="s">
        <v>33</v>
      </c>
      <c r="B158" s="5" t="s">
        <v>26</v>
      </c>
      <c r="C158" s="33">
        <v>45689</v>
      </c>
      <c r="D158" s="5" t="s">
        <v>16</v>
      </c>
      <c r="E158" s="5">
        <v>6</v>
      </c>
      <c r="F158" s="5" t="s">
        <v>48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5">
        <v>0</v>
      </c>
      <c r="P158" s="5">
        <v>0</v>
      </c>
      <c r="Q158" s="5">
        <v>1</v>
      </c>
      <c r="R158" s="5">
        <v>0</v>
      </c>
      <c r="S158" t="s">
        <v>40</v>
      </c>
      <c r="T158" s="5">
        <v>2025</v>
      </c>
    </row>
    <row r="159" spans="1:20" hidden="1" x14ac:dyDescent="0.35">
      <c r="A159" s="5" t="s">
        <v>33</v>
      </c>
      <c r="B159" s="5" t="s">
        <v>26</v>
      </c>
      <c r="C159" s="33">
        <v>45689</v>
      </c>
      <c r="D159" s="5" t="s">
        <v>19</v>
      </c>
      <c r="E159" s="5">
        <v>15</v>
      </c>
      <c r="F159" s="5" t="s">
        <v>49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5">
        <v>0</v>
      </c>
      <c r="P159" s="5">
        <v>0</v>
      </c>
      <c r="Q159" s="5">
        <v>2</v>
      </c>
      <c r="R159" s="5">
        <v>0</v>
      </c>
      <c r="S159" t="s">
        <v>40</v>
      </c>
      <c r="T159" s="5">
        <v>2025</v>
      </c>
    </row>
    <row r="160" spans="1:20" hidden="1" x14ac:dyDescent="0.35">
      <c r="A160" s="5" t="s">
        <v>33</v>
      </c>
      <c r="B160" s="5" t="s">
        <v>26</v>
      </c>
      <c r="C160" s="33">
        <v>45689</v>
      </c>
      <c r="D160" s="5" t="s">
        <v>19</v>
      </c>
      <c r="E160" s="5">
        <v>10</v>
      </c>
      <c r="F160" s="5" t="s">
        <v>31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5">
        <v>0</v>
      </c>
      <c r="P160" s="5">
        <v>0</v>
      </c>
      <c r="Q160" s="5">
        <v>20</v>
      </c>
      <c r="R160" s="5">
        <v>0</v>
      </c>
      <c r="S160" t="s">
        <v>40</v>
      </c>
      <c r="T160" s="5">
        <v>2025</v>
      </c>
    </row>
    <row r="161" spans="1:20" hidden="1" x14ac:dyDescent="0.35">
      <c r="A161" s="5" t="s">
        <v>33</v>
      </c>
      <c r="B161" s="5" t="s">
        <v>26</v>
      </c>
      <c r="C161" s="33">
        <v>45689</v>
      </c>
      <c r="D161" s="5" t="s">
        <v>19</v>
      </c>
      <c r="E161" s="5">
        <v>14</v>
      </c>
      <c r="F161" s="5" t="s">
        <v>31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5">
        <v>0</v>
      </c>
      <c r="P161" s="5">
        <v>0</v>
      </c>
      <c r="Q161" s="5">
        <v>2</v>
      </c>
      <c r="R161" s="5">
        <v>0</v>
      </c>
      <c r="S161" t="s">
        <v>40</v>
      </c>
      <c r="T161" s="5">
        <v>2025</v>
      </c>
    </row>
    <row r="162" spans="1:20" hidden="1" x14ac:dyDescent="0.35">
      <c r="A162" s="5" t="s">
        <v>33</v>
      </c>
      <c r="B162" s="5" t="s">
        <v>26</v>
      </c>
      <c r="C162" s="33">
        <v>45689</v>
      </c>
      <c r="D162" s="5" t="s">
        <v>19</v>
      </c>
      <c r="E162" s="5">
        <v>6</v>
      </c>
      <c r="F162" s="5" t="s">
        <v>31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5">
        <v>0</v>
      </c>
      <c r="P162" s="5">
        <v>0</v>
      </c>
      <c r="Q162" s="5">
        <v>2</v>
      </c>
      <c r="R162" s="5">
        <v>0</v>
      </c>
      <c r="S162" t="s">
        <v>40</v>
      </c>
      <c r="T162" s="5">
        <v>2025</v>
      </c>
    </row>
    <row r="163" spans="1:20" hidden="1" x14ac:dyDescent="0.35">
      <c r="A163" s="5" t="s">
        <v>33</v>
      </c>
      <c r="B163" s="5" t="s">
        <v>26</v>
      </c>
      <c r="C163" s="33">
        <v>45689</v>
      </c>
      <c r="D163" s="5" t="s">
        <v>19</v>
      </c>
      <c r="E163" s="5">
        <v>15</v>
      </c>
      <c r="F163" s="5" t="s">
        <v>31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5">
        <v>0</v>
      </c>
      <c r="P163" s="5">
        <v>0</v>
      </c>
      <c r="Q163" s="5">
        <v>1</v>
      </c>
      <c r="R163" s="5">
        <v>0</v>
      </c>
      <c r="S163" t="s">
        <v>40</v>
      </c>
      <c r="T163" s="5">
        <v>2025</v>
      </c>
    </row>
    <row r="164" spans="1:20" hidden="1" x14ac:dyDescent="0.35">
      <c r="A164" s="5" t="s">
        <v>33</v>
      </c>
      <c r="B164" s="5" t="s">
        <v>26</v>
      </c>
      <c r="C164" s="33">
        <v>45717</v>
      </c>
      <c r="D164" s="5" t="s">
        <v>16</v>
      </c>
      <c r="E164" s="5">
        <v>14</v>
      </c>
      <c r="F164" s="5" t="s">
        <v>48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5">
        <v>0</v>
      </c>
      <c r="P164" s="5">
        <v>0</v>
      </c>
      <c r="Q164" s="5">
        <v>1</v>
      </c>
      <c r="R164" s="5">
        <v>0</v>
      </c>
      <c r="S164" t="s">
        <v>40</v>
      </c>
      <c r="T164" s="5">
        <v>2025</v>
      </c>
    </row>
    <row r="165" spans="1:20" hidden="1" x14ac:dyDescent="0.35">
      <c r="A165" s="5" t="s">
        <v>33</v>
      </c>
      <c r="B165" s="5" t="s">
        <v>26</v>
      </c>
      <c r="C165" s="33">
        <v>45717</v>
      </c>
      <c r="D165" s="5" t="s">
        <v>16</v>
      </c>
      <c r="E165" s="5">
        <v>15</v>
      </c>
      <c r="F165" s="5" t="s">
        <v>48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5">
        <v>0</v>
      </c>
      <c r="P165" s="5">
        <v>0</v>
      </c>
      <c r="Q165" s="5">
        <v>2</v>
      </c>
      <c r="R165" s="5">
        <v>0</v>
      </c>
      <c r="S165" t="s">
        <v>40</v>
      </c>
      <c r="T165" s="5">
        <v>2025</v>
      </c>
    </row>
    <row r="166" spans="1:20" hidden="1" x14ac:dyDescent="0.35">
      <c r="A166" s="5" t="s">
        <v>33</v>
      </c>
      <c r="B166" s="5" t="s">
        <v>26</v>
      </c>
      <c r="C166" s="33">
        <v>45717</v>
      </c>
      <c r="D166" s="5" t="s">
        <v>16</v>
      </c>
      <c r="E166" s="5">
        <v>8</v>
      </c>
      <c r="F166" s="5" t="s">
        <v>48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5">
        <v>0</v>
      </c>
      <c r="P166" s="5">
        <v>0</v>
      </c>
      <c r="Q166" s="5">
        <v>1</v>
      </c>
      <c r="R166" s="5">
        <v>0</v>
      </c>
      <c r="S166" t="s">
        <v>40</v>
      </c>
      <c r="T166" s="5">
        <v>2025</v>
      </c>
    </row>
    <row r="167" spans="1:20" hidden="1" x14ac:dyDescent="0.35">
      <c r="A167" s="5" t="s">
        <v>33</v>
      </c>
      <c r="B167" s="5" t="s">
        <v>26</v>
      </c>
      <c r="C167" s="33">
        <v>45717</v>
      </c>
      <c r="D167" s="5" t="s">
        <v>17</v>
      </c>
      <c r="E167" s="5">
        <v>7</v>
      </c>
      <c r="F167" s="5" t="s">
        <v>48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5">
        <v>0</v>
      </c>
      <c r="P167" s="5">
        <v>0</v>
      </c>
      <c r="Q167" s="5">
        <v>1</v>
      </c>
      <c r="R167" s="5">
        <v>0</v>
      </c>
      <c r="S167" t="s">
        <v>40</v>
      </c>
      <c r="T167" s="5">
        <v>2025</v>
      </c>
    </row>
    <row r="168" spans="1:20" hidden="1" x14ac:dyDescent="0.35">
      <c r="A168" s="5" t="s">
        <v>33</v>
      </c>
      <c r="B168" s="5" t="s">
        <v>26</v>
      </c>
      <c r="C168" s="33">
        <v>45717</v>
      </c>
      <c r="D168" s="5" t="s">
        <v>19</v>
      </c>
      <c r="E168" s="5">
        <v>10</v>
      </c>
      <c r="F168" s="5" t="s">
        <v>30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5">
        <v>0</v>
      </c>
      <c r="P168" s="5">
        <v>0</v>
      </c>
      <c r="Q168" s="5">
        <v>2</v>
      </c>
      <c r="R168" s="5">
        <v>0</v>
      </c>
      <c r="S168" t="s">
        <v>40</v>
      </c>
      <c r="T168" s="5">
        <v>2025</v>
      </c>
    </row>
    <row r="169" spans="1:20" hidden="1" x14ac:dyDescent="0.35">
      <c r="A169" s="5" t="s">
        <v>33</v>
      </c>
      <c r="B169" s="5" t="s">
        <v>26</v>
      </c>
      <c r="C169" s="33">
        <v>45717</v>
      </c>
      <c r="D169" s="5" t="s">
        <v>19</v>
      </c>
      <c r="E169" s="5">
        <v>15</v>
      </c>
      <c r="F169" s="5" t="s">
        <v>49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5">
        <v>0</v>
      </c>
      <c r="P169" s="5">
        <v>0</v>
      </c>
      <c r="Q169" s="5">
        <v>1</v>
      </c>
      <c r="R169" s="5">
        <v>0</v>
      </c>
      <c r="S169" t="s">
        <v>40</v>
      </c>
      <c r="T169" s="5">
        <v>2025</v>
      </c>
    </row>
    <row r="170" spans="1:20" hidden="1" x14ac:dyDescent="0.35">
      <c r="A170" s="5" t="s">
        <v>33</v>
      </c>
      <c r="B170" s="5" t="s">
        <v>26</v>
      </c>
      <c r="C170" s="33">
        <v>45717</v>
      </c>
      <c r="D170" s="5" t="s">
        <v>19</v>
      </c>
      <c r="E170" s="5">
        <v>10</v>
      </c>
      <c r="F170" s="5" t="s">
        <v>31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5">
        <v>0</v>
      </c>
      <c r="P170" s="5">
        <v>0</v>
      </c>
      <c r="Q170" s="5">
        <v>30</v>
      </c>
      <c r="R170" s="5">
        <v>0</v>
      </c>
      <c r="S170" t="s">
        <v>40</v>
      </c>
      <c r="T170" s="5">
        <v>2025</v>
      </c>
    </row>
    <row r="171" spans="1:20" hidden="1" x14ac:dyDescent="0.35">
      <c r="A171" s="5" t="s">
        <v>33</v>
      </c>
      <c r="B171" s="5" t="s">
        <v>26</v>
      </c>
      <c r="C171" s="33">
        <v>45717</v>
      </c>
      <c r="D171" s="5" t="s">
        <v>19</v>
      </c>
      <c r="E171" s="5">
        <v>14</v>
      </c>
      <c r="F171" s="5" t="s">
        <v>31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5">
        <v>0</v>
      </c>
      <c r="P171" s="5">
        <v>0</v>
      </c>
      <c r="Q171" s="5">
        <v>3</v>
      </c>
      <c r="R171" s="5">
        <v>0</v>
      </c>
      <c r="S171" t="s">
        <v>40</v>
      </c>
      <c r="T171" s="5">
        <v>2025</v>
      </c>
    </row>
    <row r="172" spans="1:20" hidden="1" x14ac:dyDescent="0.35">
      <c r="A172" s="5" t="s">
        <v>33</v>
      </c>
      <c r="B172" s="5" t="s">
        <v>26</v>
      </c>
      <c r="C172" s="33">
        <v>45717</v>
      </c>
      <c r="D172" s="5" t="s">
        <v>19</v>
      </c>
      <c r="E172" s="5">
        <v>6</v>
      </c>
      <c r="F172" s="5" t="s">
        <v>31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5">
        <v>0</v>
      </c>
      <c r="P172" s="5">
        <v>0</v>
      </c>
      <c r="Q172" s="5">
        <v>2</v>
      </c>
      <c r="R172" s="5">
        <v>0</v>
      </c>
      <c r="S172" t="s">
        <v>40</v>
      </c>
      <c r="T172" s="5">
        <v>2025</v>
      </c>
    </row>
    <row r="173" spans="1:20" hidden="1" x14ac:dyDescent="0.35">
      <c r="A173" s="5" t="s">
        <v>33</v>
      </c>
      <c r="B173" s="5" t="s">
        <v>26</v>
      </c>
      <c r="C173" s="33">
        <v>45717</v>
      </c>
      <c r="D173" s="5" t="s">
        <v>19</v>
      </c>
      <c r="E173" s="5">
        <v>15</v>
      </c>
      <c r="F173" s="5" t="s">
        <v>31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5">
        <v>0</v>
      </c>
      <c r="P173" s="5">
        <v>0</v>
      </c>
      <c r="Q173" s="5">
        <v>1</v>
      </c>
      <c r="R173" s="5">
        <v>0</v>
      </c>
      <c r="S173" t="s">
        <v>40</v>
      </c>
      <c r="T173" s="5">
        <v>2025</v>
      </c>
    </row>
    <row r="174" spans="1:20" hidden="1" x14ac:dyDescent="0.35">
      <c r="A174" s="5" t="s">
        <v>33</v>
      </c>
      <c r="B174" s="5" t="s">
        <v>26</v>
      </c>
      <c r="C174" s="33">
        <v>45717</v>
      </c>
      <c r="D174" s="5" t="s">
        <v>19</v>
      </c>
      <c r="E174" s="5">
        <v>8</v>
      </c>
      <c r="F174" s="5" t="s">
        <v>31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5">
        <v>0</v>
      </c>
      <c r="P174" s="5">
        <v>0</v>
      </c>
      <c r="Q174" s="5">
        <v>1</v>
      </c>
      <c r="R174" s="5">
        <v>0</v>
      </c>
      <c r="S174" t="s">
        <v>40</v>
      </c>
      <c r="T174" s="5">
        <v>2025</v>
      </c>
    </row>
    <row r="175" spans="1:20" hidden="1" x14ac:dyDescent="0.35">
      <c r="A175" s="5" t="s">
        <v>33</v>
      </c>
      <c r="B175" s="5" t="s">
        <v>32</v>
      </c>
      <c r="C175" s="33">
        <v>45658</v>
      </c>
      <c r="D175" s="5" t="s">
        <v>19</v>
      </c>
      <c r="E175" s="5">
        <v>10</v>
      </c>
      <c r="F175" s="5" t="s">
        <v>30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5">
        <v>0</v>
      </c>
      <c r="P175" s="5">
        <v>0</v>
      </c>
      <c r="Q175" s="5">
        <v>3</v>
      </c>
      <c r="R175" s="5">
        <v>0</v>
      </c>
      <c r="S175" t="s">
        <v>40</v>
      </c>
      <c r="T175" s="5">
        <v>2025</v>
      </c>
    </row>
    <row r="176" spans="1:20" hidden="1" x14ac:dyDescent="0.35">
      <c r="A176" s="5" t="s">
        <v>33</v>
      </c>
      <c r="B176" s="5" t="s">
        <v>32</v>
      </c>
      <c r="C176" s="33">
        <v>45658</v>
      </c>
      <c r="D176" s="5" t="s">
        <v>19</v>
      </c>
      <c r="E176" s="5">
        <v>10</v>
      </c>
      <c r="F176" s="5" t="s">
        <v>31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5">
        <v>0</v>
      </c>
      <c r="P176" s="5">
        <v>0</v>
      </c>
      <c r="Q176" s="5">
        <v>9</v>
      </c>
      <c r="R176" s="5">
        <v>0</v>
      </c>
      <c r="S176" t="s">
        <v>40</v>
      </c>
      <c r="T176" s="5">
        <v>2025</v>
      </c>
    </row>
    <row r="177" spans="1:20" hidden="1" x14ac:dyDescent="0.35">
      <c r="A177" s="5" t="s">
        <v>33</v>
      </c>
      <c r="B177" s="5" t="s">
        <v>32</v>
      </c>
      <c r="C177" s="33">
        <v>45658</v>
      </c>
      <c r="D177" s="5" t="s">
        <v>19</v>
      </c>
      <c r="E177" s="5">
        <v>7</v>
      </c>
      <c r="F177" s="5" t="s">
        <v>31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5">
        <v>0</v>
      </c>
      <c r="P177" s="5">
        <v>0</v>
      </c>
      <c r="Q177" s="5">
        <v>50</v>
      </c>
      <c r="R177" s="5">
        <v>0</v>
      </c>
      <c r="S177" t="s">
        <v>40</v>
      </c>
      <c r="T177" s="5">
        <v>2025</v>
      </c>
    </row>
    <row r="178" spans="1:20" hidden="1" x14ac:dyDescent="0.35">
      <c r="A178" s="5" t="s">
        <v>33</v>
      </c>
      <c r="B178" s="5" t="s">
        <v>32</v>
      </c>
      <c r="C178" s="33">
        <v>45689</v>
      </c>
      <c r="D178" s="5" t="s">
        <v>16</v>
      </c>
      <c r="E178" s="5">
        <v>10</v>
      </c>
      <c r="F178" s="5" t="s">
        <v>48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5">
        <v>0</v>
      </c>
      <c r="P178" s="5">
        <v>0</v>
      </c>
      <c r="Q178" s="5">
        <v>12</v>
      </c>
      <c r="R178" s="5">
        <v>0</v>
      </c>
      <c r="S178" t="s">
        <v>40</v>
      </c>
      <c r="T178" s="5">
        <v>2025</v>
      </c>
    </row>
    <row r="179" spans="1:20" hidden="1" x14ac:dyDescent="0.35">
      <c r="A179" s="5" t="s">
        <v>33</v>
      </c>
      <c r="B179" s="5" t="s">
        <v>32</v>
      </c>
      <c r="C179" s="33">
        <v>45689</v>
      </c>
      <c r="D179" s="5" t="s">
        <v>19</v>
      </c>
      <c r="E179" s="5">
        <v>7</v>
      </c>
      <c r="F179" s="5" t="s">
        <v>30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5">
        <v>0</v>
      </c>
      <c r="P179" s="5">
        <v>0</v>
      </c>
      <c r="Q179" s="5">
        <v>8</v>
      </c>
      <c r="R179" s="5">
        <v>0</v>
      </c>
      <c r="S179" t="s">
        <v>40</v>
      </c>
      <c r="T179" s="5">
        <v>2025</v>
      </c>
    </row>
    <row r="180" spans="1:20" hidden="1" x14ac:dyDescent="0.35">
      <c r="A180" s="5" t="s">
        <v>33</v>
      </c>
      <c r="B180" s="5" t="s">
        <v>32</v>
      </c>
      <c r="C180" s="33">
        <v>45689</v>
      </c>
      <c r="D180" s="5" t="s">
        <v>19</v>
      </c>
      <c r="E180" s="5">
        <v>10</v>
      </c>
      <c r="F180" s="5" t="s">
        <v>31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5">
        <v>0</v>
      </c>
      <c r="P180" s="5">
        <v>0</v>
      </c>
      <c r="Q180" s="5">
        <v>2</v>
      </c>
      <c r="R180" s="5">
        <v>0</v>
      </c>
      <c r="S180" t="s">
        <v>40</v>
      </c>
      <c r="T180" s="5">
        <v>2025</v>
      </c>
    </row>
    <row r="181" spans="1:20" hidden="1" x14ac:dyDescent="0.35">
      <c r="A181" s="5" t="s">
        <v>33</v>
      </c>
      <c r="B181" s="5" t="s">
        <v>32</v>
      </c>
      <c r="C181" s="33">
        <v>45717</v>
      </c>
      <c r="D181" s="5" t="s">
        <v>16</v>
      </c>
      <c r="E181" s="5">
        <v>10</v>
      </c>
      <c r="F181" s="5" t="s">
        <v>48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5">
        <v>0</v>
      </c>
      <c r="P181" s="5">
        <v>0</v>
      </c>
      <c r="Q181" s="5">
        <v>4</v>
      </c>
      <c r="R181" s="5">
        <v>0</v>
      </c>
      <c r="S181" t="s">
        <v>40</v>
      </c>
      <c r="T181" s="5">
        <v>2025</v>
      </c>
    </row>
    <row r="182" spans="1:20" hidden="1" x14ac:dyDescent="0.35">
      <c r="A182" s="5" t="s">
        <v>33</v>
      </c>
      <c r="B182" s="5" t="s">
        <v>32</v>
      </c>
      <c r="C182" s="33">
        <v>45717</v>
      </c>
      <c r="D182" s="5" t="s">
        <v>19</v>
      </c>
      <c r="E182" s="5">
        <v>10</v>
      </c>
      <c r="F182" s="5" t="s">
        <v>30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5">
        <v>0</v>
      </c>
      <c r="P182" s="5">
        <v>0</v>
      </c>
      <c r="Q182" s="5">
        <v>2</v>
      </c>
      <c r="R182" s="5">
        <v>0</v>
      </c>
      <c r="S182" t="s">
        <v>40</v>
      </c>
      <c r="T182" s="5">
        <v>2025</v>
      </c>
    </row>
    <row r="183" spans="1:20" hidden="1" x14ac:dyDescent="0.35">
      <c r="A183" s="5" t="s">
        <v>33</v>
      </c>
      <c r="B183" s="5" t="s">
        <v>32</v>
      </c>
      <c r="C183" s="33">
        <v>45717</v>
      </c>
      <c r="D183" s="5" t="s">
        <v>19</v>
      </c>
      <c r="E183" s="5">
        <v>7</v>
      </c>
      <c r="F183" s="5" t="s">
        <v>30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5">
        <v>0</v>
      </c>
      <c r="P183" s="5">
        <v>0</v>
      </c>
      <c r="Q183" s="5">
        <v>6</v>
      </c>
      <c r="R183" s="5">
        <v>0</v>
      </c>
      <c r="S183" t="s">
        <v>40</v>
      </c>
      <c r="T183" s="5">
        <v>2025</v>
      </c>
    </row>
    <row r="184" spans="1:20" hidden="1" x14ac:dyDescent="0.35">
      <c r="A184" s="5" t="s">
        <v>33</v>
      </c>
      <c r="B184" s="5" t="s">
        <v>32</v>
      </c>
      <c r="C184" s="33">
        <v>45717</v>
      </c>
      <c r="D184" s="5" t="s">
        <v>19</v>
      </c>
      <c r="E184" s="5">
        <v>10</v>
      </c>
      <c r="F184" s="5" t="s">
        <v>31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5">
        <v>0</v>
      </c>
      <c r="P184" s="5">
        <v>0</v>
      </c>
      <c r="Q184" s="5">
        <v>4</v>
      </c>
      <c r="R184" s="5">
        <v>0</v>
      </c>
      <c r="S184" t="s">
        <v>40</v>
      </c>
      <c r="T184" s="5">
        <v>2025</v>
      </c>
    </row>
    <row r="185" spans="1:20" hidden="1" x14ac:dyDescent="0.35">
      <c r="A185" s="5" t="s">
        <v>23</v>
      </c>
      <c r="B185" s="5" t="s">
        <v>26</v>
      </c>
      <c r="C185" s="33">
        <v>45689</v>
      </c>
      <c r="D185" s="5" t="s">
        <v>27</v>
      </c>
      <c r="E185" s="5">
        <v>7</v>
      </c>
      <c r="F185" s="5" t="s">
        <v>48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5">
        <v>0</v>
      </c>
      <c r="P185" s="5">
        <v>0</v>
      </c>
      <c r="Q185" s="5">
        <v>1</v>
      </c>
      <c r="R185" s="5">
        <v>0</v>
      </c>
      <c r="S185" t="s">
        <v>40</v>
      </c>
      <c r="T185" s="5">
        <v>2025</v>
      </c>
    </row>
    <row r="186" spans="1:20" hidden="1" x14ac:dyDescent="0.35">
      <c r="A186" s="5" t="s">
        <v>23</v>
      </c>
      <c r="B186" s="5" t="s">
        <v>26</v>
      </c>
      <c r="C186" s="33">
        <v>45658</v>
      </c>
      <c r="D186" s="5" t="s">
        <v>16</v>
      </c>
      <c r="E186" s="5">
        <v>7</v>
      </c>
      <c r="F186" s="5" t="s">
        <v>30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5">
        <v>0</v>
      </c>
      <c r="P186" s="5">
        <v>0</v>
      </c>
      <c r="Q186" s="5">
        <v>2</v>
      </c>
      <c r="R186" s="5">
        <v>0</v>
      </c>
      <c r="S186" t="s">
        <v>40</v>
      </c>
      <c r="T186" s="5">
        <v>2025</v>
      </c>
    </row>
    <row r="187" spans="1:20" hidden="1" x14ac:dyDescent="0.35">
      <c r="A187" s="5" t="s">
        <v>23</v>
      </c>
      <c r="B187" s="5" t="s">
        <v>26</v>
      </c>
      <c r="C187" s="33">
        <v>45658</v>
      </c>
      <c r="D187" s="5" t="s">
        <v>16</v>
      </c>
      <c r="E187" s="5">
        <v>10</v>
      </c>
      <c r="F187" s="5" t="s">
        <v>30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5">
        <v>0</v>
      </c>
      <c r="P187" s="5">
        <v>0</v>
      </c>
      <c r="Q187" s="5">
        <v>1</v>
      </c>
      <c r="R187" s="5">
        <v>0</v>
      </c>
      <c r="S187" t="s">
        <v>40</v>
      </c>
      <c r="T187" s="5">
        <v>2025</v>
      </c>
    </row>
    <row r="188" spans="1:20" hidden="1" x14ac:dyDescent="0.35">
      <c r="A188" s="5" t="s">
        <v>23</v>
      </c>
      <c r="B188" s="5" t="s">
        <v>26</v>
      </c>
      <c r="C188" s="33">
        <v>45658</v>
      </c>
      <c r="D188" s="5" t="s">
        <v>16</v>
      </c>
      <c r="E188" s="5">
        <v>14</v>
      </c>
      <c r="F188" s="5" t="s">
        <v>48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5">
        <v>0</v>
      </c>
      <c r="P188" s="5">
        <v>0</v>
      </c>
      <c r="Q188" s="5">
        <v>3</v>
      </c>
      <c r="R188" s="5">
        <v>0</v>
      </c>
      <c r="S188" t="s">
        <v>40</v>
      </c>
      <c r="T188" s="5">
        <v>2025</v>
      </c>
    </row>
    <row r="189" spans="1:20" hidden="1" x14ac:dyDescent="0.35">
      <c r="A189" s="5" t="s">
        <v>23</v>
      </c>
      <c r="B189" s="5" t="s">
        <v>26</v>
      </c>
      <c r="C189" s="33">
        <v>45658</v>
      </c>
      <c r="D189" s="5" t="s">
        <v>16</v>
      </c>
      <c r="E189" s="5">
        <v>10</v>
      </c>
      <c r="F189" s="5" t="s">
        <v>31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5">
        <v>0</v>
      </c>
      <c r="P189" s="5">
        <v>0</v>
      </c>
      <c r="Q189" s="5">
        <v>1</v>
      </c>
      <c r="R189" s="5">
        <v>0</v>
      </c>
      <c r="S189" t="s">
        <v>40</v>
      </c>
      <c r="T189" s="5">
        <v>2025</v>
      </c>
    </row>
    <row r="190" spans="1:20" hidden="1" x14ac:dyDescent="0.35">
      <c r="A190" s="5" t="s">
        <v>23</v>
      </c>
      <c r="B190" s="5" t="s">
        <v>26</v>
      </c>
      <c r="C190" s="33">
        <v>45689</v>
      </c>
      <c r="D190" s="5" t="s">
        <v>16</v>
      </c>
      <c r="E190" s="5">
        <v>6</v>
      </c>
      <c r="F190" s="5" t="s">
        <v>48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5">
        <v>0</v>
      </c>
      <c r="P190" s="5">
        <v>0</v>
      </c>
      <c r="Q190" s="5">
        <v>8</v>
      </c>
      <c r="R190" s="5">
        <v>0</v>
      </c>
      <c r="S190" t="s">
        <v>40</v>
      </c>
      <c r="T190" s="5">
        <v>2025</v>
      </c>
    </row>
    <row r="191" spans="1:20" hidden="1" x14ac:dyDescent="0.35">
      <c r="A191" s="5" t="s">
        <v>23</v>
      </c>
      <c r="B191" s="5" t="s">
        <v>26</v>
      </c>
      <c r="C191" s="33">
        <v>45689</v>
      </c>
      <c r="D191" s="5" t="s">
        <v>16</v>
      </c>
      <c r="E191" s="5">
        <v>8</v>
      </c>
      <c r="F191" s="5" t="s">
        <v>48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5">
        <v>0</v>
      </c>
      <c r="P191" s="5">
        <v>0</v>
      </c>
      <c r="Q191" s="5">
        <v>1</v>
      </c>
      <c r="R191" s="5">
        <v>0</v>
      </c>
      <c r="S191" t="s">
        <v>40</v>
      </c>
      <c r="T191" s="5">
        <v>2025</v>
      </c>
    </row>
    <row r="192" spans="1:20" hidden="1" x14ac:dyDescent="0.35">
      <c r="A192" s="5" t="s">
        <v>23</v>
      </c>
      <c r="B192" s="5" t="s">
        <v>26</v>
      </c>
      <c r="C192" s="33">
        <v>45689</v>
      </c>
      <c r="D192" s="5" t="s">
        <v>16</v>
      </c>
      <c r="E192" s="5">
        <v>15</v>
      </c>
      <c r="F192" s="5" t="s">
        <v>48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5">
        <v>0</v>
      </c>
      <c r="P192" s="5">
        <v>0</v>
      </c>
      <c r="Q192" s="5">
        <v>2</v>
      </c>
      <c r="R192" s="5">
        <v>0</v>
      </c>
      <c r="S192" t="s">
        <v>40</v>
      </c>
      <c r="T192" s="5">
        <v>2025</v>
      </c>
    </row>
    <row r="193" spans="1:20" hidden="1" x14ac:dyDescent="0.35">
      <c r="A193" s="5" t="s">
        <v>23</v>
      </c>
      <c r="B193" s="5" t="s">
        <v>26</v>
      </c>
      <c r="C193" s="33">
        <v>45689</v>
      </c>
      <c r="D193" s="5" t="s">
        <v>16</v>
      </c>
      <c r="E193" s="5">
        <v>6</v>
      </c>
      <c r="F193" s="5" t="s">
        <v>31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5">
        <v>0</v>
      </c>
      <c r="P193" s="5">
        <v>0</v>
      </c>
      <c r="Q193" s="5">
        <v>1</v>
      </c>
      <c r="R193" s="5">
        <v>0</v>
      </c>
      <c r="S193" t="s">
        <v>40</v>
      </c>
      <c r="T193" s="5">
        <v>2025</v>
      </c>
    </row>
    <row r="194" spans="1:20" hidden="1" x14ac:dyDescent="0.35">
      <c r="A194" s="5" t="s">
        <v>23</v>
      </c>
      <c r="B194" s="5" t="s">
        <v>26</v>
      </c>
      <c r="C194" s="33">
        <v>45689</v>
      </c>
      <c r="D194" s="5" t="s">
        <v>16</v>
      </c>
      <c r="E194" s="5">
        <v>10</v>
      </c>
      <c r="F194" s="5" t="s">
        <v>31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5">
        <v>0</v>
      </c>
      <c r="P194" s="5">
        <v>0</v>
      </c>
      <c r="Q194" s="5">
        <v>1</v>
      </c>
      <c r="R194" s="5">
        <v>0</v>
      </c>
      <c r="S194" t="s">
        <v>40</v>
      </c>
      <c r="T194" s="5">
        <v>2025</v>
      </c>
    </row>
    <row r="195" spans="1:20" hidden="1" x14ac:dyDescent="0.35">
      <c r="A195" s="5" t="s">
        <v>23</v>
      </c>
      <c r="B195" s="5" t="s">
        <v>26</v>
      </c>
      <c r="C195" s="33">
        <v>45689</v>
      </c>
      <c r="D195" s="5" t="s">
        <v>16</v>
      </c>
      <c r="E195" s="5">
        <v>14</v>
      </c>
      <c r="F195" s="5" t="s">
        <v>31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5">
        <v>0</v>
      </c>
      <c r="P195" s="5">
        <v>0</v>
      </c>
      <c r="Q195" s="5">
        <v>1</v>
      </c>
      <c r="R195" s="5">
        <v>0</v>
      </c>
      <c r="S195" t="s">
        <v>40</v>
      </c>
      <c r="T195" s="5">
        <v>2025</v>
      </c>
    </row>
    <row r="196" spans="1:20" hidden="1" x14ac:dyDescent="0.35">
      <c r="A196" s="5" t="s">
        <v>23</v>
      </c>
      <c r="B196" s="5" t="s">
        <v>26</v>
      </c>
      <c r="C196" s="33">
        <v>45717</v>
      </c>
      <c r="D196" s="5" t="s">
        <v>16</v>
      </c>
      <c r="E196" s="5">
        <v>14</v>
      </c>
      <c r="F196" s="5" t="s">
        <v>48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5">
        <v>0</v>
      </c>
      <c r="P196" s="5">
        <v>0</v>
      </c>
      <c r="Q196" s="5">
        <v>2</v>
      </c>
      <c r="R196" s="5">
        <v>0</v>
      </c>
      <c r="S196" t="s">
        <v>40</v>
      </c>
      <c r="T196" s="5">
        <v>2025</v>
      </c>
    </row>
    <row r="197" spans="1:20" hidden="1" x14ac:dyDescent="0.35">
      <c r="A197" s="5" t="s">
        <v>23</v>
      </c>
      <c r="B197" s="5" t="s">
        <v>26</v>
      </c>
      <c r="C197" s="33">
        <v>45717</v>
      </c>
      <c r="D197" s="5" t="s">
        <v>16</v>
      </c>
      <c r="E197" s="5">
        <v>10</v>
      </c>
      <c r="F197" s="5" t="s">
        <v>31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5">
        <v>0</v>
      </c>
      <c r="P197" s="5">
        <v>0</v>
      </c>
      <c r="Q197" s="5">
        <v>2</v>
      </c>
      <c r="R197" s="5">
        <v>0</v>
      </c>
      <c r="S197" t="s">
        <v>40</v>
      </c>
      <c r="T197" s="5">
        <v>2025</v>
      </c>
    </row>
    <row r="198" spans="1:20" hidden="1" x14ac:dyDescent="0.35">
      <c r="A198" s="5" t="s">
        <v>23</v>
      </c>
      <c r="B198" s="5" t="s">
        <v>26</v>
      </c>
      <c r="C198" s="33">
        <v>45717</v>
      </c>
      <c r="D198" s="5" t="s">
        <v>17</v>
      </c>
      <c r="E198" s="5">
        <v>7</v>
      </c>
      <c r="F198" s="5" t="s">
        <v>48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5">
        <v>0</v>
      </c>
      <c r="P198" s="5">
        <v>0</v>
      </c>
      <c r="Q198" s="5">
        <v>1</v>
      </c>
      <c r="R198" s="5">
        <v>0</v>
      </c>
      <c r="S198" t="s">
        <v>40</v>
      </c>
      <c r="T198" s="5">
        <v>2025</v>
      </c>
    </row>
    <row r="199" spans="1:20" hidden="1" x14ac:dyDescent="0.35">
      <c r="A199" s="5" t="s">
        <v>23</v>
      </c>
      <c r="B199" s="5" t="s">
        <v>26</v>
      </c>
      <c r="C199" s="33">
        <v>45658</v>
      </c>
      <c r="D199" s="5" t="s">
        <v>19</v>
      </c>
      <c r="E199" s="5">
        <v>6</v>
      </c>
      <c r="F199" s="5" t="s">
        <v>30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5">
        <v>0</v>
      </c>
      <c r="P199" s="5">
        <v>0</v>
      </c>
      <c r="Q199" s="5">
        <v>1</v>
      </c>
      <c r="R199" s="5">
        <v>0</v>
      </c>
      <c r="S199" t="s">
        <v>40</v>
      </c>
      <c r="T199" s="5">
        <v>2025</v>
      </c>
    </row>
    <row r="200" spans="1:20" hidden="1" x14ac:dyDescent="0.35">
      <c r="A200" s="5" t="s">
        <v>23</v>
      </c>
      <c r="B200" s="5" t="s">
        <v>26</v>
      </c>
      <c r="C200" s="33">
        <v>45658</v>
      </c>
      <c r="D200" s="5" t="s">
        <v>19</v>
      </c>
      <c r="E200" s="5">
        <v>8</v>
      </c>
      <c r="F200" s="5" t="s">
        <v>49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5">
        <v>0</v>
      </c>
      <c r="P200" s="5">
        <v>0</v>
      </c>
      <c r="Q200" s="5">
        <v>2</v>
      </c>
      <c r="R200" s="5">
        <v>0</v>
      </c>
      <c r="S200" t="s">
        <v>40</v>
      </c>
      <c r="T200" s="5">
        <v>2025</v>
      </c>
    </row>
    <row r="201" spans="1:20" hidden="1" x14ac:dyDescent="0.35">
      <c r="A201" s="5" t="s">
        <v>23</v>
      </c>
      <c r="B201" s="5" t="s">
        <v>26</v>
      </c>
      <c r="C201" s="33">
        <v>45689</v>
      </c>
      <c r="D201" s="5" t="s">
        <v>19</v>
      </c>
      <c r="E201" s="5">
        <v>8</v>
      </c>
      <c r="F201" s="5" t="s">
        <v>49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5">
        <v>0</v>
      </c>
      <c r="P201" s="5">
        <v>0</v>
      </c>
      <c r="Q201" s="5">
        <v>1</v>
      </c>
      <c r="R201" s="5">
        <v>0</v>
      </c>
      <c r="S201" t="s">
        <v>40</v>
      </c>
      <c r="T201" s="5">
        <v>2025</v>
      </c>
    </row>
    <row r="202" spans="1:20" hidden="1" x14ac:dyDescent="0.35">
      <c r="A202" s="5" t="s">
        <v>23</v>
      </c>
      <c r="B202" s="5" t="s">
        <v>26</v>
      </c>
      <c r="C202" s="33">
        <v>45689</v>
      </c>
      <c r="D202" s="5" t="s">
        <v>19</v>
      </c>
      <c r="E202" s="5">
        <v>14</v>
      </c>
      <c r="F202" s="5" t="s">
        <v>49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5">
        <v>0</v>
      </c>
      <c r="P202" s="5">
        <v>0</v>
      </c>
      <c r="Q202" s="5">
        <v>4</v>
      </c>
      <c r="R202" s="5">
        <v>0</v>
      </c>
      <c r="S202" t="s">
        <v>40</v>
      </c>
      <c r="T202" s="5">
        <v>2025</v>
      </c>
    </row>
    <row r="203" spans="1:20" hidden="1" x14ac:dyDescent="0.35">
      <c r="A203" s="5" t="s">
        <v>23</v>
      </c>
      <c r="B203" s="5" t="s">
        <v>26</v>
      </c>
      <c r="C203" s="33">
        <v>45689</v>
      </c>
      <c r="D203" s="5" t="s">
        <v>19</v>
      </c>
      <c r="E203" s="5" t="s">
        <v>49</v>
      </c>
      <c r="F203" s="5" t="s">
        <v>49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5">
        <v>0</v>
      </c>
      <c r="P203" s="5">
        <v>0</v>
      </c>
      <c r="Q203" s="5">
        <v>5</v>
      </c>
      <c r="R203" s="5">
        <v>0</v>
      </c>
      <c r="S203" t="s">
        <v>40</v>
      </c>
      <c r="T203" s="5">
        <v>2025</v>
      </c>
    </row>
    <row r="204" spans="1:20" hidden="1" x14ac:dyDescent="0.35">
      <c r="A204" s="5" t="s">
        <v>23</v>
      </c>
      <c r="B204" s="5" t="s">
        <v>26</v>
      </c>
      <c r="C204" s="33">
        <v>45717</v>
      </c>
      <c r="D204" s="5" t="s">
        <v>19</v>
      </c>
      <c r="E204" s="5">
        <v>14</v>
      </c>
      <c r="F204" s="5" t="s">
        <v>49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5">
        <v>0</v>
      </c>
      <c r="P204" s="5">
        <v>0</v>
      </c>
      <c r="Q204" s="5">
        <v>4</v>
      </c>
      <c r="R204" s="5">
        <v>0</v>
      </c>
      <c r="S204" t="s">
        <v>40</v>
      </c>
      <c r="T204" s="5">
        <v>2025</v>
      </c>
    </row>
    <row r="205" spans="1:20" hidden="1" x14ac:dyDescent="0.35">
      <c r="A205" s="5" t="s">
        <v>23</v>
      </c>
      <c r="B205" s="5" t="s">
        <v>26</v>
      </c>
      <c r="C205" s="33">
        <v>45717</v>
      </c>
      <c r="D205" s="5" t="s">
        <v>19</v>
      </c>
      <c r="E205" s="5">
        <v>15</v>
      </c>
      <c r="F205" s="5" t="s">
        <v>49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5">
        <v>0</v>
      </c>
      <c r="P205" s="5">
        <v>0</v>
      </c>
      <c r="Q205" s="5">
        <v>1</v>
      </c>
      <c r="R205" s="5">
        <v>0</v>
      </c>
      <c r="S205" t="s">
        <v>40</v>
      </c>
      <c r="T205" s="5">
        <v>2025</v>
      </c>
    </row>
    <row r="206" spans="1:20" hidden="1" x14ac:dyDescent="0.35">
      <c r="A206" s="5" t="s">
        <v>23</v>
      </c>
      <c r="B206" s="5" t="s">
        <v>26</v>
      </c>
      <c r="C206" s="33">
        <v>45717</v>
      </c>
      <c r="D206" s="5" t="s">
        <v>19</v>
      </c>
      <c r="E206" s="5">
        <v>8</v>
      </c>
      <c r="F206" s="5" t="s">
        <v>31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5">
        <v>0</v>
      </c>
      <c r="P206" s="5">
        <v>0</v>
      </c>
      <c r="Q206" s="5">
        <v>12</v>
      </c>
      <c r="R206" s="5">
        <v>0</v>
      </c>
      <c r="S206" t="s">
        <v>40</v>
      </c>
      <c r="T206" s="5">
        <v>2025</v>
      </c>
    </row>
    <row r="207" spans="1:20" hidden="1" x14ac:dyDescent="0.35">
      <c r="A207" s="5" t="s">
        <v>23</v>
      </c>
      <c r="B207" s="5" t="s">
        <v>26</v>
      </c>
      <c r="C207" s="33">
        <v>45717</v>
      </c>
      <c r="D207" s="5" t="s">
        <v>19</v>
      </c>
      <c r="E207" s="5">
        <v>15</v>
      </c>
      <c r="F207" s="5" t="s">
        <v>31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5">
        <v>0</v>
      </c>
      <c r="P207" s="5">
        <v>0</v>
      </c>
      <c r="Q207" s="5">
        <v>1</v>
      </c>
      <c r="R207" s="5">
        <v>0</v>
      </c>
      <c r="S207" t="s">
        <v>40</v>
      </c>
      <c r="T207" s="5">
        <v>2025</v>
      </c>
    </row>
    <row r="208" spans="1:20" hidden="1" x14ac:dyDescent="0.35">
      <c r="A208" s="5" t="s">
        <v>23</v>
      </c>
      <c r="B208" s="5" t="s">
        <v>32</v>
      </c>
      <c r="C208" s="33">
        <v>45658</v>
      </c>
      <c r="D208" s="5" t="s">
        <v>16</v>
      </c>
      <c r="E208" s="5">
        <v>7</v>
      </c>
      <c r="F208" s="5" t="s">
        <v>30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5">
        <v>0</v>
      </c>
      <c r="P208" s="5">
        <v>0</v>
      </c>
      <c r="Q208" s="5">
        <v>1</v>
      </c>
      <c r="R208" s="5">
        <v>0</v>
      </c>
      <c r="S208" t="s">
        <v>40</v>
      </c>
      <c r="T208" s="5">
        <v>2025</v>
      </c>
    </row>
    <row r="209" spans="1:20" hidden="1" x14ac:dyDescent="0.35">
      <c r="A209" s="5" t="s">
        <v>23</v>
      </c>
      <c r="B209" s="5" t="s">
        <v>32</v>
      </c>
      <c r="C209" s="33">
        <v>45658</v>
      </c>
      <c r="D209" s="5" t="s">
        <v>16</v>
      </c>
      <c r="E209" s="5">
        <v>10</v>
      </c>
      <c r="F209" s="5" t="s">
        <v>30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5">
        <v>0</v>
      </c>
      <c r="P209" s="5">
        <v>0</v>
      </c>
      <c r="Q209" s="5">
        <v>1</v>
      </c>
      <c r="R209" s="5">
        <v>0</v>
      </c>
      <c r="S209" t="s">
        <v>40</v>
      </c>
      <c r="T209" s="5">
        <v>2025</v>
      </c>
    </row>
    <row r="210" spans="1:20" hidden="1" x14ac:dyDescent="0.35">
      <c r="A210" s="5" t="s">
        <v>23</v>
      </c>
      <c r="B210" s="5" t="s">
        <v>32</v>
      </c>
      <c r="C210" s="33">
        <v>45689</v>
      </c>
      <c r="D210" s="5" t="s">
        <v>16</v>
      </c>
      <c r="E210" s="5">
        <v>7</v>
      </c>
      <c r="F210" s="5" t="s">
        <v>30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5">
        <v>0</v>
      </c>
      <c r="P210" s="5">
        <v>0</v>
      </c>
      <c r="Q210" s="5">
        <v>1</v>
      </c>
      <c r="R210" s="5">
        <v>0</v>
      </c>
      <c r="S210" t="s">
        <v>40</v>
      </c>
      <c r="T210" s="5">
        <v>2025</v>
      </c>
    </row>
    <row r="211" spans="1:20" hidden="1" x14ac:dyDescent="0.35">
      <c r="A211" s="5" t="s">
        <v>23</v>
      </c>
      <c r="B211" s="5" t="s">
        <v>32</v>
      </c>
      <c r="C211" s="33">
        <v>45689</v>
      </c>
      <c r="D211" s="5" t="s">
        <v>16</v>
      </c>
      <c r="E211" s="5" t="s">
        <v>49</v>
      </c>
      <c r="F211" s="5" t="s">
        <v>48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5">
        <v>0</v>
      </c>
      <c r="P211" s="5">
        <v>0</v>
      </c>
      <c r="Q211" s="5">
        <v>2</v>
      </c>
      <c r="R211" s="5">
        <v>0</v>
      </c>
      <c r="S211" t="s">
        <v>40</v>
      </c>
      <c r="T211" s="5">
        <v>2025</v>
      </c>
    </row>
    <row r="212" spans="1:20" hidden="1" x14ac:dyDescent="0.35">
      <c r="A212" s="5" t="s">
        <v>23</v>
      </c>
      <c r="B212" s="5" t="s">
        <v>32</v>
      </c>
      <c r="C212" s="33">
        <v>45689</v>
      </c>
      <c r="D212" s="5" t="s">
        <v>16</v>
      </c>
      <c r="E212" s="5">
        <v>10</v>
      </c>
      <c r="F212" s="5" t="s">
        <v>31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5">
        <v>0</v>
      </c>
      <c r="P212" s="5">
        <v>0</v>
      </c>
      <c r="Q212" s="5">
        <v>1</v>
      </c>
      <c r="R212" s="5">
        <v>0</v>
      </c>
      <c r="S212" t="s">
        <v>40</v>
      </c>
      <c r="T212" s="5">
        <v>2025</v>
      </c>
    </row>
    <row r="213" spans="1:20" hidden="1" x14ac:dyDescent="0.35">
      <c r="A213" s="5" t="s">
        <v>23</v>
      </c>
      <c r="B213" s="5" t="s">
        <v>32</v>
      </c>
      <c r="C213" s="33">
        <v>45717</v>
      </c>
      <c r="D213" s="5" t="s">
        <v>16</v>
      </c>
      <c r="E213" s="5" t="s">
        <v>49</v>
      </c>
      <c r="F213" s="5" t="s">
        <v>48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5">
        <v>0</v>
      </c>
      <c r="P213" s="5">
        <v>0</v>
      </c>
      <c r="Q213" s="5">
        <v>1</v>
      </c>
      <c r="R213" s="5">
        <v>0</v>
      </c>
      <c r="S213" t="s">
        <v>40</v>
      </c>
      <c r="T213" s="5">
        <v>2025</v>
      </c>
    </row>
    <row r="214" spans="1:20" hidden="1" x14ac:dyDescent="0.35">
      <c r="A214" s="5" t="s">
        <v>23</v>
      </c>
      <c r="B214" s="5" t="s">
        <v>32</v>
      </c>
      <c r="C214" s="33">
        <v>45717</v>
      </c>
      <c r="D214" s="5" t="s">
        <v>16</v>
      </c>
      <c r="E214" s="5">
        <v>8</v>
      </c>
      <c r="F214" s="5" t="s">
        <v>31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5">
        <v>0</v>
      </c>
      <c r="P214" s="5">
        <v>0</v>
      </c>
      <c r="Q214" s="5">
        <v>1</v>
      </c>
      <c r="R214" s="5">
        <v>0</v>
      </c>
      <c r="S214" t="s">
        <v>40</v>
      </c>
      <c r="T214" s="5">
        <v>2025</v>
      </c>
    </row>
    <row r="215" spans="1:20" hidden="1" x14ac:dyDescent="0.35">
      <c r="A215" s="5" t="s">
        <v>23</v>
      </c>
      <c r="B215" s="5" t="s">
        <v>32</v>
      </c>
      <c r="C215" s="33">
        <v>45658</v>
      </c>
      <c r="D215" s="5" t="s">
        <v>19</v>
      </c>
      <c r="E215" s="5">
        <v>14</v>
      </c>
      <c r="F215" s="5" t="s">
        <v>31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5">
        <v>0</v>
      </c>
      <c r="P215" s="5">
        <v>0</v>
      </c>
      <c r="Q215" s="5">
        <v>2</v>
      </c>
      <c r="R215" s="5">
        <v>0</v>
      </c>
      <c r="S215" t="s">
        <v>40</v>
      </c>
      <c r="T215" s="5">
        <v>2025</v>
      </c>
    </row>
    <row r="216" spans="1:20" hidden="1" x14ac:dyDescent="0.35">
      <c r="A216" s="5" t="s">
        <v>23</v>
      </c>
      <c r="B216" s="5" t="s">
        <v>32</v>
      </c>
      <c r="C216" s="33">
        <v>45658</v>
      </c>
      <c r="D216" s="5" t="s">
        <v>19</v>
      </c>
      <c r="E216" s="5" t="s">
        <v>49</v>
      </c>
      <c r="F216" s="5" t="s">
        <v>31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5">
        <v>0</v>
      </c>
      <c r="P216" s="5">
        <v>0</v>
      </c>
      <c r="Q216" s="5">
        <v>2</v>
      </c>
      <c r="R216" s="5">
        <v>0</v>
      </c>
      <c r="S216" t="s">
        <v>40</v>
      </c>
      <c r="T216" s="5">
        <v>2025</v>
      </c>
    </row>
    <row r="217" spans="1:20" hidden="1" x14ac:dyDescent="0.35">
      <c r="A217" s="5" t="s">
        <v>23</v>
      </c>
      <c r="B217" s="5" t="s">
        <v>32</v>
      </c>
      <c r="C217" s="33">
        <v>45689</v>
      </c>
      <c r="D217" s="5" t="s">
        <v>19</v>
      </c>
      <c r="E217" s="5">
        <v>6</v>
      </c>
      <c r="F217" s="5" t="s">
        <v>49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5">
        <v>0</v>
      </c>
      <c r="P217" s="5">
        <v>0</v>
      </c>
      <c r="Q217" s="5">
        <v>2</v>
      </c>
      <c r="R217" s="5">
        <v>0</v>
      </c>
      <c r="S217" t="s">
        <v>40</v>
      </c>
      <c r="T217" s="5">
        <v>2025</v>
      </c>
    </row>
    <row r="218" spans="1:20" hidden="1" x14ac:dyDescent="0.35">
      <c r="A218" s="5" t="s">
        <v>23</v>
      </c>
      <c r="B218" s="5" t="s">
        <v>32</v>
      </c>
      <c r="C218" s="33">
        <v>45689</v>
      </c>
      <c r="D218" s="5" t="s">
        <v>19</v>
      </c>
      <c r="E218" s="5">
        <v>15</v>
      </c>
      <c r="F218" s="5" t="s">
        <v>31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5">
        <v>0</v>
      </c>
      <c r="P218" s="5">
        <v>0</v>
      </c>
      <c r="Q218" s="5">
        <v>1</v>
      </c>
      <c r="R218" s="5">
        <v>0</v>
      </c>
      <c r="S218" t="s">
        <v>40</v>
      </c>
      <c r="T218" s="5">
        <v>2025</v>
      </c>
    </row>
    <row r="219" spans="1:20" hidden="1" x14ac:dyDescent="0.35">
      <c r="A219" s="5" t="s">
        <v>23</v>
      </c>
      <c r="B219" s="5" t="s">
        <v>32</v>
      </c>
      <c r="C219" s="33">
        <v>45717</v>
      </c>
      <c r="D219" s="5" t="s">
        <v>19</v>
      </c>
      <c r="E219" s="5">
        <v>8</v>
      </c>
      <c r="F219" s="5" t="s">
        <v>49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5">
        <v>0</v>
      </c>
      <c r="P219" s="5">
        <v>0</v>
      </c>
      <c r="Q219" s="5">
        <v>1</v>
      </c>
      <c r="R219" s="5">
        <v>0</v>
      </c>
      <c r="S219" t="s">
        <v>40</v>
      </c>
      <c r="T219" s="5">
        <v>2025</v>
      </c>
    </row>
    <row r="220" spans="1:20" hidden="1" x14ac:dyDescent="0.35">
      <c r="A220" s="5" t="s">
        <v>23</v>
      </c>
      <c r="B220" s="5" t="s">
        <v>32</v>
      </c>
      <c r="C220" s="33">
        <v>45717</v>
      </c>
      <c r="D220" s="5" t="s">
        <v>19</v>
      </c>
      <c r="E220" s="5">
        <v>8</v>
      </c>
      <c r="F220" s="5" t="s">
        <v>31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5">
        <v>0</v>
      </c>
      <c r="P220" s="5">
        <v>0</v>
      </c>
      <c r="Q220" s="5">
        <v>42</v>
      </c>
      <c r="R220" s="5">
        <v>0</v>
      </c>
      <c r="S220" t="s">
        <v>40</v>
      </c>
      <c r="T220" s="5">
        <v>2025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2a5847af2db978d0ec7d1c3649b62467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02e1ad0f5180d6a70bde088ea9d73e5d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F0BBDA9-D95E-41F8-AE7E-2FCBE3480C3F}">
  <ds:schemaRefs>
    <ds:schemaRef ds:uri="http://schemas.microsoft.com/office/2006/metadata/properties"/>
    <ds:schemaRef ds:uri="http://schemas.microsoft.com/office/infopath/2007/PartnerControls"/>
    <ds:schemaRef ds:uri="785685f2-c2e1-4352-89aa-3faca8eaba52"/>
    <ds:schemaRef ds:uri="5067c814-4b34-462c-a21d-c185ff6548d2"/>
  </ds:schemaRefs>
</ds:datastoreItem>
</file>

<file path=customXml/itemProps2.xml><?xml version="1.0" encoding="utf-8"?>
<ds:datastoreItem xmlns:ds="http://schemas.openxmlformats.org/officeDocument/2006/customXml" ds:itemID="{6CB59C9B-F676-4396-A3F5-5C78AC93C0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E32A0F-8427-4368-90B1-A9A0CB04C1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2750F41-5D9B-4C4B-BDE4-D8AE566C95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Overall_Summary_Q1_Data</vt:lpstr>
      <vt:lpstr>Summary_Q1_Data_IOU</vt:lpstr>
      <vt:lpstr>Combination</vt:lpstr>
      <vt:lpstr>PGE_Q1_2025</vt:lpstr>
      <vt:lpstr>SCE_Q1_2025</vt:lpstr>
      <vt:lpstr>SDGE_Q1_2025</vt:lpstr>
    </vt:vector>
  </TitlesOfParts>
  <Company>California Energy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Majumder, Ria@Energy</dc:creator>
  <cp:lastModifiedBy>Ford, Robert@Energy</cp:lastModifiedBy>
  <dcterms:created xsi:type="dcterms:W3CDTF">2025-11-24T18:01:32Z</dcterms:created>
  <dcterms:modified xsi:type="dcterms:W3CDTF">2026-02-26T21:51:55Z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</Properties>
</file>