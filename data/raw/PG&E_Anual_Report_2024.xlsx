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Sheet1"/>
    <sheet r:id="rId2" sheetId="2" name="validate entries (rwy2)"/>
  </sheets>
  <calcPr fullCalcOnLoad="1"/>
</workbook>
</file>

<file path=xl/sharedStrings.xml><?xml version="1.0" encoding="utf-8"?>
<sst xmlns="http://schemas.openxmlformats.org/spreadsheetml/2006/main" count="1882" uniqueCount="66">
  <si>
    <t>Category: MIXED FUEL NEW CONSTRUCTION</t>
  </si>
  <si>
    <t>Dates to Pull: January 01, 2024 ‐ December 31, 2024</t>
  </si>
  <si>
    <t>Due Date: May 01, 2025</t>
  </si>
  <si>
    <t>*Customer classes vary between IOU's</t>
  </si>
  <si>
    <t>Item 9</t>
  </si>
  <si>
    <t xml:space="preserve">item 12 </t>
  </si>
  <si>
    <t>Item 7</t>
  </si>
  <si>
    <t>Item 10</t>
  </si>
  <si>
    <t>Item 8</t>
  </si>
  <si>
    <t>Item 11</t>
  </si>
  <si>
    <t>Item 3</t>
  </si>
  <si>
    <t>Item 2</t>
  </si>
  <si>
    <t>Item 1</t>
  </si>
  <si>
    <t>Item 4</t>
  </si>
  <si>
    <t xml:space="preserve">Item 14 </t>
  </si>
  <si>
    <t>Customer Class</t>
  </si>
  <si>
    <t>Total Discounts (Non‐Exempted Projects)</t>
  </si>
  <si>
    <t>Total Discounts (Exempted projects)</t>
  </si>
  <si>
    <t>Total Allowances (Non‐Exempted Projects)</t>
  </si>
  <si>
    <t>Total Allowances (Exempted projects)</t>
  </si>
  <si>
    <t>Total Refund Payments Provided to Builders (Non‐Exempted Projects)</t>
  </si>
  <si>
    <t>Total Refund Payments Provided to Builders (Exempted projects)</t>
  </si>
  <si>
    <t>Total Estimated Non‐Refundable</t>
  </si>
  <si>
    <t>Total Estimated Refundable</t>
  </si>
  <si>
    <t>Total Electric Line Extension Requests received (applications)</t>
  </si>
  <si>
    <t>Total Electric Line Extensions Energized</t>
  </si>
  <si>
    <t>Total Electric Line Extension Applications for applicant install</t>
  </si>
  <si>
    <t>Agency (City, County, Caltrans)</t>
  </si>
  <si>
    <t>Agricultural</t>
  </si>
  <si>
    <t>Commercial</t>
  </si>
  <si>
    <t xml:space="preserve">Industrial </t>
  </si>
  <si>
    <t xml:space="preserve">Mixed Use (Commercial / Residential) </t>
  </si>
  <si>
    <t xml:space="preserve">Residential </t>
  </si>
  <si>
    <t xml:space="preserve">Street and Outdoor area Lighting  </t>
  </si>
  <si>
    <t xml:space="preserve">Telecommunications  </t>
  </si>
  <si>
    <t>Temporary Services</t>
  </si>
  <si>
    <t>TOTAL</t>
  </si>
  <si>
    <t>Category: Upgrades to Existing Facilities (All Electric)</t>
  </si>
  <si>
    <t>Category: Upgrades to Existing Facilities (Mixed Fuel)</t>
  </si>
  <si>
    <t>Category: All Electric New Construction</t>
  </si>
  <si>
    <t>New Construction:</t>
  </si>
  <si>
    <t>Mixed Fuel</t>
  </si>
  <si>
    <t>All Electric</t>
  </si>
  <si>
    <t>Total</t>
  </si>
  <si>
    <t>Upgrades to Existing Facilities:</t>
  </si>
  <si>
    <t xml:space="preserve">January </t>
  </si>
  <si>
    <t>February</t>
  </si>
  <si>
    <t>March</t>
  </si>
  <si>
    <t>April</t>
  </si>
  <si>
    <t xml:space="preserve">May </t>
  </si>
  <si>
    <t>June</t>
  </si>
  <si>
    <t xml:space="preserve">July </t>
  </si>
  <si>
    <t xml:space="preserve">August </t>
  </si>
  <si>
    <t>September</t>
  </si>
  <si>
    <t>October</t>
  </si>
  <si>
    <t>November</t>
  </si>
  <si>
    <t>December</t>
  </si>
  <si>
    <t xml:space="preserve">Total </t>
  </si>
  <si>
    <t>January</t>
  </si>
  <si>
    <t xml:space="preserve">April </t>
  </si>
  <si>
    <t>May</t>
  </si>
  <si>
    <t xml:space="preserve">October </t>
  </si>
  <si>
    <t xml:space="preserve">February </t>
  </si>
  <si>
    <t xml:space="preserve">March </t>
  </si>
  <si>
    <t>August</t>
  </si>
  <si>
    <t xml:space="preserve">November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</si>
</sst>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4ea72e"/>
      </patternFill>
    </fill>
    <fill>
      <patternFill patternType="solid">
        <fgColor rgb="FF00b05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xfId="0" numFmtId="0" borderId="0" fontId="0" fillId="0"/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left"/>
    </xf>
    <xf xfId="0" numFmtId="0" borderId="2" applyBorder="1" fontId="2" applyFont="1" fillId="2" applyFill="1" applyAlignment="1">
      <alignment horizontal="left" vertical="top"/>
    </xf>
    <xf xfId="0" numFmtId="0" borderId="2" applyBorder="1" fontId="2" applyFont="1" fillId="2" applyFill="1" applyAlignment="1">
      <alignment horizontal="left" vertical="top" wrapText="1"/>
    </xf>
    <xf xfId="0" numFmtId="0" borderId="2" applyBorder="1" fontId="2" applyFont="1" fillId="2" applyFill="1" applyAlignment="1">
      <alignment horizontal="center" vertical="top" wrapText="1"/>
    </xf>
    <xf xfId="0" numFmtId="3" applyNumberFormat="1" borderId="2" applyBorder="1" fontId="2" applyFont="1" fillId="2" applyFill="1" applyAlignment="1">
      <alignment horizontal="left" vertical="top" wrapText="1"/>
    </xf>
    <xf xfId="0" numFmtId="3" applyNumberFormat="1" borderId="2" applyBorder="1" fontId="2" applyFont="1" fillId="2" applyFill="1" applyAlignment="1">
      <alignment horizontal="center" vertical="top" wrapText="1"/>
    </xf>
    <xf xfId="0" numFmtId="0" borderId="2" applyBorder="1" fontId="2" applyFont="1" fillId="2" applyFill="1" applyAlignment="1">
      <alignment horizontal="left"/>
    </xf>
    <xf xfId="0" numFmtId="0" borderId="2" applyBorder="1" fontId="2" applyFont="1" fillId="2" applyFill="1" applyAlignment="1">
      <alignment horizontal="left" wrapText="1"/>
    </xf>
    <xf xfId="0" numFmtId="0" borderId="2" applyBorder="1" fontId="2" applyFont="1" fillId="2" applyFill="1" applyAlignment="1">
      <alignment horizontal="center" wrapText="1"/>
    </xf>
    <xf xfId="0" numFmtId="3" applyNumberFormat="1" borderId="2" applyBorder="1" fontId="2" applyFont="1" fillId="2" applyFill="1" applyAlignment="1">
      <alignment horizontal="left" wrapText="1"/>
    </xf>
    <xf xfId="0" numFmtId="3" applyNumberFormat="1" borderId="2" applyBorder="1" fontId="2" applyFont="1" fillId="2" applyFill="1" applyAlignment="1">
      <alignment horizontal="center" wrapText="1"/>
    </xf>
    <xf xfId="0" numFmtId="7" applyNumberFormat="1" borderId="2" applyBorder="1" fontId="2" applyFont="1" fillId="0" applyAlignment="1">
      <alignment horizontal="right"/>
    </xf>
    <xf xfId="0" numFmtId="3" applyNumberFormat="1" borderId="2" applyBorder="1" fontId="2" applyFont="1" fillId="0" applyAlignment="1">
      <alignment horizontal="right"/>
    </xf>
    <xf xfId="0" numFmtId="0" borderId="3" applyBorder="1" fontId="1" applyFont="1" fillId="0" applyAlignment="1">
      <alignment horizontal="left"/>
    </xf>
    <xf xfId="0" numFmtId="3" applyNumberFormat="1" borderId="2" applyBorder="1" fontId="1" applyFont="1" fillId="2" applyFill="1" applyAlignment="1">
      <alignment horizontal="right"/>
    </xf>
    <xf xfId="0" numFmtId="0" borderId="4" applyBorder="1" fontId="2" applyFont="1" fillId="0" applyAlignment="1">
      <alignment horizontal="left"/>
    </xf>
    <xf xfId="0" numFmtId="3" applyNumberFormat="1" borderId="4" applyBorder="1" fontId="2" applyFont="1" fillId="0" applyAlignment="1">
      <alignment horizontal="right"/>
    </xf>
    <xf xfId="0" numFmtId="0" borderId="5" applyBorder="1" fontId="1" applyFont="1" fillId="2" applyFill="1" applyAlignment="1">
      <alignment horizontal="left"/>
    </xf>
    <xf xfId="0" numFmtId="3" applyNumberFormat="1" borderId="5" applyBorder="1" fontId="1" applyFont="1" fillId="2" applyFill="1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7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2" applyBorder="1" fontId="2" applyFont="1" fillId="3" applyFill="1" applyAlignment="1">
      <alignment horizontal="left"/>
    </xf>
    <xf xfId="0" numFmtId="7" applyNumberFormat="1" borderId="2" applyBorder="1" fontId="2" applyFont="1" fillId="0" applyAlignment="1">
      <alignment horizontal="left"/>
    </xf>
    <xf xfId="0" numFmtId="7" applyNumberFormat="1" borderId="2" applyBorder="1" fontId="2" applyFont="1" fillId="2" applyFill="1" applyAlignment="1">
      <alignment horizontal="left" vertical="top" wrapText="1"/>
    </xf>
    <xf xfId="0" numFmtId="7" applyNumberFormat="1" borderId="2" applyBorder="1" fontId="2" applyFont="1" fillId="2" applyFill="1" applyAlignment="1">
      <alignment horizontal="center" vertical="top" wrapText="1"/>
    </xf>
    <xf xfId="0" numFmtId="7" applyNumberFormat="1" borderId="2" applyBorder="1" fontId="2" applyFont="1" fillId="2" applyFill="1" applyAlignment="1">
      <alignment horizontal="left" wrapText="1"/>
    </xf>
    <xf xfId="0" numFmtId="7" applyNumberFormat="1" borderId="2" applyBorder="1" fontId="2" applyFont="1" fillId="2" applyFill="1" applyAlignment="1">
      <alignment horizontal="center" wrapText="1"/>
    </xf>
    <xf xfId="0" numFmtId="0" borderId="2" applyBorder="1" fontId="2" applyFont="1" fillId="4" applyFill="1" applyAlignment="1">
      <alignment horizontal="left"/>
    </xf>
    <xf xfId="0" numFmtId="7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701"/>
  <sheetViews>
    <sheetView workbookViewId="0"/>
  </sheetViews>
  <sheetFormatPr defaultRowHeight="15" x14ac:dyDescent="0.25"/>
  <cols>
    <col min="1" max="1" style="26" width="46.43357142857143" customWidth="1" bestFit="1"/>
    <col min="2" max="2" style="37" width="38.005" customWidth="1" bestFit="1"/>
    <col min="3" max="3" style="37" width="33.43357142857143" customWidth="1" bestFit="1"/>
    <col min="4" max="4" style="37" width="39.43357142857143" customWidth="1" bestFit="1"/>
    <col min="5" max="5" style="37" width="34.57642857142857" customWidth="1" bestFit="1"/>
    <col min="6" max="6" style="37" width="63.14785714285715" customWidth="1" bestFit="1"/>
    <col min="7" max="7" style="37" width="58.43357142857143" customWidth="1" bestFit="1"/>
    <col min="8" max="8" style="37" width="30.14785714285714" customWidth="1" bestFit="1"/>
    <col min="9" max="9" style="37" width="25.576428571428572" customWidth="1" bestFit="1"/>
    <col min="10" max="10" style="38" width="13.576428571428572" customWidth="1" bestFit="1"/>
    <col min="11" max="11" style="38" width="13.576428571428572" customWidth="1" bestFit="1"/>
    <col min="12" max="12" style="38" width="13.576428571428572" customWidth="1" bestFit="1"/>
  </cols>
  <sheetData>
    <row x14ac:dyDescent="0.25" r="1" customHeight="1" ht="18.75">
      <c r="A1" s="1" t="s">
        <v>0</v>
      </c>
      <c r="B1" s="28"/>
      <c r="C1" s="28"/>
      <c r="D1" s="28"/>
      <c r="E1" s="28"/>
      <c r="F1" s="28"/>
      <c r="G1" s="28"/>
      <c r="H1" s="28"/>
      <c r="I1" s="28"/>
      <c r="J1" s="29"/>
      <c r="K1" s="29"/>
      <c r="L1" s="29"/>
    </row>
    <row x14ac:dyDescent="0.25" r="2" customHeight="1" ht="18.75">
      <c r="A2" s="2" t="s">
        <v>1</v>
      </c>
      <c r="B2" s="28"/>
      <c r="C2" s="28"/>
      <c r="D2" s="28"/>
      <c r="E2" s="28"/>
      <c r="F2" s="28"/>
      <c r="G2" s="28"/>
      <c r="H2" s="28"/>
      <c r="I2" s="28"/>
      <c r="J2" s="29"/>
      <c r="K2" s="29"/>
      <c r="L2" s="29"/>
    </row>
    <row x14ac:dyDescent="0.25" r="3" customHeight="1" ht="18.75">
      <c r="A3" s="2" t="s">
        <v>2</v>
      </c>
      <c r="B3" s="28"/>
      <c r="C3" s="28"/>
      <c r="D3" s="28"/>
      <c r="E3" s="28"/>
      <c r="F3" s="28"/>
      <c r="G3" s="28"/>
      <c r="H3" s="28"/>
      <c r="I3" s="28"/>
      <c r="J3" s="29"/>
      <c r="K3" s="29"/>
      <c r="L3" s="29"/>
    </row>
    <row x14ac:dyDescent="0.25" r="4" customHeight="1" ht="18.75">
      <c r="A4" s="2" t="s">
        <v>3</v>
      </c>
      <c r="B4" s="28"/>
      <c r="C4" s="28"/>
      <c r="D4" s="28"/>
      <c r="E4" s="28"/>
      <c r="F4" s="28"/>
      <c r="G4" s="28"/>
      <c r="H4" s="28"/>
      <c r="I4" s="28"/>
      <c r="J4" s="29"/>
      <c r="K4" s="29"/>
      <c r="L4" s="29"/>
    </row>
    <row x14ac:dyDescent="0.25" r="5" customHeight="1" ht="18.75">
      <c r="A5" s="2"/>
      <c r="B5" s="28"/>
      <c r="C5" s="28"/>
      <c r="D5" s="28"/>
      <c r="E5" s="28"/>
      <c r="F5" s="28"/>
      <c r="G5" s="28"/>
      <c r="H5" s="28"/>
      <c r="I5" s="28"/>
      <c r="J5" s="29"/>
      <c r="K5" s="29"/>
      <c r="L5" s="29"/>
    </row>
    <row x14ac:dyDescent="0.25" r="6" customHeight="1" ht="18.75">
      <c r="A6" s="2"/>
      <c r="B6" s="28"/>
      <c r="C6" s="28"/>
      <c r="D6" s="28"/>
      <c r="E6" s="28"/>
      <c r="F6" s="28"/>
      <c r="G6" s="28"/>
      <c r="H6" s="28"/>
      <c r="I6" s="28"/>
      <c r="J6" s="29"/>
      <c r="K6" s="29"/>
      <c r="L6" s="29"/>
    </row>
    <row x14ac:dyDescent="0.25" r="7" customHeight="1" ht="18.75">
      <c r="A7" s="30" t="s">
        <v>45</v>
      </c>
      <c r="B7" s="31" t="s">
        <v>4</v>
      </c>
      <c r="C7" s="31" t="s">
        <v>5</v>
      </c>
      <c r="D7" s="31" t="s">
        <v>6</v>
      </c>
      <c r="E7" s="31" t="s">
        <v>7</v>
      </c>
      <c r="F7" s="31" t="s">
        <v>8</v>
      </c>
      <c r="G7" s="31" t="s">
        <v>9</v>
      </c>
      <c r="H7" s="31" t="s">
        <v>10</v>
      </c>
      <c r="I7" s="31" t="s">
        <v>11</v>
      </c>
      <c r="J7" s="5" t="s">
        <v>12</v>
      </c>
      <c r="K7" s="5" t="s">
        <v>13</v>
      </c>
      <c r="L7" s="5" t="s">
        <v>14</v>
      </c>
    </row>
    <row x14ac:dyDescent="0.25" r="8" customHeight="1" ht="34.875">
      <c r="A8" s="6" t="s">
        <v>15</v>
      </c>
      <c r="B8" s="32" t="s">
        <v>16</v>
      </c>
      <c r="C8" s="33" t="s">
        <v>17</v>
      </c>
      <c r="D8" s="32" t="s">
        <v>18</v>
      </c>
      <c r="E8" s="32" t="s">
        <v>19</v>
      </c>
      <c r="F8" s="32" t="s">
        <v>20</v>
      </c>
      <c r="G8" s="32" t="s">
        <v>21</v>
      </c>
      <c r="H8" s="32" t="s">
        <v>22</v>
      </c>
      <c r="I8" s="33" t="s">
        <v>23</v>
      </c>
      <c r="J8" s="9" t="s">
        <v>24</v>
      </c>
      <c r="K8" s="10" t="s">
        <v>25</v>
      </c>
      <c r="L8" s="9" t="s">
        <v>26</v>
      </c>
    </row>
    <row x14ac:dyDescent="0.25" r="9" customHeight="1" ht="34.875">
      <c r="A9" s="11"/>
      <c r="B9" s="34"/>
      <c r="C9" s="35"/>
      <c r="D9" s="34"/>
      <c r="E9" s="34"/>
      <c r="F9" s="34"/>
      <c r="G9" s="34"/>
      <c r="H9" s="34"/>
      <c r="I9" s="35"/>
      <c r="J9" s="14"/>
      <c r="K9" s="15"/>
      <c r="L9" s="14"/>
    </row>
    <row x14ac:dyDescent="0.25" r="10" customHeight="1" ht="18.75">
      <c r="A10" s="4" t="s">
        <v>27</v>
      </c>
      <c r="B10" s="16">
        <v>34947</v>
      </c>
      <c r="C10" s="16">
        <v>0</v>
      </c>
      <c r="D10" s="16">
        <v>23785</v>
      </c>
      <c r="E10" s="16">
        <v>0</v>
      </c>
      <c r="F10" s="16">
        <v>0</v>
      </c>
      <c r="G10" s="16">
        <v>0</v>
      </c>
      <c r="H10" s="16">
        <v>8530</v>
      </c>
      <c r="I10" s="16">
        <v>93678</v>
      </c>
      <c r="J10" s="17">
        <v>1</v>
      </c>
      <c r="K10" s="5"/>
      <c r="L10" s="5"/>
    </row>
    <row x14ac:dyDescent="0.25" r="11" customHeight="1" ht="18.75">
      <c r="A11" s="4" t="s">
        <v>28</v>
      </c>
      <c r="B11" s="16">
        <v>2352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1564</v>
      </c>
      <c r="I11" s="16">
        <v>4705</v>
      </c>
      <c r="J11" s="17">
        <v>4</v>
      </c>
      <c r="K11" s="5"/>
      <c r="L11" s="17">
        <v>1</v>
      </c>
    </row>
    <row x14ac:dyDescent="0.25" r="12" customHeight="1" ht="18.75">
      <c r="A12" s="4" t="s">
        <v>29</v>
      </c>
      <c r="B12" s="16">
        <v>2154069</v>
      </c>
      <c r="C12" s="16">
        <v>0</v>
      </c>
      <c r="D12" s="16">
        <v>2223555</v>
      </c>
      <c r="E12" s="16">
        <v>0</v>
      </c>
      <c r="F12" s="16">
        <v>13735</v>
      </c>
      <c r="G12" s="16">
        <v>0</v>
      </c>
      <c r="H12" s="16">
        <v>534142</v>
      </c>
      <c r="I12" s="16">
        <v>6531693</v>
      </c>
      <c r="J12" s="17">
        <v>30</v>
      </c>
      <c r="K12" s="17">
        <v>20</v>
      </c>
      <c r="L12" s="17">
        <v>9</v>
      </c>
    </row>
    <row x14ac:dyDescent="0.25" r="13" customHeight="1" ht="18.75">
      <c r="A13" s="4" t="s">
        <v>30</v>
      </c>
      <c r="B13" s="16">
        <v>0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7">
        <v>6</v>
      </c>
      <c r="K13" s="17">
        <v>1</v>
      </c>
      <c r="L13" s="17">
        <v>2</v>
      </c>
    </row>
    <row x14ac:dyDescent="0.25" r="14" customHeight="1" ht="18.75">
      <c r="A14" s="4" t="s">
        <v>31</v>
      </c>
      <c r="B14" s="16">
        <v>65787</v>
      </c>
      <c r="C14" s="16">
        <v>0</v>
      </c>
      <c r="D14" s="16">
        <v>45715</v>
      </c>
      <c r="E14" s="16">
        <v>0</v>
      </c>
      <c r="F14" s="16">
        <v>6532</v>
      </c>
      <c r="G14" s="16">
        <v>0</v>
      </c>
      <c r="H14" s="16">
        <v>22614</v>
      </c>
      <c r="I14" s="16">
        <v>177289</v>
      </c>
      <c r="J14" s="17">
        <v>3</v>
      </c>
      <c r="K14" s="17">
        <v>3</v>
      </c>
      <c r="L14" s="17">
        <v>1</v>
      </c>
    </row>
    <row x14ac:dyDescent="0.25" r="15" customHeight="1" ht="18.75">
      <c r="A15" s="4" t="s">
        <v>32</v>
      </c>
      <c r="B15" s="16">
        <v>6261218</v>
      </c>
      <c r="C15" s="16">
        <v>0</v>
      </c>
      <c r="D15" s="16">
        <v>3839388</v>
      </c>
      <c r="E15" s="16">
        <v>0</v>
      </c>
      <c r="F15" s="16">
        <v>49132</v>
      </c>
      <c r="G15" s="16">
        <v>0</v>
      </c>
      <c r="H15" s="16">
        <v>2935514</v>
      </c>
      <c r="I15" s="16">
        <v>16685228</v>
      </c>
      <c r="J15" s="17">
        <v>218</v>
      </c>
      <c r="K15" s="17">
        <v>86</v>
      </c>
      <c r="L15" s="17">
        <v>49</v>
      </c>
    </row>
    <row x14ac:dyDescent="0.25" r="16" customHeight="1" ht="18.75">
      <c r="A16" s="4" t="s">
        <v>33</v>
      </c>
      <c r="B16" s="16">
        <v>0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5"/>
      <c r="K16" s="5"/>
      <c r="L16" s="5"/>
    </row>
    <row x14ac:dyDescent="0.25" r="17" customHeight="1" ht="18.75">
      <c r="A17" s="4" t="s">
        <v>34</v>
      </c>
      <c r="B17" s="16">
        <v>0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5"/>
      <c r="K17" s="5"/>
      <c r="L17" s="5"/>
    </row>
    <row x14ac:dyDescent="0.25" r="18" customHeight="1" ht="19.5">
      <c r="A18" s="4" t="s">
        <v>35</v>
      </c>
      <c r="B18" s="16">
        <v>0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5"/>
      <c r="K18" s="5"/>
      <c r="L18" s="5"/>
    </row>
    <row x14ac:dyDescent="0.25" r="19" customHeight="1" ht="18.75">
      <c r="A19" s="2"/>
      <c r="B19" s="28"/>
      <c r="C19" s="28"/>
      <c r="D19" s="28"/>
      <c r="E19" s="28"/>
      <c r="F19" s="28"/>
      <c r="G19" s="28"/>
      <c r="H19" s="28"/>
      <c r="I19" s="28"/>
      <c r="J19" s="29"/>
      <c r="K19" s="29"/>
      <c r="L19" s="29"/>
    </row>
    <row x14ac:dyDescent="0.25" r="20" customHeight="1" ht="18.75">
      <c r="A20" s="30" t="s">
        <v>46</v>
      </c>
      <c r="B20" s="31" t="s">
        <v>4</v>
      </c>
      <c r="C20" s="31" t="s">
        <v>5</v>
      </c>
      <c r="D20" s="31" t="s">
        <v>6</v>
      </c>
      <c r="E20" s="31" t="s">
        <v>7</v>
      </c>
      <c r="F20" s="31" t="s">
        <v>8</v>
      </c>
      <c r="G20" s="31" t="s">
        <v>9</v>
      </c>
      <c r="H20" s="31" t="s">
        <v>10</v>
      </c>
      <c r="I20" s="31" t="s">
        <v>11</v>
      </c>
      <c r="J20" s="5" t="s">
        <v>12</v>
      </c>
      <c r="K20" s="5" t="s">
        <v>13</v>
      </c>
      <c r="L20" s="5" t="s">
        <v>14</v>
      </c>
    </row>
    <row x14ac:dyDescent="0.25" r="21" customHeight="1" ht="34.875">
      <c r="A21" s="6" t="s">
        <v>15</v>
      </c>
      <c r="B21" s="32" t="s">
        <v>16</v>
      </c>
      <c r="C21" s="33" t="s">
        <v>17</v>
      </c>
      <c r="D21" s="32" t="s">
        <v>18</v>
      </c>
      <c r="E21" s="32" t="s">
        <v>19</v>
      </c>
      <c r="F21" s="32" t="s">
        <v>20</v>
      </c>
      <c r="G21" s="32" t="s">
        <v>21</v>
      </c>
      <c r="H21" s="32" t="s">
        <v>22</v>
      </c>
      <c r="I21" s="33" t="s">
        <v>23</v>
      </c>
      <c r="J21" s="9" t="s">
        <v>24</v>
      </c>
      <c r="K21" s="10" t="s">
        <v>25</v>
      </c>
      <c r="L21" s="9" t="s">
        <v>26</v>
      </c>
    </row>
    <row x14ac:dyDescent="0.25" r="22" customHeight="1" ht="34.875">
      <c r="A22" s="11"/>
      <c r="B22" s="34"/>
      <c r="C22" s="35"/>
      <c r="D22" s="34"/>
      <c r="E22" s="34"/>
      <c r="F22" s="34"/>
      <c r="G22" s="34"/>
      <c r="H22" s="34"/>
      <c r="I22" s="35"/>
      <c r="J22" s="14"/>
      <c r="K22" s="15"/>
      <c r="L22" s="14"/>
    </row>
    <row x14ac:dyDescent="0.25" r="23" customHeight="1" ht="18.75">
      <c r="A23" s="4" t="s">
        <v>27</v>
      </c>
      <c r="B23" s="16">
        <v>0</v>
      </c>
      <c r="C23" s="16">
        <v>0</v>
      </c>
      <c r="D23" s="16">
        <v>0</v>
      </c>
      <c r="E23" s="16">
        <v>0</v>
      </c>
      <c r="F23" s="16">
        <v>0</v>
      </c>
      <c r="G23" s="16"/>
      <c r="H23" s="16">
        <v>0</v>
      </c>
      <c r="I23" s="16">
        <v>0</v>
      </c>
      <c r="J23" s="5"/>
      <c r="K23" s="5"/>
      <c r="L23" s="5"/>
    </row>
    <row x14ac:dyDescent="0.25" r="24" customHeight="1" ht="18.75">
      <c r="A24" s="4" t="s">
        <v>28</v>
      </c>
      <c r="B24" s="16">
        <v>0</v>
      </c>
      <c r="C24" s="16">
        <v>0</v>
      </c>
      <c r="D24" s="16">
        <v>0</v>
      </c>
      <c r="E24" s="16">
        <v>0</v>
      </c>
      <c r="F24" s="16">
        <v>0</v>
      </c>
      <c r="G24" s="16"/>
      <c r="H24" s="16">
        <v>0</v>
      </c>
      <c r="I24" s="16">
        <v>0</v>
      </c>
      <c r="J24" s="17">
        <v>1</v>
      </c>
      <c r="K24" s="5"/>
      <c r="L24" s="5"/>
    </row>
    <row x14ac:dyDescent="0.25" r="25" customHeight="1" ht="18.75">
      <c r="A25" s="4" t="s">
        <v>29</v>
      </c>
      <c r="B25" s="16">
        <v>2496365</v>
      </c>
      <c r="C25" s="16">
        <v>0</v>
      </c>
      <c r="D25" s="16">
        <v>1871907</v>
      </c>
      <c r="E25" s="16">
        <v>0</v>
      </c>
      <c r="F25" s="16">
        <v>64392</v>
      </c>
      <c r="G25" s="16"/>
      <c r="H25" s="16">
        <v>346491</v>
      </c>
      <c r="I25" s="16">
        <v>6864637</v>
      </c>
      <c r="J25" s="17">
        <v>29</v>
      </c>
      <c r="K25" s="17">
        <v>19</v>
      </c>
      <c r="L25" s="17">
        <v>9</v>
      </c>
    </row>
    <row x14ac:dyDescent="0.25" r="26" customHeight="1" ht="18.75">
      <c r="A26" s="4" t="s">
        <v>30</v>
      </c>
      <c r="B26" s="16">
        <v>0</v>
      </c>
      <c r="C26" s="16">
        <v>0</v>
      </c>
      <c r="D26" s="16">
        <v>301918</v>
      </c>
      <c r="E26" s="16">
        <v>0</v>
      </c>
      <c r="F26" s="16">
        <v>0</v>
      </c>
      <c r="G26" s="16"/>
      <c r="H26" s="16">
        <v>6843</v>
      </c>
      <c r="I26" s="16">
        <v>301918</v>
      </c>
      <c r="J26" s="17">
        <v>2</v>
      </c>
      <c r="K26" s="5"/>
      <c r="L26" s="17">
        <v>2</v>
      </c>
    </row>
    <row x14ac:dyDescent="0.25" r="27" customHeight="1" ht="18.75">
      <c r="A27" s="4" t="s">
        <v>31</v>
      </c>
      <c r="B27" s="16">
        <v>71856</v>
      </c>
      <c r="C27" s="16">
        <v>0</v>
      </c>
      <c r="D27" s="16">
        <v>528537</v>
      </c>
      <c r="E27" s="16">
        <v>0</v>
      </c>
      <c r="F27" s="16">
        <v>2411</v>
      </c>
      <c r="G27" s="16"/>
      <c r="H27" s="16">
        <v>68704</v>
      </c>
      <c r="I27" s="16">
        <v>672249</v>
      </c>
      <c r="J27" s="17">
        <v>5</v>
      </c>
      <c r="K27" s="17">
        <v>4</v>
      </c>
      <c r="L27" s="17">
        <v>4</v>
      </c>
    </row>
    <row x14ac:dyDescent="0.25" r="28" customHeight="1" ht="18.75">
      <c r="A28" s="4" t="s">
        <v>32</v>
      </c>
      <c r="B28" s="16">
        <v>2968529</v>
      </c>
      <c r="C28" s="16">
        <v>0</v>
      </c>
      <c r="D28" s="16">
        <v>1458026</v>
      </c>
      <c r="E28" s="16">
        <v>0</v>
      </c>
      <c r="F28" s="16">
        <v>371659</v>
      </c>
      <c r="G28" s="16"/>
      <c r="H28" s="16">
        <v>2189194</v>
      </c>
      <c r="I28" s="16">
        <v>7912520</v>
      </c>
      <c r="J28" s="17">
        <v>211</v>
      </c>
      <c r="K28" s="17">
        <v>78</v>
      </c>
      <c r="L28" s="17">
        <v>35</v>
      </c>
    </row>
    <row x14ac:dyDescent="0.25" r="29" customHeight="1" ht="18.75">
      <c r="A29" s="4" t="s">
        <v>33</v>
      </c>
      <c r="B29" s="16">
        <v>0</v>
      </c>
      <c r="C29" s="16">
        <v>0</v>
      </c>
      <c r="D29" s="16">
        <v>0</v>
      </c>
      <c r="E29" s="16">
        <v>0</v>
      </c>
      <c r="F29" s="16">
        <v>0</v>
      </c>
      <c r="G29" s="16"/>
      <c r="H29" s="16">
        <v>0</v>
      </c>
      <c r="I29" s="16">
        <v>0</v>
      </c>
      <c r="J29" s="5"/>
      <c r="K29" s="5"/>
      <c r="L29" s="5"/>
    </row>
    <row x14ac:dyDescent="0.25" r="30" customHeight="1" ht="18.75">
      <c r="A30" s="4" t="s">
        <v>34</v>
      </c>
      <c r="B30" s="16">
        <v>0</v>
      </c>
      <c r="C30" s="16">
        <v>0</v>
      </c>
      <c r="D30" s="16">
        <v>0</v>
      </c>
      <c r="E30" s="16">
        <v>0</v>
      </c>
      <c r="F30" s="16">
        <v>0</v>
      </c>
      <c r="G30" s="16"/>
      <c r="H30" s="16">
        <v>0</v>
      </c>
      <c r="I30" s="16">
        <v>0</v>
      </c>
      <c r="J30" s="5"/>
      <c r="K30" s="5"/>
      <c r="L30" s="5"/>
    </row>
    <row x14ac:dyDescent="0.25" r="31" customHeight="1" ht="18.75">
      <c r="A31" s="4" t="s">
        <v>35</v>
      </c>
      <c r="B31" s="16">
        <v>0</v>
      </c>
      <c r="C31" s="16">
        <v>0</v>
      </c>
      <c r="D31" s="16">
        <v>0</v>
      </c>
      <c r="E31" s="16">
        <v>0</v>
      </c>
      <c r="F31" s="16">
        <v>0</v>
      </c>
      <c r="G31" s="16"/>
      <c r="H31" s="16">
        <v>0</v>
      </c>
      <c r="I31" s="16">
        <v>0</v>
      </c>
      <c r="J31" s="5"/>
      <c r="K31" s="5"/>
      <c r="L31" s="5"/>
    </row>
    <row x14ac:dyDescent="0.25" r="32" customHeight="1" ht="18.75">
      <c r="A32" s="2"/>
      <c r="B32" s="28"/>
      <c r="C32" s="28"/>
      <c r="D32" s="28"/>
      <c r="E32" s="28"/>
      <c r="F32" s="28"/>
      <c r="G32" s="28"/>
      <c r="H32" s="28"/>
      <c r="I32" s="28"/>
      <c r="J32" s="29"/>
      <c r="K32" s="29"/>
      <c r="L32" s="29"/>
    </row>
    <row x14ac:dyDescent="0.25" r="33" customHeight="1" ht="18.75">
      <c r="A33" s="30" t="s">
        <v>47</v>
      </c>
      <c r="B33" s="31" t="s">
        <v>4</v>
      </c>
      <c r="C33" s="31" t="s">
        <v>5</v>
      </c>
      <c r="D33" s="31" t="s">
        <v>6</v>
      </c>
      <c r="E33" s="31" t="s">
        <v>7</v>
      </c>
      <c r="F33" s="31" t="s">
        <v>8</v>
      </c>
      <c r="G33" s="31" t="s">
        <v>9</v>
      </c>
      <c r="H33" s="31" t="s">
        <v>10</v>
      </c>
      <c r="I33" s="31" t="s">
        <v>11</v>
      </c>
      <c r="J33" s="5" t="s">
        <v>12</v>
      </c>
      <c r="K33" s="5" t="s">
        <v>13</v>
      </c>
      <c r="L33" s="5" t="s">
        <v>14</v>
      </c>
    </row>
    <row x14ac:dyDescent="0.25" r="34" customHeight="1" ht="18.75">
      <c r="A34" s="6" t="s">
        <v>15</v>
      </c>
      <c r="B34" s="32" t="s">
        <v>16</v>
      </c>
      <c r="C34" s="33" t="s">
        <v>17</v>
      </c>
      <c r="D34" s="32" t="s">
        <v>18</v>
      </c>
      <c r="E34" s="32" t="s">
        <v>19</v>
      </c>
      <c r="F34" s="32" t="s">
        <v>20</v>
      </c>
      <c r="G34" s="32" t="s">
        <v>21</v>
      </c>
      <c r="H34" s="32" t="s">
        <v>22</v>
      </c>
      <c r="I34" s="33" t="s">
        <v>23</v>
      </c>
      <c r="J34" s="9" t="s">
        <v>24</v>
      </c>
      <c r="K34" s="10" t="s">
        <v>25</v>
      </c>
      <c r="L34" s="9" t="s">
        <v>26</v>
      </c>
    </row>
    <row x14ac:dyDescent="0.25" r="35" customHeight="1" ht="18.75">
      <c r="A35" s="11"/>
      <c r="B35" s="34"/>
      <c r="C35" s="35"/>
      <c r="D35" s="34"/>
      <c r="E35" s="34"/>
      <c r="F35" s="34"/>
      <c r="G35" s="34"/>
      <c r="H35" s="34"/>
      <c r="I35" s="35"/>
      <c r="J35" s="14"/>
      <c r="K35" s="15"/>
      <c r="L35" s="14"/>
    </row>
    <row x14ac:dyDescent="0.25" r="36" customHeight="1" ht="18.75">
      <c r="A36" s="4" t="s">
        <v>27</v>
      </c>
      <c r="B36" s="16">
        <v>0</v>
      </c>
      <c r="C36" s="16">
        <v>0</v>
      </c>
      <c r="D36" s="16">
        <v>0</v>
      </c>
      <c r="E36" s="16">
        <v>0</v>
      </c>
      <c r="F36" s="16">
        <v>0</v>
      </c>
      <c r="G36" s="16"/>
      <c r="H36" s="16">
        <v>0</v>
      </c>
      <c r="I36" s="16">
        <v>0</v>
      </c>
      <c r="J36" s="17">
        <v>2</v>
      </c>
      <c r="K36" s="5"/>
      <c r="L36" s="5"/>
    </row>
    <row x14ac:dyDescent="0.25" r="37" customHeight="1" ht="18.75">
      <c r="A37" s="4" t="s">
        <v>28</v>
      </c>
      <c r="B37" s="16">
        <v>0</v>
      </c>
      <c r="C37" s="16">
        <v>0</v>
      </c>
      <c r="D37" s="16">
        <v>0</v>
      </c>
      <c r="E37" s="16">
        <v>0</v>
      </c>
      <c r="F37" s="16">
        <v>0</v>
      </c>
      <c r="G37" s="16"/>
      <c r="H37" s="16">
        <v>0</v>
      </c>
      <c r="I37" s="16">
        <v>0</v>
      </c>
      <c r="J37" s="17">
        <v>1</v>
      </c>
      <c r="K37" s="5"/>
      <c r="L37" s="5"/>
    </row>
    <row x14ac:dyDescent="0.25" r="38" customHeight="1" ht="18.75">
      <c r="A38" s="4" t="s">
        <v>29</v>
      </c>
      <c r="B38" s="16">
        <v>1197197</v>
      </c>
      <c r="C38" s="16">
        <v>0</v>
      </c>
      <c r="D38" s="16">
        <v>1118740</v>
      </c>
      <c r="E38" s="16">
        <v>0</v>
      </c>
      <c r="F38" s="16">
        <v>0</v>
      </c>
      <c r="G38" s="16"/>
      <c r="H38" s="16">
        <v>303370</v>
      </c>
      <c r="I38" s="16">
        <v>3513135</v>
      </c>
      <c r="J38" s="17">
        <v>37</v>
      </c>
      <c r="K38" s="17">
        <v>23</v>
      </c>
      <c r="L38" s="17">
        <v>18</v>
      </c>
    </row>
    <row x14ac:dyDescent="0.25" r="39" customHeight="1" ht="18.75">
      <c r="A39" s="4" t="s">
        <v>30</v>
      </c>
      <c r="B39" s="16">
        <v>86196</v>
      </c>
      <c r="C39" s="16">
        <v>0</v>
      </c>
      <c r="D39" s="16">
        <v>46448</v>
      </c>
      <c r="E39" s="16">
        <v>0</v>
      </c>
      <c r="F39" s="16">
        <v>0</v>
      </c>
      <c r="G39" s="16"/>
      <c r="H39" s="16">
        <v>26380</v>
      </c>
      <c r="I39" s="16">
        <v>218839</v>
      </c>
      <c r="J39" s="17">
        <v>3</v>
      </c>
      <c r="K39" s="5"/>
      <c r="L39" s="17">
        <v>1</v>
      </c>
    </row>
    <row x14ac:dyDescent="0.25" r="40" customHeight="1" ht="18.75">
      <c r="A40" s="4" t="s">
        <v>31</v>
      </c>
      <c r="B40" s="16">
        <v>0</v>
      </c>
      <c r="C40" s="16">
        <v>0</v>
      </c>
      <c r="D40" s="16">
        <v>159042</v>
      </c>
      <c r="E40" s="16">
        <v>0</v>
      </c>
      <c r="F40" s="16">
        <v>3204.09</v>
      </c>
      <c r="G40" s="16"/>
      <c r="H40" s="16">
        <v>22940</v>
      </c>
      <c r="I40" s="16">
        <v>159042</v>
      </c>
      <c r="J40" s="17">
        <v>2</v>
      </c>
      <c r="K40" s="17">
        <v>2</v>
      </c>
      <c r="L40" s="17">
        <v>1</v>
      </c>
    </row>
    <row x14ac:dyDescent="0.25" r="41" customHeight="1" ht="18.75">
      <c r="A41" s="4" t="s">
        <v>32</v>
      </c>
      <c r="B41" s="16">
        <v>7490314</v>
      </c>
      <c r="C41" s="16">
        <v>0</v>
      </c>
      <c r="D41" s="16">
        <v>4481781</v>
      </c>
      <c r="E41" s="16">
        <v>0</v>
      </c>
      <c r="F41" s="16">
        <v>223345</v>
      </c>
      <c r="G41" s="16"/>
      <c r="H41" s="16">
        <v>3509612</v>
      </c>
      <c r="I41" s="16">
        <v>19741962</v>
      </c>
      <c r="J41" s="17">
        <v>221</v>
      </c>
      <c r="K41" s="17">
        <v>101</v>
      </c>
      <c r="L41" s="17">
        <v>51</v>
      </c>
    </row>
    <row x14ac:dyDescent="0.25" r="42" customHeight="1" ht="18.75">
      <c r="A42" s="4" t="s">
        <v>33</v>
      </c>
      <c r="B42" s="16">
        <v>0</v>
      </c>
      <c r="C42" s="16">
        <v>0</v>
      </c>
      <c r="D42" s="16">
        <v>0</v>
      </c>
      <c r="E42" s="16">
        <v>0</v>
      </c>
      <c r="F42" s="16">
        <v>0</v>
      </c>
      <c r="G42" s="16"/>
      <c r="H42" s="16">
        <v>0</v>
      </c>
      <c r="I42" s="16">
        <v>0</v>
      </c>
      <c r="J42" s="5"/>
      <c r="K42" s="5"/>
      <c r="L42" s="5"/>
    </row>
    <row x14ac:dyDescent="0.25" r="43" customHeight="1" ht="18.75">
      <c r="A43" s="4" t="s">
        <v>34</v>
      </c>
      <c r="B43" s="16">
        <v>0</v>
      </c>
      <c r="C43" s="16">
        <v>0</v>
      </c>
      <c r="D43" s="16">
        <v>0</v>
      </c>
      <c r="E43" s="16">
        <v>0</v>
      </c>
      <c r="F43" s="16">
        <v>0</v>
      </c>
      <c r="G43" s="16"/>
      <c r="H43" s="16">
        <v>0</v>
      </c>
      <c r="I43" s="16">
        <v>0</v>
      </c>
      <c r="J43" s="5"/>
      <c r="K43" s="5"/>
      <c r="L43" s="5"/>
    </row>
    <row x14ac:dyDescent="0.25" r="44" customHeight="1" ht="18.75">
      <c r="A44" s="4" t="s">
        <v>35</v>
      </c>
      <c r="B44" s="16">
        <v>0</v>
      </c>
      <c r="C44" s="16">
        <v>0</v>
      </c>
      <c r="D44" s="16">
        <v>0</v>
      </c>
      <c r="E44" s="16">
        <v>0</v>
      </c>
      <c r="F44" s="16">
        <v>0</v>
      </c>
      <c r="G44" s="16"/>
      <c r="H44" s="16">
        <v>0</v>
      </c>
      <c r="I44" s="16">
        <v>0</v>
      </c>
      <c r="J44" s="5"/>
      <c r="K44" s="5"/>
      <c r="L44" s="5"/>
    </row>
    <row x14ac:dyDescent="0.25" r="45" customHeight="1" ht="18.75">
      <c r="A45" s="2"/>
      <c r="B45" s="28"/>
      <c r="C45" s="28"/>
      <c r="D45" s="28"/>
      <c r="E45" s="28"/>
      <c r="F45" s="28"/>
      <c r="G45" s="28"/>
      <c r="H45" s="28"/>
      <c r="I45" s="28"/>
      <c r="J45" s="29"/>
      <c r="K45" s="29"/>
      <c r="L45" s="29"/>
    </row>
    <row x14ac:dyDescent="0.25" r="46" customHeight="1" ht="18.75">
      <c r="A46" s="30" t="s">
        <v>48</v>
      </c>
      <c r="B46" s="31" t="s">
        <v>4</v>
      </c>
      <c r="C46" s="31" t="s">
        <v>5</v>
      </c>
      <c r="D46" s="31" t="s">
        <v>6</v>
      </c>
      <c r="E46" s="31" t="s">
        <v>7</v>
      </c>
      <c r="F46" s="31" t="s">
        <v>8</v>
      </c>
      <c r="G46" s="31" t="s">
        <v>9</v>
      </c>
      <c r="H46" s="31" t="s">
        <v>10</v>
      </c>
      <c r="I46" s="31" t="s">
        <v>11</v>
      </c>
      <c r="J46" s="5" t="s">
        <v>12</v>
      </c>
      <c r="K46" s="5" t="s">
        <v>13</v>
      </c>
      <c r="L46" s="5" t="s">
        <v>14</v>
      </c>
    </row>
    <row x14ac:dyDescent="0.25" r="47" customHeight="1" ht="18.75">
      <c r="A47" s="6" t="s">
        <v>15</v>
      </c>
      <c r="B47" s="32" t="s">
        <v>16</v>
      </c>
      <c r="C47" s="33" t="s">
        <v>17</v>
      </c>
      <c r="D47" s="32" t="s">
        <v>18</v>
      </c>
      <c r="E47" s="32" t="s">
        <v>19</v>
      </c>
      <c r="F47" s="32" t="s">
        <v>20</v>
      </c>
      <c r="G47" s="32" t="s">
        <v>21</v>
      </c>
      <c r="H47" s="32" t="s">
        <v>22</v>
      </c>
      <c r="I47" s="33" t="s">
        <v>23</v>
      </c>
      <c r="J47" s="9" t="s">
        <v>24</v>
      </c>
      <c r="K47" s="10" t="s">
        <v>25</v>
      </c>
      <c r="L47" s="9" t="s">
        <v>26</v>
      </c>
    </row>
    <row x14ac:dyDescent="0.25" r="48" customHeight="1" ht="18.75">
      <c r="A48" s="11"/>
      <c r="B48" s="34"/>
      <c r="C48" s="35"/>
      <c r="D48" s="34"/>
      <c r="E48" s="34"/>
      <c r="F48" s="34"/>
      <c r="G48" s="34"/>
      <c r="H48" s="34"/>
      <c r="I48" s="35"/>
      <c r="J48" s="14"/>
      <c r="K48" s="15"/>
      <c r="L48" s="14"/>
    </row>
    <row x14ac:dyDescent="0.25" r="49" customHeight="1" ht="18.75">
      <c r="A49" s="4" t="s">
        <v>27</v>
      </c>
      <c r="B49" s="16">
        <v>189016</v>
      </c>
      <c r="C49" s="16">
        <v>0</v>
      </c>
      <c r="D49" s="16">
        <v>852</v>
      </c>
      <c r="E49" s="16">
        <v>0</v>
      </c>
      <c r="F49" s="16">
        <v>0</v>
      </c>
      <c r="G49" s="16"/>
      <c r="H49" s="16">
        <v>36299</v>
      </c>
      <c r="I49" s="16">
        <v>378883</v>
      </c>
      <c r="J49" s="17">
        <v>1</v>
      </c>
      <c r="K49" s="5"/>
      <c r="L49" s="5"/>
    </row>
    <row x14ac:dyDescent="0.25" r="50" customHeight="1" ht="18.75">
      <c r="A50" s="4" t="s">
        <v>28</v>
      </c>
      <c r="B50" s="16">
        <v>0</v>
      </c>
      <c r="C50" s="16">
        <v>0</v>
      </c>
      <c r="D50" s="16">
        <v>0</v>
      </c>
      <c r="E50" s="16">
        <v>0</v>
      </c>
      <c r="F50" s="16">
        <v>0</v>
      </c>
      <c r="G50" s="16"/>
      <c r="H50" s="16">
        <v>0</v>
      </c>
      <c r="I50" s="16">
        <v>0</v>
      </c>
      <c r="J50" s="5"/>
      <c r="K50" s="5"/>
      <c r="L50" s="5"/>
    </row>
    <row x14ac:dyDescent="0.25" r="51" customHeight="1" ht="18.75">
      <c r="A51" s="4" t="s">
        <v>29</v>
      </c>
      <c r="B51" s="16">
        <v>1162260</v>
      </c>
      <c r="C51" s="16">
        <v>0</v>
      </c>
      <c r="D51" s="16">
        <v>762255</v>
      </c>
      <c r="E51" s="16">
        <v>0</v>
      </c>
      <c r="F51" s="16">
        <v>2010</v>
      </c>
      <c r="G51" s="16"/>
      <c r="H51" s="16">
        <v>628881</v>
      </c>
      <c r="I51" s="16">
        <v>3086775</v>
      </c>
      <c r="J51" s="17">
        <v>32</v>
      </c>
      <c r="K51" s="17">
        <v>25</v>
      </c>
      <c r="L51" s="17">
        <v>16</v>
      </c>
    </row>
    <row x14ac:dyDescent="0.25" r="52" customHeight="1" ht="18.75">
      <c r="A52" s="4" t="s">
        <v>30</v>
      </c>
      <c r="B52" s="16">
        <v>0</v>
      </c>
      <c r="C52" s="16">
        <v>0</v>
      </c>
      <c r="D52" s="16">
        <v>0</v>
      </c>
      <c r="E52" s="16">
        <v>0</v>
      </c>
      <c r="F52" s="16">
        <v>0</v>
      </c>
      <c r="G52" s="16"/>
      <c r="H52" s="16">
        <v>0</v>
      </c>
      <c r="I52" s="16">
        <v>0</v>
      </c>
      <c r="J52" s="17">
        <v>1</v>
      </c>
      <c r="K52" s="5"/>
      <c r="L52" s="17">
        <v>1</v>
      </c>
    </row>
    <row x14ac:dyDescent="0.25" r="53" customHeight="1" ht="18.75">
      <c r="A53" s="4" t="s">
        <v>31</v>
      </c>
      <c r="B53" s="16">
        <v>1335042</v>
      </c>
      <c r="C53" s="16">
        <v>0</v>
      </c>
      <c r="D53" s="16">
        <v>97529</v>
      </c>
      <c r="E53" s="16">
        <v>0</v>
      </c>
      <c r="F53" s="16">
        <v>36135</v>
      </c>
      <c r="G53" s="16"/>
      <c r="H53" s="16">
        <v>123013</v>
      </c>
      <c r="I53" s="16">
        <v>2767613</v>
      </c>
      <c r="J53" s="17">
        <v>10</v>
      </c>
      <c r="K53" s="17">
        <v>2</v>
      </c>
      <c r="L53" s="17">
        <v>6</v>
      </c>
    </row>
    <row x14ac:dyDescent="0.25" r="54" customHeight="1" ht="18.75">
      <c r="A54" s="4" t="s">
        <v>32</v>
      </c>
      <c r="B54" s="16">
        <v>4428513</v>
      </c>
      <c r="C54" s="16">
        <v>0</v>
      </c>
      <c r="D54" s="16">
        <v>3097870</v>
      </c>
      <c r="E54" s="16">
        <v>0</v>
      </c>
      <c r="F54" s="16">
        <v>101343</v>
      </c>
      <c r="G54" s="16"/>
      <c r="H54" s="16">
        <v>2447432</v>
      </c>
      <c r="I54" s="16">
        <v>12340557</v>
      </c>
      <c r="J54" s="17">
        <v>215</v>
      </c>
      <c r="K54" s="17">
        <v>90</v>
      </c>
      <c r="L54" s="17">
        <v>41</v>
      </c>
    </row>
    <row x14ac:dyDescent="0.25" r="55" customHeight="1" ht="18.75">
      <c r="A55" s="4" t="s">
        <v>33</v>
      </c>
      <c r="B55" s="16">
        <v>0</v>
      </c>
      <c r="C55" s="16">
        <v>0</v>
      </c>
      <c r="D55" s="16">
        <v>0</v>
      </c>
      <c r="E55" s="16">
        <v>0</v>
      </c>
      <c r="F55" s="16">
        <v>0</v>
      </c>
      <c r="G55" s="16"/>
      <c r="H55" s="16">
        <v>0</v>
      </c>
      <c r="I55" s="16">
        <v>0</v>
      </c>
      <c r="J55" s="5"/>
      <c r="K55" s="5"/>
      <c r="L55" s="5"/>
    </row>
    <row x14ac:dyDescent="0.25" r="56" customHeight="1" ht="18.75">
      <c r="A56" s="4" t="s">
        <v>34</v>
      </c>
      <c r="B56" s="16">
        <v>0</v>
      </c>
      <c r="C56" s="16">
        <v>0</v>
      </c>
      <c r="D56" s="16">
        <v>0</v>
      </c>
      <c r="E56" s="16">
        <v>0</v>
      </c>
      <c r="F56" s="16">
        <v>0</v>
      </c>
      <c r="G56" s="16"/>
      <c r="H56" s="16">
        <v>0</v>
      </c>
      <c r="I56" s="16">
        <v>0</v>
      </c>
      <c r="J56" s="5"/>
      <c r="K56" s="5"/>
      <c r="L56" s="5"/>
    </row>
    <row x14ac:dyDescent="0.25" r="57" customHeight="1" ht="18.75">
      <c r="A57" s="4" t="s">
        <v>35</v>
      </c>
      <c r="B57" s="16">
        <v>0</v>
      </c>
      <c r="C57" s="16">
        <v>0</v>
      </c>
      <c r="D57" s="16">
        <v>0</v>
      </c>
      <c r="E57" s="16">
        <v>0</v>
      </c>
      <c r="F57" s="16">
        <v>0</v>
      </c>
      <c r="G57" s="16"/>
      <c r="H57" s="16">
        <v>0</v>
      </c>
      <c r="I57" s="16">
        <v>0</v>
      </c>
      <c r="J57" s="5"/>
      <c r="K57" s="5"/>
      <c r="L57" s="5"/>
    </row>
    <row x14ac:dyDescent="0.25" r="58" customHeight="1" ht="18.75">
      <c r="A58" s="2"/>
      <c r="B58" s="28"/>
      <c r="C58" s="28"/>
      <c r="D58" s="28"/>
      <c r="E58" s="28"/>
      <c r="F58" s="28"/>
      <c r="G58" s="28"/>
      <c r="H58" s="28"/>
      <c r="I58" s="28"/>
      <c r="J58" s="29"/>
      <c r="K58" s="29"/>
      <c r="L58" s="29"/>
    </row>
    <row x14ac:dyDescent="0.25" r="59" customHeight="1" ht="18.75">
      <c r="A59" s="30" t="s">
        <v>49</v>
      </c>
      <c r="B59" s="31" t="s">
        <v>4</v>
      </c>
      <c r="C59" s="31" t="s">
        <v>5</v>
      </c>
      <c r="D59" s="31" t="s">
        <v>6</v>
      </c>
      <c r="E59" s="31" t="s">
        <v>7</v>
      </c>
      <c r="F59" s="31" t="s">
        <v>8</v>
      </c>
      <c r="G59" s="31" t="s">
        <v>9</v>
      </c>
      <c r="H59" s="31" t="s">
        <v>10</v>
      </c>
      <c r="I59" s="31" t="s">
        <v>11</v>
      </c>
      <c r="J59" s="5" t="s">
        <v>12</v>
      </c>
      <c r="K59" s="5" t="s">
        <v>13</v>
      </c>
      <c r="L59" s="5" t="s">
        <v>14</v>
      </c>
    </row>
    <row x14ac:dyDescent="0.25" r="60" customHeight="1" ht="18.75">
      <c r="A60" s="6" t="s">
        <v>15</v>
      </c>
      <c r="B60" s="32" t="s">
        <v>16</v>
      </c>
      <c r="C60" s="33" t="s">
        <v>17</v>
      </c>
      <c r="D60" s="32" t="s">
        <v>18</v>
      </c>
      <c r="E60" s="32" t="s">
        <v>19</v>
      </c>
      <c r="F60" s="32" t="s">
        <v>20</v>
      </c>
      <c r="G60" s="32" t="s">
        <v>21</v>
      </c>
      <c r="H60" s="32" t="s">
        <v>22</v>
      </c>
      <c r="I60" s="33" t="s">
        <v>23</v>
      </c>
      <c r="J60" s="9" t="s">
        <v>24</v>
      </c>
      <c r="K60" s="10" t="s">
        <v>25</v>
      </c>
      <c r="L60" s="9" t="s">
        <v>26</v>
      </c>
    </row>
    <row x14ac:dyDescent="0.25" r="61" customHeight="1" ht="18.75">
      <c r="A61" s="11"/>
      <c r="B61" s="34"/>
      <c r="C61" s="35"/>
      <c r="D61" s="34"/>
      <c r="E61" s="34"/>
      <c r="F61" s="34"/>
      <c r="G61" s="34"/>
      <c r="H61" s="34"/>
      <c r="I61" s="35"/>
      <c r="J61" s="14"/>
      <c r="K61" s="15"/>
      <c r="L61" s="14"/>
    </row>
    <row x14ac:dyDescent="0.25" r="62" customHeight="1" ht="18.75">
      <c r="A62" s="4" t="s">
        <v>27</v>
      </c>
      <c r="B62" s="16">
        <v>0</v>
      </c>
      <c r="C62" s="16">
        <v>0</v>
      </c>
      <c r="D62" s="16">
        <v>0</v>
      </c>
      <c r="E62" s="16">
        <v>0</v>
      </c>
      <c r="F62" s="16">
        <v>0</v>
      </c>
      <c r="G62" s="16"/>
      <c r="H62" s="16">
        <v>0</v>
      </c>
      <c r="I62" s="16">
        <v>0</v>
      </c>
      <c r="J62" s="17">
        <v>1</v>
      </c>
      <c r="K62" s="5"/>
      <c r="L62" s="5"/>
    </row>
    <row x14ac:dyDescent="0.25" r="63" customHeight="1" ht="18.75">
      <c r="A63" s="4" t="s">
        <v>28</v>
      </c>
      <c r="B63" s="16">
        <v>12253</v>
      </c>
      <c r="C63" s="16">
        <v>0</v>
      </c>
      <c r="D63" s="16">
        <v>0</v>
      </c>
      <c r="E63" s="16">
        <v>0</v>
      </c>
      <c r="F63" s="16">
        <v>0</v>
      </c>
      <c r="G63" s="16"/>
      <c r="H63" s="16">
        <v>275</v>
      </c>
      <c r="I63" s="16">
        <v>24505</v>
      </c>
      <c r="J63" s="5"/>
      <c r="K63" s="5"/>
      <c r="L63" s="5"/>
    </row>
    <row x14ac:dyDescent="0.25" r="64" customHeight="1" ht="18.75">
      <c r="A64" s="4" t="s">
        <v>29</v>
      </c>
      <c r="B64" s="16">
        <v>1413718</v>
      </c>
      <c r="C64" s="16">
        <v>0</v>
      </c>
      <c r="D64" s="16">
        <v>2104250</v>
      </c>
      <c r="E64" s="16">
        <v>0</v>
      </c>
      <c r="F64" s="16">
        <v>5111</v>
      </c>
      <c r="G64" s="16"/>
      <c r="H64" s="16">
        <v>526983</v>
      </c>
      <c r="I64" s="16">
        <v>4931686</v>
      </c>
      <c r="J64" s="17">
        <v>42</v>
      </c>
      <c r="K64" s="17">
        <v>21</v>
      </c>
      <c r="L64" s="17">
        <v>16</v>
      </c>
    </row>
    <row x14ac:dyDescent="0.25" r="65" customHeight="1" ht="18.75">
      <c r="A65" s="4" t="s">
        <v>30</v>
      </c>
      <c r="B65" s="16">
        <v>0</v>
      </c>
      <c r="C65" s="16">
        <v>0</v>
      </c>
      <c r="D65" s="16">
        <v>0</v>
      </c>
      <c r="E65" s="16">
        <v>0</v>
      </c>
      <c r="F65" s="16">
        <v>0</v>
      </c>
      <c r="G65" s="16"/>
      <c r="H65" s="16">
        <v>0</v>
      </c>
      <c r="I65" s="16">
        <v>0</v>
      </c>
      <c r="J65" s="5"/>
      <c r="K65" s="17">
        <v>2</v>
      </c>
      <c r="L65" s="5"/>
    </row>
    <row x14ac:dyDescent="0.25" r="66" customHeight="1" ht="18.75">
      <c r="A66" s="4" t="s">
        <v>31</v>
      </c>
      <c r="B66" s="16">
        <v>0</v>
      </c>
      <c r="C66" s="16">
        <v>0</v>
      </c>
      <c r="D66" s="16">
        <v>0</v>
      </c>
      <c r="E66" s="16">
        <v>0</v>
      </c>
      <c r="F66" s="16">
        <v>2141</v>
      </c>
      <c r="G66" s="16"/>
      <c r="H66" s="16">
        <v>0</v>
      </c>
      <c r="I66" s="16">
        <v>0</v>
      </c>
      <c r="J66" s="17">
        <v>8</v>
      </c>
      <c r="K66" s="17">
        <v>8</v>
      </c>
      <c r="L66" s="17">
        <v>4</v>
      </c>
    </row>
    <row x14ac:dyDescent="0.25" r="67" customHeight="1" ht="18.75">
      <c r="A67" s="4" t="s">
        <v>32</v>
      </c>
      <c r="B67" s="16">
        <v>2741869</v>
      </c>
      <c r="C67" s="16">
        <v>0</v>
      </c>
      <c r="D67" s="16">
        <v>2592531</v>
      </c>
      <c r="E67" s="16">
        <v>0</v>
      </c>
      <c r="F67" s="16">
        <v>161504</v>
      </c>
      <c r="G67" s="16"/>
      <c r="H67" s="16">
        <v>2096924</v>
      </c>
      <c r="I67" s="16">
        <v>8434201</v>
      </c>
      <c r="J67" s="17">
        <v>194</v>
      </c>
      <c r="K67" s="17">
        <v>97</v>
      </c>
      <c r="L67" s="17">
        <v>47</v>
      </c>
    </row>
    <row x14ac:dyDescent="0.25" r="68" customHeight="1" ht="18.75">
      <c r="A68" s="4" t="s">
        <v>33</v>
      </c>
      <c r="B68" s="16">
        <v>0</v>
      </c>
      <c r="C68" s="16">
        <v>0</v>
      </c>
      <c r="D68" s="16">
        <v>0</v>
      </c>
      <c r="E68" s="16">
        <v>0</v>
      </c>
      <c r="F68" s="16">
        <v>0</v>
      </c>
      <c r="G68" s="16"/>
      <c r="H68" s="16">
        <v>0</v>
      </c>
      <c r="I68" s="16">
        <v>0</v>
      </c>
      <c r="J68" s="5"/>
      <c r="K68" s="5"/>
      <c r="L68" s="5"/>
    </row>
    <row x14ac:dyDescent="0.25" r="69" customHeight="1" ht="18.75">
      <c r="A69" s="4" t="s">
        <v>34</v>
      </c>
      <c r="B69" s="16">
        <v>0</v>
      </c>
      <c r="C69" s="16">
        <v>0</v>
      </c>
      <c r="D69" s="16">
        <v>0</v>
      </c>
      <c r="E69" s="16">
        <v>0</v>
      </c>
      <c r="F69" s="16">
        <v>0</v>
      </c>
      <c r="G69" s="16"/>
      <c r="H69" s="16">
        <v>0</v>
      </c>
      <c r="I69" s="16">
        <v>0</v>
      </c>
      <c r="J69" s="5"/>
      <c r="K69" s="5"/>
      <c r="L69" s="5"/>
    </row>
    <row x14ac:dyDescent="0.25" r="70" customHeight="1" ht="18.75">
      <c r="A70" s="4" t="s">
        <v>35</v>
      </c>
      <c r="B70" s="16">
        <v>0</v>
      </c>
      <c r="C70" s="16">
        <v>0</v>
      </c>
      <c r="D70" s="16">
        <v>0</v>
      </c>
      <c r="E70" s="16">
        <v>0</v>
      </c>
      <c r="F70" s="16">
        <v>0</v>
      </c>
      <c r="G70" s="16"/>
      <c r="H70" s="16">
        <v>0</v>
      </c>
      <c r="I70" s="16">
        <v>0</v>
      </c>
      <c r="J70" s="5"/>
      <c r="K70" s="5"/>
      <c r="L70" s="5"/>
    </row>
    <row x14ac:dyDescent="0.25" r="71" customHeight="1" ht="18.75">
      <c r="A71" s="2"/>
      <c r="B71" s="28"/>
      <c r="C71" s="28"/>
      <c r="D71" s="28"/>
      <c r="E71" s="28"/>
      <c r="F71" s="28"/>
      <c r="G71" s="28"/>
      <c r="H71" s="28"/>
      <c r="I71" s="28"/>
      <c r="J71" s="29"/>
      <c r="K71" s="29"/>
      <c r="L71" s="29"/>
    </row>
    <row x14ac:dyDescent="0.25" r="72" customHeight="1" ht="18.75">
      <c r="A72" s="30" t="s">
        <v>50</v>
      </c>
      <c r="B72" s="31" t="s">
        <v>4</v>
      </c>
      <c r="C72" s="31" t="s">
        <v>5</v>
      </c>
      <c r="D72" s="31" t="s">
        <v>6</v>
      </c>
      <c r="E72" s="31" t="s">
        <v>7</v>
      </c>
      <c r="F72" s="31" t="s">
        <v>8</v>
      </c>
      <c r="G72" s="31" t="s">
        <v>9</v>
      </c>
      <c r="H72" s="31" t="s">
        <v>10</v>
      </c>
      <c r="I72" s="31" t="s">
        <v>11</v>
      </c>
      <c r="J72" s="5" t="s">
        <v>12</v>
      </c>
      <c r="K72" s="5" t="s">
        <v>13</v>
      </c>
      <c r="L72" s="5" t="s">
        <v>14</v>
      </c>
    </row>
    <row x14ac:dyDescent="0.25" r="73" customHeight="1" ht="18.75">
      <c r="A73" s="6" t="s">
        <v>15</v>
      </c>
      <c r="B73" s="32" t="s">
        <v>16</v>
      </c>
      <c r="C73" s="33" t="s">
        <v>17</v>
      </c>
      <c r="D73" s="32" t="s">
        <v>18</v>
      </c>
      <c r="E73" s="32" t="s">
        <v>19</v>
      </c>
      <c r="F73" s="32" t="s">
        <v>20</v>
      </c>
      <c r="G73" s="32" t="s">
        <v>21</v>
      </c>
      <c r="H73" s="32" t="s">
        <v>22</v>
      </c>
      <c r="I73" s="33" t="s">
        <v>23</v>
      </c>
      <c r="J73" s="9" t="s">
        <v>24</v>
      </c>
      <c r="K73" s="10" t="s">
        <v>25</v>
      </c>
      <c r="L73" s="9" t="s">
        <v>26</v>
      </c>
    </row>
    <row x14ac:dyDescent="0.25" r="74" customHeight="1" ht="18.75">
      <c r="A74" s="11"/>
      <c r="B74" s="34"/>
      <c r="C74" s="35"/>
      <c r="D74" s="34"/>
      <c r="E74" s="34"/>
      <c r="F74" s="34"/>
      <c r="G74" s="34"/>
      <c r="H74" s="34"/>
      <c r="I74" s="35"/>
      <c r="J74" s="14"/>
      <c r="K74" s="15"/>
      <c r="L74" s="14"/>
    </row>
    <row x14ac:dyDescent="0.25" r="75" customHeight="1" ht="18.75">
      <c r="A75" s="4" t="s">
        <v>27</v>
      </c>
      <c r="B75" s="16">
        <v>539090</v>
      </c>
      <c r="C75" s="16">
        <v>0</v>
      </c>
      <c r="D75" s="16">
        <v>0</v>
      </c>
      <c r="E75" s="16">
        <v>0</v>
      </c>
      <c r="F75" s="16">
        <v>0</v>
      </c>
      <c r="G75" s="16"/>
      <c r="H75" s="16">
        <v>39143</v>
      </c>
      <c r="I75" s="16">
        <v>1078180</v>
      </c>
      <c r="J75" s="17">
        <v>1</v>
      </c>
      <c r="K75" s="5"/>
      <c r="L75" s="5"/>
    </row>
    <row x14ac:dyDescent="0.25" r="76" customHeight="1" ht="18.75">
      <c r="A76" s="4" t="s">
        <v>28</v>
      </c>
      <c r="B76" s="16">
        <v>47541</v>
      </c>
      <c r="C76" s="16">
        <v>0</v>
      </c>
      <c r="D76" s="16">
        <v>24782</v>
      </c>
      <c r="E76" s="16">
        <v>0</v>
      </c>
      <c r="F76" s="16">
        <v>0</v>
      </c>
      <c r="G76" s="16"/>
      <c r="H76" s="16">
        <v>11669</v>
      </c>
      <c r="I76" s="16">
        <v>119863</v>
      </c>
      <c r="J76" s="17">
        <v>1</v>
      </c>
      <c r="K76" s="5"/>
      <c r="L76" s="5"/>
    </row>
    <row x14ac:dyDescent="0.25" r="77" customHeight="1" ht="18.75">
      <c r="A77" s="4" t="s">
        <v>29</v>
      </c>
      <c r="B77" s="16">
        <v>815648</v>
      </c>
      <c r="C77" s="16">
        <v>0</v>
      </c>
      <c r="D77" s="16">
        <v>1424260</v>
      </c>
      <c r="E77" s="16">
        <v>0</v>
      </c>
      <c r="F77" s="16">
        <v>67306</v>
      </c>
      <c r="G77" s="16"/>
      <c r="H77" s="16">
        <v>234208</v>
      </c>
      <c r="I77" s="16">
        <v>3055556</v>
      </c>
      <c r="J77" s="17">
        <v>30</v>
      </c>
      <c r="K77" s="17">
        <v>19</v>
      </c>
      <c r="L77" s="17">
        <v>8</v>
      </c>
    </row>
    <row x14ac:dyDescent="0.25" r="78" customHeight="1" ht="18.75">
      <c r="A78" s="4" t="s">
        <v>30</v>
      </c>
      <c r="B78" s="16">
        <v>34582</v>
      </c>
      <c r="C78" s="16">
        <v>0</v>
      </c>
      <c r="D78" s="16">
        <v>42502</v>
      </c>
      <c r="E78" s="16">
        <v>0</v>
      </c>
      <c r="F78" s="16">
        <v>0</v>
      </c>
      <c r="G78" s="16"/>
      <c r="H78" s="16">
        <v>2947</v>
      </c>
      <c r="I78" s="16">
        <v>111666</v>
      </c>
      <c r="J78" s="17">
        <v>3</v>
      </c>
      <c r="K78" s="17">
        <v>1</v>
      </c>
      <c r="L78" s="17">
        <v>3</v>
      </c>
    </row>
    <row x14ac:dyDescent="0.25" r="79" customHeight="1" ht="18.75">
      <c r="A79" s="4" t="s">
        <v>31</v>
      </c>
      <c r="B79" s="16">
        <v>68517</v>
      </c>
      <c r="C79" s="16">
        <v>0</v>
      </c>
      <c r="D79" s="16">
        <v>529989</v>
      </c>
      <c r="E79" s="16">
        <v>0</v>
      </c>
      <c r="F79" s="16">
        <v>181219</v>
      </c>
      <c r="G79" s="16"/>
      <c r="H79" s="16">
        <v>73226</v>
      </c>
      <c r="I79" s="16">
        <v>667023</v>
      </c>
      <c r="J79" s="17">
        <v>5</v>
      </c>
      <c r="K79" s="17">
        <v>2</v>
      </c>
      <c r="L79" s="17">
        <v>2</v>
      </c>
    </row>
    <row x14ac:dyDescent="0.25" r="80" customHeight="1" ht="18.75">
      <c r="A80" s="4" t="s">
        <v>32</v>
      </c>
      <c r="B80" s="16">
        <v>5679821</v>
      </c>
      <c r="C80" s="16">
        <v>0</v>
      </c>
      <c r="D80" s="16">
        <v>3362373</v>
      </c>
      <c r="E80" s="16">
        <v>0</v>
      </c>
      <c r="F80" s="16">
        <v>135207</v>
      </c>
      <c r="G80" s="16"/>
      <c r="H80" s="16">
        <v>3930366</v>
      </c>
      <c r="I80" s="16">
        <v>14945807</v>
      </c>
      <c r="J80" s="17">
        <v>190</v>
      </c>
      <c r="K80" s="17">
        <v>95</v>
      </c>
      <c r="L80" s="17">
        <v>44</v>
      </c>
    </row>
    <row x14ac:dyDescent="0.25" r="81" customHeight="1" ht="18.75">
      <c r="A81" s="4" t="s">
        <v>33</v>
      </c>
      <c r="B81" s="16">
        <v>0</v>
      </c>
      <c r="C81" s="16">
        <v>0</v>
      </c>
      <c r="D81" s="16">
        <v>0</v>
      </c>
      <c r="E81" s="16">
        <v>0</v>
      </c>
      <c r="F81" s="16">
        <v>0</v>
      </c>
      <c r="G81" s="16"/>
      <c r="H81" s="16">
        <v>0</v>
      </c>
      <c r="I81" s="16">
        <v>0</v>
      </c>
      <c r="J81" s="5"/>
      <c r="K81" s="5"/>
      <c r="L81" s="5"/>
    </row>
    <row x14ac:dyDescent="0.25" r="82" customHeight="1" ht="18.75">
      <c r="A82" s="4" t="s">
        <v>34</v>
      </c>
      <c r="B82" s="16">
        <v>0</v>
      </c>
      <c r="C82" s="16">
        <v>0</v>
      </c>
      <c r="D82" s="16">
        <v>0</v>
      </c>
      <c r="E82" s="16">
        <v>0</v>
      </c>
      <c r="F82" s="16">
        <v>0</v>
      </c>
      <c r="G82" s="16"/>
      <c r="H82" s="16">
        <v>0</v>
      </c>
      <c r="I82" s="16">
        <v>0</v>
      </c>
      <c r="J82" s="5"/>
      <c r="K82" s="5"/>
      <c r="L82" s="5"/>
    </row>
    <row x14ac:dyDescent="0.25" r="83" customHeight="1" ht="18.75">
      <c r="A83" s="4" t="s">
        <v>35</v>
      </c>
      <c r="B83" s="16">
        <v>42143</v>
      </c>
      <c r="C83" s="16">
        <v>0</v>
      </c>
      <c r="D83" s="16">
        <v>0</v>
      </c>
      <c r="E83" s="16">
        <v>0</v>
      </c>
      <c r="F83" s="16">
        <v>0</v>
      </c>
      <c r="G83" s="16"/>
      <c r="H83" s="16">
        <v>4771</v>
      </c>
      <c r="I83" s="16">
        <v>84287</v>
      </c>
      <c r="J83" s="5"/>
      <c r="K83" s="5"/>
      <c r="L83" s="5"/>
    </row>
    <row x14ac:dyDescent="0.25" r="84" customHeight="1" ht="18.75">
      <c r="A84" s="2"/>
      <c r="B84" s="28"/>
      <c r="C84" s="28"/>
      <c r="D84" s="28"/>
      <c r="E84" s="28"/>
      <c r="F84" s="28"/>
      <c r="G84" s="28"/>
      <c r="H84" s="28"/>
      <c r="I84" s="28"/>
      <c r="J84" s="29"/>
      <c r="K84" s="29"/>
      <c r="L84" s="29"/>
    </row>
    <row x14ac:dyDescent="0.25" r="85" customHeight="1" ht="18.75">
      <c r="A85" s="30" t="s">
        <v>51</v>
      </c>
      <c r="B85" s="31" t="s">
        <v>4</v>
      </c>
      <c r="C85" s="31" t="s">
        <v>5</v>
      </c>
      <c r="D85" s="31" t="s">
        <v>6</v>
      </c>
      <c r="E85" s="31" t="s">
        <v>7</v>
      </c>
      <c r="F85" s="31" t="s">
        <v>8</v>
      </c>
      <c r="G85" s="31" t="s">
        <v>9</v>
      </c>
      <c r="H85" s="31" t="s">
        <v>10</v>
      </c>
      <c r="I85" s="31" t="s">
        <v>11</v>
      </c>
      <c r="J85" s="5" t="s">
        <v>12</v>
      </c>
      <c r="K85" s="5" t="s">
        <v>13</v>
      </c>
      <c r="L85" s="5" t="s">
        <v>14</v>
      </c>
    </row>
    <row x14ac:dyDescent="0.25" r="86" customHeight="1" ht="18.75">
      <c r="A86" s="6" t="s">
        <v>15</v>
      </c>
      <c r="B86" s="32" t="s">
        <v>16</v>
      </c>
      <c r="C86" s="33" t="s">
        <v>17</v>
      </c>
      <c r="D86" s="32" t="s">
        <v>18</v>
      </c>
      <c r="E86" s="32" t="s">
        <v>19</v>
      </c>
      <c r="F86" s="32" t="s">
        <v>20</v>
      </c>
      <c r="G86" s="32" t="s">
        <v>21</v>
      </c>
      <c r="H86" s="32" t="s">
        <v>22</v>
      </c>
      <c r="I86" s="33" t="s">
        <v>23</v>
      </c>
      <c r="J86" s="9" t="s">
        <v>24</v>
      </c>
      <c r="K86" s="10" t="s">
        <v>25</v>
      </c>
      <c r="L86" s="9" t="s">
        <v>26</v>
      </c>
    </row>
    <row x14ac:dyDescent="0.25" r="87" customHeight="1" ht="18.75">
      <c r="A87" s="11"/>
      <c r="B87" s="34"/>
      <c r="C87" s="35"/>
      <c r="D87" s="34"/>
      <c r="E87" s="34"/>
      <c r="F87" s="34"/>
      <c r="G87" s="34"/>
      <c r="H87" s="34"/>
      <c r="I87" s="35"/>
      <c r="J87" s="14"/>
      <c r="K87" s="15"/>
      <c r="L87" s="14"/>
    </row>
    <row x14ac:dyDescent="0.25" r="88" customHeight="1" ht="18.75">
      <c r="A88" s="4" t="s">
        <v>27</v>
      </c>
      <c r="B88" s="16">
        <v>0</v>
      </c>
      <c r="C88" s="16">
        <v>0</v>
      </c>
      <c r="D88" s="16">
        <v>0</v>
      </c>
      <c r="E88" s="16">
        <v>0</v>
      </c>
      <c r="F88" s="16">
        <v>0</v>
      </c>
      <c r="G88" s="16"/>
      <c r="H88" s="16">
        <v>0</v>
      </c>
      <c r="I88" s="16">
        <v>0</v>
      </c>
      <c r="J88" s="17">
        <v>1</v>
      </c>
      <c r="K88" s="17">
        <v>1</v>
      </c>
      <c r="L88" s="5"/>
    </row>
    <row x14ac:dyDescent="0.25" r="89" customHeight="1" ht="18.75">
      <c r="A89" s="4" t="s">
        <v>28</v>
      </c>
      <c r="B89" s="16">
        <v>0</v>
      </c>
      <c r="C89" s="16">
        <v>0</v>
      </c>
      <c r="D89" s="16">
        <v>0</v>
      </c>
      <c r="E89" s="16">
        <v>0</v>
      </c>
      <c r="F89" s="16">
        <v>0</v>
      </c>
      <c r="G89" s="16"/>
      <c r="H89" s="16">
        <v>0</v>
      </c>
      <c r="I89" s="16">
        <v>0</v>
      </c>
      <c r="J89" s="17">
        <v>1</v>
      </c>
      <c r="K89" s="5"/>
      <c r="L89" s="5"/>
    </row>
    <row x14ac:dyDescent="0.25" r="90" customHeight="1" ht="18.75">
      <c r="A90" s="4" t="s">
        <v>29</v>
      </c>
      <c r="B90" s="16">
        <v>429608</v>
      </c>
      <c r="C90" s="16">
        <v>0</v>
      </c>
      <c r="D90" s="16">
        <v>204621</v>
      </c>
      <c r="E90" s="16">
        <v>0</v>
      </c>
      <c r="F90" s="16">
        <v>254278</v>
      </c>
      <c r="G90" s="16"/>
      <c r="H90" s="16">
        <v>176396</v>
      </c>
      <c r="I90" s="16">
        <v>1063838</v>
      </c>
      <c r="J90" s="17">
        <v>29</v>
      </c>
      <c r="K90" s="17">
        <v>17</v>
      </c>
      <c r="L90" s="17">
        <v>7</v>
      </c>
    </row>
    <row x14ac:dyDescent="0.25" r="91" customHeight="1" ht="18.75">
      <c r="A91" s="4" t="s">
        <v>30</v>
      </c>
      <c r="B91" s="16">
        <v>0</v>
      </c>
      <c r="C91" s="16">
        <v>0</v>
      </c>
      <c r="D91" s="16">
        <v>0</v>
      </c>
      <c r="E91" s="16">
        <v>0</v>
      </c>
      <c r="F91" s="16">
        <v>0</v>
      </c>
      <c r="G91" s="16"/>
      <c r="H91" s="16">
        <v>0</v>
      </c>
      <c r="I91" s="16">
        <v>0</v>
      </c>
      <c r="J91" s="17">
        <v>3</v>
      </c>
      <c r="K91" s="5"/>
      <c r="L91" s="5"/>
    </row>
    <row x14ac:dyDescent="0.25" r="92" customHeight="1" ht="18.75">
      <c r="A92" s="4" t="s">
        <v>31</v>
      </c>
      <c r="B92" s="16">
        <v>1407510</v>
      </c>
      <c r="C92" s="16">
        <v>0</v>
      </c>
      <c r="D92" s="16">
        <v>128532</v>
      </c>
      <c r="E92" s="16">
        <v>0</v>
      </c>
      <c r="F92" s="16">
        <v>0</v>
      </c>
      <c r="G92" s="16"/>
      <c r="H92" s="16">
        <v>158148</v>
      </c>
      <c r="I92" s="16">
        <v>2976333</v>
      </c>
      <c r="J92" s="17">
        <v>12</v>
      </c>
      <c r="K92" s="17">
        <v>1</v>
      </c>
      <c r="L92" s="17">
        <v>6</v>
      </c>
    </row>
    <row x14ac:dyDescent="0.25" r="93" customHeight="1" ht="18.75">
      <c r="A93" s="4" t="s">
        <v>32</v>
      </c>
      <c r="B93" s="16">
        <v>5281884</v>
      </c>
      <c r="C93" s="16">
        <v>0</v>
      </c>
      <c r="D93" s="16">
        <v>3193516</v>
      </c>
      <c r="E93" s="16">
        <v>0</v>
      </c>
      <c r="F93" s="16">
        <v>412262</v>
      </c>
      <c r="G93" s="16"/>
      <c r="H93" s="16">
        <v>2947357</v>
      </c>
      <c r="I93" s="16">
        <v>14017832</v>
      </c>
      <c r="J93" s="17">
        <v>235</v>
      </c>
      <c r="K93" s="17">
        <v>99</v>
      </c>
      <c r="L93" s="17">
        <v>57</v>
      </c>
    </row>
    <row x14ac:dyDescent="0.25" r="94" customHeight="1" ht="18.75">
      <c r="A94" s="4" t="s">
        <v>33</v>
      </c>
      <c r="B94" s="16">
        <v>0</v>
      </c>
      <c r="C94" s="16">
        <v>0</v>
      </c>
      <c r="D94" s="16">
        <v>0</v>
      </c>
      <c r="E94" s="16">
        <v>0</v>
      </c>
      <c r="F94" s="16">
        <v>0</v>
      </c>
      <c r="G94" s="16"/>
      <c r="H94" s="16">
        <v>0</v>
      </c>
      <c r="I94" s="16">
        <v>0</v>
      </c>
      <c r="J94" s="5"/>
      <c r="K94" s="5"/>
      <c r="L94" s="5"/>
    </row>
    <row x14ac:dyDescent="0.25" r="95" customHeight="1" ht="18.75">
      <c r="A95" s="4" t="s">
        <v>34</v>
      </c>
      <c r="B95" s="16">
        <v>0</v>
      </c>
      <c r="C95" s="16">
        <v>0</v>
      </c>
      <c r="D95" s="16">
        <v>0</v>
      </c>
      <c r="E95" s="16">
        <v>0</v>
      </c>
      <c r="F95" s="16">
        <v>0</v>
      </c>
      <c r="G95" s="16"/>
      <c r="H95" s="16">
        <v>0</v>
      </c>
      <c r="I95" s="16">
        <v>0</v>
      </c>
      <c r="J95" s="5"/>
      <c r="K95" s="5"/>
      <c r="L95" s="5"/>
    </row>
    <row x14ac:dyDescent="0.25" r="96" customHeight="1" ht="18.75">
      <c r="A96" s="4" t="s">
        <v>35</v>
      </c>
      <c r="B96" s="16">
        <v>0</v>
      </c>
      <c r="C96" s="16">
        <v>0</v>
      </c>
      <c r="D96" s="16">
        <v>0</v>
      </c>
      <c r="E96" s="16">
        <v>0</v>
      </c>
      <c r="F96" s="16">
        <v>0</v>
      </c>
      <c r="G96" s="16"/>
      <c r="H96" s="16">
        <v>0</v>
      </c>
      <c r="I96" s="16">
        <v>0</v>
      </c>
      <c r="J96" s="5"/>
      <c r="K96" s="17">
        <v>2</v>
      </c>
      <c r="L96" s="5"/>
    </row>
    <row x14ac:dyDescent="0.25" r="97" customHeight="1" ht="18.75">
      <c r="A97" s="2"/>
      <c r="B97" s="28"/>
      <c r="C97" s="28"/>
      <c r="D97" s="28"/>
      <c r="E97" s="28"/>
      <c r="F97" s="28"/>
      <c r="G97" s="28"/>
      <c r="H97" s="28"/>
      <c r="I97" s="28"/>
      <c r="J97" s="29"/>
      <c r="K97" s="29"/>
      <c r="L97" s="29"/>
    </row>
    <row x14ac:dyDescent="0.25" r="98" customHeight="1" ht="18.75">
      <c r="A98" s="30" t="s">
        <v>52</v>
      </c>
      <c r="B98" s="31" t="s">
        <v>4</v>
      </c>
      <c r="C98" s="31" t="s">
        <v>5</v>
      </c>
      <c r="D98" s="31" t="s">
        <v>6</v>
      </c>
      <c r="E98" s="31" t="s">
        <v>7</v>
      </c>
      <c r="F98" s="31" t="s">
        <v>8</v>
      </c>
      <c r="G98" s="31" t="s">
        <v>9</v>
      </c>
      <c r="H98" s="31" t="s">
        <v>10</v>
      </c>
      <c r="I98" s="31" t="s">
        <v>11</v>
      </c>
      <c r="J98" s="5" t="s">
        <v>12</v>
      </c>
      <c r="K98" s="5" t="s">
        <v>13</v>
      </c>
      <c r="L98" s="5" t="s">
        <v>14</v>
      </c>
    </row>
    <row x14ac:dyDescent="0.25" r="99" customHeight="1" ht="18.75">
      <c r="A99" s="6" t="s">
        <v>15</v>
      </c>
      <c r="B99" s="32" t="s">
        <v>16</v>
      </c>
      <c r="C99" s="33" t="s">
        <v>17</v>
      </c>
      <c r="D99" s="32" t="s">
        <v>18</v>
      </c>
      <c r="E99" s="32" t="s">
        <v>19</v>
      </c>
      <c r="F99" s="32" t="s">
        <v>20</v>
      </c>
      <c r="G99" s="32" t="s">
        <v>21</v>
      </c>
      <c r="H99" s="32" t="s">
        <v>22</v>
      </c>
      <c r="I99" s="33" t="s">
        <v>23</v>
      </c>
      <c r="J99" s="9" t="s">
        <v>24</v>
      </c>
      <c r="K99" s="10" t="s">
        <v>25</v>
      </c>
      <c r="L99" s="9" t="s">
        <v>26</v>
      </c>
    </row>
    <row x14ac:dyDescent="0.25" r="100" customHeight="1" ht="18.75">
      <c r="A100" s="11"/>
      <c r="B100" s="34"/>
      <c r="C100" s="35"/>
      <c r="D100" s="34"/>
      <c r="E100" s="34"/>
      <c r="F100" s="34"/>
      <c r="G100" s="34"/>
      <c r="H100" s="34"/>
      <c r="I100" s="35"/>
      <c r="J100" s="14"/>
      <c r="K100" s="15"/>
      <c r="L100" s="14"/>
    </row>
    <row x14ac:dyDescent="0.25" r="101" customHeight="1" ht="18.75">
      <c r="A101" s="4" t="s">
        <v>27</v>
      </c>
      <c r="B101" s="16">
        <v>0</v>
      </c>
      <c r="C101" s="16">
        <v>0</v>
      </c>
      <c r="D101" s="16">
        <v>0</v>
      </c>
      <c r="E101" s="16">
        <v>0</v>
      </c>
      <c r="F101" s="16">
        <v>0</v>
      </c>
      <c r="G101" s="16"/>
      <c r="H101" s="16">
        <v>0</v>
      </c>
      <c r="I101" s="16">
        <v>0</v>
      </c>
      <c r="J101" s="17">
        <v>1</v>
      </c>
      <c r="K101" s="5"/>
      <c r="L101" s="17">
        <v>1</v>
      </c>
    </row>
    <row x14ac:dyDescent="0.25" r="102" customHeight="1" ht="18.75">
      <c r="A102" s="4" t="s">
        <v>28</v>
      </c>
      <c r="B102" s="16">
        <v>0</v>
      </c>
      <c r="C102" s="16">
        <v>0</v>
      </c>
      <c r="D102" s="16">
        <v>0</v>
      </c>
      <c r="E102" s="16">
        <v>0</v>
      </c>
      <c r="F102" s="16">
        <v>0</v>
      </c>
      <c r="G102" s="16"/>
      <c r="H102" s="16">
        <v>0</v>
      </c>
      <c r="I102" s="16">
        <v>0</v>
      </c>
      <c r="J102" s="5"/>
      <c r="K102" s="5"/>
      <c r="L102" s="5"/>
    </row>
    <row x14ac:dyDescent="0.25" r="103" customHeight="1" ht="18.75">
      <c r="A103" s="4" t="s">
        <v>29</v>
      </c>
      <c r="B103" s="16">
        <v>0</v>
      </c>
      <c r="C103" s="16">
        <v>0</v>
      </c>
      <c r="D103" s="16">
        <v>0</v>
      </c>
      <c r="E103" s="16">
        <v>0</v>
      </c>
      <c r="F103" s="16">
        <v>81239</v>
      </c>
      <c r="G103" s="16"/>
      <c r="H103" s="16">
        <v>2163200</v>
      </c>
      <c r="I103" s="16">
        <v>0</v>
      </c>
      <c r="J103" s="17">
        <v>30</v>
      </c>
      <c r="K103" s="17">
        <v>23</v>
      </c>
      <c r="L103" s="17">
        <v>13</v>
      </c>
    </row>
    <row x14ac:dyDescent="0.25" r="104" customHeight="1" ht="18.75">
      <c r="A104" s="4" t="s">
        <v>30</v>
      </c>
      <c r="B104" s="16">
        <v>156305</v>
      </c>
      <c r="C104" s="16">
        <v>0</v>
      </c>
      <c r="D104" s="16">
        <v>2130</v>
      </c>
      <c r="E104" s="16">
        <v>0</v>
      </c>
      <c r="F104" s="16">
        <v>0</v>
      </c>
      <c r="G104" s="16"/>
      <c r="H104" s="16">
        <v>35686</v>
      </c>
      <c r="I104" s="16">
        <v>314740</v>
      </c>
      <c r="J104" s="5"/>
      <c r="K104" s="5"/>
      <c r="L104" s="5"/>
    </row>
    <row x14ac:dyDescent="0.25" r="105" customHeight="1" ht="18.75">
      <c r="A105" s="4" t="s">
        <v>31</v>
      </c>
      <c r="B105" s="16">
        <v>83892</v>
      </c>
      <c r="C105" s="16">
        <v>0</v>
      </c>
      <c r="D105" s="16">
        <v>147134</v>
      </c>
      <c r="E105" s="16">
        <v>0</v>
      </c>
      <c r="F105" s="16">
        <v>178661</v>
      </c>
      <c r="G105" s="16"/>
      <c r="H105" s="16">
        <v>73358</v>
      </c>
      <c r="I105" s="16">
        <v>316088</v>
      </c>
      <c r="J105" s="17">
        <v>6</v>
      </c>
      <c r="K105" s="17">
        <v>2</v>
      </c>
      <c r="L105" s="17">
        <v>1</v>
      </c>
    </row>
    <row x14ac:dyDescent="0.25" r="106" customHeight="1" ht="18.75">
      <c r="A106" s="4" t="s">
        <v>32</v>
      </c>
      <c r="B106" s="16">
        <v>2116897</v>
      </c>
      <c r="C106" s="16">
        <v>0</v>
      </c>
      <c r="D106" s="16">
        <v>1138478</v>
      </c>
      <c r="E106" s="16">
        <v>0</v>
      </c>
      <c r="F106" s="16">
        <v>1070615</v>
      </c>
      <c r="G106" s="16"/>
      <c r="H106" s="16">
        <v>4419111</v>
      </c>
      <c r="I106" s="16">
        <v>6363702</v>
      </c>
      <c r="J106" s="17">
        <v>231</v>
      </c>
      <c r="K106" s="17">
        <v>113</v>
      </c>
      <c r="L106" s="17">
        <v>40</v>
      </c>
    </row>
    <row x14ac:dyDescent="0.25" r="107" customHeight="1" ht="18.75">
      <c r="A107" s="4" t="s">
        <v>33</v>
      </c>
      <c r="B107" s="16">
        <v>0</v>
      </c>
      <c r="C107" s="16">
        <v>0</v>
      </c>
      <c r="D107" s="16">
        <v>0</v>
      </c>
      <c r="E107" s="16">
        <v>0</v>
      </c>
      <c r="F107" s="16">
        <v>0</v>
      </c>
      <c r="G107" s="16"/>
      <c r="H107" s="16">
        <v>0</v>
      </c>
      <c r="I107" s="16">
        <v>0</v>
      </c>
      <c r="J107" s="5"/>
      <c r="K107" s="5"/>
      <c r="L107" s="5"/>
    </row>
    <row x14ac:dyDescent="0.25" r="108" customHeight="1" ht="18.75">
      <c r="A108" s="4" t="s">
        <v>34</v>
      </c>
      <c r="B108" s="16">
        <v>0</v>
      </c>
      <c r="C108" s="16">
        <v>0</v>
      </c>
      <c r="D108" s="16">
        <v>0</v>
      </c>
      <c r="E108" s="16">
        <v>0</v>
      </c>
      <c r="F108" s="16">
        <v>0</v>
      </c>
      <c r="G108" s="16"/>
      <c r="H108" s="16">
        <v>0</v>
      </c>
      <c r="I108" s="16">
        <v>0</v>
      </c>
      <c r="J108" s="5"/>
      <c r="K108" s="5"/>
      <c r="L108" s="5"/>
    </row>
    <row x14ac:dyDescent="0.25" r="109" customHeight="1" ht="18.75">
      <c r="A109" s="4" t="s">
        <v>35</v>
      </c>
      <c r="B109" s="16">
        <v>0</v>
      </c>
      <c r="C109" s="16">
        <v>0</v>
      </c>
      <c r="D109" s="16">
        <v>0</v>
      </c>
      <c r="E109" s="16">
        <v>0</v>
      </c>
      <c r="F109" s="16">
        <v>0</v>
      </c>
      <c r="G109" s="16"/>
      <c r="H109" s="16">
        <v>0</v>
      </c>
      <c r="I109" s="16">
        <v>0</v>
      </c>
      <c r="J109" s="5"/>
      <c r="K109" s="5"/>
      <c r="L109" s="5"/>
    </row>
    <row x14ac:dyDescent="0.25" r="110" customHeight="1" ht="18.75">
      <c r="A110" s="2"/>
      <c r="B110" s="28"/>
      <c r="C110" s="28"/>
      <c r="D110" s="28"/>
      <c r="E110" s="28"/>
      <c r="F110" s="28"/>
      <c r="G110" s="28"/>
      <c r="H110" s="28"/>
      <c r="I110" s="28"/>
      <c r="J110" s="29"/>
      <c r="K110" s="29"/>
      <c r="L110" s="29"/>
    </row>
    <row x14ac:dyDescent="0.25" r="111" customHeight="1" ht="18.75">
      <c r="A111" s="30" t="s">
        <v>53</v>
      </c>
      <c r="B111" s="31" t="s">
        <v>4</v>
      </c>
      <c r="C111" s="31" t="s">
        <v>5</v>
      </c>
      <c r="D111" s="31" t="s">
        <v>6</v>
      </c>
      <c r="E111" s="31" t="s">
        <v>7</v>
      </c>
      <c r="F111" s="31" t="s">
        <v>8</v>
      </c>
      <c r="G111" s="31" t="s">
        <v>9</v>
      </c>
      <c r="H111" s="31" t="s">
        <v>10</v>
      </c>
      <c r="I111" s="31" t="s">
        <v>11</v>
      </c>
      <c r="J111" s="5" t="s">
        <v>12</v>
      </c>
      <c r="K111" s="5" t="s">
        <v>13</v>
      </c>
      <c r="L111" s="5" t="s">
        <v>14</v>
      </c>
    </row>
    <row x14ac:dyDescent="0.25" r="112" customHeight="1" ht="18.75">
      <c r="A112" s="6" t="s">
        <v>15</v>
      </c>
      <c r="B112" s="32" t="s">
        <v>16</v>
      </c>
      <c r="C112" s="33" t="s">
        <v>17</v>
      </c>
      <c r="D112" s="32" t="s">
        <v>18</v>
      </c>
      <c r="E112" s="32" t="s">
        <v>19</v>
      </c>
      <c r="F112" s="32" t="s">
        <v>20</v>
      </c>
      <c r="G112" s="32" t="s">
        <v>21</v>
      </c>
      <c r="H112" s="32" t="s">
        <v>22</v>
      </c>
      <c r="I112" s="33" t="s">
        <v>23</v>
      </c>
      <c r="J112" s="9" t="s">
        <v>24</v>
      </c>
      <c r="K112" s="10" t="s">
        <v>25</v>
      </c>
      <c r="L112" s="9" t="s">
        <v>26</v>
      </c>
    </row>
    <row x14ac:dyDescent="0.25" r="113" customHeight="1" ht="18.75">
      <c r="A113" s="11"/>
      <c r="B113" s="34"/>
      <c r="C113" s="35"/>
      <c r="D113" s="34"/>
      <c r="E113" s="34"/>
      <c r="F113" s="34"/>
      <c r="G113" s="34"/>
      <c r="H113" s="34"/>
      <c r="I113" s="35"/>
      <c r="J113" s="14"/>
      <c r="K113" s="15"/>
      <c r="L113" s="14"/>
    </row>
    <row x14ac:dyDescent="0.25" r="114" customHeight="1" ht="18.75">
      <c r="A114" s="4" t="s">
        <v>27</v>
      </c>
      <c r="B114" s="16">
        <v>0</v>
      </c>
      <c r="C114" s="16">
        <v>0</v>
      </c>
      <c r="D114" s="16">
        <v>0</v>
      </c>
      <c r="E114" s="16">
        <v>0</v>
      </c>
      <c r="F114" s="16">
        <v>0</v>
      </c>
      <c r="G114" s="16"/>
      <c r="H114" s="16">
        <v>0</v>
      </c>
      <c r="I114" s="16">
        <v>0</v>
      </c>
      <c r="J114" s="5"/>
      <c r="K114" s="5"/>
      <c r="L114" s="5"/>
    </row>
    <row x14ac:dyDescent="0.25" r="115" customHeight="1" ht="18.75">
      <c r="A115" s="4" t="s">
        <v>28</v>
      </c>
      <c r="B115" s="16">
        <v>0</v>
      </c>
      <c r="C115" s="16">
        <v>0</v>
      </c>
      <c r="D115" s="16">
        <v>0</v>
      </c>
      <c r="E115" s="16">
        <v>0</v>
      </c>
      <c r="F115" s="16">
        <v>0</v>
      </c>
      <c r="G115" s="16"/>
      <c r="H115" s="16">
        <v>0</v>
      </c>
      <c r="I115" s="16">
        <v>0</v>
      </c>
      <c r="J115" s="17">
        <v>1</v>
      </c>
      <c r="K115" s="17">
        <v>1</v>
      </c>
      <c r="L115" s="5"/>
    </row>
    <row x14ac:dyDescent="0.25" r="116" customHeight="1" ht="18.75">
      <c r="A116" s="4" t="s">
        <v>29</v>
      </c>
      <c r="B116" s="16">
        <v>0</v>
      </c>
      <c r="C116" s="16">
        <v>0</v>
      </c>
      <c r="D116" s="16">
        <v>0</v>
      </c>
      <c r="E116" s="16">
        <v>0</v>
      </c>
      <c r="F116" s="16">
        <v>166489</v>
      </c>
      <c r="G116" s="16"/>
      <c r="H116" s="16">
        <v>1403972</v>
      </c>
      <c r="I116" s="16">
        <v>0</v>
      </c>
      <c r="J116" s="17">
        <v>22</v>
      </c>
      <c r="K116" s="17">
        <v>23</v>
      </c>
      <c r="L116" s="17">
        <v>9</v>
      </c>
    </row>
    <row x14ac:dyDescent="0.25" r="117" customHeight="1" ht="18.75">
      <c r="A117" s="4" t="s">
        <v>30</v>
      </c>
      <c r="B117" s="16">
        <v>0</v>
      </c>
      <c r="C117" s="16">
        <v>0</v>
      </c>
      <c r="D117" s="16">
        <v>0</v>
      </c>
      <c r="E117" s="16">
        <v>0</v>
      </c>
      <c r="F117" s="16">
        <v>0</v>
      </c>
      <c r="G117" s="16"/>
      <c r="H117" s="16">
        <v>0</v>
      </c>
      <c r="I117" s="16">
        <v>0</v>
      </c>
      <c r="J117" s="17">
        <v>1</v>
      </c>
      <c r="K117" s="17">
        <v>1</v>
      </c>
      <c r="L117" s="17">
        <v>1</v>
      </c>
    </row>
    <row x14ac:dyDescent="0.25" r="118" customHeight="1" ht="18.75">
      <c r="A118" s="4" t="s">
        <v>31</v>
      </c>
      <c r="B118" s="16">
        <v>0</v>
      </c>
      <c r="C118" s="16">
        <v>0</v>
      </c>
      <c r="D118" s="16">
        <v>0</v>
      </c>
      <c r="E118" s="16">
        <v>0</v>
      </c>
      <c r="F118" s="16">
        <v>0</v>
      </c>
      <c r="G118" s="16"/>
      <c r="H118" s="16">
        <v>31472</v>
      </c>
      <c r="I118" s="16">
        <v>1980</v>
      </c>
      <c r="J118" s="17">
        <v>7</v>
      </c>
      <c r="K118" s="17">
        <v>4</v>
      </c>
      <c r="L118" s="17">
        <v>3</v>
      </c>
    </row>
    <row x14ac:dyDescent="0.25" r="119" customHeight="1" ht="18.75">
      <c r="A119" s="4" t="s">
        <v>32</v>
      </c>
      <c r="B119" s="16">
        <v>571048</v>
      </c>
      <c r="C119" s="16">
        <v>0</v>
      </c>
      <c r="D119" s="16">
        <v>200685</v>
      </c>
      <c r="E119" s="16">
        <v>0</v>
      </c>
      <c r="F119" s="16">
        <v>251058</v>
      </c>
      <c r="G119" s="16"/>
      <c r="H119" s="16">
        <v>1967769</v>
      </c>
      <c r="I119" s="16">
        <v>1896171</v>
      </c>
      <c r="J119" s="17">
        <v>224</v>
      </c>
      <c r="K119" s="17">
        <v>90</v>
      </c>
      <c r="L119" s="17">
        <v>41</v>
      </c>
    </row>
    <row x14ac:dyDescent="0.25" r="120" customHeight="1" ht="18.75">
      <c r="A120" s="4" t="s">
        <v>33</v>
      </c>
      <c r="B120" s="16">
        <v>0</v>
      </c>
      <c r="C120" s="16">
        <v>0</v>
      </c>
      <c r="D120" s="16">
        <v>0</v>
      </c>
      <c r="E120" s="16">
        <v>0</v>
      </c>
      <c r="F120" s="16">
        <v>0</v>
      </c>
      <c r="G120" s="16"/>
      <c r="H120" s="16">
        <v>0</v>
      </c>
      <c r="I120" s="16">
        <v>0</v>
      </c>
      <c r="J120" s="5"/>
      <c r="K120" s="5"/>
      <c r="L120" s="5"/>
    </row>
    <row x14ac:dyDescent="0.25" r="121" customHeight="1" ht="18.75">
      <c r="A121" s="4" t="s">
        <v>34</v>
      </c>
      <c r="B121" s="16">
        <v>0</v>
      </c>
      <c r="C121" s="16">
        <v>0</v>
      </c>
      <c r="D121" s="16">
        <v>0</v>
      </c>
      <c r="E121" s="16">
        <v>0</v>
      </c>
      <c r="F121" s="16">
        <v>0</v>
      </c>
      <c r="G121" s="16"/>
      <c r="H121" s="16">
        <v>0</v>
      </c>
      <c r="I121" s="16">
        <v>0</v>
      </c>
      <c r="J121" s="5"/>
      <c r="K121" s="5"/>
      <c r="L121" s="5"/>
    </row>
    <row x14ac:dyDescent="0.25" r="122" customHeight="1" ht="18.75">
      <c r="A122" s="4" t="s">
        <v>35</v>
      </c>
      <c r="B122" s="16">
        <v>0</v>
      </c>
      <c r="C122" s="16">
        <v>0</v>
      </c>
      <c r="D122" s="16">
        <v>0</v>
      </c>
      <c r="E122" s="16">
        <v>0</v>
      </c>
      <c r="F122" s="16">
        <v>0</v>
      </c>
      <c r="G122" s="16"/>
      <c r="H122" s="16">
        <v>0</v>
      </c>
      <c r="I122" s="16">
        <v>0</v>
      </c>
      <c r="J122" s="5"/>
      <c r="K122" s="5"/>
      <c r="L122" s="5"/>
    </row>
    <row x14ac:dyDescent="0.25" r="123" customHeight="1" ht="18.75">
      <c r="A123" s="2"/>
      <c r="B123" s="28"/>
      <c r="C123" s="28"/>
      <c r="D123" s="28"/>
      <c r="E123" s="28"/>
      <c r="F123" s="28"/>
      <c r="G123" s="28"/>
      <c r="H123" s="28"/>
      <c r="I123" s="28"/>
      <c r="J123" s="29"/>
      <c r="K123" s="29"/>
      <c r="L123" s="29"/>
    </row>
    <row x14ac:dyDescent="0.25" r="124" customHeight="1" ht="18.75">
      <c r="A124" s="30" t="s">
        <v>54</v>
      </c>
      <c r="B124" s="31" t="s">
        <v>4</v>
      </c>
      <c r="C124" s="31" t="s">
        <v>5</v>
      </c>
      <c r="D124" s="31" t="s">
        <v>6</v>
      </c>
      <c r="E124" s="31" t="s">
        <v>7</v>
      </c>
      <c r="F124" s="31" t="s">
        <v>8</v>
      </c>
      <c r="G124" s="31" t="s">
        <v>9</v>
      </c>
      <c r="H124" s="31" t="s">
        <v>10</v>
      </c>
      <c r="I124" s="31" t="s">
        <v>11</v>
      </c>
      <c r="J124" s="5" t="s">
        <v>12</v>
      </c>
      <c r="K124" s="5" t="s">
        <v>13</v>
      </c>
      <c r="L124" s="5" t="s">
        <v>14</v>
      </c>
    </row>
    <row x14ac:dyDescent="0.25" r="125" customHeight="1" ht="18.75">
      <c r="A125" s="6" t="s">
        <v>15</v>
      </c>
      <c r="B125" s="32" t="s">
        <v>16</v>
      </c>
      <c r="C125" s="33" t="s">
        <v>17</v>
      </c>
      <c r="D125" s="32" t="s">
        <v>18</v>
      </c>
      <c r="E125" s="32" t="s">
        <v>19</v>
      </c>
      <c r="F125" s="32" t="s">
        <v>20</v>
      </c>
      <c r="G125" s="32" t="s">
        <v>21</v>
      </c>
      <c r="H125" s="32" t="s">
        <v>22</v>
      </c>
      <c r="I125" s="33" t="s">
        <v>23</v>
      </c>
      <c r="J125" s="9" t="s">
        <v>24</v>
      </c>
      <c r="K125" s="10" t="s">
        <v>25</v>
      </c>
      <c r="L125" s="9" t="s">
        <v>26</v>
      </c>
    </row>
    <row x14ac:dyDescent="0.25" r="126" customHeight="1" ht="18.75">
      <c r="A126" s="11"/>
      <c r="B126" s="34"/>
      <c r="C126" s="35"/>
      <c r="D126" s="34"/>
      <c r="E126" s="34"/>
      <c r="F126" s="34"/>
      <c r="G126" s="34"/>
      <c r="H126" s="34"/>
      <c r="I126" s="35"/>
      <c r="J126" s="14"/>
      <c r="K126" s="15"/>
      <c r="L126" s="14"/>
    </row>
    <row x14ac:dyDescent="0.25" r="127" customHeight="1" ht="18.75">
      <c r="A127" s="4" t="s">
        <v>27</v>
      </c>
      <c r="B127" s="16">
        <v>0</v>
      </c>
      <c r="C127" s="16">
        <v>0</v>
      </c>
      <c r="D127" s="16">
        <v>0</v>
      </c>
      <c r="E127" s="16">
        <v>0</v>
      </c>
      <c r="F127" s="16">
        <v>0</v>
      </c>
      <c r="G127" s="16"/>
      <c r="H127" s="16">
        <v>595223</v>
      </c>
      <c r="I127" s="16">
        <v>0</v>
      </c>
      <c r="J127" s="17">
        <v>1</v>
      </c>
      <c r="K127" s="5"/>
      <c r="L127" s="5"/>
    </row>
    <row x14ac:dyDescent="0.25" r="128" customHeight="1" ht="18.75">
      <c r="A128" s="4" t="s">
        <v>28</v>
      </c>
      <c r="B128" s="16">
        <v>0</v>
      </c>
      <c r="C128" s="16">
        <v>0</v>
      </c>
      <c r="D128" s="16">
        <v>0</v>
      </c>
      <c r="E128" s="16">
        <v>0</v>
      </c>
      <c r="F128" s="16">
        <v>0</v>
      </c>
      <c r="G128" s="16"/>
      <c r="H128" s="16">
        <v>0</v>
      </c>
      <c r="I128" s="16">
        <v>0</v>
      </c>
      <c r="J128" s="5"/>
      <c r="K128" s="17">
        <v>1</v>
      </c>
      <c r="L128" s="5"/>
    </row>
    <row x14ac:dyDescent="0.25" r="129" customHeight="1" ht="18.75">
      <c r="A129" s="4" t="s">
        <v>29</v>
      </c>
      <c r="B129" s="16">
        <v>139681</v>
      </c>
      <c r="C129" s="16">
        <v>0</v>
      </c>
      <c r="D129" s="16">
        <v>116595</v>
      </c>
      <c r="E129" s="16">
        <v>0</v>
      </c>
      <c r="F129" s="16">
        <v>17490</v>
      </c>
      <c r="G129" s="16"/>
      <c r="H129" s="16">
        <v>1882795</v>
      </c>
      <c r="I129" s="16">
        <v>395958</v>
      </c>
      <c r="J129" s="17">
        <v>36</v>
      </c>
      <c r="K129" s="17">
        <v>32</v>
      </c>
      <c r="L129" s="17">
        <v>14</v>
      </c>
    </row>
    <row x14ac:dyDescent="0.25" r="130" customHeight="1" ht="18.75">
      <c r="A130" s="4" t="s">
        <v>30</v>
      </c>
      <c r="B130" s="16">
        <v>0</v>
      </c>
      <c r="C130" s="16">
        <v>0</v>
      </c>
      <c r="D130" s="16">
        <v>0</v>
      </c>
      <c r="E130" s="16">
        <v>0</v>
      </c>
      <c r="F130" s="16">
        <v>0</v>
      </c>
      <c r="G130" s="16"/>
      <c r="H130" s="16">
        <v>13881</v>
      </c>
      <c r="I130" s="16">
        <v>0</v>
      </c>
      <c r="J130" s="17">
        <v>1</v>
      </c>
      <c r="K130" s="17">
        <v>2</v>
      </c>
      <c r="L130" s="17">
        <v>1</v>
      </c>
    </row>
    <row x14ac:dyDescent="0.25" r="131" customHeight="1" ht="18.75">
      <c r="A131" s="4" t="s">
        <v>31</v>
      </c>
      <c r="B131" s="16">
        <v>882859</v>
      </c>
      <c r="C131" s="16">
        <v>0</v>
      </c>
      <c r="D131" s="16">
        <v>495906</v>
      </c>
      <c r="E131" s="16">
        <v>0</v>
      </c>
      <c r="F131" s="16">
        <v>58811</v>
      </c>
      <c r="G131" s="16"/>
      <c r="H131" s="16">
        <v>970820</v>
      </c>
      <c r="I131" s="16">
        <v>2261624</v>
      </c>
      <c r="J131" s="17">
        <v>4</v>
      </c>
      <c r="K131" s="17">
        <v>4</v>
      </c>
      <c r="L131" s="17">
        <v>3</v>
      </c>
    </row>
    <row x14ac:dyDescent="0.25" r="132" customHeight="1" ht="18.75">
      <c r="A132" s="4" t="s">
        <v>32</v>
      </c>
      <c r="B132" s="16">
        <v>216327</v>
      </c>
      <c r="C132" s="16">
        <v>0</v>
      </c>
      <c r="D132" s="16">
        <v>89007</v>
      </c>
      <c r="E132" s="16">
        <v>0</v>
      </c>
      <c r="F132" s="16">
        <v>467180</v>
      </c>
      <c r="G132" s="16"/>
      <c r="H132" s="16">
        <v>4432264</v>
      </c>
      <c r="I132" s="16">
        <v>1671784</v>
      </c>
      <c r="J132" s="17">
        <v>284</v>
      </c>
      <c r="K132" s="17">
        <v>116</v>
      </c>
      <c r="L132" s="17">
        <v>64</v>
      </c>
    </row>
    <row x14ac:dyDescent="0.25" r="133" customHeight="1" ht="18.75">
      <c r="A133" s="4" t="s">
        <v>33</v>
      </c>
      <c r="B133" s="16">
        <v>0</v>
      </c>
      <c r="C133" s="16">
        <v>0</v>
      </c>
      <c r="D133" s="16">
        <v>0</v>
      </c>
      <c r="E133" s="16">
        <v>0</v>
      </c>
      <c r="F133" s="16">
        <v>0</v>
      </c>
      <c r="G133" s="16"/>
      <c r="H133" s="16">
        <v>0</v>
      </c>
      <c r="I133" s="16">
        <v>0</v>
      </c>
      <c r="J133" s="5"/>
      <c r="K133" s="5"/>
      <c r="L133" s="5"/>
    </row>
    <row x14ac:dyDescent="0.25" r="134" customHeight="1" ht="18.75">
      <c r="A134" s="4" t="s">
        <v>34</v>
      </c>
      <c r="B134" s="16">
        <v>0</v>
      </c>
      <c r="C134" s="16">
        <v>0</v>
      </c>
      <c r="D134" s="16">
        <v>0</v>
      </c>
      <c r="E134" s="16">
        <v>0</v>
      </c>
      <c r="F134" s="16">
        <v>0</v>
      </c>
      <c r="G134" s="16"/>
      <c r="H134" s="16">
        <v>0</v>
      </c>
      <c r="I134" s="16">
        <v>0</v>
      </c>
      <c r="J134" s="5"/>
      <c r="K134" s="5"/>
      <c r="L134" s="5"/>
    </row>
    <row x14ac:dyDescent="0.25" r="135" customHeight="1" ht="18.75">
      <c r="A135" s="4" t="s">
        <v>35</v>
      </c>
      <c r="B135" s="16">
        <v>0</v>
      </c>
      <c r="C135" s="16">
        <v>0</v>
      </c>
      <c r="D135" s="16">
        <v>0</v>
      </c>
      <c r="E135" s="16">
        <v>0</v>
      </c>
      <c r="F135" s="16">
        <v>0</v>
      </c>
      <c r="G135" s="16"/>
      <c r="H135" s="16">
        <v>0</v>
      </c>
      <c r="I135" s="16">
        <v>0</v>
      </c>
      <c r="J135" s="5"/>
      <c r="K135" s="5"/>
      <c r="L135" s="5"/>
    </row>
    <row x14ac:dyDescent="0.25" r="136" customHeight="1" ht="18.75">
      <c r="A136" s="2"/>
      <c r="B136" s="28"/>
      <c r="C136" s="28"/>
      <c r="D136" s="28"/>
      <c r="E136" s="28"/>
      <c r="F136" s="28"/>
      <c r="G136" s="28"/>
      <c r="H136" s="28"/>
      <c r="I136" s="28"/>
      <c r="J136" s="29"/>
      <c r="K136" s="29"/>
      <c r="L136" s="29"/>
    </row>
    <row x14ac:dyDescent="0.25" r="137" customHeight="1" ht="18.75">
      <c r="A137" s="30" t="s">
        <v>55</v>
      </c>
      <c r="B137" s="31" t="s">
        <v>4</v>
      </c>
      <c r="C137" s="31" t="s">
        <v>5</v>
      </c>
      <c r="D137" s="31" t="s">
        <v>6</v>
      </c>
      <c r="E137" s="31" t="s">
        <v>7</v>
      </c>
      <c r="F137" s="31" t="s">
        <v>8</v>
      </c>
      <c r="G137" s="31" t="s">
        <v>9</v>
      </c>
      <c r="H137" s="31" t="s">
        <v>10</v>
      </c>
      <c r="I137" s="31" t="s">
        <v>11</v>
      </c>
      <c r="J137" s="5" t="s">
        <v>12</v>
      </c>
      <c r="K137" s="5" t="s">
        <v>13</v>
      </c>
      <c r="L137" s="5" t="s">
        <v>14</v>
      </c>
    </row>
    <row x14ac:dyDescent="0.25" r="138" customHeight="1" ht="18.75">
      <c r="A138" s="6" t="s">
        <v>15</v>
      </c>
      <c r="B138" s="32" t="s">
        <v>16</v>
      </c>
      <c r="C138" s="33" t="s">
        <v>17</v>
      </c>
      <c r="D138" s="32" t="s">
        <v>18</v>
      </c>
      <c r="E138" s="32" t="s">
        <v>19</v>
      </c>
      <c r="F138" s="32" t="s">
        <v>20</v>
      </c>
      <c r="G138" s="32" t="s">
        <v>21</v>
      </c>
      <c r="H138" s="32" t="s">
        <v>22</v>
      </c>
      <c r="I138" s="33" t="s">
        <v>23</v>
      </c>
      <c r="J138" s="9" t="s">
        <v>24</v>
      </c>
      <c r="K138" s="10" t="s">
        <v>25</v>
      </c>
      <c r="L138" s="9" t="s">
        <v>26</v>
      </c>
    </row>
    <row x14ac:dyDescent="0.25" r="139" customHeight="1" ht="18.75">
      <c r="A139" s="11"/>
      <c r="B139" s="34"/>
      <c r="C139" s="35"/>
      <c r="D139" s="34"/>
      <c r="E139" s="34"/>
      <c r="F139" s="34"/>
      <c r="G139" s="34"/>
      <c r="H139" s="34"/>
      <c r="I139" s="35"/>
      <c r="J139" s="14"/>
      <c r="K139" s="15"/>
      <c r="L139" s="14"/>
    </row>
    <row x14ac:dyDescent="0.25" r="140" customHeight="1" ht="18.75">
      <c r="A140" s="4" t="s">
        <v>27</v>
      </c>
      <c r="B140" s="16">
        <v>0</v>
      </c>
      <c r="C140" s="16">
        <v>0</v>
      </c>
      <c r="D140" s="16">
        <v>0</v>
      </c>
      <c r="E140" s="16">
        <v>0</v>
      </c>
      <c r="F140" s="16">
        <v>0</v>
      </c>
      <c r="G140" s="16"/>
      <c r="H140" s="16">
        <v>112983</v>
      </c>
      <c r="I140" s="16">
        <v>0</v>
      </c>
      <c r="J140" s="17">
        <v>3</v>
      </c>
      <c r="K140" s="17">
        <v>2</v>
      </c>
      <c r="L140" s="17">
        <v>3</v>
      </c>
    </row>
    <row x14ac:dyDescent="0.25" r="141" customHeight="1" ht="18.75">
      <c r="A141" s="4" t="s">
        <v>28</v>
      </c>
      <c r="B141" s="16">
        <v>0</v>
      </c>
      <c r="C141" s="16">
        <v>0</v>
      </c>
      <c r="D141" s="16">
        <v>0</v>
      </c>
      <c r="E141" s="16">
        <v>0</v>
      </c>
      <c r="F141" s="16">
        <v>0</v>
      </c>
      <c r="G141" s="16"/>
      <c r="H141" s="16">
        <v>0</v>
      </c>
      <c r="I141" s="16">
        <v>0</v>
      </c>
      <c r="J141" s="5"/>
      <c r="K141" s="5"/>
      <c r="L141" s="5"/>
    </row>
    <row x14ac:dyDescent="0.25" r="142" customHeight="1" ht="18.75">
      <c r="A142" s="4" t="s">
        <v>29</v>
      </c>
      <c r="B142" s="16">
        <v>0</v>
      </c>
      <c r="C142" s="16">
        <v>0</v>
      </c>
      <c r="D142" s="16">
        <v>0</v>
      </c>
      <c r="E142" s="16">
        <v>0</v>
      </c>
      <c r="F142" s="16">
        <v>0</v>
      </c>
      <c r="G142" s="16"/>
      <c r="H142" s="16">
        <v>407124</v>
      </c>
      <c r="I142" s="16">
        <v>0</v>
      </c>
      <c r="J142" s="17">
        <v>23</v>
      </c>
      <c r="K142" s="17">
        <v>25</v>
      </c>
      <c r="L142" s="17">
        <v>7</v>
      </c>
    </row>
    <row x14ac:dyDescent="0.25" r="143" customHeight="1" ht="18.75">
      <c r="A143" s="4" t="s">
        <v>30</v>
      </c>
      <c r="B143" s="16">
        <v>0</v>
      </c>
      <c r="C143" s="16">
        <v>0</v>
      </c>
      <c r="D143" s="16">
        <v>0</v>
      </c>
      <c r="E143" s="16">
        <v>0</v>
      </c>
      <c r="F143" s="16">
        <v>0</v>
      </c>
      <c r="G143" s="16"/>
      <c r="H143" s="16">
        <v>68031</v>
      </c>
      <c r="I143" s="16">
        <v>0</v>
      </c>
      <c r="J143" s="17">
        <v>2</v>
      </c>
      <c r="K143" s="5"/>
      <c r="L143" s="17">
        <v>1</v>
      </c>
    </row>
    <row x14ac:dyDescent="0.25" r="144" customHeight="1" ht="18.75">
      <c r="A144" s="4" t="s">
        <v>31</v>
      </c>
      <c r="B144" s="16">
        <v>0</v>
      </c>
      <c r="C144" s="16">
        <v>0</v>
      </c>
      <c r="D144" s="16">
        <v>0</v>
      </c>
      <c r="E144" s="16">
        <v>0</v>
      </c>
      <c r="F144" s="16">
        <v>11739</v>
      </c>
      <c r="G144" s="16"/>
      <c r="H144" s="16">
        <v>289808</v>
      </c>
      <c r="I144" s="16">
        <v>75057</v>
      </c>
      <c r="J144" s="17">
        <v>4</v>
      </c>
      <c r="K144" s="17">
        <v>2</v>
      </c>
      <c r="L144" s="17">
        <v>1</v>
      </c>
    </row>
    <row x14ac:dyDescent="0.25" r="145" customHeight="1" ht="18.75">
      <c r="A145" s="4" t="s">
        <v>32</v>
      </c>
      <c r="B145" s="16">
        <v>78579</v>
      </c>
      <c r="C145" s="16">
        <v>0</v>
      </c>
      <c r="D145" s="16">
        <v>29457</v>
      </c>
      <c r="E145" s="16">
        <v>0</v>
      </c>
      <c r="F145" s="16">
        <v>169215</v>
      </c>
      <c r="G145" s="16"/>
      <c r="H145" s="16">
        <v>5215438</v>
      </c>
      <c r="I145" s="16">
        <v>979220</v>
      </c>
      <c r="J145" s="17">
        <v>209</v>
      </c>
      <c r="K145" s="17">
        <v>84</v>
      </c>
      <c r="L145" s="17">
        <v>49</v>
      </c>
    </row>
    <row x14ac:dyDescent="0.25" r="146" customHeight="1" ht="18.75">
      <c r="A146" s="4" t="s">
        <v>33</v>
      </c>
      <c r="B146" s="16">
        <v>0</v>
      </c>
      <c r="C146" s="16">
        <v>0</v>
      </c>
      <c r="D146" s="16">
        <v>0</v>
      </c>
      <c r="E146" s="16">
        <v>0</v>
      </c>
      <c r="F146" s="16">
        <v>0</v>
      </c>
      <c r="G146" s="16"/>
      <c r="H146" s="16">
        <v>0</v>
      </c>
      <c r="I146" s="16">
        <v>0</v>
      </c>
      <c r="J146" s="5"/>
      <c r="K146" s="5"/>
      <c r="L146" s="5"/>
    </row>
    <row x14ac:dyDescent="0.25" r="147" customHeight="1" ht="18.75">
      <c r="A147" s="4" t="s">
        <v>34</v>
      </c>
      <c r="B147" s="16">
        <v>0</v>
      </c>
      <c r="C147" s="16">
        <v>0</v>
      </c>
      <c r="D147" s="16">
        <v>0</v>
      </c>
      <c r="E147" s="16">
        <v>0</v>
      </c>
      <c r="F147" s="16">
        <v>0</v>
      </c>
      <c r="G147" s="16"/>
      <c r="H147" s="16">
        <v>0</v>
      </c>
      <c r="I147" s="16">
        <v>0</v>
      </c>
      <c r="J147" s="5"/>
      <c r="K147" s="5"/>
      <c r="L147" s="5"/>
    </row>
    <row x14ac:dyDescent="0.25" r="148" customHeight="1" ht="18.75">
      <c r="A148" s="4" t="s">
        <v>35</v>
      </c>
      <c r="B148" s="16">
        <v>0</v>
      </c>
      <c r="C148" s="16">
        <v>0</v>
      </c>
      <c r="D148" s="16">
        <v>0</v>
      </c>
      <c r="E148" s="16">
        <v>0</v>
      </c>
      <c r="F148" s="16">
        <v>0</v>
      </c>
      <c r="G148" s="16"/>
      <c r="H148" s="16">
        <v>0</v>
      </c>
      <c r="I148" s="16">
        <v>0</v>
      </c>
      <c r="J148" s="5"/>
      <c r="K148" s="5"/>
      <c r="L148" s="5"/>
    </row>
    <row x14ac:dyDescent="0.25" r="149" customHeight="1" ht="18.75">
      <c r="A149" s="2"/>
      <c r="B149" s="28"/>
      <c r="C149" s="28"/>
      <c r="D149" s="28"/>
      <c r="E149" s="28"/>
      <c r="F149" s="28"/>
      <c r="G149" s="28"/>
      <c r="H149" s="28"/>
      <c r="I149" s="28"/>
      <c r="J149" s="29"/>
      <c r="K149" s="29"/>
      <c r="L149" s="29"/>
    </row>
    <row x14ac:dyDescent="0.25" r="150" customHeight="1" ht="18.75">
      <c r="A150" s="30" t="s">
        <v>56</v>
      </c>
      <c r="B150" s="31" t="s">
        <v>4</v>
      </c>
      <c r="C150" s="31" t="s">
        <v>5</v>
      </c>
      <c r="D150" s="31" t="s">
        <v>6</v>
      </c>
      <c r="E150" s="31" t="s">
        <v>7</v>
      </c>
      <c r="F150" s="31" t="s">
        <v>8</v>
      </c>
      <c r="G150" s="31" t="s">
        <v>9</v>
      </c>
      <c r="H150" s="31" t="s">
        <v>10</v>
      </c>
      <c r="I150" s="31" t="s">
        <v>11</v>
      </c>
      <c r="J150" s="5" t="s">
        <v>12</v>
      </c>
      <c r="K150" s="5" t="s">
        <v>13</v>
      </c>
      <c r="L150" s="5" t="s">
        <v>14</v>
      </c>
    </row>
    <row x14ac:dyDescent="0.25" r="151" customHeight="1" ht="18.75">
      <c r="A151" s="6" t="s">
        <v>15</v>
      </c>
      <c r="B151" s="32" t="s">
        <v>16</v>
      </c>
      <c r="C151" s="33" t="s">
        <v>17</v>
      </c>
      <c r="D151" s="32" t="s">
        <v>18</v>
      </c>
      <c r="E151" s="32" t="s">
        <v>19</v>
      </c>
      <c r="F151" s="32" t="s">
        <v>20</v>
      </c>
      <c r="G151" s="32" t="s">
        <v>21</v>
      </c>
      <c r="H151" s="32" t="s">
        <v>22</v>
      </c>
      <c r="I151" s="33" t="s">
        <v>23</v>
      </c>
      <c r="J151" s="9" t="s">
        <v>24</v>
      </c>
      <c r="K151" s="10" t="s">
        <v>25</v>
      </c>
      <c r="L151" s="9" t="s">
        <v>26</v>
      </c>
    </row>
    <row x14ac:dyDescent="0.25" r="152" customHeight="1" ht="18.75">
      <c r="A152" s="11"/>
      <c r="B152" s="34"/>
      <c r="C152" s="35"/>
      <c r="D152" s="34"/>
      <c r="E152" s="34"/>
      <c r="F152" s="34"/>
      <c r="G152" s="34"/>
      <c r="H152" s="34"/>
      <c r="I152" s="35"/>
      <c r="J152" s="14"/>
      <c r="K152" s="15"/>
      <c r="L152" s="14"/>
    </row>
    <row x14ac:dyDescent="0.25" r="153" customHeight="1" ht="18.75">
      <c r="A153" s="4" t="s">
        <v>27</v>
      </c>
      <c r="B153" s="16">
        <v>8782</v>
      </c>
      <c r="C153" s="16">
        <v>0</v>
      </c>
      <c r="D153" s="16">
        <v>28073</v>
      </c>
      <c r="E153" s="16">
        <v>0</v>
      </c>
      <c r="F153" s="16">
        <v>0</v>
      </c>
      <c r="G153" s="16"/>
      <c r="H153" s="16">
        <v>6508</v>
      </c>
      <c r="I153" s="16">
        <v>45638</v>
      </c>
      <c r="J153" s="17">
        <v>3</v>
      </c>
      <c r="K153" s="5"/>
      <c r="L153" s="17">
        <v>2</v>
      </c>
    </row>
    <row x14ac:dyDescent="0.25" r="154" customHeight="1" ht="18.75">
      <c r="A154" s="4" t="s">
        <v>28</v>
      </c>
      <c r="B154" s="16">
        <v>0</v>
      </c>
      <c r="C154" s="16">
        <v>0</v>
      </c>
      <c r="D154" s="16">
        <v>0</v>
      </c>
      <c r="E154" s="16">
        <v>0</v>
      </c>
      <c r="F154" s="16">
        <v>0</v>
      </c>
      <c r="G154" s="16"/>
      <c r="H154" s="16">
        <v>0</v>
      </c>
      <c r="I154" s="16">
        <v>0</v>
      </c>
      <c r="J154" s="5"/>
      <c r="K154" s="17">
        <v>1</v>
      </c>
      <c r="L154" s="5"/>
    </row>
    <row x14ac:dyDescent="0.25" r="155" customHeight="1" ht="18.75">
      <c r="A155" s="4" t="s">
        <v>29</v>
      </c>
      <c r="B155" s="16">
        <v>229438</v>
      </c>
      <c r="C155" s="16">
        <v>0</v>
      </c>
      <c r="D155" s="16">
        <v>99634</v>
      </c>
      <c r="E155" s="16">
        <v>0</v>
      </c>
      <c r="F155" s="16">
        <v>67878</v>
      </c>
      <c r="G155" s="16"/>
      <c r="H155" s="16">
        <v>2512024</v>
      </c>
      <c r="I155" s="16">
        <v>777296</v>
      </c>
      <c r="J155" s="17">
        <v>25</v>
      </c>
      <c r="K155" s="17">
        <v>23</v>
      </c>
      <c r="L155" s="17">
        <v>8</v>
      </c>
    </row>
    <row x14ac:dyDescent="0.25" r="156" customHeight="1" ht="18.75">
      <c r="A156" s="4" t="s">
        <v>30</v>
      </c>
      <c r="B156" s="16">
        <v>0</v>
      </c>
      <c r="C156" s="16">
        <v>0</v>
      </c>
      <c r="D156" s="16">
        <v>0</v>
      </c>
      <c r="E156" s="16">
        <v>0</v>
      </c>
      <c r="F156" s="16">
        <v>0</v>
      </c>
      <c r="G156" s="16"/>
      <c r="H156" s="16">
        <v>0</v>
      </c>
      <c r="I156" s="16">
        <v>0</v>
      </c>
      <c r="J156" s="17">
        <v>1</v>
      </c>
      <c r="K156" s="5"/>
      <c r="L156" s="5"/>
    </row>
    <row x14ac:dyDescent="0.25" r="157" customHeight="1" ht="18.75">
      <c r="A157" s="4" t="s">
        <v>31</v>
      </c>
      <c r="B157" s="16">
        <v>0</v>
      </c>
      <c r="C157" s="16">
        <v>0</v>
      </c>
      <c r="D157" s="16">
        <v>0</v>
      </c>
      <c r="E157" s="16">
        <v>0</v>
      </c>
      <c r="F157" s="16">
        <v>38898</v>
      </c>
      <c r="G157" s="16"/>
      <c r="H157" s="16">
        <v>1061224</v>
      </c>
      <c r="I157" s="16">
        <v>172660</v>
      </c>
      <c r="J157" s="17">
        <v>5</v>
      </c>
      <c r="K157" s="17">
        <v>4</v>
      </c>
      <c r="L157" s="17">
        <v>1</v>
      </c>
    </row>
    <row x14ac:dyDescent="0.25" r="158" customHeight="1" ht="18.75">
      <c r="A158" s="4" t="s">
        <v>32</v>
      </c>
      <c r="B158" s="16">
        <v>1741127</v>
      </c>
      <c r="C158" s="16">
        <v>0</v>
      </c>
      <c r="D158" s="16">
        <v>535989</v>
      </c>
      <c r="E158" s="16">
        <v>0</v>
      </c>
      <c r="F158" s="16">
        <v>670217</v>
      </c>
      <c r="G158" s="16"/>
      <c r="H158" s="16">
        <v>3317344</v>
      </c>
      <c r="I158" s="16">
        <v>4962393</v>
      </c>
      <c r="J158" s="17">
        <v>198</v>
      </c>
      <c r="K158" s="17">
        <v>104</v>
      </c>
      <c r="L158" s="17">
        <v>54</v>
      </c>
    </row>
    <row x14ac:dyDescent="0.25" r="159" customHeight="1" ht="18.75">
      <c r="A159" s="4" t="s">
        <v>33</v>
      </c>
      <c r="B159" s="16">
        <v>0</v>
      </c>
      <c r="C159" s="16">
        <v>0</v>
      </c>
      <c r="D159" s="16">
        <v>0</v>
      </c>
      <c r="E159" s="16">
        <v>0</v>
      </c>
      <c r="F159" s="16">
        <v>0</v>
      </c>
      <c r="G159" s="16"/>
      <c r="H159" s="16">
        <v>0</v>
      </c>
      <c r="I159" s="16">
        <v>0</v>
      </c>
      <c r="J159" s="5"/>
      <c r="K159" s="5"/>
      <c r="L159" s="5"/>
    </row>
    <row x14ac:dyDescent="0.25" r="160" customHeight="1" ht="18.75">
      <c r="A160" s="4" t="s">
        <v>34</v>
      </c>
      <c r="B160" s="16">
        <v>0</v>
      </c>
      <c r="C160" s="16">
        <v>0</v>
      </c>
      <c r="D160" s="16">
        <v>0</v>
      </c>
      <c r="E160" s="16">
        <v>0</v>
      </c>
      <c r="F160" s="16">
        <v>0</v>
      </c>
      <c r="G160" s="16"/>
      <c r="H160" s="16">
        <v>0</v>
      </c>
      <c r="I160" s="16">
        <v>0</v>
      </c>
      <c r="J160" s="5"/>
      <c r="K160" s="5"/>
      <c r="L160" s="5"/>
    </row>
    <row x14ac:dyDescent="0.25" r="161" customHeight="1" ht="18.75">
      <c r="A161" s="4" t="s">
        <v>35</v>
      </c>
      <c r="B161" s="16">
        <v>0</v>
      </c>
      <c r="C161" s="16">
        <v>0</v>
      </c>
      <c r="D161" s="16">
        <v>0</v>
      </c>
      <c r="E161" s="16">
        <v>0</v>
      </c>
      <c r="F161" s="16">
        <v>0</v>
      </c>
      <c r="G161" s="16"/>
      <c r="H161" s="16">
        <v>0</v>
      </c>
      <c r="I161" s="16">
        <v>0</v>
      </c>
      <c r="J161" s="5"/>
      <c r="K161" s="5"/>
      <c r="L161" s="5"/>
    </row>
    <row x14ac:dyDescent="0.25" r="162" customHeight="1" ht="18.75">
      <c r="A162" s="2"/>
      <c r="B162" s="28"/>
      <c r="C162" s="28"/>
      <c r="D162" s="28"/>
      <c r="E162" s="28"/>
      <c r="F162" s="28"/>
      <c r="G162" s="28"/>
      <c r="H162" s="28"/>
      <c r="I162" s="28"/>
      <c r="J162" s="29"/>
      <c r="K162" s="29"/>
      <c r="L162" s="29"/>
    </row>
    <row x14ac:dyDescent="0.25" r="163" customHeight="1" ht="18.75">
      <c r="A163" s="30" t="s">
        <v>57</v>
      </c>
      <c r="B163" s="31" t="s">
        <v>4</v>
      </c>
      <c r="C163" s="31" t="s">
        <v>5</v>
      </c>
      <c r="D163" s="31" t="s">
        <v>6</v>
      </c>
      <c r="E163" s="31" t="s">
        <v>7</v>
      </c>
      <c r="F163" s="31" t="s">
        <v>8</v>
      </c>
      <c r="G163" s="31" t="s">
        <v>9</v>
      </c>
      <c r="H163" s="31" t="s">
        <v>10</v>
      </c>
      <c r="I163" s="31" t="s">
        <v>11</v>
      </c>
      <c r="J163" s="5" t="s">
        <v>12</v>
      </c>
      <c r="K163" s="5" t="s">
        <v>13</v>
      </c>
      <c r="L163" s="5" t="s">
        <v>14</v>
      </c>
    </row>
    <row x14ac:dyDescent="0.25" r="164" customHeight="1" ht="18.75">
      <c r="A164" s="6" t="s">
        <v>15</v>
      </c>
      <c r="B164" s="32" t="s">
        <v>16</v>
      </c>
      <c r="C164" s="33" t="s">
        <v>17</v>
      </c>
      <c r="D164" s="32" t="s">
        <v>18</v>
      </c>
      <c r="E164" s="32" t="s">
        <v>19</v>
      </c>
      <c r="F164" s="32" t="s">
        <v>20</v>
      </c>
      <c r="G164" s="32" t="s">
        <v>21</v>
      </c>
      <c r="H164" s="32" t="s">
        <v>22</v>
      </c>
      <c r="I164" s="33" t="s">
        <v>23</v>
      </c>
      <c r="J164" s="9" t="s">
        <v>24</v>
      </c>
      <c r="K164" s="10" t="s">
        <v>25</v>
      </c>
      <c r="L164" s="9" t="s">
        <v>26</v>
      </c>
    </row>
    <row x14ac:dyDescent="0.25" r="165" customHeight="1" ht="18.75">
      <c r="A165" s="11"/>
      <c r="B165" s="34"/>
      <c r="C165" s="35"/>
      <c r="D165" s="34"/>
      <c r="E165" s="34"/>
      <c r="F165" s="34"/>
      <c r="G165" s="34"/>
      <c r="H165" s="34"/>
      <c r="I165" s="35"/>
      <c r="J165" s="14"/>
      <c r="K165" s="15"/>
      <c r="L165" s="14"/>
    </row>
    <row x14ac:dyDescent="0.25" r="166" customHeight="1" ht="18.75">
      <c r="A166" s="4" t="s">
        <v>27</v>
      </c>
      <c r="B166" s="16">
        <v>771834</v>
      </c>
      <c r="C166" s="16">
        <v>0</v>
      </c>
      <c r="D166" s="16">
        <v>52710</v>
      </c>
      <c r="E166" s="16">
        <v>0</v>
      </c>
      <c r="F166" s="16">
        <v>0</v>
      </c>
      <c r="G166" s="16"/>
      <c r="H166" s="16">
        <v>798686</v>
      </c>
      <c r="I166" s="16">
        <v>1596378</v>
      </c>
      <c r="J166" s="17">
        <v>15</v>
      </c>
      <c r="K166" s="17">
        <v>3</v>
      </c>
      <c r="L166" s="17">
        <v>6</v>
      </c>
    </row>
    <row x14ac:dyDescent="0.25" r="167" customHeight="1" ht="18.75">
      <c r="A167" s="4" t="s">
        <v>28</v>
      </c>
      <c r="B167" s="16">
        <v>62146</v>
      </c>
      <c r="C167" s="16">
        <v>0</v>
      </c>
      <c r="D167" s="16">
        <v>24782</v>
      </c>
      <c r="E167" s="16">
        <v>0</v>
      </c>
      <c r="F167" s="16">
        <v>0</v>
      </c>
      <c r="G167" s="16"/>
      <c r="H167" s="16">
        <v>13508</v>
      </c>
      <c r="I167" s="16">
        <v>149073</v>
      </c>
      <c r="J167" s="17">
        <v>9</v>
      </c>
      <c r="K167" s="17">
        <v>3</v>
      </c>
      <c r="L167" s="17">
        <v>1</v>
      </c>
    </row>
    <row x14ac:dyDescent="0.25" r="168" customHeight="1" ht="18.75">
      <c r="A168" s="4" t="s">
        <v>29</v>
      </c>
      <c r="B168" s="16">
        <v>10037985</v>
      </c>
      <c r="C168" s="16">
        <v>0</v>
      </c>
      <c r="D168" s="16">
        <v>9925817</v>
      </c>
      <c r="E168" s="16">
        <v>0</v>
      </c>
      <c r="F168" s="16">
        <v>757928</v>
      </c>
      <c r="G168" s="16"/>
      <c r="H168" s="16">
        <v>11119585</v>
      </c>
      <c r="I168" s="16">
        <v>30220573</v>
      </c>
      <c r="J168" s="17">
        <v>365</v>
      </c>
      <c r="K168" s="17">
        <v>270</v>
      </c>
      <c r="L168" s="17">
        <v>134</v>
      </c>
    </row>
    <row x14ac:dyDescent="0.25" r="169" customHeight="1" ht="18.75">
      <c r="A169" s="4" t="s">
        <v>30</v>
      </c>
      <c r="B169" s="16">
        <v>277083</v>
      </c>
      <c r="C169" s="16">
        <v>0</v>
      </c>
      <c r="D169" s="16">
        <v>392997</v>
      </c>
      <c r="E169" s="16">
        <v>0</v>
      </c>
      <c r="F169" s="16">
        <v>0</v>
      </c>
      <c r="G169" s="16"/>
      <c r="H169" s="16">
        <v>153768</v>
      </c>
      <c r="I169" s="16">
        <v>947163</v>
      </c>
      <c r="J169" s="17">
        <v>23</v>
      </c>
      <c r="K169" s="17">
        <v>7</v>
      </c>
      <c r="L169" s="17">
        <v>12</v>
      </c>
    </row>
    <row x14ac:dyDescent="0.25" r="170" customHeight="1" ht="18.75">
      <c r="A170" s="4" t="s">
        <v>31</v>
      </c>
      <c r="B170" s="16">
        <v>3915462</v>
      </c>
      <c r="C170" s="16">
        <v>0</v>
      </c>
      <c r="D170" s="16">
        <v>2132383</v>
      </c>
      <c r="E170" s="16">
        <v>0</v>
      </c>
      <c r="F170" s="16">
        <v>519752</v>
      </c>
      <c r="G170" s="16"/>
      <c r="H170" s="16">
        <v>2895328</v>
      </c>
      <c r="I170" s="16">
        <v>10246957</v>
      </c>
      <c r="J170" s="17">
        <v>71</v>
      </c>
      <c r="K170" s="17">
        <v>38</v>
      </c>
      <c r="L170" s="17">
        <v>33</v>
      </c>
    </row>
    <row x14ac:dyDescent="0.25" r="171" customHeight="1" ht="18.75">
      <c r="A171" s="4" t="s">
        <v>32</v>
      </c>
      <c r="B171" s="16">
        <v>39576125</v>
      </c>
      <c r="C171" s="16">
        <v>0</v>
      </c>
      <c r="D171" s="16">
        <v>24019102</v>
      </c>
      <c r="E171" s="16">
        <v>0</v>
      </c>
      <c r="F171" s="16">
        <v>4082739</v>
      </c>
      <c r="G171" s="16"/>
      <c r="H171" s="16">
        <v>39408325</v>
      </c>
      <c r="I171" s="16">
        <v>109951378</v>
      </c>
      <c r="J171" s="17">
        <v>2630</v>
      </c>
      <c r="K171" s="17">
        <v>1153</v>
      </c>
      <c r="L171" s="17">
        <v>572</v>
      </c>
    </row>
    <row x14ac:dyDescent="0.25" r="172" customHeight="1" ht="18.75">
      <c r="A172" s="4" t="s">
        <v>33</v>
      </c>
      <c r="B172" s="16">
        <v>0</v>
      </c>
      <c r="C172" s="16">
        <v>0</v>
      </c>
      <c r="D172" s="16">
        <v>0</v>
      </c>
      <c r="E172" s="16">
        <v>0</v>
      </c>
      <c r="F172" s="16">
        <v>0</v>
      </c>
      <c r="G172" s="16"/>
      <c r="H172" s="16">
        <v>0</v>
      </c>
      <c r="I172" s="16">
        <v>0</v>
      </c>
      <c r="J172" s="17">
        <v>0</v>
      </c>
      <c r="K172" s="17">
        <v>0</v>
      </c>
      <c r="L172" s="17">
        <v>0</v>
      </c>
    </row>
    <row x14ac:dyDescent="0.25" r="173" customHeight="1" ht="18.75">
      <c r="A173" s="4" t="s">
        <v>34</v>
      </c>
      <c r="B173" s="16">
        <v>0</v>
      </c>
      <c r="C173" s="16">
        <v>0</v>
      </c>
      <c r="D173" s="16">
        <v>0</v>
      </c>
      <c r="E173" s="16">
        <v>0</v>
      </c>
      <c r="F173" s="16">
        <v>0</v>
      </c>
      <c r="G173" s="16"/>
      <c r="H173" s="16">
        <v>0</v>
      </c>
      <c r="I173" s="16">
        <v>0</v>
      </c>
      <c r="J173" s="17">
        <v>0</v>
      </c>
      <c r="K173" s="17">
        <v>0</v>
      </c>
      <c r="L173" s="17">
        <v>0</v>
      </c>
    </row>
    <row x14ac:dyDescent="0.25" r="174" customHeight="1" ht="18.75">
      <c r="A174" s="4" t="s">
        <v>35</v>
      </c>
      <c r="B174" s="16">
        <v>0</v>
      </c>
      <c r="C174" s="16">
        <v>0</v>
      </c>
      <c r="D174" s="16">
        <v>0</v>
      </c>
      <c r="E174" s="16">
        <v>0</v>
      </c>
      <c r="F174" s="16">
        <v>0</v>
      </c>
      <c r="G174" s="16"/>
      <c r="H174" s="16">
        <v>4771</v>
      </c>
      <c r="I174" s="16">
        <v>84287</v>
      </c>
      <c r="J174" s="17">
        <v>0</v>
      </c>
      <c r="K174" s="17">
        <v>2</v>
      </c>
      <c r="L174" s="17">
        <v>0</v>
      </c>
    </row>
    <row x14ac:dyDescent="0.25" r="175" customHeight="1" ht="18.75">
      <c r="A175" s="2"/>
      <c r="B175" s="28"/>
      <c r="C175" s="28"/>
      <c r="D175" s="28"/>
      <c r="E175" s="28"/>
      <c r="F175" s="28"/>
      <c r="G175" s="28"/>
      <c r="H175" s="28"/>
      <c r="I175" s="28"/>
      <c r="J175" s="29"/>
      <c r="K175" s="29"/>
      <c r="L175" s="29"/>
    </row>
    <row x14ac:dyDescent="0.25" r="176" customHeight="1" ht="18.75">
      <c r="A176" s="2"/>
      <c r="B176" s="28"/>
      <c r="C176" s="28"/>
      <c r="D176" s="28"/>
      <c r="E176" s="28"/>
      <c r="F176" s="28"/>
      <c r="G176" s="28"/>
      <c r="H176" s="28"/>
      <c r="I176" s="28"/>
      <c r="J176" s="29"/>
      <c r="K176" s="29"/>
      <c r="L176" s="29"/>
    </row>
    <row x14ac:dyDescent="0.25" r="177" customHeight="1" ht="18.75">
      <c r="A177" s="2"/>
      <c r="B177" s="28"/>
      <c r="C177" s="28"/>
      <c r="D177" s="28"/>
      <c r="E177" s="28"/>
      <c r="F177" s="28"/>
      <c r="G177" s="28"/>
      <c r="H177" s="28"/>
      <c r="I177" s="28"/>
      <c r="J177" s="29"/>
      <c r="K177" s="29"/>
      <c r="L177" s="29"/>
    </row>
    <row x14ac:dyDescent="0.25" r="178" customHeight="1" ht="18.75">
      <c r="A178" s="1" t="s">
        <v>37</v>
      </c>
      <c r="B178" s="28"/>
      <c r="C178" s="28"/>
      <c r="D178" s="28"/>
      <c r="E178" s="28"/>
      <c r="F178" s="28"/>
      <c r="G178" s="28"/>
      <c r="H178" s="28"/>
      <c r="I178" s="28"/>
      <c r="J178" s="29"/>
      <c r="K178" s="29"/>
      <c r="L178" s="29"/>
    </row>
    <row x14ac:dyDescent="0.25" r="179" customHeight="1" ht="18.75">
      <c r="A179" s="2" t="s">
        <v>1</v>
      </c>
      <c r="B179" s="28"/>
      <c r="C179" s="28"/>
      <c r="D179" s="28"/>
      <c r="E179" s="28"/>
      <c r="F179" s="28"/>
      <c r="G179" s="28"/>
      <c r="H179" s="28"/>
      <c r="I179" s="28"/>
      <c r="J179" s="29"/>
      <c r="K179" s="29"/>
      <c r="L179" s="29"/>
    </row>
    <row x14ac:dyDescent="0.25" r="180" customHeight="1" ht="18.75">
      <c r="A180" s="2" t="s">
        <v>2</v>
      </c>
      <c r="B180" s="28"/>
      <c r="C180" s="28"/>
      <c r="D180" s="28"/>
      <c r="E180" s="28"/>
      <c r="F180" s="28"/>
      <c r="G180" s="28"/>
      <c r="H180" s="28"/>
      <c r="I180" s="28"/>
      <c r="J180" s="29"/>
      <c r="K180" s="29"/>
      <c r="L180" s="29"/>
    </row>
    <row x14ac:dyDescent="0.25" r="181" customHeight="1" ht="18.75">
      <c r="A181" s="2"/>
      <c r="B181" s="28"/>
      <c r="C181" s="28"/>
      <c r="D181" s="28"/>
      <c r="E181" s="28"/>
      <c r="F181" s="28"/>
      <c r="G181" s="28"/>
      <c r="H181" s="28"/>
      <c r="I181" s="28"/>
      <c r="J181" s="29"/>
      <c r="K181" s="29"/>
      <c r="L181" s="29"/>
    </row>
    <row x14ac:dyDescent="0.25" r="182" customHeight="1" ht="18.75">
      <c r="A182" s="30" t="s">
        <v>58</v>
      </c>
      <c r="B182" s="31" t="s">
        <v>4</v>
      </c>
      <c r="C182" s="31" t="s">
        <v>5</v>
      </c>
      <c r="D182" s="31" t="s">
        <v>6</v>
      </c>
      <c r="E182" s="31" t="s">
        <v>7</v>
      </c>
      <c r="F182" s="31" t="s">
        <v>8</v>
      </c>
      <c r="G182" s="31" t="s">
        <v>9</v>
      </c>
      <c r="H182" s="31" t="s">
        <v>10</v>
      </c>
      <c r="I182" s="31" t="s">
        <v>11</v>
      </c>
      <c r="J182" s="5" t="s">
        <v>12</v>
      </c>
      <c r="K182" s="5" t="s">
        <v>13</v>
      </c>
      <c r="L182" s="5" t="s">
        <v>14</v>
      </c>
    </row>
    <row x14ac:dyDescent="0.25" r="183" customHeight="1" ht="18.75">
      <c r="A183" s="6" t="s">
        <v>15</v>
      </c>
      <c r="B183" s="32" t="s">
        <v>16</v>
      </c>
      <c r="C183" s="33" t="s">
        <v>17</v>
      </c>
      <c r="D183" s="32" t="s">
        <v>18</v>
      </c>
      <c r="E183" s="32" t="s">
        <v>19</v>
      </c>
      <c r="F183" s="32" t="s">
        <v>20</v>
      </c>
      <c r="G183" s="32" t="s">
        <v>21</v>
      </c>
      <c r="H183" s="32" t="s">
        <v>22</v>
      </c>
      <c r="I183" s="33" t="s">
        <v>23</v>
      </c>
      <c r="J183" s="9" t="s">
        <v>24</v>
      </c>
      <c r="K183" s="10" t="s">
        <v>25</v>
      </c>
      <c r="L183" s="9" t="s">
        <v>26</v>
      </c>
    </row>
    <row x14ac:dyDescent="0.25" r="184" customHeight="1" ht="18.75">
      <c r="A184" s="11"/>
      <c r="B184" s="34"/>
      <c r="C184" s="35"/>
      <c r="D184" s="34"/>
      <c r="E184" s="34"/>
      <c r="F184" s="34"/>
      <c r="G184" s="34"/>
      <c r="H184" s="34"/>
      <c r="I184" s="35"/>
      <c r="J184" s="14"/>
      <c r="K184" s="15"/>
      <c r="L184" s="14"/>
    </row>
    <row x14ac:dyDescent="0.25" r="185" customHeight="1" ht="18.75">
      <c r="A185" s="4" t="s">
        <v>27</v>
      </c>
      <c r="B185" s="16">
        <f>46563</f>
      </c>
      <c r="C185" s="16">
        <v>0</v>
      </c>
      <c r="D185" s="16">
        <v>118869</v>
      </c>
      <c r="E185" s="16">
        <v>0</v>
      </c>
      <c r="F185" s="16">
        <v>0</v>
      </c>
      <c r="G185" s="16">
        <v>0</v>
      </c>
      <c r="H185" s="16">
        <v>31702</v>
      </c>
      <c r="I185" s="16">
        <v>211995</v>
      </c>
      <c r="J185" s="17">
        <v>1</v>
      </c>
      <c r="K185" s="17">
        <v>5</v>
      </c>
      <c r="L185" s="5"/>
    </row>
    <row x14ac:dyDescent="0.25" r="186" customHeight="1" ht="18.75">
      <c r="A186" s="4" t="s">
        <v>28</v>
      </c>
      <c r="B186" s="16">
        <v>248918</v>
      </c>
      <c r="C186" s="16">
        <v>0</v>
      </c>
      <c r="D186" s="16">
        <v>847114</v>
      </c>
      <c r="E186" s="16">
        <v>0</v>
      </c>
      <c r="F186" s="16">
        <v>0</v>
      </c>
      <c r="G186" s="16">
        <v>0</v>
      </c>
      <c r="H186" s="16">
        <f>34925</f>
      </c>
      <c r="I186" s="16">
        <v>1344951</v>
      </c>
      <c r="J186" s="5"/>
      <c r="K186" s="17">
        <v>23</v>
      </c>
      <c r="L186" s="5"/>
    </row>
    <row x14ac:dyDescent="0.25" r="187" customHeight="1" ht="18.75">
      <c r="A187" s="4" t="s">
        <v>29</v>
      </c>
      <c r="B187" s="16">
        <v>252717</v>
      </c>
      <c r="C187" s="16">
        <v>0</v>
      </c>
      <c r="D187" s="16">
        <v>537599</v>
      </c>
      <c r="E187" s="16">
        <v>0</v>
      </c>
      <c r="F187" s="16">
        <v>7816</v>
      </c>
      <c r="G187" s="16">
        <v>0</v>
      </c>
      <c r="H187" s="16">
        <f>112099</f>
      </c>
      <c r="I187" s="16">
        <v>1043464</v>
      </c>
      <c r="J187" s="17">
        <v>20</v>
      </c>
      <c r="K187" s="17">
        <v>20</v>
      </c>
      <c r="L187" s="17">
        <v>4</v>
      </c>
    </row>
    <row x14ac:dyDescent="0.25" r="188" customHeight="1" ht="18.75">
      <c r="A188" s="4" t="s">
        <v>30</v>
      </c>
      <c r="B188" s="16">
        <v>48563</v>
      </c>
      <c r="C188" s="16">
        <v>0</v>
      </c>
      <c r="D188" s="16">
        <v>2130</v>
      </c>
      <c r="E188" s="16">
        <v>0</v>
      </c>
      <c r="F188" s="16">
        <v>0</v>
      </c>
      <c r="G188" s="16">
        <v>0</v>
      </c>
      <c r="H188" s="16">
        <v>2312</v>
      </c>
      <c r="I188" s="16">
        <v>99257</v>
      </c>
      <c r="J188" s="5"/>
      <c r="K188" s="17">
        <v>1</v>
      </c>
      <c r="L188" s="5"/>
    </row>
    <row x14ac:dyDescent="0.25" r="189" customHeight="1" ht="18.75">
      <c r="A189" s="4" t="s">
        <v>31</v>
      </c>
      <c r="B189" s="16">
        <v>15160</v>
      </c>
      <c r="C189" s="16">
        <v>0</v>
      </c>
      <c r="D189" s="16">
        <v>17687</v>
      </c>
      <c r="E189" s="16">
        <v>0</v>
      </c>
      <c r="F189" s="16">
        <v>0</v>
      </c>
      <c r="G189" s="16">
        <v>0</v>
      </c>
      <c r="H189" s="16">
        <v>6965</v>
      </c>
      <c r="I189" s="16">
        <v>48007</v>
      </c>
      <c r="J189" s="17">
        <v>6</v>
      </c>
      <c r="K189" s="17">
        <v>6</v>
      </c>
      <c r="L189" s="17">
        <v>1</v>
      </c>
    </row>
    <row x14ac:dyDescent="0.25" r="190" customHeight="1" ht="18.75">
      <c r="A190" s="4" t="s">
        <v>32</v>
      </c>
      <c r="B190" s="16">
        <v>86166</v>
      </c>
      <c r="C190" s="16">
        <v>0</v>
      </c>
      <c r="D190" s="16">
        <v>1189230</v>
      </c>
      <c r="E190" s="16">
        <v>0</v>
      </c>
      <c r="F190" s="16">
        <v>0</v>
      </c>
      <c r="G190" s="16">
        <v>0</v>
      </c>
      <c r="H190" s="16">
        <f>1189858</f>
      </c>
      <c r="I190" s="16">
        <v>1798661</v>
      </c>
      <c r="J190" s="17">
        <v>34</v>
      </c>
      <c r="K190" s="17">
        <v>353</v>
      </c>
      <c r="L190" s="17">
        <v>16</v>
      </c>
    </row>
    <row x14ac:dyDescent="0.25" r="191" customHeight="1" ht="18.75">
      <c r="A191" s="4" t="s">
        <v>33</v>
      </c>
      <c r="B191" s="16">
        <v>0</v>
      </c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7">
        <v>3</v>
      </c>
      <c r="K191" s="5"/>
      <c r="L191" s="5"/>
    </row>
    <row x14ac:dyDescent="0.25" r="192" customHeight="1" ht="18.75">
      <c r="A192" s="4" t="s">
        <v>34</v>
      </c>
      <c r="B192" s="16">
        <v>60157</v>
      </c>
      <c r="C192" s="16">
        <v>0</v>
      </c>
      <c r="D192" s="16">
        <v>6032</v>
      </c>
      <c r="E192" s="16">
        <v>0</v>
      </c>
      <c r="F192" s="16">
        <v>0</v>
      </c>
      <c r="G192" s="16">
        <v>0</v>
      </c>
      <c r="H192" s="16">
        <v>25069</v>
      </c>
      <c r="I192" s="16">
        <v>126346</v>
      </c>
      <c r="J192" s="17">
        <v>46</v>
      </c>
      <c r="K192" s="17">
        <v>1</v>
      </c>
      <c r="L192" s="17">
        <v>5</v>
      </c>
    </row>
    <row x14ac:dyDescent="0.25" r="193" customHeight="1" ht="18.75">
      <c r="A193" s="4" t="s">
        <v>35</v>
      </c>
      <c r="B193" s="16">
        <v>0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5"/>
      <c r="K193" s="5"/>
      <c r="L193" s="5"/>
    </row>
    <row x14ac:dyDescent="0.25" r="194" customHeight="1" ht="18.75">
      <c r="A194" s="2"/>
      <c r="B194" s="28"/>
      <c r="C194" s="28"/>
      <c r="D194" s="28"/>
      <c r="E194" s="28"/>
      <c r="F194" s="28"/>
      <c r="G194" s="28"/>
      <c r="H194" s="28"/>
      <c r="I194" s="28"/>
      <c r="J194" s="29"/>
      <c r="K194" s="29"/>
      <c r="L194" s="29"/>
    </row>
    <row x14ac:dyDescent="0.25" r="195" customHeight="1" ht="18.75">
      <c r="A195" s="30" t="s">
        <v>46</v>
      </c>
      <c r="B195" s="31" t="s">
        <v>4</v>
      </c>
      <c r="C195" s="31" t="s">
        <v>5</v>
      </c>
      <c r="D195" s="31" t="s">
        <v>6</v>
      </c>
      <c r="E195" s="31" t="s">
        <v>7</v>
      </c>
      <c r="F195" s="31" t="s">
        <v>8</v>
      </c>
      <c r="G195" s="31" t="s">
        <v>9</v>
      </c>
      <c r="H195" s="31" t="s">
        <v>10</v>
      </c>
      <c r="I195" s="31" t="s">
        <v>11</v>
      </c>
      <c r="J195" s="5" t="s">
        <v>12</v>
      </c>
      <c r="K195" s="5" t="s">
        <v>13</v>
      </c>
      <c r="L195" s="5" t="s">
        <v>14</v>
      </c>
    </row>
    <row x14ac:dyDescent="0.25" r="196" customHeight="1" ht="18.75">
      <c r="A196" s="6" t="s">
        <v>15</v>
      </c>
      <c r="B196" s="32" t="s">
        <v>16</v>
      </c>
      <c r="C196" s="33" t="s">
        <v>17</v>
      </c>
      <c r="D196" s="32" t="s">
        <v>18</v>
      </c>
      <c r="E196" s="32" t="s">
        <v>19</v>
      </c>
      <c r="F196" s="32" t="s">
        <v>20</v>
      </c>
      <c r="G196" s="32" t="s">
        <v>21</v>
      </c>
      <c r="H196" s="32" t="s">
        <v>22</v>
      </c>
      <c r="I196" s="33" t="s">
        <v>23</v>
      </c>
      <c r="J196" s="9" t="s">
        <v>24</v>
      </c>
      <c r="K196" s="10" t="s">
        <v>25</v>
      </c>
      <c r="L196" s="9" t="s">
        <v>26</v>
      </c>
    </row>
    <row x14ac:dyDescent="0.25" r="197" customHeight="1" ht="18.75">
      <c r="A197" s="11"/>
      <c r="B197" s="34"/>
      <c r="C197" s="35"/>
      <c r="D197" s="34"/>
      <c r="E197" s="34"/>
      <c r="F197" s="34"/>
      <c r="G197" s="34"/>
      <c r="H197" s="34"/>
      <c r="I197" s="35"/>
      <c r="J197" s="14"/>
      <c r="K197" s="15"/>
      <c r="L197" s="14"/>
    </row>
    <row x14ac:dyDescent="0.25" r="198" customHeight="1" ht="18.75">
      <c r="A198" s="4" t="s">
        <v>27</v>
      </c>
      <c r="B198" s="16">
        <v>88486</v>
      </c>
      <c r="C198" s="16">
        <v>0</v>
      </c>
      <c r="D198" s="16">
        <v>120251</v>
      </c>
      <c r="E198" s="16">
        <v>0</v>
      </c>
      <c r="F198" s="16">
        <v>0</v>
      </c>
      <c r="G198" s="16"/>
      <c r="H198" s="16">
        <v>76569</v>
      </c>
      <c r="I198" s="16">
        <v>297223</v>
      </c>
      <c r="J198" s="17">
        <v>1</v>
      </c>
      <c r="K198" s="17">
        <v>4</v>
      </c>
      <c r="L198" s="17">
        <v>1</v>
      </c>
    </row>
    <row x14ac:dyDescent="0.25" r="199" customHeight="1" ht="18.75">
      <c r="A199" s="4" t="s">
        <v>28</v>
      </c>
      <c r="B199" s="16">
        <v>36730</v>
      </c>
      <c r="C199" s="16">
        <v>0</v>
      </c>
      <c r="D199" s="16">
        <v>294586</v>
      </c>
      <c r="E199" s="16">
        <v>0</v>
      </c>
      <c r="F199" s="16">
        <v>3129</v>
      </c>
      <c r="G199" s="16"/>
      <c r="H199" s="16">
        <v>11081</v>
      </c>
      <c r="I199" s="16">
        <v>368046</v>
      </c>
      <c r="J199" s="17">
        <v>1</v>
      </c>
      <c r="K199" s="17">
        <v>21</v>
      </c>
      <c r="L199" s="5"/>
    </row>
    <row x14ac:dyDescent="0.25" r="200" customHeight="1" ht="18.75">
      <c r="A200" s="4" t="s">
        <v>29</v>
      </c>
      <c r="B200" s="16">
        <v>469547</v>
      </c>
      <c r="C200" s="16">
        <v>0</v>
      </c>
      <c r="D200" s="16">
        <v>676960</v>
      </c>
      <c r="E200" s="16">
        <v>0</v>
      </c>
      <c r="F200" s="16">
        <v>0</v>
      </c>
      <c r="G200" s="16"/>
      <c r="H200" s="16">
        <f>122801</f>
      </c>
      <c r="I200" s="16">
        <v>1616054</v>
      </c>
      <c r="J200" s="17">
        <v>12</v>
      </c>
      <c r="K200" s="17">
        <v>19</v>
      </c>
      <c r="L200" s="17">
        <v>1</v>
      </c>
    </row>
    <row x14ac:dyDescent="0.25" r="201" customHeight="1" ht="18.75">
      <c r="A201" s="4" t="s">
        <v>30</v>
      </c>
      <c r="B201" s="16">
        <v>134725</v>
      </c>
      <c r="C201" s="16">
        <v>0</v>
      </c>
      <c r="D201" s="16">
        <v>138407</v>
      </c>
      <c r="E201" s="16">
        <v>0</v>
      </c>
      <c r="F201" s="16">
        <v>0</v>
      </c>
      <c r="G201" s="16"/>
      <c r="H201" s="16">
        <v>16839</v>
      </c>
      <c r="I201" s="16">
        <v>407856</v>
      </c>
      <c r="J201" s="5"/>
      <c r="K201" s="17">
        <v>1</v>
      </c>
      <c r="L201" s="5"/>
    </row>
    <row x14ac:dyDescent="0.25" r="202" customHeight="1" ht="18.75">
      <c r="A202" s="4" t="s">
        <v>31</v>
      </c>
      <c r="B202" s="16">
        <v>10350</v>
      </c>
      <c r="C202" s="16">
        <v>0</v>
      </c>
      <c r="D202" s="16">
        <v>33628</v>
      </c>
      <c r="E202" s="16">
        <v>0</v>
      </c>
      <c r="F202" s="16">
        <v>2375</v>
      </c>
      <c r="G202" s="16"/>
      <c r="H202" s="16">
        <v>9373</v>
      </c>
      <c r="I202" s="16">
        <v>54678</v>
      </c>
      <c r="J202" s="17">
        <v>8</v>
      </c>
      <c r="K202" s="17">
        <v>3</v>
      </c>
      <c r="L202" s="17">
        <v>2</v>
      </c>
    </row>
    <row x14ac:dyDescent="0.25" r="203" customHeight="1" ht="18.75">
      <c r="A203" s="4" t="s">
        <v>32</v>
      </c>
      <c r="B203" s="16">
        <v>71733</v>
      </c>
      <c r="C203" s="16">
        <v>0</v>
      </c>
      <c r="D203" s="16">
        <v>1007764</v>
      </c>
      <c r="E203" s="16">
        <v>0</v>
      </c>
      <c r="F203" s="16">
        <v>0</v>
      </c>
      <c r="G203" s="16"/>
      <c r="H203" s="16">
        <f>1371227</f>
      </c>
      <c r="I203" s="16">
        <v>1643202</v>
      </c>
      <c r="J203" s="17">
        <v>63</v>
      </c>
      <c r="K203" s="17">
        <v>261</v>
      </c>
      <c r="L203" s="17">
        <v>19</v>
      </c>
    </row>
    <row x14ac:dyDescent="0.25" r="204" customHeight="1" ht="18.75">
      <c r="A204" s="4" t="s">
        <v>33</v>
      </c>
      <c r="B204" s="16">
        <v>0</v>
      </c>
      <c r="C204" s="16">
        <v>0</v>
      </c>
      <c r="D204" s="16">
        <v>0</v>
      </c>
      <c r="E204" s="16">
        <v>0</v>
      </c>
      <c r="F204" s="16">
        <v>0</v>
      </c>
      <c r="G204" s="16"/>
      <c r="H204" s="16">
        <v>13099</v>
      </c>
      <c r="I204" s="16">
        <v>0</v>
      </c>
      <c r="J204" s="17">
        <v>1</v>
      </c>
      <c r="K204" s="17">
        <v>2</v>
      </c>
      <c r="L204" s="5"/>
    </row>
    <row x14ac:dyDescent="0.25" r="205" customHeight="1" ht="18.75">
      <c r="A205" s="4" t="s">
        <v>34</v>
      </c>
      <c r="B205" s="16">
        <v>7389</v>
      </c>
      <c r="C205" s="16">
        <v>0</v>
      </c>
      <c r="D205" s="16">
        <v>1425</v>
      </c>
      <c r="E205" s="16">
        <v>0</v>
      </c>
      <c r="F205" s="16">
        <v>0</v>
      </c>
      <c r="G205" s="16"/>
      <c r="H205" s="16">
        <v>3393</v>
      </c>
      <c r="I205" s="16">
        <v>16203</v>
      </c>
      <c r="J205" s="17">
        <v>13</v>
      </c>
      <c r="K205" s="17">
        <v>1</v>
      </c>
      <c r="L205" s="17">
        <v>2</v>
      </c>
    </row>
    <row x14ac:dyDescent="0.25" r="206" customHeight="1" ht="18.75">
      <c r="A206" s="4" t="s">
        <v>35</v>
      </c>
      <c r="B206" s="16">
        <v>0</v>
      </c>
      <c r="C206" s="16">
        <v>0</v>
      </c>
      <c r="D206" s="16">
        <v>0</v>
      </c>
      <c r="E206" s="16">
        <v>0</v>
      </c>
      <c r="F206" s="16">
        <v>0</v>
      </c>
      <c r="G206" s="16"/>
      <c r="H206" s="16">
        <v>0</v>
      </c>
      <c r="I206" s="16">
        <v>0</v>
      </c>
      <c r="J206" s="5"/>
      <c r="K206" s="5"/>
      <c r="L206" s="5"/>
    </row>
    <row x14ac:dyDescent="0.25" r="207" customHeight="1" ht="18.75">
      <c r="A207" s="2"/>
      <c r="B207" s="28"/>
      <c r="C207" s="28"/>
      <c r="D207" s="28"/>
      <c r="E207" s="28"/>
      <c r="F207" s="28"/>
      <c r="G207" s="28"/>
      <c r="H207" s="28"/>
      <c r="I207" s="28"/>
      <c r="J207" s="29"/>
      <c r="K207" s="29"/>
      <c r="L207" s="29"/>
    </row>
    <row x14ac:dyDescent="0.25" r="208" customHeight="1" ht="18.75">
      <c r="A208" s="30" t="s">
        <v>47</v>
      </c>
      <c r="B208" s="31" t="s">
        <v>4</v>
      </c>
      <c r="C208" s="31" t="s">
        <v>5</v>
      </c>
      <c r="D208" s="31" t="s">
        <v>6</v>
      </c>
      <c r="E208" s="31" t="s">
        <v>7</v>
      </c>
      <c r="F208" s="31" t="s">
        <v>8</v>
      </c>
      <c r="G208" s="31" t="s">
        <v>9</v>
      </c>
      <c r="H208" s="31" t="s">
        <v>10</v>
      </c>
      <c r="I208" s="31" t="s">
        <v>11</v>
      </c>
      <c r="J208" s="5" t="s">
        <v>12</v>
      </c>
      <c r="K208" s="5" t="s">
        <v>13</v>
      </c>
      <c r="L208" s="5" t="s">
        <v>14</v>
      </c>
    </row>
    <row x14ac:dyDescent="0.25" r="209" customHeight="1" ht="18.75">
      <c r="A209" s="6" t="s">
        <v>15</v>
      </c>
      <c r="B209" s="32" t="s">
        <v>16</v>
      </c>
      <c r="C209" s="33" t="s">
        <v>17</v>
      </c>
      <c r="D209" s="32" t="s">
        <v>18</v>
      </c>
      <c r="E209" s="32" t="s">
        <v>19</v>
      </c>
      <c r="F209" s="32" t="s">
        <v>20</v>
      </c>
      <c r="G209" s="32" t="s">
        <v>21</v>
      </c>
      <c r="H209" s="32" t="s">
        <v>22</v>
      </c>
      <c r="I209" s="33" t="s">
        <v>23</v>
      </c>
      <c r="J209" s="9" t="s">
        <v>24</v>
      </c>
      <c r="K209" s="10" t="s">
        <v>25</v>
      </c>
      <c r="L209" s="9" t="s">
        <v>26</v>
      </c>
    </row>
    <row x14ac:dyDescent="0.25" r="210" customHeight="1" ht="18.75">
      <c r="A210" s="11"/>
      <c r="B210" s="34"/>
      <c r="C210" s="35"/>
      <c r="D210" s="34"/>
      <c r="E210" s="34"/>
      <c r="F210" s="34"/>
      <c r="G210" s="34"/>
      <c r="H210" s="34"/>
      <c r="I210" s="35"/>
      <c r="J210" s="14"/>
      <c r="K210" s="15"/>
      <c r="L210" s="14"/>
    </row>
    <row x14ac:dyDescent="0.25" r="211" customHeight="1" ht="18.75">
      <c r="A211" s="4" t="s">
        <v>27</v>
      </c>
      <c r="B211" s="16">
        <v>82120</v>
      </c>
      <c r="C211" s="16">
        <v>0</v>
      </c>
      <c r="D211" s="16">
        <v>68739</v>
      </c>
      <c r="E211" s="16">
        <v>0</v>
      </c>
      <c r="F211" s="16">
        <v>0</v>
      </c>
      <c r="G211" s="16"/>
      <c r="H211" s="16">
        <v>63118</v>
      </c>
      <c r="I211" s="16">
        <v>232979</v>
      </c>
      <c r="J211" s="17">
        <v>1</v>
      </c>
      <c r="K211" s="17">
        <v>3</v>
      </c>
      <c r="L211" s="5"/>
    </row>
    <row x14ac:dyDescent="0.25" r="212" customHeight="1" ht="18.75">
      <c r="A212" s="4" t="s">
        <v>28</v>
      </c>
      <c r="B212" s="16">
        <v>79053</v>
      </c>
      <c r="C212" s="16">
        <v>0</v>
      </c>
      <c r="D212" s="16">
        <v>484008</v>
      </c>
      <c r="E212" s="16">
        <v>0</v>
      </c>
      <c r="F212" s="16">
        <v>0</v>
      </c>
      <c r="G212" s="16"/>
      <c r="H212" s="16">
        <v>16771</v>
      </c>
      <c r="I212" s="16">
        <v>642114</v>
      </c>
      <c r="J212" s="17">
        <v>1</v>
      </c>
      <c r="K212" s="17">
        <v>17</v>
      </c>
      <c r="L212" s="5"/>
    </row>
    <row x14ac:dyDescent="0.25" r="213" customHeight="1" ht="18.75">
      <c r="A213" s="4" t="s">
        <v>29</v>
      </c>
      <c r="B213" s="16">
        <v>596489</v>
      </c>
      <c r="C213" s="16">
        <v>0</v>
      </c>
      <c r="D213" s="16">
        <v>397478</v>
      </c>
      <c r="E213" s="16">
        <v>0</v>
      </c>
      <c r="F213" s="16">
        <v>1009</v>
      </c>
      <c r="G213" s="16"/>
      <c r="H213" s="16">
        <f>89365</f>
      </c>
      <c r="I213" s="16">
        <v>1590456</v>
      </c>
      <c r="J213" s="17">
        <v>11</v>
      </c>
      <c r="K213" s="17">
        <v>24</v>
      </c>
      <c r="L213" s="17">
        <v>1</v>
      </c>
    </row>
    <row x14ac:dyDescent="0.25" r="214" customHeight="1" ht="18.75">
      <c r="A214" s="4" t="s">
        <v>30</v>
      </c>
      <c r="B214" s="16">
        <f>7502</f>
      </c>
      <c r="C214" s="16">
        <v>0</v>
      </c>
      <c r="D214" s="16">
        <v>128184</v>
      </c>
      <c r="E214" s="16">
        <v>0</v>
      </c>
      <c r="F214" s="16">
        <v>0</v>
      </c>
      <c r="G214" s="16"/>
      <c r="H214" s="16">
        <v>4032</v>
      </c>
      <c r="I214" s="16">
        <v>143187</v>
      </c>
      <c r="J214" s="17">
        <v>1</v>
      </c>
      <c r="K214" s="17">
        <v>2</v>
      </c>
      <c r="L214" s="17">
        <v>1</v>
      </c>
    </row>
    <row x14ac:dyDescent="0.25" r="215" customHeight="1" ht="18.75">
      <c r="A215" s="4" t="s">
        <v>31</v>
      </c>
      <c r="B215" s="16">
        <v>10711</v>
      </c>
      <c r="C215" s="16">
        <v>0</v>
      </c>
      <c r="D215" s="16">
        <v>871582</v>
      </c>
      <c r="E215" s="16">
        <v>0</v>
      </c>
      <c r="F215" s="16">
        <v>0</v>
      </c>
      <c r="G215" s="16"/>
      <c r="H215" s="16">
        <v>56377</v>
      </c>
      <c r="I215" s="16">
        <v>907402</v>
      </c>
      <c r="J215" s="17">
        <v>4</v>
      </c>
      <c r="K215" s="17">
        <v>4</v>
      </c>
      <c r="L215" s="17">
        <v>1</v>
      </c>
    </row>
    <row x14ac:dyDescent="0.25" r="216" customHeight="1" ht="18.75">
      <c r="A216" s="4" t="s">
        <v>32</v>
      </c>
      <c r="B216" s="16">
        <v>58679</v>
      </c>
      <c r="C216" s="16">
        <v>0</v>
      </c>
      <c r="D216" s="16">
        <v>1008904</v>
      </c>
      <c r="E216" s="16">
        <v>0</v>
      </c>
      <c r="F216" s="16">
        <v>0</v>
      </c>
      <c r="G216" s="16"/>
      <c r="H216" s="16">
        <f>1219731</f>
      </c>
      <c r="I216" s="16">
        <v>1534767</v>
      </c>
      <c r="J216" s="17">
        <v>46</v>
      </c>
      <c r="K216" s="17">
        <v>391</v>
      </c>
      <c r="L216" s="17">
        <v>14</v>
      </c>
    </row>
    <row x14ac:dyDescent="0.25" r="217" customHeight="1" ht="18.75">
      <c r="A217" s="4" t="s">
        <v>33</v>
      </c>
      <c r="B217" s="16">
        <v>0</v>
      </c>
      <c r="C217" s="16">
        <v>0</v>
      </c>
      <c r="D217" s="16">
        <v>0</v>
      </c>
      <c r="E217" s="16">
        <v>0</v>
      </c>
      <c r="F217" s="16">
        <v>0</v>
      </c>
      <c r="G217" s="16"/>
      <c r="H217" s="16">
        <v>0</v>
      </c>
      <c r="I217" s="16">
        <v>0</v>
      </c>
      <c r="J217" s="5"/>
      <c r="K217" s="17">
        <v>1</v>
      </c>
      <c r="L217" s="5"/>
    </row>
    <row x14ac:dyDescent="0.25" r="218" customHeight="1" ht="18.75">
      <c r="A218" s="4" t="s">
        <v>34</v>
      </c>
      <c r="B218" s="16">
        <v>42997</v>
      </c>
      <c r="C218" s="16">
        <v>0</v>
      </c>
      <c r="D218" s="16">
        <v>4276</v>
      </c>
      <c r="E218" s="16">
        <v>0</v>
      </c>
      <c r="F218" s="16">
        <v>0</v>
      </c>
      <c r="G218" s="16"/>
      <c r="H218" s="16">
        <v>52827</v>
      </c>
      <c r="I218" s="16">
        <v>90271</v>
      </c>
      <c r="J218" s="17">
        <v>16</v>
      </c>
      <c r="K218" s="5"/>
      <c r="L218" s="17">
        <v>2</v>
      </c>
    </row>
    <row x14ac:dyDescent="0.25" r="219" customHeight="1" ht="18.75">
      <c r="A219" s="4" t="s">
        <v>35</v>
      </c>
      <c r="B219" s="16">
        <v>0</v>
      </c>
      <c r="C219" s="16">
        <v>0</v>
      </c>
      <c r="D219" s="16">
        <v>0</v>
      </c>
      <c r="E219" s="16">
        <v>0</v>
      </c>
      <c r="F219" s="16">
        <v>0</v>
      </c>
      <c r="G219" s="16"/>
      <c r="H219" s="16">
        <v>0</v>
      </c>
      <c r="I219" s="16">
        <v>0</v>
      </c>
      <c r="J219" s="5"/>
      <c r="K219" s="5"/>
      <c r="L219" s="5"/>
    </row>
    <row x14ac:dyDescent="0.25" r="220" customHeight="1" ht="18.75">
      <c r="A220" s="2"/>
      <c r="B220" s="28"/>
      <c r="C220" s="28"/>
      <c r="D220" s="28"/>
      <c r="E220" s="28"/>
      <c r="F220" s="28"/>
      <c r="G220" s="28"/>
      <c r="H220" s="28"/>
      <c r="I220" s="28"/>
      <c r="J220" s="29"/>
      <c r="K220" s="29"/>
      <c r="L220" s="29"/>
    </row>
    <row x14ac:dyDescent="0.25" r="221" customHeight="1" ht="18.75">
      <c r="A221" s="30" t="s">
        <v>59</v>
      </c>
      <c r="B221" s="31" t="s">
        <v>4</v>
      </c>
      <c r="C221" s="31" t="s">
        <v>5</v>
      </c>
      <c r="D221" s="31" t="s">
        <v>6</v>
      </c>
      <c r="E221" s="31" t="s">
        <v>7</v>
      </c>
      <c r="F221" s="31" t="s">
        <v>8</v>
      </c>
      <c r="G221" s="31" t="s">
        <v>9</v>
      </c>
      <c r="H221" s="31" t="s">
        <v>10</v>
      </c>
      <c r="I221" s="31" t="s">
        <v>11</v>
      </c>
      <c r="J221" s="5" t="s">
        <v>12</v>
      </c>
      <c r="K221" s="5" t="s">
        <v>13</v>
      </c>
      <c r="L221" s="5" t="s">
        <v>14</v>
      </c>
    </row>
    <row x14ac:dyDescent="0.25" r="222" customHeight="1" ht="18.75">
      <c r="A222" s="6" t="s">
        <v>15</v>
      </c>
      <c r="B222" s="32" t="s">
        <v>16</v>
      </c>
      <c r="C222" s="33" t="s">
        <v>17</v>
      </c>
      <c r="D222" s="32" t="s">
        <v>18</v>
      </c>
      <c r="E222" s="32" t="s">
        <v>19</v>
      </c>
      <c r="F222" s="32" t="s">
        <v>20</v>
      </c>
      <c r="G222" s="32" t="s">
        <v>21</v>
      </c>
      <c r="H222" s="32" t="s">
        <v>22</v>
      </c>
      <c r="I222" s="33" t="s">
        <v>23</v>
      </c>
      <c r="J222" s="9" t="s">
        <v>24</v>
      </c>
      <c r="K222" s="10" t="s">
        <v>25</v>
      </c>
      <c r="L222" s="9" t="s">
        <v>26</v>
      </c>
    </row>
    <row x14ac:dyDescent="0.25" r="223" customHeight="1" ht="18.75">
      <c r="A223" s="11"/>
      <c r="B223" s="34"/>
      <c r="C223" s="35"/>
      <c r="D223" s="34"/>
      <c r="E223" s="34"/>
      <c r="F223" s="34"/>
      <c r="G223" s="34"/>
      <c r="H223" s="34"/>
      <c r="I223" s="35"/>
      <c r="J223" s="14"/>
      <c r="K223" s="15"/>
      <c r="L223" s="14"/>
    </row>
    <row x14ac:dyDescent="0.25" r="224" customHeight="1" ht="18.75">
      <c r="A224" s="4" t="s">
        <v>27</v>
      </c>
      <c r="B224" s="16">
        <v>70141</v>
      </c>
      <c r="C224" s="16">
        <v>0</v>
      </c>
      <c r="D224" s="16">
        <v>91549</v>
      </c>
      <c r="E224" s="16">
        <v>0</v>
      </c>
      <c r="F224" s="16">
        <v>26077</v>
      </c>
      <c r="G224" s="16"/>
      <c r="H224" s="16">
        <v>101672</v>
      </c>
      <c r="I224" s="16">
        <v>231831</v>
      </c>
      <c r="J224" s="17">
        <v>2</v>
      </c>
      <c r="K224" s="17">
        <v>8</v>
      </c>
      <c r="L224" s="5"/>
    </row>
    <row x14ac:dyDescent="0.25" r="225" customHeight="1" ht="18.75">
      <c r="A225" s="4" t="s">
        <v>28</v>
      </c>
      <c r="B225" s="16">
        <v>229887</v>
      </c>
      <c r="C225" s="16">
        <v>0</v>
      </c>
      <c r="D225" s="16">
        <v>732145</v>
      </c>
      <c r="E225" s="16">
        <v>0</v>
      </c>
      <c r="F225" s="16">
        <v>0</v>
      </c>
      <c r="G225" s="16"/>
      <c r="H225" s="16">
        <v>53689</v>
      </c>
      <c r="I225" s="16">
        <v>1191919</v>
      </c>
      <c r="J225" s="17">
        <v>1</v>
      </c>
      <c r="K225" s="17">
        <v>29</v>
      </c>
      <c r="L225" s="5"/>
    </row>
    <row x14ac:dyDescent="0.25" r="226" customHeight="1" ht="18.75">
      <c r="A226" s="4" t="s">
        <v>29</v>
      </c>
      <c r="B226" s="16">
        <v>484962</v>
      </c>
      <c r="C226" s="16">
        <v>0</v>
      </c>
      <c r="D226" s="16">
        <v>368931</v>
      </c>
      <c r="E226" s="16">
        <v>0</v>
      </c>
      <c r="F226" s="16">
        <v>19947</v>
      </c>
      <c r="G226" s="16"/>
      <c r="H226" s="16">
        <f>163188</f>
      </c>
      <c r="I226" s="16">
        <v>1342308</v>
      </c>
      <c r="J226" s="17">
        <v>8</v>
      </c>
      <c r="K226" s="17">
        <v>26</v>
      </c>
      <c r="L226" s="17">
        <v>2</v>
      </c>
    </row>
    <row x14ac:dyDescent="0.25" r="227" customHeight="1" ht="18.75">
      <c r="A227" s="4" t="s">
        <v>30</v>
      </c>
      <c r="B227" s="16">
        <v>67673</v>
      </c>
      <c r="C227" s="16">
        <v>0</v>
      </c>
      <c r="D227" s="16">
        <v>156770</v>
      </c>
      <c r="E227" s="16">
        <v>0</v>
      </c>
      <c r="F227" s="16">
        <v>0</v>
      </c>
      <c r="G227" s="16"/>
      <c r="H227" s="16">
        <v>32246</v>
      </c>
      <c r="I227" s="16">
        <v>292116</v>
      </c>
      <c r="J227" s="17">
        <v>1</v>
      </c>
      <c r="K227" s="17">
        <v>1</v>
      </c>
      <c r="L227" s="17">
        <v>1</v>
      </c>
    </row>
    <row x14ac:dyDescent="0.25" r="228" customHeight="1" ht="18.75">
      <c r="A228" s="4" t="s">
        <v>31</v>
      </c>
      <c r="B228" s="16">
        <v>14255</v>
      </c>
      <c r="C228" s="16">
        <v>0</v>
      </c>
      <c r="D228" s="16">
        <v>150011</v>
      </c>
      <c r="E228" s="16">
        <v>0</v>
      </c>
      <c r="F228" s="16">
        <v>6916</v>
      </c>
      <c r="G228" s="16"/>
      <c r="H228" s="16">
        <v>19029</v>
      </c>
      <c r="I228" s="16">
        <v>181554</v>
      </c>
      <c r="J228" s="17">
        <v>8</v>
      </c>
      <c r="K228" s="17">
        <v>6</v>
      </c>
      <c r="L228" s="17">
        <v>3</v>
      </c>
    </row>
    <row x14ac:dyDescent="0.25" r="229" customHeight="1" ht="18.75">
      <c r="A229" s="4" t="s">
        <v>32</v>
      </c>
      <c r="B229" s="16">
        <v>31118</v>
      </c>
      <c r="C229" s="16">
        <v>0</v>
      </c>
      <c r="D229" s="16">
        <v>1014607</v>
      </c>
      <c r="E229" s="16">
        <v>0</v>
      </c>
      <c r="F229" s="16">
        <v>0</v>
      </c>
      <c r="G229" s="16"/>
      <c r="H229" s="16">
        <f>1157942</f>
      </c>
      <c r="I229" s="16">
        <v>1443355</v>
      </c>
      <c r="J229" s="17">
        <v>36</v>
      </c>
      <c r="K229" s="17">
        <v>379</v>
      </c>
      <c r="L229" s="17">
        <v>8</v>
      </c>
    </row>
    <row x14ac:dyDescent="0.25" r="230" customHeight="1" ht="18.75">
      <c r="A230" s="4" t="s">
        <v>33</v>
      </c>
      <c r="B230" s="16">
        <v>0</v>
      </c>
      <c r="C230" s="16">
        <v>0</v>
      </c>
      <c r="D230" s="16">
        <v>2897</v>
      </c>
      <c r="E230" s="16">
        <v>0</v>
      </c>
      <c r="F230" s="16">
        <v>0</v>
      </c>
      <c r="G230" s="16"/>
      <c r="H230" s="16">
        <v>9116</v>
      </c>
      <c r="I230" s="16">
        <v>2897</v>
      </c>
      <c r="J230" s="5"/>
      <c r="K230" s="17">
        <v>1</v>
      </c>
      <c r="L230" s="5"/>
    </row>
    <row x14ac:dyDescent="0.25" r="231" customHeight="1" ht="18.75">
      <c r="A231" s="4" t="s">
        <v>34</v>
      </c>
      <c r="B231" s="16">
        <v>51936</v>
      </c>
      <c r="C231" s="16">
        <v>0</v>
      </c>
      <c r="D231" s="16">
        <v>2851</v>
      </c>
      <c r="E231" s="16">
        <v>0</v>
      </c>
      <c r="F231" s="16">
        <v>0</v>
      </c>
      <c r="G231" s="16"/>
      <c r="H231" s="16">
        <v>14549</v>
      </c>
      <c r="I231" s="16">
        <v>106724</v>
      </c>
      <c r="J231" s="17">
        <v>15</v>
      </c>
      <c r="K231" s="17">
        <v>1</v>
      </c>
      <c r="L231" s="17">
        <v>4</v>
      </c>
    </row>
    <row x14ac:dyDescent="0.25" r="232" customHeight="1" ht="18.75">
      <c r="A232" s="4" t="s">
        <v>35</v>
      </c>
      <c r="B232" s="16">
        <v>0</v>
      </c>
      <c r="C232" s="16">
        <v>0</v>
      </c>
      <c r="D232" s="16">
        <v>0</v>
      </c>
      <c r="E232" s="16">
        <v>0</v>
      </c>
      <c r="F232" s="16">
        <v>0</v>
      </c>
      <c r="G232" s="16"/>
      <c r="H232" s="16">
        <v>0</v>
      </c>
      <c r="I232" s="16">
        <v>0</v>
      </c>
      <c r="J232" s="5"/>
      <c r="K232" s="5"/>
      <c r="L232" s="5"/>
    </row>
    <row x14ac:dyDescent="0.25" r="233" customHeight="1" ht="18.75">
      <c r="A233" s="2"/>
      <c r="B233" s="28"/>
      <c r="C233" s="28"/>
      <c r="D233" s="28"/>
      <c r="E233" s="28"/>
      <c r="F233" s="28"/>
      <c r="G233" s="28"/>
      <c r="H233" s="28"/>
      <c r="I233" s="28"/>
      <c r="J233" s="29"/>
      <c r="K233" s="29"/>
      <c r="L233" s="29"/>
    </row>
    <row x14ac:dyDescent="0.25" r="234" customHeight="1" ht="18.75">
      <c r="A234" s="30" t="s">
        <v>60</v>
      </c>
      <c r="B234" s="31" t="s">
        <v>4</v>
      </c>
      <c r="C234" s="31" t="s">
        <v>5</v>
      </c>
      <c r="D234" s="31" t="s">
        <v>6</v>
      </c>
      <c r="E234" s="31" t="s">
        <v>7</v>
      </c>
      <c r="F234" s="31" t="s">
        <v>8</v>
      </c>
      <c r="G234" s="31" t="s">
        <v>9</v>
      </c>
      <c r="H234" s="31" t="s">
        <v>10</v>
      </c>
      <c r="I234" s="31" t="s">
        <v>11</v>
      </c>
      <c r="J234" s="5" t="s">
        <v>12</v>
      </c>
      <c r="K234" s="5" t="s">
        <v>13</v>
      </c>
      <c r="L234" s="5" t="s">
        <v>14</v>
      </c>
    </row>
    <row x14ac:dyDescent="0.25" r="235" customHeight="1" ht="18.75">
      <c r="A235" s="6" t="s">
        <v>15</v>
      </c>
      <c r="B235" s="32" t="s">
        <v>16</v>
      </c>
      <c r="C235" s="33" t="s">
        <v>17</v>
      </c>
      <c r="D235" s="32" t="s">
        <v>18</v>
      </c>
      <c r="E235" s="32" t="s">
        <v>19</v>
      </c>
      <c r="F235" s="32" t="s">
        <v>20</v>
      </c>
      <c r="G235" s="32" t="s">
        <v>21</v>
      </c>
      <c r="H235" s="32" t="s">
        <v>22</v>
      </c>
      <c r="I235" s="33" t="s">
        <v>23</v>
      </c>
      <c r="J235" s="9" t="s">
        <v>24</v>
      </c>
      <c r="K235" s="10" t="s">
        <v>25</v>
      </c>
      <c r="L235" s="9" t="s">
        <v>26</v>
      </c>
    </row>
    <row x14ac:dyDescent="0.25" r="236" customHeight="1" ht="18.75">
      <c r="A236" s="11"/>
      <c r="B236" s="34"/>
      <c r="C236" s="35"/>
      <c r="D236" s="34"/>
      <c r="E236" s="34"/>
      <c r="F236" s="34"/>
      <c r="G236" s="34"/>
      <c r="H236" s="34"/>
      <c r="I236" s="35"/>
      <c r="J236" s="14"/>
      <c r="K236" s="15"/>
      <c r="L236" s="14"/>
    </row>
    <row x14ac:dyDescent="0.25" r="237" customHeight="1" ht="18.75">
      <c r="A237" s="4" t="s">
        <v>27</v>
      </c>
      <c r="B237" s="16">
        <v>112261</v>
      </c>
      <c r="C237" s="16">
        <v>0</v>
      </c>
      <c r="D237" s="16">
        <v>111113</v>
      </c>
      <c r="E237" s="16">
        <v>0</v>
      </c>
      <c r="F237" s="16">
        <v>0</v>
      </c>
      <c r="G237" s="16"/>
      <c r="H237" s="16">
        <v>86689</v>
      </c>
      <c r="I237" s="16">
        <v>335634</v>
      </c>
      <c r="J237" s="17">
        <v>3</v>
      </c>
      <c r="K237" s="17">
        <v>7</v>
      </c>
      <c r="L237" s="5"/>
    </row>
    <row x14ac:dyDescent="0.25" r="238" customHeight="1" ht="18.75">
      <c r="A238" s="4" t="s">
        <v>28</v>
      </c>
      <c r="B238" s="16">
        <v>211054</v>
      </c>
      <c r="C238" s="16">
        <v>0</v>
      </c>
      <c r="D238" s="16">
        <v>593686</v>
      </c>
      <c r="E238" s="16">
        <v>0</v>
      </c>
      <c r="F238" s="16">
        <v>3812</v>
      </c>
      <c r="G238" s="16"/>
      <c r="H238" s="16">
        <v>45306</v>
      </c>
      <c r="I238" s="16">
        <v>1015794</v>
      </c>
      <c r="J238" s="17">
        <v>4</v>
      </c>
      <c r="K238" s="17">
        <v>37</v>
      </c>
      <c r="L238" s="17">
        <v>2</v>
      </c>
    </row>
    <row x14ac:dyDescent="0.25" r="239" customHeight="1" ht="18.75">
      <c r="A239" s="4" t="s">
        <v>29</v>
      </c>
      <c r="B239" s="16">
        <f>320228</f>
      </c>
      <c r="C239" s="16">
        <v>0</v>
      </c>
      <c r="D239" s="16">
        <v>775818</v>
      </c>
      <c r="E239" s="16">
        <v>0</v>
      </c>
      <c r="F239" s="16">
        <v>2093</v>
      </c>
      <c r="G239" s="16"/>
      <c r="H239" s="16">
        <f>92541</f>
      </c>
      <c r="I239" s="16">
        <v>1416274</v>
      </c>
      <c r="J239" s="17">
        <v>13</v>
      </c>
      <c r="K239" s="17">
        <v>25</v>
      </c>
      <c r="L239" s="17">
        <v>1</v>
      </c>
    </row>
    <row x14ac:dyDescent="0.25" r="240" customHeight="1" ht="18.75">
      <c r="A240" s="4" t="s">
        <v>30</v>
      </c>
      <c r="B240" s="16">
        <v>66822</v>
      </c>
      <c r="C240" s="16">
        <v>0</v>
      </c>
      <c r="D240" s="16">
        <v>12886</v>
      </c>
      <c r="E240" s="16">
        <v>0</v>
      </c>
      <c r="F240" s="16">
        <v>0</v>
      </c>
      <c r="G240" s="16"/>
      <c r="H240" s="16">
        <v>2593</v>
      </c>
      <c r="I240" s="16">
        <v>146530</v>
      </c>
      <c r="J240" s="17">
        <v>1</v>
      </c>
      <c r="K240" s="17">
        <v>2</v>
      </c>
      <c r="L240" s="17">
        <v>1</v>
      </c>
    </row>
    <row x14ac:dyDescent="0.25" r="241" customHeight="1" ht="18.75">
      <c r="A241" s="4" t="s">
        <v>31</v>
      </c>
      <c r="B241" s="16">
        <v>103033</v>
      </c>
      <c r="C241" s="16">
        <v>0</v>
      </c>
      <c r="D241" s="16">
        <v>97311</v>
      </c>
      <c r="E241" s="16">
        <v>0</v>
      </c>
      <c r="F241" s="16">
        <v>3468</v>
      </c>
      <c r="G241" s="16"/>
      <c r="H241" s="16">
        <v>24020</v>
      </c>
      <c r="I241" s="16">
        <v>303377</v>
      </c>
      <c r="J241" s="17">
        <v>8</v>
      </c>
      <c r="K241" s="17">
        <v>3</v>
      </c>
      <c r="L241" s="17">
        <v>3</v>
      </c>
    </row>
    <row x14ac:dyDescent="0.25" r="242" customHeight="1" ht="18.75">
      <c r="A242" s="4" t="s">
        <v>32</v>
      </c>
      <c r="B242" s="16">
        <f>20276</f>
      </c>
      <c r="C242" s="16">
        <v>0</v>
      </c>
      <c r="D242" s="16">
        <v>973486</v>
      </c>
      <c r="E242" s="16">
        <v>0</v>
      </c>
      <c r="F242" s="16">
        <v>0</v>
      </c>
      <c r="G242" s="16"/>
      <c r="H242" s="16">
        <f>1065970</f>
      </c>
      <c r="I242" s="16">
        <v>1335010</v>
      </c>
      <c r="J242" s="17">
        <v>20</v>
      </c>
      <c r="K242" s="17">
        <v>369</v>
      </c>
      <c r="L242" s="17">
        <v>5</v>
      </c>
    </row>
    <row x14ac:dyDescent="0.25" r="243" customHeight="1" ht="18.75">
      <c r="A243" s="4" t="s">
        <v>33</v>
      </c>
      <c r="B243" s="16">
        <v>0</v>
      </c>
      <c r="C243" s="16">
        <v>0</v>
      </c>
      <c r="D243" s="16">
        <v>0</v>
      </c>
      <c r="E243" s="16">
        <v>0</v>
      </c>
      <c r="F243" s="16">
        <v>0</v>
      </c>
      <c r="G243" s="16"/>
      <c r="H243" s="16">
        <v>14991</v>
      </c>
      <c r="I243" s="16">
        <v>0</v>
      </c>
      <c r="J243" s="17">
        <v>3</v>
      </c>
      <c r="K243" s="17">
        <v>6</v>
      </c>
      <c r="L243" s="5"/>
    </row>
    <row x14ac:dyDescent="0.25" r="244" customHeight="1" ht="18.75">
      <c r="A244" s="4" t="s">
        <v>34</v>
      </c>
      <c r="B244" s="16">
        <v>57161</v>
      </c>
      <c r="C244" s="16">
        <v>0</v>
      </c>
      <c r="D244" s="16">
        <v>4989</v>
      </c>
      <c r="E244" s="16">
        <v>0</v>
      </c>
      <c r="F244" s="16">
        <v>0</v>
      </c>
      <c r="G244" s="16"/>
      <c r="H244" s="16">
        <v>52340</v>
      </c>
      <c r="I244" s="16">
        <v>119311</v>
      </c>
      <c r="J244" s="17">
        <v>14</v>
      </c>
      <c r="K244" s="17">
        <v>3</v>
      </c>
      <c r="L244" s="17">
        <v>3</v>
      </c>
    </row>
    <row x14ac:dyDescent="0.25" r="245" customHeight="1" ht="18.75">
      <c r="A245" s="4" t="s">
        <v>35</v>
      </c>
      <c r="B245" s="16">
        <v>0</v>
      </c>
      <c r="C245" s="16">
        <v>0</v>
      </c>
      <c r="D245" s="16">
        <v>0</v>
      </c>
      <c r="E245" s="16">
        <v>0</v>
      </c>
      <c r="F245" s="16">
        <v>0</v>
      </c>
      <c r="G245" s="16"/>
      <c r="H245" s="16">
        <v>0</v>
      </c>
      <c r="I245" s="16">
        <v>0</v>
      </c>
      <c r="J245" s="5"/>
      <c r="K245" s="5"/>
      <c r="L245" s="5"/>
    </row>
    <row x14ac:dyDescent="0.25" r="246" customHeight="1" ht="18.75">
      <c r="A246" s="2"/>
      <c r="B246" s="28"/>
      <c r="C246" s="28"/>
      <c r="D246" s="28"/>
      <c r="E246" s="28"/>
      <c r="F246" s="28"/>
      <c r="G246" s="28"/>
      <c r="H246" s="28"/>
      <c r="I246" s="28"/>
      <c r="J246" s="29"/>
      <c r="K246" s="29"/>
      <c r="L246" s="29"/>
    </row>
    <row x14ac:dyDescent="0.25" r="247" customHeight="1" ht="18.75">
      <c r="A247" s="30" t="s">
        <v>50</v>
      </c>
      <c r="B247" s="31" t="s">
        <v>4</v>
      </c>
      <c r="C247" s="31" t="s">
        <v>5</v>
      </c>
      <c r="D247" s="31" t="s">
        <v>6</v>
      </c>
      <c r="E247" s="31" t="s">
        <v>7</v>
      </c>
      <c r="F247" s="31" t="s">
        <v>8</v>
      </c>
      <c r="G247" s="31" t="s">
        <v>9</v>
      </c>
      <c r="H247" s="31" t="s">
        <v>10</v>
      </c>
      <c r="I247" s="31" t="s">
        <v>11</v>
      </c>
      <c r="J247" s="5" t="s">
        <v>12</v>
      </c>
      <c r="K247" s="5" t="s">
        <v>13</v>
      </c>
      <c r="L247" s="5" t="s">
        <v>14</v>
      </c>
    </row>
    <row x14ac:dyDescent="0.25" r="248" customHeight="1" ht="18.75">
      <c r="A248" s="6" t="s">
        <v>15</v>
      </c>
      <c r="B248" s="32" t="s">
        <v>16</v>
      </c>
      <c r="C248" s="33" t="s">
        <v>17</v>
      </c>
      <c r="D248" s="32" t="s">
        <v>18</v>
      </c>
      <c r="E248" s="32" t="s">
        <v>19</v>
      </c>
      <c r="F248" s="32" t="s">
        <v>20</v>
      </c>
      <c r="G248" s="32" t="s">
        <v>21</v>
      </c>
      <c r="H248" s="32" t="s">
        <v>22</v>
      </c>
      <c r="I248" s="33" t="s">
        <v>23</v>
      </c>
      <c r="J248" s="9" t="s">
        <v>24</v>
      </c>
      <c r="K248" s="10" t="s">
        <v>25</v>
      </c>
      <c r="L248" s="9" t="s">
        <v>26</v>
      </c>
    </row>
    <row x14ac:dyDescent="0.25" r="249" customHeight="1" ht="18.75">
      <c r="A249" s="11"/>
      <c r="B249" s="34"/>
      <c r="C249" s="35"/>
      <c r="D249" s="34"/>
      <c r="E249" s="34"/>
      <c r="F249" s="34"/>
      <c r="G249" s="34"/>
      <c r="H249" s="34"/>
      <c r="I249" s="35"/>
      <c r="J249" s="14"/>
      <c r="K249" s="15"/>
      <c r="L249" s="14"/>
    </row>
    <row x14ac:dyDescent="0.25" r="250" customHeight="1" ht="18.75">
      <c r="A250" s="4" t="s">
        <v>27</v>
      </c>
      <c r="B250" s="16">
        <v>68194</v>
      </c>
      <c r="C250" s="16">
        <v>0</v>
      </c>
      <c r="D250" s="16">
        <v>113784</v>
      </c>
      <c r="E250" s="16">
        <v>0</v>
      </c>
      <c r="F250" s="16">
        <v>0</v>
      </c>
      <c r="G250" s="16"/>
      <c r="H250" s="16">
        <v>18410</v>
      </c>
      <c r="I250" s="16">
        <v>250173</v>
      </c>
      <c r="J250" s="5"/>
      <c r="K250" s="17">
        <v>8</v>
      </c>
      <c r="L250" s="5"/>
    </row>
    <row x14ac:dyDescent="0.25" r="251" customHeight="1" ht="18.75">
      <c r="A251" s="4" t="s">
        <v>28</v>
      </c>
      <c r="B251" s="16">
        <f>96352</f>
      </c>
      <c r="C251" s="16">
        <v>0</v>
      </c>
      <c r="D251" s="16">
        <v>386075</v>
      </c>
      <c r="E251" s="16">
        <v>0</v>
      </c>
      <c r="F251" s="16">
        <v>3816</v>
      </c>
      <c r="G251" s="16"/>
      <c r="H251" s="16">
        <v>19522</v>
      </c>
      <c r="I251" s="16">
        <v>578779</v>
      </c>
      <c r="J251" s="17">
        <v>5</v>
      </c>
      <c r="K251" s="17">
        <v>14</v>
      </c>
      <c r="L251" s="5"/>
    </row>
    <row x14ac:dyDescent="0.25" r="252" customHeight="1" ht="18.75">
      <c r="A252" s="4" t="s">
        <v>29</v>
      </c>
      <c r="B252" s="16">
        <f>341576</f>
      </c>
      <c r="C252" s="16">
        <v>0</v>
      </c>
      <c r="D252" s="16">
        <v>806993</v>
      </c>
      <c r="E252" s="16">
        <v>0</v>
      </c>
      <c r="F252" s="16">
        <v>5301</v>
      </c>
      <c r="G252" s="16"/>
      <c r="H252" s="16">
        <f>102852</f>
      </c>
      <c r="I252" s="16">
        <v>1490146</v>
      </c>
      <c r="J252" s="17">
        <v>13</v>
      </c>
      <c r="K252" s="17">
        <v>25</v>
      </c>
      <c r="L252" s="17">
        <v>1</v>
      </c>
    </row>
    <row x14ac:dyDescent="0.25" r="253" customHeight="1" ht="18.75">
      <c r="A253" s="4" t="s">
        <v>30</v>
      </c>
      <c r="B253" s="16">
        <f>3372</f>
      </c>
      <c r="C253" s="16">
        <v>0</v>
      </c>
      <c r="D253" s="16">
        <v>2624</v>
      </c>
      <c r="E253" s="16">
        <v>0</v>
      </c>
      <c r="F253" s="16">
        <v>0</v>
      </c>
      <c r="G253" s="16"/>
      <c r="H253" s="16">
        <v>1247</v>
      </c>
      <c r="I253" s="16">
        <v>9367</v>
      </c>
      <c r="J253" s="5"/>
      <c r="K253" s="17">
        <v>2</v>
      </c>
      <c r="L253" s="5"/>
    </row>
    <row x14ac:dyDescent="0.25" r="254" customHeight="1" ht="18.75">
      <c r="A254" s="4" t="s">
        <v>31</v>
      </c>
      <c r="B254" s="16">
        <v>499</v>
      </c>
      <c r="C254" s="16">
        <v>0</v>
      </c>
      <c r="D254" s="16">
        <v>132579</v>
      </c>
      <c r="E254" s="16">
        <v>0</v>
      </c>
      <c r="F254" s="16">
        <v>2255</v>
      </c>
      <c r="G254" s="16"/>
      <c r="H254" s="16">
        <v>8548</v>
      </c>
      <c r="I254" s="16">
        <v>133578</v>
      </c>
      <c r="J254" s="17">
        <v>11</v>
      </c>
      <c r="K254" s="17">
        <v>1</v>
      </c>
      <c r="L254" s="17">
        <v>2</v>
      </c>
    </row>
    <row x14ac:dyDescent="0.25" r="255" customHeight="1" ht="18.75">
      <c r="A255" s="4" t="s">
        <v>32</v>
      </c>
      <c r="B255" s="16">
        <f>15940</f>
      </c>
      <c r="C255" s="16">
        <v>0</v>
      </c>
      <c r="D255" s="16">
        <v>815743</v>
      </c>
      <c r="E255" s="16">
        <v>0</v>
      </c>
      <c r="F255" s="16">
        <v>0</v>
      </c>
      <c r="G255" s="16"/>
      <c r="H255" s="16">
        <f>876497</f>
      </c>
      <c r="I255" s="16">
        <v>1133221</v>
      </c>
      <c r="J255" s="17">
        <v>28</v>
      </c>
      <c r="K255" s="17">
        <v>312</v>
      </c>
      <c r="L255" s="17">
        <v>6</v>
      </c>
    </row>
    <row x14ac:dyDescent="0.25" r="256" customHeight="1" ht="18.75">
      <c r="A256" s="4" t="s">
        <v>33</v>
      </c>
      <c r="B256" s="16">
        <v>0</v>
      </c>
      <c r="C256" s="16">
        <v>0</v>
      </c>
      <c r="D256" s="16">
        <v>0</v>
      </c>
      <c r="E256" s="16">
        <v>0</v>
      </c>
      <c r="F256" s="16">
        <v>0</v>
      </c>
      <c r="G256" s="16"/>
      <c r="H256" s="16">
        <v>0</v>
      </c>
      <c r="I256" s="16">
        <v>0</v>
      </c>
      <c r="J256" s="5"/>
      <c r="K256" s="17">
        <v>3</v>
      </c>
      <c r="L256" s="5"/>
    </row>
    <row x14ac:dyDescent="0.25" r="257" customHeight="1" ht="18.75">
      <c r="A257" s="4" t="s">
        <v>34</v>
      </c>
      <c r="B257" s="16">
        <v>23042</v>
      </c>
      <c r="C257" s="16">
        <v>0</v>
      </c>
      <c r="D257" s="16">
        <v>1425</v>
      </c>
      <c r="E257" s="16">
        <v>0</v>
      </c>
      <c r="F257" s="16">
        <v>0</v>
      </c>
      <c r="G257" s="16"/>
      <c r="H257" s="16">
        <v>3166</v>
      </c>
      <c r="I257" s="16">
        <v>47509</v>
      </c>
      <c r="J257" s="17">
        <v>11</v>
      </c>
      <c r="K257" s="17">
        <v>2</v>
      </c>
      <c r="L257" s="5"/>
    </row>
    <row x14ac:dyDescent="0.25" r="258" customHeight="1" ht="18.75">
      <c r="A258" s="4" t="s">
        <v>35</v>
      </c>
      <c r="B258" s="16">
        <v>0</v>
      </c>
      <c r="C258" s="16">
        <v>0</v>
      </c>
      <c r="D258" s="16">
        <v>0</v>
      </c>
      <c r="E258" s="16">
        <v>0</v>
      </c>
      <c r="F258" s="16">
        <v>0</v>
      </c>
      <c r="G258" s="16"/>
      <c r="H258" s="16">
        <v>0</v>
      </c>
      <c r="I258" s="16">
        <v>0</v>
      </c>
      <c r="J258" s="5"/>
      <c r="K258" s="5"/>
      <c r="L258" s="5"/>
    </row>
    <row x14ac:dyDescent="0.25" r="259" customHeight="1" ht="18.75">
      <c r="A259" s="2"/>
      <c r="B259" s="28"/>
      <c r="C259" s="28"/>
      <c r="D259" s="28"/>
      <c r="E259" s="28"/>
      <c r="F259" s="28"/>
      <c r="G259" s="28"/>
      <c r="H259" s="28"/>
      <c r="I259" s="28"/>
      <c r="J259" s="29"/>
      <c r="K259" s="29"/>
      <c r="L259" s="29"/>
    </row>
    <row x14ac:dyDescent="0.25" r="260" customHeight="1" ht="18.75">
      <c r="A260" s="30" t="s">
        <v>51</v>
      </c>
      <c r="B260" s="31" t="s">
        <v>4</v>
      </c>
      <c r="C260" s="31" t="s">
        <v>5</v>
      </c>
      <c r="D260" s="31" t="s">
        <v>6</v>
      </c>
      <c r="E260" s="31" t="s">
        <v>7</v>
      </c>
      <c r="F260" s="31" t="s">
        <v>8</v>
      </c>
      <c r="G260" s="31" t="s">
        <v>9</v>
      </c>
      <c r="H260" s="31" t="s">
        <v>10</v>
      </c>
      <c r="I260" s="31" t="s">
        <v>11</v>
      </c>
      <c r="J260" s="5" t="s">
        <v>12</v>
      </c>
      <c r="K260" s="5" t="s">
        <v>13</v>
      </c>
      <c r="L260" s="5" t="s">
        <v>14</v>
      </c>
    </row>
    <row x14ac:dyDescent="0.25" r="261" customHeight="1" ht="18.75">
      <c r="A261" s="6" t="s">
        <v>15</v>
      </c>
      <c r="B261" s="32" t="s">
        <v>16</v>
      </c>
      <c r="C261" s="33" t="s">
        <v>17</v>
      </c>
      <c r="D261" s="32" t="s">
        <v>18</v>
      </c>
      <c r="E261" s="32" t="s">
        <v>19</v>
      </c>
      <c r="F261" s="32" t="s">
        <v>20</v>
      </c>
      <c r="G261" s="32" t="s">
        <v>21</v>
      </c>
      <c r="H261" s="32" t="s">
        <v>22</v>
      </c>
      <c r="I261" s="33" t="s">
        <v>23</v>
      </c>
      <c r="J261" s="9" t="s">
        <v>24</v>
      </c>
      <c r="K261" s="10" t="s">
        <v>25</v>
      </c>
      <c r="L261" s="9" t="s">
        <v>26</v>
      </c>
    </row>
    <row x14ac:dyDescent="0.25" r="262" customHeight="1" ht="18.75">
      <c r="A262" s="11"/>
      <c r="B262" s="34"/>
      <c r="C262" s="35"/>
      <c r="D262" s="34"/>
      <c r="E262" s="34"/>
      <c r="F262" s="34"/>
      <c r="G262" s="34"/>
      <c r="H262" s="34"/>
      <c r="I262" s="35"/>
      <c r="J262" s="14"/>
      <c r="K262" s="15"/>
      <c r="L262" s="14"/>
    </row>
    <row x14ac:dyDescent="0.25" r="263" customHeight="1" ht="18.75">
      <c r="A263" s="4" t="s">
        <v>27</v>
      </c>
      <c r="B263" s="16">
        <v>237613</v>
      </c>
      <c r="C263" s="16">
        <v>0</v>
      </c>
      <c r="D263" s="16">
        <v>115425</v>
      </c>
      <c r="E263" s="16">
        <v>0</v>
      </c>
      <c r="F263" s="16">
        <v>0</v>
      </c>
      <c r="G263" s="16"/>
      <c r="H263" s="16">
        <v>82162</v>
      </c>
      <c r="I263" s="16">
        <v>590651</v>
      </c>
      <c r="J263" s="17">
        <v>1</v>
      </c>
      <c r="K263" s="17">
        <v>6</v>
      </c>
      <c r="L263" s="5"/>
    </row>
    <row x14ac:dyDescent="0.25" r="264" customHeight="1" ht="18.75">
      <c r="A264" s="4" t="s">
        <v>28</v>
      </c>
      <c r="B264" s="16">
        <v>27104</v>
      </c>
      <c r="C264" s="16">
        <v>0</v>
      </c>
      <c r="D264" s="16">
        <v>524854</v>
      </c>
      <c r="E264" s="16">
        <v>0</v>
      </c>
      <c r="F264" s="16">
        <v>2998</v>
      </c>
      <c r="G264" s="16"/>
      <c r="H264" s="16">
        <v>27780</v>
      </c>
      <c r="I264" s="16">
        <v>579062</v>
      </c>
      <c r="J264" s="17">
        <v>2</v>
      </c>
      <c r="K264" s="17">
        <v>13</v>
      </c>
      <c r="L264" s="5"/>
    </row>
    <row x14ac:dyDescent="0.25" r="265" customHeight="1" ht="18.75">
      <c r="A265" s="4" t="s">
        <v>29</v>
      </c>
      <c r="B265" s="16">
        <f>505716</f>
      </c>
      <c r="C265" s="16">
        <v>0</v>
      </c>
      <c r="D265" s="16">
        <v>1082829</v>
      </c>
      <c r="E265" s="16">
        <v>0</v>
      </c>
      <c r="F265" s="16">
        <v>71036</v>
      </c>
      <c r="G265" s="16"/>
      <c r="H265" s="16">
        <f>164458</f>
      </c>
      <c r="I265" s="16">
        <v>2094260</v>
      </c>
      <c r="J265" s="17">
        <v>23</v>
      </c>
      <c r="K265" s="17">
        <v>25</v>
      </c>
      <c r="L265" s="17">
        <v>3</v>
      </c>
    </row>
    <row x14ac:dyDescent="0.25" r="266" customHeight="1" ht="18.75">
      <c r="A266" s="4" t="s">
        <v>30</v>
      </c>
      <c r="B266" s="16">
        <v>7340</v>
      </c>
      <c r="C266" s="16">
        <v>0</v>
      </c>
      <c r="D266" s="16">
        <v>22959</v>
      </c>
      <c r="E266" s="16">
        <v>0</v>
      </c>
      <c r="F266" s="16">
        <v>0</v>
      </c>
      <c r="G266" s="16"/>
      <c r="H266" s="16">
        <v>1375</v>
      </c>
      <c r="I266" s="16">
        <v>37639</v>
      </c>
      <c r="J266" s="5"/>
      <c r="K266" s="5"/>
      <c r="L266" s="5"/>
    </row>
    <row x14ac:dyDescent="0.25" r="267" customHeight="1" ht="18.75">
      <c r="A267" s="4" t="s">
        <v>31</v>
      </c>
      <c r="B267" s="16">
        <v>457</v>
      </c>
      <c r="C267" s="16">
        <v>0</v>
      </c>
      <c r="D267" s="16">
        <v>16090</v>
      </c>
      <c r="E267" s="16">
        <v>0</v>
      </c>
      <c r="F267" s="16">
        <v>3652</v>
      </c>
      <c r="G267" s="16"/>
      <c r="H267" s="16">
        <v>4124</v>
      </c>
      <c r="I267" s="16">
        <v>17004</v>
      </c>
      <c r="J267" s="17">
        <v>11</v>
      </c>
      <c r="K267" s="17">
        <v>7</v>
      </c>
      <c r="L267" s="17">
        <v>3</v>
      </c>
    </row>
    <row x14ac:dyDescent="0.25" r="268" customHeight="1" ht="18.75">
      <c r="A268" s="4" t="s">
        <v>32</v>
      </c>
      <c r="B268" s="16">
        <f>37660</f>
      </c>
      <c r="C268" s="16">
        <v>0</v>
      </c>
      <c r="D268" s="16">
        <v>917657</v>
      </c>
      <c r="E268" s="16">
        <v>0</v>
      </c>
      <c r="F268" s="16">
        <v>828</v>
      </c>
      <c r="G268" s="16"/>
      <c r="H268" s="16">
        <f>875501</f>
      </c>
      <c r="I268" s="16">
        <v>1235523</v>
      </c>
      <c r="J268" s="17">
        <v>29</v>
      </c>
      <c r="K268" s="17">
        <v>282</v>
      </c>
      <c r="L268" s="17">
        <v>9</v>
      </c>
    </row>
    <row x14ac:dyDescent="0.25" r="269" customHeight="1" ht="18.75">
      <c r="A269" s="4" t="s">
        <v>33</v>
      </c>
      <c r="B269" s="16">
        <v>5639</v>
      </c>
      <c r="C269" s="16">
        <v>0</v>
      </c>
      <c r="D269" s="16">
        <v>0</v>
      </c>
      <c r="E269" s="16">
        <v>0</v>
      </c>
      <c r="F269" s="16">
        <v>0</v>
      </c>
      <c r="G269" s="16"/>
      <c r="H269" s="16">
        <v>18725</v>
      </c>
      <c r="I269" s="16">
        <v>11278</v>
      </c>
      <c r="J269" s="17">
        <v>2</v>
      </c>
      <c r="K269" s="17">
        <v>1</v>
      </c>
      <c r="L269" s="17">
        <v>1</v>
      </c>
    </row>
    <row x14ac:dyDescent="0.25" r="270" customHeight="1" ht="18.75">
      <c r="A270" s="4" t="s">
        <v>34</v>
      </c>
      <c r="B270" s="16">
        <v>77554</v>
      </c>
      <c r="C270" s="16">
        <v>0</v>
      </c>
      <c r="D270" s="16">
        <v>7127</v>
      </c>
      <c r="E270" s="16">
        <v>0</v>
      </c>
      <c r="F270" s="16">
        <v>0</v>
      </c>
      <c r="G270" s="16"/>
      <c r="H270" s="16">
        <v>52853</v>
      </c>
      <c r="I270" s="16">
        <v>162235</v>
      </c>
      <c r="J270" s="17">
        <v>32</v>
      </c>
      <c r="K270" s="17">
        <v>5</v>
      </c>
      <c r="L270" s="17">
        <v>2</v>
      </c>
    </row>
    <row x14ac:dyDescent="0.25" r="271" customHeight="1" ht="18.75">
      <c r="A271" s="4" t="s">
        <v>35</v>
      </c>
      <c r="B271" s="16">
        <v>0</v>
      </c>
      <c r="C271" s="16">
        <v>0</v>
      </c>
      <c r="D271" s="16">
        <v>0</v>
      </c>
      <c r="E271" s="16">
        <v>0</v>
      </c>
      <c r="F271" s="16">
        <v>0</v>
      </c>
      <c r="G271" s="16"/>
      <c r="H271" s="16">
        <v>0</v>
      </c>
      <c r="I271" s="16">
        <v>0</v>
      </c>
      <c r="J271" s="5"/>
      <c r="K271" s="5"/>
      <c r="L271" s="5"/>
    </row>
    <row x14ac:dyDescent="0.25" r="272" customHeight="1" ht="18.75">
      <c r="A272" s="2"/>
      <c r="B272" s="28"/>
      <c r="C272" s="28"/>
      <c r="D272" s="28"/>
      <c r="E272" s="28"/>
      <c r="F272" s="28"/>
      <c r="G272" s="28"/>
      <c r="H272" s="28"/>
      <c r="I272" s="28"/>
      <c r="J272" s="29"/>
      <c r="K272" s="29"/>
      <c r="L272" s="29"/>
    </row>
    <row x14ac:dyDescent="0.25" r="273" customHeight="1" ht="18.75">
      <c r="A273" s="30" t="s">
        <v>52</v>
      </c>
      <c r="B273" s="31" t="s">
        <v>4</v>
      </c>
      <c r="C273" s="31" t="s">
        <v>5</v>
      </c>
      <c r="D273" s="31" t="s">
        <v>6</v>
      </c>
      <c r="E273" s="31" t="s">
        <v>7</v>
      </c>
      <c r="F273" s="31" t="s">
        <v>8</v>
      </c>
      <c r="G273" s="31" t="s">
        <v>9</v>
      </c>
      <c r="H273" s="31" t="s">
        <v>10</v>
      </c>
      <c r="I273" s="31" t="s">
        <v>11</v>
      </c>
      <c r="J273" s="5" t="s">
        <v>12</v>
      </c>
      <c r="K273" s="5" t="s">
        <v>13</v>
      </c>
      <c r="L273" s="5" t="s">
        <v>14</v>
      </c>
    </row>
    <row x14ac:dyDescent="0.25" r="274" customHeight="1" ht="18.75">
      <c r="A274" s="6" t="s">
        <v>15</v>
      </c>
      <c r="B274" s="32" t="s">
        <v>16</v>
      </c>
      <c r="C274" s="33" t="s">
        <v>17</v>
      </c>
      <c r="D274" s="32" t="s">
        <v>18</v>
      </c>
      <c r="E274" s="32" t="s">
        <v>19</v>
      </c>
      <c r="F274" s="32" t="s">
        <v>20</v>
      </c>
      <c r="G274" s="32" t="s">
        <v>21</v>
      </c>
      <c r="H274" s="32" t="s">
        <v>22</v>
      </c>
      <c r="I274" s="33" t="s">
        <v>23</v>
      </c>
      <c r="J274" s="9" t="s">
        <v>24</v>
      </c>
      <c r="K274" s="10" t="s">
        <v>25</v>
      </c>
      <c r="L274" s="9" t="s">
        <v>26</v>
      </c>
    </row>
    <row x14ac:dyDescent="0.25" r="275" customHeight="1" ht="18.75">
      <c r="A275" s="11"/>
      <c r="B275" s="34"/>
      <c r="C275" s="35"/>
      <c r="D275" s="34"/>
      <c r="E275" s="34"/>
      <c r="F275" s="34"/>
      <c r="G275" s="34"/>
      <c r="H275" s="34"/>
      <c r="I275" s="35"/>
      <c r="J275" s="14"/>
      <c r="K275" s="15"/>
      <c r="L275" s="14"/>
    </row>
    <row x14ac:dyDescent="0.25" r="276" customHeight="1" ht="18.75">
      <c r="A276" s="4" t="s">
        <v>27</v>
      </c>
      <c r="B276" s="16">
        <v>35295</v>
      </c>
      <c r="C276" s="16">
        <v>0</v>
      </c>
      <c r="D276" s="16">
        <v>134163</v>
      </c>
      <c r="E276" s="16">
        <v>0</v>
      </c>
      <c r="F276" s="16">
        <v>0</v>
      </c>
      <c r="G276" s="16"/>
      <c r="H276" s="16">
        <v>118116</v>
      </c>
      <c r="I276" s="16">
        <v>204754</v>
      </c>
      <c r="J276" s="17">
        <v>4</v>
      </c>
      <c r="K276" s="17">
        <v>11</v>
      </c>
      <c r="L276" s="5"/>
    </row>
    <row x14ac:dyDescent="0.25" r="277" customHeight="1" ht="18.75">
      <c r="A277" s="4" t="s">
        <v>28</v>
      </c>
      <c r="B277" s="16">
        <v>176322</v>
      </c>
      <c r="C277" s="16">
        <v>0</v>
      </c>
      <c r="D277" s="16">
        <v>354446</v>
      </c>
      <c r="E277" s="16">
        <v>0</v>
      </c>
      <c r="F277" s="16">
        <v>14910</v>
      </c>
      <c r="G277" s="16"/>
      <c r="H277" s="16">
        <v>49863</v>
      </c>
      <c r="I277" s="16">
        <v>707090</v>
      </c>
      <c r="J277" s="17">
        <v>2</v>
      </c>
      <c r="K277" s="17">
        <v>20</v>
      </c>
      <c r="L277" s="5"/>
    </row>
    <row x14ac:dyDescent="0.25" r="278" customHeight="1" ht="18.75">
      <c r="A278" s="4" t="s">
        <v>29</v>
      </c>
      <c r="B278" s="16">
        <f>371155</f>
      </c>
      <c r="C278" s="16">
        <v>0</v>
      </c>
      <c r="D278" s="16">
        <v>380882</v>
      </c>
      <c r="E278" s="16">
        <v>0</v>
      </c>
      <c r="F278" s="16">
        <v>11879</v>
      </c>
      <c r="G278" s="16"/>
      <c r="H278" s="16">
        <f>123203</f>
      </c>
      <c r="I278" s="16">
        <v>1123685</v>
      </c>
      <c r="J278" s="17">
        <v>11</v>
      </c>
      <c r="K278" s="17">
        <v>26</v>
      </c>
      <c r="L278" s="17">
        <v>7</v>
      </c>
    </row>
    <row x14ac:dyDescent="0.25" r="279" customHeight="1" ht="18.75">
      <c r="A279" s="4" t="s">
        <v>30</v>
      </c>
      <c r="B279" s="16">
        <v>26626</v>
      </c>
      <c r="C279" s="16">
        <v>0</v>
      </c>
      <c r="D279" s="16">
        <v>132734</v>
      </c>
      <c r="E279" s="16">
        <v>0</v>
      </c>
      <c r="F279" s="16">
        <v>0</v>
      </c>
      <c r="G279" s="16"/>
      <c r="H279" s="16">
        <v>16624</v>
      </c>
      <c r="I279" s="16">
        <v>185986</v>
      </c>
      <c r="J279" s="17">
        <v>1</v>
      </c>
      <c r="K279" s="17">
        <v>2</v>
      </c>
      <c r="L279" s="17">
        <v>1</v>
      </c>
    </row>
    <row x14ac:dyDescent="0.25" r="280" customHeight="1" ht="18.75">
      <c r="A280" s="4" t="s">
        <v>31</v>
      </c>
      <c r="B280" s="16">
        <v>9364</v>
      </c>
      <c r="C280" s="16">
        <v>0</v>
      </c>
      <c r="D280" s="16">
        <v>117122</v>
      </c>
      <c r="E280" s="16">
        <v>0</v>
      </c>
      <c r="F280" s="16">
        <v>0</v>
      </c>
      <c r="G280" s="16"/>
      <c r="H280" s="16">
        <f>5328</f>
      </c>
      <c r="I280" s="16">
        <v>135849</v>
      </c>
      <c r="J280" s="17">
        <v>9</v>
      </c>
      <c r="K280" s="17">
        <v>7</v>
      </c>
      <c r="L280" s="17">
        <v>2</v>
      </c>
    </row>
    <row x14ac:dyDescent="0.25" r="281" customHeight="1" ht="18.75">
      <c r="A281" s="4" t="s">
        <v>32</v>
      </c>
      <c r="B281" s="16">
        <f>75798</f>
      </c>
      <c r="C281" s="16">
        <v>0</v>
      </c>
      <c r="D281" s="16">
        <v>1089394</v>
      </c>
      <c r="E281" s="16">
        <v>0</v>
      </c>
      <c r="F281" s="16">
        <v>0</v>
      </c>
      <c r="G281" s="16"/>
      <c r="H281" s="16">
        <f>1216110</f>
      </c>
      <c r="I281" s="16">
        <v>1583572</v>
      </c>
      <c r="J281" s="17">
        <v>23</v>
      </c>
      <c r="K281" s="17">
        <v>339</v>
      </c>
      <c r="L281" s="17">
        <v>7</v>
      </c>
    </row>
    <row x14ac:dyDescent="0.25" r="282" customHeight="1" ht="18.75">
      <c r="A282" s="4" t="s">
        <v>33</v>
      </c>
      <c r="B282" s="16">
        <v>0</v>
      </c>
      <c r="C282" s="16">
        <v>0</v>
      </c>
      <c r="D282" s="16">
        <v>0</v>
      </c>
      <c r="E282" s="16">
        <v>0</v>
      </c>
      <c r="F282" s="16">
        <v>0</v>
      </c>
      <c r="G282" s="16"/>
      <c r="H282" s="16">
        <v>0</v>
      </c>
      <c r="I282" s="16">
        <v>0</v>
      </c>
      <c r="J282" s="17">
        <v>2</v>
      </c>
      <c r="K282" s="17">
        <v>6</v>
      </c>
      <c r="L282" s="5"/>
    </row>
    <row x14ac:dyDescent="0.25" r="283" customHeight="1" ht="18.75">
      <c r="A283" s="4" t="s">
        <v>34</v>
      </c>
      <c r="B283" s="16">
        <v>14525</v>
      </c>
      <c r="C283" s="16">
        <v>0</v>
      </c>
      <c r="D283" s="16">
        <v>3564</v>
      </c>
      <c r="E283" s="16">
        <v>0</v>
      </c>
      <c r="F283" s="16">
        <v>0</v>
      </c>
      <c r="G283" s="16"/>
      <c r="H283" s="16">
        <v>18783</v>
      </c>
      <c r="I283" s="16">
        <v>32614</v>
      </c>
      <c r="J283" s="17">
        <v>21</v>
      </c>
      <c r="K283" s="5"/>
      <c r="L283" s="17">
        <v>5</v>
      </c>
    </row>
    <row x14ac:dyDescent="0.25" r="284" customHeight="1" ht="18.75">
      <c r="A284" s="4" t="s">
        <v>35</v>
      </c>
      <c r="B284" s="16">
        <v>0</v>
      </c>
      <c r="C284" s="16">
        <v>0</v>
      </c>
      <c r="D284" s="16">
        <v>0</v>
      </c>
      <c r="E284" s="16">
        <v>0</v>
      </c>
      <c r="F284" s="16">
        <v>0</v>
      </c>
      <c r="G284" s="16"/>
      <c r="H284" s="16">
        <v>0</v>
      </c>
      <c r="I284" s="16">
        <v>0</v>
      </c>
      <c r="J284" s="5"/>
      <c r="K284" s="5"/>
      <c r="L284" s="5"/>
    </row>
    <row x14ac:dyDescent="0.25" r="285" customHeight="1" ht="18.75">
      <c r="A285" s="2"/>
      <c r="B285" s="28"/>
      <c r="C285" s="28"/>
      <c r="D285" s="28"/>
      <c r="E285" s="28"/>
      <c r="F285" s="28"/>
      <c r="G285" s="28"/>
      <c r="H285" s="28"/>
      <c r="I285" s="28"/>
      <c r="J285" s="29"/>
      <c r="K285" s="29"/>
      <c r="L285" s="29"/>
    </row>
    <row x14ac:dyDescent="0.25" r="286" customHeight="1" ht="18.75">
      <c r="A286" s="30" t="s">
        <v>53</v>
      </c>
      <c r="B286" s="31" t="s">
        <v>4</v>
      </c>
      <c r="C286" s="31" t="s">
        <v>5</v>
      </c>
      <c r="D286" s="31" t="s">
        <v>6</v>
      </c>
      <c r="E286" s="31" t="s">
        <v>7</v>
      </c>
      <c r="F286" s="31" t="s">
        <v>8</v>
      </c>
      <c r="G286" s="31" t="s">
        <v>9</v>
      </c>
      <c r="H286" s="31" t="s">
        <v>10</v>
      </c>
      <c r="I286" s="31" t="s">
        <v>11</v>
      </c>
      <c r="J286" s="5" t="s">
        <v>12</v>
      </c>
      <c r="K286" s="5" t="s">
        <v>13</v>
      </c>
      <c r="L286" s="5" t="s">
        <v>14</v>
      </c>
    </row>
    <row x14ac:dyDescent="0.25" r="287" customHeight="1" ht="18.75">
      <c r="A287" s="6" t="s">
        <v>15</v>
      </c>
      <c r="B287" s="32" t="s">
        <v>16</v>
      </c>
      <c r="C287" s="33" t="s">
        <v>17</v>
      </c>
      <c r="D287" s="32" t="s">
        <v>18</v>
      </c>
      <c r="E287" s="32" t="s">
        <v>19</v>
      </c>
      <c r="F287" s="32" t="s">
        <v>20</v>
      </c>
      <c r="G287" s="32" t="s">
        <v>21</v>
      </c>
      <c r="H287" s="32" t="s">
        <v>22</v>
      </c>
      <c r="I287" s="33" t="s">
        <v>23</v>
      </c>
      <c r="J287" s="9" t="s">
        <v>24</v>
      </c>
      <c r="K287" s="10" t="s">
        <v>25</v>
      </c>
      <c r="L287" s="9" t="s">
        <v>26</v>
      </c>
    </row>
    <row x14ac:dyDescent="0.25" r="288" customHeight="1" ht="18.75">
      <c r="A288" s="11"/>
      <c r="B288" s="34"/>
      <c r="C288" s="35"/>
      <c r="D288" s="34"/>
      <c r="E288" s="34"/>
      <c r="F288" s="34"/>
      <c r="G288" s="34"/>
      <c r="H288" s="34"/>
      <c r="I288" s="35"/>
      <c r="J288" s="14"/>
      <c r="K288" s="15"/>
      <c r="L288" s="14"/>
    </row>
    <row x14ac:dyDescent="0.25" r="289" customHeight="1" ht="18.75">
      <c r="A289" s="4" t="s">
        <v>27</v>
      </c>
      <c r="B289" s="16">
        <v>94035</v>
      </c>
      <c r="C289" s="16">
        <v>0</v>
      </c>
      <c r="D289" s="16">
        <v>59649</v>
      </c>
      <c r="E289" s="16">
        <v>0</v>
      </c>
      <c r="F289" s="16">
        <v>1170</v>
      </c>
      <c r="G289" s="16"/>
      <c r="H289" s="16">
        <v>117794</v>
      </c>
      <c r="I289" s="16">
        <v>247720</v>
      </c>
      <c r="J289" s="17">
        <v>1</v>
      </c>
      <c r="K289" s="17">
        <v>2</v>
      </c>
      <c r="L289" s="5"/>
    </row>
    <row x14ac:dyDescent="0.25" r="290" customHeight="1" ht="18.75">
      <c r="A290" s="4" t="s">
        <v>28</v>
      </c>
      <c r="B290" s="16">
        <v>50403</v>
      </c>
      <c r="C290" s="16">
        <v>0</v>
      </c>
      <c r="D290" s="16">
        <v>185584</v>
      </c>
      <c r="E290" s="16">
        <v>0</v>
      </c>
      <c r="F290" s="16">
        <v>1225</v>
      </c>
      <c r="G290" s="16"/>
      <c r="H290" s="16">
        <v>13467</v>
      </c>
      <c r="I290" s="16">
        <v>286391</v>
      </c>
      <c r="J290" s="17">
        <v>2</v>
      </c>
      <c r="K290" s="17">
        <v>25</v>
      </c>
      <c r="L290" s="5"/>
    </row>
    <row x14ac:dyDescent="0.25" r="291" customHeight="1" ht="18.75">
      <c r="A291" s="4" t="s">
        <v>29</v>
      </c>
      <c r="B291" s="16">
        <f>340878</f>
      </c>
      <c r="C291" s="16">
        <v>0</v>
      </c>
      <c r="D291" s="16">
        <f>412015</f>
      </c>
      <c r="E291" s="16">
        <v>0</v>
      </c>
      <c r="F291" s="16">
        <v>2057</v>
      </c>
      <c r="G291" s="16"/>
      <c r="H291" s="16">
        <f>106707</f>
      </c>
      <c r="I291" s="16">
        <v>1093771</v>
      </c>
      <c r="J291" s="17">
        <v>11</v>
      </c>
      <c r="K291" s="17">
        <v>28</v>
      </c>
      <c r="L291" s="5"/>
    </row>
    <row x14ac:dyDescent="0.25" r="292" customHeight="1" ht="18.75">
      <c r="A292" s="4" t="s">
        <v>30</v>
      </c>
      <c r="B292" s="16">
        <v>0</v>
      </c>
      <c r="C292" s="16">
        <v>0</v>
      </c>
      <c r="D292" s="16">
        <v>0</v>
      </c>
      <c r="E292" s="16">
        <v>0</v>
      </c>
      <c r="F292" s="16">
        <v>0</v>
      </c>
      <c r="G292" s="16"/>
      <c r="H292" s="16">
        <v>0</v>
      </c>
      <c r="I292" s="16">
        <v>0</v>
      </c>
      <c r="J292" s="17">
        <v>1</v>
      </c>
      <c r="K292" s="17">
        <v>2</v>
      </c>
      <c r="L292" s="17">
        <v>1</v>
      </c>
    </row>
    <row x14ac:dyDescent="0.25" r="293" customHeight="1" ht="18.75">
      <c r="A293" s="4" t="s">
        <v>31</v>
      </c>
      <c r="B293" s="16">
        <v>0</v>
      </c>
      <c r="C293" s="16">
        <v>0</v>
      </c>
      <c r="D293" s="16">
        <v>12440</v>
      </c>
      <c r="E293" s="16">
        <v>0</v>
      </c>
      <c r="F293" s="16">
        <v>61110</v>
      </c>
      <c r="G293" s="16"/>
      <c r="H293" s="16">
        <v>2765</v>
      </c>
      <c r="I293" s="16">
        <v>12440</v>
      </c>
      <c r="J293" s="17">
        <v>10</v>
      </c>
      <c r="K293" s="17">
        <v>6</v>
      </c>
      <c r="L293" s="17">
        <v>2</v>
      </c>
    </row>
    <row x14ac:dyDescent="0.25" r="294" customHeight="1" ht="18.75">
      <c r="A294" s="4" t="s">
        <v>32</v>
      </c>
      <c r="B294" s="16">
        <f>116437</f>
      </c>
      <c r="C294" s="16">
        <v>0</v>
      </c>
      <c r="D294" s="16">
        <v>1231527</v>
      </c>
      <c r="E294" s="16">
        <v>0</v>
      </c>
      <c r="F294" s="16">
        <v>0</v>
      </c>
      <c r="G294" s="16"/>
      <c r="H294" s="16">
        <f>1162795</f>
      </c>
      <c r="I294" s="16">
        <v>1784331</v>
      </c>
      <c r="J294" s="17">
        <v>25</v>
      </c>
      <c r="K294" s="17">
        <v>420</v>
      </c>
      <c r="L294" s="17">
        <v>9</v>
      </c>
    </row>
    <row x14ac:dyDescent="0.25" r="295" customHeight="1" ht="18.75">
      <c r="A295" s="4" t="s">
        <v>33</v>
      </c>
      <c r="B295" s="16">
        <v>0</v>
      </c>
      <c r="C295" s="16">
        <v>0</v>
      </c>
      <c r="D295" s="16">
        <v>0</v>
      </c>
      <c r="E295" s="16">
        <v>0</v>
      </c>
      <c r="F295" s="16">
        <v>0</v>
      </c>
      <c r="G295" s="16"/>
      <c r="H295" s="16">
        <v>12535</v>
      </c>
      <c r="I295" s="16">
        <v>0</v>
      </c>
      <c r="J295" s="17">
        <v>2</v>
      </c>
      <c r="K295" s="17">
        <v>2</v>
      </c>
      <c r="L295" s="5"/>
    </row>
    <row x14ac:dyDescent="0.25" r="296" customHeight="1" ht="18.75">
      <c r="A296" s="4" t="s">
        <v>34</v>
      </c>
      <c r="B296" s="16">
        <v>59592</v>
      </c>
      <c r="C296" s="16">
        <v>0</v>
      </c>
      <c r="D296" s="16">
        <v>7127</v>
      </c>
      <c r="E296" s="16">
        <v>0</v>
      </c>
      <c r="F296" s="16">
        <v>0</v>
      </c>
      <c r="G296" s="16"/>
      <c r="H296" s="16">
        <v>30145</v>
      </c>
      <c r="I296" s="16">
        <v>126312</v>
      </c>
      <c r="J296" s="17">
        <v>27</v>
      </c>
      <c r="K296" s="17">
        <v>2</v>
      </c>
      <c r="L296" s="17">
        <v>1</v>
      </c>
    </row>
    <row x14ac:dyDescent="0.25" r="297" customHeight="1" ht="18.75">
      <c r="A297" s="4" t="s">
        <v>35</v>
      </c>
      <c r="B297" s="16">
        <v>0</v>
      </c>
      <c r="C297" s="16">
        <v>0</v>
      </c>
      <c r="D297" s="16">
        <v>0</v>
      </c>
      <c r="E297" s="16">
        <v>0</v>
      </c>
      <c r="F297" s="16">
        <v>0</v>
      </c>
      <c r="G297" s="16"/>
      <c r="H297" s="16">
        <v>0</v>
      </c>
      <c r="I297" s="16">
        <v>0</v>
      </c>
      <c r="J297" s="5"/>
      <c r="K297" s="5"/>
      <c r="L297" s="5"/>
    </row>
    <row x14ac:dyDescent="0.25" r="298" customHeight="1" ht="18.75">
      <c r="A298" s="2"/>
      <c r="B298" s="28"/>
      <c r="C298" s="28"/>
      <c r="D298" s="28"/>
      <c r="E298" s="28"/>
      <c r="F298" s="28"/>
      <c r="G298" s="28"/>
      <c r="H298" s="28"/>
      <c r="I298" s="28"/>
      <c r="J298" s="29"/>
      <c r="K298" s="29"/>
      <c r="L298" s="29"/>
    </row>
    <row x14ac:dyDescent="0.25" r="299" customHeight="1" ht="18.75">
      <c r="A299" s="30" t="s">
        <v>61</v>
      </c>
      <c r="B299" s="31" t="s">
        <v>4</v>
      </c>
      <c r="C299" s="31" t="s">
        <v>5</v>
      </c>
      <c r="D299" s="31" t="s">
        <v>6</v>
      </c>
      <c r="E299" s="31" t="s">
        <v>7</v>
      </c>
      <c r="F299" s="31" t="s">
        <v>8</v>
      </c>
      <c r="G299" s="31" t="s">
        <v>9</v>
      </c>
      <c r="H299" s="31" t="s">
        <v>10</v>
      </c>
      <c r="I299" s="31" t="s">
        <v>11</v>
      </c>
      <c r="J299" s="5" t="s">
        <v>12</v>
      </c>
      <c r="K299" s="5" t="s">
        <v>13</v>
      </c>
      <c r="L299" s="5" t="s">
        <v>14</v>
      </c>
    </row>
    <row x14ac:dyDescent="0.25" r="300" customHeight="1" ht="18.75">
      <c r="A300" s="6" t="s">
        <v>15</v>
      </c>
      <c r="B300" s="32" t="s">
        <v>16</v>
      </c>
      <c r="C300" s="33" t="s">
        <v>17</v>
      </c>
      <c r="D300" s="32" t="s">
        <v>18</v>
      </c>
      <c r="E300" s="32" t="s">
        <v>19</v>
      </c>
      <c r="F300" s="32" t="s">
        <v>20</v>
      </c>
      <c r="G300" s="32" t="s">
        <v>21</v>
      </c>
      <c r="H300" s="32" t="s">
        <v>22</v>
      </c>
      <c r="I300" s="33" t="s">
        <v>23</v>
      </c>
      <c r="J300" s="9" t="s">
        <v>24</v>
      </c>
      <c r="K300" s="10" t="s">
        <v>25</v>
      </c>
      <c r="L300" s="9" t="s">
        <v>26</v>
      </c>
    </row>
    <row x14ac:dyDescent="0.25" r="301" customHeight="1" ht="18.75">
      <c r="A301" s="11"/>
      <c r="B301" s="34"/>
      <c r="C301" s="35"/>
      <c r="D301" s="34"/>
      <c r="E301" s="34"/>
      <c r="F301" s="34"/>
      <c r="G301" s="34"/>
      <c r="H301" s="34"/>
      <c r="I301" s="35"/>
      <c r="J301" s="14"/>
      <c r="K301" s="15"/>
      <c r="L301" s="14"/>
    </row>
    <row x14ac:dyDescent="0.25" r="302" customHeight="1" ht="18.75">
      <c r="A302" s="4" t="s">
        <v>27</v>
      </c>
      <c r="B302" s="16">
        <f>160150</f>
      </c>
      <c r="C302" s="16">
        <v>0</v>
      </c>
      <c r="D302" s="16">
        <v>205615</v>
      </c>
      <c r="E302" s="16">
        <v>0</v>
      </c>
      <c r="F302" s="16"/>
      <c r="G302" s="16"/>
      <c r="H302" s="16">
        <f>35165</f>
      </c>
      <c r="I302" s="16">
        <v>525915</v>
      </c>
      <c r="J302" s="5"/>
      <c r="K302" s="17">
        <v>6</v>
      </c>
      <c r="L302" s="5"/>
    </row>
    <row x14ac:dyDescent="0.25" r="303" customHeight="1" ht="18.75">
      <c r="A303" s="4" t="s">
        <v>28</v>
      </c>
      <c r="B303" s="16">
        <v>149808</v>
      </c>
      <c r="C303" s="16">
        <v>0</v>
      </c>
      <c r="D303" s="16">
        <v>884407</v>
      </c>
      <c r="E303" s="16">
        <v>0</v>
      </c>
      <c r="F303" s="16">
        <v>9672</v>
      </c>
      <c r="G303" s="16"/>
      <c r="H303" s="16">
        <v>37476</v>
      </c>
      <c r="I303" s="16">
        <v>1184024</v>
      </c>
      <c r="J303" s="17">
        <v>3</v>
      </c>
      <c r="K303" s="17">
        <v>45</v>
      </c>
      <c r="L303" s="5"/>
    </row>
    <row x14ac:dyDescent="0.25" r="304" customHeight="1" ht="18.75">
      <c r="A304" s="4" t="s">
        <v>29</v>
      </c>
      <c r="B304" s="16">
        <v>160602</v>
      </c>
      <c r="C304" s="16">
        <v>0</v>
      </c>
      <c r="D304" s="16">
        <v>1211019</v>
      </c>
      <c r="E304" s="16">
        <v>0</v>
      </c>
      <c r="F304" s="16">
        <v>109930</v>
      </c>
      <c r="G304" s="16"/>
      <c r="H304" s="16">
        <v>80564</v>
      </c>
      <c r="I304" s="16">
        <v>1532223</v>
      </c>
      <c r="J304" s="17">
        <v>11</v>
      </c>
      <c r="K304" s="17">
        <v>36</v>
      </c>
      <c r="L304" s="17">
        <v>3</v>
      </c>
    </row>
    <row x14ac:dyDescent="0.25" r="305" customHeight="1" ht="18.75">
      <c r="A305" s="4" t="s">
        <v>30</v>
      </c>
      <c r="B305" s="16">
        <v>1940</v>
      </c>
      <c r="C305" s="16">
        <v>0</v>
      </c>
      <c r="D305" s="16">
        <v>191898</v>
      </c>
      <c r="E305" s="16">
        <v>0</v>
      </c>
      <c r="F305" s="16">
        <v>0</v>
      </c>
      <c r="G305" s="16"/>
      <c r="H305" s="16">
        <v>32044</v>
      </c>
      <c r="I305" s="16">
        <v>195778</v>
      </c>
      <c r="J305" s="17">
        <v>2</v>
      </c>
      <c r="K305" s="17">
        <v>2</v>
      </c>
      <c r="L305" s="17">
        <v>1</v>
      </c>
    </row>
    <row x14ac:dyDescent="0.25" r="306" customHeight="1" ht="18.75">
      <c r="A306" s="4" t="s">
        <v>31</v>
      </c>
      <c r="B306" s="16">
        <v>0</v>
      </c>
      <c r="C306" s="16">
        <v>0</v>
      </c>
      <c r="D306" s="16">
        <v>8632</v>
      </c>
      <c r="E306" s="16">
        <v>0</v>
      </c>
      <c r="F306" s="16">
        <v>0</v>
      </c>
      <c r="G306" s="16"/>
      <c r="H306" s="16">
        <v>4680</v>
      </c>
      <c r="I306" s="16">
        <v>8632</v>
      </c>
      <c r="J306" s="17">
        <v>8</v>
      </c>
      <c r="K306" s="17">
        <v>5</v>
      </c>
      <c r="L306" s="17">
        <v>1</v>
      </c>
    </row>
    <row x14ac:dyDescent="0.25" r="307" customHeight="1" ht="18.75">
      <c r="A307" s="4" t="s">
        <v>32</v>
      </c>
      <c r="B307" s="16">
        <v>69953</v>
      </c>
      <c r="C307" s="16">
        <v>0</v>
      </c>
      <c r="D307" s="16">
        <v>1128295</v>
      </c>
      <c r="E307" s="16">
        <v>0</v>
      </c>
      <c r="F307" s="16">
        <v>0</v>
      </c>
      <c r="G307" s="16"/>
      <c r="H307" s="16">
        <f>1169274</f>
      </c>
      <c r="I307" s="16">
        <v>1591980</v>
      </c>
      <c r="J307" s="17">
        <v>21</v>
      </c>
      <c r="K307" s="17">
        <v>578</v>
      </c>
      <c r="L307" s="17">
        <v>9</v>
      </c>
    </row>
    <row x14ac:dyDescent="0.25" r="308" customHeight="1" ht="18.75">
      <c r="A308" s="4" t="s">
        <v>33</v>
      </c>
      <c r="B308" s="16">
        <v>0</v>
      </c>
      <c r="C308" s="16">
        <v>0</v>
      </c>
      <c r="D308" s="16">
        <v>0</v>
      </c>
      <c r="E308" s="16">
        <v>0</v>
      </c>
      <c r="F308" s="16">
        <v>0</v>
      </c>
      <c r="G308" s="16"/>
      <c r="H308" s="16">
        <v>0</v>
      </c>
      <c r="I308" s="16">
        <v>0</v>
      </c>
      <c r="J308" s="17">
        <v>1</v>
      </c>
      <c r="K308" s="17">
        <v>2</v>
      </c>
      <c r="L308" s="5"/>
    </row>
    <row x14ac:dyDescent="0.25" r="309" customHeight="1" ht="18.75">
      <c r="A309" s="4" t="s">
        <v>34</v>
      </c>
      <c r="B309" s="16">
        <v>346123</v>
      </c>
      <c r="C309" s="16">
        <v>0</v>
      </c>
      <c r="D309" s="16">
        <v>5702</v>
      </c>
      <c r="E309" s="16">
        <v>0</v>
      </c>
      <c r="F309" s="16">
        <v>0</v>
      </c>
      <c r="G309" s="16"/>
      <c r="H309" s="16">
        <v>37198</v>
      </c>
      <c r="I309" s="16">
        <v>697948</v>
      </c>
      <c r="J309" s="17">
        <v>20</v>
      </c>
      <c r="K309" s="17">
        <v>4</v>
      </c>
      <c r="L309" s="17">
        <v>2</v>
      </c>
    </row>
    <row x14ac:dyDescent="0.25" r="310" customHeight="1" ht="18.75">
      <c r="A310" s="4" t="s">
        <v>35</v>
      </c>
      <c r="B310" s="16">
        <v>0</v>
      </c>
      <c r="C310" s="16">
        <v>0</v>
      </c>
      <c r="D310" s="16">
        <v>0</v>
      </c>
      <c r="E310" s="16">
        <v>0</v>
      </c>
      <c r="F310" s="16">
        <v>0</v>
      </c>
      <c r="G310" s="16"/>
      <c r="H310" s="16">
        <v>0</v>
      </c>
      <c r="I310" s="16">
        <v>0</v>
      </c>
      <c r="J310" s="5"/>
      <c r="K310" s="5"/>
      <c r="L310" s="5"/>
    </row>
    <row x14ac:dyDescent="0.25" r="311" customHeight="1" ht="18.75">
      <c r="A311" s="2"/>
      <c r="B311" s="28"/>
      <c r="C311" s="28"/>
      <c r="D311" s="28"/>
      <c r="E311" s="28"/>
      <c r="F311" s="28"/>
      <c r="G311" s="28"/>
      <c r="H311" s="28"/>
      <c r="I311" s="28"/>
      <c r="J311" s="29"/>
      <c r="K311" s="29"/>
      <c r="L311" s="29"/>
    </row>
    <row x14ac:dyDescent="0.25" r="312" customHeight="1" ht="18.75">
      <c r="A312" s="30" t="s">
        <v>55</v>
      </c>
      <c r="B312" s="31" t="s">
        <v>4</v>
      </c>
      <c r="C312" s="31" t="s">
        <v>5</v>
      </c>
      <c r="D312" s="31" t="s">
        <v>6</v>
      </c>
      <c r="E312" s="31" t="s">
        <v>7</v>
      </c>
      <c r="F312" s="31" t="s">
        <v>8</v>
      </c>
      <c r="G312" s="31" t="s">
        <v>9</v>
      </c>
      <c r="H312" s="31" t="s">
        <v>10</v>
      </c>
      <c r="I312" s="31" t="s">
        <v>11</v>
      </c>
      <c r="J312" s="5" t="s">
        <v>12</v>
      </c>
      <c r="K312" s="5" t="s">
        <v>13</v>
      </c>
      <c r="L312" s="5" t="s">
        <v>14</v>
      </c>
    </row>
    <row x14ac:dyDescent="0.25" r="313" customHeight="1" ht="18.75">
      <c r="A313" s="6" t="s">
        <v>15</v>
      </c>
      <c r="B313" s="32" t="s">
        <v>16</v>
      </c>
      <c r="C313" s="33" t="s">
        <v>17</v>
      </c>
      <c r="D313" s="32" t="s">
        <v>18</v>
      </c>
      <c r="E313" s="32" t="s">
        <v>19</v>
      </c>
      <c r="F313" s="32" t="s">
        <v>20</v>
      </c>
      <c r="G313" s="32" t="s">
        <v>21</v>
      </c>
      <c r="H313" s="32" t="s">
        <v>22</v>
      </c>
      <c r="I313" s="33" t="s">
        <v>23</v>
      </c>
      <c r="J313" s="9" t="s">
        <v>24</v>
      </c>
      <c r="K313" s="10" t="s">
        <v>25</v>
      </c>
      <c r="L313" s="9" t="s">
        <v>26</v>
      </c>
    </row>
    <row x14ac:dyDescent="0.25" r="314" customHeight="1" ht="18.75">
      <c r="A314" s="11"/>
      <c r="B314" s="34"/>
      <c r="C314" s="35"/>
      <c r="D314" s="34"/>
      <c r="E314" s="34"/>
      <c r="F314" s="34"/>
      <c r="G314" s="34"/>
      <c r="H314" s="34"/>
      <c r="I314" s="35"/>
      <c r="J314" s="14"/>
      <c r="K314" s="15"/>
      <c r="L314" s="14"/>
    </row>
    <row x14ac:dyDescent="0.25" r="315" customHeight="1" ht="18.75">
      <c r="A315" s="4" t="s">
        <v>27</v>
      </c>
      <c r="B315" s="16">
        <v>70373</v>
      </c>
      <c r="C315" s="16">
        <v>0</v>
      </c>
      <c r="D315" s="16">
        <v>51000</v>
      </c>
      <c r="E315" s="16">
        <v>0</v>
      </c>
      <c r="F315" s="16">
        <v>0</v>
      </c>
      <c r="G315" s="16"/>
      <c r="H315" s="16">
        <v>30147</v>
      </c>
      <c r="I315" s="16">
        <v>191747</v>
      </c>
      <c r="J315" s="17">
        <v>1</v>
      </c>
      <c r="K315" s="17">
        <v>9</v>
      </c>
      <c r="L315" s="5"/>
    </row>
    <row x14ac:dyDescent="0.25" r="316" customHeight="1" ht="18.75">
      <c r="A316" s="4" t="s">
        <v>28</v>
      </c>
      <c r="B316" s="16">
        <v>84490</v>
      </c>
      <c r="C316" s="16">
        <v>0</v>
      </c>
      <c r="D316" s="16">
        <v>414898</v>
      </c>
      <c r="E316" s="16">
        <v>0</v>
      </c>
      <c r="F316" s="16">
        <v>16651</v>
      </c>
      <c r="G316" s="16"/>
      <c r="H316" s="16">
        <v>28308</v>
      </c>
      <c r="I316" s="16">
        <v>583877</v>
      </c>
      <c r="J316" s="17">
        <v>3</v>
      </c>
      <c r="K316" s="17">
        <v>19</v>
      </c>
      <c r="L316" s="17">
        <v>1</v>
      </c>
    </row>
    <row x14ac:dyDescent="0.25" r="317" customHeight="1" ht="18.75">
      <c r="A317" s="4" t="s">
        <v>29</v>
      </c>
      <c r="B317" s="16">
        <f>774944</f>
      </c>
      <c r="C317" s="16">
        <v>0</v>
      </c>
      <c r="D317" s="16">
        <f>787914</f>
      </c>
      <c r="E317" s="16">
        <v>0</v>
      </c>
      <c r="F317" s="16">
        <v>126050</v>
      </c>
      <c r="G317" s="16"/>
      <c r="H317" s="16">
        <f>196323</f>
      </c>
      <c r="I317" s="16">
        <v>2337802</v>
      </c>
      <c r="J317" s="17">
        <v>12</v>
      </c>
      <c r="K317" s="17">
        <v>19</v>
      </c>
      <c r="L317" s="17">
        <v>4</v>
      </c>
    </row>
    <row x14ac:dyDescent="0.25" r="318" customHeight="1" ht="18.75">
      <c r="A318" s="4" t="s">
        <v>30</v>
      </c>
      <c r="B318" s="16">
        <v>11852</v>
      </c>
      <c r="C318" s="16">
        <v>0</v>
      </c>
      <c r="D318" s="16">
        <v>82680</v>
      </c>
      <c r="E318" s="16">
        <v>0</v>
      </c>
      <c r="F318" s="16">
        <v>0</v>
      </c>
      <c r="G318" s="16"/>
      <c r="H318" s="16">
        <v>8143</v>
      </c>
      <c r="I318" s="16">
        <v>106385</v>
      </c>
      <c r="J318" s="5"/>
      <c r="K318" s="17">
        <v>2</v>
      </c>
      <c r="L318" s="5"/>
    </row>
    <row x14ac:dyDescent="0.25" r="319" customHeight="1" ht="18.75">
      <c r="A319" s="4" t="s">
        <v>31</v>
      </c>
      <c r="B319" s="16">
        <v>13583</v>
      </c>
      <c r="C319" s="16">
        <v>0</v>
      </c>
      <c r="D319" s="16">
        <v>98065</v>
      </c>
      <c r="E319" s="16">
        <v>0</v>
      </c>
      <c r="F319" s="16">
        <v>0</v>
      </c>
      <c r="G319" s="16"/>
      <c r="H319" s="16">
        <v>4751</v>
      </c>
      <c r="I319" s="16">
        <v>125231</v>
      </c>
      <c r="J319" s="17">
        <v>15</v>
      </c>
      <c r="K319" s="17">
        <v>1</v>
      </c>
      <c r="L319" s="17">
        <v>2</v>
      </c>
    </row>
    <row x14ac:dyDescent="0.25" r="320" customHeight="1" ht="18.75">
      <c r="A320" s="4" t="s">
        <v>32</v>
      </c>
      <c r="B320" s="16">
        <f>26802</f>
      </c>
      <c r="C320" s="16">
        <v>0</v>
      </c>
      <c r="D320" s="16">
        <v>845188</v>
      </c>
      <c r="E320" s="16">
        <v>0</v>
      </c>
      <c r="F320" s="16">
        <v>0</v>
      </c>
      <c r="G320" s="16"/>
      <c r="H320" s="16">
        <f>910849</f>
      </c>
      <c r="I320" s="16">
        <v>1235038</v>
      </c>
      <c r="J320" s="17">
        <v>21</v>
      </c>
      <c r="K320" s="17">
        <v>417</v>
      </c>
      <c r="L320" s="17">
        <v>6</v>
      </c>
    </row>
    <row x14ac:dyDescent="0.25" r="321" customHeight="1" ht="18.75">
      <c r="A321" s="4" t="s">
        <v>33</v>
      </c>
      <c r="B321" s="16">
        <v>0</v>
      </c>
      <c r="C321" s="16">
        <v>0</v>
      </c>
      <c r="D321" s="16">
        <v>0</v>
      </c>
      <c r="E321" s="16">
        <v>0</v>
      </c>
      <c r="F321" s="16">
        <v>0</v>
      </c>
      <c r="G321" s="16"/>
      <c r="H321" s="16">
        <v>0</v>
      </c>
      <c r="I321" s="16">
        <v>0</v>
      </c>
      <c r="J321" s="5"/>
      <c r="K321" s="5"/>
      <c r="L321" s="5"/>
    </row>
    <row x14ac:dyDescent="0.25" r="322" customHeight="1" ht="18.75">
      <c r="A322" s="4" t="s">
        <v>34</v>
      </c>
      <c r="B322" s="16">
        <v>49613</v>
      </c>
      <c r="C322" s="16">
        <v>0</v>
      </c>
      <c r="D322" s="16">
        <v>2851</v>
      </c>
      <c r="E322" s="16">
        <v>0</v>
      </c>
      <c r="F322" s="16">
        <v>0</v>
      </c>
      <c r="G322" s="16"/>
      <c r="H322" s="16">
        <v>15217</v>
      </c>
      <c r="I322" s="16">
        <v>102076</v>
      </c>
      <c r="J322" s="17">
        <v>20</v>
      </c>
      <c r="K322" s="17">
        <v>2</v>
      </c>
      <c r="L322" s="5"/>
    </row>
    <row x14ac:dyDescent="0.25" r="323" customHeight="1" ht="18.75">
      <c r="A323" s="4" t="s">
        <v>35</v>
      </c>
      <c r="B323" s="16">
        <v>0</v>
      </c>
      <c r="C323" s="16">
        <v>0</v>
      </c>
      <c r="D323" s="16">
        <v>0</v>
      </c>
      <c r="E323" s="16">
        <v>0</v>
      </c>
      <c r="F323" s="16">
        <v>0</v>
      </c>
      <c r="G323" s="16"/>
      <c r="H323" s="16">
        <v>0</v>
      </c>
      <c r="I323" s="16">
        <v>0</v>
      </c>
      <c r="J323" s="5"/>
      <c r="K323" s="5"/>
      <c r="L323" s="5"/>
    </row>
    <row x14ac:dyDescent="0.25" r="324" customHeight="1" ht="18.75">
      <c r="A324" s="2"/>
      <c r="B324" s="28"/>
      <c r="C324" s="28"/>
      <c r="D324" s="28"/>
      <c r="E324" s="28"/>
      <c r="F324" s="28"/>
      <c r="G324" s="28"/>
      <c r="H324" s="28"/>
      <c r="I324" s="28"/>
      <c r="J324" s="29"/>
      <c r="K324" s="29"/>
      <c r="L324" s="29"/>
    </row>
    <row x14ac:dyDescent="0.25" r="325" customHeight="1" ht="18.75">
      <c r="A325" s="30" t="s">
        <v>56</v>
      </c>
      <c r="B325" s="31" t="s">
        <v>4</v>
      </c>
      <c r="C325" s="31" t="s">
        <v>5</v>
      </c>
      <c r="D325" s="31" t="s">
        <v>6</v>
      </c>
      <c r="E325" s="31" t="s">
        <v>7</v>
      </c>
      <c r="F325" s="31" t="s">
        <v>8</v>
      </c>
      <c r="G325" s="31" t="s">
        <v>9</v>
      </c>
      <c r="H325" s="31" t="s">
        <v>10</v>
      </c>
      <c r="I325" s="31" t="s">
        <v>11</v>
      </c>
      <c r="J325" s="5" t="s">
        <v>12</v>
      </c>
      <c r="K325" s="5" t="s">
        <v>13</v>
      </c>
      <c r="L325" s="5" t="s">
        <v>14</v>
      </c>
    </row>
    <row x14ac:dyDescent="0.25" r="326" customHeight="1" ht="18.75">
      <c r="A326" s="6" t="s">
        <v>15</v>
      </c>
      <c r="B326" s="32" t="s">
        <v>16</v>
      </c>
      <c r="C326" s="33" t="s">
        <v>17</v>
      </c>
      <c r="D326" s="32" t="s">
        <v>18</v>
      </c>
      <c r="E326" s="32" t="s">
        <v>19</v>
      </c>
      <c r="F326" s="32" t="s">
        <v>20</v>
      </c>
      <c r="G326" s="32" t="s">
        <v>21</v>
      </c>
      <c r="H326" s="32" t="s">
        <v>22</v>
      </c>
      <c r="I326" s="33" t="s">
        <v>23</v>
      </c>
      <c r="J326" s="9" t="s">
        <v>24</v>
      </c>
      <c r="K326" s="10" t="s">
        <v>25</v>
      </c>
      <c r="L326" s="9" t="s">
        <v>26</v>
      </c>
    </row>
    <row x14ac:dyDescent="0.25" r="327" customHeight="1" ht="18.75">
      <c r="A327" s="11"/>
      <c r="B327" s="34"/>
      <c r="C327" s="35"/>
      <c r="D327" s="34"/>
      <c r="E327" s="34"/>
      <c r="F327" s="34"/>
      <c r="G327" s="34"/>
      <c r="H327" s="34"/>
      <c r="I327" s="35"/>
      <c r="J327" s="14"/>
      <c r="K327" s="15"/>
      <c r="L327" s="14"/>
    </row>
    <row x14ac:dyDescent="0.25" r="328" customHeight="1" ht="18.75">
      <c r="A328" s="4" t="s">
        <v>27</v>
      </c>
      <c r="B328" s="16">
        <v>67680</v>
      </c>
      <c r="C328" s="16">
        <v>0</v>
      </c>
      <c r="D328" s="16">
        <v>104473</v>
      </c>
      <c r="E328" s="16">
        <v>0</v>
      </c>
      <c r="F328" s="16">
        <v>0</v>
      </c>
      <c r="G328" s="16"/>
      <c r="H328" s="16">
        <v>18979</v>
      </c>
      <c r="I328" s="16">
        <v>239832</v>
      </c>
      <c r="J328" s="5"/>
      <c r="K328" s="17">
        <v>17</v>
      </c>
      <c r="L328" s="5"/>
    </row>
    <row x14ac:dyDescent="0.25" r="329" customHeight="1" ht="18.75">
      <c r="A329" s="4" t="s">
        <v>28</v>
      </c>
      <c r="B329" s="16">
        <v>20308</v>
      </c>
      <c r="C329" s="16">
        <v>0</v>
      </c>
      <c r="D329" s="16">
        <v>202926</v>
      </c>
      <c r="E329" s="16">
        <v>0</v>
      </c>
      <c r="F329" s="16">
        <v>19731</v>
      </c>
      <c r="G329" s="16"/>
      <c r="H329" s="16">
        <v>23478</v>
      </c>
      <c r="I329" s="16">
        <v>243541</v>
      </c>
      <c r="J329" s="17">
        <v>2</v>
      </c>
      <c r="K329" s="17">
        <v>27</v>
      </c>
      <c r="L329" s="17">
        <v>1</v>
      </c>
    </row>
    <row x14ac:dyDescent="0.25" r="330" customHeight="1" ht="18.75">
      <c r="A330" s="4" t="s">
        <v>29</v>
      </c>
      <c r="B330" s="16">
        <v>210705</v>
      </c>
      <c r="C330" s="16">
        <v>0</v>
      </c>
      <c r="D330" s="16">
        <v>1041772</v>
      </c>
      <c r="E330" s="16">
        <v>0</v>
      </c>
      <c r="F330" s="16">
        <v>18809</v>
      </c>
      <c r="G330" s="16"/>
      <c r="H330" s="16">
        <v>54135</v>
      </c>
      <c r="I330" s="16">
        <v>1463182</v>
      </c>
      <c r="J330" s="17">
        <v>15</v>
      </c>
      <c r="K330" s="17">
        <v>25</v>
      </c>
      <c r="L330" s="5"/>
    </row>
    <row x14ac:dyDescent="0.25" r="331" customHeight="1" ht="18.75">
      <c r="A331" s="4" t="s">
        <v>30</v>
      </c>
      <c r="B331" s="16">
        <v>0</v>
      </c>
      <c r="C331" s="16">
        <v>0</v>
      </c>
      <c r="D331" s="16">
        <v>102422</v>
      </c>
      <c r="E331" s="16">
        <v>0</v>
      </c>
      <c r="F331" s="16">
        <v>0</v>
      </c>
      <c r="G331" s="16"/>
      <c r="H331" s="16">
        <v>5203</v>
      </c>
      <c r="I331" s="16">
        <v>102422</v>
      </c>
      <c r="J331" s="5"/>
      <c r="K331" s="17">
        <v>2</v>
      </c>
      <c r="L331" s="5"/>
    </row>
    <row x14ac:dyDescent="0.25" r="332" customHeight="1" ht="18.75">
      <c r="A332" s="4" t="s">
        <v>31</v>
      </c>
      <c r="B332" s="16">
        <v>34210</v>
      </c>
      <c r="C332" s="16">
        <v>0</v>
      </c>
      <c r="D332" s="16">
        <v>49226</v>
      </c>
      <c r="E332" s="16">
        <v>0</v>
      </c>
      <c r="F332" s="16">
        <v>3953</v>
      </c>
      <c r="G332" s="16"/>
      <c r="H332" s="16">
        <v>12282</v>
      </c>
      <c r="I332" s="16">
        <v>120118</v>
      </c>
      <c r="J332" s="17">
        <v>9</v>
      </c>
      <c r="K332" s="17">
        <v>6</v>
      </c>
      <c r="L332" s="17">
        <v>3</v>
      </c>
    </row>
    <row x14ac:dyDescent="0.25" r="333" customHeight="1" ht="18.75">
      <c r="A333" s="4" t="s">
        <v>32</v>
      </c>
      <c r="B333" s="16">
        <v>65531</v>
      </c>
      <c r="C333" s="16">
        <v>0</v>
      </c>
      <c r="D333" s="16">
        <v>1102895</v>
      </c>
      <c r="E333" s="16">
        <v>0</v>
      </c>
      <c r="F333" s="16">
        <v>0</v>
      </c>
      <c r="G333" s="16"/>
      <c r="H333" s="16">
        <f>1028187</f>
      </c>
      <c r="I333" s="16">
        <v>1607153</v>
      </c>
      <c r="J333" s="17">
        <v>27</v>
      </c>
      <c r="K333" s="17">
        <v>827</v>
      </c>
      <c r="L333" s="17">
        <v>13</v>
      </c>
    </row>
    <row x14ac:dyDescent="0.25" r="334" customHeight="1" ht="18.75">
      <c r="A334" s="4" t="s">
        <v>33</v>
      </c>
      <c r="B334" s="16">
        <v>0</v>
      </c>
      <c r="C334" s="16">
        <v>0</v>
      </c>
      <c r="D334" s="16">
        <v>0</v>
      </c>
      <c r="E334" s="16">
        <v>0</v>
      </c>
      <c r="F334" s="16">
        <v>0</v>
      </c>
      <c r="G334" s="16"/>
      <c r="H334" s="16">
        <v>5135</v>
      </c>
      <c r="I334" s="16">
        <v>0</v>
      </c>
      <c r="J334" s="17">
        <v>2</v>
      </c>
      <c r="K334" s="17">
        <v>7</v>
      </c>
      <c r="L334" s="17">
        <v>1</v>
      </c>
    </row>
    <row x14ac:dyDescent="0.25" r="335" customHeight="1" ht="18.75">
      <c r="A335" s="4" t="s">
        <v>34</v>
      </c>
      <c r="B335" s="16">
        <v>39426</v>
      </c>
      <c r="C335" s="16">
        <v>0</v>
      </c>
      <c r="D335" s="16">
        <v>6415</v>
      </c>
      <c r="E335" s="16">
        <v>0</v>
      </c>
      <c r="F335" s="16">
        <v>0</v>
      </c>
      <c r="G335" s="16"/>
      <c r="H335" s="16">
        <v>31574</v>
      </c>
      <c r="I335" s="16">
        <v>85266</v>
      </c>
      <c r="J335" s="17">
        <v>6</v>
      </c>
      <c r="K335" s="17">
        <v>2</v>
      </c>
      <c r="L335" s="17">
        <v>1</v>
      </c>
    </row>
    <row x14ac:dyDescent="0.25" r="336" customHeight="1" ht="18.75">
      <c r="A336" s="4" t="s">
        <v>35</v>
      </c>
      <c r="B336" s="16">
        <v>0</v>
      </c>
      <c r="C336" s="16">
        <v>0</v>
      </c>
      <c r="D336" s="16">
        <v>0</v>
      </c>
      <c r="E336" s="16">
        <v>0</v>
      </c>
      <c r="F336" s="16">
        <v>0</v>
      </c>
      <c r="G336" s="16"/>
      <c r="H336" s="16">
        <v>0</v>
      </c>
      <c r="I336" s="16">
        <v>0</v>
      </c>
      <c r="J336" s="5"/>
      <c r="K336" s="5"/>
      <c r="L336" s="5"/>
    </row>
    <row x14ac:dyDescent="0.25" r="337" customHeight="1" ht="18.75">
      <c r="A337" s="2"/>
      <c r="B337" s="28"/>
      <c r="C337" s="28"/>
      <c r="D337" s="28"/>
      <c r="E337" s="28"/>
      <c r="F337" s="28"/>
      <c r="G337" s="28"/>
      <c r="H337" s="28"/>
      <c r="I337" s="28"/>
      <c r="J337" s="29"/>
      <c r="K337" s="29"/>
      <c r="L337" s="29"/>
    </row>
    <row x14ac:dyDescent="0.25" r="338" customHeight="1" ht="18.75">
      <c r="A338" s="30" t="s">
        <v>57</v>
      </c>
      <c r="B338" s="31" t="s">
        <v>4</v>
      </c>
      <c r="C338" s="31" t="s">
        <v>5</v>
      </c>
      <c r="D338" s="31" t="s">
        <v>6</v>
      </c>
      <c r="E338" s="31" t="s">
        <v>7</v>
      </c>
      <c r="F338" s="31" t="s">
        <v>8</v>
      </c>
      <c r="G338" s="31" t="s">
        <v>9</v>
      </c>
      <c r="H338" s="31" t="s">
        <v>10</v>
      </c>
      <c r="I338" s="31" t="s">
        <v>11</v>
      </c>
      <c r="J338" s="5" t="s">
        <v>12</v>
      </c>
      <c r="K338" s="5" t="s">
        <v>13</v>
      </c>
      <c r="L338" s="5" t="s">
        <v>14</v>
      </c>
    </row>
    <row x14ac:dyDescent="0.25" r="339" customHeight="1" ht="18.75">
      <c r="A339" s="6" t="s">
        <v>15</v>
      </c>
      <c r="B339" s="32" t="s">
        <v>16</v>
      </c>
      <c r="C339" s="33" t="s">
        <v>17</v>
      </c>
      <c r="D339" s="32" t="s">
        <v>18</v>
      </c>
      <c r="E339" s="32" t="s">
        <v>19</v>
      </c>
      <c r="F339" s="32" t="s">
        <v>20</v>
      </c>
      <c r="G339" s="32" t="s">
        <v>21</v>
      </c>
      <c r="H339" s="32" t="s">
        <v>22</v>
      </c>
      <c r="I339" s="33" t="s">
        <v>23</v>
      </c>
      <c r="J339" s="9" t="s">
        <v>24</v>
      </c>
      <c r="K339" s="10" t="s">
        <v>25</v>
      </c>
      <c r="L339" s="9" t="s">
        <v>26</v>
      </c>
    </row>
    <row x14ac:dyDescent="0.25" r="340" customHeight="1" ht="18.75">
      <c r="A340" s="11"/>
      <c r="B340" s="34"/>
      <c r="C340" s="35"/>
      <c r="D340" s="34"/>
      <c r="E340" s="34"/>
      <c r="F340" s="34"/>
      <c r="G340" s="34"/>
      <c r="H340" s="34"/>
      <c r="I340" s="35"/>
      <c r="J340" s="14"/>
      <c r="K340" s="15"/>
      <c r="L340" s="14"/>
    </row>
    <row x14ac:dyDescent="0.25" r="341" customHeight="1" ht="18.75">
      <c r="A341" s="4" t="s">
        <v>27</v>
      </c>
      <c r="B341" s="16">
        <v>1132913</v>
      </c>
      <c r="C341" s="16">
        <v>0</v>
      </c>
      <c r="D341" s="16">
        <v>1294629</v>
      </c>
      <c r="E341" s="16">
        <v>0</v>
      </c>
      <c r="F341" s="16">
        <v>27247</v>
      </c>
      <c r="G341" s="16"/>
      <c r="H341" s="16">
        <v>780523</v>
      </c>
      <c r="I341" s="16">
        <v>3560454</v>
      </c>
      <c r="J341" s="17">
        <v>15</v>
      </c>
      <c r="K341" s="17">
        <v>86</v>
      </c>
      <c r="L341" s="17">
        <v>1</v>
      </c>
    </row>
    <row x14ac:dyDescent="0.25" r="342" customHeight="1" ht="18.75">
      <c r="A342" s="4" t="s">
        <v>28</v>
      </c>
      <c r="B342" s="16">
        <v>1410430</v>
      </c>
      <c r="C342" s="16">
        <v>0</v>
      </c>
      <c r="D342" s="16">
        <v>5904730</v>
      </c>
      <c r="E342" s="16">
        <v>0</v>
      </c>
      <c r="F342" s="16">
        <v>75944</v>
      </c>
      <c r="G342" s="16"/>
      <c r="H342" s="16">
        <v>361665</v>
      </c>
      <c r="I342" s="16">
        <v>8725589</v>
      </c>
      <c r="J342" s="17">
        <v>26</v>
      </c>
      <c r="K342" s="17">
        <v>290</v>
      </c>
      <c r="L342" s="17">
        <v>4</v>
      </c>
    </row>
    <row x14ac:dyDescent="0.25" r="343" customHeight="1" ht="18.75">
      <c r="A343" s="4" t="s">
        <v>29</v>
      </c>
      <c r="B343" s="16">
        <v>4829519</v>
      </c>
      <c r="C343" s="16">
        <v>0</v>
      </c>
      <c r="D343" s="16">
        <v>8480210</v>
      </c>
      <c r="E343" s="16">
        <v>0</v>
      </c>
      <c r="F343" s="16">
        <v>375929</v>
      </c>
      <c r="G343" s="16"/>
      <c r="H343" s="16">
        <v>1408237</v>
      </c>
      <c r="I343" s="16">
        <v>18143625</v>
      </c>
      <c r="J343" s="17">
        <v>160</v>
      </c>
      <c r="K343" s="17">
        <v>298</v>
      </c>
      <c r="L343" s="17">
        <v>27</v>
      </c>
    </row>
    <row x14ac:dyDescent="0.25" r="344" customHeight="1" ht="18.75">
      <c r="A344" s="4" t="s">
        <v>30</v>
      </c>
      <c r="B344" s="16">
        <v>376415</v>
      </c>
      <c r="C344" s="16">
        <v>0</v>
      </c>
      <c r="D344" s="16">
        <v>973693</v>
      </c>
      <c r="E344" s="16">
        <v>0</v>
      </c>
      <c r="F344" s="16">
        <v>0</v>
      </c>
      <c r="G344" s="16"/>
      <c r="H344" s="16">
        <v>122657</v>
      </c>
      <c r="I344" s="16">
        <v>1726523</v>
      </c>
      <c r="J344" s="17">
        <v>7</v>
      </c>
      <c r="K344" s="17">
        <v>19</v>
      </c>
      <c r="L344" s="17">
        <v>6</v>
      </c>
    </row>
    <row x14ac:dyDescent="0.25" r="345" customHeight="1" ht="18.75">
      <c r="A345" s="4" t="s">
        <v>31</v>
      </c>
      <c r="B345" s="16">
        <v>211622</v>
      </c>
      <c r="C345" s="16">
        <v>0</v>
      </c>
      <c r="D345" s="16">
        <v>1604374</v>
      </c>
      <c r="E345" s="16">
        <v>0</v>
      </c>
      <c r="F345" s="16">
        <v>83729</v>
      </c>
      <c r="G345" s="16"/>
      <c r="H345" s="16">
        <v>158241</v>
      </c>
      <c r="I345" s="16">
        <v>2047870</v>
      </c>
      <c r="J345" s="17">
        <v>107</v>
      </c>
      <c r="K345" s="17">
        <v>55</v>
      </c>
      <c r="L345" s="17">
        <v>25</v>
      </c>
    </row>
    <row x14ac:dyDescent="0.25" r="346" customHeight="1" ht="18.75">
      <c r="A346" s="4" t="s">
        <v>32</v>
      </c>
      <c r="B346" s="16">
        <v>676092</v>
      </c>
      <c r="C346" s="16">
        <v>0</v>
      </c>
      <c r="D346" s="16">
        <v>12324689</v>
      </c>
      <c r="E346" s="16">
        <v>0</v>
      </c>
      <c r="F346" s="16">
        <v>828</v>
      </c>
      <c r="G346" s="16"/>
      <c r="H346" s="16">
        <v>13243940</v>
      </c>
      <c r="I346" s="16">
        <v>17925813</v>
      </c>
      <c r="J346" s="17">
        <v>373</v>
      </c>
      <c r="K346" s="17">
        <v>4928</v>
      </c>
      <c r="L346" s="17">
        <v>121</v>
      </c>
    </row>
    <row x14ac:dyDescent="0.25" r="347" customHeight="1" ht="18.75">
      <c r="A347" s="4" t="s">
        <v>33</v>
      </c>
      <c r="B347" s="16">
        <v>5639</v>
      </c>
      <c r="C347" s="16">
        <v>0</v>
      </c>
      <c r="D347" s="16">
        <v>2897</v>
      </c>
      <c r="E347" s="16">
        <v>0</v>
      </c>
      <c r="F347" s="16">
        <v>0</v>
      </c>
      <c r="G347" s="16"/>
      <c r="H347" s="16">
        <v>73601</v>
      </c>
      <c r="I347" s="16">
        <v>14175</v>
      </c>
      <c r="J347" s="17">
        <v>16</v>
      </c>
      <c r="K347" s="17">
        <v>31</v>
      </c>
      <c r="L347" s="17">
        <v>2</v>
      </c>
    </row>
    <row x14ac:dyDescent="0.25" r="348" customHeight="1" ht="18.75">
      <c r="A348" s="4" t="s">
        <v>34</v>
      </c>
      <c r="B348" s="16">
        <v>829514</v>
      </c>
      <c r="C348" s="16">
        <v>0</v>
      </c>
      <c r="D348" s="16">
        <v>53786</v>
      </c>
      <c r="E348" s="16">
        <v>0</v>
      </c>
      <c r="F348" s="16">
        <v>0</v>
      </c>
      <c r="G348" s="16"/>
      <c r="H348" s="16">
        <v>337114</v>
      </c>
      <c r="I348" s="16">
        <v>1712814</v>
      </c>
      <c r="J348" s="17">
        <v>241</v>
      </c>
      <c r="K348" s="17">
        <v>23</v>
      </c>
      <c r="L348" s="17">
        <v>27</v>
      </c>
    </row>
    <row x14ac:dyDescent="0.25" r="349" customHeight="1" ht="18.75">
      <c r="A349" s="4" t="s">
        <v>35</v>
      </c>
      <c r="B349" s="16">
        <v>0</v>
      </c>
      <c r="C349" s="16">
        <v>0</v>
      </c>
      <c r="D349" s="16">
        <v>0</v>
      </c>
      <c r="E349" s="16">
        <v>0</v>
      </c>
      <c r="F349" s="16">
        <v>0</v>
      </c>
      <c r="G349" s="16"/>
      <c r="H349" s="16">
        <v>0</v>
      </c>
      <c r="I349" s="16">
        <v>0</v>
      </c>
      <c r="J349" s="17">
        <v>0</v>
      </c>
      <c r="K349" s="17">
        <v>0</v>
      </c>
      <c r="L349" s="17">
        <v>0</v>
      </c>
    </row>
    <row x14ac:dyDescent="0.25" r="350" customHeight="1" ht="18.75">
      <c r="A350" s="2"/>
      <c r="B350" s="28"/>
      <c r="C350" s="28"/>
      <c r="D350" s="28"/>
      <c r="E350" s="28"/>
      <c r="F350" s="28"/>
      <c r="G350" s="28"/>
      <c r="H350" s="28"/>
      <c r="I350" s="28"/>
      <c r="J350" s="29"/>
      <c r="K350" s="29"/>
      <c r="L350" s="29"/>
    </row>
    <row x14ac:dyDescent="0.25" r="351" customHeight="1" ht="18.75">
      <c r="A351" s="2"/>
      <c r="B351" s="28"/>
      <c r="C351" s="28"/>
      <c r="D351" s="28"/>
      <c r="E351" s="28"/>
      <c r="F351" s="28"/>
      <c r="G351" s="28"/>
      <c r="H351" s="28"/>
      <c r="I351" s="28"/>
      <c r="J351" s="29"/>
      <c r="K351" s="29"/>
      <c r="L351" s="29"/>
    </row>
    <row x14ac:dyDescent="0.25" r="352" customHeight="1" ht="18.75">
      <c r="A352" s="2"/>
      <c r="B352" s="28"/>
      <c r="C352" s="28"/>
      <c r="D352" s="28"/>
      <c r="E352" s="28"/>
      <c r="F352" s="28"/>
      <c r="G352" s="28"/>
      <c r="H352" s="28"/>
      <c r="I352" s="28"/>
      <c r="J352" s="29"/>
      <c r="K352" s="29"/>
      <c r="L352" s="29"/>
    </row>
    <row x14ac:dyDescent="0.25" r="353" customHeight="1" ht="18.75">
      <c r="A353" s="1" t="s">
        <v>38</v>
      </c>
      <c r="B353" s="28"/>
      <c r="C353" s="28"/>
      <c r="D353" s="28"/>
      <c r="E353" s="28"/>
      <c r="F353" s="28"/>
      <c r="G353" s="28"/>
      <c r="H353" s="28"/>
      <c r="I353" s="28"/>
      <c r="J353" s="29"/>
      <c r="K353" s="29"/>
      <c r="L353" s="29"/>
    </row>
    <row x14ac:dyDescent="0.25" r="354" customHeight="1" ht="18.75">
      <c r="A354" s="2" t="s">
        <v>1</v>
      </c>
      <c r="B354" s="28"/>
      <c r="C354" s="28"/>
      <c r="D354" s="28"/>
      <c r="E354" s="28"/>
      <c r="F354" s="28"/>
      <c r="G354" s="28"/>
      <c r="H354" s="28"/>
      <c r="I354" s="28"/>
      <c r="J354" s="29"/>
      <c r="K354" s="29"/>
      <c r="L354" s="29"/>
    </row>
    <row x14ac:dyDescent="0.25" r="355" customHeight="1" ht="18.75">
      <c r="A355" s="2" t="s">
        <v>2</v>
      </c>
      <c r="B355" s="28"/>
      <c r="C355" s="28"/>
      <c r="D355" s="28"/>
      <c r="E355" s="28"/>
      <c r="F355" s="28"/>
      <c r="G355" s="28"/>
      <c r="H355" s="28"/>
      <c r="I355" s="28"/>
      <c r="J355" s="29"/>
      <c r="K355" s="29"/>
      <c r="L355" s="29"/>
    </row>
    <row x14ac:dyDescent="0.25" r="356" customHeight="1" ht="18.75">
      <c r="A356" s="2"/>
      <c r="B356" s="28"/>
      <c r="C356" s="28"/>
      <c r="D356" s="28"/>
      <c r="E356" s="28"/>
      <c r="F356" s="28"/>
      <c r="G356" s="28"/>
      <c r="H356" s="28"/>
      <c r="I356" s="28"/>
      <c r="J356" s="29"/>
      <c r="K356" s="29"/>
      <c r="L356" s="29"/>
    </row>
    <row x14ac:dyDescent="0.25" r="357" customHeight="1" ht="18.75">
      <c r="A357" s="36" t="s">
        <v>45</v>
      </c>
      <c r="B357" s="31" t="s">
        <v>4</v>
      </c>
      <c r="C357" s="31" t="s">
        <v>5</v>
      </c>
      <c r="D357" s="31" t="s">
        <v>6</v>
      </c>
      <c r="E357" s="31" t="s">
        <v>7</v>
      </c>
      <c r="F357" s="31" t="s">
        <v>8</v>
      </c>
      <c r="G357" s="31" t="s">
        <v>9</v>
      </c>
      <c r="H357" s="31" t="s">
        <v>10</v>
      </c>
      <c r="I357" s="31" t="s">
        <v>11</v>
      </c>
      <c r="J357" s="5" t="s">
        <v>12</v>
      </c>
      <c r="K357" s="5" t="s">
        <v>13</v>
      </c>
      <c r="L357" s="5" t="s">
        <v>14</v>
      </c>
    </row>
    <row x14ac:dyDescent="0.25" r="358" customHeight="1" ht="18.75">
      <c r="A358" s="6" t="s">
        <v>15</v>
      </c>
      <c r="B358" s="32" t="s">
        <v>16</v>
      </c>
      <c r="C358" s="33" t="s">
        <v>17</v>
      </c>
      <c r="D358" s="32" t="s">
        <v>18</v>
      </c>
      <c r="E358" s="32" t="s">
        <v>19</v>
      </c>
      <c r="F358" s="32" t="s">
        <v>20</v>
      </c>
      <c r="G358" s="32" t="s">
        <v>21</v>
      </c>
      <c r="H358" s="32" t="s">
        <v>22</v>
      </c>
      <c r="I358" s="33" t="s">
        <v>23</v>
      </c>
      <c r="J358" s="9" t="s">
        <v>24</v>
      </c>
      <c r="K358" s="10" t="s">
        <v>25</v>
      </c>
      <c r="L358" s="9" t="s">
        <v>26</v>
      </c>
    </row>
    <row x14ac:dyDescent="0.25" r="359" customHeight="1" ht="18.75">
      <c r="A359" s="11"/>
      <c r="B359" s="34"/>
      <c r="C359" s="35"/>
      <c r="D359" s="34"/>
      <c r="E359" s="34"/>
      <c r="F359" s="34"/>
      <c r="G359" s="34"/>
      <c r="H359" s="34"/>
      <c r="I359" s="35"/>
      <c r="J359" s="14"/>
      <c r="K359" s="15"/>
      <c r="L359" s="14"/>
    </row>
    <row x14ac:dyDescent="0.25" r="360" customHeight="1" ht="18.75">
      <c r="A360" s="4" t="s">
        <v>27</v>
      </c>
      <c r="B360" s="16">
        <v>0</v>
      </c>
      <c r="C360" s="16">
        <v>0</v>
      </c>
      <c r="D360" s="16">
        <v>0</v>
      </c>
      <c r="E360" s="16">
        <v>0</v>
      </c>
      <c r="F360" s="16">
        <v>0</v>
      </c>
      <c r="G360" s="16">
        <v>0</v>
      </c>
      <c r="H360" s="16">
        <v>0</v>
      </c>
      <c r="I360" s="16">
        <v>0</v>
      </c>
      <c r="J360" s="5"/>
      <c r="K360" s="5"/>
      <c r="L360" s="5"/>
    </row>
    <row x14ac:dyDescent="0.25" r="361" customHeight="1" ht="18.75">
      <c r="A361" s="4" t="s">
        <v>28</v>
      </c>
      <c r="B361" s="16">
        <v>0</v>
      </c>
      <c r="C361" s="16">
        <v>0</v>
      </c>
      <c r="D361" s="16">
        <v>0</v>
      </c>
      <c r="E361" s="16">
        <v>0</v>
      </c>
      <c r="F361" s="16">
        <v>0</v>
      </c>
      <c r="G361" s="16">
        <v>0</v>
      </c>
      <c r="H361" s="16">
        <v>0</v>
      </c>
      <c r="I361" s="16">
        <v>0</v>
      </c>
      <c r="J361" s="5"/>
      <c r="K361" s="5"/>
      <c r="L361" s="5"/>
    </row>
    <row x14ac:dyDescent="0.25" r="362" customHeight="1" ht="18.75">
      <c r="A362" s="4" t="s">
        <v>29</v>
      </c>
      <c r="B362" s="16">
        <v>40309</v>
      </c>
      <c r="C362" s="16">
        <v>0</v>
      </c>
      <c r="D362" s="16">
        <v>23854</v>
      </c>
      <c r="E362" s="16">
        <v>0</v>
      </c>
      <c r="F362" s="16">
        <v>0</v>
      </c>
      <c r="G362" s="16">
        <v>0</v>
      </c>
      <c r="H362" s="16">
        <v>6454</v>
      </c>
      <c r="I362" s="16">
        <v>104473</v>
      </c>
      <c r="J362" s="5"/>
      <c r="K362" s="17">
        <v>2</v>
      </c>
      <c r="L362" s="5"/>
    </row>
    <row x14ac:dyDescent="0.25" r="363" customHeight="1" ht="18.75">
      <c r="A363" s="4" t="s">
        <v>30</v>
      </c>
      <c r="B363" s="16">
        <v>0</v>
      </c>
      <c r="C363" s="16">
        <v>0</v>
      </c>
      <c r="D363" s="16">
        <v>0</v>
      </c>
      <c r="E363" s="16">
        <v>0</v>
      </c>
      <c r="F363" s="16">
        <v>0</v>
      </c>
      <c r="G363" s="16">
        <v>0</v>
      </c>
      <c r="H363" s="16">
        <v>0</v>
      </c>
      <c r="I363" s="16">
        <v>0</v>
      </c>
      <c r="J363" s="5"/>
      <c r="K363" s="5"/>
      <c r="L363" s="5"/>
    </row>
    <row x14ac:dyDescent="0.25" r="364" customHeight="1" ht="18.75">
      <c r="A364" s="4" t="s">
        <v>31</v>
      </c>
      <c r="B364" s="16">
        <v>0</v>
      </c>
      <c r="C364" s="16">
        <v>0</v>
      </c>
      <c r="D364" s="16">
        <v>0</v>
      </c>
      <c r="E364" s="16">
        <v>0</v>
      </c>
      <c r="F364" s="16">
        <v>0</v>
      </c>
      <c r="G364" s="16">
        <v>0</v>
      </c>
      <c r="H364" s="16">
        <v>0</v>
      </c>
      <c r="I364" s="16">
        <v>0</v>
      </c>
      <c r="J364" s="5"/>
      <c r="K364" s="5"/>
      <c r="L364" s="5"/>
    </row>
    <row x14ac:dyDescent="0.25" r="365" customHeight="1" ht="18.75">
      <c r="A365" s="4" t="s">
        <v>32</v>
      </c>
      <c r="B365" s="16">
        <v>8540</v>
      </c>
      <c r="C365" s="16">
        <v>0</v>
      </c>
      <c r="D365" s="16">
        <v>91130</v>
      </c>
      <c r="E365" s="16">
        <v>0</v>
      </c>
      <c r="F365" s="16">
        <v>0</v>
      </c>
      <c r="G365" s="16">
        <v>0</v>
      </c>
      <c r="H365" s="16">
        <v>132588</v>
      </c>
      <c r="I365" s="16">
        <v>145470</v>
      </c>
      <c r="J365" s="17">
        <v>1</v>
      </c>
      <c r="K365" s="17">
        <v>19</v>
      </c>
      <c r="L365" s="5"/>
    </row>
    <row x14ac:dyDescent="0.25" r="366" customHeight="1" ht="18.75">
      <c r="A366" s="4" t="s">
        <v>33</v>
      </c>
      <c r="B366" s="16">
        <v>0</v>
      </c>
      <c r="C366" s="16">
        <v>0</v>
      </c>
      <c r="D366" s="16">
        <v>0</v>
      </c>
      <c r="E366" s="16">
        <v>0</v>
      </c>
      <c r="F366" s="16">
        <v>0</v>
      </c>
      <c r="G366" s="16">
        <v>0</v>
      </c>
      <c r="H366" s="16">
        <v>0</v>
      </c>
      <c r="I366" s="16">
        <v>0</v>
      </c>
      <c r="J366" s="5"/>
      <c r="K366" s="5"/>
      <c r="L366" s="5"/>
    </row>
    <row x14ac:dyDescent="0.25" r="367" customHeight="1" ht="18.75">
      <c r="A367" s="4" t="s">
        <v>34</v>
      </c>
      <c r="B367" s="16">
        <v>0</v>
      </c>
      <c r="C367" s="16">
        <v>0</v>
      </c>
      <c r="D367" s="16">
        <v>0</v>
      </c>
      <c r="E367" s="16">
        <v>0</v>
      </c>
      <c r="F367" s="16">
        <v>0</v>
      </c>
      <c r="G367" s="16">
        <v>0</v>
      </c>
      <c r="H367" s="16">
        <v>0</v>
      </c>
      <c r="I367" s="16">
        <v>0</v>
      </c>
      <c r="J367" s="5"/>
      <c r="K367" s="5"/>
      <c r="L367" s="5"/>
    </row>
    <row x14ac:dyDescent="0.25" r="368" customHeight="1" ht="18.75">
      <c r="A368" s="4" t="s">
        <v>35</v>
      </c>
      <c r="B368" s="16">
        <v>0</v>
      </c>
      <c r="C368" s="16">
        <v>0</v>
      </c>
      <c r="D368" s="16">
        <v>0</v>
      </c>
      <c r="E368" s="16">
        <v>0</v>
      </c>
      <c r="F368" s="16">
        <v>0</v>
      </c>
      <c r="G368" s="16">
        <v>0</v>
      </c>
      <c r="H368" s="16">
        <v>0</v>
      </c>
      <c r="I368" s="16">
        <v>0</v>
      </c>
      <c r="J368" s="5"/>
      <c r="K368" s="5"/>
      <c r="L368" s="5"/>
    </row>
    <row x14ac:dyDescent="0.25" r="369" customHeight="1" ht="18.75">
      <c r="A369" s="2"/>
      <c r="B369" s="28"/>
      <c r="C369" s="28"/>
      <c r="D369" s="28"/>
      <c r="E369" s="28"/>
      <c r="F369" s="28"/>
      <c r="G369" s="28"/>
      <c r="H369" s="28"/>
      <c r="I369" s="28"/>
      <c r="J369" s="29"/>
      <c r="K369" s="29"/>
      <c r="L369" s="29"/>
    </row>
    <row x14ac:dyDescent="0.25" r="370" customHeight="1" ht="18.75">
      <c r="A370" s="36" t="s">
        <v>62</v>
      </c>
      <c r="B370" s="31" t="s">
        <v>4</v>
      </c>
      <c r="C370" s="31" t="s">
        <v>5</v>
      </c>
      <c r="D370" s="31" t="s">
        <v>6</v>
      </c>
      <c r="E370" s="31" t="s">
        <v>7</v>
      </c>
      <c r="F370" s="31" t="s">
        <v>8</v>
      </c>
      <c r="G370" s="31" t="s">
        <v>9</v>
      </c>
      <c r="H370" s="31" t="s">
        <v>10</v>
      </c>
      <c r="I370" s="31" t="s">
        <v>11</v>
      </c>
      <c r="J370" s="5" t="s">
        <v>12</v>
      </c>
      <c r="K370" s="5" t="s">
        <v>13</v>
      </c>
      <c r="L370" s="5" t="s">
        <v>14</v>
      </c>
    </row>
    <row x14ac:dyDescent="0.25" r="371" customHeight="1" ht="18.75">
      <c r="A371" s="6" t="s">
        <v>15</v>
      </c>
      <c r="B371" s="32" t="s">
        <v>16</v>
      </c>
      <c r="C371" s="33" t="s">
        <v>17</v>
      </c>
      <c r="D371" s="32" t="s">
        <v>18</v>
      </c>
      <c r="E371" s="32" t="s">
        <v>19</v>
      </c>
      <c r="F371" s="32" t="s">
        <v>20</v>
      </c>
      <c r="G371" s="32" t="s">
        <v>21</v>
      </c>
      <c r="H371" s="32" t="s">
        <v>22</v>
      </c>
      <c r="I371" s="33" t="s">
        <v>23</v>
      </c>
      <c r="J371" s="9" t="s">
        <v>24</v>
      </c>
      <c r="K371" s="10" t="s">
        <v>25</v>
      </c>
      <c r="L371" s="9" t="s">
        <v>26</v>
      </c>
    </row>
    <row x14ac:dyDescent="0.25" r="372" customHeight="1" ht="18.75">
      <c r="A372" s="11"/>
      <c r="B372" s="34"/>
      <c r="C372" s="35"/>
      <c r="D372" s="34"/>
      <c r="E372" s="34"/>
      <c r="F372" s="34"/>
      <c r="G372" s="34"/>
      <c r="H372" s="34"/>
      <c r="I372" s="35"/>
      <c r="J372" s="14"/>
      <c r="K372" s="15"/>
      <c r="L372" s="14"/>
    </row>
    <row x14ac:dyDescent="0.25" r="373" customHeight="1" ht="18.75">
      <c r="A373" s="4" t="s">
        <v>27</v>
      </c>
      <c r="B373" s="16">
        <v>0</v>
      </c>
      <c r="C373" s="16">
        <v>0</v>
      </c>
      <c r="D373" s="16">
        <v>0</v>
      </c>
      <c r="E373" s="16">
        <v>0</v>
      </c>
      <c r="F373" s="16">
        <v>0</v>
      </c>
      <c r="G373" s="16"/>
      <c r="H373" s="16">
        <v>0</v>
      </c>
      <c r="I373" s="16">
        <v>0</v>
      </c>
      <c r="J373" s="5"/>
      <c r="K373" s="5"/>
      <c r="L373" s="5"/>
    </row>
    <row x14ac:dyDescent="0.25" r="374" customHeight="1" ht="18.75">
      <c r="A374" s="4" t="s">
        <v>28</v>
      </c>
      <c r="B374" s="16">
        <v>0</v>
      </c>
      <c r="C374" s="16">
        <v>0</v>
      </c>
      <c r="D374" s="16">
        <v>0</v>
      </c>
      <c r="E374" s="16">
        <v>0</v>
      </c>
      <c r="F374" s="16">
        <v>0</v>
      </c>
      <c r="G374" s="16"/>
      <c r="H374" s="16">
        <v>0</v>
      </c>
      <c r="I374" s="16">
        <v>0</v>
      </c>
      <c r="J374" s="5"/>
      <c r="K374" s="5"/>
      <c r="L374" s="5"/>
    </row>
    <row x14ac:dyDescent="0.25" r="375" customHeight="1" ht="18.75">
      <c r="A375" s="4" t="s">
        <v>29</v>
      </c>
      <c r="B375" s="16">
        <v>0</v>
      </c>
      <c r="C375" s="16">
        <v>0</v>
      </c>
      <c r="D375" s="16">
        <v>4118</v>
      </c>
      <c r="E375" s="16">
        <v>0</v>
      </c>
      <c r="F375" s="16">
        <v>0</v>
      </c>
      <c r="G375" s="16"/>
      <c r="H375" s="16">
        <f>14133</f>
      </c>
      <c r="I375" s="16">
        <v>103277</v>
      </c>
      <c r="J375" s="5"/>
      <c r="K375" s="17">
        <v>1</v>
      </c>
      <c r="L375" s="5"/>
    </row>
    <row x14ac:dyDescent="0.25" r="376" customHeight="1" ht="18.75">
      <c r="A376" s="4" t="s">
        <v>30</v>
      </c>
      <c r="B376" s="16">
        <v>0</v>
      </c>
      <c r="C376" s="16">
        <v>0</v>
      </c>
      <c r="D376" s="16">
        <v>0</v>
      </c>
      <c r="E376" s="16">
        <v>0</v>
      </c>
      <c r="F376" s="16">
        <v>0</v>
      </c>
      <c r="G376" s="16"/>
      <c r="H376" s="16">
        <v>0</v>
      </c>
      <c r="I376" s="16">
        <v>0</v>
      </c>
      <c r="J376" s="5"/>
      <c r="K376" s="5"/>
      <c r="L376" s="5"/>
    </row>
    <row x14ac:dyDescent="0.25" r="377" customHeight="1" ht="18.75">
      <c r="A377" s="4" t="s">
        <v>31</v>
      </c>
      <c r="B377" s="16">
        <v>0</v>
      </c>
      <c r="C377" s="16">
        <v>0</v>
      </c>
      <c r="D377" s="16">
        <v>0</v>
      </c>
      <c r="E377" s="16">
        <v>0</v>
      </c>
      <c r="F377" s="16">
        <v>22</v>
      </c>
      <c r="G377" s="16"/>
      <c r="H377" s="16">
        <v>0</v>
      </c>
      <c r="I377" s="16">
        <v>0</v>
      </c>
      <c r="J377" s="5"/>
      <c r="K377" s="5"/>
      <c r="L377" s="5"/>
    </row>
    <row x14ac:dyDescent="0.25" r="378" customHeight="1" ht="18.75">
      <c r="A378" s="4" t="s">
        <v>32</v>
      </c>
      <c r="B378" s="16">
        <v>34718</v>
      </c>
      <c r="C378" s="16">
        <v>0</v>
      </c>
      <c r="D378" s="16">
        <v>82833</v>
      </c>
      <c r="E378" s="16">
        <v>0</v>
      </c>
      <c r="F378" s="16">
        <v>0</v>
      </c>
      <c r="G378" s="16"/>
      <c r="H378" s="16">
        <f>198163</f>
      </c>
      <c r="I378" s="16">
        <v>233412</v>
      </c>
      <c r="J378" s="5"/>
      <c r="K378" s="17">
        <v>22</v>
      </c>
      <c r="L378" s="5"/>
    </row>
    <row x14ac:dyDescent="0.25" r="379" customHeight="1" ht="18.75">
      <c r="A379" s="4" t="s">
        <v>33</v>
      </c>
      <c r="B379" s="16">
        <v>0</v>
      </c>
      <c r="C379" s="16">
        <v>0</v>
      </c>
      <c r="D379" s="16">
        <v>0</v>
      </c>
      <c r="E379" s="16">
        <v>0</v>
      </c>
      <c r="F379" s="16">
        <v>0</v>
      </c>
      <c r="G379" s="16"/>
      <c r="H379" s="16">
        <v>0</v>
      </c>
      <c r="I379" s="16">
        <v>0</v>
      </c>
      <c r="J379" s="5"/>
      <c r="K379" s="5"/>
      <c r="L379" s="5"/>
    </row>
    <row x14ac:dyDescent="0.25" r="380" customHeight="1" ht="18.75">
      <c r="A380" s="4" t="s">
        <v>34</v>
      </c>
      <c r="B380" s="16">
        <v>0</v>
      </c>
      <c r="C380" s="16">
        <v>0</v>
      </c>
      <c r="D380" s="16">
        <v>0</v>
      </c>
      <c r="E380" s="16">
        <v>0</v>
      </c>
      <c r="F380" s="16">
        <v>0</v>
      </c>
      <c r="G380" s="16"/>
      <c r="H380" s="16">
        <v>0</v>
      </c>
      <c r="I380" s="16">
        <v>0</v>
      </c>
      <c r="J380" s="5"/>
      <c r="K380" s="5"/>
      <c r="L380" s="5"/>
    </row>
    <row x14ac:dyDescent="0.25" r="381" customHeight="1" ht="18.75">
      <c r="A381" s="4" t="s">
        <v>35</v>
      </c>
      <c r="B381" s="16">
        <v>0</v>
      </c>
      <c r="C381" s="16">
        <v>0</v>
      </c>
      <c r="D381" s="16">
        <v>0</v>
      </c>
      <c r="E381" s="16">
        <v>0</v>
      </c>
      <c r="F381" s="16">
        <v>0</v>
      </c>
      <c r="G381" s="16"/>
      <c r="H381" s="16">
        <v>0</v>
      </c>
      <c r="I381" s="16">
        <v>0</v>
      </c>
      <c r="J381" s="5"/>
      <c r="K381" s="5"/>
      <c r="L381" s="5"/>
    </row>
    <row x14ac:dyDescent="0.25" r="382" customHeight="1" ht="18.75">
      <c r="A382" s="2"/>
      <c r="B382" s="28"/>
      <c r="C382" s="28"/>
      <c r="D382" s="28"/>
      <c r="E382" s="28"/>
      <c r="F382" s="28"/>
      <c r="G382" s="28"/>
      <c r="H382" s="28"/>
      <c r="I382" s="28"/>
      <c r="J382" s="29"/>
      <c r="K382" s="29"/>
      <c r="L382" s="29"/>
    </row>
    <row x14ac:dyDescent="0.25" r="383" customHeight="1" ht="18.75">
      <c r="A383" s="36" t="s">
        <v>63</v>
      </c>
      <c r="B383" s="31" t="s">
        <v>4</v>
      </c>
      <c r="C383" s="31" t="s">
        <v>5</v>
      </c>
      <c r="D383" s="31" t="s">
        <v>6</v>
      </c>
      <c r="E383" s="31" t="s">
        <v>7</v>
      </c>
      <c r="F383" s="31" t="s">
        <v>8</v>
      </c>
      <c r="G383" s="31" t="s">
        <v>9</v>
      </c>
      <c r="H383" s="31" t="s">
        <v>10</v>
      </c>
      <c r="I383" s="31" t="s">
        <v>11</v>
      </c>
      <c r="J383" s="5" t="s">
        <v>12</v>
      </c>
      <c r="K383" s="5" t="s">
        <v>13</v>
      </c>
      <c r="L383" s="5" t="s">
        <v>14</v>
      </c>
    </row>
    <row x14ac:dyDescent="0.25" r="384" customHeight="1" ht="18.75">
      <c r="A384" s="6" t="s">
        <v>15</v>
      </c>
      <c r="B384" s="32" t="s">
        <v>16</v>
      </c>
      <c r="C384" s="33" t="s">
        <v>17</v>
      </c>
      <c r="D384" s="32" t="s">
        <v>18</v>
      </c>
      <c r="E384" s="32" t="s">
        <v>19</v>
      </c>
      <c r="F384" s="32" t="s">
        <v>20</v>
      </c>
      <c r="G384" s="32" t="s">
        <v>21</v>
      </c>
      <c r="H384" s="32" t="s">
        <v>22</v>
      </c>
      <c r="I384" s="33" t="s">
        <v>23</v>
      </c>
      <c r="J384" s="9" t="s">
        <v>24</v>
      </c>
      <c r="K384" s="10" t="s">
        <v>25</v>
      </c>
      <c r="L384" s="9" t="s">
        <v>26</v>
      </c>
    </row>
    <row x14ac:dyDescent="0.25" r="385" customHeight="1" ht="18.75">
      <c r="A385" s="11"/>
      <c r="B385" s="34"/>
      <c r="C385" s="35"/>
      <c r="D385" s="34"/>
      <c r="E385" s="34"/>
      <c r="F385" s="34"/>
      <c r="G385" s="34"/>
      <c r="H385" s="34"/>
      <c r="I385" s="35"/>
      <c r="J385" s="14"/>
      <c r="K385" s="15"/>
      <c r="L385" s="14"/>
    </row>
    <row x14ac:dyDescent="0.25" r="386" customHeight="1" ht="18.75">
      <c r="A386" s="4" t="s">
        <v>27</v>
      </c>
      <c r="B386" s="16">
        <v>0</v>
      </c>
      <c r="C386" s="16">
        <v>0</v>
      </c>
      <c r="D386" s="16">
        <v>0</v>
      </c>
      <c r="E386" s="16">
        <v>0</v>
      </c>
      <c r="F386" s="16">
        <v>0</v>
      </c>
      <c r="G386" s="16"/>
      <c r="H386" s="16">
        <v>0</v>
      </c>
      <c r="I386" s="16">
        <v>0</v>
      </c>
      <c r="J386" s="5"/>
      <c r="K386" s="5"/>
      <c r="L386" s="5"/>
    </row>
    <row x14ac:dyDescent="0.25" r="387" customHeight="1" ht="18.75">
      <c r="A387" s="4" t="s">
        <v>28</v>
      </c>
      <c r="B387" s="16">
        <v>0</v>
      </c>
      <c r="C387" s="16">
        <v>0</v>
      </c>
      <c r="D387" s="16">
        <v>0</v>
      </c>
      <c r="E387" s="16">
        <v>0</v>
      </c>
      <c r="F387" s="16">
        <v>0</v>
      </c>
      <c r="G387" s="16"/>
      <c r="H387" s="16">
        <v>0</v>
      </c>
      <c r="I387" s="16">
        <v>0</v>
      </c>
      <c r="J387" s="5"/>
      <c r="K387" s="5"/>
      <c r="L387" s="5"/>
    </row>
    <row x14ac:dyDescent="0.25" r="388" customHeight="1" ht="18.75">
      <c r="A388" s="4" t="s">
        <v>29</v>
      </c>
      <c r="B388" s="16">
        <v>169933</v>
      </c>
      <c r="C388" s="16">
        <v>0</v>
      </c>
      <c r="D388" s="16">
        <v>190759</v>
      </c>
      <c r="E388" s="16">
        <v>0</v>
      </c>
      <c r="F388" s="16">
        <v>103</v>
      </c>
      <c r="G388" s="16"/>
      <c r="H388" s="16">
        <f>73873</f>
      </c>
      <c r="I388" s="16">
        <v>530625</v>
      </c>
      <c r="J388" s="5"/>
      <c r="K388" s="5"/>
      <c r="L388" s="5"/>
    </row>
    <row x14ac:dyDescent="0.25" r="389" customHeight="1" ht="18.75">
      <c r="A389" s="4" t="s">
        <v>30</v>
      </c>
      <c r="B389" s="16">
        <v>0</v>
      </c>
      <c r="C389" s="16">
        <v>0</v>
      </c>
      <c r="D389" s="16">
        <v>0</v>
      </c>
      <c r="E389" s="16">
        <v>0</v>
      </c>
      <c r="F389" s="16">
        <v>0</v>
      </c>
      <c r="G389" s="16"/>
      <c r="H389" s="16">
        <v>0</v>
      </c>
      <c r="I389" s="16">
        <v>0</v>
      </c>
      <c r="J389" s="5"/>
      <c r="K389" s="5"/>
      <c r="L389" s="5"/>
    </row>
    <row x14ac:dyDescent="0.25" r="390" customHeight="1" ht="18.75">
      <c r="A390" s="4" t="s">
        <v>31</v>
      </c>
      <c r="B390" s="16">
        <v>0</v>
      </c>
      <c r="C390" s="16">
        <v>0</v>
      </c>
      <c r="D390" s="16">
        <v>0</v>
      </c>
      <c r="E390" s="16">
        <v>0</v>
      </c>
      <c r="F390" s="16">
        <v>0</v>
      </c>
      <c r="G390" s="16"/>
      <c r="H390" s="16">
        <v>0</v>
      </c>
      <c r="I390" s="16">
        <v>0</v>
      </c>
      <c r="J390" s="5"/>
      <c r="K390" s="5"/>
      <c r="L390" s="5"/>
    </row>
    <row x14ac:dyDescent="0.25" r="391" customHeight="1" ht="18.75">
      <c r="A391" s="4" t="s">
        <v>32</v>
      </c>
      <c r="B391" s="16">
        <v>48928</v>
      </c>
      <c r="C391" s="16">
        <v>0</v>
      </c>
      <c r="D391" s="16">
        <v>167548</v>
      </c>
      <c r="E391" s="16">
        <v>0</v>
      </c>
      <c r="F391" s="16">
        <v>0</v>
      </c>
      <c r="G391" s="16"/>
      <c r="H391" s="16">
        <f>116126</f>
      </c>
      <c r="I391" s="16">
        <v>291687</v>
      </c>
      <c r="J391" s="17">
        <v>1</v>
      </c>
      <c r="K391" s="17">
        <v>14</v>
      </c>
      <c r="L391" s="5"/>
    </row>
    <row x14ac:dyDescent="0.25" r="392" customHeight="1" ht="18.75">
      <c r="A392" s="4" t="s">
        <v>33</v>
      </c>
      <c r="B392" s="16">
        <v>0</v>
      </c>
      <c r="C392" s="16">
        <v>0</v>
      </c>
      <c r="D392" s="16">
        <v>0</v>
      </c>
      <c r="E392" s="16">
        <v>0</v>
      </c>
      <c r="F392" s="16">
        <v>0</v>
      </c>
      <c r="G392" s="16"/>
      <c r="H392" s="16">
        <v>0</v>
      </c>
      <c r="I392" s="16">
        <v>0</v>
      </c>
      <c r="J392" s="5"/>
      <c r="K392" s="5"/>
      <c r="L392" s="5"/>
    </row>
    <row x14ac:dyDescent="0.25" r="393" customHeight="1" ht="18.75">
      <c r="A393" s="4" t="s">
        <v>34</v>
      </c>
      <c r="B393" s="16">
        <v>0</v>
      </c>
      <c r="C393" s="16">
        <v>0</v>
      </c>
      <c r="D393" s="16">
        <v>0</v>
      </c>
      <c r="E393" s="16">
        <v>0</v>
      </c>
      <c r="F393" s="16">
        <v>0</v>
      </c>
      <c r="G393" s="16"/>
      <c r="H393" s="16">
        <v>0</v>
      </c>
      <c r="I393" s="16">
        <v>0</v>
      </c>
      <c r="J393" s="5"/>
      <c r="K393" s="5"/>
      <c r="L393" s="5"/>
    </row>
    <row x14ac:dyDescent="0.25" r="394" customHeight="1" ht="18.75">
      <c r="A394" s="4" t="s">
        <v>35</v>
      </c>
      <c r="B394" s="16">
        <v>0</v>
      </c>
      <c r="C394" s="16">
        <v>0</v>
      </c>
      <c r="D394" s="16">
        <v>0</v>
      </c>
      <c r="E394" s="16">
        <v>0</v>
      </c>
      <c r="F394" s="16">
        <v>0</v>
      </c>
      <c r="G394" s="16"/>
      <c r="H394" s="16">
        <v>0</v>
      </c>
      <c r="I394" s="16">
        <v>0</v>
      </c>
      <c r="J394" s="5"/>
      <c r="K394" s="5"/>
      <c r="L394" s="5"/>
    </row>
    <row x14ac:dyDescent="0.25" r="395" customHeight="1" ht="18.75">
      <c r="A395" s="2"/>
      <c r="B395" s="28"/>
      <c r="C395" s="28"/>
      <c r="D395" s="28"/>
      <c r="E395" s="28"/>
      <c r="F395" s="28"/>
      <c r="G395" s="28"/>
      <c r="H395" s="28"/>
      <c r="I395" s="28"/>
      <c r="J395" s="29"/>
      <c r="K395" s="29"/>
      <c r="L395" s="29"/>
    </row>
    <row x14ac:dyDescent="0.25" r="396" customHeight="1" ht="18.75">
      <c r="A396" s="36" t="s">
        <v>59</v>
      </c>
      <c r="B396" s="31" t="s">
        <v>4</v>
      </c>
      <c r="C396" s="31" t="s">
        <v>5</v>
      </c>
      <c r="D396" s="31" t="s">
        <v>6</v>
      </c>
      <c r="E396" s="31" t="s">
        <v>7</v>
      </c>
      <c r="F396" s="31" t="s">
        <v>8</v>
      </c>
      <c r="G396" s="31" t="s">
        <v>9</v>
      </c>
      <c r="H396" s="31" t="s">
        <v>10</v>
      </c>
      <c r="I396" s="31" t="s">
        <v>11</v>
      </c>
      <c r="J396" s="5" t="s">
        <v>12</v>
      </c>
      <c r="K396" s="5" t="s">
        <v>13</v>
      </c>
      <c r="L396" s="5" t="s">
        <v>14</v>
      </c>
    </row>
    <row x14ac:dyDescent="0.25" r="397" customHeight="1" ht="18.75">
      <c r="A397" s="6" t="s">
        <v>15</v>
      </c>
      <c r="B397" s="32" t="s">
        <v>16</v>
      </c>
      <c r="C397" s="33" t="s">
        <v>17</v>
      </c>
      <c r="D397" s="32" t="s">
        <v>18</v>
      </c>
      <c r="E397" s="32" t="s">
        <v>19</v>
      </c>
      <c r="F397" s="32" t="s">
        <v>20</v>
      </c>
      <c r="G397" s="32" t="s">
        <v>21</v>
      </c>
      <c r="H397" s="32" t="s">
        <v>22</v>
      </c>
      <c r="I397" s="33" t="s">
        <v>23</v>
      </c>
      <c r="J397" s="9" t="s">
        <v>24</v>
      </c>
      <c r="K397" s="10" t="s">
        <v>25</v>
      </c>
      <c r="L397" s="9" t="s">
        <v>26</v>
      </c>
    </row>
    <row x14ac:dyDescent="0.25" r="398" customHeight="1" ht="18.75">
      <c r="A398" s="11"/>
      <c r="B398" s="34"/>
      <c r="C398" s="35"/>
      <c r="D398" s="34"/>
      <c r="E398" s="34"/>
      <c r="F398" s="34"/>
      <c r="G398" s="34"/>
      <c r="H398" s="34"/>
      <c r="I398" s="35"/>
      <c r="J398" s="14"/>
      <c r="K398" s="15"/>
      <c r="L398" s="14"/>
    </row>
    <row x14ac:dyDescent="0.25" r="399" customHeight="1" ht="18.75">
      <c r="A399" s="4" t="s">
        <v>27</v>
      </c>
      <c r="B399" s="16">
        <v>0</v>
      </c>
      <c r="C399" s="16">
        <v>0</v>
      </c>
      <c r="D399" s="16">
        <v>0</v>
      </c>
      <c r="E399" s="16">
        <v>0</v>
      </c>
      <c r="F399" s="16">
        <v>0</v>
      </c>
      <c r="G399" s="16"/>
      <c r="H399" s="16">
        <v>0</v>
      </c>
      <c r="I399" s="16">
        <v>0</v>
      </c>
      <c r="J399" s="5"/>
      <c r="K399" s="5"/>
      <c r="L399" s="5"/>
    </row>
    <row x14ac:dyDescent="0.25" r="400" customHeight="1" ht="18.75">
      <c r="A400" s="4" t="s">
        <v>28</v>
      </c>
      <c r="B400" s="16">
        <v>0</v>
      </c>
      <c r="C400" s="16">
        <v>0</v>
      </c>
      <c r="D400" s="16">
        <v>0</v>
      </c>
      <c r="E400" s="16">
        <v>0</v>
      </c>
      <c r="F400" s="16">
        <v>0</v>
      </c>
      <c r="G400" s="16"/>
      <c r="H400" s="16">
        <v>0</v>
      </c>
      <c r="I400" s="16">
        <v>0</v>
      </c>
      <c r="J400" s="5"/>
      <c r="K400" s="5"/>
      <c r="L400" s="5"/>
    </row>
    <row x14ac:dyDescent="0.25" r="401" customHeight="1" ht="18.75">
      <c r="A401" s="4" t="s">
        <v>29</v>
      </c>
      <c r="B401" s="16">
        <v>55831</v>
      </c>
      <c r="C401" s="16">
        <v>0</v>
      </c>
      <c r="D401" s="16">
        <v>157203</v>
      </c>
      <c r="E401" s="16">
        <v>0</v>
      </c>
      <c r="F401" s="16">
        <v>0</v>
      </c>
      <c r="G401" s="16"/>
      <c r="H401" s="16">
        <f>35893</f>
      </c>
      <c r="I401" s="16">
        <v>268864</v>
      </c>
      <c r="J401" s="5"/>
      <c r="K401" s="17">
        <v>2</v>
      </c>
      <c r="L401" s="5"/>
    </row>
    <row x14ac:dyDescent="0.25" r="402" customHeight="1" ht="18.75">
      <c r="A402" s="4" t="s">
        <v>30</v>
      </c>
      <c r="B402" s="16">
        <v>0</v>
      </c>
      <c r="C402" s="16">
        <v>0</v>
      </c>
      <c r="D402" s="16">
        <v>0</v>
      </c>
      <c r="E402" s="16">
        <v>0</v>
      </c>
      <c r="F402" s="16">
        <v>0</v>
      </c>
      <c r="G402" s="16"/>
      <c r="H402" s="16">
        <v>0</v>
      </c>
      <c r="I402" s="16">
        <v>0</v>
      </c>
      <c r="J402" s="5"/>
      <c r="K402" s="5"/>
      <c r="L402" s="5"/>
    </row>
    <row x14ac:dyDescent="0.25" r="403" customHeight="1" ht="18.75">
      <c r="A403" s="4" t="s">
        <v>31</v>
      </c>
      <c r="B403" s="16">
        <v>0</v>
      </c>
      <c r="C403" s="16">
        <v>0</v>
      </c>
      <c r="D403" s="16">
        <v>0</v>
      </c>
      <c r="E403" s="16">
        <v>0</v>
      </c>
      <c r="F403" s="16">
        <v>0</v>
      </c>
      <c r="G403" s="16"/>
      <c r="H403" s="16">
        <v>0</v>
      </c>
      <c r="I403" s="16">
        <v>0</v>
      </c>
      <c r="J403" s="5"/>
      <c r="K403" s="17">
        <v>1</v>
      </c>
      <c r="L403" s="5"/>
    </row>
    <row x14ac:dyDescent="0.25" r="404" customHeight="1" ht="18.75">
      <c r="A404" s="4" t="s">
        <v>32</v>
      </c>
      <c r="B404" s="16">
        <v>4428513</v>
      </c>
      <c r="C404" s="16">
        <v>0</v>
      </c>
      <c r="D404" s="16">
        <v>46424</v>
      </c>
      <c r="E404" s="16">
        <v>0</v>
      </c>
      <c r="F404" s="16">
        <v>0</v>
      </c>
      <c r="G404" s="16"/>
      <c r="H404" s="16">
        <f>142580</f>
      </c>
      <c r="I404" s="16">
        <v>94807</v>
      </c>
      <c r="J404" s="5"/>
      <c r="K404" s="17">
        <v>26</v>
      </c>
      <c r="L404" s="5"/>
    </row>
    <row x14ac:dyDescent="0.25" r="405" customHeight="1" ht="18.75">
      <c r="A405" s="4" t="s">
        <v>33</v>
      </c>
      <c r="B405" s="16">
        <v>0</v>
      </c>
      <c r="C405" s="16">
        <v>0</v>
      </c>
      <c r="D405" s="16">
        <v>0</v>
      </c>
      <c r="E405" s="16">
        <v>0</v>
      </c>
      <c r="F405" s="16">
        <v>0</v>
      </c>
      <c r="G405" s="16"/>
      <c r="H405" s="16">
        <v>0</v>
      </c>
      <c r="I405" s="16">
        <v>0</v>
      </c>
      <c r="J405" s="5"/>
      <c r="K405" s="5"/>
      <c r="L405" s="5"/>
    </row>
    <row x14ac:dyDescent="0.25" r="406" customHeight="1" ht="18.75">
      <c r="A406" s="4" t="s">
        <v>34</v>
      </c>
      <c r="B406" s="16">
        <v>0</v>
      </c>
      <c r="C406" s="16">
        <v>0</v>
      </c>
      <c r="D406" s="16">
        <v>0</v>
      </c>
      <c r="E406" s="16">
        <v>0</v>
      </c>
      <c r="F406" s="16">
        <v>0</v>
      </c>
      <c r="G406" s="16"/>
      <c r="H406" s="16">
        <v>0</v>
      </c>
      <c r="I406" s="16">
        <v>0</v>
      </c>
      <c r="J406" s="5"/>
      <c r="K406" s="5"/>
      <c r="L406" s="5"/>
    </row>
    <row x14ac:dyDescent="0.25" r="407" customHeight="1" ht="18.75">
      <c r="A407" s="4" t="s">
        <v>35</v>
      </c>
      <c r="B407" s="16">
        <v>0</v>
      </c>
      <c r="C407" s="16">
        <v>0</v>
      </c>
      <c r="D407" s="16">
        <v>0</v>
      </c>
      <c r="E407" s="16">
        <v>0</v>
      </c>
      <c r="F407" s="16">
        <v>0</v>
      </c>
      <c r="G407" s="16"/>
      <c r="H407" s="16">
        <v>0</v>
      </c>
      <c r="I407" s="16">
        <v>0</v>
      </c>
      <c r="J407" s="5"/>
      <c r="K407" s="5"/>
      <c r="L407" s="5"/>
    </row>
    <row x14ac:dyDescent="0.25" r="408" customHeight="1" ht="18.75">
      <c r="A408" s="2"/>
      <c r="B408" s="28"/>
      <c r="C408" s="28"/>
      <c r="D408" s="28"/>
      <c r="E408" s="28"/>
      <c r="F408" s="28"/>
      <c r="G408" s="28"/>
      <c r="H408" s="28"/>
      <c r="I408" s="28"/>
      <c r="J408" s="29"/>
      <c r="K408" s="29"/>
      <c r="L408" s="29"/>
    </row>
    <row x14ac:dyDescent="0.25" r="409" customHeight="1" ht="18.75">
      <c r="A409" s="36" t="s">
        <v>49</v>
      </c>
      <c r="B409" s="31" t="s">
        <v>4</v>
      </c>
      <c r="C409" s="31" t="s">
        <v>5</v>
      </c>
      <c r="D409" s="31" t="s">
        <v>6</v>
      </c>
      <c r="E409" s="31" t="s">
        <v>7</v>
      </c>
      <c r="F409" s="31" t="s">
        <v>8</v>
      </c>
      <c r="G409" s="31" t="s">
        <v>9</v>
      </c>
      <c r="H409" s="31" t="s">
        <v>10</v>
      </c>
      <c r="I409" s="31" t="s">
        <v>11</v>
      </c>
      <c r="J409" s="5" t="s">
        <v>12</v>
      </c>
      <c r="K409" s="5" t="s">
        <v>13</v>
      </c>
      <c r="L409" s="5" t="s">
        <v>14</v>
      </c>
    </row>
    <row x14ac:dyDescent="0.25" r="410" customHeight="1" ht="18.75">
      <c r="A410" s="6" t="s">
        <v>15</v>
      </c>
      <c r="B410" s="32" t="s">
        <v>16</v>
      </c>
      <c r="C410" s="33" t="s">
        <v>17</v>
      </c>
      <c r="D410" s="32" t="s">
        <v>18</v>
      </c>
      <c r="E410" s="32" t="s">
        <v>19</v>
      </c>
      <c r="F410" s="32" t="s">
        <v>20</v>
      </c>
      <c r="G410" s="32" t="s">
        <v>21</v>
      </c>
      <c r="H410" s="32" t="s">
        <v>22</v>
      </c>
      <c r="I410" s="33" t="s">
        <v>23</v>
      </c>
      <c r="J410" s="9" t="s">
        <v>24</v>
      </c>
      <c r="K410" s="10" t="s">
        <v>25</v>
      </c>
      <c r="L410" s="9" t="s">
        <v>26</v>
      </c>
    </row>
    <row x14ac:dyDescent="0.25" r="411" customHeight="1" ht="18.75">
      <c r="A411" s="11"/>
      <c r="B411" s="34"/>
      <c r="C411" s="35"/>
      <c r="D411" s="34"/>
      <c r="E411" s="34"/>
      <c r="F411" s="34"/>
      <c r="G411" s="34"/>
      <c r="H411" s="34"/>
      <c r="I411" s="35"/>
      <c r="J411" s="14"/>
      <c r="K411" s="15"/>
      <c r="L411" s="14"/>
    </row>
    <row x14ac:dyDescent="0.25" r="412" customHeight="1" ht="18.75">
      <c r="A412" s="4" t="s">
        <v>27</v>
      </c>
      <c r="B412" s="16">
        <v>0</v>
      </c>
      <c r="C412" s="16">
        <v>0</v>
      </c>
      <c r="D412" s="16">
        <v>0</v>
      </c>
      <c r="E412" s="16">
        <v>0</v>
      </c>
      <c r="F412" s="16">
        <v>0</v>
      </c>
      <c r="G412" s="16"/>
      <c r="H412" s="16">
        <v>0</v>
      </c>
      <c r="I412" s="16">
        <v>0</v>
      </c>
      <c r="J412" s="5"/>
      <c r="K412" s="5"/>
      <c r="L412" s="5"/>
    </row>
    <row x14ac:dyDescent="0.25" r="413" customHeight="1" ht="18.75">
      <c r="A413" s="4" t="s">
        <v>28</v>
      </c>
      <c r="B413" s="16">
        <v>0</v>
      </c>
      <c r="C413" s="16">
        <v>0</v>
      </c>
      <c r="D413" s="16">
        <v>0</v>
      </c>
      <c r="E413" s="16">
        <v>0</v>
      </c>
      <c r="F413" s="16">
        <v>0</v>
      </c>
      <c r="G413" s="16"/>
      <c r="H413" s="16">
        <v>0</v>
      </c>
      <c r="I413" s="16">
        <v>0</v>
      </c>
      <c r="J413" s="5"/>
      <c r="K413" s="5"/>
      <c r="L413" s="5"/>
    </row>
    <row x14ac:dyDescent="0.25" r="414" customHeight="1" ht="18.75">
      <c r="A414" s="4" t="s">
        <v>29</v>
      </c>
      <c r="B414" s="16">
        <v>9424</v>
      </c>
      <c r="C414" s="16">
        <v>0</v>
      </c>
      <c r="D414" s="16">
        <v>568203</v>
      </c>
      <c r="E414" s="16">
        <v>0</v>
      </c>
      <c r="F414" s="16">
        <v>0</v>
      </c>
      <c r="G414" s="16"/>
      <c r="H414" s="16">
        <f>37030</f>
      </c>
      <c r="I414" s="16">
        <v>587050</v>
      </c>
      <c r="J414" s="5"/>
      <c r="K414" s="17">
        <v>3</v>
      </c>
      <c r="L414" s="5"/>
    </row>
    <row x14ac:dyDescent="0.25" r="415" customHeight="1" ht="18.75">
      <c r="A415" s="4" t="s">
        <v>30</v>
      </c>
      <c r="B415" s="16">
        <v>0</v>
      </c>
      <c r="C415" s="16">
        <v>0</v>
      </c>
      <c r="D415" s="16">
        <v>0</v>
      </c>
      <c r="E415" s="16">
        <v>0</v>
      </c>
      <c r="F415" s="16">
        <v>0</v>
      </c>
      <c r="G415" s="16"/>
      <c r="H415" s="16">
        <v>0</v>
      </c>
      <c r="I415" s="16">
        <v>0</v>
      </c>
      <c r="J415" s="5"/>
      <c r="K415" s="5"/>
      <c r="L415" s="5"/>
    </row>
    <row x14ac:dyDescent="0.25" r="416" customHeight="1" ht="18.75">
      <c r="A416" s="4" t="s">
        <v>31</v>
      </c>
      <c r="B416" s="16">
        <v>0</v>
      </c>
      <c r="C416" s="16">
        <v>0</v>
      </c>
      <c r="D416" s="16">
        <v>0</v>
      </c>
      <c r="E416" s="16">
        <v>0</v>
      </c>
      <c r="F416" s="16">
        <v>0</v>
      </c>
      <c r="G416" s="16"/>
      <c r="H416" s="16">
        <v>0</v>
      </c>
      <c r="I416" s="16">
        <v>0</v>
      </c>
      <c r="J416" s="5"/>
      <c r="K416" s="5"/>
      <c r="L416" s="5"/>
    </row>
    <row x14ac:dyDescent="0.25" r="417" customHeight="1" ht="18.75">
      <c r="A417" s="4" t="s">
        <v>32</v>
      </c>
      <c r="B417" s="16">
        <v>3207</v>
      </c>
      <c r="C417" s="16">
        <v>0</v>
      </c>
      <c r="D417" s="16">
        <v>63656</v>
      </c>
      <c r="E417" s="16">
        <v>0</v>
      </c>
      <c r="F417" s="16">
        <v>0</v>
      </c>
      <c r="G417" s="16"/>
      <c r="H417" s="16">
        <f>95609</f>
      </c>
      <c r="I417" s="16">
        <v>102702</v>
      </c>
      <c r="J417" s="5"/>
      <c r="K417" s="17">
        <v>25</v>
      </c>
      <c r="L417" s="5"/>
    </row>
    <row x14ac:dyDescent="0.25" r="418" customHeight="1" ht="18.75">
      <c r="A418" s="4" t="s">
        <v>33</v>
      </c>
      <c r="B418" s="16">
        <v>0</v>
      </c>
      <c r="C418" s="16">
        <v>0</v>
      </c>
      <c r="D418" s="16">
        <v>0</v>
      </c>
      <c r="E418" s="16">
        <v>0</v>
      </c>
      <c r="F418" s="16">
        <v>0</v>
      </c>
      <c r="G418" s="16"/>
      <c r="H418" s="16">
        <v>0</v>
      </c>
      <c r="I418" s="16">
        <v>0</v>
      </c>
      <c r="J418" s="5"/>
      <c r="K418" s="5"/>
      <c r="L418" s="5"/>
    </row>
    <row x14ac:dyDescent="0.25" r="419" customHeight="1" ht="18.75">
      <c r="A419" s="4" t="s">
        <v>34</v>
      </c>
      <c r="B419" s="16">
        <v>0</v>
      </c>
      <c r="C419" s="16">
        <v>0</v>
      </c>
      <c r="D419" s="16">
        <v>0</v>
      </c>
      <c r="E419" s="16">
        <v>0</v>
      </c>
      <c r="F419" s="16">
        <v>0</v>
      </c>
      <c r="G419" s="16"/>
      <c r="H419" s="16">
        <v>0</v>
      </c>
      <c r="I419" s="16">
        <v>0</v>
      </c>
      <c r="J419" s="5"/>
      <c r="K419" s="5"/>
      <c r="L419" s="5"/>
    </row>
    <row x14ac:dyDescent="0.25" r="420" customHeight="1" ht="18.75">
      <c r="A420" s="4" t="s">
        <v>35</v>
      </c>
      <c r="B420" s="16">
        <v>0</v>
      </c>
      <c r="C420" s="16">
        <v>0</v>
      </c>
      <c r="D420" s="16">
        <v>0</v>
      </c>
      <c r="E420" s="16">
        <v>0</v>
      </c>
      <c r="F420" s="16">
        <v>0</v>
      </c>
      <c r="G420" s="16"/>
      <c r="H420" s="16">
        <v>0</v>
      </c>
      <c r="I420" s="16">
        <v>0</v>
      </c>
      <c r="J420" s="5"/>
      <c r="K420" s="5"/>
      <c r="L420" s="5"/>
    </row>
    <row x14ac:dyDescent="0.25" r="421" customHeight="1" ht="18.75">
      <c r="A421" s="2"/>
      <c r="B421" s="28"/>
      <c r="C421" s="28"/>
      <c r="D421" s="28"/>
      <c r="E421" s="28"/>
      <c r="F421" s="28"/>
      <c r="G421" s="28"/>
      <c r="H421" s="28"/>
      <c r="I421" s="28"/>
      <c r="J421" s="29"/>
      <c r="K421" s="29"/>
      <c r="L421" s="29"/>
    </row>
    <row x14ac:dyDescent="0.25" r="422" customHeight="1" ht="18.75">
      <c r="A422" s="36" t="s">
        <v>50</v>
      </c>
      <c r="B422" s="31" t="s">
        <v>4</v>
      </c>
      <c r="C422" s="31" t="s">
        <v>5</v>
      </c>
      <c r="D422" s="31" t="s">
        <v>6</v>
      </c>
      <c r="E422" s="31" t="s">
        <v>7</v>
      </c>
      <c r="F422" s="31" t="s">
        <v>8</v>
      </c>
      <c r="G422" s="31" t="s">
        <v>9</v>
      </c>
      <c r="H422" s="31" t="s">
        <v>10</v>
      </c>
      <c r="I422" s="31" t="s">
        <v>11</v>
      </c>
      <c r="J422" s="5" t="s">
        <v>12</v>
      </c>
      <c r="K422" s="5" t="s">
        <v>13</v>
      </c>
      <c r="L422" s="5" t="s">
        <v>14</v>
      </c>
    </row>
    <row x14ac:dyDescent="0.25" r="423" customHeight="1" ht="18.75">
      <c r="A423" s="6" t="s">
        <v>15</v>
      </c>
      <c r="B423" s="32" t="s">
        <v>16</v>
      </c>
      <c r="C423" s="33" t="s">
        <v>17</v>
      </c>
      <c r="D423" s="32" t="s">
        <v>18</v>
      </c>
      <c r="E423" s="32" t="s">
        <v>19</v>
      </c>
      <c r="F423" s="32" t="s">
        <v>20</v>
      </c>
      <c r="G423" s="32" t="s">
        <v>21</v>
      </c>
      <c r="H423" s="32" t="s">
        <v>22</v>
      </c>
      <c r="I423" s="33" t="s">
        <v>23</v>
      </c>
      <c r="J423" s="9" t="s">
        <v>24</v>
      </c>
      <c r="K423" s="10" t="s">
        <v>25</v>
      </c>
      <c r="L423" s="9" t="s">
        <v>26</v>
      </c>
    </row>
    <row x14ac:dyDescent="0.25" r="424" customHeight="1" ht="18.75">
      <c r="A424" s="11"/>
      <c r="B424" s="34"/>
      <c r="C424" s="35"/>
      <c r="D424" s="34"/>
      <c r="E424" s="34"/>
      <c r="F424" s="34"/>
      <c r="G424" s="34"/>
      <c r="H424" s="34"/>
      <c r="I424" s="35"/>
      <c r="J424" s="14"/>
      <c r="K424" s="15"/>
      <c r="L424" s="14"/>
    </row>
    <row x14ac:dyDescent="0.25" r="425" customHeight="1" ht="18.75">
      <c r="A425" s="4" t="s">
        <v>27</v>
      </c>
      <c r="B425" s="16">
        <v>0</v>
      </c>
      <c r="C425" s="16">
        <v>0</v>
      </c>
      <c r="D425" s="16">
        <v>0</v>
      </c>
      <c r="E425" s="16">
        <v>0</v>
      </c>
      <c r="F425" s="16">
        <v>0</v>
      </c>
      <c r="G425" s="16"/>
      <c r="H425" s="16">
        <v>0</v>
      </c>
      <c r="I425" s="16">
        <v>0</v>
      </c>
      <c r="J425" s="5"/>
      <c r="K425" s="5"/>
      <c r="L425" s="5"/>
    </row>
    <row x14ac:dyDescent="0.25" r="426" customHeight="1" ht="18.75">
      <c r="A426" s="4" t="s">
        <v>28</v>
      </c>
      <c r="B426" s="16">
        <v>0</v>
      </c>
      <c r="C426" s="16">
        <v>0</v>
      </c>
      <c r="D426" s="16">
        <v>0</v>
      </c>
      <c r="E426" s="16">
        <v>0</v>
      </c>
      <c r="F426" s="16">
        <v>0</v>
      </c>
      <c r="G426" s="16"/>
      <c r="H426" s="16">
        <v>0</v>
      </c>
      <c r="I426" s="16">
        <v>0</v>
      </c>
      <c r="J426" s="5"/>
      <c r="K426" s="5"/>
      <c r="L426" s="5"/>
    </row>
    <row x14ac:dyDescent="0.25" r="427" customHeight="1" ht="18.75">
      <c r="A427" s="4" t="s">
        <v>29</v>
      </c>
      <c r="B427" s="16">
        <f>39428</f>
      </c>
      <c r="C427" s="16">
        <v>0</v>
      </c>
      <c r="D427" s="16">
        <v>67027</v>
      </c>
      <c r="E427" s="16">
        <v>0</v>
      </c>
      <c r="F427" s="16">
        <v>0</v>
      </c>
      <c r="G427" s="16"/>
      <c r="H427" s="16">
        <f>21159</f>
      </c>
      <c r="I427" s="16">
        <v>145883</v>
      </c>
      <c r="J427" s="5"/>
      <c r="K427" s="17">
        <v>1</v>
      </c>
      <c r="L427" s="5"/>
    </row>
    <row x14ac:dyDescent="0.25" r="428" customHeight="1" ht="18.75">
      <c r="A428" s="4" t="s">
        <v>30</v>
      </c>
      <c r="B428" s="16">
        <v>0</v>
      </c>
      <c r="C428" s="16">
        <v>0</v>
      </c>
      <c r="D428" s="16">
        <v>0</v>
      </c>
      <c r="E428" s="16">
        <v>0</v>
      </c>
      <c r="F428" s="16">
        <v>0</v>
      </c>
      <c r="G428" s="16"/>
      <c r="H428" s="16">
        <v>0</v>
      </c>
      <c r="I428" s="16">
        <v>0</v>
      </c>
      <c r="J428" s="5"/>
      <c r="K428" s="5"/>
      <c r="L428" s="5"/>
    </row>
    <row x14ac:dyDescent="0.25" r="429" customHeight="1" ht="18.75">
      <c r="A429" s="4" t="s">
        <v>31</v>
      </c>
      <c r="B429" s="16">
        <v>0</v>
      </c>
      <c r="C429" s="16">
        <v>0</v>
      </c>
      <c r="D429" s="16">
        <v>0</v>
      </c>
      <c r="E429" s="16">
        <v>0</v>
      </c>
      <c r="F429" s="16">
        <v>0</v>
      </c>
      <c r="G429" s="16"/>
      <c r="H429" s="16">
        <v>0</v>
      </c>
      <c r="I429" s="16">
        <v>0</v>
      </c>
      <c r="J429" s="5"/>
      <c r="K429" s="5"/>
      <c r="L429" s="5"/>
    </row>
    <row x14ac:dyDescent="0.25" r="430" customHeight="1" ht="18.75">
      <c r="A430" s="4" t="s">
        <v>32</v>
      </c>
      <c r="B430" s="16">
        <f>8135</f>
      </c>
      <c r="C430" s="16">
        <v>0</v>
      </c>
      <c r="D430" s="16">
        <v>50678</v>
      </c>
      <c r="E430" s="16">
        <v>0</v>
      </c>
      <c r="F430" s="16">
        <v>0</v>
      </c>
      <c r="G430" s="16"/>
      <c r="H430" s="16">
        <f>81059</f>
      </c>
      <c r="I430" s="16">
        <v>86359</v>
      </c>
      <c r="J430" s="17">
        <v>1</v>
      </c>
      <c r="K430" s="17">
        <v>14</v>
      </c>
      <c r="L430" s="5"/>
    </row>
    <row x14ac:dyDescent="0.25" r="431" customHeight="1" ht="18.75">
      <c r="A431" s="4" t="s">
        <v>33</v>
      </c>
      <c r="B431" s="16">
        <v>0</v>
      </c>
      <c r="C431" s="16">
        <v>0</v>
      </c>
      <c r="D431" s="16">
        <v>0</v>
      </c>
      <c r="E431" s="16">
        <v>0</v>
      </c>
      <c r="F431" s="16">
        <v>0</v>
      </c>
      <c r="G431" s="16"/>
      <c r="H431" s="16">
        <v>0</v>
      </c>
      <c r="I431" s="16">
        <v>0</v>
      </c>
      <c r="J431" s="5"/>
      <c r="K431" s="5"/>
      <c r="L431" s="5"/>
    </row>
    <row x14ac:dyDescent="0.25" r="432" customHeight="1" ht="18.75">
      <c r="A432" s="4" t="s">
        <v>34</v>
      </c>
      <c r="B432" s="16">
        <v>0</v>
      </c>
      <c r="C432" s="16">
        <v>0</v>
      </c>
      <c r="D432" s="16">
        <v>0</v>
      </c>
      <c r="E432" s="16">
        <v>0</v>
      </c>
      <c r="F432" s="16">
        <v>0</v>
      </c>
      <c r="G432" s="16"/>
      <c r="H432" s="16">
        <v>0</v>
      </c>
      <c r="I432" s="16">
        <v>0</v>
      </c>
      <c r="J432" s="5"/>
      <c r="K432" s="5"/>
      <c r="L432" s="5"/>
    </row>
    <row x14ac:dyDescent="0.25" r="433" customHeight="1" ht="18.75">
      <c r="A433" s="4" t="s">
        <v>35</v>
      </c>
      <c r="B433" s="16">
        <v>0</v>
      </c>
      <c r="C433" s="16">
        <v>0</v>
      </c>
      <c r="D433" s="16">
        <v>0</v>
      </c>
      <c r="E433" s="16">
        <v>0</v>
      </c>
      <c r="F433" s="16">
        <v>0</v>
      </c>
      <c r="G433" s="16"/>
      <c r="H433" s="16">
        <v>0</v>
      </c>
      <c r="I433" s="16">
        <v>0</v>
      </c>
      <c r="J433" s="5"/>
      <c r="K433" s="5"/>
      <c r="L433" s="5"/>
    </row>
    <row x14ac:dyDescent="0.25" r="434" customHeight="1" ht="18.75">
      <c r="A434" s="2"/>
      <c r="B434" s="28"/>
      <c r="C434" s="28"/>
      <c r="D434" s="28"/>
      <c r="E434" s="28"/>
      <c r="F434" s="28"/>
      <c r="G434" s="28"/>
      <c r="H434" s="28"/>
      <c r="I434" s="28"/>
      <c r="J434" s="29"/>
      <c r="K434" s="29"/>
      <c r="L434" s="29"/>
    </row>
    <row x14ac:dyDescent="0.25" r="435" customHeight="1" ht="18.75">
      <c r="A435" s="36" t="s">
        <v>51</v>
      </c>
      <c r="B435" s="31" t="s">
        <v>4</v>
      </c>
      <c r="C435" s="31" t="s">
        <v>5</v>
      </c>
      <c r="D435" s="31" t="s">
        <v>6</v>
      </c>
      <c r="E435" s="31" t="s">
        <v>7</v>
      </c>
      <c r="F435" s="31" t="s">
        <v>8</v>
      </c>
      <c r="G435" s="31" t="s">
        <v>9</v>
      </c>
      <c r="H435" s="31" t="s">
        <v>10</v>
      </c>
      <c r="I435" s="31" t="s">
        <v>11</v>
      </c>
      <c r="J435" s="5" t="s">
        <v>12</v>
      </c>
      <c r="K435" s="5" t="s">
        <v>13</v>
      </c>
      <c r="L435" s="5" t="s">
        <v>14</v>
      </c>
    </row>
    <row x14ac:dyDescent="0.25" r="436" customHeight="1" ht="18.75">
      <c r="A436" s="6" t="s">
        <v>15</v>
      </c>
      <c r="B436" s="32" t="s">
        <v>16</v>
      </c>
      <c r="C436" s="33" t="s">
        <v>17</v>
      </c>
      <c r="D436" s="32" t="s">
        <v>18</v>
      </c>
      <c r="E436" s="32" t="s">
        <v>19</v>
      </c>
      <c r="F436" s="32" t="s">
        <v>20</v>
      </c>
      <c r="G436" s="32" t="s">
        <v>21</v>
      </c>
      <c r="H436" s="32" t="s">
        <v>22</v>
      </c>
      <c r="I436" s="33" t="s">
        <v>23</v>
      </c>
      <c r="J436" s="9" t="s">
        <v>24</v>
      </c>
      <c r="K436" s="10" t="s">
        <v>25</v>
      </c>
      <c r="L436" s="9" t="s">
        <v>26</v>
      </c>
    </row>
    <row x14ac:dyDescent="0.25" r="437" customHeight="1" ht="18.75">
      <c r="A437" s="11"/>
      <c r="B437" s="34"/>
      <c r="C437" s="35"/>
      <c r="D437" s="34"/>
      <c r="E437" s="34"/>
      <c r="F437" s="34"/>
      <c r="G437" s="34"/>
      <c r="H437" s="34"/>
      <c r="I437" s="35"/>
      <c r="J437" s="14"/>
      <c r="K437" s="15"/>
      <c r="L437" s="14"/>
    </row>
    <row x14ac:dyDescent="0.25" r="438" customHeight="1" ht="18.75">
      <c r="A438" s="4" t="s">
        <v>27</v>
      </c>
      <c r="B438" s="16">
        <v>0</v>
      </c>
      <c r="C438" s="16">
        <v>0</v>
      </c>
      <c r="D438" s="16">
        <v>0</v>
      </c>
      <c r="E438" s="16">
        <v>0</v>
      </c>
      <c r="F438" s="16">
        <v>0</v>
      </c>
      <c r="G438" s="16"/>
      <c r="H438" s="16">
        <v>0</v>
      </c>
      <c r="I438" s="16">
        <v>0</v>
      </c>
      <c r="J438" s="5"/>
      <c r="K438" s="5"/>
      <c r="L438" s="5"/>
    </row>
    <row x14ac:dyDescent="0.25" r="439" customHeight="1" ht="18.75">
      <c r="A439" s="4" t="s">
        <v>28</v>
      </c>
      <c r="B439" s="16">
        <v>0</v>
      </c>
      <c r="C439" s="16">
        <v>0</v>
      </c>
      <c r="D439" s="16">
        <v>0</v>
      </c>
      <c r="E439" s="16">
        <v>0</v>
      </c>
      <c r="F439" s="16">
        <v>0</v>
      </c>
      <c r="G439" s="16"/>
      <c r="H439" s="16">
        <v>0</v>
      </c>
      <c r="I439" s="16">
        <v>0</v>
      </c>
      <c r="J439" s="5"/>
      <c r="K439" s="5"/>
      <c r="L439" s="5"/>
    </row>
    <row x14ac:dyDescent="0.25" r="440" customHeight="1" ht="18.75">
      <c r="A440" s="4" t="s">
        <v>29</v>
      </c>
      <c r="B440" s="16">
        <f>132020</f>
      </c>
      <c r="C440" s="16">
        <v>0</v>
      </c>
      <c r="D440" s="16">
        <v>268764</v>
      </c>
      <c r="E440" s="16">
        <v>0</v>
      </c>
      <c r="F440" s="16">
        <v>30888</v>
      </c>
      <c r="G440" s="16"/>
      <c r="H440" s="16">
        <f>33843</f>
      </c>
      <c r="I440" s="16">
        <v>532803</v>
      </c>
      <c r="J440" s="17">
        <v>1</v>
      </c>
      <c r="K440" s="17">
        <v>3</v>
      </c>
      <c r="L440" s="17">
        <v>1</v>
      </c>
    </row>
    <row x14ac:dyDescent="0.25" r="441" customHeight="1" ht="18.75">
      <c r="A441" s="4" t="s">
        <v>30</v>
      </c>
      <c r="B441" s="16">
        <v>0</v>
      </c>
      <c r="C441" s="16">
        <v>0</v>
      </c>
      <c r="D441" s="16">
        <v>0</v>
      </c>
      <c r="E441" s="16">
        <v>0</v>
      </c>
      <c r="F441" s="16">
        <v>0</v>
      </c>
      <c r="G441" s="16"/>
      <c r="H441" s="16">
        <v>0</v>
      </c>
      <c r="I441" s="16">
        <v>0</v>
      </c>
      <c r="J441" s="5"/>
      <c r="K441" s="5"/>
      <c r="L441" s="5"/>
    </row>
    <row x14ac:dyDescent="0.25" r="442" customHeight="1" ht="18.75">
      <c r="A442" s="4" t="s">
        <v>31</v>
      </c>
      <c r="B442" s="16">
        <v>0</v>
      </c>
      <c r="C442" s="16">
        <v>0</v>
      </c>
      <c r="D442" s="16">
        <v>0</v>
      </c>
      <c r="E442" s="16">
        <v>0</v>
      </c>
      <c r="F442" s="16">
        <v>0</v>
      </c>
      <c r="G442" s="16"/>
      <c r="H442" s="16">
        <v>0</v>
      </c>
      <c r="I442" s="16">
        <v>0</v>
      </c>
      <c r="J442" s="5"/>
      <c r="K442" s="5"/>
      <c r="L442" s="5"/>
    </row>
    <row x14ac:dyDescent="0.25" r="443" customHeight="1" ht="18.75">
      <c r="A443" s="4" t="s">
        <v>32</v>
      </c>
      <c r="B443" s="16">
        <f>3612</f>
      </c>
      <c r="C443" s="16">
        <v>0</v>
      </c>
      <c r="D443" s="16">
        <v>84539</v>
      </c>
      <c r="E443" s="16">
        <v>0</v>
      </c>
      <c r="F443" s="16">
        <v>0</v>
      </c>
      <c r="G443" s="16"/>
      <c r="H443" s="16">
        <f>170385</f>
      </c>
      <c r="I443" s="16">
        <v>207163</v>
      </c>
      <c r="J443" s="17">
        <v>2</v>
      </c>
      <c r="K443" s="17">
        <v>15</v>
      </c>
      <c r="L443" s="17">
        <v>2</v>
      </c>
    </row>
    <row x14ac:dyDescent="0.25" r="444" customHeight="1" ht="18.75">
      <c r="A444" s="4" t="s">
        <v>33</v>
      </c>
      <c r="B444" s="16">
        <v>0</v>
      </c>
      <c r="C444" s="16">
        <v>0</v>
      </c>
      <c r="D444" s="16">
        <v>0</v>
      </c>
      <c r="E444" s="16">
        <v>0</v>
      </c>
      <c r="F444" s="16">
        <v>0</v>
      </c>
      <c r="G444" s="16"/>
      <c r="H444" s="16">
        <v>0</v>
      </c>
      <c r="I444" s="16">
        <v>0</v>
      </c>
      <c r="J444" s="5"/>
      <c r="K444" s="5"/>
      <c r="L444" s="5"/>
    </row>
    <row x14ac:dyDescent="0.25" r="445" customHeight="1" ht="18.75">
      <c r="A445" s="4" t="s">
        <v>34</v>
      </c>
      <c r="B445" s="16">
        <v>0</v>
      </c>
      <c r="C445" s="16">
        <v>0</v>
      </c>
      <c r="D445" s="16">
        <v>0</v>
      </c>
      <c r="E445" s="16">
        <v>0</v>
      </c>
      <c r="F445" s="16">
        <v>0</v>
      </c>
      <c r="G445" s="16"/>
      <c r="H445" s="16">
        <v>0</v>
      </c>
      <c r="I445" s="16">
        <v>0</v>
      </c>
      <c r="J445" s="5"/>
      <c r="K445" s="5"/>
      <c r="L445" s="5"/>
    </row>
    <row x14ac:dyDescent="0.25" r="446" customHeight="1" ht="18.75">
      <c r="A446" s="4" t="s">
        <v>35</v>
      </c>
      <c r="B446" s="16">
        <v>0</v>
      </c>
      <c r="C446" s="16">
        <v>0</v>
      </c>
      <c r="D446" s="16">
        <v>0</v>
      </c>
      <c r="E446" s="16">
        <v>0</v>
      </c>
      <c r="F446" s="16">
        <v>0</v>
      </c>
      <c r="G446" s="16"/>
      <c r="H446" s="16">
        <v>0</v>
      </c>
      <c r="I446" s="16">
        <v>0</v>
      </c>
      <c r="J446" s="5"/>
      <c r="K446" s="5"/>
      <c r="L446" s="5"/>
    </row>
    <row x14ac:dyDescent="0.25" r="447" customHeight="1" ht="18.75">
      <c r="A447" s="2"/>
      <c r="B447" s="28"/>
      <c r="C447" s="28"/>
      <c r="D447" s="28"/>
      <c r="E447" s="28"/>
      <c r="F447" s="28"/>
      <c r="G447" s="28"/>
      <c r="H447" s="28"/>
      <c r="I447" s="28"/>
      <c r="J447" s="29"/>
      <c r="K447" s="29"/>
      <c r="L447" s="29"/>
    </row>
    <row x14ac:dyDescent="0.25" r="448" customHeight="1" ht="18.75">
      <c r="A448" s="36" t="s">
        <v>64</v>
      </c>
      <c r="B448" s="31" t="s">
        <v>4</v>
      </c>
      <c r="C448" s="31" t="s">
        <v>5</v>
      </c>
      <c r="D448" s="31" t="s">
        <v>6</v>
      </c>
      <c r="E448" s="31" t="s">
        <v>7</v>
      </c>
      <c r="F448" s="31" t="s">
        <v>8</v>
      </c>
      <c r="G448" s="31" t="s">
        <v>9</v>
      </c>
      <c r="H448" s="31" t="s">
        <v>10</v>
      </c>
      <c r="I448" s="31" t="s">
        <v>11</v>
      </c>
      <c r="J448" s="5" t="s">
        <v>12</v>
      </c>
      <c r="K448" s="5" t="s">
        <v>13</v>
      </c>
      <c r="L448" s="5" t="s">
        <v>14</v>
      </c>
    </row>
    <row x14ac:dyDescent="0.25" r="449" customHeight="1" ht="18.75">
      <c r="A449" s="6" t="s">
        <v>15</v>
      </c>
      <c r="B449" s="32" t="s">
        <v>16</v>
      </c>
      <c r="C449" s="33" t="s">
        <v>17</v>
      </c>
      <c r="D449" s="32" t="s">
        <v>18</v>
      </c>
      <c r="E449" s="32" t="s">
        <v>19</v>
      </c>
      <c r="F449" s="32" t="s">
        <v>20</v>
      </c>
      <c r="G449" s="32" t="s">
        <v>21</v>
      </c>
      <c r="H449" s="32" t="s">
        <v>22</v>
      </c>
      <c r="I449" s="33" t="s">
        <v>23</v>
      </c>
      <c r="J449" s="9" t="s">
        <v>24</v>
      </c>
      <c r="K449" s="10" t="s">
        <v>25</v>
      </c>
      <c r="L449" s="9" t="s">
        <v>26</v>
      </c>
    </row>
    <row x14ac:dyDescent="0.25" r="450" customHeight="1" ht="18.75">
      <c r="A450" s="11"/>
      <c r="B450" s="34"/>
      <c r="C450" s="35"/>
      <c r="D450" s="34"/>
      <c r="E450" s="34"/>
      <c r="F450" s="34"/>
      <c r="G450" s="34"/>
      <c r="H450" s="34"/>
      <c r="I450" s="35"/>
      <c r="J450" s="14"/>
      <c r="K450" s="15"/>
      <c r="L450" s="14"/>
    </row>
    <row x14ac:dyDescent="0.25" r="451" customHeight="1" ht="18.75">
      <c r="A451" s="4" t="s">
        <v>27</v>
      </c>
      <c r="B451" s="16">
        <v>0</v>
      </c>
      <c r="C451" s="16">
        <v>0</v>
      </c>
      <c r="D451" s="16">
        <v>0</v>
      </c>
      <c r="E451" s="16">
        <v>0</v>
      </c>
      <c r="F451" s="16">
        <v>19840</v>
      </c>
      <c r="G451" s="16"/>
      <c r="H451" s="16">
        <v>0</v>
      </c>
      <c r="I451" s="16">
        <v>0</v>
      </c>
      <c r="J451" s="5"/>
      <c r="K451" s="5"/>
      <c r="L451" s="5"/>
    </row>
    <row x14ac:dyDescent="0.25" r="452" customHeight="1" ht="18.75">
      <c r="A452" s="4" t="s">
        <v>28</v>
      </c>
      <c r="B452" s="16">
        <v>0</v>
      </c>
      <c r="C452" s="16">
        <v>0</v>
      </c>
      <c r="D452" s="16">
        <v>0</v>
      </c>
      <c r="E452" s="16">
        <v>0</v>
      </c>
      <c r="F452" s="16">
        <v>0</v>
      </c>
      <c r="G452" s="16"/>
      <c r="H452" s="16">
        <v>0</v>
      </c>
      <c r="I452" s="16">
        <v>0</v>
      </c>
      <c r="J452" s="5"/>
      <c r="K452" s="5"/>
      <c r="L452" s="5"/>
    </row>
    <row x14ac:dyDescent="0.25" r="453" customHeight="1" ht="18.75">
      <c r="A453" s="4" t="s">
        <v>29</v>
      </c>
      <c r="B453" s="16">
        <f>1446</f>
      </c>
      <c r="C453" s="16">
        <v>0</v>
      </c>
      <c r="D453" s="16">
        <v>5385</v>
      </c>
      <c r="E453" s="16">
        <v>0</v>
      </c>
      <c r="F453" s="16">
        <v>0</v>
      </c>
      <c r="G453" s="16"/>
      <c r="H453" s="16">
        <f>31336</f>
      </c>
      <c r="I453" s="16">
        <v>31852</v>
      </c>
      <c r="J453" s="5"/>
      <c r="K453" s="17">
        <v>4</v>
      </c>
      <c r="L453" s="5"/>
    </row>
    <row x14ac:dyDescent="0.25" r="454" customHeight="1" ht="18.75">
      <c r="A454" s="4" t="s">
        <v>30</v>
      </c>
      <c r="B454" s="16">
        <v>0</v>
      </c>
      <c r="C454" s="16">
        <v>0</v>
      </c>
      <c r="D454" s="16">
        <v>0</v>
      </c>
      <c r="E454" s="16">
        <v>0</v>
      </c>
      <c r="F454" s="16">
        <v>0</v>
      </c>
      <c r="G454" s="16"/>
      <c r="H454" s="16">
        <v>0</v>
      </c>
      <c r="I454" s="16">
        <v>0</v>
      </c>
      <c r="J454" s="5"/>
      <c r="K454" s="5"/>
      <c r="L454" s="5"/>
    </row>
    <row x14ac:dyDescent="0.25" r="455" customHeight="1" ht="18.75">
      <c r="A455" s="4" t="s">
        <v>31</v>
      </c>
      <c r="B455" s="16">
        <v>0</v>
      </c>
      <c r="C455" s="16">
        <v>0</v>
      </c>
      <c r="D455" s="16">
        <v>88327</v>
      </c>
      <c r="E455" s="16">
        <v>0</v>
      </c>
      <c r="F455" s="16">
        <v>0</v>
      </c>
      <c r="G455" s="16"/>
      <c r="H455" s="16">
        <f>11687</f>
      </c>
      <c r="I455" s="16">
        <v>88327</v>
      </c>
      <c r="J455" s="5"/>
      <c r="K455" s="5"/>
      <c r="L455" s="5"/>
    </row>
    <row x14ac:dyDescent="0.25" r="456" customHeight="1" ht="18.75">
      <c r="A456" s="4" t="s">
        <v>32</v>
      </c>
      <c r="B456" s="16">
        <f>57215</f>
      </c>
      <c r="C456" s="16">
        <v>0</v>
      </c>
      <c r="D456" s="16">
        <v>74116</v>
      </c>
      <c r="E456" s="16">
        <v>0</v>
      </c>
      <c r="F456" s="16">
        <v>0</v>
      </c>
      <c r="G456" s="16"/>
      <c r="H456" s="16">
        <f>195942</f>
      </c>
      <c r="I456" s="16">
        <v>276589</v>
      </c>
      <c r="J456" s="5"/>
      <c r="K456" s="17">
        <v>19</v>
      </c>
      <c r="L456" s="5"/>
    </row>
    <row x14ac:dyDescent="0.25" r="457" customHeight="1" ht="18.75">
      <c r="A457" s="4" t="s">
        <v>33</v>
      </c>
      <c r="B457" s="16">
        <v>0</v>
      </c>
      <c r="C457" s="16">
        <v>0</v>
      </c>
      <c r="D457" s="16">
        <v>0</v>
      </c>
      <c r="E457" s="16">
        <v>0</v>
      </c>
      <c r="F457" s="16">
        <v>0</v>
      </c>
      <c r="G457" s="16"/>
      <c r="H457" s="16">
        <v>0</v>
      </c>
      <c r="I457" s="16">
        <v>0</v>
      </c>
      <c r="J457" s="5"/>
      <c r="K457" s="5"/>
      <c r="L457" s="5"/>
    </row>
    <row x14ac:dyDescent="0.25" r="458" customHeight="1" ht="18.75">
      <c r="A458" s="4" t="s">
        <v>34</v>
      </c>
      <c r="B458" s="16">
        <v>0</v>
      </c>
      <c r="C458" s="16">
        <v>0</v>
      </c>
      <c r="D458" s="16">
        <v>0</v>
      </c>
      <c r="E458" s="16">
        <v>0</v>
      </c>
      <c r="F458" s="16">
        <v>0</v>
      </c>
      <c r="G458" s="16"/>
      <c r="H458" s="16">
        <v>0</v>
      </c>
      <c r="I458" s="16">
        <v>0</v>
      </c>
      <c r="J458" s="5"/>
      <c r="K458" s="5"/>
      <c r="L458" s="5"/>
    </row>
    <row x14ac:dyDescent="0.25" r="459" customHeight="1" ht="18.75">
      <c r="A459" s="4" t="s">
        <v>35</v>
      </c>
      <c r="B459" s="16">
        <v>0</v>
      </c>
      <c r="C459" s="16">
        <v>0</v>
      </c>
      <c r="D459" s="16">
        <v>0</v>
      </c>
      <c r="E459" s="16">
        <v>0</v>
      </c>
      <c r="F459" s="16">
        <v>0</v>
      </c>
      <c r="G459" s="16"/>
      <c r="H459" s="16">
        <v>0</v>
      </c>
      <c r="I459" s="16">
        <v>0</v>
      </c>
      <c r="J459" s="5"/>
      <c r="K459" s="5"/>
      <c r="L459" s="5"/>
    </row>
    <row x14ac:dyDescent="0.25" r="460" customHeight="1" ht="18.75">
      <c r="A460" s="2"/>
      <c r="B460" s="28"/>
      <c r="C460" s="28"/>
      <c r="D460" s="28"/>
      <c r="E460" s="28"/>
      <c r="F460" s="28"/>
      <c r="G460" s="28"/>
      <c r="H460" s="28"/>
      <c r="I460" s="28"/>
      <c r="J460" s="29"/>
      <c r="K460" s="29"/>
      <c r="L460" s="29"/>
    </row>
    <row x14ac:dyDescent="0.25" r="461" customHeight="1" ht="18.75">
      <c r="A461" s="36" t="s">
        <v>53</v>
      </c>
      <c r="B461" s="31" t="s">
        <v>4</v>
      </c>
      <c r="C461" s="31" t="s">
        <v>5</v>
      </c>
      <c r="D461" s="31" t="s">
        <v>6</v>
      </c>
      <c r="E461" s="31" t="s">
        <v>7</v>
      </c>
      <c r="F461" s="31" t="s">
        <v>8</v>
      </c>
      <c r="G461" s="31" t="s">
        <v>9</v>
      </c>
      <c r="H461" s="31" t="s">
        <v>10</v>
      </c>
      <c r="I461" s="31" t="s">
        <v>11</v>
      </c>
      <c r="J461" s="5" t="s">
        <v>12</v>
      </c>
      <c r="K461" s="5" t="s">
        <v>13</v>
      </c>
      <c r="L461" s="5" t="s">
        <v>14</v>
      </c>
    </row>
    <row x14ac:dyDescent="0.25" r="462" customHeight="1" ht="18.75">
      <c r="A462" s="6" t="s">
        <v>15</v>
      </c>
      <c r="B462" s="32" t="s">
        <v>16</v>
      </c>
      <c r="C462" s="33" t="s">
        <v>17</v>
      </c>
      <c r="D462" s="32" t="s">
        <v>18</v>
      </c>
      <c r="E462" s="32" t="s">
        <v>19</v>
      </c>
      <c r="F462" s="32" t="s">
        <v>20</v>
      </c>
      <c r="G462" s="32" t="s">
        <v>21</v>
      </c>
      <c r="H462" s="32" t="s">
        <v>22</v>
      </c>
      <c r="I462" s="33" t="s">
        <v>23</v>
      </c>
      <c r="J462" s="9" t="s">
        <v>24</v>
      </c>
      <c r="K462" s="10" t="s">
        <v>25</v>
      </c>
      <c r="L462" s="9" t="s">
        <v>26</v>
      </c>
    </row>
    <row x14ac:dyDescent="0.25" r="463" customHeight="1" ht="18.75">
      <c r="A463" s="11"/>
      <c r="B463" s="34"/>
      <c r="C463" s="35"/>
      <c r="D463" s="34"/>
      <c r="E463" s="34"/>
      <c r="F463" s="34"/>
      <c r="G463" s="34"/>
      <c r="H463" s="34"/>
      <c r="I463" s="35"/>
      <c r="J463" s="14"/>
      <c r="K463" s="15"/>
      <c r="L463" s="14"/>
    </row>
    <row x14ac:dyDescent="0.25" r="464" customHeight="1" ht="18.75">
      <c r="A464" s="4" t="s">
        <v>27</v>
      </c>
      <c r="B464" s="16">
        <v>0</v>
      </c>
      <c r="C464" s="16">
        <v>0</v>
      </c>
      <c r="D464" s="16">
        <v>0</v>
      </c>
      <c r="E464" s="16">
        <v>0</v>
      </c>
      <c r="F464" s="16">
        <v>0</v>
      </c>
      <c r="G464" s="16"/>
      <c r="H464" s="16">
        <v>0</v>
      </c>
      <c r="I464" s="16">
        <v>0</v>
      </c>
      <c r="J464" s="5"/>
      <c r="K464" s="5"/>
      <c r="L464" s="5"/>
    </row>
    <row x14ac:dyDescent="0.25" r="465" customHeight="1" ht="18.75">
      <c r="A465" s="4" t="s">
        <v>28</v>
      </c>
      <c r="B465" s="16">
        <v>0</v>
      </c>
      <c r="C465" s="16">
        <v>0</v>
      </c>
      <c r="D465" s="16">
        <v>0</v>
      </c>
      <c r="E465" s="16">
        <v>0</v>
      </c>
      <c r="F465" s="16">
        <v>0</v>
      </c>
      <c r="G465" s="16"/>
      <c r="H465" s="16">
        <v>0</v>
      </c>
      <c r="I465" s="16">
        <v>0</v>
      </c>
      <c r="J465" s="5"/>
      <c r="K465" s="5"/>
      <c r="L465" s="5"/>
    </row>
    <row x14ac:dyDescent="0.25" r="466" customHeight="1" ht="18.75">
      <c r="A466" s="4" t="s">
        <v>29</v>
      </c>
      <c r="B466" s="16">
        <f>60285</f>
      </c>
      <c r="C466" s="16">
        <v>0</v>
      </c>
      <c r="D466" s="16">
        <v>65059</v>
      </c>
      <c r="E466" s="16">
        <v>0</v>
      </c>
      <c r="F466" s="16">
        <v>0</v>
      </c>
      <c r="G466" s="16"/>
      <c r="H466" s="16">
        <f>15794</f>
      </c>
      <c r="I466" s="16">
        <v>185628</v>
      </c>
      <c r="J466" s="5"/>
      <c r="K466" s="17">
        <v>2</v>
      </c>
      <c r="L466" s="5"/>
    </row>
    <row x14ac:dyDescent="0.25" r="467" customHeight="1" ht="18.75">
      <c r="A467" s="4" t="s">
        <v>30</v>
      </c>
      <c r="B467" s="16">
        <v>0</v>
      </c>
      <c r="C467" s="16">
        <v>0</v>
      </c>
      <c r="D467" s="16">
        <v>0</v>
      </c>
      <c r="E467" s="16">
        <v>0</v>
      </c>
      <c r="F467" s="16">
        <v>0</v>
      </c>
      <c r="G467" s="16"/>
      <c r="H467" s="16">
        <v>0</v>
      </c>
      <c r="I467" s="16">
        <v>0</v>
      </c>
      <c r="J467" s="5"/>
      <c r="K467" s="5"/>
      <c r="L467" s="5"/>
    </row>
    <row x14ac:dyDescent="0.25" r="468" customHeight="1" ht="18.75">
      <c r="A468" s="4" t="s">
        <v>31</v>
      </c>
      <c r="B468" s="16">
        <v>0</v>
      </c>
      <c r="C468" s="16">
        <v>0</v>
      </c>
      <c r="D468" s="16">
        <v>0</v>
      </c>
      <c r="E468" s="16">
        <v>0</v>
      </c>
      <c r="F468" s="16">
        <v>0</v>
      </c>
      <c r="G468" s="16"/>
      <c r="H468" s="16">
        <v>0</v>
      </c>
      <c r="I468" s="16">
        <v>0</v>
      </c>
      <c r="J468" s="5"/>
      <c r="K468" s="5"/>
      <c r="L468" s="5"/>
    </row>
    <row x14ac:dyDescent="0.25" r="469" customHeight="1" ht="18.75">
      <c r="A469" s="4" t="s">
        <v>32</v>
      </c>
      <c r="B469" s="16">
        <f>8048</f>
      </c>
      <c r="C469" s="16">
        <v>0</v>
      </c>
      <c r="D469" s="16">
        <v>62881</v>
      </c>
      <c r="E469" s="16">
        <v>0</v>
      </c>
      <c r="F469" s="16">
        <v>0</v>
      </c>
      <c r="G469" s="16"/>
      <c r="H469" s="16">
        <f>83893</f>
      </c>
      <c r="I469" s="16">
        <v>118054</v>
      </c>
      <c r="J469" s="17">
        <v>2</v>
      </c>
      <c r="K469" s="17">
        <v>20</v>
      </c>
      <c r="L469" s="17">
        <v>1</v>
      </c>
    </row>
    <row x14ac:dyDescent="0.25" r="470" customHeight="1" ht="18.75">
      <c r="A470" s="4" t="s">
        <v>33</v>
      </c>
      <c r="B470" s="16">
        <v>0</v>
      </c>
      <c r="C470" s="16">
        <v>0</v>
      </c>
      <c r="D470" s="16">
        <v>0</v>
      </c>
      <c r="E470" s="16">
        <v>0</v>
      </c>
      <c r="F470" s="16">
        <v>0</v>
      </c>
      <c r="G470" s="16"/>
      <c r="H470" s="16">
        <v>0</v>
      </c>
      <c r="I470" s="16">
        <v>0</v>
      </c>
      <c r="J470" s="5"/>
      <c r="K470" s="5"/>
      <c r="L470" s="5"/>
    </row>
    <row x14ac:dyDescent="0.25" r="471" customHeight="1" ht="18.75">
      <c r="A471" s="4" t="s">
        <v>34</v>
      </c>
      <c r="B471" s="16">
        <v>59592</v>
      </c>
      <c r="C471" s="16">
        <v>0</v>
      </c>
      <c r="D471" s="16">
        <v>0</v>
      </c>
      <c r="E471" s="16">
        <v>0</v>
      </c>
      <c r="F471" s="16">
        <v>0</v>
      </c>
      <c r="G471" s="16"/>
      <c r="H471" s="16">
        <v>0</v>
      </c>
      <c r="I471" s="16">
        <v>0</v>
      </c>
      <c r="J471" s="5"/>
      <c r="K471" s="5"/>
      <c r="L471" s="5"/>
    </row>
    <row x14ac:dyDescent="0.25" r="472" customHeight="1" ht="18.75">
      <c r="A472" s="4" t="s">
        <v>35</v>
      </c>
      <c r="B472" s="16">
        <v>0</v>
      </c>
      <c r="C472" s="16">
        <v>0</v>
      </c>
      <c r="D472" s="16">
        <v>0</v>
      </c>
      <c r="E472" s="16">
        <v>0</v>
      </c>
      <c r="F472" s="16">
        <v>0</v>
      </c>
      <c r="G472" s="16"/>
      <c r="H472" s="16">
        <v>0</v>
      </c>
      <c r="I472" s="16">
        <v>0</v>
      </c>
      <c r="J472" s="5"/>
      <c r="K472" s="5"/>
      <c r="L472" s="5"/>
    </row>
    <row x14ac:dyDescent="0.25" r="473" customHeight="1" ht="18.75">
      <c r="A473" s="2"/>
      <c r="B473" s="28"/>
      <c r="C473" s="28"/>
      <c r="D473" s="28"/>
      <c r="E473" s="28"/>
      <c r="F473" s="28"/>
      <c r="G473" s="28"/>
      <c r="H473" s="28"/>
      <c r="I473" s="28"/>
      <c r="J473" s="29"/>
      <c r="K473" s="29"/>
      <c r="L473" s="29"/>
    </row>
    <row x14ac:dyDescent="0.25" r="474" customHeight="1" ht="18.75">
      <c r="A474" s="36" t="s">
        <v>54</v>
      </c>
      <c r="B474" s="31" t="s">
        <v>4</v>
      </c>
      <c r="C474" s="31" t="s">
        <v>5</v>
      </c>
      <c r="D474" s="31" t="s">
        <v>6</v>
      </c>
      <c r="E474" s="31" t="s">
        <v>7</v>
      </c>
      <c r="F474" s="31" t="s">
        <v>8</v>
      </c>
      <c r="G474" s="31" t="s">
        <v>9</v>
      </c>
      <c r="H474" s="31" t="s">
        <v>10</v>
      </c>
      <c r="I474" s="31" t="s">
        <v>11</v>
      </c>
      <c r="J474" s="5" t="s">
        <v>12</v>
      </c>
      <c r="K474" s="5" t="s">
        <v>13</v>
      </c>
      <c r="L474" s="5" t="s">
        <v>14</v>
      </c>
    </row>
    <row x14ac:dyDescent="0.25" r="475" customHeight="1" ht="18.75">
      <c r="A475" s="6" t="s">
        <v>15</v>
      </c>
      <c r="B475" s="32" t="s">
        <v>16</v>
      </c>
      <c r="C475" s="33" t="s">
        <v>17</v>
      </c>
      <c r="D475" s="32" t="s">
        <v>18</v>
      </c>
      <c r="E475" s="32" t="s">
        <v>19</v>
      </c>
      <c r="F475" s="32" t="s">
        <v>20</v>
      </c>
      <c r="G475" s="32" t="s">
        <v>21</v>
      </c>
      <c r="H475" s="32" t="s">
        <v>22</v>
      </c>
      <c r="I475" s="33" t="s">
        <v>23</v>
      </c>
      <c r="J475" s="9" t="s">
        <v>24</v>
      </c>
      <c r="K475" s="10" t="s">
        <v>25</v>
      </c>
      <c r="L475" s="9" t="s">
        <v>26</v>
      </c>
    </row>
    <row x14ac:dyDescent="0.25" r="476" customHeight="1" ht="18.75">
      <c r="A476" s="11"/>
      <c r="B476" s="34"/>
      <c r="C476" s="35"/>
      <c r="D476" s="34"/>
      <c r="E476" s="34"/>
      <c r="F476" s="34"/>
      <c r="G476" s="34"/>
      <c r="H476" s="34"/>
      <c r="I476" s="35"/>
      <c r="J476" s="14"/>
      <c r="K476" s="15"/>
      <c r="L476" s="14"/>
    </row>
    <row x14ac:dyDescent="0.25" r="477" customHeight="1" ht="18.75">
      <c r="A477" s="4" t="s">
        <v>27</v>
      </c>
      <c r="B477" s="16">
        <f>8019</f>
      </c>
      <c r="C477" s="16">
        <v>0</v>
      </c>
      <c r="D477" s="16">
        <v>12253</v>
      </c>
      <c r="E477" s="16">
        <v>0</v>
      </c>
      <c r="F477" s="16">
        <v>10930</v>
      </c>
      <c r="G477" s="16"/>
      <c r="H477" s="16">
        <f>17351</f>
      </c>
      <c r="I477" s="16">
        <v>28291</v>
      </c>
      <c r="J477" s="5"/>
      <c r="K477" s="5"/>
      <c r="L477" s="5"/>
    </row>
    <row x14ac:dyDescent="0.25" r="478" customHeight="1" ht="18.75">
      <c r="A478" s="4" t="s">
        <v>28</v>
      </c>
      <c r="B478" s="16">
        <v>0</v>
      </c>
      <c r="C478" s="16">
        <v>0</v>
      </c>
      <c r="D478" s="16">
        <v>0</v>
      </c>
      <c r="E478" s="16">
        <v>0</v>
      </c>
      <c r="F478" s="16">
        <v>0</v>
      </c>
      <c r="G478" s="16"/>
      <c r="H478" s="16">
        <v>0</v>
      </c>
      <c r="I478" s="16">
        <v>0</v>
      </c>
      <c r="J478" s="5"/>
      <c r="K478" s="5"/>
      <c r="L478" s="5"/>
    </row>
    <row x14ac:dyDescent="0.25" r="479" customHeight="1" ht="18.75">
      <c r="A479" s="4" t="s">
        <v>29</v>
      </c>
      <c r="B479" s="16">
        <v>0</v>
      </c>
      <c r="C479" s="16">
        <v>0</v>
      </c>
      <c r="D479" s="16">
        <v>0</v>
      </c>
      <c r="E479" s="16">
        <v>0</v>
      </c>
      <c r="F479" s="16">
        <v>0</v>
      </c>
      <c r="G479" s="16"/>
      <c r="H479" s="16">
        <v>0</v>
      </c>
      <c r="I479" s="16">
        <v>0</v>
      </c>
      <c r="J479" s="5"/>
      <c r="K479" s="17">
        <v>2</v>
      </c>
      <c r="L479" s="5"/>
    </row>
    <row x14ac:dyDescent="0.25" r="480" customHeight="1" ht="18.75">
      <c r="A480" s="4" t="s">
        <v>30</v>
      </c>
      <c r="B480" s="16">
        <v>0</v>
      </c>
      <c r="C480" s="16">
        <v>0</v>
      </c>
      <c r="D480" s="16">
        <v>0</v>
      </c>
      <c r="E480" s="16">
        <v>0</v>
      </c>
      <c r="F480" s="16">
        <v>0</v>
      </c>
      <c r="G480" s="16"/>
      <c r="H480" s="16">
        <v>0</v>
      </c>
      <c r="I480" s="16">
        <v>0</v>
      </c>
      <c r="J480" s="5"/>
      <c r="K480" s="5"/>
      <c r="L480" s="5"/>
    </row>
    <row x14ac:dyDescent="0.25" r="481" customHeight="1" ht="18.75">
      <c r="A481" s="4" t="s">
        <v>31</v>
      </c>
      <c r="B481" s="16">
        <v>0</v>
      </c>
      <c r="C481" s="16">
        <v>0</v>
      </c>
      <c r="D481" s="16">
        <v>0</v>
      </c>
      <c r="E481" s="16">
        <v>0</v>
      </c>
      <c r="F481" s="16">
        <v>0</v>
      </c>
      <c r="G481" s="16"/>
      <c r="H481" s="16">
        <v>0</v>
      </c>
      <c r="I481" s="16">
        <v>0</v>
      </c>
      <c r="J481" s="5"/>
      <c r="K481" s="5"/>
      <c r="L481" s="5"/>
    </row>
    <row x14ac:dyDescent="0.25" r="482" customHeight="1" ht="18.75">
      <c r="A482" s="4" t="s">
        <v>32</v>
      </c>
      <c r="B482" s="16">
        <v>0</v>
      </c>
      <c r="C482" s="16">
        <v>0</v>
      </c>
      <c r="D482" s="16">
        <v>60671</v>
      </c>
      <c r="E482" s="16">
        <v>0</v>
      </c>
      <c r="F482" s="16">
        <v>0</v>
      </c>
      <c r="G482" s="16"/>
      <c r="H482" s="16">
        <f>53578</f>
      </c>
      <c r="I482" s="16">
        <v>80526</v>
      </c>
      <c r="J482" s="5"/>
      <c r="K482" s="17">
        <v>24</v>
      </c>
      <c r="L482" s="5"/>
    </row>
    <row x14ac:dyDescent="0.25" r="483" customHeight="1" ht="18.75">
      <c r="A483" s="4" t="s">
        <v>33</v>
      </c>
      <c r="B483" s="16">
        <v>0</v>
      </c>
      <c r="C483" s="16">
        <v>0</v>
      </c>
      <c r="D483" s="16">
        <v>0</v>
      </c>
      <c r="E483" s="16">
        <v>0</v>
      </c>
      <c r="F483" s="16">
        <v>0</v>
      </c>
      <c r="G483" s="16"/>
      <c r="H483" s="16">
        <v>0</v>
      </c>
      <c r="I483" s="16">
        <v>0</v>
      </c>
      <c r="J483" s="5"/>
      <c r="K483" s="5"/>
      <c r="L483" s="5"/>
    </row>
    <row x14ac:dyDescent="0.25" r="484" customHeight="1" ht="18.75">
      <c r="A484" s="4" t="s">
        <v>34</v>
      </c>
      <c r="B484" s="16">
        <v>0</v>
      </c>
      <c r="C484" s="16">
        <v>0</v>
      </c>
      <c r="D484" s="16">
        <v>0</v>
      </c>
      <c r="E484" s="16">
        <v>0</v>
      </c>
      <c r="F484" s="16">
        <v>0</v>
      </c>
      <c r="G484" s="16"/>
      <c r="H484" s="16">
        <v>0</v>
      </c>
      <c r="I484" s="16">
        <v>0</v>
      </c>
      <c r="J484" s="5"/>
      <c r="K484" s="5"/>
      <c r="L484" s="5"/>
    </row>
    <row x14ac:dyDescent="0.25" r="485" customHeight="1" ht="18.75">
      <c r="A485" s="4" t="s">
        <v>35</v>
      </c>
      <c r="B485" s="16">
        <v>0</v>
      </c>
      <c r="C485" s="16">
        <v>0</v>
      </c>
      <c r="D485" s="16">
        <v>0</v>
      </c>
      <c r="E485" s="16">
        <v>0</v>
      </c>
      <c r="F485" s="16">
        <v>0</v>
      </c>
      <c r="G485" s="16"/>
      <c r="H485" s="16">
        <v>0</v>
      </c>
      <c r="I485" s="16">
        <v>0</v>
      </c>
      <c r="J485" s="5"/>
      <c r="K485" s="5"/>
      <c r="L485" s="5"/>
    </row>
    <row x14ac:dyDescent="0.25" r="486" customHeight="1" ht="18.75">
      <c r="A486" s="2"/>
      <c r="B486" s="28"/>
      <c r="C486" s="28"/>
      <c r="D486" s="28"/>
      <c r="E486" s="28"/>
      <c r="F486" s="28"/>
      <c r="G486" s="28"/>
      <c r="H486" s="28"/>
      <c r="I486" s="28"/>
      <c r="J486" s="29"/>
      <c r="K486" s="29"/>
      <c r="L486" s="29"/>
    </row>
    <row x14ac:dyDescent="0.25" r="487" customHeight="1" ht="18.75">
      <c r="A487" s="36" t="s">
        <v>65</v>
      </c>
      <c r="B487" s="31" t="s">
        <v>4</v>
      </c>
      <c r="C487" s="31" t="s">
        <v>5</v>
      </c>
      <c r="D487" s="31" t="s">
        <v>6</v>
      </c>
      <c r="E487" s="31" t="s">
        <v>7</v>
      </c>
      <c r="F487" s="31" t="s">
        <v>8</v>
      </c>
      <c r="G487" s="31" t="s">
        <v>9</v>
      </c>
      <c r="H487" s="31" t="s">
        <v>10</v>
      </c>
      <c r="I487" s="31" t="s">
        <v>11</v>
      </c>
      <c r="J487" s="5" t="s">
        <v>12</v>
      </c>
      <c r="K487" s="5" t="s">
        <v>13</v>
      </c>
      <c r="L487" s="5" t="s">
        <v>14</v>
      </c>
    </row>
    <row x14ac:dyDescent="0.25" r="488" customHeight="1" ht="18.75">
      <c r="A488" s="6" t="s">
        <v>15</v>
      </c>
      <c r="B488" s="32" t="s">
        <v>16</v>
      </c>
      <c r="C488" s="33" t="s">
        <v>17</v>
      </c>
      <c r="D488" s="32" t="s">
        <v>18</v>
      </c>
      <c r="E488" s="32" t="s">
        <v>19</v>
      </c>
      <c r="F488" s="32" t="s">
        <v>20</v>
      </c>
      <c r="G488" s="32" t="s">
        <v>21</v>
      </c>
      <c r="H488" s="32" t="s">
        <v>22</v>
      </c>
      <c r="I488" s="33" t="s">
        <v>23</v>
      </c>
      <c r="J488" s="9" t="s">
        <v>24</v>
      </c>
      <c r="K488" s="10" t="s">
        <v>25</v>
      </c>
      <c r="L488" s="9" t="s">
        <v>26</v>
      </c>
    </row>
    <row x14ac:dyDescent="0.25" r="489" customHeight="1" ht="18.75">
      <c r="A489" s="11"/>
      <c r="B489" s="34"/>
      <c r="C489" s="35"/>
      <c r="D489" s="34"/>
      <c r="E489" s="34"/>
      <c r="F489" s="34"/>
      <c r="G489" s="34"/>
      <c r="H489" s="34"/>
      <c r="I489" s="35"/>
      <c r="J489" s="14"/>
      <c r="K489" s="15"/>
      <c r="L489" s="14"/>
    </row>
    <row x14ac:dyDescent="0.25" r="490" customHeight="1" ht="18.75">
      <c r="A490" s="4" t="s">
        <v>27</v>
      </c>
      <c r="B490" s="16">
        <v>0</v>
      </c>
      <c r="C490" s="16">
        <v>0</v>
      </c>
      <c r="D490" s="16">
        <v>0</v>
      </c>
      <c r="E490" s="16">
        <v>0</v>
      </c>
      <c r="F490" s="16">
        <v>0</v>
      </c>
      <c r="G490" s="16"/>
      <c r="H490" s="16">
        <v>0</v>
      </c>
      <c r="I490" s="16">
        <v>0</v>
      </c>
      <c r="J490" s="5"/>
      <c r="K490" s="5"/>
      <c r="L490" s="5"/>
    </row>
    <row x14ac:dyDescent="0.25" r="491" customHeight="1" ht="18.75">
      <c r="A491" s="4" t="s">
        <v>28</v>
      </c>
      <c r="B491" s="16">
        <v>0</v>
      </c>
      <c r="C491" s="16">
        <v>0</v>
      </c>
      <c r="D491" s="16">
        <v>0</v>
      </c>
      <c r="E491" s="16">
        <v>0</v>
      </c>
      <c r="F491" s="16">
        <v>0</v>
      </c>
      <c r="G491" s="16"/>
      <c r="H491" s="16">
        <v>0</v>
      </c>
      <c r="I491" s="16">
        <v>0</v>
      </c>
      <c r="J491" s="5"/>
      <c r="K491" s="5"/>
      <c r="L491" s="5"/>
    </row>
    <row x14ac:dyDescent="0.25" r="492" customHeight="1" ht="18.75">
      <c r="A492" s="4" t="s">
        <v>29</v>
      </c>
      <c r="B492" s="16">
        <f>159095</f>
      </c>
      <c r="C492" s="16">
        <v>0</v>
      </c>
      <c r="D492" s="16">
        <v>135243</v>
      </c>
      <c r="E492" s="16">
        <v>0</v>
      </c>
      <c r="F492" s="16">
        <v>0</v>
      </c>
      <c r="G492" s="16"/>
      <c r="H492" s="16">
        <f>36841</f>
      </c>
      <c r="I492" s="16">
        <v>453433</v>
      </c>
      <c r="J492" s="5"/>
      <c r="K492" s="17">
        <v>3</v>
      </c>
      <c r="L492" s="5"/>
    </row>
    <row x14ac:dyDescent="0.25" r="493" customHeight="1" ht="18.75">
      <c r="A493" s="4" t="s">
        <v>30</v>
      </c>
      <c r="B493" s="16">
        <v>0</v>
      </c>
      <c r="C493" s="16">
        <v>0</v>
      </c>
      <c r="D493" s="16">
        <v>0</v>
      </c>
      <c r="E493" s="16">
        <v>0</v>
      </c>
      <c r="F493" s="16">
        <v>0</v>
      </c>
      <c r="G493" s="16"/>
      <c r="H493" s="16">
        <v>0</v>
      </c>
      <c r="I493" s="16">
        <v>0</v>
      </c>
      <c r="J493" s="5"/>
      <c r="K493" s="5"/>
      <c r="L493" s="5"/>
    </row>
    <row x14ac:dyDescent="0.25" r="494" customHeight="1" ht="18.75">
      <c r="A494" s="4" t="s">
        <v>31</v>
      </c>
      <c r="B494" s="16">
        <v>0</v>
      </c>
      <c r="C494" s="16">
        <v>0</v>
      </c>
      <c r="D494" s="16">
        <v>0</v>
      </c>
      <c r="E494" s="16">
        <v>0</v>
      </c>
      <c r="F494" s="16">
        <v>0</v>
      </c>
      <c r="G494" s="16"/>
      <c r="H494" s="16">
        <v>0</v>
      </c>
      <c r="I494" s="16">
        <v>0</v>
      </c>
      <c r="J494" s="5"/>
      <c r="K494" s="5"/>
      <c r="L494" s="5"/>
    </row>
    <row x14ac:dyDescent="0.25" r="495" customHeight="1" ht="18.75">
      <c r="A495" s="4" t="s">
        <v>32</v>
      </c>
      <c r="B495" s="16">
        <f>3871</f>
      </c>
      <c r="C495" s="16">
        <v>0</v>
      </c>
      <c r="D495" s="16">
        <v>52769</v>
      </c>
      <c r="E495" s="16">
        <v>0</v>
      </c>
      <c r="F495" s="16">
        <v>0</v>
      </c>
      <c r="G495" s="16"/>
      <c r="H495" s="16">
        <f>61425</f>
      </c>
      <c r="I495" s="16">
        <v>79718</v>
      </c>
      <c r="J495" s="5"/>
      <c r="K495" s="17">
        <v>22</v>
      </c>
      <c r="L495" s="5"/>
    </row>
    <row x14ac:dyDescent="0.25" r="496" customHeight="1" ht="18.75">
      <c r="A496" s="4" t="s">
        <v>33</v>
      </c>
      <c r="B496" s="16">
        <v>0</v>
      </c>
      <c r="C496" s="16">
        <v>0</v>
      </c>
      <c r="D496" s="16">
        <v>0</v>
      </c>
      <c r="E496" s="16">
        <v>0</v>
      </c>
      <c r="F496" s="16">
        <v>0</v>
      </c>
      <c r="G496" s="16"/>
      <c r="H496" s="16">
        <v>0</v>
      </c>
      <c r="I496" s="16">
        <v>0</v>
      </c>
      <c r="J496" s="5"/>
      <c r="K496" s="5"/>
      <c r="L496" s="5"/>
    </row>
    <row x14ac:dyDescent="0.25" r="497" customHeight="1" ht="18.75">
      <c r="A497" s="4" t="s">
        <v>34</v>
      </c>
      <c r="B497" s="16">
        <v>0</v>
      </c>
      <c r="C497" s="16">
        <v>0</v>
      </c>
      <c r="D497" s="16">
        <v>0</v>
      </c>
      <c r="E497" s="16">
        <v>0</v>
      </c>
      <c r="F497" s="16">
        <v>0</v>
      </c>
      <c r="G497" s="16"/>
      <c r="H497" s="16">
        <v>0</v>
      </c>
      <c r="I497" s="16">
        <v>0</v>
      </c>
      <c r="J497" s="5"/>
      <c r="K497" s="5"/>
      <c r="L497" s="5"/>
    </row>
    <row x14ac:dyDescent="0.25" r="498" customHeight="1" ht="18.75">
      <c r="A498" s="4" t="s">
        <v>35</v>
      </c>
      <c r="B498" s="16">
        <v>0</v>
      </c>
      <c r="C498" s="16">
        <v>0</v>
      </c>
      <c r="D498" s="16">
        <v>0</v>
      </c>
      <c r="E498" s="16">
        <v>0</v>
      </c>
      <c r="F498" s="16">
        <v>0</v>
      </c>
      <c r="G498" s="16"/>
      <c r="H498" s="16">
        <v>0</v>
      </c>
      <c r="I498" s="16">
        <v>0</v>
      </c>
      <c r="J498" s="5"/>
      <c r="K498" s="5"/>
      <c r="L498" s="5"/>
    </row>
    <row x14ac:dyDescent="0.25" r="499" customHeight="1" ht="18.75">
      <c r="A499" s="2"/>
      <c r="B499" s="28"/>
      <c r="C499" s="28"/>
      <c r="D499" s="28"/>
      <c r="E499" s="28"/>
      <c r="F499" s="28"/>
      <c r="G499" s="28"/>
      <c r="H499" s="28"/>
      <c r="I499" s="28"/>
      <c r="J499" s="29"/>
      <c r="K499" s="29"/>
      <c r="L499" s="29"/>
    </row>
    <row x14ac:dyDescent="0.25" r="500" customHeight="1" ht="18.75">
      <c r="A500" s="36" t="s">
        <v>56</v>
      </c>
      <c r="B500" s="31" t="s">
        <v>4</v>
      </c>
      <c r="C500" s="31" t="s">
        <v>5</v>
      </c>
      <c r="D500" s="31" t="s">
        <v>6</v>
      </c>
      <c r="E500" s="31" t="s">
        <v>7</v>
      </c>
      <c r="F500" s="31" t="s">
        <v>8</v>
      </c>
      <c r="G500" s="31" t="s">
        <v>9</v>
      </c>
      <c r="H500" s="31" t="s">
        <v>10</v>
      </c>
      <c r="I500" s="31" t="s">
        <v>11</v>
      </c>
      <c r="J500" s="5" t="s">
        <v>12</v>
      </c>
      <c r="K500" s="5" t="s">
        <v>13</v>
      </c>
      <c r="L500" s="5" t="s">
        <v>14</v>
      </c>
    </row>
    <row x14ac:dyDescent="0.25" r="501" customHeight="1" ht="18.75">
      <c r="A501" s="6" t="s">
        <v>15</v>
      </c>
      <c r="B501" s="32" t="s">
        <v>16</v>
      </c>
      <c r="C501" s="33" t="s">
        <v>17</v>
      </c>
      <c r="D501" s="32" t="s">
        <v>18</v>
      </c>
      <c r="E501" s="32" t="s">
        <v>19</v>
      </c>
      <c r="F501" s="32" t="s">
        <v>20</v>
      </c>
      <c r="G501" s="32" t="s">
        <v>21</v>
      </c>
      <c r="H501" s="32" t="s">
        <v>22</v>
      </c>
      <c r="I501" s="33" t="s">
        <v>23</v>
      </c>
      <c r="J501" s="9" t="s">
        <v>24</v>
      </c>
      <c r="K501" s="10" t="s">
        <v>25</v>
      </c>
      <c r="L501" s="9" t="s">
        <v>26</v>
      </c>
    </row>
    <row x14ac:dyDescent="0.25" r="502" customHeight="1" ht="18.75">
      <c r="A502" s="11"/>
      <c r="B502" s="34"/>
      <c r="C502" s="35"/>
      <c r="D502" s="34"/>
      <c r="E502" s="34"/>
      <c r="F502" s="34"/>
      <c r="G502" s="34"/>
      <c r="H502" s="34"/>
      <c r="I502" s="35"/>
      <c r="J502" s="14"/>
      <c r="K502" s="15"/>
      <c r="L502" s="14"/>
    </row>
    <row x14ac:dyDescent="0.25" r="503" customHeight="1" ht="18.75">
      <c r="A503" s="4" t="s">
        <v>27</v>
      </c>
      <c r="B503" s="16">
        <v>0</v>
      </c>
      <c r="C503" s="16">
        <v>0</v>
      </c>
      <c r="D503" s="16">
        <v>0</v>
      </c>
      <c r="E503" s="16">
        <v>0</v>
      </c>
      <c r="F503" s="16">
        <v>0</v>
      </c>
      <c r="G503" s="16"/>
      <c r="H503" s="16">
        <v>0</v>
      </c>
      <c r="I503" s="16">
        <v>0</v>
      </c>
      <c r="J503" s="5"/>
      <c r="K503" s="5"/>
      <c r="L503" s="5"/>
    </row>
    <row x14ac:dyDescent="0.25" r="504" customHeight="1" ht="18.75">
      <c r="A504" s="4" t="s">
        <v>28</v>
      </c>
      <c r="B504" s="16">
        <v>0</v>
      </c>
      <c r="C504" s="16">
        <v>0</v>
      </c>
      <c r="D504" s="16">
        <v>0</v>
      </c>
      <c r="E504" s="16">
        <v>0</v>
      </c>
      <c r="F504" s="16">
        <v>0</v>
      </c>
      <c r="G504" s="16"/>
      <c r="H504" s="16">
        <v>0</v>
      </c>
      <c r="I504" s="16">
        <v>0</v>
      </c>
      <c r="J504" s="5"/>
      <c r="K504" s="5"/>
      <c r="L504" s="5"/>
    </row>
    <row x14ac:dyDescent="0.25" r="505" customHeight="1" ht="18.75">
      <c r="A505" s="4" t="s">
        <v>29</v>
      </c>
      <c r="B505" s="16">
        <v>0</v>
      </c>
      <c r="C505" s="16">
        <v>0</v>
      </c>
      <c r="D505" s="16">
        <v>0</v>
      </c>
      <c r="E505" s="16">
        <v>0</v>
      </c>
      <c r="F505" s="16">
        <v>0</v>
      </c>
      <c r="G505" s="16"/>
      <c r="H505" s="16">
        <v>0</v>
      </c>
      <c r="I505" s="16">
        <v>0</v>
      </c>
      <c r="J505" s="5"/>
      <c r="K505" s="17">
        <v>4</v>
      </c>
      <c r="L505" s="5"/>
    </row>
    <row x14ac:dyDescent="0.25" r="506" customHeight="1" ht="18.75">
      <c r="A506" s="4" t="s">
        <v>30</v>
      </c>
      <c r="B506" s="16">
        <v>0</v>
      </c>
      <c r="C506" s="16">
        <v>0</v>
      </c>
      <c r="D506" s="16">
        <v>0</v>
      </c>
      <c r="E506" s="16">
        <v>0</v>
      </c>
      <c r="F506" s="16">
        <v>0</v>
      </c>
      <c r="G506" s="16"/>
      <c r="H506" s="16">
        <v>0</v>
      </c>
      <c r="I506" s="16">
        <v>0</v>
      </c>
      <c r="J506" s="5"/>
      <c r="K506" s="5"/>
      <c r="L506" s="5"/>
    </row>
    <row x14ac:dyDescent="0.25" r="507" customHeight="1" ht="18.75">
      <c r="A507" s="4" t="s">
        <v>31</v>
      </c>
      <c r="B507" s="16">
        <v>0</v>
      </c>
      <c r="C507" s="16">
        <v>0</v>
      </c>
      <c r="D507" s="16">
        <v>0</v>
      </c>
      <c r="E507" s="16">
        <v>0</v>
      </c>
      <c r="F507" s="16">
        <v>0</v>
      </c>
      <c r="G507" s="16"/>
      <c r="H507" s="16">
        <v>0</v>
      </c>
      <c r="I507" s="16">
        <v>0</v>
      </c>
      <c r="J507" s="5"/>
      <c r="K507" s="5"/>
      <c r="L507" s="5"/>
    </row>
    <row x14ac:dyDescent="0.25" r="508" customHeight="1" ht="18.75">
      <c r="A508" s="4" t="s">
        <v>32</v>
      </c>
      <c r="B508" s="16">
        <v>0</v>
      </c>
      <c r="C508" s="16">
        <v>0</v>
      </c>
      <c r="D508" s="16">
        <v>57753</v>
      </c>
      <c r="E508" s="16">
        <v>0</v>
      </c>
      <c r="F508" s="16">
        <v>0</v>
      </c>
      <c r="G508" s="16"/>
      <c r="H508" s="16">
        <f>35398</f>
      </c>
      <c r="I508" s="16">
        <v>67803</v>
      </c>
      <c r="J508" s="17">
        <v>1</v>
      </c>
      <c r="K508" s="17">
        <v>28</v>
      </c>
      <c r="L508" s="17">
        <v>1</v>
      </c>
    </row>
    <row x14ac:dyDescent="0.25" r="509" customHeight="1" ht="18.75">
      <c r="A509" s="4" t="s">
        <v>33</v>
      </c>
      <c r="B509" s="16">
        <v>0</v>
      </c>
      <c r="C509" s="16">
        <v>0</v>
      </c>
      <c r="D509" s="16">
        <v>0</v>
      </c>
      <c r="E509" s="16">
        <v>0</v>
      </c>
      <c r="F509" s="16">
        <v>0</v>
      </c>
      <c r="G509" s="16"/>
      <c r="H509" s="16">
        <v>0</v>
      </c>
      <c r="I509" s="16">
        <v>0</v>
      </c>
      <c r="J509" s="5"/>
      <c r="K509" s="5"/>
      <c r="L509" s="5"/>
    </row>
    <row x14ac:dyDescent="0.25" r="510" customHeight="1" ht="18.75">
      <c r="A510" s="4" t="s">
        <v>34</v>
      </c>
      <c r="B510" s="16">
        <v>0</v>
      </c>
      <c r="C510" s="16">
        <v>0</v>
      </c>
      <c r="D510" s="16">
        <v>0</v>
      </c>
      <c r="E510" s="16">
        <v>0</v>
      </c>
      <c r="F510" s="16">
        <v>0</v>
      </c>
      <c r="G510" s="16"/>
      <c r="H510" s="16">
        <v>0</v>
      </c>
      <c r="I510" s="16">
        <v>0</v>
      </c>
      <c r="J510" s="5"/>
      <c r="K510" s="5"/>
      <c r="L510" s="5"/>
    </row>
    <row x14ac:dyDescent="0.25" r="511" customHeight="1" ht="18.75">
      <c r="A511" s="4" t="s">
        <v>35</v>
      </c>
      <c r="B511" s="16">
        <v>0</v>
      </c>
      <c r="C511" s="16">
        <v>0</v>
      </c>
      <c r="D511" s="16">
        <v>0</v>
      </c>
      <c r="E511" s="16">
        <v>0</v>
      </c>
      <c r="F511" s="16">
        <v>0</v>
      </c>
      <c r="G511" s="16"/>
      <c r="H511" s="16">
        <v>0</v>
      </c>
      <c r="I511" s="16">
        <v>0</v>
      </c>
      <c r="J511" s="5"/>
      <c r="K511" s="5"/>
      <c r="L511" s="5"/>
    </row>
    <row x14ac:dyDescent="0.25" r="512" customHeight="1" ht="18.75">
      <c r="A512" s="2"/>
      <c r="B512" s="28"/>
      <c r="C512" s="28"/>
      <c r="D512" s="28"/>
      <c r="E512" s="28"/>
      <c r="F512" s="28"/>
      <c r="G512" s="28"/>
      <c r="H512" s="28"/>
      <c r="I512" s="28"/>
      <c r="J512" s="29"/>
      <c r="K512" s="29"/>
      <c r="L512" s="29"/>
    </row>
    <row x14ac:dyDescent="0.25" r="513" customHeight="1" ht="18.75">
      <c r="A513" s="36" t="s">
        <v>57</v>
      </c>
      <c r="B513" s="31" t="s">
        <v>4</v>
      </c>
      <c r="C513" s="31" t="s">
        <v>5</v>
      </c>
      <c r="D513" s="31" t="s">
        <v>6</v>
      </c>
      <c r="E513" s="31" t="s">
        <v>7</v>
      </c>
      <c r="F513" s="31" t="s">
        <v>8</v>
      </c>
      <c r="G513" s="31" t="s">
        <v>9</v>
      </c>
      <c r="H513" s="31" t="s">
        <v>10</v>
      </c>
      <c r="I513" s="31" t="s">
        <v>11</v>
      </c>
      <c r="J513" s="5" t="s">
        <v>12</v>
      </c>
      <c r="K513" s="5" t="s">
        <v>13</v>
      </c>
      <c r="L513" s="5" t="s">
        <v>14</v>
      </c>
    </row>
    <row x14ac:dyDescent="0.25" r="514" customHeight="1" ht="18.75">
      <c r="A514" s="6" t="s">
        <v>15</v>
      </c>
      <c r="B514" s="32" t="s">
        <v>16</v>
      </c>
      <c r="C514" s="33" t="s">
        <v>17</v>
      </c>
      <c r="D514" s="32" t="s">
        <v>18</v>
      </c>
      <c r="E514" s="32" t="s">
        <v>19</v>
      </c>
      <c r="F514" s="32" t="s">
        <v>20</v>
      </c>
      <c r="G514" s="32" t="s">
        <v>21</v>
      </c>
      <c r="H514" s="32" t="s">
        <v>22</v>
      </c>
      <c r="I514" s="33" t="s">
        <v>23</v>
      </c>
      <c r="J514" s="9" t="s">
        <v>24</v>
      </c>
      <c r="K514" s="10" t="s">
        <v>25</v>
      </c>
      <c r="L514" s="9" t="s">
        <v>26</v>
      </c>
    </row>
    <row x14ac:dyDescent="0.25" r="515" customHeight="1" ht="18.75">
      <c r="A515" s="11"/>
      <c r="B515" s="34"/>
      <c r="C515" s="35"/>
      <c r="D515" s="34"/>
      <c r="E515" s="34"/>
      <c r="F515" s="34"/>
      <c r="G515" s="34"/>
      <c r="H515" s="34"/>
      <c r="I515" s="35"/>
      <c r="J515" s="14"/>
      <c r="K515" s="15"/>
      <c r="L515" s="14"/>
    </row>
    <row x14ac:dyDescent="0.25" r="516" customHeight="1" ht="18.75">
      <c r="A516" s="4" t="s">
        <v>27</v>
      </c>
      <c r="B516" s="16">
        <v>8019</v>
      </c>
      <c r="C516" s="16">
        <v>0</v>
      </c>
      <c r="D516" s="16">
        <v>12253</v>
      </c>
      <c r="E516" s="16">
        <v>0</v>
      </c>
      <c r="F516" s="16">
        <v>30770</v>
      </c>
      <c r="G516" s="16"/>
      <c r="H516" s="16">
        <v>17351</v>
      </c>
      <c r="I516" s="16">
        <v>1596378</v>
      </c>
      <c r="J516" s="17">
        <v>0</v>
      </c>
      <c r="K516" s="17">
        <v>0</v>
      </c>
      <c r="L516" s="17">
        <v>0</v>
      </c>
    </row>
    <row x14ac:dyDescent="0.25" r="517" customHeight="1" ht="18.75">
      <c r="A517" s="4" t="s">
        <v>28</v>
      </c>
      <c r="B517" s="16">
        <v>0</v>
      </c>
      <c r="C517" s="16">
        <v>0</v>
      </c>
      <c r="D517" s="16">
        <v>0</v>
      </c>
      <c r="E517" s="16">
        <v>0</v>
      </c>
      <c r="F517" s="16">
        <v>0</v>
      </c>
      <c r="G517" s="16"/>
      <c r="H517" s="16">
        <v>0</v>
      </c>
      <c r="I517" s="16">
        <v>149073</v>
      </c>
      <c r="J517" s="17">
        <v>0</v>
      </c>
      <c r="K517" s="17">
        <v>0</v>
      </c>
      <c r="L517" s="17">
        <v>0</v>
      </c>
    </row>
    <row x14ac:dyDescent="0.25" r="518" customHeight="1" ht="18.75">
      <c r="A518" s="4" t="s">
        <v>29</v>
      </c>
      <c r="B518" s="16">
        <v>717348</v>
      </c>
      <c r="C518" s="16">
        <v>0</v>
      </c>
      <c r="D518" s="16">
        <v>1485616</v>
      </c>
      <c r="E518" s="16">
        <v>0</v>
      </c>
      <c r="F518" s="16">
        <v>30991</v>
      </c>
      <c r="G518" s="16"/>
      <c r="H518" s="16">
        <v>306357</v>
      </c>
      <c r="I518" s="16">
        <v>30220573</v>
      </c>
      <c r="J518" s="17">
        <v>1</v>
      </c>
      <c r="K518" s="17">
        <v>27</v>
      </c>
      <c r="L518" s="17">
        <v>1</v>
      </c>
    </row>
    <row x14ac:dyDescent="0.25" r="519" customHeight="1" ht="18.75">
      <c r="A519" s="4" t="s">
        <v>30</v>
      </c>
      <c r="B519" s="16">
        <v>0</v>
      </c>
      <c r="C519" s="16">
        <v>0</v>
      </c>
      <c r="D519" s="16">
        <v>0</v>
      </c>
      <c r="E519" s="16">
        <v>0</v>
      </c>
      <c r="F519" s="16">
        <v>0</v>
      </c>
      <c r="G519" s="16"/>
      <c r="H519" s="16">
        <v>0</v>
      </c>
      <c r="I519" s="16">
        <v>0</v>
      </c>
      <c r="J519" s="17">
        <v>0</v>
      </c>
      <c r="K519" s="17">
        <v>0</v>
      </c>
      <c r="L519" s="17">
        <v>0</v>
      </c>
    </row>
    <row x14ac:dyDescent="0.25" r="520" customHeight="1" ht="18.75">
      <c r="A520" s="4" t="s">
        <v>31</v>
      </c>
      <c r="B520" s="16">
        <v>0</v>
      </c>
      <c r="C520" s="16">
        <v>0</v>
      </c>
      <c r="D520" s="16">
        <v>88327</v>
      </c>
      <c r="E520" s="16">
        <v>0</v>
      </c>
      <c r="F520" s="16">
        <v>22</v>
      </c>
      <c r="G520" s="16"/>
      <c r="H520" s="16">
        <v>11687</v>
      </c>
      <c r="I520" s="16">
        <v>88327</v>
      </c>
      <c r="J520" s="17">
        <v>0</v>
      </c>
      <c r="K520" s="17">
        <v>1</v>
      </c>
      <c r="L520" s="17">
        <v>0</v>
      </c>
    </row>
    <row x14ac:dyDescent="0.25" r="521" customHeight="1" ht="18.75">
      <c r="A521" s="4" t="s">
        <v>32</v>
      </c>
      <c r="B521" s="16">
        <v>176274</v>
      </c>
      <c r="C521" s="16">
        <v>0</v>
      </c>
      <c r="D521" s="16">
        <v>894998</v>
      </c>
      <c r="E521" s="16">
        <v>0</v>
      </c>
      <c r="F521" s="16">
        <v>0</v>
      </c>
      <c r="G521" s="16"/>
      <c r="H521" s="16">
        <v>1366746</v>
      </c>
      <c r="I521" s="16">
        <v>1784292</v>
      </c>
      <c r="J521" s="17">
        <v>8</v>
      </c>
      <c r="K521" s="17">
        <v>248</v>
      </c>
      <c r="L521" s="17">
        <v>4</v>
      </c>
    </row>
    <row x14ac:dyDescent="0.25" r="522" customHeight="1" ht="18.75">
      <c r="A522" s="4" t="s">
        <v>33</v>
      </c>
      <c r="B522" s="16">
        <v>0</v>
      </c>
      <c r="C522" s="16">
        <v>0</v>
      </c>
      <c r="D522" s="16">
        <v>0</v>
      </c>
      <c r="E522" s="16">
        <v>0</v>
      </c>
      <c r="F522" s="16">
        <v>0</v>
      </c>
      <c r="G522" s="16"/>
      <c r="H522" s="16">
        <v>0</v>
      </c>
      <c r="I522" s="16">
        <v>0</v>
      </c>
      <c r="J522" s="17">
        <v>0</v>
      </c>
      <c r="K522" s="17">
        <v>0</v>
      </c>
      <c r="L522" s="17">
        <v>0</v>
      </c>
    </row>
    <row x14ac:dyDescent="0.25" r="523" customHeight="1" ht="18.75">
      <c r="A523" s="4" t="s">
        <v>34</v>
      </c>
      <c r="B523" s="16">
        <v>0</v>
      </c>
      <c r="C523" s="16">
        <v>0</v>
      </c>
      <c r="D523" s="16">
        <v>0</v>
      </c>
      <c r="E523" s="16">
        <v>0</v>
      </c>
      <c r="F523" s="16">
        <v>0</v>
      </c>
      <c r="G523" s="16"/>
      <c r="H523" s="16">
        <v>0</v>
      </c>
      <c r="I523" s="16">
        <v>0</v>
      </c>
      <c r="J523" s="17">
        <v>0</v>
      </c>
      <c r="K523" s="17">
        <v>0</v>
      </c>
      <c r="L523" s="17">
        <v>0</v>
      </c>
    </row>
    <row x14ac:dyDescent="0.25" r="524" customHeight="1" ht="18.75">
      <c r="A524" s="4" t="s">
        <v>35</v>
      </c>
      <c r="B524" s="16">
        <v>0</v>
      </c>
      <c r="C524" s="16">
        <v>0</v>
      </c>
      <c r="D524" s="16">
        <v>0</v>
      </c>
      <c r="E524" s="16">
        <v>0</v>
      </c>
      <c r="F524" s="16">
        <v>0</v>
      </c>
      <c r="G524" s="16"/>
      <c r="H524" s="16">
        <v>0</v>
      </c>
      <c r="I524" s="16">
        <v>0</v>
      </c>
      <c r="J524" s="17">
        <v>0</v>
      </c>
      <c r="K524" s="17">
        <v>0</v>
      </c>
      <c r="L524" s="17">
        <v>0</v>
      </c>
    </row>
    <row x14ac:dyDescent="0.25" r="525" customHeight="1" ht="18.75">
      <c r="A525" s="2"/>
      <c r="B525" s="28"/>
      <c r="C525" s="28"/>
      <c r="D525" s="28"/>
      <c r="E525" s="28"/>
      <c r="F525" s="28"/>
      <c r="G525" s="28"/>
      <c r="H525" s="28"/>
      <c r="I525" s="28"/>
      <c r="J525" s="29"/>
      <c r="K525" s="29"/>
      <c r="L525" s="29"/>
    </row>
    <row x14ac:dyDescent="0.25" r="526" customHeight="1" ht="18.75">
      <c r="A526" s="2"/>
      <c r="B526" s="28"/>
      <c r="C526" s="28"/>
      <c r="D526" s="28"/>
      <c r="E526" s="28"/>
      <c r="F526" s="28"/>
      <c r="G526" s="28"/>
      <c r="H526" s="28"/>
      <c r="I526" s="28"/>
      <c r="J526" s="29"/>
      <c r="K526" s="29"/>
      <c r="L526" s="29"/>
    </row>
    <row x14ac:dyDescent="0.25" r="527" customHeight="1" ht="18.75">
      <c r="A527" s="2"/>
      <c r="B527" s="28"/>
      <c r="C527" s="28"/>
      <c r="D527" s="28"/>
      <c r="E527" s="28"/>
      <c r="F527" s="28"/>
      <c r="G527" s="28"/>
      <c r="H527" s="28"/>
      <c r="I527" s="28"/>
      <c r="J527" s="29"/>
      <c r="K527" s="29"/>
      <c r="L527" s="29"/>
    </row>
    <row x14ac:dyDescent="0.25" r="528" customHeight="1" ht="18.75">
      <c r="A528" s="1" t="s">
        <v>39</v>
      </c>
      <c r="B528" s="28"/>
      <c r="C528" s="28"/>
      <c r="D528" s="28"/>
      <c r="E528" s="28"/>
      <c r="F528" s="28"/>
      <c r="G528" s="28"/>
      <c r="H528" s="28"/>
      <c r="I528" s="28"/>
      <c r="J528" s="29"/>
      <c r="K528" s="29"/>
      <c r="L528" s="29"/>
    </row>
    <row x14ac:dyDescent="0.25" r="529" customHeight="1" ht="18.75">
      <c r="A529" s="2" t="s">
        <v>1</v>
      </c>
      <c r="B529" s="28"/>
      <c r="C529" s="28"/>
      <c r="D529" s="28"/>
      <c r="E529" s="28"/>
      <c r="F529" s="28"/>
      <c r="G529" s="28"/>
      <c r="H529" s="28"/>
      <c r="I529" s="28"/>
      <c r="J529" s="29"/>
      <c r="K529" s="29"/>
      <c r="L529" s="29"/>
    </row>
    <row x14ac:dyDescent="0.25" r="530" customHeight="1" ht="18.75">
      <c r="A530" s="2" t="s">
        <v>2</v>
      </c>
      <c r="B530" s="28"/>
      <c r="C530" s="28"/>
      <c r="D530" s="28"/>
      <c r="E530" s="28"/>
      <c r="F530" s="28"/>
      <c r="G530" s="28"/>
      <c r="H530" s="28"/>
      <c r="I530" s="28"/>
      <c r="J530" s="29"/>
      <c r="K530" s="29"/>
      <c r="L530" s="29"/>
    </row>
    <row x14ac:dyDescent="0.25" r="531" customHeight="1" ht="18.75">
      <c r="A531" s="2"/>
      <c r="B531" s="28"/>
      <c r="C531" s="28"/>
      <c r="D531" s="28"/>
      <c r="E531" s="28"/>
      <c r="F531" s="28"/>
      <c r="G531" s="28"/>
      <c r="H531" s="28"/>
      <c r="I531" s="28"/>
      <c r="J531" s="29"/>
      <c r="K531" s="29"/>
      <c r="L531" s="29"/>
    </row>
    <row x14ac:dyDescent="0.25" r="532" customHeight="1" ht="18.75">
      <c r="A532" s="30" t="s">
        <v>58</v>
      </c>
      <c r="B532" s="31" t="s">
        <v>4</v>
      </c>
      <c r="C532" s="31" t="s">
        <v>5</v>
      </c>
      <c r="D532" s="31" t="s">
        <v>6</v>
      </c>
      <c r="E532" s="31" t="s">
        <v>7</v>
      </c>
      <c r="F532" s="31" t="s">
        <v>8</v>
      </c>
      <c r="G532" s="31" t="s">
        <v>9</v>
      </c>
      <c r="H532" s="31" t="s">
        <v>10</v>
      </c>
      <c r="I532" s="31" t="s">
        <v>11</v>
      </c>
      <c r="J532" s="5" t="s">
        <v>12</v>
      </c>
      <c r="K532" s="5" t="s">
        <v>13</v>
      </c>
      <c r="L532" s="5" t="s">
        <v>14</v>
      </c>
    </row>
    <row x14ac:dyDescent="0.25" r="533" customHeight="1" ht="18.75">
      <c r="A533" s="6" t="s">
        <v>15</v>
      </c>
      <c r="B533" s="32" t="s">
        <v>16</v>
      </c>
      <c r="C533" s="33" t="s">
        <v>17</v>
      </c>
      <c r="D533" s="32" t="s">
        <v>18</v>
      </c>
      <c r="E533" s="32" t="s">
        <v>19</v>
      </c>
      <c r="F533" s="32" t="s">
        <v>20</v>
      </c>
      <c r="G533" s="32" t="s">
        <v>21</v>
      </c>
      <c r="H533" s="32" t="s">
        <v>22</v>
      </c>
      <c r="I533" s="33" t="s">
        <v>23</v>
      </c>
      <c r="J533" s="9" t="s">
        <v>24</v>
      </c>
      <c r="K533" s="10" t="s">
        <v>25</v>
      </c>
      <c r="L533" s="9" t="s">
        <v>26</v>
      </c>
    </row>
    <row x14ac:dyDescent="0.25" r="534" customHeight="1" ht="18.75">
      <c r="A534" s="11"/>
      <c r="B534" s="34"/>
      <c r="C534" s="35"/>
      <c r="D534" s="34"/>
      <c r="E534" s="34"/>
      <c r="F534" s="34"/>
      <c r="G534" s="34"/>
      <c r="H534" s="34"/>
      <c r="I534" s="35"/>
      <c r="J534" s="14"/>
      <c r="K534" s="15"/>
      <c r="L534" s="14"/>
    </row>
    <row x14ac:dyDescent="0.25" r="535" customHeight="1" ht="18.75">
      <c r="A535" s="4" t="s">
        <v>27</v>
      </c>
      <c r="B535" s="16">
        <v>287172</v>
      </c>
      <c r="C535" s="16">
        <v>0</v>
      </c>
      <c r="D535" s="16">
        <v>633714</v>
      </c>
      <c r="E535" s="16">
        <v>0</v>
      </c>
      <c r="F535" s="16">
        <v>2503</v>
      </c>
      <c r="G535" s="16">
        <v>0</v>
      </c>
      <c r="H535" s="16">
        <v>163070</v>
      </c>
      <c r="I535" s="16">
        <v>1208057</v>
      </c>
      <c r="J535" s="17">
        <v>84</v>
      </c>
      <c r="K535" s="17">
        <v>6</v>
      </c>
      <c r="L535" s="17">
        <v>16</v>
      </c>
    </row>
    <row x14ac:dyDescent="0.25" r="536" customHeight="1" ht="18.75">
      <c r="A536" s="4" t="s">
        <v>28</v>
      </c>
      <c r="B536" s="16">
        <v>314150</v>
      </c>
      <c r="C536" s="16">
        <v>0</v>
      </c>
      <c r="D536" s="16">
        <v>1247500</v>
      </c>
      <c r="E536" s="16">
        <v>0</v>
      </c>
      <c r="F536" s="16">
        <v>11837</v>
      </c>
      <c r="G536" s="16">
        <v>0</v>
      </c>
      <c r="H536" s="16">
        <v>72729</v>
      </c>
      <c r="I536" s="16">
        <v>1875800</v>
      </c>
      <c r="J536" s="17">
        <v>80</v>
      </c>
      <c r="K536" s="17">
        <v>56</v>
      </c>
      <c r="L536" s="17">
        <v>10</v>
      </c>
    </row>
    <row x14ac:dyDescent="0.25" r="537" customHeight="1" ht="18.75">
      <c r="A537" s="4" t="s">
        <v>29</v>
      </c>
      <c r="B537" s="16">
        <v>974229</v>
      </c>
      <c r="C537" s="16">
        <v>0</v>
      </c>
      <c r="D537" s="16">
        <v>1278131</v>
      </c>
      <c r="E537" s="16">
        <v>0</v>
      </c>
      <c r="F537" s="16">
        <v>250023</v>
      </c>
      <c r="G537" s="16">
        <v>0</v>
      </c>
      <c r="H537" s="16">
        <v>471820</v>
      </c>
      <c r="I537" s="16">
        <v>3226589</v>
      </c>
      <c r="J537" s="17">
        <v>181</v>
      </c>
      <c r="K537" s="17">
        <v>47</v>
      </c>
      <c r="L537" s="17">
        <v>39</v>
      </c>
    </row>
    <row x14ac:dyDescent="0.25" r="538" customHeight="1" ht="18.75">
      <c r="A538" s="4" t="s">
        <v>30</v>
      </c>
      <c r="B538" s="16">
        <v>141264</v>
      </c>
      <c r="C538" s="16">
        <v>0</v>
      </c>
      <c r="D538" s="16">
        <v>436684</v>
      </c>
      <c r="E538" s="16">
        <v>0</v>
      </c>
      <c r="F538" s="16">
        <v>0</v>
      </c>
      <c r="G538" s="16">
        <v>0</v>
      </c>
      <c r="H538" s="16">
        <v>25454</v>
      </c>
      <c r="I538" s="16">
        <v>719211</v>
      </c>
      <c r="J538" s="17">
        <v>18</v>
      </c>
      <c r="K538" s="17">
        <v>6</v>
      </c>
      <c r="L538" s="17">
        <v>4</v>
      </c>
    </row>
    <row x14ac:dyDescent="0.25" r="539" customHeight="1" ht="18.75">
      <c r="A539" s="4" t="s">
        <v>31</v>
      </c>
      <c r="B539" s="16">
        <v>56423</v>
      </c>
      <c r="C539" s="16">
        <v>0</v>
      </c>
      <c r="D539" s="16">
        <v>363650</v>
      </c>
      <c r="E539" s="16">
        <v>0</v>
      </c>
      <c r="F539" s="16">
        <v>34723</v>
      </c>
      <c r="G539" s="16">
        <v>0</v>
      </c>
      <c r="H539" s="16">
        <v>75721</v>
      </c>
      <c r="I539" s="16">
        <v>476496</v>
      </c>
      <c r="J539" s="17">
        <v>26</v>
      </c>
      <c r="K539" s="17">
        <v>7</v>
      </c>
      <c r="L539" s="17">
        <v>11</v>
      </c>
    </row>
    <row x14ac:dyDescent="0.25" r="540" customHeight="1" ht="18.75">
      <c r="A540" s="4" t="s">
        <v>32</v>
      </c>
      <c r="B540" s="16">
        <v>967478</v>
      </c>
      <c r="C540" s="16">
        <v>0</v>
      </c>
      <c r="D540" s="16">
        <v>2835081</v>
      </c>
      <c r="E540" s="16">
        <v>0</v>
      </c>
      <c r="F540" s="16">
        <v>0</v>
      </c>
      <c r="G540" s="16">
        <v>0</v>
      </c>
      <c r="H540" s="16">
        <v>2268398</v>
      </c>
      <c r="I540" s="16">
        <v>5853932</v>
      </c>
      <c r="J540" s="17">
        <v>582</v>
      </c>
      <c r="K540" s="17">
        <v>216</v>
      </c>
      <c r="L540" s="17">
        <v>128</v>
      </c>
    </row>
    <row x14ac:dyDescent="0.25" r="541" customHeight="1" ht="18.75">
      <c r="A541" s="4" t="s">
        <v>33</v>
      </c>
      <c r="B541" s="16">
        <v>0</v>
      </c>
      <c r="C541" s="16">
        <v>0</v>
      </c>
      <c r="D541" s="16">
        <v>8502</v>
      </c>
      <c r="E541" s="16">
        <v>0</v>
      </c>
      <c r="F541" s="16">
        <v>0</v>
      </c>
      <c r="G541" s="16">
        <v>0</v>
      </c>
      <c r="H541" s="16">
        <v>255200</v>
      </c>
      <c r="I541" s="16">
        <v>8502</v>
      </c>
      <c r="J541" s="17">
        <v>32</v>
      </c>
      <c r="K541" s="17">
        <v>3</v>
      </c>
      <c r="L541" s="17">
        <v>20</v>
      </c>
    </row>
    <row x14ac:dyDescent="0.25" r="542" customHeight="1" ht="18.75">
      <c r="A542" s="4" t="s">
        <v>34</v>
      </c>
      <c r="B542" s="16">
        <v>1085982</v>
      </c>
      <c r="C542" s="16">
        <v>0</v>
      </c>
      <c r="D542" s="16">
        <v>62009</v>
      </c>
      <c r="E542" s="16">
        <v>0</v>
      </c>
      <c r="F542" s="16">
        <v>0</v>
      </c>
      <c r="G542" s="16">
        <v>0</v>
      </c>
      <c r="H542" s="16">
        <v>394012</v>
      </c>
      <c r="I542" s="16">
        <v>2233974</v>
      </c>
      <c r="J542" s="17">
        <v>101</v>
      </c>
      <c r="K542" s="17">
        <v>10</v>
      </c>
      <c r="L542" s="17">
        <v>25</v>
      </c>
    </row>
    <row x14ac:dyDescent="0.25" r="543" customHeight="1" ht="18.75">
      <c r="A543" s="4" t="s">
        <v>35</v>
      </c>
      <c r="B543" s="16">
        <v>58239</v>
      </c>
      <c r="C543" s="16">
        <v>0</v>
      </c>
      <c r="D543" s="16">
        <v>21501</v>
      </c>
      <c r="E543" s="16">
        <v>0</v>
      </c>
      <c r="F543" s="16">
        <v>0</v>
      </c>
      <c r="G543" s="16">
        <v>0</v>
      </c>
      <c r="H543" s="16">
        <v>47416</v>
      </c>
      <c r="I543" s="16">
        <v>154982</v>
      </c>
      <c r="J543" s="5"/>
      <c r="K543" s="17">
        <v>7</v>
      </c>
      <c r="L543" s="5"/>
    </row>
    <row x14ac:dyDescent="0.25" r="544" customHeight="1" ht="18.75">
      <c r="A544" s="2"/>
      <c r="B544" s="28"/>
      <c r="C544" s="28"/>
      <c r="D544" s="28"/>
      <c r="E544" s="28"/>
      <c r="F544" s="28"/>
      <c r="G544" s="28"/>
      <c r="H544" s="28"/>
      <c r="I544" s="28"/>
      <c r="J544" s="29"/>
      <c r="K544" s="29"/>
      <c r="L544" s="29"/>
    </row>
    <row x14ac:dyDescent="0.25" r="545" customHeight="1" ht="18.75">
      <c r="A545" s="30" t="s">
        <v>46</v>
      </c>
      <c r="B545" s="31" t="s">
        <v>4</v>
      </c>
      <c r="C545" s="31" t="s">
        <v>5</v>
      </c>
      <c r="D545" s="31" t="s">
        <v>6</v>
      </c>
      <c r="E545" s="31" t="s">
        <v>7</v>
      </c>
      <c r="F545" s="31" t="s">
        <v>8</v>
      </c>
      <c r="G545" s="31" t="s">
        <v>9</v>
      </c>
      <c r="H545" s="31" t="s">
        <v>10</v>
      </c>
      <c r="I545" s="31" t="s">
        <v>11</v>
      </c>
      <c r="J545" s="5" t="s">
        <v>12</v>
      </c>
      <c r="K545" s="5" t="s">
        <v>13</v>
      </c>
      <c r="L545" s="5" t="s">
        <v>14</v>
      </c>
    </row>
    <row x14ac:dyDescent="0.25" r="546" customHeight="1" ht="18.75">
      <c r="A546" s="6" t="s">
        <v>15</v>
      </c>
      <c r="B546" s="32" t="s">
        <v>16</v>
      </c>
      <c r="C546" s="33" t="s">
        <v>17</v>
      </c>
      <c r="D546" s="32" t="s">
        <v>18</v>
      </c>
      <c r="E546" s="32" t="s">
        <v>19</v>
      </c>
      <c r="F546" s="32" t="s">
        <v>20</v>
      </c>
      <c r="G546" s="32" t="s">
        <v>21</v>
      </c>
      <c r="H546" s="32" t="s">
        <v>22</v>
      </c>
      <c r="I546" s="33" t="s">
        <v>23</v>
      </c>
      <c r="J546" s="9" t="s">
        <v>24</v>
      </c>
      <c r="K546" s="10" t="s">
        <v>25</v>
      </c>
      <c r="L546" s="9" t="s">
        <v>26</v>
      </c>
    </row>
    <row x14ac:dyDescent="0.25" r="547" customHeight="1" ht="18.75">
      <c r="A547" s="11"/>
      <c r="B547" s="34"/>
      <c r="C547" s="35"/>
      <c r="D547" s="34"/>
      <c r="E547" s="34"/>
      <c r="F547" s="34"/>
      <c r="G547" s="34"/>
      <c r="H547" s="34"/>
      <c r="I547" s="35"/>
      <c r="J547" s="14"/>
      <c r="K547" s="15"/>
      <c r="L547" s="14"/>
    </row>
    <row x14ac:dyDescent="0.25" r="548" customHeight="1" ht="18.75">
      <c r="A548" s="4" t="s">
        <v>27</v>
      </c>
      <c r="B548" s="16">
        <v>194311</v>
      </c>
      <c r="C548" s="16">
        <v>0</v>
      </c>
      <c r="D548" s="16">
        <v>209992</v>
      </c>
      <c r="E548" s="16">
        <v>0</v>
      </c>
      <c r="F548" s="16">
        <v>0</v>
      </c>
      <c r="G548" s="16"/>
      <c r="H548" s="16">
        <v>253166</v>
      </c>
      <c r="I548" s="16">
        <v>598615</v>
      </c>
      <c r="J548" s="17">
        <v>80</v>
      </c>
      <c r="K548" s="17">
        <v>3</v>
      </c>
      <c r="L548" s="17">
        <v>26</v>
      </c>
    </row>
    <row x14ac:dyDescent="0.25" r="549" customHeight="1" ht="18.75">
      <c r="A549" s="4" t="s">
        <v>28</v>
      </c>
      <c r="B549" s="16">
        <v>639402</v>
      </c>
      <c r="C549" s="16">
        <v>0</v>
      </c>
      <c r="D549" s="16">
        <v>1956086</v>
      </c>
      <c r="E549" s="16">
        <v>0</v>
      </c>
      <c r="F549" s="16">
        <v>18255</v>
      </c>
      <c r="G549" s="16"/>
      <c r="H549" s="16">
        <v>156096</v>
      </c>
      <c r="I549" s="16">
        <v>3264299</v>
      </c>
      <c r="J549" s="17">
        <v>93</v>
      </c>
      <c r="K549" s="17">
        <v>49</v>
      </c>
      <c r="L549" s="17">
        <v>14</v>
      </c>
    </row>
    <row x14ac:dyDescent="0.25" r="550" customHeight="1" ht="18.75">
      <c r="A550" s="4" t="s">
        <v>29</v>
      </c>
      <c r="B550" s="16">
        <v>1433541</v>
      </c>
      <c r="C550" s="16">
        <v>0</v>
      </c>
      <c r="D550" s="16">
        <v>3001937</v>
      </c>
      <c r="E550" s="16">
        <v>0</v>
      </c>
      <c r="F550" s="16">
        <v>41310</v>
      </c>
      <c r="G550" s="16"/>
      <c r="H550" s="16">
        <v>576324</v>
      </c>
      <c r="I550" s="16">
        <v>5869019</v>
      </c>
      <c r="J550" s="17">
        <v>156</v>
      </c>
      <c r="K550" s="17">
        <v>57</v>
      </c>
      <c r="L550" s="17">
        <v>33</v>
      </c>
    </row>
    <row x14ac:dyDescent="0.25" r="551" customHeight="1" ht="18.75">
      <c r="A551" s="4" t="s">
        <v>30</v>
      </c>
      <c r="B551" s="16">
        <v>6097</v>
      </c>
      <c r="C551" s="16">
        <v>0</v>
      </c>
      <c r="D551" s="16">
        <v>825075</v>
      </c>
      <c r="E551" s="16">
        <v>0</v>
      </c>
      <c r="F551" s="16">
        <v>31717</v>
      </c>
      <c r="G551" s="16"/>
      <c r="H551" s="16">
        <v>35521</v>
      </c>
      <c r="I551" s="16">
        <v>837270</v>
      </c>
      <c r="J551" s="17">
        <v>26</v>
      </c>
      <c r="K551" s="17">
        <v>1</v>
      </c>
      <c r="L551" s="17">
        <v>8</v>
      </c>
    </row>
    <row x14ac:dyDescent="0.25" r="552" customHeight="1" ht="18.75">
      <c r="A552" s="4" t="s">
        <v>31</v>
      </c>
      <c r="B552" s="16">
        <v>37956</v>
      </c>
      <c r="C552" s="16">
        <v>0</v>
      </c>
      <c r="D552" s="16">
        <v>434091</v>
      </c>
      <c r="E552" s="16">
        <v>0</v>
      </c>
      <c r="F552" s="16">
        <v>0</v>
      </c>
      <c r="G552" s="16"/>
      <c r="H552" s="16">
        <v>141740</v>
      </c>
      <c r="I552" s="16">
        <v>582255</v>
      </c>
      <c r="J552" s="17">
        <v>20</v>
      </c>
      <c r="K552" s="17">
        <v>5</v>
      </c>
      <c r="L552" s="17">
        <v>10</v>
      </c>
    </row>
    <row x14ac:dyDescent="0.25" r="553" customHeight="1" ht="18.75">
      <c r="A553" s="4" t="s">
        <v>32</v>
      </c>
      <c r="B553" s="16">
        <v>2857329</v>
      </c>
      <c r="C553" s="16">
        <v>0</v>
      </c>
      <c r="D553" s="16">
        <v>3014333</v>
      </c>
      <c r="E553" s="16">
        <v>0</v>
      </c>
      <c r="F553" s="16">
        <v>6064</v>
      </c>
      <c r="G553" s="16"/>
      <c r="H553" s="16">
        <v>2613049</v>
      </c>
      <c r="I553" s="16">
        <v>9404082</v>
      </c>
      <c r="J553" s="17">
        <v>529</v>
      </c>
      <c r="K553" s="17">
        <v>145</v>
      </c>
      <c r="L553" s="17">
        <v>106</v>
      </c>
    </row>
    <row x14ac:dyDescent="0.25" r="554" customHeight="1" ht="18.75">
      <c r="A554" s="4" t="s">
        <v>33</v>
      </c>
      <c r="B554" s="16">
        <v>6531</v>
      </c>
      <c r="C554" s="16">
        <v>0</v>
      </c>
      <c r="D554" s="16">
        <v>1425</v>
      </c>
      <c r="E554" s="16">
        <v>0</v>
      </c>
      <c r="F554" s="16">
        <v>0</v>
      </c>
      <c r="G554" s="16"/>
      <c r="H554" s="16">
        <v>43972</v>
      </c>
      <c r="I554" s="16">
        <v>14488</v>
      </c>
      <c r="J554" s="17">
        <v>14</v>
      </c>
      <c r="K554" s="17">
        <v>4</v>
      </c>
      <c r="L554" s="17">
        <v>8</v>
      </c>
    </row>
    <row x14ac:dyDescent="0.25" r="555" customHeight="1" ht="18.75">
      <c r="A555" s="4" t="s">
        <v>34</v>
      </c>
      <c r="B555" s="16">
        <v>1460219</v>
      </c>
      <c r="C555" s="16">
        <v>0</v>
      </c>
      <c r="D555" s="16">
        <v>48892</v>
      </c>
      <c r="E555" s="16">
        <v>0</v>
      </c>
      <c r="F555" s="16">
        <v>0</v>
      </c>
      <c r="G555" s="16"/>
      <c r="H555" s="16">
        <v>553196</v>
      </c>
      <c r="I555" s="16">
        <v>2970330</v>
      </c>
      <c r="J555" s="17">
        <v>112</v>
      </c>
      <c r="K555" s="17">
        <v>7</v>
      </c>
      <c r="L555" s="17">
        <v>10</v>
      </c>
    </row>
    <row x14ac:dyDescent="0.25" r="556" customHeight="1" ht="18.75">
      <c r="A556" s="4" t="s">
        <v>35</v>
      </c>
      <c r="B556" s="16">
        <v>1069</v>
      </c>
      <c r="C556" s="16">
        <v>0</v>
      </c>
      <c r="D556" s="16">
        <v>22137</v>
      </c>
      <c r="E556" s="16">
        <v>0</v>
      </c>
      <c r="F556" s="16">
        <v>0</v>
      </c>
      <c r="G556" s="16"/>
      <c r="H556" s="16">
        <v>78435</v>
      </c>
      <c r="I556" s="16">
        <v>77248</v>
      </c>
      <c r="J556" s="5"/>
      <c r="K556" s="17">
        <v>3</v>
      </c>
      <c r="L556" s="5"/>
    </row>
    <row x14ac:dyDescent="0.25" r="557" customHeight="1" ht="18.75">
      <c r="A557" s="2"/>
      <c r="B557" s="28"/>
      <c r="C557" s="28"/>
      <c r="D557" s="28"/>
      <c r="E557" s="28"/>
      <c r="F557" s="28"/>
      <c r="G557" s="28"/>
      <c r="H557" s="28"/>
      <c r="I557" s="28"/>
      <c r="J557" s="29"/>
      <c r="K557" s="29"/>
      <c r="L557" s="29"/>
    </row>
    <row x14ac:dyDescent="0.25" r="558" customHeight="1" ht="18.75">
      <c r="A558" s="30" t="s">
        <v>63</v>
      </c>
      <c r="B558" s="31" t="s">
        <v>4</v>
      </c>
      <c r="C558" s="31" t="s">
        <v>5</v>
      </c>
      <c r="D558" s="31" t="s">
        <v>6</v>
      </c>
      <c r="E558" s="31" t="s">
        <v>7</v>
      </c>
      <c r="F558" s="31" t="s">
        <v>8</v>
      </c>
      <c r="G558" s="31" t="s">
        <v>9</v>
      </c>
      <c r="H558" s="31" t="s">
        <v>10</v>
      </c>
      <c r="I558" s="31" t="s">
        <v>11</v>
      </c>
      <c r="J558" s="5" t="s">
        <v>12</v>
      </c>
      <c r="K558" s="5" t="s">
        <v>13</v>
      </c>
      <c r="L558" s="5" t="s">
        <v>14</v>
      </c>
    </row>
    <row x14ac:dyDescent="0.25" r="559" customHeight="1" ht="18.75">
      <c r="A559" s="6" t="s">
        <v>15</v>
      </c>
      <c r="B559" s="32" t="s">
        <v>16</v>
      </c>
      <c r="C559" s="33" t="s">
        <v>17</v>
      </c>
      <c r="D559" s="32" t="s">
        <v>18</v>
      </c>
      <c r="E559" s="32" t="s">
        <v>19</v>
      </c>
      <c r="F559" s="32" t="s">
        <v>20</v>
      </c>
      <c r="G559" s="32" t="s">
        <v>21</v>
      </c>
      <c r="H559" s="32" t="s">
        <v>22</v>
      </c>
      <c r="I559" s="33" t="s">
        <v>23</v>
      </c>
      <c r="J559" s="9" t="s">
        <v>24</v>
      </c>
      <c r="K559" s="10" t="s">
        <v>25</v>
      </c>
      <c r="L559" s="9" t="s">
        <v>26</v>
      </c>
    </row>
    <row x14ac:dyDescent="0.25" r="560" customHeight="1" ht="18.75">
      <c r="A560" s="11"/>
      <c r="B560" s="34"/>
      <c r="C560" s="35"/>
      <c r="D560" s="34"/>
      <c r="E560" s="34"/>
      <c r="F560" s="34"/>
      <c r="G560" s="34"/>
      <c r="H560" s="34"/>
      <c r="I560" s="35"/>
      <c r="J560" s="14"/>
      <c r="K560" s="15"/>
      <c r="L560" s="14"/>
    </row>
    <row x14ac:dyDescent="0.25" r="561" customHeight="1" ht="18.75">
      <c r="A561" s="4" t="s">
        <v>27</v>
      </c>
      <c r="B561" s="16">
        <v>270820</v>
      </c>
      <c r="C561" s="16">
        <v>0</v>
      </c>
      <c r="D561" s="16">
        <v>447549</v>
      </c>
      <c r="E561" s="16">
        <v>0</v>
      </c>
      <c r="F561" s="16">
        <v>0</v>
      </c>
      <c r="G561" s="16"/>
      <c r="H561" s="16">
        <v>166398</v>
      </c>
      <c r="I561" s="16">
        <v>989188</v>
      </c>
      <c r="J561" s="17">
        <v>94</v>
      </c>
      <c r="K561" s="17">
        <v>6</v>
      </c>
      <c r="L561" s="17">
        <v>18</v>
      </c>
    </row>
    <row x14ac:dyDescent="0.25" r="562" customHeight="1" ht="18.75">
      <c r="A562" s="4" t="s">
        <v>28</v>
      </c>
      <c r="B562" s="16">
        <v>536193</v>
      </c>
      <c r="C562" s="16">
        <v>0</v>
      </c>
      <c r="D562" s="16">
        <v>1320369</v>
      </c>
      <c r="E562" s="16">
        <v>0</v>
      </c>
      <c r="F562" s="16">
        <v>12613</v>
      </c>
      <c r="G562" s="16"/>
      <c r="H562" s="16">
        <v>137796</v>
      </c>
      <c r="I562" s="16">
        <v>2422469</v>
      </c>
      <c r="J562" s="17">
        <v>104</v>
      </c>
      <c r="K562" s="17">
        <v>60</v>
      </c>
      <c r="L562" s="17">
        <v>20</v>
      </c>
    </row>
    <row x14ac:dyDescent="0.25" r="563" customHeight="1" ht="18.75">
      <c r="A563" s="4" t="s">
        <v>29</v>
      </c>
      <c r="B563" s="16">
        <v>1527717</v>
      </c>
      <c r="C563" s="16">
        <v>0</v>
      </c>
      <c r="D563" s="16">
        <v>1269921</v>
      </c>
      <c r="E563" s="16">
        <v>0</v>
      </c>
      <c r="F563" s="16">
        <v>21300</v>
      </c>
      <c r="G563" s="16"/>
      <c r="H563" s="16">
        <v>413380</v>
      </c>
      <c r="I563" s="16">
        <v>4325356</v>
      </c>
      <c r="J563" s="17">
        <v>209</v>
      </c>
      <c r="K563" s="17">
        <v>66</v>
      </c>
      <c r="L563" s="17">
        <v>51</v>
      </c>
    </row>
    <row x14ac:dyDescent="0.25" r="564" customHeight="1" ht="18.75">
      <c r="A564" s="4" t="s">
        <v>30</v>
      </c>
      <c r="B564" s="16">
        <v>81939</v>
      </c>
      <c r="C564" s="16">
        <v>0</v>
      </c>
      <c r="D564" s="16">
        <v>271247</v>
      </c>
      <c r="E564" s="16">
        <v>0</v>
      </c>
      <c r="F564" s="16">
        <v>0</v>
      </c>
      <c r="G564" s="16"/>
      <c r="H564" s="16">
        <v>25105</v>
      </c>
      <c r="I564" s="16">
        <v>435125</v>
      </c>
      <c r="J564" s="17">
        <v>27</v>
      </c>
      <c r="K564" s="17">
        <v>4</v>
      </c>
      <c r="L564" s="17">
        <v>12</v>
      </c>
    </row>
    <row x14ac:dyDescent="0.25" r="565" customHeight="1" ht="18.75">
      <c r="A565" s="4" t="s">
        <v>31</v>
      </c>
      <c r="B565" s="16">
        <v>88084</v>
      </c>
      <c r="C565" s="16">
        <v>0</v>
      </c>
      <c r="D565" s="16">
        <v>618320</v>
      </c>
      <c r="E565" s="16">
        <v>0</v>
      </c>
      <c r="F565" s="16">
        <v>0</v>
      </c>
      <c r="G565" s="16"/>
      <c r="H565" s="16">
        <v>107219</v>
      </c>
      <c r="I565" s="16">
        <v>971809</v>
      </c>
      <c r="J565" s="17">
        <v>36</v>
      </c>
      <c r="K565" s="17">
        <v>8</v>
      </c>
      <c r="L565" s="17">
        <v>13</v>
      </c>
    </row>
    <row x14ac:dyDescent="0.25" r="566" customHeight="1" ht="18.75">
      <c r="A566" s="4" t="s">
        <v>32</v>
      </c>
      <c r="B566" s="16">
        <v>1498601</v>
      </c>
      <c r="C566" s="16">
        <v>0</v>
      </c>
      <c r="D566" s="16">
        <v>940587</v>
      </c>
      <c r="E566" s="16">
        <v>0</v>
      </c>
      <c r="F566" s="16">
        <v>9860</v>
      </c>
      <c r="G566" s="16"/>
      <c r="H566" s="16">
        <v>1668810</v>
      </c>
      <c r="I566" s="16">
        <v>5797957</v>
      </c>
      <c r="J566" s="17">
        <v>662</v>
      </c>
      <c r="K566" s="17">
        <v>165</v>
      </c>
      <c r="L566" s="17">
        <v>148</v>
      </c>
    </row>
    <row x14ac:dyDescent="0.25" r="567" customHeight="1" ht="18.75">
      <c r="A567" s="4" t="s">
        <v>33</v>
      </c>
      <c r="B567" s="16">
        <v>1626</v>
      </c>
      <c r="C567" s="16">
        <v>0</v>
      </c>
      <c r="D567" s="16">
        <v>713</v>
      </c>
      <c r="E567" s="16">
        <v>0</v>
      </c>
      <c r="F567" s="16">
        <v>0</v>
      </c>
      <c r="G567" s="16"/>
      <c r="H567" s="16">
        <v>69316</v>
      </c>
      <c r="I567" s="16">
        <v>3964</v>
      </c>
      <c r="J567" s="17">
        <v>14</v>
      </c>
      <c r="K567" s="17">
        <v>10</v>
      </c>
      <c r="L567" s="17">
        <v>2</v>
      </c>
    </row>
    <row x14ac:dyDescent="0.25" r="568" customHeight="1" ht="18.75">
      <c r="A568" s="4" t="s">
        <v>34</v>
      </c>
      <c r="B568" s="16">
        <v>616778</v>
      </c>
      <c r="C568" s="16">
        <v>0</v>
      </c>
      <c r="D568" s="16">
        <v>21382</v>
      </c>
      <c r="E568" s="16">
        <v>0</v>
      </c>
      <c r="F568" s="16">
        <v>0</v>
      </c>
      <c r="G568" s="16"/>
      <c r="H568" s="16">
        <v>253386</v>
      </c>
      <c r="I568" s="16">
        <v>1254939</v>
      </c>
      <c r="J568" s="17">
        <v>110</v>
      </c>
      <c r="K568" s="17">
        <v>7</v>
      </c>
      <c r="L568" s="17">
        <v>22</v>
      </c>
    </row>
    <row x14ac:dyDescent="0.25" r="569" customHeight="1" ht="18.75">
      <c r="A569" s="4" t="s">
        <v>35</v>
      </c>
      <c r="B569" s="16">
        <v>125205</v>
      </c>
      <c r="C569" s="16">
        <v>0</v>
      </c>
      <c r="D569" s="16">
        <v>317962</v>
      </c>
      <c r="E569" s="16">
        <v>0</v>
      </c>
      <c r="F569" s="16">
        <v>0</v>
      </c>
      <c r="G569" s="16"/>
      <c r="H569" s="16">
        <v>39694</v>
      </c>
      <c r="I569" s="16">
        <v>593652</v>
      </c>
      <c r="J569" s="5"/>
      <c r="K569" s="17">
        <v>8</v>
      </c>
      <c r="L569" s="5"/>
    </row>
    <row x14ac:dyDescent="0.25" r="570" customHeight="1" ht="18.75">
      <c r="A570" s="2"/>
      <c r="B570" s="28"/>
      <c r="C570" s="28"/>
      <c r="D570" s="28"/>
      <c r="E570" s="28"/>
      <c r="F570" s="28"/>
      <c r="G570" s="28"/>
      <c r="H570" s="28"/>
      <c r="I570" s="28"/>
      <c r="J570" s="29"/>
      <c r="K570" s="29"/>
      <c r="L570" s="29"/>
    </row>
    <row x14ac:dyDescent="0.25" r="571" customHeight="1" ht="18.75">
      <c r="A571" s="30" t="s">
        <v>59</v>
      </c>
      <c r="B571" s="31" t="s">
        <v>4</v>
      </c>
      <c r="C571" s="31" t="s">
        <v>5</v>
      </c>
      <c r="D571" s="31" t="s">
        <v>6</v>
      </c>
      <c r="E571" s="31" t="s">
        <v>7</v>
      </c>
      <c r="F571" s="31" t="s">
        <v>8</v>
      </c>
      <c r="G571" s="31" t="s">
        <v>9</v>
      </c>
      <c r="H571" s="31" t="s">
        <v>10</v>
      </c>
      <c r="I571" s="31" t="s">
        <v>11</v>
      </c>
      <c r="J571" s="5" t="s">
        <v>12</v>
      </c>
      <c r="K571" s="5" t="s">
        <v>13</v>
      </c>
      <c r="L571" s="5" t="s">
        <v>14</v>
      </c>
    </row>
    <row x14ac:dyDescent="0.25" r="572" customHeight="1" ht="18.75">
      <c r="A572" s="6" t="s">
        <v>15</v>
      </c>
      <c r="B572" s="32" t="s">
        <v>16</v>
      </c>
      <c r="C572" s="33" t="s">
        <v>17</v>
      </c>
      <c r="D572" s="32" t="s">
        <v>18</v>
      </c>
      <c r="E572" s="32" t="s">
        <v>19</v>
      </c>
      <c r="F572" s="32" t="s">
        <v>20</v>
      </c>
      <c r="G572" s="32" t="s">
        <v>21</v>
      </c>
      <c r="H572" s="32" t="s">
        <v>22</v>
      </c>
      <c r="I572" s="33" t="s">
        <v>23</v>
      </c>
      <c r="J572" s="9" t="s">
        <v>24</v>
      </c>
      <c r="K572" s="10" t="s">
        <v>25</v>
      </c>
      <c r="L572" s="9" t="s">
        <v>26</v>
      </c>
    </row>
    <row x14ac:dyDescent="0.25" r="573" customHeight="1" ht="18.75">
      <c r="A573" s="11"/>
      <c r="B573" s="34"/>
      <c r="C573" s="35"/>
      <c r="D573" s="34"/>
      <c r="E573" s="34"/>
      <c r="F573" s="34"/>
      <c r="G573" s="34"/>
      <c r="H573" s="34"/>
      <c r="I573" s="35"/>
      <c r="J573" s="14"/>
      <c r="K573" s="15"/>
      <c r="L573" s="14"/>
    </row>
    <row x14ac:dyDescent="0.25" r="574" customHeight="1" ht="18.75">
      <c r="A574" s="4" t="s">
        <v>27</v>
      </c>
      <c r="B574" s="16">
        <v>368795</v>
      </c>
      <c r="C574" s="16">
        <v>0</v>
      </c>
      <c r="D574" s="16">
        <v>236497</v>
      </c>
      <c r="E574" s="16">
        <v>0</v>
      </c>
      <c r="F574" s="16">
        <v>0</v>
      </c>
      <c r="G574" s="16"/>
      <c r="H574" s="16">
        <v>147401</v>
      </c>
      <c r="I574" s="16">
        <v>974088</v>
      </c>
      <c r="J574" s="17">
        <v>55</v>
      </c>
      <c r="K574" s="17">
        <v>9</v>
      </c>
      <c r="L574" s="17">
        <v>17</v>
      </c>
    </row>
    <row x14ac:dyDescent="0.25" r="575" customHeight="1" ht="18.75">
      <c r="A575" s="4" t="s">
        <v>28</v>
      </c>
      <c r="B575" s="16">
        <v>461866</v>
      </c>
      <c r="C575" s="16">
        <v>0</v>
      </c>
      <c r="D575" s="16">
        <v>1261543</v>
      </c>
      <c r="E575" s="16">
        <v>0</v>
      </c>
      <c r="F575" s="16">
        <v>23898</v>
      </c>
      <c r="G575" s="16"/>
      <c r="H575" s="16">
        <v>91111</v>
      </c>
      <c r="I575" s="16">
        <v>2185275</v>
      </c>
      <c r="J575" s="17">
        <v>109</v>
      </c>
      <c r="K575" s="17">
        <v>62</v>
      </c>
      <c r="L575" s="17">
        <v>13</v>
      </c>
    </row>
    <row x14ac:dyDescent="0.25" r="576" customHeight="1" ht="18.75">
      <c r="A576" s="4" t="s">
        <v>29</v>
      </c>
      <c r="B576" s="16">
        <v>1480608</v>
      </c>
      <c r="C576" s="16">
        <v>0</v>
      </c>
      <c r="D576" s="16">
        <v>2868715</v>
      </c>
      <c r="E576" s="16">
        <v>0</v>
      </c>
      <c r="F576" s="16">
        <v>1466</v>
      </c>
      <c r="G576" s="16"/>
      <c r="H576" s="16">
        <v>490231</v>
      </c>
      <c r="I576" s="16">
        <v>5829931</v>
      </c>
      <c r="J576" s="17">
        <v>213</v>
      </c>
      <c r="K576" s="17">
        <v>78</v>
      </c>
      <c r="L576" s="17">
        <v>55</v>
      </c>
    </row>
    <row x14ac:dyDescent="0.25" r="577" customHeight="1" ht="18.75">
      <c r="A577" s="4" t="s">
        <v>30</v>
      </c>
      <c r="B577" s="16">
        <v>23098</v>
      </c>
      <c r="C577" s="16">
        <v>0</v>
      </c>
      <c r="D577" s="16">
        <v>7816</v>
      </c>
      <c r="E577" s="16">
        <v>0</v>
      </c>
      <c r="F577" s="16">
        <v>0</v>
      </c>
      <c r="G577" s="16"/>
      <c r="H577" s="16">
        <v>866</v>
      </c>
      <c r="I577" s="16">
        <v>54012</v>
      </c>
      <c r="J577" s="17">
        <v>14</v>
      </c>
      <c r="K577" s="17">
        <v>5</v>
      </c>
      <c r="L577" s="17">
        <v>2</v>
      </c>
    </row>
    <row x14ac:dyDescent="0.25" r="578" customHeight="1" ht="18.75">
      <c r="A578" s="4" t="s">
        <v>31</v>
      </c>
      <c r="B578" s="16">
        <v>270179</v>
      </c>
      <c r="C578" s="16">
        <v>0</v>
      </c>
      <c r="D578" s="16">
        <v>812337</v>
      </c>
      <c r="E578" s="16">
        <v>0</v>
      </c>
      <c r="F578" s="16">
        <v>0</v>
      </c>
      <c r="G578" s="16"/>
      <c r="H578" s="16">
        <v>289426</v>
      </c>
      <c r="I578" s="16">
        <v>1352696</v>
      </c>
      <c r="J578" s="17">
        <v>25</v>
      </c>
      <c r="K578" s="17">
        <v>7</v>
      </c>
      <c r="L578" s="17">
        <v>13</v>
      </c>
    </row>
    <row x14ac:dyDescent="0.25" r="579" customHeight="1" ht="18.75">
      <c r="A579" s="4" t="s">
        <v>32</v>
      </c>
      <c r="B579" s="16">
        <v>3673591</v>
      </c>
      <c r="C579" s="16">
        <v>0</v>
      </c>
      <c r="D579" s="16">
        <v>4075013</v>
      </c>
      <c r="E579" s="16">
        <v>0</v>
      </c>
      <c r="F579" s="16">
        <v>0</v>
      </c>
      <c r="G579" s="16"/>
      <c r="H579" s="16">
        <v>3483521</v>
      </c>
      <c r="I579" s="16">
        <v>12146071</v>
      </c>
      <c r="J579" s="17">
        <v>589</v>
      </c>
      <c r="K579" s="17">
        <v>182</v>
      </c>
      <c r="L579" s="17">
        <v>122</v>
      </c>
    </row>
    <row x14ac:dyDescent="0.25" r="580" customHeight="1" ht="18.75">
      <c r="A580" s="4" t="s">
        <v>33</v>
      </c>
      <c r="B580" s="16">
        <v>24160</v>
      </c>
      <c r="C580" s="16">
        <v>0</v>
      </c>
      <c r="D580" s="16">
        <v>2851</v>
      </c>
      <c r="E580" s="16">
        <v>0</v>
      </c>
      <c r="F580" s="16">
        <v>0</v>
      </c>
      <c r="G580" s="16"/>
      <c r="H580" s="16">
        <v>86978</v>
      </c>
      <c r="I580" s="16">
        <v>51170</v>
      </c>
      <c r="J580" s="17">
        <v>20</v>
      </c>
      <c r="K580" s="17">
        <v>8</v>
      </c>
      <c r="L580" s="17">
        <v>9</v>
      </c>
    </row>
    <row x14ac:dyDescent="0.25" r="581" customHeight="1" ht="18.75">
      <c r="A581" s="4" t="s">
        <v>34</v>
      </c>
      <c r="B581" s="16">
        <v>1006498</v>
      </c>
      <c r="C581" s="16">
        <v>0</v>
      </c>
      <c r="D581" s="16">
        <v>39201</v>
      </c>
      <c r="E581" s="16">
        <v>0</v>
      </c>
      <c r="F581" s="16">
        <v>0</v>
      </c>
      <c r="G581" s="16"/>
      <c r="H581" s="16">
        <v>448451</v>
      </c>
      <c r="I581" s="16">
        <v>2052197</v>
      </c>
      <c r="J581" s="17">
        <v>100</v>
      </c>
      <c r="K581" s="17">
        <v>17</v>
      </c>
      <c r="L581" s="17">
        <v>22</v>
      </c>
    </row>
    <row x14ac:dyDescent="0.25" r="582" customHeight="1" ht="18.75">
      <c r="A582" s="4" t="s">
        <v>35</v>
      </c>
      <c r="B582" s="16">
        <v>12040</v>
      </c>
      <c r="C582" s="16">
        <v>0</v>
      </c>
      <c r="D582" s="16">
        <v>49873</v>
      </c>
      <c r="E582" s="16">
        <v>0</v>
      </c>
      <c r="F582" s="16">
        <v>23721</v>
      </c>
      <c r="G582" s="16"/>
      <c r="H582" s="16">
        <v>29822</v>
      </c>
      <c r="I582" s="16">
        <v>88106</v>
      </c>
      <c r="J582" s="5"/>
      <c r="K582" s="17">
        <v>8</v>
      </c>
      <c r="L582" s="5"/>
    </row>
    <row x14ac:dyDescent="0.25" r="583" customHeight="1" ht="18.75">
      <c r="A583" s="2"/>
      <c r="B583" s="28"/>
      <c r="C583" s="28"/>
      <c r="D583" s="28"/>
      <c r="E583" s="28"/>
      <c r="F583" s="28"/>
      <c r="G583" s="28"/>
      <c r="H583" s="28"/>
      <c r="I583" s="28"/>
      <c r="J583" s="29"/>
      <c r="K583" s="29"/>
      <c r="L583" s="29"/>
    </row>
    <row x14ac:dyDescent="0.25" r="584" customHeight="1" ht="18.75">
      <c r="A584" s="30" t="s">
        <v>60</v>
      </c>
      <c r="B584" s="31" t="s">
        <v>4</v>
      </c>
      <c r="C584" s="31" t="s">
        <v>5</v>
      </c>
      <c r="D584" s="31" t="s">
        <v>6</v>
      </c>
      <c r="E584" s="31" t="s">
        <v>7</v>
      </c>
      <c r="F584" s="31" t="s">
        <v>8</v>
      </c>
      <c r="G584" s="31" t="s">
        <v>9</v>
      </c>
      <c r="H584" s="31" t="s">
        <v>10</v>
      </c>
      <c r="I584" s="31" t="s">
        <v>11</v>
      </c>
      <c r="J584" s="5" t="s">
        <v>12</v>
      </c>
      <c r="K584" s="5" t="s">
        <v>13</v>
      </c>
      <c r="L584" s="5" t="s">
        <v>14</v>
      </c>
    </row>
    <row x14ac:dyDescent="0.25" r="585" customHeight="1" ht="18.75">
      <c r="A585" s="6" t="s">
        <v>15</v>
      </c>
      <c r="B585" s="32" t="s">
        <v>16</v>
      </c>
      <c r="C585" s="33" t="s">
        <v>17</v>
      </c>
      <c r="D585" s="32" t="s">
        <v>18</v>
      </c>
      <c r="E585" s="32" t="s">
        <v>19</v>
      </c>
      <c r="F585" s="32" t="s">
        <v>20</v>
      </c>
      <c r="G585" s="32" t="s">
        <v>21</v>
      </c>
      <c r="H585" s="32" t="s">
        <v>22</v>
      </c>
      <c r="I585" s="33" t="s">
        <v>23</v>
      </c>
      <c r="J585" s="9" t="s">
        <v>24</v>
      </c>
      <c r="K585" s="10" t="s">
        <v>25</v>
      </c>
      <c r="L585" s="9" t="s">
        <v>26</v>
      </c>
    </row>
    <row x14ac:dyDescent="0.25" r="586" customHeight="1" ht="18.75">
      <c r="A586" s="11"/>
      <c r="B586" s="34"/>
      <c r="C586" s="35"/>
      <c r="D586" s="34"/>
      <c r="E586" s="34"/>
      <c r="F586" s="34"/>
      <c r="G586" s="34"/>
      <c r="H586" s="34"/>
      <c r="I586" s="35"/>
      <c r="J586" s="14"/>
      <c r="K586" s="15"/>
      <c r="L586" s="14"/>
    </row>
    <row x14ac:dyDescent="0.25" r="587" customHeight="1" ht="18.75">
      <c r="A587" s="4" t="s">
        <v>27</v>
      </c>
      <c r="B587" s="16">
        <v>88708</v>
      </c>
      <c r="C587" s="16">
        <v>0</v>
      </c>
      <c r="D587" s="16">
        <v>163930</v>
      </c>
      <c r="E587" s="16">
        <v>0</v>
      </c>
      <c r="F587" s="16">
        <v>0</v>
      </c>
      <c r="G587" s="16"/>
      <c r="H587" s="16">
        <v>82562</v>
      </c>
      <c r="I587" s="16">
        <v>341346</v>
      </c>
      <c r="J587" s="17">
        <v>46</v>
      </c>
      <c r="K587" s="17">
        <v>5</v>
      </c>
      <c r="L587" s="17">
        <v>13</v>
      </c>
    </row>
    <row x14ac:dyDescent="0.25" r="588" customHeight="1" ht="18.75">
      <c r="A588" s="4" t="s">
        <v>28</v>
      </c>
      <c r="B588" s="16">
        <v>205670</v>
      </c>
      <c r="C588" s="16">
        <v>0</v>
      </c>
      <c r="D588" s="16">
        <v>1238737</v>
      </c>
      <c r="E588" s="16">
        <v>0</v>
      </c>
      <c r="F588" s="16">
        <v>296</v>
      </c>
      <c r="G588" s="16"/>
      <c r="H588" s="16">
        <v>68373</v>
      </c>
      <c r="I588" s="16">
        <v>1650076</v>
      </c>
      <c r="J588" s="17">
        <v>75</v>
      </c>
      <c r="K588" s="17">
        <v>71</v>
      </c>
      <c r="L588" s="17">
        <v>9</v>
      </c>
    </row>
    <row x14ac:dyDescent="0.25" r="589" customHeight="1" ht="18.75">
      <c r="A589" s="4" t="s">
        <v>29</v>
      </c>
      <c r="B589" s="16">
        <v>1569544</v>
      </c>
      <c r="C589" s="16">
        <v>0</v>
      </c>
      <c r="D589" s="16">
        <v>1813309</v>
      </c>
      <c r="E589" s="16">
        <v>0</v>
      </c>
      <c r="F589" s="16">
        <v>3424</v>
      </c>
      <c r="G589" s="16"/>
      <c r="H589" s="16">
        <v>514950</v>
      </c>
      <c r="I589" s="16">
        <v>4965813</v>
      </c>
      <c r="J589" s="17">
        <v>160</v>
      </c>
      <c r="K589" s="17">
        <v>68</v>
      </c>
      <c r="L589" s="17">
        <v>51</v>
      </c>
    </row>
    <row x14ac:dyDescent="0.25" r="590" customHeight="1" ht="18.75">
      <c r="A590" s="4" t="s">
        <v>30</v>
      </c>
      <c r="B590" s="16">
        <v>350554</v>
      </c>
      <c r="C590" s="16">
        <v>0</v>
      </c>
      <c r="D590" s="16">
        <v>344754</v>
      </c>
      <c r="E590" s="16">
        <v>0</v>
      </c>
      <c r="F590" s="16">
        <v>0</v>
      </c>
      <c r="G590" s="16"/>
      <c r="H590" s="16">
        <v>22893</v>
      </c>
      <c r="I590" s="16">
        <v>1045863</v>
      </c>
      <c r="J590" s="17">
        <v>20</v>
      </c>
      <c r="K590" s="17">
        <v>6</v>
      </c>
      <c r="L590" s="17">
        <v>5</v>
      </c>
    </row>
    <row x14ac:dyDescent="0.25" r="591" customHeight="1" ht="18.75">
      <c r="A591" s="4" t="s">
        <v>31</v>
      </c>
      <c r="B591" s="16">
        <v>979566</v>
      </c>
      <c r="C591" s="16">
        <v>0</v>
      </c>
      <c r="D591" s="16">
        <v>909264</v>
      </c>
      <c r="E591" s="16">
        <v>0</v>
      </c>
      <c r="F591" s="16">
        <v>1167</v>
      </c>
      <c r="G591" s="16"/>
      <c r="H591" s="16">
        <v>194088</v>
      </c>
      <c r="I591" s="16">
        <v>2868396</v>
      </c>
      <c r="J591" s="17">
        <v>22</v>
      </c>
      <c r="K591" s="17">
        <v>3</v>
      </c>
      <c r="L591" s="17">
        <v>11</v>
      </c>
    </row>
    <row x14ac:dyDescent="0.25" r="592" customHeight="1" ht="18.75">
      <c r="A592" s="4" t="s">
        <v>32</v>
      </c>
      <c r="B592" s="16">
        <v>2660980</v>
      </c>
      <c r="C592" s="16">
        <v>0</v>
      </c>
      <c r="D592" s="16">
        <v>3426002</v>
      </c>
      <c r="E592" s="16">
        <v>0</v>
      </c>
      <c r="F592" s="16">
        <v>3825</v>
      </c>
      <c r="G592" s="16"/>
      <c r="H592" s="16">
        <v>2907186</v>
      </c>
      <c r="I592" s="16">
        <v>9515553</v>
      </c>
      <c r="J592" s="17">
        <v>654</v>
      </c>
      <c r="K592" s="17">
        <v>190</v>
      </c>
      <c r="L592" s="17">
        <v>152</v>
      </c>
    </row>
    <row x14ac:dyDescent="0.25" r="593" customHeight="1" ht="18.75">
      <c r="A593" s="4" t="s">
        <v>33</v>
      </c>
      <c r="B593" s="16">
        <v>13351</v>
      </c>
      <c r="C593" s="16">
        <v>0</v>
      </c>
      <c r="D593" s="16">
        <v>706</v>
      </c>
      <c r="E593" s="16">
        <v>0</v>
      </c>
      <c r="F593" s="16">
        <v>3862</v>
      </c>
      <c r="G593" s="16"/>
      <c r="H593" s="16">
        <v>51794</v>
      </c>
      <c r="I593" s="16">
        <v>27409</v>
      </c>
      <c r="J593" s="17">
        <v>13</v>
      </c>
      <c r="K593" s="17">
        <v>6</v>
      </c>
      <c r="L593" s="17">
        <v>5</v>
      </c>
    </row>
    <row x14ac:dyDescent="0.25" r="594" customHeight="1" ht="18.75">
      <c r="A594" s="4" t="s">
        <v>34</v>
      </c>
      <c r="B594" s="16">
        <v>1212833</v>
      </c>
      <c r="C594" s="16">
        <v>0</v>
      </c>
      <c r="D594" s="16">
        <v>49180</v>
      </c>
      <c r="E594" s="16">
        <v>0</v>
      </c>
      <c r="F594" s="16">
        <v>0</v>
      </c>
      <c r="G594" s="16"/>
      <c r="H594" s="16">
        <v>566190</v>
      </c>
      <c r="I594" s="16">
        <v>2474845</v>
      </c>
      <c r="J594" s="17">
        <v>105</v>
      </c>
      <c r="K594" s="17">
        <v>15</v>
      </c>
      <c r="L594" s="17">
        <v>15</v>
      </c>
    </row>
    <row x14ac:dyDescent="0.25" r="595" customHeight="1" ht="18.75">
      <c r="A595" s="4" t="s">
        <v>35</v>
      </c>
      <c r="B595" s="16">
        <v>11752</v>
      </c>
      <c r="C595" s="16">
        <v>0</v>
      </c>
      <c r="D595" s="16">
        <v>55815</v>
      </c>
      <c r="E595" s="16">
        <v>0</v>
      </c>
      <c r="F595" s="16">
        <v>0</v>
      </c>
      <c r="G595" s="16"/>
      <c r="H595" s="16">
        <v>30477</v>
      </c>
      <c r="I595" s="16">
        <v>92096</v>
      </c>
      <c r="J595" s="5"/>
      <c r="K595" s="17">
        <v>12</v>
      </c>
      <c r="L595" s="5"/>
    </row>
    <row x14ac:dyDescent="0.25" r="596" customHeight="1" ht="18.75">
      <c r="A596" s="2"/>
      <c r="B596" s="28"/>
      <c r="C596" s="28"/>
      <c r="D596" s="28"/>
      <c r="E596" s="28"/>
      <c r="F596" s="28"/>
      <c r="G596" s="28"/>
      <c r="H596" s="28"/>
      <c r="I596" s="28"/>
      <c r="J596" s="29"/>
      <c r="K596" s="29"/>
      <c r="L596" s="29"/>
    </row>
    <row x14ac:dyDescent="0.25" r="597" customHeight="1" ht="18.75">
      <c r="A597" s="30" t="s">
        <v>50</v>
      </c>
      <c r="B597" s="31" t="s">
        <v>4</v>
      </c>
      <c r="C597" s="31" t="s">
        <v>5</v>
      </c>
      <c r="D597" s="31" t="s">
        <v>6</v>
      </c>
      <c r="E597" s="31" t="s">
        <v>7</v>
      </c>
      <c r="F597" s="31" t="s">
        <v>8</v>
      </c>
      <c r="G597" s="31" t="s">
        <v>9</v>
      </c>
      <c r="H597" s="31" t="s">
        <v>10</v>
      </c>
      <c r="I597" s="31" t="s">
        <v>11</v>
      </c>
      <c r="J597" s="5" t="s">
        <v>12</v>
      </c>
      <c r="K597" s="5" t="s">
        <v>13</v>
      </c>
      <c r="L597" s="5" t="s">
        <v>14</v>
      </c>
    </row>
    <row x14ac:dyDescent="0.25" r="598" customHeight="1" ht="18.75">
      <c r="A598" s="6" t="s">
        <v>15</v>
      </c>
      <c r="B598" s="32" t="s">
        <v>16</v>
      </c>
      <c r="C598" s="33" t="s">
        <v>17</v>
      </c>
      <c r="D598" s="32" t="s">
        <v>18</v>
      </c>
      <c r="E598" s="32" t="s">
        <v>19</v>
      </c>
      <c r="F598" s="32" t="s">
        <v>20</v>
      </c>
      <c r="G598" s="32" t="s">
        <v>21</v>
      </c>
      <c r="H598" s="32" t="s">
        <v>22</v>
      </c>
      <c r="I598" s="33" t="s">
        <v>23</v>
      </c>
      <c r="J598" s="9" t="s">
        <v>24</v>
      </c>
      <c r="K598" s="10" t="s">
        <v>25</v>
      </c>
      <c r="L598" s="9" t="s">
        <v>26</v>
      </c>
    </row>
    <row x14ac:dyDescent="0.25" r="599" customHeight="1" ht="18.75">
      <c r="A599" s="11"/>
      <c r="B599" s="34"/>
      <c r="C599" s="35"/>
      <c r="D599" s="34"/>
      <c r="E599" s="34"/>
      <c r="F599" s="34"/>
      <c r="G599" s="34"/>
      <c r="H599" s="34"/>
      <c r="I599" s="35"/>
      <c r="J599" s="14"/>
      <c r="K599" s="15"/>
      <c r="L599" s="14"/>
    </row>
    <row x14ac:dyDescent="0.25" r="600" customHeight="1" ht="18.75">
      <c r="A600" s="4" t="s">
        <v>27</v>
      </c>
      <c r="B600" s="16">
        <v>122199</v>
      </c>
      <c r="C600" s="16">
        <v>0</v>
      </c>
      <c r="D600" s="16">
        <v>52988</v>
      </c>
      <c r="E600" s="16">
        <v>0</v>
      </c>
      <c r="F600" s="16">
        <v>0</v>
      </c>
      <c r="G600" s="16"/>
      <c r="H600" s="16">
        <v>151023</v>
      </c>
      <c r="I600" s="16">
        <v>297387</v>
      </c>
      <c r="J600" s="17">
        <v>58</v>
      </c>
      <c r="K600" s="17">
        <v>8</v>
      </c>
      <c r="L600" s="17">
        <v>17</v>
      </c>
    </row>
    <row x14ac:dyDescent="0.25" r="601" customHeight="1" ht="18.75">
      <c r="A601" s="4" t="s">
        <v>28</v>
      </c>
      <c r="B601" s="16">
        <v>478148</v>
      </c>
      <c r="C601" s="16">
        <v>0</v>
      </c>
      <c r="D601" s="16">
        <v>2254282</v>
      </c>
      <c r="E601" s="16">
        <v>0</v>
      </c>
      <c r="F601" s="16">
        <v>7956</v>
      </c>
      <c r="G601" s="16"/>
      <c r="H601" s="16">
        <v>175199</v>
      </c>
      <c r="I601" s="16">
        <v>3200053</v>
      </c>
      <c r="J601" s="17">
        <v>69</v>
      </c>
      <c r="K601" s="17">
        <v>52</v>
      </c>
      <c r="L601" s="17">
        <v>11</v>
      </c>
    </row>
    <row x14ac:dyDescent="0.25" r="602" customHeight="1" ht="18.75">
      <c r="A602" s="4" t="s">
        <v>29</v>
      </c>
      <c r="B602" s="16">
        <v>849833</v>
      </c>
      <c r="C602" s="16">
        <v>0</v>
      </c>
      <c r="D602" s="16">
        <v>2076825</v>
      </c>
      <c r="E602" s="16">
        <v>0</v>
      </c>
      <c r="F602" s="16">
        <v>61391</v>
      </c>
      <c r="G602" s="16"/>
      <c r="H602" s="16">
        <v>543175</v>
      </c>
      <c r="I602" s="16">
        <v>3773335</v>
      </c>
      <c r="J602" s="17">
        <v>144</v>
      </c>
      <c r="K602" s="17">
        <v>61</v>
      </c>
      <c r="L602" s="17">
        <v>30</v>
      </c>
    </row>
    <row x14ac:dyDescent="0.25" r="603" customHeight="1" ht="18.75">
      <c r="A603" s="4" t="s">
        <v>30</v>
      </c>
      <c r="B603" s="16">
        <v>272385</v>
      </c>
      <c r="C603" s="16">
        <v>0</v>
      </c>
      <c r="D603" s="16">
        <v>36738</v>
      </c>
      <c r="E603" s="16">
        <v>0</v>
      </c>
      <c r="F603" s="16">
        <v>0</v>
      </c>
      <c r="G603" s="16"/>
      <c r="H603" s="16">
        <v>35912</v>
      </c>
      <c r="I603" s="16">
        <v>581509</v>
      </c>
      <c r="J603" s="17">
        <v>16</v>
      </c>
      <c r="K603" s="17">
        <v>5</v>
      </c>
      <c r="L603" s="17">
        <v>4</v>
      </c>
    </row>
    <row x14ac:dyDescent="0.25" r="604" customHeight="1" ht="18.75">
      <c r="A604" s="4" t="s">
        <v>31</v>
      </c>
      <c r="B604" s="16">
        <v>1207637</v>
      </c>
      <c r="C604" s="16">
        <v>0</v>
      </c>
      <c r="D604" s="16">
        <v>983472</v>
      </c>
      <c r="E604" s="16">
        <v>0</v>
      </c>
      <c r="F604" s="16">
        <v>0</v>
      </c>
      <c r="G604" s="16"/>
      <c r="H604" s="16">
        <v>566106</v>
      </c>
      <c r="I604" s="16">
        <v>3102229</v>
      </c>
      <c r="J604" s="17">
        <v>15</v>
      </c>
      <c r="K604" s="17">
        <v>4</v>
      </c>
      <c r="L604" s="17">
        <v>8</v>
      </c>
    </row>
    <row x14ac:dyDescent="0.25" r="605" customHeight="1" ht="18.75">
      <c r="A605" s="4" t="s">
        <v>32</v>
      </c>
      <c r="B605" s="16">
        <v>1951066</v>
      </c>
      <c r="C605" s="16">
        <v>0</v>
      </c>
      <c r="D605" s="16">
        <v>2460373</v>
      </c>
      <c r="E605" s="16">
        <v>0</v>
      </c>
      <c r="F605" s="16">
        <v>342230</v>
      </c>
      <c r="G605" s="16"/>
      <c r="H605" s="16">
        <v>2118688</v>
      </c>
      <c r="I605" s="16">
        <v>4950343</v>
      </c>
      <c r="J605" s="17">
        <v>584</v>
      </c>
      <c r="K605" s="17">
        <v>187</v>
      </c>
      <c r="L605" s="17">
        <v>133</v>
      </c>
    </row>
    <row x14ac:dyDescent="0.25" r="606" customHeight="1" ht="18.75">
      <c r="A606" s="4" t="s">
        <v>33</v>
      </c>
      <c r="B606" s="16">
        <v>30235</v>
      </c>
      <c r="C606" s="16">
        <v>0</v>
      </c>
      <c r="D606" s="16">
        <v>10751</v>
      </c>
      <c r="E606" s="16">
        <v>0</v>
      </c>
      <c r="F606" s="16">
        <v>0</v>
      </c>
      <c r="G606" s="16"/>
      <c r="H606" s="16">
        <v>275863</v>
      </c>
      <c r="I606" s="16">
        <v>71211</v>
      </c>
      <c r="J606" s="17">
        <v>16</v>
      </c>
      <c r="K606" s="17">
        <v>5</v>
      </c>
      <c r="L606" s="17">
        <v>4</v>
      </c>
    </row>
    <row x14ac:dyDescent="0.25" r="607" customHeight="1" ht="18.75">
      <c r="A607" s="4" t="s">
        <v>34</v>
      </c>
      <c r="B607" s="16">
        <v>814828</v>
      </c>
      <c r="C607" s="16">
        <v>0</v>
      </c>
      <c r="D607" s="16">
        <v>42044</v>
      </c>
      <c r="E607" s="16">
        <v>0</v>
      </c>
      <c r="F607" s="16">
        <v>0</v>
      </c>
      <c r="G607" s="16"/>
      <c r="H607" s="16">
        <v>432875</v>
      </c>
      <c r="I607" s="16">
        <v>1671700</v>
      </c>
      <c r="J607" s="17">
        <v>77</v>
      </c>
      <c r="K607" s="17">
        <v>11</v>
      </c>
      <c r="L607" s="17">
        <v>6</v>
      </c>
    </row>
    <row x14ac:dyDescent="0.25" r="608" customHeight="1" ht="18.75">
      <c r="A608" s="4" t="s">
        <v>35</v>
      </c>
      <c r="B608" s="16">
        <v>43826</v>
      </c>
      <c r="C608" s="16">
        <v>0</v>
      </c>
      <c r="D608" s="16">
        <v>279601</v>
      </c>
      <c r="E608" s="16">
        <v>0</v>
      </c>
      <c r="F608" s="16">
        <v>0</v>
      </c>
      <c r="G608" s="16"/>
      <c r="H608" s="16">
        <v>66551</v>
      </c>
      <c r="I608" s="16">
        <v>353238</v>
      </c>
      <c r="J608" s="5"/>
      <c r="K608" s="17">
        <v>3</v>
      </c>
      <c r="L608" s="5"/>
    </row>
    <row x14ac:dyDescent="0.25" r="609" customHeight="1" ht="18.75">
      <c r="A609" s="2"/>
      <c r="B609" s="28"/>
      <c r="C609" s="28"/>
      <c r="D609" s="28"/>
      <c r="E609" s="28"/>
      <c r="F609" s="28"/>
      <c r="G609" s="28"/>
      <c r="H609" s="28"/>
      <c r="I609" s="28"/>
      <c r="J609" s="29"/>
      <c r="K609" s="29"/>
      <c r="L609" s="29"/>
    </row>
    <row x14ac:dyDescent="0.25" r="610" customHeight="1" ht="18.75">
      <c r="A610" s="30" t="s">
        <v>51</v>
      </c>
      <c r="B610" s="31" t="s">
        <v>4</v>
      </c>
      <c r="C610" s="31" t="s">
        <v>5</v>
      </c>
      <c r="D610" s="31" t="s">
        <v>6</v>
      </c>
      <c r="E610" s="31" t="s">
        <v>7</v>
      </c>
      <c r="F610" s="31" t="s">
        <v>8</v>
      </c>
      <c r="G610" s="31" t="s">
        <v>9</v>
      </c>
      <c r="H610" s="31" t="s">
        <v>10</v>
      </c>
      <c r="I610" s="31" t="s">
        <v>11</v>
      </c>
      <c r="J610" s="5" t="s">
        <v>12</v>
      </c>
      <c r="K610" s="5" t="s">
        <v>13</v>
      </c>
      <c r="L610" s="5" t="s">
        <v>14</v>
      </c>
    </row>
    <row x14ac:dyDescent="0.25" r="611" customHeight="1" ht="18.75">
      <c r="A611" s="6" t="s">
        <v>15</v>
      </c>
      <c r="B611" s="32" t="s">
        <v>16</v>
      </c>
      <c r="C611" s="33" t="s">
        <v>17</v>
      </c>
      <c r="D611" s="32" t="s">
        <v>18</v>
      </c>
      <c r="E611" s="32" t="s">
        <v>19</v>
      </c>
      <c r="F611" s="32" t="s">
        <v>20</v>
      </c>
      <c r="G611" s="32" t="s">
        <v>21</v>
      </c>
      <c r="H611" s="32" t="s">
        <v>22</v>
      </c>
      <c r="I611" s="33" t="s">
        <v>23</v>
      </c>
      <c r="J611" s="9" t="s">
        <v>24</v>
      </c>
      <c r="K611" s="10" t="s">
        <v>25</v>
      </c>
      <c r="L611" s="9" t="s">
        <v>26</v>
      </c>
    </row>
    <row x14ac:dyDescent="0.25" r="612" customHeight="1" ht="18.75">
      <c r="A612" s="11"/>
      <c r="B612" s="34"/>
      <c r="C612" s="35"/>
      <c r="D612" s="34"/>
      <c r="E612" s="34"/>
      <c r="F612" s="34"/>
      <c r="G612" s="34"/>
      <c r="H612" s="34"/>
      <c r="I612" s="35"/>
      <c r="J612" s="14"/>
      <c r="K612" s="15"/>
      <c r="L612" s="14"/>
    </row>
    <row x14ac:dyDescent="0.25" r="613" customHeight="1" ht="18.75">
      <c r="A613" s="4" t="s">
        <v>27</v>
      </c>
      <c r="B613" s="16">
        <v>295728</v>
      </c>
      <c r="C613" s="16">
        <v>0</v>
      </c>
      <c r="D613" s="16">
        <v>145584</v>
      </c>
      <c r="E613" s="16">
        <v>0</v>
      </c>
      <c r="F613" s="16">
        <v>0</v>
      </c>
      <c r="G613" s="16"/>
      <c r="H613" s="16">
        <v>306529</v>
      </c>
      <c r="I613" s="16">
        <v>737040</v>
      </c>
      <c r="J613" s="17">
        <v>56</v>
      </c>
      <c r="K613" s="17">
        <v>14</v>
      </c>
      <c r="L613" s="17">
        <v>11</v>
      </c>
    </row>
    <row x14ac:dyDescent="0.25" r="614" customHeight="1" ht="18.75">
      <c r="A614" s="4" t="s">
        <v>28</v>
      </c>
      <c r="B614" s="16">
        <v>971086</v>
      </c>
      <c r="C614" s="16">
        <v>0</v>
      </c>
      <c r="D614" s="16">
        <v>2993749</v>
      </c>
      <c r="E614" s="16">
        <v>0</v>
      </c>
      <c r="F614" s="16">
        <v>1513</v>
      </c>
      <c r="G614" s="16"/>
      <c r="H614" s="16">
        <v>123543</v>
      </c>
      <c r="I614" s="16">
        <v>4940587</v>
      </c>
      <c r="J614" s="17">
        <v>103</v>
      </c>
      <c r="K614" s="17">
        <v>44</v>
      </c>
      <c r="L614" s="17">
        <v>9</v>
      </c>
    </row>
    <row x14ac:dyDescent="0.25" r="615" customHeight="1" ht="18.75">
      <c r="A615" s="4" t="s">
        <v>29</v>
      </c>
      <c r="B615" s="16">
        <v>1358391</v>
      </c>
      <c r="C615" s="16">
        <v>0</v>
      </c>
      <c r="D615" s="16">
        <v>2076806</v>
      </c>
      <c r="E615" s="16">
        <v>0</v>
      </c>
      <c r="F615" s="16">
        <v>1007846</v>
      </c>
      <c r="G615" s="16"/>
      <c r="H615" s="16">
        <v>488320</v>
      </c>
      <c r="I615" s="16">
        <v>4793588</v>
      </c>
      <c r="J615" s="17">
        <v>164</v>
      </c>
      <c r="K615" s="17">
        <v>56</v>
      </c>
      <c r="L615" s="17">
        <v>42</v>
      </c>
    </row>
    <row x14ac:dyDescent="0.25" r="616" customHeight="1" ht="18.75">
      <c r="A616" s="4" t="s">
        <v>30</v>
      </c>
      <c r="B616" s="16">
        <v>270238</v>
      </c>
      <c r="C616" s="16">
        <v>0</v>
      </c>
      <c r="D616" s="16">
        <v>199562</v>
      </c>
      <c r="E616" s="16">
        <v>0</v>
      </c>
      <c r="F616" s="16">
        <v>0</v>
      </c>
      <c r="G616" s="16"/>
      <c r="H616" s="16">
        <v>58027</v>
      </c>
      <c r="I616" s="16">
        <v>740293</v>
      </c>
      <c r="J616" s="17">
        <v>20</v>
      </c>
      <c r="K616" s="17">
        <v>6</v>
      </c>
      <c r="L616" s="17">
        <v>6</v>
      </c>
    </row>
    <row x14ac:dyDescent="0.25" r="617" customHeight="1" ht="18.75">
      <c r="A617" s="4" t="s">
        <v>31</v>
      </c>
      <c r="B617" s="16">
        <v>418098</v>
      </c>
      <c r="C617" s="16">
        <v>0</v>
      </c>
      <c r="D617" s="16">
        <v>421575</v>
      </c>
      <c r="E617" s="16">
        <v>0</v>
      </c>
      <c r="F617" s="16">
        <v>86813</v>
      </c>
      <c r="G617" s="16"/>
      <c r="H617" s="16">
        <v>134156</v>
      </c>
      <c r="I617" s="16">
        <v>1300170</v>
      </c>
      <c r="J617" s="17">
        <v>22</v>
      </c>
      <c r="K617" s="17">
        <v>2</v>
      </c>
      <c r="L617" s="17">
        <v>10</v>
      </c>
    </row>
    <row x14ac:dyDescent="0.25" r="618" customHeight="1" ht="18.75">
      <c r="A618" s="4" t="s">
        <v>32</v>
      </c>
      <c r="B618" s="16">
        <v>4997722</v>
      </c>
      <c r="C618" s="16">
        <v>0</v>
      </c>
      <c r="D618" s="16">
        <v>3949746</v>
      </c>
      <c r="E618" s="16">
        <v>0</v>
      </c>
      <c r="F618" s="16">
        <v>0</v>
      </c>
      <c r="G618" s="16"/>
      <c r="H618" s="16">
        <v>3366405</v>
      </c>
      <c r="I618" s="16">
        <v>14759192</v>
      </c>
      <c r="J618" s="17">
        <v>745</v>
      </c>
      <c r="K618" s="17">
        <v>177</v>
      </c>
      <c r="L618" s="17">
        <v>163</v>
      </c>
    </row>
    <row x14ac:dyDescent="0.25" r="619" customHeight="1" ht="18.75">
      <c r="A619" s="4" t="s">
        <v>33</v>
      </c>
      <c r="B619" s="16">
        <v>15842</v>
      </c>
      <c r="C619" s="16">
        <v>0</v>
      </c>
      <c r="D619" s="16">
        <v>0</v>
      </c>
      <c r="E619" s="16">
        <v>0</v>
      </c>
      <c r="F619" s="16">
        <v>0</v>
      </c>
      <c r="G619" s="16"/>
      <c r="H619" s="16">
        <v>226503</v>
      </c>
      <c r="I619" s="16">
        <v>31684</v>
      </c>
      <c r="J619" s="17">
        <v>22</v>
      </c>
      <c r="K619" s="17">
        <v>7</v>
      </c>
      <c r="L619" s="17">
        <v>3</v>
      </c>
    </row>
    <row x14ac:dyDescent="0.25" r="620" customHeight="1" ht="18.75">
      <c r="A620" s="4" t="s">
        <v>34</v>
      </c>
      <c r="B620" s="16">
        <v>711595</v>
      </c>
      <c r="C620" s="16">
        <v>0</v>
      </c>
      <c r="D620" s="16">
        <v>105092</v>
      </c>
      <c r="E620" s="16">
        <v>0</v>
      </c>
      <c r="F620" s="16">
        <v>0</v>
      </c>
      <c r="G620" s="16"/>
      <c r="H620" s="16">
        <v>422132</v>
      </c>
      <c r="I620" s="16">
        <v>1528281</v>
      </c>
      <c r="J620" s="17">
        <v>76</v>
      </c>
      <c r="K620" s="17">
        <v>19</v>
      </c>
      <c r="L620" s="17">
        <v>12</v>
      </c>
    </row>
    <row x14ac:dyDescent="0.25" r="621" customHeight="1" ht="18.75">
      <c r="A621" s="4" t="s">
        <v>35</v>
      </c>
      <c r="B621" s="16">
        <v>17306</v>
      </c>
      <c r="C621" s="16">
        <v>0</v>
      </c>
      <c r="D621" s="16">
        <v>24297</v>
      </c>
      <c r="E621" s="16">
        <v>0</v>
      </c>
      <c r="F621" s="16">
        <v>0</v>
      </c>
      <c r="G621" s="16"/>
      <c r="H621" s="16">
        <v>73647</v>
      </c>
      <c r="I621" s="16">
        <v>94861</v>
      </c>
      <c r="J621" s="5"/>
      <c r="K621" s="17">
        <v>9</v>
      </c>
      <c r="L621" s="5"/>
    </row>
    <row x14ac:dyDescent="0.25" r="622" customHeight="1" ht="18.75">
      <c r="A622" s="2"/>
      <c r="B622" s="28"/>
      <c r="C622" s="28"/>
      <c r="D622" s="28"/>
      <c r="E622" s="28"/>
      <c r="F622" s="28"/>
      <c r="G622" s="28"/>
      <c r="H622" s="28"/>
      <c r="I622" s="28"/>
      <c r="J622" s="29"/>
      <c r="K622" s="29"/>
      <c r="L622" s="29"/>
    </row>
    <row x14ac:dyDescent="0.25" r="623" customHeight="1" ht="18.75">
      <c r="A623" s="30" t="s">
        <v>52</v>
      </c>
      <c r="B623" s="31" t="s">
        <v>4</v>
      </c>
      <c r="C623" s="31" t="s">
        <v>5</v>
      </c>
      <c r="D623" s="31" t="s">
        <v>6</v>
      </c>
      <c r="E623" s="31" t="s">
        <v>7</v>
      </c>
      <c r="F623" s="31" t="s">
        <v>8</v>
      </c>
      <c r="G623" s="31" t="s">
        <v>9</v>
      </c>
      <c r="H623" s="31" t="s">
        <v>10</v>
      </c>
      <c r="I623" s="31" t="s">
        <v>11</v>
      </c>
      <c r="J623" s="5" t="s">
        <v>12</v>
      </c>
      <c r="K623" s="5" t="s">
        <v>13</v>
      </c>
      <c r="L623" s="5" t="s">
        <v>14</v>
      </c>
    </row>
    <row x14ac:dyDescent="0.25" r="624" customHeight="1" ht="18.75">
      <c r="A624" s="6" t="s">
        <v>15</v>
      </c>
      <c r="B624" s="32" t="s">
        <v>16</v>
      </c>
      <c r="C624" s="33" t="s">
        <v>17</v>
      </c>
      <c r="D624" s="32" t="s">
        <v>18</v>
      </c>
      <c r="E624" s="32" t="s">
        <v>19</v>
      </c>
      <c r="F624" s="32" t="s">
        <v>20</v>
      </c>
      <c r="G624" s="32" t="s">
        <v>21</v>
      </c>
      <c r="H624" s="32" t="s">
        <v>22</v>
      </c>
      <c r="I624" s="33" t="s">
        <v>23</v>
      </c>
      <c r="J624" s="9" t="s">
        <v>24</v>
      </c>
      <c r="K624" s="10" t="s">
        <v>25</v>
      </c>
      <c r="L624" s="9" t="s">
        <v>26</v>
      </c>
    </row>
    <row x14ac:dyDescent="0.25" r="625" customHeight="1" ht="18.75">
      <c r="A625" s="11"/>
      <c r="B625" s="34"/>
      <c r="C625" s="35"/>
      <c r="D625" s="34"/>
      <c r="E625" s="34"/>
      <c r="F625" s="34"/>
      <c r="G625" s="34"/>
      <c r="H625" s="34"/>
      <c r="I625" s="35"/>
      <c r="J625" s="14"/>
      <c r="K625" s="15"/>
      <c r="L625" s="14"/>
    </row>
    <row x14ac:dyDescent="0.25" r="626" customHeight="1" ht="18.75">
      <c r="A626" s="4" t="s">
        <v>27</v>
      </c>
      <c r="B626" s="16">
        <v>543772</v>
      </c>
      <c r="C626" s="16">
        <v>0</v>
      </c>
      <c r="D626" s="16">
        <v>257616</v>
      </c>
      <c r="E626" s="16">
        <v>0</v>
      </c>
      <c r="F626" s="16">
        <v>0</v>
      </c>
      <c r="G626" s="16"/>
      <c r="H626" s="16">
        <v>876652</v>
      </c>
      <c r="I626" s="16">
        <v>1345160</v>
      </c>
      <c r="J626" s="17">
        <v>85</v>
      </c>
      <c r="K626" s="17">
        <v>11</v>
      </c>
      <c r="L626" s="17">
        <v>23</v>
      </c>
    </row>
    <row x14ac:dyDescent="0.25" r="627" customHeight="1" ht="18.75">
      <c r="A627" s="4" t="s">
        <v>28</v>
      </c>
      <c r="B627" s="16">
        <v>285364</v>
      </c>
      <c r="C627" s="16">
        <v>0</v>
      </c>
      <c r="D627" s="16">
        <v>1452021</v>
      </c>
      <c r="E627" s="16">
        <v>0</v>
      </c>
      <c r="F627" s="16">
        <v>45746</v>
      </c>
      <c r="G627" s="16"/>
      <c r="H627" s="16">
        <v>152893</v>
      </c>
      <c r="I627" s="16">
        <v>2057962</v>
      </c>
      <c r="J627" s="17">
        <v>77</v>
      </c>
      <c r="K627" s="17">
        <v>50</v>
      </c>
      <c r="L627" s="17">
        <v>8</v>
      </c>
    </row>
    <row x14ac:dyDescent="0.25" r="628" customHeight="1" ht="18.75">
      <c r="A628" s="4" t="s">
        <v>29</v>
      </c>
      <c r="B628" s="16">
        <v>1873243</v>
      </c>
      <c r="C628" s="16">
        <v>0</v>
      </c>
      <c r="D628" s="16">
        <v>2856323</v>
      </c>
      <c r="E628" s="16">
        <v>0</v>
      </c>
      <c r="F628" s="16">
        <v>34922</v>
      </c>
      <c r="G628" s="16"/>
      <c r="H628" s="16">
        <v>667689</v>
      </c>
      <c r="I628" s="16">
        <v>6602810</v>
      </c>
      <c r="J628" s="17">
        <v>132</v>
      </c>
      <c r="K628" s="17">
        <v>72</v>
      </c>
      <c r="L628" s="17">
        <v>37</v>
      </c>
    </row>
    <row x14ac:dyDescent="0.25" r="629" customHeight="1" ht="18.75">
      <c r="A629" s="4" t="s">
        <v>30</v>
      </c>
      <c r="B629" s="16">
        <v>434574</v>
      </c>
      <c r="C629" s="16">
        <v>0</v>
      </c>
      <c r="D629" s="16">
        <v>341888</v>
      </c>
      <c r="E629" s="16">
        <v>0</v>
      </c>
      <c r="F629" s="16">
        <v>0</v>
      </c>
      <c r="G629" s="16"/>
      <c r="H629" s="16">
        <v>55794</v>
      </c>
      <c r="I629" s="16">
        <v>1211036</v>
      </c>
      <c r="J629" s="17">
        <v>24</v>
      </c>
      <c r="K629" s="17">
        <v>2</v>
      </c>
      <c r="L629" s="17">
        <v>1</v>
      </c>
    </row>
    <row x14ac:dyDescent="0.25" r="630" customHeight="1" ht="18.75">
      <c r="A630" s="4" t="s">
        <v>31</v>
      </c>
      <c r="B630" s="16">
        <v>821579</v>
      </c>
      <c r="C630" s="16">
        <v>0</v>
      </c>
      <c r="D630" s="16">
        <v>52823</v>
      </c>
      <c r="E630" s="16">
        <v>0</v>
      </c>
      <c r="F630" s="16">
        <v>1683</v>
      </c>
      <c r="G630" s="16"/>
      <c r="H630" s="16">
        <v>233445</v>
      </c>
      <c r="I630" s="16">
        <v>1695981</v>
      </c>
      <c r="J630" s="17">
        <v>18</v>
      </c>
      <c r="K630" s="17">
        <v>9</v>
      </c>
      <c r="L630" s="17">
        <v>8</v>
      </c>
    </row>
    <row x14ac:dyDescent="0.25" r="631" customHeight="1" ht="18.75">
      <c r="A631" s="4" t="s">
        <v>32</v>
      </c>
      <c r="B631" s="16">
        <v>2569558</v>
      </c>
      <c r="C631" s="16">
        <v>0</v>
      </c>
      <c r="D631" s="16">
        <v>2427032</v>
      </c>
      <c r="E631" s="16">
        <v>0</v>
      </c>
      <c r="F631" s="16">
        <v>0</v>
      </c>
      <c r="G631" s="16"/>
      <c r="H631" s="16">
        <v>2274167</v>
      </c>
      <c r="I631" s="16">
        <v>8221989</v>
      </c>
      <c r="J631" s="17">
        <v>715</v>
      </c>
      <c r="K631" s="17">
        <v>231</v>
      </c>
      <c r="L631" s="17">
        <v>163</v>
      </c>
    </row>
    <row x14ac:dyDescent="0.25" r="632" customHeight="1" ht="18.75">
      <c r="A632" s="4" t="s">
        <v>33</v>
      </c>
      <c r="B632" s="16">
        <v>13925</v>
      </c>
      <c r="C632" s="16">
        <v>0</v>
      </c>
      <c r="D632" s="16">
        <v>0</v>
      </c>
      <c r="E632" s="16">
        <v>0</v>
      </c>
      <c r="F632" s="16">
        <v>0</v>
      </c>
      <c r="G632" s="16"/>
      <c r="H632" s="16">
        <v>218953</v>
      </c>
      <c r="I632" s="16">
        <v>27851</v>
      </c>
      <c r="J632" s="17">
        <v>27</v>
      </c>
      <c r="K632" s="17">
        <v>4</v>
      </c>
      <c r="L632" s="17">
        <v>5</v>
      </c>
    </row>
    <row x14ac:dyDescent="0.25" r="633" customHeight="1" ht="18.75">
      <c r="A633" s="4" t="s">
        <v>34</v>
      </c>
      <c r="B633" s="16">
        <v>979037</v>
      </c>
      <c r="C633" s="16">
        <v>0</v>
      </c>
      <c r="D633" s="16">
        <v>75840</v>
      </c>
      <c r="E633" s="16">
        <v>0</v>
      </c>
      <c r="F633" s="16">
        <v>0</v>
      </c>
      <c r="G633" s="16"/>
      <c r="H633" s="16">
        <v>490220</v>
      </c>
      <c r="I633" s="16">
        <v>2033913</v>
      </c>
      <c r="J633" s="17">
        <v>82</v>
      </c>
      <c r="K633" s="17">
        <v>20</v>
      </c>
      <c r="L633" s="17">
        <v>15</v>
      </c>
    </row>
    <row x14ac:dyDescent="0.25" r="634" customHeight="1" ht="18.75">
      <c r="A634" s="4" t="s">
        <v>35</v>
      </c>
      <c r="B634" s="16">
        <v>125602</v>
      </c>
      <c r="C634" s="16">
        <v>0</v>
      </c>
      <c r="D634" s="16">
        <v>378639</v>
      </c>
      <c r="E634" s="16">
        <v>0</v>
      </c>
      <c r="F634" s="16">
        <v>0</v>
      </c>
      <c r="G634" s="16"/>
      <c r="H634" s="16">
        <v>83814</v>
      </c>
      <c r="I634" s="16">
        <v>634426</v>
      </c>
      <c r="J634" s="5"/>
      <c r="K634" s="17">
        <v>7</v>
      </c>
      <c r="L634" s="5"/>
    </row>
    <row x14ac:dyDescent="0.25" r="635" customHeight="1" ht="18.75">
      <c r="A635" s="2"/>
      <c r="B635" s="28"/>
      <c r="C635" s="28"/>
      <c r="D635" s="28"/>
      <c r="E635" s="28"/>
      <c r="F635" s="28"/>
      <c r="G635" s="28"/>
      <c r="H635" s="28"/>
      <c r="I635" s="28"/>
      <c r="J635" s="29"/>
      <c r="K635" s="29"/>
      <c r="L635" s="29"/>
    </row>
    <row x14ac:dyDescent="0.25" r="636" customHeight="1" ht="18.75">
      <c r="A636" s="30" t="s">
        <v>53</v>
      </c>
      <c r="B636" s="31" t="s">
        <v>4</v>
      </c>
      <c r="C636" s="31" t="s">
        <v>5</v>
      </c>
      <c r="D636" s="31" t="s">
        <v>6</v>
      </c>
      <c r="E636" s="31" t="s">
        <v>7</v>
      </c>
      <c r="F636" s="31" t="s">
        <v>8</v>
      </c>
      <c r="G636" s="31" t="s">
        <v>9</v>
      </c>
      <c r="H636" s="31" t="s">
        <v>10</v>
      </c>
      <c r="I636" s="31" t="s">
        <v>11</v>
      </c>
      <c r="J636" s="5" t="s">
        <v>12</v>
      </c>
      <c r="K636" s="5" t="s">
        <v>13</v>
      </c>
      <c r="L636" s="5" t="s">
        <v>14</v>
      </c>
    </row>
    <row x14ac:dyDescent="0.25" r="637" customHeight="1" ht="18.75">
      <c r="A637" s="6" t="s">
        <v>15</v>
      </c>
      <c r="B637" s="32" t="s">
        <v>16</v>
      </c>
      <c r="C637" s="33" t="s">
        <v>17</v>
      </c>
      <c r="D637" s="32" t="s">
        <v>18</v>
      </c>
      <c r="E637" s="32" t="s">
        <v>19</v>
      </c>
      <c r="F637" s="32" t="s">
        <v>20</v>
      </c>
      <c r="G637" s="32" t="s">
        <v>21</v>
      </c>
      <c r="H637" s="32" t="s">
        <v>22</v>
      </c>
      <c r="I637" s="33" t="s">
        <v>23</v>
      </c>
      <c r="J637" s="9" t="s">
        <v>24</v>
      </c>
      <c r="K637" s="10" t="s">
        <v>25</v>
      </c>
      <c r="L637" s="9" t="s">
        <v>26</v>
      </c>
    </row>
    <row x14ac:dyDescent="0.25" r="638" customHeight="1" ht="18.75">
      <c r="A638" s="11"/>
      <c r="B638" s="34"/>
      <c r="C638" s="35"/>
      <c r="D638" s="34"/>
      <c r="E638" s="34"/>
      <c r="F638" s="34"/>
      <c r="G638" s="34"/>
      <c r="H638" s="34"/>
      <c r="I638" s="35"/>
      <c r="J638" s="14"/>
      <c r="K638" s="15"/>
      <c r="L638" s="14"/>
    </row>
    <row x14ac:dyDescent="0.25" r="639" customHeight="1" ht="18.75">
      <c r="A639" s="4" t="s">
        <v>27</v>
      </c>
      <c r="B639" s="16">
        <v>135330</v>
      </c>
      <c r="C639" s="16">
        <v>0</v>
      </c>
      <c r="D639" s="16">
        <v>248503</v>
      </c>
      <c r="E639" s="16">
        <v>0</v>
      </c>
      <c r="F639" s="16">
        <v>0</v>
      </c>
      <c r="G639" s="16"/>
      <c r="H639" s="16">
        <v>135859</v>
      </c>
      <c r="I639" s="16">
        <v>519163</v>
      </c>
      <c r="J639" s="17">
        <v>83</v>
      </c>
      <c r="K639" s="17">
        <v>8</v>
      </c>
      <c r="L639" s="17">
        <v>27</v>
      </c>
    </row>
    <row x14ac:dyDescent="0.25" r="640" customHeight="1" ht="18.75">
      <c r="A640" s="4" t="s">
        <v>28</v>
      </c>
      <c r="B640" s="16">
        <v>297194</v>
      </c>
      <c r="C640" s="16">
        <v>0</v>
      </c>
      <c r="D640" s="16">
        <v>1277983</v>
      </c>
      <c r="E640" s="16">
        <v>0</v>
      </c>
      <c r="F640" s="16">
        <v>146528</v>
      </c>
      <c r="G640" s="16"/>
      <c r="H640" s="16">
        <v>125171</v>
      </c>
      <c r="I640" s="16">
        <v>1899462</v>
      </c>
      <c r="J640" s="17">
        <v>83</v>
      </c>
      <c r="K640" s="17">
        <v>46</v>
      </c>
      <c r="L640" s="17">
        <v>8</v>
      </c>
    </row>
    <row x14ac:dyDescent="0.25" r="641" customHeight="1" ht="18.75">
      <c r="A641" s="4" t="s">
        <v>29</v>
      </c>
      <c r="B641" s="16">
        <v>926237</v>
      </c>
      <c r="C641" s="16">
        <v>0</v>
      </c>
      <c r="D641" s="16">
        <v>1695223</v>
      </c>
      <c r="E641" s="16">
        <v>0</v>
      </c>
      <c r="F641" s="16">
        <v>74351</v>
      </c>
      <c r="G641" s="16"/>
      <c r="H641" s="16">
        <v>285425</v>
      </c>
      <c r="I641" s="16">
        <v>3547696</v>
      </c>
      <c r="J641" s="17">
        <v>165</v>
      </c>
      <c r="K641" s="17">
        <v>75</v>
      </c>
      <c r="L641" s="17">
        <v>43</v>
      </c>
    </row>
    <row x14ac:dyDescent="0.25" r="642" customHeight="1" ht="18.75">
      <c r="A642" s="4" t="s">
        <v>30</v>
      </c>
      <c r="B642" s="16">
        <v>173939</v>
      </c>
      <c r="C642" s="16">
        <v>0</v>
      </c>
      <c r="D642" s="16">
        <v>70339</v>
      </c>
      <c r="E642" s="16">
        <v>0</v>
      </c>
      <c r="F642" s="16">
        <v>125704</v>
      </c>
      <c r="G642" s="16"/>
      <c r="H642" s="16">
        <v>25925</v>
      </c>
      <c r="I642" s="16">
        <v>418217</v>
      </c>
      <c r="J642" s="17">
        <v>20</v>
      </c>
      <c r="K642" s="17">
        <v>6</v>
      </c>
      <c r="L642" s="17">
        <v>4</v>
      </c>
    </row>
    <row x14ac:dyDescent="0.25" r="643" customHeight="1" ht="18.75">
      <c r="A643" s="4" t="s">
        <v>31</v>
      </c>
      <c r="B643" s="16">
        <v>71179</v>
      </c>
      <c r="C643" s="16">
        <v>0</v>
      </c>
      <c r="D643" s="16">
        <v>679499</v>
      </c>
      <c r="E643" s="16">
        <v>0</v>
      </c>
      <c r="F643" s="16">
        <v>17817</v>
      </c>
      <c r="G643" s="16"/>
      <c r="H643" s="16">
        <v>82156</v>
      </c>
      <c r="I643" s="16">
        <v>826413</v>
      </c>
      <c r="J643" s="17">
        <v>20</v>
      </c>
      <c r="K643" s="17">
        <v>6</v>
      </c>
      <c r="L643" s="17">
        <v>12</v>
      </c>
    </row>
    <row x14ac:dyDescent="0.25" r="644" customHeight="1" ht="18.75">
      <c r="A644" s="4" t="s">
        <v>32</v>
      </c>
      <c r="B644" s="16">
        <v>3051516</v>
      </c>
      <c r="C644" s="16">
        <v>0</v>
      </c>
      <c r="D644" s="16">
        <v>3841154</v>
      </c>
      <c r="E644" s="16">
        <v>0</v>
      </c>
      <c r="F644" s="16">
        <v>129</v>
      </c>
      <c r="G644" s="16"/>
      <c r="H644" s="16">
        <v>2495723</v>
      </c>
      <c r="I644" s="16">
        <v>10397063</v>
      </c>
      <c r="J644" s="17">
        <v>693</v>
      </c>
      <c r="K644" s="17">
        <v>232</v>
      </c>
      <c r="L644" s="17">
        <v>135</v>
      </c>
    </row>
    <row x14ac:dyDescent="0.25" r="645" customHeight="1" ht="18.75">
      <c r="A645" s="4" t="s">
        <v>33</v>
      </c>
      <c r="B645" s="16">
        <v>6040</v>
      </c>
      <c r="C645" s="16">
        <v>0</v>
      </c>
      <c r="D645" s="16">
        <v>4268</v>
      </c>
      <c r="E645" s="16">
        <v>0</v>
      </c>
      <c r="F645" s="16">
        <v>0</v>
      </c>
      <c r="G645" s="16"/>
      <c r="H645" s="16">
        <v>71603</v>
      </c>
      <c r="I645" s="16">
        <v>16348</v>
      </c>
      <c r="J645" s="17">
        <v>36</v>
      </c>
      <c r="K645" s="17">
        <v>4</v>
      </c>
      <c r="L645" s="17">
        <v>4</v>
      </c>
    </row>
    <row x14ac:dyDescent="0.25" r="646" customHeight="1" ht="18.75">
      <c r="A646" s="4" t="s">
        <v>34</v>
      </c>
      <c r="B646" s="16">
        <v>412291</v>
      </c>
      <c r="C646" s="16">
        <v>0</v>
      </c>
      <c r="D646" s="16">
        <v>83456</v>
      </c>
      <c r="E646" s="16">
        <v>0</v>
      </c>
      <c r="F646" s="16">
        <v>0</v>
      </c>
      <c r="G646" s="16"/>
      <c r="H646" s="16">
        <v>270507</v>
      </c>
      <c r="I646" s="16">
        <v>908037</v>
      </c>
      <c r="J646" s="17">
        <v>68</v>
      </c>
      <c r="K646" s="17">
        <v>13</v>
      </c>
      <c r="L646" s="17">
        <v>15</v>
      </c>
    </row>
    <row x14ac:dyDescent="0.25" r="647" customHeight="1" ht="18.75">
      <c r="A647" s="4" t="s">
        <v>35</v>
      </c>
      <c r="B647" s="16">
        <v>5594</v>
      </c>
      <c r="C647" s="16">
        <v>0</v>
      </c>
      <c r="D647" s="16">
        <v>27262</v>
      </c>
      <c r="E647" s="16">
        <v>0</v>
      </c>
      <c r="F647" s="16">
        <v>0</v>
      </c>
      <c r="G647" s="16"/>
      <c r="H647" s="16">
        <v>9458</v>
      </c>
      <c r="I647" s="16">
        <v>38450</v>
      </c>
      <c r="J647" s="5"/>
      <c r="K647" s="17">
        <v>9</v>
      </c>
      <c r="L647" s="5"/>
    </row>
    <row x14ac:dyDescent="0.25" r="648" customHeight="1" ht="18.75">
      <c r="A648" s="2"/>
      <c r="B648" s="28"/>
      <c r="C648" s="28"/>
      <c r="D648" s="28"/>
      <c r="E648" s="28"/>
      <c r="F648" s="28"/>
      <c r="G648" s="28"/>
      <c r="H648" s="28"/>
      <c r="I648" s="28"/>
      <c r="J648" s="29"/>
      <c r="K648" s="29"/>
      <c r="L648" s="29"/>
    </row>
    <row x14ac:dyDescent="0.25" r="649" customHeight="1" ht="18.75">
      <c r="A649" s="30" t="s">
        <v>54</v>
      </c>
      <c r="B649" s="31" t="s">
        <v>4</v>
      </c>
      <c r="C649" s="31" t="s">
        <v>5</v>
      </c>
      <c r="D649" s="31" t="s">
        <v>6</v>
      </c>
      <c r="E649" s="31" t="s">
        <v>7</v>
      </c>
      <c r="F649" s="31" t="s">
        <v>8</v>
      </c>
      <c r="G649" s="31" t="s">
        <v>9</v>
      </c>
      <c r="H649" s="31" t="s">
        <v>10</v>
      </c>
      <c r="I649" s="31" t="s">
        <v>11</v>
      </c>
      <c r="J649" s="5" t="s">
        <v>12</v>
      </c>
      <c r="K649" s="5" t="s">
        <v>13</v>
      </c>
      <c r="L649" s="5" t="s">
        <v>14</v>
      </c>
    </row>
    <row x14ac:dyDescent="0.25" r="650" customHeight="1" ht="18.75">
      <c r="A650" s="6" t="s">
        <v>15</v>
      </c>
      <c r="B650" s="32" t="s">
        <v>16</v>
      </c>
      <c r="C650" s="33" t="s">
        <v>17</v>
      </c>
      <c r="D650" s="32" t="s">
        <v>18</v>
      </c>
      <c r="E650" s="32" t="s">
        <v>19</v>
      </c>
      <c r="F650" s="32" t="s">
        <v>20</v>
      </c>
      <c r="G650" s="32" t="s">
        <v>21</v>
      </c>
      <c r="H650" s="32" t="s">
        <v>22</v>
      </c>
      <c r="I650" s="33" t="s">
        <v>23</v>
      </c>
      <c r="J650" s="9" t="s">
        <v>24</v>
      </c>
      <c r="K650" s="10" t="s">
        <v>25</v>
      </c>
      <c r="L650" s="9" t="s">
        <v>26</v>
      </c>
    </row>
    <row x14ac:dyDescent="0.25" r="651" customHeight="1" ht="18.75">
      <c r="A651" s="11"/>
      <c r="B651" s="34"/>
      <c r="C651" s="35"/>
      <c r="D651" s="34"/>
      <c r="E651" s="34"/>
      <c r="F651" s="34"/>
      <c r="G651" s="34"/>
      <c r="H651" s="34"/>
      <c r="I651" s="35"/>
      <c r="J651" s="14"/>
      <c r="K651" s="15"/>
      <c r="L651" s="14"/>
    </row>
    <row x14ac:dyDescent="0.25" r="652" customHeight="1" ht="18.75">
      <c r="A652" s="4" t="s">
        <v>27</v>
      </c>
      <c r="B652" s="16">
        <v>189639</v>
      </c>
      <c r="C652" s="16">
        <v>0</v>
      </c>
      <c r="D652" s="16">
        <v>573891</v>
      </c>
      <c r="E652" s="16">
        <v>0</v>
      </c>
      <c r="F652" s="16">
        <v>0</v>
      </c>
      <c r="G652" s="16"/>
      <c r="H652" s="16">
        <v>235540</v>
      </c>
      <c r="I652" s="16">
        <v>953170</v>
      </c>
      <c r="J652" s="17">
        <v>80</v>
      </c>
      <c r="K652" s="17">
        <v>18</v>
      </c>
      <c r="L652" s="17">
        <v>27</v>
      </c>
    </row>
    <row x14ac:dyDescent="0.25" r="653" customHeight="1" ht="18.75">
      <c r="A653" s="4" t="s">
        <v>28</v>
      </c>
      <c r="B653" s="16">
        <v>416073</v>
      </c>
      <c r="C653" s="16">
        <v>0</v>
      </c>
      <c r="D653" s="16">
        <v>1544732</v>
      </c>
      <c r="E653" s="16">
        <v>0</v>
      </c>
      <c r="F653" s="16">
        <v>19236</v>
      </c>
      <c r="G653" s="16"/>
      <c r="H653" s="16">
        <v>136442</v>
      </c>
      <c r="I653" s="16">
        <v>2387450</v>
      </c>
      <c r="J653" s="17">
        <v>101</v>
      </c>
      <c r="K653" s="17">
        <v>96</v>
      </c>
      <c r="L653" s="17">
        <v>16</v>
      </c>
    </row>
    <row x14ac:dyDescent="0.25" r="654" customHeight="1" ht="18.75">
      <c r="A654" s="4" t="s">
        <v>29</v>
      </c>
      <c r="B654" s="16">
        <v>2624263</v>
      </c>
      <c r="C654" s="16">
        <v>0</v>
      </c>
      <c r="D654" s="16">
        <v>3942713</v>
      </c>
      <c r="E654" s="16">
        <v>0</v>
      </c>
      <c r="F654" s="16">
        <v>142266</v>
      </c>
      <c r="G654" s="16"/>
      <c r="H654" s="16">
        <v>733944</v>
      </c>
      <c r="I654" s="16">
        <v>9206103</v>
      </c>
      <c r="J654" s="17">
        <v>158</v>
      </c>
      <c r="K654" s="17">
        <v>82</v>
      </c>
      <c r="L654" s="17">
        <v>33</v>
      </c>
    </row>
    <row x14ac:dyDescent="0.25" r="655" customHeight="1" ht="18.75">
      <c r="A655" s="4" t="s">
        <v>30</v>
      </c>
      <c r="B655" s="16">
        <v>243250</v>
      </c>
      <c r="C655" s="16">
        <v>0</v>
      </c>
      <c r="D655" s="16">
        <v>179623</v>
      </c>
      <c r="E655" s="16">
        <v>0</v>
      </c>
      <c r="F655" s="16">
        <v>0</v>
      </c>
      <c r="G655" s="16"/>
      <c r="H655" s="16">
        <v>22382</v>
      </c>
      <c r="I655" s="16">
        <v>666123</v>
      </c>
      <c r="J655" s="17">
        <v>17</v>
      </c>
      <c r="K655" s="17">
        <v>3</v>
      </c>
      <c r="L655" s="17">
        <v>1</v>
      </c>
    </row>
    <row x14ac:dyDescent="0.25" r="656" customHeight="1" ht="18.75">
      <c r="A656" s="4" t="s">
        <v>31</v>
      </c>
      <c r="B656" s="16">
        <v>32444</v>
      </c>
      <c r="C656" s="16">
        <v>0</v>
      </c>
      <c r="D656" s="16">
        <v>276523</v>
      </c>
      <c r="E656" s="16">
        <v>0</v>
      </c>
      <c r="F656" s="16">
        <v>0</v>
      </c>
      <c r="G656" s="16"/>
      <c r="H656" s="16">
        <v>112331</v>
      </c>
      <c r="I656" s="16">
        <v>386771</v>
      </c>
      <c r="J656" s="17">
        <v>28</v>
      </c>
      <c r="K656" s="17">
        <v>15</v>
      </c>
      <c r="L656" s="17">
        <v>7</v>
      </c>
    </row>
    <row x14ac:dyDescent="0.25" r="657" customHeight="1" ht="18.75">
      <c r="A657" s="4" t="s">
        <v>32</v>
      </c>
      <c r="B657" s="16">
        <v>4140630</v>
      </c>
      <c r="C657" s="16">
        <v>0</v>
      </c>
      <c r="D657" s="16">
        <v>3633306</v>
      </c>
      <c r="E657" s="16">
        <v>0</v>
      </c>
      <c r="F657" s="16">
        <v>222602</v>
      </c>
      <c r="G657" s="16"/>
      <c r="H657" s="16">
        <v>2920157</v>
      </c>
      <c r="I657" s="16">
        <v>12558535</v>
      </c>
      <c r="J657" s="17">
        <v>703</v>
      </c>
      <c r="K657" s="17">
        <v>305</v>
      </c>
      <c r="L657" s="17">
        <v>176</v>
      </c>
    </row>
    <row x14ac:dyDescent="0.25" r="658" customHeight="1" ht="18.75">
      <c r="A658" s="4" t="s">
        <v>33</v>
      </c>
      <c r="B658" s="16">
        <v>32926</v>
      </c>
      <c r="C658" s="16">
        <v>0</v>
      </c>
      <c r="D658" s="16">
        <v>1425</v>
      </c>
      <c r="E658" s="16">
        <v>0</v>
      </c>
      <c r="F658" s="16">
        <v>0</v>
      </c>
      <c r="G658" s="16"/>
      <c r="H658" s="16">
        <v>143883</v>
      </c>
      <c r="I658" s="16">
        <v>67278</v>
      </c>
      <c r="J658" s="17">
        <v>48</v>
      </c>
      <c r="K658" s="17">
        <v>11</v>
      </c>
      <c r="L658" s="17">
        <v>4</v>
      </c>
    </row>
    <row x14ac:dyDescent="0.25" r="659" customHeight="1" ht="18.75">
      <c r="A659" s="4" t="s">
        <v>34</v>
      </c>
      <c r="B659" s="16">
        <v>754609</v>
      </c>
      <c r="C659" s="16">
        <v>0</v>
      </c>
      <c r="D659" s="16">
        <v>125713</v>
      </c>
      <c r="E659" s="16">
        <v>0</v>
      </c>
      <c r="F659" s="16">
        <v>0</v>
      </c>
      <c r="G659" s="16"/>
      <c r="H659" s="16">
        <v>509475</v>
      </c>
      <c r="I659" s="16">
        <v>1634932</v>
      </c>
      <c r="J659" s="17">
        <v>89</v>
      </c>
      <c r="K659" s="17">
        <v>45</v>
      </c>
      <c r="L659" s="17">
        <v>17</v>
      </c>
    </row>
    <row x14ac:dyDescent="0.25" r="660" customHeight="1" ht="18.75">
      <c r="A660" s="4" t="s">
        <v>35</v>
      </c>
      <c r="B660" s="16">
        <v>20227</v>
      </c>
      <c r="C660" s="16">
        <v>0</v>
      </c>
      <c r="D660" s="16">
        <v>26938</v>
      </c>
      <c r="E660" s="16">
        <v>0</v>
      </c>
      <c r="F660" s="16">
        <v>0</v>
      </c>
      <c r="G660" s="16"/>
      <c r="H660" s="16">
        <v>71452</v>
      </c>
      <c r="I660" s="16">
        <v>85713</v>
      </c>
      <c r="J660" s="5"/>
      <c r="K660" s="17">
        <v>16</v>
      </c>
      <c r="L660" s="5"/>
    </row>
    <row x14ac:dyDescent="0.25" r="661" customHeight="1" ht="18.75">
      <c r="A661" s="2"/>
      <c r="B661" s="28"/>
      <c r="C661" s="28"/>
      <c r="D661" s="28"/>
      <c r="E661" s="28"/>
      <c r="F661" s="28"/>
      <c r="G661" s="28"/>
      <c r="H661" s="28"/>
      <c r="I661" s="28"/>
      <c r="J661" s="29"/>
      <c r="K661" s="29"/>
      <c r="L661" s="29"/>
    </row>
    <row x14ac:dyDescent="0.25" r="662" customHeight="1" ht="18.75">
      <c r="A662" s="30" t="s">
        <v>65</v>
      </c>
      <c r="B662" s="31" t="s">
        <v>4</v>
      </c>
      <c r="C662" s="31" t="s">
        <v>5</v>
      </c>
      <c r="D662" s="31" t="s">
        <v>6</v>
      </c>
      <c r="E662" s="31" t="s">
        <v>7</v>
      </c>
      <c r="F662" s="31" t="s">
        <v>8</v>
      </c>
      <c r="G662" s="31" t="s">
        <v>9</v>
      </c>
      <c r="H662" s="31" t="s">
        <v>10</v>
      </c>
      <c r="I662" s="31" t="s">
        <v>11</v>
      </c>
      <c r="J662" s="5" t="s">
        <v>12</v>
      </c>
      <c r="K662" s="5" t="s">
        <v>13</v>
      </c>
      <c r="L662" s="5" t="s">
        <v>14</v>
      </c>
    </row>
    <row x14ac:dyDescent="0.25" r="663" customHeight="1" ht="18.75">
      <c r="A663" s="6" t="s">
        <v>15</v>
      </c>
      <c r="B663" s="32" t="s">
        <v>16</v>
      </c>
      <c r="C663" s="33" t="s">
        <v>17</v>
      </c>
      <c r="D663" s="32" t="s">
        <v>18</v>
      </c>
      <c r="E663" s="32" t="s">
        <v>19</v>
      </c>
      <c r="F663" s="32" t="s">
        <v>20</v>
      </c>
      <c r="G663" s="32" t="s">
        <v>21</v>
      </c>
      <c r="H663" s="32" t="s">
        <v>22</v>
      </c>
      <c r="I663" s="33" t="s">
        <v>23</v>
      </c>
      <c r="J663" s="9" t="s">
        <v>24</v>
      </c>
      <c r="K663" s="10" t="s">
        <v>25</v>
      </c>
      <c r="L663" s="9" t="s">
        <v>26</v>
      </c>
    </row>
    <row x14ac:dyDescent="0.25" r="664" customHeight="1" ht="18.75">
      <c r="A664" s="11"/>
      <c r="B664" s="34"/>
      <c r="C664" s="35"/>
      <c r="D664" s="34"/>
      <c r="E664" s="34"/>
      <c r="F664" s="34"/>
      <c r="G664" s="34"/>
      <c r="H664" s="34"/>
      <c r="I664" s="35"/>
      <c r="J664" s="14"/>
      <c r="K664" s="15"/>
      <c r="L664" s="14"/>
    </row>
    <row x14ac:dyDescent="0.25" r="665" customHeight="1" ht="18.75">
      <c r="A665" s="4" t="s">
        <v>27</v>
      </c>
      <c r="B665" s="16">
        <v>621974</v>
      </c>
      <c r="C665" s="16">
        <v>0</v>
      </c>
      <c r="D665" s="16">
        <v>440909</v>
      </c>
      <c r="E665" s="16">
        <v>0</v>
      </c>
      <c r="F665" s="16">
        <v>0</v>
      </c>
      <c r="G665" s="16"/>
      <c r="H665" s="16">
        <v>725933</v>
      </c>
      <c r="I665" s="16">
        <v>1684856</v>
      </c>
      <c r="J665" s="17">
        <v>50</v>
      </c>
      <c r="K665" s="17">
        <v>11</v>
      </c>
      <c r="L665" s="17">
        <v>13</v>
      </c>
    </row>
    <row x14ac:dyDescent="0.25" r="666" customHeight="1" ht="18.75">
      <c r="A666" s="4" t="s">
        <v>28</v>
      </c>
      <c r="B666" s="16">
        <v>475086</v>
      </c>
      <c r="C666" s="16">
        <v>0</v>
      </c>
      <c r="D666" s="16">
        <v>1284619</v>
      </c>
      <c r="E666" s="16">
        <v>0</v>
      </c>
      <c r="F666" s="16">
        <v>31999</v>
      </c>
      <c r="G666" s="16"/>
      <c r="H666" s="16">
        <v>192331</v>
      </c>
      <c r="I666" s="16">
        <v>2263052</v>
      </c>
      <c r="J666" s="17">
        <v>82</v>
      </c>
      <c r="K666" s="17">
        <v>50</v>
      </c>
      <c r="L666" s="17">
        <v>13</v>
      </c>
    </row>
    <row x14ac:dyDescent="0.25" r="667" customHeight="1" ht="18.75">
      <c r="A667" s="4" t="s">
        <v>29</v>
      </c>
      <c r="B667" s="16">
        <v>1210994</v>
      </c>
      <c r="C667" s="16">
        <v>0</v>
      </c>
      <c r="D667" s="16">
        <v>3549730</v>
      </c>
      <c r="E667" s="16">
        <v>0</v>
      </c>
      <c r="F667" s="16">
        <v>57253</v>
      </c>
      <c r="G667" s="16"/>
      <c r="H667" s="16">
        <v>966304</v>
      </c>
      <c r="I667" s="16">
        <v>5971717</v>
      </c>
      <c r="J667" s="17">
        <v>153</v>
      </c>
      <c r="K667" s="17">
        <v>57</v>
      </c>
      <c r="L667" s="17">
        <v>41</v>
      </c>
    </row>
    <row x14ac:dyDescent="0.25" r="668" customHeight="1" ht="18.75">
      <c r="A668" s="4" t="s">
        <v>30</v>
      </c>
      <c r="B668" s="16">
        <v>227149</v>
      </c>
      <c r="C668" s="16">
        <v>0</v>
      </c>
      <c r="D668" s="16">
        <v>680062</v>
      </c>
      <c r="E668" s="16">
        <v>0</v>
      </c>
      <c r="F668" s="16">
        <v>25114</v>
      </c>
      <c r="G668" s="16"/>
      <c r="H668" s="16">
        <v>33837</v>
      </c>
      <c r="I668" s="16">
        <v>1134359</v>
      </c>
      <c r="J668" s="17">
        <v>22</v>
      </c>
      <c r="K668" s="17">
        <v>4</v>
      </c>
      <c r="L668" s="17">
        <v>2</v>
      </c>
    </row>
    <row x14ac:dyDescent="0.25" r="669" customHeight="1" ht="18.75">
      <c r="A669" s="4" t="s">
        <v>31</v>
      </c>
      <c r="B669" s="16">
        <v>57482</v>
      </c>
      <c r="C669" s="16">
        <v>0</v>
      </c>
      <c r="D669" s="16">
        <v>786078</v>
      </c>
      <c r="E669" s="16">
        <v>0</v>
      </c>
      <c r="F669" s="16">
        <v>0</v>
      </c>
      <c r="G669" s="16"/>
      <c r="H669" s="16">
        <v>141539</v>
      </c>
      <c r="I669" s="16">
        <v>910732</v>
      </c>
      <c r="J669" s="17">
        <v>27</v>
      </c>
      <c r="K669" s="17">
        <v>9</v>
      </c>
      <c r="L669" s="17">
        <v>10</v>
      </c>
    </row>
    <row x14ac:dyDescent="0.25" r="670" customHeight="1" ht="18.75">
      <c r="A670" s="4" t="s">
        <v>32</v>
      </c>
      <c r="B670" s="16">
        <v>5049762</v>
      </c>
      <c r="C670" s="16">
        <v>0</v>
      </c>
      <c r="D670" s="16">
        <v>3255381</v>
      </c>
      <c r="E670" s="16">
        <v>0</v>
      </c>
      <c r="F670" s="16">
        <v>0</v>
      </c>
      <c r="G670" s="16"/>
      <c r="H670" s="16">
        <v>2888855</v>
      </c>
      <c r="I670" s="16">
        <v>13791876</v>
      </c>
      <c r="J670" s="17">
        <v>594</v>
      </c>
      <c r="K670" s="17">
        <v>210</v>
      </c>
      <c r="L670" s="17">
        <v>139</v>
      </c>
    </row>
    <row x14ac:dyDescent="0.25" r="671" customHeight="1" ht="18.75">
      <c r="A671" s="4" t="s">
        <v>33</v>
      </c>
      <c r="B671" s="16">
        <v>56482</v>
      </c>
      <c r="C671" s="16">
        <v>0</v>
      </c>
      <c r="D671" s="16">
        <v>2138</v>
      </c>
      <c r="E671" s="16">
        <v>0</v>
      </c>
      <c r="F671" s="16">
        <v>0</v>
      </c>
      <c r="G671" s="16"/>
      <c r="H671" s="16">
        <v>116418</v>
      </c>
      <c r="I671" s="16">
        <v>115101</v>
      </c>
      <c r="J671" s="17">
        <v>14</v>
      </c>
      <c r="K671" s="17">
        <v>13</v>
      </c>
      <c r="L671" s="17">
        <v>5</v>
      </c>
    </row>
    <row x14ac:dyDescent="0.25" r="672" customHeight="1" ht="18.75">
      <c r="A672" s="4" t="s">
        <v>34</v>
      </c>
      <c r="B672" s="16">
        <v>815863</v>
      </c>
      <c r="C672" s="16">
        <v>0</v>
      </c>
      <c r="D672" s="16">
        <v>98115</v>
      </c>
      <c r="E672" s="16">
        <v>0</v>
      </c>
      <c r="F672" s="16">
        <v>0</v>
      </c>
      <c r="G672" s="16"/>
      <c r="H672" s="16">
        <v>413489</v>
      </c>
      <c r="I672" s="16">
        <v>1729841</v>
      </c>
      <c r="J672" s="17">
        <v>62</v>
      </c>
      <c r="K672" s="17">
        <v>23</v>
      </c>
      <c r="L672" s="17">
        <v>12</v>
      </c>
    </row>
    <row x14ac:dyDescent="0.25" r="673" customHeight="1" ht="18.75">
      <c r="A673" s="4" t="s">
        <v>35</v>
      </c>
      <c r="B673" s="16">
        <v>238078</v>
      </c>
      <c r="C673" s="16">
        <v>0</v>
      </c>
      <c r="D673" s="16">
        <v>122593</v>
      </c>
      <c r="E673" s="16">
        <v>0</v>
      </c>
      <c r="F673" s="16">
        <v>0</v>
      </c>
      <c r="G673" s="16"/>
      <c r="H673" s="16">
        <v>79610</v>
      </c>
      <c r="I673" s="16">
        <v>615777</v>
      </c>
      <c r="J673" s="5"/>
      <c r="K673" s="17">
        <v>8</v>
      </c>
      <c r="L673" s="5"/>
    </row>
    <row x14ac:dyDescent="0.25" r="674" customHeight="1" ht="18.75">
      <c r="A674" s="2"/>
      <c r="B674" s="28"/>
      <c r="C674" s="28"/>
      <c r="D674" s="28"/>
      <c r="E674" s="28"/>
      <c r="F674" s="28"/>
      <c r="G674" s="28"/>
      <c r="H674" s="28"/>
      <c r="I674" s="28"/>
      <c r="J674" s="29"/>
      <c r="K674" s="29"/>
      <c r="L674" s="29"/>
    </row>
    <row x14ac:dyDescent="0.25" r="675" customHeight="1" ht="18.75">
      <c r="A675" s="30" t="s">
        <v>56</v>
      </c>
      <c r="B675" s="31" t="s">
        <v>4</v>
      </c>
      <c r="C675" s="31" t="s">
        <v>5</v>
      </c>
      <c r="D675" s="31" t="s">
        <v>6</v>
      </c>
      <c r="E675" s="31" t="s">
        <v>7</v>
      </c>
      <c r="F675" s="31" t="s">
        <v>8</v>
      </c>
      <c r="G675" s="31" t="s">
        <v>9</v>
      </c>
      <c r="H675" s="31" t="s">
        <v>10</v>
      </c>
      <c r="I675" s="31" t="s">
        <v>11</v>
      </c>
      <c r="J675" s="5" t="s">
        <v>12</v>
      </c>
      <c r="K675" s="5" t="s">
        <v>13</v>
      </c>
      <c r="L675" s="5" t="s">
        <v>14</v>
      </c>
    </row>
    <row x14ac:dyDescent="0.25" r="676" customHeight="1" ht="18.75">
      <c r="A676" s="6" t="s">
        <v>15</v>
      </c>
      <c r="B676" s="32" t="s">
        <v>16</v>
      </c>
      <c r="C676" s="33" t="s">
        <v>17</v>
      </c>
      <c r="D676" s="32" t="s">
        <v>18</v>
      </c>
      <c r="E676" s="32" t="s">
        <v>19</v>
      </c>
      <c r="F676" s="32" t="s">
        <v>20</v>
      </c>
      <c r="G676" s="32" t="s">
        <v>21</v>
      </c>
      <c r="H676" s="32" t="s">
        <v>22</v>
      </c>
      <c r="I676" s="33" t="s">
        <v>23</v>
      </c>
      <c r="J676" s="9" t="s">
        <v>24</v>
      </c>
      <c r="K676" s="10" t="s">
        <v>25</v>
      </c>
      <c r="L676" s="9" t="s">
        <v>26</v>
      </c>
    </row>
    <row x14ac:dyDescent="0.25" r="677" customHeight="1" ht="18.75">
      <c r="A677" s="11"/>
      <c r="B677" s="34"/>
      <c r="C677" s="35"/>
      <c r="D677" s="34"/>
      <c r="E677" s="34"/>
      <c r="F677" s="34"/>
      <c r="G677" s="34"/>
      <c r="H677" s="34"/>
      <c r="I677" s="35"/>
      <c r="J677" s="14"/>
      <c r="K677" s="15"/>
      <c r="L677" s="14"/>
    </row>
    <row x14ac:dyDescent="0.25" r="678" customHeight="1" ht="18.75">
      <c r="A678" s="4" t="s">
        <v>27</v>
      </c>
      <c r="B678" s="16">
        <v>597540</v>
      </c>
      <c r="C678" s="16">
        <v>0</v>
      </c>
      <c r="D678" s="16">
        <v>133728</v>
      </c>
      <c r="E678" s="16">
        <v>0</v>
      </c>
      <c r="F678" s="16">
        <v>0</v>
      </c>
      <c r="G678" s="16"/>
      <c r="H678" s="16">
        <v>315515</v>
      </c>
      <c r="I678" s="16">
        <v>1332762</v>
      </c>
      <c r="J678" s="17">
        <v>45</v>
      </c>
      <c r="K678" s="17">
        <v>10</v>
      </c>
      <c r="L678" s="17">
        <v>17</v>
      </c>
    </row>
    <row x14ac:dyDescent="0.25" r="679" customHeight="1" ht="18.75">
      <c r="A679" s="4" t="s">
        <v>28</v>
      </c>
      <c r="B679" s="16">
        <v>282478</v>
      </c>
      <c r="C679" s="16">
        <v>0</v>
      </c>
      <c r="D679" s="16">
        <v>1448202</v>
      </c>
      <c r="E679" s="16">
        <v>0</v>
      </c>
      <c r="F679" s="16">
        <v>44266</v>
      </c>
      <c r="G679" s="16"/>
      <c r="H679" s="16">
        <v>97449</v>
      </c>
      <c r="I679" s="16">
        <v>2013157</v>
      </c>
      <c r="J679" s="17">
        <v>87</v>
      </c>
      <c r="K679" s="17">
        <v>49</v>
      </c>
      <c r="L679" s="17">
        <v>7</v>
      </c>
    </row>
    <row x14ac:dyDescent="0.25" r="680" customHeight="1" ht="18.75">
      <c r="A680" s="4" t="s">
        <v>29</v>
      </c>
      <c r="B680" s="16">
        <v>912145</v>
      </c>
      <c r="C680" s="16">
        <v>0</v>
      </c>
      <c r="D680" s="16">
        <v>2467543</v>
      </c>
      <c r="E680" s="16">
        <v>0</v>
      </c>
      <c r="F680" s="16">
        <v>211990</v>
      </c>
      <c r="G680" s="16"/>
      <c r="H680" s="16">
        <v>239507</v>
      </c>
      <c r="I680" s="16">
        <v>4291833</v>
      </c>
      <c r="J680" s="17">
        <v>142</v>
      </c>
      <c r="K680" s="17">
        <v>67</v>
      </c>
      <c r="L680" s="17">
        <v>36</v>
      </c>
    </row>
    <row x14ac:dyDescent="0.25" r="681" customHeight="1" ht="18.75">
      <c r="A681" s="4" t="s">
        <v>30</v>
      </c>
      <c r="B681" s="16">
        <v>60474</v>
      </c>
      <c r="C681" s="16">
        <v>0</v>
      </c>
      <c r="D681" s="16">
        <v>213612</v>
      </c>
      <c r="E681" s="16">
        <v>0</v>
      </c>
      <c r="F681" s="16">
        <v>0</v>
      </c>
      <c r="G681" s="16"/>
      <c r="H681" s="16">
        <v>23507</v>
      </c>
      <c r="I681" s="16">
        <v>334561</v>
      </c>
      <c r="J681" s="17">
        <v>16</v>
      </c>
      <c r="K681" s="17">
        <v>3</v>
      </c>
      <c r="L681" s="17">
        <v>2</v>
      </c>
    </row>
    <row x14ac:dyDescent="0.25" r="682" customHeight="1" ht="18.75">
      <c r="A682" s="4" t="s">
        <v>31</v>
      </c>
      <c r="B682" s="16">
        <v>550504</v>
      </c>
      <c r="C682" s="16">
        <v>0</v>
      </c>
      <c r="D682" s="16">
        <v>1005291</v>
      </c>
      <c r="E682" s="16">
        <v>0</v>
      </c>
      <c r="F682" s="16">
        <v>21042</v>
      </c>
      <c r="G682" s="16"/>
      <c r="H682" s="16">
        <v>203461</v>
      </c>
      <c r="I682" s="16">
        <v>2112693</v>
      </c>
      <c r="J682" s="17">
        <v>18</v>
      </c>
      <c r="K682" s="17">
        <v>6</v>
      </c>
      <c r="L682" s="17">
        <v>7</v>
      </c>
    </row>
    <row x14ac:dyDescent="0.25" r="683" customHeight="1" ht="18.75">
      <c r="A683" s="4" t="s">
        <v>32</v>
      </c>
      <c r="B683" s="16">
        <v>3610321</v>
      </c>
      <c r="C683" s="16">
        <v>0</v>
      </c>
      <c r="D683" s="16">
        <v>3250209</v>
      </c>
      <c r="E683" s="16">
        <v>0</v>
      </c>
      <c r="F683" s="16">
        <v>1106853</v>
      </c>
      <c r="G683" s="16"/>
      <c r="H683" s="16">
        <v>3164357</v>
      </c>
      <c r="I683" s="16">
        <v>11399407</v>
      </c>
      <c r="J683" s="17">
        <v>611</v>
      </c>
      <c r="K683" s="17">
        <v>270</v>
      </c>
      <c r="L683" s="17">
        <v>150</v>
      </c>
    </row>
    <row x14ac:dyDescent="0.25" r="684" customHeight="1" ht="18.75">
      <c r="A684" s="4" t="s">
        <v>33</v>
      </c>
      <c r="B684" s="16">
        <v>18273</v>
      </c>
      <c r="C684" s="16">
        <v>0</v>
      </c>
      <c r="D684" s="16">
        <v>3594</v>
      </c>
      <c r="E684" s="16">
        <v>0</v>
      </c>
      <c r="F684" s="16">
        <v>0</v>
      </c>
      <c r="G684" s="16"/>
      <c r="H684" s="16">
        <v>89982</v>
      </c>
      <c r="I684" s="16">
        <v>40139</v>
      </c>
      <c r="J684" s="17">
        <v>14</v>
      </c>
      <c r="K684" s="17">
        <v>17</v>
      </c>
      <c r="L684" s="17">
        <v>3</v>
      </c>
    </row>
    <row x14ac:dyDescent="0.25" r="685" customHeight="1" ht="18.75">
      <c r="A685" s="4" t="s">
        <v>34</v>
      </c>
      <c r="B685" s="16">
        <v>476698</v>
      </c>
      <c r="C685" s="16">
        <v>0</v>
      </c>
      <c r="D685" s="16">
        <v>73843</v>
      </c>
      <c r="E685" s="16">
        <v>0</v>
      </c>
      <c r="F685" s="16">
        <v>0</v>
      </c>
      <c r="G685" s="16"/>
      <c r="H685" s="16">
        <v>318535</v>
      </c>
      <c r="I685" s="16">
        <v>1027240</v>
      </c>
      <c r="J685" s="17">
        <v>68</v>
      </c>
      <c r="K685" s="17">
        <v>37</v>
      </c>
      <c r="L685" s="17">
        <v>10</v>
      </c>
    </row>
    <row x14ac:dyDescent="0.25" r="686" customHeight="1" ht="18.75">
      <c r="A686" s="4" t="s">
        <v>35</v>
      </c>
      <c r="B686" s="16">
        <v>0</v>
      </c>
      <c r="C686" s="16">
        <v>0</v>
      </c>
      <c r="D686" s="16">
        <v>0</v>
      </c>
      <c r="E686" s="16">
        <v>0</v>
      </c>
      <c r="F686" s="16">
        <v>0</v>
      </c>
      <c r="G686" s="16"/>
      <c r="H686" s="16">
        <v>25567</v>
      </c>
      <c r="I686" s="16">
        <v>27160</v>
      </c>
      <c r="J686" s="5"/>
      <c r="K686" s="17">
        <v>8</v>
      </c>
      <c r="L686" s="5"/>
    </row>
    <row x14ac:dyDescent="0.25" r="687" customHeight="1" ht="18.75">
      <c r="A687" s="2"/>
      <c r="B687" s="28"/>
      <c r="C687" s="28"/>
      <c r="D687" s="28"/>
      <c r="E687" s="28"/>
      <c r="F687" s="28"/>
      <c r="G687" s="28"/>
      <c r="H687" s="28"/>
      <c r="I687" s="28"/>
      <c r="J687" s="29"/>
      <c r="K687" s="29"/>
      <c r="L687" s="29"/>
    </row>
    <row x14ac:dyDescent="0.25" r="688" customHeight="1" ht="18.75">
      <c r="A688" s="30" t="s">
        <v>57</v>
      </c>
      <c r="B688" s="31" t="s">
        <v>4</v>
      </c>
      <c r="C688" s="31" t="s">
        <v>5</v>
      </c>
      <c r="D688" s="31" t="s">
        <v>6</v>
      </c>
      <c r="E688" s="31" t="s">
        <v>7</v>
      </c>
      <c r="F688" s="31" t="s">
        <v>8</v>
      </c>
      <c r="G688" s="31" t="s">
        <v>9</v>
      </c>
      <c r="H688" s="31" t="s">
        <v>10</v>
      </c>
      <c r="I688" s="31" t="s">
        <v>11</v>
      </c>
      <c r="J688" s="5" t="s">
        <v>12</v>
      </c>
      <c r="K688" s="5" t="s">
        <v>13</v>
      </c>
      <c r="L688" s="5" t="s">
        <v>14</v>
      </c>
    </row>
    <row x14ac:dyDescent="0.25" r="689" customHeight="1" ht="18.75">
      <c r="A689" s="6" t="s">
        <v>15</v>
      </c>
      <c r="B689" s="32" t="s">
        <v>16</v>
      </c>
      <c r="C689" s="33" t="s">
        <v>17</v>
      </c>
      <c r="D689" s="32" t="s">
        <v>18</v>
      </c>
      <c r="E689" s="32" t="s">
        <v>19</v>
      </c>
      <c r="F689" s="32" t="s">
        <v>20</v>
      </c>
      <c r="G689" s="32" t="s">
        <v>21</v>
      </c>
      <c r="H689" s="32" t="s">
        <v>22</v>
      </c>
      <c r="I689" s="33" t="s">
        <v>23</v>
      </c>
      <c r="J689" s="9" t="s">
        <v>24</v>
      </c>
      <c r="K689" s="10" t="s">
        <v>25</v>
      </c>
      <c r="L689" s="9" t="s">
        <v>26</v>
      </c>
    </row>
    <row x14ac:dyDescent="0.25" r="690" customHeight="1" ht="18.75">
      <c r="A690" s="11"/>
      <c r="B690" s="34"/>
      <c r="C690" s="35"/>
      <c r="D690" s="34"/>
      <c r="E690" s="34"/>
      <c r="F690" s="34"/>
      <c r="G690" s="34"/>
      <c r="H690" s="34"/>
      <c r="I690" s="35"/>
      <c r="J690" s="14"/>
      <c r="K690" s="15"/>
      <c r="L690" s="14"/>
    </row>
    <row x14ac:dyDescent="0.25" r="691" customHeight="1" ht="18.75">
      <c r="A691" s="4" t="s">
        <v>27</v>
      </c>
      <c r="B691" s="16">
        <v>3715988</v>
      </c>
      <c r="C691" s="16">
        <v>0</v>
      </c>
      <c r="D691" s="16">
        <v>3544901</v>
      </c>
      <c r="E691" s="16">
        <v>0</v>
      </c>
      <c r="F691" s="16">
        <v>2503</v>
      </c>
      <c r="G691" s="16"/>
      <c r="H691" s="16">
        <v>3559648</v>
      </c>
      <c r="I691" s="16">
        <v>10980832</v>
      </c>
      <c r="J691" s="17">
        <v>816</v>
      </c>
      <c r="K691" s="17">
        <v>109</v>
      </c>
      <c r="L691" s="17">
        <v>225</v>
      </c>
    </row>
    <row x14ac:dyDescent="0.25" r="692" customHeight="1" ht="18.75">
      <c r="A692" s="4" t="s">
        <v>28</v>
      </c>
      <c r="B692" s="16">
        <v>5362709</v>
      </c>
      <c r="C692" s="16">
        <v>0</v>
      </c>
      <c r="D692" s="16">
        <v>19292851</v>
      </c>
      <c r="E692" s="16">
        <v>0</v>
      </c>
      <c r="F692" s="16">
        <v>364143</v>
      </c>
      <c r="G692" s="16"/>
      <c r="H692" s="16">
        <v>1529134</v>
      </c>
      <c r="I692" s="16">
        <v>30178465</v>
      </c>
      <c r="J692" s="17">
        <v>1063</v>
      </c>
      <c r="K692" s="17">
        <v>685</v>
      </c>
      <c r="L692" s="17">
        <v>138</v>
      </c>
    </row>
    <row x14ac:dyDescent="0.25" r="693" customHeight="1" ht="18.75">
      <c r="A693" s="4" t="s">
        <v>29</v>
      </c>
      <c r="B693" s="16">
        <v>16740746</v>
      </c>
      <c r="C693" s="16">
        <v>0</v>
      </c>
      <c r="D693" s="16">
        <v>28897176</v>
      </c>
      <c r="E693" s="16">
        <v>0</v>
      </c>
      <c r="F693" s="16">
        <v>1907542</v>
      </c>
      <c r="G693" s="16"/>
      <c r="H693" s="16">
        <v>6391071</v>
      </c>
      <c r="I693" s="16">
        <v>62406947</v>
      </c>
      <c r="J693" s="17">
        <v>1977</v>
      </c>
      <c r="K693" s="17">
        <v>786</v>
      </c>
      <c r="L693" s="17">
        <v>491</v>
      </c>
    </row>
    <row x14ac:dyDescent="0.25" r="694" customHeight="1" ht="18.75">
      <c r="A694" s="4" t="s">
        <v>30</v>
      </c>
      <c r="B694" s="16">
        <v>2284963</v>
      </c>
      <c r="C694" s="16">
        <v>0</v>
      </c>
      <c r="D694" s="16">
        <v>3607400</v>
      </c>
      <c r="E694" s="16">
        <v>0</v>
      </c>
      <c r="F694" s="16">
        <v>182535</v>
      </c>
      <c r="G694" s="16"/>
      <c r="H694" s="16">
        <v>365222</v>
      </c>
      <c r="I694" s="16">
        <v>8177579</v>
      </c>
      <c r="J694" s="17">
        <v>240</v>
      </c>
      <c r="K694" s="17">
        <v>51</v>
      </c>
      <c r="L694" s="17">
        <v>51</v>
      </c>
    </row>
    <row x14ac:dyDescent="0.25" r="695" customHeight="1" ht="18.75">
      <c r="A695" s="4" t="s">
        <v>31</v>
      </c>
      <c r="B695" s="16">
        <v>4591132</v>
      </c>
      <c r="C695" s="16">
        <v>0</v>
      </c>
      <c r="D695" s="16">
        <v>7520246</v>
      </c>
      <c r="E695" s="16">
        <v>0</v>
      </c>
      <c r="F695" s="16">
        <v>163244</v>
      </c>
      <c r="G695" s="16"/>
      <c r="H695" s="16">
        <v>2281390</v>
      </c>
      <c r="I695" s="16">
        <v>16890952</v>
      </c>
      <c r="J695" s="17">
        <v>277</v>
      </c>
      <c r="K695" s="17">
        <v>81</v>
      </c>
      <c r="L695" s="17">
        <v>120</v>
      </c>
    </row>
    <row x14ac:dyDescent="0.25" r="696" customHeight="1" ht="18.75">
      <c r="A696" s="4" t="s">
        <v>32</v>
      </c>
      <c r="B696" s="16">
        <v>37028552</v>
      </c>
      <c r="C696" s="16">
        <v>0</v>
      </c>
      <c r="D696" s="16">
        <v>38447920</v>
      </c>
      <c r="E696" s="16">
        <v>0</v>
      </c>
      <c r="F696" s="16">
        <v>1691564</v>
      </c>
      <c r="G696" s="16"/>
      <c r="H696" s="16">
        <v>32169316</v>
      </c>
      <c r="I696" s="16">
        <v>120861380</v>
      </c>
      <c r="J696" s="17">
        <v>7661</v>
      </c>
      <c r="K696" s="17">
        <v>2510</v>
      </c>
      <c r="L696" s="17">
        <v>1715</v>
      </c>
    </row>
    <row x14ac:dyDescent="0.25" r="697" customHeight="1" ht="18.75">
      <c r="A697" s="4" t="s">
        <v>33</v>
      </c>
      <c r="B697" s="16">
        <v>219390</v>
      </c>
      <c r="C697" s="16">
        <v>0</v>
      </c>
      <c r="D697" s="16">
        <v>36374</v>
      </c>
      <c r="E697" s="16">
        <v>0</v>
      </c>
      <c r="F697" s="16">
        <v>3862</v>
      </c>
      <c r="G697" s="16"/>
      <c r="H697" s="16">
        <v>1650464</v>
      </c>
      <c r="I697" s="16">
        <v>475155</v>
      </c>
      <c r="J697" s="17">
        <v>270</v>
      </c>
      <c r="K697" s="17">
        <v>92</v>
      </c>
      <c r="L697" s="17">
        <v>72</v>
      </c>
    </row>
    <row x14ac:dyDescent="0.25" r="698" customHeight="1" ht="18.75">
      <c r="A698" s="4" t="s">
        <v>34</v>
      </c>
      <c r="B698" s="16">
        <v>10347231</v>
      </c>
      <c r="C698" s="16">
        <v>0</v>
      </c>
      <c r="D698" s="16">
        <v>825768</v>
      </c>
      <c r="E698" s="16">
        <v>0</v>
      </c>
      <c r="F698" s="16">
        <v>0</v>
      </c>
      <c r="G698" s="16"/>
      <c r="H698" s="16">
        <v>5072470</v>
      </c>
      <c r="I698" s="16">
        <v>21520229</v>
      </c>
      <c r="J698" s="17">
        <v>1050</v>
      </c>
      <c r="K698" s="17">
        <v>224</v>
      </c>
      <c r="L698" s="17">
        <v>181</v>
      </c>
    </row>
    <row x14ac:dyDescent="0.25" r="699" customHeight="1" ht="18.75">
      <c r="A699" s="4" t="s">
        <v>35</v>
      </c>
      <c r="B699" s="16">
        <v>658938</v>
      </c>
      <c r="C699" s="16">
        <v>0</v>
      </c>
      <c r="D699" s="16">
        <v>1353730</v>
      </c>
      <c r="E699" s="16">
        <v>0</v>
      </c>
      <c r="F699" s="16">
        <v>23721</v>
      </c>
      <c r="G699" s="16"/>
      <c r="H699" s="16">
        <v>635943</v>
      </c>
      <c r="I699" s="16">
        <v>2894148</v>
      </c>
      <c r="J699" s="17">
        <v>0</v>
      </c>
      <c r="K699" s="17">
        <v>98</v>
      </c>
      <c r="L699" s="17">
        <v>0</v>
      </c>
    </row>
    <row x14ac:dyDescent="0.25" r="700" customHeight="1" ht="18.75">
      <c r="A700" s="2"/>
      <c r="B700" s="28"/>
      <c r="C700" s="28"/>
      <c r="D700" s="28"/>
      <c r="E700" s="28"/>
      <c r="F700" s="28"/>
      <c r="G700" s="28"/>
      <c r="H700" s="28"/>
      <c r="I700" s="28"/>
      <c r="J700" s="29"/>
      <c r="K700" s="29"/>
      <c r="L700" s="29"/>
    </row>
    <row x14ac:dyDescent="0.25" r="701" customHeight="1" ht="18.75">
      <c r="A701" s="2"/>
      <c r="B701" s="28"/>
      <c r="C701" s="28"/>
      <c r="D701" s="28"/>
      <c r="E701" s="28"/>
      <c r="F701" s="28"/>
      <c r="G701" s="28"/>
      <c r="H701" s="28"/>
      <c r="I701" s="28"/>
      <c r="J701" s="29"/>
      <c r="K701" s="29"/>
      <c r="L701" s="29"/>
    </row>
  </sheetData>
  <mergeCells count="624"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L21:L22"/>
    <mergeCell ref="A34:A35"/>
    <mergeCell ref="B34:B35"/>
    <mergeCell ref="C34:C35"/>
    <mergeCell ref="D34:D35"/>
    <mergeCell ref="E34:E35"/>
    <mergeCell ref="F34:F35"/>
    <mergeCell ref="G34:G35"/>
    <mergeCell ref="H34:H35"/>
    <mergeCell ref="I34:I35"/>
    <mergeCell ref="J34:J35"/>
    <mergeCell ref="K34:K35"/>
    <mergeCell ref="L34:L35"/>
    <mergeCell ref="A47:A48"/>
    <mergeCell ref="B47:B48"/>
    <mergeCell ref="C47:C48"/>
    <mergeCell ref="D47:D48"/>
    <mergeCell ref="E47:E48"/>
    <mergeCell ref="F47:F48"/>
    <mergeCell ref="G47:G48"/>
    <mergeCell ref="H47:H48"/>
    <mergeCell ref="I47:I48"/>
    <mergeCell ref="J47:J48"/>
    <mergeCell ref="K47:K48"/>
    <mergeCell ref="L47:L48"/>
    <mergeCell ref="A60:A61"/>
    <mergeCell ref="B60:B61"/>
    <mergeCell ref="C60:C61"/>
    <mergeCell ref="D60:D61"/>
    <mergeCell ref="E60:E61"/>
    <mergeCell ref="F60:F61"/>
    <mergeCell ref="G60:G61"/>
    <mergeCell ref="H60:H61"/>
    <mergeCell ref="I60:I61"/>
    <mergeCell ref="J60:J61"/>
    <mergeCell ref="K60:K61"/>
    <mergeCell ref="L60:L61"/>
    <mergeCell ref="A73:A74"/>
    <mergeCell ref="B73:B74"/>
    <mergeCell ref="C73:C74"/>
    <mergeCell ref="D73:D74"/>
    <mergeCell ref="E73:E74"/>
    <mergeCell ref="F73:F74"/>
    <mergeCell ref="G73:G74"/>
    <mergeCell ref="H73:H74"/>
    <mergeCell ref="I73:I74"/>
    <mergeCell ref="J73:J74"/>
    <mergeCell ref="K73:K74"/>
    <mergeCell ref="L73:L74"/>
    <mergeCell ref="A86:A87"/>
    <mergeCell ref="B86:B87"/>
    <mergeCell ref="C86:C87"/>
    <mergeCell ref="D86:D87"/>
    <mergeCell ref="E86:E87"/>
    <mergeCell ref="F86:F87"/>
    <mergeCell ref="G86:G87"/>
    <mergeCell ref="H86:H87"/>
    <mergeCell ref="I86:I87"/>
    <mergeCell ref="J86:J87"/>
    <mergeCell ref="K86:K87"/>
    <mergeCell ref="L86:L87"/>
    <mergeCell ref="A99:A100"/>
    <mergeCell ref="B99:B100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A112:A113"/>
    <mergeCell ref="B112:B113"/>
    <mergeCell ref="C112:C113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L112:L113"/>
    <mergeCell ref="A125:A126"/>
    <mergeCell ref="B125:B126"/>
    <mergeCell ref="C125:C126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L125:L126"/>
    <mergeCell ref="A138:A139"/>
    <mergeCell ref="B138:B139"/>
    <mergeCell ref="C138:C139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L138:L139"/>
    <mergeCell ref="A151:A152"/>
    <mergeCell ref="B151:B152"/>
    <mergeCell ref="C151:C152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L151:L152"/>
    <mergeCell ref="A164:A165"/>
    <mergeCell ref="B164:B165"/>
    <mergeCell ref="C164:C165"/>
    <mergeCell ref="D164:D165"/>
    <mergeCell ref="E164:E165"/>
    <mergeCell ref="F164:F165"/>
    <mergeCell ref="G164:G165"/>
    <mergeCell ref="H164:H165"/>
    <mergeCell ref="I164:I165"/>
    <mergeCell ref="J164:J165"/>
    <mergeCell ref="K164:K165"/>
    <mergeCell ref="L164:L165"/>
    <mergeCell ref="A183:A184"/>
    <mergeCell ref="B183:B184"/>
    <mergeCell ref="C183:C184"/>
    <mergeCell ref="D183:D184"/>
    <mergeCell ref="E183:E184"/>
    <mergeCell ref="F183:F184"/>
    <mergeCell ref="G183:G184"/>
    <mergeCell ref="H183:H184"/>
    <mergeCell ref="I183:I184"/>
    <mergeCell ref="J183:J184"/>
    <mergeCell ref="K183:K184"/>
    <mergeCell ref="L183:L184"/>
    <mergeCell ref="A196:A197"/>
    <mergeCell ref="B196:B197"/>
    <mergeCell ref="C196:C197"/>
    <mergeCell ref="D196:D197"/>
    <mergeCell ref="E196:E197"/>
    <mergeCell ref="F196:F197"/>
    <mergeCell ref="G196:G197"/>
    <mergeCell ref="H196:H197"/>
    <mergeCell ref="I196:I197"/>
    <mergeCell ref="J196:J197"/>
    <mergeCell ref="K196:K197"/>
    <mergeCell ref="L196:L197"/>
    <mergeCell ref="A209:A210"/>
    <mergeCell ref="B209:B210"/>
    <mergeCell ref="C209:C210"/>
    <mergeCell ref="D209:D210"/>
    <mergeCell ref="E209:E210"/>
    <mergeCell ref="F209:F210"/>
    <mergeCell ref="G209:G210"/>
    <mergeCell ref="H209:H210"/>
    <mergeCell ref="I209:I210"/>
    <mergeCell ref="J209:J210"/>
    <mergeCell ref="K209:K210"/>
    <mergeCell ref="L209:L210"/>
    <mergeCell ref="A222:A223"/>
    <mergeCell ref="B222:B223"/>
    <mergeCell ref="C222:C223"/>
    <mergeCell ref="D222:D223"/>
    <mergeCell ref="E222:E223"/>
    <mergeCell ref="F222:F223"/>
    <mergeCell ref="G222:G223"/>
    <mergeCell ref="H222:H223"/>
    <mergeCell ref="I222:I223"/>
    <mergeCell ref="J222:J223"/>
    <mergeCell ref="K222:K223"/>
    <mergeCell ref="L222:L223"/>
    <mergeCell ref="A235:A236"/>
    <mergeCell ref="B235:B236"/>
    <mergeCell ref="C235:C236"/>
    <mergeCell ref="D235:D236"/>
    <mergeCell ref="E235:E236"/>
    <mergeCell ref="F235:F236"/>
    <mergeCell ref="G235:G236"/>
    <mergeCell ref="H235:H236"/>
    <mergeCell ref="I235:I236"/>
    <mergeCell ref="J235:J236"/>
    <mergeCell ref="K235:K236"/>
    <mergeCell ref="L235:L236"/>
    <mergeCell ref="A248:A249"/>
    <mergeCell ref="B248:B249"/>
    <mergeCell ref="C248:C249"/>
    <mergeCell ref="D248:D249"/>
    <mergeCell ref="E248:E249"/>
    <mergeCell ref="F248:F249"/>
    <mergeCell ref="G248:G249"/>
    <mergeCell ref="H248:H249"/>
    <mergeCell ref="I248:I249"/>
    <mergeCell ref="J248:J249"/>
    <mergeCell ref="K248:K249"/>
    <mergeCell ref="L248:L249"/>
    <mergeCell ref="A261:A262"/>
    <mergeCell ref="B261:B262"/>
    <mergeCell ref="C261:C262"/>
    <mergeCell ref="D261:D262"/>
    <mergeCell ref="E261:E262"/>
    <mergeCell ref="F261:F262"/>
    <mergeCell ref="G261:G262"/>
    <mergeCell ref="H261:H262"/>
    <mergeCell ref="I261:I262"/>
    <mergeCell ref="J261:J262"/>
    <mergeCell ref="K261:K262"/>
    <mergeCell ref="L261:L262"/>
    <mergeCell ref="A274:A275"/>
    <mergeCell ref="B274:B275"/>
    <mergeCell ref="C274:C275"/>
    <mergeCell ref="D274:D275"/>
    <mergeCell ref="E274:E275"/>
    <mergeCell ref="F274:F275"/>
    <mergeCell ref="G274:G275"/>
    <mergeCell ref="H274:H275"/>
    <mergeCell ref="I274:I275"/>
    <mergeCell ref="J274:J275"/>
    <mergeCell ref="K274:K275"/>
    <mergeCell ref="L274:L275"/>
    <mergeCell ref="A287:A288"/>
    <mergeCell ref="B287:B288"/>
    <mergeCell ref="C287:C288"/>
    <mergeCell ref="D287:D288"/>
    <mergeCell ref="E287:E288"/>
    <mergeCell ref="F287:F288"/>
    <mergeCell ref="G287:G288"/>
    <mergeCell ref="H287:H288"/>
    <mergeCell ref="I287:I288"/>
    <mergeCell ref="J287:J288"/>
    <mergeCell ref="K287:K288"/>
    <mergeCell ref="L287:L288"/>
    <mergeCell ref="A300:A301"/>
    <mergeCell ref="B300:B301"/>
    <mergeCell ref="C300:C301"/>
    <mergeCell ref="D300:D301"/>
    <mergeCell ref="E300:E301"/>
    <mergeCell ref="F300:F301"/>
    <mergeCell ref="G300:G301"/>
    <mergeCell ref="H300:H301"/>
    <mergeCell ref="I300:I301"/>
    <mergeCell ref="J300:J301"/>
    <mergeCell ref="K300:K301"/>
    <mergeCell ref="L300:L301"/>
    <mergeCell ref="A313:A314"/>
    <mergeCell ref="B313:B314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A326:A327"/>
    <mergeCell ref="B326:B327"/>
    <mergeCell ref="C326:C327"/>
    <mergeCell ref="D326:D327"/>
    <mergeCell ref="E326:E327"/>
    <mergeCell ref="F326:F327"/>
    <mergeCell ref="G326:G327"/>
    <mergeCell ref="H326:H327"/>
    <mergeCell ref="I326:I327"/>
    <mergeCell ref="J326:J327"/>
    <mergeCell ref="K326:K327"/>
    <mergeCell ref="L326:L327"/>
    <mergeCell ref="A339:A340"/>
    <mergeCell ref="B339:B340"/>
    <mergeCell ref="C339:C340"/>
    <mergeCell ref="D339:D340"/>
    <mergeCell ref="E339:E340"/>
    <mergeCell ref="F339:F340"/>
    <mergeCell ref="G339:G340"/>
    <mergeCell ref="H339:H340"/>
    <mergeCell ref="I339:I340"/>
    <mergeCell ref="J339:J340"/>
    <mergeCell ref="K339:K340"/>
    <mergeCell ref="L339:L340"/>
    <mergeCell ref="A358:A359"/>
    <mergeCell ref="B358:B359"/>
    <mergeCell ref="C358:C359"/>
    <mergeCell ref="D358:D359"/>
    <mergeCell ref="E358:E359"/>
    <mergeCell ref="F358:F359"/>
    <mergeCell ref="G358:G359"/>
    <mergeCell ref="H358:H359"/>
    <mergeCell ref="I358:I359"/>
    <mergeCell ref="J358:J359"/>
    <mergeCell ref="K358:K359"/>
    <mergeCell ref="L358:L359"/>
    <mergeCell ref="A371:A372"/>
    <mergeCell ref="B371:B372"/>
    <mergeCell ref="C371:C372"/>
    <mergeCell ref="D371:D372"/>
    <mergeCell ref="E371:E372"/>
    <mergeCell ref="F371:F372"/>
    <mergeCell ref="G371:G372"/>
    <mergeCell ref="H371:H372"/>
    <mergeCell ref="I371:I372"/>
    <mergeCell ref="J371:J372"/>
    <mergeCell ref="K371:K372"/>
    <mergeCell ref="L371:L372"/>
    <mergeCell ref="A384:A385"/>
    <mergeCell ref="B384:B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A397:A398"/>
    <mergeCell ref="B397:B398"/>
    <mergeCell ref="C397:C398"/>
    <mergeCell ref="D397:D398"/>
    <mergeCell ref="E397:E398"/>
    <mergeCell ref="F397:F398"/>
    <mergeCell ref="G397:G398"/>
    <mergeCell ref="H397:H398"/>
    <mergeCell ref="I397:I398"/>
    <mergeCell ref="J397:J398"/>
    <mergeCell ref="K397:K398"/>
    <mergeCell ref="L397:L398"/>
    <mergeCell ref="A410:A411"/>
    <mergeCell ref="B410:B411"/>
    <mergeCell ref="C410:C411"/>
    <mergeCell ref="D410:D411"/>
    <mergeCell ref="E410:E411"/>
    <mergeCell ref="F410:F411"/>
    <mergeCell ref="G410:G411"/>
    <mergeCell ref="H410:H411"/>
    <mergeCell ref="I410:I411"/>
    <mergeCell ref="J410:J411"/>
    <mergeCell ref="K410:K411"/>
    <mergeCell ref="L410:L411"/>
    <mergeCell ref="A423:A424"/>
    <mergeCell ref="B423:B424"/>
    <mergeCell ref="C423:C424"/>
    <mergeCell ref="D423:D424"/>
    <mergeCell ref="E423:E424"/>
    <mergeCell ref="F423:F424"/>
    <mergeCell ref="G423:G424"/>
    <mergeCell ref="H423:H424"/>
    <mergeCell ref="I423:I424"/>
    <mergeCell ref="J423:J424"/>
    <mergeCell ref="K423:K424"/>
    <mergeCell ref="L423:L424"/>
    <mergeCell ref="A436:A437"/>
    <mergeCell ref="B436:B437"/>
    <mergeCell ref="C436:C437"/>
    <mergeCell ref="D436:D437"/>
    <mergeCell ref="E436:E437"/>
    <mergeCell ref="F436:F437"/>
    <mergeCell ref="G436:G437"/>
    <mergeCell ref="H436:H437"/>
    <mergeCell ref="I436:I437"/>
    <mergeCell ref="J436:J437"/>
    <mergeCell ref="K436:K437"/>
    <mergeCell ref="L436:L437"/>
    <mergeCell ref="A449:A450"/>
    <mergeCell ref="B449:B450"/>
    <mergeCell ref="C449:C450"/>
    <mergeCell ref="D449:D450"/>
    <mergeCell ref="E449:E450"/>
    <mergeCell ref="F449:F450"/>
    <mergeCell ref="G449:G450"/>
    <mergeCell ref="H449:H450"/>
    <mergeCell ref="I449:I450"/>
    <mergeCell ref="J449:J450"/>
    <mergeCell ref="K449:K450"/>
    <mergeCell ref="L449:L450"/>
    <mergeCell ref="A462:A463"/>
    <mergeCell ref="B462:B463"/>
    <mergeCell ref="C462:C463"/>
    <mergeCell ref="D462:D463"/>
    <mergeCell ref="E462:E463"/>
    <mergeCell ref="F462:F463"/>
    <mergeCell ref="G462:G463"/>
    <mergeCell ref="H462:H463"/>
    <mergeCell ref="I462:I463"/>
    <mergeCell ref="J462:J463"/>
    <mergeCell ref="K462:K463"/>
    <mergeCell ref="L462:L463"/>
    <mergeCell ref="A475:A476"/>
    <mergeCell ref="B475:B476"/>
    <mergeCell ref="C475:C476"/>
    <mergeCell ref="D475:D476"/>
    <mergeCell ref="E475:E476"/>
    <mergeCell ref="F475:F476"/>
    <mergeCell ref="G475:G476"/>
    <mergeCell ref="H475:H476"/>
    <mergeCell ref="I475:I476"/>
    <mergeCell ref="J475:J476"/>
    <mergeCell ref="K475:K476"/>
    <mergeCell ref="L475:L476"/>
    <mergeCell ref="A488:A489"/>
    <mergeCell ref="B488:B489"/>
    <mergeCell ref="C488:C489"/>
    <mergeCell ref="D488:D489"/>
    <mergeCell ref="E488:E489"/>
    <mergeCell ref="F488:F489"/>
    <mergeCell ref="G488:G489"/>
    <mergeCell ref="H488:H489"/>
    <mergeCell ref="I488:I489"/>
    <mergeCell ref="J488:J489"/>
    <mergeCell ref="K488:K489"/>
    <mergeCell ref="L488:L489"/>
    <mergeCell ref="A501:A502"/>
    <mergeCell ref="B501:B502"/>
    <mergeCell ref="C501:C502"/>
    <mergeCell ref="D501:D502"/>
    <mergeCell ref="E501:E502"/>
    <mergeCell ref="F501:F502"/>
    <mergeCell ref="G501:G502"/>
    <mergeCell ref="H501:H502"/>
    <mergeCell ref="I501:I502"/>
    <mergeCell ref="J501:J502"/>
    <mergeCell ref="K501:K502"/>
    <mergeCell ref="L501:L502"/>
    <mergeCell ref="A514:A515"/>
    <mergeCell ref="B514:B515"/>
    <mergeCell ref="C514:C515"/>
    <mergeCell ref="D514:D515"/>
    <mergeCell ref="E514:E515"/>
    <mergeCell ref="F514:F515"/>
    <mergeCell ref="G514:G515"/>
    <mergeCell ref="H514:H515"/>
    <mergeCell ref="I514:I515"/>
    <mergeCell ref="J514:J515"/>
    <mergeCell ref="K514:K515"/>
    <mergeCell ref="L514:L515"/>
    <mergeCell ref="A533:A534"/>
    <mergeCell ref="B533:B534"/>
    <mergeCell ref="C533:C534"/>
    <mergeCell ref="D533:D534"/>
    <mergeCell ref="E533:E534"/>
    <mergeCell ref="F533:F534"/>
    <mergeCell ref="G533:G534"/>
    <mergeCell ref="H533:H534"/>
    <mergeCell ref="I533:I534"/>
    <mergeCell ref="J533:J534"/>
    <mergeCell ref="K533:K534"/>
    <mergeCell ref="L533:L534"/>
    <mergeCell ref="A546:A547"/>
    <mergeCell ref="B546:B547"/>
    <mergeCell ref="C546:C547"/>
    <mergeCell ref="D546:D547"/>
    <mergeCell ref="E546:E547"/>
    <mergeCell ref="F546:F547"/>
    <mergeCell ref="G546:G547"/>
    <mergeCell ref="H546:H547"/>
    <mergeCell ref="I546:I547"/>
    <mergeCell ref="J546:J547"/>
    <mergeCell ref="K546:K547"/>
    <mergeCell ref="L546:L547"/>
    <mergeCell ref="A559:A560"/>
    <mergeCell ref="B559:B560"/>
    <mergeCell ref="C559:C560"/>
    <mergeCell ref="D559:D560"/>
    <mergeCell ref="E559:E560"/>
    <mergeCell ref="F559:F560"/>
    <mergeCell ref="G559:G560"/>
    <mergeCell ref="H559:H560"/>
    <mergeCell ref="I559:I560"/>
    <mergeCell ref="J559:J560"/>
    <mergeCell ref="K559:K560"/>
    <mergeCell ref="L559:L560"/>
    <mergeCell ref="A572:A573"/>
    <mergeCell ref="B572:B573"/>
    <mergeCell ref="C572:C573"/>
    <mergeCell ref="D572:D573"/>
    <mergeCell ref="E572:E573"/>
    <mergeCell ref="F572:F573"/>
    <mergeCell ref="G572:G573"/>
    <mergeCell ref="H572:H573"/>
    <mergeCell ref="I572:I573"/>
    <mergeCell ref="J572:J573"/>
    <mergeCell ref="K572:K573"/>
    <mergeCell ref="L572:L573"/>
    <mergeCell ref="A585:A586"/>
    <mergeCell ref="B585:B586"/>
    <mergeCell ref="C585:C586"/>
    <mergeCell ref="D585:D586"/>
    <mergeCell ref="E585:E586"/>
    <mergeCell ref="F585:F586"/>
    <mergeCell ref="G585:G586"/>
    <mergeCell ref="H585:H586"/>
    <mergeCell ref="I585:I586"/>
    <mergeCell ref="J585:J586"/>
    <mergeCell ref="K585:K586"/>
    <mergeCell ref="L585:L586"/>
    <mergeCell ref="A598:A599"/>
    <mergeCell ref="B598:B599"/>
    <mergeCell ref="C598:C599"/>
    <mergeCell ref="D598:D599"/>
    <mergeCell ref="E598:E599"/>
    <mergeCell ref="F598:F599"/>
    <mergeCell ref="G598:G599"/>
    <mergeCell ref="H598:H599"/>
    <mergeCell ref="I598:I599"/>
    <mergeCell ref="J598:J599"/>
    <mergeCell ref="K598:K599"/>
    <mergeCell ref="L598:L599"/>
    <mergeCell ref="A611:A612"/>
    <mergeCell ref="B611:B612"/>
    <mergeCell ref="C611:C612"/>
    <mergeCell ref="D611:D612"/>
    <mergeCell ref="E611:E612"/>
    <mergeCell ref="F611:F612"/>
    <mergeCell ref="G611:G612"/>
    <mergeCell ref="H611:H612"/>
    <mergeCell ref="I611:I612"/>
    <mergeCell ref="J611:J612"/>
    <mergeCell ref="K611:K612"/>
    <mergeCell ref="L611:L612"/>
    <mergeCell ref="A624:A625"/>
    <mergeCell ref="B624:B625"/>
    <mergeCell ref="C624:C625"/>
    <mergeCell ref="D624:D625"/>
    <mergeCell ref="E624:E625"/>
    <mergeCell ref="F624:F625"/>
    <mergeCell ref="G624:G625"/>
    <mergeCell ref="H624:H625"/>
    <mergeCell ref="I624:I625"/>
    <mergeCell ref="J624:J625"/>
    <mergeCell ref="K624:K625"/>
    <mergeCell ref="L624:L625"/>
    <mergeCell ref="A637:A638"/>
    <mergeCell ref="B637:B638"/>
    <mergeCell ref="C637:C638"/>
    <mergeCell ref="D637:D638"/>
    <mergeCell ref="E637:E638"/>
    <mergeCell ref="F637:F638"/>
    <mergeCell ref="G637:G638"/>
    <mergeCell ref="H637:H638"/>
    <mergeCell ref="I637:I638"/>
    <mergeCell ref="J637:J638"/>
    <mergeCell ref="K637:K638"/>
    <mergeCell ref="L637:L638"/>
    <mergeCell ref="A650:A651"/>
    <mergeCell ref="B650:B651"/>
    <mergeCell ref="C650:C651"/>
    <mergeCell ref="D650:D651"/>
    <mergeCell ref="E650:E651"/>
    <mergeCell ref="F650:F651"/>
    <mergeCell ref="G650:G651"/>
    <mergeCell ref="H650:H651"/>
    <mergeCell ref="I650:I651"/>
    <mergeCell ref="J650:J651"/>
    <mergeCell ref="K650:K651"/>
    <mergeCell ref="L650:L651"/>
    <mergeCell ref="A663:A664"/>
    <mergeCell ref="B663:B664"/>
    <mergeCell ref="C663:C664"/>
    <mergeCell ref="D663:D664"/>
    <mergeCell ref="E663:E664"/>
    <mergeCell ref="F663:F664"/>
    <mergeCell ref="G663:G664"/>
    <mergeCell ref="H663:H664"/>
    <mergeCell ref="I663:I664"/>
    <mergeCell ref="J663:J664"/>
    <mergeCell ref="K663:K664"/>
    <mergeCell ref="L663:L664"/>
    <mergeCell ref="A676:A677"/>
    <mergeCell ref="B676:B677"/>
    <mergeCell ref="C676:C677"/>
    <mergeCell ref="D676:D677"/>
    <mergeCell ref="E676:E677"/>
    <mergeCell ref="F676:F677"/>
    <mergeCell ref="G676:G677"/>
    <mergeCell ref="H676:H677"/>
    <mergeCell ref="I676:I677"/>
    <mergeCell ref="J676:J677"/>
    <mergeCell ref="K676:K677"/>
    <mergeCell ref="L676:L677"/>
    <mergeCell ref="A689:A690"/>
    <mergeCell ref="B689:B690"/>
    <mergeCell ref="C689:C690"/>
    <mergeCell ref="D689:D690"/>
    <mergeCell ref="E689:E690"/>
    <mergeCell ref="F689:F690"/>
    <mergeCell ref="G689:G690"/>
    <mergeCell ref="H689:H690"/>
    <mergeCell ref="I689:I690"/>
    <mergeCell ref="J689:J690"/>
    <mergeCell ref="K689:K690"/>
    <mergeCell ref="L689:L69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83"/>
  <sheetViews>
    <sheetView workbookViewId="0" tabSelected="1">
      <pane state="frozen" activePane="topRight" topLeftCell="B1" ySplit="0" xSplit="1"/>
    </sheetView>
  </sheetViews>
  <sheetFormatPr defaultRowHeight="15" x14ac:dyDescent="0.25"/>
  <cols>
    <col min="1" max="1" style="26" width="46.43357142857143" customWidth="1" bestFit="1"/>
    <col min="2" max="2" style="26" width="13.576428571428572" customWidth="1" bestFit="1" hidden="1"/>
    <col min="3" max="3" style="26" width="13.576428571428572" customWidth="1" bestFit="1" hidden="1"/>
    <col min="4" max="4" style="26" width="13.576428571428572" customWidth="1" bestFit="1" hidden="1"/>
    <col min="5" max="5" style="26" width="13.576428571428572" customWidth="1" bestFit="1" hidden="1"/>
    <col min="6" max="6" style="26" width="13.576428571428572" customWidth="1" bestFit="1" hidden="1"/>
    <col min="7" max="7" style="26" width="13.576428571428572" customWidth="1" bestFit="1" hidden="1"/>
    <col min="8" max="8" style="26" width="30.14785714285714" customWidth="1" bestFit="1"/>
    <col min="9" max="9" style="26" width="28.576428571428572" customWidth="1" bestFit="1"/>
    <col min="10" max="10" style="27" width="34.43357142857143" customWidth="1" bestFit="1"/>
    <col min="11" max="11" style="27" width="35.86214285714286" customWidth="1" bestFit="1"/>
    <col min="12" max="12" style="27" width="37.57642857142857" customWidth="1" bestFit="1"/>
  </cols>
  <sheetData>
    <row x14ac:dyDescent="0.25" r="1" customHeight="1" ht="18.75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</row>
    <row x14ac:dyDescent="0.25" r="2" customHeight="1" ht="18.75">
      <c r="A2" s="2" t="s">
        <v>1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</row>
    <row x14ac:dyDescent="0.25" r="3" customHeight="1" ht="18.75">
      <c r="A3" s="2" t="s">
        <v>2</v>
      </c>
      <c r="B3" s="2"/>
      <c r="C3" s="2"/>
      <c r="D3" s="2"/>
      <c r="E3" s="2"/>
      <c r="F3" s="2"/>
      <c r="G3" s="2"/>
      <c r="H3" s="2"/>
      <c r="I3" s="2"/>
      <c r="J3" s="3"/>
      <c r="K3" s="3"/>
      <c r="L3" s="3"/>
    </row>
    <row x14ac:dyDescent="0.25" r="4" customHeight="1" ht="18.75">
      <c r="A4" s="2" t="s">
        <v>3</v>
      </c>
      <c r="B4" s="2"/>
      <c r="C4" s="2"/>
      <c r="D4" s="2"/>
      <c r="E4" s="2"/>
      <c r="F4" s="2"/>
      <c r="G4" s="2"/>
      <c r="H4" s="2"/>
      <c r="I4" s="2"/>
      <c r="J4" s="3"/>
      <c r="K4" s="3"/>
      <c r="L4" s="3"/>
    </row>
    <row x14ac:dyDescent="0.25" r="5" customHeight="1" ht="18.75">
      <c r="A5" s="2"/>
      <c r="B5" s="2"/>
      <c r="C5" s="2"/>
      <c r="D5" s="2"/>
      <c r="E5" s="2"/>
      <c r="F5" s="2"/>
      <c r="G5" s="2"/>
      <c r="H5" s="2"/>
      <c r="I5" s="2"/>
      <c r="J5" s="3"/>
      <c r="K5" s="3"/>
      <c r="L5" s="3"/>
    </row>
    <row x14ac:dyDescent="0.25" r="6" customHeight="1" ht="18.75">
      <c r="A6" s="2"/>
      <c r="B6" s="2"/>
      <c r="C6" s="2"/>
      <c r="D6" s="2"/>
      <c r="E6" s="2"/>
      <c r="F6" s="2"/>
      <c r="G6" s="2"/>
      <c r="H6" s="2"/>
      <c r="I6" s="2"/>
      <c r="J6" s="3"/>
      <c r="K6" s="3"/>
      <c r="L6" s="3"/>
    </row>
    <row x14ac:dyDescent="0.25" r="7" customHeight="1" ht="18.75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  <c r="I7" s="4" t="s">
        <v>11</v>
      </c>
      <c r="J7" s="5" t="s">
        <v>12</v>
      </c>
      <c r="K7" s="5" t="s">
        <v>13</v>
      </c>
      <c r="L7" s="5" t="s">
        <v>14</v>
      </c>
    </row>
    <row x14ac:dyDescent="0.25" r="8" customHeight="1" ht="18.75">
      <c r="A8" s="6" t="s">
        <v>15</v>
      </c>
      <c r="B8" s="7" t="s">
        <v>16</v>
      </c>
      <c r="C8" s="8" t="s">
        <v>17</v>
      </c>
      <c r="D8" s="7" t="s">
        <v>18</v>
      </c>
      <c r="E8" s="7" t="s">
        <v>19</v>
      </c>
      <c r="F8" s="7" t="s">
        <v>20</v>
      </c>
      <c r="G8" s="7" t="s">
        <v>21</v>
      </c>
      <c r="H8" s="7" t="s">
        <v>22</v>
      </c>
      <c r="I8" s="8" t="s">
        <v>23</v>
      </c>
      <c r="J8" s="9" t="s">
        <v>24</v>
      </c>
      <c r="K8" s="10" t="s">
        <v>25</v>
      </c>
      <c r="L8" s="9" t="s">
        <v>26</v>
      </c>
    </row>
    <row x14ac:dyDescent="0.25" r="9" customHeight="1" ht="18.75">
      <c r="A9" s="11"/>
      <c r="B9" s="12"/>
      <c r="C9" s="13"/>
      <c r="D9" s="12"/>
      <c r="E9" s="12"/>
      <c r="F9" s="12"/>
      <c r="G9" s="12"/>
      <c r="H9" s="12"/>
      <c r="I9" s="13"/>
      <c r="J9" s="14"/>
      <c r="K9" s="15"/>
      <c r="L9" s="14"/>
    </row>
    <row x14ac:dyDescent="0.25" r="10" customHeight="1" ht="18.75">
      <c r="A10" s="4" t="s">
        <v>27</v>
      </c>
      <c r="B10" s="16"/>
      <c r="C10" s="16"/>
      <c r="D10" s="16"/>
      <c r="E10" s="16"/>
      <c r="F10" s="16"/>
      <c r="G10" s="16"/>
      <c r="H10" s="16"/>
      <c r="I10" s="16"/>
      <c r="J10" s="17">
        <f>SUM(Sheet1!J10,Sheet1!J23,Sheet1!J36,Sheet1!J49,Sheet1!J62,Sheet1!J75,Sheet1!J88,Sheet1!J101,Sheet1!J114,Sheet1!J127,Sheet1!J140,Sheet1!J153)</f>
      </c>
      <c r="K10" s="17">
        <f>SUM(Sheet1!K10,Sheet1!K23,Sheet1!K36,Sheet1!K49,Sheet1!K62,Sheet1!K75,Sheet1!K88,Sheet1!K101,Sheet1!K114,Sheet1!K127,Sheet1!K140,Sheet1!K153)</f>
      </c>
      <c r="L10" s="17">
        <f>SUM(Sheet1!L10,Sheet1!L23,Sheet1!L36,Sheet1!L49,Sheet1!L62,Sheet1!L75,Sheet1!L88,Sheet1!L101,Sheet1!L114,Sheet1!L127,Sheet1!L140,Sheet1!L153)</f>
      </c>
    </row>
    <row x14ac:dyDescent="0.25" r="11" customHeight="1" ht="18.75">
      <c r="A11" s="4" t="s">
        <v>28</v>
      </c>
      <c r="B11" s="16"/>
      <c r="C11" s="16"/>
      <c r="D11" s="16"/>
      <c r="E11" s="16"/>
      <c r="F11" s="16"/>
      <c r="G11" s="16"/>
      <c r="H11" s="16"/>
      <c r="I11" s="16"/>
      <c r="J11" s="17">
        <f>SUM(Sheet1!J11,Sheet1!J24,Sheet1!J37,Sheet1!J50,Sheet1!J63,Sheet1!J76,Sheet1!J89,Sheet1!J102,Sheet1!J115,Sheet1!J128,Sheet1!J141,Sheet1!J154)</f>
      </c>
      <c r="K11" s="17">
        <f>SUM(Sheet1!K11,Sheet1!K24,Sheet1!K37,Sheet1!K50,Sheet1!K63,Sheet1!K76,Sheet1!K89,Sheet1!K102,Sheet1!K115,Sheet1!K128,Sheet1!K141,Sheet1!K154)</f>
      </c>
      <c r="L11" s="17">
        <f>SUM(Sheet1!L11,Sheet1!L24,Sheet1!L37,Sheet1!L50,Sheet1!L63,Sheet1!L76,Sheet1!L89,Sheet1!L102,Sheet1!L115,Sheet1!L128,Sheet1!L141,Sheet1!L154)</f>
      </c>
    </row>
    <row x14ac:dyDescent="0.25" r="12" customHeight="1" ht="18.75">
      <c r="A12" s="4" t="s">
        <v>29</v>
      </c>
      <c r="B12" s="16"/>
      <c r="C12" s="16"/>
      <c r="D12" s="16"/>
      <c r="E12" s="16"/>
      <c r="F12" s="16"/>
      <c r="G12" s="16"/>
      <c r="H12" s="16"/>
      <c r="I12" s="16"/>
      <c r="J12" s="17">
        <f>SUM(Sheet1!J12,Sheet1!J25,Sheet1!J38,Sheet1!J51,Sheet1!J64,Sheet1!J77,Sheet1!J90,Sheet1!J103,Sheet1!J116,Sheet1!J129,Sheet1!J142,Sheet1!J155)</f>
      </c>
      <c r="K12" s="17">
        <f>SUM(Sheet1!K12,Sheet1!K25,Sheet1!K38,Sheet1!K51,Sheet1!K64,Sheet1!K77,Sheet1!K90,Sheet1!K103,Sheet1!K116,Sheet1!K129,Sheet1!K142,Sheet1!K155)</f>
      </c>
      <c r="L12" s="17">
        <f>SUM(Sheet1!L12,Sheet1!L25,Sheet1!L38,Sheet1!L51,Sheet1!L64,Sheet1!L77,Sheet1!L90,Sheet1!L103,Sheet1!L116,Sheet1!L129,Sheet1!L142,Sheet1!L155)</f>
      </c>
    </row>
    <row x14ac:dyDescent="0.25" r="13" customHeight="1" ht="18.75">
      <c r="A13" s="4" t="s">
        <v>30</v>
      </c>
      <c r="B13" s="16"/>
      <c r="C13" s="16"/>
      <c r="D13" s="16"/>
      <c r="E13" s="16"/>
      <c r="F13" s="16"/>
      <c r="G13" s="16"/>
      <c r="H13" s="16"/>
      <c r="I13" s="16"/>
      <c r="J13" s="17">
        <f>SUM(Sheet1!J13,Sheet1!J26,Sheet1!J39,Sheet1!J52,Sheet1!J65,Sheet1!J78,Sheet1!J91,Sheet1!J104,Sheet1!J117,Sheet1!J130,Sheet1!J143,Sheet1!J156)</f>
      </c>
      <c r="K13" s="17">
        <f>SUM(Sheet1!K13,Sheet1!K26,Sheet1!K39,Sheet1!K52,Sheet1!K65,Sheet1!K78,Sheet1!K91,Sheet1!K104,Sheet1!K117,Sheet1!K130,Sheet1!K143,Sheet1!K156)</f>
      </c>
      <c r="L13" s="17">
        <f>SUM(Sheet1!L13,Sheet1!L26,Sheet1!L39,Sheet1!L52,Sheet1!L65,Sheet1!L78,Sheet1!L91,Sheet1!L104,Sheet1!L117,Sheet1!L130,Sheet1!L143,Sheet1!L156)</f>
      </c>
    </row>
    <row x14ac:dyDescent="0.25" r="14" customHeight="1" ht="18.75">
      <c r="A14" s="4" t="s">
        <v>31</v>
      </c>
      <c r="B14" s="16"/>
      <c r="C14" s="16"/>
      <c r="D14" s="16"/>
      <c r="E14" s="16"/>
      <c r="F14" s="16"/>
      <c r="G14" s="16"/>
      <c r="H14" s="16"/>
      <c r="I14" s="16"/>
      <c r="J14" s="17">
        <f>SUM(Sheet1!J14,Sheet1!J27,Sheet1!J40,Sheet1!J53,Sheet1!J66,Sheet1!J79,Sheet1!J92,Sheet1!J105,Sheet1!J118,Sheet1!J131,Sheet1!J144,Sheet1!J157)</f>
      </c>
      <c r="K14" s="17">
        <f>SUM(Sheet1!K14,Sheet1!K27,Sheet1!K40,Sheet1!K53,Sheet1!K66,Sheet1!K79,Sheet1!K92,Sheet1!K105,Sheet1!K118,Sheet1!K131,Sheet1!K144,Sheet1!K157)</f>
      </c>
      <c r="L14" s="17">
        <f>SUM(Sheet1!L14,Sheet1!L27,Sheet1!L40,Sheet1!L53,Sheet1!L66,Sheet1!L79,Sheet1!L92,Sheet1!L105,Sheet1!L118,Sheet1!L131,Sheet1!L144,Sheet1!L157)</f>
      </c>
    </row>
    <row x14ac:dyDescent="0.25" r="15" customHeight="1" ht="18.75">
      <c r="A15" s="4" t="s">
        <v>32</v>
      </c>
      <c r="B15" s="16"/>
      <c r="C15" s="16"/>
      <c r="D15" s="16"/>
      <c r="E15" s="16"/>
      <c r="F15" s="16"/>
      <c r="G15" s="16"/>
      <c r="H15" s="16"/>
      <c r="I15" s="16"/>
      <c r="J15" s="17">
        <f>SUM(Sheet1!J15,Sheet1!J28,Sheet1!J41,Sheet1!J54,Sheet1!J67,Sheet1!J80,Sheet1!J93,Sheet1!J106,Sheet1!J119,Sheet1!J132,Sheet1!J145,Sheet1!J158)</f>
      </c>
      <c r="K15" s="17">
        <f>SUM(Sheet1!K15,Sheet1!K28,Sheet1!K41,Sheet1!K54,Sheet1!K67,Sheet1!K80,Sheet1!K93,Sheet1!K106,Sheet1!K119,Sheet1!K132,Sheet1!K145,Sheet1!K158)</f>
      </c>
      <c r="L15" s="17">
        <f>SUM(Sheet1!L15,Sheet1!L28,Sheet1!L41,Sheet1!L54,Sheet1!L67,Sheet1!L80,Sheet1!L93,Sheet1!L106,Sheet1!L119,Sheet1!L132,Sheet1!L145,Sheet1!L158)</f>
      </c>
    </row>
    <row x14ac:dyDescent="0.25" r="16" customHeight="1" ht="18.75">
      <c r="A16" s="4" t="s">
        <v>33</v>
      </c>
      <c r="B16" s="16"/>
      <c r="C16" s="16"/>
      <c r="D16" s="16"/>
      <c r="E16" s="16"/>
      <c r="F16" s="16"/>
      <c r="G16" s="16"/>
      <c r="H16" s="16"/>
      <c r="I16" s="16"/>
      <c r="J16" s="17">
        <f>SUM(Sheet1!J16,Sheet1!J29,Sheet1!J42,Sheet1!J55,Sheet1!J68,Sheet1!J81,Sheet1!J94,Sheet1!J107,Sheet1!J120,Sheet1!J133,Sheet1!J146,Sheet1!J159)</f>
      </c>
      <c r="K16" s="17">
        <f>SUM(Sheet1!K16,Sheet1!K29,Sheet1!K42,Sheet1!K55,Sheet1!K68,Sheet1!K81,Sheet1!K94,Sheet1!K107,Sheet1!K120,Sheet1!K133,Sheet1!K146,Sheet1!K159)</f>
      </c>
      <c r="L16" s="17">
        <f>SUM(Sheet1!L16,Sheet1!L29,Sheet1!L42,Sheet1!L55,Sheet1!L68,Sheet1!L81,Sheet1!L94,Sheet1!L107,Sheet1!L120,Sheet1!L133,Sheet1!L146,Sheet1!L159)</f>
      </c>
    </row>
    <row x14ac:dyDescent="0.25" r="17" customHeight="1" ht="18.75">
      <c r="A17" s="4" t="s">
        <v>34</v>
      </c>
      <c r="B17" s="16"/>
      <c r="C17" s="16"/>
      <c r="D17" s="16"/>
      <c r="E17" s="16"/>
      <c r="F17" s="16"/>
      <c r="G17" s="16"/>
      <c r="H17" s="16"/>
      <c r="I17" s="16"/>
      <c r="J17" s="17">
        <f>SUM(Sheet1!J17,Sheet1!J30,Sheet1!J43,Sheet1!J56,Sheet1!J69,Sheet1!J82,Sheet1!J95,Sheet1!J108,Sheet1!J121,Sheet1!J134,Sheet1!J147,Sheet1!J160)</f>
      </c>
      <c r="K17" s="17">
        <f>SUM(Sheet1!K17,Sheet1!K30,Sheet1!K43,Sheet1!K56,Sheet1!K69,Sheet1!K82,Sheet1!K95,Sheet1!K108,Sheet1!K121,Sheet1!K134,Sheet1!K147,Sheet1!K160)</f>
      </c>
      <c r="L17" s="17">
        <f>SUM(Sheet1!L17,Sheet1!L30,Sheet1!L43,Sheet1!L56,Sheet1!L69,Sheet1!L82,Sheet1!L95,Sheet1!L108,Sheet1!L121,Sheet1!L134,Sheet1!L147,Sheet1!L160)</f>
      </c>
    </row>
    <row x14ac:dyDescent="0.25" r="18" customHeight="1" ht="18.75">
      <c r="A18" s="4" t="s">
        <v>35</v>
      </c>
      <c r="B18" s="16"/>
      <c r="C18" s="16"/>
      <c r="D18" s="16"/>
      <c r="E18" s="16"/>
      <c r="F18" s="16"/>
      <c r="G18" s="16"/>
      <c r="H18" s="16"/>
      <c r="I18" s="16"/>
      <c r="J18" s="17">
        <f>SUM(Sheet1!J18,Sheet1!J31,Sheet1!J44,Sheet1!J57,Sheet1!J70,Sheet1!J83,Sheet1!J96,Sheet1!J109,Sheet1!J122,Sheet1!J135,Sheet1!J148,Sheet1!J161)</f>
      </c>
      <c r="K18" s="17">
        <f>SUM(Sheet1!K18,Sheet1!K31,Sheet1!K44,Sheet1!K57,Sheet1!K70,Sheet1!K83,Sheet1!K96,Sheet1!K109,Sheet1!K122,Sheet1!K135,Sheet1!K148,Sheet1!K161)</f>
      </c>
      <c r="L18" s="17">
        <f>SUM(Sheet1!L18,Sheet1!L31,Sheet1!L44,Sheet1!L57,Sheet1!L70,Sheet1!L83,Sheet1!L96,Sheet1!L109,Sheet1!L122,Sheet1!L135,Sheet1!L148,Sheet1!L161)</f>
      </c>
    </row>
    <row x14ac:dyDescent="0.25" r="19" customHeight="1" ht="18.75">
      <c r="A19" s="18" t="s">
        <v>36</v>
      </c>
      <c r="B19" s="2"/>
      <c r="C19" s="2"/>
      <c r="D19" s="2"/>
      <c r="E19" s="2"/>
      <c r="F19" s="2"/>
      <c r="G19" s="2"/>
      <c r="H19" s="2"/>
      <c r="I19" s="2"/>
      <c r="J19" s="19">
        <f>SUM(J10:J18)</f>
      </c>
      <c r="K19" s="19">
        <f>SUM(K10:K18)</f>
      </c>
      <c r="L19" s="19">
        <f>SUM(L10:L18)</f>
      </c>
    </row>
    <row x14ac:dyDescent="0.25" r="20" customHeight="1" ht="18.75">
      <c r="A20" s="2"/>
      <c r="B20" s="2"/>
      <c r="C20" s="2"/>
      <c r="D20" s="2"/>
      <c r="E20" s="2"/>
      <c r="F20" s="2"/>
      <c r="G20" s="2"/>
      <c r="H20" s="2"/>
      <c r="I20" s="2"/>
      <c r="J20" s="3"/>
      <c r="K20" s="3"/>
      <c r="L20" s="3"/>
    </row>
    <row x14ac:dyDescent="0.25" r="21" customHeight="1" ht="18.75">
      <c r="A21" s="1" t="s">
        <v>37</v>
      </c>
      <c r="B21" s="2"/>
      <c r="C21" s="2"/>
      <c r="D21" s="2"/>
      <c r="E21" s="2"/>
      <c r="F21" s="2"/>
      <c r="G21" s="2"/>
      <c r="H21" s="2"/>
      <c r="I21" s="2"/>
      <c r="J21" s="3"/>
      <c r="K21" s="3"/>
      <c r="L21" s="3"/>
    </row>
    <row x14ac:dyDescent="0.25" r="22" customHeight="1" ht="18.75">
      <c r="A22" s="2" t="s">
        <v>1</v>
      </c>
      <c r="B22" s="2"/>
      <c r="C22" s="2"/>
      <c r="D22" s="2"/>
      <c r="E22" s="2"/>
      <c r="F22" s="2"/>
      <c r="G22" s="2"/>
      <c r="H22" s="2"/>
      <c r="I22" s="2"/>
      <c r="J22" s="3"/>
      <c r="K22" s="3"/>
      <c r="L22" s="3"/>
    </row>
    <row x14ac:dyDescent="0.25" r="23" customHeight="1" ht="18.75">
      <c r="A23" s="2" t="s">
        <v>2</v>
      </c>
      <c r="B23" s="2"/>
      <c r="C23" s="2"/>
      <c r="D23" s="2"/>
      <c r="E23" s="2"/>
      <c r="F23" s="2"/>
      <c r="G23" s="2"/>
      <c r="H23" s="2"/>
      <c r="I23" s="2"/>
      <c r="J23" s="3"/>
      <c r="K23" s="3"/>
      <c r="L23" s="3"/>
    </row>
    <row x14ac:dyDescent="0.25" r="24" customHeight="1" ht="18.75">
      <c r="A24" s="2"/>
      <c r="B24" s="2"/>
      <c r="C24" s="2"/>
      <c r="D24" s="2"/>
      <c r="E24" s="2"/>
      <c r="F24" s="2"/>
      <c r="G24" s="2"/>
      <c r="H24" s="2"/>
      <c r="I24" s="2"/>
      <c r="J24" s="3"/>
      <c r="K24" s="3"/>
      <c r="L24" s="3"/>
    </row>
    <row x14ac:dyDescent="0.25" r="25" customHeight="1" ht="18.75">
      <c r="A25" s="4"/>
      <c r="B25" s="4" t="s">
        <v>4</v>
      </c>
      <c r="C25" s="4" t="s">
        <v>5</v>
      </c>
      <c r="D25" s="4" t="s">
        <v>6</v>
      </c>
      <c r="E25" s="4" t="s">
        <v>7</v>
      </c>
      <c r="F25" s="4" t="s">
        <v>8</v>
      </c>
      <c r="G25" s="4" t="s">
        <v>9</v>
      </c>
      <c r="H25" s="4" t="s">
        <v>10</v>
      </c>
      <c r="I25" s="4" t="s">
        <v>11</v>
      </c>
      <c r="J25" s="5" t="s">
        <v>12</v>
      </c>
      <c r="K25" s="5" t="s">
        <v>13</v>
      </c>
      <c r="L25" s="5" t="s">
        <v>14</v>
      </c>
    </row>
    <row x14ac:dyDescent="0.25" r="26" customHeight="1" ht="18.75">
      <c r="A26" s="6" t="s">
        <v>15</v>
      </c>
      <c r="B26" s="7" t="s">
        <v>16</v>
      </c>
      <c r="C26" s="8" t="s">
        <v>17</v>
      </c>
      <c r="D26" s="7" t="s">
        <v>18</v>
      </c>
      <c r="E26" s="7" t="s">
        <v>19</v>
      </c>
      <c r="F26" s="7" t="s">
        <v>20</v>
      </c>
      <c r="G26" s="7" t="s">
        <v>21</v>
      </c>
      <c r="H26" s="7" t="s">
        <v>22</v>
      </c>
      <c r="I26" s="8" t="s">
        <v>23</v>
      </c>
      <c r="J26" s="9" t="s">
        <v>24</v>
      </c>
      <c r="K26" s="10" t="s">
        <v>25</v>
      </c>
      <c r="L26" s="9" t="s">
        <v>26</v>
      </c>
    </row>
    <row x14ac:dyDescent="0.25" r="27" customHeight="1" ht="18.75">
      <c r="A27" s="11"/>
      <c r="B27" s="12"/>
      <c r="C27" s="13"/>
      <c r="D27" s="12"/>
      <c r="E27" s="12"/>
      <c r="F27" s="12"/>
      <c r="G27" s="12"/>
      <c r="H27" s="12"/>
      <c r="I27" s="13"/>
      <c r="J27" s="14"/>
      <c r="K27" s="15"/>
      <c r="L27" s="14"/>
    </row>
    <row x14ac:dyDescent="0.25" r="28" customHeight="1" ht="18.75">
      <c r="A28" s="4" t="s">
        <v>27</v>
      </c>
      <c r="B28" s="16"/>
      <c r="C28" s="16"/>
      <c r="D28" s="16"/>
      <c r="E28" s="16"/>
      <c r="F28" s="16"/>
      <c r="G28" s="16"/>
      <c r="H28" s="16"/>
      <c r="I28" s="16"/>
      <c r="J28" s="17">
        <f>SUM(Sheet1!J185,Sheet1!J198,Sheet1!J211,Sheet1!J224,Sheet1!J237,Sheet1!J250,Sheet1!J263,Sheet1!J276,Sheet1!J289,Sheet1!J302,Sheet1!J315,Sheet1!J328)</f>
      </c>
      <c r="K28" s="17">
        <f>SUM(Sheet1!K185,Sheet1!K198,Sheet1!K211,Sheet1!K224,Sheet1!K237,Sheet1!K250,Sheet1!K263,Sheet1!K276,Sheet1!K289,Sheet1!K302,Sheet1!K315,Sheet1!K328)</f>
      </c>
      <c r="L28" s="17">
        <f>SUM(Sheet1!L185,Sheet1!L198,Sheet1!L211,Sheet1!L224,Sheet1!L237,Sheet1!L250,Sheet1!L263,Sheet1!L276,Sheet1!L289,Sheet1!L302,Sheet1!L315,Sheet1!L328)</f>
      </c>
    </row>
    <row x14ac:dyDescent="0.25" r="29" customHeight="1" ht="18.75">
      <c r="A29" s="4" t="s">
        <v>28</v>
      </c>
      <c r="B29" s="16"/>
      <c r="C29" s="16"/>
      <c r="D29" s="16"/>
      <c r="E29" s="16"/>
      <c r="F29" s="16"/>
      <c r="G29" s="16"/>
      <c r="H29" s="16"/>
      <c r="I29" s="16"/>
      <c r="J29" s="17">
        <f>SUM(Sheet1!J186,Sheet1!J199,Sheet1!J212,Sheet1!J225,Sheet1!J238,Sheet1!J251,Sheet1!J264,Sheet1!J277,Sheet1!J290,Sheet1!J303,Sheet1!J316,Sheet1!J329)</f>
      </c>
      <c r="K29" s="17">
        <f>SUM(Sheet1!K186,Sheet1!K199,Sheet1!K212,Sheet1!K225,Sheet1!K238,Sheet1!K251,Sheet1!K264,Sheet1!K277,Sheet1!K290,Sheet1!K303,Sheet1!K316,Sheet1!K329)</f>
      </c>
      <c r="L29" s="17">
        <f>SUM(Sheet1!L186,Sheet1!L199,Sheet1!L212,Sheet1!L225,Sheet1!L238,Sheet1!L251,Sheet1!L264,Sheet1!L277,Sheet1!L290,Sheet1!L303,Sheet1!L316,Sheet1!L329)</f>
      </c>
    </row>
    <row x14ac:dyDescent="0.25" r="30" customHeight="1" ht="18.75">
      <c r="A30" s="4" t="s">
        <v>29</v>
      </c>
      <c r="B30" s="16"/>
      <c r="C30" s="16"/>
      <c r="D30" s="16"/>
      <c r="E30" s="16"/>
      <c r="F30" s="16"/>
      <c r="G30" s="16"/>
      <c r="H30" s="16"/>
      <c r="I30" s="16"/>
      <c r="J30" s="17">
        <f>SUM(Sheet1!J187,Sheet1!J200,Sheet1!J213,Sheet1!J226,Sheet1!J239,Sheet1!J252,Sheet1!J265,Sheet1!J278,Sheet1!J291,Sheet1!J304,Sheet1!J317,Sheet1!J330)</f>
      </c>
      <c r="K30" s="17">
        <f>SUM(Sheet1!K187,Sheet1!K200,Sheet1!K213,Sheet1!K226,Sheet1!K239,Sheet1!K252,Sheet1!K265,Sheet1!K278,Sheet1!K291,Sheet1!K304,Sheet1!K317,Sheet1!K330)</f>
      </c>
      <c r="L30" s="17">
        <f>SUM(Sheet1!L187,Sheet1!L200,Sheet1!L213,Sheet1!L226,Sheet1!L239,Sheet1!L252,Sheet1!L265,Sheet1!L278,Sheet1!L291,Sheet1!L304,Sheet1!L317,Sheet1!L330)</f>
      </c>
    </row>
    <row x14ac:dyDescent="0.25" r="31" customHeight="1" ht="18.75">
      <c r="A31" s="4" t="s">
        <v>30</v>
      </c>
      <c r="B31" s="16"/>
      <c r="C31" s="16"/>
      <c r="D31" s="16"/>
      <c r="E31" s="16"/>
      <c r="F31" s="16"/>
      <c r="G31" s="16"/>
      <c r="H31" s="16"/>
      <c r="I31" s="16"/>
      <c r="J31" s="17">
        <f>SUM(Sheet1!J188,Sheet1!J201,Sheet1!J214,Sheet1!J227,Sheet1!J240,Sheet1!J253,Sheet1!J266,Sheet1!J279,Sheet1!J292,Sheet1!J305,Sheet1!J318,Sheet1!J331)</f>
      </c>
      <c r="K31" s="17">
        <f>SUM(Sheet1!K188,Sheet1!K201,Sheet1!K214,Sheet1!K227,Sheet1!K240,Sheet1!K253,Sheet1!K266,Sheet1!K279,Sheet1!K292,Sheet1!K305,Sheet1!K318,Sheet1!K331)</f>
      </c>
      <c r="L31" s="17">
        <f>SUM(Sheet1!L188,Sheet1!L201,Sheet1!L214,Sheet1!L227,Sheet1!L240,Sheet1!L253,Sheet1!L266,Sheet1!L279,Sheet1!L292,Sheet1!L305,Sheet1!L318,Sheet1!L331)</f>
      </c>
    </row>
    <row x14ac:dyDescent="0.25" r="32" customHeight="1" ht="18.75">
      <c r="A32" s="4" t="s">
        <v>31</v>
      </c>
      <c r="B32" s="16"/>
      <c r="C32" s="16"/>
      <c r="D32" s="16"/>
      <c r="E32" s="16"/>
      <c r="F32" s="16"/>
      <c r="G32" s="16"/>
      <c r="H32" s="16"/>
      <c r="I32" s="16"/>
      <c r="J32" s="17">
        <f>SUM(Sheet1!J189,Sheet1!J202,Sheet1!J215,Sheet1!J228,Sheet1!J241,Sheet1!J254,Sheet1!J267,Sheet1!J280,Sheet1!J293,Sheet1!J306,Sheet1!J319,Sheet1!J332)</f>
      </c>
      <c r="K32" s="17">
        <f>SUM(Sheet1!K189,Sheet1!K202,Sheet1!K215,Sheet1!K228,Sheet1!K241,Sheet1!K254,Sheet1!K267,Sheet1!K280,Sheet1!K293,Sheet1!K306,Sheet1!K319,Sheet1!K332)</f>
      </c>
      <c r="L32" s="17">
        <f>SUM(Sheet1!L189,Sheet1!L202,Sheet1!L215,Sheet1!L228,Sheet1!L241,Sheet1!L254,Sheet1!L267,Sheet1!L280,Sheet1!L293,Sheet1!L306,Sheet1!L319,Sheet1!L332)</f>
      </c>
    </row>
    <row x14ac:dyDescent="0.25" r="33" customHeight="1" ht="18.75">
      <c r="A33" s="4" t="s">
        <v>32</v>
      </c>
      <c r="B33" s="16"/>
      <c r="C33" s="16"/>
      <c r="D33" s="16"/>
      <c r="E33" s="16"/>
      <c r="F33" s="16"/>
      <c r="G33" s="16"/>
      <c r="H33" s="16"/>
      <c r="I33" s="16"/>
      <c r="J33" s="17">
        <f>SUM(Sheet1!J190,Sheet1!J203,Sheet1!J216,Sheet1!J229,Sheet1!J242,Sheet1!J255,Sheet1!J268,Sheet1!J281,Sheet1!J294,Sheet1!J307,Sheet1!J320,Sheet1!J333)</f>
      </c>
      <c r="K33" s="17">
        <f>SUM(Sheet1!K190,Sheet1!K203,Sheet1!K216,Sheet1!K229,Sheet1!K242,Sheet1!K255,Sheet1!K268,Sheet1!K281,Sheet1!K294,Sheet1!K307,Sheet1!K320,Sheet1!K333)</f>
      </c>
      <c r="L33" s="17">
        <f>SUM(Sheet1!L190,Sheet1!L203,Sheet1!L216,Sheet1!L229,Sheet1!L242,Sheet1!L255,Sheet1!L268,Sheet1!L281,Sheet1!L294,Sheet1!L307,Sheet1!L320,Sheet1!L333)</f>
      </c>
    </row>
    <row x14ac:dyDescent="0.25" r="34" customHeight="1" ht="18.75">
      <c r="A34" s="4" t="s">
        <v>33</v>
      </c>
      <c r="B34" s="16"/>
      <c r="C34" s="16"/>
      <c r="D34" s="16"/>
      <c r="E34" s="16"/>
      <c r="F34" s="16"/>
      <c r="G34" s="16"/>
      <c r="H34" s="16"/>
      <c r="I34" s="16"/>
      <c r="J34" s="17">
        <f>SUM(Sheet1!J191,Sheet1!J204,Sheet1!J217,Sheet1!J230,Sheet1!J243,Sheet1!J256,Sheet1!J269,Sheet1!J282,Sheet1!J295,Sheet1!J308,Sheet1!J321,Sheet1!J334)</f>
      </c>
      <c r="K34" s="17">
        <f>SUM(Sheet1!K191,Sheet1!K204,Sheet1!K217,Sheet1!K230,Sheet1!K243,Sheet1!K256,Sheet1!K269,Sheet1!K282,Sheet1!K295,Sheet1!K308,Sheet1!K321,Sheet1!K334)</f>
      </c>
      <c r="L34" s="17">
        <f>SUM(Sheet1!L191,Sheet1!L204,Sheet1!L217,Sheet1!L230,Sheet1!L243,Sheet1!L256,Sheet1!L269,Sheet1!L282,Sheet1!L295,Sheet1!L308,Sheet1!L321,Sheet1!L334)</f>
      </c>
    </row>
    <row x14ac:dyDescent="0.25" r="35" customHeight="1" ht="18.75">
      <c r="A35" s="4" t="s">
        <v>34</v>
      </c>
      <c r="B35" s="16"/>
      <c r="C35" s="16"/>
      <c r="D35" s="16"/>
      <c r="E35" s="16"/>
      <c r="F35" s="16"/>
      <c r="G35" s="16"/>
      <c r="H35" s="16"/>
      <c r="I35" s="16"/>
      <c r="J35" s="17">
        <f>SUM(Sheet1!J192,Sheet1!J205,Sheet1!J218,Sheet1!J231,Sheet1!J244,Sheet1!J257,Sheet1!J270,Sheet1!J283,Sheet1!J296,Sheet1!J309,Sheet1!J322,Sheet1!J335)</f>
      </c>
      <c r="K35" s="17">
        <f>SUM(Sheet1!K192,Sheet1!K205,Sheet1!K218,Sheet1!K231,Sheet1!K244,Sheet1!K257,Sheet1!K270,Sheet1!K283,Sheet1!K296,Sheet1!K309,Sheet1!K322,Sheet1!K335)</f>
      </c>
      <c r="L35" s="17">
        <f>SUM(Sheet1!L192,Sheet1!L205,Sheet1!L218,Sheet1!L231,Sheet1!L244,Sheet1!L257,Sheet1!L270,Sheet1!L283,Sheet1!L296,Sheet1!L309,Sheet1!L322,Sheet1!L335)</f>
      </c>
    </row>
    <row x14ac:dyDescent="0.25" r="36" customHeight="1" ht="18.75">
      <c r="A36" s="4" t="s">
        <v>35</v>
      </c>
      <c r="B36" s="16"/>
      <c r="C36" s="16"/>
      <c r="D36" s="16"/>
      <c r="E36" s="16"/>
      <c r="F36" s="16"/>
      <c r="G36" s="16"/>
      <c r="H36" s="16"/>
      <c r="I36" s="16"/>
      <c r="J36" s="17">
        <f>SUM(Sheet1!J193,Sheet1!J206,Sheet1!J219,Sheet1!J232,Sheet1!J245,Sheet1!J258,Sheet1!J271,Sheet1!J284,Sheet1!J297,Sheet1!J310,Sheet1!J323,Sheet1!J336)</f>
      </c>
      <c r="K36" s="17">
        <f>SUM(Sheet1!K193,Sheet1!K206,Sheet1!K219,Sheet1!K232,Sheet1!K245,Sheet1!K258,Sheet1!K271,Sheet1!K284,Sheet1!K297,Sheet1!K310,Sheet1!K323,Sheet1!K336)</f>
      </c>
      <c r="L36" s="17">
        <f>SUM(Sheet1!L193,Sheet1!L206,Sheet1!L219,Sheet1!L232,Sheet1!L245,Sheet1!L258,Sheet1!L271,Sheet1!L284,Sheet1!L297,Sheet1!L310,Sheet1!L323,Sheet1!L336)</f>
      </c>
    </row>
    <row x14ac:dyDescent="0.25" r="37" customHeight="1" ht="18.75">
      <c r="A37" s="18" t="s">
        <v>36</v>
      </c>
      <c r="B37" s="2"/>
      <c r="C37" s="2"/>
      <c r="D37" s="2"/>
      <c r="E37" s="2"/>
      <c r="F37" s="2"/>
      <c r="G37" s="2"/>
      <c r="H37" s="2"/>
      <c r="I37" s="2"/>
      <c r="J37" s="19">
        <f>SUM(J28:J36)</f>
      </c>
      <c r="K37" s="19">
        <f>SUM(K28:K36)</f>
      </c>
      <c r="L37" s="19">
        <f>SUM(L28:L36)</f>
      </c>
    </row>
    <row x14ac:dyDescent="0.25" r="38" customHeight="1" ht="18.75">
      <c r="A38" s="2"/>
      <c r="B38" s="2"/>
      <c r="C38" s="2"/>
      <c r="D38" s="2"/>
      <c r="E38" s="2"/>
      <c r="F38" s="2"/>
      <c r="G38" s="2"/>
      <c r="H38" s="2"/>
      <c r="I38" s="2"/>
      <c r="J38" s="3"/>
      <c r="K38" s="3"/>
      <c r="L38" s="3"/>
    </row>
    <row x14ac:dyDescent="0.25" r="39" customHeight="1" ht="18.75">
      <c r="A39" s="1" t="s">
        <v>38</v>
      </c>
      <c r="B39" s="2"/>
      <c r="C39" s="2"/>
      <c r="D39" s="2"/>
      <c r="E39" s="2"/>
      <c r="F39" s="2"/>
      <c r="G39" s="2"/>
      <c r="H39" s="2"/>
      <c r="I39" s="2"/>
      <c r="J39" s="3"/>
      <c r="K39" s="3"/>
      <c r="L39" s="3"/>
    </row>
    <row x14ac:dyDescent="0.25" r="40" customHeight="1" ht="18.75">
      <c r="A40" s="2" t="s">
        <v>1</v>
      </c>
      <c r="B40" s="2"/>
      <c r="C40" s="2"/>
      <c r="D40" s="2"/>
      <c r="E40" s="2"/>
      <c r="F40" s="2"/>
      <c r="G40" s="2"/>
      <c r="H40" s="2"/>
      <c r="I40" s="2"/>
      <c r="J40" s="3"/>
      <c r="K40" s="3"/>
      <c r="L40" s="3"/>
    </row>
    <row x14ac:dyDescent="0.25" r="41" customHeight="1" ht="18.75">
      <c r="A41" s="2" t="s">
        <v>2</v>
      </c>
      <c r="B41" s="2"/>
      <c r="C41" s="2"/>
      <c r="D41" s="2"/>
      <c r="E41" s="2"/>
      <c r="F41" s="2"/>
      <c r="G41" s="2"/>
      <c r="H41" s="2"/>
      <c r="I41" s="2"/>
      <c r="J41" s="3"/>
      <c r="K41" s="3"/>
      <c r="L41" s="3"/>
    </row>
    <row x14ac:dyDescent="0.25" r="42" customHeight="1" ht="18.75">
      <c r="A42" s="2"/>
      <c r="B42" s="2"/>
      <c r="C42" s="2"/>
      <c r="D42" s="2"/>
      <c r="E42" s="2"/>
      <c r="F42" s="2"/>
      <c r="G42" s="2"/>
      <c r="H42" s="2"/>
      <c r="I42" s="2"/>
      <c r="J42" s="3"/>
      <c r="K42" s="3"/>
      <c r="L42" s="3"/>
    </row>
    <row x14ac:dyDescent="0.25" r="43" customHeight="1" ht="18.75">
      <c r="A43" s="4"/>
      <c r="B43" s="4" t="s">
        <v>4</v>
      </c>
      <c r="C43" s="4" t="s">
        <v>5</v>
      </c>
      <c r="D43" s="4" t="s">
        <v>6</v>
      </c>
      <c r="E43" s="4" t="s">
        <v>7</v>
      </c>
      <c r="F43" s="4" t="s">
        <v>8</v>
      </c>
      <c r="G43" s="4" t="s">
        <v>9</v>
      </c>
      <c r="H43" s="4" t="s">
        <v>10</v>
      </c>
      <c r="I43" s="4" t="s">
        <v>11</v>
      </c>
      <c r="J43" s="5" t="s">
        <v>12</v>
      </c>
      <c r="K43" s="5" t="s">
        <v>13</v>
      </c>
      <c r="L43" s="5" t="s">
        <v>14</v>
      </c>
    </row>
    <row x14ac:dyDescent="0.25" r="44" customHeight="1" ht="18.75">
      <c r="A44" s="6" t="s">
        <v>15</v>
      </c>
      <c r="B44" s="7" t="s">
        <v>16</v>
      </c>
      <c r="C44" s="8" t="s">
        <v>17</v>
      </c>
      <c r="D44" s="7" t="s">
        <v>18</v>
      </c>
      <c r="E44" s="7" t="s">
        <v>19</v>
      </c>
      <c r="F44" s="7" t="s">
        <v>20</v>
      </c>
      <c r="G44" s="7" t="s">
        <v>21</v>
      </c>
      <c r="H44" s="7" t="s">
        <v>22</v>
      </c>
      <c r="I44" s="8" t="s">
        <v>23</v>
      </c>
      <c r="J44" s="9" t="s">
        <v>24</v>
      </c>
      <c r="K44" s="10" t="s">
        <v>25</v>
      </c>
      <c r="L44" s="9" t="s">
        <v>26</v>
      </c>
    </row>
    <row x14ac:dyDescent="0.25" r="45" customHeight="1" ht="18.75">
      <c r="A45" s="11"/>
      <c r="B45" s="12"/>
      <c r="C45" s="13"/>
      <c r="D45" s="12"/>
      <c r="E45" s="12"/>
      <c r="F45" s="12"/>
      <c r="G45" s="12"/>
      <c r="H45" s="12"/>
      <c r="I45" s="13"/>
      <c r="J45" s="14"/>
      <c r="K45" s="15"/>
      <c r="L45" s="14"/>
    </row>
    <row x14ac:dyDescent="0.25" r="46" customHeight="1" ht="18.75">
      <c r="A46" s="4" t="s">
        <v>27</v>
      </c>
      <c r="B46" s="16"/>
      <c r="C46" s="16"/>
      <c r="D46" s="16"/>
      <c r="E46" s="16"/>
      <c r="F46" s="16"/>
      <c r="G46" s="16"/>
      <c r="H46" s="16"/>
      <c r="I46" s="16"/>
      <c r="J46" s="17">
        <f>SUM(Sheet1!J360,Sheet1!J373,Sheet1!J386,Sheet1!J399,Sheet1!J412,Sheet1!J425,Sheet1!J438,Sheet1!J451,Sheet1!J464,Sheet1!J477,Sheet1!J490,Sheet1!J503)</f>
      </c>
      <c r="K46" s="17">
        <f>SUM(Sheet1!K360,Sheet1!K373,Sheet1!K386,Sheet1!K399,Sheet1!K412,Sheet1!K425,Sheet1!K438,Sheet1!K451,Sheet1!K464,Sheet1!K477,Sheet1!K490,Sheet1!K503)</f>
      </c>
      <c r="L46" s="17">
        <f>SUM(Sheet1!L360,Sheet1!L373,Sheet1!L386,Sheet1!L399,Sheet1!L412,Sheet1!L425,Sheet1!L438,Sheet1!L451,Sheet1!L464,Sheet1!L477,Sheet1!L490,Sheet1!L503)</f>
      </c>
    </row>
    <row x14ac:dyDescent="0.25" r="47" customHeight="1" ht="18.75">
      <c r="A47" s="4" t="s">
        <v>28</v>
      </c>
      <c r="B47" s="16"/>
      <c r="C47" s="16"/>
      <c r="D47" s="16"/>
      <c r="E47" s="16"/>
      <c r="F47" s="16"/>
      <c r="G47" s="16"/>
      <c r="H47" s="16"/>
      <c r="I47" s="16"/>
      <c r="J47" s="17">
        <f>SUM(Sheet1!J361,Sheet1!J374,Sheet1!J387,Sheet1!J400,Sheet1!J413,Sheet1!J426,Sheet1!J439,Sheet1!J452,Sheet1!J465,Sheet1!J478,Sheet1!J491,Sheet1!J504)</f>
      </c>
      <c r="K47" s="17">
        <f>SUM(Sheet1!K361,Sheet1!K374,Sheet1!K387,Sheet1!K400,Sheet1!K413,Sheet1!K426,Sheet1!K439,Sheet1!K452,Sheet1!K465,Sheet1!K478,Sheet1!K491,Sheet1!K504)</f>
      </c>
      <c r="L47" s="17">
        <f>SUM(Sheet1!L361,Sheet1!L374,Sheet1!L387,Sheet1!L400,Sheet1!L413,Sheet1!L426,Sheet1!L439,Sheet1!L452,Sheet1!L465,Sheet1!L478,Sheet1!L491,Sheet1!L504)</f>
      </c>
    </row>
    <row x14ac:dyDescent="0.25" r="48" customHeight="1" ht="18.75">
      <c r="A48" s="4" t="s">
        <v>29</v>
      </c>
      <c r="B48" s="16"/>
      <c r="C48" s="16"/>
      <c r="D48" s="16"/>
      <c r="E48" s="16"/>
      <c r="F48" s="16"/>
      <c r="G48" s="16"/>
      <c r="H48" s="16"/>
      <c r="I48" s="16"/>
      <c r="J48" s="17">
        <f>SUM(Sheet1!J362,Sheet1!J375,Sheet1!J388,Sheet1!J401,Sheet1!J414,Sheet1!J427,Sheet1!J440,Sheet1!J453,Sheet1!J466,Sheet1!J479,Sheet1!J492,Sheet1!J505)</f>
      </c>
      <c r="K48" s="17">
        <f>SUM(Sheet1!K362,Sheet1!K375,Sheet1!K388,Sheet1!K401,Sheet1!K414,Sheet1!K427,Sheet1!K440,Sheet1!K453,Sheet1!K466,Sheet1!K479,Sheet1!K492,Sheet1!K505)</f>
      </c>
      <c r="L48" s="17">
        <f>SUM(Sheet1!L362,Sheet1!L375,Sheet1!L388,Sheet1!L401,Sheet1!L414,Sheet1!L427,Sheet1!L440,Sheet1!L453,Sheet1!L466,Sheet1!L479,Sheet1!L492,Sheet1!L505)</f>
      </c>
    </row>
    <row x14ac:dyDescent="0.25" r="49" customHeight="1" ht="18.75">
      <c r="A49" s="4" t="s">
        <v>30</v>
      </c>
      <c r="B49" s="16"/>
      <c r="C49" s="16"/>
      <c r="D49" s="16"/>
      <c r="E49" s="16"/>
      <c r="F49" s="16"/>
      <c r="G49" s="16"/>
      <c r="H49" s="16"/>
      <c r="I49" s="16"/>
      <c r="J49" s="17">
        <f>SUM(Sheet1!J363,Sheet1!J376,Sheet1!J389,Sheet1!J402,Sheet1!J415,Sheet1!J428,Sheet1!J441,Sheet1!J454,Sheet1!J467,Sheet1!J480,Sheet1!J493,Sheet1!J506)</f>
      </c>
      <c r="K49" s="17">
        <f>SUM(Sheet1!K363,Sheet1!K376,Sheet1!K389,Sheet1!K402,Sheet1!K415,Sheet1!K428,Sheet1!K441,Sheet1!K454,Sheet1!K467,Sheet1!K480,Sheet1!K493,Sheet1!K506)</f>
      </c>
      <c r="L49" s="17">
        <f>SUM(Sheet1!L363,Sheet1!L376,Sheet1!L389,Sheet1!L402,Sheet1!L415,Sheet1!L428,Sheet1!L441,Sheet1!L454,Sheet1!L467,Sheet1!L480,Sheet1!L493,Sheet1!L506)</f>
      </c>
    </row>
    <row x14ac:dyDescent="0.25" r="50" customHeight="1" ht="18.75">
      <c r="A50" s="4" t="s">
        <v>31</v>
      </c>
      <c r="B50" s="16"/>
      <c r="C50" s="16"/>
      <c r="D50" s="16"/>
      <c r="E50" s="16"/>
      <c r="F50" s="16"/>
      <c r="G50" s="16"/>
      <c r="H50" s="16"/>
      <c r="I50" s="16"/>
      <c r="J50" s="17">
        <f>SUM(Sheet1!J364,Sheet1!J377,Sheet1!J390,Sheet1!J403,Sheet1!J416,Sheet1!J429,Sheet1!J442,Sheet1!J455,Sheet1!J468,Sheet1!J481,Sheet1!J494,Sheet1!J507)</f>
      </c>
      <c r="K50" s="17">
        <f>SUM(Sheet1!K364,Sheet1!K377,Sheet1!K390,Sheet1!K403,Sheet1!K416,Sheet1!K429,Sheet1!K442,Sheet1!K455,Sheet1!K468,Sheet1!K481,Sheet1!K494,Sheet1!K507)</f>
      </c>
      <c r="L50" s="17">
        <f>SUM(Sheet1!L364,Sheet1!L377,Sheet1!L390,Sheet1!L403,Sheet1!L416,Sheet1!L429,Sheet1!L442,Sheet1!L455,Sheet1!L468,Sheet1!L481,Sheet1!L494,Sheet1!L507)</f>
      </c>
    </row>
    <row x14ac:dyDescent="0.25" r="51" customHeight="1" ht="18.75">
      <c r="A51" s="4" t="s">
        <v>32</v>
      </c>
      <c r="B51" s="16"/>
      <c r="C51" s="16"/>
      <c r="D51" s="16"/>
      <c r="E51" s="16"/>
      <c r="F51" s="16"/>
      <c r="G51" s="16"/>
      <c r="H51" s="16"/>
      <c r="I51" s="16"/>
      <c r="J51" s="17">
        <f>SUM(Sheet1!J365,Sheet1!J378,Sheet1!J391,Sheet1!J404,Sheet1!J417,Sheet1!J430,Sheet1!J443,Sheet1!J456,Sheet1!J469,Sheet1!J482,Sheet1!J495,Sheet1!J508)</f>
      </c>
      <c r="K51" s="17">
        <f>SUM(Sheet1!K365,Sheet1!K378,Sheet1!K391,Sheet1!K404,Sheet1!K417,Sheet1!K430,Sheet1!K443,Sheet1!K456,Sheet1!K469,Sheet1!K482,Sheet1!K495,Sheet1!K508)</f>
      </c>
      <c r="L51" s="17">
        <f>SUM(Sheet1!L365,Sheet1!L378,Sheet1!L391,Sheet1!L404,Sheet1!L417,Sheet1!L430,Sheet1!L443,Sheet1!L456,Sheet1!L469,Sheet1!L482,Sheet1!L495,Sheet1!L508)</f>
      </c>
    </row>
    <row x14ac:dyDescent="0.25" r="52" customHeight="1" ht="18.75">
      <c r="A52" s="4" t="s">
        <v>33</v>
      </c>
      <c r="B52" s="16"/>
      <c r="C52" s="16"/>
      <c r="D52" s="16"/>
      <c r="E52" s="16"/>
      <c r="F52" s="16"/>
      <c r="G52" s="16"/>
      <c r="H52" s="16"/>
      <c r="I52" s="16"/>
      <c r="J52" s="17">
        <f>SUM(Sheet1!J366,Sheet1!J379,Sheet1!J392,Sheet1!J405,Sheet1!J418,Sheet1!J431,Sheet1!J444,Sheet1!J457,Sheet1!J470,Sheet1!J483,Sheet1!J496,Sheet1!J509)</f>
      </c>
      <c r="K52" s="17">
        <f>SUM(Sheet1!K366,Sheet1!K379,Sheet1!K392,Sheet1!K405,Sheet1!K418,Sheet1!K431,Sheet1!K444,Sheet1!K457,Sheet1!K470,Sheet1!K483,Sheet1!K496,Sheet1!K509)</f>
      </c>
      <c r="L52" s="17">
        <f>SUM(Sheet1!L366,Sheet1!L379,Sheet1!L392,Sheet1!L405,Sheet1!L418,Sheet1!L431,Sheet1!L444,Sheet1!L457,Sheet1!L470,Sheet1!L483,Sheet1!L496,Sheet1!L509)</f>
      </c>
    </row>
    <row x14ac:dyDescent="0.25" r="53" customHeight="1" ht="18.75">
      <c r="A53" s="4" t="s">
        <v>34</v>
      </c>
      <c r="B53" s="16"/>
      <c r="C53" s="16"/>
      <c r="D53" s="16"/>
      <c r="E53" s="16"/>
      <c r="F53" s="16"/>
      <c r="G53" s="16"/>
      <c r="H53" s="16"/>
      <c r="I53" s="16"/>
      <c r="J53" s="17">
        <f>SUM(Sheet1!J367,Sheet1!J380,Sheet1!J393,Sheet1!J406,Sheet1!J419,Sheet1!J432,Sheet1!J445,Sheet1!J458,Sheet1!J471,Sheet1!J484,Sheet1!J497,Sheet1!J510)</f>
      </c>
      <c r="K53" s="17">
        <f>SUM(Sheet1!K367,Sheet1!K380,Sheet1!K393,Sheet1!K406,Sheet1!K419,Sheet1!K432,Sheet1!K445,Sheet1!K458,Sheet1!K471,Sheet1!K484,Sheet1!K497,Sheet1!K510)</f>
      </c>
      <c r="L53" s="17">
        <f>SUM(Sheet1!L367,Sheet1!L380,Sheet1!L393,Sheet1!L406,Sheet1!L419,Sheet1!L432,Sheet1!L445,Sheet1!L458,Sheet1!L471,Sheet1!L484,Sheet1!L497,Sheet1!L510)</f>
      </c>
    </row>
    <row x14ac:dyDescent="0.25" r="54" customHeight="1" ht="18.75">
      <c r="A54" s="4" t="s">
        <v>35</v>
      </c>
      <c r="B54" s="16"/>
      <c r="C54" s="16"/>
      <c r="D54" s="16"/>
      <c r="E54" s="16"/>
      <c r="F54" s="16"/>
      <c r="G54" s="16"/>
      <c r="H54" s="16"/>
      <c r="I54" s="16"/>
      <c r="J54" s="17">
        <f>SUM(Sheet1!J368,Sheet1!J381,Sheet1!J394,Sheet1!J407,Sheet1!J420,Sheet1!J433,Sheet1!J446,Sheet1!J459,Sheet1!J472,Sheet1!J485,Sheet1!J498,Sheet1!J511)</f>
      </c>
      <c r="K54" s="17">
        <f>SUM(Sheet1!K368,Sheet1!K381,Sheet1!K394,Sheet1!K407,Sheet1!K420,Sheet1!K433,Sheet1!K446,Sheet1!K459,Sheet1!K472,Sheet1!K485,Sheet1!K498,Sheet1!K511)</f>
      </c>
      <c r="L54" s="17">
        <f>SUM(Sheet1!L368,Sheet1!L381,Sheet1!L394,Sheet1!L407,Sheet1!L420,Sheet1!L433,Sheet1!L446,Sheet1!L459,Sheet1!L472,Sheet1!L485,Sheet1!L498,Sheet1!L511)</f>
      </c>
    </row>
    <row x14ac:dyDescent="0.25" r="55" customHeight="1" ht="18.75">
      <c r="A55" s="18" t="s">
        <v>36</v>
      </c>
      <c r="B55" s="2"/>
      <c r="C55" s="2"/>
      <c r="D55" s="2"/>
      <c r="E55" s="2"/>
      <c r="F55" s="2"/>
      <c r="G55" s="2"/>
      <c r="H55" s="2"/>
      <c r="I55" s="2"/>
      <c r="J55" s="19">
        <f>SUM(J46:J54)</f>
      </c>
      <c r="K55" s="19">
        <f>SUM(K46:K54)</f>
      </c>
      <c r="L55" s="19">
        <f>SUM(L46:L54)</f>
      </c>
    </row>
    <row x14ac:dyDescent="0.25" r="56" customHeight="1" ht="18.75">
      <c r="A56" s="2"/>
      <c r="B56" s="2"/>
      <c r="C56" s="2"/>
      <c r="D56" s="2"/>
      <c r="E56" s="2"/>
      <c r="F56" s="2"/>
      <c r="G56" s="2"/>
      <c r="H56" s="2"/>
      <c r="I56" s="2"/>
      <c r="J56" s="3"/>
      <c r="K56" s="3"/>
      <c r="L56" s="3"/>
    </row>
    <row x14ac:dyDescent="0.25" r="57" customHeight="1" ht="18.75">
      <c r="A57" s="1" t="s">
        <v>39</v>
      </c>
      <c r="B57" s="2"/>
      <c r="C57" s="2"/>
      <c r="D57" s="2"/>
      <c r="E57" s="2"/>
      <c r="F57" s="2"/>
      <c r="G57" s="2"/>
      <c r="H57" s="2"/>
      <c r="I57" s="2"/>
      <c r="J57" s="3"/>
      <c r="K57" s="3"/>
      <c r="L57" s="3"/>
    </row>
    <row x14ac:dyDescent="0.25" r="58" customHeight="1" ht="18.75">
      <c r="A58" s="2" t="s">
        <v>1</v>
      </c>
      <c r="B58" s="2"/>
      <c r="C58" s="2"/>
      <c r="D58" s="2"/>
      <c r="E58" s="2"/>
      <c r="F58" s="2"/>
      <c r="G58" s="2"/>
      <c r="H58" s="2"/>
      <c r="I58" s="2"/>
      <c r="J58" s="3"/>
      <c r="K58" s="3"/>
      <c r="L58" s="3"/>
    </row>
    <row x14ac:dyDescent="0.25" r="59" customHeight="1" ht="18.75">
      <c r="A59" s="2" t="s">
        <v>2</v>
      </c>
      <c r="B59" s="2"/>
      <c r="C59" s="2"/>
      <c r="D59" s="2"/>
      <c r="E59" s="2"/>
      <c r="F59" s="2"/>
      <c r="G59" s="2"/>
      <c r="H59" s="2"/>
      <c r="I59" s="2"/>
      <c r="J59" s="3"/>
      <c r="K59" s="3"/>
      <c r="L59" s="3"/>
    </row>
    <row x14ac:dyDescent="0.25" r="60" customHeight="1" ht="18.75">
      <c r="A60" s="2"/>
      <c r="B60" s="2"/>
      <c r="C60" s="2"/>
      <c r="D60" s="2"/>
      <c r="E60" s="2"/>
      <c r="F60" s="2"/>
      <c r="G60" s="2"/>
      <c r="H60" s="2"/>
      <c r="I60" s="2"/>
      <c r="J60" s="3"/>
      <c r="K60" s="3"/>
      <c r="L60" s="3"/>
    </row>
    <row x14ac:dyDescent="0.25" r="61" customHeight="1" ht="18.75">
      <c r="A61" s="4"/>
      <c r="B61" s="4" t="s">
        <v>4</v>
      </c>
      <c r="C61" s="4" t="s">
        <v>5</v>
      </c>
      <c r="D61" s="4" t="s">
        <v>6</v>
      </c>
      <c r="E61" s="4" t="s">
        <v>7</v>
      </c>
      <c r="F61" s="4" t="s">
        <v>8</v>
      </c>
      <c r="G61" s="4" t="s">
        <v>9</v>
      </c>
      <c r="H61" s="4" t="s">
        <v>10</v>
      </c>
      <c r="I61" s="4" t="s">
        <v>11</v>
      </c>
      <c r="J61" s="5" t="s">
        <v>12</v>
      </c>
      <c r="K61" s="5" t="s">
        <v>13</v>
      </c>
      <c r="L61" s="5" t="s">
        <v>14</v>
      </c>
    </row>
    <row x14ac:dyDescent="0.25" r="62" customHeight="1" ht="18.75">
      <c r="A62" s="6" t="s">
        <v>15</v>
      </c>
      <c r="B62" s="7" t="s">
        <v>16</v>
      </c>
      <c r="C62" s="8" t="s">
        <v>17</v>
      </c>
      <c r="D62" s="7" t="s">
        <v>18</v>
      </c>
      <c r="E62" s="7" t="s">
        <v>19</v>
      </c>
      <c r="F62" s="7" t="s">
        <v>20</v>
      </c>
      <c r="G62" s="7" t="s">
        <v>21</v>
      </c>
      <c r="H62" s="7" t="s">
        <v>22</v>
      </c>
      <c r="I62" s="8" t="s">
        <v>23</v>
      </c>
      <c r="J62" s="9" t="s">
        <v>24</v>
      </c>
      <c r="K62" s="10" t="s">
        <v>25</v>
      </c>
      <c r="L62" s="9" t="s">
        <v>26</v>
      </c>
    </row>
    <row x14ac:dyDescent="0.25" r="63" customHeight="1" ht="18.75">
      <c r="A63" s="11"/>
      <c r="B63" s="12"/>
      <c r="C63" s="13"/>
      <c r="D63" s="12"/>
      <c r="E63" s="12"/>
      <c r="F63" s="12"/>
      <c r="G63" s="12"/>
      <c r="H63" s="12"/>
      <c r="I63" s="13"/>
      <c r="J63" s="14"/>
      <c r="K63" s="15"/>
      <c r="L63" s="14"/>
    </row>
    <row x14ac:dyDescent="0.25" r="64" customHeight="1" ht="18.75">
      <c r="A64" s="4" t="s">
        <v>27</v>
      </c>
      <c r="B64" s="16"/>
      <c r="C64" s="16"/>
      <c r="D64" s="16"/>
      <c r="E64" s="16"/>
      <c r="F64" s="16"/>
      <c r="G64" s="16"/>
      <c r="H64" s="16"/>
      <c r="I64" s="16"/>
      <c r="J64" s="17">
        <f>SUM(Sheet1!J535,Sheet1!J548,Sheet1!J561,Sheet1!J574,Sheet1!J587,Sheet1!J600,Sheet1!J613,Sheet1!J626,Sheet1!J639,Sheet1!J652,Sheet1!J665,Sheet1!J678)</f>
      </c>
      <c r="K64" s="17">
        <f>SUM(Sheet1!K535,Sheet1!K548,Sheet1!K561,Sheet1!K574,Sheet1!K587,Sheet1!K600,Sheet1!K613,Sheet1!K626,Sheet1!K639,Sheet1!K652,Sheet1!K665,Sheet1!K678)</f>
      </c>
      <c r="L64" s="17">
        <f>SUM(Sheet1!L535,Sheet1!L548,Sheet1!L561,Sheet1!L574,Sheet1!L587,Sheet1!L600,Sheet1!L613,Sheet1!L626,Sheet1!L639,Sheet1!L652,Sheet1!L665,Sheet1!L678)</f>
      </c>
    </row>
    <row x14ac:dyDescent="0.25" r="65" customHeight="1" ht="18.75">
      <c r="A65" s="4" t="s">
        <v>28</v>
      </c>
      <c r="B65" s="16"/>
      <c r="C65" s="16"/>
      <c r="D65" s="16"/>
      <c r="E65" s="16"/>
      <c r="F65" s="16"/>
      <c r="G65" s="16"/>
      <c r="H65" s="16"/>
      <c r="I65" s="16"/>
      <c r="J65" s="17">
        <f>SUM(Sheet1!J536,Sheet1!J549,Sheet1!J562,Sheet1!J575,Sheet1!J588,Sheet1!J601,Sheet1!J614,Sheet1!J627,Sheet1!J640,Sheet1!J653,Sheet1!J666,Sheet1!J679)</f>
      </c>
      <c r="K65" s="17">
        <f>SUM(Sheet1!K536,Sheet1!K549,Sheet1!K562,Sheet1!K575,Sheet1!K588,Sheet1!K601,Sheet1!K614,Sheet1!K627,Sheet1!K640,Sheet1!K653,Sheet1!K666,Sheet1!K679)</f>
      </c>
      <c r="L65" s="17">
        <f>SUM(Sheet1!L536,Sheet1!L549,Sheet1!L562,Sheet1!L575,Sheet1!L588,Sheet1!L601,Sheet1!L614,Sheet1!L627,Sheet1!L640,Sheet1!L653,Sheet1!L666,Sheet1!L679)</f>
      </c>
    </row>
    <row x14ac:dyDescent="0.25" r="66" customHeight="1" ht="18.75">
      <c r="A66" s="4" t="s">
        <v>29</v>
      </c>
      <c r="B66" s="16"/>
      <c r="C66" s="16"/>
      <c r="D66" s="16"/>
      <c r="E66" s="16"/>
      <c r="F66" s="16"/>
      <c r="G66" s="16"/>
      <c r="H66" s="16"/>
      <c r="I66" s="16"/>
      <c r="J66" s="17">
        <f>SUM(Sheet1!J537,Sheet1!J550,Sheet1!J563,Sheet1!J576,Sheet1!J589,Sheet1!J602,Sheet1!J615,Sheet1!J628,Sheet1!J641,Sheet1!J654,Sheet1!J667,Sheet1!J680)</f>
      </c>
      <c r="K66" s="17">
        <f>SUM(Sheet1!K537,Sheet1!K550,Sheet1!K563,Sheet1!K576,Sheet1!K589,Sheet1!K602,Sheet1!K615,Sheet1!K628,Sheet1!K641,Sheet1!K654,Sheet1!K667,Sheet1!K680)</f>
      </c>
      <c r="L66" s="17">
        <f>SUM(Sheet1!L537,Sheet1!L550,Sheet1!L563,Sheet1!L576,Sheet1!L589,Sheet1!L602,Sheet1!L615,Sheet1!L628,Sheet1!L641,Sheet1!L654,Sheet1!L667,Sheet1!L680)</f>
      </c>
    </row>
    <row x14ac:dyDescent="0.25" r="67" customHeight="1" ht="18.75">
      <c r="A67" s="4" t="s">
        <v>30</v>
      </c>
      <c r="B67" s="16"/>
      <c r="C67" s="16"/>
      <c r="D67" s="16"/>
      <c r="E67" s="16"/>
      <c r="F67" s="16"/>
      <c r="G67" s="16"/>
      <c r="H67" s="16"/>
      <c r="I67" s="16"/>
      <c r="J67" s="17">
        <f>SUM(Sheet1!J538,Sheet1!J551,Sheet1!J564,Sheet1!J577,Sheet1!J590,Sheet1!J603,Sheet1!J616,Sheet1!J629,Sheet1!J642,Sheet1!J655,Sheet1!J668,Sheet1!J681)</f>
      </c>
      <c r="K67" s="17">
        <f>SUM(Sheet1!K538,Sheet1!K551,Sheet1!K564,Sheet1!K577,Sheet1!K590,Sheet1!K603,Sheet1!K616,Sheet1!K629,Sheet1!K642,Sheet1!K655,Sheet1!K668,Sheet1!K681)</f>
      </c>
      <c r="L67" s="17">
        <f>SUM(Sheet1!L538,Sheet1!L551,Sheet1!L564,Sheet1!L577,Sheet1!L590,Sheet1!L603,Sheet1!L616,Sheet1!L629,Sheet1!L642,Sheet1!L655,Sheet1!L668,Sheet1!L681)</f>
      </c>
    </row>
    <row x14ac:dyDescent="0.25" r="68" customHeight="1" ht="18.75">
      <c r="A68" s="4" t="s">
        <v>31</v>
      </c>
      <c r="B68" s="16"/>
      <c r="C68" s="16"/>
      <c r="D68" s="16"/>
      <c r="E68" s="16"/>
      <c r="F68" s="16"/>
      <c r="G68" s="16"/>
      <c r="H68" s="16"/>
      <c r="I68" s="16"/>
      <c r="J68" s="17">
        <f>SUM(Sheet1!J539,Sheet1!J552,Sheet1!J565,Sheet1!J578,Sheet1!J591,Sheet1!J604,Sheet1!J617,Sheet1!J630,Sheet1!J643,Sheet1!J656,Sheet1!J669,Sheet1!J682)</f>
      </c>
      <c r="K68" s="17">
        <f>SUM(Sheet1!K539,Sheet1!K552,Sheet1!K565,Sheet1!K578,Sheet1!K591,Sheet1!K604,Sheet1!K617,Sheet1!K630,Sheet1!K643,Sheet1!K656,Sheet1!K669,Sheet1!K682)</f>
      </c>
      <c r="L68" s="17">
        <f>SUM(Sheet1!L539,Sheet1!L552,Sheet1!L565,Sheet1!L578,Sheet1!L591,Sheet1!L604,Sheet1!L617,Sheet1!L630,Sheet1!L643,Sheet1!L656,Sheet1!L669,Sheet1!L682)</f>
      </c>
    </row>
    <row x14ac:dyDescent="0.25" r="69" customHeight="1" ht="18.75">
      <c r="A69" s="4" t="s">
        <v>32</v>
      </c>
      <c r="B69" s="16"/>
      <c r="C69" s="16"/>
      <c r="D69" s="16"/>
      <c r="E69" s="16"/>
      <c r="F69" s="16"/>
      <c r="G69" s="16"/>
      <c r="H69" s="16"/>
      <c r="I69" s="16"/>
      <c r="J69" s="17">
        <f>SUM(Sheet1!J540,Sheet1!J553,Sheet1!J566,Sheet1!J579,Sheet1!J592,Sheet1!J605,Sheet1!J618,Sheet1!J631,Sheet1!J644,Sheet1!J657,Sheet1!J670,Sheet1!J683)</f>
      </c>
      <c r="K69" s="17">
        <f>SUM(Sheet1!K540,Sheet1!K553,Sheet1!K566,Sheet1!K579,Sheet1!K592,Sheet1!K605,Sheet1!K618,Sheet1!K631,Sheet1!K644,Sheet1!K657,Sheet1!K670,Sheet1!K683)</f>
      </c>
      <c r="L69" s="17">
        <f>SUM(Sheet1!L540,Sheet1!L553,Sheet1!L566,Sheet1!L579,Sheet1!L592,Sheet1!L605,Sheet1!L618,Sheet1!L631,Sheet1!L644,Sheet1!L657,Sheet1!L670,Sheet1!L683)</f>
      </c>
    </row>
    <row x14ac:dyDescent="0.25" r="70" customHeight="1" ht="18.75">
      <c r="A70" s="4" t="s">
        <v>33</v>
      </c>
      <c r="B70" s="16"/>
      <c r="C70" s="16"/>
      <c r="D70" s="16"/>
      <c r="E70" s="16"/>
      <c r="F70" s="16"/>
      <c r="G70" s="16"/>
      <c r="H70" s="16"/>
      <c r="I70" s="16"/>
      <c r="J70" s="17">
        <f>SUM(Sheet1!J541,Sheet1!J554,Sheet1!J567,Sheet1!J580,Sheet1!J593,Sheet1!J606,Sheet1!J619,Sheet1!J632,Sheet1!J645,Sheet1!J658,Sheet1!J671,Sheet1!J684)</f>
      </c>
      <c r="K70" s="17">
        <f>SUM(Sheet1!K541,Sheet1!K554,Sheet1!K567,Sheet1!K580,Sheet1!K593,Sheet1!K606,Sheet1!K619,Sheet1!K632,Sheet1!K645,Sheet1!K658,Sheet1!K671,Sheet1!K684)</f>
      </c>
      <c r="L70" s="17">
        <f>SUM(Sheet1!L541,Sheet1!L554,Sheet1!L567,Sheet1!L580,Sheet1!L593,Sheet1!L606,Sheet1!L619,Sheet1!L632,Sheet1!L645,Sheet1!L658,Sheet1!L671,Sheet1!L684)</f>
      </c>
    </row>
    <row x14ac:dyDescent="0.25" r="71" customHeight="1" ht="18.75">
      <c r="A71" s="4" t="s">
        <v>34</v>
      </c>
      <c r="B71" s="16"/>
      <c r="C71" s="16"/>
      <c r="D71" s="16"/>
      <c r="E71" s="16"/>
      <c r="F71" s="16"/>
      <c r="G71" s="16"/>
      <c r="H71" s="16"/>
      <c r="I71" s="16"/>
      <c r="J71" s="17">
        <f>SUM(Sheet1!J542,Sheet1!J555,Sheet1!J568,Sheet1!J581,Sheet1!J594,Sheet1!J607,Sheet1!J620,Sheet1!J633,Sheet1!J646,Sheet1!J659,Sheet1!J672,Sheet1!J685)</f>
      </c>
      <c r="K71" s="17">
        <f>SUM(Sheet1!K542,Sheet1!K555,Sheet1!K568,Sheet1!K581,Sheet1!K594,Sheet1!K607,Sheet1!K620,Sheet1!K633,Sheet1!K646,Sheet1!K659,Sheet1!K672,Sheet1!K685)</f>
      </c>
      <c r="L71" s="17">
        <f>SUM(Sheet1!L542,Sheet1!L555,Sheet1!L568,Sheet1!L581,Sheet1!L594,Sheet1!L607,Sheet1!L620,Sheet1!L633,Sheet1!L646,Sheet1!L659,Sheet1!L672,Sheet1!L685)</f>
      </c>
    </row>
    <row x14ac:dyDescent="0.25" r="72" customHeight="1" ht="18.75">
      <c r="A72" s="4" t="s">
        <v>35</v>
      </c>
      <c r="B72" s="16"/>
      <c r="C72" s="16"/>
      <c r="D72" s="16"/>
      <c r="E72" s="16"/>
      <c r="F72" s="16"/>
      <c r="G72" s="16"/>
      <c r="H72" s="16"/>
      <c r="I72" s="16"/>
      <c r="J72" s="17">
        <f>SUM(Sheet1!J543,Sheet1!J556,Sheet1!J569,Sheet1!J582,Sheet1!J595,Sheet1!J608,Sheet1!J621,Sheet1!J634,Sheet1!J647,Sheet1!J660,Sheet1!J673,Sheet1!J686)</f>
      </c>
      <c r="K72" s="17">
        <f>SUM(Sheet1!K543,Sheet1!K556,Sheet1!K569,Sheet1!K582,Sheet1!K595,Sheet1!K608,Sheet1!K621,Sheet1!K634,Sheet1!K647,Sheet1!K660,Sheet1!K673,Sheet1!K686)</f>
      </c>
      <c r="L72" s="17">
        <f>SUM(Sheet1!L543,Sheet1!L556,Sheet1!L569,Sheet1!L582,Sheet1!L595,Sheet1!L608,Sheet1!L621,Sheet1!L634,Sheet1!L647,Sheet1!L660,Sheet1!L673,Sheet1!L686)</f>
      </c>
    </row>
    <row x14ac:dyDescent="0.25" r="73" customHeight="1" ht="18.75">
      <c r="A73" s="18" t="s">
        <v>36</v>
      </c>
      <c r="B73" s="2"/>
      <c r="C73" s="2"/>
      <c r="D73" s="2"/>
      <c r="E73" s="2"/>
      <c r="F73" s="2"/>
      <c r="G73" s="2"/>
      <c r="H73" s="2"/>
      <c r="I73" s="2"/>
      <c r="J73" s="19">
        <f>SUM(J64:J72)</f>
      </c>
      <c r="K73" s="19">
        <f>SUM(K64:K72)</f>
      </c>
      <c r="L73" s="19">
        <f>SUM(L64:L72)</f>
      </c>
    </row>
    <row x14ac:dyDescent="0.25" r="74" customHeight="1" ht="18.75">
      <c r="A74" s="2"/>
      <c r="B74" s="2"/>
      <c r="C74" s="2"/>
      <c r="D74" s="2"/>
      <c r="E74" s="2"/>
      <c r="F74" s="2"/>
      <c r="G74" s="2"/>
      <c r="H74" s="2"/>
      <c r="I74" s="2"/>
      <c r="J74" s="3"/>
      <c r="K74" s="3"/>
      <c r="L74" s="3"/>
    </row>
    <row x14ac:dyDescent="0.25" r="75" customHeight="1" ht="18.75">
      <c r="A75" s="2"/>
      <c r="B75" s="2"/>
      <c r="C75" s="2"/>
      <c r="D75" s="2"/>
      <c r="E75" s="2"/>
      <c r="F75" s="2"/>
      <c r="G75" s="2"/>
      <c r="H75" s="2"/>
      <c r="I75" s="1" t="s">
        <v>40</v>
      </c>
      <c r="J75" s="3"/>
      <c r="K75" s="3"/>
      <c r="L75" s="3"/>
    </row>
    <row x14ac:dyDescent="0.25" r="76" customHeight="1" ht="18.75">
      <c r="A76" s="2"/>
      <c r="B76" s="2"/>
      <c r="C76" s="2"/>
      <c r="D76" s="2"/>
      <c r="E76" s="2"/>
      <c r="F76" s="2"/>
      <c r="G76" s="2"/>
      <c r="H76" s="2"/>
      <c r="I76" s="4" t="s">
        <v>41</v>
      </c>
      <c r="J76" s="17">
        <f>J19</f>
      </c>
      <c r="K76" s="17">
        <f>K19</f>
      </c>
      <c r="L76" s="17">
        <f>L19</f>
      </c>
    </row>
    <row x14ac:dyDescent="0.25" r="77" customHeight="1" ht="18.75">
      <c r="A77" s="2"/>
      <c r="B77" s="2"/>
      <c r="C77" s="2"/>
      <c r="D77" s="2"/>
      <c r="E77" s="2"/>
      <c r="F77" s="2"/>
      <c r="G77" s="2"/>
      <c r="H77" s="2"/>
      <c r="I77" s="20" t="s">
        <v>42</v>
      </c>
      <c r="J77" s="21">
        <f>J73</f>
      </c>
      <c r="K77" s="21">
        <f>K73</f>
      </c>
      <c r="L77" s="21">
        <f>L73</f>
      </c>
    </row>
    <row x14ac:dyDescent="0.25" r="78" customHeight="1" ht="18.75">
      <c r="A78" s="2"/>
      <c r="B78" s="2"/>
      <c r="C78" s="2"/>
      <c r="D78" s="2"/>
      <c r="E78" s="2"/>
      <c r="F78" s="2"/>
      <c r="G78" s="2"/>
      <c r="H78" s="2"/>
      <c r="I78" s="22" t="s">
        <v>43</v>
      </c>
      <c r="J78" s="23">
        <f>SUM(J76:J77)</f>
      </c>
      <c r="K78" s="23">
        <f>SUM(K76:K77)</f>
      </c>
      <c r="L78" s="23">
        <f>SUM(L76:L77)</f>
      </c>
    </row>
    <row x14ac:dyDescent="0.25" r="79" customHeight="1" ht="18.75">
      <c r="A79" s="2"/>
      <c r="B79" s="2"/>
      <c r="C79" s="2"/>
      <c r="D79" s="2"/>
      <c r="E79" s="2"/>
      <c r="F79" s="2"/>
      <c r="G79" s="2"/>
      <c r="H79" s="2"/>
      <c r="I79" s="2"/>
      <c r="J79" s="24"/>
      <c r="K79" s="24"/>
      <c r="L79" s="24"/>
    </row>
    <row x14ac:dyDescent="0.25" r="80" customHeight="1" ht="18.75">
      <c r="A80" s="2"/>
      <c r="B80" s="2"/>
      <c r="C80" s="2"/>
      <c r="D80" s="2"/>
      <c r="E80" s="2"/>
      <c r="F80" s="2"/>
      <c r="G80" s="2"/>
      <c r="H80" s="2"/>
      <c r="I80" s="1" t="s">
        <v>44</v>
      </c>
      <c r="J80" s="25"/>
      <c r="K80" s="3"/>
      <c r="L80" s="25"/>
    </row>
    <row x14ac:dyDescent="0.25" r="81" customHeight="1" ht="18.75">
      <c r="A81" s="2"/>
      <c r="B81" s="2"/>
      <c r="C81" s="2"/>
      <c r="D81" s="2"/>
      <c r="E81" s="2"/>
      <c r="F81" s="2"/>
      <c r="G81" s="2"/>
      <c r="H81" s="2"/>
      <c r="I81" s="4" t="s">
        <v>42</v>
      </c>
      <c r="J81" s="17">
        <f>J37</f>
      </c>
      <c r="K81" s="17">
        <f>K37</f>
      </c>
      <c r="L81" s="17">
        <f>L37</f>
      </c>
    </row>
    <row x14ac:dyDescent="0.25" r="82" customHeight="1" ht="18.75">
      <c r="A82" s="2"/>
      <c r="B82" s="2"/>
      <c r="C82" s="2"/>
      <c r="D82" s="2"/>
      <c r="E82" s="2"/>
      <c r="F82" s="2"/>
      <c r="G82" s="2"/>
      <c r="H82" s="2"/>
      <c r="I82" s="20" t="s">
        <v>41</v>
      </c>
      <c r="J82" s="21">
        <f>J55</f>
      </c>
      <c r="K82" s="21">
        <f>K55</f>
      </c>
      <c r="L82" s="21">
        <f>L55</f>
      </c>
    </row>
    <row x14ac:dyDescent="0.25" r="83" customHeight="1" ht="18.75">
      <c r="A83" s="2"/>
      <c r="B83" s="2"/>
      <c r="C83" s="2"/>
      <c r="D83" s="2"/>
      <c r="E83" s="2"/>
      <c r="F83" s="2"/>
      <c r="G83" s="2"/>
      <c r="H83" s="2"/>
      <c r="I83" s="22" t="s">
        <v>43</v>
      </c>
      <c r="J83" s="23">
        <f>SUM(J81:J82)</f>
      </c>
      <c r="K83" s="23">
        <f>SUM(K81:K82)</f>
      </c>
      <c r="L83" s="23">
        <f>SUM(L81:L82)</f>
      </c>
    </row>
  </sheetData>
  <mergeCells count="48"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A26:A27"/>
    <mergeCell ref="B26:B27"/>
    <mergeCell ref="C26:C27"/>
    <mergeCell ref="D26:D27"/>
    <mergeCell ref="E26:E27"/>
    <mergeCell ref="F26:F27"/>
    <mergeCell ref="G26:G27"/>
    <mergeCell ref="H26:H27"/>
    <mergeCell ref="I26:I27"/>
    <mergeCell ref="J26:J27"/>
    <mergeCell ref="K26:K27"/>
    <mergeCell ref="L26:L27"/>
    <mergeCell ref="A44:A45"/>
    <mergeCell ref="B44:B45"/>
    <mergeCell ref="C44:C45"/>
    <mergeCell ref="D44:D45"/>
    <mergeCell ref="E44:E45"/>
    <mergeCell ref="F44:F45"/>
    <mergeCell ref="G44:G45"/>
    <mergeCell ref="H44:H45"/>
    <mergeCell ref="I44:I45"/>
    <mergeCell ref="J44:J45"/>
    <mergeCell ref="K44:K45"/>
    <mergeCell ref="L44:L45"/>
    <mergeCell ref="A62:A63"/>
    <mergeCell ref="B62:B63"/>
    <mergeCell ref="C62:C63"/>
    <mergeCell ref="D62:D63"/>
    <mergeCell ref="E62:E63"/>
    <mergeCell ref="F62:F63"/>
    <mergeCell ref="G62:G63"/>
    <mergeCell ref="H62:H63"/>
    <mergeCell ref="I62:I63"/>
    <mergeCell ref="J62:J63"/>
    <mergeCell ref="K62:K63"/>
    <mergeCell ref="L62:L63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Sheet1</vt:lpstr>
      <vt:lpstr>validate entries (rwy2)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2026-03-18T22:31:11.159Z</dcterms:created>
  <dcterms:modified xsi:type="dcterms:W3CDTF">2026-03-18T22:31:11.159Z</dcterms:modified>
</cp:coreProperties>
</file>