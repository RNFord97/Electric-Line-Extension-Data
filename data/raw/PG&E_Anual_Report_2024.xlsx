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energy-my.sharepoint.com/personal/robert_ford_energy_ca_gov/Documents/Documents/Analysis - Scripts and Code/Electric-Line-Extension-Data/data/raw/"/>
    </mc:Choice>
  </mc:AlternateContent>
  <xr:revisionPtr revIDLastSave="3" documentId="8_{4CD9C29C-1EC1-4122-BF1B-30C8F1D47522}" xr6:coauthVersionLast="47" xr6:coauthVersionMax="47" xr10:uidLastSave="{A246A132-AA91-4ABE-A882-549FDAC1DE54}"/>
  <bookViews>
    <workbookView xWindow="-120" yWindow="-16320" windowWidth="29040" windowHeight="15720" tabRatio="824" xr2:uid="{FA9A08F5-6E10-4009-98FE-889E7472C327}"/>
  </bookViews>
  <sheets>
    <sheet name="Sheet1" sheetId="16" r:id="rId1"/>
    <sheet name="validate entries (rwy2)" sheetId="1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8" i="16" l="1"/>
  <c r="B492" i="16"/>
  <c r="H492" i="16"/>
  <c r="B495" i="16"/>
  <c r="H495" i="16"/>
  <c r="B477" i="16"/>
  <c r="H477" i="16"/>
  <c r="H482" i="16"/>
  <c r="B466" i="16"/>
  <c r="H466" i="16"/>
  <c r="B469" i="16"/>
  <c r="H469" i="16"/>
  <c r="B453" i="16"/>
  <c r="H453" i="16"/>
  <c r="H455" i="16"/>
  <c r="B456" i="16"/>
  <c r="H456" i="16"/>
  <c r="B440" i="16"/>
  <c r="H440" i="16"/>
  <c r="B443" i="16"/>
  <c r="H443" i="16"/>
  <c r="B427" i="16"/>
  <c r="H427" i="16"/>
  <c r="B430" i="16"/>
  <c r="H430" i="16"/>
  <c r="H414" i="16"/>
  <c r="H417" i="16"/>
  <c r="H401" i="16"/>
  <c r="H404" i="16"/>
  <c r="H388" i="16"/>
  <c r="H391" i="16"/>
  <c r="H375" i="16"/>
  <c r="H378" i="16"/>
  <c r="H333" i="16"/>
  <c r="B317" i="16"/>
  <c r="D317" i="16"/>
  <c r="H317" i="16"/>
  <c r="B320" i="16"/>
  <c r="H320" i="16"/>
  <c r="B302" i="16"/>
  <c r="H302" i="16"/>
  <c r="H307" i="16"/>
  <c r="B291" i="16"/>
  <c r="D291" i="16"/>
  <c r="H291" i="16"/>
  <c r="B294" i="16"/>
  <c r="H294" i="16"/>
  <c r="B278" i="16"/>
  <c r="H278" i="16"/>
  <c r="H280" i="16"/>
  <c r="B281" i="16"/>
  <c r="H281" i="16"/>
  <c r="B265" i="16"/>
  <c r="H265" i="16"/>
  <c r="B268" i="16"/>
  <c r="H268" i="16"/>
  <c r="B251" i="16"/>
  <c r="B252" i="16"/>
  <c r="H252" i="16"/>
  <c r="B253" i="16"/>
  <c r="B255" i="16"/>
  <c r="H255" i="16"/>
  <c r="B239" i="16"/>
  <c r="H239" i="16"/>
  <c r="B242" i="16"/>
  <c r="H242" i="16"/>
  <c r="H226" i="16"/>
  <c r="H229" i="16"/>
  <c r="H213" i="16"/>
  <c r="B214" i="16"/>
  <c r="H216" i="16"/>
  <c r="H200" i="16"/>
  <c r="H203" i="16"/>
  <c r="B185" i="16"/>
  <c r="H186" i="16"/>
  <c r="H187" i="16"/>
  <c r="H190" i="16"/>
  <c r="L54" i="13"/>
  <c r="K54" i="13"/>
  <c r="J54" i="13"/>
  <c r="L53" i="13"/>
  <c r="K53" i="13"/>
  <c r="J53" i="13"/>
  <c r="L52" i="13"/>
  <c r="K52" i="13"/>
  <c r="J52" i="13"/>
  <c r="L51" i="13"/>
  <c r="K51" i="13"/>
  <c r="J51" i="13"/>
  <c r="L50" i="13"/>
  <c r="K50" i="13"/>
  <c r="J50" i="13"/>
  <c r="L49" i="13"/>
  <c r="K49" i="13"/>
  <c r="J49" i="13"/>
  <c r="L48" i="13"/>
  <c r="K48" i="13"/>
  <c r="J48" i="13"/>
  <c r="L47" i="13"/>
  <c r="K47" i="13"/>
  <c r="J47" i="13"/>
  <c r="L46" i="13"/>
  <c r="K46" i="13"/>
  <c r="J46" i="13"/>
  <c r="K72" i="13"/>
  <c r="K71" i="13"/>
  <c r="K70" i="13"/>
  <c r="K69" i="13"/>
  <c r="K68" i="13"/>
  <c r="K67" i="13"/>
  <c r="K66" i="13"/>
  <c r="K65" i="13"/>
  <c r="K64" i="13"/>
  <c r="K36" i="13"/>
  <c r="K35" i="13"/>
  <c r="K34" i="13"/>
  <c r="K33" i="13"/>
  <c r="K32" i="13"/>
  <c r="K31" i="13"/>
  <c r="K30" i="13"/>
  <c r="K29" i="13"/>
  <c r="K28" i="13"/>
  <c r="K18" i="13"/>
  <c r="K17" i="13"/>
  <c r="K16" i="13"/>
  <c r="K15" i="13"/>
  <c r="K14" i="13"/>
  <c r="K13" i="13"/>
  <c r="K12" i="13"/>
  <c r="K11" i="13"/>
  <c r="K10" i="13"/>
  <c r="L72" i="13"/>
  <c r="L71" i="13"/>
  <c r="L70" i="13"/>
  <c r="L69" i="13"/>
  <c r="L68" i="13"/>
  <c r="L67" i="13"/>
  <c r="L66" i="13"/>
  <c r="L65" i="13"/>
  <c r="L64" i="13"/>
  <c r="L36" i="13"/>
  <c r="L35" i="13"/>
  <c r="L34" i="13"/>
  <c r="L33" i="13"/>
  <c r="L32" i="13"/>
  <c r="L31" i="13"/>
  <c r="L30" i="13"/>
  <c r="L29" i="13"/>
  <c r="L28" i="13"/>
  <c r="L18" i="13"/>
  <c r="L17" i="13"/>
  <c r="L16" i="13"/>
  <c r="L15" i="13"/>
  <c r="L14" i="13"/>
  <c r="L13" i="13"/>
  <c r="L12" i="13"/>
  <c r="L11" i="13"/>
  <c r="L10" i="13"/>
  <c r="J72" i="13"/>
  <c r="J71" i="13"/>
  <c r="J70" i="13"/>
  <c r="J69" i="13"/>
  <c r="J68" i="13"/>
  <c r="J67" i="13"/>
  <c r="J66" i="13"/>
  <c r="J65" i="13"/>
  <c r="J64" i="13"/>
  <c r="J36" i="13"/>
  <c r="J35" i="13"/>
  <c r="J34" i="13"/>
  <c r="J33" i="13"/>
  <c r="J32" i="13"/>
  <c r="J31" i="13"/>
  <c r="J30" i="13"/>
  <c r="J29" i="13"/>
  <c r="J28" i="13"/>
  <c r="J11" i="13"/>
  <c r="J12" i="13"/>
  <c r="J13" i="13"/>
  <c r="J14" i="13"/>
  <c r="J15" i="13"/>
  <c r="J16" i="13"/>
  <c r="J17" i="13"/>
  <c r="J18" i="13"/>
  <c r="J10" i="13"/>
  <c r="J55" i="13" l="1"/>
  <c r="J82" i="13" s="1"/>
  <c r="L55" i="13"/>
  <c r="L82" i="13" s="1"/>
  <c r="K55" i="13"/>
  <c r="K82" i="13" s="1"/>
  <c r="L73" i="13"/>
  <c r="L77" i="13" s="1"/>
  <c r="K73" i="13"/>
  <c r="K77" i="13" s="1"/>
  <c r="J19" i="13"/>
  <c r="J76" i="13" s="1"/>
  <c r="K19" i="13"/>
  <c r="K76" i="13" s="1"/>
  <c r="J73" i="13"/>
  <c r="J77" i="13" s="1"/>
  <c r="L19" i="13"/>
  <c r="L76" i="13" s="1"/>
  <c r="L37" i="13"/>
  <c r="L81" i="13" s="1"/>
  <c r="J37" i="13"/>
  <c r="J81" i="13" s="1"/>
  <c r="K37" i="13"/>
  <c r="K81" i="13" s="1"/>
  <c r="L83" i="13" l="1"/>
  <c r="K83" i="13"/>
  <c r="J83" i="13"/>
  <c r="L78" i="13"/>
  <c r="K78" i="13"/>
  <c r="J78" i="13"/>
</calcChain>
</file>

<file path=xl/sharedStrings.xml><?xml version="1.0" encoding="utf-8"?>
<sst xmlns="http://schemas.openxmlformats.org/spreadsheetml/2006/main" count="1882" uniqueCount="66">
  <si>
    <t>Category: MIXED FUEL NEW CONSTRUCTION</t>
  </si>
  <si>
    <t>Dates to Pull: January 01, 2024 ‐ December 31, 2024</t>
  </si>
  <si>
    <t>Due Date: May 01, 2025</t>
  </si>
  <si>
    <t>*Customer classes vary between IOU's</t>
  </si>
  <si>
    <t>Item 9</t>
  </si>
  <si>
    <t xml:space="preserve">item 12 </t>
  </si>
  <si>
    <t>Item 7</t>
  </si>
  <si>
    <t>Item 10</t>
  </si>
  <si>
    <t>Item 8</t>
  </si>
  <si>
    <t>Item 11</t>
  </si>
  <si>
    <t>Item 3</t>
  </si>
  <si>
    <t>Item 2</t>
  </si>
  <si>
    <t>Item 1</t>
  </si>
  <si>
    <t>Item 4</t>
  </si>
  <si>
    <t xml:space="preserve">Item 14 </t>
  </si>
  <si>
    <t>Customer Class</t>
  </si>
  <si>
    <t>Total Discounts (Non‐Exempted Projects)</t>
  </si>
  <si>
    <t>Total Discounts (Exempted projects)</t>
  </si>
  <si>
    <t>Total Allowances (Non‐Exempted Projects)</t>
  </si>
  <si>
    <t>Total Allowances (Exempted projects)</t>
  </si>
  <si>
    <t>Total Refund Payments Provided to Builders (Non‐Exempted Projects)</t>
  </si>
  <si>
    <t>Total Refund Payments Provided to Builders (Exempted projects)</t>
  </si>
  <si>
    <t>Total Estimated Non‐Refundable</t>
  </si>
  <si>
    <t>Total Estimated Refundable</t>
  </si>
  <si>
    <t>Total Electric Line Extension Requests received (applications)</t>
  </si>
  <si>
    <t>Total Electric Line Extensions Energized</t>
  </si>
  <si>
    <t>Total Electric Line Extension Applications for applicant install</t>
  </si>
  <si>
    <t>Agency (City, County, Caltrans)</t>
  </si>
  <si>
    <t>Agricultural</t>
  </si>
  <si>
    <t>Commercial</t>
  </si>
  <si>
    <t xml:space="preserve">Industrial </t>
  </si>
  <si>
    <t xml:space="preserve">Mixed Use (Commercial / Residential) </t>
  </si>
  <si>
    <t xml:space="preserve">Residential </t>
  </si>
  <si>
    <t xml:space="preserve">Street and Outdoor area Lighting  </t>
  </si>
  <si>
    <t xml:space="preserve">Telecommunications  </t>
  </si>
  <si>
    <t>Temporary Services</t>
  </si>
  <si>
    <t>Category: Upgrades to Existing Facilities (All Electric)</t>
  </si>
  <si>
    <t>Category: Upgrades to Existing Facilities (Mixed Fuel)</t>
  </si>
  <si>
    <t>Category: All Electric New Construction</t>
  </si>
  <si>
    <t>TOTAL</t>
  </si>
  <si>
    <t>Mixed Fuel</t>
  </si>
  <si>
    <t>All Electric</t>
  </si>
  <si>
    <t>New Construction:</t>
  </si>
  <si>
    <t>Upgrades to Existing Facilities:</t>
  </si>
  <si>
    <t>Total</t>
  </si>
  <si>
    <t xml:space="preserve">January </t>
  </si>
  <si>
    <t>February</t>
  </si>
  <si>
    <t>March</t>
  </si>
  <si>
    <t>April</t>
  </si>
  <si>
    <t xml:space="preserve">May </t>
  </si>
  <si>
    <t>June</t>
  </si>
  <si>
    <t xml:space="preserve">July </t>
  </si>
  <si>
    <t xml:space="preserve">August </t>
  </si>
  <si>
    <t>September</t>
  </si>
  <si>
    <t>October</t>
  </si>
  <si>
    <t>November</t>
  </si>
  <si>
    <t>December</t>
  </si>
  <si>
    <t xml:space="preserve">Total </t>
  </si>
  <si>
    <t>January</t>
  </si>
  <si>
    <t xml:space="preserve">April </t>
  </si>
  <si>
    <t>May</t>
  </si>
  <si>
    <t xml:space="preserve">October </t>
  </si>
  <si>
    <t xml:space="preserve">February </t>
  </si>
  <si>
    <t xml:space="preserve">March </t>
  </si>
  <si>
    <t>August</t>
  </si>
  <si>
    <t xml:space="preserve">November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</si>
</sst>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44" fontId="0" fillId="0" borderId="1" xfId="1" applyFont="1" applyBorder="1"/>
    <xf numFmtId="164" fontId="0" fillId="0" borderId="1" xfId="1" applyNumberFormat="1" applyFont="1" applyBorder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0" fontId="2" fillId="0" borderId="2" xfId="0" applyFont="1" applyBorder="1"/>
    <xf numFmtId="0" fontId="0" fillId="0" borderId="4" xfId="0" applyBorder="1"/>
    <xf numFmtId="3" fontId="0" fillId="0" borderId="4" xfId="0" applyNumberFormat="1" applyBorder="1"/>
    <xf numFmtId="3" fontId="2" fillId="2" borderId="1" xfId="0" applyNumberFormat="1" applyFont="1" applyFill="1" applyBorder="1"/>
    <xf numFmtId="3" fontId="2" fillId="0" borderId="0" xfId="0" applyNumberFormat="1" applyFont="1"/>
    <xf numFmtId="3" fontId="2" fillId="2" borderId="3" xfId="0" applyNumberFormat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0</xdr:row>
      <xdr:rowOff>47625</xdr:rowOff>
    </xdr:from>
    <xdr:to>
      <xdr:col>11</xdr:col>
      <xdr:colOff>695325</xdr:colOff>
      <xdr:row>1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814A3B-C699-480D-A5D0-AD0166F2DE1E}"/>
            </a:ext>
          </a:extLst>
        </xdr:cNvPr>
        <xdr:cNvSpPr txBox="1"/>
      </xdr:nvSpPr>
      <xdr:spPr>
        <a:xfrm>
          <a:off x="3152775" y="47625"/>
          <a:ext cx="5324475" cy="285750"/>
        </a:xfrm>
        <a:prstGeom prst="rect">
          <a:avLst/>
        </a:prstGeom>
        <a:solidFill>
          <a:srgbClr val="FFFF00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This Tab is used to Validate entries made to</a:t>
          </a:r>
          <a:r>
            <a:rPr lang="en-US" sz="1100" b="1" baseline="0">
              <a:solidFill>
                <a:srgbClr val="FF0000"/>
              </a:solidFill>
            </a:rPr>
            <a:t> Items 1 , 4, &amp; 14 by summing up monthly tabs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8DC2-28CD-45F2-8F95-B5F723FEF4EB}">
  <sheetPr>
    <pageSetUpPr fitToPage="1"/>
  </sheetPr>
  <dimension ref="A1:L701"/>
  <sheetViews>
    <sheetView tabSelected="1" topLeftCell="F1" workbookViewId="0">
      <selection activeCell="K15" sqref="K15"/>
    </sheetView>
  </sheetViews>
  <sheetFormatPr defaultRowHeight="14.5" x14ac:dyDescent="0.35"/>
  <cols>
    <col min="1" max="1" width="46.453125" bestFit="1" customWidth="1"/>
    <col min="2" max="2" width="38" bestFit="1" customWidth="1"/>
    <col min="3" max="3" width="33.36328125" bestFit="1" customWidth="1"/>
    <col min="4" max="4" width="39.36328125" bestFit="1" customWidth="1"/>
    <col min="5" max="5" width="34.6328125" bestFit="1" customWidth="1"/>
    <col min="6" max="6" width="63.08984375" bestFit="1" customWidth="1"/>
    <col min="7" max="7" width="58.453125" bestFit="1" customWidth="1"/>
    <col min="8" max="8" width="30.08984375" bestFit="1" customWidth="1"/>
    <col min="9" max="9" width="25.54296875" bestFit="1" customWidth="1"/>
  </cols>
  <sheetData>
    <row r="1" spans="1:12" x14ac:dyDescent="0.35">
      <c r="A1" s="4" t="s">
        <v>0</v>
      </c>
    </row>
    <row r="2" spans="1:12" x14ac:dyDescent="0.35">
      <c r="A2" t="s">
        <v>1</v>
      </c>
    </row>
    <row r="3" spans="1:12" x14ac:dyDescent="0.35">
      <c r="A3" t="s">
        <v>2</v>
      </c>
    </row>
    <row r="4" spans="1:12" x14ac:dyDescent="0.35">
      <c r="A4" t="s">
        <v>3</v>
      </c>
    </row>
    <row r="7" spans="1:12" x14ac:dyDescent="0.35">
      <c r="A7" s="14" t="s">
        <v>45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</row>
    <row r="8" spans="1:12" x14ac:dyDescent="0.35">
      <c r="A8" s="18" t="s">
        <v>15</v>
      </c>
      <c r="B8" s="17" t="s">
        <v>16</v>
      </c>
      <c r="C8" s="19" t="s">
        <v>17</v>
      </c>
      <c r="D8" s="17" t="s">
        <v>18</v>
      </c>
      <c r="E8" s="17" t="s">
        <v>19</v>
      </c>
      <c r="F8" s="17" t="s">
        <v>20</v>
      </c>
      <c r="G8" s="17" t="s">
        <v>21</v>
      </c>
      <c r="H8" s="17" t="s">
        <v>22</v>
      </c>
      <c r="I8" s="19" t="s">
        <v>23</v>
      </c>
      <c r="J8" s="17" t="s">
        <v>24</v>
      </c>
      <c r="K8" s="19" t="s">
        <v>25</v>
      </c>
      <c r="L8" s="17" t="s">
        <v>26</v>
      </c>
    </row>
    <row r="9" spans="1:12" ht="117.5" customHeight="1" x14ac:dyDescent="0.35">
      <c r="A9" s="18"/>
      <c r="B9" s="17"/>
      <c r="C9" s="19"/>
      <c r="D9" s="17"/>
      <c r="E9" s="17"/>
      <c r="F9" s="17"/>
      <c r="G9" s="17"/>
      <c r="H9" s="17"/>
      <c r="I9" s="19"/>
      <c r="J9" s="17"/>
      <c r="K9" s="19"/>
      <c r="L9" s="17"/>
    </row>
    <row r="10" spans="1:12" x14ac:dyDescent="0.35">
      <c r="A10" s="1" t="s">
        <v>27</v>
      </c>
      <c r="B10" s="2">
        <v>34947</v>
      </c>
      <c r="C10" s="2">
        <v>0</v>
      </c>
      <c r="D10" s="2">
        <v>23785</v>
      </c>
      <c r="E10" s="2">
        <v>0</v>
      </c>
      <c r="F10" s="2">
        <v>0</v>
      </c>
      <c r="G10" s="2">
        <v>0</v>
      </c>
      <c r="H10" s="2">
        <v>8530</v>
      </c>
      <c r="I10" s="2">
        <v>93678</v>
      </c>
      <c r="J10" s="1">
        <v>1</v>
      </c>
      <c r="K10" s="1"/>
      <c r="L10" s="1"/>
    </row>
    <row r="11" spans="1:12" x14ac:dyDescent="0.35">
      <c r="A11" s="1" t="s">
        <v>28</v>
      </c>
      <c r="B11" s="2">
        <v>2352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1564</v>
      </c>
      <c r="I11" s="2">
        <v>4705</v>
      </c>
      <c r="J11" s="1">
        <v>4</v>
      </c>
      <c r="K11" s="1"/>
      <c r="L11" s="1">
        <v>1</v>
      </c>
    </row>
    <row r="12" spans="1:12" x14ac:dyDescent="0.35">
      <c r="A12" s="1" t="s">
        <v>29</v>
      </c>
      <c r="B12" s="2">
        <v>2154069</v>
      </c>
      <c r="C12" s="2">
        <v>0</v>
      </c>
      <c r="D12" s="2">
        <v>2223555</v>
      </c>
      <c r="E12" s="2">
        <v>0</v>
      </c>
      <c r="F12" s="2">
        <v>13735</v>
      </c>
      <c r="G12" s="2">
        <v>0</v>
      </c>
      <c r="H12" s="2">
        <v>534142</v>
      </c>
      <c r="I12" s="2">
        <v>6531693</v>
      </c>
      <c r="J12" s="1">
        <v>30</v>
      </c>
      <c r="K12" s="1">
        <v>20</v>
      </c>
      <c r="L12" s="1">
        <v>9</v>
      </c>
    </row>
    <row r="13" spans="1:12" x14ac:dyDescent="0.35">
      <c r="A13" s="1" t="s">
        <v>30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1">
        <v>6</v>
      </c>
      <c r="K13" s="1">
        <v>1</v>
      </c>
      <c r="L13" s="1">
        <v>2</v>
      </c>
    </row>
    <row r="14" spans="1:12" x14ac:dyDescent="0.35">
      <c r="A14" s="1" t="s">
        <v>31</v>
      </c>
      <c r="B14" s="2">
        <v>65787</v>
      </c>
      <c r="C14" s="2">
        <v>0</v>
      </c>
      <c r="D14" s="2">
        <v>45715</v>
      </c>
      <c r="E14" s="2">
        <v>0</v>
      </c>
      <c r="F14" s="2">
        <v>6532</v>
      </c>
      <c r="G14" s="2">
        <v>0</v>
      </c>
      <c r="H14" s="2">
        <v>22614</v>
      </c>
      <c r="I14" s="2">
        <v>177289</v>
      </c>
      <c r="J14" s="1">
        <v>3</v>
      </c>
      <c r="K14" s="1">
        <v>3</v>
      </c>
      <c r="L14" s="1">
        <v>1</v>
      </c>
    </row>
    <row r="15" spans="1:12" x14ac:dyDescent="0.35">
      <c r="A15" s="1" t="s">
        <v>32</v>
      </c>
      <c r="B15" s="2">
        <v>6261218</v>
      </c>
      <c r="C15" s="2">
        <v>0</v>
      </c>
      <c r="D15" s="2">
        <v>3839388</v>
      </c>
      <c r="E15" s="2">
        <v>0</v>
      </c>
      <c r="F15" s="2">
        <v>49132</v>
      </c>
      <c r="G15" s="2">
        <v>0</v>
      </c>
      <c r="H15" s="2">
        <v>2935514</v>
      </c>
      <c r="I15" s="2">
        <v>16685228</v>
      </c>
      <c r="J15" s="1">
        <v>218</v>
      </c>
      <c r="K15" s="1">
        <v>86</v>
      </c>
      <c r="L15" s="1">
        <v>49</v>
      </c>
    </row>
    <row r="16" spans="1:12" x14ac:dyDescent="0.35">
      <c r="A16" s="1" t="s">
        <v>33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1"/>
      <c r="K16" s="1"/>
      <c r="L16" s="1"/>
    </row>
    <row r="17" spans="1:12" x14ac:dyDescent="0.35">
      <c r="A17" s="1" t="s">
        <v>34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"/>
      <c r="K17" s="1"/>
      <c r="L17" s="1"/>
    </row>
    <row r="18" spans="1:12" x14ac:dyDescent="0.35">
      <c r="A18" s="1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1"/>
      <c r="K18" s="1"/>
      <c r="L18" s="1"/>
    </row>
    <row r="20" spans="1:12" x14ac:dyDescent="0.35">
      <c r="A20" s="14" t="s">
        <v>46</v>
      </c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  <c r="J20" s="1" t="s">
        <v>12</v>
      </c>
      <c r="K20" s="1" t="s">
        <v>13</v>
      </c>
      <c r="L20" s="1" t="s">
        <v>14</v>
      </c>
    </row>
    <row r="21" spans="1:12" x14ac:dyDescent="0.35">
      <c r="A21" s="18" t="s">
        <v>15</v>
      </c>
      <c r="B21" s="17" t="s">
        <v>16</v>
      </c>
      <c r="C21" s="19" t="s">
        <v>17</v>
      </c>
      <c r="D21" s="17" t="s">
        <v>18</v>
      </c>
      <c r="E21" s="17" t="s">
        <v>19</v>
      </c>
      <c r="F21" s="17" t="s">
        <v>20</v>
      </c>
      <c r="G21" s="17" t="s">
        <v>21</v>
      </c>
      <c r="H21" s="17" t="s">
        <v>22</v>
      </c>
      <c r="I21" s="19" t="s">
        <v>23</v>
      </c>
      <c r="J21" s="17" t="s">
        <v>24</v>
      </c>
      <c r="K21" s="19" t="s">
        <v>25</v>
      </c>
      <c r="L21" s="17" t="s">
        <v>26</v>
      </c>
    </row>
    <row r="22" spans="1:12" x14ac:dyDescent="0.35">
      <c r="A22" s="18"/>
      <c r="B22" s="17"/>
      <c r="C22" s="19"/>
      <c r="D22" s="17"/>
      <c r="E22" s="17"/>
      <c r="F22" s="17"/>
      <c r="G22" s="17"/>
      <c r="H22" s="17"/>
      <c r="I22" s="19"/>
      <c r="J22" s="17"/>
      <c r="K22" s="19"/>
      <c r="L22" s="17"/>
    </row>
    <row r="23" spans="1:12" x14ac:dyDescent="0.35">
      <c r="A23" s="1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/>
      <c r="H23" s="2">
        <v>0</v>
      </c>
      <c r="I23" s="2">
        <v>0</v>
      </c>
      <c r="J23" s="1"/>
      <c r="K23" s="1"/>
      <c r="L23" s="1"/>
    </row>
    <row r="24" spans="1:12" x14ac:dyDescent="0.35">
      <c r="A24" s="1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/>
      <c r="H24" s="2">
        <v>0</v>
      </c>
      <c r="I24" s="2">
        <v>0</v>
      </c>
      <c r="J24" s="1">
        <v>1</v>
      </c>
      <c r="K24" s="1"/>
      <c r="L24" s="1"/>
    </row>
    <row r="25" spans="1:12" x14ac:dyDescent="0.35">
      <c r="A25" s="1" t="s">
        <v>29</v>
      </c>
      <c r="B25" s="2">
        <v>2496365</v>
      </c>
      <c r="C25" s="2">
        <v>0</v>
      </c>
      <c r="D25" s="2">
        <v>1871907</v>
      </c>
      <c r="E25" s="2">
        <v>0</v>
      </c>
      <c r="F25" s="2">
        <v>64392</v>
      </c>
      <c r="G25" s="2"/>
      <c r="H25" s="2">
        <v>346491</v>
      </c>
      <c r="I25" s="2">
        <v>6864637</v>
      </c>
      <c r="J25" s="1">
        <v>29</v>
      </c>
      <c r="K25" s="1">
        <v>19</v>
      </c>
      <c r="L25" s="1">
        <v>9</v>
      </c>
    </row>
    <row r="26" spans="1:12" x14ac:dyDescent="0.35">
      <c r="A26" s="1" t="s">
        <v>30</v>
      </c>
      <c r="B26" s="2">
        <v>0</v>
      </c>
      <c r="C26" s="2">
        <v>0</v>
      </c>
      <c r="D26" s="2">
        <v>301918</v>
      </c>
      <c r="E26" s="2">
        <v>0</v>
      </c>
      <c r="F26" s="2">
        <v>0</v>
      </c>
      <c r="G26" s="2"/>
      <c r="H26" s="2">
        <v>6843</v>
      </c>
      <c r="I26" s="2">
        <v>301918</v>
      </c>
      <c r="J26" s="1">
        <v>2</v>
      </c>
      <c r="K26" s="1"/>
      <c r="L26" s="1">
        <v>2</v>
      </c>
    </row>
    <row r="27" spans="1:12" x14ac:dyDescent="0.35">
      <c r="A27" s="1" t="s">
        <v>31</v>
      </c>
      <c r="B27" s="2">
        <v>71856</v>
      </c>
      <c r="C27" s="2">
        <v>0</v>
      </c>
      <c r="D27" s="2">
        <v>528537</v>
      </c>
      <c r="E27" s="2">
        <v>0</v>
      </c>
      <c r="F27" s="2">
        <v>2411</v>
      </c>
      <c r="G27" s="2"/>
      <c r="H27" s="2">
        <v>68704</v>
      </c>
      <c r="I27" s="2">
        <v>672249</v>
      </c>
      <c r="J27" s="1">
        <v>5</v>
      </c>
      <c r="K27" s="1">
        <v>4</v>
      </c>
      <c r="L27" s="1">
        <v>4</v>
      </c>
    </row>
    <row r="28" spans="1:12" x14ac:dyDescent="0.35">
      <c r="A28" s="1" t="s">
        <v>32</v>
      </c>
      <c r="B28" s="2">
        <v>2968529</v>
      </c>
      <c r="C28" s="2">
        <v>0</v>
      </c>
      <c r="D28" s="2">
        <v>1458026</v>
      </c>
      <c r="E28" s="2">
        <v>0</v>
      </c>
      <c r="F28" s="2">
        <v>371659</v>
      </c>
      <c r="G28" s="2"/>
      <c r="H28" s="2">
        <v>2189194</v>
      </c>
      <c r="I28" s="2">
        <v>7912520</v>
      </c>
      <c r="J28" s="1">
        <v>211</v>
      </c>
      <c r="K28" s="1">
        <v>78</v>
      </c>
      <c r="L28" s="1">
        <v>35</v>
      </c>
    </row>
    <row r="29" spans="1:12" x14ac:dyDescent="0.35">
      <c r="A29" s="1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/>
      <c r="H29" s="2">
        <v>0</v>
      </c>
      <c r="I29" s="2">
        <v>0</v>
      </c>
      <c r="J29" s="1"/>
      <c r="K29" s="1"/>
      <c r="L29" s="1"/>
    </row>
    <row r="30" spans="1:12" x14ac:dyDescent="0.35">
      <c r="A30" s="1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/>
      <c r="H30" s="2">
        <v>0</v>
      </c>
      <c r="I30" s="2">
        <v>0</v>
      </c>
      <c r="J30" s="1"/>
      <c r="K30" s="1"/>
      <c r="L30" s="1"/>
    </row>
    <row r="31" spans="1:12" x14ac:dyDescent="0.35">
      <c r="A31" s="1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/>
      <c r="H31" s="2">
        <v>0</v>
      </c>
      <c r="I31" s="2">
        <v>0</v>
      </c>
      <c r="J31" s="1"/>
      <c r="K31" s="1"/>
      <c r="L31" s="1"/>
    </row>
    <row r="33" spans="1:12" x14ac:dyDescent="0.35">
      <c r="A33" s="14" t="s">
        <v>47</v>
      </c>
      <c r="B33" s="1" t="s">
        <v>4</v>
      </c>
      <c r="C33" s="1" t="s">
        <v>5</v>
      </c>
      <c r="D33" s="1" t="s">
        <v>6</v>
      </c>
      <c r="E33" s="1" t="s">
        <v>7</v>
      </c>
      <c r="F33" s="1" t="s">
        <v>8</v>
      </c>
      <c r="G33" s="1" t="s">
        <v>9</v>
      </c>
      <c r="H33" s="1" t="s">
        <v>10</v>
      </c>
      <c r="I33" s="1" t="s">
        <v>11</v>
      </c>
      <c r="J33" s="1" t="s">
        <v>12</v>
      </c>
      <c r="K33" s="1" t="s">
        <v>13</v>
      </c>
      <c r="L33" s="1" t="s">
        <v>14</v>
      </c>
    </row>
    <row r="34" spans="1:12" x14ac:dyDescent="0.35">
      <c r="A34" s="18" t="s">
        <v>15</v>
      </c>
      <c r="B34" s="17" t="s">
        <v>16</v>
      </c>
      <c r="C34" s="19" t="s">
        <v>17</v>
      </c>
      <c r="D34" s="17" t="s">
        <v>18</v>
      </c>
      <c r="E34" s="17" t="s">
        <v>19</v>
      </c>
      <c r="F34" s="17" t="s">
        <v>20</v>
      </c>
      <c r="G34" s="17" t="s">
        <v>21</v>
      </c>
      <c r="H34" s="17" t="s">
        <v>22</v>
      </c>
      <c r="I34" s="19" t="s">
        <v>23</v>
      </c>
      <c r="J34" s="17" t="s">
        <v>24</v>
      </c>
      <c r="K34" s="19" t="s">
        <v>25</v>
      </c>
      <c r="L34" s="17" t="s">
        <v>26</v>
      </c>
    </row>
    <row r="35" spans="1:12" x14ac:dyDescent="0.35">
      <c r="A35" s="18"/>
      <c r="B35" s="17"/>
      <c r="C35" s="19"/>
      <c r="D35" s="17"/>
      <c r="E35" s="17"/>
      <c r="F35" s="17"/>
      <c r="G35" s="17"/>
      <c r="H35" s="17"/>
      <c r="I35" s="19"/>
      <c r="J35" s="17"/>
      <c r="K35" s="19"/>
      <c r="L35" s="17"/>
    </row>
    <row r="36" spans="1:12" x14ac:dyDescent="0.35">
      <c r="A36" s="1" t="s">
        <v>27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1">
        <v>2</v>
      </c>
      <c r="K36" s="1"/>
      <c r="L36" s="1"/>
    </row>
    <row r="37" spans="1:12" x14ac:dyDescent="0.35">
      <c r="A37" s="1" t="s">
        <v>28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1">
        <v>1</v>
      </c>
      <c r="K37" s="1"/>
      <c r="L37" s="1"/>
    </row>
    <row r="38" spans="1:12" x14ac:dyDescent="0.35">
      <c r="A38" s="1" t="s">
        <v>29</v>
      </c>
      <c r="B38" s="2">
        <v>1197197</v>
      </c>
      <c r="C38" s="2">
        <v>0</v>
      </c>
      <c r="D38" s="2">
        <v>1118740</v>
      </c>
      <c r="E38" s="2">
        <v>0</v>
      </c>
      <c r="F38" s="2">
        <v>0</v>
      </c>
      <c r="G38" s="2"/>
      <c r="H38" s="2">
        <v>303370</v>
      </c>
      <c r="I38" s="2">
        <v>3513135</v>
      </c>
      <c r="J38" s="1">
        <v>37</v>
      </c>
      <c r="K38" s="1">
        <v>23</v>
      </c>
      <c r="L38" s="1">
        <v>18</v>
      </c>
    </row>
    <row r="39" spans="1:12" x14ac:dyDescent="0.35">
      <c r="A39" s="1" t="s">
        <v>30</v>
      </c>
      <c r="B39" s="2">
        <v>86196</v>
      </c>
      <c r="C39" s="2">
        <v>0</v>
      </c>
      <c r="D39" s="2">
        <v>46448</v>
      </c>
      <c r="E39" s="2">
        <v>0</v>
      </c>
      <c r="F39" s="2">
        <v>0</v>
      </c>
      <c r="G39" s="2"/>
      <c r="H39" s="2">
        <v>26380</v>
      </c>
      <c r="I39" s="2">
        <v>218839</v>
      </c>
      <c r="J39" s="1">
        <v>3</v>
      </c>
      <c r="K39" s="1"/>
      <c r="L39" s="1">
        <v>1</v>
      </c>
    </row>
    <row r="40" spans="1:12" x14ac:dyDescent="0.35">
      <c r="A40" s="1" t="s">
        <v>31</v>
      </c>
      <c r="B40" s="2">
        <v>0</v>
      </c>
      <c r="C40" s="2">
        <v>0</v>
      </c>
      <c r="D40" s="2">
        <v>159042</v>
      </c>
      <c r="E40" s="2">
        <v>0</v>
      </c>
      <c r="F40" s="2">
        <v>3204.09</v>
      </c>
      <c r="G40" s="2"/>
      <c r="H40" s="2">
        <v>22940</v>
      </c>
      <c r="I40" s="2">
        <v>159042</v>
      </c>
      <c r="J40" s="1">
        <v>2</v>
      </c>
      <c r="K40" s="1">
        <v>2</v>
      </c>
      <c r="L40" s="1">
        <v>1</v>
      </c>
    </row>
    <row r="41" spans="1:12" x14ac:dyDescent="0.35">
      <c r="A41" s="1" t="s">
        <v>32</v>
      </c>
      <c r="B41" s="2">
        <v>7490314</v>
      </c>
      <c r="C41" s="2">
        <v>0</v>
      </c>
      <c r="D41" s="2">
        <v>4481781</v>
      </c>
      <c r="E41" s="2">
        <v>0</v>
      </c>
      <c r="F41" s="2">
        <v>223345</v>
      </c>
      <c r="G41" s="2"/>
      <c r="H41" s="2">
        <v>3509612</v>
      </c>
      <c r="I41" s="2">
        <v>19741962</v>
      </c>
      <c r="J41" s="1">
        <v>221</v>
      </c>
      <c r="K41" s="1">
        <v>101</v>
      </c>
      <c r="L41" s="1">
        <v>51</v>
      </c>
    </row>
    <row r="42" spans="1:12" x14ac:dyDescent="0.35">
      <c r="A42" s="1" t="s">
        <v>33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/>
      <c r="H42" s="2">
        <v>0</v>
      </c>
      <c r="I42" s="2">
        <v>0</v>
      </c>
      <c r="J42" s="1"/>
      <c r="K42" s="1"/>
      <c r="L42" s="1"/>
    </row>
    <row r="43" spans="1:12" x14ac:dyDescent="0.35">
      <c r="A43" s="1" t="s">
        <v>34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/>
      <c r="H43" s="2">
        <v>0</v>
      </c>
      <c r="I43" s="2">
        <v>0</v>
      </c>
      <c r="J43" s="1"/>
      <c r="K43" s="1"/>
      <c r="L43" s="1"/>
    </row>
    <row r="44" spans="1:12" x14ac:dyDescent="0.35">
      <c r="A44" s="1" t="s">
        <v>35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/>
      <c r="H44" s="2">
        <v>0</v>
      </c>
      <c r="I44" s="2">
        <v>0</v>
      </c>
      <c r="J44" s="1"/>
      <c r="K44" s="1"/>
      <c r="L44" s="1"/>
    </row>
    <row r="46" spans="1:12" x14ac:dyDescent="0.35">
      <c r="A46" s="14" t="s">
        <v>48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14</v>
      </c>
    </row>
    <row r="47" spans="1:12" x14ac:dyDescent="0.35">
      <c r="A47" s="18" t="s">
        <v>15</v>
      </c>
      <c r="B47" s="17" t="s">
        <v>16</v>
      </c>
      <c r="C47" s="19" t="s">
        <v>17</v>
      </c>
      <c r="D47" s="17" t="s">
        <v>18</v>
      </c>
      <c r="E47" s="17" t="s">
        <v>19</v>
      </c>
      <c r="F47" s="17" t="s">
        <v>20</v>
      </c>
      <c r="G47" s="17" t="s">
        <v>21</v>
      </c>
      <c r="H47" s="17" t="s">
        <v>22</v>
      </c>
      <c r="I47" s="19" t="s">
        <v>23</v>
      </c>
      <c r="J47" s="17" t="s">
        <v>24</v>
      </c>
      <c r="K47" s="19" t="s">
        <v>25</v>
      </c>
      <c r="L47" s="17" t="s">
        <v>26</v>
      </c>
    </row>
    <row r="48" spans="1:12" x14ac:dyDescent="0.35">
      <c r="A48" s="18"/>
      <c r="B48" s="17"/>
      <c r="C48" s="19"/>
      <c r="D48" s="17"/>
      <c r="E48" s="17"/>
      <c r="F48" s="17"/>
      <c r="G48" s="17"/>
      <c r="H48" s="17"/>
      <c r="I48" s="19"/>
      <c r="J48" s="17"/>
      <c r="K48" s="19"/>
      <c r="L48" s="17"/>
    </row>
    <row r="49" spans="1:12" x14ac:dyDescent="0.35">
      <c r="A49" s="1" t="s">
        <v>27</v>
      </c>
      <c r="B49" s="2">
        <v>189016</v>
      </c>
      <c r="C49" s="2">
        <v>0</v>
      </c>
      <c r="D49" s="2">
        <v>852</v>
      </c>
      <c r="E49" s="2">
        <v>0</v>
      </c>
      <c r="F49" s="2">
        <v>0</v>
      </c>
      <c r="G49" s="2"/>
      <c r="H49" s="2">
        <v>36299</v>
      </c>
      <c r="I49" s="2">
        <v>378883</v>
      </c>
      <c r="J49" s="1">
        <v>1</v>
      </c>
      <c r="K49" s="1"/>
      <c r="L49" s="1"/>
    </row>
    <row r="50" spans="1:12" x14ac:dyDescent="0.35">
      <c r="A50" s="1" t="s">
        <v>28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/>
      <c r="H50" s="2">
        <v>0</v>
      </c>
      <c r="I50" s="2">
        <v>0</v>
      </c>
      <c r="J50" s="1"/>
      <c r="K50" s="1"/>
      <c r="L50" s="1"/>
    </row>
    <row r="51" spans="1:12" x14ac:dyDescent="0.35">
      <c r="A51" s="1" t="s">
        <v>29</v>
      </c>
      <c r="B51" s="2">
        <v>1162260</v>
      </c>
      <c r="C51" s="2">
        <v>0</v>
      </c>
      <c r="D51" s="2">
        <v>762255</v>
      </c>
      <c r="E51" s="2">
        <v>0</v>
      </c>
      <c r="F51" s="2">
        <v>2010</v>
      </c>
      <c r="G51" s="2"/>
      <c r="H51" s="2">
        <v>628881</v>
      </c>
      <c r="I51" s="2">
        <v>3086775</v>
      </c>
      <c r="J51" s="1">
        <v>32</v>
      </c>
      <c r="K51" s="1">
        <v>25</v>
      </c>
      <c r="L51" s="1">
        <v>16</v>
      </c>
    </row>
    <row r="52" spans="1:12" x14ac:dyDescent="0.35">
      <c r="A52" s="1" t="s">
        <v>30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/>
      <c r="H52" s="2">
        <v>0</v>
      </c>
      <c r="I52" s="2">
        <v>0</v>
      </c>
      <c r="J52" s="1">
        <v>1</v>
      </c>
      <c r="K52" s="1"/>
      <c r="L52" s="1">
        <v>1</v>
      </c>
    </row>
    <row r="53" spans="1:12" x14ac:dyDescent="0.35">
      <c r="A53" s="1" t="s">
        <v>31</v>
      </c>
      <c r="B53" s="2">
        <v>1335042</v>
      </c>
      <c r="C53" s="2">
        <v>0</v>
      </c>
      <c r="D53" s="2">
        <v>97529</v>
      </c>
      <c r="E53" s="2">
        <v>0</v>
      </c>
      <c r="F53" s="2">
        <v>36135</v>
      </c>
      <c r="G53" s="2"/>
      <c r="H53" s="2">
        <v>123013</v>
      </c>
      <c r="I53" s="2">
        <v>2767613</v>
      </c>
      <c r="J53" s="1">
        <v>10</v>
      </c>
      <c r="K53" s="1">
        <v>2</v>
      </c>
      <c r="L53" s="1">
        <v>6</v>
      </c>
    </row>
    <row r="54" spans="1:12" x14ac:dyDescent="0.35">
      <c r="A54" s="1" t="s">
        <v>32</v>
      </c>
      <c r="B54" s="2">
        <v>4428513</v>
      </c>
      <c r="C54" s="2">
        <v>0</v>
      </c>
      <c r="D54" s="2">
        <v>3097870</v>
      </c>
      <c r="E54" s="2">
        <v>0</v>
      </c>
      <c r="F54" s="2">
        <v>101343</v>
      </c>
      <c r="G54" s="2"/>
      <c r="H54" s="2">
        <v>2447432</v>
      </c>
      <c r="I54" s="2">
        <v>12340557</v>
      </c>
      <c r="J54" s="1">
        <v>215</v>
      </c>
      <c r="K54" s="1">
        <v>90</v>
      </c>
      <c r="L54" s="1">
        <v>41</v>
      </c>
    </row>
    <row r="55" spans="1:12" x14ac:dyDescent="0.35">
      <c r="A55" s="1" t="s">
        <v>33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/>
      <c r="H55" s="2">
        <v>0</v>
      </c>
      <c r="I55" s="2">
        <v>0</v>
      </c>
      <c r="J55" s="1"/>
      <c r="K55" s="1"/>
      <c r="L55" s="1"/>
    </row>
    <row r="56" spans="1:12" x14ac:dyDescent="0.35">
      <c r="A56" s="1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/>
      <c r="H56" s="2">
        <v>0</v>
      </c>
      <c r="I56" s="2">
        <v>0</v>
      </c>
      <c r="J56" s="1"/>
      <c r="K56" s="1"/>
      <c r="L56" s="1"/>
    </row>
    <row r="57" spans="1:12" x14ac:dyDescent="0.35">
      <c r="A57" s="1" t="s">
        <v>35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/>
      <c r="H57" s="2">
        <v>0</v>
      </c>
      <c r="I57" s="2">
        <v>0</v>
      </c>
      <c r="J57" s="1"/>
      <c r="K57" s="1"/>
      <c r="L57" s="1"/>
    </row>
    <row r="59" spans="1:12" x14ac:dyDescent="0.35">
      <c r="A59" s="14" t="s">
        <v>49</v>
      </c>
      <c r="B59" s="1" t="s">
        <v>4</v>
      </c>
      <c r="C59" s="1" t="s">
        <v>5</v>
      </c>
      <c r="D59" s="1" t="s">
        <v>6</v>
      </c>
      <c r="E59" s="1" t="s">
        <v>7</v>
      </c>
      <c r="F59" s="1" t="s">
        <v>8</v>
      </c>
      <c r="G59" s="1" t="s">
        <v>9</v>
      </c>
      <c r="H59" s="1" t="s">
        <v>10</v>
      </c>
      <c r="I59" s="1" t="s">
        <v>11</v>
      </c>
      <c r="J59" s="1" t="s">
        <v>12</v>
      </c>
      <c r="K59" s="1" t="s">
        <v>13</v>
      </c>
      <c r="L59" s="1" t="s">
        <v>14</v>
      </c>
    </row>
    <row r="60" spans="1:12" x14ac:dyDescent="0.35">
      <c r="A60" s="18" t="s">
        <v>15</v>
      </c>
      <c r="B60" s="17" t="s">
        <v>16</v>
      </c>
      <c r="C60" s="19" t="s">
        <v>17</v>
      </c>
      <c r="D60" s="17" t="s">
        <v>18</v>
      </c>
      <c r="E60" s="17" t="s">
        <v>19</v>
      </c>
      <c r="F60" s="17" t="s">
        <v>20</v>
      </c>
      <c r="G60" s="17" t="s">
        <v>21</v>
      </c>
      <c r="H60" s="17" t="s">
        <v>22</v>
      </c>
      <c r="I60" s="19" t="s">
        <v>23</v>
      </c>
      <c r="J60" s="17" t="s">
        <v>24</v>
      </c>
      <c r="K60" s="19" t="s">
        <v>25</v>
      </c>
      <c r="L60" s="17" t="s">
        <v>26</v>
      </c>
    </row>
    <row r="61" spans="1:12" x14ac:dyDescent="0.35">
      <c r="A61" s="18"/>
      <c r="B61" s="17"/>
      <c r="C61" s="19"/>
      <c r="D61" s="17"/>
      <c r="E61" s="17"/>
      <c r="F61" s="17"/>
      <c r="G61" s="17"/>
      <c r="H61" s="17"/>
      <c r="I61" s="19"/>
      <c r="J61" s="17"/>
      <c r="K61" s="19"/>
      <c r="L61" s="17"/>
    </row>
    <row r="62" spans="1:12" x14ac:dyDescent="0.35">
      <c r="A62" s="1" t="s">
        <v>27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/>
      <c r="H62" s="2">
        <v>0</v>
      </c>
      <c r="I62" s="2">
        <v>0</v>
      </c>
      <c r="J62" s="1">
        <v>1</v>
      </c>
      <c r="K62" s="1"/>
      <c r="L62" s="1"/>
    </row>
    <row r="63" spans="1:12" x14ac:dyDescent="0.35">
      <c r="A63" s="1" t="s">
        <v>28</v>
      </c>
      <c r="B63" s="2">
        <v>12253</v>
      </c>
      <c r="C63" s="2">
        <v>0</v>
      </c>
      <c r="D63" s="2">
        <v>0</v>
      </c>
      <c r="E63" s="2">
        <v>0</v>
      </c>
      <c r="F63" s="2">
        <v>0</v>
      </c>
      <c r="G63" s="2"/>
      <c r="H63" s="2">
        <v>275</v>
      </c>
      <c r="I63" s="2">
        <v>24505</v>
      </c>
      <c r="J63" s="1"/>
      <c r="K63" s="1"/>
      <c r="L63" s="1"/>
    </row>
    <row r="64" spans="1:12" x14ac:dyDescent="0.35">
      <c r="A64" s="1" t="s">
        <v>29</v>
      </c>
      <c r="B64" s="2">
        <v>1413718</v>
      </c>
      <c r="C64" s="2">
        <v>0</v>
      </c>
      <c r="D64" s="2">
        <v>2104250</v>
      </c>
      <c r="E64" s="2">
        <v>0</v>
      </c>
      <c r="F64" s="2">
        <v>5111</v>
      </c>
      <c r="G64" s="2"/>
      <c r="H64" s="2">
        <v>526983</v>
      </c>
      <c r="I64" s="2">
        <v>4931686</v>
      </c>
      <c r="J64" s="1">
        <v>42</v>
      </c>
      <c r="K64" s="1">
        <v>21</v>
      </c>
      <c r="L64" s="1">
        <v>16</v>
      </c>
    </row>
    <row r="65" spans="1:12" x14ac:dyDescent="0.35">
      <c r="A65" s="1" t="s">
        <v>30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/>
      <c r="H65" s="2">
        <v>0</v>
      </c>
      <c r="I65" s="2">
        <v>0</v>
      </c>
      <c r="J65" s="1"/>
      <c r="K65" s="1">
        <v>2</v>
      </c>
      <c r="L65" s="1"/>
    </row>
    <row r="66" spans="1:12" x14ac:dyDescent="0.35">
      <c r="A66" s="1" t="s">
        <v>31</v>
      </c>
      <c r="B66" s="2">
        <v>0</v>
      </c>
      <c r="C66" s="2">
        <v>0</v>
      </c>
      <c r="D66" s="2">
        <v>0</v>
      </c>
      <c r="E66" s="2">
        <v>0</v>
      </c>
      <c r="F66" s="2">
        <v>2141</v>
      </c>
      <c r="G66" s="2"/>
      <c r="H66" s="2">
        <v>0</v>
      </c>
      <c r="I66" s="2">
        <v>0</v>
      </c>
      <c r="J66" s="1">
        <v>8</v>
      </c>
      <c r="K66" s="1">
        <v>8</v>
      </c>
      <c r="L66" s="1">
        <v>4</v>
      </c>
    </row>
    <row r="67" spans="1:12" x14ac:dyDescent="0.35">
      <c r="A67" s="1" t="s">
        <v>32</v>
      </c>
      <c r="B67" s="2">
        <v>2741869</v>
      </c>
      <c r="C67" s="2">
        <v>0</v>
      </c>
      <c r="D67" s="2">
        <v>2592531</v>
      </c>
      <c r="E67" s="2">
        <v>0</v>
      </c>
      <c r="F67" s="2">
        <v>161504</v>
      </c>
      <c r="G67" s="2"/>
      <c r="H67" s="2">
        <v>2096924</v>
      </c>
      <c r="I67" s="2">
        <v>8434201</v>
      </c>
      <c r="J67" s="1">
        <v>194</v>
      </c>
      <c r="K67" s="1">
        <v>97</v>
      </c>
      <c r="L67" s="1">
        <v>47</v>
      </c>
    </row>
    <row r="68" spans="1:12" x14ac:dyDescent="0.35">
      <c r="A68" s="1" t="s">
        <v>33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/>
      <c r="H68" s="2">
        <v>0</v>
      </c>
      <c r="I68" s="2">
        <v>0</v>
      </c>
      <c r="J68" s="1"/>
      <c r="K68" s="1"/>
      <c r="L68" s="1"/>
    </row>
    <row r="69" spans="1:12" x14ac:dyDescent="0.35">
      <c r="A69" s="1" t="s">
        <v>34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/>
      <c r="H69" s="2">
        <v>0</v>
      </c>
      <c r="I69" s="2">
        <v>0</v>
      </c>
      <c r="J69" s="1"/>
      <c r="K69" s="1"/>
      <c r="L69" s="1"/>
    </row>
    <row r="70" spans="1:12" x14ac:dyDescent="0.35">
      <c r="A70" s="1" t="s">
        <v>35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/>
      <c r="H70" s="2">
        <v>0</v>
      </c>
      <c r="I70" s="2">
        <v>0</v>
      </c>
      <c r="J70" s="1"/>
      <c r="K70" s="1"/>
      <c r="L70" s="1"/>
    </row>
    <row r="72" spans="1:12" x14ac:dyDescent="0.35">
      <c r="A72" s="14" t="s">
        <v>50</v>
      </c>
      <c r="B72" s="1" t="s">
        <v>4</v>
      </c>
      <c r="C72" s="1" t="s">
        <v>5</v>
      </c>
      <c r="D72" s="1" t="s">
        <v>6</v>
      </c>
      <c r="E72" s="1" t="s">
        <v>7</v>
      </c>
      <c r="F72" s="1" t="s">
        <v>8</v>
      </c>
      <c r="G72" s="1" t="s">
        <v>9</v>
      </c>
      <c r="H72" s="1" t="s">
        <v>10</v>
      </c>
      <c r="I72" s="1" t="s">
        <v>11</v>
      </c>
      <c r="J72" s="1" t="s">
        <v>12</v>
      </c>
      <c r="K72" s="1" t="s">
        <v>13</v>
      </c>
      <c r="L72" s="1" t="s">
        <v>14</v>
      </c>
    </row>
    <row r="73" spans="1:12" x14ac:dyDescent="0.35">
      <c r="A73" s="18" t="s">
        <v>15</v>
      </c>
      <c r="B73" s="17" t="s">
        <v>16</v>
      </c>
      <c r="C73" s="19" t="s">
        <v>17</v>
      </c>
      <c r="D73" s="17" t="s">
        <v>18</v>
      </c>
      <c r="E73" s="17" t="s">
        <v>19</v>
      </c>
      <c r="F73" s="17" t="s">
        <v>20</v>
      </c>
      <c r="G73" s="17" t="s">
        <v>21</v>
      </c>
      <c r="H73" s="17" t="s">
        <v>22</v>
      </c>
      <c r="I73" s="19" t="s">
        <v>23</v>
      </c>
      <c r="J73" s="17" t="s">
        <v>24</v>
      </c>
      <c r="K73" s="19" t="s">
        <v>25</v>
      </c>
      <c r="L73" s="17" t="s">
        <v>26</v>
      </c>
    </row>
    <row r="74" spans="1:12" x14ac:dyDescent="0.35">
      <c r="A74" s="18"/>
      <c r="B74" s="17"/>
      <c r="C74" s="19"/>
      <c r="D74" s="17"/>
      <c r="E74" s="17"/>
      <c r="F74" s="17"/>
      <c r="G74" s="17"/>
      <c r="H74" s="17"/>
      <c r="I74" s="19"/>
      <c r="J74" s="17"/>
      <c r="K74" s="19"/>
      <c r="L74" s="17"/>
    </row>
    <row r="75" spans="1:12" x14ac:dyDescent="0.35">
      <c r="A75" s="1" t="s">
        <v>27</v>
      </c>
      <c r="B75" s="2">
        <v>539090</v>
      </c>
      <c r="C75" s="2">
        <v>0</v>
      </c>
      <c r="D75" s="2">
        <v>0</v>
      </c>
      <c r="E75" s="2">
        <v>0</v>
      </c>
      <c r="F75" s="2">
        <v>0</v>
      </c>
      <c r="G75" s="2"/>
      <c r="H75" s="2">
        <v>39143</v>
      </c>
      <c r="I75" s="2">
        <v>1078180</v>
      </c>
      <c r="J75" s="1">
        <v>1</v>
      </c>
      <c r="K75" s="1"/>
      <c r="L75" s="1"/>
    </row>
    <row r="76" spans="1:12" x14ac:dyDescent="0.35">
      <c r="A76" s="1" t="s">
        <v>28</v>
      </c>
      <c r="B76" s="2">
        <v>47541</v>
      </c>
      <c r="C76" s="2">
        <v>0</v>
      </c>
      <c r="D76" s="2">
        <v>24782</v>
      </c>
      <c r="E76" s="2">
        <v>0</v>
      </c>
      <c r="F76" s="2">
        <v>0</v>
      </c>
      <c r="G76" s="2"/>
      <c r="H76" s="2">
        <v>11669</v>
      </c>
      <c r="I76" s="2">
        <v>119863</v>
      </c>
      <c r="J76" s="1">
        <v>1</v>
      </c>
      <c r="K76" s="1"/>
      <c r="L76" s="1"/>
    </row>
    <row r="77" spans="1:12" x14ac:dyDescent="0.35">
      <c r="A77" s="1" t="s">
        <v>29</v>
      </c>
      <c r="B77" s="2">
        <v>815648</v>
      </c>
      <c r="C77" s="2">
        <v>0</v>
      </c>
      <c r="D77" s="2">
        <v>1424260</v>
      </c>
      <c r="E77" s="2">
        <v>0</v>
      </c>
      <c r="F77" s="2">
        <v>67306</v>
      </c>
      <c r="G77" s="2"/>
      <c r="H77" s="2">
        <v>234208</v>
      </c>
      <c r="I77" s="2">
        <v>3055556</v>
      </c>
      <c r="J77" s="1">
        <v>30</v>
      </c>
      <c r="K77" s="1">
        <v>19</v>
      </c>
      <c r="L77" s="1">
        <v>8</v>
      </c>
    </row>
    <row r="78" spans="1:12" x14ac:dyDescent="0.35">
      <c r="A78" s="1" t="s">
        <v>30</v>
      </c>
      <c r="B78" s="2">
        <v>34582</v>
      </c>
      <c r="C78" s="2">
        <v>0</v>
      </c>
      <c r="D78" s="2">
        <v>42502</v>
      </c>
      <c r="E78" s="2">
        <v>0</v>
      </c>
      <c r="F78" s="2">
        <v>0</v>
      </c>
      <c r="G78" s="2"/>
      <c r="H78" s="2">
        <v>2947</v>
      </c>
      <c r="I78" s="2">
        <v>111666</v>
      </c>
      <c r="J78" s="1">
        <v>3</v>
      </c>
      <c r="K78" s="1">
        <v>1</v>
      </c>
      <c r="L78" s="1">
        <v>3</v>
      </c>
    </row>
    <row r="79" spans="1:12" x14ac:dyDescent="0.35">
      <c r="A79" s="1" t="s">
        <v>31</v>
      </c>
      <c r="B79" s="2">
        <v>68517</v>
      </c>
      <c r="C79" s="2">
        <v>0</v>
      </c>
      <c r="D79" s="2">
        <v>529989</v>
      </c>
      <c r="E79" s="2">
        <v>0</v>
      </c>
      <c r="F79" s="2">
        <v>181219</v>
      </c>
      <c r="G79" s="2"/>
      <c r="H79" s="2">
        <v>73226</v>
      </c>
      <c r="I79" s="2">
        <v>667023</v>
      </c>
      <c r="J79" s="1">
        <v>5</v>
      </c>
      <c r="K79" s="1">
        <v>2</v>
      </c>
      <c r="L79" s="1">
        <v>2</v>
      </c>
    </row>
    <row r="80" spans="1:12" x14ac:dyDescent="0.35">
      <c r="A80" s="1" t="s">
        <v>32</v>
      </c>
      <c r="B80" s="2">
        <v>5679821</v>
      </c>
      <c r="C80" s="2">
        <v>0</v>
      </c>
      <c r="D80" s="2">
        <v>3362373</v>
      </c>
      <c r="E80" s="2">
        <v>0</v>
      </c>
      <c r="F80" s="2">
        <v>135207</v>
      </c>
      <c r="G80" s="2"/>
      <c r="H80" s="2">
        <v>3930366</v>
      </c>
      <c r="I80" s="2">
        <v>14945807</v>
      </c>
      <c r="J80" s="1">
        <v>190</v>
      </c>
      <c r="K80" s="1">
        <v>95</v>
      </c>
      <c r="L80" s="1">
        <v>44</v>
      </c>
    </row>
    <row r="81" spans="1:12" x14ac:dyDescent="0.35">
      <c r="A81" s="1" t="s">
        <v>33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/>
      <c r="H81" s="2">
        <v>0</v>
      </c>
      <c r="I81" s="2">
        <v>0</v>
      </c>
      <c r="J81" s="1"/>
      <c r="K81" s="1"/>
      <c r="L81" s="1"/>
    </row>
    <row r="82" spans="1:12" x14ac:dyDescent="0.35">
      <c r="A82" s="1" t="s">
        <v>34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/>
      <c r="H82" s="2">
        <v>0</v>
      </c>
      <c r="I82" s="2">
        <v>0</v>
      </c>
      <c r="J82" s="1"/>
      <c r="K82" s="1"/>
      <c r="L82" s="1"/>
    </row>
    <row r="83" spans="1:12" x14ac:dyDescent="0.35">
      <c r="A83" s="1" t="s">
        <v>35</v>
      </c>
      <c r="B83" s="2">
        <v>42143</v>
      </c>
      <c r="C83" s="2">
        <v>0</v>
      </c>
      <c r="D83" s="2">
        <v>0</v>
      </c>
      <c r="E83" s="2">
        <v>0</v>
      </c>
      <c r="F83" s="2">
        <v>0</v>
      </c>
      <c r="G83" s="2"/>
      <c r="H83" s="2">
        <v>4771</v>
      </c>
      <c r="I83" s="2">
        <v>84287</v>
      </c>
      <c r="J83" s="1"/>
      <c r="K83" s="1"/>
      <c r="L83" s="1"/>
    </row>
    <row r="85" spans="1:12" x14ac:dyDescent="0.35">
      <c r="A85" s="14" t="s">
        <v>51</v>
      </c>
      <c r="B85" s="1" t="s">
        <v>4</v>
      </c>
      <c r="C85" s="1" t="s">
        <v>5</v>
      </c>
      <c r="D85" s="1" t="s">
        <v>6</v>
      </c>
      <c r="E85" s="1" t="s">
        <v>7</v>
      </c>
      <c r="F85" s="1" t="s">
        <v>8</v>
      </c>
      <c r="G85" s="1" t="s">
        <v>9</v>
      </c>
      <c r="H85" s="1" t="s">
        <v>10</v>
      </c>
      <c r="I85" s="1" t="s">
        <v>11</v>
      </c>
      <c r="J85" s="1" t="s">
        <v>12</v>
      </c>
      <c r="K85" s="1" t="s">
        <v>13</v>
      </c>
      <c r="L85" s="1" t="s">
        <v>14</v>
      </c>
    </row>
    <row r="86" spans="1:12" x14ac:dyDescent="0.35">
      <c r="A86" s="18" t="s">
        <v>15</v>
      </c>
      <c r="B86" s="17" t="s">
        <v>16</v>
      </c>
      <c r="C86" s="19" t="s">
        <v>17</v>
      </c>
      <c r="D86" s="17" t="s">
        <v>18</v>
      </c>
      <c r="E86" s="17" t="s">
        <v>19</v>
      </c>
      <c r="F86" s="17" t="s">
        <v>20</v>
      </c>
      <c r="G86" s="17" t="s">
        <v>21</v>
      </c>
      <c r="H86" s="17" t="s">
        <v>22</v>
      </c>
      <c r="I86" s="19" t="s">
        <v>23</v>
      </c>
      <c r="J86" s="17" t="s">
        <v>24</v>
      </c>
      <c r="K86" s="19" t="s">
        <v>25</v>
      </c>
      <c r="L86" s="17" t="s">
        <v>26</v>
      </c>
    </row>
    <row r="87" spans="1:12" x14ac:dyDescent="0.35">
      <c r="A87" s="18"/>
      <c r="B87" s="17"/>
      <c r="C87" s="19"/>
      <c r="D87" s="17"/>
      <c r="E87" s="17"/>
      <c r="F87" s="17"/>
      <c r="G87" s="17"/>
      <c r="H87" s="17"/>
      <c r="I87" s="19"/>
      <c r="J87" s="17"/>
      <c r="K87" s="19"/>
      <c r="L87" s="17"/>
    </row>
    <row r="88" spans="1:12" x14ac:dyDescent="0.35">
      <c r="A88" s="1" t="s">
        <v>27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/>
      <c r="H88" s="2">
        <v>0</v>
      </c>
      <c r="I88" s="2">
        <v>0</v>
      </c>
      <c r="J88" s="1">
        <v>1</v>
      </c>
      <c r="K88" s="1">
        <v>1</v>
      </c>
      <c r="L88" s="1"/>
    </row>
    <row r="89" spans="1:12" x14ac:dyDescent="0.35">
      <c r="A89" s="1" t="s">
        <v>28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/>
      <c r="H89" s="2">
        <v>0</v>
      </c>
      <c r="I89" s="2">
        <v>0</v>
      </c>
      <c r="J89" s="1">
        <v>1</v>
      </c>
      <c r="K89" s="1"/>
      <c r="L89" s="1"/>
    </row>
    <row r="90" spans="1:12" x14ac:dyDescent="0.35">
      <c r="A90" s="1" t="s">
        <v>29</v>
      </c>
      <c r="B90" s="2">
        <v>429608</v>
      </c>
      <c r="C90" s="2">
        <v>0</v>
      </c>
      <c r="D90" s="2">
        <v>204621</v>
      </c>
      <c r="E90" s="2">
        <v>0</v>
      </c>
      <c r="F90" s="2">
        <v>254278</v>
      </c>
      <c r="G90" s="2"/>
      <c r="H90" s="2">
        <v>176396</v>
      </c>
      <c r="I90" s="2">
        <v>1063838</v>
      </c>
      <c r="J90" s="1">
        <v>29</v>
      </c>
      <c r="K90" s="1">
        <v>17</v>
      </c>
      <c r="L90" s="1">
        <v>7</v>
      </c>
    </row>
    <row r="91" spans="1:12" x14ac:dyDescent="0.35">
      <c r="A91" s="1" t="s">
        <v>30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/>
      <c r="H91" s="2">
        <v>0</v>
      </c>
      <c r="I91" s="2">
        <v>0</v>
      </c>
      <c r="J91" s="1">
        <v>3</v>
      </c>
      <c r="K91" s="1"/>
      <c r="L91" s="1"/>
    </row>
    <row r="92" spans="1:12" x14ac:dyDescent="0.35">
      <c r="A92" s="1" t="s">
        <v>31</v>
      </c>
      <c r="B92" s="2">
        <v>1407510</v>
      </c>
      <c r="C92" s="2">
        <v>0</v>
      </c>
      <c r="D92" s="2">
        <v>128532</v>
      </c>
      <c r="E92" s="2">
        <v>0</v>
      </c>
      <c r="F92" s="2">
        <v>0</v>
      </c>
      <c r="G92" s="2"/>
      <c r="H92" s="2">
        <v>158148</v>
      </c>
      <c r="I92" s="2">
        <v>2976333</v>
      </c>
      <c r="J92" s="1">
        <v>12</v>
      </c>
      <c r="K92" s="1">
        <v>1</v>
      </c>
      <c r="L92" s="1">
        <v>6</v>
      </c>
    </row>
    <row r="93" spans="1:12" x14ac:dyDescent="0.35">
      <c r="A93" s="1" t="s">
        <v>32</v>
      </c>
      <c r="B93" s="2">
        <v>5281884</v>
      </c>
      <c r="C93" s="2">
        <v>0</v>
      </c>
      <c r="D93" s="2">
        <v>3193516</v>
      </c>
      <c r="E93" s="2">
        <v>0</v>
      </c>
      <c r="F93" s="2">
        <v>412262</v>
      </c>
      <c r="G93" s="2"/>
      <c r="H93" s="2">
        <v>2947357</v>
      </c>
      <c r="I93" s="2">
        <v>14017832</v>
      </c>
      <c r="J93" s="1">
        <v>235</v>
      </c>
      <c r="K93" s="1">
        <v>99</v>
      </c>
      <c r="L93" s="1">
        <v>57</v>
      </c>
    </row>
    <row r="94" spans="1:12" x14ac:dyDescent="0.35">
      <c r="A94" s="1" t="s">
        <v>33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/>
      <c r="H94" s="2">
        <v>0</v>
      </c>
      <c r="I94" s="2">
        <v>0</v>
      </c>
      <c r="J94" s="1"/>
      <c r="K94" s="1"/>
      <c r="L94" s="1"/>
    </row>
    <row r="95" spans="1:12" x14ac:dyDescent="0.35">
      <c r="A95" s="1" t="s">
        <v>34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/>
      <c r="H95" s="2">
        <v>0</v>
      </c>
      <c r="I95" s="2">
        <v>0</v>
      </c>
      <c r="J95" s="1"/>
      <c r="K95" s="1"/>
      <c r="L95" s="1"/>
    </row>
    <row r="96" spans="1:12" x14ac:dyDescent="0.35">
      <c r="A96" s="1" t="s">
        <v>35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/>
      <c r="H96" s="2">
        <v>0</v>
      </c>
      <c r="I96" s="2">
        <v>0</v>
      </c>
      <c r="J96" s="1"/>
      <c r="K96" s="1">
        <v>2</v>
      </c>
      <c r="L96" s="1"/>
    </row>
    <row r="98" spans="1:12" x14ac:dyDescent="0.35">
      <c r="A98" s="14" t="s">
        <v>52</v>
      </c>
      <c r="B98" s="1" t="s">
        <v>4</v>
      </c>
      <c r="C98" s="1" t="s">
        <v>5</v>
      </c>
      <c r="D98" s="1" t="s">
        <v>6</v>
      </c>
      <c r="E98" s="1" t="s">
        <v>7</v>
      </c>
      <c r="F98" s="1" t="s">
        <v>8</v>
      </c>
      <c r="G98" s="1" t="s">
        <v>9</v>
      </c>
      <c r="H98" s="1" t="s">
        <v>10</v>
      </c>
      <c r="I98" s="1" t="s">
        <v>11</v>
      </c>
      <c r="J98" s="1" t="s">
        <v>12</v>
      </c>
      <c r="K98" s="1" t="s">
        <v>13</v>
      </c>
      <c r="L98" s="1" t="s">
        <v>14</v>
      </c>
    </row>
    <row r="99" spans="1:12" x14ac:dyDescent="0.35">
      <c r="A99" s="18" t="s">
        <v>15</v>
      </c>
      <c r="B99" s="17" t="s">
        <v>16</v>
      </c>
      <c r="C99" s="19" t="s">
        <v>17</v>
      </c>
      <c r="D99" s="17" t="s">
        <v>18</v>
      </c>
      <c r="E99" s="17" t="s">
        <v>19</v>
      </c>
      <c r="F99" s="17" t="s">
        <v>20</v>
      </c>
      <c r="G99" s="17" t="s">
        <v>21</v>
      </c>
      <c r="H99" s="17" t="s">
        <v>22</v>
      </c>
      <c r="I99" s="19" t="s">
        <v>23</v>
      </c>
      <c r="J99" s="17" t="s">
        <v>24</v>
      </c>
      <c r="K99" s="19" t="s">
        <v>25</v>
      </c>
      <c r="L99" s="17" t="s">
        <v>26</v>
      </c>
    </row>
    <row r="100" spans="1:12" x14ac:dyDescent="0.35">
      <c r="A100" s="18"/>
      <c r="B100" s="17"/>
      <c r="C100" s="19"/>
      <c r="D100" s="17"/>
      <c r="E100" s="17"/>
      <c r="F100" s="17"/>
      <c r="G100" s="17"/>
      <c r="H100" s="17"/>
      <c r="I100" s="19"/>
      <c r="J100" s="17"/>
      <c r="K100" s="19"/>
      <c r="L100" s="17"/>
    </row>
    <row r="101" spans="1:12" x14ac:dyDescent="0.35">
      <c r="A101" s="1" t="s">
        <v>27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/>
      <c r="H101" s="2">
        <v>0</v>
      </c>
      <c r="I101" s="2">
        <v>0</v>
      </c>
      <c r="J101" s="1">
        <v>1</v>
      </c>
      <c r="K101" s="1"/>
      <c r="L101" s="1">
        <v>1</v>
      </c>
    </row>
    <row r="102" spans="1:12" x14ac:dyDescent="0.35">
      <c r="A102" s="1" t="s">
        <v>28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/>
      <c r="H102" s="2">
        <v>0</v>
      </c>
      <c r="I102" s="2">
        <v>0</v>
      </c>
      <c r="J102" s="1"/>
      <c r="K102" s="1"/>
      <c r="L102" s="1"/>
    </row>
    <row r="103" spans="1:12" x14ac:dyDescent="0.35">
      <c r="A103" s="1" t="s">
        <v>29</v>
      </c>
      <c r="B103" s="2">
        <v>0</v>
      </c>
      <c r="C103" s="2">
        <v>0</v>
      </c>
      <c r="D103" s="2">
        <v>0</v>
      </c>
      <c r="E103" s="2">
        <v>0</v>
      </c>
      <c r="F103" s="2">
        <v>81239</v>
      </c>
      <c r="G103" s="2"/>
      <c r="H103" s="2">
        <v>2163200</v>
      </c>
      <c r="I103" s="2">
        <v>0</v>
      </c>
      <c r="J103" s="1">
        <v>30</v>
      </c>
      <c r="K103" s="1">
        <v>23</v>
      </c>
      <c r="L103" s="1">
        <v>13</v>
      </c>
    </row>
    <row r="104" spans="1:12" x14ac:dyDescent="0.35">
      <c r="A104" s="1" t="s">
        <v>30</v>
      </c>
      <c r="B104" s="2">
        <v>156305</v>
      </c>
      <c r="C104" s="2">
        <v>0</v>
      </c>
      <c r="D104" s="2">
        <v>2130</v>
      </c>
      <c r="E104" s="2">
        <v>0</v>
      </c>
      <c r="F104" s="2">
        <v>0</v>
      </c>
      <c r="G104" s="2"/>
      <c r="H104" s="2">
        <v>35686</v>
      </c>
      <c r="I104" s="2">
        <v>314740</v>
      </c>
      <c r="J104" s="1"/>
      <c r="K104" s="1"/>
      <c r="L104" s="1"/>
    </row>
    <row r="105" spans="1:12" x14ac:dyDescent="0.35">
      <c r="A105" s="1" t="s">
        <v>31</v>
      </c>
      <c r="B105" s="2">
        <v>83892</v>
      </c>
      <c r="C105" s="2">
        <v>0</v>
      </c>
      <c r="D105" s="2">
        <v>147134</v>
      </c>
      <c r="E105" s="2">
        <v>0</v>
      </c>
      <c r="F105" s="2">
        <v>178661</v>
      </c>
      <c r="G105" s="2"/>
      <c r="H105" s="2">
        <v>73358</v>
      </c>
      <c r="I105" s="2">
        <v>316088</v>
      </c>
      <c r="J105" s="1">
        <v>6</v>
      </c>
      <c r="K105" s="1">
        <v>2</v>
      </c>
      <c r="L105" s="1">
        <v>1</v>
      </c>
    </row>
    <row r="106" spans="1:12" x14ac:dyDescent="0.35">
      <c r="A106" s="1" t="s">
        <v>32</v>
      </c>
      <c r="B106" s="2">
        <v>2116897</v>
      </c>
      <c r="C106" s="2">
        <v>0</v>
      </c>
      <c r="D106" s="2">
        <v>1138478</v>
      </c>
      <c r="E106" s="2">
        <v>0</v>
      </c>
      <c r="F106" s="2">
        <v>1070615</v>
      </c>
      <c r="G106" s="2"/>
      <c r="H106" s="2">
        <v>4419111</v>
      </c>
      <c r="I106" s="2">
        <v>6363702</v>
      </c>
      <c r="J106" s="1">
        <v>231</v>
      </c>
      <c r="K106" s="1">
        <v>113</v>
      </c>
      <c r="L106" s="1">
        <v>40</v>
      </c>
    </row>
    <row r="107" spans="1:12" x14ac:dyDescent="0.35">
      <c r="A107" s="1" t="s">
        <v>33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/>
      <c r="H107" s="2">
        <v>0</v>
      </c>
      <c r="I107" s="2">
        <v>0</v>
      </c>
      <c r="J107" s="1"/>
      <c r="K107" s="1"/>
      <c r="L107" s="1"/>
    </row>
    <row r="108" spans="1:12" x14ac:dyDescent="0.35">
      <c r="A108" s="1" t="s">
        <v>34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/>
      <c r="H108" s="2">
        <v>0</v>
      </c>
      <c r="I108" s="2">
        <v>0</v>
      </c>
      <c r="J108" s="1"/>
      <c r="K108" s="1"/>
      <c r="L108" s="1"/>
    </row>
    <row r="109" spans="1:12" x14ac:dyDescent="0.35">
      <c r="A109" s="1" t="s">
        <v>35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/>
      <c r="H109" s="2">
        <v>0</v>
      </c>
      <c r="I109" s="2">
        <v>0</v>
      </c>
      <c r="J109" s="1"/>
      <c r="K109" s="1"/>
      <c r="L109" s="1"/>
    </row>
    <row r="111" spans="1:12" x14ac:dyDescent="0.35">
      <c r="A111" s="14" t="s">
        <v>53</v>
      </c>
      <c r="B111" s="1" t="s">
        <v>4</v>
      </c>
      <c r="C111" s="1" t="s">
        <v>5</v>
      </c>
      <c r="D111" s="1" t="s">
        <v>6</v>
      </c>
      <c r="E111" s="1" t="s">
        <v>7</v>
      </c>
      <c r="F111" s="1" t="s">
        <v>8</v>
      </c>
      <c r="G111" s="1" t="s">
        <v>9</v>
      </c>
      <c r="H111" s="1" t="s">
        <v>10</v>
      </c>
      <c r="I111" s="1" t="s">
        <v>11</v>
      </c>
      <c r="J111" s="1" t="s">
        <v>12</v>
      </c>
      <c r="K111" s="1" t="s">
        <v>13</v>
      </c>
      <c r="L111" s="1" t="s">
        <v>14</v>
      </c>
    </row>
    <row r="112" spans="1:12" x14ac:dyDescent="0.35">
      <c r="A112" s="18" t="s">
        <v>15</v>
      </c>
      <c r="B112" s="17" t="s">
        <v>16</v>
      </c>
      <c r="C112" s="19" t="s">
        <v>17</v>
      </c>
      <c r="D112" s="17" t="s">
        <v>18</v>
      </c>
      <c r="E112" s="17" t="s">
        <v>19</v>
      </c>
      <c r="F112" s="17" t="s">
        <v>20</v>
      </c>
      <c r="G112" s="17" t="s">
        <v>21</v>
      </c>
      <c r="H112" s="17" t="s">
        <v>22</v>
      </c>
      <c r="I112" s="19" t="s">
        <v>23</v>
      </c>
      <c r="J112" s="17" t="s">
        <v>24</v>
      </c>
      <c r="K112" s="19" t="s">
        <v>25</v>
      </c>
      <c r="L112" s="17" t="s">
        <v>26</v>
      </c>
    </row>
    <row r="113" spans="1:12" x14ac:dyDescent="0.35">
      <c r="A113" s="18"/>
      <c r="B113" s="17"/>
      <c r="C113" s="19"/>
      <c r="D113" s="17"/>
      <c r="E113" s="17"/>
      <c r="F113" s="17"/>
      <c r="G113" s="17"/>
      <c r="H113" s="17"/>
      <c r="I113" s="19"/>
      <c r="J113" s="17"/>
      <c r="K113" s="19"/>
      <c r="L113" s="17"/>
    </row>
    <row r="114" spans="1:12" x14ac:dyDescent="0.35">
      <c r="A114" s="1" t="s">
        <v>27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/>
      <c r="H114" s="2">
        <v>0</v>
      </c>
      <c r="I114" s="2">
        <v>0</v>
      </c>
      <c r="J114" s="1"/>
      <c r="K114" s="1"/>
      <c r="L114" s="1"/>
    </row>
    <row r="115" spans="1:12" x14ac:dyDescent="0.35">
      <c r="A115" s="1" t="s">
        <v>28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/>
      <c r="H115" s="2">
        <v>0</v>
      </c>
      <c r="I115" s="2">
        <v>0</v>
      </c>
      <c r="J115" s="1">
        <v>1</v>
      </c>
      <c r="K115" s="1">
        <v>1</v>
      </c>
      <c r="L115" s="1"/>
    </row>
    <row r="116" spans="1:12" x14ac:dyDescent="0.35">
      <c r="A116" s="1" t="s">
        <v>29</v>
      </c>
      <c r="B116" s="2">
        <v>0</v>
      </c>
      <c r="C116" s="2">
        <v>0</v>
      </c>
      <c r="D116" s="2">
        <v>0</v>
      </c>
      <c r="E116" s="2">
        <v>0</v>
      </c>
      <c r="F116" s="2">
        <v>166489</v>
      </c>
      <c r="G116" s="2"/>
      <c r="H116" s="2">
        <v>1403972</v>
      </c>
      <c r="I116" s="2">
        <v>0</v>
      </c>
      <c r="J116" s="1">
        <v>22</v>
      </c>
      <c r="K116" s="1">
        <v>23</v>
      </c>
      <c r="L116" s="1">
        <v>9</v>
      </c>
    </row>
    <row r="117" spans="1:12" x14ac:dyDescent="0.35">
      <c r="A117" s="1" t="s">
        <v>30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/>
      <c r="H117" s="2">
        <v>0</v>
      </c>
      <c r="I117" s="2">
        <v>0</v>
      </c>
      <c r="J117" s="1">
        <v>1</v>
      </c>
      <c r="K117" s="1">
        <v>1</v>
      </c>
      <c r="L117" s="1">
        <v>1</v>
      </c>
    </row>
    <row r="118" spans="1:12" x14ac:dyDescent="0.35">
      <c r="A118" s="1" t="s">
        <v>31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/>
      <c r="H118" s="2">
        <v>31472</v>
      </c>
      <c r="I118" s="2">
        <v>1980</v>
      </c>
      <c r="J118" s="1">
        <v>7</v>
      </c>
      <c r="K118" s="1">
        <v>4</v>
      </c>
      <c r="L118" s="1">
        <v>3</v>
      </c>
    </row>
    <row r="119" spans="1:12" x14ac:dyDescent="0.35">
      <c r="A119" s="1" t="s">
        <v>32</v>
      </c>
      <c r="B119" s="2">
        <v>571048</v>
      </c>
      <c r="C119" s="2">
        <v>0</v>
      </c>
      <c r="D119" s="2">
        <v>200685</v>
      </c>
      <c r="E119" s="2">
        <v>0</v>
      </c>
      <c r="F119" s="2">
        <v>251058</v>
      </c>
      <c r="G119" s="2"/>
      <c r="H119" s="2">
        <v>1967769</v>
      </c>
      <c r="I119" s="2">
        <v>1896171</v>
      </c>
      <c r="J119" s="1">
        <v>224</v>
      </c>
      <c r="K119" s="1">
        <v>90</v>
      </c>
      <c r="L119" s="1">
        <v>41</v>
      </c>
    </row>
    <row r="120" spans="1:12" x14ac:dyDescent="0.35">
      <c r="A120" s="1" t="s">
        <v>33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/>
      <c r="H120" s="2">
        <v>0</v>
      </c>
      <c r="I120" s="2">
        <v>0</v>
      </c>
      <c r="J120" s="1"/>
      <c r="K120" s="1"/>
      <c r="L120" s="1"/>
    </row>
    <row r="121" spans="1:12" x14ac:dyDescent="0.35">
      <c r="A121" s="1" t="s">
        <v>34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/>
      <c r="H121" s="2">
        <v>0</v>
      </c>
      <c r="I121" s="2">
        <v>0</v>
      </c>
      <c r="J121" s="1"/>
      <c r="K121" s="1"/>
      <c r="L121" s="1"/>
    </row>
    <row r="122" spans="1:12" x14ac:dyDescent="0.35">
      <c r="A122" s="1" t="s">
        <v>35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/>
      <c r="H122" s="2">
        <v>0</v>
      </c>
      <c r="I122" s="2">
        <v>0</v>
      </c>
      <c r="J122" s="1"/>
      <c r="K122" s="1"/>
      <c r="L122" s="1"/>
    </row>
    <row r="124" spans="1:12" x14ac:dyDescent="0.35">
      <c r="A124" s="14" t="s">
        <v>54</v>
      </c>
      <c r="B124" s="1" t="s">
        <v>4</v>
      </c>
      <c r="C124" s="1" t="s">
        <v>5</v>
      </c>
      <c r="D124" s="1" t="s">
        <v>6</v>
      </c>
      <c r="E124" s="1" t="s">
        <v>7</v>
      </c>
      <c r="F124" s="1" t="s">
        <v>8</v>
      </c>
      <c r="G124" s="1" t="s">
        <v>9</v>
      </c>
      <c r="H124" s="1" t="s">
        <v>10</v>
      </c>
      <c r="I124" s="1" t="s">
        <v>11</v>
      </c>
      <c r="J124" s="1" t="s">
        <v>12</v>
      </c>
      <c r="K124" s="1" t="s">
        <v>13</v>
      </c>
      <c r="L124" s="1" t="s">
        <v>14</v>
      </c>
    </row>
    <row r="125" spans="1:12" x14ac:dyDescent="0.35">
      <c r="A125" s="18" t="s">
        <v>15</v>
      </c>
      <c r="B125" s="17" t="s">
        <v>16</v>
      </c>
      <c r="C125" s="19" t="s">
        <v>17</v>
      </c>
      <c r="D125" s="17" t="s">
        <v>18</v>
      </c>
      <c r="E125" s="17" t="s">
        <v>19</v>
      </c>
      <c r="F125" s="17" t="s">
        <v>20</v>
      </c>
      <c r="G125" s="17" t="s">
        <v>21</v>
      </c>
      <c r="H125" s="17" t="s">
        <v>22</v>
      </c>
      <c r="I125" s="19" t="s">
        <v>23</v>
      </c>
      <c r="J125" s="17" t="s">
        <v>24</v>
      </c>
      <c r="K125" s="19" t="s">
        <v>25</v>
      </c>
      <c r="L125" s="17" t="s">
        <v>26</v>
      </c>
    </row>
    <row r="126" spans="1:12" x14ac:dyDescent="0.35">
      <c r="A126" s="18"/>
      <c r="B126" s="17"/>
      <c r="C126" s="19"/>
      <c r="D126" s="17"/>
      <c r="E126" s="17"/>
      <c r="F126" s="17"/>
      <c r="G126" s="17"/>
      <c r="H126" s="17"/>
      <c r="I126" s="19"/>
      <c r="J126" s="17"/>
      <c r="K126" s="19"/>
      <c r="L126" s="17"/>
    </row>
    <row r="127" spans="1:12" x14ac:dyDescent="0.35">
      <c r="A127" s="1" t="s">
        <v>27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/>
      <c r="H127" s="2">
        <v>595223</v>
      </c>
      <c r="I127" s="2">
        <v>0</v>
      </c>
      <c r="J127" s="1">
        <v>1</v>
      </c>
      <c r="K127" s="1"/>
      <c r="L127" s="1"/>
    </row>
    <row r="128" spans="1:12" x14ac:dyDescent="0.35">
      <c r="A128" s="1" t="s">
        <v>28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/>
      <c r="H128" s="2">
        <v>0</v>
      </c>
      <c r="I128" s="2">
        <v>0</v>
      </c>
      <c r="J128" s="1"/>
      <c r="K128" s="1">
        <v>1</v>
      </c>
      <c r="L128" s="1"/>
    </row>
    <row r="129" spans="1:12" x14ac:dyDescent="0.35">
      <c r="A129" s="1" t="s">
        <v>29</v>
      </c>
      <c r="B129" s="2">
        <v>139681</v>
      </c>
      <c r="C129" s="2">
        <v>0</v>
      </c>
      <c r="D129" s="2">
        <v>116595</v>
      </c>
      <c r="E129" s="2">
        <v>0</v>
      </c>
      <c r="F129" s="2">
        <v>17490</v>
      </c>
      <c r="G129" s="2"/>
      <c r="H129" s="2">
        <v>1882795</v>
      </c>
      <c r="I129" s="2">
        <v>395958</v>
      </c>
      <c r="J129" s="1">
        <v>36</v>
      </c>
      <c r="K129" s="1">
        <v>32</v>
      </c>
      <c r="L129" s="1">
        <v>14</v>
      </c>
    </row>
    <row r="130" spans="1:12" x14ac:dyDescent="0.35">
      <c r="A130" s="1" t="s">
        <v>30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/>
      <c r="H130" s="2">
        <v>13881</v>
      </c>
      <c r="I130" s="2">
        <v>0</v>
      </c>
      <c r="J130" s="1">
        <v>1</v>
      </c>
      <c r="K130" s="1">
        <v>2</v>
      </c>
      <c r="L130" s="1">
        <v>1</v>
      </c>
    </row>
    <row r="131" spans="1:12" x14ac:dyDescent="0.35">
      <c r="A131" s="1" t="s">
        <v>31</v>
      </c>
      <c r="B131" s="2">
        <v>882859</v>
      </c>
      <c r="C131" s="2">
        <v>0</v>
      </c>
      <c r="D131" s="2">
        <v>495906</v>
      </c>
      <c r="E131" s="2">
        <v>0</v>
      </c>
      <c r="F131" s="2">
        <v>58811</v>
      </c>
      <c r="G131" s="2"/>
      <c r="H131" s="2">
        <v>970820</v>
      </c>
      <c r="I131" s="2">
        <v>2261624</v>
      </c>
      <c r="J131" s="1">
        <v>4</v>
      </c>
      <c r="K131" s="1">
        <v>4</v>
      </c>
      <c r="L131" s="1">
        <v>3</v>
      </c>
    </row>
    <row r="132" spans="1:12" x14ac:dyDescent="0.35">
      <c r="A132" s="1" t="s">
        <v>32</v>
      </c>
      <c r="B132" s="2">
        <v>216327</v>
      </c>
      <c r="C132" s="2">
        <v>0</v>
      </c>
      <c r="D132" s="2">
        <v>89007</v>
      </c>
      <c r="E132" s="2">
        <v>0</v>
      </c>
      <c r="F132" s="2">
        <v>467180</v>
      </c>
      <c r="G132" s="2"/>
      <c r="H132" s="2">
        <v>4432264</v>
      </c>
      <c r="I132" s="2">
        <v>1671784</v>
      </c>
      <c r="J132" s="1">
        <v>284</v>
      </c>
      <c r="K132" s="1">
        <v>116</v>
      </c>
      <c r="L132" s="1">
        <v>64</v>
      </c>
    </row>
    <row r="133" spans="1:12" x14ac:dyDescent="0.35">
      <c r="A133" s="1" t="s">
        <v>33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/>
      <c r="H133" s="2">
        <v>0</v>
      </c>
      <c r="I133" s="2">
        <v>0</v>
      </c>
      <c r="J133" s="1"/>
      <c r="K133" s="1"/>
      <c r="L133" s="1"/>
    </row>
    <row r="134" spans="1:12" x14ac:dyDescent="0.35">
      <c r="A134" s="1" t="s">
        <v>34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/>
      <c r="H134" s="2">
        <v>0</v>
      </c>
      <c r="I134" s="2">
        <v>0</v>
      </c>
      <c r="J134" s="1"/>
      <c r="K134" s="1"/>
      <c r="L134" s="1"/>
    </row>
    <row r="135" spans="1:12" x14ac:dyDescent="0.35">
      <c r="A135" s="1" t="s">
        <v>35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/>
      <c r="H135" s="2">
        <v>0</v>
      </c>
      <c r="I135" s="2">
        <v>0</v>
      </c>
      <c r="J135" s="1"/>
      <c r="K135" s="1"/>
      <c r="L135" s="1"/>
    </row>
    <row r="137" spans="1:12" x14ac:dyDescent="0.35">
      <c r="A137" s="14" t="s">
        <v>55</v>
      </c>
      <c r="B137" s="1" t="s">
        <v>4</v>
      </c>
      <c r="C137" s="1" t="s">
        <v>5</v>
      </c>
      <c r="D137" s="1" t="s">
        <v>6</v>
      </c>
      <c r="E137" s="1" t="s">
        <v>7</v>
      </c>
      <c r="F137" s="1" t="s">
        <v>8</v>
      </c>
      <c r="G137" s="1" t="s">
        <v>9</v>
      </c>
      <c r="H137" s="1" t="s">
        <v>10</v>
      </c>
      <c r="I137" s="1" t="s">
        <v>11</v>
      </c>
      <c r="J137" s="1" t="s">
        <v>12</v>
      </c>
      <c r="K137" s="1" t="s">
        <v>13</v>
      </c>
      <c r="L137" s="1" t="s">
        <v>14</v>
      </c>
    </row>
    <row r="138" spans="1:12" x14ac:dyDescent="0.35">
      <c r="A138" s="18" t="s">
        <v>15</v>
      </c>
      <c r="B138" s="17" t="s">
        <v>16</v>
      </c>
      <c r="C138" s="19" t="s">
        <v>17</v>
      </c>
      <c r="D138" s="17" t="s">
        <v>18</v>
      </c>
      <c r="E138" s="17" t="s">
        <v>19</v>
      </c>
      <c r="F138" s="17" t="s">
        <v>20</v>
      </c>
      <c r="G138" s="17" t="s">
        <v>21</v>
      </c>
      <c r="H138" s="17" t="s">
        <v>22</v>
      </c>
      <c r="I138" s="19" t="s">
        <v>23</v>
      </c>
      <c r="J138" s="17" t="s">
        <v>24</v>
      </c>
      <c r="K138" s="19" t="s">
        <v>25</v>
      </c>
      <c r="L138" s="17" t="s">
        <v>26</v>
      </c>
    </row>
    <row r="139" spans="1:12" x14ac:dyDescent="0.35">
      <c r="A139" s="18"/>
      <c r="B139" s="17"/>
      <c r="C139" s="19"/>
      <c r="D139" s="17"/>
      <c r="E139" s="17"/>
      <c r="F139" s="17"/>
      <c r="G139" s="17"/>
      <c r="H139" s="17"/>
      <c r="I139" s="19"/>
      <c r="J139" s="17"/>
      <c r="K139" s="19"/>
      <c r="L139" s="17"/>
    </row>
    <row r="140" spans="1:12" x14ac:dyDescent="0.35">
      <c r="A140" s="1" t="s">
        <v>27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/>
      <c r="H140" s="2">
        <v>112983</v>
      </c>
      <c r="I140" s="2">
        <v>0</v>
      </c>
      <c r="J140" s="1">
        <v>3</v>
      </c>
      <c r="K140" s="1">
        <v>2</v>
      </c>
      <c r="L140" s="1">
        <v>3</v>
      </c>
    </row>
    <row r="141" spans="1:12" x14ac:dyDescent="0.35">
      <c r="A141" s="1" t="s">
        <v>28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/>
      <c r="H141" s="2">
        <v>0</v>
      </c>
      <c r="I141" s="2">
        <v>0</v>
      </c>
      <c r="J141" s="1"/>
      <c r="K141" s="1"/>
      <c r="L141" s="1"/>
    </row>
    <row r="142" spans="1:12" x14ac:dyDescent="0.35">
      <c r="A142" s="1" t="s">
        <v>29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/>
      <c r="H142" s="2">
        <v>407124</v>
      </c>
      <c r="I142" s="2">
        <v>0</v>
      </c>
      <c r="J142" s="1">
        <v>23</v>
      </c>
      <c r="K142" s="1">
        <v>25</v>
      </c>
      <c r="L142" s="1">
        <v>7</v>
      </c>
    </row>
    <row r="143" spans="1:12" x14ac:dyDescent="0.35">
      <c r="A143" s="1" t="s">
        <v>30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/>
      <c r="H143" s="2">
        <v>68031</v>
      </c>
      <c r="I143" s="2">
        <v>0</v>
      </c>
      <c r="J143" s="1">
        <v>2</v>
      </c>
      <c r="K143" s="1"/>
      <c r="L143" s="1">
        <v>1</v>
      </c>
    </row>
    <row r="144" spans="1:12" x14ac:dyDescent="0.35">
      <c r="A144" s="1" t="s">
        <v>31</v>
      </c>
      <c r="B144" s="2">
        <v>0</v>
      </c>
      <c r="C144" s="2">
        <v>0</v>
      </c>
      <c r="D144" s="2">
        <v>0</v>
      </c>
      <c r="E144" s="2">
        <v>0</v>
      </c>
      <c r="F144" s="2">
        <v>11739</v>
      </c>
      <c r="G144" s="2"/>
      <c r="H144" s="2">
        <v>289808</v>
      </c>
      <c r="I144" s="2">
        <v>75057</v>
      </c>
      <c r="J144" s="1">
        <v>4</v>
      </c>
      <c r="K144" s="1">
        <v>2</v>
      </c>
      <c r="L144" s="1">
        <v>1</v>
      </c>
    </row>
    <row r="145" spans="1:12" x14ac:dyDescent="0.35">
      <c r="A145" s="1" t="s">
        <v>32</v>
      </c>
      <c r="B145" s="2">
        <v>78579</v>
      </c>
      <c r="C145" s="2">
        <v>0</v>
      </c>
      <c r="D145" s="2">
        <v>29457</v>
      </c>
      <c r="E145" s="2">
        <v>0</v>
      </c>
      <c r="F145" s="2">
        <v>169215</v>
      </c>
      <c r="G145" s="2"/>
      <c r="H145" s="2">
        <v>5215438</v>
      </c>
      <c r="I145" s="2">
        <v>979220</v>
      </c>
      <c r="J145" s="1">
        <v>209</v>
      </c>
      <c r="K145" s="1">
        <v>84</v>
      </c>
      <c r="L145" s="1">
        <v>49</v>
      </c>
    </row>
    <row r="146" spans="1:12" x14ac:dyDescent="0.35">
      <c r="A146" s="1" t="s">
        <v>33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/>
      <c r="H146" s="2">
        <v>0</v>
      </c>
      <c r="I146" s="2">
        <v>0</v>
      </c>
      <c r="J146" s="1"/>
      <c r="K146" s="1"/>
      <c r="L146" s="1"/>
    </row>
    <row r="147" spans="1:12" x14ac:dyDescent="0.35">
      <c r="A147" s="1" t="s">
        <v>34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/>
      <c r="H147" s="2">
        <v>0</v>
      </c>
      <c r="I147" s="2">
        <v>0</v>
      </c>
      <c r="J147" s="1"/>
      <c r="K147" s="1"/>
      <c r="L147" s="1"/>
    </row>
    <row r="148" spans="1:12" x14ac:dyDescent="0.35">
      <c r="A148" s="1" t="s">
        <v>35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/>
      <c r="H148" s="2">
        <v>0</v>
      </c>
      <c r="I148" s="2">
        <v>0</v>
      </c>
      <c r="J148" s="1"/>
      <c r="K148" s="1"/>
      <c r="L148" s="1"/>
    </row>
    <row r="150" spans="1:12" x14ac:dyDescent="0.35">
      <c r="A150" s="14" t="s">
        <v>56</v>
      </c>
      <c r="B150" s="1" t="s">
        <v>4</v>
      </c>
      <c r="C150" s="1" t="s">
        <v>5</v>
      </c>
      <c r="D150" s="1" t="s">
        <v>6</v>
      </c>
      <c r="E150" s="1" t="s">
        <v>7</v>
      </c>
      <c r="F150" s="1" t="s">
        <v>8</v>
      </c>
      <c r="G150" s="1" t="s">
        <v>9</v>
      </c>
      <c r="H150" s="1" t="s">
        <v>10</v>
      </c>
      <c r="I150" s="1" t="s">
        <v>11</v>
      </c>
      <c r="J150" s="1" t="s">
        <v>12</v>
      </c>
      <c r="K150" s="1" t="s">
        <v>13</v>
      </c>
      <c r="L150" s="1" t="s">
        <v>14</v>
      </c>
    </row>
    <row r="151" spans="1:12" x14ac:dyDescent="0.35">
      <c r="A151" s="18" t="s">
        <v>15</v>
      </c>
      <c r="B151" s="17" t="s">
        <v>16</v>
      </c>
      <c r="C151" s="19" t="s">
        <v>17</v>
      </c>
      <c r="D151" s="17" t="s">
        <v>18</v>
      </c>
      <c r="E151" s="17" t="s">
        <v>19</v>
      </c>
      <c r="F151" s="17" t="s">
        <v>20</v>
      </c>
      <c r="G151" s="17" t="s">
        <v>21</v>
      </c>
      <c r="H151" s="17" t="s">
        <v>22</v>
      </c>
      <c r="I151" s="19" t="s">
        <v>23</v>
      </c>
      <c r="J151" s="17" t="s">
        <v>24</v>
      </c>
      <c r="K151" s="19" t="s">
        <v>25</v>
      </c>
      <c r="L151" s="17" t="s">
        <v>26</v>
      </c>
    </row>
    <row r="152" spans="1:12" x14ac:dyDescent="0.35">
      <c r="A152" s="18"/>
      <c r="B152" s="17"/>
      <c r="C152" s="19"/>
      <c r="D152" s="17"/>
      <c r="E152" s="17"/>
      <c r="F152" s="17"/>
      <c r="G152" s="17"/>
      <c r="H152" s="17"/>
      <c r="I152" s="19"/>
      <c r="J152" s="17"/>
      <c r="K152" s="19"/>
      <c r="L152" s="17"/>
    </row>
    <row r="153" spans="1:12" x14ac:dyDescent="0.35">
      <c r="A153" s="1" t="s">
        <v>27</v>
      </c>
      <c r="B153" s="2">
        <v>8782</v>
      </c>
      <c r="C153" s="2">
        <v>0</v>
      </c>
      <c r="D153" s="2">
        <v>28073</v>
      </c>
      <c r="E153" s="2">
        <v>0</v>
      </c>
      <c r="F153" s="2">
        <v>0</v>
      </c>
      <c r="G153" s="2"/>
      <c r="H153" s="2">
        <v>6508</v>
      </c>
      <c r="I153" s="2">
        <v>45638</v>
      </c>
      <c r="J153" s="1">
        <v>3</v>
      </c>
      <c r="K153" s="1"/>
      <c r="L153" s="1">
        <v>2</v>
      </c>
    </row>
    <row r="154" spans="1:12" x14ac:dyDescent="0.35">
      <c r="A154" s="1" t="s">
        <v>28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/>
      <c r="H154" s="2">
        <v>0</v>
      </c>
      <c r="I154" s="2">
        <v>0</v>
      </c>
      <c r="J154" s="1"/>
      <c r="K154" s="1">
        <v>1</v>
      </c>
      <c r="L154" s="1"/>
    </row>
    <row r="155" spans="1:12" x14ac:dyDescent="0.35">
      <c r="A155" s="1" t="s">
        <v>29</v>
      </c>
      <c r="B155" s="2">
        <v>229438</v>
      </c>
      <c r="C155" s="2">
        <v>0</v>
      </c>
      <c r="D155" s="2">
        <v>99634</v>
      </c>
      <c r="E155" s="2">
        <v>0</v>
      </c>
      <c r="F155" s="2">
        <v>67878</v>
      </c>
      <c r="G155" s="2"/>
      <c r="H155" s="2">
        <v>2512024</v>
      </c>
      <c r="I155" s="2">
        <v>777296</v>
      </c>
      <c r="J155" s="1">
        <v>25</v>
      </c>
      <c r="K155" s="1">
        <v>23</v>
      </c>
      <c r="L155" s="1">
        <v>8</v>
      </c>
    </row>
    <row r="156" spans="1:12" x14ac:dyDescent="0.35">
      <c r="A156" s="1" t="s">
        <v>30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/>
      <c r="H156" s="2">
        <v>0</v>
      </c>
      <c r="I156" s="2">
        <v>0</v>
      </c>
      <c r="J156" s="1">
        <v>1</v>
      </c>
      <c r="K156" s="1"/>
      <c r="L156" s="1"/>
    </row>
    <row r="157" spans="1:12" x14ac:dyDescent="0.35">
      <c r="A157" s="1" t="s">
        <v>31</v>
      </c>
      <c r="B157" s="2">
        <v>0</v>
      </c>
      <c r="C157" s="2">
        <v>0</v>
      </c>
      <c r="D157" s="2">
        <v>0</v>
      </c>
      <c r="E157" s="2">
        <v>0</v>
      </c>
      <c r="F157" s="2">
        <v>38898</v>
      </c>
      <c r="G157" s="2"/>
      <c r="H157" s="2">
        <v>1061224</v>
      </c>
      <c r="I157" s="2">
        <v>172660</v>
      </c>
      <c r="J157" s="1">
        <v>5</v>
      </c>
      <c r="K157" s="1">
        <v>4</v>
      </c>
      <c r="L157" s="1">
        <v>1</v>
      </c>
    </row>
    <row r="158" spans="1:12" x14ac:dyDescent="0.35">
      <c r="A158" s="1" t="s">
        <v>32</v>
      </c>
      <c r="B158" s="2">
        <v>1741127</v>
      </c>
      <c r="C158" s="2">
        <v>0</v>
      </c>
      <c r="D158" s="2">
        <v>535989</v>
      </c>
      <c r="E158" s="2">
        <v>0</v>
      </c>
      <c r="F158" s="2">
        <v>670217</v>
      </c>
      <c r="G158" s="2"/>
      <c r="H158" s="2">
        <v>3317344</v>
      </c>
      <c r="I158" s="2">
        <v>4962393</v>
      </c>
      <c r="J158" s="1">
        <v>198</v>
      </c>
      <c r="K158" s="1">
        <v>104</v>
      </c>
      <c r="L158" s="1">
        <v>54</v>
      </c>
    </row>
    <row r="159" spans="1:12" x14ac:dyDescent="0.35">
      <c r="A159" s="1" t="s">
        <v>33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/>
      <c r="H159" s="2">
        <v>0</v>
      </c>
      <c r="I159" s="2">
        <v>0</v>
      </c>
      <c r="J159" s="1"/>
      <c r="K159" s="1"/>
      <c r="L159" s="1"/>
    </row>
    <row r="160" spans="1:12" x14ac:dyDescent="0.35">
      <c r="A160" s="1" t="s">
        <v>34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/>
      <c r="H160" s="2">
        <v>0</v>
      </c>
      <c r="I160" s="2">
        <v>0</v>
      </c>
      <c r="J160" s="1"/>
      <c r="K160" s="1"/>
      <c r="L160" s="1"/>
    </row>
    <row r="161" spans="1:12" x14ac:dyDescent="0.35">
      <c r="A161" s="1" t="s">
        <v>35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/>
      <c r="H161" s="2">
        <v>0</v>
      </c>
      <c r="I161" s="2">
        <v>0</v>
      </c>
      <c r="J161" s="1"/>
      <c r="K161" s="1"/>
      <c r="L161" s="1"/>
    </row>
    <row r="163" spans="1:12" x14ac:dyDescent="0.35">
      <c r="A163" s="14" t="s">
        <v>57</v>
      </c>
      <c r="B163" s="1" t="s">
        <v>4</v>
      </c>
      <c r="C163" s="1" t="s">
        <v>5</v>
      </c>
      <c r="D163" s="1" t="s">
        <v>6</v>
      </c>
      <c r="E163" s="1" t="s">
        <v>7</v>
      </c>
      <c r="F163" s="1" t="s">
        <v>8</v>
      </c>
      <c r="G163" s="1" t="s">
        <v>9</v>
      </c>
      <c r="H163" s="1" t="s">
        <v>10</v>
      </c>
      <c r="I163" s="1" t="s">
        <v>11</v>
      </c>
      <c r="J163" s="1" t="s">
        <v>12</v>
      </c>
      <c r="K163" s="1" t="s">
        <v>13</v>
      </c>
      <c r="L163" s="1" t="s">
        <v>14</v>
      </c>
    </row>
    <row r="164" spans="1:12" x14ac:dyDescent="0.35">
      <c r="A164" s="18" t="s">
        <v>15</v>
      </c>
      <c r="B164" s="17" t="s">
        <v>16</v>
      </c>
      <c r="C164" s="19" t="s">
        <v>17</v>
      </c>
      <c r="D164" s="17" t="s">
        <v>18</v>
      </c>
      <c r="E164" s="17" t="s">
        <v>19</v>
      </c>
      <c r="F164" s="17" t="s">
        <v>20</v>
      </c>
      <c r="G164" s="17" t="s">
        <v>21</v>
      </c>
      <c r="H164" s="17" t="s">
        <v>22</v>
      </c>
      <c r="I164" s="19" t="s">
        <v>23</v>
      </c>
      <c r="J164" s="17" t="s">
        <v>24</v>
      </c>
      <c r="K164" s="19" t="s">
        <v>25</v>
      </c>
      <c r="L164" s="17" t="s">
        <v>26</v>
      </c>
    </row>
    <row r="165" spans="1:12" x14ac:dyDescent="0.35">
      <c r="A165" s="18"/>
      <c r="B165" s="17"/>
      <c r="C165" s="19"/>
      <c r="D165" s="17"/>
      <c r="E165" s="17"/>
      <c r="F165" s="17"/>
      <c r="G165" s="17"/>
      <c r="H165" s="17"/>
      <c r="I165" s="19"/>
      <c r="J165" s="17"/>
      <c r="K165" s="19"/>
      <c r="L165" s="17"/>
    </row>
    <row r="166" spans="1:12" x14ac:dyDescent="0.35">
      <c r="A166" s="1" t="s">
        <v>27</v>
      </c>
      <c r="B166" s="2">
        <v>771834</v>
      </c>
      <c r="C166" s="2">
        <v>0</v>
      </c>
      <c r="D166" s="2">
        <v>52710</v>
      </c>
      <c r="E166" s="2">
        <v>0</v>
      </c>
      <c r="F166" s="2">
        <v>0</v>
      </c>
      <c r="G166" s="2"/>
      <c r="H166" s="2">
        <v>798686</v>
      </c>
      <c r="I166" s="2">
        <v>1596378</v>
      </c>
      <c r="J166" s="6">
        <v>15</v>
      </c>
      <c r="K166" s="6">
        <v>3</v>
      </c>
      <c r="L166" s="6">
        <v>6</v>
      </c>
    </row>
    <row r="167" spans="1:12" x14ac:dyDescent="0.35">
      <c r="A167" s="1" t="s">
        <v>28</v>
      </c>
      <c r="B167" s="2">
        <v>62146</v>
      </c>
      <c r="C167" s="2">
        <v>0</v>
      </c>
      <c r="D167" s="2">
        <v>24782</v>
      </c>
      <c r="E167" s="2">
        <v>0</v>
      </c>
      <c r="F167" s="2">
        <v>0</v>
      </c>
      <c r="G167" s="2"/>
      <c r="H167" s="2">
        <v>13508</v>
      </c>
      <c r="I167" s="2">
        <v>149073</v>
      </c>
      <c r="J167" s="6">
        <v>9</v>
      </c>
      <c r="K167" s="6">
        <v>3</v>
      </c>
      <c r="L167" s="6">
        <v>1</v>
      </c>
    </row>
    <row r="168" spans="1:12" x14ac:dyDescent="0.35">
      <c r="A168" s="1" t="s">
        <v>29</v>
      </c>
      <c r="B168" s="2">
        <v>10037985</v>
      </c>
      <c r="C168" s="2">
        <v>0</v>
      </c>
      <c r="D168" s="2">
        <v>9925817</v>
      </c>
      <c r="E168" s="2">
        <v>0</v>
      </c>
      <c r="F168" s="2">
        <v>757928</v>
      </c>
      <c r="G168" s="2"/>
      <c r="H168" s="2">
        <v>11119585</v>
      </c>
      <c r="I168" s="2">
        <v>30220573</v>
      </c>
      <c r="J168" s="6">
        <v>365</v>
      </c>
      <c r="K168" s="6">
        <v>270</v>
      </c>
      <c r="L168" s="6">
        <v>134</v>
      </c>
    </row>
    <row r="169" spans="1:12" x14ac:dyDescent="0.35">
      <c r="A169" s="1" t="s">
        <v>30</v>
      </c>
      <c r="B169" s="2">
        <v>277083</v>
      </c>
      <c r="C169" s="2">
        <v>0</v>
      </c>
      <c r="D169" s="2">
        <v>392997</v>
      </c>
      <c r="E169" s="2">
        <v>0</v>
      </c>
      <c r="F169" s="2">
        <v>0</v>
      </c>
      <c r="G169" s="2"/>
      <c r="H169" s="2">
        <v>153768</v>
      </c>
      <c r="I169" s="2">
        <v>947163</v>
      </c>
      <c r="J169" s="6">
        <v>23</v>
      </c>
      <c r="K169" s="6">
        <v>7</v>
      </c>
      <c r="L169" s="6">
        <v>12</v>
      </c>
    </row>
    <row r="170" spans="1:12" x14ac:dyDescent="0.35">
      <c r="A170" s="1" t="s">
        <v>31</v>
      </c>
      <c r="B170" s="2">
        <v>3915462</v>
      </c>
      <c r="C170" s="2">
        <v>0</v>
      </c>
      <c r="D170" s="2">
        <v>2132383</v>
      </c>
      <c r="E170" s="2">
        <v>0</v>
      </c>
      <c r="F170" s="2">
        <v>519752</v>
      </c>
      <c r="G170" s="2"/>
      <c r="H170" s="2">
        <v>2895328</v>
      </c>
      <c r="I170" s="2">
        <v>10246957</v>
      </c>
      <c r="J170" s="6">
        <v>71</v>
      </c>
      <c r="K170" s="6">
        <v>38</v>
      </c>
      <c r="L170" s="6">
        <v>33</v>
      </c>
    </row>
    <row r="171" spans="1:12" x14ac:dyDescent="0.35">
      <c r="A171" s="1" t="s">
        <v>32</v>
      </c>
      <c r="B171" s="2">
        <v>39576125</v>
      </c>
      <c r="C171" s="2">
        <v>0</v>
      </c>
      <c r="D171" s="2">
        <v>24019102</v>
      </c>
      <c r="E171" s="2">
        <v>0</v>
      </c>
      <c r="F171" s="2">
        <v>4082739</v>
      </c>
      <c r="G171" s="2"/>
      <c r="H171" s="2">
        <v>39408325</v>
      </c>
      <c r="I171" s="2">
        <v>109951378</v>
      </c>
      <c r="J171" s="6">
        <v>2630</v>
      </c>
      <c r="K171" s="6">
        <v>1153</v>
      </c>
      <c r="L171" s="6">
        <v>572</v>
      </c>
    </row>
    <row r="172" spans="1:12" x14ac:dyDescent="0.35">
      <c r="A172" s="1" t="s">
        <v>33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/>
      <c r="H172" s="2">
        <v>0</v>
      </c>
      <c r="I172" s="2">
        <v>0</v>
      </c>
      <c r="J172" s="6">
        <v>0</v>
      </c>
      <c r="K172" s="6">
        <v>0</v>
      </c>
      <c r="L172" s="6">
        <v>0</v>
      </c>
    </row>
    <row r="173" spans="1:12" x14ac:dyDescent="0.35">
      <c r="A173" s="1" t="s">
        <v>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/>
      <c r="H173" s="2">
        <v>0</v>
      </c>
      <c r="I173" s="2">
        <v>0</v>
      </c>
      <c r="J173" s="6">
        <v>0</v>
      </c>
      <c r="K173" s="6">
        <v>0</v>
      </c>
      <c r="L173" s="6">
        <v>0</v>
      </c>
    </row>
    <row r="174" spans="1:12" x14ac:dyDescent="0.35">
      <c r="A174" s="1" t="s">
        <v>35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/>
      <c r="H174" s="2">
        <v>4771</v>
      </c>
      <c r="I174" s="2">
        <v>84287</v>
      </c>
      <c r="J174" s="6">
        <v>0</v>
      </c>
      <c r="K174" s="6">
        <v>2</v>
      </c>
      <c r="L174" s="6">
        <v>0</v>
      </c>
    </row>
    <row r="176" spans="1:12" s="15" customFormat="1" x14ac:dyDescent="0.35"/>
    <row r="178" spans="1:12" x14ac:dyDescent="0.35">
      <c r="A178" s="4" t="s">
        <v>36</v>
      </c>
    </row>
    <row r="179" spans="1:12" x14ac:dyDescent="0.35">
      <c r="A179" t="s">
        <v>1</v>
      </c>
    </row>
    <row r="180" spans="1:12" x14ac:dyDescent="0.35">
      <c r="A180" t="s">
        <v>2</v>
      </c>
    </row>
    <row r="182" spans="1:12" x14ac:dyDescent="0.35">
      <c r="A182" s="14" t="s">
        <v>58</v>
      </c>
      <c r="B182" s="1" t="s">
        <v>4</v>
      </c>
      <c r="C182" s="1" t="s">
        <v>5</v>
      </c>
      <c r="D182" s="1" t="s">
        <v>6</v>
      </c>
      <c r="E182" s="1" t="s">
        <v>7</v>
      </c>
      <c r="F182" s="1" t="s">
        <v>8</v>
      </c>
      <c r="G182" s="1" t="s">
        <v>9</v>
      </c>
      <c r="H182" s="1" t="s">
        <v>10</v>
      </c>
      <c r="I182" s="1" t="s">
        <v>11</v>
      </c>
      <c r="J182" s="1" t="s">
        <v>12</v>
      </c>
      <c r="K182" s="1" t="s">
        <v>13</v>
      </c>
      <c r="L182" s="1" t="s">
        <v>14</v>
      </c>
    </row>
    <row r="183" spans="1:12" x14ac:dyDescent="0.35">
      <c r="A183" s="18" t="s">
        <v>15</v>
      </c>
      <c r="B183" s="17" t="s">
        <v>16</v>
      </c>
      <c r="C183" s="19" t="s">
        <v>17</v>
      </c>
      <c r="D183" s="17" t="s">
        <v>18</v>
      </c>
      <c r="E183" s="17" t="s">
        <v>19</v>
      </c>
      <c r="F183" s="17" t="s">
        <v>20</v>
      </c>
      <c r="G183" s="17" t="s">
        <v>21</v>
      </c>
      <c r="H183" s="17" t="s">
        <v>22</v>
      </c>
      <c r="I183" s="19" t="s">
        <v>23</v>
      </c>
      <c r="J183" s="17" t="s">
        <v>24</v>
      </c>
      <c r="K183" s="19" t="s">
        <v>25</v>
      </c>
      <c r="L183" s="17" t="s">
        <v>26</v>
      </c>
    </row>
    <row r="184" spans="1:12" x14ac:dyDescent="0.35">
      <c r="A184" s="18"/>
      <c r="B184" s="17"/>
      <c r="C184" s="19"/>
      <c r="D184" s="17"/>
      <c r="E184" s="17"/>
      <c r="F184" s="17"/>
      <c r="G184" s="17"/>
      <c r="H184" s="17"/>
      <c r="I184" s="19"/>
      <c r="J184" s="17"/>
      <c r="K184" s="19"/>
      <c r="L184" s="17"/>
    </row>
    <row r="185" spans="1:12" x14ac:dyDescent="0.35">
      <c r="A185" s="1" t="s">
        <v>27</v>
      </c>
      <c r="B185" s="3">
        <f>46563</f>
        <v>46563</v>
      </c>
      <c r="C185" s="3">
        <v>0</v>
      </c>
      <c r="D185" s="3">
        <v>118869</v>
      </c>
      <c r="E185" s="3">
        <v>0</v>
      </c>
      <c r="F185" s="3">
        <v>0</v>
      </c>
      <c r="G185" s="3">
        <v>0</v>
      </c>
      <c r="H185" s="3">
        <v>31702</v>
      </c>
      <c r="I185" s="3">
        <v>211995</v>
      </c>
      <c r="J185" s="1">
        <v>1</v>
      </c>
      <c r="K185" s="1">
        <v>5</v>
      </c>
      <c r="L185" s="1"/>
    </row>
    <row r="186" spans="1:12" x14ac:dyDescent="0.35">
      <c r="A186" s="1" t="s">
        <v>28</v>
      </c>
      <c r="B186" s="3">
        <v>248918</v>
      </c>
      <c r="C186" s="3">
        <v>0</v>
      </c>
      <c r="D186" s="3">
        <v>847114</v>
      </c>
      <c r="E186" s="3">
        <v>0</v>
      </c>
      <c r="F186" s="3">
        <v>0</v>
      </c>
      <c r="G186" s="3">
        <v>0</v>
      </c>
      <c r="H186" s="3">
        <f>34925</f>
        <v>34925</v>
      </c>
      <c r="I186" s="3">
        <v>1344951</v>
      </c>
      <c r="J186" s="1"/>
      <c r="K186" s="1">
        <v>23</v>
      </c>
      <c r="L186" s="1"/>
    </row>
    <row r="187" spans="1:12" x14ac:dyDescent="0.35">
      <c r="A187" s="1" t="s">
        <v>29</v>
      </c>
      <c r="B187" s="3">
        <v>252717</v>
      </c>
      <c r="C187" s="3">
        <v>0</v>
      </c>
      <c r="D187" s="3">
        <v>537599</v>
      </c>
      <c r="E187" s="3">
        <v>0</v>
      </c>
      <c r="F187" s="3">
        <v>7816</v>
      </c>
      <c r="G187" s="3">
        <v>0</v>
      </c>
      <c r="H187" s="3">
        <f>112099</f>
        <v>112099</v>
      </c>
      <c r="I187" s="3">
        <v>1043464</v>
      </c>
      <c r="J187" s="1">
        <v>20</v>
      </c>
      <c r="K187" s="1">
        <v>20</v>
      </c>
      <c r="L187" s="1">
        <v>4</v>
      </c>
    </row>
    <row r="188" spans="1:12" x14ac:dyDescent="0.35">
      <c r="A188" s="1" t="s">
        <v>30</v>
      </c>
      <c r="B188" s="3">
        <v>48563</v>
      </c>
      <c r="C188" s="3">
        <v>0</v>
      </c>
      <c r="D188" s="3">
        <v>2130</v>
      </c>
      <c r="E188" s="3">
        <v>0</v>
      </c>
      <c r="F188" s="3">
        <v>0</v>
      </c>
      <c r="G188" s="3">
        <v>0</v>
      </c>
      <c r="H188" s="3">
        <v>2312</v>
      </c>
      <c r="I188" s="3">
        <v>99257</v>
      </c>
      <c r="J188" s="1"/>
      <c r="K188" s="1">
        <v>1</v>
      </c>
      <c r="L188" s="1"/>
    </row>
    <row r="189" spans="1:12" x14ac:dyDescent="0.35">
      <c r="A189" s="1" t="s">
        <v>31</v>
      </c>
      <c r="B189" s="3">
        <v>15160</v>
      </c>
      <c r="C189" s="3">
        <v>0</v>
      </c>
      <c r="D189" s="3">
        <v>17687</v>
      </c>
      <c r="E189" s="3">
        <v>0</v>
      </c>
      <c r="F189" s="3">
        <v>0</v>
      </c>
      <c r="G189" s="3">
        <v>0</v>
      </c>
      <c r="H189" s="3">
        <v>6965</v>
      </c>
      <c r="I189" s="3">
        <v>48007</v>
      </c>
      <c r="J189" s="1">
        <v>6</v>
      </c>
      <c r="K189" s="1">
        <v>6</v>
      </c>
      <c r="L189" s="1">
        <v>1</v>
      </c>
    </row>
    <row r="190" spans="1:12" x14ac:dyDescent="0.35">
      <c r="A190" s="1" t="s">
        <v>32</v>
      </c>
      <c r="B190" s="3">
        <v>86166</v>
      </c>
      <c r="C190" s="3">
        <v>0</v>
      </c>
      <c r="D190" s="3">
        <v>1189230</v>
      </c>
      <c r="E190" s="3">
        <v>0</v>
      </c>
      <c r="F190" s="3">
        <v>0</v>
      </c>
      <c r="G190" s="3">
        <v>0</v>
      </c>
      <c r="H190" s="3">
        <f>1189858</f>
        <v>1189858</v>
      </c>
      <c r="I190" s="3">
        <v>1798661</v>
      </c>
      <c r="J190" s="1">
        <v>34</v>
      </c>
      <c r="K190" s="1">
        <v>353</v>
      </c>
      <c r="L190" s="1">
        <v>16</v>
      </c>
    </row>
    <row r="191" spans="1:12" x14ac:dyDescent="0.35">
      <c r="A191" s="1" t="s">
        <v>33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1">
        <v>3</v>
      </c>
      <c r="K191" s="1"/>
      <c r="L191" s="1"/>
    </row>
    <row r="192" spans="1:12" x14ac:dyDescent="0.35">
      <c r="A192" s="1" t="s">
        <v>34</v>
      </c>
      <c r="B192" s="3">
        <v>60157</v>
      </c>
      <c r="C192" s="3">
        <v>0</v>
      </c>
      <c r="D192" s="3">
        <v>6032</v>
      </c>
      <c r="E192" s="3">
        <v>0</v>
      </c>
      <c r="F192" s="3">
        <v>0</v>
      </c>
      <c r="G192" s="3">
        <v>0</v>
      </c>
      <c r="H192" s="3">
        <v>25069</v>
      </c>
      <c r="I192" s="3">
        <v>126346</v>
      </c>
      <c r="J192" s="1">
        <v>46</v>
      </c>
      <c r="K192" s="1">
        <v>1</v>
      </c>
      <c r="L192" s="1">
        <v>5</v>
      </c>
    </row>
    <row r="193" spans="1:12" x14ac:dyDescent="0.35">
      <c r="A193" s="1" t="s">
        <v>35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1"/>
      <c r="K193" s="1"/>
      <c r="L193" s="1"/>
    </row>
    <row r="195" spans="1:12" x14ac:dyDescent="0.35">
      <c r="A195" s="14" t="s">
        <v>46</v>
      </c>
      <c r="B195" s="1" t="s">
        <v>4</v>
      </c>
      <c r="C195" s="1" t="s">
        <v>5</v>
      </c>
      <c r="D195" s="1" t="s">
        <v>6</v>
      </c>
      <c r="E195" s="1" t="s">
        <v>7</v>
      </c>
      <c r="F195" s="1" t="s">
        <v>8</v>
      </c>
      <c r="G195" s="1" t="s">
        <v>9</v>
      </c>
      <c r="H195" s="1" t="s">
        <v>10</v>
      </c>
      <c r="I195" s="1" t="s">
        <v>11</v>
      </c>
      <c r="J195" s="1" t="s">
        <v>12</v>
      </c>
      <c r="K195" s="1" t="s">
        <v>13</v>
      </c>
      <c r="L195" s="1" t="s">
        <v>14</v>
      </c>
    </row>
    <row r="196" spans="1:12" x14ac:dyDescent="0.35">
      <c r="A196" s="18" t="s">
        <v>15</v>
      </c>
      <c r="B196" s="17" t="s">
        <v>16</v>
      </c>
      <c r="C196" s="19" t="s">
        <v>17</v>
      </c>
      <c r="D196" s="17" t="s">
        <v>18</v>
      </c>
      <c r="E196" s="17" t="s">
        <v>19</v>
      </c>
      <c r="F196" s="17" t="s">
        <v>20</v>
      </c>
      <c r="G196" s="17" t="s">
        <v>21</v>
      </c>
      <c r="H196" s="17" t="s">
        <v>22</v>
      </c>
      <c r="I196" s="19" t="s">
        <v>23</v>
      </c>
      <c r="J196" s="17" t="s">
        <v>24</v>
      </c>
      <c r="K196" s="19" t="s">
        <v>25</v>
      </c>
      <c r="L196" s="17" t="s">
        <v>26</v>
      </c>
    </row>
    <row r="197" spans="1:12" x14ac:dyDescent="0.35">
      <c r="A197" s="18"/>
      <c r="B197" s="17"/>
      <c r="C197" s="19"/>
      <c r="D197" s="17"/>
      <c r="E197" s="17"/>
      <c r="F197" s="17"/>
      <c r="G197" s="17"/>
      <c r="H197" s="17"/>
      <c r="I197" s="19"/>
      <c r="J197" s="17"/>
      <c r="K197" s="19"/>
      <c r="L197" s="17"/>
    </row>
    <row r="198" spans="1:12" x14ac:dyDescent="0.35">
      <c r="A198" s="1" t="s">
        <v>27</v>
      </c>
      <c r="B198" s="3">
        <v>88486</v>
      </c>
      <c r="C198" s="3">
        <v>0</v>
      </c>
      <c r="D198" s="3">
        <v>120251</v>
      </c>
      <c r="E198" s="2">
        <v>0</v>
      </c>
      <c r="F198" s="3">
        <v>0</v>
      </c>
      <c r="G198" s="3"/>
      <c r="H198" s="3">
        <v>76569</v>
      </c>
      <c r="I198" s="3">
        <v>297223</v>
      </c>
      <c r="J198" s="1">
        <v>1</v>
      </c>
      <c r="K198" s="1">
        <v>4</v>
      </c>
      <c r="L198" s="1">
        <v>1</v>
      </c>
    </row>
    <row r="199" spans="1:12" x14ac:dyDescent="0.35">
      <c r="A199" s="1" t="s">
        <v>28</v>
      </c>
      <c r="B199" s="3">
        <v>36730</v>
      </c>
      <c r="C199" s="3">
        <v>0</v>
      </c>
      <c r="D199" s="3">
        <v>294586</v>
      </c>
      <c r="E199" s="2">
        <v>0</v>
      </c>
      <c r="F199" s="3">
        <v>3129</v>
      </c>
      <c r="G199" s="3"/>
      <c r="H199" s="3">
        <v>11081</v>
      </c>
      <c r="I199" s="3">
        <v>368046</v>
      </c>
      <c r="J199" s="1">
        <v>1</v>
      </c>
      <c r="K199" s="1">
        <v>21</v>
      </c>
      <c r="L199" s="1"/>
    </row>
    <row r="200" spans="1:12" x14ac:dyDescent="0.35">
      <c r="A200" s="1" t="s">
        <v>29</v>
      </c>
      <c r="B200" s="3">
        <v>469547</v>
      </c>
      <c r="C200" s="3">
        <v>0</v>
      </c>
      <c r="D200" s="3">
        <v>676960</v>
      </c>
      <c r="E200" s="2">
        <v>0</v>
      </c>
      <c r="F200" s="3">
        <v>0</v>
      </c>
      <c r="G200" s="3"/>
      <c r="H200" s="3">
        <f>122801</f>
        <v>122801</v>
      </c>
      <c r="I200" s="3">
        <v>1616054</v>
      </c>
      <c r="J200" s="1">
        <v>12</v>
      </c>
      <c r="K200" s="1">
        <v>19</v>
      </c>
      <c r="L200" s="1">
        <v>1</v>
      </c>
    </row>
    <row r="201" spans="1:12" x14ac:dyDescent="0.35">
      <c r="A201" s="1" t="s">
        <v>30</v>
      </c>
      <c r="B201" s="3">
        <v>134725</v>
      </c>
      <c r="C201" s="3">
        <v>0</v>
      </c>
      <c r="D201" s="3">
        <v>138407</v>
      </c>
      <c r="E201" s="2">
        <v>0</v>
      </c>
      <c r="F201" s="3">
        <v>0</v>
      </c>
      <c r="G201" s="3"/>
      <c r="H201" s="3">
        <v>16839</v>
      </c>
      <c r="I201" s="3">
        <v>407856</v>
      </c>
      <c r="J201" s="1"/>
      <c r="K201" s="1">
        <v>1</v>
      </c>
      <c r="L201" s="1"/>
    </row>
    <row r="202" spans="1:12" x14ac:dyDescent="0.35">
      <c r="A202" s="1" t="s">
        <v>31</v>
      </c>
      <c r="B202" s="3">
        <v>10350</v>
      </c>
      <c r="C202" s="3">
        <v>0</v>
      </c>
      <c r="D202" s="3">
        <v>33628</v>
      </c>
      <c r="E202" s="2">
        <v>0</v>
      </c>
      <c r="F202" s="3">
        <v>2375</v>
      </c>
      <c r="G202" s="3"/>
      <c r="H202" s="3">
        <v>9373</v>
      </c>
      <c r="I202" s="3">
        <v>54678</v>
      </c>
      <c r="J202" s="1">
        <v>8</v>
      </c>
      <c r="K202" s="1">
        <v>3</v>
      </c>
      <c r="L202" s="1">
        <v>2</v>
      </c>
    </row>
    <row r="203" spans="1:12" x14ac:dyDescent="0.35">
      <c r="A203" s="1" t="s">
        <v>32</v>
      </c>
      <c r="B203" s="3">
        <v>71733</v>
      </c>
      <c r="C203" s="3">
        <v>0</v>
      </c>
      <c r="D203" s="3">
        <v>1007764</v>
      </c>
      <c r="E203" s="2">
        <v>0</v>
      </c>
      <c r="F203" s="3">
        <v>0</v>
      </c>
      <c r="G203" s="3"/>
      <c r="H203" s="3">
        <f>1371227</f>
        <v>1371227</v>
      </c>
      <c r="I203" s="3">
        <v>1643202</v>
      </c>
      <c r="J203" s="1">
        <v>63</v>
      </c>
      <c r="K203" s="1">
        <v>261</v>
      </c>
      <c r="L203" s="1">
        <v>19</v>
      </c>
    </row>
    <row r="204" spans="1:12" x14ac:dyDescent="0.35">
      <c r="A204" s="1" t="s">
        <v>33</v>
      </c>
      <c r="B204" s="3">
        <v>0</v>
      </c>
      <c r="C204" s="3">
        <v>0</v>
      </c>
      <c r="D204" s="3">
        <v>0</v>
      </c>
      <c r="E204" s="2">
        <v>0</v>
      </c>
      <c r="F204" s="3">
        <v>0</v>
      </c>
      <c r="G204" s="3"/>
      <c r="H204" s="3">
        <v>13099</v>
      </c>
      <c r="I204" s="3">
        <v>0</v>
      </c>
      <c r="J204" s="1">
        <v>1</v>
      </c>
      <c r="K204" s="1">
        <v>2</v>
      </c>
      <c r="L204" s="1"/>
    </row>
    <row r="205" spans="1:12" x14ac:dyDescent="0.35">
      <c r="A205" s="1" t="s">
        <v>34</v>
      </c>
      <c r="B205" s="3">
        <v>7389</v>
      </c>
      <c r="C205" s="3">
        <v>0</v>
      </c>
      <c r="D205" s="3">
        <v>1425</v>
      </c>
      <c r="E205" s="2">
        <v>0</v>
      </c>
      <c r="F205" s="3">
        <v>0</v>
      </c>
      <c r="G205" s="3"/>
      <c r="H205" s="3">
        <v>3393</v>
      </c>
      <c r="I205" s="3">
        <v>16203</v>
      </c>
      <c r="J205" s="1">
        <v>13</v>
      </c>
      <c r="K205" s="1">
        <v>1</v>
      </c>
      <c r="L205" s="1">
        <v>2</v>
      </c>
    </row>
    <row r="206" spans="1:12" x14ac:dyDescent="0.35">
      <c r="A206" s="1" t="s">
        <v>35</v>
      </c>
      <c r="B206" s="3">
        <v>0</v>
      </c>
      <c r="C206" s="3">
        <v>0</v>
      </c>
      <c r="D206" s="3">
        <v>0</v>
      </c>
      <c r="E206" s="2">
        <v>0</v>
      </c>
      <c r="F206" s="3">
        <v>0</v>
      </c>
      <c r="G206" s="3"/>
      <c r="H206" s="3">
        <v>0</v>
      </c>
      <c r="I206" s="3">
        <v>0</v>
      </c>
      <c r="J206" s="1"/>
      <c r="K206" s="1"/>
      <c r="L206" s="1"/>
    </row>
    <row r="208" spans="1:12" x14ac:dyDescent="0.35">
      <c r="A208" s="14" t="s">
        <v>47</v>
      </c>
      <c r="B208" s="1" t="s">
        <v>4</v>
      </c>
      <c r="C208" s="1" t="s">
        <v>5</v>
      </c>
      <c r="D208" s="1" t="s">
        <v>6</v>
      </c>
      <c r="E208" s="1" t="s">
        <v>7</v>
      </c>
      <c r="F208" s="1" t="s">
        <v>8</v>
      </c>
      <c r="G208" s="1" t="s">
        <v>9</v>
      </c>
      <c r="H208" s="1" t="s">
        <v>10</v>
      </c>
      <c r="I208" s="1" t="s">
        <v>11</v>
      </c>
      <c r="J208" s="1" t="s">
        <v>12</v>
      </c>
      <c r="K208" s="1" t="s">
        <v>13</v>
      </c>
      <c r="L208" s="1" t="s">
        <v>14</v>
      </c>
    </row>
    <row r="209" spans="1:12" x14ac:dyDescent="0.35">
      <c r="A209" s="18" t="s">
        <v>15</v>
      </c>
      <c r="B209" s="17" t="s">
        <v>16</v>
      </c>
      <c r="C209" s="19" t="s">
        <v>17</v>
      </c>
      <c r="D209" s="17" t="s">
        <v>18</v>
      </c>
      <c r="E209" s="17" t="s">
        <v>19</v>
      </c>
      <c r="F209" s="17" t="s">
        <v>20</v>
      </c>
      <c r="G209" s="17" t="s">
        <v>21</v>
      </c>
      <c r="H209" s="17" t="s">
        <v>22</v>
      </c>
      <c r="I209" s="19" t="s">
        <v>23</v>
      </c>
      <c r="J209" s="17" t="s">
        <v>24</v>
      </c>
      <c r="K209" s="19" t="s">
        <v>25</v>
      </c>
      <c r="L209" s="17" t="s">
        <v>26</v>
      </c>
    </row>
    <row r="210" spans="1:12" x14ac:dyDescent="0.35">
      <c r="A210" s="18"/>
      <c r="B210" s="17"/>
      <c r="C210" s="19"/>
      <c r="D210" s="17"/>
      <c r="E210" s="17"/>
      <c r="F210" s="17"/>
      <c r="G210" s="17"/>
      <c r="H210" s="17"/>
      <c r="I210" s="19"/>
      <c r="J210" s="17"/>
      <c r="K210" s="19"/>
      <c r="L210" s="17"/>
    </row>
    <row r="211" spans="1:12" x14ac:dyDescent="0.35">
      <c r="A211" s="1" t="s">
        <v>27</v>
      </c>
      <c r="B211" s="3">
        <v>82120</v>
      </c>
      <c r="C211" s="3">
        <v>0</v>
      </c>
      <c r="D211" s="3">
        <v>68739</v>
      </c>
      <c r="E211" s="2">
        <v>0</v>
      </c>
      <c r="F211" s="3">
        <v>0</v>
      </c>
      <c r="G211" s="3"/>
      <c r="H211" s="3">
        <v>63118</v>
      </c>
      <c r="I211" s="3">
        <v>232979</v>
      </c>
      <c r="J211" s="1">
        <v>1</v>
      </c>
      <c r="K211" s="1">
        <v>3</v>
      </c>
      <c r="L211" s="1"/>
    </row>
    <row r="212" spans="1:12" x14ac:dyDescent="0.35">
      <c r="A212" s="1" t="s">
        <v>28</v>
      </c>
      <c r="B212" s="3">
        <v>79053</v>
      </c>
      <c r="C212" s="3">
        <v>0</v>
      </c>
      <c r="D212" s="3">
        <v>484008</v>
      </c>
      <c r="E212" s="2">
        <v>0</v>
      </c>
      <c r="F212" s="3">
        <v>0</v>
      </c>
      <c r="G212" s="3"/>
      <c r="H212" s="3">
        <v>16771</v>
      </c>
      <c r="I212" s="3">
        <v>642114</v>
      </c>
      <c r="J212" s="1">
        <v>1</v>
      </c>
      <c r="K212" s="1">
        <v>17</v>
      </c>
      <c r="L212" s="1"/>
    </row>
    <row r="213" spans="1:12" x14ac:dyDescent="0.35">
      <c r="A213" s="1" t="s">
        <v>29</v>
      </c>
      <c r="B213" s="3">
        <v>596489</v>
      </c>
      <c r="C213" s="3">
        <v>0</v>
      </c>
      <c r="D213" s="3">
        <v>397478</v>
      </c>
      <c r="E213" s="2">
        <v>0</v>
      </c>
      <c r="F213" s="3">
        <v>1009</v>
      </c>
      <c r="G213" s="3"/>
      <c r="H213" s="3">
        <f>89365</f>
        <v>89365</v>
      </c>
      <c r="I213" s="3">
        <v>1590456</v>
      </c>
      <c r="J213" s="1">
        <v>11</v>
      </c>
      <c r="K213" s="1">
        <v>24</v>
      </c>
      <c r="L213" s="1">
        <v>1</v>
      </c>
    </row>
    <row r="214" spans="1:12" x14ac:dyDescent="0.35">
      <c r="A214" s="1" t="s">
        <v>30</v>
      </c>
      <c r="B214" s="3">
        <f>7502</f>
        <v>7502</v>
      </c>
      <c r="C214" s="3">
        <v>0</v>
      </c>
      <c r="D214" s="3">
        <v>128184</v>
      </c>
      <c r="E214" s="2">
        <v>0</v>
      </c>
      <c r="F214" s="3">
        <v>0</v>
      </c>
      <c r="G214" s="3"/>
      <c r="H214" s="3">
        <v>4032</v>
      </c>
      <c r="I214" s="3">
        <v>143187</v>
      </c>
      <c r="J214" s="1">
        <v>1</v>
      </c>
      <c r="K214" s="1">
        <v>2</v>
      </c>
      <c r="L214" s="1">
        <v>1</v>
      </c>
    </row>
    <row r="215" spans="1:12" x14ac:dyDescent="0.35">
      <c r="A215" s="1" t="s">
        <v>31</v>
      </c>
      <c r="B215" s="3">
        <v>10711</v>
      </c>
      <c r="C215" s="3">
        <v>0</v>
      </c>
      <c r="D215" s="3">
        <v>871582</v>
      </c>
      <c r="E215" s="2">
        <v>0</v>
      </c>
      <c r="F215" s="3">
        <v>0</v>
      </c>
      <c r="G215" s="3"/>
      <c r="H215" s="3">
        <v>56377</v>
      </c>
      <c r="I215" s="3">
        <v>907402</v>
      </c>
      <c r="J215" s="1">
        <v>4</v>
      </c>
      <c r="K215" s="1">
        <v>4</v>
      </c>
      <c r="L215" s="1">
        <v>1</v>
      </c>
    </row>
    <row r="216" spans="1:12" x14ac:dyDescent="0.35">
      <c r="A216" s="1" t="s">
        <v>32</v>
      </c>
      <c r="B216" s="3">
        <v>58679</v>
      </c>
      <c r="C216" s="3">
        <v>0</v>
      </c>
      <c r="D216" s="3">
        <v>1008904</v>
      </c>
      <c r="E216" s="2">
        <v>0</v>
      </c>
      <c r="F216" s="3">
        <v>0</v>
      </c>
      <c r="G216" s="3"/>
      <c r="H216" s="3">
        <f>1219731</f>
        <v>1219731</v>
      </c>
      <c r="I216" s="3">
        <v>1534767</v>
      </c>
      <c r="J216" s="1">
        <v>46</v>
      </c>
      <c r="K216" s="1">
        <v>391</v>
      </c>
      <c r="L216" s="1">
        <v>14</v>
      </c>
    </row>
    <row r="217" spans="1:12" x14ac:dyDescent="0.35">
      <c r="A217" s="1" t="s">
        <v>33</v>
      </c>
      <c r="B217" s="3">
        <v>0</v>
      </c>
      <c r="C217" s="3">
        <v>0</v>
      </c>
      <c r="D217" s="3">
        <v>0</v>
      </c>
      <c r="E217" s="2">
        <v>0</v>
      </c>
      <c r="F217" s="3">
        <v>0</v>
      </c>
      <c r="G217" s="3"/>
      <c r="H217" s="3">
        <v>0</v>
      </c>
      <c r="I217" s="3">
        <v>0</v>
      </c>
      <c r="J217" s="1"/>
      <c r="K217" s="1">
        <v>1</v>
      </c>
      <c r="L217" s="1"/>
    </row>
    <row r="218" spans="1:12" x14ac:dyDescent="0.35">
      <c r="A218" s="1" t="s">
        <v>34</v>
      </c>
      <c r="B218" s="3">
        <v>42997</v>
      </c>
      <c r="C218" s="3">
        <v>0</v>
      </c>
      <c r="D218" s="3">
        <v>4276</v>
      </c>
      <c r="E218" s="2">
        <v>0</v>
      </c>
      <c r="F218" s="3">
        <v>0</v>
      </c>
      <c r="G218" s="3"/>
      <c r="H218" s="3">
        <v>52827</v>
      </c>
      <c r="I218" s="3">
        <v>90271</v>
      </c>
      <c r="J218" s="1">
        <v>16</v>
      </c>
      <c r="K218" s="1"/>
      <c r="L218" s="1">
        <v>2</v>
      </c>
    </row>
    <row r="219" spans="1:12" x14ac:dyDescent="0.35">
      <c r="A219" s="1" t="s">
        <v>35</v>
      </c>
      <c r="B219" s="3">
        <v>0</v>
      </c>
      <c r="C219" s="3">
        <v>0</v>
      </c>
      <c r="D219" s="3">
        <v>0</v>
      </c>
      <c r="E219" s="2">
        <v>0</v>
      </c>
      <c r="F219" s="3">
        <v>0</v>
      </c>
      <c r="G219" s="3"/>
      <c r="H219" s="3">
        <v>0</v>
      </c>
      <c r="I219" s="3">
        <v>0</v>
      </c>
      <c r="J219" s="1"/>
      <c r="K219" s="1"/>
      <c r="L219" s="1"/>
    </row>
    <row r="221" spans="1:12" x14ac:dyDescent="0.35">
      <c r="A221" s="14" t="s">
        <v>59</v>
      </c>
      <c r="B221" s="1" t="s">
        <v>4</v>
      </c>
      <c r="C221" s="1" t="s">
        <v>5</v>
      </c>
      <c r="D221" s="1" t="s">
        <v>6</v>
      </c>
      <c r="E221" s="1" t="s">
        <v>7</v>
      </c>
      <c r="F221" s="1" t="s">
        <v>8</v>
      </c>
      <c r="G221" s="1" t="s">
        <v>9</v>
      </c>
      <c r="H221" s="1" t="s">
        <v>10</v>
      </c>
      <c r="I221" s="1" t="s">
        <v>11</v>
      </c>
      <c r="J221" s="1" t="s">
        <v>12</v>
      </c>
      <c r="K221" s="1" t="s">
        <v>13</v>
      </c>
      <c r="L221" s="1" t="s">
        <v>14</v>
      </c>
    </row>
    <row r="222" spans="1:12" x14ac:dyDescent="0.35">
      <c r="A222" s="18" t="s">
        <v>15</v>
      </c>
      <c r="B222" s="17" t="s">
        <v>16</v>
      </c>
      <c r="C222" s="19" t="s">
        <v>17</v>
      </c>
      <c r="D222" s="17" t="s">
        <v>18</v>
      </c>
      <c r="E222" s="17" t="s">
        <v>19</v>
      </c>
      <c r="F222" s="17" t="s">
        <v>20</v>
      </c>
      <c r="G222" s="17" t="s">
        <v>21</v>
      </c>
      <c r="H222" s="17" t="s">
        <v>22</v>
      </c>
      <c r="I222" s="19" t="s">
        <v>23</v>
      </c>
      <c r="J222" s="17" t="s">
        <v>24</v>
      </c>
      <c r="K222" s="19" t="s">
        <v>25</v>
      </c>
      <c r="L222" s="17" t="s">
        <v>26</v>
      </c>
    </row>
    <row r="223" spans="1:12" x14ac:dyDescent="0.35">
      <c r="A223" s="18"/>
      <c r="B223" s="17"/>
      <c r="C223" s="19"/>
      <c r="D223" s="17"/>
      <c r="E223" s="17"/>
      <c r="F223" s="17"/>
      <c r="G223" s="17"/>
      <c r="H223" s="17"/>
      <c r="I223" s="19"/>
      <c r="J223" s="17"/>
      <c r="K223" s="19"/>
      <c r="L223" s="17"/>
    </row>
    <row r="224" spans="1:12" x14ac:dyDescent="0.35">
      <c r="A224" s="1" t="s">
        <v>27</v>
      </c>
      <c r="B224" s="3">
        <v>70141</v>
      </c>
      <c r="C224" s="3">
        <v>0</v>
      </c>
      <c r="D224" s="3">
        <v>91549</v>
      </c>
      <c r="E224" s="2">
        <v>0</v>
      </c>
      <c r="F224" s="3">
        <v>26077</v>
      </c>
      <c r="G224" s="3"/>
      <c r="H224" s="3">
        <v>101672</v>
      </c>
      <c r="I224" s="3">
        <v>231831</v>
      </c>
      <c r="J224" s="1">
        <v>2</v>
      </c>
      <c r="K224" s="1">
        <v>8</v>
      </c>
      <c r="L224" s="1"/>
    </row>
    <row r="225" spans="1:12" x14ac:dyDescent="0.35">
      <c r="A225" s="1" t="s">
        <v>28</v>
      </c>
      <c r="B225" s="3">
        <v>229887</v>
      </c>
      <c r="C225" s="3">
        <v>0</v>
      </c>
      <c r="D225" s="3">
        <v>732145</v>
      </c>
      <c r="E225" s="2">
        <v>0</v>
      </c>
      <c r="F225" s="3">
        <v>0</v>
      </c>
      <c r="G225" s="3"/>
      <c r="H225" s="3">
        <v>53689</v>
      </c>
      <c r="I225" s="3">
        <v>1191919</v>
      </c>
      <c r="J225" s="1">
        <v>1</v>
      </c>
      <c r="K225" s="1">
        <v>29</v>
      </c>
      <c r="L225" s="1"/>
    </row>
    <row r="226" spans="1:12" x14ac:dyDescent="0.35">
      <c r="A226" s="1" t="s">
        <v>29</v>
      </c>
      <c r="B226" s="3">
        <v>484962</v>
      </c>
      <c r="C226" s="3">
        <v>0</v>
      </c>
      <c r="D226" s="3">
        <v>368931</v>
      </c>
      <c r="E226" s="2">
        <v>0</v>
      </c>
      <c r="F226" s="3">
        <v>19947</v>
      </c>
      <c r="G226" s="3"/>
      <c r="H226" s="3">
        <f>163188</f>
        <v>163188</v>
      </c>
      <c r="I226" s="3">
        <v>1342308</v>
      </c>
      <c r="J226" s="1">
        <v>8</v>
      </c>
      <c r="K226" s="1">
        <v>26</v>
      </c>
      <c r="L226" s="1">
        <v>2</v>
      </c>
    </row>
    <row r="227" spans="1:12" x14ac:dyDescent="0.35">
      <c r="A227" s="1" t="s">
        <v>30</v>
      </c>
      <c r="B227" s="3">
        <v>67673</v>
      </c>
      <c r="C227" s="3">
        <v>0</v>
      </c>
      <c r="D227" s="3">
        <v>156770</v>
      </c>
      <c r="E227" s="2">
        <v>0</v>
      </c>
      <c r="F227" s="3">
        <v>0</v>
      </c>
      <c r="G227" s="3"/>
      <c r="H227" s="3">
        <v>32246</v>
      </c>
      <c r="I227" s="3">
        <v>292116</v>
      </c>
      <c r="J227" s="1">
        <v>1</v>
      </c>
      <c r="K227" s="1">
        <v>1</v>
      </c>
      <c r="L227" s="1">
        <v>1</v>
      </c>
    </row>
    <row r="228" spans="1:12" x14ac:dyDescent="0.35">
      <c r="A228" s="1" t="s">
        <v>31</v>
      </c>
      <c r="B228" s="3">
        <v>14255</v>
      </c>
      <c r="C228" s="3">
        <v>0</v>
      </c>
      <c r="D228" s="3">
        <v>150011</v>
      </c>
      <c r="E228" s="2">
        <v>0</v>
      </c>
      <c r="F228" s="3">
        <v>6916</v>
      </c>
      <c r="G228" s="3"/>
      <c r="H228" s="3">
        <v>19029</v>
      </c>
      <c r="I228" s="3">
        <v>181554</v>
      </c>
      <c r="J228" s="1">
        <v>8</v>
      </c>
      <c r="K228" s="1">
        <v>6</v>
      </c>
      <c r="L228" s="1">
        <v>3</v>
      </c>
    </row>
    <row r="229" spans="1:12" x14ac:dyDescent="0.35">
      <c r="A229" s="1" t="s">
        <v>32</v>
      </c>
      <c r="B229" s="3">
        <v>31118</v>
      </c>
      <c r="C229" s="3">
        <v>0</v>
      </c>
      <c r="D229" s="3">
        <v>1014607</v>
      </c>
      <c r="E229" s="2">
        <v>0</v>
      </c>
      <c r="F229" s="3">
        <v>0</v>
      </c>
      <c r="G229" s="3"/>
      <c r="H229" s="3">
        <f>1157942</f>
        <v>1157942</v>
      </c>
      <c r="I229" s="3">
        <v>1443355</v>
      </c>
      <c r="J229" s="1">
        <v>36</v>
      </c>
      <c r="K229" s="1">
        <v>379</v>
      </c>
      <c r="L229" s="1">
        <v>8</v>
      </c>
    </row>
    <row r="230" spans="1:12" x14ac:dyDescent="0.35">
      <c r="A230" s="1" t="s">
        <v>33</v>
      </c>
      <c r="B230" s="3">
        <v>0</v>
      </c>
      <c r="C230" s="3">
        <v>0</v>
      </c>
      <c r="D230" s="3">
        <v>2897</v>
      </c>
      <c r="E230" s="2">
        <v>0</v>
      </c>
      <c r="F230" s="3">
        <v>0</v>
      </c>
      <c r="G230" s="3"/>
      <c r="H230" s="3">
        <v>9116</v>
      </c>
      <c r="I230" s="3">
        <v>2897</v>
      </c>
      <c r="J230" s="1"/>
      <c r="K230" s="1">
        <v>1</v>
      </c>
      <c r="L230" s="1"/>
    </row>
    <row r="231" spans="1:12" x14ac:dyDescent="0.35">
      <c r="A231" s="1" t="s">
        <v>34</v>
      </c>
      <c r="B231" s="3">
        <v>51936</v>
      </c>
      <c r="C231" s="3">
        <v>0</v>
      </c>
      <c r="D231" s="3">
        <v>2851</v>
      </c>
      <c r="E231" s="2">
        <v>0</v>
      </c>
      <c r="F231" s="3">
        <v>0</v>
      </c>
      <c r="G231" s="3"/>
      <c r="H231" s="3">
        <v>14549</v>
      </c>
      <c r="I231" s="3">
        <v>106724</v>
      </c>
      <c r="J231" s="1">
        <v>15</v>
      </c>
      <c r="K231" s="1">
        <v>1</v>
      </c>
      <c r="L231" s="1">
        <v>4</v>
      </c>
    </row>
    <row r="232" spans="1:12" x14ac:dyDescent="0.35">
      <c r="A232" s="1" t="s">
        <v>35</v>
      </c>
      <c r="B232" s="3">
        <v>0</v>
      </c>
      <c r="C232" s="3">
        <v>0</v>
      </c>
      <c r="D232" s="3">
        <v>0</v>
      </c>
      <c r="E232" s="2">
        <v>0</v>
      </c>
      <c r="F232" s="3">
        <v>0</v>
      </c>
      <c r="G232" s="3"/>
      <c r="H232" s="3">
        <v>0</v>
      </c>
      <c r="I232" s="3">
        <v>0</v>
      </c>
      <c r="J232" s="1"/>
      <c r="K232" s="1"/>
      <c r="L232" s="1"/>
    </row>
    <row r="234" spans="1:12" x14ac:dyDescent="0.35">
      <c r="A234" s="14" t="s">
        <v>60</v>
      </c>
      <c r="B234" s="1" t="s">
        <v>4</v>
      </c>
      <c r="C234" s="1" t="s">
        <v>5</v>
      </c>
      <c r="D234" s="1" t="s">
        <v>6</v>
      </c>
      <c r="E234" s="1" t="s">
        <v>7</v>
      </c>
      <c r="F234" s="1" t="s">
        <v>8</v>
      </c>
      <c r="G234" s="1" t="s">
        <v>9</v>
      </c>
      <c r="H234" s="1" t="s">
        <v>10</v>
      </c>
      <c r="I234" s="1" t="s">
        <v>11</v>
      </c>
      <c r="J234" s="1" t="s">
        <v>12</v>
      </c>
      <c r="K234" s="1" t="s">
        <v>13</v>
      </c>
      <c r="L234" s="1" t="s">
        <v>14</v>
      </c>
    </row>
    <row r="235" spans="1:12" x14ac:dyDescent="0.35">
      <c r="A235" s="18" t="s">
        <v>15</v>
      </c>
      <c r="B235" s="17" t="s">
        <v>16</v>
      </c>
      <c r="C235" s="19" t="s">
        <v>17</v>
      </c>
      <c r="D235" s="17" t="s">
        <v>18</v>
      </c>
      <c r="E235" s="17" t="s">
        <v>19</v>
      </c>
      <c r="F235" s="17" t="s">
        <v>20</v>
      </c>
      <c r="G235" s="17" t="s">
        <v>21</v>
      </c>
      <c r="H235" s="17" t="s">
        <v>22</v>
      </c>
      <c r="I235" s="19" t="s">
        <v>23</v>
      </c>
      <c r="J235" s="17" t="s">
        <v>24</v>
      </c>
      <c r="K235" s="19" t="s">
        <v>25</v>
      </c>
      <c r="L235" s="17" t="s">
        <v>26</v>
      </c>
    </row>
    <row r="236" spans="1:12" x14ac:dyDescent="0.35">
      <c r="A236" s="18"/>
      <c r="B236" s="17"/>
      <c r="C236" s="19"/>
      <c r="D236" s="17"/>
      <c r="E236" s="17"/>
      <c r="F236" s="17"/>
      <c r="G236" s="17"/>
      <c r="H236" s="17"/>
      <c r="I236" s="19"/>
      <c r="J236" s="17"/>
      <c r="K236" s="19"/>
      <c r="L236" s="17"/>
    </row>
    <row r="237" spans="1:12" x14ac:dyDescent="0.35">
      <c r="A237" s="1" t="s">
        <v>27</v>
      </c>
      <c r="B237" s="3">
        <v>112261</v>
      </c>
      <c r="C237" s="3">
        <v>0</v>
      </c>
      <c r="D237" s="3">
        <v>111113</v>
      </c>
      <c r="E237" s="2">
        <v>0</v>
      </c>
      <c r="F237" s="3">
        <v>0</v>
      </c>
      <c r="G237" s="3"/>
      <c r="H237" s="3">
        <v>86689</v>
      </c>
      <c r="I237" s="3">
        <v>335634</v>
      </c>
      <c r="J237" s="1">
        <v>3</v>
      </c>
      <c r="K237" s="1">
        <v>7</v>
      </c>
      <c r="L237" s="1"/>
    </row>
    <row r="238" spans="1:12" x14ac:dyDescent="0.35">
      <c r="A238" s="1" t="s">
        <v>28</v>
      </c>
      <c r="B238" s="3">
        <v>211054</v>
      </c>
      <c r="C238" s="3">
        <v>0</v>
      </c>
      <c r="D238" s="3">
        <v>593686</v>
      </c>
      <c r="E238" s="2">
        <v>0</v>
      </c>
      <c r="F238" s="3">
        <v>3812</v>
      </c>
      <c r="G238" s="3"/>
      <c r="H238" s="3">
        <v>45306</v>
      </c>
      <c r="I238" s="3">
        <v>1015794</v>
      </c>
      <c r="J238" s="1">
        <v>4</v>
      </c>
      <c r="K238" s="1">
        <v>37</v>
      </c>
      <c r="L238" s="1">
        <v>2</v>
      </c>
    </row>
    <row r="239" spans="1:12" x14ac:dyDescent="0.35">
      <c r="A239" s="1" t="s">
        <v>29</v>
      </c>
      <c r="B239" s="3">
        <f>320228</f>
        <v>320228</v>
      </c>
      <c r="C239" s="3">
        <v>0</v>
      </c>
      <c r="D239" s="3">
        <v>775818</v>
      </c>
      <c r="E239" s="2">
        <v>0</v>
      </c>
      <c r="F239" s="3">
        <v>2093</v>
      </c>
      <c r="G239" s="3"/>
      <c r="H239" s="3">
        <f>92541</f>
        <v>92541</v>
      </c>
      <c r="I239" s="3">
        <v>1416274</v>
      </c>
      <c r="J239" s="1">
        <v>13</v>
      </c>
      <c r="K239" s="1">
        <v>25</v>
      </c>
      <c r="L239" s="1">
        <v>1</v>
      </c>
    </row>
    <row r="240" spans="1:12" x14ac:dyDescent="0.35">
      <c r="A240" s="1" t="s">
        <v>30</v>
      </c>
      <c r="B240" s="3">
        <v>66822</v>
      </c>
      <c r="C240" s="3">
        <v>0</v>
      </c>
      <c r="D240" s="3">
        <v>12886</v>
      </c>
      <c r="E240" s="2">
        <v>0</v>
      </c>
      <c r="F240" s="3">
        <v>0</v>
      </c>
      <c r="G240" s="3"/>
      <c r="H240" s="3">
        <v>2593</v>
      </c>
      <c r="I240" s="3">
        <v>146530</v>
      </c>
      <c r="J240" s="1">
        <v>1</v>
      </c>
      <c r="K240" s="1">
        <v>2</v>
      </c>
      <c r="L240" s="1">
        <v>1</v>
      </c>
    </row>
    <row r="241" spans="1:12" x14ac:dyDescent="0.35">
      <c r="A241" s="1" t="s">
        <v>31</v>
      </c>
      <c r="B241" s="3">
        <v>103033</v>
      </c>
      <c r="C241" s="3">
        <v>0</v>
      </c>
      <c r="D241" s="3">
        <v>97311</v>
      </c>
      <c r="E241" s="2">
        <v>0</v>
      </c>
      <c r="F241" s="3">
        <v>3468</v>
      </c>
      <c r="G241" s="3"/>
      <c r="H241" s="3">
        <v>24020</v>
      </c>
      <c r="I241" s="3">
        <v>303377</v>
      </c>
      <c r="J241" s="1">
        <v>8</v>
      </c>
      <c r="K241" s="1">
        <v>3</v>
      </c>
      <c r="L241" s="1">
        <v>3</v>
      </c>
    </row>
    <row r="242" spans="1:12" x14ac:dyDescent="0.35">
      <c r="A242" s="1" t="s">
        <v>32</v>
      </c>
      <c r="B242" s="3">
        <f>20276</f>
        <v>20276</v>
      </c>
      <c r="C242" s="3">
        <v>0</v>
      </c>
      <c r="D242" s="3">
        <v>973486</v>
      </c>
      <c r="E242" s="2">
        <v>0</v>
      </c>
      <c r="F242" s="3">
        <v>0</v>
      </c>
      <c r="G242" s="3"/>
      <c r="H242" s="3">
        <f>1065970</f>
        <v>1065970</v>
      </c>
      <c r="I242" s="3">
        <v>1335010</v>
      </c>
      <c r="J242" s="1">
        <v>20</v>
      </c>
      <c r="K242" s="1">
        <v>369</v>
      </c>
      <c r="L242" s="1">
        <v>5</v>
      </c>
    </row>
    <row r="243" spans="1:12" x14ac:dyDescent="0.35">
      <c r="A243" s="1" t="s">
        <v>33</v>
      </c>
      <c r="B243" s="3">
        <v>0</v>
      </c>
      <c r="C243" s="3">
        <v>0</v>
      </c>
      <c r="D243" s="3">
        <v>0</v>
      </c>
      <c r="E243" s="2">
        <v>0</v>
      </c>
      <c r="F243" s="3">
        <v>0</v>
      </c>
      <c r="G243" s="3"/>
      <c r="H243" s="3">
        <v>14991</v>
      </c>
      <c r="I243" s="3">
        <v>0</v>
      </c>
      <c r="J243" s="1">
        <v>3</v>
      </c>
      <c r="K243" s="1">
        <v>6</v>
      </c>
      <c r="L243" s="1"/>
    </row>
    <row r="244" spans="1:12" x14ac:dyDescent="0.35">
      <c r="A244" s="1" t="s">
        <v>34</v>
      </c>
      <c r="B244" s="3">
        <v>57161</v>
      </c>
      <c r="C244" s="3">
        <v>0</v>
      </c>
      <c r="D244" s="3">
        <v>4989</v>
      </c>
      <c r="E244" s="2">
        <v>0</v>
      </c>
      <c r="F244" s="3">
        <v>0</v>
      </c>
      <c r="G244" s="3"/>
      <c r="H244" s="3">
        <v>52340</v>
      </c>
      <c r="I244" s="3">
        <v>119311</v>
      </c>
      <c r="J244" s="1">
        <v>14</v>
      </c>
      <c r="K244" s="1">
        <v>3</v>
      </c>
      <c r="L244" s="1">
        <v>3</v>
      </c>
    </row>
    <row r="245" spans="1:12" x14ac:dyDescent="0.35">
      <c r="A245" s="1" t="s">
        <v>35</v>
      </c>
      <c r="B245" s="3">
        <v>0</v>
      </c>
      <c r="C245" s="3">
        <v>0</v>
      </c>
      <c r="D245" s="3">
        <v>0</v>
      </c>
      <c r="E245" s="2">
        <v>0</v>
      </c>
      <c r="F245" s="3">
        <v>0</v>
      </c>
      <c r="G245" s="3"/>
      <c r="H245" s="3">
        <v>0</v>
      </c>
      <c r="I245" s="3">
        <v>0</v>
      </c>
      <c r="J245" s="1"/>
      <c r="K245" s="1"/>
      <c r="L245" s="1"/>
    </row>
    <row r="247" spans="1:12" x14ac:dyDescent="0.35">
      <c r="A247" s="14" t="s">
        <v>50</v>
      </c>
      <c r="B247" s="1" t="s">
        <v>4</v>
      </c>
      <c r="C247" s="1" t="s">
        <v>5</v>
      </c>
      <c r="D247" s="1" t="s">
        <v>6</v>
      </c>
      <c r="E247" s="1" t="s">
        <v>7</v>
      </c>
      <c r="F247" s="1" t="s">
        <v>8</v>
      </c>
      <c r="G247" s="1" t="s">
        <v>9</v>
      </c>
      <c r="H247" s="1" t="s">
        <v>10</v>
      </c>
      <c r="I247" s="1" t="s">
        <v>11</v>
      </c>
      <c r="J247" s="1" t="s">
        <v>12</v>
      </c>
      <c r="K247" s="1" t="s">
        <v>13</v>
      </c>
      <c r="L247" s="1" t="s">
        <v>14</v>
      </c>
    </row>
    <row r="248" spans="1:12" x14ac:dyDescent="0.35">
      <c r="A248" s="18" t="s">
        <v>15</v>
      </c>
      <c r="B248" s="17" t="s">
        <v>16</v>
      </c>
      <c r="C248" s="19" t="s">
        <v>17</v>
      </c>
      <c r="D248" s="17" t="s">
        <v>18</v>
      </c>
      <c r="E248" s="17" t="s">
        <v>19</v>
      </c>
      <c r="F248" s="17" t="s">
        <v>20</v>
      </c>
      <c r="G248" s="17" t="s">
        <v>21</v>
      </c>
      <c r="H248" s="17" t="s">
        <v>22</v>
      </c>
      <c r="I248" s="19" t="s">
        <v>23</v>
      </c>
      <c r="J248" s="17" t="s">
        <v>24</v>
      </c>
      <c r="K248" s="19" t="s">
        <v>25</v>
      </c>
      <c r="L248" s="17" t="s">
        <v>26</v>
      </c>
    </row>
    <row r="249" spans="1:12" x14ac:dyDescent="0.35">
      <c r="A249" s="18"/>
      <c r="B249" s="17"/>
      <c r="C249" s="19"/>
      <c r="D249" s="17"/>
      <c r="E249" s="17"/>
      <c r="F249" s="17"/>
      <c r="G249" s="17"/>
      <c r="H249" s="17"/>
      <c r="I249" s="19"/>
      <c r="J249" s="17"/>
      <c r="K249" s="19"/>
      <c r="L249" s="17"/>
    </row>
    <row r="250" spans="1:12" x14ac:dyDescent="0.35">
      <c r="A250" s="1" t="s">
        <v>27</v>
      </c>
      <c r="B250" s="3">
        <v>68194</v>
      </c>
      <c r="C250" s="3">
        <v>0</v>
      </c>
      <c r="D250" s="3">
        <v>113784</v>
      </c>
      <c r="E250" s="2">
        <v>0</v>
      </c>
      <c r="F250" s="3">
        <v>0</v>
      </c>
      <c r="G250" s="3"/>
      <c r="H250" s="3">
        <v>18410</v>
      </c>
      <c r="I250" s="3">
        <v>250173</v>
      </c>
      <c r="J250" s="1"/>
      <c r="K250" s="1">
        <v>8</v>
      </c>
      <c r="L250" s="1"/>
    </row>
    <row r="251" spans="1:12" x14ac:dyDescent="0.35">
      <c r="A251" s="1" t="s">
        <v>28</v>
      </c>
      <c r="B251" s="3">
        <f>96352</f>
        <v>96352</v>
      </c>
      <c r="C251" s="3">
        <v>0</v>
      </c>
      <c r="D251" s="3">
        <v>386075</v>
      </c>
      <c r="E251" s="2">
        <v>0</v>
      </c>
      <c r="F251" s="3">
        <v>3816</v>
      </c>
      <c r="G251" s="3"/>
      <c r="H251" s="3">
        <v>19522</v>
      </c>
      <c r="I251" s="3">
        <v>578779</v>
      </c>
      <c r="J251" s="1">
        <v>5</v>
      </c>
      <c r="K251" s="1">
        <v>14</v>
      </c>
      <c r="L251" s="1"/>
    </row>
    <row r="252" spans="1:12" x14ac:dyDescent="0.35">
      <c r="A252" s="1" t="s">
        <v>29</v>
      </c>
      <c r="B252" s="3">
        <f>341576</f>
        <v>341576</v>
      </c>
      <c r="C252" s="3">
        <v>0</v>
      </c>
      <c r="D252" s="3">
        <v>806993</v>
      </c>
      <c r="E252" s="2">
        <v>0</v>
      </c>
      <c r="F252" s="3">
        <v>5301</v>
      </c>
      <c r="G252" s="3"/>
      <c r="H252" s="3">
        <f>102852</f>
        <v>102852</v>
      </c>
      <c r="I252" s="3">
        <v>1490146</v>
      </c>
      <c r="J252" s="1">
        <v>13</v>
      </c>
      <c r="K252" s="1">
        <v>25</v>
      </c>
      <c r="L252" s="1">
        <v>1</v>
      </c>
    </row>
    <row r="253" spans="1:12" x14ac:dyDescent="0.35">
      <c r="A253" s="1" t="s">
        <v>30</v>
      </c>
      <c r="B253" s="3">
        <f>3372</f>
        <v>3372</v>
      </c>
      <c r="C253" s="3">
        <v>0</v>
      </c>
      <c r="D253" s="3">
        <v>2624</v>
      </c>
      <c r="E253" s="2">
        <v>0</v>
      </c>
      <c r="F253" s="3">
        <v>0</v>
      </c>
      <c r="G253" s="3"/>
      <c r="H253" s="3">
        <v>1247</v>
      </c>
      <c r="I253" s="3">
        <v>9367</v>
      </c>
      <c r="J253" s="1"/>
      <c r="K253" s="1">
        <v>2</v>
      </c>
      <c r="L253" s="1"/>
    </row>
    <row r="254" spans="1:12" x14ac:dyDescent="0.35">
      <c r="A254" s="1" t="s">
        <v>31</v>
      </c>
      <c r="B254" s="3">
        <v>499</v>
      </c>
      <c r="C254" s="3">
        <v>0</v>
      </c>
      <c r="D254" s="3">
        <v>132579</v>
      </c>
      <c r="E254" s="2">
        <v>0</v>
      </c>
      <c r="F254" s="3">
        <v>2255</v>
      </c>
      <c r="G254" s="3"/>
      <c r="H254" s="3">
        <v>8548</v>
      </c>
      <c r="I254" s="3">
        <v>133578</v>
      </c>
      <c r="J254" s="1">
        <v>11</v>
      </c>
      <c r="K254" s="1">
        <v>1</v>
      </c>
      <c r="L254" s="1">
        <v>2</v>
      </c>
    </row>
    <row r="255" spans="1:12" x14ac:dyDescent="0.35">
      <c r="A255" s="1" t="s">
        <v>32</v>
      </c>
      <c r="B255" s="3">
        <f>15940</f>
        <v>15940</v>
      </c>
      <c r="C255" s="3">
        <v>0</v>
      </c>
      <c r="D255" s="3">
        <v>815743</v>
      </c>
      <c r="E255" s="2">
        <v>0</v>
      </c>
      <c r="F255" s="3">
        <v>0</v>
      </c>
      <c r="G255" s="3"/>
      <c r="H255" s="3">
        <f>876497</f>
        <v>876497</v>
      </c>
      <c r="I255" s="3">
        <v>1133221</v>
      </c>
      <c r="J255" s="1">
        <v>28</v>
      </c>
      <c r="K255" s="1">
        <v>312</v>
      </c>
      <c r="L255" s="1">
        <v>6</v>
      </c>
    </row>
    <row r="256" spans="1:12" x14ac:dyDescent="0.35">
      <c r="A256" s="1" t="s">
        <v>33</v>
      </c>
      <c r="B256" s="3">
        <v>0</v>
      </c>
      <c r="C256" s="3">
        <v>0</v>
      </c>
      <c r="D256" s="3">
        <v>0</v>
      </c>
      <c r="E256" s="2">
        <v>0</v>
      </c>
      <c r="F256" s="3">
        <v>0</v>
      </c>
      <c r="G256" s="3"/>
      <c r="H256" s="3">
        <v>0</v>
      </c>
      <c r="I256" s="3">
        <v>0</v>
      </c>
      <c r="J256" s="1"/>
      <c r="K256" s="1">
        <v>3</v>
      </c>
      <c r="L256" s="1"/>
    </row>
    <row r="257" spans="1:12" x14ac:dyDescent="0.35">
      <c r="A257" s="1" t="s">
        <v>34</v>
      </c>
      <c r="B257" s="3">
        <v>23042</v>
      </c>
      <c r="C257" s="3">
        <v>0</v>
      </c>
      <c r="D257" s="3">
        <v>1425</v>
      </c>
      <c r="E257" s="2">
        <v>0</v>
      </c>
      <c r="F257" s="3">
        <v>0</v>
      </c>
      <c r="G257" s="3"/>
      <c r="H257" s="3">
        <v>3166</v>
      </c>
      <c r="I257" s="3">
        <v>47509</v>
      </c>
      <c r="J257" s="1">
        <v>11</v>
      </c>
      <c r="K257" s="1">
        <v>2</v>
      </c>
      <c r="L257" s="1"/>
    </row>
    <row r="258" spans="1:12" x14ac:dyDescent="0.35">
      <c r="A258" s="1" t="s">
        <v>35</v>
      </c>
      <c r="B258" s="3">
        <v>0</v>
      </c>
      <c r="C258" s="3">
        <v>0</v>
      </c>
      <c r="D258" s="3">
        <v>0</v>
      </c>
      <c r="E258" s="2">
        <v>0</v>
      </c>
      <c r="F258" s="3">
        <v>0</v>
      </c>
      <c r="G258" s="3"/>
      <c r="H258" s="3">
        <v>0</v>
      </c>
      <c r="I258" s="3">
        <v>0</v>
      </c>
      <c r="J258" s="1"/>
      <c r="K258" s="1"/>
      <c r="L258" s="1"/>
    </row>
    <row r="260" spans="1:12" x14ac:dyDescent="0.35">
      <c r="A260" s="14" t="s">
        <v>51</v>
      </c>
      <c r="B260" s="1" t="s">
        <v>4</v>
      </c>
      <c r="C260" s="1" t="s">
        <v>5</v>
      </c>
      <c r="D260" s="1" t="s">
        <v>6</v>
      </c>
      <c r="E260" s="1" t="s">
        <v>7</v>
      </c>
      <c r="F260" s="1" t="s">
        <v>8</v>
      </c>
      <c r="G260" s="1" t="s">
        <v>9</v>
      </c>
      <c r="H260" s="1" t="s">
        <v>10</v>
      </c>
      <c r="I260" s="1" t="s">
        <v>11</v>
      </c>
      <c r="J260" s="1" t="s">
        <v>12</v>
      </c>
      <c r="K260" s="1" t="s">
        <v>13</v>
      </c>
      <c r="L260" s="1" t="s">
        <v>14</v>
      </c>
    </row>
    <row r="261" spans="1:12" x14ac:dyDescent="0.35">
      <c r="A261" s="18" t="s">
        <v>15</v>
      </c>
      <c r="B261" s="17" t="s">
        <v>16</v>
      </c>
      <c r="C261" s="19" t="s">
        <v>17</v>
      </c>
      <c r="D261" s="17" t="s">
        <v>18</v>
      </c>
      <c r="E261" s="17" t="s">
        <v>19</v>
      </c>
      <c r="F261" s="17" t="s">
        <v>20</v>
      </c>
      <c r="G261" s="17" t="s">
        <v>21</v>
      </c>
      <c r="H261" s="17" t="s">
        <v>22</v>
      </c>
      <c r="I261" s="19" t="s">
        <v>23</v>
      </c>
      <c r="J261" s="17" t="s">
        <v>24</v>
      </c>
      <c r="K261" s="19" t="s">
        <v>25</v>
      </c>
      <c r="L261" s="17" t="s">
        <v>26</v>
      </c>
    </row>
    <row r="262" spans="1:12" x14ac:dyDescent="0.35">
      <c r="A262" s="18"/>
      <c r="B262" s="17"/>
      <c r="C262" s="19"/>
      <c r="D262" s="17"/>
      <c r="E262" s="17"/>
      <c r="F262" s="17"/>
      <c r="G262" s="17"/>
      <c r="H262" s="17"/>
      <c r="I262" s="19"/>
      <c r="J262" s="17"/>
      <c r="K262" s="19"/>
      <c r="L262" s="17"/>
    </row>
    <row r="263" spans="1:12" x14ac:dyDescent="0.35">
      <c r="A263" s="1" t="s">
        <v>27</v>
      </c>
      <c r="B263" s="3">
        <v>237613</v>
      </c>
      <c r="C263" s="3">
        <v>0</v>
      </c>
      <c r="D263" s="3">
        <v>115425</v>
      </c>
      <c r="E263" s="2">
        <v>0</v>
      </c>
      <c r="F263" s="3">
        <v>0</v>
      </c>
      <c r="G263" s="3"/>
      <c r="H263" s="3">
        <v>82162</v>
      </c>
      <c r="I263" s="3">
        <v>590651</v>
      </c>
      <c r="J263" s="1">
        <v>1</v>
      </c>
      <c r="K263" s="1">
        <v>6</v>
      </c>
      <c r="L263" s="1"/>
    </row>
    <row r="264" spans="1:12" x14ac:dyDescent="0.35">
      <c r="A264" s="1" t="s">
        <v>28</v>
      </c>
      <c r="B264" s="3">
        <v>27104</v>
      </c>
      <c r="C264" s="3">
        <v>0</v>
      </c>
      <c r="D264" s="3">
        <v>524854</v>
      </c>
      <c r="E264" s="2">
        <v>0</v>
      </c>
      <c r="F264" s="3">
        <v>2998</v>
      </c>
      <c r="G264" s="3"/>
      <c r="H264" s="3">
        <v>27780</v>
      </c>
      <c r="I264" s="3">
        <v>579062</v>
      </c>
      <c r="J264" s="1">
        <v>2</v>
      </c>
      <c r="K264" s="1">
        <v>13</v>
      </c>
      <c r="L264" s="1"/>
    </row>
    <row r="265" spans="1:12" x14ac:dyDescent="0.35">
      <c r="A265" s="1" t="s">
        <v>29</v>
      </c>
      <c r="B265" s="3">
        <f>505716</f>
        <v>505716</v>
      </c>
      <c r="C265" s="3">
        <v>0</v>
      </c>
      <c r="D265" s="3">
        <v>1082829</v>
      </c>
      <c r="E265" s="2">
        <v>0</v>
      </c>
      <c r="F265" s="3">
        <v>71036</v>
      </c>
      <c r="G265" s="3"/>
      <c r="H265" s="3">
        <f>164458</f>
        <v>164458</v>
      </c>
      <c r="I265" s="3">
        <v>2094260</v>
      </c>
      <c r="J265" s="1">
        <v>23</v>
      </c>
      <c r="K265" s="1">
        <v>25</v>
      </c>
      <c r="L265" s="1">
        <v>3</v>
      </c>
    </row>
    <row r="266" spans="1:12" x14ac:dyDescent="0.35">
      <c r="A266" s="1" t="s">
        <v>30</v>
      </c>
      <c r="B266" s="3">
        <v>7340</v>
      </c>
      <c r="C266" s="3">
        <v>0</v>
      </c>
      <c r="D266" s="3">
        <v>22959</v>
      </c>
      <c r="E266" s="2">
        <v>0</v>
      </c>
      <c r="F266" s="3">
        <v>0</v>
      </c>
      <c r="G266" s="3"/>
      <c r="H266" s="3">
        <v>1375</v>
      </c>
      <c r="I266" s="3">
        <v>37639</v>
      </c>
      <c r="J266" s="1"/>
      <c r="K266" s="1"/>
      <c r="L266" s="1"/>
    </row>
    <row r="267" spans="1:12" x14ac:dyDescent="0.35">
      <c r="A267" s="1" t="s">
        <v>31</v>
      </c>
      <c r="B267" s="3">
        <v>457</v>
      </c>
      <c r="C267" s="3">
        <v>0</v>
      </c>
      <c r="D267" s="3">
        <v>16090</v>
      </c>
      <c r="E267" s="2">
        <v>0</v>
      </c>
      <c r="F267" s="3">
        <v>3652</v>
      </c>
      <c r="G267" s="3"/>
      <c r="H267" s="3">
        <v>4124</v>
      </c>
      <c r="I267" s="3">
        <v>17004</v>
      </c>
      <c r="J267" s="1">
        <v>11</v>
      </c>
      <c r="K267" s="1">
        <v>7</v>
      </c>
      <c r="L267" s="1">
        <v>3</v>
      </c>
    </row>
    <row r="268" spans="1:12" x14ac:dyDescent="0.35">
      <c r="A268" s="1" t="s">
        <v>32</v>
      </c>
      <c r="B268" s="3">
        <f>37660</f>
        <v>37660</v>
      </c>
      <c r="C268" s="3">
        <v>0</v>
      </c>
      <c r="D268" s="3">
        <v>917657</v>
      </c>
      <c r="E268" s="2">
        <v>0</v>
      </c>
      <c r="F268" s="3">
        <v>828</v>
      </c>
      <c r="G268" s="3"/>
      <c r="H268" s="3">
        <f>875501</f>
        <v>875501</v>
      </c>
      <c r="I268" s="3">
        <v>1235523</v>
      </c>
      <c r="J268" s="1">
        <v>29</v>
      </c>
      <c r="K268" s="1">
        <v>282</v>
      </c>
      <c r="L268" s="1">
        <v>9</v>
      </c>
    </row>
    <row r="269" spans="1:12" x14ac:dyDescent="0.35">
      <c r="A269" s="1" t="s">
        <v>33</v>
      </c>
      <c r="B269" s="3">
        <v>5639</v>
      </c>
      <c r="C269" s="3">
        <v>0</v>
      </c>
      <c r="D269" s="3">
        <v>0</v>
      </c>
      <c r="E269" s="2">
        <v>0</v>
      </c>
      <c r="F269" s="3">
        <v>0</v>
      </c>
      <c r="G269" s="3"/>
      <c r="H269" s="3">
        <v>18725</v>
      </c>
      <c r="I269" s="3">
        <v>11278</v>
      </c>
      <c r="J269" s="1">
        <v>2</v>
      </c>
      <c r="K269" s="1">
        <v>1</v>
      </c>
      <c r="L269" s="1">
        <v>1</v>
      </c>
    </row>
    <row r="270" spans="1:12" x14ac:dyDescent="0.35">
      <c r="A270" s="1" t="s">
        <v>34</v>
      </c>
      <c r="B270" s="3">
        <v>77554</v>
      </c>
      <c r="C270" s="3">
        <v>0</v>
      </c>
      <c r="D270" s="3">
        <v>7127</v>
      </c>
      <c r="E270" s="2">
        <v>0</v>
      </c>
      <c r="F270" s="3">
        <v>0</v>
      </c>
      <c r="G270" s="3"/>
      <c r="H270" s="3">
        <v>52853</v>
      </c>
      <c r="I270" s="3">
        <v>162235</v>
      </c>
      <c r="J270" s="1">
        <v>32</v>
      </c>
      <c r="K270" s="1">
        <v>5</v>
      </c>
      <c r="L270" s="1">
        <v>2</v>
      </c>
    </row>
    <row r="271" spans="1:12" x14ac:dyDescent="0.35">
      <c r="A271" s="1" t="s">
        <v>35</v>
      </c>
      <c r="B271" s="3">
        <v>0</v>
      </c>
      <c r="C271" s="3">
        <v>0</v>
      </c>
      <c r="D271" s="3">
        <v>0</v>
      </c>
      <c r="E271" s="2">
        <v>0</v>
      </c>
      <c r="F271" s="3">
        <v>0</v>
      </c>
      <c r="G271" s="3"/>
      <c r="H271" s="3">
        <v>0</v>
      </c>
      <c r="I271" s="3">
        <v>0</v>
      </c>
      <c r="J271" s="1"/>
      <c r="K271" s="1"/>
      <c r="L271" s="1"/>
    </row>
    <row r="273" spans="1:12" x14ac:dyDescent="0.35">
      <c r="A273" s="14" t="s">
        <v>52</v>
      </c>
      <c r="B273" s="1" t="s">
        <v>4</v>
      </c>
      <c r="C273" s="1" t="s">
        <v>5</v>
      </c>
      <c r="D273" s="1" t="s">
        <v>6</v>
      </c>
      <c r="E273" s="1" t="s">
        <v>7</v>
      </c>
      <c r="F273" s="1" t="s">
        <v>8</v>
      </c>
      <c r="G273" s="1" t="s">
        <v>9</v>
      </c>
      <c r="H273" s="1" t="s">
        <v>10</v>
      </c>
      <c r="I273" s="1" t="s">
        <v>11</v>
      </c>
      <c r="J273" s="1" t="s">
        <v>12</v>
      </c>
      <c r="K273" s="1" t="s">
        <v>13</v>
      </c>
      <c r="L273" s="1" t="s">
        <v>14</v>
      </c>
    </row>
    <row r="274" spans="1:12" x14ac:dyDescent="0.35">
      <c r="A274" s="18" t="s">
        <v>15</v>
      </c>
      <c r="B274" s="17" t="s">
        <v>16</v>
      </c>
      <c r="C274" s="19" t="s">
        <v>17</v>
      </c>
      <c r="D274" s="17" t="s">
        <v>18</v>
      </c>
      <c r="E274" s="17" t="s">
        <v>19</v>
      </c>
      <c r="F274" s="17" t="s">
        <v>20</v>
      </c>
      <c r="G274" s="17" t="s">
        <v>21</v>
      </c>
      <c r="H274" s="17" t="s">
        <v>22</v>
      </c>
      <c r="I274" s="19" t="s">
        <v>23</v>
      </c>
      <c r="J274" s="17" t="s">
        <v>24</v>
      </c>
      <c r="K274" s="19" t="s">
        <v>25</v>
      </c>
      <c r="L274" s="17" t="s">
        <v>26</v>
      </c>
    </row>
    <row r="275" spans="1:12" x14ac:dyDescent="0.35">
      <c r="A275" s="18"/>
      <c r="B275" s="17"/>
      <c r="C275" s="19"/>
      <c r="D275" s="17"/>
      <c r="E275" s="17"/>
      <c r="F275" s="17"/>
      <c r="G275" s="17"/>
      <c r="H275" s="17"/>
      <c r="I275" s="19"/>
      <c r="J275" s="17"/>
      <c r="K275" s="19"/>
      <c r="L275" s="17"/>
    </row>
    <row r="276" spans="1:12" x14ac:dyDescent="0.35">
      <c r="A276" s="1" t="s">
        <v>27</v>
      </c>
      <c r="B276" s="3">
        <v>35295</v>
      </c>
      <c r="C276" s="3">
        <v>0</v>
      </c>
      <c r="D276" s="3">
        <v>134163</v>
      </c>
      <c r="E276" s="2">
        <v>0</v>
      </c>
      <c r="F276" s="3">
        <v>0</v>
      </c>
      <c r="G276" s="3"/>
      <c r="H276" s="3">
        <v>118116</v>
      </c>
      <c r="I276" s="3">
        <v>204754</v>
      </c>
      <c r="J276" s="1">
        <v>4</v>
      </c>
      <c r="K276" s="1">
        <v>11</v>
      </c>
      <c r="L276" s="1"/>
    </row>
    <row r="277" spans="1:12" x14ac:dyDescent="0.35">
      <c r="A277" s="1" t="s">
        <v>28</v>
      </c>
      <c r="B277" s="3">
        <v>176322</v>
      </c>
      <c r="C277" s="3">
        <v>0</v>
      </c>
      <c r="D277" s="3">
        <v>354446</v>
      </c>
      <c r="E277" s="2">
        <v>0</v>
      </c>
      <c r="F277" s="3">
        <v>14910</v>
      </c>
      <c r="G277" s="3"/>
      <c r="H277" s="3">
        <v>49863</v>
      </c>
      <c r="I277" s="3">
        <v>707090</v>
      </c>
      <c r="J277" s="1">
        <v>2</v>
      </c>
      <c r="K277" s="1">
        <v>20</v>
      </c>
      <c r="L277" s="1"/>
    </row>
    <row r="278" spans="1:12" x14ac:dyDescent="0.35">
      <c r="A278" s="1" t="s">
        <v>29</v>
      </c>
      <c r="B278" s="3">
        <f>371155</f>
        <v>371155</v>
      </c>
      <c r="C278" s="3">
        <v>0</v>
      </c>
      <c r="D278" s="3">
        <v>380882</v>
      </c>
      <c r="E278" s="2">
        <v>0</v>
      </c>
      <c r="F278" s="3">
        <v>11879</v>
      </c>
      <c r="G278" s="3"/>
      <c r="H278" s="3">
        <f>123203</f>
        <v>123203</v>
      </c>
      <c r="I278" s="3">
        <v>1123685</v>
      </c>
      <c r="J278" s="1">
        <v>11</v>
      </c>
      <c r="K278" s="1">
        <v>26</v>
      </c>
      <c r="L278" s="1">
        <v>7</v>
      </c>
    </row>
    <row r="279" spans="1:12" x14ac:dyDescent="0.35">
      <c r="A279" s="1" t="s">
        <v>30</v>
      </c>
      <c r="B279" s="3">
        <v>26626</v>
      </c>
      <c r="C279" s="3">
        <v>0</v>
      </c>
      <c r="D279" s="3">
        <v>132734</v>
      </c>
      <c r="E279" s="2">
        <v>0</v>
      </c>
      <c r="F279" s="3">
        <v>0</v>
      </c>
      <c r="G279" s="3"/>
      <c r="H279" s="3">
        <v>16624</v>
      </c>
      <c r="I279" s="3">
        <v>185986</v>
      </c>
      <c r="J279" s="1">
        <v>1</v>
      </c>
      <c r="K279" s="1">
        <v>2</v>
      </c>
      <c r="L279" s="1">
        <v>1</v>
      </c>
    </row>
    <row r="280" spans="1:12" x14ac:dyDescent="0.35">
      <c r="A280" s="1" t="s">
        <v>31</v>
      </c>
      <c r="B280" s="3">
        <v>9364</v>
      </c>
      <c r="C280" s="3">
        <v>0</v>
      </c>
      <c r="D280" s="3">
        <v>117122</v>
      </c>
      <c r="E280" s="2">
        <v>0</v>
      </c>
      <c r="F280" s="3">
        <v>0</v>
      </c>
      <c r="G280" s="3"/>
      <c r="H280" s="3">
        <f>5328</f>
        <v>5328</v>
      </c>
      <c r="I280" s="3">
        <v>135849</v>
      </c>
      <c r="J280" s="1">
        <v>9</v>
      </c>
      <c r="K280" s="1">
        <v>7</v>
      </c>
      <c r="L280" s="1">
        <v>2</v>
      </c>
    </row>
    <row r="281" spans="1:12" x14ac:dyDescent="0.35">
      <c r="A281" s="1" t="s">
        <v>32</v>
      </c>
      <c r="B281" s="3">
        <f>75798</f>
        <v>75798</v>
      </c>
      <c r="C281" s="3">
        <v>0</v>
      </c>
      <c r="D281" s="3">
        <v>1089394</v>
      </c>
      <c r="E281" s="2">
        <v>0</v>
      </c>
      <c r="F281" s="3">
        <v>0</v>
      </c>
      <c r="G281" s="3"/>
      <c r="H281" s="3">
        <f>1216110</f>
        <v>1216110</v>
      </c>
      <c r="I281" s="3">
        <v>1583572</v>
      </c>
      <c r="J281" s="1">
        <v>23</v>
      </c>
      <c r="K281" s="1">
        <v>339</v>
      </c>
      <c r="L281" s="1">
        <v>7</v>
      </c>
    </row>
    <row r="282" spans="1:12" x14ac:dyDescent="0.35">
      <c r="A282" s="1" t="s">
        <v>33</v>
      </c>
      <c r="B282" s="3">
        <v>0</v>
      </c>
      <c r="C282" s="3">
        <v>0</v>
      </c>
      <c r="D282" s="3">
        <v>0</v>
      </c>
      <c r="E282" s="2">
        <v>0</v>
      </c>
      <c r="F282" s="3">
        <v>0</v>
      </c>
      <c r="G282" s="3"/>
      <c r="H282" s="3">
        <v>0</v>
      </c>
      <c r="I282" s="3">
        <v>0</v>
      </c>
      <c r="J282" s="1">
        <v>2</v>
      </c>
      <c r="K282" s="1">
        <v>6</v>
      </c>
      <c r="L282" s="1"/>
    </row>
    <row r="283" spans="1:12" x14ac:dyDescent="0.35">
      <c r="A283" s="1" t="s">
        <v>34</v>
      </c>
      <c r="B283" s="3">
        <v>14525</v>
      </c>
      <c r="C283" s="3">
        <v>0</v>
      </c>
      <c r="D283" s="3">
        <v>3564</v>
      </c>
      <c r="E283" s="2">
        <v>0</v>
      </c>
      <c r="F283" s="3">
        <v>0</v>
      </c>
      <c r="G283" s="3"/>
      <c r="H283" s="3">
        <v>18783</v>
      </c>
      <c r="I283" s="3">
        <v>32614</v>
      </c>
      <c r="J283" s="1">
        <v>21</v>
      </c>
      <c r="K283" s="1"/>
      <c r="L283" s="1">
        <v>5</v>
      </c>
    </row>
    <row r="284" spans="1:12" x14ac:dyDescent="0.35">
      <c r="A284" s="1" t="s">
        <v>35</v>
      </c>
      <c r="B284" s="3">
        <v>0</v>
      </c>
      <c r="C284" s="3">
        <v>0</v>
      </c>
      <c r="D284" s="3">
        <v>0</v>
      </c>
      <c r="E284" s="2">
        <v>0</v>
      </c>
      <c r="F284" s="3">
        <v>0</v>
      </c>
      <c r="G284" s="3"/>
      <c r="H284" s="3">
        <v>0</v>
      </c>
      <c r="I284" s="3">
        <v>0</v>
      </c>
      <c r="J284" s="1"/>
      <c r="K284" s="1"/>
      <c r="L284" s="1"/>
    </row>
    <row r="286" spans="1:12" x14ac:dyDescent="0.35">
      <c r="A286" s="14" t="s">
        <v>53</v>
      </c>
      <c r="B286" s="1" t="s">
        <v>4</v>
      </c>
      <c r="C286" s="1" t="s">
        <v>5</v>
      </c>
      <c r="D286" s="1" t="s">
        <v>6</v>
      </c>
      <c r="E286" s="1" t="s">
        <v>7</v>
      </c>
      <c r="F286" s="1" t="s">
        <v>8</v>
      </c>
      <c r="G286" s="1" t="s">
        <v>9</v>
      </c>
      <c r="H286" s="1" t="s">
        <v>10</v>
      </c>
      <c r="I286" s="1" t="s">
        <v>11</v>
      </c>
      <c r="J286" s="1" t="s">
        <v>12</v>
      </c>
      <c r="K286" s="1" t="s">
        <v>13</v>
      </c>
      <c r="L286" s="1" t="s">
        <v>14</v>
      </c>
    </row>
    <row r="287" spans="1:12" x14ac:dyDescent="0.35">
      <c r="A287" s="18" t="s">
        <v>15</v>
      </c>
      <c r="B287" s="17" t="s">
        <v>16</v>
      </c>
      <c r="C287" s="19" t="s">
        <v>17</v>
      </c>
      <c r="D287" s="17" t="s">
        <v>18</v>
      </c>
      <c r="E287" s="17" t="s">
        <v>19</v>
      </c>
      <c r="F287" s="17" t="s">
        <v>20</v>
      </c>
      <c r="G287" s="17" t="s">
        <v>21</v>
      </c>
      <c r="H287" s="17" t="s">
        <v>22</v>
      </c>
      <c r="I287" s="19" t="s">
        <v>23</v>
      </c>
      <c r="J287" s="17" t="s">
        <v>24</v>
      </c>
      <c r="K287" s="19" t="s">
        <v>25</v>
      </c>
      <c r="L287" s="17" t="s">
        <v>26</v>
      </c>
    </row>
    <row r="288" spans="1:12" x14ac:dyDescent="0.35">
      <c r="A288" s="18"/>
      <c r="B288" s="17"/>
      <c r="C288" s="19"/>
      <c r="D288" s="17"/>
      <c r="E288" s="17"/>
      <c r="F288" s="17"/>
      <c r="G288" s="17"/>
      <c r="H288" s="17"/>
      <c r="I288" s="19"/>
      <c r="J288" s="17"/>
      <c r="K288" s="19"/>
      <c r="L288" s="17"/>
    </row>
    <row r="289" spans="1:12" x14ac:dyDescent="0.35">
      <c r="A289" s="1" t="s">
        <v>27</v>
      </c>
      <c r="B289" s="3">
        <v>94035</v>
      </c>
      <c r="C289" s="3">
        <v>0</v>
      </c>
      <c r="D289" s="3">
        <v>59649</v>
      </c>
      <c r="E289" s="2">
        <v>0</v>
      </c>
      <c r="F289" s="3">
        <v>1170</v>
      </c>
      <c r="G289" s="3"/>
      <c r="H289" s="3">
        <v>117794</v>
      </c>
      <c r="I289" s="3">
        <v>247720</v>
      </c>
      <c r="J289" s="1">
        <v>1</v>
      </c>
      <c r="K289" s="1">
        <v>2</v>
      </c>
      <c r="L289" s="1"/>
    </row>
    <row r="290" spans="1:12" x14ac:dyDescent="0.35">
      <c r="A290" s="1" t="s">
        <v>28</v>
      </c>
      <c r="B290" s="3">
        <v>50403</v>
      </c>
      <c r="C290" s="3">
        <v>0</v>
      </c>
      <c r="D290" s="3">
        <v>185584</v>
      </c>
      <c r="E290" s="2">
        <v>0</v>
      </c>
      <c r="F290" s="3">
        <v>1225</v>
      </c>
      <c r="G290" s="3"/>
      <c r="H290" s="3">
        <v>13467</v>
      </c>
      <c r="I290" s="3">
        <v>286391</v>
      </c>
      <c r="J290" s="1">
        <v>2</v>
      </c>
      <c r="K290" s="1">
        <v>25</v>
      </c>
      <c r="L290" s="1"/>
    </row>
    <row r="291" spans="1:12" x14ac:dyDescent="0.35">
      <c r="A291" s="1" t="s">
        <v>29</v>
      </c>
      <c r="B291" s="3">
        <f>340878</f>
        <v>340878</v>
      </c>
      <c r="C291" s="3">
        <v>0</v>
      </c>
      <c r="D291" s="3">
        <f>412015</f>
        <v>412015</v>
      </c>
      <c r="E291" s="2">
        <v>0</v>
      </c>
      <c r="F291" s="3">
        <v>2057</v>
      </c>
      <c r="G291" s="3"/>
      <c r="H291" s="3">
        <f>106707</f>
        <v>106707</v>
      </c>
      <c r="I291" s="3">
        <v>1093771</v>
      </c>
      <c r="J291" s="1">
        <v>11</v>
      </c>
      <c r="K291" s="1">
        <v>28</v>
      </c>
      <c r="L291" s="1"/>
    </row>
    <row r="292" spans="1:12" x14ac:dyDescent="0.35">
      <c r="A292" s="1" t="s">
        <v>30</v>
      </c>
      <c r="B292" s="3">
        <v>0</v>
      </c>
      <c r="C292" s="3">
        <v>0</v>
      </c>
      <c r="D292" s="3">
        <v>0</v>
      </c>
      <c r="E292" s="2">
        <v>0</v>
      </c>
      <c r="F292" s="3">
        <v>0</v>
      </c>
      <c r="G292" s="3"/>
      <c r="H292" s="3">
        <v>0</v>
      </c>
      <c r="I292" s="3">
        <v>0</v>
      </c>
      <c r="J292" s="1">
        <v>1</v>
      </c>
      <c r="K292" s="1">
        <v>2</v>
      </c>
      <c r="L292" s="1">
        <v>1</v>
      </c>
    </row>
    <row r="293" spans="1:12" x14ac:dyDescent="0.35">
      <c r="A293" s="1" t="s">
        <v>31</v>
      </c>
      <c r="B293" s="3">
        <v>0</v>
      </c>
      <c r="C293" s="3">
        <v>0</v>
      </c>
      <c r="D293" s="3">
        <v>12440</v>
      </c>
      <c r="E293" s="2">
        <v>0</v>
      </c>
      <c r="F293" s="3">
        <v>61110</v>
      </c>
      <c r="G293" s="3"/>
      <c r="H293" s="3">
        <v>2765</v>
      </c>
      <c r="I293" s="3">
        <v>12440</v>
      </c>
      <c r="J293" s="1">
        <v>10</v>
      </c>
      <c r="K293" s="1">
        <v>6</v>
      </c>
      <c r="L293" s="1">
        <v>2</v>
      </c>
    </row>
    <row r="294" spans="1:12" x14ac:dyDescent="0.35">
      <c r="A294" s="1" t="s">
        <v>32</v>
      </c>
      <c r="B294" s="3">
        <f>116437</f>
        <v>116437</v>
      </c>
      <c r="C294" s="3">
        <v>0</v>
      </c>
      <c r="D294" s="3">
        <v>1231527</v>
      </c>
      <c r="E294" s="2">
        <v>0</v>
      </c>
      <c r="F294" s="3">
        <v>0</v>
      </c>
      <c r="G294" s="3"/>
      <c r="H294" s="3">
        <f>1162795</f>
        <v>1162795</v>
      </c>
      <c r="I294" s="3">
        <v>1784331</v>
      </c>
      <c r="J294" s="1">
        <v>25</v>
      </c>
      <c r="K294" s="1">
        <v>420</v>
      </c>
      <c r="L294" s="1">
        <v>9</v>
      </c>
    </row>
    <row r="295" spans="1:12" x14ac:dyDescent="0.35">
      <c r="A295" s="1" t="s">
        <v>33</v>
      </c>
      <c r="B295" s="3">
        <v>0</v>
      </c>
      <c r="C295" s="3">
        <v>0</v>
      </c>
      <c r="D295" s="3">
        <v>0</v>
      </c>
      <c r="E295" s="2">
        <v>0</v>
      </c>
      <c r="F295" s="3">
        <v>0</v>
      </c>
      <c r="G295" s="3"/>
      <c r="H295" s="3">
        <v>12535</v>
      </c>
      <c r="I295" s="3">
        <v>0</v>
      </c>
      <c r="J295" s="1">
        <v>2</v>
      </c>
      <c r="K295" s="1">
        <v>2</v>
      </c>
      <c r="L295" s="1"/>
    </row>
    <row r="296" spans="1:12" x14ac:dyDescent="0.35">
      <c r="A296" s="1" t="s">
        <v>34</v>
      </c>
      <c r="B296" s="3">
        <v>59592</v>
      </c>
      <c r="C296" s="3">
        <v>0</v>
      </c>
      <c r="D296" s="3">
        <v>7127</v>
      </c>
      <c r="E296" s="2">
        <v>0</v>
      </c>
      <c r="F296" s="3">
        <v>0</v>
      </c>
      <c r="G296" s="3"/>
      <c r="H296" s="3">
        <v>30145</v>
      </c>
      <c r="I296" s="3">
        <v>126312</v>
      </c>
      <c r="J296" s="1">
        <v>27</v>
      </c>
      <c r="K296" s="1">
        <v>2</v>
      </c>
      <c r="L296" s="1">
        <v>1</v>
      </c>
    </row>
    <row r="297" spans="1:12" x14ac:dyDescent="0.35">
      <c r="A297" s="1" t="s">
        <v>35</v>
      </c>
      <c r="B297" s="3">
        <v>0</v>
      </c>
      <c r="C297" s="3">
        <v>0</v>
      </c>
      <c r="D297" s="3">
        <v>0</v>
      </c>
      <c r="E297" s="2">
        <v>0</v>
      </c>
      <c r="F297" s="3">
        <v>0</v>
      </c>
      <c r="G297" s="3"/>
      <c r="H297" s="3">
        <v>0</v>
      </c>
      <c r="I297" s="3">
        <v>0</v>
      </c>
      <c r="J297" s="1"/>
      <c r="K297" s="1"/>
      <c r="L297" s="1"/>
    </row>
    <row r="299" spans="1:12" x14ac:dyDescent="0.35">
      <c r="A299" s="14" t="s">
        <v>61</v>
      </c>
      <c r="B299" s="1" t="s">
        <v>4</v>
      </c>
      <c r="C299" s="1" t="s">
        <v>5</v>
      </c>
      <c r="D299" s="1" t="s">
        <v>6</v>
      </c>
      <c r="E299" s="1" t="s">
        <v>7</v>
      </c>
      <c r="F299" s="1" t="s">
        <v>8</v>
      </c>
      <c r="G299" s="1" t="s">
        <v>9</v>
      </c>
      <c r="H299" s="1" t="s">
        <v>10</v>
      </c>
      <c r="I299" s="1" t="s">
        <v>11</v>
      </c>
      <c r="J299" s="1" t="s">
        <v>12</v>
      </c>
      <c r="K299" s="1" t="s">
        <v>13</v>
      </c>
      <c r="L299" s="1" t="s">
        <v>14</v>
      </c>
    </row>
    <row r="300" spans="1:12" x14ac:dyDescent="0.35">
      <c r="A300" s="18" t="s">
        <v>15</v>
      </c>
      <c r="B300" s="17" t="s">
        <v>16</v>
      </c>
      <c r="C300" s="19" t="s">
        <v>17</v>
      </c>
      <c r="D300" s="17" t="s">
        <v>18</v>
      </c>
      <c r="E300" s="17" t="s">
        <v>19</v>
      </c>
      <c r="F300" s="17" t="s">
        <v>20</v>
      </c>
      <c r="G300" s="17" t="s">
        <v>21</v>
      </c>
      <c r="H300" s="17" t="s">
        <v>22</v>
      </c>
      <c r="I300" s="19" t="s">
        <v>23</v>
      </c>
      <c r="J300" s="17" t="s">
        <v>24</v>
      </c>
      <c r="K300" s="19" t="s">
        <v>25</v>
      </c>
      <c r="L300" s="17" t="s">
        <v>26</v>
      </c>
    </row>
    <row r="301" spans="1:12" x14ac:dyDescent="0.35">
      <c r="A301" s="18"/>
      <c r="B301" s="17"/>
      <c r="C301" s="19"/>
      <c r="D301" s="17"/>
      <c r="E301" s="17"/>
      <c r="F301" s="17"/>
      <c r="G301" s="17"/>
      <c r="H301" s="17"/>
      <c r="I301" s="19"/>
      <c r="J301" s="17"/>
      <c r="K301" s="19"/>
      <c r="L301" s="17"/>
    </row>
    <row r="302" spans="1:12" x14ac:dyDescent="0.35">
      <c r="A302" s="1" t="s">
        <v>27</v>
      </c>
      <c r="B302" s="3">
        <f>160150</f>
        <v>160150</v>
      </c>
      <c r="C302" s="3">
        <v>0</v>
      </c>
      <c r="D302" s="3">
        <v>205615</v>
      </c>
      <c r="E302" s="2">
        <v>0</v>
      </c>
      <c r="F302" s="3"/>
      <c r="G302" s="3"/>
      <c r="H302" s="3">
        <f>35165</f>
        <v>35165</v>
      </c>
      <c r="I302" s="3">
        <v>525915</v>
      </c>
      <c r="J302" s="1"/>
      <c r="K302" s="1">
        <v>6</v>
      </c>
      <c r="L302" s="1"/>
    </row>
    <row r="303" spans="1:12" x14ac:dyDescent="0.35">
      <c r="A303" s="1" t="s">
        <v>28</v>
      </c>
      <c r="B303" s="3">
        <v>149808</v>
      </c>
      <c r="C303" s="3">
        <v>0</v>
      </c>
      <c r="D303" s="3">
        <v>884407</v>
      </c>
      <c r="E303" s="2">
        <v>0</v>
      </c>
      <c r="F303" s="3">
        <v>9672</v>
      </c>
      <c r="G303" s="3"/>
      <c r="H303" s="3">
        <v>37476</v>
      </c>
      <c r="I303" s="3">
        <v>1184024</v>
      </c>
      <c r="J303" s="1">
        <v>3</v>
      </c>
      <c r="K303" s="1">
        <v>45</v>
      </c>
      <c r="L303" s="1"/>
    </row>
    <row r="304" spans="1:12" x14ac:dyDescent="0.35">
      <c r="A304" s="1" t="s">
        <v>29</v>
      </c>
      <c r="B304" s="3">
        <v>160602</v>
      </c>
      <c r="C304" s="3">
        <v>0</v>
      </c>
      <c r="D304" s="3">
        <v>1211019</v>
      </c>
      <c r="E304" s="2">
        <v>0</v>
      </c>
      <c r="F304" s="3">
        <v>109930</v>
      </c>
      <c r="G304" s="3"/>
      <c r="H304" s="3">
        <v>80564</v>
      </c>
      <c r="I304" s="3">
        <v>1532223</v>
      </c>
      <c r="J304" s="1">
        <v>11</v>
      </c>
      <c r="K304" s="1">
        <v>36</v>
      </c>
      <c r="L304" s="1">
        <v>3</v>
      </c>
    </row>
    <row r="305" spans="1:12" x14ac:dyDescent="0.35">
      <c r="A305" s="1" t="s">
        <v>30</v>
      </c>
      <c r="B305" s="3">
        <v>1940</v>
      </c>
      <c r="C305" s="3">
        <v>0</v>
      </c>
      <c r="D305" s="3">
        <v>191898</v>
      </c>
      <c r="E305" s="2">
        <v>0</v>
      </c>
      <c r="F305" s="3">
        <v>0</v>
      </c>
      <c r="G305" s="3"/>
      <c r="H305" s="3">
        <v>32044</v>
      </c>
      <c r="I305" s="3">
        <v>195778</v>
      </c>
      <c r="J305" s="1">
        <v>2</v>
      </c>
      <c r="K305" s="1">
        <v>2</v>
      </c>
      <c r="L305" s="1">
        <v>1</v>
      </c>
    </row>
    <row r="306" spans="1:12" x14ac:dyDescent="0.35">
      <c r="A306" s="1" t="s">
        <v>31</v>
      </c>
      <c r="B306" s="3">
        <v>0</v>
      </c>
      <c r="C306" s="3">
        <v>0</v>
      </c>
      <c r="D306" s="3">
        <v>8632</v>
      </c>
      <c r="E306" s="2">
        <v>0</v>
      </c>
      <c r="F306" s="3">
        <v>0</v>
      </c>
      <c r="G306" s="3"/>
      <c r="H306" s="3">
        <v>4680</v>
      </c>
      <c r="I306" s="3">
        <v>8632</v>
      </c>
      <c r="J306" s="1">
        <v>8</v>
      </c>
      <c r="K306" s="1">
        <v>5</v>
      </c>
      <c r="L306" s="1">
        <v>1</v>
      </c>
    </row>
    <row r="307" spans="1:12" x14ac:dyDescent="0.35">
      <c r="A307" s="1" t="s">
        <v>32</v>
      </c>
      <c r="B307" s="3">
        <v>69953</v>
      </c>
      <c r="C307" s="3">
        <v>0</v>
      </c>
      <c r="D307" s="3">
        <v>1128295</v>
      </c>
      <c r="E307" s="2">
        <v>0</v>
      </c>
      <c r="F307" s="3">
        <v>0</v>
      </c>
      <c r="G307" s="3"/>
      <c r="H307" s="3">
        <f>1169274</f>
        <v>1169274</v>
      </c>
      <c r="I307" s="3">
        <v>1591980</v>
      </c>
      <c r="J307" s="1">
        <v>21</v>
      </c>
      <c r="K307" s="1">
        <v>578</v>
      </c>
      <c r="L307" s="1">
        <v>9</v>
      </c>
    </row>
    <row r="308" spans="1:12" x14ac:dyDescent="0.35">
      <c r="A308" s="1" t="s">
        <v>33</v>
      </c>
      <c r="B308" s="3">
        <v>0</v>
      </c>
      <c r="C308" s="3">
        <v>0</v>
      </c>
      <c r="D308" s="3">
        <v>0</v>
      </c>
      <c r="E308" s="2">
        <v>0</v>
      </c>
      <c r="F308" s="3">
        <v>0</v>
      </c>
      <c r="G308" s="3"/>
      <c r="H308" s="3">
        <v>0</v>
      </c>
      <c r="I308" s="3">
        <v>0</v>
      </c>
      <c r="J308" s="1">
        <v>1</v>
      </c>
      <c r="K308" s="1">
        <v>2</v>
      </c>
      <c r="L308" s="1"/>
    </row>
    <row r="309" spans="1:12" x14ac:dyDescent="0.35">
      <c r="A309" s="1" t="s">
        <v>34</v>
      </c>
      <c r="B309" s="3">
        <v>346123</v>
      </c>
      <c r="C309" s="3">
        <v>0</v>
      </c>
      <c r="D309" s="3">
        <v>5702</v>
      </c>
      <c r="E309" s="2">
        <v>0</v>
      </c>
      <c r="F309" s="3">
        <v>0</v>
      </c>
      <c r="G309" s="3"/>
      <c r="H309" s="3">
        <v>37198</v>
      </c>
      <c r="I309" s="3">
        <v>697948</v>
      </c>
      <c r="J309" s="1">
        <v>20</v>
      </c>
      <c r="K309" s="1">
        <v>4</v>
      </c>
      <c r="L309" s="1">
        <v>2</v>
      </c>
    </row>
    <row r="310" spans="1:12" x14ac:dyDescent="0.35">
      <c r="A310" s="1" t="s">
        <v>35</v>
      </c>
      <c r="B310" s="3">
        <v>0</v>
      </c>
      <c r="C310" s="3">
        <v>0</v>
      </c>
      <c r="D310" s="3">
        <v>0</v>
      </c>
      <c r="E310" s="2">
        <v>0</v>
      </c>
      <c r="F310" s="3">
        <v>0</v>
      </c>
      <c r="G310" s="3"/>
      <c r="H310" s="3">
        <v>0</v>
      </c>
      <c r="I310" s="3">
        <v>0</v>
      </c>
      <c r="J310" s="1"/>
      <c r="K310" s="1"/>
      <c r="L310" s="1"/>
    </row>
    <row r="312" spans="1:12" x14ac:dyDescent="0.35">
      <c r="A312" s="14" t="s">
        <v>55</v>
      </c>
      <c r="B312" s="1" t="s">
        <v>4</v>
      </c>
      <c r="C312" s="1" t="s">
        <v>5</v>
      </c>
      <c r="D312" s="1" t="s">
        <v>6</v>
      </c>
      <c r="E312" s="1" t="s">
        <v>7</v>
      </c>
      <c r="F312" s="1" t="s">
        <v>8</v>
      </c>
      <c r="G312" s="1" t="s">
        <v>9</v>
      </c>
      <c r="H312" s="1" t="s">
        <v>10</v>
      </c>
      <c r="I312" s="1" t="s">
        <v>11</v>
      </c>
      <c r="J312" s="1" t="s">
        <v>12</v>
      </c>
      <c r="K312" s="1" t="s">
        <v>13</v>
      </c>
      <c r="L312" s="1" t="s">
        <v>14</v>
      </c>
    </row>
    <row r="313" spans="1:12" x14ac:dyDescent="0.35">
      <c r="A313" s="18" t="s">
        <v>15</v>
      </c>
      <c r="B313" s="17" t="s">
        <v>16</v>
      </c>
      <c r="C313" s="19" t="s">
        <v>17</v>
      </c>
      <c r="D313" s="17" t="s">
        <v>18</v>
      </c>
      <c r="E313" s="17" t="s">
        <v>19</v>
      </c>
      <c r="F313" s="17" t="s">
        <v>20</v>
      </c>
      <c r="G313" s="17" t="s">
        <v>21</v>
      </c>
      <c r="H313" s="17" t="s">
        <v>22</v>
      </c>
      <c r="I313" s="19" t="s">
        <v>23</v>
      </c>
      <c r="J313" s="17" t="s">
        <v>24</v>
      </c>
      <c r="K313" s="19" t="s">
        <v>25</v>
      </c>
      <c r="L313" s="17" t="s">
        <v>26</v>
      </c>
    </row>
    <row r="314" spans="1:12" x14ac:dyDescent="0.35">
      <c r="A314" s="18"/>
      <c r="B314" s="17"/>
      <c r="C314" s="19"/>
      <c r="D314" s="17"/>
      <c r="E314" s="17"/>
      <c r="F314" s="17"/>
      <c r="G314" s="17"/>
      <c r="H314" s="17"/>
      <c r="I314" s="19"/>
      <c r="J314" s="17"/>
      <c r="K314" s="19"/>
      <c r="L314" s="17"/>
    </row>
    <row r="315" spans="1:12" x14ac:dyDescent="0.35">
      <c r="A315" s="1" t="s">
        <v>27</v>
      </c>
      <c r="B315" s="3">
        <v>70373</v>
      </c>
      <c r="C315" s="2">
        <v>0</v>
      </c>
      <c r="D315" s="3">
        <v>51000</v>
      </c>
      <c r="E315" s="2">
        <v>0</v>
      </c>
      <c r="F315" s="3">
        <v>0</v>
      </c>
      <c r="G315" s="3"/>
      <c r="H315" s="3">
        <v>30147</v>
      </c>
      <c r="I315" s="3">
        <v>191747</v>
      </c>
      <c r="J315" s="1">
        <v>1</v>
      </c>
      <c r="K315" s="1">
        <v>9</v>
      </c>
      <c r="L315" s="1"/>
    </row>
    <row r="316" spans="1:12" x14ac:dyDescent="0.35">
      <c r="A316" s="1" t="s">
        <v>28</v>
      </c>
      <c r="B316" s="3">
        <v>84490</v>
      </c>
      <c r="C316" s="2">
        <v>0</v>
      </c>
      <c r="D316" s="3">
        <v>414898</v>
      </c>
      <c r="E316" s="2">
        <v>0</v>
      </c>
      <c r="F316" s="3">
        <v>16651</v>
      </c>
      <c r="G316" s="3"/>
      <c r="H316" s="3">
        <v>28308</v>
      </c>
      <c r="I316" s="3">
        <v>583877</v>
      </c>
      <c r="J316" s="1">
        <v>3</v>
      </c>
      <c r="K316" s="1">
        <v>19</v>
      </c>
      <c r="L316" s="1">
        <v>1</v>
      </c>
    </row>
    <row r="317" spans="1:12" x14ac:dyDescent="0.35">
      <c r="A317" s="1" t="s">
        <v>29</v>
      </c>
      <c r="B317" s="3">
        <f>774944</f>
        <v>774944</v>
      </c>
      <c r="C317" s="2">
        <v>0</v>
      </c>
      <c r="D317" s="3">
        <f>787914</f>
        <v>787914</v>
      </c>
      <c r="E317" s="2">
        <v>0</v>
      </c>
      <c r="F317" s="3">
        <v>126050</v>
      </c>
      <c r="G317" s="3"/>
      <c r="H317" s="3">
        <f>196323</f>
        <v>196323</v>
      </c>
      <c r="I317" s="3">
        <v>2337802</v>
      </c>
      <c r="J317" s="1">
        <v>12</v>
      </c>
      <c r="K317" s="1">
        <v>19</v>
      </c>
      <c r="L317" s="1">
        <v>4</v>
      </c>
    </row>
    <row r="318" spans="1:12" x14ac:dyDescent="0.35">
      <c r="A318" s="1" t="s">
        <v>30</v>
      </c>
      <c r="B318" s="3">
        <v>11852</v>
      </c>
      <c r="C318" s="2">
        <v>0</v>
      </c>
      <c r="D318" s="3">
        <v>82680</v>
      </c>
      <c r="E318" s="2">
        <v>0</v>
      </c>
      <c r="F318" s="3">
        <v>0</v>
      </c>
      <c r="G318" s="3"/>
      <c r="H318" s="3">
        <v>8143</v>
      </c>
      <c r="I318" s="3">
        <v>106385</v>
      </c>
      <c r="J318" s="1"/>
      <c r="K318" s="1">
        <v>2</v>
      </c>
      <c r="L318" s="1"/>
    </row>
    <row r="319" spans="1:12" x14ac:dyDescent="0.35">
      <c r="A319" s="1" t="s">
        <v>31</v>
      </c>
      <c r="B319" s="3">
        <v>13583</v>
      </c>
      <c r="C319" s="2">
        <v>0</v>
      </c>
      <c r="D319" s="3">
        <v>98065</v>
      </c>
      <c r="E319" s="2">
        <v>0</v>
      </c>
      <c r="F319" s="3">
        <v>0</v>
      </c>
      <c r="G319" s="3"/>
      <c r="H319" s="3">
        <v>4751</v>
      </c>
      <c r="I319" s="3">
        <v>125231</v>
      </c>
      <c r="J319" s="1">
        <v>15</v>
      </c>
      <c r="K319" s="1">
        <v>1</v>
      </c>
      <c r="L319" s="1">
        <v>2</v>
      </c>
    </row>
    <row r="320" spans="1:12" x14ac:dyDescent="0.35">
      <c r="A320" s="1" t="s">
        <v>32</v>
      </c>
      <c r="B320" s="3">
        <f>26802</f>
        <v>26802</v>
      </c>
      <c r="C320" s="2">
        <v>0</v>
      </c>
      <c r="D320" s="3">
        <v>845188</v>
      </c>
      <c r="E320" s="2">
        <v>0</v>
      </c>
      <c r="F320" s="3">
        <v>0</v>
      </c>
      <c r="G320" s="3"/>
      <c r="H320" s="3">
        <f>910849</f>
        <v>910849</v>
      </c>
      <c r="I320" s="3">
        <v>1235038</v>
      </c>
      <c r="J320" s="1">
        <v>21</v>
      </c>
      <c r="K320" s="1">
        <v>417</v>
      </c>
      <c r="L320" s="1">
        <v>6</v>
      </c>
    </row>
    <row r="321" spans="1:12" x14ac:dyDescent="0.35">
      <c r="A321" s="1" t="s">
        <v>33</v>
      </c>
      <c r="B321" s="3">
        <v>0</v>
      </c>
      <c r="C321" s="2">
        <v>0</v>
      </c>
      <c r="D321" s="3">
        <v>0</v>
      </c>
      <c r="E321" s="2">
        <v>0</v>
      </c>
      <c r="F321" s="3">
        <v>0</v>
      </c>
      <c r="G321" s="3"/>
      <c r="H321" s="3">
        <v>0</v>
      </c>
      <c r="I321" s="3">
        <v>0</v>
      </c>
      <c r="J321" s="1"/>
      <c r="K321" s="1"/>
      <c r="L321" s="1"/>
    </row>
    <row r="322" spans="1:12" x14ac:dyDescent="0.35">
      <c r="A322" s="1" t="s">
        <v>34</v>
      </c>
      <c r="B322" s="3">
        <v>49613</v>
      </c>
      <c r="C322" s="2">
        <v>0</v>
      </c>
      <c r="D322" s="3">
        <v>2851</v>
      </c>
      <c r="E322" s="2">
        <v>0</v>
      </c>
      <c r="F322" s="3">
        <v>0</v>
      </c>
      <c r="G322" s="3"/>
      <c r="H322" s="3">
        <v>15217</v>
      </c>
      <c r="I322" s="3">
        <v>102076</v>
      </c>
      <c r="J322" s="1">
        <v>20</v>
      </c>
      <c r="K322" s="1">
        <v>2</v>
      </c>
      <c r="L322" s="1"/>
    </row>
    <row r="323" spans="1:12" x14ac:dyDescent="0.35">
      <c r="A323" s="1" t="s">
        <v>35</v>
      </c>
      <c r="B323" s="3">
        <v>0</v>
      </c>
      <c r="C323" s="2">
        <v>0</v>
      </c>
      <c r="D323" s="3">
        <v>0</v>
      </c>
      <c r="E323" s="2">
        <v>0</v>
      </c>
      <c r="F323" s="3">
        <v>0</v>
      </c>
      <c r="G323" s="3"/>
      <c r="H323" s="3">
        <v>0</v>
      </c>
      <c r="I323" s="3">
        <v>0</v>
      </c>
      <c r="J323" s="1"/>
      <c r="K323" s="1"/>
      <c r="L323" s="1"/>
    </row>
    <row r="325" spans="1:12" x14ac:dyDescent="0.35">
      <c r="A325" s="14" t="s">
        <v>56</v>
      </c>
      <c r="B325" s="1" t="s">
        <v>4</v>
      </c>
      <c r="C325" s="1" t="s">
        <v>5</v>
      </c>
      <c r="D325" s="1" t="s">
        <v>6</v>
      </c>
      <c r="E325" s="1" t="s">
        <v>7</v>
      </c>
      <c r="F325" s="1" t="s">
        <v>8</v>
      </c>
      <c r="G325" s="1" t="s">
        <v>9</v>
      </c>
      <c r="H325" s="1" t="s">
        <v>10</v>
      </c>
      <c r="I325" s="1" t="s">
        <v>11</v>
      </c>
      <c r="J325" s="1" t="s">
        <v>12</v>
      </c>
      <c r="K325" s="1" t="s">
        <v>13</v>
      </c>
      <c r="L325" s="1" t="s">
        <v>14</v>
      </c>
    </row>
    <row r="326" spans="1:12" x14ac:dyDescent="0.35">
      <c r="A326" s="18" t="s">
        <v>15</v>
      </c>
      <c r="B326" s="17" t="s">
        <v>16</v>
      </c>
      <c r="C326" s="19" t="s">
        <v>17</v>
      </c>
      <c r="D326" s="17" t="s">
        <v>18</v>
      </c>
      <c r="E326" s="17" t="s">
        <v>19</v>
      </c>
      <c r="F326" s="17" t="s">
        <v>20</v>
      </c>
      <c r="G326" s="17" t="s">
        <v>21</v>
      </c>
      <c r="H326" s="17" t="s">
        <v>22</v>
      </c>
      <c r="I326" s="19" t="s">
        <v>23</v>
      </c>
      <c r="J326" s="17" t="s">
        <v>24</v>
      </c>
      <c r="K326" s="19" t="s">
        <v>25</v>
      </c>
      <c r="L326" s="17" t="s">
        <v>26</v>
      </c>
    </row>
    <row r="327" spans="1:12" x14ac:dyDescent="0.35">
      <c r="A327" s="18"/>
      <c r="B327" s="17"/>
      <c r="C327" s="19"/>
      <c r="D327" s="17"/>
      <c r="E327" s="17"/>
      <c r="F327" s="17"/>
      <c r="G327" s="17"/>
      <c r="H327" s="17"/>
      <c r="I327" s="19"/>
      <c r="J327" s="17"/>
      <c r="K327" s="19"/>
      <c r="L327" s="17"/>
    </row>
    <row r="328" spans="1:12" x14ac:dyDescent="0.35">
      <c r="A328" s="1" t="s">
        <v>27</v>
      </c>
      <c r="B328" s="3">
        <v>67680</v>
      </c>
      <c r="C328" s="2">
        <v>0</v>
      </c>
      <c r="D328" s="3">
        <v>104473</v>
      </c>
      <c r="E328" s="2">
        <v>0</v>
      </c>
      <c r="F328" s="3">
        <v>0</v>
      </c>
      <c r="G328" s="3"/>
      <c r="H328" s="3">
        <v>18979</v>
      </c>
      <c r="I328" s="3">
        <v>239832</v>
      </c>
      <c r="J328" s="1"/>
      <c r="K328" s="1">
        <v>17</v>
      </c>
      <c r="L328" s="1"/>
    </row>
    <row r="329" spans="1:12" x14ac:dyDescent="0.35">
      <c r="A329" s="1" t="s">
        <v>28</v>
      </c>
      <c r="B329" s="3">
        <v>20308</v>
      </c>
      <c r="C329" s="2">
        <v>0</v>
      </c>
      <c r="D329" s="3">
        <v>202926</v>
      </c>
      <c r="E329" s="2">
        <v>0</v>
      </c>
      <c r="F329" s="3">
        <v>19731</v>
      </c>
      <c r="G329" s="3"/>
      <c r="H329" s="3">
        <v>23478</v>
      </c>
      <c r="I329" s="3">
        <v>243541</v>
      </c>
      <c r="J329" s="1">
        <v>2</v>
      </c>
      <c r="K329" s="1">
        <v>27</v>
      </c>
      <c r="L329" s="1">
        <v>1</v>
      </c>
    </row>
    <row r="330" spans="1:12" x14ac:dyDescent="0.35">
      <c r="A330" s="1" t="s">
        <v>29</v>
      </c>
      <c r="B330" s="3">
        <v>210705</v>
      </c>
      <c r="C330" s="2">
        <v>0</v>
      </c>
      <c r="D330" s="3">
        <v>1041772</v>
      </c>
      <c r="E330" s="2">
        <v>0</v>
      </c>
      <c r="F330" s="3">
        <v>18809</v>
      </c>
      <c r="G330" s="3"/>
      <c r="H330" s="3">
        <v>54135</v>
      </c>
      <c r="I330" s="3">
        <v>1463182</v>
      </c>
      <c r="J330" s="1">
        <v>15</v>
      </c>
      <c r="K330" s="1">
        <v>25</v>
      </c>
      <c r="L330" s="1"/>
    </row>
    <row r="331" spans="1:12" x14ac:dyDescent="0.35">
      <c r="A331" s="1" t="s">
        <v>30</v>
      </c>
      <c r="B331" s="3">
        <v>0</v>
      </c>
      <c r="C331" s="2">
        <v>0</v>
      </c>
      <c r="D331" s="3">
        <v>102422</v>
      </c>
      <c r="E331" s="2">
        <v>0</v>
      </c>
      <c r="F331" s="3">
        <v>0</v>
      </c>
      <c r="G331" s="3"/>
      <c r="H331" s="3">
        <v>5203</v>
      </c>
      <c r="I331" s="3">
        <v>102422</v>
      </c>
      <c r="J331" s="1"/>
      <c r="K331" s="1">
        <v>2</v>
      </c>
      <c r="L331" s="1"/>
    </row>
    <row r="332" spans="1:12" x14ac:dyDescent="0.35">
      <c r="A332" s="1" t="s">
        <v>31</v>
      </c>
      <c r="B332" s="3">
        <v>34210</v>
      </c>
      <c r="C332" s="2">
        <v>0</v>
      </c>
      <c r="D332" s="3">
        <v>49226</v>
      </c>
      <c r="E332" s="2">
        <v>0</v>
      </c>
      <c r="F332" s="3">
        <v>3953</v>
      </c>
      <c r="G332" s="3"/>
      <c r="H332" s="3">
        <v>12282</v>
      </c>
      <c r="I332" s="3">
        <v>120118</v>
      </c>
      <c r="J332" s="1">
        <v>9</v>
      </c>
      <c r="K332" s="1">
        <v>6</v>
      </c>
      <c r="L332" s="1">
        <v>3</v>
      </c>
    </row>
    <row r="333" spans="1:12" x14ac:dyDescent="0.35">
      <c r="A333" s="1" t="s">
        <v>32</v>
      </c>
      <c r="B333" s="3">
        <v>65531</v>
      </c>
      <c r="C333" s="2">
        <v>0</v>
      </c>
      <c r="D333" s="3">
        <v>1102895</v>
      </c>
      <c r="E333" s="2">
        <v>0</v>
      </c>
      <c r="F333" s="3">
        <v>0</v>
      </c>
      <c r="G333" s="3"/>
      <c r="H333" s="3">
        <f>1028187</f>
        <v>1028187</v>
      </c>
      <c r="I333" s="3">
        <v>1607153</v>
      </c>
      <c r="J333" s="1">
        <v>27</v>
      </c>
      <c r="K333" s="1">
        <v>827</v>
      </c>
      <c r="L333" s="1">
        <v>13</v>
      </c>
    </row>
    <row r="334" spans="1:12" x14ac:dyDescent="0.35">
      <c r="A334" s="1" t="s">
        <v>33</v>
      </c>
      <c r="B334" s="3">
        <v>0</v>
      </c>
      <c r="C334" s="2">
        <v>0</v>
      </c>
      <c r="D334" s="3">
        <v>0</v>
      </c>
      <c r="E334" s="2">
        <v>0</v>
      </c>
      <c r="F334" s="3">
        <v>0</v>
      </c>
      <c r="G334" s="3"/>
      <c r="H334" s="3">
        <v>5135</v>
      </c>
      <c r="I334" s="3">
        <v>0</v>
      </c>
      <c r="J334" s="1">
        <v>2</v>
      </c>
      <c r="K334" s="1">
        <v>7</v>
      </c>
      <c r="L334" s="1">
        <v>1</v>
      </c>
    </row>
    <row r="335" spans="1:12" x14ac:dyDescent="0.35">
      <c r="A335" s="1" t="s">
        <v>34</v>
      </c>
      <c r="B335" s="3">
        <v>39426</v>
      </c>
      <c r="C335" s="2">
        <v>0</v>
      </c>
      <c r="D335" s="3">
        <v>6415</v>
      </c>
      <c r="E335" s="2">
        <v>0</v>
      </c>
      <c r="F335" s="3">
        <v>0</v>
      </c>
      <c r="G335" s="3"/>
      <c r="H335" s="3">
        <v>31574</v>
      </c>
      <c r="I335" s="3">
        <v>85266</v>
      </c>
      <c r="J335" s="1">
        <v>6</v>
      </c>
      <c r="K335" s="1">
        <v>2</v>
      </c>
      <c r="L335" s="1">
        <v>1</v>
      </c>
    </row>
    <row r="336" spans="1:12" x14ac:dyDescent="0.35">
      <c r="A336" s="1" t="s">
        <v>35</v>
      </c>
      <c r="B336" s="3">
        <v>0</v>
      </c>
      <c r="C336" s="2">
        <v>0</v>
      </c>
      <c r="D336" s="3">
        <v>0</v>
      </c>
      <c r="E336" s="2">
        <v>0</v>
      </c>
      <c r="F336" s="3">
        <v>0</v>
      </c>
      <c r="G336" s="3"/>
      <c r="H336" s="3">
        <v>0</v>
      </c>
      <c r="I336" s="3">
        <v>0</v>
      </c>
      <c r="J336" s="1"/>
      <c r="K336" s="1"/>
      <c r="L336" s="1"/>
    </row>
    <row r="338" spans="1:12" x14ac:dyDescent="0.35">
      <c r="A338" s="14" t="s">
        <v>57</v>
      </c>
      <c r="B338" s="1" t="s">
        <v>4</v>
      </c>
      <c r="C338" s="1" t="s">
        <v>5</v>
      </c>
      <c r="D338" s="1" t="s">
        <v>6</v>
      </c>
      <c r="E338" s="1" t="s">
        <v>7</v>
      </c>
      <c r="F338" s="1" t="s">
        <v>8</v>
      </c>
      <c r="G338" s="1" t="s">
        <v>9</v>
      </c>
      <c r="H338" s="1" t="s">
        <v>10</v>
      </c>
      <c r="I338" s="1" t="s">
        <v>11</v>
      </c>
      <c r="J338" s="1" t="s">
        <v>12</v>
      </c>
      <c r="K338" s="1" t="s">
        <v>13</v>
      </c>
      <c r="L338" s="1" t="s">
        <v>14</v>
      </c>
    </row>
    <row r="339" spans="1:12" x14ac:dyDescent="0.35">
      <c r="A339" s="18" t="s">
        <v>15</v>
      </c>
      <c r="B339" s="17" t="s">
        <v>16</v>
      </c>
      <c r="C339" s="19" t="s">
        <v>17</v>
      </c>
      <c r="D339" s="17" t="s">
        <v>18</v>
      </c>
      <c r="E339" s="17" t="s">
        <v>19</v>
      </c>
      <c r="F339" s="17" t="s">
        <v>20</v>
      </c>
      <c r="G339" s="17" t="s">
        <v>21</v>
      </c>
      <c r="H339" s="17" t="s">
        <v>22</v>
      </c>
      <c r="I339" s="19" t="s">
        <v>23</v>
      </c>
      <c r="J339" s="17" t="s">
        <v>24</v>
      </c>
      <c r="K339" s="19" t="s">
        <v>25</v>
      </c>
      <c r="L339" s="17" t="s">
        <v>26</v>
      </c>
    </row>
    <row r="340" spans="1:12" x14ac:dyDescent="0.35">
      <c r="A340" s="18"/>
      <c r="B340" s="17"/>
      <c r="C340" s="19"/>
      <c r="D340" s="17"/>
      <c r="E340" s="17"/>
      <c r="F340" s="17"/>
      <c r="G340" s="17"/>
      <c r="H340" s="17"/>
      <c r="I340" s="19"/>
      <c r="J340" s="17"/>
      <c r="K340" s="19"/>
      <c r="L340" s="17"/>
    </row>
    <row r="341" spans="1:12" x14ac:dyDescent="0.35">
      <c r="A341" s="1" t="s">
        <v>27</v>
      </c>
      <c r="B341" s="3">
        <v>1132913</v>
      </c>
      <c r="C341" s="2">
        <v>0</v>
      </c>
      <c r="D341" s="3">
        <v>1294629</v>
      </c>
      <c r="E341" s="2">
        <v>0</v>
      </c>
      <c r="F341" s="3">
        <v>27247</v>
      </c>
      <c r="G341" s="3"/>
      <c r="H341" s="3">
        <v>780523</v>
      </c>
      <c r="I341" s="3">
        <v>3560454</v>
      </c>
      <c r="J341" s="6">
        <v>15</v>
      </c>
      <c r="K341" s="6">
        <v>86</v>
      </c>
      <c r="L341" s="6">
        <v>1</v>
      </c>
    </row>
    <row r="342" spans="1:12" x14ac:dyDescent="0.35">
      <c r="A342" s="1" t="s">
        <v>28</v>
      </c>
      <c r="B342" s="3">
        <v>1410430</v>
      </c>
      <c r="C342" s="2">
        <v>0</v>
      </c>
      <c r="D342" s="3">
        <v>5904730</v>
      </c>
      <c r="E342" s="2">
        <v>0</v>
      </c>
      <c r="F342" s="3">
        <v>75944</v>
      </c>
      <c r="G342" s="3"/>
      <c r="H342" s="3">
        <v>361665</v>
      </c>
      <c r="I342" s="3">
        <v>8725589</v>
      </c>
      <c r="J342" s="6">
        <v>26</v>
      </c>
      <c r="K342" s="6">
        <v>290</v>
      </c>
      <c r="L342" s="6">
        <v>4</v>
      </c>
    </row>
    <row r="343" spans="1:12" x14ac:dyDescent="0.35">
      <c r="A343" s="1" t="s">
        <v>29</v>
      </c>
      <c r="B343" s="3">
        <v>4829519</v>
      </c>
      <c r="C343" s="2">
        <v>0</v>
      </c>
      <c r="D343" s="3">
        <v>8480210</v>
      </c>
      <c r="E343" s="2">
        <v>0</v>
      </c>
      <c r="F343" s="3">
        <v>375929</v>
      </c>
      <c r="G343" s="3"/>
      <c r="H343" s="3">
        <v>1408237</v>
      </c>
      <c r="I343" s="3">
        <v>18143625</v>
      </c>
      <c r="J343" s="6">
        <v>160</v>
      </c>
      <c r="K343" s="6">
        <v>298</v>
      </c>
      <c r="L343" s="6">
        <v>27</v>
      </c>
    </row>
    <row r="344" spans="1:12" x14ac:dyDescent="0.35">
      <c r="A344" s="1" t="s">
        <v>30</v>
      </c>
      <c r="B344" s="3">
        <v>376415</v>
      </c>
      <c r="C344" s="2">
        <v>0</v>
      </c>
      <c r="D344" s="3">
        <v>973693</v>
      </c>
      <c r="E344" s="2">
        <v>0</v>
      </c>
      <c r="F344" s="3">
        <v>0</v>
      </c>
      <c r="G344" s="3"/>
      <c r="H344" s="3">
        <v>122657</v>
      </c>
      <c r="I344" s="3">
        <v>1726523</v>
      </c>
      <c r="J344" s="6">
        <v>7</v>
      </c>
      <c r="K344" s="6">
        <v>19</v>
      </c>
      <c r="L344" s="6">
        <v>6</v>
      </c>
    </row>
    <row r="345" spans="1:12" x14ac:dyDescent="0.35">
      <c r="A345" s="1" t="s">
        <v>31</v>
      </c>
      <c r="B345" s="3">
        <v>211622</v>
      </c>
      <c r="C345" s="2">
        <v>0</v>
      </c>
      <c r="D345" s="3">
        <v>1604374</v>
      </c>
      <c r="E345" s="2">
        <v>0</v>
      </c>
      <c r="F345" s="3">
        <v>83729</v>
      </c>
      <c r="G345" s="3"/>
      <c r="H345" s="3">
        <v>158241</v>
      </c>
      <c r="I345" s="3">
        <v>2047870</v>
      </c>
      <c r="J345" s="6">
        <v>107</v>
      </c>
      <c r="K345" s="6">
        <v>55</v>
      </c>
      <c r="L345" s="6">
        <v>25</v>
      </c>
    </row>
    <row r="346" spans="1:12" x14ac:dyDescent="0.35">
      <c r="A346" s="1" t="s">
        <v>32</v>
      </c>
      <c r="B346" s="3">
        <v>676092</v>
      </c>
      <c r="C346" s="2">
        <v>0</v>
      </c>
      <c r="D346" s="3">
        <v>12324689</v>
      </c>
      <c r="E346" s="2">
        <v>0</v>
      </c>
      <c r="F346" s="3">
        <v>828</v>
      </c>
      <c r="G346" s="3"/>
      <c r="H346" s="3">
        <v>13243940</v>
      </c>
      <c r="I346" s="3">
        <v>17925813</v>
      </c>
      <c r="J346" s="6">
        <v>373</v>
      </c>
      <c r="K346" s="6">
        <v>4928</v>
      </c>
      <c r="L346" s="6">
        <v>121</v>
      </c>
    </row>
    <row r="347" spans="1:12" x14ac:dyDescent="0.35">
      <c r="A347" s="1" t="s">
        <v>33</v>
      </c>
      <c r="B347" s="3">
        <v>5639</v>
      </c>
      <c r="C347" s="2">
        <v>0</v>
      </c>
      <c r="D347" s="3">
        <v>2897</v>
      </c>
      <c r="E347" s="2">
        <v>0</v>
      </c>
      <c r="F347" s="3">
        <v>0</v>
      </c>
      <c r="G347" s="3"/>
      <c r="H347" s="3">
        <v>73601</v>
      </c>
      <c r="I347" s="3">
        <v>14175</v>
      </c>
      <c r="J347" s="6">
        <v>16</v>
      </c>
      <c r="K347" s="6">
        <v>31</v>
      </c>
      <c r="L347" s="6">
        <v>2</v>
      </c>
    </row>
    <row r="348" spans="1:12" x14ac:dyDescent="0.35">
      <c r="A348" s="1" t="s">
        <v>34</v>
      </c>
      <c r="B348" s="3">
        <v>829514</v>
      </c>
      <c r="C348" s="2">
        <v>0</v>
      </c>
      <c r="D348" s="3">
        <v>53786</v>
      </c>
      <c r="E348" s="2">
        <v>0</v>
      </c>
      <c r="F348" s="3">
        <v>0</v>
      </c>
      <c r="G348" s="3"/>
      <c r="H348" s="3">
        <v>337114</v>
      </c>
      <c r="I348" s="3">
        <v>1712814</v>
      </c>
      <c r="J348" s="6">
        <v>241</v>
      </c>
      <c r="K348" s="6">
        <v>23</v>
      </c>
      <c r="L348" s="6">
        <v>27</v>
      </c>
    </row>
    <row r="349" spans="1:12" x14ac:dyDescent="0.35">
      <c r="A349" s="1" t="s">
        <v>35</v>
      </c>
      <c r="B349" s="3">
        <v>0</v>
      </c>
      <c r="C349" s="2">
        <v>0</v>
      </c>
      <c r="D349" s="3">
        <v>0</v>
      </c>
      <c r="E349" s="2">
        <v>0</v>
      </c>
      <c r="F349" s="3">
        <v>0</v>
      </c>
      <c r="G349" s="3"/>
      <c r="H349" s="3">
        <v>0</v>
      </c>
      <c r="I349" s="3">
        <v>0</v>
      </c>
      <c r="J349" s="6">
        <v>0</v>
      </c>
      <c r="K349" s="6">
        <v>0</v>
      </c>
      <c r="L349" s="6">
        <v>0</v>
      </c>
    </row>
    <row r="351" spans="1:12" s="15" customFormat="1" x14ac:dyDescent="0.35"/>
    <row r="353" spans="1:12" x14ac:dyDescent="0.35">
      <c r="A353" s="4" t="s">
        <v>37</v>
      </c>
    </row>
    <row r="354" spans="1:12" x14ac:dyDescent="0.35">
      <c r="A354" t="s">
        <v>1</v>
      </c>
    </row>
    <row r="355" spans="1:12" x14ac:dyDescent="0.35">
      <c r="A355" t="s">
        <v>2</v>
      </c>
    </row>
    <row r="357" spans="1:12" x14ac:dyDescent="0.35">
      <c r="A357" s="16" t="s">
        <v>45</v>
      </c>
      <c r="B357" s="1" t="s">
        <v>4</v>
      </c>
      <c r="C357" s="1" t="s">
        <v>5</v>
      </c>
      <c r="D357" s="1" t="s">
        <v>6</v>
      </c>
      <c r="E357" s="1" t="s">
        <v>7</v>
      </c>
      <c r="F357" s="1" t="s">
        <v>8</v>
      </c>
      <c r="G357" s="1" t="s">
        <v>9</v>
      </c>
      <c r="H357" s="1" t="s">
        <v>10</v>
      </c>
      <c r="I357" s="1" t="s">
        <v>11</v>
      </c>
      <c r="J357" s="1" t="s">
        <v>12</v>
      </c>
      <c r="K357" s="1" t="s">
        <v>13</v>
      </c>
      <c r="L357" s="1" t="s">
        <v>14</v>
      </c>
    </row>
    <row r="358" spans="1:12" x14ac:dyDescent="0.35">
      <c r="A358" s="18" t="s">
        <v>15</v>
      </c>
      <c r="B358" s="17" t="s">
        <v>16</v>
      </c>
      <c r="C358" s="19" t="s">
        <v>17</v>
      </c>
      <c r="D358" s="17" t="s">
        <v>18</v>
      </c>
      <c r="E358" s="17" t="s">
        <v>19</v>
      </c>
      <c r="F358" s="17" t="s">
        <v>20</v>
      </c>
      <c r="G358" s="17" t="s">
        <v>21</v>
      </c>
      <c r="H358" s="17" t="s">
        <v>22</v>
      </c>
      <c r="I358" s="19" t="s">
        <v>23</v>
      </c>
      <c r="J358" s="17" t="s">
        <v>24</v>
      </c>
      <c r="K358" s="19" t="s">
        <v>25</v>
      </c>
      <c r="L358" s="17" t="s">
        <v>26</v>
      </c>
    </row>
    <row r="359" spans="1:12" x14ac:dyDescent="0.35">
      <c r="A359" s="18"/>
      <c r="B359" s="17"/>
      <c r="C359" s="19"/>
      <c r="D359" s="17"/>
      <c r="E359" s="17"/>
      <c r="F359" s="17"/>
      <c r="G359" s="17"/>
      <c r="H359" s="17"/>
      <c r="I359" s="19"/>
      <c r="J359" s="17"/>
      <c r="K359" s="19"/>
      <c r="L359" s="17"/>
    </row>
    <row r="360" spans="1:12" x14ac:dyDescent="0.35">
      <c r="A360" s="1" t="s">
        <v>27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1"/>
      <c r="K360" s="1"/>
      <c r="L360" s="1"/>
    </row>
    <row r="361" spans="1:12" x14ac:dyDescent="0.35">
      <c r="A361" s="1" t="s">
        <v>28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1"/>
      <c r="K361" s="1"/>
      <c r="L361" s="1"/>
    </row>
    <row r="362" spans="1:12" x14ac:dyDescent="0.35">
      <c r="A362" s="1" t="s">
        <v>29</v>
      </c>
      <c r="B362" s="3">
        <v>40309</v>
      </c>
      <c r="C362" s="3">
        <v>0</v>
      </c>
      <c r="D362" s="3">
        <v>23854</v>
      </c>
      <c r="E362" s="3">
        <v>0</v>
      </c>
      <c r="F362" s="3">
        <v>0</v>
      </c>
      <c r="G362" s="3">
        <v>0</v>
      </c>
      <c r="H362" s="3">
        <v>6454</v>
      </c>
      <c r="I362" s="3">
        <v>104473</v>
      </c>
      <c r="J362" s="1"/>
      <c r="K362" s="1">
        <v>2</v>
      </c>
      <c r="L362" s="1"/>
    </row>
    <row r="363" spans="1:12" x14ac:dyDescent="0.35">
      <c r="A363" s="1" t="s">
        <v>30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1"/>
      <c r="K363" s="1"/>
      <c r="L363" s="1"/>
    </row>
    <row r="364" spans="1:12" x14ac:dyDescent="0.35">
      <c r="A364" s="1" t="s">
        <v>31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1"/>
      <c r="K364" s="1"/>
      <c r="L364" s="1"/>
    </row>
    <row r="365" spans="1:12" x14ac:dyDescent="0.35">
      <c r="A365" s="1" t="s">
        <v>32</v>
      </c>
      <c r="B365" s="3">
        <v>8540</v>
      </c>
      <c r="C365" s="3">
        <v>0</v>
      </c>
      <c r="D365" s="3">
        <v>91130</v>
      </c>
      <c r="E365" s="3">
        <v>0</v>
      </c>
      <c r="F365" s="3">
        <v>0</v>
      </c>
      <c r="G365" s="3">
        <v>0</v>
      </c>
      <c r="H365" s="3">
        <v>132588</v>
      </c>
      <c r="I365" s="3">
        <v>145470</v>
      </c>
      <c r="J365" s="1">
        <v>1</v>
      </c>
      <c r="K365" s="1">
        <v>19</v>
      </c>
      <c r="L365" s="1"/>
    </row>
    <row r="366" spans="1:12" x14ac:dyDescent="0.35">
      <c r="A366" s="1" t="s">
        <v>33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1"/>
      <c r="K366" s="1"/>
      <c r="L366" s="1"/>
    </row>
    <row r="367" spans="1:12" x14ac:dyDescent="0.35">
      <c r="A367" s="1" t="s">
        <v>34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1"/>
      <c r="K367" s="1"/>
      <c r="L367" s="1"/>
    </row>
    <row r="368" spans="1:12" x14ac:dyDescent="0.35">
      <c r="A368" s="1" t="s">
        <v>35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1"/>
      <c r="K368" s="1"/>
      <c r="L368" s="1"/>
    </row>
    <row r="370" spans="1:12" x14ac:dyDescent="0.35">
      <c r="A370" s="16" t="s">
        <v>62</v>
      </c>
      <c r="B370" s="1" t="s">
        <v>4</v>
      </c>
      <c r="C370" s="1" t="s">
        <v>5</v>
      </c>
      <c r="D370" s="1" t="s">
        <v>6</v>
      </c>
      <c r="E370" s="1" t="s">
        <v>7</v>
      </c>
      <c r="F370" s="1" t="s">
        <v>8</v>
      </c>
      <c r="G370" s="1" t="s">
        <v>9</v>
      </c>
      <c r="H370" s="1" t="s">
        <v>10</v>
      </c>
      <c r="I370" s="1" t="s">
        <v>11</v>
      </c>
      <c r="J370" s="1" t="s">
        <v>12</v>
      </c>
      <c r="K370" s="1" t="s">
        <v>13</v>
      </c>
      <c r="L370" s="1" t="s">
        <v>14</v>
      </c>
    </row>
    <row r="371" spans="1:12" x14ac:dyDescent="0.35">
      <c r="A371" s="18" t="s">
        <v>15</v>
      </c>
      <c r="B371" s="17" t="s">
        <v>16</v>
      </c>
      <c r="C371" s="19" t="s">
        <v>17</v>
      </c>
      <c r="D371" s="17" t="s">
        <v>18</v>
      </c>
      <c r="E371" s="17" t="s">
        <v>19</v>
      </c>
      <c r="F371" s="17" t="s">
        <v>20</v>
      </c>
      <c r="G371" s="17" t="s">
        <v>21</v>
      </c>
      <c r="H371" s="17" t="s">
        <v>22</v>
      </c>
      <c r="I371" s="19" t="s">
        <v>23</v>
      </c>
      <c r="J371" s="17" t="s">
        <v>24</v>
      </c>
      <c r="K371" s="19" t="s">
        <v>25</v>
      </c>
      <c r="L371" s="17" t="s">
        <v>26</v>
      </c>
    </row>
    <row r="372" spans="1:12" x14ac:dyDescent="0.35">
      <c r="A372" s="18"/>
      <c r="B372" s="17"/>
      <c r="C372" s="19"/>
      <c r="D372" s="17"/>
      <c r="E372" s="17"/>
      <c r="F372" s="17"/>
      <c r="G372" s="17"/>
      <c r="H372" s="17"/>
      <c r="I372" s="19"/>
      <c r="J372" s="17"/>
      <c r="K372" s="19"/>
      <c r="L372" s="17"/>
    </row>
    <row r="373" spans="1:12" x14ac:dyDescent="0.35">
      <c r="A373" s="1" t="s">
        <v>27</v>
      </c>
      <c r="B373" s="3">
        <v>0</v>
      </c>
      <c r="C373" s="3">
        <v>0</v>
      </c>
      <c r="D373" s="3">
        <v>0</v>
      </c>
      <c r="E373" s="2">
        <v>0</v>
      </c>
      <c r="F373" s="3">
        <v>0</v>
      </c>
      <c r="G373" s="3"/>
      <c r="H373" s="3">
        <v>0</v>
      </c>
      <c r="I373" s="3">
        <v>0</v>
      </c>
      <c r="J373" s="1"/>
      <c r="K373" s="1"/>
      <c r="L373" s="1"/>
    </row>
    <row r="374" spans="1:12" x14ac:dyDescent="0.35">
      <c r="A374" s="1" t="s">
        <v>28</v>
      </c>
      <c r="B374" s="3">
        <v>0</v>
      </c>
      <c r="C374" s="3">
        <v>0</v>
      </c>
      <c r="D374" s="3">
        <v>0</v>
      </c>
      <c r="E374" s="2">
        <v>0</v>
      </c>
      <c r="F374" s="3">
        <v>0</v>
      </c>
      <c r="G374" s="3"/>
      <c r="H374" s="3">
        <v>0</v>
      </c>
      <c r="I374" s="3">
        <v>0</v>
      </c>
      <c r="J374" s="1"/>
      <c r="K374" s="1"/>
      <c r="L374" s="1"/>
    </row>
    <row r="375" spans="1:12" x14ac:dyDescent="0.35">
      <c r="A375" s="1" t="s">
        <v>29</v>
      </c>
      <c r="B375" s="3">
        <v>0</v>
      </c>
      <c r="C375" s="3">
        <v>0</v>
      </c>
      <c r="D375" s="3">
        <v>4118</v>
      </c>
      <c r="E375" s="2">
        <v>0</v>
      </c>
      <c r="F375" s="3">
        <v>0</v>
      </c>
      <c r="G375" s="3"/>
      <c r="H375" s="3">
        <f>14133</f>
        <v>14133</v>
      </c>
      <c r="I375" s="3">
        <v>103277</v>
      </c>
      <c r="J375" s="1"/>
      <c r="K375" s="1">
        <v>1</v>
      </c>
      <c r="L375" s="1"/>
    </row>
    <row r="376" spans="1:12" x14ac:dyDescent="0.35">
      <c r="A376" s="1" t="s">
        <v>30</v>
      </c>
      <c r="B376" s="3">
        <v>0</v>
      </c>
      <c r="C376" s="3">
        <v>0</v>
      </c>
      <c r="D376" s="3">
        <v>0</v>
      </c>
      <c r="E376" s="2">
        <v>0</v>
      </c>
      <c r="F376" s="3">
        <v>0</v>
      </c>
      <c r="G376" s="3"/>
      <c r="H376" s="3">
        <v>0</v>
      </c>
      <c r="I376" s="3">
        <v>0</v>
      </c>
      <c r="J376" s="1"/>
      <c r="K376" s="1"/>
      <c r="L376" s="1"/>
    </row>
    <row r="377" spans="1:12" x14ac:dyDescent="0.35">
      <c r="A377" s="1" t="s">
        <v>31</v>
      </c>
      <c r="B377" s="3">
        <v>0</v>
      </c>
      <c r="C377" s="3">
        <v>0</v>
      </c>
      <c r="D377" s="3">
        <v>0</v>
      </c>
      <c r="E377" s="2">
        <v>0</v>
      </c>
      <c r="F377" s="3">
        <v>22</v>
      </c>
      <c r="G377" s="3"/>
      <c r="H377" s="3">
        <v>0</v>
      </c>
      <c r="I377" s="3">
        <v>0</v>
      </c>
      <c r="J377" s="1"/>
      <c r="K377" s="1"/>
      <c r="L377" s="1"/>
    </row>
    <row r="378" spans="1:12" x14ac:dyDescent="0.35">
      <c r="A378" s="1" t="s">
        <v>32</v>
      </c>
      <c r="B378" s="3">
        <v>34718</v>
      </c>
      <c r="C378" s="3">
        <v>0</v>
      </c>
      <c r="D378" s="3">
        <v>82833</v>
      </c>
      <c r="E378" s="2">
        <v>0</v>
      </c>
      <c r="F378" s="3">
        <v>0</v>
      </c>
      <c r="G378" s="3"/>
      <c r="H378" s="3">
        <f>198163</f>
        <v>198163</v>
      </c>
      <c r="I378" s="3">
        <v>233412</v>
      </c>
      <c r="J378" s="1"/>
      <c r="K378" s="1">
        <v>22</v>
      </c>
      <c r="L378" s="1"/>
    </row>
    <row r="379" spans="1:12" x14ac:dyDescent="0.35">
      <c r="A379" s="1" t="s">
        <v>33</v>
      </c>
      <c r="B379" s="3">
        <v>0</v>
      </c>
      <c r="C379" s="3">
        <v>0</v>
      </c>
      <c r="D379" s="3">
        <v>0</v>
      </c>
      <c r="E379" s="2">
        <v>0</v>
      </c>
      <c r="F379" s="3">
        <v>0</v>
      </c>
      <c r="G379" s="3"/>
      <c r="H379" s="3">
        <v>0</v>
      </c>
      <c r="I379" s="3">
        <v>0</v>
      </c>
      <c r="J379" s="1"/>
      <c r="K379" s="1"/>
      <c r="L379" s="1"/>
    </row>
    <row r="380" spans="1:12" x14ac:dyDescent="0.35">
      <c r="A380" s="1" t="s">
        <v>34</v>
      </c>
      <c r="B380" s="3">
        <v>0</v>
      </c>
      <c r="C380" s="3">
        <v>0</v>
      </c>
      <c r="D380" s="3">
        <v>0</v>
      </c>
      <c r="E380" s="2">
        <v>0</v>
      </c>
      <c r="F380" s="3">
        <v>0</v>
      </c>
      <c r="G380" s="3"/>
      <c r="H380" s="3">
        <v>0</v>
      </c>
      <c r="I380" s="3">
        <v>0</v>
      </c>
      <c r="J380" s="1"/>
      <c r="K380" s="1"/>
      <c r="L380" s="1"/>
    </row>
    <row r="381" spans="1:12" x14ac:dyDescent="0.35">
      <c r="A381" s="1" t="s">
        <v>35</v>
      </c>
      <c r="B381" s="3">
        <v>0</v>
      </c>
      <c r="C381" s="3">
        <v>0</v>
      </c>
      <c r="D381" s="3">
        <v>0</v>
      </c>
      <c r="E381" s="2">
        <v>0</v>
      </c>
      <c r="F381" s="3">
        <v>0</v>
      </c>
      <c r="G381" s="3"/>
      <c r="H381" s="3">
        <v>0</v>
      </c>
      <c r="I381" s="3">
        <v>0</v>
      </c>
      <c r="J381" s="1"/>
      <c r="K381" s="1"/>
      <c r="L381" s="1"/>
    </row>
    <row r="383" spans="1:12" x14ac:dyDescent="0.35">
      <c r="A383" s="16" t="s">
        <v>63</v>
      </c>
      <c r="B383" s="1" t="s">
        <v>4</v>
      </c>
      <c r="C383" s="1" t="s">
        <v>5</v>
      </c>
      <c r="D383" s="1" t="s">
        <v>6</v>
      </c>
      <c r="E383" s="1" t="s">
        <v>7</v>
      </c>
      <c r="F383" s="1" t="s">
        <v>8</v>
      </c>
      <c r="G383" s="1" t="s">
        <v>9</v>
      </c>
      <c r="H383" s="1" t="s">
        <v>10</v>
      </c>
      <c r="I383" s="1" t="s">
        <v>11</v>
      </c>
      <c r="J383" s="1" t="s">
        <v>12</v>
      </c>
      <c r="K383" s="1" t="s">
        <v>13</v>
      </c>
      <c r="L383" s="1" t="s">
        <v>14</v>
      </c>
    </row>
    <row r="384" spans="1:12" x14ac:dyDescent="0.35">
      <c r="A384" s="18" t="s">
        <v>15</v>
      </c>
      <c r="B384" s="17" t="s">
        <v>16</v>
      </c>
      <c r="C384" s="19" t="s">
        <v>17</v>
      </c>
      <c r="D384" s="17" t="s">
        <v>18</v>
      </c>
      <c r="E384" s="17" t="s">
        <v>19</v>
      </c>
      <c r="F384" s="17" t="s">
        <v>20</v>
      </c>
      <c r="G384" s="17" t="s">
        <v>21</v>
      </c>
      <c r="H384" s="17" t="s">
        <v>22</v>
      </c>
      <c r="I384" s="19" t="s">
        <v>23</v>
      </c>
      <c r="J384" s="17" t="s">
        <v>24</v>
      </c>
      <c r="K384" s="19" t="s">
        <v>25</v>
      </c>
      <c r="L384" s="17" t="s">
        <v>26</v>
      </c>
    </row>
    <row r="385" spans="1:12" x14ac:dyDescent="0.35">
      <c r="A385" s="18"/>
      <c r="B385" s="17"/>
      <c r="C385" s="19"/>
      <c r="D385" s="17"/>
      <c r="E385" s="17"/>
      <c r="F385" s="17"/>
      <c r="G385" s="17"/>
      <c r="H385" s="17"/>
      <c r="I385" s="19"/>
      <c r="J385" s="17"/>
      <c r="K385" s="19"/>
      <c r="L385" s="17"/>
    </row>
    <row r="386" spans="1:12" x14ac:dyDescent="0.35">
      <c r="A386" s="1" t="s">
        <v>27</v>
      </c>
      <c r="B386" s="3">
        <v>0</v>
      </c>
      <c r="C386" s="3">
        <v>0</v>
      </c>
      <c r="D386" s="3">
        <v>0</v>
      </c>
      <c r="E386" s="2">
        <v>0</v>
      </c>
      <c r="F386" s="3">
        <v>0</v>
      </c>
      <c r="G386" s="3"/>
      <c r="H386" s="3">
        <v>0</v>
      </c>
      <c r="I386" s="3">
        <v>0</v>
      </c>
      <c r="J386" s="1"/>
      <c r="K386" s="1"/>
      <c r="L386" s="1"/>
    </row>
    <row r="387" spans="1:12" x14ac:dyDescent="0.35">
      <c r="A387" s="1" t="s">
        <v>28</v>
      </c>
      <c r="B387" s="3">
        <v>0</v>
      </c>
      <c r="C387" s="3">
        <v>0</v>
      </c>
      <c r="D387" s="3">
        <v>0</v>
      </c>
      <c r="E387" s="2">
        <v>0</v>
      </c>
      <c r="F387" s="3">
        <v>0</v>
      </c>
      <c r="G387" s="3"/>
      <c r="H387" s="3">
        <v>0</v>
      </c>
      <c r="I387" s="3">
        <v>0</v>
      </c>
      <c r="J387" s="1"/>
      <c r="K387" s="1"/>
      <c r="L387" s="1"/>
    </row>
    <row r="388" spans="1:12" x14ac:dyDescent="0.35">
      <c r="A388" s="1" t="s">
        <v>29</v>
      </c>
      <c r="B388" s="3">
        <v>169933</v>
      </c>
      <c r="C388" s="3">
        <v>0</v>
      </c>
      <c r="D388" s="3">
        <v>190759</v>
      </c>
      <c r="E388" s="2">
        <v>0</v>
      </c>
      <c r="F388" s="3">
        <v>103</v>
      </c>
      <c r="G388" s="3"/>
      <c r="H388" s="3">
        <f>73873</f>
        <v>73873</v>
      </c>
      <c r="I388" s="3">
        <v>530625</v>
      </c>
      <c r="J388" s="1"/>
      <c r="K388" s="1"/>
      <c r="L388" s="1"/>
    </row>
    <row r="389" spans="1:12" x14ac:dyDescent="0.35">
      <c r="A389" s="1" t="s">
        <v>30</v>
      </c>
      <c r="B389" s="3">
        <v>0</v>
      </c>
      <c r="C389" s="3">
        <v>0</v>
      </c>
      <c r="D389" s="3">
        <v>0</v>
      </c>
      <c r="E389" s="2">
        <v>0</v>
      </c>
      <c r="F389" s="3">
        <v>0</v>
      </c>
      <c r="G389" s="3"/>
      <c r="H389" s="3">
        <v>0</v>
      </c>
      <c r="I389" s="3">
        <v>0</v>
      </c>
      <c r="J389" s="1"/>
      <c r="K389" s="1"/>
      <c r="L389" s="1"/>
    </row>
    <row r="390" spans="1:12" x14ac:dyDescent="0.35">
      <c r="A390" s="1" t="s">
        <v>31</v>
      </c>
      <c r="B390" s="3">
        <v>0</v>
      </c>
      <c r="C390" s="3">
        <v>0</v>
      </c>
      <c r="D390" s="3">
        <v>0</v>
      </c>
      <c r="E390" s="2">
        <v>0</v>
      </c>
      <c r="F390" s="3">
        <v>0</v>
      </c>
      <c r="G390" s="3"/>
      <c r="H390" s="3">
        <v>0</v>
      </c>
      <c r="I390" s="3">
        <v>0</v>
      </c>
      <c r="J390" s="1"/>
      <c r="K390" s="1"/>
      <c r="L390" s="1"/>
    </row>
    <row r="391" spans="1:12" x14ac:dyDescent="0.35">
      <c r="A391" s="1" t="s">
        <v>32</v>
      </c>
      <c r="B391" s="3">
        <v>48928</v>
      </c>
      <c r="C391" s="3">
        <v>0</v>
      </c>
      <c r="D391" s="3">
        <v>167548</v>
      </c>
      <c r="E391" s="2">
        <v>0</v>
      </c>
      <c r="F391" s="3">
        <v>0</v>
      </c>
      <c r="G391" s="3"/>
      <c r="H391" s="3">
        <f>116126</f>
        <v>116126</v>
      </c>
      <c r="I391" s="3">
        <v>291687</v>
      </c>
      <c r="J391" s="1">
        <v>1</v>
      </c>
      <c r="K391" s="1">
        <v>14</v>
      </c>
      <c r="L391" s="1"/>
    </row>
    <row r="392" spans="1:12" x14ac:dyDescent="0.35">
      <c r="A392" s="1" t="s">
        <v>33</v>
      </c>
      <c r="B392" s="3">
        <v>0</v>
      </c>
      <c r="C392" s="3">
        <v>0</v>
      </c>
      <c r="D392" s="3">
        <v>0</v>
      </c>
      <c r="E392" s="2">
        <v>0</v>
      </c>
      <c r="F392" s="3">
        <v>0</v>
      </c>
      <c r="G392" s="3"/>
      <c r="H392" s="3">
        <v>0</v>
      </c>
      <c r="I392" s="3">
        <v>0</v>
      </c>
      <c r="J392" s="1"/>
      <c r="K392" s="1"/>
      <c r="L392" s="1"/>
    </row>
    <row r="393" spans="1:12" x14ac:dyDescent="0.35">
      <c r="A393" s="1" t="s">
        <v>34</v>
      </c>
      <c r="B393" s="3">
        <v>0</v>
      </c>
      <c r="C393" s="3">
        <v>0</v>
      </c>
      <c r="D393" s="3">
        <v>0</v>
      </c>
      <c r="E393" s="2">
        <v>0</v>
      </c>
      <c r="F393" s="3">
        <v>0</v>
      </c>
      <c r="G393" s="3"/>
      <c r="H393" s="3">
        <v>0</v>
      </c>
      <c r="I393" s="3">
        <v>0</v>
      </c>
      <c r="J393" s="1"/>
      <c r="K393" s="1"/>
      <c r="L393" s="1"/>
    </row>
    <row r="394" spans="1:12" x14ac:dyDescent="0.35">
      <c r="A394" s="1" t="s">
        <v>35</v>
      </c>
      <c r="B394" s="3">
        <v>0</v>
      </c>
      <c r="C394" s="3">
        <v>0</v>
      </c>
      <c r="D394" s="3">
        <v>0</v>
      </c>
      <c r="E394" s="2">
        <v>0</v>
      </c>
      <c r="F394" s="3">
        <v>0</v>
      </c>
      <c r="G394" s="3"/>
      <c r="H394" s="3">
        <v>0</v>
      </c>
      <c r="I394" s="3">
        <v>0</v>
      </c>
      <c r="J394" s="1"/>
      <c r="K394" s="1"/>
      <c r="L394" s="1"/>
    </row>
    <row r="396" spans="1:12" x14ac:dyDescent="0.35">
      <c r="A396" s="16" t="s">
        <v>59</v>
      </c>
      <c r="B396" s="1" t="s">
        <v>4</v>
      </c>
      <c r="C396" s="1" t="s">
        <v>5</v>
      </c>
      <c r="D396" s="1" t="s">
        <v>6</v>
      </c>
      <c r="E396" s="1" t="s">
        <v>7</v>
      </c>
      <c r="F396" s="1" t="s">
        <v>8</v>
      </c>
      <c r="G396" s="1" t="s">
        <v>9</v>
      </c>
      <c r="H396" s="1" t="s">
        <v>10</v>
      </c>
      <c r="I396" s="1" t="s">
        <v>11</v>
      </c>
      <c r="J396" s="1" t="s">
        <v>12</v>
      </c>
      <c r="K396" s="1" t="s">
        <v>13</v>
      </c>
      <c r="L396" s="1" t="s">
        <v>14</v>
      </c>
    </row>
    <row r="397" spans="1:12" x14ac:dyDescent="0.35">
      <c r="A397" s="18" t="s">
        <v>15</v>
      </c>
      <c r="B397" s="17" t="s">
        <v>16</v>
      </c>
      <c r="C397" s="19" t="s">
        <v>17</v>
      </c>
      <c r="D397" s="17" t="s">
        <v>18</v>
      </c>
      <c r="E397" s="17" t="s">
        <v>19</v>
      </c>
      <c r="F397" s="17" t="s">
        <v>20</v>
      </c>
      <c r="G397" s="17" t="s">
        <v>21</v>
      </c>
      <c r="H397" s="17" t="s">
        <v>22</v>
      </c>
      <c r="I397" s="19" t="s">
        <v>23</v>
      </c>
      <c r="J397" s="17" t="s">
        <v>24</v>
      </c>
      <c r="K397" s="19" t="s">
        <v>25</v>
      </c>
      <c r="L397" s="17" t="s">
        <v>26</v>
      </c>
    </row>
    <row r="398" spans="1:12" x14ac:dyDescent="0.35">
      <c r="A398" s="18"/>
      <c r="B398" s="17"/>
      <c r="C398" s="19"/>
      <c r="D398" s="17"/>
      <c r="E398" s="17"/>
      <c r="F398" s="17"/>
      <c r="G398" s="17"/>
      <c r="H398" s="17"/>
      <c r="I398" s="19"/>
      <c r="J398" s="17"/>
      <c r="K398" s="19"/>
      <c r="L398" s="17"/>
    </row>
    <row r="399" spans="1:12" x14ac:dyDescent="0.35">
      <c r="A399" s="1" t="s">
        <v>27</v>
      </c>
      <c r="B399" s="3">
        <v>0</v>
      </c>
      <c r="C399" s="3">
        <v>0</v>
      </c>
      <c r="D399" s="3">
        <v>0</v>
      </c>
      <c r="E399" s="2">
        <v>0</v>
      </c>
      <c r="F399" s="3">
        <v>0</v>
      </c>
      <c r="G399" s="3"/>
      <c r="H399" s="3">
        <v>0</v>
      </c>
      <c r="I399" s="3">
        <v>0</v>
      </c>
      <c r="J399" s="1"/>
      <c r="K399" s="1"/>
      <c r="L399" s="1"/>
    </row>
    <row r="400" spans="1:12" x14ac:dyDescent="0.35">
      <c r="A400" s="1" t="s">
        <v>28</v>
      </c>
      <c r="B400" s="3">
        <v>0</v>
      </c>
      <c r="C400" s="3">
        <v>0</v>
      </c>
      <c r="D400" s="3">
        <v>0</v>
      </c>
      <c r="E400" s="2">
        <v>0</v>
      </c>
      <c r="F400" s="3">
        <v>0</v>
      </c>
      <c r="G400" s="3"/>
      <c r="H400" s="3">
        <v>0</v>
      </c>
      <c r="I400" s="3">
        <v>0</v>
      </c>
      <c r="J400" s="1"/>
      <c r="K400" s="1"/>
      <c r="L400" s="1"/>
    </row>
    <row r="401" spans="1:12" x14ac:dyDescent="0.35">
      <c r="A401" s="1" t="s">
        <v>29</v>
      </c>
      <c r="B401" s="3">
        <v>55831</v>
      </c>
      <c r="C401" s="3">
        <v>0</v>
      </c>
      <c r="D401" s="3">
        <v>157203</v>
      </c>
      <c r="E401" s="2">
        <v>0</v>
      </c>
      <c r="F401" s="3">
        <v>0</v>
      </c>
      <c r="G401" s="3"/>
      <c r="H401" s="3">
        <f>35893</f>
        <v>35893</v>
      </c>
      <c r="I401" s="3">
        <v>268864</v>
      </c>
      <c r="J401" s="1"/>
      <c r="K401" s="1">
        <v>2</v>
      </c>
      <c r="L401" s="1"/>
    </row>
    <row r="402" spans="1:12" x14ac:dyDescent="0.35">
      <c r="A402" s="1" t="s">
        <v>30</v>
      </c>
      <c r="B402" s="3">
        <v>0</v>
      </c>
      <c r="C402" s="3">
        <v>0</v>
      </c>
      <c r="D402" s="3">
        <v>0</v>
      </c>
      <c r="E402" s="2">
        <v>0</v>
      </c>
      <c r="F402" s="3">
        <v>0</v>
      </c>
      <c r="G402" s="3"/>
      <c r="H402" s="3">
        <v>0</v>
      </c>
      <c r="I402" s="3">
        <v>0</v>
      </c>
      <c r="J402" s="1"/>
      <c r="K402" s="1"/>
      <c r="L402" s="1"/>
    </row>
    <row r="403" spans="1:12" x14ac:dyDescent="0.35">
      <c r="A403" s="1" t="s">
        <v>31</v>
      </c>
      <c r="B403" s="3">
        <v>0</v>
      </c>
      <c r="C403" s="3">
        <v>0</v>
      </c>
      <c r="D403" s="3">
        <v>0</v>
      </c>
      <c r="E403" s="2">
        <v>0</v>
      </c>
      <c r="F403" s="3">
        <v>0</v>
      </c>
      <c r="G403" s="3"/>
      <c r="H403" s="3">
        <v>0</v>
      </c>
      <c r="I403" s="3">
        <v>0</v>
      </c>
      <c r="J403" s="1"/>
      <c r="K403" s="1">
        <v>1</v>
      </c>
      <c r="L403" s="1"/>
    </row>
    <row r="404" spans="1:12" x14ac:dyDescent="0.35">
      <c r="A404" s="1" t="s">
        <v>32</v>
      </c>
      <c r="B404" s="3">
        <v>4428513</v>
      </c>
      <c r="C404" s="3">
        <v>0</v>
      </c>
      <c r="D404" s="3">
        <v>46424</v>
      </c>
      <c r="E404" s="2">
        <v>0</v>
      </c>
      <c r="F404" s="3">
        <v>0</v>
      </c>
      <c r="G404" s="3"/>
      <c r="H404" s="3">
        <f>142580</f>
        <v>142580</v>
      </c>
      <c r="I404" s="3">
        <v>94807</v>
      </c>
      <c r="J404" s="1"/>
      <c r="K404" s="1">
        <v>26</v>
      </c>
      <c r="L404" s="1"/>
    </row>
    <row r="405" spans="1:12" x14ac:dyDescent="0.35">
      <c r="A405" s="1" t="s">
        <v>33</v>
      </c>
      <c r="B405" s="3">
        <v>0</v>
      </c>
      <c r="C405" s="3">
        <v>0</v>
      </c>
      <c r="D405" s="3">
        <v>0</v>
      </c>
      <c r="E405" s="2">
        <v>0</v>
      </c>
      <c r="F405" s="3">
        <v>0</v>
      </c>
      <c r="G405" s="3"/>
      <c r="H405" s="3">
        <v>0</v>
      </c>
      <c r="I405" s="3">
        <v>0</v>
      </c>
      <c r="J405" s="1"/>
      <c r="K405" s="1"/>
      <c r="L405" s="1"/>
    </row>
    <row r="406" spans="1:12" x14ac:dyDescent="0.35">
      <c r="A406" s="1" t="s">
        <v>34</v>
      </c>
      <c r="B406" s="3">
        <v>0</v>
      </c>
      <c r="C406" s="3">
        <v>0</v>
      </c>
      <c r="D406" s="3">
        <v>0</v>
      </c>
      <c r="E406" s="2">
        <v>0</v>
      </c>
      <c r="F406" s="3">
        <v>0</v>
      </c>
      <c r="G406" s="3"/>
      <c r="H406" s="3">
        <v>0</v>
      </c>
      <c r="I406" s="3">
        <v>0</v>
      </c>
      <c r="J406" s="1"/>
      <c r="K406" s="1"/>
      <c r="L406" s="1"/>
    </row>
    <row r="407" spans="1:12" x14ac:dyDescent="0.35">
      <c r="A407" s="1" t="s">
        <v>35</v>
      </c>
      <c r="B407" s="3">
        <v>0</v>
      </c>
      <c r="C407" s="3">
        <v>0</v>
      </c>
      <c r="D407" s="3">
        <v>0</v>
      </c>
      <c r="E407" s="2">
        <v>0</v>
      </c>
      <c r="F407" s="3">
        <v>0</v>
      </c>
      <c r="G407" s="3"/>
      <c r="H407" s="3">
        <v>0</v>
      </c>
      <c r="I407" s="3">
        <v>0</v>
      </c>
      <c r="J407" s="1"/>
      <c r="K407" s="1"/>
      <c r="L407" s="1"/>
    </row>
    <row r="409" spans="1:12" x14ac:dyDescent="0.35">
      <c r="A409" s="16" t="s">
        <v>49</v>
      </c>
      <c r="B409" s="1" t="s">
        <v>4</v>
      </c>
      <c r="C409" s="1" t="s">
        <v>5</v>
      </c>
      <c r="D409" s="1" t="s">
        <v>6</v>
      </c>
      <c r="E409" s="1" t="s">
        <v>7</v>
      </c>
      <c r="F409" s="1" t="s">
        <v>8</v>
      </c>
      <c r="G409" s="1" t="s">
        <v>9</v>
      </c>
      <c r="H409" s="1" t="s">
        <v>10</v>
      </c>
      <c r="I409" s="1" t="s">
        <v>11</v>
      </c>
      <c r="J409" s="1" t="s">
        <v>12</v>
      </c>
      <c r="K409" s="1" t="s">
        <v>13</v>
      </c>
      <c r="L409" s="1" t="s">
        <v>14</v>
      </c>
    </row>
    <row r="410" spans="1:12" x14ac:dyDescent="0.35">
      <c r="A410" s="18" t="s">
        <v>15</v>
      </c>
      <c r="B410" s="17" t="s">
        <v>16</v>
      </c>
      <c r="C410" s="19" t="s">
        <v>17</v>
      </c>
      <c r="D410" s="17" t="s">
        <v>18</v>
      </c>
      <c r="E410" s="17" t="s">
        <v>19</v>
      </c>
      <c r="F410" s="17" t="s">
        <v>20</v>
      </c>
      <c r="G410" s="17" t="s">
        <v>21</v>
      </c>
      <c r="H410" s="17" t="s">
        <v>22</v>
      </c>
      <c r="I410" s="19" t="s">
        <v>23</v>
      </c>
      <c r="J410" s="17" t="s">
        <v>24</v>
      </c>
      <c r="K410" s="19" t="s">
        <v>25</v>
      </c>
      <c r="L410" s="17" t="s">
        <v>26</v>
      </c>
    </row>
    <row r="411" spans="1:12" x14ac:dyDescent="0.35">
      <c r="A411" s="18"/>
      <c r="B411" s="17"/>
      <c r="C411" s="19"/>
      <c r="D411" s="17"/>
      <c r="E411" s="17"/>
      <c r="F411" s="17"/>
      <c r="G411" s="17"/>
      <c r="H411" s="17"/>
      <c r="I411" s="19"/>
      <c r="J411" s="17"/>
      <c r="K411" s="19"/>
      <c r="L411" s="17"/>
    </row>
    <row r="412" spans="1:12" x14ac:dyDescent="0.35">
      <c r="A412" s="1" t="s">
        <v>27</v>
      </c>
      <c r="B412" s="3">
        <v>0</v>
      </c>
      <c r="C412" s="3">
        <v>0</v>
      </c>
      <c r="D412" s="3">
        <v>0</v>
      </c>
      <c r="E412" s="2">
        <v>0</v>
      </c>
      <c r="F412" s="3">
        <v>0</v>
      </c>
      <c r="G412" s="3"/>
      <c r="H412" s="3">
        <v>0</v>
      </c>
      <c r="I412" s="3">
        <v>0</v>
      </c>
      <c r="J412" s="1"/>
      <c r="K412" s="1"/>
      <c r="L412" s="1"/>
    </row>
    <row r="413" spans="1:12" x14ac:dyDescent="0.35">
      <c r="A413" s="1" t="s">
        <v>28</v>
      </c>
      <c r="B413" s="3">
        <v>0</v>
      </c>
      <c r="C413" s="3">
        <v>0</v>
      </c>
      <c r="D413" s="3">
        <v>0</v>
      </c>
      <c r="E413" s="2">
        <v>0</v>
      </c>
      <c r="F413" s="3">
        <v>0</v>
      </c>
      <c r="G413" s="3"/>
      <c r="H413" s="3">
        <v>0</v>
      </c>
      <c r="I413" s="3">
        <v>0</v>
      </c>
      <c r="J413" s="1"/>
      <c r="K413" s="1"/>
      <c r="L413" s="1"/>
    </row>
    <row r="414" spans="1:12" x14ac:dyDescent="0.35">
      <c r="A414" s="1" t="s">
        <v>29</v>
      </c>
      <c r="B414" s="3">
        <v>9424</v>
      </c>
      <c r="C414" s="3">
        <v>0</v>
      </c>
      <c r="D414" s="3">
        <v>568203</v>
      </c>
      <c r="E414" s="2">
        <v>0</v>
      </c>
      <c r="F414" s="3">
        <v>0</v>
      </c>
      <c r="G414" s="3"/>
      <c r="H414" s="3">
        <f>37030</f>
        <v>37030</v>
      </c>
      <c r="I414" s="3">
        <v>587050</v>
      </c>
      <c r="J414" s="1"/>
      <c r="K414" s="1">
        <v>3</v>
      </c>
      <c r="L414" s="1"/>
    </row>
    <row r="415" spans="1:12" x14ac:dyDescent="0.35">
      <c r="A415" s="1" t="s">
        <v>30</v>
      </c>
      <c r="B415" s="3">
        <v>0</v>
      </c>
      <c r="C415" s="3">
        <v>0</v>
      </c>
      <c r="D415" s="3">
        <v>0</v>
      </c>
      <c r="E415" s="2">
        <v>0</v>
      </c>
      <c r="F415" s="3">
        <v>0</v>
      </c>
      <c r="G415" s="3"/>
      <c r="H415" s="3">
        <v>0</v>
      </c>
      <c r="I415" s="3">
        <v>0</v>
      </c>
      <c r="J415" s="1"/>
      <c r="K415" s="1"/>
      <c r="L415" s="1"/>
    </row>
    <row r="416" spans="1:12" x14ac:dyDescent="0.35">
      <c r="A416" s="1" t="s">
        <v>31</v>
      </c>
      <c r="B416" s="3">
        <v>0</v>
      </c>
      <c r="C416" s="3">
        <v>0</v>
      </c>
      <c r="D416" s="3">
        <v>0</v>
      </c>
      <c r="E416" s="2">
        <v>0</v>
      </c>
      <c r="F416" s="3">
        <v>0</v>
      </c>
      <c r="G416" s="3"/>
      <c r="H416" s="3">
        <v>0</v>
      </c>
      <c r="I416" s="3">
        <v>0</v>
      </c>
      <c r="J416" s="1"/>
      <c r="K416" s="1"/>
      <c r="L416" s="1"/>
    </row>
    <row r="417" spans="1:12" x14ac:dyDescent="0.35">
      <c r="A417" s="1" t="s">
        <v>32</v>
      </c>
      <c r="B417" s="3">
        <v>3207</v>
      </c>
      <c r="C417" s="3">
        <v>0</v>
      </c>
      <c r="D417" s="3">
        <v>63656</v>
      </c>
      <c r="E417" s="2">
        <v>0</v>
      </c>
      <c r="F417" s="3">
        <v>0</v>
      </c>
      <c r="G417" s="3"/>
      <c r="H417" s="3">
        <f>95609</f>
        <v>95609</v>
      </c>
      <c r="I417" s="3">
        <v>102702</v>
      </c>
      <c r="J417" s="1"/>
      <c r="K417" s="1">
        <v>25</v>
      </c>
      <c r="L417" s="1"/>
    </row>
    <row r="418" spans="1:12" x14ac:dyDescent="0.35">
      <c r="A418" s="1" t="s">
        <v>33</v>
      </c>
      <c r="B418" s="3">
        <v>0</v>
      </c>
      <c r="C418" s="3">
        <v>0</v>
      </c>
      <c r="D418" s="3">
        <v>0</v>
      </c>
      <c r="E418" s="2">
        <v>0</v>
      </c>
      <c r="F418" s="3">
        <v>0</v>
      </c>
      <c r="G418" s="3"/>
      <c r="H418" s="3">
        <v>0</v>
      </c>
      <c r="I418" s="3">
        <v>0</v>
      </c>
      <c r="J418" s="1"/>
      <c r="K418" s="1"/>
      <c r="L418" s="1"/>
    </row>
    <row r="419" spans="1:12" x14ac:dyDescent="0.35">
      <c r="A419" s="1" t="s">
        <v>34</v>
      </c>
      <c r="B419" s="3">
        <v>0</v>
      </c>
      <c r="C419" s="3">
        <v>0</v>
      </c>
      <c r="D419" s="3">
        <v>0</v>
      </c>
      <c r="E419" s="2">
        <v>0</v>
      </c>
      <c r="F419" s="3">
        <v>0</v>
      </c>
      <c r="G419" s="3"/>
      <c r="H419" s="3">
        <v>0</v>
      </c>
      <c r="I419" s="3">
        <v>0</v>
      </c>
      <c r="J419" s="1"/>
      <c r="K419" s="1"/>
      <c r="L419" s="1"/>
    </row>
    <row r="420" spans="1:12" x14ac:dyDescent="0.35">
      <c r="A420" s="1" t="s">
        <v>35</v>
      </c>
      <c r="B420" s="3">
        <v>0</v>
      </c>
      <c r="C420" s="3">
        <v>0</v>
      </c>
      <c r="D420" s="3">
        <v>0</v>
      </c>
      <c r="E420" s="2">
        <v>0</v>
      </c>
      <c r="F420" s="3">
        <v>0</v>
      </c>
      <c r="G420" s="3"/>
      <c r="H420" s="3">
        <v>0</v>
      </c>
      <c r="I420" s="3">
        <v>0</v>
      </c>
      <c r="J420" s="1"/>
      <c r="K420" s="1"/>
      <c r="L420" s="1"/>
    </row>
    <row r="422" spans="1:12" x14ac:dyDescent="0.35">
      <c r="A422" s="16" t="s">
        <v>50</v>
      </c>
      <c r="B422" s="1" t="s">
        <v>4</v>
      </c>
      <c r="C422" s="1" t="s">
        <v>5</v>
      </c>
      <c r="D422" s="1" t="s">
        <v>6</v>
      </c>
      <c r="E422" s="1" t="s">
        <v>7</v>
      </c>
      <c r="F422" s="1" t="s">
        <v>8</v>
      </c>
      <c r="G422" s="1" t="s">
        <v>9</v>
      </c>
      <c r="H422" s="1" t="s">
        <v>10</v>
      </c>
      <c r="I422" s="1" t="s">
        <v>11</v>
      </c>
      <c r="J422" s="1" t="s">
        <v>12</v>
      </c>
      <c r="K422" s="1" t="s">
        <v>13</v>
      </c>
      <c r="L422" s="1" t="s">
        <v>14</v>
      </c>
    </row>
    <row r="423" spans="1:12" x14ac:dyDescent="0.35">
      <c r="A423" s="18" t="s">
        <v>15</v>
      </c>
      <c r="B423" s="17" t="s">
        <v>16</v>
      </c>
      <c r="C423" s="19" t="s">
        <v>17</v>
      </c>
      <c r="D423" s="17" t="s">
        <v>18</v>
      </c>
      <c r="E423" s="17" t="s">
        <v>19</v>
      </c>
      <c r="F423" s="17" t="s">
        <v>20</v>
      </c>
      <c r="G423" s="17" t="s">
        <v>21</v>
      </c>
      <c r="H423" s="17" t="s">
        <v>22</v>
      </c>
      <c r="I423" s="19" t="s">
        <v>23</v>
      </c>
      <c r="J423" s="17" t="s">
        <v>24</v>
      </c>
      <c r="K423" s="19" t="s">
        <v>25</v>
      </c>
      <c r="L423" s="17" t="s">
        <v>26</v>
      </c>
    </row>
    <row r="424" spans="1:12" x14ac:dyDescent="0.35">
      <c r="A424" s="18"/>
      <c r="B424" s="17"/>
      <c r="C424" s="19"/>
      <c r="D424" s="17"/>
      <c r="E424" s="17"/>
      <c r="F424" s="17"/>
      <c r="G424" s="17"/>
      <c r="H424" s="17"/>
      <c r="I424" s="19"/>
      <c r="J424" s="17"/>
      <c r="K424" s="19"/>
      <c r="L424" s="17"/>
    </row>
    <row r="425" spans="1:12" x14ac:dyDescent="0.35">
      <c r="A425" s="1" t="s">
        <v>27</v>
      </c>
      <c r="B425" s="3">
        <v>0</v>
      </c>
      <c r="C425" s="3">
        <v>0</v>
      </c>
      <c r="D425" s="3">
        <v>0</v>
      </c>
      <c r="E425" s="2">
        <v>0</v>
      </c>
      <c r="F425" s="3">
        <v>0</v>
      </c>
      <c r="G425" s="3"/>
      <c r="H425" s="3">
        <v>0</v>
      </c>
      <c r="I425" s="3">
        <v>0</v>
      </c>
      <c r="J425" s="1"/>
      <c r="K425" s="1"/>
      <c r="L425" s="1"/>
    </row>
    <row r="426" spans="1:12" x14ac:dyDescent="0.35">
      <c r="A426" s="1" t="s">
        <v>28</v>
      </c>
      <c r="B426" s="3">
        <v>0</v>
      </c>
      <c r="C426" s="3">
        <v>0</v>
      </c>
      <c r="D426" s="3">
        <v>0</v>
      </c>
      <c r="E426" s="2">
        <v>0</v>
      </c>
      <c r="F426" s="3">
        <v>0</v>
      </c>
      <c r="G426" s="3"/>
      <c r="H426" s="3">
        <v>0</v>
      </c>
      <c r="I426" s="3">
        <v>0</v>
      </c>
      <c r="J426" s="1"/>
      <c r="K426" s="1"/>
      <c r="L426" s="1"/>
    </row>
    <row r="427" spans="1:12" x14ac:dyDescent="0.35">
      <c r="A427" s="1" t="s">
        <v>29</v>
      </c>
      <c r="B427" s="3">
        <f>39428</f>
        <v>39428</v>
      </c>
      <c r="C427" s="3">
        <v>0</v>
      </c>
      <c r="D427" s="3">
        <v>67027</v>
      </c>
      <c r="E427" s="2">
        <v>0</v>
      </c>
      <c r="F427" s="3">
        <v>0</v>
      </c>
      <c r="G427" s="3"/>
      <c r="H427" s="3">
        <f>21159</f>
        <v>21159</v>
      </c>
      <c r="I427" s="3">
        <v>145883</v>
      </c>
      <c r="J427" s="1"/>
      <c r="K427" s="1">
        <v>1</v>
      </c>
      <c r="L427" s="1"/>
    </row>
    <row r="428" spans="1:12" x14ac:dyDescent="0.35">
      <c r="A428" s="1" t="s">
        <v>30</v>
      </c>
      <c r="B428" s="3">
        <v>0</v>
      </c>
      <c r="C428" s="3">
        <v>0</v>
      </c>
      <c r="D428" s="3">
        <v>0</v>
      </c>
      <c r="E428" s="2">
        <v>0</v>
      </c>
      <c r="F428" s="3">
        <v>0</v>
      </c>
      <c r="G428" s="3"/>
      <c r="H428" s="3">
        <v>0</v>
      </c>
      <c r="I428" s="3">
        <v>0</v>
      </c>
      <c r="J428" s="1"/>
      <c r="K428" s="1"/>
      <c r="L428" s="1"/>
    </row>
    <row r="429" spans="1:12" x14ac:dyDescent="0.35">
      <c r="A429" s="1" t="s">
        <v>31</v>
      </c>
      <c r="B429" s="3">
        <v>0</v>
      </c>
      <c r="C429" s="3">
        <v>0</v>
      </c>
      <c r="D429" s="3">
        <v>0</v>
      </c>
      <c r="E429" s="2">
        <v>0</v>
      </c>
      <c r="F429" s="3">
        <v>0</v>
      </c>
      <c r="G429" s="3"/>
      <c r="H429" s="3">
        <v>0</v>
      </c>
      <c r="I429" s="3">
        <v>0</v>
      </c>
      <c r="J429" s="1"/>
      <c r="K429" s="1"/>
      <c r="L429" s="1"/>
    </row>
    <row r="430" spans="1:12" x14ac:dyDescent="0.35">
      <c r="A430" s="1" t="s">
        <v>32</v>
      </c>
      <c r="B430" s="3">
        <f>8135</f>
        <v>8135</v>
      </c>
      <c r="C430" s="3">
        <v>0</v>
      </c>
      <c r="D430" s="3">
        <v>50678</v>
      </c>
      <c r="E430" s="2">
        <v>0</v>
      </c>
      <c r="F430" s="3">
        <v>0</v>
      </c>
      <c r="G430" s="3"/>
      <c r="H430" s="3">
        <f>81059</f>
        <v>81059</v>
      </c>
      <c r="I430" s="3">
        <v>86359</v>
      </c>
      <c r="J430" s="1">
        <v>1</v>
      </c>
      <c r="K430" s="1">
        <v>14</v>
      </c>
      <c r="L430" s="1"/>
    </row>
    <row r="431" spans="1:12" x14ac:dyDescent="0.35">
      <c r="A431" s="1" t="s">
        <v>33</v>
      </c>
      <c r="B431" s="3">
        <v>0</v>
      </c>
      <c r="C431" s="3">
        <v>0</v>
      </c>
      <c r="D431" s="3">
        <v>0</v>
      </c>
      <c r="E431" s="2">
        <v>0</v>
      </c>
      <c r="F431" s="3">
        <v>0</v>
      </c>
      <c r="G431" s="3"/>
      <c r="H431" s="3">
        <v>0</v>
      </c>
      <c r="I431" s="3">
        <v>0</v>
      </c>
      <c r="J431" s="1"/>
      <c r="K431" s="1"/>
      <c r="L431" s="1"/>
    </row>
    <row r="432" spans="1:12" x14ac:dyDescent="0.35">
      <c r="A432" s="1" t="s">
        <v>34</v>
      </c>
      <c r="B432" s="3">
        <v>0</v>
      </c>
      <c r="C432" s="3">
        <v>0</v>
      </c>
      <c r="D432" s="3">
        <v>0</v>
      </c>
      <c r="E432" s="2">
        <v>0</v>
      </c>
      <c r="F432" s="3">
        <v>0</v>
      </c>
      <c r="G432" s="3"/>
      <c r="H432" s="3">
        <v>0</v>
      </c>
      <c r="I432" s="3">
        <v>0</v>
      </c>
      <c r="J432" s="1"/>
      <c r="K432" s="1"/>
      <c r="L432" s="1"/>
    </row>
    <row r="433" spans="1:12" x14ac:dyDescent="0.35">
      <c r="A433" s="1" t="s">
        <v>35</v>
      </c>
      <c r="B433" s="3">
        <v>0</v>
      </c>
      <c r="C433" s="3">
        <v>0</v>
      </c>
      <c r="D433" s="3">
        <v>0</v>
      </c>
      <c r="E433" s="2">
        <v>0</v>
      </c>
      <c r="F433" s="3">
        <v>0</v>
      </c>
      <c r="G433" s="3"/>
      <c r="H433" s="3">
        <v>0</v>
      </c>
      <c r="I433" s="3">
        <v>0</v>
      </c>
      <c r="J433" s="1"/>
      <c r="K433" s="1"/>
      <c r="L433" s="1"/>
    </row>
    <row r="435" spans="1:12" x14ac:dyDescent="0.35">
      <c r="A435" s="16" t="s">
        <v>51</v>
      </c>
      <c r="B435" s="1" t="s">
        <v>4</v>
      </c>
      <c r="C435" s="1" t="s">
        <v>5</v>
      </c>
      <c r="D435" s="1" t="s">
        <v>6</v>
      </c>
      <c r="E435" s="1" t="s">
        <v>7</v>
      </c>
      <c r="F435" s="1" t="s">
        <v>8</v>
      </c>
      <c r="G435" s="1" t="s">
        <v>9</v>
      </c>
      <c r="H435" s="1" t="s">
        <v>10</v>
      </c>
      <c r="I435" s="1" t="s">
        <v>11</v>
      </c>
      <c r="J435" s="1" t="s">
        <v>12</v>
      </c>
      <c r="K435" s="1" t="s">
        <v>13</v>
      </c>
      <c r="L435" s="1" t="s">
        <v>14</v>
      </c>
    </row>
    <row r="436" spans="1:12" x14ac:dyDescent="0.35">
      <c r="A436" s="18" t="s">
        <v>15</v>
      </c>
      <c r="B436" s="17" t="s">
        <v>16</v>
      </c>
      <c r="C436" s="19" t="s">
        <v>17</v>
      </c>
      <c r="D436" s="17" t="s">
        <v>18</v>
      </c>
      <c r="E436" s="17" t="s">
        <v>19</v>
      </c>
      <c r="F436" s="17" t="s">
        <v>20</v>
      </c>
      <c r="G436" s="17" t="s">
        <v>21</v>
      </c>
      <c r="H436" s="17" t="s">
        <v>22</v>
      </c>
      <c r="I436" s="19" t="s">
        <v>23</v>
      </c>
      <c r="J436" s="17" t="s">
        <v>24</v>
      </c>
      <c r="K436" s="19" t="s">
        <v>25</v>
      </c>
      <c r="L436" s="17" t="s">
        <v>26</v>
      </c>
    </row>
    <row r="437" spans="1:12" x14ac:dyDescent="0.35">
      <c r="A437" s="18"/>
      <c r="B437" s="17"/>
      <c r="C437" s="19"/>
      <c r="D437" s="17"/>
      <c r="E437" s="17"/>
      <c r="F437" s="17"/>
      <c r="G437" s="17"/>
      <c r="H437" s="17"/>
      <c r="I437" s="19"/>
      <c r="J437" s="17"/>
      <c r="K437" s="19"/>
      <c r="L437" s="17"/>
    </row>
    <row r="438" spans="1:12" x14ac:dyDescent="0.35">
      <c r="A438" s="1" t="s">
        <v>27</v>
      </c>
      <c r="B438" s="3">
        <v>0</v>
      </c>
      <c r="C438" s="3">
        <v>0</v>
      </c>
      <c r="D438" s="3">
        <v>0</v>
      </c>
      <c r="E438" s="2">
        <v>0</v>
      </c>
      <c r="F438" s="3">
        <v>0</v>
      </c>
      <c r="G438" s="3"/>
      <c r="H438" s="3">
        <v>0</v>
      </c>
      <c r="I438" s="3">
        <v>0</v>
      </c>
      <c r="J438" s="1"/>
      <c r="K438" s="1"/>
      <c r="L438" s="1"/>
    </row>
    <row r="439" spans="1:12" x14ac:dyDescent="0.35">
      <c r="A439" s="1" t="s">
        <v>28</v>
      </c>
      <c r="B439" s="3">
        <v>0</v>
      </c>
      <c r="C439" s="3">
        <v>0</v>
      </c>
      <c r="D439" s="3">
        <v>0</v>
      </c>
      <c r="E439" s="2">
        <v>0</v>
      </c>
      <c r="F439" s="3">
        <v>0</v>
      </c>
      <c r="G439" s="3"/>
      <c r="H439" s="3">
        <v>0</v>
      </c>
      <c r="I439" s="3">
        <v>0</v>
      </c>
      <c r="J439" s="1"/>
      <c r="K439" s="1"/>
      <c r="L439" s="1"/>
    </row>
    <row r="440" spans="1:12" x14ac:dyDescent="0.35">
      <c r="A440" s="1" t="s">
        <v>29</v>
      </c>
      <c r="B440" s="3">
        <f>132020</f>
        <v>132020</v>
      </c>
      <c r="C440" s="3">
        <v>0</v>
      </c>
      <c r="D440" s="3">
        <v>268764</v>
      </c>
      <c r="E440" s="2">
        <v>0</v>
      </c>
      <c r="F440" s="3">
        <v>30888</v>
      </c>
      <c r="G440" s="3"/>
      <c r="H440" s="3">
        <f>33843</f>
        <v>33843</v>
      </c>
      <c r="I440" s="3">
        <v>532803</v>
      </c>
      <c r="J440" s="1">
        <v>1</v>
      </c>
      <c r="K440" s="1">
        <v>3</v>
      </c>
      <c r="L440" s="1">
        <v>1</v>
      </c>
    </row>
    <row r="441" spans="1:12" x14ac:dyDescent="0.35">
      <c r="A441" s="1" t="s">
        <v>30</v>
      </c>
      <c r="B441" s="3">
        <v>0</v>
      </c>
      <c r="C441" s="3">
        <v>0</v>
      </c>
      <c r="D441" s="3">
        <v>0</v>
      </c>
      <c r="E441" s="2">
        <v>0</v>
      </c>
      <c r="F441" s="3">
        <v>0</v>
      </c>
      <c r="G441" s="3"/>
      <c r="H441" s="3">
        <v>0</v>
      </c>
      <c r="I441" s="3">
        <v>0</v>
      </c>
      <c r="J441" s="1"/>
      <c r="K441" s="1"/>
      <c r="L441" s="1"/>
    </row>
    <row r="442" spans="1:12" x14ac:dyDescent="0.35">
      <c r="A442" s="1" t="s">
        <v>31</v>
      </c>
      <c r="B442" s="3">
        <v>0</v>
      </c>
      <c r="C442" s="3">
        <v>0</v>
      </c>
      <c r="D442" s="3">
        <v>0</v>
      </c>
      <c r="E442" s="2">
        <v>0</v>
      </c>
      <c r="F442" s="3">
        <v>0</v>
      </c>
      <c r="G442" s="3"/>
      <c r="H442" s="3">
        <v>0</v>
      </c>
      <c r="I442" s="3">
        <v>0</v>
      </c>
      <c r="J442" s="1"/>
      <c r="K442" s="1"/>
      <c r="L442" s="1"/>
    </row>
    <row r="443" spans="1:12" x14ac:dyDescent="0.35">
      <c r="A443" s="1" t="s">
        <v>32</v>
      </c>
      <c r="B443" s="3">
        <f>3612</f>
        <v>3612</v>
      </c>
      <c r="C443" s="3">
        <v>0</v>
      </c>
      <c r="D443" s="3">
        <v>84539</v>
      </c>
      <c r="E443" s="2">
        <v>0</v>
      </c>
      <c r="F443" s="3">
        <v>0</v>
      </c>
      <c r="G443" s="3"/>
      <c r="H443" s="3">
        <f>170385</f>
        <v>170385</v>
      </c>
      <c r="I443" s="3">
        <v>207163</v>
      </c>
      <c r="J443" s="1">
        <v>2</v>
      </c>
      <c r="K443" s="1">
        <v>15</v>
      </c>
      <c r="L443" s="1">
        <v>2</v>
      </c>
    </row>
    <row r="444" spans="1:12" x14ac:dyDescent="0.35">
      <c r="A444" s="1" t="s">
        <v>33</v>
      </c>
      <c r="B444" s="3">
        <v>0</v>
      </c>
      <c r="C444" s="3">
        <v>0</v>
      </c>
      <c r="D444" s="3">
        <v>0</v>
      </c>
      <c r="E444" s="2">
        <v>0</v>
      </c>
      <c r="F444" s="3">
        <v>0</v>
      </c>
      <c r="G444" s="3"/>
      <c r="H444" s="3">
        <v>0</v>
      </c>
      <c r="I444" s="3">
        <v>0</v>
      </c>
      <c r="J444" s="1"/>
      <c r="K444" s="1"/>
      <c r="L444" s="1"/>
    </row>
    <row r="445" spans="1:12" x14ac:dyDescent="0.35">
      <c r="A445" s="1" t="s">
        <v>34</v>
      </c>
      <c r="B445" s="3">
        <v>0</v>
      </c>
      <c r="C445" s="3">
        <v>0</v>
      </c>
      <c r="D445" s="3">
        <v>0</v>
      </c>
      <c r="E445" s="2">
        <v>0</v>
      </c>
      <c r="F445" s="3">
        <v>0</v>
      </c>
      <c r="G445" s="3"/>
      <c r="H445" s="3">
        <v>0</v>
      </c>
      <c r="I445" s="3">
        <v>0</v>
      </c>
      <c r="J445" s="1"/>
      <c r="K445" s="1"/>
      <c r="L445" s="1"/>
    </row>
    <row r="446" spans="1:12" x14ac:dyDescent="0.35">
      <c r="A446" s="1" t="s">
        <v>35</v>
      </c>
      <c r="B446" s="3">
        <v>0</v>
      </c>
      <c r="C446" s="3">
        <v>0</v>
      </c>
      <c r="D446" s="3">
        <v>0</v>
      </c>
      <c r="E446" s="2">
        <v>0</v>
      </c>
      <c r="F446" s="3">
        <v>0</v>
      </c>
      <c r="G446" s="3"/>
      <c r="H446" s="3">
        <v>0</v>
      </c>
      <c r="I446" s="3">
        <v>0</v>
      </c>
      <c r="J446" s="1"/>
      <c r="K446" s="1"/>
      <c r="L446" s="1"/>
    </row>
    <row r="448" spans="1:12" x14ac:dyDescent="0.35">
      <c r="A448" s="16" t="s">
        <v>64</v>
      </c>
      <c r="B448" s="1" t="s">
        <v>4</v>
      </c>
      <c r="C448" s="1" t="s">
        <v>5</v>
      </c>
      <c r="D448" s="1" t="s">
        <v>6</v>
      </c>
      <c r="E448" s="1" t="s">
        <v>7</v>
      </c>
      <c r="F448" s="1" t="s">
        <v>8</v>
      </c>
      <c r="G448" s="1" t="s">
        <v>9</v>
      </c>
      <c r="H448" s="1" t="s">
        <v>10</v>
      </c>
      <c r="I448" s="1" t="s">
        <v>11</v>
      </c>
      <c r="J448" s="1" t="s">
        <v>12</v>
      </c>
      <c r="K448" s="1" t="s">
        <v>13</v>
      </c>
      <c r="L448" s="1" t="s">
        <v>14</v>
      </c>
    </row>
    <row r="449" spans="1:12" x14ac:dyDescent="0.35">
      <c r="A449" s="18" t="s">
        <v>15</v>
      </c>
      <c r="B449" s="17" t="s">
        <v>16</v>
      </c>
      <c r="C449" s="19" t="s">
        <v>17</v>
      </c>
      <c r="D449" s="17" t="s">
        <v>18</v>
      </c>
      <c r="E449" s="17" t="s">
        <v>19</v>
      </c>
      <c r="F449" s="17" t="s">
        <v>20</v>
      </c>
      <c r="G449" s="17" t="s">
        <v>21</v>
      </c>
      <c r="H449" s="17" t="s">
        <v>22</v>
      </c>
      <c r="I449" s="19" t="s">
        <v>23</v>
      </c>
      <c r="J449" s="17" t="s">
        <v>24</v>
      </c>
      <c r="K449" s="19" t="s">
        <v>25</v>
      </c>
      <c r="L449" s="17" t="s">
        <v>26</v>
      </c>
    </row>
    <row r="450" spans="1:12" x14ac:dyDescent="0.35">
      <c r="A450" s="18"/>
      <c r="B450" s="17"/>
      <c r="C450" s="19"/>
      <c r="D450" s="17"/>
      <c r="E450" s="17"/>
      <c r="F450" s="17"/>
      <c r="G450" s="17"/>
      <c r="H450" s="17"/>
      <c r="I450" s="19"/>
      <c r="J450" s="17"/>
      <c r="K450" s="19"/>
      <c r="L450" s="17"/>
    </row>
    <row r="451" spans="1:12" x14ac:dyDescent="0.35">
      <c r="A451" s="1" t="s">
        <v>27</v>
      </c>
      <c r="B451" s="3">
        <v>0</v>
      </c>
      <c r="C451" s="3">
        <v>0</v>
      </c>
      <c r="D451" s="3">
        <v>0</v>
      </c>
      <c r="E451" s="2">
        <v>0</v>
      </c>
      <c r="F451" s="3">
        <v>19840</v>
      </c>
      <c r="G451" s="3"/>
      <c r="H451" s="3">
        <v>0</v>
      </c>
      <c r="I451" s="3">
        <v>0</v>
      </c>
      <c r="J451" s="1"/>
      <c r="K451" s="1"/>
      <c r="L451" s="1"/>
    </row>
    <row r="452" spans="1:12" x14ac:dyDescent="0.35">
      <c r="A452" s="1" t="s">
        <v>28</v>
      </c>
      <c r="B452" s="3">
        <v>0</v>
      </c>
      <c r="C452" s="3">
        <v>0</v>
      </c>
      <c r="D452" s="3">
        <v>0</v>
      </c>
      <c r="E452" s="2">
        <v>0</v>
      </c>
      <c r="F452" s="3">
        <v>0</v>
      </c>
      <c r="G452" s="3"/>
      <c r="H452" s="3">
        <v>0</v>
      </c>
      <c r="I452" s="3">
        <v>0</v>
      </c>
      <c r="J452" s="1"/>
      <c r="K452" s="1"/>
      <c r="L452" s="1"/>
    </row>
    <row r="453" spans="1:12" x14ac:dyDescent="0.35">
      <c r="A453" s="1" t="s">
        <v>29</v>
      </c>
      <c r="B453" s="3">
        <f>1446</f>
        <v>1446</v>
      </c>
      <c r="C453" s="3">
        <v>0</v>
      </c>
      <c r="D453" s="3">
        <v>5385</v>
      </c>
      <c r="E453" s="2">
        <v>0</v>
      </c>
      <c r="F453" s="3">
        <v>0</v>
      </c>
      <c r="G453" s="3"/>
      <c r="H453" s="3">
        <f>31336</f>
        <v>31336</v>
      </c>
      <c r="I453" s="3">
        <v>31852</v>
      </c>
      <c r="J453" s="1"/>
      <c r="K453" s="1">
        <v>4</v>
      </c>
      <c r="L453" s="1"/>
    </row>
    <row r="454" spans="1:12" x14ac:dyDescent="0.35">
      <c r="A454" s="1" t="s">
        <v>30</v>
      </c>
      <c r="B454" s="3">
        <v>0</v>
      </c>
      <c r="C454" s="3">
        <v>0</v>
      </c>
      <c r="D454" s="3">
        <v>0</v>
      </c>
      <c r="E454" s="2">
        <v>0</v>
      </c>
      <c r="F454" s="3">
        <v>0</v>
      </c>
      <c r="G454" s="3"/>
      <c r="H454" s="3">
        <v>0</v>
      </c>
      <c r="I454" s="3">
        <v>0</v>
      </c>
      <c r="J454" s="1"/>
      <c r="K454" s="1"/>
      <c r="L454" s="1"/>
    </row>
    <row r="455" spans="1:12" x14ac:dyDescent="0.35">
      <c r="A455" s="1" t="s">
        <v>31</v>
      </c>
      <c r="B455" s="3">
        <v>0</v>
      </c>
      <c r="C455" s="3">
        <v>0</v>
      </c>
      <c r="D455" s="3">
        <v>88327</v>
      </c>
      <c r="E455" s="2">
        <v>0</v>
      </c>
      <c r="F455" s="3">
        <v>0</v>
      </c>
      <c r="G455" s="3"/>
      <c r="H455" s="3">
        <f>11687</f>
        <v>11687</v>
      </c>
      <c r="I455" s="3">
        <v>88327</v>
      </c>
      <c r="J455" s="1"/>
      <c r="K455" s="1"/>
      <c r="L455" s="1"/>
    </row>
    <row r="456" spans="1:12" x14ac:dyDescent="0.35">
      <c r="A456" s="1" t="s">
        <v>32</v>
      </c>
      <c r="B456" s="3">
        <f>57215</f>
        <v>57215</v>
      </c>
      <c r="C456" s="3">
        <v>0</v>
      </c>
      <c r="D456" s="3">
        <v>74116</v>
      </c>
      <c r="E456" s="2">
        <v>0</v>
      </c>
      <c r="F456" s="3">
        <v>0</v>
      </c>
      <c r="G456" s="3"/>
      <c r="H456" s="3">
        <f>195942</f>
        <v>195942</v>
      </c>
      <c r="I456" s="3">
        <v>276589</v>
      </c>
      <c r="J456" s="1"/>
      <c r="K456" s="1">
        <v>19</v>
      </c>
      <c r="L456" s="1"/>
    </row>
    <row r="457" spans="1:12" x14ac:dyDescent="0.35">
      <c r="A457" s="1" t="s">
        <v>33</v>
      </c>
      <c r="B457" s="3">
        <v>0</v>
      </c>
      <c r="C457" s="3">
        <v>0</v>
      </c>
      <c r="D457" s="3">
        <v>0</v>
      </c>
      <c r="E457" s="2">
        <v>0</v>
      </c>
      <c r="F457" s="3">
        <v>0</v>
      </c>
      <c r="G457" s="3"/>
      <c r="H457" s="3">
        <v>0</v>
      </c>
      <c r="I457" s="3">
        <v>0</v>
      </c>
      <c r="J457" s="1"/>
      <c r="K457" s="1"/>
      <c r="L457" s="1"/>
    </row>
    <row r="458" spans="1:12" x14ac:dyDescent="0.35">
      <c r="A458" s="1" t="s">
        <v>34</v>
      </c>
      <c r="B458" s="3">
        <v>0</v>
      </c>
      <c r="C458" s="3">
        <v>0</v>
      </c>
      <c r="D458" s="3">
        <v>0</v>
      </c>
      <c r="E458" s="2">
        <v>0</v>
      </c>
      <c r="F458" s="3">
        <v>0</v>
      </c>
      <c r="G458" s="3"/>
      <c r="H458" s="3">
        <v>0</v>
      </c>
      <c r="I458" s="3">
        <v>0</v>
      </c>
      <c r="J458" s="1"/>
      <c r="K458" s="1"/>
      <c r="L458" s="1"/>
    </row>
    <row r="459" spans="1:12" x14ac:dyDescent="0.35">
      <c r="A459" s="1" t="s">
        <v>35</v>
      </c>
      <c r="B459" s="3">
        <v>0</v>
      </c>
      <c r="C459" s="3">
        <v>0</v>
      </c>
      <c r="D459" s="3">
        <v>0</v>
      </c>
      <c r="E459" s="2">
        <v>0</v>
      </c>
      <c r="F459" s="3">
        <v>0</v>
      </c>
      <c r="G459" s="3"/>
      <c r="H459" s="3">
        <v>0</v>
      </c>
      <c r="I459" s="3">
        <v>0</v>
      </c>
      <c r="J459" s="1"/>
      <c r="K459" s="1"/>
      <c r="L459" s="1"/>
    </row>
    <row r="461" spans="1:12" x14ac:dyDescent="0.35">
      <c r="A461" s="16" t="s">
        <v>53</v>
      </c>
      <c r="B461" s="1" t="s">
        <v>4</v>
      </c>
      <c r="C461" s="1" t="s">
        <v>5</v>
      </c>
      <c r="D461" s="1" t="s">
        <v>6</v>
      </c>
      <c r="E461" s="1" t="s">
        <v>7</v>
      </c>
      <c r="F461" s="1" t="s">
        <v>8</v>
      </c>
      <c r="G461" s="1" t="s">
        <v>9</v>
      </c>
      <c r="H461" s="1" t="s">
        <v>10</v>
      </c>
      <c r="I461" s="1" t="s">
        <v>11</v>
      </c>
      <c r="J461" s="1" t="s">
        <v>12</v>
      </c>
      <c r="K461" s="1" t="s">
        <v>13</v>
      </c>
      <c r="L461" s="1" t="s">
        <v>14</v>
      </c>
    </row>
    <row r="462" spans="1:12" x14ac:dyDescent="0.35">
      <c r="A462" s="18" t="s">
        <v>15</v>
      </c>
      <c r="B462" s="17" t="s">
        <v>16</v>
      </c>
      <c r="C462" s="19" t="s">
        <v>17</v>
      </c>
      <c r="D462" s="17" t="s">
        <v>18</v>
      </c>
      <c r="E462" s="17" t="s">
        <v>19</v>
      </c>
      <c r="F462" s="17" t="s">
        <v>20</v>
      </c>
      <c r="G462" s="17" t="s">
        <v>21</v>
      </c>
      <c r="H462" s="17" t="s">
        <v>22</v>
      </c>
      <c r="I462" s="19" t="s">
        <v>23</v>
      </c>
      <c r="J462" s="17" t="s">
        <v>24</v>
      </c>
      <c r="K462" s="19" t="s">
        <v>25</v>
      </c>
      <c r="L462" s="17" t="s">
        <v>26</v>
      </c>
    </row>
    <row r="463" spans="1:12" x14ac:dyDescent="0.35">
      <c r="A463" s="18"/>
      <c r="B463" s="17"/>
      <c r="C463" s="19"/>
      <c r="D463" s="17"/>
      <c r="E463" s="17"/>
      <c r="F463" s="17"/>
      <c r="G463" s="17"/>
      <c r="H463" s="17"/>
      <c r="I463" s="19"/>
      <c r="J463" s="17"/>
      <c r="K463" s="19"/>
      <c r="L463" s="17"/>
    </row>
    <row r="464" spans="1:12" x14ac:dyDescent="0.35">
      <c r="A464" s="1" t="s">
        <v>27</v>
      </c>
      <c r="B464" s="3">
        <v>0</v>
      </c>
      <c r="C464" s="3">
        <v>0</v>
      </c>
      <c r="D464" s="3">
        <v>0</v>
      </c>
      <c r="E464" s="2">
        <v>0</v>
      </c>
      <c r="F464" s="3">
        <v>0</v>
      </c>
      <c r="G464" s="3"/>
      <c r="H464" s="3">
        <v>0</v>
      </c>
      <c r="I464" s="3">
        <v>0</v>
      </c>
      <c r="J464" s="1"/>
      <c r="K464" s="1"/>
      <c r="L464" s="1"/>
    </row>
    <row r="465" spans="1:12" x14ac:dyDescent="0.35">
      <c r="A465" s="1" t="s">
        <v>28</v>
      </c>
      <c r="B465" s="3">
        <v>0</v>
      </c>
      <c r="C465" s="3">
        <v>0</v>
      </c>
      <c r="D465" s="3">
        <v>0</v>
      </c>
      <c r="E465" s="2">
        <v>0</v>
      </c>
      <c r="F465" s="3">
        <v>0</v>
      </c>
      <c r="G465" s="3"/>
      <c r="H465" s="3">
        <v>0</v>
      </c>
      <c r="I465" s="3">
        <v>0</v>
      </c>
      <c r="J465" s="1"/>
      <c r="K465" s="1"/>
      <c r="L465" s="1"/>
    </row>
    <row r="466" spans="1:12" x14ac:dyDescent="0.35">
      <c r="A466" s="1" t="s">
        <v>29</v>
      </c>
      <c r="B466" s="3">
        <f>60285</f>
        <v>60285</v>
      </c>
      <c r="C466" s="3">
        <v>0</v>
      </c>
      <c r="D466" s="3">
        <v>65059</v>
      </c>
      <c r="E466" s="2">
        <v>0</v>
      </c>
      <c r="F466" s="3">
        <v>0</v>
      </c>
      <c r="G466" s="3"/>
      <c r="H466" s="3">
        <f>15794</f>
        <v>15794</v>
      </c>
      <c r="I466" s="3">
        <v>185628</v>
      </c>
      <c r="J466" s="1"/>
      <c r="K466" s="1">
        <v>2</v>
      </c>
      <c r="L466" s="1"/>
    </row>
    <row r="467" spans="1:12" x14ac:dyDescent="0.35">
      <c r="A467" s="1" t="s">
        <v>30</v>
      </c>
      <c r="B467" s="3">
        <v>0</v>
      </c>
      <c r="C467" s="3">
        <v>0</v>
      </c>
      <c r="D467" s="3">
        <v>0</v>
      </c>
      <c r="E467" s="2">
        <v>0</v>
      </c>
      <c r="F467" s="3">
        <v>0</v>
      </c>
      <c r="G467" s="3"/>
      <c r="H467" s="3">
        <v>0</v>
      </c>
      <c r="I467" s="3">
        <v>0</v>
      </c>
      <c r="J467" s="1"/>
      <c r="K467" s="1"/>
      <c r="L467" s="1"/>
    </row>
    <row r="468" spans="1:12" x14ac:dyDescent="0.35">
      <c r="A468" s="1" t="s">
        <v>31</v>
      </c>
      <c r="B468" s="3">
        <v>0</v>
      </c>
      <c r="C468" s="3">
        <v>0</v>
      </c>
      <c r="D468" s="3">
        <v>0</v>
      </c>
      <c r="E468" s="2">
        <v>0</v>
      </c>
      <c r="F468" s="3">
        <v>0</v>
      </c>
      <c r="G468" s="3"/>
      <c r="H468" s="3">
        <v>0</v>
      </c>
      <c r="I468" s="3">
        <v>0</v>
      </c>
      <c r="J468" s="1"/>
      <c r="K468" s="1"/>
      <c r="L468" s="1"/>
    </row>
    <row r="469" spans="1:12" x14ac:dyDescent="0.35">
      <c r="A469" s="1" t="s">
        <v>32</v>
      </c>
      <c r="B469" s="3">
        <f>8048</f>
        <v>8048</v>
      </c>
      <c r="C469" s="3">
        <v>0</v>
      </c>
      <c r="D469" s="3">
        <v>62881</v>
      </c>
      <c r="E469" s="2">
        <v>0</v>
      </c>
      <c r="F469" s="3">
        <v>0</v>
      </c>
      <c r="G469" s="3"/>
      <c r="H469" s="3">
        <f>83893</f>
        <v>83893</v>
      </c>
      <c r="I469" s="3">
        <v>118054</v>
      </c>
      <c r="J469" s="1">
        <v>2</v>
      </c>
      <c r="K469" s="1">
        <v>20</v>
      </c>
      <c r="L469" s="1">
        <v>1</v>
      </c>
    </row>
    <row r="470" spans="1:12" x14ac:dyDescent="0.35">
      <c r="A470" s="1" t="s">
        <v>33</v>
      </c>
      <c r="B470" s="3">
        <v>0</v>
      </c>
      <c r="C470" s="3">
        <v>0</v>
      </c>
      <c r="D470" s="3">
        <v>0</v>
      </c>
      <c r="E470" s="2">
        <v>0</v>
      </c>
      <c r="F470" s="3">
        <v>0</v>
      </c>
      <c r="G470" s="3"/>
      <c r="H470" s="3">
        <v>0</v>
      </c>
      <c r="I470" s="3">
        <v>0</v>
      </c>
      <c r="J470" s="1"/>
      <c r="K470" s="1"/>
      <c r="L470" s="1"/>
    </row>
    <row r="471" spans="1:12" x14ac:dyDescent="0.35">
      <c r="A471" s="1" t="s">
        <v>34</v>
      </c>
      <c r="B471" s="3">
        <v>59592</v>
      </c>
      <c r="C471" s="3">
        <v>0</v>
      </c>
      <c r="D471" s="3">
        <v>0</v>
      </c>
      <c r="E471" s="2">
        <v>0</v>
      </c>
      <c r="F471" s="3">
        <v>0</v>
      </c>
      <c r="G471" s="3"/>
      <c r="H471" s="3">
        <v>0</v>
      </c>
      <c r="I471" s="3">
        <v>0</v>
      </c>
      <c r="J471" s="1"/>
      <c r="K471" s="1"/>
      <c r="L471" s="1"/>
    </row>
    <row r="472" spans="1:12" x14ac:dyDescent="0.35">
      <c r="A472" s="1" t="s">
        <v>35</v>
      </c>
      <c r="B472" s="3">
        <v>0</v>
      </c>
      <c r="C472" s="3">
        <v>0</v>
      </c>
      <c r="D472" s="3">
        <v>0</v>
      </c>
      <c r="E472" s="2">
        <v>0</v>
      </c>
      <c r="F472" s="3">
        <v>0</v>
      </c>
      <c r="G472" s="3"/>
      <c r="H472" s="3">
        <v>0</v>
      </c>
      <c r="I472" s="3">
        <v>0</v>
      </c>
      <c r="J472" s="1"/>
      <c r="K472" s="1"/>
      <c r="L472" s="1"/>
    </row>
    <row r="474" spans="1:12" x14ac:dyDescent="0.35">
      <c r="A474" s="16" t="s">
        <v>54</v>
      </c>
      <c r="B474" s="1" t="s">
        <v>4</v>
      </c>
      <c r="C474" s="1" t="s">
        <v>5</v>
      </c>
      <c r="D474" s="1" t="s">
        <v>6</v>
      </c>
      <c r="E474" s="1" t="s">
        <v>7</v>
      </c>
      <c r="F474" s="1" t="s">
        <v>8</v>
      </c>
      <c r="G474" s="1" t="s">
        <v>9</v>
      </c>
      <c r="H474" s="1" t="s">
        <v>10</v>
      </c>
      <c r="I474" s="1" t="s">
        <v>11</v>
      </c>
      <c r="J474" s="1" t="s">
        <v>12</v>
      </c>
      <c r="K474" s="1" t="s">
        <v>13</v>
      </c>
      <c r="L474" s="1" t="s">
        <v>14</v>
      </c>
    </row>
    <row r="475" spans="1:12" x14ac:dyDescent="0.35">
      <c r="A475" s="18" t="s">
        <v>15</v>
      </c>
      <c r="B475" s="17" t="s">
        <v>16</v>
      </c>
      <c r="C475" s="19" t="s">
        <v>17</v>
      </c>
      <c r="D475" s="17" t="s">
        <v>18</v>
      </c>
      <c r="E475" s="17" t="s">
        <v>19</v>
      </c>
      <c r="F475" s="17" t="s">
        <v>20</v>
      </c>
      <c r="G475" s="17" t="s">
        <v>21</v>
      </c>
      <c r="H475" s="17" t="s">
        <v>22</v>
      </c>
      <c r="I475" s="19" t="s">
        <v>23</v>
      </c>
      <c r="J475" s="17" t="s">
        <v>24</v>
      </c>
      <c r="K475" s="19" t="s">
        <v>25</v>
      </c>
      <c r="L475" s="17" t="s">
        <v>26</v>
      </c>
    </row>
    <row r="476" spans="1:12" x14ac:dyDescent="0.35">
      <c r="A476" s="18"/>
      <c r="B476" s="17"/>
      <c r="C476" s="19"/>
      <c r="D476" s="17"/>
      <c r="E476" s="17"/>
      <c r="F476" s="17"/>
      <c r="G476" s="17"/>
      <c r="H476" s="17"/>
      <c r="I476" s="19"/>
      <c r="J476" s="17"/>
      <c r="K476" s="19"/>
      <c r="L476" s="17"/>
    </row>
    <row r="477" spans="1:12" x14ac:dyDescent="0.35">
      <c r="A477" s="1" t="s">
        <v>27</v>
      </c>
      <c r="B477" s="3">
        <f>8019</f>
        <v>8019</v>
      </c>
      <c r="C477" s="3">
        <v>0</v>
      </c>
      <c r="D477" s="3">
        <v>12253</v>
      </c>
      <c r="E477" s="2">
        <v>0</v>
      </c>
      <c r="F477" s="3">
        <v>10930</v>
      </c>
      <c r="G477" s="3"/>
      <c r="H477" s="3">
        <f>17351</f>
        <v>17351</v>
      </c>
      <c r="I477" s="3">
        <v>28291</v>
      </c>
      <c r="J477" s="1"/>
      <c r="K477" s="1"/>
      <c r="L477" s="1"/>
    </row>
    <row r="478" spans="1:12" x14ac:dyDescent="0.35">
      <c r="A478" s="1" t="s">
        <v>28</v>
      </c>
      <c r="B478" s="3">
        <v>0</v>
      </c>
      <c r="C478" s="3">
        <v>0</v>
      </c>
      <c r="D478" s="3">
        <v>0</v>
      </c>
      <c r="E478" s="2">
        <v>0</v>
      </c>
      <c r="F478" s="3">
        <v>0</v>
      </c>
      <c r="G478" s="3"/>
      <c r="H478" s="3">
        <v>0</v>
      </c>
      <c r="I478" s="3">
        <v>0</v>
      </c>
      <c r="J478" s="1"/>
      <c r="K478" s="1"/>
      <c r="L478" s="1"/>
    </row>
    <row r="479" spans="1:12" x14ac:dyDescent="0.35">
      <c r="A479" s="1" t="s">
        <v>29</v>
      </c>
      <c r="B479" s="3">
        <v>0</v>
      </c>
      <c r="C479" s="3">
        <v>0</v>
      </c>
      <c r="D479" s="3">
        <v>0</v>
      </c>
      <c r="E479" s="2">
        <v>0</v>
      </c>
      <c r="F479" s="3">
        <v>0</v>
      </c>
      <c r="G479" s="3"/>
      <c r="H479" s="3">
        <v>0</v>
      </c>
      <c r="I479" s="3">
        <v>0</v>
      </c>
      <c r="J479" s="1"/>
      <c r="K479" s="1">
        <v>2</v>
      </c>
      <c r="L479" s="1"/>
    </row>
    <row r="480" spans="1:12" x14ac:dyDescent="0.35">
      <c r="A480" s="1" t="s">
        <v>30</v>
      </c>
      <c r="B480" s="3">
        <v>0</v>
      </c>
      <c r="C480" s="3">
        <v>0</v>
      </c>
      <c r="D480" s="3">
        <v>0</v>
      </c>
      <c r="E480" s="2">
        <v>0</v>
      </c>
      <c r="F480" s="3">
        <v>0</v>
      </c>
      <c r="G480" s="3"/>
      <c r="H480" s="3">
        <v>0</v>
      </c>
      <c r="I480" s="3">
        <v>0</v>
      </c>
      <c r="J480" s="1"/>
      <c r="K480" s="1"/>
      <c r="L480" s="1"/>
    </row>
    <row r="481" spans="1:12" x14ac:dyDescent="0.35">
      <c r="A481" s="1" t="s">
        <v>31</v>
      </c>
      <c r="B481" s="3">
        <v>0</v>
      </c>
      <c r="C481" s="3">
        <v>0</v>
      </c>
      <c r="D481" s="3">
        <v>0</v>
      </c>
      <c r="E481" s="2">
        <v>0</v>
      </c>
      <c r="F481" s="3">
        <v>0</v>
      </c>
      <c r="G481" s="3"/>
      <c r="H481" s="3">
        <v>0</v>
      </c>
      <c r="I481" s="3">
        <v>0</v>
      </c>
      <c r="J481" s="1"/>
      <c r="K481" s="1"/>
      <c r="L481" s="1"/>
    </row>
    <row r="482" spans="1:12" x14ac:dyDescent="0.35">
      <c r="A482" s="1" t="s">
        <v>32</v>
      </c>
      <c r="B482" s="3">
        <v>0</v>
      </c>
      <c r="C482" s="3">
        <v>0</v>
      </c>
      <c r="D482" s="3">
        <v>60671</v>
      </c>
      <c r="E482" s="2">
        <v>0</v>
      </c>
      <c r="F482" s="3">
        <v>0</v>
      </c>
      <c r="G482" s="3"/>
      <c r="H482" s="3">
        <f>53578</f>
        <v>53578</v>
      </c>
      <c r="I482" s="3">
        <v>80526</v>
      </c>
      <c r="J482" s="1"/>
      <c r="K482" s="1">
        <v>24</v>
      </c>
      <c r="L482" s="1"/>
    </row>
    <row r="483" spans="1:12" x14ac:dyDescent="0.35">
      <c r="A483" s="1" t="s">
        <v>33</v>
      </c>
      <c r="B483" s="3">
        <v>0</v>
      </c>
      <c r="C483" s="3">
        <v>0</v>
      </c>
      <c r="D483" s="3">
        <v>0</v>
      </c>
      <c r="E483" s="2">
        <v>0</v>
      </c>
      <c r="F483" s="3">
        <v>0</v>
      </c>
      <c r="G483" s="3"/>
      <c r="H483" s="3">
        <v>0</v>
      </c>
      <c r="I483" s="3">
        <v>0</v>
      </c>
      <c r="J483" s="1"/>
      <c r="K483" s="1"/>
      <c r="L483" s="1"/>
    </row>
    <row r="484" spans="1:12" x14ac:dyDescent="0.35">
      <c r="A484" s="1" t="s">
        <v>34</v>
      </c>
      <c r="B484" s="3">
        <v>0</v>
      </c>
      <c r="C484" s="3">
        <v>0</v>
      </c>
      <c r="D484" s="3">
        <v>0</v>
      </c>
      <c r="E484" s="2">
        <v>0</v>
      </c>
      <c r="F484" s="3">
        <v>0</v>
      </c>
      <c r="G484" s="3"/>
      <c r="H484" s="3">
        <v>0</v>
      </c>
      <c r="I484" s="3">
        <v>0</v>
      </c>
      <c r="J484" s="1"/>
      <c r="K484" s="1"/>
      <c r="L484" s="1"/>
    </row>
    <row r="485" spans="1:12" x14ac:dyDescent="0.35">
      <c r="A485" s="1" t="s">
        <v>35</v>
      </c>
      <c r="B485" s="3">
        <v>0</v>
      </c>
      <c r="C485" s="3">
        <v>0</v>
      </c>
      <c r="D485" s="3">
        <v>0</v>
      </c>
      <c r="E485" s="2">
        <v>0</v>
      </c>
      <c r="F485" s="3">
        <v>0</v>
      </c>
      <c r="G485" s="3"/>
      <c r="H485" s="3">
        <v>0</v>
      </c>
      <c r="I485" s="3">
        <v>0</v>
      </c>
      <c r="J485" s="1"/>
      <c r="K485" s="1"/>
      <c r="L485" s="1"/>
    </row>
    <row r="487" spans="1:12" x14ac:dyDescent="0.35">
      <c r="A487" s="16" t="s">
        <v>65</v>
      </c>
      <c r="B487" s="1" t="s">
        <v>4</v>
      </c>
      <c r="C487" s="1" t="s">
        <v>5</v>
      </c>
      <c r="D487" s="1" t="s">
        <v>6</v>
      </c>
      <c r="E487" s="1" t="s">
        <v>7</v>
      </c>
      <c r="F487" s="1" t="s">
        <v>8</v>
      </c>
      <c r="G487" s="1" t="s">
        <v>9</v>
      </c>
      <c r="H487" s="1" t="s">
        <v>10</v>
      </c>
      <c r="I487" s="1" t="s">
        <v>11</v>
      </c>
      <c r="J487" s="1" t="s">
        <v>12</v>
      </c>
      <c r="K487" s="1" t="s">
        <v>13</v>
      </c>
      <c r="L487" s="1" t="s">
        <v>14</v>
      </c>
    </row>
    <row r="488" spans="1:12" x14ac:dyDescent="0.35">
      <c r="A488" s="18" t="s">
        <v>15</v>
      </c>
      <c r="B488" s="17" t="s">
        <v>16</v>
      </c>
      <c r="C488" s="19" t="s">
        <v>17</v>
      </c>
      <c r="D488" s="17" t="s">
        <v>18</v>
      </c>
      <c r="E488" s="17" t="s">
        <v>19</v>
      </c>
      <c r="F488" s="17" t="s">
        <v>20</v>
      </c>
      <c r="G488" s="17" t="s">
        <v>21</v>
      </c>
      <c r="H488" s="17" t="s">
        <v>22</v>
      </c>
      <c r="I488" s="19" t="s">
        <v>23</v>
      </c>
      <c r="J488" s="17" t="s">
        <v>24</v>
      </c>
      <c r="K488" s="19" t="s">
        <v>25</v>
      </c>
      <c r="L488" s="17" t="s">
        <v>26</v>
      </c>
    </row>
    <row r="489" spans="1:12" x14ac:dyDescent="0.35">
      <c r="A489" s="18"/>
      <c r="B489" s="17"/>
      <c r="C489" s="19"/>
      <c r="D489" s="17"/>
      <c r="E489" s="17"/>
      <c r="F489" s="17"/>
      <c r="G489" s="17"/>
      <c r="H489" s="17"/>
      <c r="I489" s="19"/>
      <c r="J489" s="17"/>
      <c r="K489" s="19"/>
      <c r="L489" s="17"/>
    </row>
    <row r="490" spans="1:12" x14ac:dyDescent="0.35">
      <c r="A490" s="1" t="s">
        <v>27</v>
      </c>
      <c r="B490" s="3">
        <v>0</v>
      </c>
      <c r="C490" s="2">
        <v>0</v>
      </c>
      <c r="D490" s="3">
        <v>0</v>
      </c>
      <c r="E490" s="2">
        <v>0</v>
      </c>
      <c r="F490" s="3">
        <v>0</v>
      </c>
      <c r="G490" s="3"/>
      <c r="H490" s="3">
        <v>0</v>
      </c>
      <c r="I490" s="3">
        <v>0</v>
      </c>
      <c r="J490" s="1"/>
      <c r="K490" s="1"/>
      <c r="L490" s="1"/>
    </row>
    <row r="491" spans="1:12" x14ac:dyDescent="0.35">
      <c r="A491" s="1" t="s">
        <v>28</v>
      </c>
      <c r="B491" s="3">
        <v>0</v>
      </c>
      <c r="C491" s="2">
        <v>0</v>
      </c>
      <c r="D491" s="3">
        <v>0</v>
      </c>
      <c r="E491" s="2">
        <v>0</v>
      </c>
      <c r="F491" s="3">
        <v>0</v>
      </c>
      <c r="G491" s="3"/>
      <c r="H491" s="3">
        <v>0</v>
      </c>
      <c r="I491" s="3">
        <v>0</v>
      </c>
      <c r="J491" s="1"/>
      <c r="K491" s="1"/>
      <c r="L491" s="1"/>
    </row>
    <row r="492" spans="1:12" x14ac:dyDescent="0.35">
      <c r="A492" s="1" t="s">
        <v>29</v>
      </c>
      <c r="B492" s="3">
        <f>159095</f>
        <v>159095</v>
      </c>
      <c r="C492" s="2">
        <v>0</v>
      </c>
      <c r="D492" s="3">
        <v>135243</v>
      </c>
      <c r="E492" s="2">
        <v>0</v>
      </c>
      <c r="F492" s="3">
        <v>0</v>
      </c>
      <c r="G492" s="3"/>
      <c r="H492" s="3">
        <f>36841</f>
        <v>36841</v>
      </c>
      <c r="I492" s="3">
        <v>453433</v>
      </c>
      <c r="J492" s="1"/>
      <c r="K492" s="1">
        <v>3</v>
      </c>
      <c r="L492" s="1"/>
    </row>
    <row r="493" spans="1:12" x14ac:dyDescent="0.35">
      <c r="A493" s="1" t="s">
        <v>30</v>
      </c>
      <c r="B493" s="3">
        <v>0</v>
      </c>
      <c r="C493" s="2">
        <v>0</v>
      </c>
      <c r="D493" s="3">
        <v>0</v>
      </c>
      <c r="E493" s="2">
        <v>0</v>
      </c>
      <c r="F493" s="3">
        <v>0</v>
      </c>
      <c r="G493" s="3"/>
      <c r="H493" s="3">
        <v>0</v>
      </c>
      <c r="I493" s="3">
        <v>0</v>
      </c>
      <c r="J493" s="1"/>
      <c r="K493" s="1"/>
      <c r="L493" s="1"/>
    </row>
    <row r="494" spans="1:12" x14ac:dyDescent="0.35">
      <c r="A494" s="1" t="s">
        <v>31</v>
      </c>
      <c r="B494" s="3">
        <v>0</v>
      </c>
      <c r="C494" s="2">
        <v>0</v>
      </c>
      <c r="D494" s="3">
        <v>0</v>
      </c>
      <c r="E494" s="2">
        <v>0</v>
      </c>
      <c r="F494" s="3">
        <v>0</v>
      </c>
      <c r="G494" s="3"/>
      <c r="H494" s="3">
        <v>0</v>
      </c>
      <c r="I494" s="3">
        <v>0</v>
      </c>
      <c r="J494" s="1"/>
      <c r="K494" s="1"/>
      <c r="L494" s="1"/>
    </row>
    <row r="495" spans="1:12" x14ac:dyDescent="0.35">
      <c r="A495" s="1" t="s">
        <v>32</v>
      </c>
      <c r="B495" s="3">
        <f>3871</f>
        <v>3871</v>
      </c>
      <c r="C495" s="2">
        <v>0</v>
      </c>
      <c r="D495" s="3">
        <v>52769</v>
      </c>
      <c r="E495" s="2">
        <v>0</v>
      </c>
      <c r="F495" s="3">
        <v>0</v>
      </c>
      <c r="G495" s="3"/>
      <c r="H495" s="3">
        <f>61425</f>
        <v>61425</v>
      </c>
      <c r="I495" s="3">
        <v>79718</v>
      </c>
      <c r="J495" s="1"/>
      <c r="K495" s="1">
        <v>22</v>
      </c>
      <c r="L495" s="1"/>
    </row>
    <row r="496" spans="1:12" x14ac:dyDescent="0.35">
      <c r="A496" s="1" t="s">
        <v>33</v>
      </c>
      <c r="B496" s="3">
        <v>0</v>
      </c>
      <c r="C496" s="2">
        <v>0</v>
      </c>
      <c r="D496" s="3">
        <v>0</v>
      </c>
      <c r="E496" s="2">
        <v>0</v>
      </c>
      <c r="F496" s="3">
        <v>0</v>
      </c>
      <c r="G496" s="3"/>
      <c r="H496" s="3">
        <v>0</v>
      </c>
      <c r="I496" s="3">
        <v>0</v>
      </c>
      <c r="J496" s="1"/>
      <c r="K496" s="1"/>
      <c r="L496" s="1"/>
    </row>
    <row r="497" spans="1:12" x14ac:dyDescent="0.35">
      <c r="A497" s="1" t="s">
        <v>34</v>
      </c>
      <c r="B497" s="3">
        <v>0</v>
      </c>
      <c r="C497" s="2">
        <v>0</v>
      </c>
      <c r="D497" s="3">
        <v>0</v>
      </c>
      <c r="E497" s="2">
        <v>0</v>
      </c>
      <c r="F497" s="3">
        <v>0</v>
      </c>
      <c r="G497" s="3"/>
      <c r="H497" s="3">
        <v>0</v>
      </c>
      <c r="I497" s="3">
        <v>0</v>
      </c>
      <c r="J497" s="1"/>
      <c r="K497" s="1"/>
      <c r="L497" s="1"/>
    </row>
    <row r="498" spans="1:12" x14ac:dyDescent="0.35">
      <c r="A498" s="1" t="s">
        <v>35</v>
      </c>
      <c r="B498" s="3">
        <v>0</v>
      </c>
      <c r="C498" s="2">
        <v>0</v>
      </c>
      <c r="D498" s="3">
        <v>0</v>
      </c>
      <c r="E498" s="2">
        <v>0</v>
      </c>
      <c r="F498" s="3">
        <v>0</v>
      </c>
      <c r="G498" s="3"/>
      <c r="H498" s="3">
        <v>0</v>
      </c>
      <c r="I498" s="3">
        <v>0</v>
      </c>
      <c r="J498" s="1"/>
      <c r="K498" s="1"/>
      <c r="L498" s="1"/>
    </row>
    <row r="500" spans="1:12" x14ac:dyDescent="0.35">
      <c r="A500" s="16" t="s">
        <v>56</v>
      </c>
      <c r="B500" s="1" t="s">
        <v>4</v>
      </c>
      <c r="C500" s="1" t="s">
        <v>5</v>
      </c>
      <c r="D500" s="1" t="s">
        <v>6</v>
      </c>
      <c r="E500" s="1" t="s">
        <v>7</v>
      </c>
      <c r="F500" s="1" t="s">
        <v>8</v>
      </c>
      <c r="G500" s="1" t="s">
        <v>9</v>
      </c>
      <c r="H500" s="1" t="s">
        <v>10</v>
      </c>
      <c r="I500" s="1" t="s">
        <v>11</v>
      </c>
      <c r="J500" s="1" t="s">
        <v>12</v>
      </c>
      <c r="K500" s="1" t="s">
        <v>13</v>
      </c>
      <c r="L500" s="1" t="s">
        <v>14</v>
      </c>
    </row>
    <row r="501" spans="1:12" x14ac:dyDescent="0.35">
      <c r="A501" s="18" t="s">
        <v>15</v>
      </c>
      <c r="B501" s="17" t="s">
        <v>16</v>
      </c>
      <c r="C501" s="19" t="s">
        <v>17</v>
      </c>
      <c r="D501" s="17" t="s">
        <v>18</v>
      </c>
      <c r="E501" s="17" t="s">
        <v>19</v>
      </c>
      <c r="F501" s="17" t="s">
        <v>20</v>
      </c>
      <c r="G501" s="17" t="s">
        <v>21</v>
      </c>
      <c r="H501" s="17" t="s">
        <v>22</v>
      </c>
      <c r="I501" s="19" t="s">
        <v>23</v>
      </c>
      <c r="J501" s="17" t="s">
        <v>24</v>
      </c>
      <c r="K501" s="19" t="s">
        <v>25</v>
      </c>
      <c r="L501" s="17" t="s">
        <v>26</v>
      </c>
    </row>
    <row r="502" spans="1:12" x14ac:dyDescent="0.35">
      <c r="A502" s="18"/>
      <c r="B502" s="17"/>
      <c r="C502" s="19"/>
      <c r="D502" s="17"/>
      <c r="E502" s="17"/>
      <c r="F502" s="17"/>
      <c r="G502" s="17"/>
      <c r="H502" s="17"/>
      <c r="I502" s="19"/>
      <c r="J502" s="17"/>
      <c r="K502" s="19"/>
      <c r="L502" s="17"/>
    </row>
    <row r="503" spans="1:12" x14ac:dyDescent="0.35">
      <c r="A503" s="1" t="s">
        <v>27</v>
      </c>
      <c r="B503" s="3">
        <v>0</v>
      </c>
      <c r="C503" s="2">
        <v>0</v>
      </c>
      <c r="D503" s="3">
        <v>0</v>
      </c>
      <c r="E503" s="2">
        <v>0</v>
      </c>
      <c r="F503" s="3">
        <v>0</v>
      </c>
      <c r="G503" s="3"/>
      <c r="H503" s="3">
        <v>0</v>
      </c>
      <c r="I503" s="3">
        <v>0</v>
      </c>
      <c r="J503" s="1"/>
      <c r="K503" s="1"/>
      <c r="L503" s="1"/>
    </row>
    <row r="504" spans="1:12" x14ac:dyDescent="0.35">
      <c r="A504" s="1" t="s">
        <v>28</v>
      </c>
      <c r="B504" s="3">
        <v>0</v>
      </c>
      <c r="C504" s="2">
        <v>0</v>
      </c>
      <c r="D504" s="3">
        <v>0</v>
      </c>
      <c r="E504" s="2">
        <v>0</v>
      </c>
      <c r="F504" s="3">
        <v>0</v>
      </c>
      <c r="G504" s="3"/>
      <c r="H504" s="3">
        <v>0</v>
      </c>
      <c r="I504" s="3">
        <v>0</v>
      </c>
      <c r="J504" s="1"/>
      <c r="K504" s="1"/>
      <c r="L504" s="1"/>
    </row>
    <row r="505" spans="1:12" x14ac:dyDescent="0.35">
      <c r="A505" s="1" t="s">
        <v>29</v>
      </c>
      <c r="B505" s="3">
        <v>0</v>
      </c>
      <c r="C505" s="2">
        <v>0</v>
      </c>
      <c r="D505" s="3">
        <v>0</v>
      </c>
      <c r="E505" s="2">
        <v>0</v>
      </c>
      <c r="F505" s="3">
        <v>0</v>
      </c>
      <c r="G505" s="3"/>
      <c r="H505" s="3">
        <v>0</v>
      </c>
      <c r="I505" s="3">
        <v>0</v>
      </c>
      <c r="J505" s="1"/>
      <c r="K505" s="1">
        <v>4</v>
      </c>
      <c r="L505" s="1"/>
    </row>
    <row r="506" spans="1:12" x14ac:dyDescent="0.35">
      <c r="A506" s="1" t="s">
        <v>30</v>
      </c>
      <c r="B506" s="3">
        <v>0</v>
      </c>
      <c r="C506" s="2">
        <v>0</v>
      </c>
      <c r="D506" s="3">
        <v>0</v>
      </c>
      <c r="E506" s="2">
        <v>0</v>
      </c>
      <c r="F506" s="3">
        <v>0</v>
      </c>
      <c r="G506" s="3"/>
      <c r="H506" s="3">
        <v>0</v>
      </c>
      <c r="I506" s="3">
        <v>0</v>
      </c>
      <c r="J506" s="1"/>
      <c r="K506" s="1"/>
      <c r="L506" s="1"/>
    </row>
    <row r="507" spans="1:12" x14ac:dyDescent="0.35">
      <c r="A507" s="1" t="s">
        <v>31</v>
      </c>
      <c r="B507" s="3">
        <v>0</v>
      </c>
      <c r="C507" s="2">
        <v>0</v>
      </c>
      <c r="D507" s="3">
        <v>0</v>
      </c>
      <c r="E507" s="2">
        <v>0</v>
      </c>
      <c r="F507" s="3">
        <v>0</v>
      </c>
      <c r="G507" s="3"/>
      <c r="H507" s="3">
        <v>0</v>
      </c>
      <c r="I507" s="3">
        <v>0</v>
      </c>
      <c r="J507" s="1"/>
      <c r="K507" s="1"/>
      <c r="L507" s="1"/>
    </row>
    <row r="508" spans="1:12" x14ac:dyDescent="0.35">
      <c r="A508" s="1" t="s">
        <v>32</v>
      </c>
      <c r="B508" s="3">
        <v>0</v>
      </c>
      <c r="C508" s="2">
        <v>0</v>
      </c>
      <c r="D508" s="3">
        <v>57753</v>
      </c>
      <c r="E508" s="2">
        <v>0</v>
      </c>
      <c r="F508" s="3">
        <v>0</v>
      </c>
      <c r="G508" s="3"/>
      <c r="H508" s="3">
        <f>35398</f>
        <v>35398</v>
      </c>
      <c r="I508" s="3">
        <v>67803</v>
      </c>
      <c r="J508" s="1">
        <v>1</v>
      </c>
      <c r="K508" s="1">
        <v>28</v>
      </c>
      <c r="L508" s="1">
        <v>1</v>
      </c>
    </row>
    <row r="509" spans="1:12" x14ac:dyDescent="0.35">
      <c r="A509" s="1" t="s">
        <v>33</v>
      </c>
      <c r="B509" s="3">
        <v>0</v>
      </c>
      <c r="C509" s="2">
        <v>0</v>
      </c>
      <c r="D509" s="3">
        <v>0</v>
      </c>
      <c r="E509" s="2">
        <v>0</v>
      </c>
      <c r="F509" s="3">
        <v>0</v>
      </c>
      <c r="G509" s="3"/>
      <c r="H509" s="3">
        <v>0</v>
      </c>
      <c r="I509" s="3">
        <v>0</v>
      </c>
      <c r="J509" s="1"/>
      <c r="K509" s="1"/>
      <c r="L509" s="1"/>
    </row>
    <row r="510" spans="1:12" x14ac:dyDescent="0.35">
      <c r="A510" s="1" t="s">
        <v>34</v>
      </c>
      <c r="B510" s="3">
        <v>0</v>
      </c>
      <c r="C510" s="2">
        <v>0</v>
      </c>
      <c r="D510" s="3">
        <v>0</v>
      </c>
      <c r="E510" s="2">
        <v>0</v>
      </c>
      <c r="F510" s="3">
        <v>0</v>
      </c>
      <c r="G510" s="3"/>
      <c r="H510" s="3">
        <v>0</v>
      </c>
      <c r="I510" s="3">
        <v>0</v>
      </c>
      <c r="J510" s="1"/>
      <c r="K510" s="1"/>
      <c r="L510" s="1"/>
    </row>
    <row r="511" spans="1:12" x14ac:dyDescent="0.35">
      <c r="A511" s="1" t="s">
        <v>35</v>
      </c>
      <c r="B511" s="3">
        <v>0</v>
      </c>
      <c r="C511" s="2">
        <v>0</v>
      </c>
      <c r="D511" s="3">
        <v>0</v>
      </c>
      <c r="E511" s="2">
        <v>0</v>
      </c>
      <c r="F511" s="3">
        <v>0</v>
      </c>
      <c r="G511" s="3"/>
      <c r="H511" s="3">
        <v>0</v>
      </c>
      <c r="I511" s="3">
        <v>0</v>
      </c>
      <c r="J511" s="1"/>
      <c r="K511" s="1"/>
      <c r="L511" s="1"/>
    </row>
    <row r="513" spans="1:12" x14ac:dyDescent="0.35">
      <c r="A513" s="16" t="s">
        <v>57</v>
      </c>
      <c r="B513" s="1" t="s">
        <v>4</v>
      </c>
      <c r="C513" s="1" t="s">
        <v>5</v>
      </c>
      <c r="D513" s="1" t="s">
        <v>6</v>
      </c>
      <c r="E513" s="1" t="s">
        <v>7</v>
      </c>
      <c r="F513" s="1" t="s">
        <v>8</v>
      </c>
      <c r="G513" s="1" t="s">
        <v>9</v>
      </c>
      <c r="H513" s="1" t="s">
        <v>10</v>
      </c>
      <c r="I513" s="1" t="s">
        <v>11</v>
      </c>
      <c r="J513" s="1" t="s">
        <v>12</v>
      </c>
      <c r="K513" s="1" t="s">
        <v>13</v>
      </c>
      <c r="L513" s="1" t="s">
        <v>14</v>
      </c>
    </row>
    <row r="514" spans="1:12" x14ac:dyDescent="0.35">
      <c r="A514" s="18" t="s">
        <v>15</v>
      </c>
      <c r="B514" s="17" t="s">
        <v>16</v>
      </c>
      <c r="C514" s="19" t="s">
        <v>17</v>
      </c>
      <c r="D514" s="17" t="s">
        <v>18</v>
      </c>
      <c r="E514" s="17" t="s">
        <v>19</v>
      </c>
      <c r="F514" s="17" t="s">
        <v>20</v>
      </c>
      <c r="G514" s="17" t="s">
        <v>21</v>
      </c>
      <c r="H514" s="17" t="s">
        <v>22</v>
      </c>
      <c r="I514" s="19" t="s">
        <v>23</v>
      </c>
      <c r="J514" s="17" t="s">
        <v>24</v>
      </c>
      <c r="K514" s="19" t="s">
        <v>25</v>
      </c>
      <c r="L514" s="17" t="s">
        <v>26</v>
      </c>
    </row>
    <row r="515" spans="1:12" x14ac:dyDescent="0.35">
      <c r="A515" s="18"/>
      <c r="B515" s="17"/>
      <c r="C515" s="19"/>
      <c r="D515" s="17"/>
      <c r="E515" s="17"/>
      <c r="F515" s="17"/>
      <c r="G515" s="17"/>
      <c r="H515" s="17"/>
      <c r="I515" s="19"/>
      <c r="J515" s="17"/>
      <c r="K515" s="19"/>
      <c r="L515" s="17"/>
    </row>
    <row r="516" spans="1:12" x14ac:dyDescent="0.35">
      <c r="A516" s="1" t="s">
        <v>27</v>
      </c>
      <c r="B516" s="3">
        <v>8019</v>
      </c>
      <c r="C516" s="2">
        <v>0</v>
      </c>
      <c r="D516" s="3">
        <v>12253</v>
      </c>
      <c r="E516" s="2">
        <v>0</v>
      </c>
      <c r="F516" s="3">
        <v>30770</v>
      </c>
      <c r="G516" s="3"/>
      <c r="H516" s="3">
        <v>17351</v>
      </c>
      <c r="I516" s="3">
        <v>1596378</v>
      </c>
      <c r="J516" s="1">
        <v>0</v>
      </c>
      <c r="K516" s="1">
        <v>0</v>
      </c>
      <c r="L516" s="1">
        <v>0</v>
      </c>
    </row>
    <row r="517" spans="1:12" x14ac:dyDescent="0.35">
      <c r="A517" s="1" t="s">
        <v>28</v>
      </c>
      <c r="B517" s="3">
        <v>0</v>
      </c>
      <c r="C517" s="2">
        <v>0</v>
      </c>
      <c r="D517" s="3">
        <v>0</v>
      </c>
      <c r="E517" s="2">
        <v>0</v>
      </c>
      <c r="F517" s="3">
        <v>0</v>
      </c>
      <c r="G517" s="3"/>
      <c r="H517" s="3">
        <v>0</v>
      </c>
      <c r="I517" s="3">
        <v>149073</v>
      </c>
      <c r="J517" s="1">
        <v>0</v>
      </c>
      <c r="K517" s="1">
        <v>0</v>
      </c>
      <c r="L517" s="1">
        <v>0</v>
      </c>
    </row>
    <row r="518" spans="1:12" x14ac:dyDescent="0.35">
      <c r="A518" s="1" t="s">
        <v>29</v>
      </c>
      <c r="B518" s="3">
        <v>717348</v>
      </c>
      <c r="C518" s="2">
        <v>0</v>
      </c>
      <c r="D518" s="3">
        <v>1485616</v>
      </c>
      <c r="E518" s="2">
        <v>0</v>
      </c>
      <c r="F518" s="3">
        <v>30991</v>
      </c>
      <c r="G518" s="3"/>
      <c r="H518" s="3">
        <v>306357</v>
      </c>
      <c r="I518" s="3">
        <v>30220573</v>
      </c>
      <c r="J518" s="1">
        <v>1</v>
      </c>
      <c r="K518" s="1">
        <v>27</v>
      </c>
      <c r="L518" s="1">
        <v>1</v>
      </c>
    </row>
    <row r="519" spans="1:12" x14ac:dyDescent="0.35">
      <c r="A519" s="1" t="s">
        <v>30</v>
      </c>
      <c r="B519" s="3">
        <v>0</v>
      </c>
      <c r="C519" s="2">
        <v>0</v>
      </c>
      <c r="D519" s="3">
        <v>0</v>
      </c>
      <c r="E519" s="2">
        <v>0</v>
      </c>
      <c r="F519" s="3">
        <v>0</v>
      </c>
      <c r="G519" s="3"/>
      <c r="H519" s="3">
        <v>0</v>
      </c>
      <c r="I519" s="3">
        <v>0</v>
      </c>
      <c r="J519" s="1">
        <v>0</v>
      </c>
      <c r="K519" s="1">
        <v>0</v>
      </c>
      <c r="L519" s="1">
        <v>0</v>
      </c>
    </row>
    <row r="520" spans="1:12" x14ac:dyDescent="0.35">
      <c r="A520" s="1" t="s">
        <v>31</v>
      </c>
      <c r="B520" s="3">
        <v>0</v>
      </c>
      <c r="C520" s="2">
        <v>0</v>
      </c>
      <c r="D520" s="3">
        <v>88327</v>
      </c>
      <c r="E520" s="2">
        <v>0</v>
      </c>
      <c r="F520" s="3">
        <v>22</v>
      </c>
      <c r="G520" s="3"/>
      <c r="H520" s="3">
        <v>11687</v>
      </c>
      <c r="I520" s="3">
        <v>88327</v>
      </c>
      <c r="J520" s="1">
        <v>0</v>
      </c>
      <c r="K520" s="1">
        <v>1</v>
      </c>
      <c r="L520" s="1">
        <v>0</v>
      </c>
    </row>
    <row r="521" spans="1:12" x14ac:dyDescent="0.35">
      <c r="A521" s="1" t="s">
        <v>32</v>
      </c>
      <c r="B521" s="3">
        <v>176274</v>
      </c>
      <c r="C521" s="2">
        <v>0</v>
      </c>
      <c r="D521" s="3">
        <v>894998</v>
      </c>
      <c r="E521" s="2">
        <v>0</v>
      </c>
      <c r="F521" s="3">
        <v>0</v>
      </c>
      <c r="G521" s="3"/>
      <c r="H521" s="3">
        <v>1366746</v>
      </c>
      <c r="I521" s="3">
        <v>1784292</v>
      </c>
      <c r="J521" s="1">
        <v>8</v>
      </c>
      <c r="K521" s="1">
        <v>248</v>
      </c>
      <c r="L521" s="1">
        <v>4</v>
      </c>
    </row>
    <row r="522" spans="1:12" x14ac:dyDescent="0.35">
      <c r="A522" s="1" t="s">
        <v>33</v>
      </c>
      <c r="B522" s="3">
        <v>0</v>
      </c>
      <c r="C522" s="2">
        <v>0</v>
      </c>
      <c r="D522" s="3">
        <v>0</v>
      </c>
      <c r="E522" s="2">
        <v>0</v>
      </c>
      <c r="F522" s="3">
        <v>0</v>
      </c>
      <c r="G522" s="3"/>
      <c r="H522" s="3">
        <v>0</v>
      </c>
      <c r="I522" s="3">
        <v>0</v>
      </c>
      <c r="J522" s="1">
        <v>0</v>
      </c>
      <c r="K522" s="1">
        <v>0</v>
      </c>
      <c r="L522" s="1">
        <v>0</v>
      </c>
    </row>
    <row r="523" spans="1:12" x14ac:dyDescent="0.35">
      <c r="A523" s="1" t="s">
        <v>34</v>
      </c>
      <c r="B523" s="3">
        <v>0</v>
      </c>
      <c r="C523" s="2">
        <v>0</v>
      </c>
      <c r="D523" s="3">
        <v>0</v>
      </c>
      <c r="E523" s="2">
        <v>0</v>
      </c>
      <c r="F523" s="3">
        <v>0</v>
      </c>
      <c r="G523" s="3"/>
      <c r="H523" s="3">
        <v>0</v>
      </c>
      <c r="I523" s="3">
        <v>0</v>
      </c>
      <c r="J523" s="1">
        <v>0</v>
      </c>
      <c r="K523" s="1">
        <v>0</v>
      </c>
      <c r="L523" s="1">
        <v>0</v>
      </c>
    </row>
    <row r="524" spans="1:12" x14ac:dyDescent="0.35">
      <c r="A524" s="1" t="s">
        <v>35</v>
      </c>
      <c r="B524" s="3">
        <v>0</v>
      </c>
      <c r="C524" s="2">
        <v>0</v>
      </c>
      <c r="D524" s="3">
        <v>0</v>
      </c>
      <c r="E524" s="2">
        <v>0</v>
      </c>
      <c r="F524" s="3">
        <v>0</v>
      </c>
      <c r="G524" s="3"/>
      <c r="H524" s="3">
        <v>0</v>
      </c>
      <c r="I524" s="3">
        <v>0</v>
      </c>
      <c r="J524" s="1">
        <v>0</v>
      </c>
      <c r="K524" s="1">
        <v>0</v>
      </c>
      <c r="L524" s="1">
        <v>0</v>
      </c>
    </row>
    <row r="526" spans="1:12" s="15" customFormat="1" x14ac:dyDescent="0.35"/>
    <row r="528" spans="1:12" x14ac:dyDescent="0.35">
      <c r="A528" s="4" t="s">
        <v>38</v>
      </c>
    </row>
    <row r="529" spans="1:12" x14ac:dyDescent="0.35">
      <c r="A529" t="s">
        <v>1</v>
      </c>
    </row>
    <row r="530" spans="1:12" x14ac:dyDescent="0.35">
      <c r="A530" t="s">
        <v>2</v>
      </c>
    </row>
    <row r="532" spans="1:12" x14ac:dyDescent="0.35">
      <c r="A532" s="14" t="s">
        <v>58</v>
      </c>
      <c r="B532" s="1" t="s">
        <v>4</v>
      </c>
      <c r="C532" s="1" t="s">
        <v>5</v>
      </c>
      <c r="D532" s="1" t="s">
        <v>6</v>
      </c>
      <c r="E532" s="1" t="s">
        <v>7</v>
      </c>
      <c r="F532" s="1" t="s">
        <v>8</v>
      </c>
      <c r="G532" s="1" t="s">
        <v>9</v>
      </c>
      <c r="H532" s="1" t="s">
        <v>10</v>
      </c>
      <c r="I532" s="1" t="s">
        <v>11</v>
      </c>
      <c r="J532" s="1" t="s">
        <v>12</v>
      </c>
      <c r="K532" s="1" t="s">
        <v>13</v>
      </c>
      <c r="L532" s="1" t="s">
        <v>14</v>
      </c>
    </row>
    <row r="533" spans="1:12" x14ac:dyDescent="0.35">
      <c r="A533" s="18" t="s">
        <v>15</v>
      </c>
      <c r="B533" s="17" t="s">
        <v>16</v>
      </c>
      <c r="C533" s="19" t="s">
        <v>17</v>
      </c>
      <c r="D533" s="17" t="s">
        <v>18</v>
      </c>
      <c r="E533" s="17" t="s">
        <v>19</v>
      </c>
      <c r="F533" s="17" t="s">
        <v>20</v>
      </c>
      <c r="G533" s="17" t="s">
        <v>21</v>
      </c>
      <c r="H533" s="17" t="s">
        <v>22</v>
      </c>
      <c r="I533" s="19" t="s">
        <v>23</v>
      </c>
      <c r="J533" s="17" t="s">
        <v>24</v>
      </c>
      <c r="K533" s="19" t="s">
        <v>25</v>
      </c>
      <c r="L533" s="17" t="s">
        <v>26</v>
      </c>
    </row>
    <row r="534" spans="1:12" x14ac:dyDescent="0.35">
      <c r="A534" s="18"/>
      <c r="B534" s="17"/>
      <c r="C534" s="19"/>
      <c r="D534" s="17"/>
      <c r="E534" s="17"/>
      <c r="F534" s="17"/>
      <c r="G534" s="17"/>
      <c r="H534" s="17"/>
      <c r="I534" s="19"/>
      <c r="J534" s="17"/>
      <c r="K534" s="19"/>
      <c r="L534" s="17"/>
    </row>
    <row r="535" spans="1:12" x14ac:dyDescent="0.35">
      <c r="A535" s="1" t="s">
        <v>27</v>
      </c>
      <c r="B535" s="3">
        <v>287172</v>
      </c>
      <c r="C535" s="3">
        <v>0</v>
      </c>
      <c r="D535" s="3">
        <v>633714</v>
      </c>
      <c r="E535" s="3">
        <v>0</v>
      </c>
      <c r="F535" s="3">
        <v>2503</v>
      </c>
      <c r="G535" s="3">
        <v>0</v>
      </c>
      <c r="H535" s="3">
        <v>163070</v>
      </c>
      <c r="I535" s="3">
        <v>1208057</v>
      </c>
      <c r="J535" s="1">
        <v>84</v>
      </c>
      <c r="K535" s="1">
        <v>6</v>
      </c>
      <c r="L535" s="1">
        <v>16</v>
      </c>
    </row>
    <row r="536" spans="1:12" x14ac:dyDescent="0.35">
      <c r="A536" s="1" t="s">
        <v>28</v>
      </c>
      <c r="B536" s="3">
        <v>314150</v>
      </c>
      <c r="C536" s="3">
        <v>0</v>
      </c>
      <c r="D536" s="3">
        <v>1247500</v>
      </c>
      <c r="E536" s="3">
        <v>0</v>
      </c>
      <c r="F536" s="3">
        <v>11837</v>
      </c>
      <c r="G536" s="3">
        <v>0</v>
      </c>
      <c r="H536" s="3">
        <v>72729</v>
      </c>
      <c r="I536" s="3">
        <v>1875800</v>
      </c>
      <c r="J536" s="1">
        <v>80</v>
      </c>
      <c r="K536" s="1">
        <v>56</v>
      </c>
      <c r="L536" s="1">
        <v>10</v>
      </c>
    </row>
    <row r="537" spans="1:12" x14ac:dyDescent="0.35">
      <c r="A537" s="1" t="s">
        <v>29</v>
      </c>
      <c r="B537" s="3">
        <v>974229</v>
      </c>
      <c r="C537" s="3">
        <v>0</v>
      </c>
      <c r="D537" s="3">
        <v>1278131</v>
      </c>
      <c r="E537" s="3">
        <v>0</v>
      </c>
      <c r="F537" s="3">
        <v>250023</v>
      </c>
      <c r="G537" s="3">
        <v>0</v>
      </c>
      <c r="H537" s="3">
        <v>471820</v>
      </c>
      <c r="I537" s="3">
        <v>3226589</v>
      </c>
      <c r="J537" s="1">
        <v>181</v>
      </c>
      <c r="K537" s="1">
        <v>47</v>
      </c>
      <c r="L537" s="1">
        <v>39</v>
      </c>
    </row>
    <row r="538" spans="1:12" x14ac:dyDescent="0.35">
      <c r="A538" s="1" t="s">
        <v>30</v>
      </c>
      <c r="B538" s="3">
        <v>141264</v>
      </c>
      <c r="C538" s="3">
        <v>0</v>
      </c>
      <c r="D538" s="3">
        <v>436684</v>
      </c>
      <c r="E538" s="3">
        <v>0</v>
      </c>
      <c r="F538" s="3">
        <v>0</v>
      </c>
      <c r="G538" s="3">
        <v>0</v>
      </c>
      <c r="H538" s="3">
        <v>25454</v>
      </c>
      <c r="I538" s="3">
        <v>719211</v>
      </c>
      <c r="J538" s="1">
        <v>18</v>
      </c>
      <c r="K538" s="1">
        <v>6</v>
      </c>
      <c r="L538" s="1">
        <v>4</v>
      </c>
    </row>
    <row r="539" spans="1:12" x14ac:dyDescent="0.35">
      <c r="A539" s="1" t="s">
        <v>31</v>
      </c>
      <c r="B539" s="3">
        <v>56423</v>
      </c>
      <c r="C539" s="3">
        <v>0</v>
      </c>
      <c r="D539" s="3">
        <v>363650</v>
      </c>
      <c r="E539" s="3">
        <v>0</v>
      </c>
      <c r="F539" s="3">
        <v>34723</v>
      </c>
      <c r="G539" s="3">
        <v>0</v>
      </c>
      <c r="H539" s="3">
        <v>75721</v>
      </c>
      <c r="I539" s="3">
        <v>476496</v>
      </c>
      <c r="J539" s="1">
        <v>26</v>
      </c>
      <c r="K539" s="1">
        <v>7</v>
      </c>
      <c r="L539" s="1">
        <v>11</v>
      </c>
    </row>
    <row r="540" spans="1:12" x14ac:dyDescent="0.35">
      <c r="A540" s="1" t="s">
        <v>32</v>
      </c>
      <c r="B540" s="3">
        <v>967478</v>
      </c>
      <c r="C540" s="3">
        <v>0</v>
      </c>
      <c r="D540" s="3">
        <v>2835081</v>
      </c>
      <c r="E540" s="3">
        <v>0</v>
      </c>
      <c r="F540" s="3">
        <v>0</v>
      </c>
      <c r="G540" s="3">
        <v>0</v>
      </c>
      <c r="H540" s="3">
        <v>2268398</v>
      </c>
      <c r="I540" s="3">
        <v>5853932</v>
      </c>
      <c r="J540" s="1">
        <v>582</v>
      </c>
      <c r="K540" s="1">
        <v>216</v>
      </c>
      <c r="L540" s="1">
        <v>128</v>
      </c>
    </row>
    <row r="541" spans="1:12" x14ac:dyDescent="0.35">
      <c r="A541" s="1" t="s">
        <v>33</v>
      </c>
      <c r="B541" s="3">
        <v>0</v>
      </c>
      <c r="C541" s="3">
        <v>0</v>
      </c>
      <c r="D541" s="3">
        <v>8502</v>
      </c>
      <c r="E541" s="3">
        <v>0</v>
      </c>
      <c r="F541" s="3">
        <v>0</v>
      </c>
      <c r="G541" s="3">
        <v>0</v>
      </c>
      <c r="H541" s="3">
        <v>255200</v>
      </c>
      <c r="I541" s="3">
        <v>8502</v>
      </c>
      <c r="J541" s="1">
        <v>32</v>
      </c>
      <c r="K541" s="1">
        <v>3</v>
      </c>
      <c r="L541" s="1">
        <v>20</v>
      </c>
    </row>
    <row r="542" spans="1:12" x14ac:dyDescent="0.35">
      <c r="A542" s="1" t="s">
        <v>34</v>
      </c>
      <c r="B542" s="3">
        <v>1085982</v>
      </c>
      <c r="C542" s="3">
        <v>0</v>
      </c>
      <c r="D542" s="3">
        <v>62009</v>
      </c>
      <c r="E542" s="3">
        <v>0</v>
      </c>
      <c r="F542" s="3">
        <v>0</v>
      </c>
      <c r="G542" s="3">
        <v>0</v>
      </c>
      <c r="H542" s="3">
        <v>394012</v>
      </c>
      <c r="I542" s="3">
        <v>2233974</v>
      </c>
      <c r="J542" s="1">
        <v>101</v>
      </c>
      <c r="K542" s="1">
        <v>10</v>
      </c>
      <c r="L542" s="1">
        <v>25</v>
      </c>
    </row>
    <row r="543" spans="1:12" x14ac:dyDescent="0.35">
      <c r="A543" s="1" t="s">
        <v>35</v>
      </c>
      <c r="B543" s="3">
        <v>58239</v>
      </c>
      <c r="C543" s="3">
        <v>0</v>
      </c>
      <c r="D543" s="3">
        <v>21501</v>
      </c>
      <c r="E543" s="3">
        <v>0</v>
      </c>
      <c r="F543" s="3">
        <v>0</v>
      </c>
      <c r="G543" s="3">
        <v>0</v>
      </c>
      <c r="H543" s="3">
        <v>47416</v>
      </c>
      <c r="I543" s="3">
        <v>154982</v>
      </c>
      <c r="J543" s="1"/>
      <c r="K543" s="1">
        <v>7</v>
      </c>
      <c r="L543" s="1"/>
    </row>
    <row r="545" spans="1:12" x14ac:dyDescent="0.35">
      <c r="A545" s="14" t="s">
        <v>46</v>
      </c>
      <c r="B545" s="1" t="s">
        <v>4</v>
      </c>
      <c r="C545" s="1" t="s">
        <v>5</v>
      </c>
      <c r="D545" s="1" t="s">
        <v>6</v>
      </c>
      <c r="E545" s="1" t="s">
        <v>7</v>
      </c>
      <c r="F545" s="1" t="s">
        <v>8</v>
      </c>
      <c r="G545" s="1" t="s">
        <v>9</v>
      </c>
      <c r="H545" s="1" t="s">
        <v>10</v>
      </c>
      <c r="I545" s="1" t="s">
        <v>11</v>
      </c>
      <c r="J545" s="1" t="s">
        <v>12</v>
      </c>
      <c r="K545" s="1" t="s">
        <v>13</v>
      </c>
      <c r="L545" s="1" t="s">
        <v>14</v>
      </c>
    </row>
    <row r="546" spans="1:12" x14ac:dyDescent="0.35">
      <c r="A546" s="18" t="s">
        <v>15</v>
      </c>
      <c r="B546" s="17" t="s">
        <v>16</v>
      </c>
      <c r="C546" s="19" t="s">
        <v>17</v>
      </c>
      <c r="D546" s="17" t="s">
        <v>18</v>
      </c>
      <c r="E546" s="17" t="s">
        <v>19</v>
      </c>
      <c r="F546" s="17" t="s">
        <v>20</v>
      </c>
      <c r="G546" s="17" t="s">
        <v>21</v>
      </c>
      <c r="H546" s="17" t="s">
        <v>22</v>
      </c>
      <c r="I546" s="19" t="s">
        <v>23</v>
      </c>
      <c r="J546" s="17" t="s">
        <v>24</v>
      </c>
      <c r="K546" s="19" t="s">
        <v>25</v>
      </c>
      <c r="L546" s="17" t="s">
        <v>26</v>
      </c>
    </row>
    <row r="547" spans="1:12" x14ac:dyDescent="0.35">
      <c r="A547" s="18"/>
      <c r="B547" s="17"/>
      <c r="C547" s="19"/>
      <c r="D547" s="17"/>
      <c r="E547" s="17"/>
      <c r="F547" s="17"/>
      <c r="G547" s="17"/>
      <c r="H547" s="17"/>
      <c r="I547" s="19"/>
      <c r="J547" s="17"/>
      <c r="K547" s="19"/>
      <c r="L547" s="17"/>
    </row>
    <row r="548" spans="1:12" x14ac:dyDescent="0.35">
      <c r="A548" s="1" t="s">
        <v>27</v>
      </c>
      <c r="B548" s="3">
        <v>194311</v>
      </c>
      <c r="C548" s="3">
        <v>0</v>
      </c>
      <c r="D548" s="3">
        <v>209992</v>
      </c>
      <c r="E548" s="2">
        <v>0</v>
      </c>
      <c r="F548" s="3">
        <v>0</v>
      </c>
      <c r="G548" s="3"/>
      <c r="H548" s="3">
        <v>253166</v>
      </c>
      <c r="I548" s="3">
        <v>598615</v>
      </c>
      <c r="J548" s="1">
        <v>80</v>
      </c>
      <c r="K548" s="1">
        <v>3</v>
      </c>
      <c r="L548" s="1">
        <v>26</v>
      </c>
    </row>
    <row r="549" spans="1:12" x14ac:dyDescent="0.35">
      <c r="A549" s="1" t="s">
        <v>28</v>
      </c>
      <c r="B549" s="3">
        <v>639402</v>
      </c>
      <c r="C549" s="3">
        <v>0</v>
      </c>
      <c r="D549" s="3">
        <v>1956086</v>
      </c>
      <c r="E549" s="2">
        <v>0</v>
      </c>
      <c r="F549" s="3">
        <v>18255</v>
      </c>
      <c r="G549" s="3"/>
      <c r="H549" s="3">
        <v>156096</v>
      </c>
      <c r="I549" s="3">
        <v>3264299</v>
      </c>
      <c r="J549" s="1">
        <v>93</v>
      </c>
      <c r="K549" s="1">
        <v>49</v>
      </c>
      <c r="L549" s="1">
        <v>14</v>
      </c>
    </row>
    <row r="550" spans="1:12" x14ac:dyDescent="0.35">
      <c r="A550" s="1" t="s">
        <v>29</v>
      </c>
      <c r="B550" s="3">
        <v>1433541</v>
      </c>
      <c r="C550" s="3">
        <v>0</v>
      </c>
      <c r="D550" s="3">
        <v>3001937</v>
      </c>
      <c r="E550" s="2">
        <v>0</v>
      </c>
      <c r="F550" s="3">
        <v>41310</v>
      </c>
      <c r="G550" s="3"/>
      <c r="H550" s="3">
        <v>576324</v>
      </c>
      <c r="I550" s="3">
        <v>5869019</v>
      </c>
      <c r="J550" s="1">
        <v>156</v>
      </c>
      <c r="K550" s="1">
        <v>57</v>
      </c>
      <c r="L550" s="1">
        <v>33</v>
      </c>
    </row>
    <row r="551" spans="1:12" x14ac:dyDescent="0.35">
      <c r="A551" s="1" t="s">
        <v>30</v>
      </c>
      <c r="B551" s="3">
        <v>6097</v>
      </c>
      <c r="C551" s="3">
        <v>0</v>
      </c>
      <c r="D551" s="3">
        <v>825075</v>
      </c>
      <c r="E551" s="2">
        <v>0</v>
      </c>
      <c r="F551" s="3">
        <v>31717</v>
      </c>
      <c r="G551" s="3"/>
      <c r="H551" s="3">
        <v>35521</v>
      </c>
      <c r="I551" s="3">
        <v>837270</v>
      </c>
      <c r="J551" s="1">
        <v>26</v>
      </c>
      <c r="K551" s="1">
        <v>1</v>
      </c>
      <c r="L551" s="1">
        <v>8</v>
      </c>
    </row>
    <row r="552" spans="1:12" x14ac:dyDescent="0.35">
      <c r="A552" s="1" t="s">
        <v>31</v>
      </c>
      <c r="B552" s="3">
        <v>37956</v>
      </c>
      <c r="C552" s="3">
        <v>0</v>
      </c>
      <c r="D552" s="3">
        <v>434091</v>
      </c>
      <c r="E552" s="2">
        <v>0</v>
      </c>
      <c r="F552" s="3">
        <v>0</v>
      </c>
      <c r="G552" s="3"/>
      <c r="H552" s="3">
        <v>141740</v>
      </c>
      <c r="I552" s="3">
        <v>582255</v>
      </c>
      <c r="J552" s="1">
        <v>20</v>
      </c>
      <c r="K552" s="1">
        <v>5</v>
      </c>
      <c r="L552" s="1">
        <v>10</v>
      </c>
    </row>
    <row r="553" spans="1:12" x14ac:dyDescent="0.35">
      <c r="A553" s="1" t="s">
        <v>32</v>
      </c>
      <c r="B553" s="3">
        <v>2857329</v>
      </c>
      <c r="C553" s="3">
        <v>0</v>
      </c>
      <c r="D553" s="3">
        <v>3014333</v>
      </c>
      <c r="E553" s="2">
        <v>0</v>
      </c>
      <c r="F553" s="3">
        <v>6064</v>
      </c>
      <c r="G553" s="3"/>
      <c r="H553" s="3">
        <v>2613049</v>
      </c>
      <c r="I553" s="3">
        <v>9404082</v>
      </c>
      <c r="J553" s="1">
        <v>529</v>
      </c>
      <c r="K553" s="1">
        <v>145</v>
      </c>
      <c r="L553" s="1">
        <v>106</v>
      </c>
    </row>
    <row r="554" spans="1:12" x14ac:dyDescent="0.35">
      <c r="A554" s="1" t="s">
        <v>33</v>
      </c>
      <c r="B554" s="3">
        <v>6531</v>
      </c>
      <c r="C554" s="3">
        <v>0</v>
      </c>
      <c r="D554" s="3">
        <v>1425</v>
      </c>
      <c r="E554" s="2">
        <v>0</v>
      </c>
      <c r="F554" s="3">
        <v>0</v>
      </c>
      <c r="G554" s="3"/>
      <c r="H554" s="3">
        <v>43972</v>
      </c>
      <c r="I554" s="3">
        <v>14488</v>
      </c>
      <c r="J554" s="1">
        <v>14</v>
      </c>
      <c r="K554" s="1">
        <v>4</v>
      </c>
      <c r="L554" s="1">
        <v>8</v>
      </c>
    </row>
    <row r="555" spans="1:12" x14ac:dyDescent="0.35">
      <c r="A555" s="1" t="s">
        <v>34</v>
      </c>
      <c r="B555" s="3">
        <v>1460219</v>
      </c>
      <c r="C555" s="3">
        <v>0</v>
      </c>
      <c r="D555" s="3">
        <v>48892</v>
      </c>
      <c r="E555" s="2">
        <v>0</v>
      </c>
      <c r="F555" s="3">
        <v>0</v>
      </c>
      <c r="G555" s="3"/>
      <c r="H555" s="3">
        <v>553196</v>
      </c>
      <c r="I555" s="3">
        <v>2970330</v>
      </c>
      <c r="J555" s="1">
        <v>112</v>
      </c>
      <c r="K555" s="1">
        <v>7</v>
      </c>
      <c r="L555" s="1">
        <v>10</v>
      </c>
    </row>
    <row r="556" spans="1:12" x14ac:dyDescent="0.35">
      <c r="A556" s="1" t="s">
        <v>35</v>
      </c>
      <c r="B556" s="3">
        <v>1069</v>
      </c>
      <c r="C556" s="3">
        <v>0</v>
      </c>
      <c r="D556" s="3">
        <v>22137</v>
      </c>
      <c r="E556" s="2">
        <v>0</v>
      </c>
      <c r="F556" s="3">
        <v>0</v>
      </c>
      <c r="G556" s="3"/>
      <c r="H556" s="3">
        <v>78435</v>
      </c>
      <c r="I556" s="3">
        <v>77248</v>
      </c>
      <c r="J556" s="1"/>
      <c r="K556" s="1">
        <v>3</v>
      </c>
      <c r="L556" s="1"/>
    </row>
    <row r="558" spans="1:12" x14ac:dyDescent="0.35">
      <c r="A558" s="14" t="s">
        <v>63</v>
      </c>
      <c r="B558" s="1" t="s">
        <v>4</v>
      </c>
      <c r="C558" s="1" t="s">
        <v>5</v>
      </c>
      <c r="D558" s="1" t="s">
        <v>6</v>
      </c>
      <c r="E558" s="1" t="s">
        <v>7</v>
      </c>
      <c r="F558" s="1" t="s">
        <v>8</v>
      </c>
      <c r="G558" s="1" t="s">
        <v>9</v>
      </c>
      <c r="H558" s="1" t="s">
        <v>10</v>
      </c>
      <c r="I558" s="1" t="s">
        <v>11</v>
      </c>
      <c r="J558" s="1" t="s">
        <v>12</v>
      </c>
      <c r="K558" s="1" t="s">
        <v>13</v>
      </c>
      <c r="L558" s="1" t="s">
        <v>14</v>
      </c>
    </row>
    <row r="559" spans="1:12" x14ac:dyDescent="0.35">
      <c r="A559" s="18" t="s">
        <v>15</v>
      </c>
      <c r="B559" s="17" t="s">
        <v>16</v>
      </c>
      <c r="C559" s="19" t="s">
        <v>17</v>
      </c>
      <c r="D559" s="17" t="s">
        <v>18</v>
      </c>
      <c r="E559" s="17" t="s">
        <v>19</v>
      </c>
      <c r="F559" s="17" t="s">
        <v>20</v>
      </c>
      <c r="G559" s="17" t="s">
        <v>21</v>
      </c>
      <c r="H559" s="17" t="s">
        <v>22</v>
      </c>
      <c r="I559" s="19" t="s">
        <v>23</v>
      </c>
      <c r="J559" s="17" t="s">
        <v>24</v>
      </c>
      <c r="K559" s="19" t="s">
        <v>25</v>
      </c>
      <c r="L559" s="17" t="s">
        <v>26</v>
      </c>
    </row>
    <row r="560" spans="1:12" x14ac:dyDescent="0.35">
      <c r="A560" s="18"/>
      <c r="B560" s="17"/>
      <c r="C560" s="19"/>
      <c r="D560" s="17"/>
      <c r="E560" s="17"/>
      <c r="F560" s="17"/>
      <c r="G560" s="17"/>
      <c r="H560" s="17"/>
      <c r="I560" s="19"/>
      <c r="J560" s="17"/>
      <c r="K560" s="19"/>
      <c r="L560" s="17"/>
    </row>
    <row r="561" spans="1:12" x14ac:dyDescent="0.35">
      <c r="A561" s="1" t="s">
        <v>27</v>
      </c>
      <c r="B561" s="3">
        <v>270820</v>
      </c>
      <c r="C561" s="3">
        <v>0</v>
      </c>
      <c r="D561" s="3">
        <v>447549</v>
      </c>
      <c r="E561" s="2">
        <v>0</v>
      </c>
      <c r="F561" s="3">
        <v>0</v>
      </c>
      <c r="G561" s="3"/>
      <c r="H561" s="3">
        <v>166398</v>
      </c>
      <c r="I561" s="3">
        <v>989188</v>
      </c>
      <c r="J561" s="1">
        <v>94</v>
      </c>
      <c r="K561" s="1">
        <v>6</v>
      </c>
      <c r="L561" s="1">
        <v>18</v>
      </c>
    </row>
    <row r="562" spans="1:12" x14ac:dyDescent="0.35">
      <c r="A562" s="1" t="s">
        <v>28</v>
      </c>
      <c r="B562" s="3">
        <v>536193</v>
      </c>
      <c r="C562" s="3">
        <v>0</v>
      </c>
      <c r="D562" s="3">
        <v>1320369</v>
      </c>
      <c r="E562" s="2">
        <v>0</v>
      </c>
      <c r="F562" s="3">
        <v>12613</v>
      </c>
      <c r="G562" s="3"/>
      <c r="H562" s="3">
        <v>137796</v>
      </c>
      <c r="I562" s="3">
        <v>2422469</v>
      </c>
      <c r="J562" s="1">
        <v>104</v>
      </c>
      <c r="K562" s="1">
        <v>60</v>
      </c>
      <c r="L562" s="1">
        <v>20</v>
      </c>
    </row>
    <row r="563" spans="1:12" x14ac:dyDescent="0.35">
      <c r="A563" s="1" t="s">
        <v>29</v>
      </c>
      <c r="B563" s="3">
        <v>1527717</v>
      </c>
      <c r="C563" s="3">
        <v>0</v>
      </c>
      <c r="D563" s="3">
        <v>1269921</v>
      </c>
      <c r="E563" s="2">
        <v>0</v>
      </c>
      <c r="F563" s="3">
        <v>21300</v>
      </c>
      <c r="G563" s="3"/>
      <c r="H563" s="3">
        <v>413380</v>
      </c>
      <c r="I563" s="3">
        <v>4325356</v>
      </c>
      <c r="J563" s="1">
        <v>209</v>
      </c>
      <c r="K563" s="1">
        <v>66</v>
      </c>
      <c r="L563" s="1">
        <v>51</v>
      </c>
    </row>
    <row r="564" spans="1:12" x14ac:dyDescent="0.35">
      <c r="A564" s="1" t="s">
        <v>30</v>
      </c>
      <c r="B564" s="3">
        <v>81939</v>
      </c>
      <c r="C564" s="3">
        <v>0</v>
      </c>
      <c r="D564" s="3">
        <v>271247</v>
      </c>
      <c r="E564" s="2">
        <v>0</v>
      </c>
      <c r="F564" s="3">
        <v>0</v>
      </c>
      <c r="G564" s="3"/>
      <c r="H564" s="3">
        <v>25105</v>
      </c>
      <c r="I564" s="3">
        <v>435125</v>
      </c>
      <c r="J564" s="1">
        <v>27</v>
      </c>
      <c r="K564" s="1">
        <v>4</v>
      </c>
      <c r="L564" s="1">
        <v>12</v>
      </c>
    </row>
    <row r="565" spans="1:12" x14ac:dyDescent="0.35">
      <c r="A565" s="1" t="s">
        <v>31</v>
      </c>
      <c r="B565" s="3">
        <v>88084</v>
      </c>
      <c r="C565" s="3">
        <v>0</v>
      </c>
      <c r="D565" s="3">
        <v>618320</v>
      </c>
      <c r="E565" s="2">
        <v>0</v>
      </c>
      <c r="F565" s="3">
        <v>0</v>
      </c>
      <c r="G565" s="3"/>
      <c r="H565" s="3">
        <v>107219</v>
      </c>
      <c r="I565" s="3">
        <v>971809</v>
      </c>
      <c r="J565" s="1">
        <v>36</v>
      </c>
      <c r="K565" s="1">
        <v>8</v>
      </c>
      <c r="L565" s="1">
        <v>13</v>
      </c>
    </row>
    <row r="566" spans="1:12" x14ac:dyDescent="0.35">
      <c r="A566" s="1" t="s">
        <v>32</v>
      </c>
      <c r="B566" s="3">
        <v>1498601</v>
      </c>
      <c r="C566" s="3">
        <v>0</v>
      </c>
      <c r="D566" s="3">
        <v>940587</v>
      </c>
      <c r="E566" s="2">
        <v>0</v>
      </c>
      <c r="F566" s="3">
        <v>9860</v>
      </c>
      <c r="G566" s="3"/>
      <c r="H566" s="3">
        <v>1668810</v>
      </c>
      <c r="I566" s="3">
        <v>5797957</v>
      </c>
      <c r="J566" s="1">
        <v>662</v>
      </c>
      <c r="K566" s="1">
        <v>165</v>
      </c>
      <c r="L566" s="1">
        <v>148</v>
      </c>
    </row>
    <row r="567" spans="1:12" x14ac:dyDescent="0.35">
      <c r="A567" s="1" t="s">
        <v>33</v>
      </c>
      <c r="B567" s="3">
        <v>1626</v>
      </c>
      <c r="C567" s="3">
        <v>0</v>
      </c>
      <c r="D567" s="3">
        <v>713</v>
      </c>
      <c r="E567" s="2">
        <v>0</v>
      </c>
      <c r="F567" s="3">
        <v>0</v>
      </c>
      <c r="G567" s="3"/>
      <c r="H567" s="3">
        <v>69316</v>
      </c>
      <c r="I567" s="3">
        <v>3964</v>
      </c>
      <c r="J567" s="1">
        <v>14</v>
      </c>
      <c r="K567" s="1">
        <v>10</v>
      </c>
      <c r="L567" s="1">
        <v>2</v>
      </c>
    </row>
    <row r="568" spans="1:12" x14ac:dyDescent="0.35">
      <c r="A568" s="1" t="s">
        <v>34</v>
      </c>
      <c r="B568" s="3">
        <v>616778</v>
      </c>
      <c r="C568" s="3">
        <v>0</v>
      </c>
      <c r="D568" s="3">
        <v>21382</v>
      </c>
      <c r="E568" s="2">
        <v>0</v>
      </c>
      <c r="F568" s="3">
        <v>0</v>
      </c>
      <c r="G568" s="3"/>
      <c r="H568" s="3">
        <v>253386</v>
      </c>
      <c r="I568" s="3">
        <v>1254939</v>
      </c>
      <c r="J568" s="1">
        <v>110</v>
      </c>
      <c r="K568" s="1">
        <v>7</v>
      </c>
      <c r="L568" s="1">
        <v>22</v>
      </c>
    </row>
    <row r="569" spans="1:12" x14ac:dyDescent="0.35">
      <c r="A569" s="1" t="s">
        <v>35</v>
      </c>
      <c r="B569" s="3">
        <v>125205</v>
      </c>
      <c r="C569" s="3">
        <v>0</v>
      </c>
      <c r="D569" s="3">
        <v>317962</v>
      </c>
      <c r="E569" s="2">
        <v>0</v>
      </c>
      <c r="F569" s="3">
        <v>0</v>
      </c>
      <c r="G569" s="3"/>
      <c r="H569" s="3">
        <v>39694</v>
      </c>
      <c r="I569" s="3">
        <v>593652</v>
      </c>
      <c r="J569" s="1"/>
      <c r="K569" s="1">
        <v>8</v>
      </c>
      <c r="L569" s="1"/>
    </row>
    <row r="571" spans="1:12" x14ac:dyDescent="0.35">
      <c r="A571" s="14" t="s">
        <v>59</v>
      </c>
      <c r="B571" s="1" t="s">
        <v>4</v>
      </c>
      <c r="C571" s="1" t="s">
        <v>5</v>
      </c>
      <c r="D571" s="1" t="s">
        <v>6</v>
      </c>
      <c r="E571" s="1" t="s">
        <v>7</v>
      </c>
      <c r="F571" s="1" t="s">
        <v>8</v>
      </c>
      <c r="G571" s="1" t="s">
        <v>9</v>
      </c>
      <c r="H571" s="1" t="s">
        <v>10</v>
      </c>
      <c r="I571" s="1" t="s">
        <v>11</v>
      </c>
      <c r="J571" s="1" t="s">
        <v>12</v>
      </c>
      <c r="K571" s="1" t="s">
        <v>13</v>
      </c>
      <c r="L571" s="1" t="s">
        <v>14</v>
      </c>
    </row>
    <row r="572" spans="1:12" x14ac:dyDescent="0.35">
      <c r="A572" s="18" t="s">
        <v>15</v>
      </c>
      <c r="B572" s="17" t="s">
        <v>16</v>
      </c>
      <c r="C572" s="19" t="s">
        <v>17</v>
      </c>
      <c r="D572" s="17" t="s">
        <v>18</v>
      </c>
      <c r="E572" s="17" t="s">
        <v>19</v>
      </c>
      <c r="F572" s="17" t="s">
        <v>20</v>
      </c>
      <c r="G572" s="17" t="s">
        <v>21</v>
      </c>
      <c r="H572" s="17" t="s">
        <v>22</v>
      </c>
      <c r="I572" s="19" t="s">
        <v>23</v>
      </c>
      <c r="J572" s="17" t="s">
        <v>24</v>
      </c>
      <c r="K572" s="19" t="s">
        <v>25</v>
      </c>
      <c r="L572" s="17" t="s">
        <v>26</v>
      </c>
    </row>
    <row r="573" spans="1:12" x14ac:dyDescent="0.35">
      <c r="A573" s="18"/>
      <c r="B573" s="17"/>
      <c r="C573" s="19"/>
      <c r="D573" s="17"/>
      <c r="E573" s="17"/>
      <c r="F573" s="17"/>
      <c r="G573" s="17"/>
      <c r="H573" s="17"/>
      <c r="I573" s="19"/>
      <c r="J573" s="17"/>
      <c r="K573" s="19"/>
      <c r="L573" s="17"/>
    </row>
    <row r="574" spans="1:12" x14ac:dyDescent="0.35">
      <c r="A574" s="1" t="s">
        <v>27</v>
      </c>
      <c r="B574" s="3">
        <v>368795</v>
      </c>
      <c r="C574" s="3">
        <v>0</v>
      </c>
      <c r="D574" s="3">
        <v>236497</v>
      </c>
      <c r="E574" s="2">
        <v>0</v>
      </c>
      <c r="F574" s="3">
        <v>0</v>
      </c>
      <c r="G574" s="3"/>
      <c r="H574" s="3">
        <v>147401</v>
      </c>
      <c r="I574" s="3">
        <v>974088</v>
      </c>
      <c r="J574" s="1">
        <v>55</v>
      </c>
      <c r="K574" s="1">
        <v>9</v>
      </c>
      <c r="L574" s="1">
        <v>17</v>
      </c>
    </row>
    <row r="575" spans="1:12" x14ac:dyDescent="0.35">
      <c r="A575" s="1" t="s">
        <v>28</v>
      </c>
      <c r="B575" s="3">
        <v>461866</v>
      </c>
      <c r="C575" s="3">
        <v>0</v>
      </c>
      <c r="D575" s="3">
        <v>1261543</v>
      </c>
      <c r="E575" s="2">
        <v>0</v>
      </c>
      <c r="F575" s="3">
        <v>23898</v>
      </c>
      <c r="G575" s="3"/>
      <c r="H575" s="3">
        <v>91111</v>
      </c>
      <c r="I575" s="3">
        <v>2185275</v>
      </c>
      <c r="J575" s="1">
        <v>109</v>
      </c>
      <c r="K575" s="1">
        <v>62</v>
      </c>
      <c r="L575" s="1">
        <v>13</v>
      </c>
    </row>
    <row r="576" spans="1:12" x14ac:dyDescent="0.35">
      <c r="A576" s="1" t="s">
        <v>29</v>
      </c>
      <c r="B576" s="3">
        <v>1480608</v>
      </c>
      <c r="C576" s="3">
        <v>0</v>
      </c>
      <c r="D576" s="3">
        <v>2868715</v>
      </c>
      <c r="E576" s="2">
        <v>0</v>
      </c>
      <c r="F576" s="3">
        <v>1466</v>
      </c>
      <c r="G576" s="3"/>
      <c r="H576" s="3">
        <v>490231</v>
      </c>
      <c r="I576" s="3">
        <v>5829931</v>
      </c>
      <c r="J576" s="1">
        <v>213</v>
      </c>
      <c r="K576" s="1">
        <v>78</v>
      </c>
      <c r="L576" s="1">
        <v>55</v>
      </c>
    </row>
    <row r="577" spans="1:12" x14ac:dyDescent="0.35">
      <c r="A577" s="1" t="s">
        <v>30</v>
      </c>
      <c r="B577" s="3">
        <v>23098</v>
      </c>
      <c r="C577" s="3">
        <v>0</v>
      </c>
      <c r="D577" s="3">
        <v>7816</v>
      </c>
      <c r="E577" s="2">
        <v>0</v>
      </c>
      <c r="F577" s="3">
        <v>0</v>
      </c>
      <c r="G577" s="3"/>
      <c r="H577" s="3">
        <v>866</v>
      </c>
      <c r="I577" s="3">
        <v>54012</v>
      </c>
      <c r="J577" s="1">
        <v>14</v>
      </c>
      <c r="K577" s="1">
        <v>5</v>
      </c>
      <c r="L577" s="1">
        <v>2</v>
      </c>
    </row>
    <row r="578" spans="1:12" x14ac:dyDescent="0.35">
      <c r="A578" s="1" t="s">
        <v>31</v>
      </c>
      <c r="B578" s="3">
        <v>270179</v>
      </c>
      <c r="C578" s="3">
        <v>0</v>
      </c>
      <c r="D578" s="3">
        <v>812337</v>
      </c>
      <c r="E578" s="2">
        <v>0</v>
      </c>
      <c r="F578" s="3">
        <v>0</v>
      </c>
      <c r="G578" s="3"/>
      <c r="H578" s="3">
        <v>289426</v>
      </c>
      <c r="I578" s="3">
        <v>1352696</v>
      </c>
      <c r="J578" s="1">
        <v>25</v>
      </c>
      <c r="K578" s="1">
        <v>7</v>
      </c>
      <c r="L578" s="1">
        <v>13</v>
      </c>
    </row>
    <row r="579" spans="1:12" x14ac:dyDescent="0.35">
      <c r="A579" s="1" t="s">
        <v>32</v>
      </c>
      <c r="B579" s="3">
        <v>3673591</v>
      </c>
      <c r="C579" s="3">
        <v>0</v>
      </c>
      <c r="D579" s="3">
        <v>4075013</v>
      </c>
      <c r="E579" s="2">
        <v>0</v>
      </c>
      <c r="F579" s="3">
        <v>0</v>
      </c>
      <c r="G579" s="3"/>
      <c r="H579" s="3">
        <v>3483521</v>
      </c>
      <c r="I579" s="3">
        <v>12146071</v>
      </c>
      <c r="J579" s="1">
        <v>589</v>
      </c>
      <c r="K579" s="1">
        <v>182</v>
      </c>
      <c r="L579" s="1">
        <v>122</v>
      </c>
    </row>
    <row r="580" spans="1:12" x14ac:dyDescent="0.35">
      <c r="A580" s="1" t="s">
        <v>33</v>
      </c>
      <c r="B580" s="3">
        <v>24160</v>
      </c>
      <c r="C580" s="3">
        <v>0</v>
      </c>
      <c r="D580" s="3">
        <v>2851</v>
      </c>
      <c r="E580" s="2">
        <v>0</v>
      </c>
      <c r="F580" s="3">
        <v>0</v>
      </c>
      <c r="G580" s="3"/>
      <c r="H580" s="3">
        <v>86978</v>
      </c>
      <c r="I580" s="3">
        <v>51170</v>
      </c>
      <c r="J580" s="1">
        <v>20</v>
      </c>
      <c r="K580" s="1">
        <v>8</v>
      </c>
      <c r="L580" s="1">
        <v>9</v>
      </c>
    </row>
    <row r="581" spans="1:12" x14ac:dyDescent="0.35">
      <c r="A581" s="1" t="s">
        <v>34</v>
      </c>
      <c r="B581" s="3">
        <v>1006498</v>
      </c>
      <c r="C581" s="3">
        <v>0</v>
      </c>
      <c r="D581" s="3">
        <v>39201</v>
      </c>
      <c r="E581" s="2">
        <v>0</v>
      </c>
      <c r="F581" s="3">
        <v>0</v>
      </c>
      <c r="G581" s="3"/>
      <c r="H581" s="3">
        <v>448451</v>
      </c>
      <c r="I581" s="3">
        <v>2052197</v>
      </c>
      <c r="J581" s="1">
        <v>100</v>
      </c>
      <c r="K581" s="1">
        <v>17</v>
      </c>
      <c r="L581" s="1">
        <v>22</v>
      </c>
    </row>
    <row r="582" spans="1:12" x14ac:dyDescent="0.35">
      <c r="A582" s="1" t="s">
        <v>35</v>
      </c>
      <c r="B582" s="3">
        <v>12040</v>
      </c>
      <c r="C582" s="3">
        <v>0</v>
      </c>
      <c r="D582" s="3">
        <v>49873</v>
      </c>
      <c r="E582" s="2">
        <v>0</v>
      </c>
      <c r="F582" s="3">
        <v>23721</v>
      </c>
      <c r="G582" s="3"/>
      <c r="H582" s="3">
        <v>29822</v>
      </c>
      <c r="I582" s="3">
        <v>88106</v>
      </c>
      <c r="J582" s="1"/>
      <c r="K582" s="1">
        <v>8</v>
      </c>
      <c r="L582" s="1"/>
    </row>
    <row r="584" spans="1:12" x14ac:dyDescent="0.35">
      <c r="A584" s="14" t="s">
        <v>60</v>
      </c>
      <c r="B584" s="1" t="s">
        <v>4</v>
      </c>
      <c r="C584" s="1" t="s">
        <v>5</v>
      </c>
      <c r="D584" s="1" t="s">
        <v>6</v>
      </c>
      <c r="E584" s="1" t="s">
        <v>7</v>
      </c>
      <c r="F584" s="1" t="s">
        <v>8</v>
      </c>
      <c r="G584" s="1" t="s">
        <v>9</v>
      </c>
      <c r="H584" s="1" t="s">
        <v>10</v>
      </c>
      <c r="I584" s="1" t="s">
        <v>11</v>
      </c>
      <c r="J584" s="1" t="s">
        <v>12</v>
      </c>
      <c r="K584" s="1" t="s">
        <v>13</v>
      </c>
      <c r="L584" s="1" t="s">
        <v>14</v>
      </c>
    </row>
    <row r="585" spans="1:12" x14ac:dyDescent="0.35">
      <c r="A585" s="18" t="s">
        <v>15</v>
      </c>
      <c r="B585" s="17" t="s">
        <v>16</v>
      </c>
      <c r="C585" s="19" t="s">
        <v>17</v>
      </c>
      <c r="D585" s="17" t="s">
        <v>18</v>
      </c>
      <c r="E585" s="17" t="s">
        <v>19</v>
      </c>
      <c r="F585" s="17" t="s">
        <v>20</v>
      </c>
      <c r="G585" s="17" t="s">
        <v>21</v>
      </c>
      <c r="H585" s="17" t="s">
        <v>22</v>
      </c>
      <c r="I585" s="19" t="s">
        <v>23</v>
      </c>
      <c r="J585" s="17" t="s">
        <v>24</v>
      </c>
      <c r="K585" s="19" t="s">
        <v>25</v>
      </c>
      <c r="L585" s="17" t="s">
        <v>26</v>
      </c>
    </row>
    <row r="586" spans="1:12" x14ac:dyDescent="0.35">
      <c r="A586" s="18"/>
      <c r="B586" s="17"/>
      <c r="C586" s="19"/>
      <c r="D586" s="17"/>
      <c r="E586" s="17"/>
      <c r="F586" s="17"/>
      <c r="G586" s="17"/>
      <c r="H586" s="17"/>
      <c r="I586" s="19"/>
      <c r="J586" s="17"/>
      <c r="K586" s="19"/>
      <c r="L586" s="17"/>
    </row>
    <row r="587" spans="1:12" x14ac:dyDescent="0.35">
      <c r="A587" s="1" t="s">
        <v>27</v>
      </c>
      <c r="B587" s="3">
        <v>88708</v>
      </c>
      <c r="C587" s="3">
        <v>0</v>
      </c>
      <c r="D587" s="3">
        <v>163930</v>
      </c>
      <c r="E587" s="2">
        <v>0</v>
      </c>
      <c r="F587" s="3">
        <v>0</v>
      </c>
      <c r="G587" s="3"/>
      <c r="H587" s="3">
        <v>82562</v>
      </c>
      <c r="I587" s="3">
        <v>341346</v>
      </c>
      <c r="J587" s="1">
        <v>46</v>
      </c>
      <c r="K587" s="1">
        <v>5</v>
      </c>
      <c r="L587" s="1">
        <v>13</v>
      </c>
    </row>
    <row r="588" spans="1:12" x14ac:dyDescent="0.35">
      <c r="A588" s="1" t="s">
        <v>28</v>
      </c>
      <c r="B588" s="3">
        <v>205670</v>
      </c>
      <c r="C588" s="3">
        <v>0</v>
      </c>
      <c r="D588" s="3">
        <v>1238737</v>
      </c>
      <c r="E588" s="2">
        <v>0</v>
      </c>
      <c r="F588" s="3">
        <v>296</v>
      </c>
      <c r="G588" s="3"/>
      <c r="H588" s="3">
        <v>68373</v>
      </c>
      <c r="I588" s="3">
        <v>1650076</v>
      </c>
      <c r="J588" s="1">
        <v>75</v>
      </c>
      <c r="K588" s="1">
        <v>71</v>
      </c>
      <c r="L588" s="1">
        <v>9</v>
      </c>
    </row>
    <row r="589" spans="1:12" x14ac:dyDescent="0.35">
      <c r="A589" s="1" t="s">
        <v>29</v>
      </c>
      <c r="B589" s="3">
        <v>1569544</v>
      </c>
      <c r="C589" s="3">
        <v>0</v>
      </c>
      <c r="D589" s="3">
        <v>1813309</v>
      </c>
      <c r="E589" s="2">
        <v>0</v>
      </c>
      <c r="F589" s="3">
        <v>3424</v>
      </c>
      <c r="G589" s="3"/>
      <c r="H589" s="3">
        <v>514950</v>
      </c>
      <c r="I589" s="3">
        <v>4965813</v>
      </c>
      <c r="J589" s="1">
        <v>160</v>
      </c>
      <c r="K589" s="1">
        <v>68</v>
      </c>
      <c r="L589" s="1">
        <v>51</v>
      </c>
    </row>
    <row r="590" spans="1:12" x14ac:dyDescent="0.35">
      <c r="A590" s="1" t="s">
        <v>30</v>
      </c>
      <c r="B590" s="3">
        <v>350554</v>
      </c>
      <c r="C590" s="3">
        <v>0</v>
      </c>
      <c r="D590" s="3">
        <v>344754</v>
      </c>
      <c r="E590" s="2">
        <v>0</v>
      </c>
      <c r="F590" s="3">
        <v>0</v>
      </c>
      <c r="G590" s="3"/>
      <c r="H590" s="3">
        <v>22893</v>
      </c>
      <c r="I590" s="3">
        <v>1045863</v>
      </c>
      <c r="J590" s="1">
        <v>20</v>
      </c>
      <c r="K590" s="1">
        <v>6</v>
      </c>
      <c r="L590" s="1">
        <v>5</v>
      </c>
    </row>
    <row r="591" spans="1:12" x14ac:dyDescent="0.35">
      <c r="A591" s="1" t="s">
        <v>31</v>
      </c>
      <c r="B591" s="3">
        <v>979566</v>
      </c>
      <c r="C591" s="3">
        <v>0</v>
      </c>
      <c r="D591" s="3">
        <v>909264</v>
      </c>
      <c r="E591" s="2">
        <v>0</v>
      </c>
      <c r="F591" s="3">
        <v>1167</v>
      </c>
      <c r="G591" s="3"/>
      <c r="H591" s="3">
        <v>194088</v>
      </c>
      <c r="I591" s="3">
        <v>2868396</v>
      </c>
      <c r="J591" s="1">
        <v>22</v>
      </c>
      <c r="K591" s="1">
        <v>3</v>
      </c>
      <c r="L591" s="1">
        <v>11</v>
      </c>
    </row>
    <row r="592" spans="1:12" x14ac:dyDescent="0.35">
      <c r="A592" s="1" t="s">
        <v>32</v>
      </c>
      <c r="B592" s="3">
        <v>2660980</v>
      </c>
      <c r="C592" s="3">
        <v>0</v>
      </c>
      <c r="D592" s="3">
        <v>3426002</v>
      </c>
      <c r="E592" s="2">
        <v>0</v>
      </c>
      <c r="F592" s="3">
        <v>3825</v>
      </c>
      <c r="G592" s="3"/>
      <c r="H592" s="3">
        <v>2907186</v>
      </c>
      <c r="I592" s="3">
        <v>9515553</v>
      </c>
      <c r="J592" s="1">
        <v>654</v>
      </c>
      <c r="K592" s="1">
        <v>190</v>
      </c>
      <c r="L592" s="1">
        <v>152</v>
      </c>
    </row>
    <row r="593" spans="1:12" x14ac:dyDescent="0.35">
      <c r="A593" s="1" t="s">
        <v>33</v>
      </c>
      <c r="B593" s="3">
        <v>13351</v>
      </c>
      <c r="C593" s="3">
        <v>0</v>
      </c>
      <c r="D593" s="3">
        <v>706</v>
      </c>
      <c r="E593" s="2">
        <v>0</v>
      </c>
      <c r="F593" s="3">
        <v>3862</v>
      </c>
      <c r="G593" s="3"/>
      <c r="H593" s="3">
        <v>51794</v>
      </c>
      <c r="I593" s="3">
        <v>27409</v>
      </c>
      <c r="J593" s="1">
        <v>13</v>
      </c>
      <c r="K593" s="1">
        <v>6</v>
      </c>
      <c r="L593" s="1">
        <v>5</v>
      </c>
    </row>
    <row r="594" spans="1:12" x14ac:dyDescent="0.35">
      <c r="A594" s="1" t="s">
        <v>34</v>
      </c>
      <c r="B594" s="3">
        <v>1212833</v>
      </c>
      <c r="C594" s="3">
        <v>0</v>
      </c>
      <c r="D594" s="3">
        <v>49180</v>
      </c>
      <c r="E594" s="2">
        <v>0</v>
      </c>
      <c r="F594" s="3">
        <v>0</v>
      </c>
      <c r="G594" s="3"/>
      <c r="H594" s="3">
        <v>566190</v>
      </c>
      <c r="I594" s="3">
        <v>2474845</v>
      </c>
      <c r="J594" s="1">
        <v>105</v>
      </c>
      <c r="K594" s="1">
        <v>15</v>
      </c>
      <c r="L594" s="1">
        <v>15</v>
      </c>
    </row>
    <row r="595" spans="1:12" x14ac:dyDescent="0.35">
      <c r="A595" s="1" t="s">
        <v>35</v>
      </c>
      <c r="B595" s="3">
        <v>11752</v>
      </c>
      <c r="C595" s="3">
        <v>0</v>
      </c>
      <c r="D595" s="3">
        <v>55815</v>
      </c>
      <c r="E595" s="2">
        <v>0</v>
      </c>
      <c r="F595" s="3">
        <v>0</v>
      </c>
      <c r="G595" s="3"/>
      <c r="H595" s="3">
        <v>30477</v>
      </c>
      <c r="I595" s="3">
        <v>92096</v>
      </c>
      <c r="J595" s="1"/>
      <c r="K595" s="1">
        <v>12</v>
      </c>
      <c r="L595" s="1"/>
    </row>
    <row r="597" spans="1:12" x14ac:dyDescent="0.35">
      <c r="A597" s="14" t="s">
        <v>50</v>
      </c>
      <c r="B597" s="1" t="s">
        <v>4</v>
      </c>
      <c r="C597" s="1" t="s">
        <v>5</v>
      </c>
      <c r="D597" s="1" t="s">
        <v>6</v>
      </c>
      <c r="E597" s="1" t="s">
        <v>7</v>
      </c>
      <c r="F597" s="1" t="s">
        <v>8</v>
      </c>
      <c r="G597" s="1" t="s">
        <v>9</v>
      </c>
      <c r="H597" s="1" t="s">
        <v>10</v>
      </c>
      <c r="I597" s="1" t="s">
        <v>11</v>
      </c>
      <c r="J597" s="1" t="s">
        <v>12</v>
      </c>
      <c r="K597" s="1" t="s">
        <v>13</v>
      </c>
      <c r="L597" s="1" t="s">
        <v>14</v>
      </c>
    </row>
    <row r="598" spans="1:12" x14ac:dyDescent="0.35">
      <c r="A598" s="18" t="s">
        <v>15</v>
      </c>
      <c r="B598" s="17" t="s">
        <v>16</v>
      </c>
      <c r="C598" s="19" t="s">
        <v>17</v>
      </c>
      <c r="D598" s="17" t="s">
        <v>18</v>
      </c>
      <c r="E598" s="17" t="s">
        <v>19</v>
      </c>
      <c r="F598" s="17" t="s">
        <v>20</v>
      </c>
      <c r="G598" s="17" t="s">
        <v>21</v>
      </c>
      <c r="H598" s="17" t="s">
        <v>22</v>
      </c>
      <c r="I598" s="19" t="s">
        <v>23</v>
      </c>
      <c r="J598" s="17" t="s">
        <v>24</v>
      </c>
      <c r="K598" s="19" t="s">
        <v>25</v>
      </c>
      <c r="L598" s="17" t="s">
        <v>26</v>
      </c>
    </row>
    <row r="599" spans="1:12" x14ac:dyDescent="0.35">
      <c r="A599" s="18"/>
      <c r="B599" s="17"/>
      <c r="C599" s="19"/>
      <c r="D599" s="17"/>
      <c r="E599" s="17"/>
      <c r="F599" s="17"/>
      <c r="G599" s="17"/>
      <c r="H599" s="17"/>
      <c r="I599" s="19"/>
      <c r="J599" s="17"/>
      <c r="K599" s="19"/>
      <c r="L599" s="17"/>
    </row>
    <row r="600" spans="1:12" x14ac:dyDescent="0.35">
      <c r="A600" s="1" t="s">
        <v>27</v>
      </c>
      <c r="B600" s="3">
        <v>122199</v>
      </c>
      <c r="C600" s="3">
        <v>0</v>
      </c>
      <c r="D600" s="3">
        <v>52988</v>
      </c>
      <c r="E600" s="2">
        <v>0</v>
      </c>
      <c r="F600" s="3">
        <v>0</v>
      </c>
      <c r="G600" s="3"/>
      <c r="H600" s="3">
        <v>151023</v>
      </c>
      <c r="I600" s="3">
        <v>297387</v>
      </c>
      <c r="J600" s="1">
        <v>58</v>
      </c>
      <c r="K600" s="1">
        <v>8</v>
      </c>
      <c r="L600" s="1">
        <v>17</v>
      </c>
    </row>
    <row r="601" spans="1:12" x14ac:dyDescent="0.35">
      <c r="A601" s="1" t="s">
        <v>28</v>
      </c>
      <c r="B601" s="3">
        <v>478148</v>
      </c>
      <c r="C601" s="3">
        <v>0</v>
      </c>
      <c r="D601" s="3">
        <v>2254282</v>
      </c>
      <c r="E601" s="2">
        <v>0</v>
      </c>
      <c r="F601" s="3">
        <v>7956</v>
      </c>
      <c r="G601" s="3"/>
      <c r="H601" s="3">
        <v>175199</v>
      </c>
      <c r="I601" s="3">
        <v>3200053</v>
      </c>
      <c r="J601" s="1">
        <v>69</v>
      </c>
      <c r="K601" s="1">
        <v>52</v>
      </c>
      <c r="L601" s="1">
        <v>11</v>
      </c>
    </row>
    <row r="602" spans="1:12" x14ac:dyDescent="0.35">
      <c r="A602" s="1" t="s">
        <v>29</v>
      </c>
      <c r="B602" s="3">
        <v>849833</v>
      </c>
      <c r="C602" s="3">
        <v>0</v>
      </c>
      <c r="D602" s="3">
        <v>2076825</v>
      </c>
      <c r="E602" s="2">
        <v>0</v>
      </c>
      <c r="F602" s="3">
        <v>61391</v>
      </c>
      <c r="G602" s="3"/>
      <c r="H602" s="3">
        <v>543175</v>
      </c>
      <c r="I602" s="3">
        <v>3773335</v>
      </c>
      <c r="J602" s="1">
        <v>144</v>
      </c>
      <c r="K602" s="1">
        <v>61</v>
      </c>
      <c r="L602" s="1">
        <v>30</v>
      </c>
    </row>
    <row r="603" spans="1:12" x14ac:dyDescent="0.35">
      <c r="A603" s="1" t="s">
        <v>30</v>
      </c>
      <c r="B603" s="3">
        <v>272385</v>
      </c>
      <c r="C603" s="3">
        <v>0</v>
      </c>
      <c r="D603" s="3">
        <v>36738</v>
      </c>
      <c r="E603" s="2">
        <v>0</v>
      </c>
      <c r="F603" s="3">
        <v>0</v>
      </c>
      <c r="G603" s="3"/>
      <c r="H603" s="3">
        <v>35912</v>
      </c>
      <c r="I603" s="3">
        <v>581509</v>
      </c>
      <c r="J603" s="1">
        <v>16</v>
      </c>
      <c r="K603" s="1">
        <v>5</v>
      </c>
      <c r="L603" s="1">
        <v>4</v>
      </c>
    </row>
    <row r="604" spans="1:12" x14ac:dyDescent="0.35">
      <c r="A604" s="1" t="s">
        <v>31</v>
      </c>
      <c r="B604" s="3">
        <v>1207637</v>
      </c>
      <c r="C604" s="3">
        <v>0</v>
      </c>
      <c r="D604" s="3">
        <v>983472</v>
      </c>
      <c r="E604" s="2">
        <v>0</v>
      </c>
      <c r="F604" s="3">
        <v>0</v>
      </c>
      <c r="G604" s="3"/>
      <c r="H604" s="3">
        <v>566106</v>
      </c>
      <c r="I604" s="3">
        <v>3102229</v>
      </c>
      <c r="J604" s="1">
        <v>15</v>
      </c>
      <c r="K604" s="1">
        <v>4</v>
      </c>
      <c r="L604" s="1">
        <v>8</v>
      </c>
    </row>
    <row r="605" spans="1:12" x14ac:dyDescent="0.35">
      <c r="A605" s="1" t="s">
        <v>32</v>
      </c>
      <c r="B605" s="3">
        <v>1951066</v>
      </c>
      <c r="C605" s="3">
        <v>0</v>
      </c>
      <c r="D605" s="3">
        <v>2460373</v>
      </c>
      <c r="E605" s="2">
        <v>0</v>
      </c>
      <c r="F605" s="3">
        <v>342230</v>
      </c>
      <c r="G605" s="3"/>
      <c r="H605" s="3">
        <v>2118688</v>
      </c>
      <c r="I605" s="3">
        <v>4950343</v>
      </c>
      <c r="J605" s="1">
        <v>584</v>
      </c>
      <c r="K605" s="1">
        <v>187</v>
      </c>
      <c r="L605" s="1">
        <v>133</v>
      </c>
    </row>
    <row r="606" spans="1:12" x14ac:dyDescent="0.35">
      <c r="A606" s="1" t="s">
        <v>33</v>
      </c>
      <c r="B606" s="3">
        <v>30235</v>
      </c>
      <c r="C606" s="3">
        <v>0</v>
      </c>
      <c r="D606" s="3">
        <v>10751</v>
      </c>
      <c r="E606" s="2">
        <v>0</v>
      </c>
      <c r="F606" s="3">
        <v>0</v>
      </c>
      <c r="G606" s="3"/>
      <c r="H606" s="3">
        <v>275863</v>
      </c>
      <c r="I606" s="3">
        <v>71211</v>
      </c>
      <c r="J606" s="1">
        <v>16</v>
      </c>
      <c r="K606" s="1">
        <v>5</v>
      </c>
      <c r="L606" s="1">
        <v>4</v>
      </c>
    </row>
    <row r="607" spans="1:12" x14ac:dyDescent="0.35">
      <c r="A607" s="1" t="s">
        <v>34</v>
      </c>
      <c r="B607" s="3">
        <v>814828</v>
      </c>
      <c r="C607" s="3">
        <v>0</v>
      </c>
      <c r="D607" s="3">
        <v>42044</v>
      </c>
      <c r="E607" s="2">
        <v>0</v>
      </c>
      <c r="F607" s="3">
        <v>0</v>
      </c>
      <c r="G607" s="3"/>
      <c r="H607" s="3">
        <v>432875</v>
      </c>
      <c r="I607" s="3">
        <v>1671700</v>
      </c>
      <c r="J607" s="1">
        <v>77</v>
      </c>
      <c r="K607" s="1">
        <v>11</v>
      </c>
      <c r="L607" s="1">
        <v>6</v>
      </c>
    </row>
    <row r="608" spans="1:12" x14ac:dyDescent="0.35">
      <c r="A608" s="1" t="s">
        <v>35</v>
      </c>
      <c r="B608" s="3">
        <v>43826</v>
      </c>
      <c r="C608" s="3">
        <v>0</v>
      </c>
      <c r="D608" s="3">
        <v>279601</v>
      </c>
      <c r="E608" s="2">
        <v>0</v>
      </c>
      <c r="F608" s="3">
        <v>0</v>
      </c>
      <c r="G608" s="3"/>
      <c r="H608" s="3">
        <v>66551</v>
      </c>
      <c r="I608" s="3">
        <v>353238</v>
      </c>
      <c r="J608" s="1"/>
      <c r="K608" s="1">
        <v>3</v>
      </c>
      <c r="L608" s="1"/>
    </row>
    <row r="610" spans="1:12" x14ac:dyDescent="0.35">
      <c r="A610" s="14" t="s">
        <v>51</v>
      </c>
      <c r="B610" s="1" t="s">
        <v>4</v>
      </c>
      <c r="C610" s="1" t="s">
        <v>5</v>
      </c>
      <c r="D610" s="1" t="s">
        <v>6</v>
      </c>
      <c r="E610" s="1" t="s">
        <v>7</v>
      </c>
      <c r="F610" s="1" t="s">
        <v>8</v>
      </c>
      <c r="G610" s="1" t="s">
        <v>9</v>
      </c>
      <c r="H610" s="1" t="s">
        <v>10</v>
      </c>
      <c r="I610" s="1" t="s">
        <v>11</v>
      </c>
      <c r="J610" s="1" t="s">
        <v>12</v>
      </c>
      <c r="K610" s="1" t="s">
        <v>13</v>
      </c>
      <c r="L610" s="1" t="s">
        <v>14</v>
      </c>
    </row>
    <row r="611" spans="1:12" x14ac:dyDescent="0.35">
      <c r="A611" s="18" t="s">
        <v>15</v>
      </c>
      <c r="B611" s="17" t="s">
        <v>16</v>
      </c>
      <c r="C611" s="19" t="s">
        <v>17</v>
      </c>
      <c r="D611" s="17" t="s">
        <v>18</v>
      </c>
      <c r="E611" s="17" t="s">
        <v>19</v>
      </c>
      <c r="F611" s="17" t="s">
        <v>20</v>
      </c>
      <c r="G611" s="17" t="s">
        <v>21</v>
      </c>
      <c r="H611" s="17" t="s">
        <v>22</v>
      </c>
      <c r="I611" s="19" t="s">
        <v>23</v>
      </c>
      <c r="J611" s="17" t="s">
        <v>24</v>
      </c>
      <c r="K611" s="19" t="s">
        <v>25</v>
      </c>
      <c r="L611" s="17" t="s">
        <v>26</v>
      </c>
    </row>
    <row r="612" spans="1:12" x14ac:dyDescent="0.35">
      <c r="A612" s="18"/>
      <c r="B612" s="17"/>
      <c r="C612" s="19"/>
      <c r="D612" s="17"/>
      <c r="E612" s="17"/>
      <c r="F612" s="17"/>
      <c r="G612" s="17"/>
      <c r="H612" s="17"/>
      <c r="I612" s="19"/>
      <c r="J612" s="17"/>
      <c r="K612" s="19"/>
      <c r="L612" s="17"/>
    </row>
    <row r="613" spans="1:12" x14ac:dyDescent="0.35">
      <c r="A613" s="1" t="s">
        <v>27</v>
      </c>
      <c r="B613" s="3">
        <v>295728</v>
      </c>
      <c r="C613" s="3">
        <v>0</v>
      </c>
      <c r="D613" s="3">
        <v>145584</v>
      </c>
      <c r="E613" s="2">
        <v>0</v>
      </c>
      <c r="F613" s="3">
        <v>0</v>
      </c>
      <c r="G613" s="3"/>
      <c r="H613" s="3">
        <v>306529</v>
      </c>
      <c r="I613" s="3">
        <v>737040</v>
      </c>
      <c r="J613" s="1">
        <v>56</v>
      </c>
      <c r="K613" s="1">
        <v>14</v>
      </c>
      <c r="L613" s="1">
        <v>11</v>
      </c>
    </row>
    <row r="614" spans="1:12" x14ac:dyDescent="0.35">
      <c r="A614" s="1" t="s">
        <v>28</v>
      </c>
      <c r="B614" s="3">
        <v>971086</v>
      </c>
      <c r="C614" s="3">
        <v>0</v>
      </c>
      <c r="D614" s="3">
        <v>2993749</v>
      </c>
      <c r="E614" s="2">
        <v>0</v>
      </c>
      <c r="F614" s="3">
        <v>1513</v>
      </c>
      <c r="G614" s="3"/>
      <c r="H614" s="3">
        <v>123543</v>
      </c>
      <c r="I614" s="3">
        <v>4940587</v>
      </c>
      <c r="J614" s="1">
        <v>103</v>
      </c>
      <c r="K614" s="1">
        <v>44</v>
      </c>
      <c r="L614" s="1">
        <v>9</v>
      </c>
    </row>
    <row r="615" spans="1:12" x14ac:dyDescent="0.35">
      <c r="A615" s="1" t="s">
        <v>29</v>
      </c>
      <c r="B615" s="3">
        <v>1358391</v>
      </c>
      <c r="C615" s="3">
        <v>0</v>
      </c>
      <c r="D615" s="3">
        <v>2076806</v>
      </c>
      <c r="E615" s="2">
        <v>0</v>
      </c>
      <c r="F615" s="3">
        <v>1007846</v>
      </c>
      <c r="G615" s="3"/>
      <c r="H615" s="3">
        <v>488320</v>
      </c>
      <c r="I615" s="3">
        <v>4793588</v>
      </c>
      <c r="J615" s="1">
        <v>164</v>
      </c>
      <c r="K615" s="1">
        <v>56</v>
      </c>
      <c r="L615" s="1">
        <v>42</v>
      </c>
    </row>
    <row r="616" spans="1:12" x14ac:dyDescent="0.35">
      <c r="A616" s="1" t="s">
        <v>30</v>
      </c>
      <c r="B616" s="3">
        <v>270238</v>
      </c>
      <c r="C616" s="3">
        <v>0</v>
      </c>
      <c r="D616" s="3">
        <v>199562</v>
      </c>
      <c r="E616" s="2">
        <v>0</v>
      </c>
      <c r="F616" s="3">
        <v>0</v>
      </c>
      <c r="G616" s="3"/>
      <c r="H616" s="3">
        <v>58027</v>
      </c>
      <c r="I616" s="3">
        <v>740293</v>
      </c>
      <c r="J616" s="1">
        <v>20</v>
      </c>
      <c r="K616" s="1">
        <v>6</v>
      </c>
      <c r="L616" s="1">
        <v>6</v>
      </c>
    </row>
    <row r="617" spans="1:12" x14ac:dyDescent="0.35">
      <c r="A617" s="1" t="s">
        <v>31</v>
      </c>
      <c r="B617" s="3">
        <v>418098</v>
      </c>
      <c r="C617" s="3">
        <v>0</v>
      </c>
      <c r="D617" s="3">
        <v>421575</v>
      </c>
      <c r="E617" s="2">
        <v>0</v>
      </c>
      <c r="F617" s="3">
        <v>86813</v>
      </c>
      <c r="G617" s="3"/>
      <c r="H617" s="3">
        <v>134156</v>
      </c>
      <c r="I617" s="3">
        <v>1300170</v>
      </c>
      <c r="J617" s="1">
        <v>22</v>
      </c>
      <c r="K617" s="1">
        <v>2</v>
      </c>
      <c r="L617" s="1">
        <v>10</v>
      </c>
    </row>
    <row r="618" spans="1:12" x14ac:dyDescent="0.35">
      <c r="A618" s="1" t="s">
        <v>32</v>
      </c>
      <c r="B618" s="3">
        <v>4997722</v>
      </c>
      <c r="C618" s="3">
        <v>0</v>
      </c>
      <c r="D618" s="3">
        <v>3949746</v>
      </c>
      <c r="E618" s="2">
        <v>0</v>
      </c>
      <c r="F618" s="3">
        <v>0</v>
      </c>
      <c r="G618" s="3"/>
      <c r="H618" s="3">
        <v>3366405</v>
      </c>
      <c r="I618" s="3">
        <v>14759192</v>
      </c>
      <c r="J618" s="1">
        <v>745</v>
      </c>
      <c r="K618" s="1">
        <v>177</v>
      </c>
      <c r="L618" s="1">
        <v>163</v>
      </c>
    </row>
    <row r="619" spans="1:12" x14ac:dyDescent="0.35">
      <c r="A619" s="1" t="s">
        <v>33</v>
      </c>
      <c r="B619" s="3">
        <v>15842</v>
      </c>
      <c r="C619" s="3">
        <v>0</v>
      </c>
      <c r="D619" s="3">
        <v>0</v>
      </c>
      <c r="E619" s="2">
        <v>0</v>
      </c>
      <c r="F619" s="3">
        <v>0</v>
      </c>
      <c r="G619" s="3"/>
      <c r="H619" s="3">
        <v>226503</v>
      </c>
      <c r="I619" s="3">
        <v>31684</v>
      </c>
      <c r="J619" s="1">
        <v>22</v>
      </c>
      <c r="K619" s="1">
        <v>7</v>
      </c>
      <c r="L619" s="1">
        <v>3</v>
      </c>
    </row>
    <row r="620" spans="1:12" x14ac:dyDescent="0.35">
      <c r="A620" s="1" t="s">
        <v>34</v>
      </c>
      <c r="B620" s="3">
        <v>711595</v>
      </c>
      <c r="C620" s="3">
        <v>0</v>
      </c>
      <c r="D620" s="3">
        <v>105092</v>
      </c>
      <c r="E620" s="2">
        <v>0</v>
      </c>
      <c r="F620" s="3">
        <v>0</v>
      </c>
      <c r="G620" s="3"/>
      <c r="H620" s="3">
        <v>422132</v>
      </c>
      <c r="I620" s="3">
        <v>1528281</v>
      </c>
      <c r="J620" s="1">
        <v>76</v>
      </c>
      <c r="K620" s="1">
        <v>19</v>
      </c>
      <c r="L620" s="1">
        <v>12</v>
      </c>
    </row>
    <row r="621" spans="1:12" x14ac:dyDescent="0.35">
      <c r="A621" s="1" t="s">
        <v>35</v>
      </c>
      <c r="B621" s="3">
        <v>17306</v>
      </c>
      <c r="C621" s="3">
        <v>0</v>
      </c>
      <c r="D621" s="3">
        <v>24297</v>
      </c>
      <c r="E621" s="2">
        <v>0</v>
      </c>
      <c r="F621" s="3">
        <v>0</v>
      </c>
      <c r="G621" s="3"/>
      <c r="H621" s="3">
        <v>73647</v>
      </c>
      <c r="I621" s="3">
        <v>94861</v>
      </c>
      <c r="J621" s="1"/>
      <c r="K621" s="1">
        <v>9</v>
      </c>
      <c r="L621" s="1"/>
    </row>
    <row r="623" spans="1:12" x14ac:dyDescent="0.35">
      <c r="A623" s="14" t="s">
        <v>52</v>
      </c>
      <c r="B623" s="1" t="s">
        <v>4</v>
      </c>
      <c r="C623" s="1" t="s">
        <v>5</v>
      </c>
      <c r="D623" s="1" t="s">
        <v>6</v>
      </c>
      <c r="E623" s="1" t="s">
        <v>7</v>
      </c>
      <c r="F623" s="1" t="s">
        <v>8</v>
      </c>
      <c r="G623" s="1" t="s">
        <v>9</v>
      </c>
      <c r="H623" s="1" t="s">
        <v>10</v>
      </c>
      <c r="I623" s="1" t="s">
        <v>11</v>
      </c>
      <c r="J623" s="1" t="s">
        <v>12</v>
      </c>
      <c r="K623" s="1" t="s">
        <v>13</v>
      </c>
      <c r="L623" s="1" t="s">
        <v>14</v>
      </c>
    </row>
    <row r="624" spans="1:12" x14ac:dyDescent="0.35">
      <c r="A624" s="18" t="s">
        <v>15</v>
      </c>
      <c r="B624" s="17" t="s">
        <v>16</v>
      </c>
      <c r="C624" s="19" t="s">
        <v>17</v>
      </c>
      <c r="D624" s="17" t="s">
        <v>18</v>
      </c>
      <c r="E624" s="17" t="s">
        <v>19</v>
      </c>
      <c r="F624" s="17" t="s">
        <v>20</v>
      </c>
      <c r="G624" s="17" t="s">
        <v>21</v>
      </c>
      <c r="H624" s="17" t="s">
        <v>22</v>
      </c>
      <c r="I624" s="19" t="s">
        <v>23</v>
      </c>
      <c r="J624" s="17" t="s">
        <v>24</v>
      </c>
      <c r="K624" s="19" t="s">
        <v>25</v>
      </c>
      <c r="L624" s="17" t="s">
        <v>26</v>
      </c>
    </row>
    <row r="625" spans="1:12" x14ac:dyDescent="0.35">
      <c r="A625" s="18"/>
      <c r="B625" s="17"/>
      <c r="C625" s="19"/>
      <c r="D625" s="17"/>
      <c r="E625" s="17"/>
      <c r="F625" s="17"/>
      <c r="G625" s="17"/>
      <c r="H625" s="17"/>
      <c r="I625" s="19"/>
      <c r="J625" s="17"/>
      <c r="K625" s="19"/>
      <c r="L625" s="17"/>
    </row>
    <row r="626" spans="1:12" x14ac:dyDescent="0.35">
      <c r="A626" s="1" t="s">
        <v>27</v>
      </c>
      <c r="B626" s="3">
        <v>543772</v>
      </c>
      <c r="C626" s="3">
        <v>0</v>
      </c>
      <c r="D626" s="3">
        <v>257616</v>
      </c>
      <c r="E626" s="2">
        <v>0</v>
      </c>
      <c r="F626" s="3">
        <v>0</v>
      </c>
      <c r="G626" s="3"/>
      <c r="H626" s="3">
        <v>876652</v>
      </c>
      <c r="I626" s="3">
        <v>1345160</v>
      </c>
      <c r="J626" s="1">
        <v>85</v>
      </c>
      <c r="K626" s="1">
        <v>11</v>
      </c>
      <c r="L626" s="1">
        <v>23</v>
      </c>
    </row>
    <row r="627" spans="1:12" x14ac:dyDescent="0.35">
      <c r="A627" s="1" t="s">
        <v>28</v>
      </c>
      <c r="B627" s="3">
        <v>285364</v>
      </c>
      <c r="C627" s="3">
        <v>0</v>
      </c>
      <c r="D627" s="3">
        <v>1452021</v>
      </c>
      <c r="E627" s="2">
        <v>0</v>
      </c>
      <c r="F627" s="3">
        <v>45746</v>
      </c>
      <c r="G627" s="3"/>
      <c r="H627" s="3">
        <v>152893</v>
      </c>
      <c r="I627" s="3">
        <v>2057962</v>
      </c>
      <c r="J627" s="1">
        <v>77</v>
      </c>
      <c r="K627" s="1">
        <v>50</v>
      </c>
      <c r="L627" s="1">
        <v>8</v>
      </c>
    </row>
    <row r="628" spans="1:12" x14ac:dyDescent="0.35">
      <c r="A628" s="1" t="s">
        <v>29</v>
      </c>
      <c r="B628" s="3">
        <v>1873243</v>
      </c>
      <c r="C628" s="3">
        <v>0</v>
      </c>
      <c r="D628" s="3">
        <v>2856323</v>
      </c>
      <c r="E628" s="2">
        <v>0</v>
      </c>
      <c r="F628" s="3">
        <v>34922</v>
      </c>
      <c r="G628" s="3"/>
      <c r="H628" s="3">
        <v>667689</v>
      </c>
      <c r="I628" s="3">
        <v>6602810</v>
      </c>
      <c r="J628" s="1">
        <v>132</v>
      </c>
      <c r="K628" s="1">
        <v>72</v>
      </c>
      <c r="L628" s="1">
        <v>37</v>
      </c>
    </row>
    <row r="629" spans="1:12" x14ac:dyDescent="0.35">
      <c r="A629" s="1" t="s">
        <v>30</v>
      </c>
      <c r="B629" s="3">
        <v>434574</v>
      </c>
      <c r="C629" s="3">
        <v>0</v>
      </c>
      <c r="D629" s="3">
        <v>341888</v>
      </c>
      <c r="E629" s="2">
        <v>0</v>
      </c>
      <c r="F629" s="3">
        <v>0</v>
      </c>
      <c r="G629" s="3"/>
      <c r="H629" s="3">
        <v>55794</v>
      </c>
      <c r="I629" s="3">
        <v>1211036</v>
      </c>
      <c r="J629" s="1">
        <v>24</v>
      </c>
      <c r="K629" s="1">
        <v>2</v>
      </c>
      <c r="L629" s="1">
        <v>1</v>
      </c>
    </row>
    <row r="630" spans="1:12" x14ac:dyDescent="0.35">
      <c r="A630" s="1" t="s">
        <v>31</v>
      </c>
      <c r="B630" s="3">
        <v>821579</v>
      </c>
      <c r="C630" s="3">
        <v>0</v>
      </c>
      <c r="D630" s="3">
        <v>52823</v>
      </c>
      <c r="E630" s="2">
        <v>0</v>
      </c>
      <c r="F630" s="3">
        <v>1683</v>
      </c>
      <c r="G630" s="3"/>
      <c r="H630" s="3">
        <v>233445</v>
      </c>
      <c r="I630" s="3">
        <v>1695981</v>
      </c>
      <c r="J630" s="1">
        <v>18</v>
      </c>
      <c r="K630" s="1">
        <v>9</v>
      </c>
      <c r="L630" s="1">
        <v>8</v>
      </c>
    </row>
    <row r="631" spans="1:12" x14ac:dyDescent="0.35">
      <c r="A631" s="1" t="s">
        <v>32</v>
      </c>
      <c r="B631" s="3">
        <v>2569558</v>
      </c>
      <c r="C631" s="3">
        <v>0</v>
      </c>
      <c r="D631" s="3">
        <v>2427032</v>
      </c>
      <c r="E631" s="2">
        <v>0</v>
      </c>
      <c r="F631" s="3">
        <v>0</v>
      </c>
      <c r="G631" s="3"/>
      <c r="H631" s="3">
        <v>2274167</v>
      </c>
      <c r="I631" s="3">
        <v>8221989</v>
      </c>
      <c r="J631" s="1">
        <v>715</v>
      </c>
      <c r="K631" s="1">
        <v>231</v>
      </c>
      <c r="L631" s="1">
        <v>163</v>
      </c>
    </row>
    <row r="632" spans="1:12" x14ac:dyDescent="0.35">
      <c r="A632" s="1" t="s">
        <v>33</v>
      </c>
      <c r="B632" s="3">
        <v>13925</v>
      </c>
      <c r="C632" s="3">
        <v>0</v>
      </c>
      <c r="D632" s="3">
        <v>0</v>
      </c>
      <c r="E632" s="2">
        <v>0</v>
      </c>
      <c r="F632" s="3">
        <v>0</v>
      </c>
      <c r="G632" s="3"/>
      <c r="H632" s="3">
        <v>218953</v>
      </c>
      <c r="I632" s="3">
        <v>27851</v>
      </c>
      <c r="J632" s="1">
        <v>27</v>
      </c>
      <c r="K632" s="1">
        <v>4</v>
      </c>
      <c r="L632" s="1">
        <v>5</v>
      </c>
    </row>
    <row r="633" spans="1:12" x14ac:dyDescent="0.35">
      <c r="A633" s="1" t="s">
        <v>34</v>
      </c>
      <c r="B633" s="3">
        <v>979037</v>
      </c>
      <c r="C633" s="3">
        <v>0</v>
      </c>
      <c r="D633" s="3">
        <v>75840</v>
      </c>
      <c r="E633" s="2">
        <v>0</v>
      </c>
      <c r="F633" s="3">
        <v>0</v>
      </c>
      <c r="G633" s="3"/>
      <c r="H633" s="3">
        <v>490220</v>
      </c>
      <c r="I633" s="3">
        <v>2033913</v>
      </c>
      <c r="J633" s="1">
        <v>82</v>
      </c>
      <c r="K633" s="1">
        <v>20</v>
      </c>
      <c r="L633" s="1">
        <v>15</v>
      </c>
    </row>
    <row r="634" spans="1:12" x14ac:dyDescent="0.35">
      <c r="A634" s="1" t="s">
        <v>35</v>
      </c>
      <c r="B634" s="3">
        <v>125602</v>
      </c>
      <c r="C634" s="3">
        <v>0</v>
      </c>
      <c r="D634" s="3">
        <v>378639</v>
      </c>
      <c r="E634" s="2">
        <v>0</v>
      </c>
      <c r="F634" s="3">
        <v>0</v>
      </c>
      <c r="G634" s="3"/>
      <c r="H634" s="3">
        <v>83814</v>
      </c>
      <c r="I634" s="3">
        <v>634426</v>
      </c>
      <c r="J634" s="1"/>
      <c r="K634" s="1">
        <v>7</v>
      </c>
      <c r="L634" s="1"/>
    </row>
    <row r="636" spans="1:12" x14ac:dyDescent="0.35">
      <c r="A636" s="14" t="s">
        <v>53</v>
      </c>
      <c r="B636" s="1" t="s">
        <v>4</v>
      </c>
      <c r="C636" s="1" t="s">
        <v>5</v>
      </c>
      <c r="D636" s="1" t="s">
        <v>6</v>
      </c>
      <c r="E636" s="1" t="s">
        <v>7</v>
      </c>
      <c r="F636" s="1" t="s">
        <v>8</v>
      </c>
      <c r="G636" s="1" t="s">
        <v>9</v>
      </c>
      <c r="H636" s="1" t="s">
        <v>10</v>
      </c>
      <c r="I636" s="1" t="s">
        <v>11</v>
      </c>
      <c r="J636" s="1" t="s">
        <v>12</v>
      </c>
      <c r="K636" s="1" t="s">
        <v>13</v>
      </c>
      <c r="L636" s="1" t="s">
        <v>14</v>
      </c>
    </row>
    <row r="637" spans="1:12" x14ac:dyDescent="0.35">
      <c r="A637" s="18" t="s">
        <v>15</v>
      </c>
      <c r="B637" s="17" t="s">
        <v>16</v>
      </c>
      <c r="C637" s="19" t="s">
        <v>17</v>
      </c>
      <c r="D637" s="17" t="s">
        <v>18</v>
      </c>
      <c r="E637" s="17" t="s">
        <v>19</v>
      </c>
      <c r="F637" s="17" t="s">
        <v>20</v>
      </c>
      <c r="G637" s="17" t="s">
        <v>21</v>
      </c>
      <c r="H637" s="17" t="s">
        <v>22</v>
      </c>
      <c r="I637" s="19" t="s">
        <v>23</v>
      </c>
      <c r="J637" s="17" t="s">
        <v>24</v>
      </c>
      <c r="K637" s="19" t="s">
        <v>25</v>
      </c>
      <c r="L637" s="17" t="s">
        <v>26</v>
      </c>
    </row>
    <row r="638" spans="1:12" x14ac:dyDescent="0.35">
      <c r="A638" s="18"/>
      <c r="B638" s="17"/>
      <c r="C638" s="19"/>
      <c r="D638" s="17"/>
      <c r="E638" s="17"/>
      <c r="F638" s="17"/>
      <c r="G638" s="17"/>
      <c r="H638" s="17"/>
      <c r="I638" s="19"/>
      <c r="J638" s="17"/>
      <c r="K638" s="19"/>
      <c r="L638" s="17"/>
    </row>
    <row r="639" spans="1:12" x14ac:dyDescent="0.35">
      <c r="A639" s="1" t="s">
        <v>27</v>
      </c>
      <c r="B639" s="3">
        <v>135330</v>
      </c>
      <c r="C639" s="3">
        <v>0</v>
      </c>
      <c r="D639" s="3">
        <v>248503</v>
      </c>
      <c r="E639" s="2">
        <v>0</v>
      </c>
      <c r="F639" s="3">
        <v>0</v>
      </c>
      <c r="G639" s="3"/>
      <c r="H639" s="3">
        <v>135859</v>
      </c>
      <c r="I639" s="3">
        <v>519163</v>
      </c>
      <c r="J639" s="1">
        <v>83</v>
      </c>
      <c r="K639" s="1">
        <v>8</v>
      </c>
      <c r="L639" s="1">
        <v>27</v>
      </c>
    </row>
    <row r="640" spans="1:12" x14ac:dyDescent="0.35">
      <c r="A640" s="1" t="s">
        <v>28</v>
      </c>
      <c r="B640" s="3">
        <v>297194</v>
      </c>
      <c r="C640" s="3">
        <v>0</v>
      </c>
      <c r="D640" s="3">
        <v>1277983</v>
      </c>
      <c r="E640" s="2">
        <v>0</v>
      </c>
      <c r="F640" s="3">
        <v>146528</v>
      </c>
      <c r="G640" s="3"/>
      <c r="H640" s="3">
        <v>125171</v>
      </c>
      <c r="I640" s="3">
        <v>1899462</v>
      </c>
      <c r="J640" s="1">
        <v>83</v>
      </c>
      <c r="K640" s="1">
        <v>46</v>
      </c>
      <c r="L640" s="1">
        <v>8</v>
      </c>
    </row>
    <row r="641" spans="1:12" x14ac:dyDescent="0.35">
      <c r="A641" s="1" t="s">
        <v>29</v>
      </c>
      <c r="B641" s="3">
        <v>926237</v>
      </c>
      <c r="C641" s="3">
        <v>0</v>
      </c>
      <c r="D641" s="3">
        <v>1695223</v>
      </c>
      <c r="E641" s="2">
        <v>0</v>
      </c>
      <c r="F641" s="3">
        <v>74351</v>
      </c>
      <c r="G641" s="3"/>
      <c r="H641" s="3">
        <v>285425</v>
      </c>
      <c r="I641" s="3">
        <v>3547696</v>
      </c>
      <c r="J641" s="1">
        <v>165</v>
      </c>
      <c r="K641" s="1">
        <v>75</v>
      </c>
      <c r="L641" s="1">
        <v>43</v>
      </c>
    </row>
    <row r="642" spans="1:12" x14ac:dyDescent="0.35">
      <c r="A642" s="1" t="s">
        <v>30</v>
      </c>
      <c r="B642" s="3">
        <v>173939</v>
      </c>
      <c r="C642" s="3">
        <v>0</v>
      </c>
      <c r="D642" s="3">
        <v>70339</v>
      </c>
      <c r="E642" s="2">
        <v>0</v>
      </c>
      <c r="F642" s="3">
        <v>125704</v>
      </c>
      <c r="G642" s="3"/>
      <c r="H642" s="3">
        <v>25925</v>
      </c>
      <c r="I642" s="3">
        <v>418217</v>
      </c>
      <c r="J642" s="1">
        <v>20</v>
      </c>
      <c r="K642" s="1">
        <v>6</v>
      </c>
      <c r="L642" s="1">
        <v>4</v>
      </c>
    </row>
    <row r="643" spans="1:12" x14ac:dyDescent="0.35">
      <c r="A643" s="1" t="s">
        <v>31</v>
      </c>
      <c r="B643" s="3">
        <v>71179</v>
      </c>
      <c r="C643" s="3">
        <v>0</v>
      </c>
      <c r="D643" s="3">
        <v>679499</v>
      </c>
      <c r="E643" s="2">
        <v>0</v>
      </c>
      <c r="F643" s="3">
        <v>17817</v>
      </c>
      <c r="G643" s="3"/>
      <c r="H643" s="3">
        <v>82156</v>
      </c>
      <c r="I643" s="3">
        <v>826413</v>
      </c>
      <c r="J643" s="1">
        <v>20</v>
      </c>
      <c r="K643" s="1">
        <v>6</v>
      </c>
      <c r="L643" s="1">
        <v>12</v>
      </c>
    </row>
    <row r="644" spans="1:12" x14ac:dyDescent="0.35">
      <c r="A644" s="1" t="s">
        <v>32</v>
      </c>
      <c r="B644" s="3">
        <v>3051516</v>
      </c>
      <c r="C644" s="3">
        <v>0</v>
      </c>
      <c r="D644" s="3">
        <v>3841154</v>
      </c>
      <c r="E644" s="2">
        <v>0</v>
      </c>
      <c r="F644" s="3">
        <v>129</v>
      </c>
      <c r="G644" s="3"/>
      <c r="H644" s="3">
        <v>2495723</v>
      </c>
      <c r="I644" s="3">
        <v>10397063</v>
      </c>
      <c r="J644" s="1">
        <v>693</v>
      </c>
      <c r="K644" s="1">
        <v>232</v>
      </c>
      <c r="L644" s="1">
        <v>135</v>
      </c>
    </row>
    <row r="645" spans="1:12" x14ac:dyDescent="0.35">
      <c r="A645" s="1" t="s">
        <v>33</v>
      </c>
      <c r="B645" s="3">
        <v>6040</v>
      </c>
      <c r="C645" s="3">
        <v>0</v>
      </c>
      <c r="D645" s="3">
        <v>4268</v>
      </c>
      <c r="E645" s="2">
        <v>0</v>
      </c>
      <c r="F645" s="3">
        <v>0</v>
      </c>
      <c r="G645" s="3"/>
      <c r="H645" s="3">
        <v>71603</v>
      </c>
      <c r="I645" s="3">
        <v>16348</v>
      </c>
      <c r="J645" s="1">
        <v>36</v>
      </c>
      <c r="K645" s="1">
        <v>4</v>
      </c>
      <c r="L645" s="1">
        <v>4</v>
      </c>
    </row>
    <row r="646" spans="1:12" x14ac:dyDescent="0.35">
      <c r="A646" s="1" t="s">
        <v>34</v>
      </c>
      <c r="B646" s="3">
        <v>412291</v>
      </c>
      <c r="C646" s="3">
        <v>0</v>
      </c>
      <c r="D646" s="3">
        <v>83456</v>
      </c>
      <c r="E646" s="2">
        <v>0</v>
      </c>
      <c r="F646" s="3">
        <v>0</v>
      </c>
      <c r="G646" s="3"/>
      <c r="H646" s="3">
        <v>270507</v>
      </c>
      <c r="I646" s="3">
        <v>908037</v>
      </c>
      <c r="J646" s="1">
        <v>68</v>
      </c>
      <c r="K646" s="1">
        <v>13</v>
      </c>
      <c r="L646" s="1">
        <v>15</v>
      </c>
    </row>
    <row r="647" spans="1:12" x14ac:dyDescent="0.35">
      <c r="A647" s="1" t="s">
        <v>35</v>
      </c>
      <c r="B647" s="3">
        <v>5594</v>
      </c>
      <c r="C647" s="3">
        <v>0</v>
      </c>
      <c r="D647" s="3">
        <v>27262</v>
      </c>
      <c r="E647" s="2">
        <v>0</v>
      </c>
      <c r="F647" s="3">
        <v>0</v>
      </c>
      <c r="G647" s="3"/>
      <c r="H647" s="3">
        <v>9458</v>
      </c>
      <c r="I647" s="3">
        <v>38450</v>
      </c>
      <c r="J647" s="1"/>
      <c r="K647" s="1">
        <v>9</v>
      </c>
      <c r="L647" s="1"/>
    </row>
    <row r="649" spans="1:12" x14ac:dyDescent="0.35">
      <c r="A649" s="14" t="s">
        <v>54</v>
      </c>
      <c r="B649" s="1" t="s">
        <v>4</v>
      </c>
      <c r="C649" s="1" t="s">
        <v>5</v>
      </c>
      <c r="D649" s="1" t="s">
        <v>6</v>
      </c>
      <c r="E649" s="1" t="s">
        <v>7</v>
      </c>
      <c r="F649" s="1" t="s">
        <v>8</v>
      </c>
      <c r="G649" s="1" t="s">
        <v>9</v>
      </c>
      <c r="H649" s="1" t="s">
        <v>10</v>
      </c>
      <c r="I649" s="1" t="s">
        <v>11</v>
      </c>
      <c r="J649" s="1" t="s">
        <v>12</v>
      </c>
      <c r="K649" s="1" t="s">
        <v>13</v>
      </c>
      <c r="L649" s="1" t="s">
        <v>14</v>
      </c>
    </row>
    <row r="650" spans="1:12" x14ac:dyDescent="0.35">
      <c r="A650" s="18" t="s">
        <v>15</v>
      </c>
      <c r="B650" s="17" t="s">
        <v>16</v>
      </c>
      <c r="C650" s="19" t="s">
        <v>17</v>
      </c>
      <c r="D650" s="17" t="s">
        <v>18</v>
      </c>
      <c r="E650" s="17" t="s">
        <v>19</v>
      </c>
      <c r="F650" s="17" t="s">
        <v>20</v>
      </c>
      <c r="G650" s="17" t="s">
        <v>21</v>
      </c>
      <c r="H650" s="17" t="s">
        <v>22</v>
      </c>
      <c r="I650" s="19" t="s">
        <v>23</v>
      </c>
      <c r="J650" s="17" t="s">
        <v>24</v>
      </c>
      <c r="K650" s="19" t="s">
        <v>25</v>
      </c>
      <c r="L650" s="17" t="s">
        <v>26</v>
      </c>
    </row>
    <row r="651" spans="1:12" x14ac:dyDescent="0.35">
      <c r="A651" s="18"/>
      <c r="B651" s="17"/>
      <c r="C651" s="19"/>
      <c r="D651" s="17"/>
      <c r="E651" s="17"/>
      <c r="F651" s="17"/>
      <c r="G651" s="17"/>
      <c r="H651" s="17"/>
      <c r="I651" s="19"/>
      <c r="J651" s="17"/>
      <c r="K651" s="19"/>
      <c r="L651" s="17"/>
    </row>
    <row r="652" spans="1:12" x14ac:dyDescent="0.35">
      <c r="A652" s="1" t="s">
        <v>27</v>
      </c>
      <c r="B652" s="3">
        <v>189639</v>
      </c>
      <c r="C652" s="3">
        <v>0</v>
      </c>
      <c r="D652" s="3">
        <v>573891</v>
      </c>
      <c r="E652" s="2">
        <v>0</v>
      </c>
      <c r="F652" s="3">
        <v>0</v>
      </c>
      <c r="G652" s="3"/>
      <c r="H652" s="3">
        <v>235540</v>
      </c>
      <c r="I652" s="3">
        <v>953170</v>
      </c>
      <c r="J652" s="1">
        <v>80</v>
      </c>
      <c r="K652" s="1">
        <v>18</v>
      </c>
      <c r="L652" s="1">
        <v>27</v>
      </c>
    </row>
    <row r="653" spans="1:12" x14ac:dyDescent="0.35">
      <c r="A653" s="1" t="s">
        <v>28</v>
      </c>
      <c r="B653" s="3">
        <v>416073</v>
      </c>
      <c r="C653" s="3">
        <v>0</v>
      </c>
      <c r="D653" s="3">
        <v>1544732</v>
      </c>
      <c r="E653" s="2">
        <v>0</v>
      </c>
      <c r="F653" s="3">
        <v>19236</v>
      </c>
      <c r="G653" s="3"/>
      <c r="H653" s="3">
        <v>136442</v>
      </c>
      <c r="I653" s="3">
        <v>2387450</v>
      </c>
      <c r="J653" s="1">
        <v>101</v>
      </c>
      <c r="K653" s="1">
        <v>96</v>
      </c>
      <c r="L653" s="1">
        <v>16</v>
      </c>
    </row>
    <row r="654" spans="1:12" x14ac:dyDescent="0.35">
      <c r="A654" s="1" t="s">
        <v>29</v>
      </c>
      <c r="B654" s="3">
        <v>2624263</v>
      </c>
      <c r="C654" s="3">
        <v>0</v>
      </c>
      <c r="D654" s="3">
        <v>3942713</v>
      </c>
      <c r="E654" s="2">
        <v>0</v>
      </c>
      <c r="F654" s="3">
        <v>142266</v>
      </c>
      <c r="G654" s="3"/>
      <c r="H654" s="3">
        <v>733944</v>
      </c>
      <c r="I654" s="3">
        <v>9206103</v>
      </c>
      <c r="J654" s="1">
        <v>158</v>
      </c>
      <c r="K654" s="1">
        <v>82</v>
      </c>
      <c r="L654" s="1">
        <v>33</v>
      </c>
    </row>
    <row r="655" spans="1:12" x14ac:dyDescent="0.35">
      <c r="A655" s="1" t="s">
        <v>30</v>
      </c>
      <c r="B655" s="3">
        <v>243250</v>
      </c>
      <c r="C655" s="3">
        <v>0</v>
      </c>
      <c r="D655" s="3">
        <v>179623</v>
      </c>
      <c r="E655" s="2">
        <v>0</v>
      </c>
      <c r="F655" s="3">
        <v>0</v>
      </c>
      <c r="G655" s="3"/>
      <c r="H655" s="3">
        <v>22382</v>
      </c>
      <c r="I655" s="3">
        <v>666123</v>
      </c>
      <c r="J655" s="1">
        <v>17</v>
      </c>
      <c r="K655" s="1">
        <v>3</v>
      </c>
      <c r="L655" s="1">
        <v>1</v>
      </c>
    </row>
    <row r="656" spans="1:12" x14ac:dyDescent="0.35">
      <c r="A656" s="1" t="s">
        <v>31</v>
      </c>
      <c r="B656" s="3">
        <v>32444</v>
      </c>
      <c r="C656" s="3">
        <v>0</v>
      </c>
      <c r="D656" s="3">
        <v>276523</v>
      </c>
      <c r="E656" s="2">
        <v>0</v>
      </c>
      <c r="F656" s="3">
        <v>0</v>
      </c>
      <c r="G656" s="3"/>
      <c r="H656" s="3">
        <v>112331</v>
      </c>
      <c r="I656" s="3">
        <v>386771</v>
      </c>
      <c r="J656" s="1">
        <v>28</v>
      </c>
      <c r="K656" s="1">
        <v>15</v>
      </c>
      <c r="L656" s="1">
        <v>7</v>
      </c>
    </row>
    <row r="657" spans="1:12" x14ac:dyDescent="0.35">
      <c r="A657" s="1" t="s">
        <v>32</v>
      </c>
      <c r="B657" s="3">
        <v>4140630</v>
      </c>
      <c r="C657" s="3">
        <v>0</v>
      </c>
      <c r="D657" s="3">
        <v>3633306</v>
      </c>
      <c r="E657" s="2">
        <v>0</v>
      </c>
      <c r="F657" s="3">
        <v>222602</v>
      </c>
      <c r="G657" s="3"/>
      <c r="H657" s="3">
        <v>2920157</v>
      </c>
      <c r="I657" s="3">
        <v>12558535</v>
      </c>
      <c r="J657" s="1">
        <v>703</v>
      </c>
      <c r="K657" s="1">
        <v>305</v>
      </c>
      <c r="L657" s="1">
        <v>176</v>
      </c>
    </row>
    <row r="658" spans="1:12" x14ac:dyDescent="0.35">
      <c r="A658" s="1" t="s">
        <v>33</v>
      </c>
      <c r="B658" s="3">
        <v>32926</v>
      </c>
      <c r="C658" s="3">
        <v>0</v>
      </c>
      <c r="D658" s="3">
        <v>1425</v>
      </c>
      <c r="E658" s="2">
        <v>0</v>
      </c>
      <c r="F658" s="3">
        <v>0</v>
      </c>
      <c r="G658" s="3"/>
      <c r="H658" s="3">
        <v>143883</v>
      </c>
      <c r="I658" s="3">
        <v>67278</v>
      </c>
      <c r="J658" s="1">
        <v>48</v>
      </c>
      <c r="K658" s="1">
        <v>11</v>
      </c>
      <c r="L658" s="1">
        <v>4</v>
      </c>
    </row>
    <row r="659" spans="1:12" x14ac:dyDescent="0.35">
      <c r="A659" s="1" t="s">
        <v>34</v>
      </c>
      <c r="B659" s="3">
        <v>754609</v>
      </c>
      <c r="C659" s="3">
        <v>0</v>
      </c>
      <c r="D659" s="3">
        <v>125713</v>
      </c>
      <c r="E659" s="2">
        <v>0</v>
      </c>
      <c r="F659" s="3">
        <v>0</v>
      </c>
      <c r="G659" s="3"/>
      <c r="H659" s="3">
        <v>509475</v>
      </c>
      <c r="I659" s="3">
        <v>1634932</v>
      </c>
      <c r="J659" s="1">
        <v>89</v>
      </c>
      <c r="K659" s="1">
        <v>45</v>
      </c>
      <c r="L659" s="1">
        <v>17</v>
      </c>
    </row>
    <row r="660" spans="1:12" x14ac:dyDescent="0.35">
      <c r="A660" s="1" t="s">
        <v>35</v>
      </c>
      <c r="B660" s="3">
        <v>20227</v>
      </c>
      <c r="C660" s="3">
        <v>0</v>
      </c>
      <c r="D660" s="3">
        <v>26938</v>
      </c>
      <c r="E660" s="2">
        <v>0</v>
      </c>
      <c r="F660" s="3">
        <v>0</v>
      </c>
      <c r="G660" s="3"/>
      <c r="H660" s="3">
        <v>71452</v>
      </c>
      <c r="I660" s="3">
        <v>85713</v>
      </c>
      <c r="J660" s="1"/>
      <c r="K660" s="1">
        <v>16</v>
      </c>
      <c r="L660" s="1"/>
    </row>
    <row r="662" spans="1:12" x14ac:dyDescent="0.35">
      <c r="A662" s="14" t="s">
        <v>65</v>
      </c>
      <c r="B662" s="1" t="s">
        <v>4</v>
      </c>
      <c r="C662" s="1" t="s">
        <v>5</v>
      </c>
      <c r="D662" s="1" t="s">
        <v>6</v>
      </c>
      <c r="E662" s="1" t="s">
        <v>7</v>
      </c>
      <c r="F662" s="1" t="s">
        <v>8</v>
      </c>
      <c r="G662" s="1" t="s">
        <v>9</v>
      </c>
      <c r="H662" s="1" t="s">
        <v>10</v>
      </c>
      <c r="I662" s="1" t="s">
        <v>11</v>
      </c>
      <c r="J662" s="1" t="s">
        <v>12</v>
      </c>
      <c r="K662" s="1" t="s">
        <v>13</v>
      </c>
      <c r="L662" s="1" t="s">
        <v>14</v>
      </c>
    </row>
    <row r="663" spans="1:12" x14ac:dyDescent="0.35">
      <c r="A663" s="18" t="s">
        <v>15</v>
      </c>
      <c r="B663" s="17" t="s">
        <v>16</v>
      </c>
      <c r="C663" s="19" t="s">
        <v>17</v>
      </c>
      <c r="D663" s="17" t="s">
        <v>18</v>
      </c>
      <c r="E663" s="17" t="s">
        <v>19</v>
      </c>
      <c r="F663" s="17" t="s">
        <v>20</v>
      </c>
      <c r="G663" s="17" t="s">
        <v>21</v>
      </c>
      <c r="H663" s="17" t="s">
        <v>22</v>
      </c>
      <c r="I663" s="19" t="s">
        <v>23</v>
      </c>
      <c r="J663" s="17" t="s">
        <v>24</v>
      </c>
      <c r="K663" s="19" t="s">
        <v>25</v>
      </c>
      <c r="L663" s="17" t="s">
        <v>26</v>
      </c>
    </row>
    <row r="664" spans="1:12" x14ac:dyDescent="0.35">
      <c r="A664" s="18"/>
      <c r="B664" s="17"/>
      <c r="C664" s="19"/>
      <c r="D664" s="17"/>
      <c r="E664" s="17"/>
      <c r="F664" s="17"/>
      <c r="G664" s="17"/>
      <c r="H664" s="17"/>
      <c r="I664" s="19"/>
      <c r="J664" s="17"/>
      <c r="K664" s="19"/>
      <c r="L664" s="17"/>
    </row>
    <row r="665" spans="1:12" x14ac:dyDescent="0.35">
      <c r="A665" s="1" t="s">
        <v>27</v>
      </c>
      <c r="B665" s="3">
        <v>621974</v>
      </c>
      <c r="C665" s="2">
        <v>0</v>
      </c>
      <c r="D665" s="3">
        <v>440909</v>
      </c>
      <c r="E665" s="2">
        <v>0</v>
      </c>
      <c r="F665" s="3">
        <v>0</v>
      </c>
      <c r="G665" s="3"/>
      <c r="H665" s="3">
        <v>725933</v>
      </c>
      <c r="I665" s="3">
        <v>1684856</v>
      </c>
      <c r="J665" s="1">
        <v>50</v>
      </c>
      <c r="K665" s="1">
        <v>11</v>
      </c>
      <c r="L665" s="1">
        <v>13</v>
      </c>
    </row>
    <row r="666" spans="1:12" x14ac:dyDescent="0.35">
      <c r="A666" s="1" t="s">
        <v>28</v>
      </c>
      <c r="B666" s="3">
        <v>475086</v>
      </c>
      <c r="C666" s="2">
        <v>0</v>
      </c>
      <c r="D666" s="3">
        <v>1284619</v>
      </c>
      <c r="E666" s="2">
        <v>0</v>
      </c>
      <c r="F666" s="3">
        <v>31999</v>
      </c>
      <c r="G666" s="3"/>
      <c r="H666" s="3">
        <v>192331</v>
      </c>
      <c r="I666" s="3">
        <v>2263052</v>
      </c>
      <c r="J666" s="1">
        <v>82</v>
      </c>
      <c r="K666" s="1">
        <v>50</v>
      </c>
      <c r="L666" s="1">
        <v>13</v>
      </c>
    </row>
    <row r="667" spans="1:12" x14ac:dyDescent="0.35">
      <c r="A667" s="1" t="s">
        <v>29</v>
      </c>
      <c r="B667" s="3">
        <v>1210994</v>
      </c>
      <c r="C667" s="2">
        <v>0</v>
      </c>
      <c r="D667" s="3">
        <v>3549730</v>
      </c>
      <c r="E667" s="2">
        <v>0</v>
      </c>
      <c r="F667" s="3">
        <v>57253</v>
      </c>
      <c r="G667" s="3"/>
      <c r="H667" s="3">
        <v>966304</v>
      </c>
      <c r="I667" s="3">
        <v>5971717</v>
      </c>
      <c r="J667" s="1">
        <v>153</v>
      </c>
      <c r="K667" s="1">
        <v>57</v>
      </c>
      <c r="L667" s="1">
        <v>41</v>
      </c>
    </row>
    <row r="668" spans="1:12" x14ac:dyDescent="0.35">
      <c r="A668" s="1" t="s">
        <v>30</v>
      </c>
      <c r="B668" s="3">
        <v>227149</v>
      </c>
      <c r="C668" s="2">
        <v>0</v>
      </c>
      <c r="D668" s="3">
        <v>680062</v>
      </c>
      <c r="E668" s="2">
        <v>0</v>
      </c>
      <c r="F668" s="3">
        <v>25114</v>
      </c>
      <c r="G668" s="3"/>
      <c r="H668" s="3">
        <v>33837</v>
      </c>
      <c r="I668" s="3">
        <v>1134359</v>
      </c>
      <c r="J668" s="1">
        <v>22</v>
      </c>
      <c r="K668" s="1">
        <v>4</v>
      </c>
      <c r="L668" s="1">
        <v>2</v>
      </c>
    </row>
    <row r="669" spans="1:12" x14ac:dyDescent="0.35">
      <c r="A669" s="1" t="s">
        <v>31</v>
      </c>
      <c r="B669" s="3">
        <v>57482</v>
      </c>
      <c r="C669" s="2">
        <v>0</v>
      </c>
      <c r="D669" s="3">
        <v>786078</v>
      </c>
      <c r="E669" s="2">
        <v>0</v>
      </c>
      <c r="F669" s="3">
        <v>0</v>
      </c>
      <c r="G669" s="3"/>
      <c r="H669" s="3">
        <v>141539</v>
      </c>
      <c r="I669" s="3">
        <v>910732</v>
      </c>
      <c r="J669" s="1">
        <v>27</v>
      </c>
      <c r="K669" s="1">
        <v>9</v>
      </c>
      <c r="L669" s="1">
        <v>10</v>
      </c>
    </row>
    <row r="670" spans="1:12" x14ac:dyDescent="0.35">
      <c r="A670" s="1" t="s">
        <v>32</v>
      </c>
      <c r="B670" s="3">
        <v>5049762</v>
      </c>
      <c r="C670" s="2">
        <v>0</v>
      </c>
      <c r="D670" s="3">
        <v>3255381</v>
      </c>
      <c r="E670" s="2">
        <v>0</v>
      </c>
      <c r="F670" s="3">
        <v>0</v>
      </c>
      <c r="G670" s="3"/>
      <c r="H670" s="3">
        <v>2888855</v>
      </c>
      <c r="I670" s="3">
        <v>13791876</v>
      </c>
      <c r="J670" s="1">
        <v>594</v>
      </c>
      <c r="K670" s="1">
        <v>210</v>
      </c>
      <c r="L670" s="1">
        <v>139</v>
      </c>
    </row>
    <row r="671" spans="1:12" x14ac:dyDescent="0.35">
      <c r="A671" s="1" t="s">
        <v>33</v>
      </c>
      <c r="B671" s="3">
        <v>56482</v>
      </c>
      <c r="C671" s="2">
        <v>0</v>
      </c>
      <c r="D671" s="3">
        <v>2138</v>
      </c>
      <c r="E671" s="2">
        <v>0</v>
      </c>
      <c r="F671" s="3">
        <v>0</v>
      </c>
      <c r="G671" s="3"/>
      <c r="H671" s="3">
        <v>116418</v>
      </c>
      <c r="I671" s="3">
        <v>115101</v>
      </c>
      <c r="J671" s="1">
        <v>14</v>
      </c>
      <c r="K671" s="1">
        <v>13</v>
      </c>
      <c r="L671" s="1">
        <v>5</v>
      </c>
    </row>
    <row r="672" spans="1:12" x14ac:dyDescent="0.35">
      <c r="A672" s="1" t="s">
        <v>34</v>
      </c>
      <c r="B672" s="3">
        <v>815863</v>
      </c>
      <c r="C672" s="2">
        <v>0</v>
      </c>
      <c r="D672" s="3">
        <v>98115</v>
      </c>
      <c r="E672" s="2">
        <v>0</v>
      </c>
      <c r="F672" s="3">
        <v>0</v>
      </c>
      <c r="G672" s="3"/>
      <c r="H672" s="3">
        <v>413489</v>
      </c>
      <c r="I672" s="3">
        <v>1729841</v>
      </c>
      <c r="J672" s="1">
        <v>62</v>
      </c>
      <c r="K672" s="1">
        <v>23</v>
      </c>
      <c r="L672" s="1">
        <v>12</v>
      </c>
    </row>
    <row r="673" spans="1:12" x14ac:dyDescent="0.35">
      <c r="A673" s="1" t="s">
        <v>35</v>
      </c>
      <c r="B673" s="3">
        <v>238078</v>
      </c>
      <c r="C673" s="2">
        <v>0</v>
      </c>
      <c r="D673" s="3">
        <v>122593</v>
      </c>
      <c r="E673" s="2">
        <v>0</v>
      </c>
      <c r="F673" s="3">
        <v>0</v>
      </c>
      <c r="G673" s="3"/>
      <c r="H673" s="3">
        <v>79610</v>
      </c>
      <c r="I673" s="3">
        <v>615777</v>
      </c>
      <c r="J673" s="1"/>
      <c r="K673" s="1">
        <v>8</v>
      </c>
      <c r="L673" s="1"/>
    </row>
    <row r="675" spans="1:12" x14ac:dyDescent="0.35">
      <c r="A675" s="14" t="s">
        <v>56</v>
      </c>
      <c r="B675" s="1" t="s">
        <v>4</v>
      </c>
      <c r="C675" s="1" t="s">
        <v>5</v>
      </c>
      <c r="D675" s="1" t="s">
        <v>6</v>
      </c>
      <c r="E675" s="1" t="s">
        <v>7</v>
      </c>
      <c r="F675" s="1" t="s">
        <v>8</v>
      </c>
      <c r="G675" s="1" t="s">
        <v>9</v>
      </c>
      <c r="H675" s="1" t="s">
        <v>10</v>
      </c>
      <c r="I675" s="1" t="s">
        <v>11</v>
      </c>
      <c r="J675" s="1" t="s">
        <v>12</v>
      </c>
      <c r="K675" s="1" t="s">
        <v>13</v>
      </c>
      <c r="L675" s="1" t="s">
        <v>14</v>
      </c>
    </row>
    <row r="676" spans="1:12" x14ac:dyDescent="0.35">
      <c r="A676" s="18" t="s">
        <v>15</v>
      </c>
      <c r="B676" s="17" t="s">
        <v>16</v>
      </c>
      <c r="C676" s="19" t="s">
        <v>17</v>
      </c>
      <c r="D676" s="17" t="s">
        <v>18</v>
      </c>
      <c r="E676" s="17" t="s">
        <v>19</v>
      </c>
      <c r="F676" s="17" t="s">
        <v>20</v>
      </c>
      <c r="G676" s="17" t="s">
        <v>21</v>
      </c>
      <c r="H676" s="17" t="s">
        <v>22</v>
      </c>
      <c r="I676" s="19" t="s">
        <v>23</v>
      </c>
      <c r="J676" s="17" t="s">
        <v>24</v>
      </c>
      <c r="K676" s="19" t="s">
        <v>25</v>
      </c>
      <c r="L676" s="17" t="s">
        <v>26</v>
      </c>
    </row>
    <row r="677" spans="1:12" x14ac:dyDescent="0.35">
      <c r="A677" s="18"/>
      <c r="B677" s="17"/>
      <c r="C677" s="19"/>
      <c r="D677" s="17"/>
      <c r="E677" s="17"/>
      <c r="F677" s="17"/>
      <c r="G677" s="17"/>
      <c r="H677" s="17"/>
      <c r="I677" s="19"/>
      <c r="J677" s="17"/>
      <c r="K677" s="19"/>
      <c r="L677" s="17"/>
    </row>
    <row r="678" spans="1:12" x14ac:dyDescent="0.35">
      <c r="A678" s="1" t="s">
        <v>27</v>
      </c>
      <c r="B678" s="3">
        <v>597540</v>
      </c>
      <c r="C678" s="2">
        <v>0</v>
      </c>
      <c r="D678" s="3">
        <v>133728</v>
      </c>
      <c r="E678" s="2">
        <v>0</v>
      </c>
      <c r="F678" s="3">
        <v>0</v>
      </c>
      <c r="G678" s="3"/>
      <c r="H678" s="3">
        <v>315515</v>
      </c>
      <c r="I678" s="3">
        <v>1332762</v>
      </c>
      <c r="J678" s="1">
        <v>45</v>
      </c>
      <c r="K678" s="1">
        <v>10</v>
      </c>
      <c r="L678" s="1">
        <v>17</v>
      </c>
    </row>
    <row r="679" spans="1:12" x14ac:dyDescent="0.35">
      <c r="A679" s="1" t="s">
        <v>28</v>
      </c>
      <c r="B679" s="3">
        <v>282478</v>
      </c>
      <c r="C679" s="2">
        <v>0</v>
      </c>
      <c r="D679" s="3">
        <v>1448202</v>
      </c>
      <c r="E679" s="2">
        <v>0</v>
      </c>
      <c r="F679" s="3">
        <v>44266</v>
      </c>
      <c r="G679" s="3"/>
      <c r="H679" s="3">
        <v>97449</v>
      </c>
      <c r="I679" s="3">
        <v>2013157</v>
      </c>
      <c r="J679" s="1">
        <v>87</v>
      </c>
      <c r="K679" s="1">
        <v>49</v>
      </c>
      <c r="L679" s="1">
        <v>7</v>
      </c>
    </row>
    <row r="680" spans="1:12" x14ac:dyDescent="0.35">
      <c r="A680" s="1" t="s">
        <v>29</v>
      </c>
      <c r="B680" s="3">
        <v>912145</v>
      </c>
      <c r="C680" s="2">
        <v>0</v>
      </c>
      <c r="D680" s="3">
        <v>2467543</v>
      </c>
      <c r="E680" s="2">
        <v>0</v>
      </c>
      <c r="F680" s="3">
        <v>211990</v>
      </c>
      <c r="G680" s="3"/>
      <c r="H680" s="3">
        <v>239507</v>
      </c>
      <c r="I680" s="3">
        <v>4291833</v>
      </c>
      <c r="J680" s="1">
        <v>142</v>
      </c>
      <c r="K680" s="1">
        <v>67</v>
      </c>
      <c r="L680" s="1">
        <v>36</v>
      </c>
    </row>
    <row r="681" spans="1:12" x14ac:dyDescent="0.35">
      <c r="A681" s="1" t="s">
        <v>30</v>
      </c>
      <c r="B681" s="3">
        <v>60474</v>
      </c>
      <c r="C681" s="2">
        <v>0</v>
      </c>
      <c r="D681" s="3">
        <v>213612</v>
      </c>
      <c r="E681" s="2">
        <v>0</v>
      </c>
      <c r="F681" s="3">
        <v>0</v>
      </c>
      <c r="G681" s="3"/>
      <c r="H681" s="3">
        <v>23507</v>
      </c>
      <c r="I681" s="3">
        <v>334561</v>
      </c>
      <c r="J681" s="1">
        <v>16</v>
      </c>
      <c r="K681" s="1">
        <v>3</v>
      </c>
      <c r="L681" s="1">
        <v>2</v>
      </c>
    </row>
    <row r="682" spans="1:12" x14ac:dyDescent="0.35">
      <c r="A682" s="1" t="s">
        <v>31</v>
      </c>
      <c r="B682" s="3">
        <v>550504</v>
      </c>
      <c r="C682" s="2">
        <v>0</v>
      </c>
      <c r="D682" s="3">
        <v>1005291</v>
      </c>
      <c r="E682" s="2">
        <v>0</v>
      </c>
      <c r="F682" s="3">
        <v>21042</v>
      </c>
      <c r="G682" s="3"/>
      <c r="H682" s="3">
        <v>203461</v>
      </c>
      <c r="I682" s="3">
        <v>2112693</v>
      </c>
      <c r="J682" s="1">
        <v>18</v>
      </c>
      <c r="K682" s="1">
        <v>6</v>
      </c>
      <c r="L682" s="1">
        <v>7</v>
      </c>
    </row>
    <row r="683" spans="1:12" x14ac:dyDescent="0.35">
      <c r="A683" s="1" t="s">
        <v>32</v>
      </c>
      <c r="B683" s="3">
        <v>3610321</v>
      </c>
      <c r="C683" s="2">
        <v>0</v>
      </c>
      <c r="D683" s="3">
        <v>3250209</v>
      </c>
      <c r="E683" s="2">
        <v>0</v>
      </c>
      <c r="F683" s="3">
        <v>1106853</v>
      </c>
      <c r="G683" s="3"/>
      <c r="H683" s="3">
        <v>3164357</v>
      </c>
      <c r="I683" s="3">
        <v>11399407</v>
      </c>
      <c r="J683" s="1">
        <v>611</v>
      </c>
      <c r="K683" s="1">
        <v>270</v>
      </c>
      <c r="L683" s="1">
        <v>150</v>
      </c>
    </row>
    <row r="684" spans="1:12" x14ac:dyDescent="0.35">
      <c r="A684" s="1" t="s">
        <v>33</v>
      </c>
      <c r="B684" s="3">
        <v>18273</v>
      </c>
      <c r="C684" s="2">
        <v>0</v>
      </c>
      <c r="D684" s="3">
        <v>3594</v>
      </c>
      <c r="E684" s="2">
        <v>0</v>
      </c>
      <c r="F684" s="3">
        <v>0</v>
      </c>
      <c r="G684" s="3"/>
      <c r="H684" s="3">
        <v>89982</v>
      </c>
      <c r="I684" s="3">
        <v>40139</v>
      </c>
      <c r="J684" s="1">
        <v>14</v>
      </c>
      <c r="K684" s="1">
        <v>17</v>
      </c>
      <c r="L684" s="1">
        <v>3</v>
      </c>
    </row>
    <row r="685" spans="1:12" x14ac:dyDescent="0.35">
      <c r="A685" s="1" t="s">
        <v>34</v>
      </c>
      <c r="B685" s="3">
        <v>476698</v>
      </c>
      <c r="C685" s="2">
        <v>0</v>
      </c>
      <c r="D685" s="3">
        <v>73843</v>
      </c>
      <c r="E685" s="2">
        <v>0</v>
      </c>
      <c r="F685" s="3">
        <v>0</v>
      </c>
      <c r="G685" s="3"/>
      <c r="H685" s="3">
        <v>318535</v>
      </c>
      <c r="I685" s="3">
        <v>1027240</v>
      </c>
      <c r="J685" s="1">
        <v>68</v>
      </c>
      <c r="K685" s="1">
        <v>37</v>
      </c>
      <c r="L685" s="1">
        <v>10</v>
      </c>
    </row>
    <row r="686" spans="1:12" x14ac:dyDescent="0.35">
      <c r="A686" s="1" t="s">
        <v>35</v>
      </c>
      <c r="B686" s="3">
        <v>0</v>
      </c>
      <c r="C686" s="2">
        <v>0</v>
      </c>
      <c r="D686" s="3">
        <v>0</v>
      </c>
      <c r="E686" s="2">
        <v>0</v>
      </c>
      <c r="F686" s="3">
        <v>0</v>
      </c>
      <c r="G686" s="3"/>
      <c r="H686" s="3">
        <v>25567</v>
      </c>
      <c r="I686" s="3">
        <v>27160</v>
      </c>
      <c r="J686" s="1"/>
      <c r="K686" s="1">
        <v>8</v>
      </c>
      <c r="L686" s="1"/>
    </row>
    <row r="688" spans="1:12" x14ac:dyDescent="0.35">
      <c r="A688" s="14" t="s">
        <v>57</v>
      </c>
      <c r="B688" s="1" t="s">
        <v>4</v>
      </c>
      <c r="C688" s="1" t="s">
        <v>5</v>
      </c>
      <c r="D688" s="1" t="s">
        <v>6</v>
      </c>
      <c r="E688" s="1" t="s">
        <v>7</v>
      </c>
      <c r="F688" s="1" t="s">
        <v>8</v>
      </c>
      <c r="G688" s="1" t="s">
        <v>9</v>
      </c>
      <c r="H688" s="1" t="s">
        <v>10</v>
      </c>
      <c r="I688" s="1" t="s">
        <v>11</v>
      </c>
      <c r="J688" s="1" t="s">
        <v>12</v>
      </c>
      <c r="K688" s="1" t="s">
        <v>13</v>
      </c>
      <c r="L688" s="1" t="s">
        <v>14</v>
      </c>
    </row>
    <row r="689" spans="1:12" x14ac:dyDescent="0.35">
      <c r="A689" s="18" t="s">
        <v>15</v>
      </c>
      <c r="B689" s="17" t="s">
        <v>16</v>
      </c>
      <c r="C689" s="19" t="s">
        <v>17</v>
      </c>
      <c r="D689" s="17" t="s">
        <v>18</v>
      </c>
      <c r="E689" s="17" t="s">
        <v>19</v>
      </c>
      <c r="F689" s="17" t="s">
        <v>20</v>
      </c>
      <c r="G689" s="17" t="s">
        <v>21</v>
      </c>
      <c r="H689" s="17" t="s">
        <v>22</v>
      </c>
      <c r="I689" s="19" t="s">
        <v>23</v>
      </c>
      <c r="J689" s="17" t="s">
        <v>24</v>
      </c>
      <c r="K689" s="19" t="s">
        <v>25</v>
      </c>
      <c r="L689" s="17" t="s">
        <v>26</v>
      </c>
    </row>
    <row r="690" spans="1:12" x14ac:dyDescent="0.35">
      <c r="A690" s="18"/>
      <c r="B690" s="17"/>
      <c r="C690" s="19"/>
      <c r="D690" s="17"/>
      <c r="E690" s="17"/>
      <c r="F690" s="17"/>
      <c r="G690" s="17"/>
      <c r="H690" s="17"/>
      <c r="I690" s="19"/>
      <c r="J690" s="17"/>
      <c r="K690" s="19"/>
      <c r="L690" s="17"/>
    </row>
    <row r="691" spans="1:12" x14ac:dyDescent="0.35">
      <c r="A691" s="1" t="s">
        <v>27</v>
      </c>
      <c r="B691" s="3">
        <v>3715988</v>
      </c>
      <c r="C691" s="2">
        <v>0</v>
      </c>
      <c r="D691" s="3">
        <v>3544901</v>
      </c>
      <c r="E691" s="2">
        <v>0</v>
      </c>
      <c r="F691" s="3">
        <v>2503</v>
      </c>
      <c r="G691" s="3"/>
      <c r="H691" s="3">
        <v>3559648</v>
      </c>
      <c r="I691" s="3">
        <v>10980832</v>
      </c>
      <c r="J691" s="6">
        <v>816</v>
      </c>
      <c r="K691" s="6">
        <v>109</v>
      </c>
      <c r="L691" s="6">
        <v>225</v>
      </c>
    </row>
    <row r="692" spans="1:12" x14ac:dyDescent="0.35">
      <c r="A692" s="1" t="s">
        <v>28</v>
      </c>
      <c r="B692" s="3">
        <v>5362709</v>
      </c>
      <c r="C692" s="2">
        <v>0</v>
      </c>
      <c r="D692" s="3">
        <v>19292851</v>
      </c>
      <c r="E692" s="2">
        <v>0</v>
      </c>
      <c r="F692" s="3">
        <v>364143</v>
      </c>
      <c r="G692" s="3"/>
      <c r="H692" s="3">
        <v>1529134</v>
      </c>
      <c r="I692" s="3">
        <v>30178465</v>
      </c>
      <c r="J692" s="6">
        <v>1063</v>
      </c>
      <c r="K692" s="6">
        <v>685</v>
      </c>
      <c r="L692" s="6">
        <v>138</v>
      </c>
    </row>
    <row r="693" spans="1:12" x14ac:dyDescent="0.35">
      <c r="A693" s="1" t="s">
        <v>29</v>
      </c>
      <c r="B693" s="3">
        <v>16740746</v>
      </c>
      <c r="C693" s="2">
        <v>0</v>
      </c>
      <c r="D693" s="3">
        <v>28897176</v>
      </c>
      <c r="E693" s="2">
        <v>0</v>
      </c>
      <c r="F693" s="3">
        <v>1907542</v>
      </c>
      <c r="G693" s="3"/>
      <c r="H693" s="3">
        <v>6391071</v>
      </c>
      <c r="I693" s="3">
        <v>62406947</v>
      </c>
      <c r="J693" s="6">
        <v>1977</v>
      </c>
      <c r="K693" s="6">
        <v>786</v>
      </c>
      <c r="L693" s="6">
        <v>491</v>
      </c>
    </row>
    <row r="694" spans="1:12" x14ac:dyDescent="0.35">
      <c r="A694" s="1" t="s">
        <v>30</v>
      </c>
      <c r="B694" s="3">
        <v>2284963</v>
      </c>
      <c r="C694" s="2">
        <v>0</v>
      </c>
      <c r="D694" s="3">
        <v>3607400</v>
      </c>
      <c r="E694" s="2">
        <v>0</v>
      </c>
      <c r="F694" s="3">
        <v>182535</v>
      </c>
      <c r="G694" s="3"/>
      <c r="H694" s="3">
        <v>365222</v>
      </c>
      <c r="I694" s="3">
        <v>8177579</v>
      </c>
      <c r="J694" s="6">
        <v>240</v>
      </c>
      <c r="K694" s="6">
        <v>51</v>
      </c>
      <c r="L694" s="6">
        <v>51</v>
      </c>
    </row>
    <row r="695" spans="1:12" x14ac:dyDescent="0.35">
      <c r="A695" s="1" t="s">
        <v>31</v>
      </c>
      <c r="B695" s="3">
        <v>4591132</v>
      </c>
      <c r="C695" s="2">
        <v>0</v>
      </c>
      <c r="D695" s="3">
        <v>7520246</v>
      </c>
      <c r="E695" s="2">
        <v>0</v>
      </c>
      <c r="F695" s="3">
        <v>163244</v>
      </c>
      <c r="G695" s="3"/>
      <c r="H695" s="3">
        <v>2281390</v>
      </c>
      <c r="I695" s="3">
        <v>16890952</v>
      </c>
      <c r="J695" s="6">
        <v>277</v>
      </c>
      <c r="K695" s="6">
        <v>81</v>
      </c>
      <c r="L695" s="6">
        <v>120</v>
      </c>
    </row>
    <row r="696" spans="1:12" x14ac:dyDescent="0.35">
      <c r="A696" s="1" t="s">
        <v>32</v>
      </c>
      <c r="B696" s="3">
        <v>37028552</v>
      </c>
      <c r="C696" s="2">
        <v>0</v>
      </c>
      <c r="D696" s="3">
        <v>38447920</v>
      </c>
      <c r="E696" s="2">
        <v>0</v>
      </c>
      <c r="F696" s="3">
        <v>1691564</v>
      </c>
      <c r="G696" s="3"/>
      <c r="H696" s="3">
        <v>32169316</v>
      </c>
      <c r="I696" s="3">
        <v>120861380</v>
      </c>
      <c r="J696" s="6">
        <v>7661</v>
      </c>
      <c r="K696" s="6">
        <v>2510</v>
      </c>
      <c r="L696" s="6">
        <v>1715</v>
      </c>
    </row>
    <row r="697" spans="1:12" x14ac:dyDescent="0.35">
      <c r="A697" s="1" t="s">
        <v>33</v>
      </c>
      <c r="B697" s="3">
        <v>219390</v>
      </c>
      <c r="C697" s="2">
        <v>0</v>
      </c>
      <c r="D697" s="3">
        <v>36374</v>
      </c>
      <c r="E697" s="2">
        <v>0</v>
      </c>
      <c r="F697" s="3">
        <v>3862</v>
      </c>
      <c r="G697" s="3"/>
      <c r="H697" s="3">
        <v>1650464</v>
      </c>
      <c r="I697" s="3">
        <v>475155</v>
      </c>
      <c r="J697" s="6">
        <v>270</v>
      </c>
      <c r="K697" s="6">
        <v>92</v>
      </c>
      <c r="L697" s="6">
        <v>72</v>
      </c>
    </row>
    <row r="698" spans="1:12" x14ac:dyDescent="0.35">
      <c r="A698" s="1" t="s">
        <v>34</v>
      </c>
      <c r="B698" s="3">
        <v>10347231</v>
      </c>
      <c r="C698" s="2">
        <v>0</v>
      </c>
      <c r="D698" s="3">
        <v>825768</v>
      </c>
      <c r="E698" s="2">
        <v>0</v>
      </c>
      <c r="F698" s="3">
        <v>0</v>
      </c>
      <c r="G698" s="3"/>
      <c r="H698" s="3">
        <v>5072470</v>
      </c>
      <c r="I698" s="3">
        <v>21520229</v>
      </c>
      <c r="J698" s="6">
        <v>1050</v>
      </c>
      <c r="K698" s="6">
        <v>224</v>
      </c>
      <c r="L698" s="6">
        <v>181</v>
      </c>
    </row>
    <row r="699" spans="1:12" x14ac:dyDescent="0.35">
      <c r="A699" s="1" t="s">
        <v>35</v>
      </c>
      <c r="B699" s="3">
        <v>658938</v>
      </c>
      <c r="C699" s="2">
        <v>0</v>
      </c>
      <c r="D699" s="3">
        <v>1353730</v>
      </c>
      <c r="E699" s="2">
        <v>0</v>
      </c>
      <c r="F699" s="3">
        <v>23721</v>
      </c>
      <c r="G699" s="3"/>
      <c r="H699" s="3">
        <v>635943</v>
      </c>
      <c r="I699" s="3">
        <v>2894148</v>
      </c>
      <c r="J699" s="6">
        <v>0</v>
      </c>
      <c r="K699" s="6">
        <v>98</v>
      </c>
      <c r="L699" s="6">
        <v>0</v>
      </c>
    </row>
    <row r="701" spans="1:12" s="15" customFormat="1" x14ac:dyDescent="0.35"/>
  </sheetData>
  <mergeCells count="624"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A676:A677"/>
    <mergeCell ref="B676:B677"/>
    <mergeCell ref="C676:C677"/>
    <mergeCell ref="D676:D677"/>
    <mergeCell ref="E676:E677"/>
    <mergeCell ref="F676:F677"/>
    <mergeCell ref="L676:L677"/>
    <mergeCell ref="G676:G677"/>
    <mergeCell ref="H676:H677"/>
    <mergeCell ref="I676:I677"/>
    <mergeCell ref="J676:J677"/>
    <mergeCell ref="I689:I690"/>
    <mergeCell ref="J689:J690"/>
    <mergeCell ref="K689:K690"/>
    <mergeCell ref="K676:K677"/>
    <mergeCell ref="L689:L690"/>
    <mergeCell ref="L663:L664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K663:K664"/>
    <mergeCell ref="L637:L638"/>
    <mergeCell ref="G637:G638"/>
    <mergeCell ref="H637:H638"/>
    <mergeCell ref="I637:I638"/>
    <mergeCell ref="J637:J638"/>
    <mergeCell ref="K637:K638"/>
    <mergeCell ref="L650:L651"/>
    <mergeCell ref="A650:A651"/>
    <mergeCell ref="B650:B651"/>
    <mergeCell ref="C650:C651"/>
    <mergeCell ref="D650:D651"/>
    <mergeCell ref="E650:E651"/>
    <mergeCell ref="F650:F651"/>
    <mergeCell ref="G650:G651"/>
    <mergeCell ref="H650:H651"/>
    <mergeCell ref="A637:A638"/>
    <mergeCell ref="B637:B638"/>
    <mergeCell ref="C637:C638"/>
    <mergeCell ref="D637:D638"/>
    <mergeCell ref="E637:E638"/>
    <mergeCell ref="F637:F638"/>
    <mergeCell ref="I650:I651"/>
    <mergeCell ref="J650:J651"/>
    <mergeCell ref="K650:K651"/>
    <mergeCell ref="L624:L625"/>
    <mergeCell ref="A624:A625"/>
    <mergeCell ref="B624:B625"/>
    <mergeCell ref="C624:C625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L598:L599"/>
    <mergeCell ref="G598:G599"/>
    <mergeCell ref="H598:H599"/>
    <mergeCell ref="I598:I599"/>
    <mergeCell ref="J598:J599"/>
    <mergeCell ref="K598:K599"/>
    <mergeCell ref="L611:L612"/>
    <mergeCell ref="A611:A612"/>
    <mergeCell ref="B611:B612"/>
    <mergeCell ref="C611:C612"/>
    <mergeCell ref="D611:D612"/>
    <mergeCell ref="E611:E612"/>
    <mergeCell ref="F611:F612"/>
    <mergeCell ref="G611:G612"/>
    <mergeCell ref="H611:H612"/>
    <mergeCell ref="A598:A599"/>
    <mergeCell ref="B598:B599"/>
    <mergeCell ref="C598:C599"/>
    <mergeCell ref="D598:D599"/>
    <mergeCell ref="E598:E599"/>
    <mergeCell ref="F598:F599"/>
    <mergeCell ref="I611:I612"/>
    <mergeCell ref="J611:J612"/>
    <mergeCell ref="K611:K612"/>
    <mergeCell ref="L585:L586"/>
    <mergeCell ref="A585:A586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59:L560"/>
    <mergeCell ref="G559:G560"/>
    <mergeCell ref="H559:H560"/>
    <mergeCell ref="I559:I560"/>
    <mergeCell ref="J559:J560"/>
    <mergeCell ref="K559:K560"/>
    <mergeCell ref="L572:L573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A559:A560"/>
    <mergeCell ref="B559:B560"/>
    <mergeCell ref="C559:C560"/>
    <mergeCell ref="D559:D560"/>
    <mergeCell ref="E559:E560"/>
    <mergeCell ref="F559:F560"/>
    <mergeCell ref="I572:I573"/>
    <mergeCell ref="J572:J573"/>
    <mergeCell ref="K572:K573"/>
    <mergeCell ref="L546:L547"/>
    <mergeCell ref="A546:A547"/>
    <mergeCell ref="B546:B547"/>
    <mergeCell ref="C546:C547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L533:L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J533:J534"/>
    <mergeCell ref="K533:K534"/>
    <mergeCell ref="A501:A502"/>
    <mergeCell ref="B501:B502"/>
    <mergeCell ref="C501:C502"/>
    <mergeCell ref="D501:D502"/>
    <mergeCell ref="E501:E502"/>
    <mergeCell ref="L514:L515"/>
    <mergeCell ref="A514:A515"/>
    <mergeCell ref="B514:B515"/>
    <mergeCell ref="C514:C515"/>
    <mergeCell ref="D514:D515"/>
    <mergeCell ref="K514:K515"/>
    <mergeCell ref="E514:E515"/>
    <mergeCell ref="F514:F515"/>
    <mergeCell ref="G514:G515"/>
    <mergeCell ref="H514:H515"/>
    <mergeCell ref="I514:I515"/>
    <mergeCell ref="J514:J515"/>
    <mergeCell ref="K501:K502"/>
    <mergeCell ref="L501:L502"/>
    <mergeCell ref="F501:F502"/>
    <mergeCell ref="G501:G502"/>
    <mergeCell ref="H501:H502"/>
    <mergeCell ref="I501:I502"/>
    <mergeCell ref="J501:J502"/>
    <mergeCell ref="L488:L489"/>
    <mergeCell ref="F488:F489"/>
    <mergeCell ref="G488:G489"/>
    <mergeCell ref="H488:H489"/>
    <mergeCell ref="I488:I489"/>
    <mergeCell ref="J488:J489"/>
    <mergeCell ref="A475:A476"/>
    <mergeCell ref="B475:B476"/>
    <mergeCell ref="C475:C476"/>
    <mergeCell ref="D475:D476"/>
    <mergeCell ref="E475:E476"/>
    <mergeCell ref="K488:K489"/>
    <mergeCell ref="A488:A489"/>
    <mergeCell ref="B488:B489"/>
    <mergeCell ref="C488:C489"/>
    <mergeCell ref="D488:D489"/>
    <mergeCell ref="E488:E489"/>
    <mergeCell ref="K475:K476"/>
    <mergeCell ref="L475:L476"/>
    <mergeCell ref="F475:F476"/>
    <mergeCell ref="G475:G476"/>
    <mergeCell ref="H475:H476"/>
    <mergeCell ref="I475:I476"/>
    <mergeCell ref="J475:J476"/>
    <mergeCell ref="L462:L463"/>
    <mergeCell ref="F462:F463"/>
    <mergeCell ref="G462:G463"/>
    <mergeCell ref="H462:H463"/>
    <mergeCell ref="I462:I463"/>
    <mergeCell ref="J462:J463"/>
    <mergeCell ref="A449:A450"/>
    <mergeCell ref="B449:B450"/>
    <mergeCell ref="C449:C450"/>
    <mergeCell ref="D449:D450"/>
    <mergeCell ref="E449:E450"/>
    <mergeCell ref="K462:K463"/>
    <mergeCell ref="A462:A463"/>
    <mergeCell ref="B462:B463"/>
    <mergeCell ref="C462:C463"/>
    <mergeCell ref="D462:D463"/>
    <mergeCell ref="E462:E463"/>
    <mergeCell ref="K449:K450"/>
    <mergeCell ref="L449:L450"/>
    <mergeCell ref="F449:F450"/>
    <mergeCell ref="G449:G450"/>
    <mergeCell ref="H449:H450"/>
    <mergeCell ref="I449:I450"/>
    <mergeCell ref="J449:J450"/>
    <mergeCell ref="L436:L437"/>
    <mergeCell ref="F436:F437"/>
    <mergeCell ref="G436:G437"/>
    <mergeCell ref="H436:H437"/>
    <mergeCell ref="I436:I437"/>
    <mergeCell ref="J436:J437"/>
    <mergeCell ref="A423:A424"/>
    <mergeCell ref="B423:B424"/>
    <mergeCell ref="C423:C424"/>
    <mergeCell ref="D423:D424"/>
    <mergeCell ref="E423:E424"/>
    <mergeCell ref="K436:K437"/>
    <mergeCell ref="A436:A437"/>
    <mergeCell ref="B436:B437"/>
    <mergeCell ref="C436:C437"/>
    <mergeCell ref="D436:D437"/>
    <mergeCell ref="E436:E437"/>
    <mergeCell ref="K423:K424"/>
    <mergeCell ref="L423:L424"/>
    <mergeCell ref="F423:F424"/>
    <mergeCell ref="G423:G424"/>
    <mergeCell ref="H423:H424"/>
    <mergeCell ref="I423:I424"/>
    <mergeCell ref="J423:J424"/>
    <mergeCell ref="L410:L411"/>
    <mergeCell ref="F410:F411"/>
    <mergeCell ref="G410:G411"/>
    <mergeCell ref="H410:H411"/>
    <mergeCell ref="I410:I411"/>
    <mergeCell ref="J410:J411"/>
    <mergeCell ref="A397:A398"/>
    <mergeCell ref="B397:B398"/>
    <mergeCell ref="C397:C398"/>
    <mergeCell ref="D397:D398"/>
    <mergeCell ref="E397:E398"/>
    <mergeCell ref="K410:K411"/>
    <mergeCell ref="A410:A411"/>
    <mergeCell ref="B410:B411"/>
    <mergeCell ref="C410:C411"/>
    <mergeCell ref="D410:D411"/>
    <mergeCell ref="E410:E411"/>
    <mergeCell ref="K397:K398"/>
    <mergeCell ref="L397:L398"/>
    <mergeCell ref="F397:F398"/>
    <mergeCell ref="G397:G398"/>
    <mergeCell ref="H397:H398"/>
    <mergeCell ref="I397:I398"/>
    <mergeCell ref="J397:J398"/>
    <mergeCell ref="L384:L385"/>
    <mergeCell ref="F384:F385"/>
    <mergeCell ref="G384:G385"/>
    <mergeCell ref="H384:H385"/>
    <mergeCell ref="I384:I385"/>
    <mergeCell ref="J384:J385"/>
    <mergeCell ref="A371:A372"/>
    <mergeCell ref="B371:B372"/>
    <mergeCell ref="C371:C372"/>
    <mergeCell ref="D371:D372"/>
    <mergeCell ref="E371:E372"/>
    <mergeCell ref="K384:K385"/>
    <mergeCell ref="A384:A385"/>
    <mergeCell ref="B384:B385"/>
    <mergeCell ref="C384:C385"/>
    <mergeCell ref="D384:D385"/>
    <mergeCell ref="K371:K372"/>
    <mergeCell ref="E384:E385"/>
    <mergeCell ref="L371:L372"/>
    <mergeCell ref="F371:F372"/>
    <mergeCell ref="G371:G372"/>
    <mergeCell ref="H371:H372"/>
    <mergeCell ref="I371:I372"/>
    <mergeCell ref="J371:J372"/>
    <mergeCell ref="F358:F359"/>
    <mergeCell ref="G358:G359"/>
    <mergeCell ref="H358:H359"/>
    <mergeCell ref="I358:I359"/>
    <mergeCell ref="J358:J359"/>
    <mergeCell ref="L358:L359"/>
    <mergeCell ref="A358:A359"/>
    <mergeCell ref="B358:B359"/>
    <mergeCell ref="C358:C359"/>
    <mergeCell ref="D358:D359"/>
    <mergeCell ref="E358:E359"/>
    <mergeCell ref="H339:H340"/>
    <mergeCell ref="I339:I340"/>
    <mergeCell ref="J339:J340"/>
    <mergeCell ref="K339:K340"/>
    <mergeCell ref="K358:K359"/>
    <mergeCell ref="J326:J327"/>
    <mergeCell ref="K326:K327"/>
    <mergeCell ref="L339:L340"/>
    <mergeCell ref="A339:A340"/>
    <mergeCell ref="B339:B340"/>
    <mergeCell ref="C339:C340"/>
    <mergeCell ref="D339:D340"/>
    <mergeCell ref="E339:E340"/>
    <mergeCell ref="F339:F340"/>
    <mergeCell ref="G339:G340"/>
    <mergeCell ref="L326:L327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F313:F314"/>
    <mergeCell ref="G313:G314"/>
    <mergeCell ref="H313:H314"/>
    <mergeCell ref="I313:I314"/>
    <mergeCell ref="J313:J314"/>
    <mergeCell ref="K313:K314"/>
    <mergeCell ref="H300:H301"/>
    <mergeCell ref="I300:I301"/>
    <mergeCell ref="J300:J301"/>
    <mergeCell ref="K300:K301"/>
    <mergeCell ref="L313:L314"/>
    <mergeCell ref="A313:A314"/>
    <mergeCell ref="B313:B314"/>
    <mergeCell ref="C313:C314"/>
    <mergeCell ref="D313:D314"/>
    <mergeCell ref="E313:E314"/>
    <mergeCell ref="J287:J288"/>
    <mergeCell ref="K287:K288"/>
    <mergeCell ref="L300:L301"/>
    <mergeCell ref="A300:A301"/>
    <mergeCell ref="B300:B301"/>
    <mergeCell ref="C300:C301"/>
    <mergeCell ref="D300:D301"/>
    <mergeCell ref="E300:E301"/>
    <mergeCell ref="F300:F301"/>
    <mergeCell ref="G300:G301"/>
    <mergeCell ref="L287:L288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F274:F275"/>
    <mergeCell ref="G274:G275"/>
    <mergeCell ref="H274:H275"/>
    <mergeCell ref="I274:I275"/>
    <mergeCell ref="J274:J275"/>
    <mergeCell ref="K274:K275"/>
    <mergeCell ref="H261:H262"/>
    <mergeCell ref="I261:I262"/>
    <mergeCell ref="J261:J262"/>
    <mergeCell ref="K261:K262"/>
    <mergeCell ref="L274:L275"/>
    <mergeCell ref="A274:A275"/>
    <mergeCell ref="B274:B275"/>
    <mergeCell ref="C274:C275"/>
    <mergeCell ref="D274:D275"/>
    <mergeCell ref="E274:E275"/>
    <mergeCell ref="J248:J249"/>
    <mergeCell ref="K248:K249"/>
    <mergeCell ref="L261:L262"/>
    <mergeCell ref="A261:A262"/>
    <mergeCell ref="B261:B262"/>
    <mergeCell ref="C261:C262"/>
    <mergeCell ref="D261:D262"/>
    <mergeCell ref="E261:E262"/>
    <mergeCell ref="F261:F262"/>
    <mergeCell ref="G261:G262"/>
    <mergeCell ref="L248:L249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F235:F236"/>
    <mergeCell ref="G235:G236"/>
    <mergeCell ref="H235:H236"/>
    <mergeCell ref="I235:I236"/>
    <mergeCell ref="J235:J236"/>
    <mergeCell ref="K235:K236"/>
    <mergeCell ref="H222:H223"/>
    <mergeCell ref="I222:I223"/>
    <mergeCell ref="J222:J223"/>
    <mergeCell ref="K222:K223"/>
    <mergeCell ref="L235:L236"/>
    <mergeCell ref="A235:A236"/>
    <mergeCell ref="B235:B236"/>
    <mergeCell ref="C235:C236"/>
    <mergeCell ref="D235:D236"/>
    <mergeCell ref="E235:E236"/>
    <mergeCell ref="J209:J210"/>
    <mergeCell ref="K209:K210"/>
    <mergeCell ref="L222:L223"/>
    <mergeCell ref="A222:A223"/>
    <mergeCell ref="B222:B223"/>
    <mergeCell ref="C222:C223"/>
    <mergeCell ref="D222:D223"/>
    <mergeCell ref="E222:E223"/>
    <mergeCell ref="F222:F223"/>
    <mergeCell ref="G222:G223"/>
    <mergeCell ref="L209:L210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F196:F197"/>
    <mergeCell ref="G196:G197"/>
    <mergeCell ref="H196:H197"/>
    <mergeCell ref="I196:I197"/>
    <mergeCell ref="J196:J197"/>
    <mergeCell ref="K196:K197"/>
    <mergeCell ref="H183:H184"/>
    <mergeCell ref="I183:I184"/>
    <mergeCell ref="J183:J184"/>
    <mergeCell ref="K183:K184"/>
    <mergeCell ref="L196:L197"/>
    <mergeCell ref="A196:A197"/>
    <mergeCell ref="B196:B197"/>
    <mergeCell ref="C196:C197"/>
    <mergeCell ref="D196:D197"/>
    <mergeCell ref="E196:E197"/>
    <mergeCell ref="J164:J165"/>
    <mergeCell ref="K164:K165"/>
    <mergeCell ref="L183:L184"/>
    <mergeCell ref="A183:A184"/>
    <mergeCell ref="B183:B184"/>
    <mergeCell ref="C183:C184"/>
    <mergeCell ref="D183:D184"/>
    <mergeCell ref="E183:E184"/>
    <mergeCell ref="F183:F184"/>
    <mergeCell ref="G183:G184"/>
    <mergeCell ref="L164:L165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F151:F152"/>
    <mergeCell ref="G151:G152"/>
    <mergeCell ref="H151:H152"/>
    <mergeCell ref="I151:I152"/>
    <mergeCell ref="J151:J152"/>
    <mergeCell ref="K151:K152"/>
    <mergeCell ref="H138:H139"/>
    <mergeCell ref="I138:I139"/>
    <mergeCell ref="J138:J139"/>
    <mergeCell ref="K138:K139"/>
    <mergeCell ref="J112:J113"/>
    <mergeCell ref="K112:K113"/>
    <mergeCell ref="H99:H100"/>
    <mergeCell ref="I99:I100"/>
    <mergeCell ref="J99:J100"/>
    <mergeCell ref="K99:K100"/>
    <mergeCell ref="L151:L152"/>
    <mergeCell ref="A151:A152"/>
    <mergeCell ref="B151:B152"/>
    <mergeCell ref="C151:C152"/>
    <mergeCell ref="D151:D152"/>
    <mergeCell ref="E151:E152"/>
    <mergeCell ref="J125:J126"/>
    <mergeCell ref="K125:K126"/>
    <mergeCell ref="L138:L139"/>
    <mergeCell ref="A138:A139"/>
    <mergeCell ref="B138:B139"/>
    <mergeCell ref="C138:C139"/>
    <mergeCell ref="D138:D139"/>
    <mergeCell ref="E138:E139"/>
    <mergeCell ref="F138:F139"/>
    <mergeCell ref="G138:G139"/>
    <mergeCell ref="L125:L126"/>
    <mergeCell ref="A125:A126"/>
    <mergeCell ref="B86:B87"/>
    <mergeCell ref="C86:C87"/>
    <mergeCell ref="D86:D87"/>
    <mergeCell ref="E86:E87"/>
    <mergeCell ref="F86:F87"/>
    <mergeCell ref="G86:G87"/>
    <mergeCell ref="H125:H126"/>
    <mergeCell ref="I125:I126"/>
    <mergeCell ref="F112:F113"/>
    <mergeCell ref="G112:G113"/>
    <mergeCell ref="H112:H113"/>
    <mergeCell ref="I112:I113"/>
    <mergeCell ref="B125:B126"/>
    <mergeCell ref="C125:C126"/>
    <mergeCell ref="D125:D126"/>
    <mergeCell ref="E125:E126"/>
    <mergeCell ref="F125:F126"/>
    <mergeCell ref="G125:G126"/>
    <mergeCell ref="J73:J74"/>
    <mergeCell ref="K73:K74"/>
    <mergeCell ref="H60:H61"/>
    <mergeCell ref="I60:I61"/>
    <mergeCell ref="J60:J61"/>
    <mergeCell ref="K60:K61"/>
    <mergeCell ref="L112:L113"/>
    <mergeCell ref="A112:A113"/>
    <mergeCell ref="B112:B113"/>
    <mergeCell ref="C112:C113"/>
    <mergeCell ref="D112:D113"/>
    <mergeCell ref="E112:E113"/>
    <mergeCell ref="J86:J87"/>
    <mergeCell ref="K86:K87"/>
    <mergeCell ref="L99:L100"/>
    <mergeCell ref="A99:A100"/>
    <mergeCell ref="B99:B100"/>
    <mergeCell ref="C99:C100"/>
    <mergeCell ref="D99:D100"/>
    <mergeCell ref="E99:E100"/>
    <mergeCell ref="F99:F100"/>
    <mergeCell ref="G99:G100"/>
    <mergeCell ref="L86:L87"/>
    <mergeCell ref="A86:A87"/>
    <mergeCell ref="C47:C48"/>
    <mergeCell ref="D47:D48"/>
    <mergeCell ref="E47:E48"/>
    <mergeCell ref="F47:F48"/>
    <mergeCell ref="G47:G48"/>
    <mergeCell ref="H86:H87"/>
    <mergeCell ref="I86:I87"/>
    <mergeCell ref="F73:F74"/>
    <mergeCell ref="G73:G74"/>
    <mergeCell ref="H73:H74"/>
    <mergeCell ref="I73:I74"/>
    <mergeCell ref="K34:K35"/>
    <mergeCell ref="H21:H22"/>
    <mergeCell ref="I21:I22"/>
    <mergeCell ref="J21:J22"/>
    <mergeCell ref="K21:K22"/>
    <mergeCell ref="L73:L74"/>
    <mergeCell ref="A73:A74"/>
    <mergeCell ref="B73:B74"/>
    <mergeCell ref="C73:C74"/>
    <mergeCell ref="D73:D74"/>
    <mergeCell ref="E73:E74"/>
    <mergeCell ref="J47:J48"/>
    <mergeCell ref="K47:K48"/>
    <mergeCell ref="L60:L61"/>
    <mergeCell ref="A60:A61"/>
    <mergeCell ref="B60:B61"/>
    <mergeCell ref="C60:C61"/>
    <mergeCell ref="D60:D61"/>
    <mergeCell ref="E60:E61"/>
    <mergeCell ref="F60:F61"/>
    <mergeCell ref="G60:G61"/>
    <mergeCell ref="L47:L48"/>
    <mergeCell ref="A47:A48"/>
    <mergeCell ref="B47:B48"/>
    <mergeCell ref="G8:G9"/>
    <mergeCell ref="F8:F9"/>
    <mergeCell ref="H47:H48"/>
    <mergeCell ref="I47:I48"/>
    <mergeCell ref="F34:F35"/>
    <mergeCell ref="G34:G35"/>
    <mergeCell ref="H34:H35"/>
    <mergeCell ref="I34:I35"/>
    <mergeCell ref="J34:J35"/>
    <mergeCell ref="E8:E9"/>
    <mergeCell ref="D8:D9"/>
    <mergeCell ref="L34:L35"/>
    <mergeCell ref="A34:A35"/>
    <mergeCell ref="B34:B35"/>
    <mergeCell ref="C34:C35"/>
    <mergeCell ref="D34:D35"/>
    <mergeCell ref="E34:E35"/>
    <mergeCell ref="C8:C9"/>
    <mergeCell ref="B8:B9"/>
    <mergeCell ref="L21:L22"/>
    <mergeCell ref="A21:A22"/>
    <mergeCell ref="B21:B22"/>
    <mergeCell ref="C21:C22"/>
    <mergeCell ref="D21:D22"/>
    <mergeCell ref="E21:E22"/>
    <mergeCell ref="F21:F22"/>
    <mergeCell ref="G21:G22"/>
    <mergeCell ref="A8:A9"/>
    <mergeCell ref="L8:L9"/>
    <mergeCell ref="K8:K9"/>
    <mergeCell ref="J8:J9"/>
    <mergeCell ref="I8:I9"/>
    <mergeCell ref="H8:H9"/>
  </mergeCells>
  <pageMargins left="0.7" right="0.7" top="0.75" bottom="0.75" header="0.3" footer="0.3"/>
  <pageSetup scale="31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7659-ED7B-43DF-BE1A-12F17F3740FB}">
  <dimension ref="A1:L83"/>
  <sheetViews>
    <sheetView workbookViewId="0">
      <pane xSplit="1" topLeftCell="H1" activePane="topRight" state="frozen"/>
      <selection pane="topRight" activeCell="I87" sqref="I87"/>
    </sheetView>
  </sheetViews>
  <sheetFormatPr defaultRowHeight="14.5" x14ac:dyDescent="0.35"/>
  <cols>
    <col min="1" max="1" width="46.453125" bestFit="1" customWidth="1"/>
    <col min="2" max="2" width="38" hidden="1" customWidth="1"/>
    <col min="3" max="3" width="33.36328125" hidden="1" customWidth="1"/>
    <col min="4" max="4" width="39.36328125" hidden="1" customWidth="1"/>
    <col min="5" max="5" width="34.6328125" hidden="1" customWidth="1"/>
    <col min="6" max="6" width="40" hidden="1" customWidth="1"/>
    <col min="7" max="7" width="32" hidden="1" customWidth="1"/>
    <col min="8" max="8" width="30.08984375" customWidth="1"/>
    <col min="9" max="9" width="28.6328125" customWidth="1"/>
    <col min="10" max="10" width="34.453125" bestFit="1" customWidth="1"/>
    <col min="11" max="11" width="35.90625" bestFit="1" customWidth="1"/>
    <col min="12" max="12" width="37.54296875" bestFit="1" customWidth="1"/>
  </cols>
  <sheetData>
    <row r="1" spans="1:12" x14ac:dyDescent="0.35">
      <c r="A1" s="4" t="s">
        <v>0</v>
      </c>
    </row>
    <row r="2" spans="1:12" x14ac:dyDescent="0.35">
      <c r="A2" t="s">
        <v>1</v>
      </c>
    </row>
    <row r="3" spans="1:12" x14ac:dyDescent="0.35">
      <c r="A3" t="s">
        <v>2</v>
      </c>
    </row>
    <row r="4" spans="1:12" x14ac:dyDescent="0.35">
      <c r="A4" t="s">
        <v>3</v>
      </c>
    </row>
    <row r="7" spans="1:12" x14ac:dyDescent="0.35">
      <c r="A7" s="1"/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</row>
    <row r="8" spans="1:12" x14ac:dyDescent="0.35">
      <c r="A8" s="18" t="s">
        <v>15</v>
      </c>
      <c r="B8" s="17" t="s">
        <v>16</v>
      </c>
      <c r="C8" s="19" t="s">
        <v>17</v>
      </c>
      <c r="D8" s="17" t="s">
        <v>18</v>
      </c>
      <c r="E8" s="17" t="s">
        <v>19</v>
      </c>
      <c r="F8" s="17" t="s">
        <v>20</v>
      </c>
      <c r="G8" s="17" t="s">
        <v>21</v>
      </c>
      <c r="H8" s="17" t="s">
        <v>22</v>
      </c>
      <c r="I8" s="19" t="s">
        <v>23</v>
      </c>
      <c r="J8" s="17" t="s">
        <v>24</v>
      </c>
      <c r="K8" s="19" t="s">
        <v>25</v>
      </c>
      <c r="L8" s="17" t="s">
        <v>26</v>
      </c>
    </row>
    <row r="9" spans="1:12" x14ac:dyDescent="0.35">
      <c r="A9" s="18"/>
      <c r="B9" s="17"/>
      <c r="C9" s="19"/>
      <c r="D9" s="17"/>
      <c r="E9" s="17"/>
      <c r="F9" s="17"/>
      <c r="G9" s="17"/>
      <c r="H9" s="17"/>
      <c r="I9" s="19"/>
      <c r="J9" s="17"/>
      <c r="K9" s="19"/>
      <c r="L9" s="17"/>
    </row>
    <row r="10" spans="1:12" x14ac:dyDescent="0.35">
      <c r="A10" s="1" t="s">
        <v>27</v>
      </c>
      <c r="B10" s="2"/>
      <c r="C10" s="2"/>
      <c r="D10" s="2"/>
      <c r="E10" s="2"/>
      <c r="F10" s="2"/>
      <c r="G10" s="2"/>
      <c r="H10" s="2"/>
      <c r="I10" s="2"/>
      <c r="J10" s="6">
        <f>SUM(Sheet1!J10,Sheet1!J23,Sheet1!J36,Sheet1!J49,Sheet1!J62,Sheet1!J75,Sheet1!J88,Sheet1!J101,Sheet1!J114,Sheet1!J127,Sheet1!J140,Sheet1!J153)</f>
        <v>15</v>
      </c>
      <c r="K10" s="6">
        <f>SUM(Sheet1!K10,Sheet1!K23,Sheet1!K36,Sheet1!K49,Sheet1!K62,Sheet1!K75,Sheet1!K88,Sheet1!K101,Sheet1!K114,Sheet1!K127,Sheet1!K140,Sheet1!K153)</f>
        <v>3</v>
      </c>
      <c r="L10" s="6">
        <f>SUM(Sheet1!L10,Sheet1!L23,Sheet1!L36,Sheet1!L49,Sheet1!L62,Sheet1!L75,Sheet1!L88,Sheet1!L101,Sheet1!L114,Sheet1!L127,Sheet1!L140,Sheet1!L153)</f>
        <v>6</v>
      </c>
    </row>
    <row r="11" spans="1:12" x14ac:dyDescent="0.35">
      <c r="A11" s="1" t="s">
        <v>28</v>
      </c>
      <c r="B11" s="2"/>
      <c r="C11" s="2"/>
      <c r="D11" s="2"/>
      <c r="E11" s="2"/>
      <c r="F11" s="2"/>
      <c r="G11" s="2"/>
      <c r="H11" s="2"/>
      <c r="I11" s="2"/>
      <c r="J11" s="6">
        <f>SUM(Sheet1!J11,Sheet1!J24,Sheet1!J37,Sheet1!J50,Sheet1!J63,Sheet1!J76,Sheet1!J89,Sheet1!J102,Sheet1!J115,Sheet1!J128,Sheet1!J141,Sheet1!J154)</f>
        <v>9</v>
      </c>
      <c r="K11" s="6">
        <f>SUM(Sheet1!K11,Sheet1!K24,Sheet1!K37,Sheet1!K50,Sheet1!K63,Sheet1!K76,Sheet1!K89,Sheet1!K102,Sheet1!K115,Sheet1!K128,Sheet1!K141,Sheet1!K154)</f>
        <v>3</v>
      </c>
      <c r="L11" s="6">
        <f>SUM(Sheet1!L11,Sheet1!L24,Sheet1!L37,Sheet1!L50,Sheet1!L63,Sheet1!L76,Sheet1!L89,Sheet1!L102,Sheet1!L115,Sheet1!L128,Sheet1!L141,Sheet1!L154)</f>
        <v>1</v>
      </c>
    </row>
    <row r="12" spans="1:12" x14ac:dyDescent="0.35">
      <c r="A12" s="1" t="s">
        <v>29</v>
      </c>
      <c r="B12" s="2"/>
      <c r="C12" s="2"/>
      <c r="D12" s="2"/>
      <c r="E12" s="2"/>
      <c r="F12" s="2"/>
      <c r="G12" s="2"/>
      <c r="H12" s="2"/>
      <c r="I12" s="2"/>
      <c r="J12" s="6">
        <f>SUM(Sheet1!J12,Sheet1!J25,Sheet1!J38,Sheet1!J51,Sheet1!J64,Sheet1!J77,Sheet1!J90,Sheet1!J103,Sheet1!J116,Sheet1!J129,Sheet1!J142,Sheet1!J155)</f>
        <v>365</v>
      </c>
      <c r="K12" s="6">
        <f>SUM(Sheet1!K12,Sheet1!K25,Sheet1!K38,Sheet1!K51,Sheet1!K64,Sheet1!K77,Sheet1!K90,Sheet1!K103,Sheet1!K116,Sheet1!K129,Sheet1!K142,Sheet1!K155)</f>
        <v>270</v>
      </c>
      <c r="L12" s="6">
        <f>SUM(Sheet1!L12,Sheet1!L25,Sheet1!L38,Sheet1!L51,Sheet1!L64,Sheet1!L77,Sheet1!L90,Sheet1!L103,Sheet1!L116,Sheet1!L129,Sheet1!L142,Sheet1!L155)</f>
        <v>134</v>
      </c>
    </row>
    <row r="13" spans="1:12" x14ac:dyDescent="0.35">
      <c r="A13" s="1" t="s">
        <v>30</v>
      </c>
      <c r="B13" s="2"/>
      <c r="C13" s="2"/>
      <c r="D13" s="2"/>
      <c r="E13" s="2"/>
      <c r="F13" s="2"/>
      <c r="G13" s="2"/>
      <c r="H13" s="2"/>
      <c r="I13" s="2"/>
      <c r="J13" s="6">
        <f>SUM(Sheet1!J13,Sheet1!J26,Sheet1!J39,Sheet1!J52,Sheet1!J65,Sheet1!J78,Sheet1!J91,Sheet1!J104,Sheet1!J117,Sheet1!J130,Sheet1!J143,Sheet1!J156)</f>
        <v>23</v>
      </c>
      <c r="K13" s="6">
        <f>SUM(Sheet1!K13,Sheet1!K26,Sheet1!K39,Sheet1!K52,Sheet1!K65,Sheet1!K78,Sheet1!K91,Sheet1!K104,Sheet1!K117,Sheet1!K130,Sheet1!K143,Sheet1!K156)</f>
        <v>7</v>
      </c>
      <c r="L13" s="6">
        <f>SUM(Sheet1!L13,Sheet1!L26,Sheet1!L39,Sheet1!L52,Sheet1!L65,Sheet1!L78,Sheet1!L91,Sheet1!L104,Sheet1!L117,Sheet1!L130,Sheet1!L143,Sheet1!L156)</f>
        <v>12</v>
      </c>
    </row>
    <row r="14" spans="1:12" x14ac:dyDescent="0.35">
      <c r="A14" s="1" t="s">
        <v>31</v>
      </c>
      <c r="B14" s="2"/>
      <c r="C14" s="2"/>
      <c r="D14" s="2"/>
      <c r="E14" s="2"/>
      <c r="F14" s="2"/>
      <c r="G14" s="2"/>
      <c r="H14" s="2"/>
      <c r="I14" s="2"/>
      <c r="J14" s="6">
        <f>SUM(Sheet1!J14,Sheet1!J27,Sheet1!J40,Sheet1!J53,Sheet1!J66,Sheet1!J79,Sheet1!J92,Sheet1!J105,Sheet1!J118,Sheet1!J131,Sheet1!J144,Sheet1!J157)</f>
        <v>71</v>
      </c>
      <c r="K14" s="6">
        <f>SUM(Sheet1!K14,Sheet1!K27,Sheet1!K40,Sheet1!K53,Sheet1!K66,Sheet1!K79,Sheet1!K92,Sheet1!K105,Sheet1!K118,Sheet1!K131,Sheet1!K144,Sheet1!K157)</f>
        <v>38</v>
      </c>
      <c r="L14" s="6">
        <f>SUM(Sheet1!L14,Sheet1!L27,Sheet1!L40,Sheet1!L53,Sheet1!L66,Sheet1!L79,Sheet1!L92,Sheet1!L105,Sheet1!L118,Sheet1!L131,Sheet1!L144,Sheet1!L157)</f>
        <v>33</v>
      </c>
    </row>
    <row r="15" spans="1:12" x14ac:dyDescent="0.35">
      <c r="A15" s="1" t="s">
        <v>32</v>
      </c>
      <c r="B15" s="2"/>
      <c r="C15" s="2"/>
      <c r="D15" s="2"/>
      <c r="E15" s="2"/>
      <c r="F15" s="2"/>
      <c r="G15" s="2"/>
      <c r="H15" s="2"/>
      <c r="I15" s="2"/>
      <c r="J15" s="6">
        <f>SUM(Sheet1!J15,Sheet1!J28,Sheet1!J41,Sheet1!J54,Sheet1!J67,Sheet1!J80,Sheet1!J93,Sheet1!J106,Sheet1!J119,Sheet1!J132,Sheet1!J145,Sheet1!J158)</f>
        <v>2630</v>
      </c>
      <c r="K15" s="6">
        <f>SUM(Sheet1!K15,Sheet1!K28,Sheet1!K41,Sheet1!K54,Sheet1!K67,Sheet1!K80,Sheet1!K93,Sheet1!K106,Sheet1!K119,Sheet1!K132,Sheet1!K145,Sheet1!K158)</f>
        <v>1153</v>
      </c>
      <c r="L15" s="6">
        <f>SUM(Sheet1!L15,Sheet1!L28,Sheet1!L41,Sheet1!L54,Sheet1!L67,Sheet1!L80,Sheet1!L93,Sheet1!L106,Sheet1!L119,Sheet1!L132,Sheet1!L145,Sheet1!L158)</f>
        <v>572</v>
      </c>
    </row>
    <row r="16" spans="1:12" x14ac:dyDescent="0.35">
      <c r="A16" s="1" t="s">
        <v>33</v>
      </c>
      <c r="B16" s="2"/>
      <c r="C16" s="2"/>
      <c r="D16" s="2"/>
      <c r="E16" s="2"/>
      <c r="F16" s="2"/>
      <c r="G16" s="2"/>
      <c r="H16" s="2"/>
      <c r="I16" s="2"/>
      <c r="J16" s="6">
        <f>SUM(Sheet1!J16,Sheet1!J29,Sheet1!J42,Sheet1!J55,Sheet1!J68,Sheet1!J81,Sheet1!J94,Sheet1!J107,Sheet1!J120,Sheet1!J133,Sheet1!J146,Sheet1!J159)</f>
        <v>0</v>
      </c>
      <c r="K16" s="6">
        <f>SUM(Sheet1!K16,Sheet1!K29,Sheet1!K42,Sheet1!K55,Sheet1!K68,Sheet1!K81,Sheet1!K94,Sheet1!K107,Sheet1!K120,Sheet1!K133,Sheet1!K146,Sheet1!K159)</f>
        <v>0</v>
      </c>
      <c r="L16" s="6">
        <f>SUM(Sheet1!L16,Sheet1!L29,Sheet1!L42,Sheet1!L55,Sheet1!L68,Sheet1!L81,Sheet1!L94,Sheet1!L107,Sheet1!L120,Sheet1!L133,Sheet1!L146,Sheet1!L159)</f>
        <v>0</v>
      </c>
    </row>
    <row r="17" spans="1:12" x14ac:dyDescent="0.35">
      <c r="A17" s="1" t="s">
        <v>34</v>
      </c>
      <c r="B17" s="2"/>
      <c r="C17" s="2"/>
      <c r="D17" s="2"/>
      <c r="E17" s="2"/>
      <c r="F17" s="2"/>
      <c r="G17" s="2"/>
      <c r="H17" s="2"/>
      <c r="I17" s="2"/>
      <c r="J17" s="6">
        <f>SUM(Sheet1!J17,Sheet1!J30,Sheet1!J43,Sheet1!J56,Sheet1!J69,Sheet1!J82,Sheet1!J95,Sheet1!J108,Sheet1!J121,Sheet1!J134,Sheet1!J147,Sheet1!J160)</f>
        <v>0</v>
      </c>
      <c r="K17" s="6">
        <f>SUM(Sheet1!K17,Sheet1!K30,Sheet1!K43,Sheet1!K56,Sheet1!K69,Sheet1!K82,Sheet1!K95,Sheet1!K108,Sheet1!K121,Sheet1!K134,Sheet1!K147,Sheet1!K160)</f>
        <v>0</v>
      </c>
      <c r="L17" s="6">
        <f>SUM(Sheet1!L17,Sheet1!L30,Sheet1!L43,Sheet1!L56,Sheet1!L69,Sheet1!L82,Sheet1!L95,Sheet1!L108,Sheet1!L121,Sheet1!L134,Sheet1!L147,Sheet1!L160)</f>
        <v>0</v>
      </c>
    </row>
    <row r="18" spans="1:12" x14ac:dyDescent="0.35">
      <c r="A18" s="1" t="s">
        <v>35</v>
      </c>
      <c r="B18" s="2"/>
      <c r="C18" s="2"/>
      <c r="D18" s="2"/>
      <c r="E18" s="2"/>
      <c r="F18" s="2"/>
      <c r="G18" s="2"/>
      <c r="H18" s="2"/>
      <c r="I18" s="2"/>
      <c r="J18" s="6">
        <f>SUM(Sheet1!J18,Sheet1!J31,Sheet1!J44,Sheet1!J57,Sheet1!J70,Sheet1!J83,Sheet1!J96,Sheet1!J109,Sheet1!J122,Sheet1!J135,Sheet1!J148,Sheet1!J161)</f>
        <v>0</v>
      </c>
      <c r="K18" s="6">
        <f>SUM(Sheet1!K18,Sheet1!K31,Sheet1!K44,Sheet1!K57,Sheet1!K70,Sheet1!K83,Sheet1!K96,Sheet1!K109,Sheet1!K122,Sheet1!K135,Sheet1!K148,Sheet1!K161)</f>
        <v>2</v>
      </c>
      <c r="L18" s="6">
        <f>SUM(Sheet1!L18,Sheet1!L31,Sheet1!L44,Sheet1!L57,Sheet1!L70,Sheet1!L83,Sheet1!L96,Sheet1!L109,Sheet1!L122,Sheet1!L135,Sheet1!L148,Sheet1!L161)</f>
        <v>0</v>
      </c>
    </row>
    <row r="19" spans="1:12" x14ac:dyDescent="0.35">
      <c r="A19" s="7" t="s">
        <v>39</v>
      </c>
      <c r="J19" s="10">
        <f>SUM(J10:J18)</f>
        <v>3113</v>
      </c>
      <c r="K19" s="10">
        <f>SUM(K10:K18)</f>
        <v>1476</v>
      </c>
      <c r="L19" s="10">
        <f>SUM(L10:L18)</f>
        <v>758</v>
      </c>
    </row>
    <row r="21" spans="1:12" x14ac:dyDescent="0.35">
      <c r="A21" s="4" t="s">
        <v>36</v>
      </c>
    </row>
    <row r="22" spans="1:12" x14ac:dyDescent="0.35">
      <c r="A22" t="s">
        <v>1</v>
      </c>
    </row>
    <row r="23" spans="1:12" x14ac:dyDescent="0.35">
      <c r="A23" t="s">
        <v>2</v>
      </c>
    </row>
    <row r="25" spans="1:12" x14ac:dyDescent="0.35">
      <c r="A25" s="1"/>
      <c r="B25" s="1" t="s">
        <v>4</v>
      </c>
      <c r="C25" s="1" t="s">
        <v>5</v>
      </c>
      <c r="D25" s="1" t="s">
        <v>6</v>
      </c>
      <c r="E25" s="1" t="s">
        <v>7</v>
      </c>
      <c r="F25" s="1" t="s">
        <v>8</v>
      </c>
      <c r="G25" s="1" t="s">
        <v>9</v>
      </c>
      <c r="H25" s="1" t="s">
        <v>10</v>
      </c>
      <c r="I25" s="1" t="s">
        <v>11</v>
      </c>
      <c r="J25" s="1" t="s">
        <v>12</v>
      </c>
      <c r="K25" s="1" t="s">
        <v>13</v>
      </c>
      <c r="L25" s="1" t="s">
        <v>14</v>
      </c>
    </row>
    <row r="26" spans="1:12" x14ac:dyDescent="0.35">
      <c r="A26" s="18" t="s">
        <v>15</v>
      </c>
      <c r="B26" s="17" t="s">
        <v>16</v>
      </c>
      <c r="C26" s="19" t="s">
        <v>17</v>
      </c>
      <c r="D26" s="17" t="s">
        <v>18</v>
      </c>
      <c r="E26" s="17" t="s">
        <v>19</v>
      </c>
      <c r="F26" s="17" t="s">
        <v>20</v>
      </c>
      <c r="G26" s="17" t="s">
        <v>21</v>
      </c>
      <c r="H26" s="17" t="s">
        <v>22</v>
      </c>
      <c r="I26" s="19" t="s">
        <v>23</v>
      </c>
      <c r="J26" s="17" t="s">
        <v>24</v>
      </c>
      <c r="K26" s="19" t="s">
        <v>25</v>
      </c>
      <c r="L26" s="17" t="s">
        <v>26</v>
      </c>
    </row>
    <row r="27" spans="1:12" x14ac:dyDescent="0.35">
      <c r="A27" s="18"/>
      <c r="B27" s="17"/>
      <c r="C27" s="19"/>
      <c r="D27" s="17"/>
      <c r="E27" s="17"/>
      <c r="F27" s="17"/>
      <c r="G27" s="17"/>
      <c r="H27" s="17"/>
      <c r="I27" s="19"/>
      <c r="J27" s="17"/>
      <c r="K27" s="19"/>
      <c r="L27" s="17"/>
    </row>
    <row r="28" spans="1:12" x14ac:dyDescent="0.35">
      <c r="A28" s="1" t="s">
        <v>27</v>
      </c>
      <c r="B28" s="3"/>
      <c r="C28" s="3"/>
      <c r="D28" s="3"/>
      <c r="E28" s="3"/>
      <c r="F28" s="3"/>
      <c r="G28" s="3"/>
      <c r="H28" s="3"/>
      <c r="I28" s="3"/>
      <c r="J28" s="6">
        <f>SUM(Sheet1!J185,Sheet1!J198,Sheet1!J211,Sheet1!J224,Sheet1!J237,Sheet1!J250,Sheet1!J263,Sheet1!J276,Sheet1!J289,Sheet1!J302,Sheet1!J315,Sheet1!J328)</f>
        <v>15</v>
      </c>
      <c r="K28" s="6">
        <f>SUM(Sheet1!K185,Sheet1!K198,Sheet1!K211,Sheet1!K224,Sheet1!K237,Sheet1!K250,Sheet1!K263,Sheet1!K276,Sheet1!K289,Sheet1!K302,Sheet1!K315,Sheet1!K328)</f>
        <v>86</v>
      </c>
      <c r="L28" s="6">
        <f>SUM(Sheet1!L185,Sheet1!L198,Sheet1!L211,Sheet1!L224,Sheet1!L237,Sheet1!L250,Sheet1!L263,Sheet1!L276,Sheet1!L289,Sheet1!L302,Sheet1!L315,Sheet1!L328)</f>
        <v>1</v>
      </c>
    </row>
    <row r="29" spans="1:12" x14ac:dyDescent="0.35">
      <c r="A29" s="1" t="s">
        <v>28</v>
      </c>
      <c r="B29" s="3"/>
      <c r="C29" s="3"/>
      <c r="D29" s="3"/>
      <c r="E29" s="3"/>
      <c r="F29" s="3"/>
      <c r="G29" s="3"/>
      <c r="H29" s="3"/>
      <c r="I29" s="3"/>
      <c r="J29" s="6">
        <f>SUM(Sheet1!J186,Sheet1!J199,Sheet1!J212,Sheet1!J225,Sheet1!J238,Sheet1!J251,Sheet1!J264,Sheet1!J277,Sheet1!J290,Sheet1!J303,Sheet1!J316,Sheet1!J329)</f>
        <v>26</v>
      </c>
      <c r="K29" s="6">
        <f>SUM(Sheet1!K186,Sheet1!K199,Sheet1!K212,Sheet1!K225,Sheet1!K238,Sheet1!K251,Sheet1!K264,Sheet1!K277,Sheet1!K290,Sheet1!K303,Sheet1!K316,Sheet1!K329)</f>
        <v>290</v>
      </c>
      <c r="L29" s="6">
        <f>SUM(Sheet1!L186,Sheet1!L199,Sheet1!L212,Sheet1!L225,Sheet1!L238,Sheet1!L251,Sheet1!L264,Sheet1!L277,Sheet1!L290,Sheet1!L303,Sheet1!L316,Sheet1!L329)</f>
        <v>4</v>
      </c>
    </row>
    <row r="30" spans="1:12" x14ac:dyDescent="0.35">
      <c r="A30" s="1" t="s">
        <v>29</v>
      </c>
      <c r="B30" s="3"/>
      <c r="C30" s="3"/>
      <c r="D30" s="3"/>
      <c r="E30" s="3"/>
      <c r="F30" s="3"/>
      <c r="G30" s="3"/>
      <c r="H30" s="3"/>
      <c r="I30" s="3"/>
      <c r="J30" s="6">
        <f>SUM(Sheet1!J187,Sheet1!J200,Sheet1!J213,Sheet1!J226,Sheet1!J239,Sheet1!J252,Sheet1!J265,Sheet1!J278,Sheet1!J291,Sheet1!J304,Sheet1!J317,Sheet1!J330)</f>
        <v>160</v>
      </c>
      <c r="K30" s="6">
        <f>SUM(Sheet1!K187,Sheet1!K200,Sheet1!K213,Sheet1!K226,Sheet1!K239,Sheet1!K252,Sheet1!K265,Sheet1!K278,Sheet1!K291,Sheet1!K304,Sheet1!K317,Sheet1!K330)</f>
        <v>298</v>
      </c>
      <c r="L30" s="6">
        <f>SUM(Sheet1!L187,Sheet1!L200,Sheet1!L213,Sheet1!L226,Sheet1!L239,Sheet1!L252,Sheet1!L265,Sheet1!L278,Sheet1!L291,Sheet1!L304,Sheet1!L317,Sheet1!L330)</f>
        <v>27</v>
      </c>
    </row>
    <row r="31" spans="1:12" x14ac:dyDescent="0.35">
      <c r="A31" s="1" t="s">
        <v>30</v>
      </c>
      <c r="B31" s="3"/>
      <c r="C31" s="3"/>
      <c r="D31" s="3"/>
      <c r="E31" s="3"/>
      <c r="F31" s="3"/>
      <c r="G31" s="3"/>
      <c r="H31" s="3"/>
      <c r="I31" s="3"/>
      <c r="J31" s="6">
        <f>SUM(Sheet1!J188,Sheet1!J201,Sheet1!J214,Sheet1!J227,Sheet1!J240,Sheet1!J253,Sheet1!J266,Sheet1!J279,Sheet1!J292,Sheet1!J305,Sheet1!J318,Sheet1!J331)</f>
        <v>7</v>
      </c>
      <c r="K31" s="6">
        <f>SUM(Sheet1!K188,Sheet1!K201,Sheet1!K214,Sheet1!K227,Sheet1!K240,Sheet1!K253,Sheet1!K266,Sheet1!K279,Sheet1!K292,Sheet1!K305,Sheet1!K318,Sheet1!K331)</f>
        <v>19</v>
      </c>
      <c r="L31" s="6">
        <f>SUM(Sheet1!L188,Sheet1!L201,Sheet1!L214,Sheet1!L227,Sheet1!L240,Sheet1!L253,Sheet1!L266,Sheet1!L279,Sheet1!L292,Sheet1!L305,Sheet1!L318,Sheet1!L331)</f>
        <v>6</v>
      </c>
    </row>
    <row r="32" spans="1:12" x14ac:dyDescent="0.35">
      <c r="A32" s="1" t="s">
        <v>31</v>
      </c>
      <c r="B32" s="3"/>
      <c r="C32" s="3"/>
      <c r="D32" s="3"/>
      <c r="E32" s="3"/>
      <c r="F32" s="3"/>
      <c r="G32" s="3"/>
      <c r="H32" s="3"/>
      <c r="I32" s="3"/>
      <c r="J32" s="6">
        <f>SUM(Sheet1!J189,Sheet1!J202,Sheet1!J215,Sheet1!J228,Sheet1!J241,Sheet1!J254,Sheet1!J267,Sheet1!J280,Sheet1!J293,Sheet1!J306,Sheet1!J319,Sheet1!J332)</f>
        <v>107</v>
      </c>
      <c r="K32" s="6">
        <f>SUM(Sheet1!K189,Sheet1!K202,Sheet1!K215,Sheet1!K228,Sheet1!K241,Sheet1!K254,Sheet1!K267,Sheet1!K280,Sheet1!K293,Sheet1!K306,Sheet1!K319,Sheet1!K332)</f>
        <v>55</v>
      </c>
      <c r="L32" s="6">
        <f>SUM(Sheet1!L189,Sheet1!L202,Sheet1!L215,Sheet1!L228,Sheet1!L241,Sheet1!L254,Sheet1!L267,Sheet1!L280,Sheet1!L293,Sheet1!L306,Sheet1!L319,Sheet1!L332)</f>
        <v>25</v>
      </c>
    </row>
    <row r="33" spans="1:12" x14ac:dyDescent="0.35">
      <c r="A33" s="1" t="s">
        <v>32</v>
      </c>
      <c r="B33" s="3"/>
      <c r="C33" s="3"/>
      <c r="D33" s="3"/>
      <c r="E33" s="3"/>
      <c r="F33" s="3"/>
      <c r="G33" s="3"/>
      <c r="H33" s="3"/>
      <c r="I33" s="3"/>
      <c r="J33" s="6">
        <f>SUM(Sheet1!J190,Sheet1!J203,Sheet1!J216,Sheet1!J229,Sheet1!J242,Sheet1!J255,Sheet1!J268,Sheet1!J281,Sheet1!J294,Sheet1!J307,Sheet1!J320,Sheet1!J333)</f>
        <v>373</v>
      </c>
      <c r="K33" s="6">
        <f>SUM(Sheet1!K190,Sheet1!K203,Sheet1!K216,Sheet1!K229,Sheet1!K242,Sheet1!K255,Sheet1!K268,Sheet1!K281,Sheet1!K294,Sheet1!K307,Sheet1!K320,Sheet1!K333)</f>
        <v>4928</v>
      </c>
      <c r="L33" s="6">
        <f>SUM(Sheet1!L190,Sheet1!L203,Sheet1!L216,Sheet1!L229,Sheet1!L242,Sheet1!L255,Sheet1!L268,Sheet1!L281,Sheet1!L294,Sheet1!L307,Sheet1!L320,Sheet1!L333)</f>
        <v>121</v>
      </c>
    </row>
    <row r="34" spans="1:12" x14ac:dyDescent="0.35">
      <c r="A34" s="1" t="s">
        <v>33</v>
      </c>
      <c r="B34" s="3"/>
      <c r="C34" s="3"/>
      <c r="D34" s="3"/>
      <c r="E34" s="3"/>
      <c r="F34" s="3"/>
      <c r="G34" s="3"/>
      <c r="H34" s="3"/>
      <c r="I34" s="3"/>
      <c r="J34" s="6">
        <f>SUM(Sheet1!J191,Sheet1!J204,Sheet1!J217,Sheet1!J230,Sheet1!J243,Sheet1!J256,Sheet1!J269,Sheet1!J282,Sheet1!J295,Sheet1!J308,Sheet1!J321,Sheet1!J334)</f>
        <v>16</v>
      </c>
      <c r="K34" s="6">
        <f>SUM(Sheet1!K191,Sheet1!K204,Sheet1!K217,Sheet1!K230,Sheet1!K243,Sheet1!K256,Sheet1!K269,Sheet1!K282,Sheet1!K295,Sheet1!K308,Sheet1!K321,Sheet1!K334)</f>
        <v>31</v>
      </c>
      <c r="L34" s="6">
        <f>SUM(Sheet1!L191,Sheet1!L204,Sheet1!L217,Sheet1!L230,Sheet1!L243,Sheet1!L256,Sheet1!L269,Sheet1!L282,Sheet1!L295,Sheet1!L308,Sheet1!L321,Sheet1!L334)</f>
        <v>2</v>
      </c>
    </row>
    <row r="35" spans="1:12" x14ac:dyDescent="0.35">
      <c r="A35" s="1" t="s">
        <v>34</v>
      </c>
      <c r="B35" s="3"/>
      <c r="C35" s="3"/>
      <c r="D35" s="3"/>
      <c r="E35" s="3"/>
      <c r="F35" s="3"/>
      <c r="G35" s="3"/>
      <c r="H35" s="3"/>
      <c r="I35" s="3"/>
      <c r="J35" s="6">
        <f>SUM(Sheet1!J192,Sheet1!J205,Sheet1!J218,Sheet1!J231,Sheet1!J244,Sheet1!J257,Sheet1!J270,Sheet1!J283,Sheet1!J296,Sheet1!J309,Sheet1!J322,Sheet1!J335)</f>
        <v>241</v>
      </c>
      <c r="K35" s="6">
        <f>SUM(Sheet1!K192,Sheet1!K205,Sheet1!K218,Sheet1!K231,Sheet1!K244,Sheet1!K257,Sheet1!K270,Sheet1!K283,Sheet1!K296,Sheet1!K309,Sheet1!K322,Sheet1!K335)</f>
        <v>23</v>
      </c>
      <c r="L35" s="6">
        <f>SUM(Sheet1!L192,Sheet1!L205,Sheet1!L218,Sheet1!L231,Sheet1!L244,Sheet1!L257,Sheet1!L270,Sheet1!L283,Sheet1!L296,Sheet1!L309,Sheet1!L322,Sheet1!L335)</f>
        <v>27</v>
      </c>
    </row>
    <row r="36" spans="1:12" x14ac:dyDescent="0.35">
      <c r="A36" s="1" t="s">
        <v>35</v>
      </c>
      <c r="B36" s="3"/>
      <c r="C36" s="3"/>
      <c r="D36" s="3"/>
      <c r="E36" s="3"/>
      <c r="F36" s="3"/>
      <c r="G36" s="3"/>
      <c r="H36" s="3"/>
      <c r="I36" s="3"/>
      <c r="J36" s="6">
        <f>SUM(Sheet1!J193,Sheet1!J206,Sheet1!J219,Sheet1!J232,Sheet1!J245,Sheet1!J258,Sheet1!J271,Sheet1!J284,Sheet1!J297,Sheet1!J310,Sheet1!J323,Sheet1!J336)</f>
        <v>0</v>
      </c>
      <c r="K36" s="6">
        <f>SUM(Sheet1!K193,Sheet1!K206,Sheet1!K219,Sheet1!K232,Sheet1!K245,Sheet1!K258,Sheet1!K271,Sheet1!K284,Sheet1!K297,Sheet1!K310,Sheet1!K323,Sheet1!K336)</f>
        <v>0</v>
      </c>
      <c r="L36" s="6">
        <f>SUM(Sheet1!L193,Sheet1!L206,Sheet1!L219,Sheet1!L232,Sheet1!L245,Sheet1!L258,Sheet1!L271,Sheet1!L284,Sheet1!L297,Sheet1!L310,Sheet1!L323,Sheet1!L336)</f>
        <v>0</v>
      </c>
    </row>
    <row r="37" spans="1:12" x14ac:dyDescent="0.35">
      <c r="A37" s="7" t="s">
        <v>39</v>
      </c>
      <c r="J37" s="10">
        <f>SUM(J28:J36)</f>
        <v>945</v>
      </c>
      <c r="K37" s="10">
        <f>SUM(K28:K36)</f>
        <v>5730</v>
      </c>
      <c r="L37" s="10">
        <f>SUM(L28:L36)</f>
        <v>213</v>
      </c>
    </row>
    <row r="39" spans="1:12" x14ac:dyDescent="0.35">
      <c r="A39" s="4" t="s">
        <v>37</v>
      </c>
    </row>
    <row r="40" spans="1:12" x14ac:dyDescent="0.35">
      <c r="A40" t="s">
        <v>1</v>
      </c>
    </row>
    <row r="41" spans="1:12" x14ac:dyDescent="0.35">
      <c r="A41" t="s">
        <v>2</v>
      </c>
    </row>
    <row r="43" spans="1:12" x14ac:dyDescent="0.35">
      <c r="A43" s="1"/>
      <c r="B43" s="1" t="s">
        <v>4</v>
      </c>
      <c r="C43" s="1" t="s">
        <v>5</v>
      </c>
      <c r="D43" s="1" t="s">
        <v>6</v>
      </c>
      <c r="E43" s="1" t="s">
        <v>7</v>
      </c>
      <c r="F43" s="1" t="s">
        <v>8</v>
      </c>
      <c r="G43" s="1" t="s">
        <v>9</v>
      </c>
      <c r="H43" s="1" t="s">
        <v>10</v>
      </c>
      <c r="I43" s="1" t="s">
        <v>11</v>
      </c>
      <c r="J43" s="1" t="s">
        <v>12</v>
      </c>
      <c r="K43" s="1" t="s">
        <v>13</v>
      </c>
      <c r="L43" s="1" t="s">
        <v>14</v>
      </c>
    </row>
    <row r="44" spans="1:12" x14ac:dyDescent="0.35">
      <c r="A44" s="18" t="s">
        <v>15</v>
      </c>
      <c r="B44" s="17" t="s">
        <v>16</v>
      </c>
      <c r="C44" s="19" t="s">
        <v>17</v>
      </c>
      <c r="D44" s="17" t="s">
        <v>18</v>
      </c>
      <c r="E44" s="17" t="s">
        <v>19</v>
      </c>
      <c r="F44" s="17" t="s">
        <v>20</v>
      </c>
      <c r="G44" s="17" t="s">
        <v>21</v>
      </c>
      <c r="H44" s="17" t="s">
        <v>22</v>
      </c>
      <c r="I44" s="19" t="s">
        <v>23</v>
      </c>
      <c r="J44" s="17" t="s">
        <v>24</v>
      </c>
      <c r="K44" s="19" t="s">
        <v>25</v>
      </c>
      <c r="L44" s="17" t="s">
        <v>26</v>
      </c>
    </row>
    <row r="45" spans="1:12" x14ac:dyDescent="0.35">
      <c r="A45" s="18"/>
      <c r="B45" s="17"/>
      <c r="C45" s="19"/>
      <c r="D45" s="17"/>
      <c r="E45" s="17"/>
      <c r="F45" s="17"/>
      <c r="G45" s="17"/>
      <c r="H45" s="17"/>
      <c r="I45" s="19"/>
      <c r="J45" s="17"/>
      <c r="K45" s="19"/>
      <c r="L45" s="17"/>
    </row>
    <row r="46" spans="1:12" x14ac:dyDescent="0.35">
      <c r="A46" s="1" t="s">
        <v>27</v>
      </c>
      <c r="B46" s="3"/>
      <c r="C46" s="3"/>
      <c r="D46" s="3"/>
      <c r="E46" s="3"/>
      <c r="F46" s="3"/>
      <c r="G46" s="3"/>
      <c r="H46" s="3"/>
      <c r="I46" s="3"/>
      <c r="J46" s="6">
        <f>SUM(Sheet1!J360,Sheet1!J373,Sheet1!J386,Sheet1!J399,Sheet1!J412,Sheet1!J425,Sheet1!J438,Sheet1!J451,Sheet1!J464,Sheet1!J477,Sheet1!J490,Sheet1!J503)</f>
        <v>0</v>
      </c>
      <c r="K46" s="6">
        <f>SUM(Sheet1!K360,Sheet1!K373,Sheet1!K386,Sheet1!K399,Sheet1!K412,Sheet1!K425,Sheet1!K438,Sheet1!K451,Sheet1!K464,Sheet1!K477,Sheet1!K490,Sheet1!K503)</f>
        <v>0</v>
      </c>
      <c r="L46" s="6">
        <f>SUM(Sheet1!L360,Sheet1!L373,Sheet1!L386,Sheet1!L399,Sheet1!L412,Sheet1!L425,Sheet1!L438,Sheet1!L451,Sheet1!L464,Sheet1!L477,Sheet1!L490,Sheet1!L503)</f>
        <v>0</v>
      </c>
    </row>
    <row r="47" spans="1:12" x14ac:dyDescent="0.35">
      <c r="A47" s="1" t="s">
        <v>28</v>
      </c>
      <c r="B47" s="3"/>
      <c r="C47" s="3"/>
      <c r="D47" s="3"/>
      <c r="E47" s="3"/>
      <c r="F47" s="3"/>
      <c r="G47" s="3"/>
      <c r="H47" s="3"/>
      <c r="I47" s="3"/>
      <c r="J47" s="6">
        <f>SUM(Sheet1!J361,Sheet1!J374,Sheet1!J387,Sheet1!J400,Sheet1!J413,Sheet1!J426,Sheet1!J439,Sheet1!J452,Sheet1!J465,Sheet1!J478,Sheet1!J491,Sheet1!J504)</f>
        <v>0</v>
      </c>
      <c r="K47" s="6">
        <f>SUM(Sheet1!K361,Sheet1!K374,Sheet1!K387,Sheet1!K400,Sheet1!K413,Sheet1!K426,Sheet1!K439,Sheet1!K452,Sheet1!K465,Sheet1!K478,Sheet1!K491,Sheet1!K504)</f>
        <v>0</v>
      </c>
      <c r="L47" s="6">
        <f>SUM(Sheet1!L361,Sheet1!L374,Sheet1!L387,Sheet1!L400,Sheet1!L413,Sheet1!L426,Sheet1!L439,Sheet1!L452,Sheet1!L465,Sheet1!L478,Sheet1!L491,Sheet1!L504)</f>
        <v>0</v>
      </c>
    </row>
    <row r="48" spans="1:12" x14ac:dyDescent="0.35">
      <c r="A48" s="1" t="s">
        <v>29</v>
      </c>
      <c r="B48" s="3"/>
      <c r="C48" s="3"/>
      <c r="D48" s="3"/>
      <c r="E48" s="3"/>
      <c r="F48" s="3"/>
      <c r="G48" s="3"/>
      <c r="H48" s="3"/>
      <c r="I48" s="3"/>
      <c r="J48" s="6">
        <f>SUM(Sheet1!J362,Sheet1!J375,Sheet1!J388,Sheet1!J401,Sheet1!J414,Sheet1!J427,Sheet1!J440,Sheet1!J453,Sheet1!J466,Sheet1!J479,Sheet1!J492,Sheet1!J505)</f>
        <v>1</v>
      </c>
      <c r="K48" s="6">
        <f>SUM(Sheet1!K362,Sheet1!K375,Sheet1!K388,Sheet1!K401,Sheet1!K414,Sheet1!K427,Sheet1!K440,Sheet1!K453,Sheet1!K466,Sheet1!K479,Sheet1!K492,Sheet1!K505)</f>
        <v>27</v>
      </c>
      <c r="L48" s="6">
        <f>SUM(Sheet1!L362,Sheet1!L375,Sheet1!L388,Sheet1!L401,Sheet1!L414,Sheet1!L427,Sheet1!L440,Sheet1!L453,Sheet1!L466,Sheet1!L479,Sheet1!L492,Sheet1!L505)</f>
        <v>1</v>
      </c>
    </row>
    <row r="49" spans="1:12" x14ac:dyDescent="0.35">
      <c r="A49" s="1" t="s">
        <v>30</v>
      </c>
      <c r="B49" s="3"/>
      <c r="C49" s="3"/>
      <c r="D49" s="3"/>
      <c r="E49" s="3"/>
      <c r="F49" s="3"/>
      <c r="G49" s="3"/>
      <c r="H49" s="3"/>
      <c r="I49" s="3"/>
      <c r="J49" s="6">
        <f>SUM(Sheet1!J363,Sheet1!J376,Sheet1!J389,Sheet1!J402,Sheet1!J415,Sheet1!J428,Sheet1!J441,Sheet1!J454,Sheet1!J467,Sheet1!J480,Sheet1!J493,Sheet1!J506)</f>
        <v>0</v>
      </c>
      <c r="K49" s="6">
        <f>SUM(Sheet1!K363,Sheet1!K376,Sheet1!K389,Sheet1!K402,Sheet1!K415,Sheet1!K428,Sheet1!K441,Sheet1!K454,Sheet1!K467,Sheet1!K480,Sheet1!K493,Sheet1!K506)</f>
        <v>0</v>
      </c>
      <c r="L49" s="6">
        <f>SUM(Sheet1!L363,Sheet1!L376,Sheet1!L389,Sheet1!L402,Sheet1!L415,Sheet1!L428,Sheet1!L441,Sheet1!L454,Sheet1!L467,Sheet1!L480,Sheet1!L493,Sheet1!L506)</f>
        <v>0</v>
      </c>
    </row>
    <row r="50" spans="1:12" x14ac:dyDescent="0.35">
      <c r="A50" s="1" t="s">
        <v>31</v>
      </c>
      <c r="B50" s="3"/>
      <c r="C50" s="3"/>
      <c r="D50" s="3"/>
      <c r="E50" s="3"/>
      <c r="F50" s="3"/>
      <c r="G50" s="3"/>
      <c r="H50" s="3"/>
      <c r="I50" s="3"/>
      <c r="J50" s="6">
        <f>SUM(Sheet1!J364,Sheet1!J377,Sheet1!J390,Sheet1!J403,Sheet1!J416,Sheet1!J429,Sheet1!J442,Sheet1!J455,Sheet1!J468,Sheet1!J481,Sheet1!J494,Sheet1!J507)</f>
        <v>0</v>
      </c>
      <c r="K50" s="6">
        <f>SUM(Sheet1!K364,Sheet1!K377,Sheet1!K390,Sheet1!K403,Sheet1!K416,Sheet1!K429,Sheet1!K442,Sheet1!K455,Sheet1!K468,Sheet1!K481,Sheet1!K494,Sheet1!K507)</f>
        <v>1</v>
      </c>
      <c r="L50" s="6">
        <f>SUM(Sheet1!L364,Sheet1!L377,Sheet1!L390,Sheet1!L403,Sheet1!L416,Sheet1!L429,Sheet1!L442,Sheet1!L455,Sheet1!L468,Sheet1!L481,Sheet1!L494,Sheet1!L507)</f>
        <v>0</v>
      </c>
    </row>
    <row r="51" spans="1:12" x14ac:dyDescent="0.35">
      <c r="A51" s="1" t="s">
        <v>32</v>
      </c>
      <c r="B51" s="3"/>
      <c r="C51" s="3"/>
      <c r="D51" s="3"/>
      <c r="E51" s="3"/>
      <c r="F51" s="3"/>
      <c r="G51" s="3"/>
      <c r="H51" s="3"/>
      <c r="I51" s="3"/>
      <c r="J51" s="6">
        <f>SUM(Sheet1!J365,Sheet1!J378,Sheet1!J391,Sheet1!J404,Sheet1!J417,Sheet1!J430,Sheet1!J443,Sheet1!J456,Sheet1!J469,Sheet1!J482,Sheet1!J495,Sheet1!J508)</f>
        <v>8</v>
      </c>
      <c r="K51" s="6">
        <f>SUM(Sheet1!K365,Sheet1!K378,Sheet1!K391,Sheet1!K404,Sheet1!K417,Sheet1!K430,Sheet1!K443,Sheet1!K456,Sheet1!K469,Sheet1!K482,Sheet1!K495,Sheet1!K508)</f>
        <v>248</v>
      </c>
      <c r="L51" s="6">
        <f>SUM(Sheet1!L365,Sheet1!L378,Sheet1!L391,Sheet1!L404,Sheet1!L417,Sheet1!L430,Sheet1!L443,Sheet1!L456,Sheet1!L469,Sheet1!L482,Sheet1!L495,Sheet1!L508)</f>
        <v>4</v>
      </c>
    </row>
    <row r="52" spans="1:12" x14ac:dyDescent="0.35">
      <c r="A52" s="1" t="s">
        <v>33</v>
      </c>
      <c r="B52" s="3"/>
      <c r="C52" s="3"/>
      <c r="D52" s="3"/>
      <c r="E52" s="3"/>
      <c r="F52" s="3"/>
      <c r="G52" s="3"/>
      <c r="H52" s="3"/>
      <c r="I52" s="3"/>
      <c r="J52" s="6">
        <f>SUM(Sheet1!J366,Sheet1!J379,Sheet1!J392,Sheet1!J405,Sheet1!J418,Sheet1!J431,Sheet1!J444,Sheet1!J457,Sheet1!J470,Sheet1!J483,Sheet1!J496,Sheet1!J509)</f>
        <v>0</v>
      </c>
      <c r="K52" s="6">
        <f>SUM(Sheet1!K366,Sheet1!K379,Sheet1!K392,Sheet1!K405,Sheet1!K418,Sheet1!K431,Sheet1!K444,Sheet1!K457,Sheet1!K470,Sheet1!K483,Sheet1!K496,Sheet1!K509)</f>
        <v>0</v>
      </c>
      <c r="L52" s="6">
        <f>SUM(Sheet1!L366,Sheet1!L379,Sheet1!L392,Sheet1!L405,Sheet1!L418,Sheet1!L431,Sheet1!L444,Sheet1!L457,Sheet1!L470,Sheet1!L483,Sheet1!L496,Sheet1!L509)</f>
        <v>0</v>
      </c>
    </row>
    <row r="53" spans="1:12" x14ac:dyDescent="0.35">
      <c r="A53" s="1" t="s">
        <v>34</v>
      </c>
      <c r="B53" s="3"/>
      <c r="C53" s="3"/>
      <c r="D53" s="3"/>
      <c r="E53" s="3"/>
      <c r="F53" s="3"/>
      <c r="G53" s="3"/>
      <c r="H53" s="3"/>
      <c r="I53" s="3"/>
      <c r="J53" s="6">
        <f>SUM(Sheet1!J367,Sheet1!J380,Sheet1!J393,Sheet1!J406,Sheet1!J419,Sheet1!J432,Sheet1!J445,Sheet1!J458,Sheet1!J471,Sheet1!J484,Sheet1!J497,Sheet1!J510)</f>
        <v>0</v>
      </c>
      <c r="K53" s="6">
        <f>SUM(Sheet1!K367,Sheet1!K380,Sheet1!K393,Sheet1!K406,Sheet1!K419,Sheet1!K432,Sheet1!K445,Sheet1!K458,Sheet1!K471,Sheet1!K484,Sheet1!K497,Sheet1!K510)</f>
        <v>0</v>
      </c>
      <c r="L53" s="6">
        <f>SUM(Sheet1!L367,Sheet1!L380,Sheet1!L393,Sheet1!L406,Sheet1!L419,Sheet1!L432,Sheet1!L445,Sheet1!L458,Sheet1!L471,Sheet1!L484,Sheet1!L497,Sheet1!L510)</f>
        <v>0</v>
      </c>
    </row>
    <row r="54" spans="1:12" x14ac:dyDescent="0.35">
      <c r="A54" s="1" t="s">
        <v>35</v>
      </c>
      <c r="B54" s="3"/>
      <c r="C54" s="3"/>
      <c r="D54" s="3"/>
      <c r="E54" s="3"/>
      <c r="F54" s="3"/>
      <c r="G54" s="3"/>
      <c r="H54" s="3"/>
      <c r="I54" s="3"/>
      <c r="J54" s="6">
        <f>SUM(Sheet1!J368,Sheet1!J381,Sheet1!J394,Sheet1!J407,Sheet1!J420,Sheet1!J433,Sheet1!J446,Sheet1!J459,Sheet1!J472,Sheet1!J485,Sheet1!J498,Sheet1!J511)</f>
        <v>0</v>
      </c>
      <c r="K54" s="6">
        <f>SUM(Sheet1!K368,Sheet1!K381,Sheet1!K394,Sheet1!K407,Sheet1!K420,Sheet1!K433,Sheet1!K446,Sheet1!K459,Sheet1!K472,Sheet1!K485,Sheet1!K498,Sheet1!K511)</f>
        <v>0</v>
      </c>
      <c r="L54" s="6">
        <f>SUM(Sheet1!L368,Sheet1!L381,Sheet1!L394,Sheet1!L407,Sheet1!L420,Sheet1!L433,Sheet1!L446,Sheet1!L459,Sheet1!L472,Sheet1!L485,Sheet1!L498,Sheet1!L511)</f>
        <v>0</v>
      </c>
    </row>
    <row r="55" spans="1:12" x14ac:dyDescent="0.35">
      <c r="A55" s="7" t="s">
        <v>39</v>
      </c>
      <c r="J55" s="10">
        <f>SUM(J46:J54)</f>
        <v>9</v>
      </c>
      <c r="K55" s="10">
        <f>SUM(K46:K54)</f>
        <v>276</v>
      </c>
      <c r="L55" s="10">
        <f>SUM(L46:L54)</f>
        <v>5</v>
      </c>
    </row>
    <row r="57" spans="1:12" x14ac:dyDescent="0.35">
      <c r="A57" s="4" t="s">
        <v>38</v>
      </c>
    </row>
    <row r="58" spans="1:12" x14ac:dyDescent="0.35">
      <c r="A58" t="s">
        <v>1</v>
      </c>
    </row>
    <row r="59" spans="1:12" x14ac:dyDescent="0.35">
      <c r="A59" t="s">
        <v>2</v>
      </c>
    </row>
    <row r="61" spans="1:12" x14ac:dyDescent="0.35">
      <c r="A61" s="1"/>
      <c r="B61" s="1" t="s">
        <v>4</v>
      </c>
      <c r="C61" s="1" t="s">
        <v>5</v>
      </c>
      <c r="D61" s="1" t="s">
        <v>6</v>
      </c>
      <c r="E61" s="1" t="s">
        <v>7</v>
      </c>
      <c r="F61" s="1" t="s">
        <v>8</v>
      </c>
      <c r="G61" s="1" t="s">
        <v>9</v>
      </c>
      <c r="H61" s="1" t="s">
        <v>10</v>
      </c>
      <c r="I61" s="1" t="s">
        <v>11</v>
      </c>
      <c r="J61" s="1" t="s">
        <v>12</v>
      </c>
      <c r="K61" s="1" t="s">
        <v>13</v>
      </c>
      <c r="L61" s="1" t="s">
        <v>14</v>
      </c>
    </row>
    <row r="62" spans="1:12" x14ac:dyDescent="0.35">
      <c r="A62" s="18" t="s">
        <v>15</v>
      </c>
      <c r="B62" s="17" t="s">
        <v>16</v>
      </c>
      <c r="C62" s="19" t="s">
        <v>17</v>
      </c>
      <c r="D62" s="17" t="s">
        <v>18</v>
      </c>
      <c r="E62" s="17" t="s">
        <v>19</v>
      </c>
      <c r="F62" s="17" t="s">
        <v>20</v>
      </c>
      <c r="G62" s="17" t="s">
        <v>21</v>
      </c>
      <c r="H62" s="17" t="s">
        <v>22</v>
      </c>
      <c r="I62" s="19" t="s">
        <v>23</v>
      </c>
      <c r="J62" s="17" t="s">
        <v>24</v>
      </c>
      <c r="K62" s="19" t="s">
        <v>25</v>
      </c>
      <c r="L62" s="17" t="s">
        <v>26</v>
      </c>
    </row>
    <row r="63" spans="1:12" x14ac:dyDescent="0.35">
      <c r="A63" s="18"/>
      <c r="B63" s="17"/>
      <c r="C63" s="19"/>
      <c r="D63" s="17"/>
      <c r="E63" s="17"/>
      <c r="F63" s="17"/>
      <c r="G63" s="17"/>
      <c r="H63" s="17"/>
      <c r="I63" s="19"/>
      <c r="J63" s="17"/>
      <c r="K63" s="19"/>
      <c r="L63" s="17"/>
    </row>
    <row r="64" spans="1:12" x14ac:dyDescent="0.35">
      <c r="A64" s="1" t="s">
        <v>27</v>
      </c>
      <c r="B64" s="3"/>
      <c r="C64" s="3"/>
      <c r="D64" s="3"/>
      <c r="E64" s="3"/>
      <c r="F64" s="3"/>
      <c r="G64" s="3"/>
      <c r="H64" s="3"/>
      <c r="I64" s="3"/>
      <c r="J64" s="6">
        <f>SUM(Sheet1!J535,Sheet1!J548,Sheet1!J561,Sheet1!J574,Sheet1!J587,Sheet1!J600,Sheet1!J613,Sheet1!J626,Sheet1!J639,Sheet1!J652,Sheet1!J665,Sheet1!J678)</f>
        <v>816</v>
      </c>
      <c r="K64" s="6">
        <f>SUM(Sheet1!K535,Sheet1!K548,Sheet1!K561,Sheet1!K574,Sheet1!K587,Sheet1!K600,Sheet1!K613,Sheet1!K626,Sheet1!K639,Sheet1!K652,Sheet1!K665,Sheet1!K678)</f>
        <v>109</v>
      </c>
      <c r="L64" s="6">
        <f>SUM(Sheet1!L535,Sheet1!L548,Sheet1!L561,Sheet1!L574,Sheet1!L587,Sheet1!L600,Sheet1!L613,Sheet1!L626,Sheet1!L639,Sheet1!L652,Sheet1!L665,Sheet1!L678)</f>
        <v>225</v>
      </c>
    </row>
    <row r="65" spans="1:12" x14ac:dyDescent="0.35">
      <c r="A65" s="1" t="s">
        <v>28</v>
      </c>
      <c r="B65" s="3"/>
      <c r="C65" s="3"/>
      <c r="D65" s="3"/>
      <c r="E65" s="3"/>
      <c r="F65" s="3"/>
      <c r="G65" s="3"/>
      <c r="H65" s="3"/>
      <c r="I65" s="3"/>
      <c r="J65" s="6">
        <f>SUM(Sheet1!J536,Sheet1!J549,Sheet1!J562,Sheet1!J575,Sheet1!J588,Sheet1!J601,Sheet1!J614,Sheet1!J627,Sheet1!J640,Sheet1!J653,Sheet1!J666,Sheet1!J679)</f>
        <v>1063</v>
      </c>
      <c r="K65" s="6">
        <f>SUM(Sheet1!K536,Sheet1!K549,Sheet1!K562,Sheet1!K575,Sheet1!K588,Sheet1!K601,Sheet1!K614,Sheet1!K627,Sheet1!K640,Sheet1!K653,Sheet1!K666,Sheet1!K679)</f>
        <v>685</v>
      </c>
      <c r="L65" s="6">
        <f>SUM(Sheet1!L536,Sheet1!L549,Sheet1!L562,Sheet1!L575,Sheet1!L588,Sheet1!L601,Sheet1!L614,Sheet1!L627,Sheet1!L640,Sheet1!L653,Sheet1!L666,Sheet1!L679)</f>
        <v>138</v>
      </c>
    </row>
    <row r="66" spans="1:12" x14ac:dyDescent="0.35">
      <c r="A66" s="1" t="s">
        <v>29</v>
      </c>
      <c r="B66" s="3"/>
      <c r="C66" s="3"/>
      <c r="D66" s="3"/>
      <c r="E66" s="3"/>
      <c r="F66" s="3"/>
      <c r="G66" s="3"/>
      <c r="H66" s="3"/>
      <c r="I66" s="3"/>
      <c r="J66" s="6">
        <f>SUM(Sheet1!J537,Sheet1!J550,Sheet1!J563,Sheet1!J576,Sheet1!J589,Sheet1!J602,Sheet1!J615,Sheet1!J628,Sheet1!J641,Sheet1!J654,Sheet1!J667,Sheet1!J680)</f>
        <v>1977</v>
      </c>
      <c r="K66" s="6">
        <f>SUM(Sheet1!K537,Sheet1!K550,Sheet1!K563,Sheet1!K576,Sheet1!K589,Sheet1!K602,Sheet1!K615,Sheet1!K628,Sheet1!K641,Sheet1!K654,Sheet1!K667,Sheet1!K680)</f>
        <v>786</v>
      </c>
      <c r="L66" s="6">
        <f>SUM(Sheet1!L537,Sheet1!L550,Sheet1!L563,Sheet1!L576,Sheet1!L589,Sheet1!L602,Sheet1!L615,Sheet1!L628,Sheet1!L641,Sheet1!L654,Sheet1!L667,Sheet1!L680)</f>
        <v>491</v>
      </c>
    </row>
    <row r="67" spans="1:12" x14ac:dyDescent="0.35">
      <c r="A67" s="1" t="s">
        <v>30</v>
      </c>
      <c r="B67" s="3"/>
      <c r="C67" s="3"/>
      <c r="D67" s="3"/>
      <c r="E67" s="3"/>
      <c r="F67" s="3"/>
      <c r="G67" s="3"/>
      <c r="H67" s="3"/>
      <c r="I67" s="3"/>
      <c r="J67" s="6">
        <f>SUM(Sheet1!J538,Sheet1!J551,Sheet1!J564,Sheet1!J577,Sheet1!J590,Sheet1!J603,Sheet1!J616,Sheet1!J629,Sheet1!J642,Sheet1!J655,Sheet1!J668,Sheet1!J681)</f>
        <v>240</v>
      </c>
      <c r="K67" s="6">
        <f>SUM(Sheet1!K538,Sheet1!K551,Sheet1!K564,Sheet1!K577,Sheet1!K590,Sheet1!K603,Sheet1!K616,Sheet1!K629,Sheet1!K642,Sheet1!K655,Sheet1!K668,Sheet1!K681)</f>
        <v>51</v>
      </c>
      <c r="L67" s="6">
        <f>SUM(Sheet1!L538,Sheet1!L551,Sheet1!L564,Sheet1!L577,Sheet1!L590,Sheet1!L603,Sheet1!L616,Sheet1!L629,Sheet1!L642,Sheet1!L655,Sheet1!L668,Sheet1!L681)</f>
        <v>51</v>
      </c>
    </row>
    <row r="68" spans="1:12" x14ac:dyDescent="0.35">
      <c r="A68" s="1" t="s">
        <v>31</v>
      </c>
      <c r="B68" s="3"/>
      <c r="C68" s="3"/>
      <c r="D68" s="3"/>
      <c r="E68" s="3"/>
      <c r="F68" s="3"/>
      <c r="G68" s="3"/>
      <c r="H68" s="3"/>
      <c r="I68" s="3"/>
      <c r="J68" s="6">
        <f>SUM(Sheet1!J539,Sheet1!J552,Sheet1!J565,Sheet1!J578,Sheet1!J591,Sheet1!J604,Sheet1!J617,Sheet1!J630,Sheet1!J643,Sheet1!J656,Sheet1!J669,Sheet1!J682)</f>
        <v>277</v>
      </c>
      <c r="K68" s="6">
        <f>SUM(Sheet1!K539,Sheet1!K552,Sheet1!K565,Sheet1!K578,Sheet1!K591,Sheet1!K604,Sheet1!K617,Sheet1!K630,Sheet1!K643,Sheet1!K656,Sheet1!K669,Sheet1!K682)</f>
        <v>81</v>
      </c>
      <c r="L68" s="6">
        <f>SUM(Sheet1!L539,Sheet1!L552,Sheet1!L565,Sheet1!L578,Sheet1!L591,Sheet1!L604,Sheet1!L617,Sheet1!L630,Sheet1!L643,Sheet1!L656,Sheet1!L669,Sheet1!L682)</f>
        <v>120</v>
      </c>
    </row>
    <row r="69" spans="1:12" x14ac:dyDescent="0.35">
      <c r="A69" s="1" t="s">
        <v>32</v>
      </c>
      <c r="B69" s="3"/>
      <c r="C69" s="3"/>
      <c r="D69" s="3"/>
      <c r="E69" s="3"/>
      <c r="F69" s="3"/>
      <c r="G69" s="3"/>
      <c r="H69" s="3"/>
      <c r="I69" s="3"/>
      <c r="J69" s="6">
        <f>SUM(Sheet1!J540,Sheet1!J553,Sheet1!J566,Sheet1!J579,Sheet1!J592,Sheet1!J605,Sheet1!J618,Sheet1!J631,Sheet1!J644,Sheet1!J657,Sheet1!J670,Sheet1!J683)</f>
        <v>7661</v>
      </c>
      <c r="K69" s="6">
        <f>SUM(Sheet1!K540,Sheet1!K553,Sheet1!K566,Sheet1!K579,Sheet1!K592,Sheet1!K605,Sheet1!K618,Sheet1!K631,Sheet1!K644,Sheet1!K657,Sheet1!K670,Sheet1!K683)</f>
        <v>2510</v>
      </c>
      <c r="L69" s="6">
        <f>SUM(Sheet1!L540,Sheet1!L553,Sheet1!L566,Sheet1!L579,Sheet1!L592,Sheet1!L605,Sheet1!L618,Sheet1!L631,Sheet1!L644,Sheet1!L657,Sheet1!L670,Sheet1!L683)</f>
        <v>1715</v>
      </c>
    </row>
    <row r="70" spans="1:12" x14ac:dyDescent="0.35">
      <c r="A70" s="1" t="s">
        <v>33</v>
      </c>
      <c r="B70" s="3"/>
      <c r="C70" s="3"/>
      <c r="D70" s="3"/>
      <c r="E70" s="3"/>
      <c r="F70" s="3"/>
      <c r="G70" s="3"/>
      <c r="H70" s="3"/>
      <c r="I70" s="3"/>
      <c r="J70" s="6">
        <f>SUM(Sheet1!J541,Sheet1!J554,Sheet1!J567,Sheet1!J580,Sheet1!J593,Sheet1!J606,Sheet1!J619,Sheet1!J632,Sheet1!J645,Sheet1!J658,Sheet1!J671,Sheet1!J684)</f>
        <v>270</v>
      </c>
      <c r="K70" s="6">
        <f>SUM(Sheet1!K541,Sheet1!K554,Sheet1!K567,Sheet1!K580,Sheet1!K593,Sheet1!K606,Sheet1!K619,Sheet1!K632,Sheet1!K645,Sheet1!K658,Sheet1!K671,Sheet1!K684)</f>
        <v>92</v>
      </c>
      <c r="L70" s="6">
        <f>SUM(Sheet1!L541,Sheet1!L554,Sheet1!L567,Sheet1!L580,Sheet1!L593,Sheet1!L606,Sheet1!L619,Sheet1!L632,Sheet1!L645,Sheet1!L658,Sheet1!L671,Sheet1!L684)</f>
        <v>72</v>
      </c>
    </row>
    <row r="71" spans="1:12" x14ac:dyDescent="0.35">
      <c r="A71" s="1" t="s">
        <v>34</v>
      </c>
      <c r="B71" s="3"/>
      <c r="C71" s="3"/>
      <c r="D71" s="3"/>
      <c r="E71" s="3"/>
      <c r="F71" s="3"/>
      <c r="G71" s="3"/>
      <c r="H71" s="3"/>
      <c r="I71" s="3"/>
      <c r="J71" s="6">
        <f>SUM(Sheet1!J542,Sheet1!J555,Sheet1!J568,Sheet1!J581,Sheet1!J594,Sheet1!J607,Sheet1!J620,Sheet1!J633,Sheet1!J646,Sheet1!J659,Sheet1!J672,Sheet1!J685)</f>
        <v>1050</v>
      </c>
      <c r="K71" s="6">
        <f>SUM(Sheet1!K542,Sheet1!K555,Sheet1!K568,Sheet1!K581,Sheet1!K594,Sheet1!K607,Sheet1!K620,Sheet1!K633,Sheet1!K646,Sheet1!K659,Sheet1!K672,Sheet1!K685)</f>
        <v>224</v>
      </c>
      <c r="L71" s="6">
        <f>SUM(Sheet1!L542,Sheet1!L555,Sheet1!L568,Sheet1!L581,Sheet1!L594,Sheet1!L607,Sheet1!L620,Sheet1!L633,Sheet1!L646,Sheet1!L659,Sheet1!L672,Sheet1!L685)</f>
        <v>181</v>
      </c>
    </row>
    <row r="72" spans="1:12" x14ac:dyDescent="0.35">
      <c r="A72" s="1" t="s">
        <v>35</v>
      </c>
      <c r="B72" s="3"/>
      <c r="C72" s="3"/>
      <c r="D72" s="3"/>
      <c r="E72" s="3"/>
      <c r="F72" s="3"/>
      <c r="G72" s="3"/>
      <c r="H72" s="3"/>
      <c r="I72" s="3"/>
      <c r="J72" s="6">
        <f>SUM(Sheet1!J543,Sheet1!J556,Sheet1!J569,Sheet1!J582,Sheet1!J595,Sheet1!J608,Sheet1!J621,Sheet1!J634,Sheet1!J647,Sheet1!J660,Sheet1!J673,Sheet1!J686)</f>
        <v>0</v>
      </c>
      <c r="K72" s="6">
        <f>SUM(Sheet1!K543,Sheet1!K556,Sheet1!K569,Sheet1!K582,Sheet1!K595,Sheet1!K608,Sheet1!K621,Sheet1!K634,Sheet1!K647,Sheet1!K660,Sheet1!K673,Sheet1!K686)</f>
        <v>98</v>
      </c>
      <c r="L72" s="6">
        <f>SUM(Sheet1!L543,Sheet1!L556,Sheet1!L569,Sheet1!L582,Sheet1!L595,Sheet1!L608,Sheet1!L621,Sheet1!L634,Sheet1!L647,Sheet1!L660,Sheet1!L673,Sheet1!L686)</f>
        <v>0</v>
      </c>
    </row>
    <row r="73" spans="1:12" x14ac:dyDescent="0.35">
      <c r="A73" s="7" t="s">
        <v>39</v>
      </c>
      <c r="J73" s="10">
        <f>SUM(J64:J72)</f>
        <v>13354</v>
      </c>
      <c r="K73" s="10">
        <f>SUM(K64:K72)</f>
        <v>4636</v>
      </c>
      <c r="L73" s="10">
        <f>SUM(L64:L72)</f>
        <v>2993</v>
      </c>
    </row>
    <row r="75" spans="1:12" x14ac:dyDescent="0.35">
      <c r="I75" s="4" t="s">
        <v>42</v>
      </c>
    </row>
    <row r="76" spans="1:12" x14ac:dyDescent="0.35">
      <c r="I76" s="1" t="s">
        <v>40</v>
      </c>
      <c r="J76" s="6">
        <f>J19</f>
        <v>3113</v>
      </c>
      <c r="K76" s="6">
        <f>K19</f>
        <v>1476</v>
      </c>
      <c r="L76" s="6">
        <f>L19</f>
        <v>758</v>
      </c>
    </row>
    <row r="77" spans="1:12" ht="15" thickBot="1" x14ac:dyDescent="0.4">
      <c r="I77" s="8" t="s">
        <v>41</v>
      </c>
      <c r="J77" s="9">
        <f>J73</f>
        <v>13354</v>
      </c>
      <c r="K77" s="9">
        <f>K73</f>
        <v>4636</v>
      </c>
      <c r="L77" s="9">
        <f>L73</f>
        <v>2993</v>
      </c>
    </row>
    <row r="78" spans="1:12" x14ac:dyDescent="0.35">
      <c r="I78" s="13" t="s">
        <v>44</v>
      </c>
      <c r="J78" s="12">
        <f>SUM(J76:J77)</f>
        <v>16467</v>
      </c>
      <c r="K78" s="12">
        <f>SUM(K76:K77)</f>
        <v>6112</v>
      </c>
      <c r="L78" s="12">
        <f>SUM(L76:L77)</f>
        <v>3751</v>
      </c>
    </row>
    <row r="79" spans="1:12" x14ac:dyDescent="0.35">
      <c r="J79" s="11"/>
      <c r="K79" s="11"/>
      <c r="L79" s="11"/>
    </row>
    <row r="80" spans="1:12" x14ac:dyDescent="0.35">
      <c r="I80" s="4" t="s">
        <v>43</v>
      </c>
      <c r="J80" s="5"/>
      <c r="L80" s="5"/>
    </row>
    <row r="81" spans="9:12" x14ac:dyDescent="0.35">
      <c r="I81" s="1" t="s">
        <v>41</v>
      </c>
      <c r="J81" s="6">
        <f>J37</f>
        <v>945</v>
      </c>
      <c r="K81" s="6">
        <f>K37</f>
        <v>5730</v>
      </c>
      <c r="L81" s="6">
        <f>L37</f>
        <v>213</v>
      </c>
    </row>
    <row r="82" spans="9:12" ht="15" thickBot="1" x14ac:dyDescent="0.4">
      <c r="I82" s="8" t="s">
        <v>40</v>
      </c>
      <c r="J82" s="9">
        <f>J55</f>
        <v>9</v>
      </c>
      <c r="K82" s="9">
        <f>K55</f>
        <v>276</v>
      </c>
      <c r="L82" s="9">
        <f>L55</f>
        <v>5</v>
      </c>
    </row>
    <row r="83" spans="9:12" x14ac:dyDescent="0.35">
      <c r="I83" s="13" t="s">
        <v>44</v>
      </c>
      <c r="J83" s="12">
        <f>SUM(J81:J82)</f>
        <v>954</v>
      </c>
      <c r="K83" s="12">
        <f>SUM(K81:K82)</f>
        <v>6006</v>
      </c>
      <c r="L83" s="12">
        <f>SUM(L81:L82)</f>
        <v>218</v>
      </c>
    </row>
  </sheetData>
  <mergeCells count="48">
    <mergeCell ref="L62:L63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26:L27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44:A45"/>
    <mergeCell ref="B44:B45"/>
    <mergeCell ref="C44:C45"/>
    <mergeCell ref="D44:D45"/>
    <mergeCell ref="E44:E45"/>
    <mergeCell ref="K44:K45"/>
    <mergeCell ref="L44:L45"/>
    <mergeCell ref="F44:F45"/>
    <mergeCell ref="G44:G45"/>
    <mergeCell ref="H44:H45"/>
    <mergeCell ref="I44:I45"/>
    <mergeCell ref="J44:J45"/>
  </mergeCells>
  <pageMargins left="0.7" right="0.7" top="0.75" bottom="0.75" header="0.3" footer="0.3"/>
  <headerFooter>
    <oddFooter xml:space="preserve">&amp;C_x000D_&amp;1#&amp;"Calibri"&amp;12&amp;K000000 Confidential </oddFooter>
  </headerFooter>
  <customProperties>
    <customPr name="_pios_id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note xmlns="785685f2-c2e1-4352-89aa-3faca8eaba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24E66D-4BCF-4CB8-85C8-53B83732C67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18ea2b5-4ed4-41ab-a3b3-92502bdae017"/>
    <ds:schemaRef ds:uri="a89d63e7-3631-49eb-86de-2eb8a86d4b92"/>
    <ds:schemaRef ds:uri="http://purl.org/dc/elements/1.1/"/>
    <ds:schemaRef ds:uri="97e57212-3e02-407f-8b2d-05f7d7f19b15"/>
    <ds:schemaRef ds:uri="http://schemas.microsoft.com/office/2006/metadata/properties"/>
    <ds:schemaRef ds:uri="http://www.w3.org/XML/1998/namespace"/>
    <ds:schemaRef ds:uri="http://purl.org/dc/dcmitype/"/>
    <ds:schemaRef ds:uri="5067c814-4b34-462c-a21d-c185ff6548d2"/>
    <ds:schemaRef ds:uri="785685f2-c2e1-4352-89aa-3faca8eaba52"/>
  </ds:schemaRefs>
</ds:datastoreItem>
</file>

<file path=customXml/itemProps2.xml><?xml version="1.0" encoding="utf-8"?>
<ds:datastoreItem xmlns:ds="http://schemas.openxmlformats.org/officeDocument/2006/customXml" ds:itemID="{153DD140-7608-4108-81CF-256C282B34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35E0F2-F40A-4AD3-8D84-5A38E06E08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5dfce28-a393-415c-a886-b7f3e3fd647c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validate entries (rwy2)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Settlemire, Mike</dc:creator>
  <cp:keywords/>
  <dc:description/>
  <cp:lastModifiedBy>Ford, Robert@Energy</cp:lastModifiedBy>
  <cp:revision/>
  <cp:lastPrinted>2025-05-29T22:07:10Z</cp:lastPrinted>
  <dcterms:created xsi:type="dcterms:W3CDTF">2025-03-30T16:38:18Z</dcterms:created>
  <dcterms:modified xsi:type="dcterms:W3CDTF">2025-10-09T22:55:18Z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  <property fmtid="{D5CDD505-2E9C-101B-9397-08002B2CF9AE}" pid="4" name="pgeRecordCategory">
    <vt:lpwstr/>
  </property>
</Properties>
</file>