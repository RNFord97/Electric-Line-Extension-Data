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energy.sharepoint.com/sites/StandardsImplementation/Shared Documents/Data Analysis Team/Data Sources/Line_extension_data/CPUC_data_received_2025/"/>
    </mc:Choice>
  </mc:AlternateContent>
  <xr:revisionPtr revIDLastSave="53" documentId="8_{E90650B2-6D1D-4EAA-BE8C-554517B8A5F2}" xr6:coauthVersionLast="47" xr6:coauthVersionMax="47" xr10:uidLastSave="{A325EC6C-F594-4778-923D-48003C020AAF}"/>
  <bookViews>
    <workbookView minimized="1" xWindow="9075" yWindow="-14250" windowWidth="14400" windowHeight="7275" xr2:uid="{00000000-000D-0000-FFFF-FFFF00000000}"/>
  </bookViews>
  <sheets>
    <sheet name="BD Q2 2025" sheetId="10" r:id="rId1"/>
    <sheet name="Sheet1" sheetId="11" r:id="rId2"/>
  </sheets>
  <definedNames>
    <definedName name="_xlnm._FilterDatabase" localSheetId="0" hidden="1">'BD Q2 2025'!$A$8:$X$358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1" l="1"/>
  <c r="C13" i="11"/>
  <c r="C12" i="11"/>
  <c r="E14" i="11" l="1"/>
  <c r="E13" i="11"/>
  <c r="E12" i="11"/>
  <c r="C14" i="11"/>
  <c r="C10" i="11"/>
  <c r="D9" i="11" s="1"/>
  <c r="E9" i="11"/>
  <c r="E8" i="11"/>
  <c r="F8" i="11" s="1"/>
  <c r="E6" i="11"/>
  <c r="C6" i="11"/>
  <c r="E5" i="11"/>
  <c r="E4" i="11"/>
  <c r="F10" i="11"/>
  <c r="F9" i="11"/>
  <c r="D14" i="11"/>
  <c r="D5" i="11"/>
  <c r="D4" i="11"/>
  <c r="X359" i="10"/>
  <c r="W359" i="10"/>
  <c r="V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D12" i="11" l="1"/>
  <c r="D13" i="11"/>
  <c r="F6" i="11"/>
  <c r="D10" i="11"/>
  <c r="F5" i="11"/>
  <c r="D6" i="11"/>
  <c r="D8" i="11"/>
  <c r="F12" i="11" l="1"/>
  <c r="F4" i="11"/>
  <c r="F14" i="11" l="1"/>
  <c r="F13" i="11"/>
</calcChain>
</file>

<file path=xl/sharedStrings.xml><?xml version="1.0" encoding="utf-8"?>
<sst xmlns="http://schemas.openxmlformats.org/spreadsheetml/2006/main" count="1444" uniqueCount="55">
  <si>
    <t>Building Decarbonization Quarterly Report</t>
  </si>
  <si>
    <t>Date Range: Q2 2025</t>
  </si>
  <si>
    <t xml:space="preserve">NOTE 1: SCE's design system was enhanced 04/17/25 and effective that date, industrial load and commercial load requests are being separated. </t>
  </si>
  <si>
    <t>NOTE 2: Q2 2025 data presented in this report are calculated according to the rules established in the Phase 3B decision (D.23-12-037).</t>
  </si>
  <si>
    <t>NOTE 3: The field in column U, "Average # of Days Between Full Payment and Project Energization", is calculated in calendar days. Blank cells are indicative of ongoing projects with no customer payment received.</t>
  </si>
  <si>
    <t>New Construction /
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</si>
  <si>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</si>
  <si>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</si>
  <si>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</si>
  <si>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</si>
  <si>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</si>
  <si>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</si>
  <si>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 Discounts (Non-Exempted Projects)</t>
  </si>
  <si>
    <t>Total Allowances (Non-Exempted Projects)</t>
  </si>
  <si>
    <t>Total Number of 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</si>
  <si>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</si>
  <si>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</si>
  <si>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</si>
  <si>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 Discounts (Exempted Projects)</t>
  </si>
  <si>
    <t>Total Allowances (Exempted projects)</t>
  </si>
  <si>
    <t>Total Number of  Allowances (Exempted Projects)</t>
  </si>
  <si>
    <t>Total Refund Payments Provided to Builders 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</si>
  <si>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</si>
  <si>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</si>
  <si>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</si>
  <si>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</si>
  <si>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</si>
  <si>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</si>
  <si>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</si>
  <si>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New Construction</t>
  </si>
  <si>
    <t>All Electric</t>
  </si>
  <si>
    <t>Agriculture</t>
  </si>
  <si>
    <t>N/A</t>
  </si>
  <si>
    <t>Commercial</t>
  </si>
  <si>
    <t>Residential</t>
  </si>
  <si>
    <t>Multi-Family</t>
  </si>
  <si>
    <t>Single-Family</t>
  </si>
  <si>
    <t>Industrial</t>
  </si>
  <si>
    <t>Mixed Fuel</t>
  </si>
  <si>
    <t>Upgrade</t>
  </si>
  <si>
    <t>GRAND TOTAL</t>
  </si>
  <si>
    <t>Category</t>
  </si>
  <si>
    <t xml:space="preserve">Total Electric line extensions energized </t>
  </si>
  <si>
    <t xml:space="preserve">% Total Electric line extensions energized </t>
  </si>
  <si>
    <t>Total Electric Line Extension Application (IOU+ Applicant)</t>
  </si>
  <si>
    <t>% Total Line extension application</t>
  </si>
  <si>
    <t>Res new dual only</t>
  </si>
  <si>
    <t>Res new all-elec</t>
  </si>
  <si>
    <t>Res new all</t>
  </si>
  <si>
    <t>Non-res new dual only</t>
  </si>
  <si>
    <t>Non-res new all-elec</t>
  </si>
  <si>
    <t>Non-res new all</t>
  </si>
  <si>
    <t>All new dual only</t>
  </si>
  <si>
    <t>All new all-elec</t>
  </si>
  <si>
    <t>All new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</si>
</sst>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mmm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2">
    <xf numFmtId="0" fontId="0" fillId="0" borderId="0" xfId="0"/>
    <xf numFmtId="1" fontId="0" fillId="0" borderId="0" xfId="0" applyNumberFormat="1"/>
    <xf numFmtId="0" fontId="2" fillId="0" borderId="0" xfId="0" applyFont="1"/>
    <xf numFmtId="0" fontId="0" fillId="2" borderId="4" xfId="0" applyFill="1" applyBorder="1" applyAlignment="1">
      <alignment vertical="center" wrapText="1"/>
    </xf>
    <xf numFmtId="164" fontId="0" fillId="0" borderId="0" xfId="0" applyNumberFormat="1"/>
    <xf numFmtId="14" fontId="2" fillId="0" borderId="0" xfId="0" applyNumberFormat="1" applyFont="1" applyAlignment="1">
      <alignment vertical="center"/>
    </xf>
    <xf numFmtId="0" fontId="0" fillId="2" borderId="3" xfId="0" applyFill="1" applyBorder="1" applyAlignment="1">
      <alignment vertical="center" wrapText="1"/>
    </xf>
    <xf numFmtId="0" fontId="1" fillId="3" borderId="0" xfId="0" applyFont="1" applyFill="1"/>
    <xf numFmtId="164" fontId="1" fillId="3" borderId="0" xfId="0" applyNumberFormat="1" applyFont="1" applyFill="1"/>
    <xf numFmtId="164" fontId="0" fillId="2" borderId="4" xfId="0" applyNumberFormat="1" applyFill="1" applyBorder="1" applyAlignment="1">
      <alignment vertical="center" wrapText="1"/>
    </xf>
    <xf numFmtId="164" fontId="0" fillId="2" borderId="3" xfId="0" applyNumberFormat="1" applyFill="1" applyBorder="1" applyAlignment="1">
      <alignment vertical="center" wrapText="1"/>
    </xf>
    <xf numFmtId="3" fontId="0" fillId="2" borderId="1" xfId="0" applyNumberFormat="1" applyFill="1" applyBorder="1" applyAlignment="1">
      <alignment vertical="center" wrapText="1"/>
    </xf>
    <xf numFmtId="3" fontId="0" fillId="2" borderId="3" xfId="0" applyNumberFormat="1" applyFill="1" applyBorder="1" applyAlignment="1">
      <alignment vertical="center" wrapText="1"/>
    </xf>
    <xf numFmtId="3" fontId="0" fillId="2" borderId="4" xfId="0" applyNumberFormat="1" applyFill="1" applyBorder="1" applyAlignment="1">
      <alignment vertical="center" wrapText="1"/>
    </xf>
    <xf numFmtId="3" fontId="0" fillId="0" borderId="0" xfId="0" applyNumberFormat="1"/>
    <xf numFmtId="3" fontId="1" fillId="3" borderId="0" xfId="0" applyNumberFormat="1" applyFont="1" applyFill="1"/>
    <xf numFmtId="165" fontId="0" fillId="0" borderId="0" xfId="0" applyNumberFormat="1"/>
    <xf numFmtId="165" fontId="0" fillId="2" borderId="3" xfId="0" applyNumberFormat="1" applyFill="1" applyBorder="1" applyAlignment="1">
      <alignment vertical="center" wrapText="1"/>
    </xf>
    <xf numFmtId="165" fontId="1" fillId="3" borderId="0" xfId="0" applyNumberFormat="1" applyFont="1" applyFill="1"/>
    <xf numFmtId="3" fontId="2" fillId="2" borderId="4" xfId="0" applyNumberFormat="1" applyFont="1" applyFill="1" applyBorder="1" applyAlignment="1">
      <alignment vertical="center" wrapText="1"/>
    </xf>
    <xf numFmtId="1" fontId="0" fillId="2" borderId="2" xfId="0" applyNumberFormat="1" applyFill="1" applyBorder="1" applyAlignment="1">
      <alignment vertical="center" wrapText="1"/>
    </xf>
    <xf numFmtId="1" fontId="1" fillId="3" borderId="0" xfId="0" applyNumberFormat="1" applyFont="1" applyFill="1"/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0" fillId="0" borderId="3" xfId="0" applyBorder="1"/>
    <xf numFmtId="3" fontId="0" fillId="0" borderId="3" xfId="0" applyNumberFormat="1" applyBorder="1"/>
    <xf numFmtId="10" fontId="0" fillId="4" borderId="3" xfId="3" applyNumberFormat="1" applyFont="1" applyFill="1" applyBorder="1"/>
    <xf numFmtId="9" fontId="0" fillId="4" borderId="3" xfId="3" applyFont="1" applyFill="1" applyBorder="1"/>
    <xf numFmtId="44" fontId="0" fillId="0" borderId="0" xfId="2" applyFont="1"/>
    <xf numFmtId="0" fontId="0" fillId="0" borderId="0" xfId="0" applyAlignment="1">
      <alignment horizontal="right"/>
    </xf>
    <xf numFmtId="3" fontId="0" fillId="5" borderId="3" xfId="0" applyNumberFormat="1" applyFill="1" applyBorder="1"/>
    <xf numFmtId="0" fontId="0" fillId="5" borderId="3" xfId="0" applyFill="1" applyBorder="1"/>
  </cellXfs>
  <cellStyles count="4">
    <cellStyle name="Currency" xfId="2" builtinId="4"/>
    <cellStyle name="Normal" xfId="0" builtinId="0"/>
    <cellStyle name="Normal 2" xfId="1" xr:uid="{6FB17208-83B2-4E3C-9AE4-6246393AE8D5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F6A1-972C-496A-AA1D-087A82D9D262}">
  <dimension ref="A1:X359"/>
  <sheetViews>
    <sheetView tabSelected="1" view="pageBreakPreview" zoomScaleNormal="100" zoomScaleSheetLayoutView="100" workbookViewId="0">
      <pane ySplit="8" topLeftCell="A9" activePane="bottomLeft" state="frozen"/>
      <selection pane="bottomLeft" activeCell="I229" sqref="I229"/>
    </sheetView>
  </sheetViews>
  <sheetFormatPr defaultRowHeight="14.5" x14ac:dyDescent="0.35"/>
  <cols>
    <col min="1" max="1" width="16.6328125" customWidth="1"/>
    <col min="2" max="2" width="12.36328125" customWidth="1"/>
    <col min="3" max="3" width="9.08984375" style="16"/>
    <col min="4" max="4" width="13.54296875" customWidth="1"/>
    <col min="6" max="6" width="13.08984375" bestFit="1" customWidth="1"/>
    <col min="7" max="7" width="18.08984375" style="4" customWidth="1"/>
    <col min="8" max="8" width="15.453125" style="14" customWidth="1"/>
    <col min="9" max="9" width="21.453125" style="4" customWidth="1"/>
    <col min="10" max="10" width="16" style="14" customWidth="1"/>
    <col min="11" max="11" width="18.453125" style="4" customWidth="1"/>
    <col min="12" max="12" width="19.36328125" style="14" customWidth="1"/>
    <col min="13" max="13" width="11.08984375" customWidth="1"/>
    <col min="14" max="14" width="12.54296875" style="14" customWidth="1"/>
    <col min="15" max="15" width="12.6328125" customWidth="1"/>
    <col min="16" max="16" width="13.453125" style="14" customWidth="1"/>
    <col min="17" max="17" width="18.36328125" customWidth="1"/>
    <col min="18" max="18" width="17.90625" style="14" customWidth="1"/>
    <col min="19" max="19" width="18.08984375" style="4" customWidth="1"/>
    <col min="20" max="20" width="19.54296875" style="4" customWidth="1"/>
    <col min="21" max="21" width="15.6328125" style="1" customWidth="1"/>
    <col min="22" max="22" width="14.453125" style="14" customWidth="1"/>
    <col min="23" max="23" width="15.90625" style="14" customWidth="1"/>
    <col min="24" max="24" width="18.54296875" style="14" customWidth="1"/>
  </cols>
  <sheetData>
    <row r="1" spans="1:24" x14ac:dyDescent="0.35">
      <c r="A1" s="5" t="s">
        <v>0</v>
      </c>
    </row>
    <row r="2" spans="1:24" x14ac:dyDescent="0.35">
      <c r="A2" s="5" t="s">
        <v>1</v>
      </c>
    </row>
    <row r="3" spans="1:24" x14ac:dyDescent="0.35">
      <c r="A3" s="2" t="s">
        <v>2</v>
      </c>
    </row>
    <row r="4" spans="1:24" x14ac:dyDescent="0.35">
      <c r="A4" s="2" t="s">
        <v>3</v>
      </c>
    </row>
    <row r="5" spans="1:24" x14ac:dyDescent="0.35">
      <c r="A5" s="2" t="s">
        <v>4</v>
      </c>
    </row>
    <row r="6" spans="1:24" ht="6.9" customHeight="1" x14ac:dyDescent="0.35">
      <c r="A6" s="2"/>
    </row>
    <row r="7" spans="1:24" ht="5.4" customHeight="1" x14ac:dyDescent="0.35"/>
    <row r="8" spans="1:24" ht="95.15" customHeight="1" x14ac:dyDescent="0.35">
      <c r="A8" s="6" t="s">
        <v>5</v>
      </c>
      <c r="B8" s="6" t="s">
        <v>6</v>
      </c>
      <c r="C8" s="17" t="s">
        <v>7</v>
      </c>
      <c r="D8" s="6" t="s">
        <v>8</v>
      </c>
      <c r="E8" s="6" t="s">
        <v>9</v>
      </c>
      <c r="F8" s="6" t="s">
        <v>10</v>
      </c>
      <c r="G8" s="10" t="s">
        <v>11</v>
      </c>
      <c r="H8" s="19" t="s">
        <v>12</v>
      </c>
      <c r="I8" s="9" t="s">
        <v>13</v>
      </c>
      <c r="J8" s="13" t="s">
        <v>14</v>
      </c>
      <c r="K8" s="9" t="s">
        <v>15</v>
      </c>
      <c r="L8" s="13" t="s">
        <v>16</v>
      </c>
      <c r="M8" s="3" t="s">
        <v>17</v>
      </c>
      <c r="N8" s="19" t="s">
        <v>18</v>
      </c>
      <c r="O8" s="3" t="s">
        <v>19</v>
      </c>
      <c r="P8" s="13" t="s">
        <v>20</v>
      </c>
      <c r="Q8" s="3" t="s">
        <v>21</v>
      </c>
      <c r="R8" s="13" t="s">
        <v>22</v>
      </c>
      <c r="S8" s="9" t="s">
        <v>23</v>
      </c>
      <c r="T8" s="9" t="s">
        <v>24</v>
      </c>
      <c r="U8" s="20" t="s">
        <v>25</v>
      </c>
      <c r="V8" s="11" t="s">
        <v>26</v>
      </c>
      <c r="W8" s="12" t="s">
        <v>27</v>
      </c>
      <c r="X8" s="13" t="s">
        <v>28</v>
      </c>
    </row>
    <row r="9" spans="1:24" x14ac:dyDescent="0.35">
      <c r="A9" t="s">
        <v>29</v>
      </c>
      <c r="B9" t="s">
        <v>30</v>
      </c>
      <c r="C9" s="16">
        <v>45748</v>
      </c>
      <c r="D9" t="s">
        <v>31</v>
      </c>
      <c r="E9">
        <v>6</v>
      </c>
      <c r="F9" t="s">
        <v>32</v>
      </c>
      <c r="G9" s="4">
        <v>0</v>
      </c>
      <c r="H9" s="14">
        <v>0</v>
      </c>
      <c r="I9" s="4">
        <v>0</v>
      </c>
      <c r="J9" s="14">
        <v>0</v>
      </c>
      <c r="K9" s="4">
        <v>0</v>
      </c>
      <c r="L9" s="14">
        <v>0</v>
      </c>
      <c r="M9">
        <v>0</v>
      </c>
      <c r="N9" s="14">
        <v>0</v>
      </c>
      <c r="O9">
        <v>0</v>
      </c>
      <c r="P9" s="14">
        <v>0</v>
      </c>
      <c r="Q9">
        <v>0</v>
      </c>
      <c r="R9" s="14">
        <v>0</v>
      </c>
      <c r="S9" s="4">
        <v>0</v>
      </c>
      <c r="T9" s="4">
        <v>0</v>
      </c>
      <c r="V9" s="14">
        <v>0</v>
      </c>
      <c r="W9" s="14">
        <v>3</v>
      </c>
      <c r="X9" s="14">
        <v>3</v>
      </c>
    </row>
    <row r="10" spans="1:24" x14ac:dyDescent="0.35">
      <c r="A10" t="s">
        <v>29</v>
      </c>
      <c r="B10" t="s">
        <v>30</v>
      </c>
      <c r="C10" s="16">
        <v>45748</v>
      </c>
      <c r="D10" t="s">
        <v>31</v>
      </c>
      <c r="E10">
        <v>9</v>
      </c>
      <c r="F10" t="s">
        <v>32</v>
      </c>
      <c r="G10" s="4">
        <v>3737.48</v>
      </c>
      <c r="H10" s="14">
        <v>1</v>
      </c>
      <c r="I10" s="4">
        <v>115585.41</v>
      </c>
      <c r="J10" s="14">
        <v>2</v>
      </c>
      <c r="K10" s="4">
        <v>0</v>
      </c>
      <c r="L10" s="14">
        <v>0</v>
      </c>
      <c r="M10">
        <v>0</v>
      </c>
      <c r="N10" s="14">
        <v>0</v>
      </c>
      <c r="O10">
        <v>0</v>
      </c>
      <c r="P10" s="14">
        <v>0</v>
      </c>
      <c r="Q10">
        <v>0</v>
      </c>
      <c r="R10" s="14">
        <v>0</v>
      </c>
      <c r="S10" s="4">
        <v>14587.300000000001</v>
      </c>
      <c r="T10" s="4">
        <v>0</v>
      </c>
      <c r="U10" s="1">
        <v>41.5</v>
      </c>
      <c r="V10" s="14">
        <v>2</v>
      </c>
      <c r="W10" s="14">
        <v>1</v>
      </c>
      <c r="X10" s="14">
        <v>0</v>
      </c>
    </row>
    <row r="11" spans="1:24" x14ac:dyDescent="0.35">
      <c r="A11" t="s">
        <v>29</v>
      </c>
      <c r="B11" t="s">
        <v>30</v>
      </c>
      <c r="C11" s="16">
        <v>45748</v>
      </c>
      <c r="D11" t="s">
        <v>31</v>
      </c>
      <c r="E11">
        <v>10</v>
      </c>
      <c r="F11" t="s">
        <v>32</v>
      </c>
      <c r="G11" s="4">
        <v>7436.06</v>
      </c>
      <c r="H11" s="14">
        <v>1</v>
      </c>
      <c r="I11" s="4">
        <v>1116.97</v>
      </c>
      <c r="J11" s="14">
        <v>1</v>
      </c>
      <c r="K11" s="4">
        <v>0</v>
      </c>
      <c r="L11" s="14">
        <v>0</v>
      </c>
      <c r="M11">
        <v>0</v>
      </c>
      <c r="N11" s="14">
        <v>0</v>
      </c>
      <c r="O11">
        <v>0</v>
      </c>
      <c r="P11" s="14">
        <v>0</v>
      </c>
      <c r="Q11">
        <v>0</v>
      </c>
      <c r="R11" s="14">
        <v>0</v>
      </c>
      <c r="S11" s="4">
        <v>505.82</v>
      </c>
      <c r="T11" s="4">
        <v>0</v>
      </c>
      <c r="U11" s="1">
        <v>99</v>
      </c>
      <c r="V11" s="14">
        <v>1</v>
      </c>
      <c r="W11" s="14">
        <v>1</v>
      </c>
      <c r="X11" s="14">
        <v>0</v>
      </c>
    </row>
    <row r="12" spans="1:24" x14ac:dyDescent="0.35">
      <c r="A12" t="s">
        <v>29</v>
      </c>
      <c r="B12" t="s">
        <v>30</v>
      </c>
      <c r="C12" s="16">
        <v>45748</v>
      </c>
      <c r="D12" t="s">
        <v>31</v>
      </c>
      <c r="E12">
        <v>13</v>
      </c>
      <c r="F12" t="s">
        <v>32</v>
      </c>
      <c r="G12" s="4">
        <v>0</v>
      </c>
      <c r="H12" s="14">
        <v>0</v>
      </c>
      <c r="I12" s="4">
        <v>274832.65999999997</v>
      </c>
      <c r="J12" s="14">
        <v>7</v>
      </c>
      <c r="K12" s="4">
        <v>0</v>
      </c>
      <c r="L12" s="14">
        <v>0</v>
      </c>
      <c r="M12">
        <v>0</v>
      </c>
      <c r="N12" s="14">
        <v>0</v>
      </c>
      <c r="O12">
        <v>0</v>
      </c>
      <c r="P12" s="14">
        <v>0</v>
      </c>
      <c r="Q12">
        <v>0</v>
      </c>
      <c r="R12" s="14">
        <v>0</v>
      </c>
      <c r="S12" s="4">
        <v>9851.01</v>
      </c>
      <c r="T12" s="4">
        <v>0</v>
      </c>
      <c r="U12" s="1">
        <v>56.571428571428569</v>
      </c>
      <c r="V12" s="14">
        <v>7</v>
      </c>
      <c r="W12" s="14">
        <v>6</v>
      </c>
      <c r="X12" s="14">
        <v>0</v>
      </c>
    </row>
    <row r="13" spans="1:24" x14ac:dyDescent="0.35">
      <c r="A13" t="s">
        <v>29</v>
      </c>
      <c r="B13" t="s">
        <v>30</v>
      </c>
      <c r="C13" s="16">
        <v>45748</v>
      </c>
      <c r="D13" t="s">
        <v>31</v>
      </c>
      <c r="E13">
        <v>14</v>
      </c>
      <c r="F13" t="s">
        <v>32</v>
      </c>
      <c r="G13" s="4">
        <v>0</v>
      </c>
      <c r="H13" s="14">
        <v>0</v>
      </c>
      <c r="I13" s="4">
        <v>421.71</v>
      </c>
      <c r="J13" s="14">
        <v>1</v>
      </c>
      <c r="K13" s="4">
        <v>0</v>
      </c>
      <c r="L13" s="14">
        <v>0</v>
      </c>
      <c r="M13">
        <v>0</v>
      </c>
      <c r="N13" s="14">
        <v>0</v>
      </c>
      <c r="O13">
        <v>0</v>
      </c>
      <c r="P13" s="14">
        <v>0</v>
      </c>
      <c r="Q13">
        <v>0</v>
      </c>
      <c r="R13" s="14">
        <v>0</v>
      </c>
      <c r="S13" s="4">
        <v>0</v>
      </c>
      <c r="T13" s="4">
        <v>0</v>
      </c>
      <c r="U13" s="1">
        <v>19</v>
      </c>
      <c r="V13" s="14">
        <v>1</v>
      </c>
      <c r="W13" s="14">
        <v>1</v>
      </c>
      <c r="X13" s="14">
        <v>0</v>
      </c>
    </row>
    <row r="14" spans="1:24" x14ac:dyDescent="0.35">
      <c r="A14" t="s">
        <v>29</v>
      </c>
      <c r="B14" t="s">
        <v>30</v>
      </c>
      <c r="C14" s="16">
        <v>45748</v>
      </c>
      <c r="D14" t="s">
        <v>33</v>
      </c>
      <c r="E14">
        <v>6</v>
      </c>
      <c r="F14" t="s">
        <v>32</v>
      </c>
      <c r="G14" s="4">
        <v>0</v>
      </c>
      <c r="H14" s="14">
        <v>0</v>
      </c>
      <c r="I14" s="4">
        <v>224795.93</v>
      </c>
      <c r="J14" s="14">
        <v>8</v>
      </c>
      <c r="K14" s="4">
        <v>2511.2199999999998</v>
      </c>
      <c r="L14" s="14">
        <v>1</v>
      </c>
      <c r="M14">
        <v>0</v>
      </c>
      <c r="N14" s="14">
        <v>0</v>
      </c>
      <c r="O14">
        <v>0</v>
      </c>
      <c r="P14" s="14">
        <v>0</v>
      </c>
      <c r="Q14">
        <v>0</v>
      </c>
      <c r="R14" s="14">
        <v>0</v>
      </c>
      <c r="S14" s="4">
        <v>2638.7599999999998</v>
      </c>
      <c r="T14" s="4">
        <v>0</v>
      </c>
      <c r="U14" s="1">
        <v>151.09090909090909</v>
      </c>
      <c r="V14" s="14">
        <v>11</v>
      </c>
      <c r="W14" s="14">
        <v>26</v>
      </c>
      <c r="X14" s="14">
        <v>2</v>
      </c>
    </row>
    <row r="15" spans="1:24" x14ac:dyDescent="0.35">
      <c r="A15" t="s">
        <v>29</v>
      </c>
      <c r="B15" t="s">
        <v>30</v>
      </c>
      <c r="C15" s="16">
        <v>45748</v>
      </c>
      <c r="D15" t="s">
        <v>33</v>
      </c>
      <c r="E15">
        <v>8</v>
      </c>
      <c r="F15" t="s">
        <v>32</v>
      </c>
      <c r="G15" s="4">
        <v>10622.070000000002</v>
      </c>
      <c r="H15" s="14">
        <v>3</v>
      </c>
      <c r="I15" s="4">
        <v>382225.05000000005</v>
      </c>
      <c r="J15" s="14">
        <v>9</v>
      </c>
      <c r="K15" s="4">
        <v>27497.410000000003</v>
      </c>
      <c r="L15" s="14">
        <v>5</v>
      </c>
      <c r="M15">
        <v>0</v>
      </c>
      <c r="N15" s="14">
        <v>0</v>
      </c>
      <c r="O15">
        <v>0</v>
      </c>
      <c r="P15" s="14">
        <v>0</v>
      </c>
      <c r="Q15">
        <v>0</v>
      </c>
      <c r="R15" s="14">
        <v>0</v>
      </c>
      <c r="S15" s="4">
        <v>43943.77</v>
      </c>
      <c r="T15" s="4">
        <v>0</v>
      </c>
      <c r="U15" s="1">
        <v>179.28571428571428</v>
      </c>
      <c r="V15" s="14">
        <v>14</v>
      </c>
      <c r="W15" s="14">
        <v>30</v>
      </c>
      <c r="X15" s="14">
        <v>0</v>
      </c>
    </row>
    <row r="16" spans="1:24" x14ac:dyDescent="0.35">
      <c r="A16" t="s">
        <v>29</v>
      </c>
      <c r="B16" t="s">
        <v>30</v>
      </c>
      <c r="C16" s="16">
        <v>45748</v>
      </c>
      <c r="D16" t="s">
        <v>33</v>
      </c>
      <c r="E16">
        <v>9</v>
      </c>
      <c r="F16" t="s">
        <v>32</v>
      </c>
      <c r="G16" s="4">
        <v>0</v>
      </c>
      <c r="H16" s="14">
        <v>0</v>
      </c>
      <c r="I16" s="4">
        <v>164907.01</v>
      </c>
      <c r="J16" s="14">
        <v>10</v>
      </c>
      <c r="K16" s="4">
        <v>0</v>
      </c>
      <c r="L16" s="14">
        <v>0</v>
      </c>
      <c r="M16">
        <v>0</v>
      </c>
      <c r="N16" s="14">
        <v>0</v>
      </c>
      <c r="O16">
        <v>0</v>
      </c>
      <c r="P16" s="14">
        <v>0</v>
      </c>
      <c r="Q16">
        <v>0</v>
      </c>
      <c r="R16" s="14">
        <v>0</v>
      </c>
      <c r="S16" s="4">
        <v>29035.89</v>
      </c>
      <c r="T16" s="4">
        <v>2631.81</v>
      </c>
      <c r="U16" s="1">
        <v>103.75</v>
      </c>
      <c r="V16" s="14">
        <v>12</v>
      </c>
      <c r="W16" s="14">
        <v>32</v>
      </c>
      <c r="X16" s="14">
        <v>0</v>
      </c>
    </row>
    <row r="17" spans="1:24" x14ac:dyDescent="0.35">
      <c r="A17" t="s">
        <v>29</v>
      </c>
      <c r="B17" t="s">
        <v>30</v>
      </c>
      <c r="C17" s="16">
        <v>45748</v>
      </c>
      <c r="D17" t="s">
        <v>33</v>
      </c>
      <c r="E17">
        <v>10</v>
      </c>
      <c r="F17" t="s">
        <v>32</v>
      </c>
      <c r="G17" s="4">
        <v>433737.25000000006</v>
      </c>
      <c r="H17" s="14">
        <v>8</v>
      </c>
      <c r="I17" s="4">
        <v>729359.94000000006</v>
      </c>
      <c r="J17" s="14">
        <v>18</v>
      </c>
      <c r="K17" s="4">
        <v>15794.05</v>
      </c>
      <c r="L17" s="14">
        <v>4</v>
      </c>
      <c r="M17">
        <v>0</v>
      </c>
      <c r="N17" s="14">
        <v>0</v>
      </c>
      <c r="O17">
        <v>0</v>
      </c>
      <c r="P17" s="14">
        <v>0</v>
      </c>
      <c r="Q17">
        <v>0</v>
      </c>
      <c r="R17" s="14">
        <v>0</v>
      </c>
      <c r="S17" s="4">
        <v>260756.14</v>
      </c>
      <c r="T17" s="4">
        <v>68483.27</v>
      </c>
      <c r="U17" s="1">
        <v>132.13157894736841</v>
      </c>
      <c r="V17" s="14">
        <v>38</v>
      </c>
      <c r="W17" s="14">
        <v>59</v>
      </c>
      <c r="X17" s="14">
        <v>12</v>
      </c>
    </row>
    <row r="18" spans="1:24" x14ac:dyDescent="0.35">
      <c r="A18" t="s">
        <v>29</v>
      </c>
      <c r="B18" t="s">
        <v>30</v>
      </c>
      <c r="C18" s="16">
        <v>45748</v>
      </c>
      <c r="D18" t="s">
        <v>33</v>
      </c>
      <c r="E18">
        <v>13</v>
      </c>
      <c r="F18" t="s">
        <v>32</v>
      </c>
      <c r="G18" s="4">
        <v>4408.82</v>
      </c>
      <c r="H18" s="14">
        <v>1</v>
      </c>
      <c r="I18" s="4">
        <v>124762.11</v>
      </c>
      <c r="J18" s="14">
        <v>2</v>
      </c>
      <c r="K18" s="4">
        <v>9631.67</v>
      </c>
      <c r="L18" s="14">
        <v>1</v>
      </c>
      <c r="M18">
        <v>0</v>
      </c>
      <c r="N18" s="14">
        <v>0</v>
      </c>
      <c r="O18">
        <v>0</v>
      </c>
      <c r="P18" s="14">
        <v>0</v>
      </c>
      <c r="Q18">
        <v>0</v>
      </c>
      <c r="R18" s="14">
        <v>0</v>
      </c>
      <c r="S18" s="4">
        <v>8950.83</v>
      </c>
      <c r="T18" s="4">
        <v>0</v>
      </c>
      <c r="U18" s="1">
        <v>98.5</v>
      </c>
      <c r="V18" s="14">
        <v>4</v>
      </c>
      <c r="W18" s="14">
        <v>6</v>
      </c>
      <c r="X18" s="14">
        <v>0</v>
      </c>
    </row>
    <row r="19" spans="1:24" x14ac:dyDescent="0.35">
      <c r="A19" t="s">
        <v>29</v>
      </c>
      <c r="B19" t="s">
        <v>30</v>
      </c>
      <c r="C19" s="16">
        <v>45748</v>
      </c>
      <c r="D19" t="s">
        <v>33</v>
      </c>
      <c r="E19">
        <v>14</v>
      </c>
      <c r="F19" t="s">
        <v>32</v>
      </c>
      <c r="G19" s="4">
        <v>1278.98</v>
      </c>
      <c r="H19" s="14">
        <v>1</v>
      </c>
      <c r="I19" s="4">
        <v>96280.549999999988</v>
      </c>
      <c r="J19" s="14">
        <v>5</v>
      </c>
      <c r="K19" s="4">
        <v>0</v>
      </c>
      <c r="L19" s="14">
        <v>0</v>
      </c>
      <c r="M19">
        <v>0</v>
      </c>
      <c r="N19" s="14">
        <v>0</v>
      </c>
      <c r="O19">
        <v>0</v>
      </c>
      <c r="P19" s="14">
        <v>0</v>
      </c>
      <c r="Q19">
        <v>0</v>
      </c>
      <c r="R19" s="14">
        <v>0</v>
      </c>
      <c r="S19" s="4">
        <v>6577.23</v>
      </c>
      <c r="T19" s="4">
        <v>0</v>
      </c>
      <c r="U19" s="1">
        <v>198.16666666666666</v>
      </c>
      <c r="V19" s="14">
        <v>6</v>
      </c>
      <c r="W19" s="14">
        <v>13</v>
      </c>
      <c r="X19" s="14">
        <v>0</v>
      </c>
    </row>
    <row r="20" spans="1:24" x14ac:dyDescent="0.35">
      <c r="A20" t="s">
        <v>29</v>
      </c>
      <c r="B20" t="s">
        <v>30</v>
      </c>
      <c r="C20" s="16">
        <v>45748</v>
      </c>
      <c r="D20" t="s">
        <v>33</v>
      </c>
      <c r="E20">
        <v>15</v>
      </c>
      <c r="F20" t="s">
        <v>32</v>
      </c>
      <c r="G20" s="4">
        <v>29493.46</v>
      </c>
      <c r="H20" s="14">
        <v>1</v>
      </c>
      <c r="I20" s="4">
        <v>0</v>
      </c>
      <c r="J20" s="14">
        <v>0</v>
      </c>
      <c r="K20" s="4">
        <v>0</v>
      </c>
      <c r="L20" s="14">
        <v>0</v>
      </c>
      <c r="M20">
        <v>0</v>
      </c>
      <c r="N20" s="14">
        <v>0</v>
      </c>
      <c r="O20">
        <v>0</v>
      </c>
      <c r="P20" s="14">
        <v>0</v>
      </c>
      <c r="Q20">
        <v>0</v>
      </c>
      <c r="R20" s="14">
        <v>0</v>
      </c>
      <c r="S20" s="4">
        <v>2108</v>
      </c>
      <c r="T20" s="4">
        <v>0</v>
      </c>
      <c r="U20" s="1">
        <v>103</v>
      </c>
      <c r="V20" s="14">
        <v>2</v>
      </c>
      <c r="W20" s="14">
        <v>7</v>
      </c>
      <c r="X20" s="14">
        <v>3</v>
      </c>
    </row>
    <row r="21" spans="1:24" x14ac:dyDescent="0.35">
      <c r="A21" t="s">
        <v>29</v>
      </c>
      <c r="B21" t="s">
        <v>30</v>
      </c>
      <c r="C21" s="16">
        <v>45748</v>
      </c>
      <c r="D21" t="s">
        <v>33</v>
      </c>
      <c r="E21">
        <v>16</v>
      </c>
      <c r="F21" t="s">
        <v>32</v>
      </c>
      <c r="G21" s="4">
        <v>0</v>
      </c>
      <c r="H21" s="14">
        <v>0</v>
      </c>
      <c r="I21" s="4">
        <v>105916.70999999999</v>
      </c>
      <c r="J21" s="14">
        <v>2</v>
      </c>
      <c r="K21" s="4">
        <v>7853.37</v>
      </c>
      <c r="L21" s="14">
        <v>1</v>
      </c>
      <c r="M21">
        <v>0</v>
      </c>
      <c r="N21" s="14">
        <v>0</v>
      </c>
      <c r="O21">
        <v>0</v>
      </c>
      <c r="P21" s="14">
        <v>0</v>
      </c>
      <c r="Q21">
        <v>0</v>
      </c>
      <c r="R21" s="14">
        <v>0</v>
      </c>
      <c r="S21" s="4">
        <v>8179.34</v>
      </c>
      <c r="T21" s="4">
        <v>0</v>
      </c>
      <c r="U21" s="1">
        <v>178</v>
      </c>
      <c r="V21" s="14">
        <v>2</v>
      </c>
      <c r="W21" s="14">
        <v>4</v>
      </c>
      <c r="X21" s="14">
        <v>0</v>
      </c>
    </row>
    <row r="22" spans="1:24" x14ac:dyDescent="0.35">
      <c r="A22" t="s">
        <v>29</v>
      </c>
      <c r="B22" t="s">
        <v>30</v>
      </c>
      <c r="C22" s="16">
        <v>45748</v>
      </c>
      <c r="D22" t="s">
        <v>34</v>
      </c>
      <c r="E22">
        <v>6</v>
      </c>
      <c r="F22" t="s">
        <v>35</v>
      </c>
      <c r="G22" s="4">
        <v>5606.82</v>
      </c>
      <c r="H22" s="14">
        <v>1</v>
      </c>
      <c r="I22" s="4">
        <v>106301.33</v>
      </c>
      <c r="J22" s="14">
        <v>3</v>
      </c>
      <c r="K22" s="4">
        <v>0</v>
      </c>
      <c r="L22" s="14">
        <v>0</v>
      </c>
      <c r="M22">
        <v>0</v>
      </c>
      <c r="N22" s="14">
        <v>0</v>
      </c>
      <c r="O22">
        <v>0</v>
      </c>
      <c r="P22" s="14">
        <v>0</v>
      </c>
      <c r="Q22">
        <v>0</v>
      </c>
      <c r="R22" s="14">
        <v>0</v>
      </c>
      <c r="S22" s="4">
        <v>29543.599999999999</v>
      </c>
      <c r="T22" s="4">
        <v>0</v>
      </c>
      <c r="U22" s="1">
        <v>46.333333333333336</v>
      </c>
      <c r="V22" s="14">
        <v>3</v>
      </c>
      <c r="W22" s="14">
        <v>10</v>
      </c>
      <c r="X22" s="14">
        <v>0</v>
      </c>
    </row>
    <row r="23" spans="1:24" x14ac:dyDescent="0.35">
      <c r="A23" t="s">
        <v>29</v>
      </c>
      <c r="B23" t="s">
        <v>30</v>
      </c>
      <c r="C23" s="16">
        <v>45748</v>
      </c>
      <c r="D23" t="s">
        <v>34</v>
      </c>
      <c r="E23">
        <v>6</v>
      </c>
      <c r="F23" t="s">
        <v>36</v>
      </c>
      <c r="G23" s="4">
        <v>20509.919999999998</v>
      </c>
      <c r="H23" s="14">
        <v>1</v>
      </c>
      <c r="I23" s="4">
        <v>17740.48</v>
      </c>
      <c r="J23" s="14">
        <v>14</v>
      </c>
      <c r="K23" s="4">
        <v>0</v>
      </c>
      <c r="L23" s="14">
        <v>0</v>
      </c>
      <c r="M23">
        <v>0</v>
      </c>
      <c r="N23" s="14">
        <v>0</v>
      </c>
      <c r="O23">
        <v>0</v>
      </c>
      <c r="P23" s="14">
        <v>0</v>
      </c>
      <c r="Q23">
        <v>0</v>
      </c>
      <c r="R23" s="14">
        <v>0</v>
      </c>
      <c r="S23" s="4">
        <v>37424.71</v>
      </c>
      <c r="T23" s="4">
        <v>382613.73</v>
      </c>
      <c r="U23" s="1">
        <v>117.75</v>
      </c>
      <c r="V23" s="14">
        <v>16</v>
      </c>
      <c r="W23" s="14">
        <v>32</v>
      </c>
      <c r="X23" s="14">
        <v>4</v>
      </c>
    </row>
    <row r="24" spans="1:24" x14ac:dyDescent="0.35">
      <c r="A24" t="s">
        <v>29</v>
      </c>
      <c r="B24" t="s">
        <v>30</v>
      </c>
      <c r="C24" s="16">
        <v>45748</v>
      </c>
      <c r="D24" t="s">
        <v>34</v>
      </c>
      <c r="E24">
        <v>8</v>
      </c>
      <c r="F24" t="s">
        <v>35</v>
      </c>
      <c r="G24" s="4">
        <v>4038.5</v>
      </c>
      <c r="H24" s="14">
        <v>1</v>
      </c>
      <c r="I24" s="4">
        <v>30530.28</v>
      </c>
      <c r="J24" s="14">
        <v>9</v>
      </c>
      <c r="K24" s="4">
        <v>0</v>
      </c>
      <c r="L24" s="14">
        <v>0</v>
      </c>
      <c r="M24">
        <v>0</v>
      </c>
      <c r="N24" s="14">
        <v>0</v>
      </c>
      <c r="O24">
        <v>0</v>
      </c>
      <c r="P24" s="14">
        <v>0</v>
      </c>
      <c r="Q24">
        <v>0</v>
      </c>
      <c r="R24" s="14">
        <v>0</v>
      </c>
      <c r="S24" s="4">
        <v>10180.950000000001</v>
      </c>
      <c r="T24" s="4">
        <v>0</v>
      </c>
      <c r="U24" s="1">
        <v>36.444444444444443</v>
      </c>
      <c r="V24" s="14">
        <v>9</v>
      </c>
      <c r="W24" s="14">
        <v>9</v>
      </c>
      <c r="X24" s="14">
        <v>3</v>
      </c>
    </row>
    <row r="25" spans="1:24" x14ac:dyDescent="0.35">
      <c r="A25" t="s">
        <v>29</v>
      </c>
      <c r="B25" t="s">
        <v>30</v>
      </c>
      <c r="C25" s="16">
        <v>45748</v>
      </c>
      <c r="D25" t="s">
        <v>34</v>
      </c>
      <c r="E25">
        <v>8</v>
      </c>
      <c r="F25" t="s">
        <v>36</v>
      </c>
      <c r="G25" s="4">
        <v>0</v>
      </c>
      <c r="H25" s="14">
        <v>0</v>
      </c>
      <c r="I25" s="4">
        <v>11101.2</v>
      </c>
      <c r="J25" s="14">
        <v>19</v>
      </c>
      <c r="K25" s="4">
        <v>78636.62</v>
      </c>
      <c r="L25" s="14">
        <v>1</v>
      </c>
      <c r="M25">
        <v>0</v>
      </c>
      <c r="N25" s="14">
        <v>0</v>
      </c>
      <c r="O25">
        <v>0</v>
      </c>
      <c r="P25" s="14">
        <v>0</v>
      </c>
      <c r="Q25">
        <v>0</v>
      </c>
      <c r="R25" s="14">
        <v>0</v>
      </c>
      <c r="S25" s="4">
        <v>10127.68</v>
      </c>
      <c r="T25" s="4">
        <v>97869.7</v>
      </c>
      <c r="U25" s="1">
        <v>73.5</v>
      </c>
      <c r="V25" s="14">
        <v>20</v>
      </c>
      <c r="W25" s="14">
        <v>19</v>
      </c>
      <c r="X25" s="14">
        <v>0</v>
      </c>
    </row>
    <row r="26" spans="1:24" x14ac:dyDescent="0.35">
      <c r="A26" t="s">
        <v>29</v>
      </c>
      <c r="B26" t="s">
        <v>30</v>
      </c>
      <c r="C26" s="16">
        <v>45748</v>
      </c>
      <c r="D26" t="s">
        <v>34</v>
      </c>
      <c r="E26">
        <v>9</v>
      </c>
      <c r="F26" t="s">
        <v>35</v>
      </c>
      <c r="G26" s="4">
        <v>16680.8</v>
      </c>
      <c r="H26" s="14">
        <v>1</v>
      </c>
      <c r="I26" s="4">
        <v>19220.650000000001</v>
      </c>
      <c r="J26" s="14">
        <v>2</v>
      </c>
      <c r="K26" s="4">
        <v>0</v>
      </c>
      <c r="L26" s="14">
        <v>0</v>
      </c>
      <c r="M26">
        <v>0</v>
      </c>
      <c r="N26" s="14">
        <v>0</v>
      </c>
      <c r="O26">
        <v>0</v>
      </c>
      <c r="P26" s="14">
        <v>0</v>
      </c>
      <c r="Q26">
        <v>0</v>
      </c>
      <c r="R26" s="14">
        <v>0</v>
      </c>
      <c r="S26" s="4">
        <v>8825.77</v>
      </c>
      <c r="T26" s="4">
        <v>0</v>
      </c>
      <c r="U26" s="1">
        <v>121.5</v>
      </c>
      <c r="V26" s="14">
        <v>4</v>
      </c>
      <c r="W26" s="14">
        <v>8</v>
      </c>
      <c r="X26" s="14">
        <v>4</v>
      </c>
    </row>
    <row r="27" spans="1:24" x14ac:dyDescent="0.35">
      <c r="A27" t="s">
        <v>29</v>
      </c>
      <c r="B27" t="s">
        <v>30</v>
      </c>
      <c r="C27" s="16">
        <v>45748</v>
      </c>
      <c r="D27" t="s">
        <v>34</v>
      </c>
      <c r="E27">
        <v>9</v>
      </c>
      <c r="F27" t="s">
        <v>36</v>
      </c>
      <c r="G27" s="4">
        <v>0</v>
      </c>
      <c r="H27" s="14">
        <v>0</v>
      </c>
      <c r="I27" s="4">
        <v>24856.05</v>
      </c>
      <c r="J27" s="14">
        <v>30</v>
      </c>
      <c r="K27" s="4">
        <v>0</v>
      </c>
      <c r="L27" s="14">
        <v>0</v>
      </c>
      <c r="M27">
        <v>0</v>
      </c>
      <c r="N27" s="14">
        <v>0</v>
      </c>
      <c r="O27">
        <v>0</v>
      </c>
      <c r="P27" s="14">
        <v>0</v>
      </c>
      <c r="Q27">
        <v>0</v>
      </c>
      <c r="R27" s="14">
        <v>0</v>
      </c>
      <c r="S27" s="4">
        <v>3681.5699999999997</v>
      </c>
      <c r="T27" s="4">
        <v>0</v>
      </c>
      <c r="U27" s="1">
        <v>25.838709677419356</v>
      </c>
      <c r="V27" s="14">
        <v>31</v>
      </c>
      <c r="W27" s="14">
        <v>50</v>
      </c>
      <c r="X27" s="14">
        <v>3</v>
      </c>
    </row>
    <row r="28" spans="1:24" x14ac:dyDescent="0.35">
      <c r="A28" t="s">
        <v>29</v>
      </c>
      <c r="B28" t="s">
        <v>30</v>
      </c>
      <c r="C28" s="16">
        <v>45748</v>
      </c>
      <c r="D28" t="s">
        <v>34</v>
      </c>
      <c r="E28">
        <v>10</v>
      </c>
      <c r="F28" t="s">
        <v>35</v>
      </c>
      <c r="G28" s="4">
        <v>6461.72</v>
      </c>
      <c r="H28" s="14">
        <v>1</v>
      </c>
      <c r="I28" s="4">
        <v>124778.99000000002</v>
      </c>
      <c r="J28" s="14">
        <v>15</v>
      </c>
      <c r="K28" s="4">
        <v>0</v>
      </c>
      <c r="L28" s="14">
        <v>0</v>
      </c>
      <c r="M28">
        <v>0</v>
      </c>
      <c r="N28" s="14">
        <v>0</v>
      </c>
      <c r="O28">
        <v>0</v>
      </c>
      <c r="P28" s="14">
        <v>0</v>
      </c>
      <c r="Q28">
        <v>0</v>
      </c>
      <c r="R28" s="14">
        <v>0</v>
      </c>
      <c r="S28" s="4">
        <v>5246.79</v>
      </c>
      <c r="T28" s="4">
        <v>0</v>
      </c>
      <c r="U28" s="1">
        <v>89.4</v>
      </c>
      <c r="V28" s="14">
        <v>15</v>
      </c>
      <c r="W28" s="14">
        <v>27</v>
      </c>
      <c r="X28" s="14">
        <v>5</v>
      </c>
    </row>
    <row r="29" spans="1:24" x14ac:dyDescent="0.35">
      <c r="A29" t="s">
        <v>29</v>
      </c>
      <c r="B29" t="s">
        <v>30</v>
      </c>
      <c r="C29" s="16">
        <v>45748</v>
      </c>
      <c r="D29" t="s">
        <v>34</v>
      </c>
      <c r="E29">
        <v>10</v>
      </c>
      <c r="F29" t="s">
        <v>36</v>
      </c>
      <c r="G29" s="4">
        <v>253043.07</v>
      </c>
      <c r="H29" s="14">
        <v>5</v>
      </c>
      <c r="I29" s="4">
        <v>57769.009999999995</v>
      </c>
      <c r="J29" s="14">
        <v>24</v>
      </c>
      <c r="K29" s="4">
        <v>153798.97999999998</v>
      </c>
      <c r="L29" s="14">
        <v>4</v>
      </c>
      <c r="M29">
        <v>0</v>
      </c>
      <c r="N29" s="14">
        <v>0</v>
      </c>
      <c r="O29">
        <v>0</v>
      </c>
      <c r="P29" s="14">
        <v>0</v>
      </c>
      <c r="Q29">
        <v>0</v>
      </c>
      <c r="R29" s="14">
        <v>0</v>
      </c>
      <c r="S29" s="4">
        <v>225049.28000000003</v>
      </c>
      <c r="T29" s="4">
        <v>1379274.3800000001</v>
      </c>
      <c r="U29" s="1">
        <v>111.95</v>
      </c>
      <c r="V29" s="14">
        <v>40</v>
      </c>
      <c r="W29" s="14">
        <v>74</v>
      </c>
      <c r="X29" s="14">
        <v>5</v>
      </c>
    </row>
    <row r="30" spans="1:24" x14ac:dyDescent="0.35">
      <c r="A30" t="s">
        <v>29</v>
      </c>
      <c r="B30" t="s">
        <v>30</v>
      </c>
      <c r="C30" s="16">
        <v>45748</v>
      </c>
      <c r="D30" t="s">
        <v>34</v>
      </c>
      <c r="E30">
        <v>13</v>
      </c>
      <c r="F30" t="s">
        <v>35</v>
      </c>
      <c r="G30" s="4">
        <v>0</v>
      </c>
      <c r="H30" s="14">
        <v>0</v>
      </c>
      <c r="I30" s="4">
        <v>93921.64</v>
      </c>
      <c r="J30" s="14">
        <v>2</v>
      </c>
      <c r="K30" s="4">
        <v>0</v>
      </c>
      <c r="L30" s="14">
        <v>0</v>
      </c>
      <c r="M30">
        <v>0</v>
      </c>
      <c r="N30" s="14">
        <v>0</v>
      </c>
      <c r="O30">
        <v>0</v>
      </c>
      <c r="P30" s="14">
        <v>0</v>
      </c>
      <c r="Q30">
        <v>0</v>
      </c>
      <c r="R30" s="14">
        <v>0</v>
      </c>
      <c r="S30" s="4">
        <v>0</v>
      </c>
      <c r="T30" s="4">
        <v>0</v>
      </c>
      <c r="U30" s="1">
        <v>66.5</v>
      </c>
      <c r="V30" s="14">
        <v>2</v>
      </c>
      <c r="W30" s="14">
        <v>3</v>
      </c>
      <c r="X30" s="14">
        <v>0</v>
      </c>
    </row>
    <row r="31" spans="1:24" x14ac:dyDescent="0.35">
      <c r="A31" t="s">
        <v>29</v>
      </c>
      <c r="B31" t="s">
        <v>30</v>
      </c>
      <c r="C31" s="16">
        <v>45748</v>
      </c>
      <c r="D31" t="s">
        <v>34</v>
      </c>
      <c r="E31">
        <v>13</v>
      </c>
      <c r="F31" t="s">
        <v>36</v>
      </c>
      <c r="G31" s="4">
        <v>3430.04</v>
      </c>
      <c r="H31" s="14">
        <v>1</v>
      </c>
      <c r="I31" s="4">
        <v>11282.71</v>
      </c>
      <c r="J31" s="14">
        <v>6</v>
      </c>
      <c r="K31" s="4">
        <v>64092.11</v>
      </c>
      <c r="L31" s="14">
        <v>2</v>
      </c>
      <c r="M31">
        <v>0</v>
      </c>
      <c r="N31" s="14">
        <v>0</v>
      </c>
      <c r="O31">
        <v>0</v>
      </c>
      <c r="P31" s="14">
        <v>0</v>
      </c>
      <c r="Q31">
        <v>0</v>
      </c>
      <c r="R31" s="14">
        <v>0</v>
      </c>
      <c r="S31" s="4">
        <v>0</v>
      </c>
      <c r="T31" s="4">
        <v>0</v>
      </c>
      <c r="U31" s="1">
        <v>100.8</v>
      </c>
      <c r="V31" s="14">
        <v>10</v>
      </c>
      <c r="W31" s="14">
        <v>20</v>
      </c>
      <c r="X31" s="14">
        <v>7</v>
      </c>
    </row>
    <row r="32" spans="1:24" x14ac:dyDescent="0.35">
      <c r="A32" t="s">
        <v>29</v>
      </c>
      <c r="B32" t="s">
        <v>30</v>
      </c>
      <c r="C32" s="16">
        <v>45748</v>
      </c>
      <c r="D32" t="s">
        <v>34</v>
      </c>
      <c r="E32">
        <v>14</v>
      </c>
      <c r="F32" t="s">
        <v>35</v>
      </c>
      <c r="G32" s="4">
        <v>5510.32</v>
      </c>
      <c r="H32" s="14">
        <v>1</v>
      </c>
      <c r="I32" s="4">
        <v>30383.930000000004</v>
      </c>
      <c r="J32" s="14">
        <v>6</v>
      </c>
      <c r="K32" s="4">
        <v>0</v>
      </c>
      <c r="L32" s="14">
        <v>0</v>
      </c>
      <c r="M32">
        <v>0</v>
      </c>
      <c r="N32" s="14">
        <v>0</v>
      </c>
      <c r="O32">
        <v>0</v>
      </c>
      <c r="P32" s="14">
        <v>0</v>
      </c>
      <c r="Q32">
        <v>0</v>
      </c>
      <c r="R32" s="14">
        <v>0</v>
      </c>
      <c r="S32" s="4">
        <v>2656.3900000000003</v>
      </c>
      <c r="T32" s="4">
        <v>0</v>
      </c>
      <c r="U32" s="1">
        <v>70</v>
      </c>
      <c r="V32" s="14">
        <v>6</v>
      </c>
      <c r="W32" s="14">
        <v>0</v>
      </c>
      <c r="X32" s="14">
        <v>0</v>
      </c>
    </row>
    <row r="33" spans="1:24" x14ac:dyDescent="0.35">
      <c r="A33" t="s">
        <v>29</v>
      </c>
      <c r="B33" t="s">
        <v>30</v>
      </c>
      <c r="C33" s="16">
        <v>45748</v>
      </c>
      <c r="D33" t="s">
        <v>34</v>
      </c>
      <c r="E33">
        <v>14</v>
      </c>
      <c r="F33" t="s">
        <v>36</v>
      </c>
      <c r="G33" s="4">
        <v>67527.03</v>
      </c>
      <c r="H33" s="14">
        <v>11</v>
      </c>
      <c r="I33" s="4">
        <v>121176.14000000001</v>
      </c>
      <c r="J33" s="14">
        <v>42</v>
      </c>
      <c r="K33" s="4">
        <v>0</v>
      </c>
      <c r="L33" s="14">
        <v>0</v>
      </c>
      <c r="M33">
        <v>0</v>
      </c>
      <c r="N33" s="14">
        <v>0</v>
      </c>
      <c r="O33">
        <v>0</v>
      </c>
      <c r="P33" s="14">
        <v>0</v>
      </c>
      <c r="Q33">
        <v>0</v>
      </c>
      <c r="R33" s="14">
        <v>0</v>
      </c>
      <c r="S33" s="4">
        <v>79905.580000000016</v>
      </c>
      <c r="T33" s="4">
        <v>583274.90999999992</v>
      </c>
      <c r="U33" s="1">
        <v>60.043478260869563</v>
      </c>
      <c r="V33" s="14">
        <v>46</v>
      </c>
      <c r="W33" s="14">
        <v>58</v>
      </c>
      <c r="X33" s="14">
        <v>0</v>
      </c>
    </row>
    <row r="34" spans="1:24" x14ac:dyDescent="0.35">
      <c r="A34" t="s">
        <v>29</v>
      </c>
      <c r="B34" t="s">
        <v>30</v>
      </c>
      <c r="C34" s="16">
        <v>45748</v>
      </c>
      <c r="D34" t="s">
        <v>34</v>
      </c>
      <c r="E34">
        <v>15</v>
      </c>
      <c r="F34" t="s">
        <v>35</v>
      </c>
      <c r="G34" s="4">
        <v>0</v>
      </c>
      <c r="H34" s="14">
        <v>0</v>
      </c>
      <c r="I34" s="4">
        <v>55050.47</v>
      </c>
      <c r="J34" s="14">
        <v>3</v>
      </c>
      <c r="K34" s="4">
        <v>0</v>
      </c>
      <c r="L34" s="14">
        <v>0</v>
      </c>
      <c r="M34">
        <v>0</v>
      </c>
      <c r="N34" s="14">
        <v>0</v>
      </c>
      <c r="O34">
        <v>0</v>
      </c>
      <c r="P34" s="14">
        <v>0</v>
      </c>
      <c r="Q34">
        <v>0</v>
      </c>
      <c r="R34" s="14">
        <v>0</v>
      </c>
      <c r="S34" s="4">
        <v>0</v>
      </c>
      <c r="T34" s="4">
        <v>0</v>
      </c>
      <c r="U34" s="1">
        <v>268.66666666666669</v>
      </c>
      <c r="V34" s="14">
        <v>3</v>
      </c>
      <c r="W34" s="14">
        <v>0</v>
      </c>
      <c r="X34" s="14">
        <v>0</v>
      </c>
    </row>
    <row r="35" spans="1:24" x14ac:dyDescent="0.35">
      <c r="A35" t="s">
        <v>29</v>
      </c>
      <c r="B35" t="s">
        <v>30</v>
      </c>
      <c r="C35" s="16">
        <v>45748</v>
      </c>
      <c r="D35" t="s">
        <v>34</v>
      </c>
      <c r="E35">
        <v>15</v>
      </c>
      <c r="F35" t="s">
        <v>36</v>
      </c>
      <c r="G35" s="4">
        <v>0</v>
      </c>
      <c r="H35" s="14">
        <v>0</v>
      </c>
      <c r="I35" s="4">
        <v>1100.26</v>
      </c>
      <c r="J35" s="14">
        <v>1</v>
      </c>
      <c r="K35" s="4">
        <v>0</v>
      </c>
      <c r="L35" s="14">
        <v>0</v>
      </c>
      <c r="M35">
        <v>0</v>
      </c>
      <c r="N35" s="14">
        <v>0</v>
      </c>
      <c r="O35">
        <v>0</v>
      </c>
      <c r="P35" s="14">
        <v>0</v>
      </c>
      <c r="Q35">
        <v>0</v>
      </c>
      <c r="R35" s="14">
        <v>0</v>
      </c>
      <c r="S35" s="4">
        <v>0</v>
      </c>
      <c r="T35" s="4">
        <v>0</v>
      </c>
      <c r="U35" s="1">
        <v>83</v>
      </c>
      <c r="V35" s="14">
        <v>1</v>
      </c>
      <c r="W35" s="14">
        <v>3</v>
      </c>
      <c r="X35" s="14">
        <v>0</v>
      </c>
    </row>
    <row r="36" spans="1:24" x14ac:dyDescent="0.35">
      <c r="A36" t="s">
        <v>29</v>
      </c>
      <c r="B36" t="s">
        <v>30</v>
      </c>
      <c r="C36" s="16">
        <v>45748</v>
      </c>
      <c r="D36" t="s">
        <v>34</v>
      </c>
      <c r="E36">
        <v>16</v>
      </c>
      <c r="F36" t="s">
        <v>35</v>
      </c>
      <c r="G36" s="4">
        <v>0</v>
      </c>
      <c r="H36" s="14">
        <v>0</v>
      </c>
      <c r="I36" s="4">
        <v>5718</v>
      </c>
      <c r="J36" s="14">
        <v>1</v>
      </c>
      <c r="K36" s="4">
        <v>0</v>
      </c>
      <c r="L36" s="14">
        <v>0</v>
      </c>
      <c r="M36">
        <v>0</v>
      </c>
      <c r="N36" s="14">
        <v>0</v>
      </c>
      <c r="O36">
        <v>0</v>
      </c>
      <c r="P36" s="14">
        <v>0</v>
      </c>
      <c r="Q36">
        <v>0</v>
      </c>
      <c r="R36" s="14">
        <v>0</v>
      </c>
      <c r="S36" s="4">
        <v>0</v>
      </c>
      <c r="T36" s="4">
        <v>0</v>
      </c>
      <c r="U36" s="1">
        <v>40</v>
      </c>
      <c r="V36" s="14">
        <v>1</v>
      </c>
      <c r="W36" s="14">
        <v>1</v>
      </c>
      <c r="X36" s="14">
        <v>0</v>
      </c>
    </row>
    <row r="37" spans="1:24" x14ac:dyDescent="0.35">
      <c r="A37" t="s">
        <v>29</v>
      </c>
      <c r="B37" t="s">
        <v>30</v>
      </c>
      <c r="C37" s="16">
        <v>45748</v>
      </c>
      <c r="D37" t="s">
        <v>34</v>
      </c>
      <c r="E37">
        <v>16</v>
      </c>
      <c r="F37" t="s">
        <v>36</v>
      </c>
      <c r="G37" s="4">
        <v>25112.720000000001</v>
      </c>
      <c r="H37" s="14">
        <v>3</v>
      </c>
      <c r="I37" s="4">
        <v>23106.400000000001</v>
      </c>
      <c r="J37" s="14">
        <v>7</v>
      </c>
      <c r="K37" s="4">
        <v>0</v>
      </c>
      <c r="L37" s="14">
        <v>0</v>
      </c>
      <c r="M37">
        <v>0</v>
      </c>
      <c r="N37" s="14">
        <v>0</v>
      </c>
      <c r="O37">
        <v>0</v>
      </c>
      <c r="P37" s="14">
        <v>0</v>
      </c>
      <c r="Q37">
        <v>0</v>
      </c>
      <c r="R37" s="14">
        <v>0</v>
      </c>
      <c r="S37" s="4">
        <v>2440.12</v>
      </c>
      <c r="T37" s="4">
        <v>0</v>
      </c>
      <c r="U37" s="1">
        <v>115.28571428571429</v>
      </c>
      <c r="V37" s="14">
        <v>7</v>
      </c>
      <c r="W37" s="14">
        <v>7</v>
      </c>
      <c r="X37" s="14">
        <v>0</v>
      </c>
    </row>
    <row r="38" spans="1:24" x14ac:dyDescent="0.35">
      <c r="A38" t="s">
        <v>29</v>
      </c>
      <c r="B38" t="s">
        <v>30</v>
      </c>
      <c r="C38" s="16">
        <v>45748</v>
      </c>
      <c r="D38" t="s">
        <v>37</v>
      </c>
      <c r="E38">
        <v>6</v>
      </c>
      <c r="F38" t="s">
        <v>32</v>
      </c>
      <c r="G38" s="4">
        <v>0</v>
      </c>
      <c r="H38" s="14">
        <v>0</v>
      </c>
      <c r="I38" s="4">
        <v>0</v>
      </c>
      <c r="J38" s="14">
        <v>0</v>
      </c>
      <c r="K38" s="4">
        <v>0</v>
      </c>
      <c r="L38" s="14">
        <v>0</v>
      </c>
      <c r="M38">
        <v>0</v>
      </c>
      <c r="N38" s="14">
        <v>0</v>
      </c>
      <c r="O38">
        <v>0</v>
      </c>
      <c r="P38" s="14">
        <v>0</v>
      </c>
      <c r="Q38">
        <v>0</v>
      </c>
      <c r="R38" s="14">
        <v>0</v>
      </c>
      <c r="S38" s="4">
        <v>0</v>
      </c>
      <c r="T38" s="4">
        <v>0</v>
      </c>
      <c r="V38" s="14">
        <v>0</v>
      </c>
      <c r="W38" s="14">
        <v>5</v>
      </c>
      <c r="X38" s="14">
        <v>0</v>
      </c>
    </row>
    <row r="39" spans="1:24" x14ac:dyDescent="0.35">
      <c r="A39" t="s">
        <v>29</v>
      </c>
      <c r="B39" t="s">
        <v>30</v>
      </c>
      <c r="C39" s="16">
        <v>45748</v>
      </c>
      <c r="D39" t="s">
        <v>37</v>
      </c>
      <c r="E39">
        <v>8</v>
      </c>
      <c r="F39" t="s">
        <v>32</v>
      </c>
      <c r="G39" s="4">
        <v>0</v>
      </c>
      <c r="H39" s="14">
        <v>0</v>
      </c>
      <c r="I39" s="4">
        <v>0</v>
      </c>
      <c r="J39" s="14">
        <v>0</v>
      </c>
      <c r="K39" s="4">
        <v>0</v>
      </c>
      <c r="L39" s="14">
        <v>0</v>
      </c>
      <c r="M39">
        <v>0</v>
      </c>
      <c r="N39" s="14">
        <v>0</v>
      </c>
      <c r="O39">
        <v>0</v>
      </c>
      <c r="P39" s="14">
        <v>0</v>
      </c>
      <c r="Q39">
        <v>0</v>
      </c>
      <c r="R39" s="14">
        <v>0</v>
      </c>
      <c r="S39" s="4">
        <v>0</v>
      </c>
      <c r="T39" s="4">
        <v>0</v>
      </c>
      <c r="V39" s="14">
        <v>0</v>
      </c>
      <c r="W39" s="14">
        <v>2</v>
      </c>
      <c r="X39" s="14">
        <v>0</v>
      </c>
    </row>
    <row r="40" spans="1:24" x14ac:dyDescent="0.35">
      <c r="A40" t="s">
        <v>29</v>
      </c>
      <c r="B40" t="s">
        <v>30</v>
      </c>
      <c r="C40" s="16">
        <v>45748</v>
      </c>
      <c r="D40" t="s">
        <v>37</v>
      </c>
      <c r="E40">
        <v>9</v>
      </c>
      <c r="F40" t="s">
        <v>32</v>
      </c>
      <c r="G40" s="4">
        <v>0</v>
      </c>
      <c r="H40" s="14">
        <v>0</v>
      </c>
      <c r="I40" s="4">
        <v>0</v>
      </c>
      <c r="J40" s="14">
        <v>0</v>
      </c>
      <c r="K40" s="4">
        <v>0</v>
      </c>
      <c r="L40" s="14">
        <v>0</v>
      </c>
      <c r="M40">
        <v>0</v>
      </c>
      <c r="N40" s="14">
        <v>0</v>
      </c>
      <c r="O40">
        <v>0</v>
      </c>
      <c r="P40" s="14">
        <v>0</v>
      </c>
      <c r="Q40">
        <v>0</v>
      </c>
      <c r="R40" s="14">
        <v>0</v>
      </c>
      <c r="S40" s="4">
        <v>0</v>
      </c>
      <c r="T40" s="4">
        <v>0</v>
      </c>
      <c r="V40" s="14">
        <v>0</v>
      </c>
      <c r="W40" s="14">
        <v>2</v>
      </c>
      <c r="X40" s="14">
        <v>0</v>
      </c>
    </row>
    <row r="41" spans="1:24" x14ac:dyDescent="0.35">
      <c r="A41" t="s">
        <v>29</v>
      </c>
      <c r="B41" t="s">
        <v>30</v>
      </c>
      <c r="C41" s="16">
        <v>45748</v>
      </c>
      <c r="D41" t="s">
        <v>37</v>
      </c>
      <c r="E41">
        <v>10</v>
      </c>
      <c r="F41" t="s">
        <v>32</v>
      </c>
      <c r="G41" s="4">
        <v>0</v>
      </c>
      <c r="H41" s="14">
        <v>0</v>
      </c>
      <c r="I41" s="4">
        <v>0</v>
      </c>
      <c r="J41" s="14">
        <v>0</v>
      </c>
      <c r="K41" s="4">
        <v>0</v>
      </c>
      <c r="L41" s="14">
        <v>0</v>
      </c>
      <c r="M41">
        <v>0</v>
      </c>
      <c r="N41" s="14">
        <v>0</v>
      </c>
      <c r="O41">
        <v>0</v>
      </c>
      <c r="P41" s="14">
        <v>0</v>
      </c>
      <c r="Q41">
        <v>0</v>
      </c>
      <c r="R41" s="14">
        <v>0</v>
      </c>
      <c r="S41" s="4">
        <v>0</v>
      </c>
      <c r="T41" s="4">
        <v>0</v>
      </c>
      <c r="V41" s="14">
        <v>0</v>
      </c>
      <c r="W41" s="14">
        <v>5</v>
      </c>
      <c r="X41" s="14">
        <v>1</v>
      </c>
    </row>
    <row r="42" spans="1:24" x14ac:dyDescent="0.35">
      <c r="A42" t="s">
        <v>29</v>
      </c>
      <c r="B42" t="s">
        <v>30</v>
      </c>
      <c r="C42" s="16">
        <v>45748</v>
      </c>
      <c r="D42" t="s">
        <v>37</v>
      </c>
      <c r="E42">
        <v>14</v>
      </c>
      <c r="F42" t="s">
        <v>32</v>
      </c>
      <c r="G42" s="4">
        <v>0</v>
      </c>
      <c r="H42" s="14">
        <v>0</v>
      </c>
      <c r="I42" s="4">
        <v>0</v>
      </c>
      <c r="J42" s="14">
        <v>0</v>
      </c>
      <c r="K42" s="4">
        <v>0</v>
      </c>
      <c r="L42" s="14">
        <v>0</v>
      </c>
      <c r="M42">
        <v>0</v>
      </c>
      <c r="N42" s="14">
        <v>0</v>
      </c>
      <c r="O42">
        <v>0</v>
      </c>
      <c r="P42" s="14">
        <v>0</v>
      </c>
      <c r="Q42">
        <v>0</v>
      </c>
      <c r="R42" s="14">
        <v>0</v>
      </c>
      <c r="S42" s="4">
        <v>0</v>
      </c>
      <c r="T42" s="4">
        <v>0</v>
      </c>
      <c r="V42" s="14">
        <v>0</v>
      </c>
      <c r="W42" s="14">
        <v>4</v>
      </c>
      <c r="X42" s="14">
        <v>0</v>
      </c>
    </row>
    <row r="43" spans="1:24" x14ac:dyDescent="0.35">
      <c r="A43" t="s">
        <v>29</v>
      </c>
      <c r="B43" t="s">
        <v>30</v>
      </c>
      <c r="C43" s="16">
        <v>45778</v>
      </c>
      <c r="D43" t="s">
        <v>31</v>
      </c>
      <c r="E43">
        <v>6</v>
      </c>
      <c r="F43" t="s">
        <v>32</v>
      </c>
      <c r="G43" s="4">
        <v>0</v>
      </c>
      <c r="H43" s="14">
        <v>0</v>
      </c>
      <c r="I43" s="4">
        <v>6702.22</v>
      </c>
      <c r="J43" s="14">
        <v>1</v>
      </c>
      <c r="K43" s="4">
        <v>0</v>
      </c>
      <c r="L43" s="14">
        <v>0</v>
      </c>
      <c r="M43">
        <v>0</v>
      </c>
      <c r="N43" s="14">
        <v>0</v>
      </c>
      <c r="O43">
        <v>0</v>
      </c>
      <c r="P43" s="14">
        <v>0</v>
      </c>
      <c r="Q43">
        <v>0</v>
      </c>
      <c r="R43" s="14">
        <v>0</v>
      </c>
      <c r="S43" s="4">
        <v>9298.0300000000007</v>
      </c>
      <c r="T43" s="4">
        <v>0</v>
      </c>
      <c r="U43" s="1">
        <v>35</v>
      </c>
      <c r="V43" s="14">
        <v>1</v>
      </c>
      <c r="W43" s="14">
        <v>0</v>
      </c>
      <c r="X43" s="14">
        <v>0</v>
      </c>
    </row>
    <row r="44" spans="1:24" x14ac:dyDescent="0.35">
      <c r="A44" t="s">
        <v>29</v>
      </c>
      <c r="B44" t="s">
        <v>30</v>
      </c>
      <c r="C44" s="16">
        <v>45778</v>
      </c>
      <c r="D44" t="s">
        <v>31</v>
      </c>
      <c r="E44">
        <v>9</v>
      </c>
      <c r="F44" t="s">
        <v>32</v>
      </c>
      <c r="G44" s="4">
        <v>0</v>
      </c>
      <c r="H44" s="14">
        <v>0</v>
      </c>
      <c r="I44" s="4">
        <v>505.45</v>
      </c>
      <c r="J44" s="14">
        <v>1</v>
      </c>
      <c r="K44" s="4">
        <v>0</v>
      </c>
      <c r="L44" s="14">
        <v>0</v>
      </c>
      <c r="M44">
        <v>0</v>
      </c>
      <c r="N44" s="14">
        <v>0</v>
      </c>
      <c r="O44">
        <v>0</v>
      </c>
      <c r="P44" s="14">
        <v>0</v>
      </c>
      <c r="Q44">
        <v>0</v>
      </c>
      <c r="R44" s="14">
        <v>0</v>
      </c>
      <c r="S44" s="4">
        <v>0</v>
      </c>
      <c r="T44" s="4">
        <v>0</v>
      </c>
      <c r="U44" s="1">
        <v>8</v>
      </c>
      <c r="V44" s="14">
        <v>1</v>
      </c>
      <c r="W44" s="14">
        <v>2</v>
      </c>
      <c r="X44" s="14">
        <v>0</v>
      </c>
    </row>
    <row r="45" spans="1:24" x14ac:dyDescent="0.35">
      <c r="A45" t="s">
        <v>29</v>
      </c>
      <c r="B45" t="s">
        <v>30</v>
      </c>
      <c r="C45" s="16">
        <v>45778</v>
      </c>
      <c r="D45" t="s">
        <v>31</v>
      </c>
      <c r="E45">
        <v>10</v>
      </c>
      <c r="F45" t="s">
        <v>32</v>
      </c>
      <c r="G45" s="4">
        <v>0</v>
      </c>
      <c r="H45" s="14">
        <v>0</v>
      </c>
      <c r="I45" s="4">
        <v>509.87</v>
      </c>
      <c r="J45" s="14">
        <v>1</v>
      </c>
      <c r="K45" s="4">
        <v>0</v>
      </c>
      <c r="L45" s="14">
        <v>0</v>
      </c>
      <c r="M45">
        <v>0</v>
      </c>
      <c r="N45" s="14">
        <v>0</v>
      </c>
      <c r="O45">
        <v>0</v>
      </c>
      <c r="P45" s="14">
        <v>0</v>
      </c>
      <c r="Q45">
        <v>0</v>
      </c>
      <c r="R45" s="14">
        <v>0</v>
      </c>
      <c r="S45" s="4">
        <v>0</v>
      </c>
      <c r="T45" s="4">
        <v>0</v>
      </c>
      <c r="U45" s="1">
        <v>38</v>
      </c>
      <c r="V45" s="14">
        <v>1</v>
      </c>
      <c r="W45" s="14">
        <v>2</v>
      </c>
      <c r="X45" s="14">
        <v>0</v>
      </c>
    </row>
    <row r="46" spans="1:24" x14ac:dyDescent="0.35">
      <c r="A46" t="s">
        <v>29</v>
      </c>
      <c r="B46" t="s">
        <v>30</v>
      </c>
      <c r="C46" s="16">
        <v>45778</v>
      </c>
      <c r="D46" t="s">
        <v>31</v>
      </c>
      <c r="E46">
        <v>13</v>
      </c>
      <c r="F46" t="s">
        <v>32</v>
      </c>
      <c r="G46" s="4">
        <v>0</v>
      </c>
      <c r="H46" s="14">
        <v>0</v>
      </c>
      <c r="I46" s="4">
        <v>21915.9</v>
      </c>
      <c r="J46" s="14">
        <v>1</v>
      </c>
      <c r="K46" s="4">
        <v>0</v>
      </c>
      <c r="L46" s="14">
        <v>0</v>
      </c>
      <c r="M46">
        <v>0</v>
      </c>
      <c r="N46" s="14">
        <v>0</v>
      </c>
      <c r="O46">
        <v>0</v>
      </c>
      <c r="P46" s="14">
        <v>0</v>
      </c>
      <c r="Q46">
        <v>0</v>
      </c>
      <c r="R46" s="14">
        <v>0</v>
      </c>
      <c r="S46" s="4">
        <v>0</v>
      </c>
      <c r="T46" s="4">
        <v>0</v>
      </c>
      <c r="U46" s="1">
        <v>168</v>
      </c>
      <c r="V46" s="14">
        <v>1</v>
      </c>
      <c r="W46" s="14">
        <v>4</v>
      </c>
      <c r="X46" s="14">
        <v>0</v>
      </c>
    </row>
    <row r="47" spans="1:24" x14ac:dyDescent="0.35">
      <c r="A47" t="s">
        <v>29</v>
      </c>
      <c r="B47" t="s">
        <v>30</v>
      </c>
      <c r="C47" s="16">
        <v>45778</v>
      </c>
      <c r="D47" t="s">
        <v>31</v>
      </c>
      <c r="E47">
        <v>15</v>
      </c>
      <c r="F47" t="s">
        <v>32</v>
      </c>
      <c r="G47" s="4">
        <v>0</v>
      </c>
      <c r="H47" s="14">
        <v>0</v>
      </c>
      <c r="I47" s="4">
        <v>0</v>
      </c>
      <c r="J47" s="14">
        <v>0</v>
      </c>
      <c r="K47" s="4">
        <v>0</v>
      </c>
      <c r="L47" s="14">
        <v>0</v>
      </c>
      <c r="M47">
        <v>0</v>
      </c>
      <c r="N47" s="14">
        <v>0</v>
      </c>
      <c r="O47">
        <v>0</v>
      </c>
      <c r="P47" s="14">
        <v>0</v>
      </c>
      <c r="Q47">
        <v>0</v>
      </c>
      <c r="R47" s="14">
        <v>0</v>
      </c>
      <c r="S47" s="4">
        <v>0</v>
      </c>
      <c r="T47" s="4">
        <v>0</v>
      </c>
      <c r="V47" s="14">
        <v>0</v>
      </c>
      <c r="W47" s="14">
        <v>2</v>
      </c>
      <c r="X47" s="14">
        <v>0</v>
      </c>
    </row>
    <row r="48" spans="1:24" x14ac:dyDescent="0.35">
      <c r="A48" t="s">
        <v>29</v>
      </c>
      <c r="B48" t="s">
        <v>30</v>
      </c>
      <c r="C48" s="16">
        <v>45778</v>
      </c>
      <c r="D48" t="s">
        <v>31</v>
      </c>
      <c r="E48">
        <v>16</v>
      </c>
      <c r="F48" t="s">
        <v>32</v>
      </c>
      <c r="G48" s="4">
        <v>0</v>
      </c>
      <c r="H48" s="14">
        <v>0</v>
      </c>
      <c r="I48" s="4">
        <v>0</v>
      </c>
      <c r="J48" s="14">
        <v>0</v>
      </c>
      <c r="K48" s="4">
        <v>0</v>
      </c>
      <c r="L48" s="14">
        <v>0</v>
      </c>
      <c r="M48">
        <v>0</v>
      </c>
      <c r="N48" s="14">
        <v>0</v>
      </c>
      <c r="O48">
        <v>0</v>
      </c>
      <c r="P48" s="14">
        <v>0</v>
      </c>
      <c r="Q48">
        <v>0</v>
      </c>
      <c r="R48" s="14">
        <v>0</v>
      </c>
      <c r="S48" s="4">
        <v>0</v>
      </c>
      <c r="T48" s="4">
        <v>0</v>
      </c>
      <c r="V48" s="14">
        <v>0</v>
      </c>
      <c r="W48" s="14">
        <v>1</v>
      </c>
      <c r="X48" s="14">
        <v>0</v>
      </c>
    </row>
    <row r="49" spans="1:24" x14ac:dyDescent="0.35">
      <c r="A49" t="s">
        <v>29</v>
      </c>
      <c r="B49" t="s">
        <v>30</v>
      </c>
      <c r="C49" s="16">
        <v>45778</v>
      </c>
      <c r="D49" t="s">
        <v>33</v>
      </c>
      <c r="E49">
        <v>6</v>
      </c>
      <c r="F49" t="s">
        <v>32</v>
      </c>
      <c r="G49" s="4">
        <v>0</v>
      </c>
      <c r="H49" s="14">
        <v>0</v>
      </c>
      <c r="I49" s="4">
        <v>206836.59000000003</v>
      </c>
      <c r="J49" s="14">
        <v>9</v>
      </c>
      <c r="K49" s="4">
        <v>754.75</v>
      </c>
      <c r="L49" s="14">
        <v>1</v>
      </c>
      <c r="M49">
        <v>0</v>
      </c>
      <c r="N49" s="14">
        <v>0</v>
      </c>
      <c r="O49">
        <v>0</v>
      </c>
      <c r="P49" s="14">
        <v>0</v>
      </c>
      <c r="Q49">
        <v>0</v>
      </c>
      <c r="R49" s="14">
        <v>0</v>
      </c>
      <c r="S49" s="4">
        <v>1947.97</v>
      </c>
      <c r="T49" s="4">
        <v>0</v>
      </c>
      <c r="U49" s="1">
        <v>175.66666666666666</v>
      </c>
      <c r="V49" s="14">
        <v>12</v>
      </c>
      <c r="W49" s="14">
        <v>20</v>
      </c>
      <c r="X49" s="14">
        <v>0</v>
      </c>
    </row>
    <row r="50" spans="1:24" x14ac:dyDescent="0.35">
      <c r="A50" t="s">
        <v>29</v>
      </c>
      <c r="B50" t="s">
        <v>30</v>
      </c>
      <c r="C50" s="16">
        <v>45778</v>
      </c>
      <c r="D50" t="s">
        <v>33</v>
      </c>
      <c r="E50">
        <v>8</v>
      </c>
      <c r="F50" t="s">
        <v>32</v>
      </c>
      <c r="G50" s="4">
        <v>144671.57</v>
      </c>
      <c r="H50" s="14">
        <v>1</v>
      </c>
      <c r="I50" s="4">
        <v>434447.63000000006</v>
      </c>
      <c r="J50" s="14">
        <v>8</v>
      </c>
      <c r="K50" s="4">
        <v>4029.19</v>
      </c>
      <c r="L50" s="14">
        <v>2</v>
      </c>
      <c r="M50">
        <v>0</v>
      </c>
      <c r="N50" s="14">
        <v>0</v>
      </c>
      <c r="O50">
        <v>0</v>
      </c>
      <c r="P50" s="14">
        <v>0</v>
      </c>
      <c r="Q50">
        <v>0</v>
      </c>
      <c r="R50" s="14">
        <v>0</v>
      </c>
      <c r="S50" s="4">
        <v>293320</v>
      </c>
      <c r="T50" s="4">
        <v>3503.92</v>
      </c>
      <c r="U50" s="1">
        <v>203.35714285714286</v>
      </c>
      <c r="V50" s="14">
        <v>14</v>
      </c>
      <c r="W50" s="14">
        <v>30</v>
      </c>
      <c r="X50" s="14">
        <v>0</v>
      </c>
    </row>
    <row r="51" spans="1:24" x14ac:dyDescent="0.35">
      <c r="A51" t="s">
        <v>29</v>
      </c>
      <c r="B51" t="s">
        <v>30</v>
      </c>
      <c r="C51" s="16">
        <v>45778</v>
      </c>
      <c r="D51" t="s">
        <v>33</v>
      </c>
      <c r="E51">
        <v>9</v>
      </c>
      <c r="F51" t="s">
        <v>32</v>
      </c>
      <c r="G51" s="4">
        <v>36219.71</v>
      </c>
      <c r="H51" s="14">
        <v>2</v>
      </c>
      <c r="I51" s="4">
        <v>369960.95999999996</v>
      </c>
      <c r="J51" s="14">
        <v>13</v>
      </c>
      <c r="K51" s="4">
        <v>115926.3</v>
      </c>
      <c r="L51" s="14">
        <v>4</v>
      </c>
      <c r="M51">
        <v>0</v>
      </c>
      <c r="N51" s="14">
        <v>0</v>
      </c>
      <c r="O51">
        <v>0</v>
      </c>
      <c r="P51" s="14">
        <v>0</v>
      </c>
      <c r="Q51">
        <v>0</v>
      </c>
      <c r="R51" s="14">
        <v>0</v>
      </c>
      <c r="S51" s="4">
        <v>45604.86</v>
      </c>
      <c r="T51" s="4">
        <v>0</v>
      </c>
      <c r="U51" s="1">
        <v>121.85714285714286</v>
      </c>
      <c r="V51" s="14">
        <v>14</v>
      </c>
      <c r="W51" s="14">
        <v>18</v>
      </c>
      <c r="X51" s="14">
        <v>0</v>
      </c>
    </row>
    <row r="52" spans="1:24" x14ac:dyDescent="0.35">
      <c r="A52" t="s">
        <v>29</v>
      </c>
      <c r="B52" t="s">
        <v>30</v>
      </c>
      <c r="C52" s="16">
        <v>45778</v>
      </c>
      <c r="D52" t="s">
        <v>33</v>
      </c>
      <c r="E52">
        <v>10</v>
      </c>
      <c r="F52" t="s">
        <v>32</v>
      </c>
      <c r="G52" s="4">
        <v>31974.859999999997</v>
      </c>
      <c r="H52" s="14">
        <v>4</v>
      </c>
      <c r="I52" s="4">
        <v>563861.62999999989</v>
      </c>
      <c r="J52" s="14">
        <v>13</v>
      </c>
      <c r="K52" s="4">
        <v>1635.02</v>
      </c>
      <c r="L52" s="14">
        <v>2</v>
      </c>
      <c r="M52">
        <v>0</v>
      </c>
      <c r="N52" s="14">
        <v>0</v>
      </c>
      <c r="O52">
        <v>0</v>
      </c>
      <c r="P52" s="14">
        <v>0</v>
      </c>
      <c r="Q52">
        <v>0</v>
      </c>
      <c r="R52" s="14">
        <v>0</v>
      </c>
      <c r="S52" s="4">
        <v>166482.87999999998</v>
      </c>
      <c r="T52" s="4">
        <v>13537.25</v>
      </c>
      <c r="U52" s="1">
        <v>127.03448275862068</v>
      </c>
      <c r="V52" s="14">
        <v>29</v>
      </c>
      <c r="W52" s="14">
        <v>63</v>
      </c>
      <c r="X52" s="14">
        <v>0</v>
      </c>
    </row>
    <row r="53" spans="1:24" x14ac:dyDescent="0.35">
      <c r="A53" t="s">
        <v>29</v>
      </c>
      <c r="B53" t="s">
        <v>30</v>
      </c>
      <c r="C53" s="16">
        <v>45778</v>
      </c>
      <c r="D53" t="s">
        <v>33</v>
      </c>
      <c r="E53">
        <v>13</v>
      </c>
      <c r="F53" t="s">
        <v>32</v>
      </c>
      <c r="G53" s="4">
        <v>1442.99</v>
      </c>
      <c r="H53" s="14">
        <v>1</v>
      </c>
      <c r="I53" s="4">
        <v>125327.43000000001</v>
      </c>
      <c r="J53" s="14">
        <v>10</v>
      </c>
      <c r="K53" s="4">
        <v>0</v>
      </c>
      <c r="L53" s="14">
        <v>0</v>
      </c>
      <c r="M53">
        <v>0</v>
      </c>
      <c r="N53" s="14">
        <v>0</v>
      </c>
      <c r="O53">
        <v>0</v>
      </c>
      <c r="P53" s="14">
        <v>0</v>
      </c>
      <c r="Q53">
        <v>0</v>
      </c>
      <c r="R53" s="14">
        <v>0</v>
      </c>
      <c r="S53" s="4">
        <v>1114.51</v>
      </c>
      <c r="T53" s="4">
        <v>0</v>
      </c>
      <c r="U53" s="1">
        <v>90.4</v>
      </c>
      <c r="V53" s="14">
        <v>10</v>
      </c>
      <c r="W53" s="14">
        <v>7</v>
      </c>
      <c r="X53" s="14">
        <v>1</v>
      </c>
    </row>
    <row r="54" spans="1:24" x14ac:dyDescent="0.35">
      <c r="A54" t="s">
        <v>29</v>
      </c>
      <c r="B54" t="s">
        <v>30</v>
      </c>
      <c r="C54" s="16">
        <v>45778</v>
      </c>
      <c r="D54" t="s">
        <v>33</v>
      </c>
      <c r="E54">
        <v>14</v>
      </c>
      <c r="F54" t="s">
        <v>32</v>
      </c>
      <c r="G54" s="4">
        <v>1332.36</v>
      </c>
      <c r="H54" s="14">
        <v>1</v>
      </c>
      <c r="I54" s="4">
        <v>84849.83</v>
      </c>
      <c r="J54" s="14">
        <v>5</v>
      </c>
      <c r="K54" s="4">
        <v>0</v>
      </c>
      <c r="L54" s="14">
        <v>0</v>
      </c>
      <c r="M54">
        <v>0</v>
      </c>
      <c r="N54" s="14">
        <v>0</v>
      </c>
      <c r="O54">
        <v>0</v>
      </c>
      <c r="P54" s="14">
        <v>0</v>
      </c>
      <c r="Q54">
        <v>0</v>
      </c>
      <c r="R54" s="14">
        <v>0</v>
      </c>
      <c r="S54" s="4">
        <v>7278.39</v>
      </c>
      <c r="T54" s="4">
        <v>0</v>
      </c>
      <c r="U54" s="1">
        <v>94.5</v>
      </c>
      <c r="V54" s="14">
        <v>6</v>
      </c>
      <c r="W54" s="14">
        <v>9</v>
      </c>
      <c r="X54" s="14">
        <v>0</v>
      </c>
    </row>
    <row r="55" spans="1:24" x14ac:dyDescent="0.35">
      <c r="A55" t="s">
        <v>29</v>
      </c>
      <c r="B55" t="s">
        <v>30</v>
      </c>
      <c r="C55" s="16">
        <v>45778</v>
      </c>
      <c r="D55" t="s">
        <v>33</v>
      </c>
      <c r="E55">
        <v>15</v>
      </c>
      <c r="F55" t="s">
        <v>32</v>
      </c>
      <c r="G55" s="4">
        <v>0</v>
      </c>
      <c r="H55" s="14">
        <v>0</v>
      </c>
      <c r="I55" s="4">
        <v>358568.31</v>
      </c>
      <c r="J55" s="14">
        <v>4</v>
      </c>
      <c r="K55" s="4">
        <v>1236.83</v>
      </c>
      <c r="L55" s="14">
        <v>1</v>
      </c>
      <c r="M55">
        <v>0</v>
      </c>
      <c r="N55" s="14">
        <v>0</v>
      </c>
      <c r="O55">
        <v>0</v>
      </c>
      <c r="P55" s="14">
        <v>0</v>
      </c>
      <c r="Q55">
        <v>0</v>
      </c>
      <c r="R55" s="14">
        <v>0</v>
      </c>
      <c r="S55" s="4">
        <v>70083.740000000005</v>
      </c>
      <c r="T55" s="4">
        <v>0</v>
      </c>
      <c r="U55" s="1">
        <v>120.5</v>
      </c>
      <c r="V55" s="14">
        <v>4</v>
      </c>
      <c r="W55" s="14">
        <v>13</v>
      </c>
      <c r="X55" s="14">
        <v>0</v>
      </c>
    </row>
    <row r="56" spans="1:24" x14ac:dyDescent="0.35">
      <c r="A56" t="s">
        <v>29</v>
      </c>
      <c r="B56" t="s">
        <v>30</v>
      </c>
      <c r="C56" s="16">
        <v>45778</v>
      </c>
      <c r="D56" t="s">
        <v>33</v>
      </c>
      <c r="E56">
        <v>16</v>
      </c>
      <c r="F56" t="s">
        <v>32</v>
      </c>
      <c r="G56" s="4">
        <v>6690.74</v>
      </c>
      <c r="H56" s="14">
        <v>1</v>
      </c>
      <c r="I56" s="4">
        <v>36924.840000000004</v>
      </c>
      <c r="J56" s="14">
        <v>4</v>
      </c>
      <c r="K56" s="4">
        <v>0</v>
      </c>
      <c r="L56" s="14">
        <v>0</v>
      </c>
      <c r="M56">
        <v>0</v>
      </c>
      <c r="N56" s="14">
        <v>0</v>
      </c>
      <c r="O56">
        <v>0</v>
      </c>
      <c r="P56" s="14">
        <v>0</v>
      </c>
      <c r="Q56">
        <v>0</v>
      </c>
      <c r="R56" s="14">
        <v>0</v>
      </c>
      <c r="S56" s="4">
        <v>3686.1800000000003</v>
      </c>
      <c r="T56" s="4">
        <v>0</v>
      </c>
      <c r="U56" s="1">
        <v>127.6</v>
      </c>
      <c r="V56" s="14">
        <v>5</v>
      </c>
      <c r="W56" s="14">
        <v>5</v>
      </c>
      <c r="X56" s="14">
        <v>0</v>
      </c>
    </row>
    <row r="57" spans="1:24" x14ac:dyDescent="0.35">
      <c r="A57" t="s">
        <v>29</v>
      </c>
      <c r="B57" t="s">
        <v>30</v>
      </c>
      <c r="C57" s="16">
        <v>45778</v>
      </c>
      <c r="D57" t="s">
        <v>34</v>
      </c>
      <c r="E57">
        <v>6</v>
      </c>
      <c r="F57" t="s">
        <v>35</v>
      </c>
      <c r="G57" s="4">
        <v>0</v>
      </c>
      <c r="H57" s="14">
        <v>0</v>
      </c>
      <c r="I57" s="4">
        <v>9186.0499999999993</v>
      </c>
      <c r="J57" s="14">
        <v>6</v>
      </c>
      <c r="K57" s="4">
        <v>0</v>
      </c>
      <c r="L57" s="14">
        <v>0</v>
      </c>
      <c r="M57">
        <v>0</v>
      </c>
      <c r="N57" s="14">
        <v>0</v>
      </c>
      <c r="O57">
        <v>0</v>
      </c>
      <c r="P57" s="14">
        <v>0</v>
      </c>
      <c r="Q57">
        <v>0</v>
      </c>
      <c r="R57" s="14">
        <v>0</v>
      </c>
      <c r="S57" s="4">
        <v>0</v>
      </c>
      <c r="T57" s="4">
        <v>0</v>
      </c>
      <c r="U57" s="1">
        <v>120.83333333333333</v>
      </c>
      <c r="V57" s="14">
        <v>6</v>
      </c>
      <c r="W57" s="14">
        <v>14</v>
      </c>
      <c r="X57" s="14">
        <v>1</v>
      </c>
    </row>
    <row r="58" spans="1:24" x14ac:dyDescent="0.35">
      <c r="A58" t="s">
        <v>29</v>
      </c>
      <c r="B58" t="s">
        <v>30</v>
      </c>
      <c r="C58" s="16">
        <v>45778</v>
      </c>
      <c r="D58" t="s">
        <v>34</v>
      </c>
      <c r="E58">
        <v>6</v>
      </c>
      <c r="F58" t="s">
        <v>36</v>
      </c>
      <c r="G58" s="4">
        <v>0</v>
      </c>
      <c r="H58" s="14">
        <v>0</v>
      </c>
      <c r="I58" s="4">
        <v>25058.519999999997</v>
      </c>
      <c r="J58" s="14">
        <v>13</v>
      </c>
      <c r="K58" s="4">
        <v>0</v>
      </c>
      <c r="L58" s="14">
        <v>0</v>
      </c>
      <c r="M58">
        <v>0</v>
      </c>
      <c r="N58" s="14">
        <v>0</v>
      </c>
      <c r="O58">
        <v>0</v>
      </c>
      <c r="P58" s="14">
        <v>0</v>
      </c>
      <c r="Q58">
        <v>0</v>
      </c>
      <c r="R58" s="14">
        <v>0</v>
      </c>
      <c r="S58" s="4">
        <v>18946.620000000003</v>
      </c>
      <c r="T58" s="4">
        <v>167788.44</v>
      </c>
      <c r="U58" s="1">
        <v>110.6</v>
      </c>
      <c r="V58" s="14">
        <v>15</v>
      </c>
      <c r="W58" s="14">
        <v>20</v>
      </c>
      <c r="X58" s="14">
        <v>0</v>
      </c>
    </row>
    <row r="59" spans="1:24" x14ac:dyDescent="0.35">
      <c r="A59" t="s">
        <v>29</v>
      </c>
      <c r="B59" t="s">
        <v>30</v>
      </c>
      <c r="C59" s="16">
        <v>45778</v>
      </c>
      <c r="D59" t="s">
        <v>34</v>
      </c>
      <c r="E59">
        <v>8</v>
      </c>
      <c r="F59" t="s">
        <v>35</v>
      </c>
      <c r="G59" s="4">
        <v>17562.7</v>
      </c>
      <c r="H59" s="14">
        <v>1</v>
      </c>
      <c r="I59" s="4">
        <v>60574.759999999995</v>
      </c>
      <c r="J59" s="14">
        <v>12</v>
      </c>
      <c r="K59" s="4">
        <v>0</v>
      </c>
      <c r="L59" s="14">
        <v>0</v>
      </c>
      <c r="M59">
        <v>0</v>
      </c>
      <c r="N59" s="14">
        <v>0</v>
      </c>
      <c r="O59">
        <v>0</v>
      </c>
      <c r="P59" s="14">
        <v>0</v>
      </c>
      <c r="Q59">
        <v>0</v>
      </c>
      <c r="R59" s="14">
        <v>0</v>
      </c>
      <c r="S59" s="4">
        <v>37769.729999999996</v>
      </c>
      <c r="T59" s="4">
        <v>73509.17</v>
      </c>
      <c r="U59" s="1">
        <v>121.5</v>
      </c>
      <c r="V59" s="14">
        <v>12</v>
      </c>
      <c r="W59" s="14">
        <v>8</v>
      </c>
      <c r="X59" s="14">
        <v>4</v>
      </c>
    </row>
    <row r="60" spans="1:24" x14ac:dyDescent="0.35">
      <c r="A60" t="s">
        <v>29</v>
      </c>
      <c r="B60" t="s">
        <v>30</v>
      </c>
      <c r="C60" s="16">
        <v>45778</v>
      </c>
      <c r="D60" t="s">
        <v>34</v>
      </c>
      <c r="E60">
        <v>8</v>
      </c>
      <c r="F60" t="s">
        <v>36</v>
      </c>
      <c r="G60" s="4">
        <v>193.75</v>
      </c>
      <c r="H60" s="14">
        <v>1</v>
      </c>
      <c r="I60" s="4">
        <v>11213.62</v>
      </c>
      <c r="J60" s="14">
        <v>12</v>
      </c>
      <c r="K60" s="4">
        <v>0</v>
      </c>
      <c r="L60" s="14">
        <v>0</v>
      </c>
      <c r="M60">
        <v>0</v>
      </c>
      <c r="N60" s="14">
        <v>0</v>
      </c>
      <c r="O60">
        <v>0</v>
      </c>
      <c r="P60" s="14">
        <v>0</v>
      </c>
      <c r="Q60">
        <v>0</v>
      </c>
      <c r="R60" s="14">
        <v>0</v>
      </c>
      <c r="S60" s="4">
        <v>12318.34</v>
      </c>
      <c r="T60" s="4">
        <v>2039.77</v>
      </c>
      <c r="U60" s="1">
        <v>62.642857142857146</v>
      </c>
      <c r="V60" s="14">
        <v>14</v>
      </c>
      <c r="W60" s="14">
        <v>31</v>
      </c>
      <c r="X60" s="14">
        <v>1</v>
      </c>
    </row>
    <row r="61" spans="1:24" x14ac:dyDescent="0.35">
      <c r="A61" t="s">
        <v>29</v>
      </c>
      <c r="B61" t="s">
        <v>30</v>
      </c>
      <c r="C61" s="16">
        <v>45778</v>
      </c>
      <c r="D61" t="s">
        <v>34</v>
      </c>
      <c r="E61">
        <v>9</v>
      </c>
      <c r="F61" t="s">
        <v>35</v>
      </c>
      <c r="G61" s="4">
        <v>7398.6</v>
      </c>
      <c r="H61" s="14">
        <v>1</v>
      </c>
      <c r="I61" s="4">
        <v>32521.100000000002</v>
      </c>
      <c r="J61" s="14">
        <v>3</v>
      </c>
      <c r="K61" s="4">
        <v>0</v>
      </c>
      <c r="L61" s="14">
        <v>0</v>
      </c>
      <c r="M61">
        <v>0</v>
      </c>
      <c r="N61" s="14">
        <v>0</v>
      </c>
      <c r="O61">
        <v>0</v>
      </c>
      <c r="P61" s="14">
        <v>0</v>
      </c>
      <c r="Q61">
        <v>0</v>
      </c>
      <c r="R61" s="14">
        <v>0</v>
      </c>
      <c r="S61" s="4">
        <v>5643.64</v>
      </c>
      <c r="T61" s="4">
        <v>0</v>
      </c>
      <c r="U61" s="1">
        <v>93.5</v>
      </c>
      <c r="V61" s="14">
        <v>4</v>
      </c>
      <c r="W61" s="14">
        <v>11</v>
      </c>
      <c r="X61" s="14">
        <v>0</v>
      </c>
    </row>
    <row r="62" spans="1:24" x14ac:dyDescent="0.35">
      <c r="A62" t="s">
        <v>29</v>
      </c>
      <c r="B62" t="s">
        <v>30</v>
      </c>
      <c r="C62" s="16">
        <v>45778</v>
      </c>
      <c r="D62" t="s">
        <v>34</v>
      </c>
      <c r="E62">
        <v>9</v>
      </c>
      <c r="F62" t="s">
        <v>36</v>
      </c>
      <c r="G62" s="4">
        <v>0</v>
      </c>
      <c r="H62" s="14">
        <v>0</v>
      </c>
      <c r="I62" s="4">
        <v>13717.019999999997</v>
      </c>
      <c r="J62" s="14">
        <v>22</v>
      </c>
      <c r="K62" s="4">
        <v>0</v>
      </c>
      <c r="L62" s="14">
        <v>0</v>
      </c>
      <c r="M62">
        <v>0</v>
      </c>
      <c r="N62" s="14">
        <v>0</v>
      </c>
      <c r="O62">
        <v>0</v>
      </c>
      <c r="P62" s="14">
        <v>0</v>
      </c>
      <c r="Q62">
        <v>0</v>
      </c>
      <c r="R62" s="14">
        <v>0</v>
      </c>
      <c r="S62" s="4">
        <v>0</v>
      </c>
      <c r="T62" s="4">
        <v>0</v>
      </c>
      <c r="U62" s="1">
        <v>40.391304347826086</v>
      </c>
      <c r="V62" s="14">
        <v>23</v>
      </c>
      <c r="W62" s="14">
        <v>49</v>
      </c>
      <c r="X62" s="14">
        <v>0</v>
      </c>
    </row>
    <row r="63" spans="1:24" x14ac:dyDescent="0.35">
      <c r="A63" t="s">
        <v>29</v>
      </c>
      <c r="B63" t="s">
        <v>30</v>
      </c>
      <c r="C63" s="16">
        <v>45778</v>
      </c>
      <c r="D63" t="s">
        <v>34</v>
      </c>
      <c r="E63">
        <v>10</v>
      </c>
      <c r="F63" t="s">
        <v>35</v>
      </c>
      <c r="G63" s="4">
        <v>3092.02</v>
      </c>
      <c r="H63" s="14">
        <v>1</v>
      </c>
      <c r="I63" s="4">
        <v>60739.5</v>
      </c>
      <c r="J63" s="14">
        <v>5</v>
      </c>
      <c r="K63" s="4">
        <v>0</v>
      </c>
      <c r="L63" s="14">
        <v>0</v>
      </c>
      <c r="M63">
        <v>0</v>
      </c>
      <c r="N63" s="14">
        <v>0</v>
      </c>
      <c r="O63">
        <v>0</v>
      </c>
      <c r="P63" s="14">
        <v>0</v>
      </c>
      <c r="Q63">
        <v>0</v>
      </c>
      <c r="R63" s="14">
        <v>0</v>
      </c>
      <c r="S63" s="4">
        <v>8778.64</v>
      </c>
      <c r="T63" s="4">
        <v>0</v>
      </c>
      <c r="U63" s="1">
        <v>135.57142857142858</v>
      </c>
      <c r="V63" s="14">
        <v>7</v>
      </c>
      <c r="W63" s="14">
        <v>37</v>
      </c>
      <c r="X63" s="14">
        <v>3</v>
      </c>
    </row>
    <row r="64" spans="1:24" x14ac:dyDescent="0.35">
      <c r="A64" t="s">
        <v>29</v>
      </c>
      <c r="B64" t="s">
        <v>30</v>
      </c>
      <c r="C64" s="16">
        <v>45778</v>
      </c>
      <c r="D64" t="s">
        <v>34</v>
      </c>
      <c r="E64">
        <v>10</v>
      </c>
      <c r="F64" t="s">
        <v>36</v>
      </c>
      <c r="G64" s="4">
        <v>563096.12000000011</v>
      </c>
      <c r="H64" s="14">
        <v>10</v>
      </c>
      <c r="I64" s="4">
        <v>60010.889999999992</v>
      </c>
      <c r="J64" s="14">
        <v>21</v>
      </c>
      <c r="K64" s="4">
        <v>240218.56</v>
      </c>
      <c r="L64" s="14">
        <v>2</v>
      </c>
      <c r="M64">
        <v>0</v>
      </c>
      <c r="N64" s="14">
        <v>0</v>
      </c>
      <c r="O64">
        <v>0</v>
      </c>
      <c r="P64" s="14">
        <v>0</v>
      </c>
      <c r="Q64">
        <v>0</v>
      </c>
      <c r="R64" s="14">
        <v>0</v>
      </c>
      <c r="S64" s="4">
        <v>277635.90999999997</v>
      </c>
      <c r="T64" s="4">
        <v>0</v>
      </c>
      <c r="U64" s="1">
        <v>124.74193548387096</v>
      </c>
      <c r="V64" s="14">
        <v>31</v>
      </c>
      <c r="W64" s="14">
        <v>100</v>
      </c>
      <c r="X64" s="14">
        <v>4</v>
      </c>
    </row>
    <row r="65" spans="1:24" x14ac:dyDescent="0.35">
      <c r="A65" t="s">
        <v>29</v>
      </c>
      <c r="B65" t="s">
        <v>30</v>
      </c>
      <c r="C65" s="16">
        <v>45778</v>
      </c>
      <c r="D65" t="s">
        <v>34</v>
      </c>
      <c r="E65">
        <v>13</v>
      </c>
      <c r="F65" t="s">
        <v>35</v>
      </c>
      <c r="G65" s="4">
        <v>0</v>
      </c>
      <c r="H65" s="14">
        <v>0</v>
      </c>
      <c r="I65" s="4">
        <v>505.45</v>
      </c>
      <c r="J65" s="14">
        <v>1</v>
      </c>
      <c r="K65" s="4">
        <v>0</v>
      </c>
      <c r="L65" s="14">
        <v>0</v>
      </c>
      <c r="M65">
        <v>0</v>
      </c>
      <c r="N65" s="14">
        <v>0</v>
      </c>
      <c r="O65">
        <v>0</v>
      </c>
      <c r="P65" s="14">
        <v>0</v>
      </c>
      <c r="Q65">
        <v>0</v>
      </c>
      <c r="R65" s="14">
        <v>0</v>
      </c>
      <c r="S65" s="4">
        <v>0</v>
      </c>
      <c r="T65" s="4">
        <v>0</v>
      </c>
      <c r="U65" s="1">
        <v>10</v>
      </c>
      <c r="V65" s="14">
        <v>1</v>
      </c>
      <c r="W65" s="14">
        <v>6</v>
      </c>
      <c r="X65" s="14">
        <v>0</v>
      </c>
    </row>
    <row r="66" spans="1:24" x14ac:dyDescent="0.35">
      <c r="A66" t="s">
        <v>29</v>
      </c>
      <c r="B66" t="s">
        <v>30</v>
      </c>
      <c r="C66" s="16">
        <v>45778</v>
      </c>
      <c r="D66" t="s">
        <v>34</v>
      </c>
      <c r="E66">
        <v>13</v>
      </c>
      <c r="F66" t="s">
        <v>36</v>
      </c>
      <c r="G66" s="4">
        <v>280092.77999999997</v>
      </c>
      <c r="H66" s="14">
        <v>2</v>
      </c>
      <c r="I66" s="4">
        <v>18801.2</v>
      </c>
      <c r="J66" s="14">
        <v>10</v>
      </c>
      <c r="K66" s="4">
        <v>0</v>
      </c>
      <c r="L66" s="14">
        <v>0</v>
      </c>
      <c r="M66">
        <v>0</v>
      </c>
      <c r="N66" s="14">
        <v>0</v>
      </c>
      <c r="O66">
        <v>0</v>
      </c>
      <c r="P66" s="14">
        <v>0</v>
      </c>
      <c r="Q66">
        <v>0</v>
      </c>
      <c r="R66" s="14">
        <v>0</v>
      </c>
      <c r="S66" s="4">
        <v>49357.46</v>
      </c>
      <c r="T66" s="4">
        <v>0</v>
      </c>
      <c r="U66" s="1">
        <v>74.36363636363636</v>
      </c>
      <c r="V66" s="14">
        <v>11</v>
      </c>
      <c r="W66" s="14">
        <v>13</v>
      </c>
      <c r="X66" s="14">
        <v>3</v>
      </c>
    </row>
    <row r="67" spans="1:24" x14ac:dyDescent="0.35">
      <c r="A67" t="s">
        <v>29</v>
      </c>
      <c r="B67" t="s">
        <v>30</v>
      </c>
      <c r="C67" s="16">
        <v>45778</v>
      </c>
      <c r="D67" t="s">
        <v>34</v>
      </c>
      <c r="E67">
        <v>14</v>
      </c>
      <c r="F67" t="s">
        <v>35</v>
      </c>
      <c r="G67" s="4">
        <v>0</v>
      </c>
      <c r="H67" s="14">
        <v>0</v>
      </c>
      <c r="I67" s="4">
        <v>70623.470000000016</v>
      </c>
      <c r="J67" s="14">
        <v>9</v>
      </c>
      <c r="K67" s="4">
        <v>0</v>
      </c>
      <c r="L67" s="14">
        <v>0</v>
      </c>
      <c r="M67">
        <v>0</v>
      </c>
      <c r="N67" s="14">
        <v>0</v>
      </c>
      <c r="O67">
        <v>0</v>
      </c>
      <c r="P67" s="14">
        <v>0</v>
      </c>
      <c r="Q67">
        <v>0</v>
      </c>
      <c r="R67" s="14">
        <v>0</v>
      </c>
      <c r="S67" s="4">
        <v>9624.3499999999985</v>
      </c>
      <c r="T67" s="4">
        <v>0</v>
      </c>
      <c r="U67" s="1">
        <v>97.555555555555557</v>
      </c>
      <c r="V67" s="14">
        <v>9</v>
      </c>
      <c r="W67" s="14">
        <v>5</v>
      </c>
      <c r="X67" s="14">
        <v>0</v>
      </c>
    </row>
    <row r="68" spans="1:24" x14ac:dyDescent="0.35">
      <c r="A68" t="s">
        <v>29</v>
      </c>
      <c r="B68" t="s">
        <v>30</v>
      </c>
      <c r="C68" s="16">
        <v>45778</v>
      </c>
      <c r="D68" t="s">
        <v>34</v>
      </c>
      <c r="E68">
        <v>14</v>
      </c>
      <c r="F68" t="s">
        <v>36</v>
      </c>
      <c r="G68" s="4">
        <v>72823.680000000008</v>
      </c>
      <c r="H68" s="14">
        <v>8</v>
      </c>
      <c r="I68" s="4">
        <v>123934.98</v>
      </c>
      <c r="J68" s="14">
        <v>38</v>
      </c>
      <c r="K68" s="4">
        <v>407.52</v>
      </c>
      <c r="L68" s="14">
        <v>1</v>
      </c>
      <c r="M68">
        <v>0</v>
      </c>
      <c r="N68" s="14">
        <v>0</v>
      </c>
      <c r="O68">
        <v>0</v>
      </c>
      <c r="P68" s="14">
        <v>0</v>
      </c>
      <c r="Q68">
        <v>0</v>
      </c>
      <c r="R68" s="14">
        <v>0</v>
      </c>
      <c r="S68" s="4">
        <v>27329.26</v>
      </c>
      <c r="T68" s="4">
        <v>2705.03</v>
      </c>
      <c r="U68" s="1">
        <v>95.05263157894737</v>
      </c>
      <c r="V68" s="14">
        <v>38</v>
      </c>
      <c r="W68" s="14">
        <v>41</v>
      </c>
      <c r="X68" s="14">
        <v>0</v>
      </c>
    </row>
    <row r="69" spans="1:24" x14ac:dyDescent="0.35">
      <c r="A69" t="s">
        <v>29</v>
      </c>
      <c r="B69" t="s">
        <v>30</v>
      </c>
      <c r="C69" s="16">
        <v>45778</v>
      </c>
      <c r="D69" t="s">
        <v>34</v>
      </c>
      <c r="E69">
        <v>15</v>
      </c>
      <c r="F69" t="s">
        <v>35</v>
      </c>
      <c r="G69" s="4">
        <v>0</v>
      </c>
      <c r="H69" s="14">
        <v>0</v>
      </c>
      <c r="I69" s="4">
        <v>38512.909999999996</v>
      </c>
      <c r="J69" s="14">
        <v>3</v>
      </c>
      <c r="K69" s="4">
        <v>0</v>
      </c>
      <c r="L69" s="14">
        <v>0</v>
      </c>
      <c r="M69">
        <v>0</v>
      </c>
      <c r="N69" s="14">
        <v>0</v>
      </c>
      <c r="O69">
        <v>0</v>
      </c>
      <c r="P69" s="14">
        <v>0</v>
      </c>
      <c r="Q69">
        <v>0</v>
      </c>
      <c r="R69" s="14">
        <v>0</v>
      </c>
      <c r="S69" s="4">
        <v>2003.88</v>
      </c>
      <c r="T69" s="4">
        <v>0</v>
      </c>
      <c r="U69" s="1">
        <v>129.66666666666666</v>
      </c>
      <c r="V69" s="14">
        <v>3</v>
      </c>
      <c r="W69" s="14">
        <v>0</v>
      </c>
      <c r="X69" s="14">
        <v>0</v>
      </c>
    </row>
    <row r="70" spans="1:24" x14ac:dyDescent="0.35">
      <c r="A70" t="s">
        <v>29</v>
      </c>
      <c r="B70" t="s">
        <v>30</v>
      </c>
      <c r="C70" s="16">
        <v>45778</v>
      </c>
      <c r="D70" t="s">
        <v>34</v>
      </c>
      <c r="E70">
        <v>15</v>
      </c>
      <c r="F70" t="s">
        <v>36</v>
      </c>
      <c r="G70" s="4">
        <v>0</v>
      </c>
      <c r="H70" s="14">
        <v>0</v>
      </c>
      <c r="I70" s="4">
        <v>2757.18</v>
      </c>
      <c r="J70" s="14">
        <v>1</v>
      </c>
      <c r="K70" s="4">
        <v>0</v>
      </c>
      <c r="L70" s="14">
        <v>0</v>
      </c>
      <c r="M70">
        <v>0</v>
      </c>
      <c r="N70" s="14">
        <v>0</v>
      </c>
      <c r="O70">
        <v>0</v>
      </c>
      <c r="P70" s="14">
        <v>0</v>
      </c>
      <c r="Q70">
        <v>0</v>
      </c>
      <c r="R70" s="14">
        <v>0</v>
      </c>
      <c r="S70" s="4">
        <v>70960.220000000016</v>
      </c>
      <c r="T70" s="4">
        <v>984214.62</v>
      </c>
      <c r="U70" s="1">
        <v>103.25</v>
      </c>
      <c r="V70" s="14">
        <v>4</v>
      </c>
      <c r="W70" s="14">
        <v>16</v>
      </c>
      <c r="X70" s="14">
        <v>0</v>
      </c>
    </row>
    <row r="71" spans="1:24" x14ac:dyDescent="0.35">
      <c r="A71" t="s">
        <v>29</v>
      </c>
      <c r="B71" t="s">
        <v>30</v>
      </c>
      <c r="C71" s="16">
        <v>45778</v>
      </c>
      <c r="D71" t="s">
        <v>34</v>
      </c>
      <c r="E71">
        <v>16</v>
      </c>
      <c r="F71" t="s">
        <v>36</v>
      </c>
      <c r="G71" s="4">
        <v>0</v>
      </c>
      <c r="H71" s="14">
        <v>0</v>
      </c>
      <c r="I71" s="4">
        <v>3350.3199999999997</v>
      </c>
      <c r="J71" s="14">
        <v>4</v>
      </c>
      <c r="K71" s="4">
        <v>0</v>
      </c>
      <c r="L71" s="14">
        <v>0</v>
      </c>
      <c r="M71">
        <v>0</v>
      </c>
      <c r="N71" s="14">
        <v>0</v>
      </c>
      <c r="O71">
        <v>0</v>
      </c>
      <c r="P71" s="14">
        <v>0</v>
      </c>
      <c r="Q71">
        <v>0</v>
      </c>
      <c r="R71" s="14">
        <v>0</v>
      </c>
      <c r="S71" s="4">
        <v>0</v>
      </c>
      <c r="T71" s="4">
        <v>0</v>
      </c>
      <c r="U71" s="1">
        <v>70.5</v>
      </c>
      <c r="V71" s="14">
        <v>4</v>
      </c>
      <c r="W71" s="14">
        <v>9</v>
      </c>
      <c r="X71" s="14">
        <v>0</v>
      </c>
    </row>
    <row r="72" spans="1:24" x14ac:dyDescent="0.35">
      <c r="A72" t="s">
        <v>29</v>
      </c>
      <c r="B72" t="s">
        <v>30</v>
      </c>
      <c r="C72" s="16">
        <v>45778</v>
      </c>
      <c r="D72" t="s">
        <v>37</v>
      </c>
      <c r="E72">
        <v>6</v>
      </c>
      <c r="F72" t="s">
        <v>32</v>
      </c>
      <c r="G72" s="4">
        <v>0</v>
      </c>
      <c r="H72" s="14">
        <v>0</v>
      </c>
      <c r="I72" s="4">
        <v>0</v>
      </c>
      <c r="J72" s="14">
        <v>0</v>
      </c>
      <c r="K72" s="4">
        <v>0</v>
      </c>
      <c r="L72" s="14">
        <v>0</v>
      </c>
      <c r="M72">
        <v>0</v>
      </c>
      <c r="N72" s="14">
        <v>0</v>
      </c>
      <c r="O72">
        <v>0</v>
      </c>
      <c r="P72" s="14">
        <v>0</v>
      </c>
      <c r="Q72">
        <v>0</v>
      </c>
      <c r="R72" s="14">
        <v>0</v>
      </c>
      <c r="S72" s="4">
        <v>0</v>
      </c>
      <c r="T72" s="4">
        <v>0</v>
      </c>
      <c r="V72" s="14">
        <v>0</v>
      </c>
      <c r="W72" s="14">
        <v>6</v>
      </c>
      <c r="X72" s="14">
        <v>0</v>
      </c>
    </row>
    <row r="73" spans="1:24" x14ac:dyDescent="0.35">
      <c r="A73" t="s">
        <v>29</v>
      </c>
      <c r="B73" t="s">
        <v>30</v>
      </c>
      <c r="C73" s="16">
        <v>45778</v>
      </c>
      <c r="D73" t="s">
        <v>37</v>
      </c>
      <c r="E73">
        <v>8</v>
      </c>
      <c r="F73" t="s">
        <v>32</v>
      </c>
      <c r="G73" s="4">
        <v>0</v>
      </c>
      <c r="H73" s="14">
        <v>0</v>
      </c>
      <c r="I73" s="4">
        <v>0</v>
      </c>
      <c r="J73" s="14">
        <v>0</v>
      </c>
      <c r="K73" s="4">
        <v>0</v>
      </c>
      <c r="L73" s="14">
        <v>0</v>
      </c>
      <c r="M73">
        <v>0</v>
      </c>
      <c r="N73" s="14">
        <v>0</v>
      </c>
      <c r="O73">
        <v>0</v>
      </c>
      <c r="P73" s="14">
        <v>0</v>
      </c>
      <c r="Q73">
        <v>0</v>
      </c>
      <c r="R73" s="14">
        <v>0</v>
      </c>
      <c r="S73" s="4">
        <v>0</v>
      </c>
      <c r="T73" s="4">
        <v>0</v>
      </c>
      <c r="V73" s="14">
        <v>0</v>
      </c>
      <c r="W73" s="14">
        <v>3</v>
      </c>
      <c r="X73" s="14">
        <v>0</v>
      </c>
    </row>
    <row r="74" spans="1:24" x14ac:dyDescent="0.35">
      <c r="A74" t="s">
        <v>29</v>
      </c>
      <c r="B74" t="s">
        <v>30</v>
      </c>
      <c r="C74" s="16">
        <v>45778</v>
      </c>
      <c r="D74" t="s">
        <v>37</v>
      </c>
      <c r="E74">
        <v>9</v>
      </c>
      <c r="F74" t="s">
        <v>32</v>
      </c>
      <c r="G74" s="4">
        <v>0</v>
      </c>
      <c r="H74" s="14">
        <v>0</v>
      </c>
      <c r="I74" s="4">
        <v>0</v>
      </c>
      <c r="J74" s="14">
        <v>0</v>
      </c>
      <c r="K74" s="4">
        <v>0</v>
      </c>
      <c r="L74" s="14">
        <v>0</v>
      </c>
      <c r="M74">
        <v>0</v>
      </c>
      <c r="N74" s="14">
        <v>0</v>
      </c>
      <c r="O74">
        <v>0</v>
      </c>
      <c r="P74" s="14">
        <v>0</v>
      </c>
      <c r="Q74">
        <v>0</v>
      </c>
      <c r="R74" s="14">
        <v>0</v>
      </c>
      <c r="S74" s="4">
        <v>0</v>
      </c>
      <c r="T74" s="4">
        <v>0</v>
      </c>
      <c r="V74" s="14">
        <v>0</v>
      </c>
      <c r="W74" s="14">
        <v>2</v>
      </c>
      <c r="X74" s="14">
        <v>0</v>
      </c>
    </row>
    <row r="75" spans="1:24" x14ac:dyDescent="0.35">
      <c r="A75" t="s">
        <v>29</v>
      </c>
      <c r="B75" t="s">
        <v>30</v>
      </c>
      <c r="C75" s="16">
        <v>45778</v>
      </c>
      <c r="D75" t="s">
        <v>37</v>
      </c>
      <c r="E75">
        <v>10</v>
      </c>
      <c r="F75" t="s">
        <v>32</v>
      </c>
      <c r="G75" s="4">
        <v>0</v>
      </c>
      <c r="H75" s="14">
        <v>0</v>
      </c>
      <c r="I75" s="4">
        <v>0</v>
      </c>
      <c r="J75" s="14">
        <v>0</v>
      </c>
      <c r="K75" s="4">
        <v>0</v>
      </c>
      <c r="L75" s="14">
        <v>0</v>
      </c>
      <c r="M75">
        <v>0</v>
      </c>
      <c r="N75" s="14">
        <v>0</v>
      </c>
      <c r="O75">
        <v>0</v>
      </c>
      <c r="P75" s="14">
        <v>0</v>
      </c>
      <c r="Q75">
        <v>0</v>
      </c>
      <c r="R75" s="14">
        <v>0</v>
      </c>
      <c r="S75" s="4">
        <v>0</v>
      </c>
      <c r="T75" s="4">
        <v>0</v>
      </c>
      <c r="V75" s="14">
        <v>0</v>
      </c>
      <c r="W75" s="14">
        <v>2</v>
      </c>
      <c r="X75" s="14">
        <v>0</v>
      </c>
    </row>
    <row r="76" spans="1:24" x14ac:dyDescent="0.35">
      <c r="A76" t="s">
        <v>29</v>
      </c>
      <c r="B76" t="s">
        <v>30</v>
      </c>
      <c r="C76" s="16">
        <v>45778</v>
      </c>
      <c r="D76" t="s">
        <v>37</v>
      </c>
      <c r="E76">
        <v>13</v>
      </c>
      <c r="F76" t="s">
        <v>32</v>
      </c>
      <c r="G76" s="4">
        <v>0</v>
      </c>
      <c r="H76" s="14">
        <v>0</v>
      </c>
      <c r="I76" s="4">
        <v>0</v>
      </c>
      <c r="J76" s="14">
        <v>0</v>
      </c>
      <c r="K76" s="4">
        <v>0</v>
      </c>
      <c r="L76" s="14">
        <v>0</v>
      </c>
      <c r="M76">
        <v>0</v>
      </c>
      <c r="N76" s="14">
        <v>0</v>
      </c>
      <c r="O76">
        <v>0</v>
      </c>
      <c r="P76" s="14">
        <v>0</v>
      </c>
      <c r="Q76">
        <v>0</v>
      </c>
      <c r="R76" s="14">
        <v>0</v>
      </c>
      <c r="S76" s="4">
        <v>0</v>
      </c>
      <c r="T76" s="4">
        <v>0</v>
      </c>
      <c r="V76" s="14">
        <v>0</v>
      </c>
      <c r="W76" s="14">
        <v>1</v>
      </c>
      <c r="X76" s="14">
        <v>0</v>
      </c>
    </row>
    <row r="77" spans="1:24" x14ac:dyDescent="0.35">
      <c r="A77" t="s">
        <v>29</v>
      </c>
      <c r="B77" t="s">
        <v>30</v>
      </c>
      <c r="C77" s="16">
        <v>45778</v>
      </c>
      <c r="D77" t="s">
        <v>37</v>
      </c>
      <c r="E77">
        <v>14</v>
      </c>
      <c r="F77" t="s">
        <v>32</v>
      </c>
      <c r="G77" s="4">
        <v>0</v>
      </c>
      <c r="H77" s="14">
        <v>0</v>
      </c>
      <c r="I77" s="4">
        <v>0</v>
      </c>
      <c r="J77" s="14">
        <v>0</v>
      </c>
      <c r="K77" s="4">
        <v>0</v>
      </c>
      <c r="L77" s="14">
        <v>0</v>
      </c>
      <c r="M77">
        <v>0</v>
      </c>
      <c r="N77" s="14">
        <v>0</v>
      </c>
      <c r="O77">
        <v>0</v>
      </c>
      <c r="P77" s="14">
        <v>0</v>
      </c>
      <c r="Q77">
        <v>0</v>
      </c>
      <c r="R77" s="14">
        <v>0</v>
      </c>
      <c r="S77" s="4">
        <v>0</v>
      </c>
      <c r="T77" s="4">
        <v>0</v>
      </c>
      <c r="V77" s="14">
        <v>0</v>
      </c>
      <c r="W77" s="14">
        <v>2</v>
      </c>
      <c r="X77" s="14">
        <v>0</v>
      </c>
    </row>
    <row r="78" spans="1:24" x14ac:dyDescent="0.35">
      <c r="A78" t="s">
        <v>29</v>
      </c>
      <c r="B78" t="s">
        <v>30</v>
      </c>
      <c r="C78" s="16">
        <v>45809</v>
      </c>
      <c r="D78" t="s">
        <v>31</v>
      </c>
      <c r="E78">
        <v>6</v>
      </c>
      <c r="F78" t="s">
        <v>32</v>
      </c>
      <c r="G78" s="4">
        <v>0</v>
      </c>
      <c r="H78" s="14">
        <v>0</v>
      </c>
      <c r="I78" s="4">
        <v>0</v>
      </c>
      <c r="J78" s="14">
        <v>0</v>
      </c>
      <c r="K78" s="4">
        <v>0</v>
      </c>
      <c r="L78" s="14">
        <v>0</v>
      </c>
      <c r="M78">
        <v>0</v>
      </c>
      <c r="N78" s="14">
        <v>0</v>
      </c>
      <c r="O78">
        <v>0</v>
      </c>
      <c r="P78" s="14">
        <v>0</v>
      </c>
      <c r="Q78">
        <v>0</v>
      </c>
      <c r="R78" s="14">
        <v>0</v>
      </c>
      <c r="S78" s="4">
        <v>0</v>
      </c>
      <c r="T78" s="4">
        <v>0</v>
      </c>
      <c r="V78" s="14">
        <v>0</v>
      </c>
      <c r="W78" s="14">
        <v>1</v>
      </c>
      <c r="X78" s="14">
        <v>0</v>
      </c>
    </row>
    <row r="79" spans="1:24" x14ac:dyDescent="0.35">
      <c r="A79" t="s">
        <v>29</v>
      </c>
      <c r="B79" t="s">
        <v>30</v>
      </c>
      <c r="C79" s="16">
        <v>45809</v>
      </c>
      <c r="D79" t="s">
        <v>31</v>
      </c>
      <c r="E79">
        <v>9</v>
      </c>
      <c r="F79" t="s">
        <v>32</v>
      </c>
      <c r="G79" s="4">
        <v>0</v>
      </c>
      <c r="H79" s="14">
        <v>0</v>
      </c>
      <c r="I79" s="4">
        <v>518.04</v>
      </c>
      <c r="J79" s="14">
        <v>1</v>
      </c>
      <c r="K79" s="4">
        <v>0</v>
      </c>
      <c r="L79" s="14">
        <v>0</v>
      </c>
      <c r="M79">
        <v>0</v>
      </c>
      <c r="N79" s="14">
        <v>0</v>
      </c>
      <c r="O79">
        <v>0</v>
      </c>
      <c r="P79" s="14">
        <v>0</v>
      </c>
      <c r="Q79">
        <v>0</v>
      </c>
      <c r="R79" s="14">
        <v>0</v>
      </c>
      <c r="S79" s="4">
        <v>0</v>
      </c>
      <c r="T79" s="4">
        <v>0</v>
      </c>
      <c r="U79" s="1">
        <v>22</v>
      </c>
      <c r="V79" s="14">
        <v>1</v>
      </c>
      <c r="W79" s="14">
        <v>0</v>
      </c>
      <c r="X79" s="14">
        <v>0</v>
      </c>
    </row>
    <row r="80" spans="1:24" x14ac:dyDescent="0.35">
      <c r="A80" t="s">
        <v>29</v>
      </c>
      <c r="B80" t="s">
        <v>30</v>
      </c>
      <c r="C80" s="16">
        <v>45809</v>
      </c>
      <c r="D80" t="s">
        <v>31</v>
      </c>
      <c r="E80">
        <v>10</v>
      </c>
      <c r="F80" t="s">
        <v>32</v>
      </c>
      <c r="G80" s="4">
        <v>0</v>
      </c>
      <c r="H80" s="14">
        <v>0</v>
      </c>
      <c r="I80" s="4">
        <v>0</v>
      </c>
      <c r="J80" s="14">
        <v>0</v>
      </c>
      <c r="K80" s="4">
        <v>0</v>
      </c>
      <c r="L80" s="14">
        <v>0</v>
      </c>
      <c r="M80">
        <v>0</v>
      </c>
      <c r="N80" s="14">
        <v>0</v>
      </c>
      <c r="O80">
        <v>0</v>
      </c>
      <c r="P80" s="14">
        <v>0</v>
      </c>
      <c r="Q80">
        <v>0</v>
      </c>
      <c r="R80" s="14">
        <v>0</v>
      </c>
      <c r="S80" s="4">
        <v>0</v>
      </c>
      <c r="T80" s="4">
        <v>0</v>
      </c>
      <c r="V80" s="14">
        <v>0</v>
      </c>
      <c r="W80" s="14">
        <v>2</v>
      </c>
      <c r="X80" s="14">
        <v>0</v>
      </c>
    </row>
    <row r="81" spans="1:24" x14ac:dyDescent="0.35">
      <c r="A81" t="s">
        <v>29</v>
      </c>
      <c r="B81" t="s">
        <v>30</v>
      </c>
      <c r="C81" s="16">
        <v>45809</v>
      </c>
      <c r="D81" t="s">
        <v>31</v>
      </c>
      <c r="E81">
        <v>13</v>
      </c>
      <c r="F81" t="s">
        <v>32</v>
      </c>
      <c r="G81" s="4">
        <v>0</v>
      </c>
      <c r="H81" s="14">
        <v>0</v>
      </c>
      <c r="I81" s="4">
        <v>161039.43</v>
      </c>
      <c r="J81" s="14">
        <v>4</v>
      </c>
      <c r="K81" s="4">
        <v>931.64</v>
      </c>
      <c r="L81" s="14">
        <v>1</v>
      </c>
      <c r="M81">
        <v>0</v>
      </c>
      <c r="N81" s="14">
        <v>0</v>
      </c>
      <c r="O81">
        <v>0</v>
      </c>
      <c r="P81" s="14">
        <v>0</v>
      </c>
      <c r="Q81">
        <v>0</v>
      </c>
      <c r="R81" s="14">
        <v>0</v>
      </c>
      <c r="S81" s="4">
        <v>0</v>
      </c>
      <c r="T81" s="4">
        <v>0</v>
      </c>
      <c r="U81" s="1">
        <v>213.75</v>
      </c>
      <c r="V81" s="14">
        <v>4</v>
      </c>
      <c r="W81" s="14">
        <v>9</v>
      </c>
      <c r="X81" s="14">
        <v>0</v>
      </c>
    </row>
    <row r="82" spans="1:24" x14ac:dyDescent="0.35">
      <c r="A82" t="s">
        <v>29</v>
      </c>
      <c r="B82" t="s">
        <v>30</v>
      </c>
      <c r="C82" s="16">
        <v>45809</v>
      </c>
      <c r="D82" t="s">
        <v>31</v>
      </c>
      <c r="E82">
        <v>16</v>
      </c>
      <c r="F82" t="s">
        <v>32</v>
      </c>
      <c r="G82" s="4">
        <v>4626.32</v>
      </c>
      <c r="H82" s="14">
        <v>1</v>
      </c>
      <c r="I82" s="4">
        <v>4413.7700000000004</v>
      </c>
      <c r="J82" s="14">
        <v>1</v>
      </c>
      <c r="K82" s="4">
        <v>0</v>
      </c>
      <c r="L82" s="14">
        <v>0</v>
      </c>
      <c r="M82">
        <v>0</v>
      </c>
      <c r="N82" s="14">
        <v>0</v>
      </c>
      <c r="O82">
        <v>0</v>
      </c>
      <c r="P82" s="14">
        <v>0</v>
      </c>
      <c r="Q82">
        <v>0</v>
      </c>
      <c r="R82" s="14">
        <v>0</v>
      </c>
      <c r="S82" s="4">
        <v>1195.95</v>
      </c>
      <c r="T82" s="4">
        <v>0</v>
      </c>
      <c r="U82" s="1">
        <v>266</v>
      </c>
      <c r="V82" s="14">
        <v>1</v>
      </c>
      <c r="W82" s="14">
        <v>1</v>
      </c>
      <c r="X82" s="14">
        <v>0</v>
      </c>
    </row>
    <row r="83" spans="1:24" x14ac:dyDescent="0.35">
      <c r="A83" t="s">
        <v>29</v>
      </c>
      <c r="B83" t="s">
        <v>30</v>
      </c>
      <c r="C83" s="16">
        <v>45809</v>
      </c>
      <c r="D83" t="s">
        <v>33</v>
      </c>
      <c r="E83">
        <v>6</v>
      </c>
      <c r="F83" t="s">
        <v>32</v>
      </c>
      <c r="G83" s="4">
        <v>1645.82</v>
      </c>
      <c r="H83" s="14">
        <v>1</v>
      </c>
      <c r="I83" s="4">
        <v>517817.08</v>
      </c>
      <c r="J83" s="14">
        <v>9</v>
      </c>
      <c r="K83" s="4">
        <v>71539.53</v>
      </c>
      <c r="L83" s="14">
        <v>3</v>
      </c>
      <c r="M83">
        <v>0</v>
      </c>
      <c r="N83" s="14">
        <v>0</v>
      </c>
      <c r="O83">
        <v>0</v>
      </c>
      <c r="P83" s="14">
        <v>0</v>
      </c>
      <c r="Q83">
        <v>0</v>
      </c>
      <c r="R83" s="14">
        <v>0</v>
      </c>
      <c r="S83" s="4">
        <v>45709.54</v>
      </c>
      <c r="T83" s="4">
        <v>0</v>
      </c>
      <c r="U83" s="1">
        <v>80.090909090909093</v>
      </c>
      <c r="V83" s="14">
        <v>11</v>
      </c>
      <c r="W83" s="14">
        <v>21</v>
      </c>
      <c r="X83" s="14">
        <v>0</v>
      </c>
    </row>
    <row r="84" spans="1:24" x14ac:dyDescent="0.35">
      <c r="A84" t="s">
        <v>29</v>
      </c>
      <c r="B84" t="s">
        <v>30</v>
      </c>
      <c r="C84" s="16">
        <v>45809</v>
      </c>
      <c r="D84" t="s">
        <v>33</v>
      </c>
      <c r="E84">
        <v>8</v>
      </c>
      <c r="F84" t="s">
        <v>32</v>
      </c>
      <c r="G84" s="4">
        <v>0</v>
      </c>
      <c r="H84" s="14">
        <v>0</v>
      </c>
      <c r="I84" s="4">
        <v>150605.83999999997</v>
      </c>
      <c r="J84" s="14">
        <v>18</v>
      </c>
      <c r="K84" s="4">
        <v>2518.63</v>
      </c>
      <c r="L84" s="14">
        <v>3</v>
      </c>
      <c r="M84">
        <v>0</v>
      </c>
      <c r="N84" s="14">
        <v>0</v>
      </c>
      <c r="O84">
        <v>0</v>
      </c>
      <c r="P84" s="14">
        <v>0</v>
      </c>
      <c r="Q84">
        <v>0</v>
      </c>
      <c r="R84" s="14">
        <v>0</v>
      </c>
      <c r="S84" s="4">
        <v>11410.77</v>
      </c>
      <c r="T84" s="4">
        <v>0</v>
      </c>
      <c r="U84" s="1">
        <v>124.26086956521739</v>
      </c>
      <c r="V84" s="14">
        <v>23</v>
      </c>
      <c r="W84" s="14">
        <v>24</v>
      </c>
      <c r="X84" s="14">
        <v>0</v>
      </c>
    </row>
    <row r="85" spans="1:24" x14ac:dyDescent="0.35">
      <c r="A85" t="s">
        <v>29</v>
      </c>
      <c r="B85" t="s">
        <v>30</v>
      </c>
      <c r="C85" s="16">
        <v>45809</v>
      </c>
      <c r="D85" t="s">
        <v>33</v>
      </c>
      <c r="E85">
        <v>9</v>
      </c>
      <c r="F85" t="s">
        <v>32</v>
      </c>
      <c r="G85" s="4">
        <v>31081.65</v>
      </c>
      <c r="H85" s="14">
        <v>5</v>
      </c>
      <c r="I85" s="4">
        <v>423885.56999999995</v>
      </c>
      <c r="J85" s="14">
        <v>17</v>
      </c>
      <c r="K85" s="4">
        <v>2054.08</v>
      </c>
      <c r="L85" s="14">
        <v>1</v>
      </c>
      <c r="M85">
        <v>0</v>
      </c>
      <c r="N85" s="14">
        <v>0</v>
      </c>
      <c r="O85">
        <v>0</v>
      </c>
      <c r="P85" s="14">
        <v>0</v>
      </c>
      <c r="Q85">
        <v>0</v>
      </c>
      <c r="R85" s="14">
        <v>0</v>
      </c>
      <c r="S85" s="4">
        <v>96509.239999999991</v>
      </c>
      <c r="T85" s="4">
        <v>0</v>
      </c>
      <c r="U85" s="1">
        <v>128.14285714285714</v>
      </c>
      <c r="V85" s="14">
        <v>21</v>
      </c>
      <c r="W85" s="14">
        <v>37</v>
      </c>
      <c r="X85" s="14">
        <v>0</v>
      </c>
    </row>
    <row r="86" spans="1:24" x14ac:dyDescent="0.35">
      <c r="A86" t="s">
        <v>29</v>
      </c>
      <c r="B86" t="s">
        <v>30</v>
      </c>
      <c r="C86" s="16">
        <v>45809</v>
      </c>
      <c r="D86" t="s">
        <v>33</v>
      </c>
      <c r="E86">
        <v>10</v>
      </c>
      <c r="F86" t="s">
        <v>32</v>
      </c>
      <c r="G86" s="4">
        <v>194218.49000000002</v>
      </c>
      <c r="H86" s="14">
        <v>4</v>
      </c>
      <c r="I86" s="4">
        <v>983919.11</v>
      </c>
      <c r="J86" s="14">
        <v>22</v>
      </c>
      <c r="K86" s="4">
        <v>10446.67</v>
      </c>
      <c r="L86" s="14">
        <v>4</v>
      </c>
      <c r="M86">
        <v>0</v>
      </c>
      <c r="N86" s="14">
        <v>0</v>
      </c>
      <c r="O86">
        <v>0</v>
      </c>
      <c r="P86" s="14">
        <v>0</v>
      </c>
      <c r="Q86">
        <v>0</v>
      </c>
      <c r="R86" s="14">
        <v>0</v>
      </c>
      <c r="S86" s="4">
        <v>169497.04000000004</v>
      </c>
      <c r="T86" s="4">
        <v>253554.63</v>
      </c>
      <c r="U86" s="1">
        <v>146.18367346938774</v>
      </c>
      <c r="V86" s="14">
        <v>49</v>
      </c>
      <c r="W86" s="14">
        <v>44</v>
      </c>
      <c r="X86" s="14">
        <v>4</v>
      </c>
    </row>
    <row r="87" spans="1:24" x14ac:dyDescent="0.35">
      <c r="A87" t="s">
        <v>29</v>
      </c>
      <c r="B87" t="s">
        <v>30</v>
      </c>
      <c r="C87" s="16">
        <v>45809</v>
      </c>
      <c r="D87" t="s">
        <v>33</v>
      </c>
      <c r="E87">
        <v>13</v>
      </c>
      <c r="F87" t="s">
        <v>32</v>
      </c>
      <c r="G87" s="4">
        <v>9951.630000000001</v>
      </c>
      <c r="H87" s="14">
        <v>2</v>
      </c>
      <c r="I87" s="4">
        <v>282238.90999999997</v>
      </c>
      <c r="J87" s="14">
        <v>9</v>
      </c>
      <c r="K87" s="4">
        <v>891.12</v>
      </c>
      <c r="L87" s="14">
        <v>1</v>
      </c>
      <c r="M87">
        <v>0</v>
      </c>
      <c r="N87" s="14">
        <v>0</v>
      </c>
      <c r="O87">
        <v>0</v>
      </c>
      <c r="P87" s="14">
        <v>0</v>
      </c>
      <c r="Q87">
        <v>0</v>
      </c>
      <c r="R87" s="14">
        <v>0</v>
      </c>
      <c r="S87" s="4">
        <v>15117.91</v>
      </c>
      <c r="T87" s="4">
        <v>0</v>
      </c>
      <c r="U87" s="1">
        <v>182.2</v>
      </c>
      <c r="V87" s="14">
        <v>10</v>
      </c>
      <c r="W87" s="14">
        <v>9</v>
      </c>
      <c r="X87" s="14">
        <v>0</v>
      </c>
    </row>
    <row r="88" spans="1:24" x14ac:dyDescent="0.35">
      <c r="A88" t="s">
        <v>29</v>
      </c>
      <c r="B88" t="s">
        <v>30</v>
      </c>
      <c r="C88" s="16">
        <v>45809</v>
      </c>
      <c r="D88" t="s">
        <v>33</v>
      </c>
      <c r="E88">
        <v>14</v>
      </c>
      <c r="F88" t="s">
        <v>32</v>
      </c>
      <c r="G88" s="4">
        <v>0</v>
      </c>
      <c r="H88" s="14">
        <v>0</v>
      </c>
      <c r="I88" s="4">
        <v>25142.559999999998</v>
      </c>
      <c r="J88" s="14">
        <v>6</v>
      </c>
      <c r="K88" s="4">
        <v>972.65</v>
      </c>
      <c r="L88" s="14">
        <v>1</v>
      </c>
      <c r="M88">
        <v>0</v>
      </c>
      <c r="N88" s="14">
        <v>0</v>
      </c>
      <c r="O88">
        <v>0</v>
      </c>
      <c r="P88" s="14">
        <v>0</v>
      </c>
      <c r="Q88">
        <v>0</v>
      </c>
      <c r="R88" s="14">
        <v>0</v>
      </c>
      <c r="S88" s="4">
        <v>4137.66</v>
      </c>
      <c r="T88" s="4">
        <v>0</v>
      </c>
      <c r="U88" s="1">
        <v>174.875</v>
      </c>
      <c r="V88" s="14">
        <v>8</v>
      </c>
      <c r="W88" s="14">
        <v>17</v>
      </c>
      <c r="X88" s="14">
        <v>0</v>
      </c>
    </row>
    <row r="89" spans="1:24" x14ac:dyDescent="0.35">
      <c r="A89" t="s">
        <v>29</v>
      </c>
      <c r="B89" t="s">
        <v>30</v>
      </c>
      <c r="C89" s="16">
        <v>45809</v>
      </c>
      <c r="D89" t="s">
        <v>33</v>
      </c>
      <c r="E89">
        <v>15</v>
      </c>
      <c r="F89" t="s">
        <v>32</v>
      </c>
      <c r="G89" s="4">
        <v>0</v>
      </c>
      <c r="H89" s="14">
        <v>0</v>
      </c>
      <c r="I89" s="4">
        <v>72852.009999999995</v>
      </c>
      <c r="J89" s="14">
        <v>3</v>
      </c>
      <c r="K89" s="4">
        <v>0</v>
      </c>
      <c r="L89" s="14">
        <v>0</v>
      </c>
      <c r="M89">
        <v>0</v>
      </c>
      <c r="N89" s="14">
        <v>0</v>
      </c>
      <c r="O89">
        <v>0</v>
      </c>
      <c r="P89" s="14">
        <v>0</v>
      </c>
      <c r="Q89">
        <v>0</v>
      </c>
      <c r="R89" s="14">
        <v>0</v>
      </c>
      <c r="S89" s="4">
        <v>0</v>
      </c>
      <c r="T89" s="4">
        <v>0</v>
      </c>
      <c r="U89" s="1">
        <v>191</v>
      </c>
      <c r="V89" s="14">
        <v>4</v>
      </c>
      <c r="W89" s="14">
        <v>4</v>
      </c>
      <c r="X89" s="14">
        <v>0</v>
      </c>
    </row>
    <row r="90" spans="1:24" x14ac:dyDescent="0.35">
      <c r="A90" t="s">
        <v>29</v>
      </c>
      <c r="B90" t="s">
        <v>30</v>
      </c>
      <c r="C90" s="16">
        <v>45809</v>
      </c>
      <c r="D90" t="s">
        <v>33</v>
      </c>
      <c r="E90">
        <v>16</v>
      </c>
      <c r="F90" t="s">
        <v>32</v>
      </c>
      <c r="G90" s="4">
        <v>0</v>
      </c>
      <c r="H90" s="14">
        <v>0</v>
      </c>
      <c r="I90" s="4">
        <v>0</v>
      </c>
      <c r="J90" s="14">
        <v>0</v>
      </c>
      <c r="K90" s="4">
        <v>0</v>
      </c>
      <c r="L90" s="14">
        <v>0</v>
      </c>
      <c r="M90">
        <v>0</v>
      </c>
      <c r="N90" s="14">
        <v>0</v>
      </c>
      <c r="O90">
        <v>0</v>
      </c>
      <c r="P90" s="14">
        <v>0</v>
      </c>
      <c r="Q90">
        <v>0</v>
      </c>
      <c r="R90" s="14">
        <v>0</v>
      </c>
      <c r="S90" s="4">
        <v>0</v>
      </c>
      <c r="T90" s="4">
        <v>0</v>
      </c>
      <c r="V90" s="14">
        <v>0</v>
      </c>
      <c r="W90" s="14">
        <v>3</v>
      </c>
      <c r="X90" s="14">
        <v>0</v>
      </c>
    </row>
    <row r="91" spans="1:24" x14ac:dyDescent="0.35">
      <c r="A91" t="s">
        <v>29</v>
      </c>
      <c r="B91" t="s">
        <v>30</v>
      </c>
      <c r="C91" s="16">
        <v>45809</v>
      </c>
      <c r="D91" t="s">
        <v>34</v>
      </c>
      <c r="E91">
        <v>6</v>
      </c>
      <c r="F91" t="s">
        <v>35</v>
      </c>
      <c r="G91" s="4">
        <v>0</v>
      </c>
      <c r="H91" s="14">
        <v>0</v>
      </c>
      <c r="I91" s="4">
        <v>30640.49</v>
      </c>
      <c r="J91" s="14">
        <v>8</v>
      </c>
      <c r="K91" s="4">
        <v>0</v>
      </c>
      <c r="L91" s="14">
        <v>0</v>
      </c>
      <c r="M91">
        <v>0</v>
      </c>
      <c r="N91" s="14">
        <v>0</v>
      </c>
      <c r="O91">
        <v>0</v>
      </c>
      <c r="P91" s="14">
        <v>0</v>
      </c>
      <c r="Q91">
        <v>0</v>
      </c>
      <c r="R91" s="14">
        <v>0</v>
      </c>
      <c r="S91" s="4">
        <v>5561.21</v>
      </c>
      <c r="T91" s="4">
        <v>0</v>
      </c>
      <c r="U91" s="1">
        <v>100.875</v>
      </c>
      <c r="V91" s="14">
        <v>8</v>
      </c>
      <c r="W91" s="14">
        <v>7</v>
      </c>
      <c r="X91" s="14">
        <v>0</v>
      </c>
    </row>
    <row r="92" spans="1:24" x14ac:dyDescent="0.35">
      <c r="A92" t="s">
        <v>29</v>
      </c>
      <c r="B92" t="s">
        <v>30</v>
      </c>
      <c r="C92" s="16">
        <v>45809</v>
      </c>
      <c r="D92" t="s">
        <v>34</v>
      </c>
      <c r="E92">
        <v>6</v>
      </c>
      <c r="F92" t="s">
        <v>36</v>
      </c>
      <c r="G92" s="4">
        <v>0</v>
      </c>
      <c r="H92" s="14">
        <v>0</v>
      </c>
      <c r="I92" s="4">
        <v>21421.409999999996</v>
      </c>
      <c r="J92" s="14">
        <v>11</v>
      </c>
      <c r="K92" s="4">
        <v>13.98</v>
      </c>
      <c r="L92" s="14">
        <v>1</v>
      </c>
      <c r="M92">
        <v>0</v>
      </c>
      <c r="N92" s="14">
        <v>0</v>
      </c>
      <c r="O92">
        <v>0</v>
      </c>
      <c r="P92" s="14">
        <v>0</v>
      </c>
      <c r="Q92">
        <v>0</v>
      </c>
      <c r="R92" s="14">
        <v>0</v>
      </c>
      <c r="S92" s="4">
        <v>42421.89</v>
      </c>
      <c r="T92" s="4">
        <v>316528.41000000003</v>
      </c>
      <c r="U92" s="1">
        <v>45.133333333333333</v>
      </c>
      <c r="V92" s="14">
        <v>16</v>
      </c>
      <c r="W92" s="14">
        <v>24</v>
      </c>
      <c r="X92" s="14">
        <v>1</v>
      </c>
    </row>
    <row r="93" spans="1:24" x14ac:dyDescent="0.35">
      <c r="A93" t="s">
        <v>29</v>
      </c>
      <c r="B93" t="s">
        <v>30</v>
      </c>
      <c r="C93" s="16">
        <v>45809</v>
      </c>
      <c r="D93" t="s">
        <v>34</v>
      </c>
      <c r="E93">
        <v>8</v>
      </c>
      <c r="F93" t="s">
        <v>35</v>
      </c>
      <c r="G93" s="4">
        <v>6527.39</v>
      </c>
      <c r="H93" s="14">
        <v>1</v>
      </c>
      <c r="I93" s="4">
        <v>49871.199999999997</v>
      </c>
      <c r="J93" s="14">
        <v>7</v>
      </c>
      <c r="K93" s="4">
        <v>0</v>
      </c>
      <c r="L93" s="14">
        <v>0</v>
      </c>
      <c r="M93">
        <v>0</v>
      </c>
      <c r="N93" s="14">
        <v>0</v>
      </c>
      <c r="O93">
        <v>0</v>
      </c>
      <c r="P93" s="14">
        <v>0</v>
      </c>
      <c r="Q93">
        <v>0</v>
      </c>
      <c r="R93" s="14">
        <v>0</v>
      </c>
      <c r="S93" s="4">
        <v>11696.810000000001</v>
      </c>
      <c r="T93" s="4">
        <v>0</v>
      </c>
      <c r="U93" s="1">
        <v>66.25</v>
      </c>
      <c r="V93" s="14">
        <v>8</v>
      </c>
      <c r="W93" s="14">
        <v>13</v>
      </c>
      <c r="X93" s="14">
        <v>5</v>
      </c>
    </row>
    <row r="94" spans="1:24" x14ac:dyDescent="0.35">
      <c r="A94" t="s">
        <v>29</v>
      </c>
      <c r="B94" t="s">
        <v>30</v>
      </c>
      <c r="C94" s="16">
        <v>45809</v>
      </c>
      <c r="D94" t="s">
        <v>34</v>
      </c>
      <c r="E94">
        <v>8</v>
      </c>
      <c r="F94" t="s">
        <v>36</v>
      </c>
      <c r="G94" s="4">
        <v>0</v>
      </c>
      <c r="H94" s="14">
        <v>0</v>
      </c>
      <c r="I94" s="4">
        <v>5653.17</v>
      </c>
      <c r="J94" s="14">
        <v>11</v>
      </c>
      <c r="K94" s="4">
        <v>0</v>
      </c>
      <c r="L94" s="14">
        <v>0</v>
      </c>
      <c r="M94">
        <v>0</v>
      </c>
      <c r="N94" s="14">
        <v>0</v>
      </c>
      <c r="O94">
        <v>0</v>
      </c>
      <c r="P94" s="14">
        <v>0</v>
      </c>
      <c r="Q94">
        <v>0</v>
      </c>
      <c r="R94" s="14">
        <v>0</v>
      </c>
      <c r="S94" s="4">
        <v>67131.649999999994</v>
      </c>
      <c r="T94" s="4">
        <v>428026.1</v>
      </c>
      <c r="U94" s="1">
        <v>102.21428571428571</v>
      </c>
      <c r="V94" s="14">
        <v>14</v>
      </c>
      <c r="W94" s="14">
        <v>39</v>
      </c>
      <c r="X94" s="14">
        <v>2</v>
      </c>
    </row>
    <row r="95" spans="1:24" x14ac:dyDescent="0.35">
      <c r="A95" t="s">
        <v>29</v>
      </c>
      <c r="B95" t="s">
        <v>30</v>
      </c>
      <c r="C95" s="16">
        <v>45809</v>
      </c>
      <c r="D95" t="s">
        <v>34</v>
      </c>
      <c r="E95">
        <v>9</v>
      </c>
      <c r="F95" t="s">
        <v>35</v>
      </c>
      <c r="G95" s="4">
        <v>0</v>
      </c>
      <c r="H95" s="14">
        <v>0</v>
      </c>
      <c r="I95" s="4">
        <v>2595.37</v>
      </c>
      <c r="J95" s="14">
        <v>4</v>
      </c>
      <c r="K95" s="4">
        <v>3657.54</v>
      </c>
      <c r="L95" s="14">
        <v>2</v>
      </c>
      <c r="M95">
        <v>0</v>
      </c>
      <c r="N95" s="14">
        <v>0</v>
      </c>
      <c r="O95">
        <v>0</v>
      </c>
      <c r="P95" s="14">
        <v>0</v>
      </c>
      <c r="Q95">
        <v>0</v>
      </c>
      <c r="R95" s="14">
        <v>0</v>
      </c>
      <c r="S95" s="4">
        <v>0</v>
      </c>
      <c r="T95" s="4">
        <v>0</v>
      </c>
      <c r="U95" s="1">
        <v>22.25</v>
      </c>
      <c r="V95" s="14">
        <v>4</v>
      </c>
      <c r="W95" s="14">
        <v>6</v>
      </c>
      <c r="X95" s="14">
        <v>0</v>
      </c>
    </row>
    <row r="96" spans="1:24" x14ac:dyDescent="0.35">
      <c r="A96" t="s">
        <v>29</v>
      </c>
      <c r="B96" t="s">
        <v>30</v>
      </c>
      <c r="C96" s="16">
        <v>45809</v>
      </c>
      <c r="D96" t="s">
        <v>34</v>
      </c>
      <c r="E96">
        <v>9</v>
      </c>
      <c r="F96" t="s">
        <v>36</v>
      </c>
      <c r="G96" s="4">
        <v>5520.18</v>
      </c>
      <c r="H96" s="14">
        <v>1</v>
      </c>
      <c r="I96" s="4">
        <v>33940.840000000011</v>
      </c>
      <c r="J96" s="14">
        <v>44</v>
      </c>
      <c r="K96" s="4">
        <v>0</v>
      </c>
      <c r="L96" s="14">
        <v>0</v>
      </c>
      <c r="M96">
        <v>0</v>
      </c>
      <c r="N96" s="14">
        <v>0</v>
      </c>
      <c r="O96">
        <v>0</v>
      </c>
      <c r="P96" s="14">
        <v>0</v>
      </c>
      <c r="Q96">
        <v>0</v>
      </c>
      <c r="R96" s="14">
        <v>0</v>
      </c>
      <c r="S96" s="4">
        <v>71482.77</v>
      </c>
      <c r="T96" s="4">
        <v>757334.07</v>
      </c>
      <c r="U96" s="1">
        <v>71.326530612244895</v>
      </c>
      <c r="V96" s="14">
        <v>49</v>
      </c>
      <c r="W96" s="14">
        <v>31</v>
      </c>
      <c r="X96" s="14">
        <v>1</v>
      </c>
    </row>
    <row r="97" spans="1:24" x14ac:dyDescent="0.35">
      <c r="A97" t="s">
        <v>29</v>
      </c>
      <c r="B97" t="s">
        <v>30</v>
      </c>
      <c r="C97" s="16">
        <v>45809</v>
      </c>
      <c r="D97" t="s">
        <v>34</v>
      </c>
      <c r="E97">
        <v>10</v>
      </c>
      <c r="F97" t="s">
        <v>35</v>
      </c>
      <c r="G97" s="4">
        <v>0</v>
      </c>
      <c r="H97" s="14">
        <v>0</v>
      </c>
      <c r="I97" s="4">
        <v>33808.000000000007</v>
      </c>
      <c r="J97" s="14">
        <v>8</v>
      </c>
      <c r="K97" s="4">
        <v>0</v>
      </c>
      <c r="L97" s="14">
        <v>0</v>
      </c>
      <c r="M97">
        <v>0</v>
      </c>
      <c r="N97" s="14">
        <v>0</v>
      </c>
      <c r="O97">
        <v>0</v>
      </c>
      <c r="P97" s="14">
        <v>0</v>
      </c>
      <c r="Q97">
        <v>0</v>
      </c>
      <c r="R97" s="14">
        <v>0</v>
      </c>
      <c r="S97" s="4">
        <v>0</v>
      </c>
      <c r="T97" s="4">
        <v>0</v>
      </c>
      <c r="U97" s="1">
        <v>90.36363636363636</v>
      </c>
      <c r="V97" s="14">
        <v>11</v>
      </c>
      <c r="W97" s="14">
        <v>22</v>
      </c>
      <c r="X97" s="14">
        <v>3</v>
      </c>
    </row>
    <row r="98" spans="1:24" x14ac:dyDescent="0.35">
      <c r="A98" t="s">
        <v>29</v>
      </c>
      <c r="B98" t="s">
        <v>30</v>
      </c>
      <c r="C98" s="16">
        <v>45809</v>
      </c>
      <c r="D98" t="s">
        <v>34</v>
      </c>
      <c r="E98">
        <v>10</v>
      </c>
      <c r="F98" t="s">
        <v>36</v>
      </c>
      <c r="G98" s="4">
        <v>382254.48000000004</v>
      </c>
      <c r="H98" s="14">
        <v>5</v>
      </c>
      <c r="I98" s="4">
        <v>72025.159999999989</v>
      </c>
      <c r="J98" s="14">
        <v>27</v>
      </c>
      <c r="K98" s="4">
        <v>309662.02999999997</v>
      </c>
      <c r="L98" s="14">
        <v>2</v>
      </c>
      <c r="M98">
        <v>0</v>
      </c>
      <c r="N98" s="14">
        <v>0</v>
      </c>
      <c r="O98">
        <v>0</v>
      </c>
      <c r="P98" s="14">
        <v>0</v>
      </c>
      <c r="Q98">
        <v>0</v>
      </c>
      <c r="R98" s="14">
        <v>0</v>
      </c>
      <c r="S98" s="4">
        <v>560418.07999999996</v>
      </c>
      <c r="T98" s="4">
        <v>2805223.5300000003</v>
      </c>
      <c r="U98" s="1">
        <v>117.98076923076923</v>
      </c>
      <c r="V98" s="14">
        <v>52</v>
      </c>
      <c r="W98" s="14">
        <v>98</v>
      </c>
      <c r="X98" s="14">
        <v>0</v>
      </c>
    </row>
    <row r="99" spans="1:24" x14ac:dyDescent="0.35">
      <c r="A99" t="s">
        <v>29</v>
      </c>
      <c r="B99" t="s">
        <v>30</v>
      </c>
      <c r="C99" s="16">
        <v>45809</v>
      </c>
      <c r="D99" t="s">
        <v>34</v>
      </c>
      <c r="E99">
        <v>13</v>
      </c>
      <c r="F99" t="s">
        <v>35</v>
      </c>
      <c r="G99" s="4">
        <v>0</v>
      </c>
      <c r="H99" s="14">
        <v>0</v>
      </c>
      <c r="I99" s="4">
        <v>1036.25</v>
      </c>
      <c r="J99" s="14">
        <v>2</v>
      </c>
      <c r="K99" s="4">
        <v>0</v>
      </c>
      <c r="L99" s="14">
        <v>0</v>
      </c>
      <c r="M99">
        <v>0</v>
      </c>
      <c r="N99" s="14">
        <v>0</v>
      </c>
      <c r="O99">
        <v>0</v>
      </c>
      <c r="P99" s="14">
        <v>0</v>
      </c>
      <c r="Q99">
        <v>0</v>
      </c>
      <c r="R99" s="14">
        <v>0</v>
      </c>
      <c r="S99" s="4">
        <v>0</v>
      </c>
      <c r="T99" s="4">
        <v>0</v>
      </c>
      <c r="U99" s="1">
        <v>8.5</v>
      </c>
      <c r="V99" s="14">
        <v>2</v>
      </c>
      <c r="W99" s="14">
        <v>3</v>
      </c>
      <c r="X99" s="14">
        <v>0</v>
      </c>
    </row>
    <row r="100" spans="1:24" x14ac:dyDescent="0.35">
      <c r="A100" t="s">
        <v>29</v>
      </c>
      <c r="B100" t="s">
        <v>30</v>
      </c>
      <c r="C100" s="16">
        <v>45809</v>
      </c>
      <c r="D100" t="s">
        <v>34</v>
      </c>
      <c r="E100">
        <v>13</v>
      </c>
      <c r="F100" t="s">
        <v>36</v>
      </c>
      <c r="G100" s="4">
        <v>0</v>
      </c>
      <c r="H100" s="14">
        <v>0</v>
      </c>
      <c r="I100" s="4">
        <v>15153.65</v>
      </c>
      <c r="J100" s="14">
        <v>9</v>
      </c>
      <c r="K100" s="4">
        <v>0</v>
      </c>
      <c r="L100" s="14">
        <v>0</v>
      </c>
      <c r="M100">
        <v>0</v>
      </c>
      <c r="N100" s="14">
        <v>0</v>
      </c>
      <c r="O100">
        <v>0</v>
      </c>
      <c r="P100" s="14">
        <v>0</v>
      </c>
      <c r="Q100">
        <v>0</v>
      </c>
      <c r="R100" s="14">
        <v>0</v>
      </c>
      <c r="S100" s="4">
        <v>0</v>
      </c>
      <c r="T100" s="4">
        <v>0</v>
      </c>
      <c r="U100" s="1">
        <v>62</v>
      </c>
      <c r="V100" s="14">
        <v>9</v>
      </c>
      <c r="W100" s="14">
        <v>18</v>
      </c>
      <c r="X100" s="14">
        <v>10</v>
      </c>
    </row>
    <row r="101" spans="1:24" x14ac:dyDescent="0.35">
      <c r="A101" t="s">
        <v>29</v>
      </c>
      <c r="B101" t="s">
        <v>30</v>
      </c>
      <c r="C101" s="16">
        <v>45809</v>
      </c>
      <c r="D101" t="s">
        <v>34</v>
      </c>
      <c r="E101">
        <v>14</v>
      </c>
      <c r="F101" t="s">
        <v>35</v>
      </c>
      <c r="G101" s="4">
        <v>0</v>
      </c>
      <c r="H101" s="14">
        <v>0</v>
      </c>
      <c r="I101" s="4">
        <v>12499.67</v>
      </c>
      <c r="J101" s="14">
        <v>6</v>
      </c>
      <c r="K101" s="4">
        <v>15959.91</v>
      </c>
      <c r="L101" s="14">
        <v>1</v>
      </c>
      <c r="M101">
        <v>0</v>
      </c>
      <c r="N101" s="14">
        <v>0</v>
      </c>
      <c r="O101">
        <v>0</v>
      </c>
      <c r="P101" s="14">
        <v>0</v>
      </c>
      <c r="Q101">
        <v>0</v>
      </c>
      <c r="R101" s="14">
        <v>0</v>
      </c>
      <c r="S101" s="4">
        <v>3256.5</v>
      </c>
      <c r="T101" s="4">
        <v>0</v>
      </c>
      <c r="U101" s="1">
        <v>69.333333333333329</v>
      </c>
      <c r="V101" s="14">
        <v>6</v>
      </c>
      <c r="W101" s="14">
        <v>5</v>
      </c>
      <c r="X101" s="14">
        <v>0</v>
      </c>
    </row>
    <row r="102" spans="1:24" x14ac:dyDescent="0.35">
      <c r="A102" t="s">
        <v>29</v>
      </c>
      <c r="B102" t="s">
        <v>30</v>
      </c>
      <c r="C102" s="16">
        <v>45809</v>
      </c>
      <c r="D102" t="s">
        <v>34</v>
      </c>
      <c r="E102">
        <v>14</v>
      </c>
      <c r="F102" t="s">
        <v>36</v>
      </c>
      <c r="G102" s="4">
        <v>115031.77000000002</v>
      </c>
      <c r="H102" s="14">
        <v>10</v>
      </c>
      <c r="I102" s="4">
        <v>148438.72</v>
      </c>
      <c r="J102" s="14">
        <v>42</v>
      </c>
      <c r="K102" s="4">
        <v>0</v>
      </c>
      <c r="L102" s="14">
        <v>0</v>
      </c>
      <c r="M102">
        <v>0</v>
      </c>
      <c r="N102" s="14">
        <v>0</v>
      </c>
      <c r="O102">
        <v>0</v>
      </c>
      <c r="P102" s="14">
        <v>0</v>
      </c>
      <c r="Q102">
        <v>0</v>
      </c>
      <c r="R102" s="14">
        <v>0</v>
      </c>
      <c r="S102" s="4">
        <v>51864.83</v>
      </c>
      <c r="T102" s="4">
        <v>149547.25999999998</v>
      </c>
      <c r="U102" s="1">
        <v>84.25</v>
      </c>
      <c r="V102" s="14">
        <v>44</v>
      </c>
      <c r="W102" s="14">
        <v>44</v>
      </c>
      <c r="X102" s="14">
        <v>0</v>
      </c>
    </row>
    <row r="103" spans="1:24" x14ac:dyDescent="0.35">
      <c r="A103" t="s">
        <v>29</v>
      </c>
      <c r="B103" t="s">
        <v>30</v>
      </c>
      <c r="C103" s="16">
        <v>45809</v>
      </c>
      <c r="D103" t="s">
        <v>34</v>
      </c>
      <c r="E103">
        <v>15</v>
      </c>
      <c r="F103" t="s">
        <v>35</v>
      </c>
      <c r="G103" s="4">
        <v>0</v>
      </c>
      <c r="H103" s="14">
        <v>0</v>
      </c>
      <c r="I103" s="4">
        <v>27591.13</v>
      </c>
      <c r="J103" s="14">
        <v>2</v>
      </c>
      <c r="K103" s="4">
        <v>0</v>
      </c>
      <c r="L103" s="14">
        <v>0</v>
      </c>
      <c r="M103">
        <v>0</v>
      </c>
      <c r="N103" s="14">
        <v>0</v>
      </c>
      <c r="O103">
        <v>0</v>
      </c>
      <c r="P103" s="14">
        <v>0</v>
      </c>
      <c r="Q103">
        <v>0</v>
      </c>
      <c r="R103" s="14">
        <v>0</v>
      </c>
      <c r="S103" s="4">
        <v>0</v>
      </c>
      <c r="T103" s="4">
        <v>0</v>
      </c>
      <c r="U103" s="1">
        <v>47.5</v>
      </c>
      <c r="V103" s="14">
        <v>2</v>
      </c>
      <c r="W103" s="14">
        <v>1</v>
      </c>
      <c r="X103" s="14">
        <v>0</v>
      </c>
    </row>
    <row r="104" spans="1:24" x14ac:dyDescent="0.35">
      <c r="A104" t="s">
        <v>29</v>
      </c>
      <c r="B104" t="s">
        <v>30</v>
      </c>
      <c r="C104" s="16">
        <v>45809</v>
      </c>
      <c r="D104" t="s">
        <v>34</v>
      </c>
      <c r="E104">
        <v>15</v>
      </c>
      <c r="F104" t="s">
        <v>36</v>
      </c>
      <c r="G104" s="4">
        <v>5214.45</v>
      </c>
      <c r="H104" s="14">
        <v>1</v>
      </c>
      <c r="I104" s="4">
        <v>16819.71</v>
      </c>
      <c r="J104" s="14">
        <v>7</v>
      </c>
      <c r="K104" s="4">
        <v>0</v>
      </c>
      <c r="L104" s="14">
        <v>0</v>
      </c>
      <c r="M104">
        <v>0</v>
      </c>
      <c r="N104" s="14">
        <v>0</v>
      </c>
      <c r="O104">
        <v>0</v>
      </c>
      <c r="P104" s="14">
        <v>0</v>
      </c>
      <c r="Q104">
        <v>0</v>
      </c>
      <c r="R104" s="14">
        <v>0</v>
      </c>
      <c r="S104" s="4">
        <v>13603.509999999998</v>
      </c>
      <c r="T104" s="4">
        <v>0</v>
      </c>
      <c r="U104" s="1">
        <v>119.71428571428571</v>
      </c>
      <c r="V104" s="14">
        <v>7</v>
      </c>
      <c r="W104" s="14">
        <v>4</v>
      </c>
      <c r="X104" s="14">
        <v>0</v>
      </c>
    </row>
    <row r="105" spans="1:24" x14ac:dyDescent="0.35">
      <c r="A105" t="s">
        <v>29</v>
      </c>
      <c r="B105" t="s">
        <v>30</v>
      </c>
      <c r="C105" s="16">
        <v>45809</v>
      </c>
      <c r="D105" t="s">
        <v>34</v>
      </c>
      <c r="E105">
        <v>16</v>
      </c>
      <c r="F105" t="s">
        <v>35</v>
      </c>
      <c r="G105" s="4">
        <v>0</v>
      </c>
      <c r="H105" s="14">
        <v>0</v>
      </c>
      <c r="I105" s="4">
        <v>0</v>
      </c>
      <c r="J105" s="14">
        <v>0</v>
      </c>
      <c r="K105" s="4">
        <v>0</v>
      </c>
      <c r="L105" s="14">
        <v>0</v>
      </c>
      <c r="M105">
        <v>0</v>
      </c>
      <c r="N105" s="14">
        <v>0</v>
      </c>
      <c r="O105">
        <v>0</v>
      </c>
      <c r="P105" s="14">
        <v>0</v>
      </c>
      <c r="Q105">
        <v>0</v>
      </c>
      <c r="R105" s="14">
        <v>0</v>
      </c>
      <c r="S105" s="4">
        <v>8740.69</v>
      </c>
      <c r="T105" s="4">
        <v>56217.31</v>
      </c>
      <c r="U105" s="1">
        <v>52</v>
      </c>
      <c r="V105" s="14">
        <v>1</v>
      </c>
      <c r="W105" s="14">
        <v>2</v>
      </c>
      <c r="X105" s="14">
        <v>0</v>
      </c>
    </row>
    <row r="106" spans="1:24" x14ac:dyDescent="0.35">
      <c r="A106" t="s">
        <v>29</v>
      </c>
      <c r="B106" t="s">
        <v>30</v>
      </c>
      <c r="C106" s="16">
        <v>45809</v>
      </c>
      <c r="D106" t="s">
        <v>34</v>
      </c>
      <c r="E106">
        <v>16</v>
      </c>
      <c r="F106" t="s">
        <v>36</v>
      </c>
      <c r="G106" s="4">
        <v>6279.54</v>
      </c>
      <c r="H106" s="14">
        <v>2</v>
      </c>
      <c r="I106" s="4">
        <v>12526.63</v>
      </c>
      <c r="J106" s="14">
        <v>4</v>
      </c>
      <c r="K106" s="4">
        <v>0</v>
      </c>
      <c r="L106" s="14">
        <v>0</v>
      </c>
      <c r="M106">
        <v>0</v>
      </c>
      <c r="N106" s="14">
        <v>0</v>
      </c>
      <c r="O106">
        <v>0</v>
      </c>
      <c r="P106" s="14">
        <v>0</v>
      </c>
      <c r="Q106">
        <v>0</v>
      </c>
      <c r="R106" s="14">
        <v>0</v>
      </c>
      <c r="S106" s="4">
        <v>1344.1599999999999</v>
      </c>
      <c r="T106" s="4">
        <v>0</v>
      </c>
      <c r="U106" s="1">
        <v>67.75</v>
      </c>
      <c r="V106" s="14">
        <v>4</v>
      </c>
      <c r="W106" s="14">
        <v>11</v>
      </c>
      <c r="X106" s="14">
        <v>0</v>
      </c>
    </row>
    <row r="107" spans="1:24" x14ac:dyDescent="0.35">
      <c r="A107" t="s">
        <v>29</v>
      </c>
      <c r="B107" t="s">
        <v>30</v>
      </c>
      <c r="C107" s="16">
        <v>45809</v>
      </c>
      <c r="D107" t="s">
        <v>37</v>
      </c>
      <c r="E107">
        <v>6</v>
      </c>
      <c r="F107" t="s">
        <v>32</v>
      </c>
      <c r="G107" s="4">
        <v>0</v>
      </c>
      <c r="H107" s="14">
        <v>0</v>
      </c>
      <c r="I107" s="4">
        <v>0</v>
      </c>
      <c r="J107" s="14">
        <v>0</v>
      </c>
      <c r="K107" s="4">
        <v>0</v>
      </c>
      <c r="L107" s="14">
        <v>0</v>
      </c>
      <c r="M107">
        <v>0</v>
      </c>
      <c r="N107" s="14">
        <v>0</v>
      </c>
      <c r="O107">
        <v>0</v>
      </c>
      <c r="P107" s="14">
        <v>0</v>
      </c>
      <c r="Q107">
        <v>0</v>
      </c>
      <c r="R107" s="14">
        <v>0</v>
      </c>
      <c r="S107" s="4">
        <v>0</v>
      </c>
      <c r="T107" s="4">
        <v>0</v>
      </c>
      <c r="V107" s="14">
        <v>0</v>
      </c>
      <c r="W107" s="14">
        <v>1</v>
      </c>
      <c r="X107" s="14">
        <v>0</v>
      </c>
    </row>
    <row r="108" spans="1:24" x14ac:dyDescent="0.35">
      <c r="A108" t="s">
        <v>29</v>
      </c>
      <c r="B108" t="s">
        <v>30</v>
      </c>
      <c r="C108" s="16">
        <v>45809</v>
      </c>
      <c r="D108" t="s">
        <v>37</v>
      </c>
      <c r="E108">
        <v>8</v>
      </c>
      <c r="F108" t="s">
        <v>32</v>
      </c>
      <c r="G108" s="4">
        <v>0</v>
      </c>
      <c r="H108" s="14">
        <v>0</v>
      </c>
      <c r="I108" s="4">
        <v>0</v>
      </c>
      <c r="J108" s="14">
        <v>0</v>
      </c>
      <c r="K108" s="4">
        <v>0</v>
      </c>
      <c r="L108" s="14">
        <v>0</v>
      </c>
      <c r="M108">
        <v>0</v>
      </c>
      <c r="N108" s="14">
        <v>0</v>
      </c>
      <c r="O108">
        <v>0</v>
      </c>
      <c r="P108" s="14">
        <v>0</v>
      </c>
      <c r="Q108">
        <v>0</v>
      </c>
      <c r="R108" s="14">
        <v>0</v>
      </c>
      <c r="S108" s="4">
        <v>0</v>
      </c>
      <c r="T108" s="4">
        <v>0</v>
      </c>
      <c r="V108" s="14">
        <v>0</v>
      </c>
      <c r="W108" s="14">
        <v>1</v>
      </c>
      <c r="X108" s="14">
        <v>0</v>
      </c>
    </row>
    <row r="109" spans="1:24" x14ac:dyDescent="0.35">
      <c r="A109" t="s">
        <v>29</v>
      </c>
      <c r="B109" t="s">
        <v>30</v>
      </c>
      <c r="C109" s="16">
        <v>45809</v>
      </c>
      <c r="D109" t="s">
        <v>37</v>
      </c>
      <c r="E109">
        <v>9</v>
      </c>
      <c r="F109" t="s">
        <v>32</v>
      </c>
      <c r="G109" s="4">
        <v>0</v>
      </c>
      <c r="H109" s="14">
        <v>0</v>
      </c>
      <c r="I109" s="4">
        <v>0</v>
      </c>
      <c r="J109" s="14">
        <v>0</v>
      </c>
      <c r="K109" s="4">
        <v>0</v>
      </c>
      <c r="L109" s="14">
        <v>0</v>
      </c>
      <c r="M109">
        <v>0</v>
      </c>
      <c r="N109" s="14">
        <v>0</v>
      </c>
      <c r="O109">
        <v>0</v>
      </c>
      <c r="P109" s="14">
        <v>0</v>
      </c>
      <c r="Q109">
        <v>0</v>
      </c>
      <c r="R109" s="14">
        <v>0</v>
      </c>
      <c r="S109" s="4">
        <v>0</v>
      </c>
      <c r="T109" s="4">
        <v>0</v>
      </c>
      <c r="V109" s="14">
        <v>0</v>
      </c>
      <c r="W109" s="14">
        <v>3</v>
      </c>
      <c r="X109" s="14">
        <v>0</v>
      </c>
    </row>
    <row r="110" spans="1:24" x14ac:dyDescent="0.35">
      <c r="A110" t="s">
        <v>29</v>
      </c>
      <c r="B110" t="s">
        <v>30</v>
      </c>
      <c r="C110" s="16">
        <v>45809</v>
      </c>
      <c r="D110" t="s">
        <v>37</v>
      </c>
      <c r="E110">
        <v>10</v>
      </c>
      <c r="F110" t="s">
        <v>32</v>
      </c>
      <c r="G110" s="4">
        <v>0</v>
      </c>
      <c r="H110" s="14">
        <v>0</v>
      </c>
      <c r="I110" s="4">
        <v>59441.95</v>
      </c>
      <c r="J110" s="14">
        <v>1</v>
      </c>
      <c r="K110" s="4">
        <v>0</v>
      </c>
      <c r="L110" s="14">
        <v>0</v>
      </c>
      <c r="M110">
        <v>0</v>
      </c>
      <c r="N110" s="14">
        <v>0</v>
      </c>
      <c r="O110">
        <v>0</v>
      </c>
      <c r="P110" s="14">
        <v>0</v>
      </c>
      <c r="Q110">
        <v>0</v>
      </c>
      <c r="R110" s="14">
        <v>0</v>
      </c>
      <c r="S110" s="4">
        <v>0</v>
      </c>
      <c r="T110" s="4">
        <v>0</v>
      </c>
      <c r="U110" s="1">
        <v>23</v>
      </c>
      <c r="V110" s="14">
        <v>1</v>
      </c>
      <c r="W110" s="14">
        <v>4</v>
      </c>
      <c r="X110" s="14">
        <v>0</v>
      </c>
    </row>
    <row r="111" spans="1:24" x14ac:dyDescent="0.35">
      <c r="A111" t="s">
        <v>29</v>
      </c>
      <c r="B111" t="s">
        <v>30</v>
      </c>
      <c r="C111" s="16">
        <v>45809</v>
      </c>
      <c r="D111" t="s">
        <v>37</v>
      </c>
      <c r="E111">
        <v>13</v>
      </c>
      <c r="F111" t="s">
        <v>32</v>
      </c>
      <c r="G111" s="4">
        <v>0</v>
      </c>
      <c r="H111" s="14">
        <v>0</v>
      </c>
      <c r="I111" s="4">
        <v>0</v>
      </c>
      <c r="J111" s="14">
        <v>0</v>
      </c>
      <c r="K111" s="4">
        <v>0</v>
      </c>
      <c r="L111" s="14">
        <v>0</v>
      </c>
      <c r="M111">
        <v>0</v>
      </c>
      <c r="N111" s="14">
        <v>0</v>
      </c>
      <c r="O111">
        <v>0</v>
      </c>
      <c r="P111" s="14">
        <v>0</v>
      </c>
      <c r="Q111">
        <v>0</v>
      </c>
      <c r="R111" s="14">
        <v>0</v>
      </c>
      <c r="S111" s="4">
        <v>0</v>
      </c>
      <c r="T111" s="4">
        <v>0</v>
      </c>
      <c r="V111" s="14">
        <v>0</v>
      </c>
      <c r="W111" s="14">
        <v>2</v>
      </c>
      <c r="X111" s="14">
        <v>0</v>
      </c>
    </row>
    <row r="112" spans="1:24" x14ac:dyDescent="0.35">
      <c r="A112" t="s">
        <v>29</v>
      </c>
      <c r="B112" t="s">
        <v>30</v>
      </c>
      <c r="C112" s="16">
        <v>45809</v>
      </c>
      <c r="D112" t="s">
        <v>37</v>
      </c>
      <c r="E112">
        <v>14</v>
      </c>
      <c r="F112" t="s">
        <v>32</v>
      </c>
      <c r="G112" s="4">
        <v>0</v>
      </c>
      <c r="H112" s="14">
        <v>0</v>
      </c>
      <c r="I112" s="4">
        <v>0</v>
      </c>
      <c r="J112" s="14">
        <v>0</v>
      </c>
      <c r="K112" s="4">
        <v>0</v>
      </c>
      <c r="L112" s="14">
        <v>0</v>
      </c>
      <c r="M112">
        <v>0</v>
      </c>
      <c r="N112" s="14">
        <v>0</v>
      </c>
      <c r="O112">
        <v>0</v>
      </c>
      <c r="P112" s="14">
        <v>0</v>
      </c>
      <c r="Q112">
        <v>0</v>
      </c>
      <c r="R112" s="14">
        <v>0</v>
      </c>
      <c r="S112" s="4">
        <v>0</v>
      </c>
      <c r="T112" s="4">
        <v>0</v>
      </c>
      <c r="V112" s="14">
        <v>0</v>
      </c>
      <c r="W112" s="14">
        <v>1</v>
      </c>
      <c r="X112" s="14">
        <v>0</v>
      </c>
    </row>
    <row r="113" spans="1:24" x14ac:dyDescent="0.35">
      <c r="A113" t="s">
        <v>29</v>
      </c>
      <c r="B113" t="s">
        <v>38</v>
      </c>
      <c r="C113" s="16">
        <v>45748</v>
      </c>
      <c r="D113" t="s">
        <v>31</v>
      </c>
      <c r="E113">
        <v>13</v>
      </c>
      <c r="F113" t="s">
        <v>32</v>
      </c>
      <c r="G113" s="4">
        <v>506.88</v>
      </c>
      <c r="H113" s="14">
        <v>1</v>
      </c>
      <c r="I113" s="4">
        <v>21638.12</v>
      </c>
      <c r="J113" s="14">
        <v>1</v>
      </c>
      <c r="K113" s="4">
        <v>366.7</v>
      </c>
      <c r="L113" s="14">
        <v>1</v>
      </c>
      <c r="M113">
        <v>0</v>
      </c>
      <c r="N113" s="14">
        <v>0</v>
      </c>
      <c r="O113">
        <v>0</v>
      </c>
      <c r="P113" s="14">
        <v>0</v>
      </c>
      <c r="Q113">
        <v>0</v>
      </c>
      <c r="R113" s="14">
        <v>0</v>
      </c>
      <c r="S113" s="4">
        <v>0</v>
      </c>
      <c r="T113" s="4">
        <v>0</v>
      </c>
      <c r="U113" s="1">
        <v>424</v>
      </c>
      <c r="V113" s="14">
        <v>1</v>
      </c>
      <c r="W113" s="14">
        <v>2</v>
      </c>
      <c r="X113" s="14">
        <v>0</v>
      </c>
    </row>
    <row r="114" spans="1:24" x14ac:dyDescent="0.35">
      <c r="A114" t="s">
        <v>29</v>
      </c>
      <c r="B114" t="s">
        <v>38</v>
      </c>
      <c r="C114" s="16">
        <v>45748</v>
      </c>
      <c r="D114" t="s">
        <v>33</v>
      </c>
      <c r="E114">
        <v>6</v>
      </c>
      <c r="F114" t="s">
        <v>32</v>
      </c>
      <c r="G114" s="4">
        <v>0</v>
      </c>
      <c r="H114" s="14">
        <v>0</v>
      </c>
      <c r="I114" s="4">
        <v>776483.77999999991</v>
      </c>
      <c r="J114" s="14">
        <v>14</v>
      </c>
      <c r="K114" s="4">
        <v>74836.44</v>
      </c>
      <c r="L114" s="14">
        <v>17</v>
      </c>
      <c r="M114">
        <v>0</v>
      </c>
      <c r="N114" s="14">
        <v>0</v>
      </c>
      <c r="O114">
        <v>0</v>
      </c>
      <c r="P114" s="14">
        <v>0</v>
      </c>
      <c r="Q114">
        <v>0</v>
      </c>
      <c r="R114" s="14">
        <v>0</v>
      </c>
      <c r="S114" s="4">
        <v>84326.840000000011</v>
      </c>
      <c r="T114" s="4">
        <v>94866.290000000008</v>
      </c>
      <c r="U114" s="1">
        <v>315.58823529411762</v>
      </c>
      <c r="V114" s="14">
        <v>17</v>
      </c>
      <c r="W114" s="14">
        <v>27</v>
      </c>
      <c r="X114" s="14">
        <v>2</v>
      </c>
    </row>
    <row r="115" spans="1:24" x14ac:dyDescent="0.35">
      <c r="A115" t="s">
        <v>29</v>
      </c>
      <c r="B115" t="s">
        <v>38</v>
      </c>
      <c r="C115" s="16">
        <v>45748</v>
      </c>
      <c r="D115" t="s">
        <v>33</v>
      </c>
      <c r="E115">
        <v>8</v>
      </c>
      <c r="F115" t="s">
        <v>32</v>
      </c>
      <c r="G115" s="4">
        <v>0</v>
      </c>
      <c r="H115" s="14">
        <v>0</v>
      </c>
      <c r="I115" s="4">
        <v>966780.38</v>
      </c>
      <c r="J115" s="14">
        <v>17</v>
      </c>
      <c r="K115" s="4">
        <v>177182.46000000002</v>
      </c>
      <c r="L115" s="14">
        <v>22</v>
      </c>
      <c r="M115">
        <v>0</v>
      </c>
      <c r="N115" s="14">
        <v>0</v>
      </c>
      <c r="O115">
        <v>0</v>
      </c>
      <c r="P115" s="14">
        <v>0</v>
      </c>
      <c r="Q115">
        <v>0</v>
      </c>
      <c r="R115" s="14">
        <v>0</v>
      </c>
      <c r="S115" s="4">
        <v>112809.37</v>
      </c>
      <c r="T115" s="4">
        <v>0</v>
      </c>
      <c r="U115" s="1">
        <v>278.69565217391306</v>
      </c>
      <c r="V115" s="14">
        <v>23</v>
      </c>
      <c r="W115" s="14">
        <v>24</v>
      </c>
      <c r="X115" s="14">
        <v>0</v>
      </c>
    </row>
    <row r="116" spans="1:24" x14ac:dyDescent="0.35">
      <c r="A116" t="s">
        <v>29</v>
      </c>
      <c r="B116" t="s">
        <v>38</v>
      </c>
      <c r="C116" s="16">
        <v>45748</v>
      </c>
      <c r="D116" t="s">
        <v>33</v>
      </c>
      <c r="E116">
        <v>9</v>
      </c>
      <c r="F116" t="s">
        <v>32</v>
      </c>
      <c r="G116" s="4">
        <v>10858.24</v>
      </c>
      <c r="H116" s="14">
        <v>1</v>
      </c>
      <c r="I116" s="4">
        <v>427258.54000000004</v>
      </c>
      <c r="J116" s="14">
        <v>9</v>
      </c>
      <c r="K116" s="4">
        <v>317331.91000000003</v>
      </c>
      <c r="L116" s="14">
        <v>16</v>
      </c>
      <c r="M116">
        <v>0</v>
      </c>
      <c r="N116" s="14">
        <v>0</v>
      </c>
      <c r="O116">
        <v>0</v>
      </c>
      <c r="P116" s="14">
        <v>0</v>
      </c>
      <c r="Q116">
        <v>0</v>
      </c>
      <c r="R116" s="14">
        <v>0</v>
      </c>
      <c r="S116" s="4">
        <v>27651.63</v>
      </c>
      <c r="T116" s="4">
        <v>0</v>
      </c>
      <c r="U116" s="1">
        <v>257.44444444444446</v>
      </c>
      <c r="V116" s="14">
        <v>9</v>
      </c>
      <c r="W116" s="14">
        <v>29</v>
      </c>
      <c r="X116" s="14">
        <v>0</v>
      </c>
    </row>
    <row r="117" spans="1:24" x14ac:dyDescent="0.35">
      <c r="A117" t="s">
        <v>29</v>
      </c>
      <c r="B117" t="s">
        <v>38</v>
      </c>
      <c r="C117" s="16">
        <v>45748</v>
      </c>
      <c r="D117" t="s">
        <v>33</v>
      </c>
      <c r="E117">
        <v>10</v>
      </c>
      <c r="F117" t="s">
        <v>32</v>
      </c>
      <c r="G117" s="4">
        <v>257818.43999999997</v>
      </c>
      <c r="H117" s="14">
        <v>6</v>
      </c>
      <c r="I117" s="4">
        <v>522609.20000000007</v>
      </c>
      <c r="J117" s="14">
        <v>14</v>
      </c>
      <c r="K117" s="4">
        <v>60881.78</v>
      </c>
      <c r="L117" s="14">
        <v>14</v>
      </c>
      <c r="M117">
        <v>0</v>
      </c>
      <c r="N117" s="14">
        <v>0</v>
      </c>
      <c r="O117">
        <v>0</v>
      </c>
      <c r="P117" s="14">
        <v>0</v>
      </c>
      <c r="Q117">
        <v>0</v>
      </c>
      <c r="R117" s="14">
        <v>0</v>
      </c>
      <c r="S117" s="4">
        <v>510788.29</v>
      </c>
      <c r="T117" s="4">
        <v>268371.90999999997</v>
      </c>
      <c r="U117" s="1">
        <v>349.86842105263156</v>
      </c>
      <c r="V117" s="14">
        <v>38</v>
      </c>
      <c r="W117" s="14">
        <v>29</v>
      </c>
      <c r="X117" s="14">
        <v>1</v>
      </c>
    </row>
    <row r="118" spans="1:24" x14ac:dyDescent="0.35">
      <c r="A118" t="s">
        <v>29</v>
      </c>
      <c r="B118" t="s">
        <v>38</v>
      </c>
      <c r="C118" s="16">
        <v>45748</v>
      </c>
      <c r="D118" t="s">
        <v>33</v>
      </c>
      <c r="E118">
        <v>13</v>
      </c>
      <c r="F118" t="s">
        <v>32</v>
      </c>
      <c r="G118" s="4">
        <v>867.82</v>
      </c>
      <c r="H118" s="14">
        <v>1</v>
      </c>
      <c r="I118" s="4">
        <v>153863.24</v>
      </c>
      <c r="J118" s="14">
        <v>5</v>
      </c>
      <c r="K118" s="4">
        <v>1857.16</v>
      </c>
      <c r="L118" s="14">
        <v>1</v>
      </c>
      <c r="M118">
        <v>0</v>
      </c>
      <c r="N118" s="14">
        <v>0</v>
      </c>
      <c r="O118">
        <v>0</v>
      </c>
      <c r="P118" s="14">
        <v>0</v>
      </c>
      <c r="Q118">
        <v>0</v>
      </c>
      <c r="R118" s="14">
        <v>0</v>
      </c>
      <c r="S118" s="4">
        <v>24007.219999999998</v>
      </c>
      <c r="T118" s="4">
        <v>0</v>
      </c>
      <c r="U118" s="1">
        <v>358.6</v>
      </c>
      <c r="V118" s="14">
        <v>5</v>
      </c>
      <c r="W118" s="14">
        <v>4</v>
      </c>
      <c r="X118" s="14">
        <v>0</v>
      </c>
    </row>
    <row r="119" spans="1:24" x14ac:dyDescent="0.35">
      <c r="A119" t="s">
        <v>29</v>
      </c>
      <c r="B119" t="s">
        <v>38</v>
      </c>
      <c r="C119" s="16">
        <v>45748</v>
      </c>
      <c r="D119" t="s">
        <v>33</v>
      </c>
      <c r="E119">
        <v>14</v>
      </c>
      <c r="F119" t="s">
        <v>32</v>
      </c>
      <c r="G119" s="4">
        <v>37543.31</v>
      </c>
      <c r="H119" s="14">
        <v>1</v>
      </c>
      <c r="I119" s="4">
        <v>6071.74</v>
      </c>
      <c r="J119" s="14">
        <v>2</v>
      </c>
      <c r="K119" s="4">
        <v>25757.39</v>
      </c>
      <c r="L119" s="14">
        <v>6</v>
      </c>
      <c r="M119">
        <v>0</v>
      </c>
      <c r="N119" s="14">
        <v>0</v>
      </c>
      <c r="O119">
        <v>0</v>
      </c>
      <c r="P119" s="14">
        <v>0</v>
      </c>
      <c r="Q119">
        <v>0</v>
      </c>
      <c r="R119" s="14">
        <v>0</v>
      </c>
      <c r="S119" s="4">
        <v>272.8</v>
      </c>
      <c r="T119" s="4">
        <v>0</v>
      </c>
      <c r="U119" s="1">
        <v>147.33333333333334</v>
      </c>
      <c r="V119" s="14">
        <v>3</v>
      </c>
      <c r="W119" s="14">
        <v>7</v>
      </c>
      <c r="X119" s="14">
        <v>0</v>
      </c>
    </row>
    <row r="120" spans="1:24" x14ac:dyDescent="0.35">
      <c r="A120" t="s">
        <v>29</v>
      </c>
      <c r="B120" t="s">
        <v>38</v>
      </c>
      <c r="C120" s="16">
        <v>45748</v>
      </c>
      <c r="D120" t="s">
        <v>33</v>
      </c>
      <c r="E120">
        <v>15</v>
      </c>
      <c r="F120" t="s">
        <v>32</v>
      </c>
      <c r="G120" s="4">
        <v>0</v>
      </c>
      <c r="H120" s="14">
        <v>0</v>
      </c>
      <c r="I120" s="4">
        <v>25161.27</v>
      </c>
      <c r="J120" s="14">
        <v>1</v>
      </c>
      <c r="K120" s="4">
        <v>0</v>
      </c>
      <c r="L120" s="14">
        <v>0</v>
      </c>
      <c r="M120">
        <v>0</v>
      </c>
      <c r="N120" s="14">
        <v>0</v>
      </c>
      <c r="O120">
        <v>0</v>
      </c>
      <c r="P120" s="14">
        <v>0</v>
      </c>
      <c r="Q120">
        <v>0</v>
      </c>
      <c r="R120" s="14">
        <v>0</v>
      </c>
      <c r="S120" s="4">
        <v>6435.72</v>
      </c>
      <c r="T120" s="4">
        <v>0</v>
      </c>
      <c r="U120" s="1">
        <v>38</v>
      </c>
      <c r="V120" s="14">
        <v>1</v>
      </c>
      <c r="W120" s="14">
        <v>6</v>
      </c>
      <c r="X120" s="14">
        <v>0</v>
      </c>
    </row>
    <row r="121" spans="1:24" x14ac:dyDescent="0.35">
      <c r="A121" t="s">
        <v>29</v>
      </c>
      <c r="B121" t="s">
        <v>38</v>
      </c>
      <c r="C121" s="16">
        <v>45748</v>
      </c>
      <c r="D121" t="s">
        <v>33</v>
      </c>
      <c r="E121">
        <v>16</v>
      </c>
      <c r="F121" t="s">
        <v>32</v>
      </c>
      <c r="G121" s="4">
        <v>0</v>
      </c>
      <c r="H121" s="14">
        <v>0</v>
      </c>
      <c r="I121" s="4">
        <v>0</v>
      </c>
      <c r="J121" s="14">
        <v>0</v>
      </c>
      <c r="K121" s="4">
        <v>0</v>
      </c>
      <c r="L121" s="14">
        <v>0</v>
      </c>
      <c r="M121">
        <v>0</v>
      </c>
      <c r="N121" s="14">
        <v>0</v>
      </c>
      <c r="O121">
        <v>0</v>
      </c>
      <c r="P121" s="14">
        <v>0</v>
      </c>
      <c r="Q121">
        <v>0</v>
      </c>
      <c r="R121" s="14">
        <v>0</v>
      </c>
      <c r="S121" s="4">
        <v>0</v>
      </c>
      <c r="T121" s="4">
        <v>0</v>
      </c>
      <c r="U121" s="1">
        <v>84</v>
      </c>
      <c r="V121" s="14">
        <v>1</v>
      </c>
      <c r="W121" s="14">
        <v>1</v>
      </c>
      <c r="X121" s="14">
        <v>0</v>
      </c>
    </row>
    <row r="122" spans="1:24" x14ac:dyDescent="0.35">
      <c r="A122" t="s">
        <v>29</v>
      </c>
      <c r="B122" t="s">
        <v>38</v>
      </c>
      <c r="C122" s="16">
        <v>45748</v>
      </c>
      <c r="D122" t="s">
        <v>34</v>
      </c>
      <c r="E122">
        <v>6</v>
      </c>
      <c r="F122" t="s">
        <v>35</v>
      </c>
      <c r="G122" s="4">
        <v>16957.599999999999</v>
      </c>
      <c r="H122" s="14">
        <v>1</v>
      </c>
      <c r="I122" s="4">
        <v>283567.67</v>
      </c>
      <c r="J122" s="14">
        <v>8</v>
      </c>
      <c r="K122" s="4">
        <v>0</v>
      </c>
      <c r="L122" s="14">
        <v>0</v>
      </c>
      <c r="M122">
        <v>0</v>
      </c>
      <c r="N122" s="14">
        <v>0</v>
      </c>
      <c r="O122">
        <v>0</v>
      </c>
      <c r="P122" s="14">
        <v>0</v>
      </c>
      <c r="Q122">
        <v>0</v>
      </c>
      <c r="R122" s="14">
        <v>0</v>
      </c>
      <c r="S122" s="4">
        <v>38769.51</v>
      </c>
      <c r="T122" s="4">
        <v>0</v>
      </c>
      <c r="U122" s="1">
        <v>342</v>
      </c>
      <c r="V122" s="14">
        <v>12</v>
      </c>
      <c r="W122" s="14">
        <v>8</v>
      </c>
      <c r="X122" s="14">
        <v>0</v>
      </c>
    </row>
    <row r="123" spans="1:24" x14ac:dyDescent="0.35">
      <c r="A123" t="s">
        <v>29</v>
      </c>
      <c r="B123" t="s">
        <v>38</v>
      </c>
      <c r="C123" s="16">
        <v>45748</v>
      </c>
      <c r="D123" t="s">
        <v>34</v>
      </c>
      <c r="E123">
        <v>6</v>
      </c>
      <c r="F123" t="s">
        <v>36</v>
      </c>
      <c r="G123" s="4">
        <v>60209.100000000006</v>
      </c>
      <c r="H123" s="14">
        <v>4</v>
      </c>
      <c r="I123" s="4">
        <v>68149.81</v>
      </c>
      <c r="J123" s="14">
        <v>37</v>
      </c>
      <c r="K123" s="4">
        <v>134647.22999999998</v>
      </c>
      <c r="L123" s="14">
        <v>12</v>
      </c>
      <c r="M123">
        <v>0</v>
      </c>
      <c r="N123" s="14">
        <v>0</v>
      </c>
      <c r="O123">
        <v>0</v>
      </c>
      <c r="P123" s="14">
        <v>0</v>
      </c>
      <c r="Q123">
        <v>0</v>
      </c>
      <c r="R123" s="14">
        <v>0</v>
      </c>
      <c r="S123" s="4">
        <v>96740.44</v>
      </c>
      <c r="T123" s="4">
        <v>101805.44</v>
      </c>
      <c r="U123" s="1">
        <v>191.37288135593221</v>
      </c>
      <c r="V123" s="14">
        <v>59</v>
      </c>
      <c r="W123" s="14">
        <v>40</v>
      </c>
      <c r="X123" s="14">
        <v>1</v>
      </c>
    </row>
    <row r="124" spans="1:24" x14ac:dyDescent="0.35">
      <c r="A124" t="s">
        <v>29</v>
      </c>
      <c r="B124" t="s">
        <v>38</v>
      </c>
      <c r="C124" s="16">
        <v>45748</v>
      </c>
      <c r="D124" t="s">
        <v>34</v>
      </c>
      <c r="E124">
        <v>8</v>
      </c>
      <c r="F124" t="s">
        <v>35</v>
      </c>
      <c r="G124" s="4">
        <v>0</v>
      </c>
      <c r="H124" s="14">
        <v>0</v>
      </c>
      <c r="I124" s="4">
        <v>17735.95</v>
      </c>
      <c r="J124" s="14">
        <v>8</v>
      </c>
      <c r="K124" s="4">
        <v>708.81</v>
      </c>
      <c r="L124" s="14">
        <v>1</v>
      </c>
      <c r="M124">
        <v>0</v>
      </c>
      <c r="N124" s="14">
        <v>0</v>
      </c>
      <c r="O124">
        <v>0</v>
      </c>
      <c r="P124" s="14">
        <v>0</v>
      </c>
      <c r="Q124">
        <v>0</v>
      </c>
      <c r="R124" s="14">
        <v>0</v>
      </c>
      <c r="S124" s="4">
        <v>8545.6099999999988</v>
      </c>
      <c r="T124" s="4">
        <v>2148.25</v>
      </c>
      <c r="U124" s="1">
        <v>168.84210526315789</v>
      </c>
      <c r="V124" s="14">
        <v>19</v>
      </c>
      <c r="W124" s="14">
        <v>6</v>
      </c>
      <c r="X124" s="14">
        <v>0</v>
      </c>
    </row>
    <row r="125" spans="1:24" x14ac:dyDescent="0.35">
      <c r="A125" t="s">
        <v>29</v>
      </c>
      <c r="B125" t="s">
        <v>38</v>
      </c>
      <c r="C125" s="16">
        <v>45748</v>
      </c>
      <c r="D125" t="s">
        <v>34</v>
      </c>
      <c r="E125">
        <v>8</v>
      </c>
      <c r="F125" t="s">
        <v>36</v>
      </c>
      <c r="G125" s="4">
        <v>16267.85</v>
      </c>
      <c r="H125" s="14">
        <v>2</v>
      </c>
      <c r="I125" s="4">
        <v>154371.85999999996</v>
      </c>
      <c r="J125" s="14">
        <v>35</v>
      </c>
      <c r="K125" s="4">
        <v>592280.14</v>
      </c>
      <c r="L125" s="14">
        <v>13</v>
      </c>
      <c r="M125">
        <v>0</v>
      </c>
      <c r="N125" s="14">
        <v>0</v>
      </c>
      <c r="O125">
        <v>0</v>
      </c>
      <c r="P125" s="14">
        <v>0</v>
      </c>
      <c r="Q125">
        <v>0</v>
      </c>
      <c r="R125" s="14">
        <v>0</v>
      </c>
      <c r="S125" s="4">
        <v>51699.3</v>
      </c>
      <c r="T125" s="4">
        <v>332240.81</v>
      </c>
      <c r="U125" s="1">
        <v>232.49180327868854</v>
      </c>
      <c r="V125" s="14">
        <v>61</v>
      </c>
      <c r="W125" s="14">
        <v>44</v>
      </c>
      <c r="X125" s="14">
        <v>0</v>
      </c>
    </row>
    <row r="126" spans="1:24" x14ac:dyDescent="0.35">
      <c r="A126" t="s">
        <v>29</v>
      </c>
      <c r="B126" t="s">
        <v>38</v>
      </c>
      <c r="C126" s="16">
        <v>45748</v>
      </c>
      <c r="D126" t="s">
        <v>34</v>
      </c>
      <c r="E126">
        <v>9</v>
      </c>
      <c r="F126" t="s">
        <v>35</v>
      </c>
      <c r="G126" s="4">
        <v>0</v>
      </c>
      <c r="H126" s="14">
        <v>0</v>
      </c>
      <c r="I126" s="4">
        <v>81490.600000000006</v>
      </c>
      <c r="J126" s="14">
        <v>5</v>
      </c>
      <c r="K126" s="4">
        <v>584.9</v>
      </c>
      <c r="L126" s="14">
        <v>1</v>
      </c>
      <c r="M126">
        <v>0</v>
      </c>
      <c r="N126" s="14">
        <v>0</v>
      </c>
      <c r="O126">
        <v>0</v>
      </c>
      <c r="P126" s="14">
        <v>0</v>
      </c>
      <c r="Q126">
        <v>0</v>
      </c>
      <c r="R126" s="14">
        <v>0</v>
      </c>
      <c r="S126" s="4">
        <v>2983.91</v>
      </c>
      <c r="T126" s="4">
        <v>7972.94</v>
      </c>
      <c r="U126" s="1">
        <v>368.16666666666669</v>
      </c>
      <c r="V126" s="14">
        <v>6</v>
      </c>
      <c r="W126" s="14">
        <v>5</v>
      </c>
      <c r="X126" s="14">
        <v>0</v>
      </c>
    </row>
    <row r="127" spans="1:24" x14ac:dyDescent="0.35">
      <c r="A127" t="s">
        <v>29</v>
      </c>
      <c r="B127" t="s">
        <v>38</v>
      </c>
      <c r="C127" s="16">
        <v>45748</v>
      </c>
      <c r="D127" t="s">
        <v>34</v>
      </c>
      <c r="E127">
        <v>9</v>
      </c>
      <c r="F127" t="s">
        <v>36</v>
      </c>
      <c r="G127" s="4">
        <v>379019.62</v>
      </c>
      <c r="H127" s="14">
        <v>3</v>
      </c>
      <c r="I127" s="4">
        <v>126833.36000000002</v>
      </c>
      <c r="J127" s="14">
        <v>17</v>
      </c>
      <c r="K127" s="4">
        <v>927486.12999999989</v>
      </c>
      <c r="L127" s="14">
        <v>17</v>
      </c>
      <c r="M127">
        <v>0</v>
      </c>
      <c r="N127" s="14">
        <v>0</v>
      </c>
      <c r="O127">
        <v>0</v>
      </c>
      <c r="P127" s="14">
        <v>0</v>
      </c>
      <c r="Q127">
        <v>0</v>
      </c>
      <c r="R127" s="14">
        <v>0</v>
      </c>
      <c r="S127" s="4">
        <v>133431.94</v>
      </c>
      <c r="T127" s="4">
        <v>0</v>
      </c>
      <c r="U127" s="1">
        <v>252.36842105263159</v>
      </c>
      <c r="V127" s="14">
        <v>38</v>
      </c>
      <c r="W127" s="14">
        <v>80</v>
      </c>
      <c r="X127" s="14">
        <v>0</v>
      </c>
    </row>
    <row r="128" spans="1:24" x14ac:dyDescent="0.35">
      <c r="A128" t="s">
        <v>29</v>
      </c>
      <c r="B128" t="s">
        <v>38</v>
      </c>
      <c r="C128" s="16">
        <v>45748</v>
      </c>
      <c r="D128" t="s">
        <v>34</v>
      </c>
      <c r="E128">
        <v>10</v>
      </c>
      <c r="F128" t="s">
        <v>35</v>
      </c>
      <c r="G128" s="4">
        <v>0</v>
      </c>
      <c r="H128" s="14">
        <v>0</v>
      </c>
      <c r="I128" s="4">
        <v>155324.16</v>
      </c>
      <c r="J128" s="14">
        <v>7</v>
      </c>
      <c r="K128" s="4">
        <v>0</v>
      </c>
      <c r="L128" s="14">
        <v>0</v>
      </c>
      <c r="M128">
        <v>0</v>
      </c>
      <c r="N128" s="14">
        <v>0</v>
      </c>
      <c r="O128">
        <v>0</v>
      </c>
      <c r="P128" s="14">
        <v>0</v>
      </c>
      <c r="Q128">
        <v>0</v>
      </c>
      <c r="R128" s="14">
        <v>0</v>
      </c>
      <c r="S128" s="4">
        <v>0</v>
      </c>
      <c r="T128" s="4">
        <v>0</v>
      </c>
      <c r="U128" s="1">
        <v>419.6</v>
      </c>
      <c r="V128" s="14">
        <v>10</v>
      </c>
      <c r="W128" s="14">
        <v>0</v>
      </c>
      <c r="X128" s="14">
        <v>0</v>
      </c>
    </row>
    <row r="129" spans="1:24" x14ac:dyDescent="0.35">
      <c r="A129" t="s">
        <v>29</v>
      </c>
      <c r="B129" t="s">
        <v>38</v>
      </c>
      <c r="C129" s="16">
        <v>45748</v>
      </c>
      <c r="D129" t="s">
        <v>34</v>
      </c>
      <c r="E129">
        <v>10</v>
      </c>
      <c r="F129" t="s">
        <v>36</v>
      </c>
      <c r="G129" s="4">
        <v>117662.91</v>
      </c>
      <c r="H129" s="14">
        <v>3</v>
      </c>
      <c r="I129" s="4">
        <v>402665.1100000001</v>
      </c>
      <c r="J129" s="14">
        <v>31</v>
      </c>
      <c r="K129" s="4">
        <v>3986032.59</v>
      </c>
      <c r="L129" s="14">
        <v>51</v>
      </c>
      <c r="M129">
        <v>0</v>
      </c>
      <c r="N129" s="14">
        <v>0</v>
      </c>
      <c r="O129">
        <v>0</v>
      </c>
      <c r="P129" s="14">
        <v>0</v>
      </c>
      <c r="Q129">
        <v>0</v>
      </c>
      <c r="R129" s="14">
        <v>0</v>
      </c>
      <c r="S129" s="4">
        <v>384702.79999999993</v>
      </c>
      <c r="T129" s="4">
        <v>1880983.6199999999</v>
      </c>
      <c r="U129" s="1">
        <v>348.42253521126759</v>
      </c>
      <c r="V129" s="14">
        <v>71</v>
      </c>
      <c r="W129" s="14">
        <v>61</v>
      </c>
      <c r="X129" s="14">
        <v>1</v>
      </c>
    </row>
    <row r="130" spans="1:24" x14ac:dyDescent="0.35">
      <c r="A130" t="s">
        <v>29</v>
      </c>
      <c r="B130" t="s">
        <v>38</v>
      </c>
      <c r="C130" s="16">
        <v>45748</v>
      </c>
      <c r="D130" t="s">
        <v>34</v>
      </c>
      <c r="E130">
        <v>13</v>
      </c>
      <c r="F130" t="s">
        <v>36</v>
      </c>
      <c r="G130" s="4">
        <v>0</v>
      </c>
      <c r="H130" s="14">
        <v>0</v>
      </c>
      <c r="I130" s="4">
        <v>9484.25</v>
      </c>
      <c r="J130" s="14">
        <v>2</v>
      </c>
      <c r="K130" s="4">
        <v>203180.44</v>
      </c>
      <c r="L130" s="14">
        <v>5</v>
      </c>
      <c r="M130">
        <v>0</v>
      </c>
      <c r="N130" s="14">
        <v>0</v>
      </c>
      <c r="O130">
        <v>0</v>
      </c>
      <c r="P130" s="14">
        <v>0</v>
      </c>
      <c r="Q130">
        <v>0</v>
      </c>
      <c r="R130" s="14">
        <v>0</v>
      </c>
      <c r="S130" s="4">
        <v>7752.93</v>
      </c>
      <c r="T130" s="4">
        <v>38200.21</v>
      </c>
      <c r="U130" s="1">
        <v>364.15384615384613</v>
      </c>
      <c r="V130" s="14">
        <v>13</v>
      </c>
      <c r="W130" s="14">
        <v>5</v>
      </c>
      <c r="X130" s="14">
        <v>0</v>
      </c>
    </row>
    <row r="131" spans="1:24" x14ac:dyDescent="0.35">
      <c r="A131" t="s">
        <v>29</v>
      </c>
      <c r="B131" t="s">
        <v>38</v>
      </c>
      <c r="C131" s="16">
        <v>45748</v>
      </c>
      <c r="D131" t="s">
        <v>34</v>
      </c>
      <c r="E131">
        <v>14</v>
      </c>
      <c r="F131" t="s">
        <v>35</v>
      </c>
      <c r="G131" s="4">
        <v>0</v>
      </c>
      <c r="H131" s="14">
        <v>0</v>
      </c>
      <c r="I131" s="4">
        <v>4034.52</v>
      </c>
      <c r="J131" s="14">
        <v>1</v>
      </c>
      <c r="K131" s="4">
        <v>0</v>
      </c>
      <c r="L131" s="14">
        <v>0</v>
      </c>
      <c r="M131">
        <v>0</v>
      </c>
      <c r="N131" s="14">
        <v>0</v>
      </c>
      <c r="O131">
        <v>0</v>
      </c>
      <c r="P131" s="14">
        <v>0</v>
      </c>
      <c r="Q131">
        <v>0</v>
      </c>
      <c r="R131" s="14">
        <v>0</v>
      </c>
      <c r="S131" s="4">
        <v>0</v>
      </c>
      <c r="T131" s="4">
        <v>0</v>
      </c>
      <c r="U131" s="1">
        <v>227</v>
      </c>
      <c r="V131" s="14">
        <v>1</v>
      </c>
      <c r="W131" s="14">
        <v>0</v>
      </c>
      <c r="X131" s="14">
        <v>0</v>
      </c>
    </row>
    <row r="132" spans="1:24" x14ac:dyDescent="0.35">
      <c r="A132" t="s">
        <v>29</v>
      </c>
      <c r="B132" t="s">
        <v>38</v>
      </c>
      <c r="C132" s="16">
        <v>45748</v>
      </c>
      <c r="D132" t="s">
        <v>34</v>
      </c>
      <c r="E132">
        <v>14</v>
      </c>
      <c r="F132" t="s">
        <v>36</v>
      </c>
      <c r="G132" s="4">
        <v>22019.23</v>
      </c>
      <c r="H132" s="14">
        <v>3</v>
      </c>
      <c r="I132" s="4">
        <v>98202.17</v>
      </c>
      <c r="J132" s="14">
        <v>12</v>
      </c>
      <c r="K132" s="4">
        <v>492550.04000000004</v>
      </c>
      <c r="L132" s="14">
        <v>6</v>
      </c>
      <c r="M132">
        <v>0</v>
      </c>
      <c r="N132" s="14">
        <v>0</v>
      </c>
      <c r="O132">
        <v>0</v>
      </c>
      <c r="P132" s="14">
        <v>0</v>
      </c>
      <c r="Q132">
        <v>0</v>
      </c>
      <c r="R132" s="14">
        <v>0</v>
      </c>
      <c r="S132" s="4">
        <v>19540.66</v>
      </c>
      <c r="T132" s="4">
        <v>9049.880000000001</v>
      </c>
      <c r="U132" s="1">
        <v>147.60869565217391</v>
      </c>
      <c r="V132" s="14">
        <v>23</v>
      </c>
      <c r="W132" s="14">
        <v>22</v>
      </c>
      <c r="X132" s="14">
        <v>0</v>
      </c>
    </row>
    <row r="133" spans="1:24" x14ac:dyDescent="0.35">
      <c r="A133" t="s">
        <v>29</v>
      </c>
      <c r="B133" t="s">
        <v>38</v>
      </c>
      <c r="C133" s="16">
        <v>45748</v>
      </c>
      <c r="D133" t="s">
        <v>34</v>
      </c>
      <c r="E133">
        <v>15</v>
      </c>
      <c r="F133" t="s">
        <v>36</v>
      </c>
      <c r="G133" s="4">
        <v>0</v>
      </c>
      <c r="H133" s="14">
        <v>0</v>
      </c>
      <c r="I133" s="4">
        <v>8234.76</v>
      </c>
      <c r="J133" s="14">
        <v>3</v>
      </c>
      <c r="K133" s="4">
        <v>0</v>
      </c>
      <c r="L133" s="14">
        <v>0</v>
      </c>
      <c r="M133">
        <v>0</v>
      </c>
      <c r="N133" s="14">
        <v>0</v>
      </c>
      <c r="O133">
        <v>0</v>
      </c>
      <c r="P133" s="14">
        <v>0</v>
      </c>
      <c r="Q133">
        <v>0</v>
      </c>
      <c r="R133" s="14">
        <v>0</v>
      </c>
      <c r="S133" s="4">
        <v>7592.9400000000005</v>
      </c>
      <c r="T133" s="4">
        <v>17358.75</v>
      </c>
      <c r="U133" s="1">
        <v>243.66666666666666</v>
      </c>
      <c r="V133" s="14">
        <v>9</v>
      </c>
      <c r="W133" s="14">
        <v>3</v>
      </c>
      <c r="X133" s="14">
        <v>0</v>
      </c>
    </row>
    <row r="134" spans="1:24" x14ac:dyDescent="0.35">
      <c r="A134" t="s">
        <v>29</v>
      </c>
      <c r="B134" t="s">
        <v>38</v>
      </c>
      <c r="C134" s="16">
        <v>45748</v>
      </c>
      <c r="D134" t="s">
        <v>34</v>
      </c>
      <c r="E134">
        <v>16</v>
      </c>
      <c r="F134" t="s">
        <v>36</v>
      </c>
      <c r="G134" s="4">
        <v>0</v>
      </c>
      <c r="H134" s="14">
        <v>0</v>
      </c>
      <c r="I134" s="4">
        <v>18949.809999999998</v>
      </c>
      <c r="J134" s="14">
        <v>7</v>
      </c>
      <c r="K134" s="4">
        <v>2500</v>
      </c>
      <c r="L134" s="14">
        <v>1</v>
      </c>
      <c r="M134">
        <v>0</v>
      </c>
      <c r="N134" s="14">
        <v>0</v>
      </c>
      <c r="O134">
        <v>0</v>
      </c>
      <c r="P134" s="14">
        <v>0</v>
      </c>
      <c r="Q134">
        <v>0</v>
      </c>
      <c r="R134" s="14">
        <v>0</v>
      </c>
      <c r="S134" s="4">
        <v>10639.96</v>
      </c>
      <c r="T134" s="4">
        <v>15885.77</v>
      </c>
      <c r="U134" s="1">
        <v>226.61538461538461</v>
      </c>
      <c r="V134" s="14">
        <v>13</v>
      </c>
      <c r="W134" s="14">
        <v>4</v>
      </c>
      <c r="X134" s="14">
        <v>0</v>
      </c>
    </row>
    <row r="135" spans="1:24" x14ac:dyDescent="0.35">
      <c r="A135" t="s">
        <v>29</v>
      </c>
      <c r="B135" t="s">
        <v>38</v>
      </c>
      <c r="C135" s="16">
        <v>45748</v>
      </c>
      <c r="D135" t="s">
        <v>37</v>
      </c>
      <c r="E135">
        <v>6</v>
      </c>
      <c r="F135" t="s">
        <v>32</v>
      </c>
      <c r="G135" s="4">
        <v>0</v>
      </c>
      <c r="H135" s="14">
        <v>0</v>
      </c>
      <c r="I135" s="4">
        <v>0</v>
      </c>
      <c r="J135" s="14">
        <v>0</v>
      </c>
      <c r="K135" s="4">
        <v>0</v>
      </c>
      <c r="L135" s="14">
        <v>0</v>
      </c>
      <c r="M135">
        <v>0</v>
      </c>
      <c r="N135" s="14">
        <v>0</v>
      </c>
      <c r="O135">
        <v>0</v>
      </c>
      <c r="P135" s="14">
        <v>0</v>
      </c>
      <c r="Q135">
        <v>0</v>
      </c>
      <c r="R135" s="14">
        <v>0</v>
      </c>
      <c r="S135" s="4">
        <v>0</v>
      </c>
      <c r="T135" s="4">
        <v>0</v>
      </c>
      <c r="V135" s="14">
        <v>0</v>
      </c>
      <c r="W135" s="14">
        <v>1</v>
      </c>
      <c r="X135" s="14">
        <v>0</v>
      </c>
    </row>
    <row r="136" spans="1:24" x14ac:dyDescent="0.35">
      <c r="A136" t="s">
        <v>29</v>
      </c>
      <c r="B136" t="s">
        <v>38</v>
      </c>
      <c r="C136" s="16">
        <v>45748</v>
      </c>
      <c r="D136" t="s">
        <v>37</v>
      </c>
      <c r="E136">
        <v>8</v>
      </c>
      <c r="F136" t="s">
        <v>32</v>
      </c>
      <c r="G136" s="4">
        <v>0</v>
      </c>
      <c r="H136" s="14">
        <v>0</v>
      </c>
      <c r="I136" s="4">
        <v>0</v>
      </c>
      <c r="J136" s="14">
        <v>0</v>
      </c>
      <c r="K136" s="4">
        <v>0</v>
      </c>
      <c r="L136" s="14">
        <v>0</v>
      </c>
      <c r="M136">
        <v>0</v>
      </c>
      <c r="N136" s="14">
        <v>0</v>
      </c>
      <c r="O136">
        <v>0</v>
      </c>
      <c r="P136" s="14">
        <v>0</v>
      </c>
      <c r="Q136">
        <v>0</v>
      </c>
      <c r="R136" s="14">
        <v>0</v>
      </c>
      <c r="S136" s="4">
        <v>0</v>
      </c>
      <c r="T136" s="4">
        <v>0</v>
      </c>
      <c r="V136" s="14">
        <v>0</v>
      </c>
      <c r="W136" s="14">
        <v>1</v>
      </c>
      <c r="X136" s="14">
        <v>0</v>
      </c>
    </row>
    <row r="137" spans="1:24" x14ac:dyDescent="0.35">
      <c r="A137" t="s">
        <v>29</v>
      </c>
      <c r="B137" t="s">
        <v>38</v>
      </c>
      <c r="C137" s="16">
        <v>45748</v>
      </c>
      <c r="D137" t="s">
        <v>37</v>
      </c>
      <c r="E137">
        <v>13</v>
      </c>
      <c r="F137" t="s">
        <v>32</v>
      </c>
      <c r="G137" s="4">
        <v>0</v>
      </c>
      <c r="H137" s="14">
        <v>0</v>
      </c>
      <c r="I137" s="4">
        <v>0</v>
      </c>
      <c r="J137" s="14">
        <v>0</v>
      </c>
      <c r="K137" s="4">
        <v>0</v>
      </c>
      <c r="L137" s="14">
        <v>0</v>
      </c>
      <c r="M137">
        <v>0</v>
      </c>
      <c r="N137" s="14">
        <v>0</v>
      </c>
      <c r="O137">
        <v>0</v>
      </c>
      <c r="P137" s="14">
        <v>0</v>
      </c>
      <c r="Q137">
        <v>0</v>
      </c>
      <c r="R137" s="14">
        <v>0</v>
      </c>
      <c r="S137" s="4">
        <v>0</v>
      </c>
      <c r="T137" s="4">
        <v>0</v>
      </c>
      <c r="V137" s="14">
        <v>0</v>
      </c>
      <c r="W137" s="14">
        <v>1</v>
      </c>
      <c r="X137" s="14">
        <v>0</v>
      </c>
    </row>
    <row r="138" spans="1:24" x14ac:dyDescent="0.35">
      <c r="A138" t="s">
        <v>29</v>
      </c>
      <c r="B138" t="s">
        <v>38</v>
      </c>
      <c r="C138" s="16">
        <v>45778</v>
      </c>
      <c r="D138" t="s">
        <v>31</v>
      </c>
      <c r="E138">
        <v>9</v>
      </c>
      <c r="F138" t="s">
        <v>32</v>
      </c>
      <c r="G138" s="4">
        <v>0</v>
      </c>
      <c r="H138" s="14">
        <v>0</v>
      </c>
      <c r="I138" s="4">
        <v>59761.01</v>
      </c>
      <c r="J138" s="14">
        <v>1</v>
      </c>
      <c r="K138" s="4">
        <v>0</v>
      </c>
      <c r="L138" s="14">
        <v>0</v>
      </c>
      <c r="M138">
        <v>0</v>
      </c>
      <c r="N138" s="14">
        <v>0</v>
      </c>
      <c r="O138">
        <v>0</v>
      </c>
      <c r="P138" s="14">
        <v>0</v>
      </c>
      <c r="Q138">
        <v>0</v>
      </c>
      <c r="R138" s="14">
        <v>0</v>
      </c>
      <c r="S138" s="4">
        <v>0</v>
      </c>
      <c r="T138" s="4">
        <v>0</v>
      </c>
      <c r="U138" s="1">
        <v>544</v>
      </c>
      <c r="V138" s="14">
        <v>1</v>
      </c>
      <c r="W138" s="14">
        <v>0</v>
      </c>
      <c r="X138" s="14">
        <v>0</v>
      </c>
    </row>
    <row r="139" spans="1:24" x14ac:dyDescent="0.35">
      <c r="A139" t="s">
        <v>29</v>
      </c>
      <c r="B139" t="s">
        <v>38</v>
      </c>
      <c r="C139" s="16">
        <v>45778</v>
      </c>
      <c r="D139" t="s">
        <v>31</v>
      </c>
      <c r="E139">
        <v>10</v>
      </c>
      <c r="F139" t="s">
        <v>32</v>
      </c>
      <c r="G139" s="4">
        <v>0</v>
      </c>
      <c r="H139" s="14">
        <v>0</v>
      </c>
      <c r="I139" s="4">
        <v>0</v>
      </c>
      <c r="J139" s="14">
        <v>0</v>
      </c>
      <c r="K139" s="4">
        <v>0</v>
      </c>
      <c r="L139" s="14">
        <v>0</v>
      </c>
      <c r="M139">
        <v>0</v>
      </c>
      <c r="N139" s="14">
        <v>0</v>
      </c>
      <c r="O139">
        <v>0</v>
      </c>
      <c r="P139" s="14">
        <v>0</v>
      </c>
      <c r="Q139">
        <v>0</v>
      </c>
      <c r="R139" s="14">
        <v>0</v>
      </c>
      <c r="S139" s="4">
        <v>0</v>
      </c>
      <c r="T139" s="4">
        <v>0</v>
      </c>
      <c r="V139" s="14">
        <v>0</v>
      </c>
      <c r="W139" s="14">
        <v>2</v>
      </c>
      <c r="X139" s="14">
        <v>0</v>
      </c>
    </row>
    <row r="140" spans="1:24" x14ac:dyDescent="0.35">
      <c r="A140" t="s">
        <v>29</v>
      </c>
      <c r="B140" t="s">
        <v>38</v>
      </c>
      <c r="C140" s="16">
        <v>45778</v>
      </c>
      <c r="D140" t="s">
        <v>31</v>
      </c>
      <c r="E140">
        <v>13</v>
      </c>
      <c r="F140" t="s">
        <v>32</v>
      </c>
      <c r="G140" s="4">
        <v>0</v>
      </c>
      <c r="H140" s="14">
        <v>0</v>
      </c>
      <c r="I140" s="4">
        <v>0</v>
      </c>
      <c r="J140" s="14">
        <v>0</v>
      </c>
      <c r="K140" s="4">
        <v>2936.48</v>
      </c>
      <c r="L140" s="14">
        <v>1</v>
      </c>
      <c r="M140">
        <v>0</v>
      </c>
      <c r="N140" s="14">
        <v>0</v>
      </c>
      <c r="O140">
        <v>0</v>
      </c>
      <c r="P140" s="14">
        <v>0</v>
      </c>
      <c r="Q140">
        <v>0</v>
      </c>
      <c r="R140" s="14">
        <v>0</v>
      </c>
      <c r="S140" s="4">
        <v>0</v>
      </c>
      <c r="T140" s="4">
        <v>0</v>
      </c>
      <c r="V140" s="14">
        <v>0</v>
      </c>
      <c r="W140" s="14">
        <v>1</v>
      </c>
      <c r="X140" s="14">
        <v>0</v>
      </c>
    </row>
    <row r="141" spans="1:24" x14ac:dyDescent="0.35">
      <c r="A141" t="s">
        <v>29</v>
      </c>
      <c r="B141" t="s">
        <v>38</v>
      </c>
      <c r="C141" s="16">
        <v>45778</v>
      </c>
      <c r="D141" t="s">
        <v>31</v>
      </c>
      <c r="E141">
        <v>15</v>
      </c>
      <c r="F141" t="s">
        <v>32</v>
      </c>
      <c r="G141" s="4">
        <v>0</v>
      </c>
      <c r="H141" s="14">
        <v>0</v>
      </c>
      <c r="I141" s="4">
        <v>0</v>
      </c>
      <c r="J141" s="14">
        <v>0</v>
      </c>
      <c r="K141" s="4">
        <v>0</v>
      </c>
      <c r="L141" s="14">
        <v>0</v>
      </c>
      <c r="M141">
        <v>0</v>
      </c>
      <c r="N141" s="14">
        <v>0</v>
      </c>
      <c r="O141">
        <v>0</v>
      </c>
      <c r="P141" s="14">
        <v>0</v>
      </c>
      <c r="Q141">
        <v>0</v>
      </c>
      <c r="R141" s="14">
        <v>0</v>
      </c>
      <c r="S141" s="4">
        <v>0</v>
      </c>
      <c r="T141" s="4">
        <v>0</v>
      </c>
      <c r="V141" s="14">
        <v>0</v>
      </c>
      <c r="W141" s="14">
        <v>1</v>
      </c>
      <c r="X141" s="14">
        <v>0</v>
      </c>
    </row>
    <row r="142" spans="1:24" x14ac:dyDescent="0.35">
      <c r="A142" t="s">
        <v>29</v>
      </c>
      <c r="B142" t="s">
        <v>38</v>
      </c>
      <c r="C142" s="16">
        <v>45778</v>
      </c>
      <c r="D142" t="s">
        <v>33</v>
      </c>
      <c r="E142">
        <v>6</v>
      </c>
      <c r="F142" t="s">
        <v>32</v>
      </c>
      <c r="G142" s="4">
        <v>6705.94</v>
      </c>
      <c r="H142" s="14">
        <v>1</v>
      </c>
      <c r="I142" s="4">
        <v>1007377.74</v>
      </c>
      <c r="J142" s="14">
        <v>10</v>
      </c>
      <c r="K142" s="4">
        <v>19023.599999999999</v>
      </c>
      <c r="L142" s="14">
        <v>6</v>
      </c>
      <c r="M142">
        <v>0</v>
      </c>
      <c r="N142" s="14">
        <v>0</v>
      </c>
      <c r="O142">
        <v>0</v>
      </c>
      <c r="P142" s="14">
        <v>0</v>
      </c>
      <c r="Q142">
        <v>0</v>
      </c>
      <c r="R142" s="14">
        <v>0</v>
      </c>
      <c r="S142" s="4">
        <v>793135.5</v>
      </c>
      <c r="T142" s="4">
        <v>40563.269999999997</v>
      </c>
      <c r="U142" s="1">
        <v>262.69230769230768</v>
      </c>
      <c r="V142" s="14">
        <v>13</v>
      </c>
      <c r="W142" s="14">
        <v>14</v>
      </c>
      <c r="X142" s="14">
        <v>0</v>
      </c>
    </row>
    <row r="143" spans="1:24" x14ac:dyDescent="0.35">
      <c r="A143" t="s">
        <v>29</v>
      </c>
      <c r="B143" t="s">
        <v>38</v>
      </c>
      <c r="C143" s="16">
        <v>45778</v>
      </c>
      <c r="D143" t="s">
        <v>33</v>
      </c>
      <c r="E143">
        <v>8</v>
      </c>
      <c r="F143" t="s">
        <v>32</v>
      </c>
      <c r="G143" s="4">
        <v>2226.36</v>
      </c>
      <c r="H143" s="14">
        <v>1</v>
      </c>
      <c r="I143" s="4">
        <v>158792.03</v>
      </c>
      <c r="J143" s="14">
        <v>12</v>
      </c>
      <c r="K143" s="4">
        <v>111157.03</v>
      </c>
      <c r="L143" s="14">
        <v>7</v>
      </c>
      <c r="M143">
        <v>0</v>
      </c>
      <c r="N143" s="14">
        <v>0</v>
      </c>
      <c r="O143">
        <v>0</v>
      </c>
      <c r="P143" s="14">
        <v>0</v>
      </c>
      <c r="Q143">
        <v>0</v>
      </c>
      <c r="R143" s="14">
        <v>0</v>
      </c>
      <c r="S143" s="4">
        <v>17745.53</v>
      </c>
      <c r="T143" s="4">
        <v>0</v>
      </c>
      <c r="U143" s="1">
        <v>482.28571428571428</v>
      </c>
      <c r="V143" s="14">
        <v>14</v>
      </c>
      <c r="W143" s="14">
        <v>31</v>
      </c>
      <c r="X143" s="14">
        <v>0</v>
      </c>
    </row>
    <row r="144" spans="1:24" x14ac:dyDescent="0.35">
      <c r="A144" t="s">
        <v>29</v>
      </c>
      <c r="B144" t="s">
        <v>38</v>
      </c>
      <c r="C144" s="16">
        <v>45778</v>
      </c>
      <c r="D144" t="s">
        <v>33</v>
      </c>
      <c r="E144">
        <v>9</v>
      </c>
      <c r="F144" t="s">
        <v>32</v>
      </c>
      <c r="G144" s="4">
        <v>0</v>
      </c>
      <c r="H144" s="14">
        <v>0</v>
      </c>
      <c r="I144" s="4">
        <v>574932.29</v>
      </c>
      <c r="J144" s="14">
        <v>10</v>
      </c>
      <c r="K144" s="4">
        <v>44308.44</v>
      </c>
      <c r="L144" s="14">
        <v>13</v>
      </c>
      <c r="M144">
        <v>0</v>
      </c>
      <c r="N144" s="14">
        <v>0</v>
      </c>
      <c r="O144">
        <v>0</v>
      </c>
      <c r="P144" s="14">
        <v>0</v>
      </c>
      <c r="Q144">
        <v>0</v>
      </c>
      <c r="R144" s="14">
        <v>0</v>
      </c>
      <c r="S144" s="4">
        <v>93199.1</v>
      </c>
      <c r="T144" s="4">
        <v>0</v>
      </c>
      <c r="U144" s="1">
        <v>583</v>
      </c>
      <c r="V144" s="14">
        <v>12</v>
      </c>
      <c r="W144" s="14">
        <v>16</v>
      </c>
      <c r="X144" s="14">
        <v>0</v>
      </c>
    </row>
    <row r="145" spans="1:24" x14ac:dyDescent="0.35">
      <c r="A145" t="s">
        <v>29</v>
      </c>
      <c r="B145" t="s">
        <v>38</v>
      </c>
      <c r="C145" s="16">
        <v>45778</v>
      </c>
      <c r="D145" t="s">
        <v>33</v>
      </c>
      <c r="E145">
        <v>10</v>
      </c>
      <c r="F145" t="s">
        <v>32</v>
      </c>
      <c r="G145" s="4">
        <v>229944.94999999998</v>
      </c>
      <c r="H145" s="14">
        <v>5</v>
      </c>
      <c r="I145" s="4">
        <v>161146.69999999998</v>
      </c>
      <c r="J145" s="14">
        <v>10</v>
      </c>
      <c r="K145" s="4">
        <v>101539.62000000001</v>
      </c>
      <c r="L145" s="14">
        <v>7</v>
      </c>
      <c r="M145">
        <v>0</v>
      </c>
      <c r="N145" s="14">
        <v>0</v>
      </c>
      <c r="O145">
        <v>0</v>
      </c>
      <c r="P145" s="14">
        <v>0</v>
      </c>
      <c r="Q145">
        <v>0</v>
      </c>
      <c r="R145" s="14">
        <v>0</v>
      </c>
      <c r="S145" s="4">
        <v>154789.72999999998</v>
      </c>
      <c r="T145" s="4">
        <v>86927.1</v>
      </c>
      <c r="U145" s="1">
        <v>516</v>
      </c>
      <c r="V145" s="14">
        <v>24</v>
      </c>
      <c r="W145" s="14">
        <v>27</v>
      </c>
      <c r="X145" s="14">
        <v>0</v>
      </c>
    </row>
    <row r="146" spans="1:24" x14ac:dyDescent="0.35">
      <c r="A146" t="s">
        <v>29</v>
      </c>
      <c r="B146" t="s">
        <v>38</v>
      </c>
      <c r="C146" s="16">
        <v>45778</v>
      </c>
      <c r="D146" t="s">
        <v>33</v>
      </c>
      <c r="E146">
        <v>13</v>
      </c>
      <c r="F146" t="s">
        <v>32</v>
      </c>
      <c r="G146" s="4">
        <v>0</v>
      </c>
      <c r="H146" s="14">
        <v>0</v>
      </c>
      <c r="I146" s="4">
        <v>7701.3600000000006</v>
      </c>
      <c r="J146" s="14">
        <v>2</v>
      </c>
      <c r="K146" s="4">
        <v>2885.0600000000004</v>
      </c>
      <c r="L146" s="14">
        <v>2</v>
      </c>
      <c r="M146">
        <v>0</v>
      </c>
      <c r="N146" s="14">
        <v>0</v>
      </c>
      <c r="O146">
        <v>0</v>
      </c>
      <c r="P146" s="14">
        <v>0</v>
      </c>
      <c r="Q146">
        <v>0</v>
      </c>
      <c r="R146" s="14">
        <v>0</v>
      </c>
      <c r="S146" s="4">
        <v>0</v>
      </c>
      <c r="T146" s="4">
        <v>0</v>
      </c>
      <c r="U146" s="1">
        <v>611</v>
      </c>
      <c r="V146" s="14">
        <v>2</v>
      </c>
      <c r="W146" s="14">
        <v>0</v>
      </c>
      <c r="X146" s="14">
        <v>0</v>
      </c>
    </row>
    <row r="147" spans="1:24" x14ac:dyDescent="0.35">
      <c r="A147" t="s">
        <v>29</v>
      </c>
      <c r="B147" t="s">
        <v>38</v>
      </c>
      <c r="C147" s="16">
        <v>45778</v>
      </c>
      <c r="D147" t="s">
        <v>33</v>
      </c>
      <c r="E147">
        <v>14</v>
      </c>
      <c r="F147" t="s">
        <v>32</v>
      </c>
      <c r="G147" s="4">
        <v>0</v>
      </c>
      <c r="H147" s="14">
        <v>0</v>
      </c>
      <c r="I147" s="4">
        <v>127686.25</v>
      </c>
      <c r="J147" s="14">
        <v>7</v>
      </c>
      <c r="K147" s="4">
        <v>8929.65</v>
      </c>
      <c r="L147" s="14">
        <v>3</v>
      </c>
      <c r="M147">
        <v>0</v>
      </c>
      <c r="N147" s="14">
        <v>0</v>
      </c>
      <c r="O147">
        <v>0</v>
      </c>
      <c r="P147" s="14">
        <v>0</v>
      </c>
      <c r="Q147">
        <v>0</v>
      </c>
      <c r="R147" s="14">
        <v>0</v>
      </c>
      <c r="S147" s="4">
        <v>22885.85</v>
      </c>
      <c r="T147" s="4">
        <v>0</v>
      </c>
      <c r="U147" s="1">
        <v>349.18181818181819</v>
      </c>
      <c r="V147" s="14">
        <v>11</v>
      </c>
      <c r="W147" s="14">
        <v>5</v>
      </c>
      <c r="X147" s="14">
        <v>0</v>
      </c>
    </row>
    <row r="148" spans="1:24" x14ac:dyDescent="0.35">
      <c r="A148" t="s">
        <v>29</v>
      </c>
      <c r="B148" t="s">
        <v>38</v>
      </c>
      <c r="C148" s="16">
        <v>45778</v>
      </c>
      <c r="D148" t="s">
        <v>33</v>
      </c>
      <c r="E148">
        <v>15</v>
      </c>
      <c r="F148" t="s">
        <v>32</v>
      </c>
      <c r="G148" s="4">
        <v>0</v>
      </c>
      <c r="H148" s="14">
        <v>0</v>
      </c>
      <c r="I148" s="4">
        <v>0</v>
      </c>
      <c r="J148" s="14">
        <v>0</v>
      </c>
      <c r="K148" s="4">
        <v>19616.810000000001</v>
      </c>
      <c r="L148" s="14">
        <v>1</v>
      </c>
      <c r="M148">
        <v>0</v>
      </c>
      <c r="N148" s="14">
        <v>0</v>
      </c>
      <c r="O148">
        <v>0</v>
      </c>
      <c r="P148" s="14">
        <v>0</v>
      </c>
      <c r="Q148">
        <v>0</v>
      </c>
      <c r="R148" s="14">
        <v>0</v>
      </c>
      <c r="S148" s="4">
        <v>66553.990000000005</v>
      </c>
      <c r="T148" s="4">
        <v>37594.04</v>
      </c>
      <c r="U148" s="1">
        <v>52</v>
      </c>
      <c r="V148" s="14">
        <v>1</v>
      </c>
      <c r="W148" s="14">
        <v>0</v>
      </c>
      <c r="X148" s="14">
        <v>0</v>
      </c>
    </row>
    <row r="149" spans="1:24" x14ac:dyDescent="0.35">
      <c r="A149" t="s">
        <v>29</v>
      </c>
      <c r="B149" t="s">
        <v>38</v>
      </c>
      <c r="C149" s="16">
        <v>45778</v>
      </c>
      <c r="D149" t="s">
        <v>33</v>
      </c>
      <c r="E149">
        <v>16</v>
      </c>
      <c r="F149" t="s">
        <v>32</v>
      </c>
      <c r="G149" s="4">
        <v>0</v>
      </c>
      <c r="H149" s="14">
        <v>0</v>
      </c>
      <c r="I149" s="4">
        <v>0</v>
      </c>
      <c r="J149" s="14">
        <v>0</v>
      </c>
      <c r="K149" s="4">
        <v>0</v>
      </c>
      <c r="L149" s="14">
        <v>0</v>
      </c>
      <c r="M149">
        <v>0</v>
      </c>
      <c r="N149" s="14">
        <v>0</v>
      </c>
      <c r="O149">
        <v>0</v>
      </c>
      <c r="P149" s="14">
        <v>0</v>
      </c>
      <c r="Q149">
        <v>0</v>
      </c>
      <c r="R149" s="14">
        <v>0</v>
      </c>
      <c r="S149" s="4">
        <v>0</v>
      </c>
      <c r="T149" s="4">
        <v>0</v>
      </c>
      <c r="U149" s="1">
        <v>291</v>
      </c>
      <c r="V149" s="14">
        <v>1</v>
      </c>
      <c r="W149" s="14">
        <v>4</v>
      </c>
      <c r="X149" s="14">
        <v>0</v>
      </c>
    </row>
    <row r="150" spans="1:24" x14ac:dyDescent="0.35">
      <c r="A150" t="s">
        <v>29</v>
      </c>
      <c r="B150" t="s">
        <v>38</v>
      </c>
      <c r="C150" s="16">
        <v>45778</v>
      </c>
      <c r="D150" t="s">
        <v>34</v>
      </c>
      <c r="E150">
        <v>6</v>
      </c>
      <c r="F150" t="s">
        <v>35</v>
      </c>
      <c r="G150" s="4">
        <v>328.14</v>
      </c>
      <c r="H150" s="14">
        <v>1</v>
      </c>
      <c r="I150" s="4">
        <v>113519.56</v>
      </c>
      <c r="J150" s="14">
        <v>7</v>
      </c>
      <c r="K150" s="4">
        <v>106.84</v>
      </c>
      <c r="L150" s="14">
        <v>1</v>
      </c>
      <c r="M150">
        <v>0</v>
      </c>
      <c r="N150" s="14">
        <v>0</v>
      </c>
      <c r="O150">
        <v>0</v>
      </c>
      <c r="P150" s="14">
        <v>0</v>
      </c>
      <c r="Q150">
        <v>0</v>
      </c>
      <c r="R150" s="14">
        <v>0</v>
      </c>
      <c r="S150" s="4">
        <v>16272.99</v>
      </c>
      <c r="T150" s="4">
        <v>0</v>
      </c>
      <c r="U150" s="1">
        <v>289.25</v>
      </c>
      <c r="V150" s="14">
        <v>8</v>
      </c>
      <c r="W150" s="14">
        <v>2</v>
      </c>
      <c r="X150" s="14">
        <v>0</v>
      </c>
    </row>
    <row r="151" spans="1:24" x14ac:dyDescent="0.35">
      <c r="A151" t="s">
        <v>29</v>
      </c>
      <c r="B151" t="s">
        <v>38</v>
      </c>
      <c r="C151" s="16">
        <v>45778</v>
      </c>
      <c r="D151" t="s">
        <v>34</v>
      </c>
      <c r="E151">
        <v>6</v>
      </c>
      <c r="F151" t="s">
        <v>36</v>
      </c>
      <c r="G151" s="4">
        <v>9774.66</v>
      </c>
      <c r="H151" s="14">
        <v>3</v>
      </c>
      <c r="I151" s="4">
        <v>150478.60999999996</v>
      </c>
      <c r="J151" s="14">
        <v>29</v>
      </c>
      <c r="K151" s="4">
        <v>52841.239999999991</v>
      </c>
      <c r="L151" s="14">
        <v>9</v>
      </c>
      <c r="M151">
        <v>0</v>
      </c>
      <c r="N151" s="14">
        <v>0</v>
      </c>
      <c r="O151">
        <v>0</v>
      </c>
      <c r="P151" s="14">
        <v>0</v>
      </c>
      <c r="Q151">
        <v>0</v>
      </c>
      <c r="R151" s="14">
        <v>0</v>
      </c>
      <c r="S151" s="4">
        <v>152190.62000000002</v>
      </c>
      <c r="T151" s="4">
        <v>139145.18</v>
      </c>
      <c r="U151" s="1">
        <v>234.7962962962963</v>
      </c>
      <c r="V151" s="14">
        <v>54</v>
      </c>
      <c r="W151" s="14">
        <v>56</v>
      </c>
      <c r="X151" s="14">
        <v>0</v>
      </c>
    </row>
    <row r="152" spans="1:24" x14ac:dyDescent="0.35">
      <c r="A152" t="s">
        <v>29</v>
      </c>
      <c r="B152" t="s">
        <v>38</v>
      </c>
      <c r="C152" s="16">
        <v>45778</v>
      </c>
      <c r="D152" t="s">
        <v>34</v>
      </c>
      <c r="E152">
        <v>8</v>
      </c>
      <c r="F152" t="s">
        <v>35</v>
      </c>
      <c r="G152" s="4">
        <v>0</v>
      </c>
      <c r="H152" s="14">
        <v>0</v>
      </c>
      <c r="I152" s="4">
        <v>41723.82</v>
      </c>
      <c r="J152" s="14">
        <v>4</v>
      </c>
      <c r="K152" s="4">
        <v>1518.36</v>
      </c>
      <c r="L152" s="14">
        <v>1</v>
      </c>
      <c r="M152">
        <v>0</v>
      </c>
      <c r="N152" s="14">
        <v>0</v>
      </c>
      <c r="O152">
        <v>0</v>
      </c>
      <c r="P152" s="14">
        <v>0</v>
      </c>
      <c r="Q152">
        <v>0</v>
      </c>
      <c r="R152" s="14">
        <v>0</v>
      </c>
      <c r="S152" s="4">
        <v>4605.79</v>
      </c>
      <c r="T152" s="4">
        <v>0</v>
      </c>
      <c r="U152" s="1">
        <v>141.72727272727272</v>
      </c>
      <c r="V152" s="14">
        <v>11</v>
      </c>
      <c r="W152" s="14">
        <v>12</v>
      </c>
      <c r="X152" s="14">
        <v>0</v>
      </c>
    </row>
    <row r="153" spans="1:24" x14ac:dyDescent="0.35">
      <c r="A153" t="s">
        <v>29</v>
      </c>
      <c r="B153" t="s">
        <v>38</v>
      </c>
      <c r="C153" s="16">
        <v>45778</v>
      </c>
      <c r="D153" t="s">
        <v>34</v>
      </c>
      <c r="E153">
        <v>8</v>
      </c>
      <c r="F153" t="s">
        <v>36</v>
      </c>
      <c r="G153" s="4">
        <v>0</v>
      </c>
      <c r="H153" s="14">
        <v>0</v>
      </c>
      <c r="I153" s="4">
        <v>28862.199999999997</v>
      </c>
      <c r="J153" s="14">
        <v>9</v>
      </c>
      <c r="K153" s="4">
        <v>290776.28000000003</v>
      </c>
      <c r="L153" s="14">
        <v>7</v>
      </c>
      <c r="M153">
        <v>0</v>
      </c>
      <c r="N153" s="14">
        <v>0</v>
      </c>
      <c r="O153">
        <v>0</v>
      </c>
      <c r="P153" s="14">
        <v>0</v>
      </c>
      <c r="Q153">
        <v>0</v>
      </c>
      <c r="R153" s="14">
        <v>0</v>
      </c>
      <c r="S153" s="4">
        <v>131453.58000000002</v>
      </c>
      <c r="T153" s="4">
        <v>682726.78</v>
      </c>
      <c r="U153" s="1">
        <v>137.26315789473685</v>
      </c>
      <c r="V153" s="14">
        <v>38</v>
      </c>
      <c r="W153" s="14">
        <v>44</v>
      </c>
      <c r="X153" s="14">
        <v>0</v>
      </c>
    </row>
    <row r="154" spans="1:24" x14ac:dyDescent="0.35">
      <c r="A154" t="s">
        <v>29</v>
      </c>
      <c r="B154" t="s">
        <v>38</v>
      </c>
      <c r="C154" s="16">
        <v>45778</v>
      </c>
      <c r="D154" t="s">
        <v>34</v>
      </c>
      <c r="E154">
        <v>9</v>
      </c>
      <c r="F154" t="s">
        <v>35</v>
      </c>
      <c r="G154" s="4">
        <v>0</v>
      </c>
      <c r="H154" s="14">
        <v>0</v>
      </c>
      <c r="I154" s="4">
        <v>66458.17</v>
      </c>
      <c r="J154" s="14">
        <v>4</v>
      </c>
      <c r="K154" s="4">
        <v>0</v>
      </c>
      <c r="L154" s="14">
        <v>0</v>
      </c>
      <c r="M154">
        <v>0</v>
      </c>
      <c r="N154" s="14">
        <v>0</v>
      </c>
      <c r="O154">
        <v>0</v>
      </c>
      <c r="P154" s="14">
        <v>0</v>
      </c>
      <c r="Q154">
        <v>0</v>
      </c>
      <c r="R154" s="14">
        <v>0</v>
      </c>
      <c r="S154" s="4">
        <v>37037.680000000008</v>
      </c>
      <c r="T154" s="4">
        <v>51466.229999999996</v>
      </c>
      <c r="U154" s="1">
        <v>207.11111111111111</v>
      </c>
      <c r="V154" s="14">
        <v>9</v>
      </c>
      <c r="W154" s="14">
        <v>1</v>
      </c>
      <c r="X154" s="14">
        <v>0</v>
      </c>
    </row>
    <row r="155" spans="1:24" x14ac:dyDescent="0.35">
      <c r="A155" t="s">
        <v>29</v>
      </c>
      <c r="B155" t="s">
        <v>38</v>
      </c>
      <c r="C155" s="16">
        <v>45778</v>
      </c>
      <c r="D155" t="s">
        <v>34</v>
      </c>
      <c r="E155">
        <v>9</v>
      </c>
      <c r="F155" t="s">
        <v>36</v>
      </c>
      <c r="G155" s="4">
        <v>58020.02</v>
      </c>
      <c r="H155" s="14">
        <v>3</v>
      </c>
      <c r="I155" s="4">
        <v>111159.11000000002</v>
      </c>
      <c r="J155" s="14">
        <v>24</v>
      </c>
      <c r="K155" s="4">
        <v>291488.15000000002</v>
      </c>
      <c r="L155" s="14">
        <v>3</v>
      </c>
      <c r="M155">
        <v>0</v>
      </c>
      <c r="N155" s="14">
        <v>0</v>
      </c>
      <c r="O155">
        <v>0</v>
      </c>
      <c r="P155" s="14">
        <v>0</v>
      </c>
      <c r="Q155">
        <v>0</v>
      </c>
      <c r="R155" s="14">
        <v>0</v>
      </c>
      <c r="S155" s="4">
        <v>160071.44</v>
      </c>
      <c r="T155" s="4">
        <v>70291.960000000006</v>
      </c>
      <c r="U155" s="1">
        <v>268.81632653061223</v>
      </c>
      <c r="V155" s="14">
        <v>49</v>
      </c>
      <c r="W155" s="14">
        <v>63</v>
      </c>
      <c r="X155" s="14">
        <v>0</v>
      </c>
    </row>
    <row r="156" spans="1:24" x14ac:dyDescent="0.35">
      <c r="A156" t="s">
        <v>29</v>
      </c>
      <c r="B156" t="s">
        <v>38</v>
      </c>
      <c r="C156" s="16">
        <v>45778</v>
      </c>
      <c r="D156" t="s">
        <v>34</v>
      </c>
      <c r="E156">
        <v>10</v>
      </c>
      <c r="F156" t="s">
        <v>35</v>
      </c>
      <c r="G156" s="4">
        <v>0</v>
      </c>
      <c r="H156" s="14">
        <v>0</v>
      </c>
      <c r="I156" s="4">
        <v>17583.03</v>
      </c>
      <c r="J156" s="14">
        <v>2</v>
      </c>
      <c r="K156" s="4">
        <v>1688.81</v>
      </c>
      <c r="L156" s="14">
        <v>1</v>
      </c>
      <c r="M156">
        <v>0</v>
      </c>
      <c r="N156" s="14">
        <v>0</v>
      </c>
      <c r="O156">
        <v>0</v>
      </c>
      <c r="P156" s="14">
        <v>0</v>
      </c>
      <c r="Q156">
        <v>0</v>
      </c>
      <c r="R156" s="14">
        <v>0</v>
      </c>
      <c r="S156" s="4">
        <v>0</v>
      </c>
      <c r="T156" s="4">
        <v>0</v>
      </c>
      <c r="U156" s="1">
        <v>320.33333333333331</v>
      </c>
      <c r="V156" s="14">
        <v>3</v>
      </c>
      <c r="W156" s="14">
        <v>0</v>
      </c>
      <c r="X156" s="14">
        <v>0</v>
      </c>
    </row>
    <row r="157" spans="1:24" x14ac:dyDescent="0.35">
      <c r="A157" t="s">
        <v>29</v>
      </c>
      <c r="B157" t="s">
        <v>38</v>
      </c>
      <c r="C157" s="16">
        <v>45778</v>
      </c>
      <c r="D157" t="s">
        <v>34</v>
      </c>
      <c r="E157">
        <v>10</v>
      </c>
      <c r="F157" t="s">
        <v>36</v>
      </c>
      <c r="G157" s="4">
        <v>187734.03</v>
      </c>
      <c r="H157" s="14">
        <v>3</v>
      </c>
      <c r="I157" s="4">
        <v>108205.83</v>
      </c>
      <c r="J157" s="14">
        <v>18</v>
      </c>
      <c r="K157" s="4">
        <v>2350682.9000000004</v>
      </c>
      <c r="L157" s="14">
        <v>28</v>
      </c>
      <c r="M157">
        <v>0</v>
      </c>
      <c r="N157" s="14">
        <v>0</v>
      </c>
      <c r="O157">
        <v>0</v>
      </c>
      <c r="P157" s="14">
        <v>0</v>
      </c>
      <c r="Q157">
        <v>0</v>
      </c>
      <c r="R157" s="14">
        <v>0</v>
      </c>
      <c r="S157" s="4">
        <v>183753.44</v>
      </c>
      <c r="T157" s="4">
        <v>1045401.84</v>
      </c>
      <c r="U157" s="1">
        <v>311.86</v>
      </c>
      <c r="V157" s="14">
        <v>51</v>
      </c>
      <c r="W157" s="14">
        <v>44</v>
      </c>
      <c r="X157" s="14">
        <v>0</v>
      </c>
    </row>
    <row r="158" spans="1:24" x14ac:dyDescent="0.35">
      <c r="A158" t="s">
        <v>29</v>
      </c>
      <c r="B158" t="s">
        <v>38</v>
      </c>
      <c r="C158" s="16">
        <v>45778</v>
      </c>
      <c r="D158" t="s">
        <v>34</v>
      </c>
      <c r="E158">
        <v>13</v>
      </c>
      <c r="F158" t="s">
        <v>36</v>
      </c>
      <c r="G158" s="4">
        <v>0</v>
      </c>
      <c r="H158" s="14">
        <v>0</v>
      </c>
      <c r="I158" s="4">
        <v>1877.23</v>
      </c>
      <c r="J158" s="14">
        <v>1</v>
      </c>
      <c r="K158" s="4">
        <v>4546.37</v>
      </c>
      <c r="L158" s="14">
        <v>2</v>
      </c>
      <c r="M158">
        <v>0</v>
      </c>
      <c r="N158" s="14">
        <v>0</v>
      </c>
      <c r="O158">
        <v>0</v>
      </c>
      <c r="P158" s="14">
        <v>0</v>
      </c>
      <c r="Q158">
        <v>0</v>
      </c>
      <c r="R158" s="14">
        <v>0</v>
      </c>
      <c r="S158" s="4">
        <v>10952.98</v>
      </c>
      <c r="T158" s="4">
        <v>12054.93</v>
      </c>
      <c r="U158" s="1">
        <v>150.5</v>
      </c>
      <c r="V158" s="14">
        <v>4</v>
      </c>
      <c r="W158" s="14">
        <v>5</v>
      </c>
      <c r="X158" s="14">
        <v>0</v>
      </c>
    </row>
    <row r="159" spans="1:24" x14ac:dyDescent="0.35">
      <c r="A159" t="s">
        <v>29</v>
      </c>
      <c r="B159" t="s">
        <v>38</v>
      </c>
      <c r="C159" s="16">
        <v>45778</v>
      </c>
      <c r="D159" t="s">
        <v>34</v>
      </c>
      <c r="E159">
        <v>14</v>
      </c>
      <c r="F159" t="s">
        <v>35</v>
      </c>
      <c r="G159" s="4">
        <v>0</v>
      </c>
      <c r="H159" s="14">
        <v>0</v>
      </c>
      <c r="I159" s="4">
        <v>0</v>
      </c>
      <c r="J159" s="14">
        <v>0</v>
      </c>
      <c r="K159" s="4">
        <v>0</v>
      </c>
      <c r="L159" s="14">
        <v>0</v>
      </c>
      <c r="M159">
        <v>0</v>
      </c>
      <c r="N159" s="14">
        <v>0</v>
      </c>
      <c r="O159">
        <v>0</v>
      </c>
      <c r="P159" s="14">
        <v>0</v>
      </c>
      <c r="Q159">
        <v>0</v>
      </c>
      <c r="R159" s="14">
        <v>0</v>
      </c>
      <c r="S159" s="4">
        <v>0</v>
      </c>
      <c r="T159" s="4">
        <v>0</v>
      </c>
      <c r="V159" s="14">
        <v>0</v>
      </c>
      <c r="W159" s="14">
        <v>1</v>
      </c>
      <c r="X159" s="14">
        <v>0</v>
      </c>
    </row>
    <row r="160" spans="1:24" x14ac:dyDescent="0.35">
      <c r="A160" t="s">
        <v>29</v>
      </c>
      <c r="B160" t="s">
        <v>38</v>
      </c>
      <c r="C160" s="16">
        <v>45778</v>
      </c>
      <c r="D160" t="s">
        <v>34</v>
      </c>
      <c r="E160">
        <v>14</v>
      </c>
      <c r="F160" t="s">
        <v>36</v>
      </c>
      <c r="G160" s="4">
        <v>50268.44999999999</v>
      </c>
      <c r="H160" s="14">
        <v>4</v>
      </c>
      <c r="I160" s="4">
        <v>69430.63</v>
      </c>
      <c r="J160" s="14">
        <v>12</v>
      </c>
      <c r="K160" s="4">
        <v>156263.9</v>
      </c>
      <c r="L160" s="14">
        <v>5</v>
      </c>
      <c r="M160">
        <v>0</v>
      </c>
      <c r="N160" s="14">
        <v>0</v>
      </c>
      <c r="O160">
        <v>0</v>
      </c>
      <c r="P160" s="14">
        <v>0</v>
      </c>
      <c r="Q160">
        <v>0</v>
      </c>
      <c r="R160" s="14">
        <v>0</v>
      </c>
      <c r="S160" s="4">
        <v>111817.41000000002</v>
      </c>
      <c r="T160" s="4">
        <v>1025610.78</v>
      </c>
      <c r="U160" s="1">
        <v>320.53571428571428</v>
      </c>
      <c r="V160" s="14">
        <v>28</v>
      </c>
      <c r="W160" s="14">
        <v>22</v>
      </c>
      <c r="X160" s="14">
        <v>0</v>
      </c>
    </row>
    <row r="161" spans="1:24" x14ac:dyDescent="0.35">
      <c r="A161" t="s">
        <v>29</v>
      </c>
      <c r="B161" t="s">
        <v>38</v>
      </c>
      <c r="C161" s="16">
        <v>45778</v>
      </c>
      <c r="D161" t="s">
        <v>34</v>
      </c>
      <c r="E161">
        <v>15</v>
      </c>
      <c r="F161" t="s">
        <v>35</v>
      </c>
      <c r="G161" s="4">
        <v>0</v>
      </c>
      <c r="H161" s="14">
        <v>0</v>
      </c>
      <c r="I161" s="4">
        <v>4393.9799999999996</v>
      </c>
      <c r="J161" s="14">
        <v>2</v>
      </c>
      <c r="K161" s="4">
        <v>0</v>
      </c>
      <c r="L161" s="14">
        <v>0</v>
      </c>
      <c r="M161">
        <v>0</v>
      </c>
      <c r="N161" s="14">
        <v>0</v>
      </c>
      <c r="O161">
        <v>0</v>
      </c>
      <c r="P161" s="14">
        <v>0</v>
      </c>
      <c r="Q161">
        <v>0</v>
      </c>
      <c r="R161" s="14">
        <v>0</v>
      </c>
      <c r="S161" s="4">
        <v>0</v>
      </c>
      <c r="T161" s="4">
        <v>0</v>
      </c>
      <c r="U161" s="1">
        <v>816</v>
      </c>
      <c r="V161" s="14">
        <v>2</v>
      </c>
      <c r="W161" s="14">
        <v>1</v>
      </c>
      <c r="X161" s="14">
        <v>0</v>
      </c>
    </row>
    <row r="162" spans="1:24" x14ac:dyDescent="0.35">
      <c r="A162" t="s">
        <v>29</v>
      </c>
      <c r="B162" t="s">
        <v>38</v>
      </c>
      <c r="C162" s="16">
        <v>45778</v>
      </c>
      <c r="D162" t="s">
        <v>34</v>
      </c>
      <c r="E162">
        <v>15</v>
      </c>
      <c r="F162" t="s">
        <v>36</v>
      </c>
      <c r="G162" s="4">
        <v>9600.5300000000007</v>
      </c>
      <c r="H162" s="14">
        <v>1</v>
      </c>
      <c r="I162" s="4">
        <v>9231.99</v>
      </c>
      <c r="J162" s="14">
        <v>2</v>
      </c>
      <c r="K162" s="4">
        <v>0</v>
      </c>
      <c r="L162" s="14">
        <v>0</v>
      </c>
      <c r="M162">
        <v>0</v>
      </c>
      <c r="N162" s="14">
        <v>0</v>
      </c>
      <c r="O162">
        <v>0</v>
      </c>
      <c r="P162" s="14">
        <v>0</v>
      </c>
      <c r="Q162">
        <v>0</v>
      </c>
      <c r="R162" s="14">
        <v>0</v>
      </c>
      <c r="S162" s="4">
        <v>260614.91</v>
      </c>
      <c r="T162" s="4">
        <v>666882.72</v>
      </c>
      <c r="U162" s="1">
        <v>205.21428571428572</v>
      </c>
      <c r="V162" s="14">
        <v>14</v>
      </c>
      <c r="W162" s="14">
        <v>3</v>
      </c>
      <c r="X162" s="14">
        <v>0</v>
      </c>
    </row>
    <row r="163" spans="1:24" x14ac:dyDescent="0.35">
      <c r="A163" t="s">
        <v>29</v>
      </c>
      <c r="B163" t="s">
        <v>38</v>
      </c>
      <c r="C163" s="16">
        <v>45778</v>
      </c>
      <c r="D163" t="s">
        <v>34</v>
      </c>
      <c r="E163">
        <v>16</v>
      </c>
      <c r="F163" t="s">
        <v>35</v>
      </c>
      <c r="G163" s="4">
        <v>0</v>
      </c>
      <c r="H163" s="14">
        <v>0</v>
      </c>
      <c r="I163" s="4">
        <v>2275.8200000000002</v>
      </c>
      <c r="J163" s="14">
        <v>1</v>
      </c>
      <c r="K163" s="4">
        <v>0</v>
      </c>
      <c r="L163" s="14">
        <v>0</v>
      </c>
      <c r="M163">
        <v>0</v>
      </c>
      <c r="N163" s="14">
        <v>0</v>
      </c>
      <c r="O163">
        <v>0</v>
      </c>
      <c r="P163" s="14">
        <v>0</v>
      </c>
      <c r="Q163">
        <v>0</v>
      </c>
      <c r="R163" s="14">
        <v>0</v>
      </c>
      <c r="S163" s="4">
        <v>0</v>
      </c>
      <c r="T163" s="4">
        <v>0</v>
      </c>
      <c r="U163" s="1">
        <v>326</v>
      </c>
      <c r="V163" s="14">
        <v>1</v>
      </c>
      <c r="W163" s="14">
        <v>0</v>
      </c>
      <c r="X163" s="14">
        <v>0</v>
      </c>
    </row>
    <row r="164" spans="1:24" x14ac:dyDescent="0.35">
      <c r="A164" t="s">
        <v>29</v>
      </c>
      <c r="B164" t="s">
        <v>38</v>
      </c>
      <c r="C164" s="16">
        <v>45778</v>
      </c>
      <c r="D164" t="s">
        <v>34</v>
      </c>
      <c r="E164">
        <v>16</v>
      </c>
      <c r="F164" t="s">
        <v>36</v>
      </c>
      <c r="G164" s="4">
        <v>11444.82</v>
      </c>
      <c r="H164" s="14">
        <v>2</v>
      </c>
      <c r="I164" s="4">
        <v>19290.34</v>
      </c>
      <c r="J164" s="14">
        <v>3</v>
      </c>
      <c r="K164" s="4">
        <v>0</v>
      </c>
      <c r="L164" s="14">
        <v>0</v>
      </c>
      <c r="M164">
        <v>0</v>
      </c>
      <c r="N164" s="14">
        <v>0</v>
      </c>
      <c r="O164">
        <v>0</v>
      </c>
      <c r="P164" s="14">
        <v>0</v>
      </c>
      <c r="Q164">
        <v>0</v>
      </c>
      <c r="R164" s="14">
        <v>0</v>
      </c>
      <c r="S164" s="4">
        <v>7613.96</v>
      </c>
      <c r="T164" s="4">
        <v>0</v>
      </c>
      <c r="U164" s="1">
        <v>140.33333333333334</v>
      </c>
      <c r="V164" s="14">
        <v>6</v>
      </c>
      <c r="W164" s="14">
        <v>7</v>
      </c>
      <c r="X164" s="14">
        <v>0</v>
      </c>
    </row>
    <row r="165" spans="1:24" x14ac:dyDescent="0.35">
      <c r="A165" t="s">
        <v>29</v>
      </c>
      <c r="B165" t="s">
        <v>38</v>
      </c>
      <c r="C165" s="16">
        <v>45778</v>
      </c>
      <c r="D165" t="s">
        <v>37</v>
      </c>
      <c r="E165">
        <v>8</v>
      </c>
      <c r="F165" t="s">
        <v>32</v>
      </c>
      <c r="G165" s="4">
        <v>0</v>
      </c>
      <c r="H165" s="14">
        <v>0</v>
      </c>
      <c r="I165" s="4">
        <v>0</v>
      </c>
      <c r="J165" s="14">
        <v>0</v>
      </c>
      <c r="K165" s="4">
        <v>0</v>
      </c>
      <c r="L165" s="14">
        <v>0</v>
      </c>
      <c r="M165">
        <v>0</v>
      </c>
      <c r="N165" s="14">
        <v>0</v>
      </c>
      <c r="O165">
        <v>0</v>
      </c>
      <c r="P165" s="14">
        <v>0</v>
      </c>
      <c r="Q165">
        <v>0</v>
      </c>
      <c r="R165" s="14">
        <v>0</v>
      </c>
      <c r="S165" s="4">
        <v>0</v>
      </c>
      <c r="T165" s="4">
        <v>0</v>
      </c>
      <c r="V165" s="14">
        <v>0</v>
      </c>
      <c r="W165" s="14">
        <v>1</v>
      </c>
      <c r="X165" s="14">
        <v>0</v>
      </c>
    </row>
    <row r="166" spans="1:24" x14ac:dyDescent="0.35">
      <c r="A166" t="s">
        <v>29</v>
      </c>
      <c r="B166" t="s">
        <v>38</v>
      </c>
      <c r="C166" s="16">
        <v>45778</v>
      </c>
      <c r="D166" t="s">
        <v>37</v>
      </c>
      <c r="E166">
        <v>9</v>
      </c>
      <c r="F166" t="s">
        <v>32</v>
      </c>
      <c r="G166" s="4">
        <v>0</v>
      </c>
      <c r="H166" s="14">
        <v>0</v>
      </c>
      <c r="I166" s="4">
        <v>0</v>
      </c>
      <c r="J166" s="14">
        <v>0</v>
      </c>
      <c r="K166" s="4">
        <v>0</v>
      </c>
      <c r="L166" s="14">
        <v>0</v>
      </c>
      <c r="M166">
        <v>0</v>
      </c>
      <c r="N166" s="14">
        <v>0</v>
      </c>
      <c r="O166">
        <v>0</v>
      </c>
      <c r="P166" s="14">
        <v>0</v>
      </c>
      <c r="Q166">
        <v>0</v>
      </c>
      <c r="R166" s="14">
        <v>0</v>
      </c>
      <c r="S166" s="4">
        <v>0</v>
      </c>
      <c r="T166" s="4">
        <v>0</v>
      </c>
      <c r="V166" s="14">
        <v>0</v>
      </c>
      <c r="W166" s="14">
        <v>1</v>
      </c>
      <c r="X166" s="14">
        <v>0</v>
      </c>
    </row>
    <row r="167" spans="1:24" x14ac:dyDescent="0.35">
      <c r="A167" t="s">
        <v>29</v>
      </c>
      <c r="B167" t="s">
        <v>38</v>
      </c>
      <c r="C167" s="16">
        <v>45809</v>
      </c>
      <c r="D167" t="s">
        <v>31</v>
      </c>
      <c r="E167">
        <v>9</v>
      </c>
      <c r="F167" t="s">
        <v>32</v>
      </c>
      <c r="G167" s="4">
        <v>0</v>
      </c>
      <c r="H167" s="14">
        <v>0</v>
      </c>
      <c r="I167" s="4">
        <v>0</v>
      </c>
      <c r="J167" s="14">
        <v>0</v>
      </c>
      <c r="K167" s="4">
        <v>0</v>
      </c>
      <c r="L167" s="14">
        <v>0</v>
      </c>
      <c r="M167">
        <v>0</v>
      </c>
      <c r="N167" s="14">
        <v>0</v>
      </c>
      <c r="O167">
        <v>0</v>
      </c>
      <c r="P167" s="14">
        <v>0</v>
      </c>
      <c r="Q167">
        <v>0</v>
      </c>
      <c r="R167" s="14">
        <v>0</v>
      </c>
      <c r="S167" s="4">
        <v>0</v>
      </c>
      <c r="T167" s="4">
        <v>0</v>
      </c>
      <c r="V167" s="14">
        <v>0</v>
      </c>
      <c r="W167" s="14">
        <v>1</v>
      </c>
      <c r="X167" s="14">
        <v>0</v>
      </c>
    </row>
    <row r="168" spans="1:24" x14ac:dyDescent="0.35">
      <c r="A168" t="s">
        <v>29</v>
      </c>
      <c r="B168" t="s">
        <v>38</v>
      </c>
      <c r="C168" s="16">
        <v>45809</v>
      </c>
      <c r="D168" t="s">
        <v>31</v>
      </c>
      <c r="E168">
        <v>10</v>
      </c>
      <c r="F168" t="s">
        <v>32</v>
      </c>
      <c r="G168" s="4">
        <v>0</v>
      </c>
      <c r="H168" s="14">
        <v>0</v>
      </c>
      <c r="I168" s="4">
        <v>0</v>
      </c>
      <c r="J168" s="14">
        <v>0</v>
      </c>
      <c r="K168" s="4">
        <v>0</v>
      </c>
      <c r="L168" s="14">
        <v>0</v>
      </c>
      <c r="M168">
        <v>0</v>
      </c>
      <c r="N168" s="14">
        <v>0</v>
      </c>
      <c r="O168">
        <v>0</v>
      </c>
      <c r="P168" s="14">
        <v>0</v>
      </c>
      <c r="Q168">
        <v>0</v>
      </c>
      <c r="R168" s="14">
        <v>0</v>
      </c>
      <c r="S168" s="4">
        <v>0</v>
      </c>
      <c r="T168" s="4">
        <v>0</v>
      </c>
      <c r="V168" s="14">
        <v>0</v>
      </c>
      <c r="W168" s="14">
        <v>1</v>
      </c>
      <c r="X168" s="14">
        <v>0</v>
      </c>
    </row>
    <row r="169" spans="1:24" x14ac:dyDescent="0.35">
      <c r="A169" t="s">
        <v>29</v>
      </c>
      <c r="B169" t="s">
        <v>38</v>
      </c>
      <c r="C169" s="16">
        <v>45809</v>
      </c>
      <c r="D169" t="s">
        <v>31</v>
      </c>
      <c r="E169">
        <v>13</v>
      </c>
      <c r="F169" t="s">
        <v>32</v>
      </c>
      <c r="G169" s="4">
        <v>0</v>
      </c>
      <c r="H169" s="14">
        <v>0</v>
      </c>
      <c r="I169" s="4">
        <v>0</v>
      </c>
      <c r="J169" s="14">
        <v>0</v>
      </c>
      <c r="K169" s="4">
        <v>58.58</v>
      </c>
      <c r="L169" s="14">
        <v>1</v>
      </c>
      <c r="M169">
        <v>0</v>
      </c>
      <c r="N169" s="14">
        <v>0</v>
      </c>
      <c r="O169">
        <v>0</v>
      </c>
      <c r="P169" s="14">
        <v>0</v>
      </c>
      <c r="Q169">
        <v>0</v>
      </c>
      <c r="R169" s="14">
        <v>0</v>
      </c>
      <c r="S169" s="4">
        <v>0</v>
      </c>
      <c r="T169" s="4">
        <v>0</v>
      </c>
      <c r="V169" s="14">
        <v>0</v>
      </c>
      <c r="W169" s="14">
        <v>4</v>
      </c>
      <c r="X169" s="14">
        <v>0</v>
      </c>
    </row>
    <row r="170" spans="1:24" x14ac:dyDescent="0.35">
      <c r="A170" t="s">
        <v>29</v>
      </c>
      <c r="B170" t="s">
        <v>38</v>
      </c>
      <c r="C170" s="16">
        <v>45809</v>
      </c>
      <c r="D170" t="s">
        <v>31</v>
      </c>
      <c r="E170">
        <v>14</v>
      </c>
      <c r="F170" t="s">
        <v>32</v>
      </c>
      <c r="G170" s="4">
        <v>0</v>
      </c>
      <c r="H170" s="14">
        <v>0</v>
      </c>
      <c r="I170" s="4">
        <v>0</v>
      </c>
      <c r="J170" s="14">
        <v>0</v>
      </c>
      <c r="K170" s="4">
        <v>0</v>
      </c>
      <c r="L170" s="14">
        <v>0</v>
      </c>
      <c r="M170">
        <v>0</v>
      </c>
      <c r="N170" s="14">
        <v>0</v>
      </c>
      <c r="O170">
        <v>0</v>
      </c>
      <c r="P170" s="14">
        <v>0</v>
      </c>
      <c r="Q170">
        <v>0</v>
      </c>
      <c r="R170" s="14">
        <v>0</v>
      </c>
      <c r="S170" s="4">
        <v>0</v>
      </c>
      <c r="T170" s="4">
        <v>0</v>
      </c>
      <c r="U170" s="1">
        <v>966</v>
      </c>
      <c r="V170" s="14">
        <v>1</v>
      </c>
      <c r="W170" s="14">
        <v>0</v>
      </c>
      <c r="X170" s="14">
        <v>0</v>
      </c>
    </row>
    <row r="171" spans="1:24" x14ac:dyDescent="0.35">
      <c r="A171" t="s">
        <v>29</v>
      </c>
      <c r="B171" t="s">
        <v>38</v>
      </c>
      <c r="C171" s="16">
        <v>45809</v>
      </c>
      <c r="D171" t="s">
        <v>31</v>
      </c>
      <c r="E171">
        <v>15</v>
      </c>
      <c r="F171" t="s">
        <v>32</v>
      </c>
      <c r="G171" s="4">
        <v>0</v>
      </c>
      <c r="H171" s="14">
        <v>0</v>
      </c>
      <c r="I171" s="4">
        <v>0</v>
      </c>
      <c r="J171" s="14">
        <v>0</v>
      </c>
      <c r="K171" s="4">
        <v>0</v>
      </c>
      <c r="L171" s="14">
        <v>0</v>
      </c>
      <c r="M171">
        <v>0</v>
      </c>
      <c r="N171" s="14">
        <v>0</v>
      </c>
      <c r="O171">
        <v>0</v>
      </c>
      <c r="P171" s="14">
        <v>0</v>
      </c>
      <c r="Q171">
        <v>0</v>
      </c>
      <c r="R171" s="14">
        <v>0</v>
      </c>
      <c r="S171" s="4">
        <v>0</v>
      </c>
      <c r="T171" s="4">
        <v>0</v>
      </c>
      <c r="V171" s="14">
        <v>0</v>
      </c>
      <c r="W171" s="14">
        <v>1</v>
      </c>
      <c r="X171" s="14">
        <v>0</v>
      </c>
    </row>
    <row r="172" spans="1:24" x14ac:dyDescent="0.35">
      <c r="A172" t="s">
        <v>29</v>
      </c>
      <c r="B172" t="s">
        <v>38</v>
      </c>
      <c r="C172" s="16">
        <v>45809</v>
      </c>
      <c r="D172" t="s">
        <v>31</v>
      </c>
      <c r="E172">
        <v>16</v>
      </c>
      <c r="F172" t="s">
        <v>32</v>
      </c>
      <c r="G172" s="4">
        <v>0</v>
      </c>
      <c r="H172" s="14">
        <v>0</v>
      </c>
      <c r="I172" s="4">
        <v>0</v>
      </c>
      <c r="J172" s="14">
        <v>0</v>
      </c>
      <c r="K172" s="4">
        <v>0</v>
      </c>
      <c r="L172" s="14">
        <v>0</v>
      </c>
      <c r="M172">
        <v>0</v>
      </c>
      <c r="N172" s="14">
        <v>0</v>
      </c>
      <c r="O172">
        <v>0</v>
      </c>
      <c r="P172" s="14">
        <v>0</v>
      </c>
      <c r="Q172">
        <v>0</v>
      </c>
      <c r="R172" s="14">
        <v>0</v>
      </c>
      <c r="S172" s="4">
        <v>0</v>
      </c>
      <c r="T172" s="4">
        <v>0</v>
      </c>
      <c r="V172" s="14">
        <v>0</v>
      </c>
      <c r="W172" s="14">
        <v>1</v>
      </c>
      <c r="X172" s="14">
        <v>0</v>
      </c>
    </row>
    <row r="173" spans="1:24" x14ac:dyDescent="0.35">
      <c r="A173" t="s">
        <v>29</v>
      </c>
      <c r="B173" t="s">
        <v>38</v>
      </c>
      <c r="C173" s="16">
        <v>45809</v>
      </c>
      <c r="D173" t="s">
        <v>33</v>
      </c>
      <c r="E173">
        <v>6</v>
      </c>
      <c r="F173" t="s">
        <v>32</v>
      </c>
      <c r="G173" s="4">
        <v>504.39</v>
      </c>
      <c r="H173" s="14">
        <v>1</v>
      </c>
      <c r="I173" s="4">
        <v>481067.69000000006</v>
      </c>
      <c r="J173" s="14">
        <v>9</v>
      </c>
      <c r="K173" s="4">
        <v>32760.82</v>
      </c>
      <c r="L173" s="14">
        <v>3</v>
      </c>
      <c r="M173">
        <v>0</v>
      </c>
      <c r="N173" s="14">
        <v>0</v>
      </c>
      <c r="O173">
        <v>0</v>
      </c>
      <c r="P173" s="14">
        <v>0</v>
      </c>
      <c r="Q173">
        <v>0</v>
      </c>
      <c r="R173" s="14">
        <v>0</v>
      </c>
      <c r="S173" s="4">
        <v>33067.630000000005</v>
      </c>
      <c r="T173" s="4">
        <v>2210.0100000000002</v>
      </c>
      <c r="U173" s="1">
        <v>273.16666666666669</v>
      </c>
      <c r="V173" s="14">
        <v>12</v>
      </c>
      <c r="W173" s="14">
        <v>14</v>
      </c>
      <c r="X173" s="14">
        <v>0</v>
      </c>
    </row>
    <row r="174" spans="1:24" x14ac:dyDescent="0.35">
      <c r="A174" t="s">
        <v>29</v>
      </c>
      <c r="B174" t="s">
        <v>38</v>
      </c>
      <c r="C174" s="16">
        <v>45809</v>
      </c>
      <c r="D174" t="s">
        <v>33</v>
      </c>
      <c r="E174">
        <v>8</v>
      </c>
      <c r="F174" t="s">
        <v>32</v>
      </c>
      <c r="G174" s="4">
        <v>0</v>
      </c>
      <c r="H174" s="14">
        <v>0</v>
      </c>
      <c r="I174" s="4">
        <v>249709.06</v>
      </c>
      <c r="J174" s="14">
        <v>18</v>
      </c>
      <c r="K174" s="4">
        <v>76926.78</v>
      </c>
      <c r="L174" s="14">
        <v>5</v>
      </c>
      <c r="M174">
        <v>0</v>
      </c>
      <c r="N174" s="14">
        <v>0</v>
      </c>
      <c r="O174">
        <v>0</v>
      </c>
      <c r="P174" s="14">
        <v>0</v>
      </c>
      <c r="Q174">
        <v>0</v>
      </c>
      <c r="R174" s="14">
        <v>0</v>
      </c>
      <c r="S174" s="4">
        <v>55709.720000000008</v>
      </c>
      <c r="T174" s="4">
        <v>1370.43</v>
      </c>
      <c r="U174" s="1">
        <v>395.3478260869565</v>
      </c>
      <c r="V174" s="14">
        <v>23</v>
      </c>
      <c r="W174" s="14">
        <v>26</v>
      </c>
      <c r="X174" s="14">
        <v>0</v>
      </c>
    </row>
    <row r="175" spans="1:24" x14ac:dyDescent="0.35">
      <c r="A175" t="s">
        <v>29</v>
      </c>
      <c r="B175" t="s">
        <v>38</v>
      </c>
      <c r="C175" s="16">
        <v>45809</v>
      </c>
      <c r="D175" t="s">
        <v>33</v>
      </c>
      <c r="E175">
        <v>9</v>
      </c>
      <c r="F175" t="s">
        <v>32</v>
      </c>
      <c r="G175" s="4">
        <v>155339.71</v>
      </c>
      <c r="H175" s="14">
        <v>4</v>
      </c>
      <c r="I175" s="4">
        <v>282433.07</v>
      </c>
      <c r="J175" s="14">
        <v>9</v>
      </c>
      <c r="K175" s="4">
        <v>67951.960000000006</v>
      </c>
      <c r="L175" s="14">
        <v>9</v>
      </c>
      <c r="M175">
        <v>0</v>
      </c>
      <c r="N175" s="14">
        <v>0</v>
      </c>
      <c r="O175">
        <v>0</v>
      </c>
      <c r="P175" s="14">
        <v>0</v>
      </c>
      <c r="Q175">
        <v>0</v>
      </c>
      <c r="R175" s="14">
        <v>0</v>
      </c>
      <c r="S175" s="4">
        <v>189864.41</v>
      </c>
      <c r="T175" s="4">
        <v>88498.37000000001</v>
      </c>
      <c r="U175" s="1">
        <v>483.125</v>
      </c>
      <c r="V175" s="14">
        <v>16</v>
      </c>
      <c r="W175" s="14">
        <v>17</v>
      </c>
      <c r="X175" s="14">
        <v>0</v>
      </c>
    </row>
    <row r="176" spans="1:24" x14ac:dyDescent="0.35">
      <c r="A176" t="s">
        <v>29</v>
      </c>
      <c r="B176" t="s">
        <v>38</v>
      </c>
      <c r="C176" s="16">
        <v>45809</v>
      </c>
      <c r="D176" t="s">
        <v>33</v>
      </c>
      <c r="E176">
        <v>10</v>
      </c>
      <c r="F176" t="s">
        <v>32</v>
      </c>
      <c r="G176" s="4">
        <v>123213.75999999999</v>
      </c>
      <c r="H176" s="14">
        <v>4</v>
      </c>
      <c r="I176" s="4">
        <v>400596.32000000007</v>
      </c>
      <c r="J176" s="14">
        <v>12</v>
      </c>
      <c r="K176" s="4">
        <v>309200.67000000004</v>
      </c>
      <c r="L176" s="14">
        <v>8</v>
      </c>
      <c r="M176">
        <v>0</v>
      </c>
      <c r="N176" s="14">
        <v>0</v>
      </c>
      <c r="O176">
        <v>0</v>
      </c>
      <c r="P176" s="14">
        <v>0</v>
      </c>
      <c r="Q176">
        <v>0</v>
      </c>
      <c r="R176" s="14">
        <v>0</v>
      </c>
      <c r="S176" s="4">
        <v>160943.5</v>
      </c>
      <c r="T176" s="4">
        <v>93249.99</v>
      </c>
      <c r="U176" s="1">
        <v>329.76190476190476</v>
      </c>
      <c r="V176" s="14">
        <v>21</v>
      </c>
      <c r="W176" s="14">
        <v>35</v>
      </c>
      <c r="X176" s="14">
        <v>1</v>
      </c>
    </row>
    <row r="177" spans="1:24" x14ac:dyDescent="0.35">
      <c r="A177" t="s">
        <v>29</v>
      </c>
      <c r="B177" t="s">
        <v>38</v>
      </c>
      <c r="C177" s="16">
        <v>45809</v>
      </c>
      <c r="D177" t="s">
        <v>33</v>
      </c>
      <c r="E177">
        <v>13</v>
      </c>
      <c r="F177" t="s">
        <v>32</v>
      </c>
      <c r="G177" s="4">
        <v>0</v>
      </c>
      <c r="H177" s="14">
        <v>0</v>
      </c>
      <c r="I177" s="4">
        <v>192192.44</v>
      </c>
      <c r="J177" s="14">
        <v>7</v>
      </c>
      <c r="K177" s="4">
        <v>5853.58</v>
      </c>
      <c r="L177" s="14">
        <v>1</v>
      </c>
      <c r="M177">
        <v>0</v>
      </c>
      <c r="N177" s="14">
        <v>0</v>
      </c>
      <c r="O177">
        <v>0</v>
      </c>
      <c r="P177" s="14">
        <v>0</v>
      </c>
      <c r="Q177">
        <v>0</v>
      </c>
      <c r="R177" s="14">
        <v>0</v>
      </c>
      <c r="S177" s="4">
        <v>14766.54</v>
      </c>
      <c r="T177" s="4">
        <v>65703.899999999994</v>
      </c>
      <c r="U177" s="1">
        <v>522.75</v>
      </c>
      <c r="V177" s="14">
        <v>8</v>
      </c>
      <c r="W177" s="14">
        <v>4</v>
      </c>
      <c r="X177" s="14">
        <v>0</v>
      </c>
    </row>
    <row r="178" spans="1:24" x14ac:dyDescent="0.35">
      <c r="A178" t="s">
        <v>29</v>
      </c>
      <c r="B178" t="s">
        <v>38</v>
      </c>
      <c r="C178" s="16">
        <v>45809</v>
      </c>
      <c r="D178" t="s">
        <v>33</v>
      </c>
      <c r="E178">
        <v>14</v>
      </c>
      <c r="F178" t="s">
        <v>32</v>
      </c>
      <c r="G178" s="4">
        <v>0</v>
      </c>
      <c r="H178" s="14">
        <v>0</v>
      </c>
      <c r="I178" s="4">
        <v>789713.73</v>
      </c>
      <c r="J178" s="14">
        <v>1</v>
      </c>
      <c r="K178" s="4">
        <v>13882.25</v>
      </c>
      <c r="L178" s="14">
        <v>4</v>
      </c>
      <c r="M178">
        <v>0</v>
      </c>
      <c r="N178" s="14">
        <v>0</v>
      </c>
      <c r="O178">
        <v>0</v>
      </c>
      <c r="P178" s="14">
        <v>0</v>
      </c>
      <c r="Q178">
        <v>0</v>
      </c>
      <c r="R178" s="14">
        <v>0</v>
      </c>
      <c r="S178" s="4">
        <v>67563.88</v>
      </c>
      <c r="T178" s="4">
        <v>46544.639999999999</v>
      </c>
      <c r="U178" s="1">
        <v>249.5</v>
      </c>
      <c r="V178" s="14">
        <v>2</v>
      </c>
      <c r="W178" s="14">
        <v>10</v>
      </c>
      <c r="X178" s="14">
        <v>0</v>
      </c>
    </row>
    <row r="179" spans="1:24" x14ac:dyDescent="0.35">
      <c r="A179" t="s">
        <v>29</v>
      </c>
      <c r="B179" t="s">
        <v>38</v>
      </c>
      <c r="C179" s="16">
        <v>45809</v>
      </c>
      <c r="D179" t="s">
        <v>33</v>
      </c>
      <c r="E179">
        <v>15</v>
      </c>
      <c r="F179" t="s">
        <v>32</v>
      </c>
      <c r="G179" s="4">
        <v>0</v>
      </c>
      <c r="H179" s="14">
        <v>0</v>
      </c>
      <c r="I179" s="4">
        <v>331371.78000000003</v>
      </c>
      <c r="J179" s="14">
        <v>1</v>
      </c>
      <c r="K179" s="4">
        <v>0</v>
      </c>
      <c r="L179" s="14">
        <v>0</v>
      </c>
      <c r="M179">
        <v>0</v>
      </c>
      <c r="N179" s="14">
        <v>0</v>
      </c>
      <c r="O179">
        <v>0</v>
      </c>
      <c r="P179" s="14">
        <v>0</v>
      </c>
      <c r="Q179">
        <v>0</v>
      </c>
      <c r="R179" s="14">
        <v>0</v>
      </c>
      <c r="S179" s="4">
        <v>23574.5</v>
      </c>
      <c r="T179" s="4">
        <v>0</v>
      </c>
      <c r="U179" s="1">
        <v>576</v>
      </c>
      <c r="V179" s="14">
        <v>1</v>
      </c>
      <c r="W179" s="14">
        <v>2</v>
      </c>
      <c r="X179" s="14">
        <v>0</v>
      </c>
    </row>
    <row r="180" spans="1:24" x14ac:dyDescent="0.35">
      <c r="A180" t="s">
        <v>29</v>
      </c>
      <c r="B180" t="s">
        <v>38</v>
      </c>
      <c r="C180" s="16">
        <v>45809</v>
      </c>
      <c r="D180" t="s">
        <v>33</v>
      </c>
      <c r="E180">
        <v>16</v>
      </c>
      <c r="F180" t="s">
        <v>32</v>
      </c>
      <c r="G180" s="4">
        <v>0</v>
      </c>
      <c r="H180" s="14">
        <v>0</v>
      </c>
      <c r="I180" s="4">
        <v>0</v>
      </c>
      <c r="J180" s="14">
        <v>0</v>
      </c>
      <c r="K180" s="4">
        <v>0</v>
      </c>
      <c r="L180" s="14">
        <v>0</v>
      </c>
      <c r="M180">
        <v>0</v>
      </c>
      <c r="N180" s="14">
        <v>0</v>
      </c>
      <c r="O180">
        <v>0</v>
      </c>
      <c r="P180" s="14">
        <v>0</v>
      </c>
      <c r="Q180">
        <v>0</v>
      </c>
      <c r="R180" s="14">
        <v>0</v>
      </c>
      <c r="S180" s="4">
        <v>43145.93</v>
      </c>
      <c r="T180" s="4">
        <v>33079.49</v>
      </c>
      <c r="U180" s="1">
        <v>143</v>
      </c>
      <c r="V180" s="14">
        <v>1</v>
      </c>
      <c r="W180" s="14">
        <v>2</v>
      </c>
      <c r="X180" s="14">
        <v>0</v>
      </c>
    </row>
    <row r="181" spans="1:24" x14ac:dyDescent="0.35">
      <c r="A181" t="s">
        <v>29</v>
      </c>
      <c r="B181" t="s">
        <v>38</v>
      </c>
      <c r="C181" s="16">
        <v>45809</v>
      </c>
      <c r="D181" t="s">
        <v>34</v>
      </c>
      <c r="E181">
        <v>6</v>
      </c>
      <c r="F181" t="s">
        <v>35</v>
      </c>
      <c r="G181" s="4">
        <v>0</v>
      </c>
      <c r="H181" s="14">
        <v>0</v>
      </c>
      <c r="I181" s="4">
        <v>131698.51999999999</v>
      </c>
      <c r="J181" s="14">
        <v>9</v>
      </c>
      <c r="K181" s="4">
        <v>0</v>
      </c>
      <c r="L181" s="14">
        <v>0</v>
      </c>
      <c r="M181">
        <v>0</v>
      </c>
      <c r="N181" s="14">
        <v>0</v>
      </c>
      <c r="O181">
        <v>0</v>
      </c>
      <c r="P181" s="14">
        <v>0</v>
      </c>
      <c r="Q181">
        <v>0</v>
      </c>
      <c r="R181" s="14">
        <v>0</v>
      </c>
      <c r="S181" s="4">
        <v>28899.040000000001</v>
      </c>
      <c r="T181" s="4">
        <v>7469.6</v>
      </c>
      <c r="U181" s="1">
        <v>388.85714285714283</v>
      </c>
      <c r="V181" s="14">
        <v>14</v>
      </c>
      <c r="W181" s="14">
        <v>1</v>
      </c>
      <c r="X181" s="14">
        <v>0</v>
      </c>
    </row>
    <row r="182" spans="1:24" x14ac:dyDescent="0.35">
      <c r="A182" t="s">
        <v>29</v>
      </c>
      <c r="B182" t="s">
        <v>38</v>
      </c>
      <c r="C182" s="16">
        <v>45809</v>
      </c>
      <c r="D182" t="s">
        <v>34</v>
      </c>
      <c r="E182">
        <v>6</v>
      </c>
      <c r="F182" t="s">
        <v>36</v>
      </c>
      <c r="G182" s="4">
        <v>0</v>
      </c>
      <c r="H182" s="14">
        <v>0</v>
      </c>
      <c r="I182" s="4">
        <v>344254.85</v>
      </c>
      <c r="J182" s="14">
        <v>53</v>
      </c>
      <c r="K182" s="4">
        <v>11164.52</v>
      </c>
      <c r="L182" s="14">
        <v>4</v>
      </c>
      <c r="M182">
        <v>0</v>
      </c>
      <c r="N182" s="14">
        <v>0</v>
      </c>
      <c r="O182">
        <v>0</v>
      </c>
      <c r="P182" s="14">
        <v>0</v>
      </c>
      <c r="Q182">
        <v>0</v>
      </c>
      <c r="R182" s="14">
        <v>0</v>
      </c>
      <c r="S182" s="4">
        <v>77187.27</v>
      </c>
      <c r="T182" s="4">
        <v>43234.450000000004</v>
      </c>
      <c r="U182" s="1">
        <v>294.97701149425285</v>
      </c>
      <c r="V182" s="14">
        <v>87</v>
      </c>
      <c r="W182" s="14">
        <v>40</v>
      </c>
      <c r="X182" s="14">
        <v>0</v>
      </c>
    </row>
    <row r="183" spans="1:24" x14ac:dyDescent="0.35">
      <c r="A183" t="s">
        <v>29</v>
      </c>
      <c r="B183" t="s">
        <v>38</v>
      </c>
      <c r="C183" s="16">
        <v>45809</v>
      </c>
      <c r="D183" t="s">
        <v>34</v>
      </c>
      <c r="E183">
        <v>8</v>
      </c>
      <c r="F183" t="s">
        <v>35</v>
      </c>
      <c r="G183" s="4">
        <v>5596.1900000000005</v>
      </c>
      <c r="H183" s="14">
        <v>2</v>
      </c>
      <c r="I183" s="4">
        <v>15890.509999999998</v>
      </c>
      <c r="J183" s="14">
        <v>7</v>
      </c>
      <c r="K183" s="4">
        <v>119636.31000000001</v>
      </c>
      <c r="L183" s="14">
        <v>3</v>
      </c>
      <c r="M183">
        <v>0</v>
      </c>
      <c r="N183" s="14">
        <v>0</v>
      </c>
      <c r="O183">
        <v>0</v>
      </c>
      <c r="P183" s="14">
        <v>0</v>
      </c>
      <c r="Q183">
        <v>0</v>
      </c>
      <c r="R183" s="14">
        <v>0</v>
      </c>
      <c r="S183" s="4">
        <v>21991.760000000002</v>
      </c>
      <c r="T183" s="4">
        <v>4612.6899999999996</v>
      </c>
      <c r="U183" s="1">
        <v>257.88235294117646</v>
      </c>
      <c r="V183" s="14">
        <v>17</v>
      </c>
      <c r="W183" s="14">
        <v>9</v>
      </c>
      <c r="X183" s="14">
        <v>0</v>
      </c>
    </row>
    <row r="184" spans="1:24" x14ac:dyDescent="0.35">
      <c r="A184" t="s">
        <v>29</v>
      </c>
      <c r="B184" t="s">
        <v>38</v>
      </c>
      <c r="C184" s="16">
        <v>45809</v>
      </c>
      <c r="D184" t="s">
        <v>34</v>
      </c>
      <c r="E184">
        <v>8</v>
      </c>
      <c r="F184" t="s">
        <v>36</v>
      </c>
      <c r="G184" s="4">
        <v>23680.03</v>
      </c>
      <c r="H184" s="14">
        <v>1</v>
      </c>
      <c r="I184" s="4">
        <v>40035.87999999999</v>
      </c>
      <c r="J184" s="14">
        <v>15</v>
      </c>
      <c r="K184" s="4">
        <v>61144.78</v>
      </c>
      <c r="L184" s="14">
        <v>5</v>
      </c>
      <c r="M184">
        <v>0</v>
      </c>
      <c r="N184" s="14">
        <v>0</v>
      </c>
      <c r="O184">
        <v>0</v>
      </c>
      <c r="P184" s="14">
        <v>0</v>
      </c>
      <c r="Q184">
        <v>0</v>
      </c>
      <c r="R184" s="14">
        <v>0</v>
      </c>
      <c r="S184" s="4">
        <v>120507.67000000001</v>
      </c>
      <c r="T184" s="4">
        <v>504403.69</v>
      </c>
      <c r="U184" s="1">
        <v>212.2258064516129</v>
      </c>
      <c r="V184" s="14">
        <v>31</v>
      </c>
      <c r="W184" s="14">
        <v>38</v>
      </c>
      <c r="X184" s="14">
        <v>0</v>
      </c>
    </row>
    <row r="185" spans="1:24" x14ac:dyDescent="0.35">
      <c r="A185" t="s">
        <v>29</v>
      </c>
      <c r="B185" t="s">
        <v>38</v>
      </c>
      <c r="C185" s="16">
        <v>45809</v>
      </c>
      <c r="D185" t="s">
        <v>34</v>
      </c>
      <c r="E185">
        <v>9</v>
      </c>
      <c r="F185" t="s">
        <v>35</v>
      </c>
      <c r="G185" s="4">
        <v>7768.34</v>
      </c>
      <c r="H185" s="14">
        <v>1</v>
      </c>
      <c r="I185" s="4">
        <v>33278.17</v>
      </c>
      <c r="J185" s="14">
        <v>5</v>
      </c>
      <c r="K185" s="4">
        <v>4354.7299999999996</v>
      </c>
      <c r="L185" s="14">
        <v>2</v>
      </c>
      <c r="M185">
        <v>0</v>
      </c>
      <c r="N185" s="14">
        <v>0</v>
      </c>
      <c r="O185">
        <v>0</v>
      </c>
      <c r="P185" s="14">
        <v>0</v>
      </c>
      <c r="Q185">
        <v>0</v>
      </c>
      <c r="R185" s="14">
        <v>0</v>
      </c>
      <c r="S185" s="4">
        <v>24317.399999999998</v>
      </c>
      <c r="T185" s="4">
        <v>14083.36</v>
      </c>
      <c r="U185" s="1">
        <v>245.57142857142858</v>
      </c>
      <c r="V185" s="14">
        <v>7</v>
      </c>
      <c r="W185" s="14">
        <v>2</v>
      </c>
      <c r="X185" s="14">
        <v>0</v>
      </c>
    </row>
    <row r="186" spans="1:24" x14ac:dyDescent="0.35">
      <c r="A186" t="s">
        <v>29</v>
      </c>
      <c r="B186" t="s">
        <v>38</v>
      </c>
      <c r="C186" s="16">
        <v>45809</v>
      </c>
      <c r="D186" t="s">
        <v>34</v>
      </c>
      <c r="E186">
        <v>9</v>
      </c>
      <c r="F186" t="s">
        <v>36</v>
      </c>
      <c r="G186" s="4">
        <v>301676.31999999995</v>
      </c>
      <c r="H186" s="14">
        <v>5</v>
      </c>
      <c r="I186" s="4">
        <v>71125.489999999976</v>
      </c>
      <c r="J186" s="14">
        <v>23</v>
      </c>
      <c r="K186" s="4">
        <v>136774.60999999999</v>
      </c>
      <c r="L186" s="14">
        <v>6</v>
      </c>
      <c r="M186">
        <v>0</v>
      </c>
      <c r="N186" s="14">
        <v>0</v>
      </c>
      <c r="O186">
        <v>0</v>
      </c>
      <c r="P186" s="14">
        <v>0</v>
      </c>
      <c r="Q186">
        <v>0</v>
      </c>
      <c r="R186" s="14">
        <v>0</v>
      </c>
      <c r="S186" s="4">
        <v>311365.55999999994</v>
      </c>
      <c r="T186" s="4">
        <v>1296781.07</v>
      </c>
      <c r="U186" s="1">
        <v>196.49122807017545</v>
      </c>
      <c r="V186" s="14">
        <v>57</v>
      </c>
      <c r="W186" s="14">
        <v>52</v>
      </c>
      <c r="X186" s="14">
        <v>0</v>
      </c>
    </row>
    <row r="187" spans="1:24" x14ac:dyDescent="0.35">
      <c r="A187" t="s">
        <v>29</v>
      </c>
      <c r="B187" t="s">
        <v>38</v>
      </c>
      <c r="C187" s="16">
        <v>45809</v>
      </c>
      <c r="D187" t="s">
        <v>34</v>
      </c>
      <c r="E187">
        <v>10</v>
      </c>
      <c r="F187" t="s">
        <v>35</v>
      </c>
      <c r="G187" s="4">
        <v>0</v>
      </c>
      <c r="H187" s="14">
        <v>0</v>
      </c>
      <c r="I187" s="4">
        <v>46043.82</v>
      </c>
      <c r="J187" s="14">
        <v>2</v>
      </c>
      <c r="K187" s="4">
        <v>0</v>
      </c>
      <c r="L187" s="14">
        <v>0</v>
      </c>
      <c r="M187">
        <v>0</v>
      </c>
      <c r="N187" s="14">
        <v>0</v>
      </c>
      <c r="O187">
        <v>0</v>
      </c>
      <c r="P187" s="14">
        <v>0</v>
      </c>
      <c r="Q187">
        <v>0</v>
      </c>
      <c r="R187" s="14">
        <v>0</v>
      </c>
      <c r="S187" s="4">
        <v>2476.87</v>
      </c>
      <c r="T187" s="4">
        <v>0</v>
      </c>
      <c r="U187" s="1">
        <v>1043.5</v>
      </c>
      <c r="V187" s="14">
        <v>2</v>
      </c>
      <c r="W187" s="14">
        <v>1</v>
      </c>
      <c r="X187" s="14">
        <v>0</v>
      </c>
    </row>
    <row r="188" spans="1:24" x14ac:dyDescent="0.35">
      <c r="A188" t="s">
        <v>29</v>
      </c>
      <c r="B188" t="s">
        <v>38</v>
      </c>
      <c r="C188" s="16">
        <v>45809</v>
      </c>
      <c r="D188" t="s">
        <v>34</v>
      </c>
      <c r="E188">
        <v>10</v>
      </c>
      <c r="F188" t="s">
        <v>36</v>
      </c>
      <c r="G188" s="4">
        <v>617055.54</v>
      </c>
      <c r="H188" s="14">
        <v>4</v>
      </c>
      <c r="I188" s="4">
        <v>241848.38</v>
      </c>
      <c r="J188" s="14">
        <v>21</v>
      </c>
      <c r="K188" s="4">
        <v>1522644.5</v>
      </c>
      <c r="L188" s="14">
        <v>20</v>
      </c>
      <c r="M188">
        <v>0</v>
      </c>
      <c r="N188" s="14">
        <v>0</v>
      </c>
      <c r="O188">
        <v>0</v>
      </c>
      <c r="P188" s="14">
        <v>0</v>
      </c>
      <c r="Q188">
        <v>0</v>
      </c>
      <c r="R188" s="14">
        <v>0</v>
      </c>
      <c r="S188" s="4">
        <v>294304.46999999997</v>
      </c>
      <c r="T188" s="4">
        <v>1297598.76</v>
      </c>
      <c r="U188" s="1">
        <v>400.62790697674421</v>
      </c>
      <c r="V188" s="14">
        <v>43</v>
      </c>
      <c r="W188" s="14">
        <v>54</v>
      </c>
      <c r="X188" s="14">
        <v>0</v>
      </c>
    </row>
    <row r="189" spans="1:24" x14ac:dyDescent="0.35">
      <c r="A189" t="s">
        <v>29</v>
      </c>
      <c r="B189" t="s">
        <v>38</v>
      </c>
      <c r="C189" s="16">
        <v>45809</v>
      </c>
      <c r="D189" t="s">
        <v>34</v>
      </c>
      <c r="E189">
        <v>13</v>
      </c>
      <c r="F189" t="s">
        <v>35</v>
      </c>
      <c r="G189" s="4">
        <v>0</v>
      </c>
      <c r="H189" s="14">
        <v>0</v>
      </c>
      <c r="I189" s="4">
        <v>12447.91</v>
      </c>
      <c r="J189" s="14">
        <v>1</v>
      </c>
      <c r="K189" s="4">
        <v>0</v>
      </c>
      <c r="L189" s="14">
        <v>0</v>
      </c>
      <c r="M189">
        <v>0</v>
      </c>
      <c r="N189" s="14">
        <v>0</v>
      </c>
      <c r="O189">
        <v>0</v>
      </c>
      <c r="P189" s="14">
        <v>0</v>
      </c>
      <c r="Q189">
        <v>0</v>
      </c>
      <c r="R189" s="14">
        <v>0</v>
      </c>
      <c r="S189" s="4">
        <v>0</v>
      </c>
      <c r="T189" s="4">
        <v>0</v>
      </c>
      <c r="U189" s="1">
        <v>399</v>
      </c>
      <c r="V189" s="14">
        <v>2</v>
      </c>
      <c r="W189" s="14">
        <v>0</v>
      </c>
      <c r="X189" s="14">
        <v>0</v>
      </c>
    </row>
    <row r="190" spans="1:24" x14ac:dyDescent="0.35">
      <c r="A190" t="s">
        <v>29</v>
      </c>
      <c r="B190" t="s">
        <v>38</v>
      </c>
      <c r="C190" s="16">
        <v>45809</v>
      </c>
      <c r="D190" t="s">
        <v>34</v>
      </c>
      <c r="E190">
        <v>13</v>
      </c>
      <c r="F190" t="s">
        <v>36</v>
      </c>
      <c r="G190" s="4">
        <v>368006.95</v>
      </c>
      <c r="H190" s="14">
        <v>6</v>
      </c>
      <c r="I190" s="4">
        <v>91201.4</v>
      </c>
      <c r="J190" s="14">
        <v>9</v>
      </c>
      <c r="K190" s="4">
        <v>139628.06</v>
      </c>
      <c r="L190" s="14">
        <v>5</v>
      </c>
      <c r="M190">
        <v>0</v>
      </c>
      <c r="N190" s="14">
        <v>0</v>
      </c>
      <c r="O190">
        <v>0</v>
      </c>
      <c r="P190" s="14">
        <v>0</v>
      </c>
      <c r="Q190">
        <v>0</v>
      </c>
      <c r="R190" s="14">
        <v>0</v>
      </c>
      <c r="S190" s="4">
        <v>168570.86</v>
      </c>
      <c r="T190" s="4">
        <v>521924.74</v>
      </c>
      <c r="U190" s="1">
        <v>601.28571428571433</v>
      </c>
      <c r="V190" s="14">
        <v>21</v>
      </c>
      <c r="W190" s="14">
        <v>12</v>
      </c>
      <c r="X190" s="14">
        <v>0</v>
      </c>
    </row>
    <row r="191" spans="1:24" x14ac:dyDescent="0.35">
      <c r="A191" t="s">
        <v>29</v>
      </c>
      <c r="B191" t="s">
        <v>38</v>
      </c>
      <c r="C191" s="16">
        <v>45809</v>
      </c>
      <c r="D191" t="s">
        <v>34</v>
      </c>
      <c r="E191">
        <v>14</v>
      </c>
      <c r="F191" t="s">
        <v>36</v>
      </c>
      <c r="G191" s="4">
        <v>1865525.1400000001</v>
      </c>
      <c r="H191" s="14">
        <v>8</v>
      </c>
      <c r="I191" s="4">
        <v>47311.8</v>
      </c>
      <c r="J191" s="14">
        <v>11</v>
      </c>
      <c r="K191" s="4">
        <v>160751.60999999999</v>
      </c>
      <c r="L191" s="14">
        <v>4</v>
      </c>
      <c r="M191">
        <v>0</v>
      </c>
      <c r="N191" s="14">
        <v>0</v>
      </c>
      <c r="O191">
        <v>0</v>
      </c>
      <c r="P191" s="14">
        <v>0</v>
      </c>
      <c r="Q191">
        <v>0</v>
      </c>
      <c r="R191" s="14">
        <v>0</v>
      </c>
      <c r="S191" s="4">
        <v>855531.59</v>
      </c>
      <c r="T191" s="4">
        <v>107250.1</v>
      </c>
      <c r="U191" s="1">
        <v>223.79166666666666</v>
      </c>
      <c r="V191" s="14">
        <v>24</v>
      </c>
      <c r="W191" s="14">
        <v>24</v>
      </c>
      <c r="X191" s="14">
        <v>0</v>
      </c>
    </row>
    <row r="192" spans="1:24" x14ac:dyDescent="0.35">
      <c r="A192" t="s">
        <v>29</v>
      </c>
      <c r="B192" t="s">
        <v>38</v>
      </c>
      <c r="C192" s="16">
        <v>45809</v>
      </c>
      <c r="D192" t="s">
        <v>34</v>
      </c>
      <c r="E192">
        <v>15</v>
      </c>
      <c r="F192" t="s">
        <v>35</v>
      </c>
      <c r="G192" s="4">
        <v>0</v>
      </c>
      <c r="H192" s="14">
        <v>0</v>
      </c>
      <c r="I192" s="4">
        <v>38842.32</v>
      </c>
      <c r="J192" s="14">
        <v>1</v>
      </c>
      <c r="K192" s="4">
        <v>0</v>
      </c>
      <c r="L192" s="14">
        <v>0</v>
      </c>
      <c r="M192">
        <v>0</v>
      </c>
      <c r="N192" s="14">
        <v>0</v>
      </c>
      <c r="O192">
        <v>0</v>
      </c>
      <c r="P192" s="14">
        <v>0</v>
      </c>
      <c r="Q192">
        <v>0</v>
      </c>
      <c r="R192" s="14">
        <v>0</v>
      </c>
      <c r="S192" s="4">
        <v>0</v>
      </c>
      <c r="T192" s="4">
        <v>0</v>
      </c>
      <c r="U192" s="1">
        <v>305</v>
      </c>
      <c r="V192" s="14">
        <v>1</v>
      </c>
      <c r="W192" s="14">
        <v>0</v>
      </c>
      <c r="X192" s="14">
        <v>0</v>
      </c>
    </row>
    <row r="193" spans="1:24" x14ac:dyDescent="0.35">
      <c r="A193" t="s">
        <v>29</v>
      </c>
      <c r="B193" t="s">
        <v>38</v>
      </c>
      <c r="C193" s="16">
        <v>45809</v>
      </c>
      <c r="D193" t="s">
        <v>34</v>
      </c>
      <c r="E193">
        <v>15</v>
      </c>
      <c r="F193" t="s">
        <v>36</v>
      </c>
      <c r="G193" s="4">
        <v>0</v>
      </c>
      <c r="H193" s="14">
        <v>0</v>
      </c>
      <c r="I193" s="4">
        <v>20096.34</v>
      </c>
      <c r="J193" s="14">
        <v>9</v>
      </c>
      <c r="K193" s="4">
        <v>50445.16</v>
      </c>
      <c r="L193" s="14">
        <v>1</v>
      </c>
      <c r="M193">
        <v>0</v>
      </c>
      <c r="N193" s="14">
        <v>0</v>
      </c>
      <c r="O193">
        <v>0</v>
      </c>
      <c r="P193" s="14">
        <v>0</v>
      </c>
      <c r="Q193">
        <v>0</v>
      </c>
      <c r="R193" s="14">
        <v>0</v>
      </c>
      <c r="S193" s="4">
        <v>66013.16</v>
      </c>
      <c r="T193" s="4">
        <v>394035.66000000003</v>
      </c>
      <c r="U193" s="1">
        <v>274.5</v>
      </c>
      <c r="V193" s="14">
        <v>20</v>
      </c>
      <c r="W193" s="14">
        <v>3</v>
      </c>
      <c r="X193" s="14">
        <v>0</v>
      </c>
    </row>
    <row r="194" spans="1:24" x14ac:dyDescent="0.35">
      <c r="A194" t="s">
        <v>29</v>
      </c>
      <c r="B194" t="s">
        <v>38</v>
      </c>
      <c r="C194" s="16">
        <v>45809</v>
      </c>
      <c r="D194" t="s">
        <v>34</v>
      </c>
      <c r="E194">
        <v>16</v>
      </c>
      <c r="F194" t="s">
        <v>36</v>
      </c>
      <c r="G194" s="4">
        <v>0</v>
      </c>
      <c r="H194" s="14">
        <v>0</v>
      </c>
      <c r="I194" s="4">
        <v>4136.6100000000006</v>
      </c>
      <c r="J194" s="14">
        <v>6</v>
      </c>
      <c r="K194" s="4">
        <v>8465.7199999999993</v>
      </c>
      <c r="L194" s="14">
        <v>1</v>
      </c>
      <c r="M194">
        <v>0</v>
      </c>
      <c r="N194" s="14">
        <v>0</v>
      </c>
      <c r="O194">
        <v>0</v>
      </c>
      <c r="P194" s="14">
        <v>0</v>
      </c>
      <c r="Q194">
        <v>0</v>
      </c>
      <c r="R194" s="14">
        <v>0</v>
      </c>
      <c r="S194" s="4">
        <v>0</v>
      </c>
      <c r="T194" s="4">
        <v>0</v>
      </c>
      <c r="U194" s="1">
        <v>637.71428571428567</v>
      </c>
      <c r="V194" s="14">
        <v>7</v>
      </c>
      <c r="W194" s="14">
        <v>6</v>
      </c>
      <c r="X194" s="14">
        <v>0</v>
      </c>
    </row>
    <row r="195" spans="1:24" x14ac:dyDescent="0.35">
      <c r="A195" t="s">
        <v>29</v>
      </c>
      <c r="B195" t="s">
        <v>38</v>
      </c>
      <c r="C195" s="16">
        <v>45809</v>
      </c>
      <c r="D195" t="s">
        <v>37</v>
      </c>
      <c r="E195">
        <v>6</v>
      </c>
      <c r="F195" t="s">
        <v>32</v>
      </c>
      <c r="G195" s="4">
        <v>0</v>
      </c>
      <c r="H195" s="14">
        <v>0</v>
      </c>
      <c r="I195" s="4">
        <v>0</v>
      </c>
      <c r="J195" s="14">
        <v>0</v>
      </c>
      <c r="K195" s="4">
        <v>65.959999999999994</v>
      </c>
      <c r="L195" s="14">
        <v>1</v>
      </c>
      <c r="M195">
        <v>0</v>
      </c>
      <c r="N195" s="14">
        <v>0</v>
      </c>
      <c r="O195">
        <v>0</v>
      </c>
      <c r="P195" s="14">
        <v>0</v>
      </c>
      <c r="Q195">
        <v>0</v>
      </c>
      <c r="R195" s="14">
        <v>0</v>
      </c>
      <c r="S195" s="4">
        <v>0</v>
      </c>
      <c r="T195" s="4">
        <v>0</v>
      </c>
      <c r="V195" s="14">
        <v>0</v>
      </c>
      <c r="W195" s="14">
        <v>1</v>
      </c>
      <c r="X195" s="14">
        <v>0</v>
      </c>
    </row>
    <row r="196" spans="1:24" x14ac:dyDescent="0.35">
      <c r="A196" t="s">
        <v>29</v>
      </c>
      <c r="B196" t="s">
        <v>38</v>
      </c>
      <c r="C196" s="16">
        <v>45809</v>
      </c>
      <c r="D196" t="s">
        <v>37</v>
      </c>
      <c r="E196">
        <v>8</v>
      </c>
      <c r="F196" t="s">
        <v>32</v>
      </c>
      <c r="G196" s="4">
        <v>0</v>
      </c>
      <c r="H196" s="14">
        <v>0</v>
      </c>
      <c r="I196" s="4">
        <v>0</v>
      </c>
      <c r="J196" s="14">
        <v>0</v>
      </c>
      <c r="K196" s="4">
        <v>0</v>
      </c>
      <c r="L196" s="14">
        <v>0</v>
      </c>
      <c r="M196">
        <v>0</v>
      </c>
      <c r="N196" s="14">
        <v>0</v>
      </c>
      <c r="O196">
        <v>0</v>
      </c>
      <c r="P196" s="14">
        <v>0</v>
      </c>
      <c r="Q196">
        <v>0</v>
      </c>
      <c r="R196" s="14">
        <v>0</v>
      </c>
      <c r="S196" s="4">
        <v>131922.71</v>
      </c>
      <c r="T196" s="4">
        <v>82650.23</v>
      </c>
      <c r="U196" s="1">
        <v>12</v>
      </c>
      <c r="V196" s="14">
        <v>1</v>
      </c>
      <c r="W196" s="14">
        <v>0</v>
      </c>
      <c r="X196" s="14">
        <v>0</v>
      </c>
    </row>
    <row r="197" spans="1:24" x14ac:dyDescent="0.35">
      <c r="A197" t="s">
        <v>39</v>
      </c>
      <c r="B197" t="s">
        <v>30</v>
      </c>
      <c r="C197" s="16">
        <v>45748</v>
      </c>
      <c r="D197" t="s">
        <v>31</v>
      </c>
      <c r="E197">
        <v>6</v>
      </c>
      <c r="F197" t="s">
        <v>32</v>
      </c>
      <c r="G197" s="4">
        <v>0</v>
      </c>
      <c r="H197" s="14">
        <v>0</v>
      </c>
      <c r="I197" s="4">
        <v>0</v>
      </c>
      <c r="J197" s="14">
        <v>0</v>
      </c>
      <c r="K197" s="4">
        <v>0</v>
      </c>
      <c r="L197" s="14">
        <v>0</v>
      </c>
      <c r="M197">
        <v>0</v>
      </c>
      <c r="N197" s="14">
        <v>0</v>
      </c>
      <c r="O197">
        <v>0</v>
      </c>
      <c r="P197" s="14">
        <v>0</v>
      </c>
      <c r="Q197">
        <v>0</v>
      </c>
      <c r="R197" s="14">
        <v>0</v>
      </c>
      <c r="S197" s="4">
        <v>0</v>
      </c>
      <c r="T197" s="4">
        <v>0</v>
      </c>
      <c r="V197" s="14">
        <v>0</v>
      </c>
      <c r="W197" s="14">
        <v>2</v>
      </c>
      <c r="X197" s="14">
        <v>0</v>
      </c>
    </row>
    <row r="198" spans="1:24" x14ac:dyDescent="0.35">
      <c r="A198" t="s">
        <v>39</v>
      </c>
      <c r="B198" t="s">
        <v>30</v>
      </c>
      <c r="C198" s="16">
        <v>45748</v>
      </c>
      <c r="D198" t="s">
        <v>31</v>
      </c>
      <c r="E198">
        <v>13</v>
      </c>
      <c r="F198" t="s">
        <v>32</v>
      </c>
      <c r="G198" s="4">
        <v>0</v>
      </c>
      <c r="H198" s="14">
        <v>0</v>
      </c>
      <c r="I198" s="4">
        <v>73600.929999999993</v>
      </c>
      <c r="J198" s="14">
        <v>6</v>
      </c>
      <c r="K198" s="4">
        <v>0</v>
      </c>
      <c r="L198" s="14">
        <v>0</v>
      </c>
      <c r="M198">
        <v>0</v>
      </c>
      <c r="N198" s="14">
        <v>0</v>
      </c>
      <c r="O198">
        <v>0</v>
      </c>
      <c r="P198" s="14">
        <v>0</v>
      </c>
      <c r="Q198">
        <v>0</v>
      </c>
      <c r="R198" s="14">
        <v>0</v>
      </c>
      <c r="S198" s="4">
        <v>0</v>
      </c>
      <c r="T198" s="4">
        <v>0</v>
      </c>
      <c r="U198" s="1">
        <v>55</v>
      </c>
      <c r="V198" s="14">
        <v>6</v>
      </c>
      <c r="W198" s="14">
        <v>8</v>
      </c>
      <c r="X198" s="14">
        <v>0</v>
      </c>
    </row>
    <row r="199" spans="1:24" x14ac:dyDescent="0.35">
      <c r="A199" t="s">
        <v>39</v>
      </c>
      <c r="B199" t="s">
        <v>30</v>
      </c>
      <c r="C199" s="16">
        <v>45748</v>
      </c>
      <c r="D199" t="s">
        <v>31</v>
      </c>
      <c r="E199">
        <v>16</v>
      </c>
      <c r="F199" t="s">
        <v>32</v>
      </c>
      <c r="G199" s="4">
        <v>0</v>
      </c>
      <c r="H199" s="14">
        <v>0</v>
      </c>
      <c r="I199" s="4">
        <v>0</v>
      </c>
      <c r="J199" s="14">
        <v>0</v>
      </c>
      <c r="K199" s="4">
        <v>0</v>
      </c>
      <c r="L199" s="14">
        <v>0</v>
      </c>
      <c r="M199">
        <v>0</v>
      </c>
      <c r="N199" s="14">
        <v>0</v>
      </c>
      <c r="O199">
        <v>0</v>
      </c>
      <c r="P199" s="14">
        <v>0</v>
      </c>
      <c r="Q199">
        <v>0</v>
      </c>
      <c r="R199" s="14">
        <v>0</v>
      </c>
      <c r="S199" s="4">
        <v>0</v>
      </c>
      <c r="T199" s="4">
        <v>0</v>
      </c>
      <c r="V199" s="14">
        <v>0</v>
      </c>
      <c r="W199" s="14">
        <v>1</v>
      </c>
      <c r="X199" s="14">
        <v>0</v>
      </c>
    </row>
    <row r="200" spans="1:24" x14ac:dyDescent="0.35">
      <c r="A200" t="s">
        <v>39</v>
      </c>
      <c r="B200" t="s">
        <v>30</v>
      </c>
      <c r="C200" s="16">
        <v>45748</v>
      </c>
      <c r="D200" t="s">
        <v>33</v>
      </c>
      <c r="E200">
        <v>6</v>
      </c>
      <c r="F200" t="s">
        <v>32</v>
      </c>
      <c r="G200" s="4">
        <v>0</v>
      </c>
      <c r="H200" s="14">
        <v>0</v>
      </c>
      <c r="I200" s="4">
        <v>1851.08</v>
      </c>
      <c r="J200" s="14">
        <v>2</v>
      </c>
      <c r="K200" s="4">
        <v>0</v>
      </c>
      <c r="L200" s="14">
        <v>0</v>
      </c>
      <c r="M200">
        <v>0</v>
      </c>
      <c r="N200" s="14">
        <v>0</v>
      </c>
      <c r="O200">
        <v>0</v>
      </c>
      <c r="P200" s="14">
        <v>0</v>
      </c>
      <c r="Q200">
        <v>0</v>
      </c>
      <c r="R200" s="14">
        <v>0</v>
      </c>
      <c r="S200" s="4">
        <v>0</v>
      </c>
      <c r="T200" s="4">
        <v>0</v>
      </c>
      <c r="U200" s="1">
        <v>27</v>
      </c>
      <c r="V200" s="14">
        <v>2</v>
      </c>
      <c r="W200" s="14">
        <v>8</v>
      </c>
      <c r="X200" s="14">
        <v>0</v>
      </c>
    </row>
    <row r="201" spans="1:24" x14ac:dyDescent="0.35">
      <c r="A201" t="s">
        <v>39</v>
      </c>
      <c r="B201" t="s">
        <v>30</v>
      </c>
      <c r="C201" s="16">
        <v>45748</v>
      </c>
      <c r="D201" t="s">
        <v>33</v>
      </c>
      <c r="E201">
        <v>8</v>
      </c>
      <c r="F201" t="s">
        <v>32</v>
      </c>
      <c r="G201" s="4">
        <v>0</v>
      </c>
      <c r="H201" s="14">
        <v>0</v>
      </c>
      <c r="I201" s="4">
        <v>1887.05</v>
      </c>
      <c r="J201" s="14">
        <v>2</v>
      </c>
      <c r="K201" s="4">
        <v>0</v>
      </c>
      <c r="L201" s="14">
        <v>0</v>
      </c>
      <c r="M201">
        <v>0</v>
      </c>
      <c r="N201" s="14">
        <v>0</v>
      </c>
      <c r="O201">
        <v>0</v>
      </c>
      <c r="P201" s="14">
        <v>0</v>
      </c>
      <c r="Q201">
        <v>0</v>
      </c>
      <c r="R201" s="14">
        <v>0</v>
      </c>
      <c r="S201" s="4">
        <v>0</v>
      </c>
      <c r="T201" s="4">
        <v>0</v>
      </c>
      <c r="U201" s="1">
        <v>27</v>
      </c>
      <c r="V201" s="14">
        <v>2</v>
      </c>
      <c r="W201" s="14">
        <v>6</v>
      </c>
      <c r="X201" s="14">
        <v>0</v>
      </c>
    </row>
    <row r="202" spans="1:24" x14ac:dyDescent="0.35">
      <c r="A202" t="s">
        <v>39</v>
      </c>
      <c r="B202" t="s">
        <v>30</v>
      </c>
      <c r="C202" s="16">
        <v>45748</v>
      </c>
      <c r="D202" t="s">
        <v>33</v>
      </c>
      <c r="E202">
        <v>9</v>
      </c>
      <c r="F202" t="s">
        <v>32</v>
      </c>
      <c r="G202" s="4">
        <v>0</v>
      </c>
      <c r="H202" s="14">
        <v>0</v>
      </c>
      <c r="I202" s="4">
        <v>52302.83</v>
      </c>
      <c r="J202" s="14">
        <v>2</v>
      </c>
      <c r="K202" s="4">
        <v>0</v>
      </c>
      <c r="L202" s="14">
        <v>0</v>
      </c>
      <c r="M202">
        <v>0</v>
      </c>
      <c r="N202" s="14">
        <v>0</v>
      </c>
      <c r="O202">
        <v>0</v>
      </c>
      <c r="P202" s="14">
        <v>0</v>
      </c>
      <c r="Q202">
        <v>0</v>
      </c>
      <c r="R202" s="14">
        <v>0</v>
      </c>
      <c r="S202" s="4">
        <v>0</v>
      </c>
      <c r="T202" s="4">
        <v>0</v>
      </c>
      <c r="U202" s="1">
        <v>54</v>
      </c>
      <c r="V202" s="14">
        <v>2</v>
      </c>
      <c r="W202" s="14">
        <v>1</v>
      </c>
      <c r="X202" s="14">
        <v>0</v>
      </c>
    </row>
    <row r="203" spans="1:24" x14ac:dyDescent="0.35">
      <c r="A203" t="s">
        <v>39</v>
      </c>
      <c r="B203" t="s">
        <v>30</v>
      </c>
      <c r="C203" s="16">
        <v>45748</v>
      </c>
      <c r="D203" t="s">
        <v>33</v>
      </c>
      <c r="E203">
        <v>10</v>
      </c>
      <c r="F203" t="s">
        <v>32</v>
      </c>
      <c r="G203" s="4">
        <v>0</v>
      </c>
      <c r="H203" s="14">
        <v>0</v>
      </c>
      <c r="I203" s="4">
        <v>58852.27</v>
      </c>
      <c r="J203" s="14">
        <v>2</v>
      </c>
      <c r="K203" s="4">
        <v>0</v>
      </c>
      <c r="L203" s="14">
        <v>0</v>
      </c>
      <c r="M203">
        <v>0</v>
      </c>
      <c r="N203" s="14">
        <v>0</v>
      </c>
      <c r="O203">
        <v>0</v>
      </c>
      <c r="P203" s="14">
        <v>0</v>
      </c>
      <c r="Q203">
        <v>0</v>
      </c>
      <c r="R203" s="14">
        <v>0</v>
      </c>
      <c r="S203" s="4">
        <v>0</v>
      </c>
      <c r="T203" s="4">
        <v>0</v>
      </c>
      <c r="U203" s="1">
        <v>90.666666666666671</v>
      </c>
      <c r="V203" s="14">
        <v>3</v>
      </c>
      <c r="W203" s="14">
        <v>2</v>
      </c>
      <c r="X203" s="14">
        <v>0</v>
      </c>
    </row>
    <row r="204" spans="1:24" x14ac:dyDescent="0.35">
      <c r="A204" t="s">
        <v>39</v>
      </c>
      <c r="B204" t="s">
        <v>30</v>
      </c>
      <c r="C204" s="16">
        <v>45748</v>
      </c>
      <c r="D204" t="s">
        <v>33</v>
      </c>
      <c r="E204">
        <v>13</v>
      </c>
      <c r="F204" t="s">
        <v>32</v>
      </c>
      <c r="G204" s="4">
        <v>0</v>
      </c>
      <c r="H204" s="14">
        <v>0</v>
      </c>
      <c r="I204" s="4">
        <v>71633.509999999995</v>
      </c>
      <c r="J204" s="14">
        <v>1</v>
      </c>
      <c r="K204" s="4">
        <v>0</v>
      </c>
      <c r="L204" s="14">
        <v>0</v>
      </c>
      <c r="M204">
        <v>0</v>
      </c>
      <c r="N204" s="14">
        <v>0</v>
      </c>
      <c r="O204">
        <v>0</v>
      </c>
      <c r="P204" s="14">
        <v>0</v>
      </c>
      <c r="Q204">
        <v>0</v>
      </c>
      <c r="R204" s="14">
        <v>0</v>
      </c>
      <c r="S204" s="4">
        <v>0</v>
      </c>
      <c r="T204" s="4">
        <v>0</v>
      </c>
      <c r="U204" s="1">
        <v>52</v>
      </c>
      <c r="V204" s="14">
        <v>1</v>
      </c>
      <c r="W204" s="14">
        <v>2</v>
      </c>
      <c r="X204" s="14">
        <v>0</v>
      </c>
    </row>
    <row r="205" spans="1:24" x14ac:dyDescent="0.35">
      <c r="A205" t="s">
        <v>39</v>
      </c>
      <c r="B205" t="s">
        <v>30</v>
      </c>
      <c r="C205" s="16">
        <v>45748</v>
      </c>
      <c r="D205" t="s">
        <v>33</v>
      </c>
      <c r="E205">
        <v>14</v>
      </c>
      <c r="F205" t="s">
        <v>32</v>
      </c>
      <c r="G205" s="4">
        <v>0</v>
      </c>
      <c r="H205" s="14">
        <v>0</v>
      </c>
      <c r="I205" s="4">
        <v>0</v>
      </c>
      <c r="J205" s="14">
        <v>0</v>
      </c>
      <c r="K205" s="4">
        <v>0</v>
      </c>
      <c r="L205" s="14">
        <v>0</v>
      </c>
      <c r="M205">
        <v>0</v>
      </c>
      <c r="N205" s="14">
        <v>0</v>
      </c>
      <c r="O205">
        <v>0</v>
      </c>
      <c r="P205" s="14">
        <v>0</v>
      </c>
      <c r="Q205">
        <v>0</v>
      </c>
      <c r="R205" s="14">
        <v>0</v>
      </c>
      <c r="S205" s="4">
        <v>0</v>
      </c>
      <c r="T205" s="4">
        <v>0</v>
      </c>
      <c r="V205" s="14">
        <v>0</v>
      </c>
      <c r="W205" s="14">
        <v>6</v>
      </c>
      <c r="X205" s="14">
        <v>0</v>
      </c>
    </row>
    <row r="206" spans="1:24" x14ac:dyDescent="0.35">
      <c r="A206" t="s">
        <v>39</v>
      </c>
      <c r="B206" t="s">
        <v>30</v>
      </c>
      <c r="C206" s="16">
        <v>45748</v>
      </c>
      <c r="D206" t="s">
        <v>33</v>
      </c>
      <c r="E206">
        <v>16</v>
      </c>
      <c r="F206" t="s">
        <v>32</v>
      </c>
      <c r="G206" s="4">
        <v>0</v>
      </c>
      <c r="H206" s="14">
        <v>0</v>
      </c>
      <c r="I206" s="4">
        <v>68793.27</v>
      </c>
      <c r="J206" s="14">
        <v>1</v>
      </c>
      <c r="K206" s="4">
        <v>0</v>
      </c>
      <c r="L206" s="14">
        <v>0</v>
      </c>
      <c r="M206">
        <v>0</v>
      </c>
      <c r="N206" s="14">
        <v>0</v>
      </c>
      <c r="O206">
        <v>0</v>
      </c>
      <c r="P206" s="14">
        <v>0</v>
      </c>
      <c r="Q206">
        <v>0</v>
      </c>
      <c r="R206" s="14">
        <v>0</v>
      </c>
      <c r="S206" s="4">
        <v>0</v>
      </c>
      <c r="T206" s="4">
        <v>0</v>
      </c>
      <c r="U206" s="1">
        <v>63</v>
      </c>
      <c r="V206" s="14">
        <v>1</v>
      </c>
      <c r="W206" s="14">
        <v>5</v>
      </c>
      <c r="X206" s="14">
        <v>0</v>
      </c>
    </row>
    <row r="207" spans="1:24" x14ac:dyDescent="0.35">
      <c r="A207" t="s">
        <v>39</v>
      </c>
      <c r="B207" t="s">
        <v>30</v>
      </c>
      <c r="C207" s="16">
        <v>45748</v>
      </c>
      <c r="D207" t="s">
        <v>34</v>
      </c>
      <c r="E207">
        <v>6</v>
      </c>
      <c r="F207" t="s">
        <v>35</v>
      </c>
      <c r="G207" s="4">
        <v>0</v>
      </c>
      <c r="H207" s="14">
        <v>0</v>
      </c>
      <c r="I207" s="4">
        <v>2745.4300000000003</v>
      </c>
      <c r="J207" s="14">
        <v>2</v>
      </c>
      <c r="K207" s="4">
        <v>0</v>
      </c>
      <c r="L207" s="14">
        <v>0</v>
      </c>
      <c r="M207">
        <v>0</v>
      </c>
      <c r="N207" s="14">
        <v>0</v>
      </c>
      <c r="O207">
        <v>0</v>
      </c>
      <c r="P207" s="14">
        <v>0</v>
      </c>
      <c r="Q207">
        <v>0</v>
      </c>
      <c r="R207" s="14">
        <v>0</v>
      </c>
      <c r="S207" s="4">
        <v>0</v>
      </c>
      <c r="T207" s="4">
        <v>0</v>
      </c>
      <c r="U207" s="1">
        <v>42.5</v>
      </c>
      <c r="V207" s="14">
        <v>2</v>
      </c>
      <c r="W207" s="14">
        <v>1</v>
      </c>
      <c r="X207" s="14">
        <v>0</v>
      </c>
    </row>
    <row r="208" spans="1:24" x14ac:dyDescent="0.35">
      <c r="A208" t="s">
        <v>39</v>
      </c>
      <c r="B208" t="s">
        <v>30</v>
      </c>
      <c r="C208" s="16">
        <v>45748</v>
      </c>
      <c r="D208" t="s">
        <v>34</v>
      </c>
      <c r="E208">
        <v>6</v>
      </c>
      <c r="F208" t="s">
        <v>36</v>
      </c>
      <c r="G208" s="4">
        <v>0</v>
      </c>
      <c r="H208" s="14">
        <v>0</v>
      </c>
      <c r="I208" s="4">
        <v>6359.79</v>
      </c>
      <c r="J208" s="14">
        <v>8</v>
      </c>
      <c r="K208" s="4">
        <v>0</v>
      </c>
      <c r="L208" s="14">
        <v>0</v>
      </c>
      <c r="M208">
        <v>0</v>
      </c>
      <c r="N208" s="14">
        <v>0</v>
      </c>
      <c r="O208">
        <v>0</v>
      </c>
      <c r="P208" s="14">
        <v>0</v>
      </c>
      <c r="Q208">
        <v>0</v>
      </c>
      <c r="R208" s="14">
        <v>0</v>
      </c>
      <c r="S208" s="4">
        <v>0</v>
      </c>
      <c r="T208" s="4">
        <v>0</v>
      </c>
      <c r="U208" s="1">
        <v>53.5</v>
      </c>
      <c r="V208" s="14">
        <v>8</v>
      </c>
      <c r="W208" s="14">
        <v>8</v>
      </c>
      <c r="X208" s="14">
        <v>0</v>
      </c>
    </row>
    <row r="209" spans="1:24" x14ac:dyDescent="0.35">
      <c r="A209" t="s">
        <v>39</v>
      </c>
      <c r="B209" t="s">
        <v>30</v>
      </c>
      <c r="C209" s="16">
        <v>45748</v>
      </c>
      <c r="D209" t="s">
        <v>34</v>
      </c>
      <c r="E209">
        <v>8</v>
      </c>
      <c r="F209" t="s">
        <v>35</v>
      </c>
      <c r="G209" s="4">
        <v>0</v>
      </c>
      <c r="H209" s="14">
        <v>0</v>
      </c>
      <c r="I209" s="4">
        <v>885.52</v>
      </c>
      <c r="J209" s="14">
        <v>1</v>
      </c>
      <c r="K209" s="4">
        <v>0</v>
      </c>
      <c r="L209" s="14">
        <v>0</v>
      </c>
      <c r="M209">
        <v>0</v>
      </c>
      <c r="N209" s="14">
        <v>0</v>
      </c>
      <c r="O209">
        <v>0</v>
      </c>
      <c r="P209" s="14">
        <v>0</v>
      </c>
      <c r="Q209">
        <v>0</v>
      </c>
      <c r="R209" s="14">
        <v>0</v>
      </c>
      <c r="S209" s="4">
        <v>0</v>
      </c>
      <c r="T209" s="4">
        <v>0</v>
      </c>
      <c r="U209" s="1">
        <v>48</v>
      </c>
      <c r="V209" s="14">
        <v>1</v>
      </c>
      <c r="W209" s="14">
        <v>1</v>
      </c>
      <c r="X209" s="14">
        <v>0</v>
      </c>
    </row>
    <row r="210" spans="1:24" x14ac:dyDescent="0.35">
      <c r="A210" t="s">
        <v>39</v>
      </c>
      <c r="B210" t="s">
        <v>30</v>
      </c>
      <c r="C210" s="16">
        <v>45748</v>
      </c>
      <c r="D210" t="s">
        <v>34</v>
      </c>
      <c r="E210">
        <v>8</v>
      </c>
      <c r="F210" t="s">
        <v>36</v>
      </c>
      <c r="G210" s="4">
        <v>0</v>
      </c>
      <c r="H210" s="14">
        <v>0</v>
      </c>
      <c r="I210" s="4">
        <v>0</v>
      </c>
      <c r="J210" s="14">
        <v>0</v>
      </c>
      <c r="K210" s="4">
        <v>0</v>
      </c>
      <c r="L210" s="14">
        <v>0</v>
      </c>
      <c r="M210">
        <v>0</v>
      </c>
      <c r="N210" s="14">
        <v>0</v>
      </c>
      <c r="O210">
        <v>0</v>
      </c>
      <c r="P210" s="14">
        <v>0</v>
      </c>
      <c r="Q210">
        <v>0</v>
      </c>
      <c r="R210" s="14">
        <v>0</v>
      </c>
      <c r="S210" s="4">
        <v>0</v>
      </c>
      <c r="T210" s="4">
        <v>0</v>
      </c>
      <c r="V210" s="14">
        <v>0</v>
      </c>
      <c r="W210" s="14">
        <v>1</v>
      </c>
      <c r="X210" s="14">
        <v>0</v>
      </c>
    </row>
    <row r="211" spans="1:24" x14ac:dyDescent="0.35">
      <c r="A211" t="s">
        <v>39</v>
      </c>
      <c r="B211" t="s">
        <v>30</v>
      </c>
      <c r="C211" s="16">
        <v>45748</v>
      </c>
      <c r="D211" t="s">
        <v>34</v>
      </c>
      <c r="E211">
        <v>9</v>
      </c>
      <c r="F211" t="s">
        <v>35</v>
      </c>
      <c r="G211" s="4">
        <v>0</v>
      </c>
      <c r="H211" s="14">
        <v>0</v>
      </c>
      <c r="I211" s="4">
        <v>908.59</v>
      </c>
      <c r="J211" s="14">
        <v>1</v>
      </c>
      <c r="K211" s="4">
        <v>0</v>
      </c>
      <c r="L211" s="14">
        <v>0</v>
      </c>
      <c r="M211">
        <v>0</v>
      </c>
      <c r="N211" s="14">
        <v>0</v>
      </c>
      <c r="O211">
        <v>0</v>
      </c>
      <c r="P211" s="14">
        <v>0</v>
      </c>
      <c r="Q211">
        <v>0</v>
      </c>
      <c r="R211" s="14">
        <v>0</v>
      </c>
      <c r="S211" s="4">
        <v>0</v>
      </c>
      <c r="T211" s="4">
        <v>0</v>
      </c>
      <c r="U211" s="1">
        <v>20</v>
      </c>
      <c r="V211" s="14">
        <v>1</v>
      </c>
      <c r="W211" s="14">
        <v>3</v>
      </c>
      <c r="X211" s="14">
        <v>0</v>
      </c>
    </row>
    <row r="212" spans="1:24" x14ac:dyDescent="0.35">
      <c r="A212" t="s">
        <v>39</v>
      </c>
      <c r="B212" t="s">
        <v>30</v>
      </c>
      <c r="C212" s="16">
        <v>45748</v>
      </c>
      <c r="D212" t="s">
        <v>34</v>
      </c>
      <c r="E212">
        <v>9</v>
      </c>
      <c r="F212" t="s">
        <v>36</v>
      </c>
      <c r="G212" s="4">
        <v>0</v>
      </c>
      <c r="H212" s="14">
        <v>0</v>
      </c>
      <c r="I212" s="4">
        <v>2954.74</v>
      </c>
      <c r="J212" s="14">
        <v>4</v>
      </c>
      <c r="K212" s="4">
        <v>0</v>
      </c>
      <c r="L212" s="14">
        <v>0</v>
      </c>
      <c r="M212">
        <v>0</v>
      </c>
      <c r="N212" s="14">
        <v>0</v>
      </c>
      <c r="O212">
        <v>0</v>
      </c>
      <c r="P212" s="14">
        <v>0</v>
      </c>
      <c r="Q212">
        <v>0</v>
      </c>
      <c r="R212" s="14">
        <v>0</v>
      </c>
      <c r="S212" s="4">
        <v>0</v>
      </c>
      <c r="T212" s="4">
        <v>0</v>
      </c>
      <c r="U212" s="1">
        <v>18</v>
      </c>
      <c r="V212" s="14">
        <v>4</v>
      </c>
      <c r="W212" s="14">
        <v>3</v>
      </c>
      <c r="X212" s="14">
        <v>0</v>
      </c>
    </row>
    <row r="213" spans="1:24" x14ac:dyDescent="0.35">
      <c r="A213" t="s">
        <v>39</v>
      </c>
      <c r="B213" t="s">
        <v>30</v>
      </c>
      <c r="C213" s="16">
        <v>45748</v>
      </c>
      <c r="D213" t="s">
        <v>34</v>
      </c>
      <c r="E213">
        <v>10</v>
      </c>
      <c r="F213" t="s">
        <v>35</v>
      </c>
      <c r="G213" s="4">
        <v>0</v>
      </c>
      <c r="H213" s="14">
        <v>0</v>
      </c>
      <c r="I213" s="4">
        <v>0</v>
      </c>
      <c r="J213" s="14">
        <v>0</v>
      </c>
      <c r="K213" s="4">
        <v>0</v>
      </c>
      <c r="L213" s="14">
        <v>0</v>
      </c>
      <c r="M213">
        <v>0</v>
      </c>
      <c r="N213" s="14">
        <v>0</v>
      </c>
      <c r="O213">
        <v>0</v>
      </c>
      <c r="P213" s="14">
        <v>0</v>
      </c>
      <c r="Q213">
        <v>0</v>
      </c>
      <c r="R213" s="14">
        <v>0</v>
      </c>
      <c r="S213" s="4">
        <v>0</v>
      </c>
      <c r="T213" s="4">
        <v>0</v>
      </c>
      <c r="V213" s="14">
        <v>0</v>
      </c>
      <c r="W213" s="14">
        <v>1</v>
      </c>
      <c r="X213" s="14">
        <v>0</v>
      </c>
    </row>
    <row r="214" spans="1:24" x14ac:dyDescent="0.35">
      <c r="A214" t="s">
        <v>39</v>
      </c>
      <c r="B214" t="s">
        <v>30</v>
      </c>
      <c r="C214" s="16">
        <v>45748</v>
      </c>
      <c r="D214" t="s">
        <v>34</v>
      </c>
      <c r="E214">
        <v>10</v>
      </c>
      <c r="F214" t="s">
        <v>36</v>
      </c>
      <c r="G214" s="4">
        <v>0</v>
      </c>
      <c r="H214" s="14">
        <v>0</v>
      </c>
      <c r="I214" s="4">
        <v>2129.06</v>
      </c>
      <c r="J214" s="14">
        <v>2</v>
      </c>
      <c r="K214" s="4">
        <v>0</v>
      </c>
      <c r="L214" s="14">
        <v>0</v>
      </c>
      <c r="M214">
        <v>0</v>
      </c>
      <c r="N214" s="14">
        <v>0</v>
      </c>
      <c r="O214">
        <v>0</v>
      </c>
      <c r="P214" s="14">
        <v>0</v>
      </c>
      <c r="Q214">
        <v>0</v>
      </c>
      <c r="R214" s="14">
        <v>0</v>
      </c>
      <c r="S214" s="4">
        <v>0</v>
      </c>
      <c r="T214" s="4">
        <v>0</v>
      </c>
      <c r="U214" s="1">
        <v>19</v>
      </c>
      <c r="V214" s="14">
        <v>2</v>
      </c>
      <c r="W214" s="14">
        <v>2</v>
      </c>
      <c r="X214" s="14">
        <v>0</v>
      </c>
    </row>
    <row r="215" spans="1:24" x14ac:dyDescent="0.35">
      <c r="A215" t="s">
        <v>39</v>
      </c>
      <c r="B215" t="s">
        <v>30</v>
      </c>
      <c r="C215" s="16">
        <v>45748</v>
      </c>
      <c r="D215" t="s">
        <v>34</v>
      </c>
      <c r="E215">
        <v>13</v>
      </c>
      <c r="F215" t="s">
        <v>35</v>
      </c>
      <c r="G215" s="4">
        <v>0</v>
      </c>
      <c r="H215" s="14">
        <v>0</v>
      </c>
      <c r="I215" s="4">
        <v>0</v>
      </c>
      <c r="J215" s="14">
        <v>0</v>
      </c>
      <c r="K215" s="4">
        <v>0</v>
      </c>
      <c r="L215" s="14">
        <v>0</v>
      </c>
      <c r="M215">
        <v>0</v>
      </c>
      <c r="N215" s="14">
        <v>0</v>
      </c>
      <c r="O215">
        <v>0</v>
      </c>
      <c r="P215" s="14">
        <v>0</v>
      </c>
      <c r="Q215">
        <v>0</v>
      </c>
      <c r="R215" s="14">
        <v>0</v>
      </c>
      <c r="S215" s="4">
        <v>0</v>
      </c>
      <c r="T215" s="4">
        <v>0</v>
      </c>
      <c r="V215" s="14">
        <v>0</v>
      </c>
      <c r="W215" s="14">
        <v>1</v>
      </c>
      <c r="X215" s="14">
        <v>0</v>
      </c>
    </row>
    <row r="216" spans="1:24" x14ac:dyDescent="0.35">
      <c r="A216" t="s">
        <v>39</v>
      </c>
      <c r="B216" t="s">
        <v>30</v>
      </c>
      <c r="C216" s="16">
        <v>45748</v>
      </c>
      <c r="D216" t="s">
        <v>34</v>
      </c>
      <c r="E216">
        <v>13</v>
      </c>
      <c r="F216" t="s">
        <v>36</v>
      </c>
      <c r="G216" s="4">
        <v>0</v>
      </c>
      <c r="H216" s="14">
        <v>0</v>
      </c>
      <c r="I216" s="4">
        <v>0</v>
      </c>
      <c r="J216" s="14">
        <v>0</v>
      </c>
      <c r="K216" s="4">
        <v>0</v>
      </c>
      <c r="L216" s="14">
        <v>0</v>
      </c>
      <c r="M216">
        <v>0</v>
      </c>
      <c r="N216" s="14">
        <v>0</v>
      </c>
      <c r="O216">
        <v>0</v>
      </c>
      <c r="P216" s="14">
        <v>0</v>
      </c>
      <c r="Q216">
        <v>0</v>
      </c>
      <c r="R216" s="14">
        <v>0</v>
      </c>
      <c r="S216" s="4">
        <v>0</v>
      </c>
      <c r="T216" s="4">
        <v>0</v>
      </c>
      <c r="V216" s="14">
        <v>0</v>
      </c>
      <c r="W216" s="14">
        <v>1</v>
      </c>
      <c r="X216" s="14">
        <v>0</v>
      </c>
    </row>
    <row r="217" spans="1:24" x14ac:dyDescent="0.35">
      <c r="A217" t="s">
        <v>39</v>
      </c>
      <c r="B217" t="s">
        <v>30</v>
      </c>
      <c r="C217" s="16">
        <v>45748</v>
      </c>
      <c r="D217" t="s">
        <v>34</v>
      </c>
      <c r="E217">
        <v>14</v>
      </c>
      <c r="F217" t="s">
        <v>36</v>
      </c>
      <c r="G217" s="4">
        <v>0</v>
      </c>
      <c r="H217" s="14">
        <v>0</v>
      </c>
      <c r="I217" s="4">
        <v>6496.97</v>
      </c>
      <c r="J217" s="14">
        <v>2</v>
      </c>
      <c r="K217" s="4">
        <v>0</v>
      </c>
      <c r="L217" s="14">
        <v>0</v>
      </c>
      <c r="M217">
        <v>0</v>
      </c>
      <c r="N217" s="14">
        <v>0</v>
      </c>
      <c r="O217">
        <v>0</v>
      </c>
      <c r="P217" s="14">
        <v>0</v>
      </c>
      <c r="Q217">
        <v>0</v>
      </c>
      <c r="R217" s="14">
        <v>0</v>
      </c>
      <c r="S217" s="4">
        <v>0</v>
      </c>
      <c r="T217" s="4">
        <v>0</v>
      </c>
      <c r="U217" s="1">
        <v>34.5</v>
      </c>
      <c r="V217" s="14">
        <v>2</v>
      </c>
      <c r="W217" s="14">
        <v>1</v>
      </c>
      <c r="X217" s="14">
        <v>0</v>
      </c>
    </row>
    <row r="218" spans="1:24" x14ac:dyDescent="0.35">
      <c r="A218" t="s">
        <v>39</v>
      </c>
      <c r="B218" t="s">
        <v>30</v>
      </c>
      <c r="C218" s="16">
        <v>45748</v>
      </c>
      <c r="D218" t="s">
        <v>34</v>
      </c>
      <c r="E218">
        <v>15</v>
      </c>
      <c r="F218" t="s">
        <v>35</v>
      </c>
      <c r="G218" s="4">
        <v>0</v>
      </c>
      <c r="H218" s="14">
        <v>0</v>
      </c>
      <c r="I218" s="4">
        <v>3013.01</v>
      </c>
      <c r="J218" s="14">
        <v>1</v>
      </c>
      <c r="K218" s="4">
        <v>0</v>
      </c>
      <c r="L218" s="14">
        <v>0</v>
      </c>
      <c r="M218">
        <v>0</v>
      </c>
      <c r="N218" s="14">
        <v>0</v>
      </c>
      <c r="O218">
        <v>0</v>
      </c>
      <c r="P218" s="14">
        <v>0</v>
      </c>
      <c r="Q218">
        <v>0</v>
      </c>
      <c r="R218" s="14">
        <v>0</v>
      </c>
      <c r="S218" s="4">
        <v>0</v>
      </c>
      <c r="T218" s="4">
        <v>0</v>
      </c>
      <c r="U218" s="1">
        <v>86</v>
      </c>
      <c r="V218" s="14">
        <v>1</v>
      </c>
      <c r="W218" s="14">
        <v>1</v>
      </c>
      <c r="X218" s="14">
        <v>0</v>
      </c>
    </row>
    <row r="219" spans="1:24" x14ac:dyDescent="0.35">
      <c r="A219" t="s">
        <v>39</v>
      </c>
      <c r="B219" t="s">
        <v>30</v>
      </c>
      <c r="C219" s="16">
        <v>45748</v>
      </c>
      <c r="D219" t="s">
        <v>34</v>
      </c>
      <c r="E219">
        <v>16</v>
      </c>
      <c r="F219" t="s">
        <v>36</v>
      </c>
      <c r="G219" s="4">
        <v>0</v>
      </c>
      <c r="H219" s="14">
        <v>0</v>
      </c>
      <c r="I219" s="4">
        <v>0</v>
      </c>
      <c r="J219" s="14">
        <v>0</v>
      </c>
      <c r="K219" s="4">
        <v>0</v>
      </c>
      <c r="L219" s="14">
        <v>0</v>
      </c>
      <c r="M219">
        <v>0</v>
      </c>
      <c r="N219" s="14">
        <v>0</v>
      </c>
      <c r="O219">
        <v>0</v>
      </c>
      <c r="P219" s="14">
        <v>0</v>
      </c>
      <c r="Q219">
        <v>0</v>
      </c>
      <c r="R219" s="14">
        <v>0</v>
      </c>
      <c r="S219" s="4">
        <v>0</v>
      </c>
      <c r="T219" s="4">
        <v>0</v>
      </c>
      <c r="V219" s="14">
        <v>0</v>
      </c>
      <c r="W219" s="14">
        <v>4</v>
      </c>
      <c r="X219" s="14">
        <v>0</v>
      </c>
    </row>
    <row r="220" spans="1:24" x14ac:dyDescent="0.35">
      <c r="A220" t="s">
        <v>39</v>
      </c>
      <c r="B220" t="s">
        <v>30</v>
      </c>
      <c r="C220" s="16">
        <v>45748</v>
      </c>
      <c r="D220" t="s">
        <v>37</v>
      </c>
      <c r="E220">
        <v>8</v>
      </c>
      <c r="F220" t="s">
        <v>32</v>
      </c>
      <c r="G220" s="4">
        <v>0</v>
      </c>
      <c r="H220" s="14">
        <v>0</v>
      </c>
      <c r="I220" s="4">
        <v>0</v>
      </c>
      <c r="J220" s="14">
        <v>0</v>
      </c>
      <c r="K220" s="4">
        <v>0</v>
      </c>
      <c r="L220" s="14">
        <v>0</v>
      </c>
      <c r="M220">
        <v>0</v>
      </c>
      <c r="N220" s="14">
        <v>0</v>
      </c>
      <c r="O220">
        <v>0</v>
      </c>
      <c r="P220" s="14">
        <v>0</v>
      </c>
      <c r="Q220">
        <v>0</v>
      </c>
      <c r="R220" s="14">
        <v>0</v>
      </c>
      <c r="S220" s="4">
        <v>0</v>
      </c>
      <c r="T220" s="4">
        <v>0</v>
      </c>
      <c r="V220" s="14">
        <v>0</v>
      </c>
      <c r="W220" s="14">
        <v>1</v>
      </c>
      <c r="X220" s="14">
        <v>0</v>
      </c>
    </row>
    <row r="221" spans="1:24" x14ac:dyDescent="0.35">
      <c r="A221" t="s">
        <v>39</v>
      </c>
      <c r="B221" t="s">
        <v>30</v>
      </c>
      <c r="C221" s="16">
        <v>45748</v>
      </c>
      <c r="D221" t="s">
        <v>37</v>
      </c>
      <c r="E221">
        <v>13</v>
      </c>
      <c r="F221" t="s">
        <v>32</v>
      </c>
      <c r="G221" s="4">
        <v>0</v>
      </c>
      <c r="H221" s="14">
        <v>0</v>
      </c>
      <c r="I221" s="4">
        <v>0</v>
      </c>
      <c r="J221" s="14">
        <v>0</v>
      </c>
      <c r="K221" s="4">
        <v>0</v>
      </c>
      <c r="L221" s="14">
        <v>0</v>
      </c>
      <c r="M221">
        <v>0</v>
      </c>
      <c r="N221" s="14">
        <v>0</v>
      </c>
      <c r="O221">
        <v>0</v>
      </c>
      <c r="P221" s="14">
        <v>0</v>
      </c>
      <c r="Q221">
        <v>0</v>
      </c>
      <c r="R221" s="14">
        <v>0</v>
      </c>
      <c r="S221" s="4">
        <v>0</v>
      </c>
      <c r="T221" s="4">
        <v>0</v>
      </c>
      <c r="V221" s="14">
        <v>0</v>
      </c>
      <c r="W221" s="14">
        <v>1</v>
      </c>
      <c r="X221" s="14">
        <v>0</v>
      </c>
    </row>
    <row r="222" spans="1:24" x14ac:dyDescent="0.35">
      <c r="A222" t="s">
        <v>39</v>
      </c>
      <c r="B222" t="s">
        <v>30</v>
      </c>
      <c r="C222" s="16">
        <v>45778</v>
      </c>
      <c r="D222" t="s">
        <v>31</v>
      </c>
      <c r="E222">
        <v>13</v>
      </c>
      <c r="F222" t="s">
        <v>32</v>
      </c>
      <c r="G222" s="4">
        <v>0</v>
      </c>
      <c r="H222" s="14">
        <v>0</v>
      </c>
      <c r="I222" s="4">
        <v>193657.47</v>
      </c>
      <c r="J222" s="14">
        <v>5</v>
      </c>
      <c r="K222" s="4">
        <v>0</v>
      </c>
      <c r="L222" s="14">
        <v>0</v>
      </c>
      <c r="M222">
        <v>0</v>
      </c>
      <c r="N222" s="14">
        <v>0</v>
      </c>
      <c r="O222">
        <v>0</v>
      </c>
      <c r="P222" s="14">
        <v>0</v>
      </c>
      <c r="Q222">
        <v>0</v>
      </c>
      <c r="R222" s="14">
        <v>0</v>
      </c>
      <c r="S222" s="4">
        <v>0</v>
      </c>
      <c r="T222" s="4">
        <v>0</v>
      </c>
      <c r="U222" s="1">
        <v>114.2</v>
      </c>
      <c r="V222" s="14">
        <v>5</v>
      </c>
      <c r="W222" s="14">
        <v>9</v>
      </c>
      <c r="X222" s="14">
        <v>0</v>
      </c>
    </row>
    <row r="223" spans="1:24" x14ac:dyDescent="0.35">
      <c r="A223" t="s">
        <v>39</v>
      </c>
      <c r="B223" t="s">
        <v>30</v>
      </c>
      <c r="C223" s="16">
        <v>45778</v>
      </c>
      <c r="D223" t="s">
        <v>31</v>
      </c>
      <c r="E223">
        <v>14</v>
      </c>
      <c r="F223" t="s">
        <v>32</v>
      </c>
      <c r="G223" s="4">
        <v>0</v>
      </c>
      <c r="H223" s="14">
        <v>0</v>
      </c>
      <c r="I223" s="4">
        <v>6025.1</v>
      </c>
      <c r="J223" s="14">
        <v>1</v>
      </c>
      <c r="K223" s="4">
        <v>0</v>
      </c>
      <c r="L223" s="14">
        <v>0</v>
      </c>
      <c r="M223">
        <v>0</v>
      </c>
      <c r="N223" s="14">
        <v>0</v>
      </c>
      <c r="O223">
        <v>0</v>
      </c>
      <c r="P223" s="14">
        <v>0</v>
      </c>
      <c r="Q223">
        <v>0</v>
      </c>
      <c r="R223" s="14">
        <v>0</v>
      </c>
      <c r="S223" s="4">
        <v>0</v>
      </c>
      <c r="T223" s="4">
        <v>0</v>
      </c>
      <c r="U223" s="1">
        <v>165</v>
      </c>
      <c r="V223" s="14">
        <v>1</v>
      </c>
      <c r="W223" s="14">
        <v>0</v>
      </c>
      <c r="X223" s="14">
        <v>0</v>
      </c>
    </row>
    <row r="224" spans="1:24" x14ac:dyDescent="0.35">
      <c r="A224" t="s">
        <v>39</v>
      </c>
      <c r="B224" t="s">
        <v>30</v>
      </c>
      <c r="C224" s="16">
        <v>45778</v>
      </c>
      <c r="D224" t="s">
        <v>33</v>
      </c>
      <c r="E224">
        <v>6</v>
      </c>
      <c r="F224" t="s">
        <v>32</v>
      </c>
      <c r="G224" s="4">
        <v>0</v>
      </c>
      <c r="H224" s="14">
        <v>0</v>
      </c>
      <c r="I224" s="4">
        <v>16433.53</v>
      </c>
      <c r="J224" s="14">
        <v>5</v>
      </c>
      <c r="K224" s="4">
        <v>0</v>
      </c>
      <c r="L224" s="14">
        <v>0</v>
      </c>
      <c r="M224">
        <v>0</v>
      </c>
      <c r="N224" s="14">
        <v>0</v>
      </c>
      <c r="O224">
        <v>0</v>
      </c>
      <c r="P224" s="14">
        <v>0</v>
      </c>
      <c r="Q224">
        <v>0</v>
      </c>
      <c r="R224" s="14">
        <v>0</v>
      </c>
      <c r="S224" s="4">
        <v>0</v>
      </c>
      <c r="T224" s="4">
        <v>0</v>
      </c>
      <c r="U224" s="1">
        <v>142.19999999999999</v>
      </c>
      <c r="V224" s="14">
        <v>5</v>
      </c>
      <c r="W224" s="14">
        <v>2</v>
      </c>
      <c r="X224" s="14">
        <v>0</v>
      </c>
    </row>
    <row r="225" spans="1:24" x14ac:dyDescent="0.35">
      <c r="A225" t="s">
        <v>39</v>
      </c>
      <c r="B225" t="s">
        <v>30</v>
      </c>
      <c r="C225" s="16">
        <v>45778</v>
      </c>
      <c r="D225" t="s">
        <v>33</v>
      </c>
      <c r="E225">
        <v>8</v>
      </c>
      <c r="F225" t="s">
        <v>32</v>
      </c>
      <c r="G225" s="4">
        <v>0</v>
      </c>
      <c r="H225" s="14">
        <v>0</v>
      </c>
      <c r="I225" s="4">
        <v>230.23</v>
      </c>
      <c r="J225" s="14">
        <v>1</v>
      </c>
      <c r="K225" s="4">
        <v>0</v>
      </c>
      <c r="L225" s="14">
        <v>0</v>
      </c>
      <c r="M225">
        <v>0</v>
      </c>
      <c r="N225" s="14">
        <v>0</v>
      </c>
      <c r="O225">
        <v>0</v>
      </c>
      <c r="P225" s="14">
        <v>0</v>
      </c>
      <c r="Q225">
        <v>0</v>
      </c>
      <c r="R225" s="14">
        <v>0</v>
      </c>
      <c r="S225" s="4">
        <v>0</v>
      </c>
      <c r="T225" s="4">
        <v>0</v>
      </c>
      <c r="U225" s="1">
        <v>32.5</v>
      </c>
      <c r="V225" s="14">
        <v>2</v>
      </c>
      <c r="W225" s="14">
        <v>4</v>
      </c>
      <c r="X225" s="14">
        <v>0</v>
      </c>
    </row>
    <row r="226" spans="1:24" x14ac:dyDescent="0.35">
      <c r="A226" t="s">
        <v>39</v>
      </c>
      <c r="B226" t="s">
        <v>30</v>
      </c>
      <c r="C226" s="16">
        <v>45778</v>
      </c>
      <c r="D226" t="s">
        <v>33</v>
      </c>
      <c r="E226">
        <v>9</v>
      </c>
      <c r="F226" t="s">
        <v>32</v>
      </c>
      <c r="G226" s="4">
        <v>0</v>
      </c>
      <c r="H226" s="14">
        <v>0</v>
      </c>
      <c r="I226" s="4">
        <v>2604.64</v>
      </c>
      <c r="J226" s="14">
        <v>1</v>
      </c>
      <c r="K226" s="4">
        <v>0</v>
      </c>
      <c r="L226" s="14">
        <v>0</v>
      </c>
      <c r="M226">
        <v>0</v>
      </c>
      <c r="N226" s="14">
        <v>0</v>
      </c>
      <c r="O226">
        <v>0</v>
      </c>
      <c r="P226" s="14">
        <v>0</v>
      </c>
      <c r="Q226">
        <v>0</v>
      </c>
      <c r="R226" s="14">
        <v>0</v>
      </c>
      <c r="S226" s="4">
        <v>0</v>
      </c>
      <c r="T226" s="4">
        <v>0</v>
      </c>
      <c r="U226" s="1">
        <v>200</v>
      </c>
      <c r="V226" s="14">
        <v>1</v>
      </c>
      <c r="W226" s="14">
        <v>3</v>
      </c>
      <c r="X226" s="14">
        <v>0</v>
      </c>
    </row>
    <row r="227" spans="1:24" x14ac:dyDescent="0.35">
      <c r="A227" t="s">
        <v>39</v>
      </c>
      <c r="B227" t="s">
        <v>30</v>
      </c>
      <c r="C227" s="16">
        <v>45778</v>
      </c>
      <c r="D227" t="s">
        <v>33</v>
      </c>
      <c r="E227">
        <v>10</v>
      </c>
      <c r="F227" t="s">
        <v>32</v>
      </c>
      <c r="G227" s="4">
        <v>0</v>
      </c>
      <c r="H227" s="14">
        <v>0</v>
      </c>
      <c r="I227" s="4">
        <v>70646.03</v>
      </c>
      <c r="J227" s="14">
        <v>1</v>
      </c>
      <c r="K227" s="4">
        <v>0</v>
      </c>
      <c r="L227" s="14">
        <v>0</v>
      </c>
      <c r="M227">
        <v>0</v>
      </c>
      <c r="N227" s="14">
        <v>0</v>
      </c>
      <c r="O227">
        <v>0</v>
      </c>
      <c r="P227" s="14">
        <v>0</v>
      </c>
      <c r="Q227">
        <v>0</v>
      </c>
      <c r="R227" s="14">
        <v>0</v>
      </c>
      <c r="S227" s="4">
        <v>0</v>
      </c>
      <c r="T227" s="4">
        <v>0</v>
      </c>
      <c r="U227" s="1">
        <v>41.333333333333336</v>
      </c>
      <c r="V227" s="14">
        <v>3</v>
      </c>
      <c r="W227" s="14">
        <v>6</v>
      </c>
      <c r="X227" s="14">
        <v>0</v>
      </c>
    </row>
    <row r="228" spans="1:24" x14ac:dyDescent="0.35">
      <c r="A228" t="s">
        <v>39</v>
      </c>
      <c r="B228" t="s">
        <v>30</v>
      </c>
      <c r="C228" s="16">
        <v>45778</v>
      </c>
      <c r="D228" t="s">
        <v>33</v>
      </c>
      <c r="E228">
        <v>13</v>
      </c>
      <c r="F228" t="s">
        <v>32</v>
      </c>
      <c r="G228" s="4">
        <v>0</v>
      </c>
      <c r="H228" s="14">
        <v>0</v>
      </c>
      <c r="I228" s="4">
        <v>9577.18</v>
      </c>
      <c r="J228" s="14">
        <v>1</v>
      </c>
      <c r="K228" s="4">
        <v>0</v>
      </c>
      <c r="L228" s="14">
        <v>0</v>
      </c>
      <c r="M228">
        <v>0</v>
      </c>
      <c r="N228" s="14">
        <v>0</v>
      </c>
      <c r="O228">
        <v>0</v>
      </c>
      <c r="P228" s="14">
        <v>0</v>
      </c>
      <c r="Q228">
        <v>0</v>
      </c>
      <c r="R228" s="14">
        <v>0</v>
      </c>
      <c r="S228" s="4">
        <v>0</v>
      </c>
      <c r="T228" s="4">
        <v>0</v>
      </c>
      <c r="U228" s="1">
        <v>105</v>
      </c>
      <c r="V228" s="14">
        <v>1</v>
      </c>
      <c r="W228" s="14">
        <v>2</v>
      </c>
      <c r="X228" s="14">
        <v>0</v>
      </c>
    </row>
    <row r="229" spans="1:24" x14ac:dyDescent="0.35">
      <c r="A229" t="s">
        <v>39</v>
      </c>
      <c r="B229" t="s">
        <v>30</v>
      </c>
      <c r="C229" s="16">
        <v>45778</v>
      </c>
      <c r="D229" t="s">
        <v>33</v>
      </c>
      <c r="E229">
        <v>14</v>
      </c>
      <c r="F229" t="s">
        <v>32</v>
      </c>
      <c r="G229" s="4">
        <v>0</v>
      </c>
      <c r="H229" s="14">
        <v>0</v>
      </c>
      <c r="I229" s="4">
        <v>0</v>
      </c>
      <c r="J229" s="14">
        <v>0</v>
      </c>
      <c r="K229" s="4">
        <v>0</v>
      </c>
      <c r="L229" s="14">
        <v>0</v>
      </c>
      <c r="M229">
        <v>0</v>
      </c>
      <c r="N229" s="14">
        <v>0</v>
      </c>
      <c r="O229">
        <v>0</v>
      </c>
      <c r="P229" s="14">
        <v>0</v>
      </c>
      <c r="Q229">
        <v>0</v>
      </c>
      <c r="R229" s="14">
        <v>0</v>
      </c>
      <c r="S229" s="4">
        <v>0</v>
      </c>
      <c r="T229" s="4">
        <v>0</v>
      </c>
      <c r="V229" s="14">
        <v>0</v>
      </c>
      <c r="W229" s="14">
        <v>3</v>
      </c>
      <c r="X229" s="14">
        <v>0</v>
      </c>
    </row>
    <row r="230" spans="1:24" x14ac:dyDescent="0.35">
      <c r="A230" t="s">
        <v>39</v>
      </c>
      <c r="B230" t="s">
        <v>30</v>
      </c>
      <c r="C230" s="16">
        <v>45778</v>
      </c>
      <c r="D230" t="s">
        <v>33</v>
      </c>
      <c r="E230">
        <v>15</v>
      </c>
      <c r="F230" t="s">
        <v>32</v>
      </c>
      <c r="G230" s="4">
        <v>0</v>
      </c>
      <c r="H230" s="14">
        <v>0</v>
      </c>
      <c r="I230" s="4">
        <v>0</v>
      </c>
      <c r="J230" s="14">
        <v>0</v>
      </c>
      <c r="K230" s="4">
        <v>0</v>
      </c>
      <c r="L230" s="14">
        <v>0</v>
      </c>
      <c r="M230">
        <v>0</v>
      </c>
      <c r="N230" s="14">
        <v>0</v>
      </c>
      <c r="O230">
        <v>0</v>
      </c>
      <c r="P230" s="14">
        <v>0</v>
      </c>
      <c r="Q230">
        <v>0</v>
      </c>
      <c r="R230" s="14">
        <v>0</v>
      </c>
      <c r="S230" s="4">
        <v>0</v>
      </c>
      <c r="T230" s="4">
        <v>0</v>
      </c>
      <c r="V230" s="14">
        <v>0</v>
      </c>
      <c r="W230" s="14">
        <v>1</v>
      </c>
      <c r="X230" s="14">
        <v>0</v>
      </c>
    </row>
    <row r="231" spans="1:24" x14ac:dyDescent="0.35">
      <c r="A231" t="s">
        <v>39</v>
      </c>
      <c r="B231" t="s">
        <v>30</v>
      </c>
      <c r="C231" s="16">
        <v>45778</v>
      </c>
      <c r="D231" t="s">
        <v>33</v>
      </c>
      <c r="E231">
        <v>16</v>
      </c>
      <c r="F231" t="s">
        <v>32</v>
      </c>
      <c r="G231" s="4">
        <v>0</v>
      </c>
      <c r="H231" s="14">
        <v>0</v>
      </c>
      <c r="I231" s="4">
        <v>0</v>
      </c>
      <c r="J231" s="14">
        <v>0</v>
      </c>
      <c r="K231" s="4">
        <v>0</v>
      </c>
      <c r="L231" s="14">
        <v>0</v>
      </c>
      <c r="M231">
        <v>0</v>
      </c>
      <c r="N231" s="14">
        <v>0</v>
      </c>
      <c r="O231">
        <v>0</v>
      </c>
      <c r="P231" s="14">
        <v>0</v>
      </c>
      <c r="Q231">
        <v>0</v>
      </c>
      <c r="R231" s="14">
        <v>0</v>
      </c>
      <c r="S231" s="4">
        <v>0</v>
      </c>
      <c r="T231" s="4">
        <v>0</v>
      </c>
      <c r="V231" s="14">
        <v>0</v>
      </c>
      <c r="W231" s="14">
        <v>3</v>
      </c>
      <c r="X231" s="14">
        <v>0</v>
      </c>
    </row>
    <row r="232" spans="1:24" x14ac:dyDescent="0.35">
      <c r="A232" t="s">
        <v>39</v>
      </c>
      <c r="B232" t="s">
        <v>30</v>
      </c>
      <c r="C232" s="16">
        <v>45778</v>
      </c>
      <c r="D232" t="s">
        <v>34</v>
      </c>
      <c r="E232">
        <v>6</v>
      </c>
      <c r="F232" t="s">
        <v>35</v>
      </c>
      <c r="G232" s="4">
        <v>0</v>
      </c>
      <c r="H232" s="14">
        <v>0</v>
      </c>
      <c r="I232" s="4">
        <v>1649.35</v>
      </c>
      <c r="J232" s="14">
        <v>2</v>
      </c>
      <c r="K232" s="4">
        <v>0</v>
      </c>
      <c r="L232" s="14">
        <v>0</v>
      </c>
      <c r="M232">
        <v>0</v>
      </c>
      <c r="N232" s="14">
        <v>0</v>
      </c>
      <c r="O232">
        <v>0</v>
      </c>
      <c r="P232" s="14">
        <v>0</v>
      </c>
      <c r="Q232">
        <v>0</v>
      </c>
      <c r="R232" s="14">
        <v>0</v>
      </c>
      <c r="S232" s="4">
        <v>0</v>
      </c>
      <c r="T232" s="4">
        <v>0</v>
      </c>
      <c r="U232" s="1">
        <v>112</v>
      </c>
      <c r="V232" s="14">
        <v>2</v>
      </c>
      <c r="W232" s="14">
        <v>5</v>
      </c>
      <c r="X232" s="14">
        <v>0</v>
      </c>
    </row>
    <row r="233" spans="1:24" x14ac:dyDescent="0.35">
      <c r="A233" t="s">
        <v>39</v>
      </c>
      <c r="B233" t="s">
        <v>30</v>
      </c>
      <c r="C233" s="16">
        <v>45778</v>
      </c>
      <c r="D233" t="s">
        <v>34</v>
      </c>
      <c r="E233">
        <v>6</v>
      </c>
      <c r="F233" t="s">
        <v>36</v>
      </c>
      <c r="G233" s="4">
        <v>0</v>
      </c>
      <c r="H233" s="14">
        <v>0</v>
      </c>
      <c r="I233" s="4">
        <v>2155.48</v>
      </c>
      <c r="J233" s="14">
        <v>3</v>
      </c>
      <c r="K233" s="4">
        <v>0</v>
      </c>
      <c r="L233" s="14">
        <v>0</v>
      </c>
      <c r="M233">
        <v>0</v>
      </c>
      <c r="N233" s="14">
        <v>0</v>
      </c>
      <c r="O233">
        <v>0</v>
      </c>
      <c r="P233" s="14">
        <v>0</v>
      </c>
      <c r="Q233">
        <v>0</v>
      </c>
      <c r="R233" s="14">
        <v>0</v>
      </c>
      <c r="S233" s="4">
        <v>0</v>
      </c>
      <c r="T233" s="4">
        <v>0</v>
      </c>
      <c r="U233" s="1">
        <v>58</v>
      </c>
      <c r="V233" s="14">
        <v>3</v>
      </c>
      <c r="W233" s="14">
        <v>7</v>
      </c>
      <c r="X233" s="14">
        <v>0</v>
      </c>
    </row>
    <row r="234" spans="1:24" x14ac:dyDescent="0.35">
      <c r="A234" t="s">
        <v>39</v>
      </c>
      <c r="B234" t="s">
        <v>30</v>
      </c>
      <c r="C234" s="16">
        <v>45778</v>
      </c>
      <c r="D234" t="s">
        <v>34</v>
      </c>
      <c r="E234">
        <v>8</v>
      </c>
      <c r="F234" t="s">
        <v>35</v>
      </c>
      <c r="G234" s="4">
        <v>0</v>
      </c>
      <c r="H234" s="14">
        <v>0</v>
      </c>
      <c r="I234" s="4">
        <v>1180.81</v>
      </c>
      <c r="J234" s="14">
        <v>1</v>
      </c>
      <c r="K234" s="4">
        <v>0</v>
      </c>
      <c r="L234" s="14">
        <v>0</v>
      </c>
      <c r="M234">
        <v>0</v>
      </c>
      <c r="N234" s="14">
        <v>0</v>
      </c>
      <c r="O234">
        <v>0</v>
      </c>
      <c r="P234" s="14">
        <v>0</v>
      </c>
      <c r="Q234">
        <v>0</v>
      </c>
      <c r="R234" s="14">
        <v>0</v>
      </c>
      <c r="S234" s="4">
        <v>0</v>
      </c>
      <c r="T234" s="4">
        <v>0</v>
      </c>
      <c r="U234" s="1">
        <v>99</v>
      </c>
      <c r="V234" s="14">
        <v>1</v>
      </c>
      <c r="W234" s="14">
        <v>1</v>
      </c>
      <c r="X234" s="14">
        <v>0</v>
      </c>
    </row>
    <row r="235" spans="1:24" x14ac:dyDescent="0.35">
      <c r="A235" t="s">
        <v>39</v>
      </c>
      <c r="B235" t="s">
        <v>30</v>
      </c>
      <c r="C235" s="16">
        <v>45778</v>
      </c>
      <c r="D235" t="s">
        <v>34</v>
      </c>
      <c r="E235">
        <v>8</v>
      </c>
      <c r="F235" t="s">
        <v>36</v>
      </c>
      <c r="G235" s="4">
        <v>0</v>
      </c>
      <c r="H235" s="14">
        <v>0</v>
      </c>
      <c r="I235" s="4">
        <v>745.75</v>
      </c>
      <c r="J235" s="14">
        <v>1</v>
      </c>
      <c r="K235" s="4">
        <v>0</v>
      </c>
      <c r="L235" s="14">
        <v>0</v>
      </c>
      <c r="M235">
        <v>0</v>
      </c>
      <c r="N235" s="14">
        <v>0</v>
      </c>
      <c r="O235">
        <v>0</v>
      </c>
      <c r="P235" s="14">
        <v>0</v>
      </c>
      <c r="Q235">
        <v>0</v>
      </c>
      <c r="R235" s="14">
        <v>0</v>
      </c>
      <c r="S235" s="4">
        <v>0</v>
      </c>
      <c r="T235" s="4">
        <v>0</v>
      </c>
      <c r="U235" s="1">
        <v>43</v>
      </c>
      <c r="V235" s="14">
        <v>1</v>
      </c>
      <c r="W235" s="14">
        <v>2</v>
      </c>
      <c r="X235" s="14">
        <v>0</v>
      </c>
    </row>
    <row r="236" spans="1:24" x14ac:dyDescent="0.35">
      <c r="A236" t="s">
        <v>39</v>
      </c>
      <c r="B236" t="s">
        <v>30</v>
      </c>
      <c r="C236" s="16">
        <v>45778</v>
      </c>
      <c r="D236" t="s">
        <v>34</v>
      </c>
      <c r="E236">
        <v>9</v>
      </c>
      <c r="F236" t="s">
        <v>35</v>
      </c>
      <c r="G236" s="4">
        <v>0</v>
      </c>
      <c r="H236" s="14">
        <v>0</v>
      </c>
      <c r="I236" s="4">
        <v>4908.9699999999993</v>
      </c>
      <c r="J236" s="14">
        <v>4</v>
      </c>
      <c r="K236" s="4">
        <v>0</v>
      </c>
      <c r="L236" s="14">
        <v>0</v>
      </c>
      <c r="M236">
        <v>0</v>
      </c>
      <c r="N236" s="14">
        <v>0</v>
      </c>
      <c r="O236">
        <v>0</v>
      </c>
      <c r="P236" s="14">
        <v>0</v>
      </c>
      <c r="Q236">
        <v>0</v>
      </c>
      <c r="R236" s="14">
        <v>0</v>
      </c>
      <c r="S236" s="4">
        <v>0</v>
      </c>
      <c r="T236" s="4">
        <v>0</v>
      </c>
      <c r="U236" s="1">
        <v>18</v>
      </c>
      <c r="V236" s="14">
        <v>4</v>
      </c>
      <c r="W236" s="14">
        <v>1</v>
      </c>
      <c r="X236" s="14">
        <v>0</v>
      </c>
    </row>
    <row r="237" spans="1:24" x14ac:dyDescent="0.35">
      <c r="A237" t="s">
        <v>39</v>
      </c>
      <c r="B237" t="s">
        <v>30</v>
      </c>
      <c r="C237" s="16">
        <v>45778</v>
      </c>
      <c r="D237" t="s">
        <v>34</v>
      </c>
      <c r="E237">
        <v>9</v>
      </c>
      <c r="F237" t="s">
        <v>36</v>
      </c>
      <c r="G237" s="4">
        <v>0</v>
      </c>
      <c r="H237" s="14">
        <v>0</v>
      </c>
      <c r="I237" s="4">
        <v>4477.87</v>
      </c>
      <c r="J237" s="14">
        <v>4</v>
      </c>
      <c r="K237" s="4">
        <v>0</v>
      </c>
      <c r="L237" s="14">
        <v>0</v>
      </c>
      <c r="M237">
        <v>0</v>
      </c>
      <c r="N237" s="14">
        <v>0</v>
      </c>
      <c r="O237">
        <v>0</v>
      </c>
      <c r="P237" s="14">
        <v>0</v>
      </c>
      <c r="Q237">
        <v>0</v>
      </c>
      <c r="R237" s="14">
        <v>0</v>
      </c>
      <c r="S237" s="4">
        <v>0</v>
      </c>
      <c r="T237" s="4">
        <v>0</v>
      </c>
      <c r="U237" s="1">
        <v>56.75</v>
      </c>
      <c r="V237" s="14">
        <v>4</v>
      </c>
      <c r="W237" s="14">
        <v>4</v>
      </c>
      <c r="X237" s="14">
        <v>0</v>
      </c>
    </row>
    <row r="238" spans="1:24" x14ac:dyDescent="0.35">
      <c r="A238" t="s">
        <v>39</v>
      </c>
      <c r="B238" t="s">
        <v>30</v>
      </c>
      <c r="C238" s="16">
        <v>45778</v>
      </c>
      <c r="D238" t="s">
        <v>34</v>
      </c>
      <c r="E238">
        <v>10</v>
      </c>
      <c r="F238" t="s">
        <v>35</v>
      </c>
      <c r="G238" s="4">
        <v>0</v>
      </c>
      <c r="H238" s="14">
        <v>0</v>
      </c>
      <c r="I238" s="4">
        <v>0</v>
      </c>
      <c r="J238" s="14">
        <v>0</v>
      </c>
      <c r="K238" s="4">
        <v>0</v>
      </c>
      <c r="L238" s="14">
        <v>0</v>
      </c>
      <c r="M238">
        <v>0</v>
      </c>
      <c r="N238" s="14">
        <v>0</v>
      </c>
      <c r="O238">
        <v>0</v>
      </c>
      <c r="P238" s="14">
        <v>0</v>
      </c>
      <c r="Q238">
        <v>0</v>
      </c>
      <c r="R238" s="14">
        <v>0</v>
      </c>
      <c r="S238" s="4">
        <v>0</v>
      </c>
      <c r="T238" s="4">
        <v>0</v>
      </c>
      <c r="V238" s="14">
        <v>0</v>
      </c>
      <c r="W238" s="14">
        <v>2</v>
      </c>
      <c r="X238" s="14">
        <v>0</v>
      </c>
    </row>
    <row r="239" spans="1:24" x14ac:dyDescent="0.35">
      <c r="A239" t="s">
        <v>39</v>
      </c>
      <c r="B239" t="s">
        <v>30</v>
      </c>
      <c r="C239" s="16">
        <v>45778</v>
      </c>
      <c r="D239" t="s">
        <v>34</v>
      </c>
      <c r="E239">
        <v>10</v>
      </c>
      <c r="F239" t="s">
        <v>36</v>
      </c>
      <c r="G239" s="4">
        <v>0</v>
      </c>
      <c r="H239" s="14">
        <v>0</v>
      </c>
      <c r="I239" s="4">
        <v>795.45</v>
      </c>
      <c r="J239" s="14">
        <v>1</v>
      </c>
      <c r="K239" s="4">
        <v>0</v>
      </c>
      <c r="L239" s="14">
        <v>0</v>
      </c>
      <c r="M239">
        <v>0</v>
      </c>
      <c r="N239" s="14">
        <v>0</v>
      </c>
      <c r="O239">
        <v>0</v>
      </c>
      <c r="P239" s="14">
        <v>0</v>
      </c>
      <c r="Q239">
        <v>0</v>
      </c>
      <c r="R239" s="14">
        <v>0</v>
      </c>
      <c r="S239" s="4">
        <v>0</v>
      </c>
      <c r="T239" s="4">
        <v>0</v>
      </c>
      <c r="U239" s="1">
        <v>36</v>
      </c>
      <c r="V239" s="14">
        <v>1</v>
      </c>
      <c r="W239" s="14">
        <v>3</v>
      </c>
      <c r="X239" s="14">
        <v>0</v>
      </c>
    </row>
    <row r="240" spans="1:24" x14ac:dyDescent="0.35">
      <c r="A240" t="s">
        <v>39</v>
      </c>
      <c r="B240" t="s">
        <v>30</v>
      </c>
      <c r="C240" s="16">
        <v>45778</v>
      </c>
      <c r="D240" t="s">
        <v>34</v>
      </c>
      <c r="E240">
        <v>13</v>
      </c>
      <c r="F240" t="s">
        <v>35</v>
      </c>
      <c r="G240" s="4">
        <v>0</v>
      </c>
      <c r="H240" s="14">
        <v>0</v>
      </c>
      <c r="I240" s="4">
        <v>860.19</v>
      </c>
      <c r="J240" s="14">
        <v>1</v>
      </c>
      <c r="K240" s="4">
        <v>0</v>
      </c>
      <c r="L240" s="14">
        <v>0</v>
      </c>
      <c r="M240">
        <v>0</v>
      </c>
      <c r="N240" s="14">
        <v>0</v>
      </c>
      <c r="O240">
        <v>0</v>
      </c>
      <c r="P240" s="14">
        <v>0</v>
      </c>
      <c r="Q240">
        <v>0</v>
      </c>
      <c r="R240" s="14">
        <v>0</v>
      </c>
      <c r="S240" s="4">
        <v>0</v>
      </c>
      <c r="T240" s="4">
        <v>0</v>
      </c>
      <c r="U240" s="1">
        <v>34</v>
      </c>
      <c r="V240" s="14">
        <v>1</v>
      </c>
      <c r="W240" s="14">
        <v>0</v>
      </c>
      <c r="X240" s="14">
        <v>0</v>
      </c>
    </row>
    <row r="241" spans="1:24" x14ac:dyDescent="0.35">
      <c r="A241" t="s">
        <v>39</v>
      </c>
      <c r="B241" t="s">
        <v>30</v>
      </c>
      <c r="C241" s="16">
        <v>45778</v>
      </c>
      <c r="D241" t="s">
        <v>34</v>
      </c>
      <c r="E241">
        <v>13</v>
      </c>
      <c r="F241" t="s">
        <v>36</v>
      </c>
      <c r="G241" s="4">
        <v>0</v>
      </c>
      <c r="H241" s="14">
        <v>0</v>
      </c>
      <c r="I241" s="4">
        <v>0</v>
      </c>
      <c r="J241" s="14">
        <v>0</v>
      </c>
      <c r="K241" s="4">
        <v>0</v>
      </c>
      <c r="L241" s="14">
        <v>0</v>
      </c>
      <c r="M241">
        <v>0</v>
      </c>
      <c r="N241" s="14">
        <v>0</v>
      </c>
      <c r="O241">
        <v>0</v>
      </c>
      <c r="P241" s="14">
        <v>0</v>
      </c>
      <c r="Q241">
        <v>0</v>
      </c>
      <c r="R241" s="14">
        <v>0</v>
      </c>
      <c r="S241" s="4">
        <v>0</v>
      </c>
      <c r="T241" s="4">
        <v>0</v>
      </c>
      <c r="V241" s="14">
        <v>0</v>
      </c>
      <c r="W241" s="14">
        <v>1</v>
      </c>
      <c r="X241" s="14">
        <v>0</v>
      </c>
    </row>
    <row r="242" spans="1:24" x14ac:dyDescent="0.35">
      <c r="A242" t="s">
        <v>39</v>
      </c>
      <c r="B242" t="s">
        <v>30</v>
      </c>
      <c r="C242" s="16">
        <v>45778</v>
      </c>
      <c r="D242" t="s">
        <v>34</v>
      </c>
      <c r="E242">
        <v>14</v>
      </c>
      <c r="F242" t="s">
        <v>36</v>
      </c>
      <c r="G242" s="4">
        <v>0</v>
      </c>
      <c r="H242" s="14">
        <v>0</v>
      </c>
      <c r="I242" s="4">
        <v>0</v>
      </c>
      <c r="J242" s="14">
        <v>0</v>
      </c>
      <c r="K242" s="4">
        <v>0</v>
      </c>
      <c r="L242" s="14">
        <v>0</v>
      </c>
      <c r="M242">
        <v>0</v>
      </c>
      <c r="N242" s="14">
        <v>0</v>
      </c>
      <c r="O242">
        <v>0</v>
      </c>
      <c r="P242" s="14">
        <v>0</v>
      </c>
      <c r="Q242">
        <v>0</v>
      </c>
      <c r="R242" s="14">
        <v>0</v>
      </c>
      <c r="S242" s="4">
        <v>0</v>
      </c>
      <c r="T242" s="4">
        <v>0</v>
      </c>
      <c r="V242" s="14">
        <v>0</v>
      </c>
      <c r="W242" s="14">
        <v>5</v>
      </c>
      <c r="X242" s="14">
        <v>0</v>
      </c>
    </row>
    <row r="243" spans="1:24" x14ac:dyDescent="0.35">
      <c r="A243" t="s">
        <v>39</v>
      </c>
      <c r="B243" t="s">
        <v>30</v>
      </c>
      <c r="C243" s="16">
        <v>45778</v>
      </c>
      <c r="D243" t="s">
        <v>34</v>
      </c>
      <c r="E243">
        <v>16</v>
      </c>
      <c r="F243" t="s">
        <v>36</v>
      </c>
      <c r="G243" s="4">
        <v>0</v>
      </c>
      <c r="H243" s="14">
        <v>0</v>
      </c>
      <c r="I243" s="4">
        <v>0</v>
      </c>
      <c r="J243" s="14">
        <v>0</v>
      </c>
      <c r="K243" s="4">
        <v>0</v>
      </c>
      <c r="L243" s="14">
        <v>0</v>
      </c>
      <c r="M243">
        <v>0</v>
      </c>
      <c r="N243" s="14">
        <v>0</v>
      </c>
      <c r="O243">
        <v>0</v>
      </c>
      <c r="P243" s="14">
        <v>0</v>
      </c>
      <c r="Q243">
        <v>0</v>
      </c>
      <c r="R243" s="14">
        <v>0</v>
      </c>
      <c r="S243" s="4">
        <v>0</v>
      </c>
      <c r="T243" s="4">
        <v>0</v>
      </c>
      <c r="V243" s="14">
        <v>0</v>
      </c>
      <c r="W243" s="14">
        <v>1</v>
      </c>
      <c r="X243" s="14">
        <v>0</v>
      </c>
    </row>
    <row r="244" spans="1:24" x14ac:dyDescent="0.35">
      <c r="A244" t="s">
        <v>39</v>
      </c>
      <c r="B244" t="s">
        <v>30</v>
      </c>
      <c r="C244" s="16">
        <v>45778</v>
      </c>
      <c r="D244" t="s">
        <v>37</v>
      </c>
      <c r="E244">
        <v>14</v>
      </c>
      <c r="F244" t="s">
        <v>32</v>
      </c>
      <c r="G244" s="4">
        <v>0</v>
      </c>
      <c r="H244" s="14">
        <v>0</v>
      </c>
      <c r="I244" s="4">
        <v>119606.31</v>
      </c>
      <c r="J244" s="14">
        <v>1</v>
      </c>
      <c r="K244" s="4">
        <v>0</v>
      </c>
      <c r="L244" s="14">
        <v>0</v>
      </c>
      <c r="M244">
        <v>0</v>
      </c>
      <c r="N244" s="14">
        <v>0</v>
      </c>
      <c r="O244">
        <v>0</v>
      </c>
      <c r="P244" s="14">
        <v>0</v>
      </c>
      <c r="Q244">
        <v>0</v>
      </c>
      <c r="R244" s="14">
        <v>0</v>
      </c>
      <c r="S244" s="4">
        <v>0</v>
      </c>
      <c r="T244" s="4">
        <v>0</v>
      </c>
      <c r="U244" s="1">
        <v>28</v>
      </c>
      <c r="V244" s="14">
        <v>1</v>
      </c>
      <c r="W244" s="14">
        <v>0</v>
      </c>
      <c r="X244" s="14">
        <v>0</v>
      </c>
    </row>
    <row r="245" spans="1:24" x14ac:dyDescent="0.35">
      <c r="A245" t="s">
        <v>39</v>
      </c>
      <c r="B245" t="s">
        <v>30</v>
      </c>
      <c r="C245" s="16">
        <v>45809</v>
      </c>
      <c r="D245" t="s">
        <v>31</v>
      </c>
      <c r="E245">
        <v>6</v>
      </c>
      <c r="F245" t="s">
        <v>32</v>
      </c>
      <c r="G245" s="4">
        <v>0</v>
      </c>
      <c r="H245" s="14">
        <v>0</v>
      </c>
      <c r="I245" s="4">
        <v>0</v>
      </c>
      <c r="J245" s="14">
        <v>0</v>
      </c>
      <c r="K245" s="4">
        <v>0</v>
      </c>
      <c r="L245" s="14">
        <v>0</v>
      </c>
      <c r="M245">
        <v>0</v>
      </c>
      <c r="N245" s="14">
        <v>0</v>
      </c>
      <c r="O245">
        <v>0</v>
      </c>
      <c r="P245" s="14">
        <v>0</v>
      </c>
      <c r="Q245">
        <v>0</v>
      </c>
      <c r="R245" s="14">
        <v>0</v>
      </c>
      <c r="S245" s="4">
        <v>0</v>
      </c>
      <c r="T245" s="4">
        <v>0</v>
      </c>
      <c r="V245" s="14">
        <v>0</v>
      </c>
      <c r="W245" s="14">
        <v>1</v>
      </c>
      <c r="X245" s="14">
        <v>0</v>
      </c>
    </row>
    <row r="246" spans="1:24" x14ac:dyDescent="0.35">
      <c r="A246" t="s">
        <v>39</v>
      </c>
      <c r="B246" t="s">
        <v>30</v>
      </c>
      <c r="C246" s="16">
        <v>45809</v>
      </c>
      <c r="D246" t="s">
        <v>31</v>
      </c>
      <c r="E246">
        <v>13</v>
      </c>
      <c r="F246" t="s">
        <v>32</v>
      </c>
      <c r="G246" s="4">
        <v>0</v>
      </c>
      <c r="H246" s="14">
        <v>0</v>
      </c>
      <c r="I246" s="4">
        <v>210233.75000000003</v>
      </c>
      <c r="J246" s="14">
        <v>7</v>
      </c>
      <c r="K246" s="4">
        <v>0</v>
      </c>
      <c r="L246" s="14">
        <v>0</v>
      </c>
      <c r="M246">
        <v>0</v>
      </c>
      <c r="N246" s="14">
        <v>0</v>
      </c>
      <c r="O246">
        <v>0</v>
      </c>
      <c r="P246" s="14">
        <v>0</v>
      </c>
      <c r="Q246">
        <v>0</v>
      </c>
      <c r="R246" s="14">
        <v>0</v>
      </c>
      <c r="S246" s="4">
        <v>0</v>
      </c>
      <c r="T246" s="4">
        <v>0</v>
      </c>
      <c r="U246" s="1">
        <v>117.28571428571429</v>
      </c>
      <c r="V246" s="14">
        <v>7</v>
      </c>
      <c r="W246" s="14">
        <v>10</v>
      </c>
      <c r="X246" s="14">
        <v>0</v>
      </c>
    </row>
    <row r="247" spans="1:24" x14ac:dyDescent="0.35">
      <c r="A247" t="s">
        <v>39</v>
      </c>
      <c r="B247" t="s">
        <v>30</v>
      </c>
      <c r="C247" s="16">
        <v>45809</v>
      </c>
      <c r="D247" t="s">
        <v>31</v>
      </c>
      <c r="E247">
        <v>16</v>
      </c>
      <c r="F247" t="s">
        <v>32</v>
      </c>
      <c r="G247" s="4">
        <v>0</v>
      </c>
      <c r="H247" s="14">
        <v>0</v>
      </c>
      <c r="I247" s="4">
        <v>0</v>
      </c>
      <c r="J247" s="14">
        <v>0</v>
      </c>
      <c r="K247" s="4">
        <v>0</v>
      </c>
      <c r="L247" s="14">
        <v>0</v>
      </c>
      <c r="M247">
        <v>0</v>
      </c>
      <c r="N247" s="14">
        <v>0</v>
      </c>
      <c r="O247">
        <v>0</v>
      </c>
      <c r="P247" s="14">
        <v>0</v>
      </c>
      <c r="Q247">
        <v>0</v>
      </c>
      <c r="R247" s="14">
        <v>0</v>
      </c>
      <c r="S247" s="4">
        <v>0</v>
      </c>
      <c r="T247" s="4">
        <v>0</v>
      </c>
      <c r="V247" s="14">
        <v>0</v>
      </c>
      <c r="W247" s="14">
        <v>1</v>
      </c>
      <c r="X247" s="14">
        <v>0</v>
      </c>
    </row>
    <row r="248" spans="1:24" x14ac:dyDescent="0.35">
      <c r="A248" t="s">
        <v>39</v>
      </c>
      <c r="B248" t="s">
        <v>30</v>
      </c>
      <c r="C248" s="16">
        <v>45809</v>
      </c>
      <c r="D248" t="s">
        <v>33</v>
      </c>
      <c r="E248">
        <v>6</v>
      </c>
      <c r="F248" t="s">
        <v>32</v>
      </c>
      <c r="G248" s="4">
        <v>0</v>
      </c>
      <c r="H248" s="14">
        <v>0</v>
      </c>
      <c r="I248" s="4">
        <v>986.34</v>
      </c>
      <c r="J248" s="14">
        <v>1</v>
      </c>
      <c r="K248" s="4">
        <v>0</v>
      </c>
      <c r="L248" s="14">
        <v>0</v>
      </c>
      <c r="M248">
        <v>0</v>
      </c>
      <c r="N248" s="14">
        <v>0</v>
      </c>
      <c r="O248">
        <v>0</v>
      </c>
      <c r="P248" s="14">
        <v>0</v>
      </c>
      <c r="Q248">
        <v>0</v>
      </c>
      <c r="R248" s="14">
        <v>0</v>
      </c>
      <c r="S248" s="4">
        <v>0</v>
      </c>
      <c r="T248" s="4">
        <v>0</v>
      </c>
      <c r="U248" s="1">
        <v>46</v>
      </c>
      <c r="V248" s="14">
        <v>1</v>
      </c>
      <c r="W248" s="14">
        <v>3</v>
      </c>
      <c r="X248" s="14">
        <v>0</v>
      </c>
    </row>
    <row r="249" spans="1:24" x14ac:dyDescent="0.35">
      <c r="A249" t="s">
        <v>39</v>
      </c>
      <c r="B249" t="s">
        <v>30</v>
      </c>
      <c r="C249" s="16">
        <v>45809</v>
      </c>
      <c r="D249" t="s">
        <v>33</v>
      </c>
      <c r="E249">
        <v>8</v>
      </c>
      <c r="F249" t="s">
        <v>32</v>
      </c>
      <c r="G249" s="4">
        <v>0</v>
      </c>
      <c r="H249" s="14">
        <v>0</v>
      </c>
      <c r="I249" s="4">
        <v>48674.78</v>
      </c>
      <c r="J249" s="14">
        <v>3</v>
      </c>
      <c r="K249" s="4">
        <v>0</v>
      </c>
      <c r="L249" s="14">
        <v>0</v>
      </c>
      <c r="M249">
        <v>0</v>
      </c>
      <c r="N249" s="14">
        <v>0</v>
      </c>
      <c r="O249">
        <v>0</v>
      </c>
      <c r="P249" s="14">
        <v>0</v>
      </c>
      <c r="Q249">
        <v>0</v>
      </c>
      <c r="R249" s="14">
        <v>0</v>
      </c>
      <c r="S249" s="4">
        <v>0</v>
      </c>
      <c r="T249" s="4">
        <v>0</v>
      </c>
      <c r="U249" s="1">
        <v>88</v>
      </c>
      <c r="V249" s="14">
        <v>4</v>
      </c>
      <c r="W249" s="14">
        <v>2</v>
      </c>
      <c r="X249" s="14">
        <v>0</v>
      </c>
    </row>
    <row r="250" spans="1:24" x14ac:dyDescent="0.35">
      <c r="A250" t="s">
        <v>39</v>
      </c>
      <c r="B250" t="s">
        <v>30</v>
      </c>
      <c r="C250" s="16">
        <v>45809</v>
      </c>
      <c r="D250" t="s">
        <v>33</v>
      </c>
      <c r="E250">
        <v>9</v>
      </c>
      <c r="F250" t="s">
        <v>32</v>
      </c>
      <c r="G250" s="4">
        <v>0</v>
      </c>
      <c r="H250" s="14">
        <v>0</v>
      </c>
      <c r="I250" s="4">
        <v>8507.7199999999993</v>
      </c>
      <c r="J250" s="14">
        <v>1</v>
      </c>
      <c r="K250" s="4">
        <v>0</v>
      </c>
      <c r="L250" s="14">
        <v>0</v>
      </c>
      <c r="M250">
        <v>0</v>
      </c>
      <c r="N250" s="14">
        <v>0</v>
      </c>
      <c r="O250">
        <v>0</v>
      </c>
      <c r="P250" s="14">
        <v>0</v>
      </c>
      <c r="Q250">
        <v>0</v>
      </c>
      <c r="R250" s="14">
        <v>0</v>
      </c>
      <c r="S250" s="4">
        <v>0</v>
      </c>
      <c r="T250" s="4">
        <v>0</v>
      </c>
      <c r="U250" s="1">
        <v>259</v>
      </c>
      <c r="V250" s="14">
        <v>1</v>
      </c>
      <c r="W250" s="14">
        <v>1</v>
      </c>
      <c r="X250" s="14">
        <v>0</v>
      </c>
    </row>
    <row r="251" spans="1:24" x14ac:dyDescent="0.35">
      <c r="A251" t="s">
        <v>39</v>
      </c>
      <c r="B251" t="s">
        <v>30</v>
      </c>
      <c r="C251" s="16">
        <v>45809</v>
      </c>
      <c r="D251" t="s">
        <v>33</v>
      </c>
      <c r="E251">
        <v>10</v>
      </c>
      <c r="F251" t="s">
        <v>32</v>
      </c>
      <c r="G251" s="4">
        <v>0</v>
      </c>
      <c r="H251" s="14">
        <v>0</v>
      </c>
      <c r="I251" s="4">
        <v>817.57</v>
      </c>
      <c r="J251" s="14">
        <v>1</v>
      </c>
      <c r="K251" s="4">
        <v>0</v>
      </c>
      <c r="L251" s="14">
        <v>0</v>
      </c>
      <c r="M251">
        <v>0</v>
      </c>
      <c r="N251" s="14">
        <v>0</v>
      </c>
      <c r="O251">
        <v>0</v>
      </c>
      <c r="P251" s="14">
        <v>0</v>
      </c>
      <c r="Q251">
        <v>0</v>
      </c>
      <c r="R251" s="14">
        <v>0</v>
      </c>
      <c r="S251" s="4">
        <v>0</v>
      </c>
      <c r="T251" s="4">
        <v>0</v>
      </c>
      <c r="U251" s="1">
        <v>44</v>
      </c>
      <c r="V251" s="14">
        <v>1</v>
      </c>
      <c r="W251" s="14">
        <v>3</v>
      </c>
      <c r="X251" s="14">
        <v>0</v>
      </c>
    </row>
    <row r="252" spans="1:24" x14ac:dyDescent="0.35">
      <c r="A252" t="s">
        <v>39</v>
      </c>
      <c r="B252" t="s">
        <v>30</v>
      </c>
      <c r="C252" s="16">
        <v>45809</v>
      </c>
      <c r="D252" t="s">
        <v>33</v>
      </c>
      <c r="E252">
        <v>13</v>
      </c>
      <c r="F252" t="s">
        <v>32</v>
      </c>
      <c r="G252" s="4">
        <v>0</v>
      </c>
      <c r="H252" s="14">
        <v>0</v>
      </c>
      <c r="I252" s="4">
        <v>124674.66</v>
      </c>
      <c r="J252" s="14">
        <v>2</v>
      </c>
      <c r="K252" s="4">
        <v>0</v>
      </c>
      <c r="L252" s="14">
        <v>0</v>
      </c>
      <c r="M252">
        <v>0</v>
      </c>
      <c r="N252" s="14">
        <v>0</v>
      </c>
      <c r="O252">
        <v>0</v>
      </c>
      <c r="P252" s="14">
        <v>0</v>
      </c>
      <c r="Q252">
        <v>0</v>
      </c>
      <c r="R252" s="14">
        <v>0</v>
      </c>
      <c r="S252" s="4">
        <v>0</v>
      </c>
      <c r="T252" s="4">
        <v>0</v>
      </c>
      <c r="U252" s="1">
        <v>163</v>
      </c>
      <c r="V252" s="14">
        <v>2</v>
      </c>
      <c r="W252" s="14">
        <v>0</v>
      </c>
      <c r="X252" s="14">
        <v>0</v>
      </c>
    </row>
    <row r="253" spans="1:24" x14ac:dyDescent="0.35">
      <c r="A253" t="s">
        <v>39</v>
      </c>
      <c r="B253" t="s">
        <v>30</v>
      </c>
      <c r="C253" s="16">
        <v>45809</v>
      </c>
      <c r="D253" t="s">
        <v>33</v>
      </c>
      <c r="E253">
        <v>14</v>
      </c>
      <c r="F253" t="s">
        <v>32</v>
      </c>
      <c r="G253" s="4">
        <v>0</v>
      </c>
      <c r="H253" s="14">
        <v>0</v>
      </c>
      <c r="I253" s="4">
        <v>0</v>
      </c>
      <c r="J253" s="14">
        <v>0</v>
      </c>
      <c r="K253" s="4">
        <v>0</v>
      </c>
      <c r="L253" s="14">
        <v>0</v>
      </c>
      <c r="M253">
        <v>0</v>
      </c>
      <c r="N253" s="14">
        <v>0</v>
      </c>
      <c r="O253">
        <v>0</v>
      </c>
      <c r="P253" s="14">
        <v>0</v>
      </c>
      <c r="Q253">
        <v>0</v>
      </c>
      <c r="R253" s="14">
        <v>0</v>
      </c>
      <c r="S253" s="4">
        <v>0</v>
      </c>
      <c r="T253" s="4">
        <v>0</v>
      </c>
      <c r="V253" s="14">
        <v>0</v>
      </c>
      <c r="W253" s="14">
        <v>1</v>
      </c>
      <c r="X253" s="14">
        <v>0</v>
      </c>
    </row>
    <row r="254" spans="1:24" x14ac:dyDescent="0.35">
      <c r="A254" t="s">
        <v>39</v>
      </c>
      <c r="B254" t="s">
        <v>30</v>
      </c>
      <c r="C254" s="16">
        <v>45809</v>
      </c>
      <c r="D254" t="s">
        <v>33</v>
      </c>
      <c r="E254">
        <v>15</v>
      </c>
      <c r="F254" t="s">
        <v>32</v>
      </c>
      <c r="G254" s="4">
        <v>0</v>
      </c>
      <c r="H254" s="14">
        <v>0</v>
      </c>
      <c r="I254" s="4">
        <v>2998.8599999999997</v>
      </c>
      <c r="J254" s="14">
        <v>2</v>
      </c>
      <c r="K254" s="4">
        <v>0</v>
      </c>
      <c r="L254" s="14">
        <v>0</v>
      </c>
      <c r="M254">
        <v>0</v>
      </c>
      <c r="N254" s="14">
        <v>0</v>
      </c>
      <c r="O254">
        <v>0</v>
      </c>
      <c r="P254" s="14">
        <v>0</v>
      </c>
      <c r="Q254">
        <v>0</v>
      </c>
      <c r="R254" s="14">
        <v>0</v>
      </c>
      <c r="S254" s="4">
        <v>0</v>
      </c>
      <c r="T254" s="4">
        <v>0</v>
      </c>
      <c r="U254" s="1">
        <v>138</v>
      </c>
      <c r="V254" s="14">
        <v>2</v>
      </c>
      <c r="W254" s="14">
        <v>0</v>
      </c>
      <c r="X254" s="14">
        <v>0</v>
      </c>
    </row>
    <row r="255" spans="1:24" x14ac:dyDescent="0.35">
      <c r="A255" t="s">
        <v>39</v>
      </c>
      <c r="B255" t="s">
        <v>30</v>
      </c>
      <c r="C255" s="16">
        <v>45809</v>
      </c>
      <c r="D255" t="s">
        <v>33</v>
      </c>
      <c r="E255">
        <v>16</v>
      </c>
      <c r="F255" t="s">
        <v>32</v>
      </c>
      <c r="G255" s="4">
        <v>0</v>
      </c>
      <c r="H255" s="14">
        <v>0</v>
      </c>
      <c r="I255" s="4">
        <v>0</v>
      </c>
      <c r="J255" s="14">
        <v>0</v>
      </c>
      <c r="K255" s="4">
        <v>0</v>
      </c>
      <c r="L255" s="14">
        <v>0</v>
      </c>
      <c r="M255">
        <v>0</v>
      </c>
      <c r="N255" s="14">
        <v>0</v>
      </c>
      <c r="O255">
        <v>0</v>
      </c>
      <c r="P255" s="14">
        <v>0</v>
      </c>
      <c r="Q255">
        <v>0</v>
      </c>
      <c r="R255" s="14">
        <v>0</v>
      </c>
      <c r="S255" s="4">
        <v>0</v>
      </c>
      <c r="T255" s="4">
        <v>0</v>
      </c>
      <c r="V255" s="14">
        <v>0</v>
      </c>
      <c r="W255" s="14">
        <v>2</v>
      </c>
      <c r="X255" s="14">
        <v>0</v>
      </c>
    </row>
    <row r="256" spans="1:24" x14ac:dyDescent="0.35">
      <c r="A256" t="s">
        <v>39</v>
      </c>
      <c r="B256" t="s">
        <v>30</v>
      </c>
      <c r="C256" s="16">
        <v>45809</v>
      </c>
      <c r="D256" t="s">
        <v>34</v>
      </c>
      <c r="E256">
        <v>6</v>
      </c>
      <c r="F256" t="s">
        <v>35</v>
      </c>
      <c r="G256" s="4">
        <v>0</v>
      </c>
      <c r="H256" s="14">
        <v>0</v>
      </c>
      <c r="I256" s="4">
        <v>2733.42</v>
      </c>
      <c r="J256" s="14">
        <v>3</v>
      </c>
      <c r="K256" s="4">
        <v>0</v>
      </c>
      <c r="L256" s="14">
        <v>0</v>
      </c>
      <c r="M256">
        <v>0</v>
      </c>
      <c r="N256" s="14">
        <v>0</v>
      </c>
      <c r="O256">
        <v>0</v>
      </c>
      <c r="P256" s="14">
        <v>0</v>
      </c>
      <c r="Q256">
        <v>0</v>
      </c>
      <c r="R256" s="14">
        <v>0</v>
      </c>
      <c r="S256" s="4">
        <v>0</v>
      </c>
      <c r="T256" s="4">
        <v>0</v>
      </c>
      <c r="U256" s="1">
        <v>99.666666666666671</v>
      </c>
      <c r="V256" s="14">
        <v>3</v>
      </c>
      <c r="W256" s="14">
        <v>8</v>
      </c>
      <c r="X256" s="14">
        <v>0</v>
      </c>
    </row>
    <row r="257" spans="1:24" x14ac:dyDescent="0.35">
      <c r="A257" t="s">
        <v>39</v>
      </c>
      <c r="B257" t="s">
        <v>30</v>
      </c>
      <c r="C257" s="16">
        <v>45809</v>
      </c>
      <c r="D257" t="s">
        <v>34</v>
      </c>
      <c r="E257">
        <v>6</v>
      </c>
      <c r="F257" t="s">
        <v>36</v>
      </c>
      <c r="G257" s="4">
        <v>0</v>
      </c>
      <c r="H257" s="14">
        <v>0</v>
      </c>
      <c r="I257" s="4">
        <v>765.96</v>
      </c>
      <c r="J257" s="14">
        <v>1</v>
      </c>
      <c r="K257" s="4">
        <v>0</v>
      </c>
      <c r="L257" s="14">
        <v>0</v>
      </c>
      <c r="M257">
        <v>0</v>
      </c>
      <c r="N257" s="14">
        <v>0</v>
      </c>
      <c r="O257">
        <v>0</v>
      </c>
      <c r="P257" s="14">
        <v>0</v>
      </c>
      <c r="Q257">
        <v>0</v>
      </c>
      <c r="R257" s="14">
        <v>0</v>
      </c>
      <c r="S257" s="4">
        <v>0</v>
      </c>
      <c r="T257" s="4">
        <v>0</v>
      </c>
      <c r="U257" s="1">
        <v>84</v>
      </c>
      <c r="V257" s="14">
        <v>1</v>
      </c>
      <c r="W257" s="14">
        <v>1</v>
      </c>
      <c r="X257" s="14">
        <v>0</v>
      </c>
    </row>
    <row r="258" spans="1:24" x14ac:dyDescent="0.35">
      <c r="A258" t="s">
        <v>39</v>
      </c>
      <c r="B258" t="s">
        <v>30</v>
      </c>
      <c r="C258" s="16">
        <v>45809</v>
      </c>
      <c r="D258" t="s">
        <v>34</v>
      </c>
      <c r="E258">
        <v>8</v>
      </c>
      <c r="F258" t="s">
        <v>35</v>
      </c>
      <c r="G258" s="4">
        <v>0</v>
      </c>
      <c r="H258" s="14">
        <v>0</v>
      </c>
      <c r="I258" s="4">
        <v>1627.85</v>
      </c>
      <c r="J258" s="14">
        <v>2</v>
      </c>
      <c r="K258" s="4">
        <v>0</v>
      </c>
      <c r="L258" s="14">
        <v>0</v>
      </c>
      <c r="M258">
        <v>0</v>
      </c>
      <c r="N258" s="14">
        <v>0</v>
      </c>
      <c r="O258">
        <v>0</v>
      </c>
      <c r="P258" s="14">
        <v>0</v>
      </c>
      <c r="Q258">
        <v>0</v>
      </c>
      <c r="R258" s="14">
        <v>0</v>
      </c>
      <c r="S258" s="4">
        <v>0</v>
      </c>
      <c r="T258" s="4">
        <v>0</v>
      </c>
      <c r="U258" s="1">
        <v>70</v>
      </c>
      <c r="V258" s="14">
        <v>2</v>
      </c>
      <c r="W258" s="14">
        <v>1</v>
      </c>
      <c r="X258" s="14">
        <v>0</v>
      </c>
    </row>
    <row r="259" spans="1:24" x14ac:dyDescent="0.35">
      <c r="A259" t="s">
        <v>39</v>
      </c>
      <c r="B259" t="s">
        <v>30</v>
      </c>
      <c r="C259" s="16">
        <v>45809</v>
      </c>
      <c r="D259" t="s">
        <v>34</v>
      </c>
      <c r="E259">
        <v>8</v>
      </c>
      <c r="F259" t="s">
        <v>36</v>
      </c>
      <c r="G259" s="4">
        <v>0</v>
      </c>
      <c r="H259" s="14">
        <v>0</v>
      </c>
      <c r="I259" s="4">
        <v>3204.03</v>
      </c>
      <c r="J259" s="14">
        <v>1</v>
      </c>
      <c r="K259" s="4">
        <v>0</v>
      </c>
      <c r="L259" s="14">
        <v>0</v>
      </c>
      <c r="M259">
        <v>0</v>
      </c>
      <c r="N259" s="14">
        <v>0</v>
      </c>
      <c r="O259">
        <v>0</v>
      </c>
      <c r="P259" s="14">
        <v>0</v>
      </c>
      <c r="Q259">
        <v>0</v>
      </c>
      <c r="R259" s="14">
        <v>0</v>
      </c>
      <c r="S259" s="4">
        <v>0</v>
      </c>
      <c r="T259" s="4">
        <v>0</v>
      </c>
      <c r="U259" s="1">
        <v>69</v>
      </c>
      <c r="V259" s="14">
        <v>1</v>
      </c>
      <c r="W259" s="14">
        <v>6</v>
      </c>
      <c r="X259" s="14">
        <v>0</v>
      </c>
    </row>
    <row r="260" spans="1:24" x14ac:dyDescent="0.35">
      <c r="A260" t="s">
        <v>39</v>
      </c>
      <c r="B260" t="s">
        <v>30</v>
      </c>
      <c r="C260" s="16">
        <v>45809</v>
      </c>
      <c r="D260" t="s">
        <v>34</v>
      </c>
      <c r="E260">
        <v>9</v>
      </c>
      <c r="F260" t="s">
        <v>35</v>
      </c>
      <c r="G260" s="4">
        <v>0</v>
      </c>
      <c r="H260" s="14">
        <v>0</v>
      </c>
      <c r="I260" s="4">
        <v>2819.81</v>
      </c>
      <c r="J260" s="14">
        <v>3</v>
      </c>
      <c r="K260" s="4">
        <v>0</v>
      </c>
      <c r="L260" s="14">
        <v>0</v>
      </c>
      <c r="M260">
        <v>0</v>
      </c>
      <c r="N260" s="14">
        <v>0</v>
      </c>
      <c r="O260">
        <v>0</v>
      </c>
      <c r="P260" s="14">
        <v>0</v>
      </c>
      <c r="Q260">
        <v>0</v>
      </c>
      <c r="R260" s="14">
        <v>0</v>
      </c>
      <c r="S260" s="4">
        <v>0</v>
      </c>
      <c r="T260" s="4">
        <v>0</v>
      </c>
      <c r="U260" s="1">
        <v>15.666666666666666</v>
      </c>
      <c r="V260" s="14">
        <v>3</v>
      </c>
      <c r="W260" s="14">
        <v>1</v>
      </c>
      <c r="X260" s="14">
        <v>0</v>
      </c>
    </row>
    <row r="261" spans="1:24" x14ac:dyDescent="0.35">
      <c r="A261" t="s">
        <v>39</v>
      </c>
      <c r="B261" t="s">
        <v>30</v>
      </c>
      <c r="C261" s="16">
        <v>45809</v>
      </c>
      <c r="D261" t="s">
        <v>34</v>
      </c>
      <c r="E261">
        <v>9</v>
      </c>
      <c r="F261" t="s">
        <v>36</v>
      </c>
      <c r="G261" s="4">
        <v>0</v>
      </c>
      <c r="H261" s="14">
        <v>0</v>
      </c>
      <c r="I261" s="4">
        <v>2747.3</v>
      </c>
      <c r="J261" s="14">
        <v>3</v>
      </c>
      <c r="K261" s="4">
        <v>0</v>
      </c>
      <c r="L261" s="14">
        <v>0</v>
      </c>
      <c r="M261">
        <v>0</v>
      </c>
      <c r="N261" s="14">
        <v>0</v>
      </c>
      <c r="O261">
        <v>0</v>
      </c>
      <c r="P261" s="14">
        <v>0</v>
      </c>
      <c r="Q261">
        <v>0</v>
      </c>
      <c r="R261" s="14">
        <v>0</v>
      </c>
      <c r="S261" s="4">
        <v>0</v>
      </c>
      <c r="T261" s="4">
        <v>0</v>
      </c>
      <c r="U261" s="1">
        <v>73.666666666666671</v>
      </c>
      <c r="V261" s="14">
        <v>3</v>
      </c>
      <c r="W261" s="14">
        <v>4</v>
      </c>
      <c r="X261" s="14">
        <v>0</v>
      </c>
    </row>
    <row r="262" spans="1:24" x14ac:dyDescent="0.35">
      <c r="A262" t="s">
        <v>39</v>
      </c>
      <c r="B262" t="s">
        <v>30</v>
      </c>
      <c r="C262" s="16">
        <v>45809</v>
      </c>
      <c r="D262" t="s">
        <v>34</v>
      </c>
      <c r="E262">
        <v>10</v>
      </c>
      <c r="F262" t="s">
        <v>35</v>
      </c>
      <c r="G262" s="4">
        <v>0</v>
      </c>
      <c r="H262" s="14">
        <v>0</v>
      </c>
      <c r="I262" s="4">
        <v>1318.43</v>
      </c>
      <c r="J262" s="14">
        <v>1</v>
      </c>
      <c r="K262" s="4">
        <v>0</v>
      </c>
      <c r="L262" s="14">
        <v>0</v>
      </c>
      <c r="M262">
        <v>0</v>
      </c>
      <c r="N262" s="14">
        <v>0</v>
      </c>
      <c r="O262">
        <v>0</v>
      </c>
      <c r="P262" s="14">
        <v>0</v>
      </c>
      <c r="Q262">
        <v>0</v>
      </c>
      <c r="R262" s="14">
        <v>0</v>
      </c>
      <c r="S262" s="4">
        <v>0</v>
      </c>
      <c r="T262" s="4">
        <v>0</v>
      </c>
      <c r="U262" s="1">
        <v>74</v>
      </c>
      <c r="V262" s="14">
        <v>1</v>
      </c>
      <c r="W262" s="14">
        <v>2</v>
      </c>
      <c r="X262" s="14">
        <v>0</v>
      </c>
    </row>
    <row r="263" spans="1:24" x14ac:dyDescent="0.35">
      <c r="A263" t="s">
        <v>39</v>
      </c>
      <c r="B263" t="s">
        <v>30</v>
      </c>
      <c r="C263" s="16">
        <v>45809</v>
      </c>
      <c r="D263" t="s">
        <v>34</v>
      </c>
      <c r="E263">
        <v>10</v>
      </c>
      <c r="F263" t="s">
        <v>36</v>
      </c>
      <c r="G263" s="4">
        <v>0</v>
      </c>
      <c r="H263" s="14">
        <v>0</v>
      </c>
      <c r="I263" s="4">
        <v>978.75</v>
      </c>
      <c r="J263" s="14">
        <v>1</v>
      </c>
      <c r="K263" s="4">
        <v>0</v>
      </c>
      <c r="L263" s="14">
        <v>0</v>
      </c>
      <c r="M263">
        <v>0</v>
      </c>
      <c r="N263" s="14">
        <v>0</v>
      </c>
      <c r="O263">
        <v>0</v>
      </c>
      <c r="P263" s="14">
        <v>0</v>
      </c>
      <c r="Q263">
        <v>0</v>
      </c>
      <c r="R263" s="14">
        <v>0</v>
      </c>
      <c r="S263" s="4">
        <v>0</v>
      </c>
      <c r="T263" s="4">
        <v>0</v>
      </c>
      <c r="U263" s="1">
        <v>15.5</v>
      </c>
      <c r="V263" s="14">
        <v>2</v>
      </c>
      <c r="W263" s="14">
        <v>3</v>
      </c>
      <c r="X263" s="14">
        <v>0</v>
      </c>
    </row>
    <row r="264" spans="1:24" x14ac:dyDescent="0.35">
      <c r="A264" t="s">
        <v>39</v>
      </c>
      <c r="B264" t="s">
        <v>30</v>
      </c>
      <c r="C264" s="16">
        <v>45809</v>
      </c>
      <c r="D264" t="s">
        <v>34</v>
      </c>
      <c r="E264">
        <v>13</v>
      </c>
      <c r="F264" t="s">
        <v>35</v>
      </c>
      <c r="G264" s="4">
        <v>0</v>
      </c>
      <c r="H264" s="14">
        <v>0</v>
      </c>
      <c r="I264" s="4">
        <v>4412.96</v>
      </c>
      <c r="J264" s="14">
        <v>1</v>
      </c>
      <c r="K264" s="4">
        <v>0</v>
      </c>
      <c r="L264" s="14">
        <v>0</v>
      </c>
      <c r="M264">
        <v>0</v>
      </c>
      <c r="N264" s="14">
        <v>0</v>
      </c>
      <c r="O264">
        <v>0</v>
      </c>
      <c r="P264" s="14">
        <v>0</v>
      </c>
      <c r="Q264">
        <v>0</v>
      </c>
      <c r="R264" s="14">
        <v>0</v>
      </c>
      <c r="S264" s="4">
        <v>0</v>
      </c>
      <c r="T264" s="4">
        <v>0</v>
      </c>
      <c r="U264" s="1">
        <v>42</v>
      </c>
      <c r="V264" s="14">
        <v>1</v>
      </c>
      <c r="W264" s="14">
        <v>0</v>
      </c>
      <c r="X264" s="14">
        <v>0</v>
      </c>
    </row>
    <row r="265" spans="1:24" x14ac:dyDescent="0.35">
      <c r="A265" t="s">
        <v>39</v>
      </c>
      <c r="B265" t="s">
        <v>30</v>
      </c>
      <c r="C265" s="16">
        <v>45809</v>
      </c>
      <c r="D265" t="s">
        <v>34</v>
      </c>
      <c r="E265">
        <v>13</v>
      </c>
      <c r="F265" t="s">
        <v>36</v>
      </c>
      <c r="G265" s="4">
        <v>0</v>
      </c>
      <c r="H265" s="14">
        <v>0</v>
      </c>
      <c r="I265" s="4">
        <v>8200.33</v>
      </c>
      <c r="J265" s="14">
        <v>1</v>
      </c>
      <c r="K265" s="4">
        <v>0</v>
      </c>
      <c r="L265" s="14">
        <v>0</v>
      </c>
      <c r="M265">
        <v>0</v>
      </c>
      <c r="N265" s="14">
        <v>0</v>
      </c>
      <c r="O265">
        <v>0</v>
      </c>
      <c r="P265" s="14">
        <v>0</v>
      </c>
      <c r="Q265">
        <v>0</v>
      </c>
      <c r="R265" s="14">
        <v>0</v>
      </c>
      <c r="S265" s="4">
        <v>0</v>
      </c>
      <c r="T265" s="4">
        <v>0</v>
      </c>
      <c r="U265" s="1">
        <v>80</v>
      </c>
      <c r="V265" s="14">
        <v>1</v>
      </c>
      <c r="W265" s="14">
        <v>0</v>
      </c>
      <c r="X265" s="14">
        <v>0</v>
      </c>
    </row>
    <row r="266" spans="1:24" x14ac:dyDescent="0.35">
      <c r="A266" t="s">
        <v>39</v>
      </c>
      <c r="B266" t="s">
        <v>30</v>
      </c>
      <c r="C266" s="16">
        <v>45809</v>
      </c>
      <c r="D266" t="s">
        <v>34</v>
      </c>
      <c r="E266">
        <v>14</v>
      </c>
      <c r="F266" t="s">
        <v>36</v>
      </c>
      <c r="G266" s="4">
        <v>0</v>
      </c>
      <c r="H266" s="14">
        <v>0</v>
      </c>
      <c r="I266" s="4">
        <v>826.85</v>
      </c>
      <c r="J266" s="14">
        <v>1</v>
      </c>
      <c r="K266" s="4">
        <v>0</v>
      </c>
      <c r="L266" s="14">
        <v>0</v>
      </c>
      <c r="M266">
        <v>0</v>
      </c>
      <c r="N266" s="14">
        <v>0</v>
      </c>
      <c r="O266">
        <v>0</v>
      </c>
      <c r="P266" s="14">
        <v>0</v>
      </c>
      <c r="Q266">
        <v>0</v>
      </c>
      <c r="R266" s="14">
        <v>0</v>
      </c>
      <c r="S266" s="4">
        <v>0</v>
      </c>
      <c r="T266" s="4">
        <v>0</v>
      </c>
      <c r="U266" s="1">
        <v>7</v>
      </c>
      <c r="V266" s="14">
        <v>1</v>
      </c>
      <c r="W266" s="14">
        <v>3</v>
      </c>
      <c r="X266" s="14">
        <v>0</v>
      </c>
    </row>
    <row r="267" spans="1:24" x14ac:dyDescent="0.35">
      <c r="A267" t="s">
        <v>39</v>
      </c>
      <c r="B267" t="s">
        <v>30</v>
      </c>
      <c r="C267" s="16">
        <v>45809</v>
      </c>
      <c r="D267" t="s">
        <v>34</v>
      </c>
      <c r="E267">
        <v>15</v>
      </c>
      <c r="F267" t="s">
        <v>36</v>
      </c>
      <c r="G267" s="4">
        <v>0</v>
      </c>
      <c r="H267" s="14">
        <v>0</v>
      </c>
      <c r="I267" s="4">
        <v>1836.98</v>
      </c>
      <c r="J267" s="14">
        <v>2</v>
      </c>
      <c r="K267" s="4">
        <v>0</v>
      </c>
      <c r="L267" s="14">
        <v>0</v>
      </c>
      <c r="M267">
        <v>0</v>
      </c>
      <c r="N267" s="14">
        <v>0</v>
      </c>
      <c r="O267">
        <v>0</v>
      </c>
      <c r="P267" s="14">
        <v>0</v>
      </c>
      <c r="Q267">
        <v>0</v>
      </c>
      <c r="R267" s="14">
        <v>0</v>
      </c>
      <c r="S267" s="4">
        <v>0</v>
      </c>
      <c r="T267" s="4">
        <v>0</v>
      </c>
      <c r="U267" s="1">
        <v>166.5</v>
      </c>
      <c r="V267" s="14">
        <v>2</v>
      </c>
      <c r="W267" s="14">
        <v>0</v>
      </c>
      <c r="X267" s="14">
        <v>0</v>
      </c>
    </row>
    <row r="268" spans="1:24" x14ac:dyDescent="0.35">
      <c r="A268" t="s">
        <v>39</v>
      </c>
      <c r="B268" t="s">
        <v>30</v>
      </c>
      <c r="C268" s="16">
        <v>45809</v>
      </c>
      <c r="D268" t="s">
        <v>34</v>
      </c>
      <c r="E268">
        <v>16</v>
      </c>
      <c r="F268" t="s">
        <v>35</v>
      </c>
      <c r="G268" s="4">
        <v>0</v>
      </c>
      <c r="H268" s="14">
        <v>0</v>
      </c>
      <c r="I268" s="4">
        <v>0</v>
      </c>
      <c r="J268" s="14">
        <v>0</v>
      </c>
      <c r="K268" s="4">
        <v>0</v>
      </c>
      <c r="L268" s="14">
        <v>0</v>
      </c>
      <c r="M268">
        <v>0</v>
      </c>
      <c r="N268" s="14">
        <v>0</v>
      </c>
      <c r="O268">
        <v>0</v>
      </c>
      <c r="P268" s="14">
        <v>0</v>
      </c>
      <c r="Q268">
        <v>0</v>
      </c>
      <c r="R268" s="14">
        <v>0</v>
      </c>
      <c r="S268" s="4">
        <v>0</v>
      </c>
      <c r="T268" s="4">
        <v>0</v>
      </c>
      <c r="V268" s="14">
        <v>0</v>
      </c>
      <c r="W268" s="14">
        <v>1</v>
      </c>
      <c r="X268" s="14">
        <v>0</v>
      </c>
    </row>
    <row r="269" spans="1:24" x14ac:dyDescent="0.35">
      <c r="A269" t="s">
        <v>39</v>
      </c>
      <c r="B269" t="s">
        <v>30</v>
      </c>
      <c r="C269" s="16">
        <v>45809</v>
      </c>
      <c r="D269" t="s">
        <v>34</v>
      </c>
      <c r="E269">
        <v>16</v>
      </c>
      <c r="F269" t="s">
        <v>36</v>
      </c>
      <c r="G269" s="4">
        <v>0</v>
      </c>
      <c r="H269" s="14">
        <v>0</v>
      </c>
      <c r="I269" s="4">
        <v>2748.7</v>
      </c>
      <c r="J269" s="14">
        <v>1</v>
      </c>
      <c r="K269" s="4">
        <v>0</v>
      </c>
      <c r="L269" s="14">
        <v>0</v>
      </c>
      <c r="M269">
        <v>0</v>
      </c>
      <c r="N269" s="14">
        <v>0</v>
      </c>
      <c r="O269">
        <v>0</v>
      </c>
      <c r="P269" s="14">
        <v>0</v>
      </c>
      <c r="Q269">
        <v>0</v>
      </c>
      <c r="R269" s="14">
        <v>0</v>
      </c>
      <c r="S269" s="4">
        <v>0</v>
      </c>
      <c r="T269" s="4">
        <v>0</v>
      </c>
      <c r="U269" s="1">
        <v>33</v>
      </c>
      <c r="V269" s="14">
        <v>2</v>
      </c>
      <c r="W269" s="14">
        <v>0</v>
      </c>
      <c r="X269" s="14">
        <v>0</v>
      </c>
    </row>
    <row r="270" spans="1:24" x14ac:dyDescent="0.35">
      <c r="A270" t="s">
        <v>39</v>
      </c>
      <c r="B270" t="s">
        <v>30</v>
      </c>
      <c r="C270" s="16">
        <v>45809</v>
      </c>
      <c r="D270" t="s">
        <v>37</v>
      </c>
      <c r="E270">
        <v>6</v>
      </c>
      <c r="F270" t="s">
        <v>32</v>
      </c>
      <c r="G270" s="4">
        <v>0</v>
      </c>
      <c r="H270" s="14">
        <v>0</v>
      </c>
      <c r="I270" s="4">
        <v>0</v>
      </c>
      <c r="J270" s="14">
        <v>0</v>
      </c>
      <c r="K270" s="4">
        <v>0</v>
      </c>
      <c r="L270" s="14">
        <v>0</v>
      </c>
      <c r="M270">
        <v>0</v>
      </c>
      <c r="N270" s="14">
        <v>0</v>
      </c>
      <c r="O270">
        <v>0</v>
      </c>
      <c r="P270" s="14">
        <v>0</v>
      </c>
      <c r="Q270">
        <v>0</v>
      </c>
      <c r="R270" s="14">
        <v>0</v>
      </c>
      <c r="S270" s="4">
        <v>0</v>
      </c>
      <c r="T270" s="4">
        <v>0</v>
      </c>
      <c r="V270" s="14">
        <v>0</v>
      </c>
      <c r="W270" s="14">
        <v>2</v>
      </c>
      <c r="X270" s="14">
        <v>0</v>
      </c>
    </row>
    <row r="271" spans="1:24" x14ac:dyDescent="0.35">
      <c r="A271" t="s">
        <v>39</v>
      </c>
      <c r="B271" t="s">
        <v>30</v>
      </c>
      <c r="C271" s="16">
        <v>45809</v>
      </c>
      <c r="D271" t="s">
        <v>37</v>
      </c>
      <c r="E271">
        <v>8</v>
      </c>
      <c r="F271" t="s">
        <v>32</v>
      </c>
      <c r="G271" s="4">
        <v>0</v>
      </c>
      <c r="H271" s="14">
        <v>0</v>
      </c>
      <c r="I271" s="4">
        <v>0</v>
      </c>
      <c r="J271" s="14">
        <v>0</v>
      </c>
      <c r="K271" s="4">
        <v>0</v>
      </c>
      <c r="L271" s="14">
        <v>0</v>
      </c>
      <c r="M271">
        <v>0</v>
      </c>
      <c r="N271" s="14">
        <v>0</v>
      </c>
      <c r="O271">
        <v>0</v>
      </c>
      <c r="P271" s="14">
        <v>0</v>
      </c>
      <c r="Q271">
        <v>0</v>
      </c>
      <c r="R271" s="14">
        <v>0</v>
      </c>
      <c r="S271" s="4">
        <v>0</v>
      </c>
      <c r="T271" s="4">
        <v>0</v>
      </c>
      <c r="V271" s="14">
        <v>0</v>
      </c>
      <c r="W271" s="14">
        <v>1</v>
      </c>
      <c r="X271" s="14">
        <v>0</v>
      </c>
    </row>
    <row r="272" spans="1:24" x14ac:dyDescent="0.35">
      <c r="A272" t="s">
        <v>39</v>
      </c>
      <c r="B272" t="s">
        <v>30</v>
      </c>
      <c r="C272" s="16">
        <v>45809</v>
      </c>
      <c r="D272" t="s">
        <v>37</v>
      </c>
      <c r="E272">
        <v>10</v>
      </c>
      <c r="F272" t="s">
        <v>32</v>
      </c>
      <c r="G272" s="4">
        <v>0</v>
      </c>
      <c r="H272" s="14">
        <v>0</v>
      </c>
      <c r="I272" s="4">
        <v>0</v>
      </c>
      <c r="J272" s="14">
        <v>0</v>
      </c>
      <c r="K272" s="4">
        <v>0</v>
      </c>
      <c r="L272" s="14">
        <v>0</v>
      </c>
      <c r="M272">
        <v>0</v>
      </c>
      <c r="N272" s="14">
        <v>0</v>
      </c>
      <c r="O272">
        <v>0</v>
      </c>
      <c r="P272" s="14">
        <v>0</v>
      </c>
      <c r="Q272">
        <v>0</v>
      </c>
      <c r="R272" s="14">
        <v>0</v>
      </c>
      <c r="S272" s="4">
        <v>0</v>
      </c>
      <c r="T272" s="4">
        <v>0</v>
      </c>
      <c r="V272" s="14">
        <v>0</v>
      </c>
      <c r="W272" s="14">
        <v>1</v>
      </c>
      <c r="X272" s="14">
        <v>0</v>
      </c>
    </row>
    <row r="273" spans="1:24" x14ac:dyDescent="0.35">
      <c r="A273" t="s">
        <v>39</v>
      </c>
      <c r="B273" t="s">
        <v>30</v>
      </c>
      <c r="C273" s="16">
        <v>45809</v>
      </c>
      <c r="D273" t="s">
        <v>37</v>
      </c>
      <c r="E273">
        <v>13</v>
      </c>
      <c r="F273" t="s">
        <v>32</v>
      </c>
      <c r="G273" s="4">
        <v>0</v>
      </c>
      <c r="H273" s="14">
        <v>0</v>
      </c>
      <c r="I273" s="4">
        <v>0</v>
      </c>
      <c r="J273" s="14">
        <v>0</v>
      </c>
      <c r="K273" s="4">
        <v>0</v>
      </c>
      <c r="L273" s="14">
        <v>0</v>
      </c>
      <c r="M273">
        <v>0</v>
      </c>
      <c r="N273" s="14">
        <v>0</v>
      </c>
      <c r="O273">
        <v>0</v>
      </c>
      <c r="P273" s="14">
        <v>0</v>
      </c>
      <c r="Q273">
        <v>0</v>
      </c>
      <c r="R273" s="14">
        <v>0</v>
      </c>
      <c r="S273" s="4">
        <v>0</v>
      </c>
      <c r="T273" s="4">
        <v>0</v>
      </c>
      <c r="V273" s="14">
        <v>0</v>
      </c>
      <c r="W273" s="14">
        <v>1</v>
      </c>
      <c r="X273" s="14">
        <v>0</v>
      </c>
    </row>
    <row r="274" spans="1:24" x14ac:dyDescent="0.35">
      <c r="A274" t="s">
        <v>39</v>
      </c>
      <c r="B274" t="s">
        <v>38</v>
      </c>
      <c r="C274" s="16">
        <v>45748</v>
      </c>
      <c r="D274" t="s">
        <v>31</v>
      </c>
      <c r="E274">
        <v>8</v>
      </c>
      <c r="F274" t="s">
        <v>32</v>
      </c>
      <c r="G274" s="4">
        <v>0</v>
      </c>
      <c r="H274" s="14">
        <v>0</v>
      </c>
      <c r="I274" s="4">
        <v>0</v>
      </c>
      <c r="J274" s="14">
        <v>0</v>
      </c>
      <c r="K274" s="4">
        <v>0</v>
      </c>
      <c r="L274" s="14">
        <v>0</v>
      </c>
      <c r="M274">
        <v>0</v>
      </c>
      <c r="N274" s="14">
        <v>0</v>
      </c>
      <c r="O274">
        <v>0</v>
      </c>
      <c r="P274" s="14">
        <v>0</v>
      </c>
      <c r="Q274">
        <v>0</v>
      </c>
      <c r="R274" s="14">
        <v>0</v>
      </c>
      <c r="S274" s="4">
        <v>0</v>
      </c>
      <c r="T274" s="4">
        <v>0</v>
      </c>
      <c r="V274" s="14">
        <v>0</v>
      </c>
      <c r="W274" s="14">
        <v>1</v>
      </c>
      <c r="X274" s="14">
        <v>0</v>
      </c>
    </row>
    <row r="275" spans="1:24" x14ac:dyDescent="0.35">
      <c r="A275" t="s">
        <v>39</v>
      </c>
      <c r="B275" t="s">
        <v>38</v>
      </c>
      <c r="C275" s="16">
        <v>45748</v>
      </c>
      <c r="D275" t="s">
        <v>31</v>
      </c>
      <c r="E275">
        <v>13</v>
      </c>
      <c r="F275" t="s">
        <v>32</v>
      </c>
      <c r="G275" s="4">
        <v>0</v>
      </c>
      <c r="H275" s="14">
        <v>0</v>
      </c>
      <c r="I275" s="4">
        <v>92480.26</v>
      </c>
      <c r="J275" s="14">
        <v>3</v>
      </c>
      <c r="K275" s="4">
        <v>0</v>
      </c>
      <c r="L275" s="14">
        <v>0</v>
      </c>
      <c r="M275">
        <v>0</v>
      </c>
      <c r="N275" s="14">
        <v>0</v>
      </c>
      <c r="O275">
        <v>0</v>
      </c>
      <c r="P275" s="14">
        <v>0</v>
      </c>
      <c r="Q275">
        <v>0</v>
      </c>
      <c r="R275" s="14">
        <v>0</v>
      </c>
      <c r="S275" s="4">
        <v>0</v>
      </c>
      <c r="T275" s="4">
        <v>0</v>
      </c>
      <c r="U275" s="1">
        <v>713.33333333333337</v>
      </c>
      <c r="V275" s="14">
        <v>3</v>
      </c>
      <c r="W275" s="14">
        <v>0</v>
      </c>
      <c r="X275" s="14">
        <v>0</v>
      </c>
    </row>
    <row r="276" spans="1:24" x14ac:dyDescent="0.35">
      <c r="A276" t="s">
        <v>39</v>
      </c>
      <c r="B276" t="s">
        <v>38</v>
      </c>
      <c r="C276" s="16">
        <v>45748</v>
      </c>
      <c r="D276" t="s">
        <v>33</v>
      </c>
      <c r="E276">
        <v>6</v>
      </c>
      <c r="F276" t="s">
        <v>32</v>
      </c>
      <c r="G276" s="4">
        <v>0</v>
      </c>
      <c r="H276" s="14">
        <v>0</v>
      </c>
      <c r="I276" s="4">
        <v>108390.13</v>
      </c>
      <c r="J276" s="14">
        <v>6</v>
      </c>
      <c r="K276" s="4">
        <v>0</v>
      </c>
      <c r="L276" s="14">
        <v>0</v>
      </c>
      <c r="M276">
        <v>0</v>
      </c>
      <c r="N276" s="14">
        <v>0</v>
      </c>
      <c r="O276">
        <v>0</v>
      </c>
      <c r="P276" s="14">
        <v>0</v>
      </c>
      <c r="Q276">
        <v>0</v>
      </c>
      <c r="R276" s="14">
        <v>0</v>
      </c>
      <c r="S276" s="4">
        <v>0</v>
      </c>
      <c r="T276" s="4">
        <v>0</v>
      </c>
      <c r="U276" s="1">
        <v>452</v>
      </c>
      <c r="V276" s="14">
        <v>6</v>
      </c>
      <c r="W276" s="14">
        <v>12</v>
      </c>
      <c r="X276" s="14">
        <v>0</v>
      </c>
    </row>
    <row r="277" spans="1:24" x14ac:dyDescent="0.35">
      <c r="A277" t="s">
        <v>39</v>
      </c>
      <c r="B277" t="s">
        <v>38</v>
      </c>
      <c r="C277" s="16">
        <v>45748</v>
      </c>
      <c r="D277" t="s">
        <v>33</v>
      </c>
      <c r="E277">
        <v>8</v>
      </c>
      <c r="F277" t="s">
        <v>32</v>
      </c>
      <c r="G277" s="4">
        <v>0</v>
      </c>
      <c r="H277" s="14">
        <v>0</v>
      </c>
      <c r="I277" s="4">
        <v>196280.5</v>
      </c>
      <c r="J277" s="14">
        <v>4</v>
      </c>
      <c r="K277" s="4">
        <v>0</v>
      </c>
      <c r="L277" s="14">
        <v>0</v>
      </c>
      <c r="M277">
        <v>0</v>
      </c>
      <c r="N277" s="14">
        <v>0</v>
      </c>
      <c r="O277">
        <v>0</v>
      </c>
      <c r="P277" s="14">
        <v>0</v>
      </c>
      <c r="Q277">
        <v>0</v>
      </c>
      <c r="R277" s="14">
        <v>0</v>
      </c>
      <c r="S277" s="4">
        <v>0</v>
      </c>
      <c r="T277" s="4">
        <v>0</v>
      </c>
      <c r="U277" s="1">
        <v>341.28571428571428</v>
      </c>
      <c r="V277" s="14">
        <v>7</v>
      </c>
      <c r="W277" s="14">
        <v>19</v>
      </c>
      <c r="X277" s="14">
        <v>0</v>
      </c>
    </row>
    <row r="278" spans="1:24" x14ac:dyDescent="0.35">
      <c r="A278" t="s">
        <v>39</v>
      </c>
      <c r="B278" t="s">
        <v>38</v>
      </c>
      <c r="C278" s="16">
        <v>45748</v>
      </c>
      <c r="D278" t="s">
        <v>33</v>
      </c>
      <c r="E278">
        <v>9</v>
      </c>
      <c r="F278" t="s">
        <v>32</v>
      </c>
      <c r="G278" s="4">
        <v>0</v>
      </c>
      <c r="H278" s="14">
        <v>0</v>
      </c>
      <c r="I278" s="4">
        <v>126995.90000000001</v>
      </c>
      <c r="J278" s="14">
        <v>7</v>
      </c>
      <c r="K278" s="4">
        <v>12149.94</v>
      </c>
      <c r="L278" s="14">
        <v>1</v>
      </c>
      <c r="M278">
        <v>0</v>
      </c>
      <c r="N278" s="14">
        <v>0</v>
      </c>
      <c r="O278">
        <v>0</v>
      </c>
      <c r="P278" s="14">
        <v>0</v>
      </c>
      <c r="Q278">
        <v>0</v>
      </c>
      <c r="R278" s="14">
        <v>0</v>
      </c>
      <c r="S278" s="4">
        <v>0</v>
      </c>
      <c r="T278" s="4">
        <v>0</v>
      </c>
      <c r="U278" s="1">
        <v>128.57142857142858</v>
      </c>
      <c r="V278" s="14">
        <v>7</v>
      </c>
      <c r="W278" s="14">
        <v>17</v>
      </c>
      <c r="X278" s="14">
        <v>0</v>
      </c>
    </row>
    <row r="279" spans="1:24" x14ac:dyDescent="0.35">
      <c r="A279" t="s">
        <v>39</v>
      </c>
      <c r="B279" t="s">
        <v>38</v>
      </c>
      <c r="C279" s="16">
        <v>45748</v>
      </c>
      <c r="D279" t="s">
        <v>33</v>
      </c>
      <c r="E279">
        <v>10</v>
      </c>
      <c r="F279" t="s">
        <v>32</v>
      </c>
      <c r="G279" s="4">
        <v>0</v>
      </c>
      <c r="H279" s="14">
        <v>0</v>
      </c>
      <c r="I279" s="4">
        <v>48246.009999999995</v>
      </c>
      <c r="J279" s="14">
        <v>3</v>
      </c>
      <c r="K279" s="4">
        <v>0</v>
      </c>
      <c r="L279" s="14">
        <v>0</v>
      </c>
      <c r="M279">
        <v>0</v>
      </c>
      <c r="N279" s="14">
        <v>0</v>
      </c>
      <c r="O279">
        <v>0</v>
      </c>
      <c r="P279" s="14">
        <v>0</v>
      </c>
      <c r="Q279">
        <v>0</v>
      </c>
      <c r="R279" s="14">
        <v>0</v>
      </c>
      <c r="S279" s="4">
        <v>0</v>
      </c>
      <c r="T279" s="4">
        <v>0</v>
      </c>
      <c r="U279" s="1">
        <v>435.33333333333331</v>
      </c>
      <c r="V279" s="14">
        <v>3</v>
      </c>
      <c r="W279" s="14">
        <v>4</v>
      </c>
      <c r="X279" s="14">
        <v>0</v>
      </c>
    </row>
    <row r="280" spans="1:24" x14ac:dyDescent="0.35">
      <c r="A280" t="s">
        <v>39</v>
      </c>
      <c r="B280" t="s">
        <v>38</v>
      </c>
      <c r="C280" s="16">
        <v>45748</v>
      </c>
      <c r="D280" t="s">
        <v>33</v>
      </c>
      <c r="E280">
        <v>13</v>
      </c>
      <c r="F280" t="s">
        <v>32</v>
      </c>
      <c r="G280" s="4">
        <v>0</v>
      </c>
      <c r="H280" s="14">
        <v>0</v>
      </c>
      <c r="I280" s="4">
        <v>72281.149999999994</v>
      </c>
      <c r="J280" s="14">
        <v>2</v>
      </c>
      <c r="K280" s="4">
        <v>0</v>
      </c>
      <c r="L280" s="14">
        <v>0</v>
      </c>
      <c r="M280">
        <v>0</v>
      </c>
      <c r="N280" s="14">
        <v>0</v>
      </c>
      <c r="O280">
        <v>0</v>
      </c>
      <c r="P280" s="14">
        <v>0</v>
      </c>
      <c r="Q280">
        <v>0</v>
      </c>
      <c r="R280" s="14">
        <v>0</v>
      </c>
      <c r="S280" s="4">
        <v>0</v>
      </c>
      <c r="T280" s="4">
        <v>0</v>
      </c>
      <c r="U280" s="1">
        <v>183</v>
      </c>
      <c r="V280" s="14">
        <v>2</v>
      </c>
      <c r="W280" s="14">
        <v>3</v>
      </c>
      <c r="X280" s="14">
        <v>0</v>
      </c>
    </row>
    <row r="281" spans="1:24" x14ac:dyDescent="0.35">
      <c r="A281" t="s">
        <v>39</v>
      </c>
      <c r="B281" t="s">
        <v>38</v>
      </c>
      <c r="C281" s="16">
        <v>45748</v>
      </c>
      <c r="D281" t="s">
        <v>33</v>
      </c>
      <c r="E281">
        <v>14</v>
      </c>
      <c r="F281" t="s">
        <v>32</v>
      </c>
      <c r="G281" s="4">
        <v>0</v>
      </c>
      <c r="H281" s="14">
        <v>0</v>
      </c>
      <c r="I281" s="4">
        <v>109387.19</v>
      </c>
      <c r="J281" s="14">
        <v>4</v>
      </c>
      <c r="K281" s="4">
        <v>0</v>
      </c>
      <c r="L281" s="14">
        <v>0</v>
      </c>
      <c r="M281">
        <v>0</v>
      </c>
      <c r="N281" s="14">
        <v>0</v>
      </c>
      <c r="O281">
        <v>0</v>
      </c>
      <c r="P281" s="14">
        <v>0</v>
      </c>
      <c r="Q281">
        <v>0</v>
      </c>
      <c r="R281" s="14">
        <v>0</v>
      </c>
      <c r="S281" s="4">
        <v>0</v>
      </c>
      <c r="T281" s="4">
        <v>0</v>
      </c>
      <c r="U281" s="1">
        <v>515</v>
      </c>
      <c r="V281" s="14">
        <v>4</v>
      </c>
      <c r="W281" s="14">
        <v>2</v>
      </c>
      <c r="X281" s="14">
        <v>0</v>
      </c>
    </row>
    <row r="282" spans="1:24" x14ac:dyDescent="0.35">
      <c r="A282" t="s">
        <v>39</v>
      </c>
      <c r="B282" t="s">
        <v>38</v>
      </c>
      <c r="C282" s="16">
        <v>45748</v>
      </c>
      <c r="D282" t="s">
        <v>33</v>
      </c>
      <c r="E282">
        <v>16</v>
      </c>
      <c r="F282" t="s">
        <v>32</v>
      </c>
      <c r="G282" s="4">
        <v>0</v>
      </c>
      <c r="H282" s="14">
        <v>0</v>
      </c>
      <c r="I282" s="4">
        <v>141062.22</v>
      </c>
      <c r="J282" s="14">
        <v>2</v>
      </c>
      <c r="K282" s="4">
        <v>0</v>
      </c>
      <c r="L282" s="14">
        <v>0</v>
      </c>
      <c r="M282">
        <v>0</v>
      </c>
      <c r="N282" s="14">
        <v>0</v>
      </c>
      <c r="O282">
        <v>0</v>
      </c>
      <c r="P282" s="14">
        <v>0</v>
      </c>
      <c r="Q282">
        <v>0</v>
      </c>
      <c r="R282" s="14">
        <v>0</v>
      </c>
      <c r="S282" s="4">
        <v>0</v>
      </c>
      <c r="T282" s="4">
        <v>0</v>
      </c>
      <c r="U282" s="1">
        <v>944</v>
      </c>
      <c r="V282" s="14">
        <v>2</v>
      </c>
      <c r="W282" s="14">
        <v>1</v>
      </c>
      <c r="X282" s="14">
        <v>0</v>
      </c>
    </row>
    <row r="283" spans="1:24" x14ac:dyDescent="0.35">
      <c r="A283" t="s">
        <v>39</v>
      </c>
      <c r="B283" t="s">
        <v>38</v>
      </c>
      <c r="C283" s="16">
        <v>45748</v>
      </c>
      <c r="D283" t="s">
        <v>34</v>
      </c>
      <c r="E283">
        <v>6</v>
      </c>
      <c r="F283" t="s">
        <v>35</v>
      </c>
      <c r="G283" s="4">
        <v>0</v>
      </c>
      <c r="H283" s="14">
        <v>0</v>
      </c>
      <c r="I283" s="4">
        <v>21387.389999999996</v>
      </c>
      <c r="J283" s="14">
        <v>20</v>
      </c>
      <c r="K283" s="4">
        <v>0</v>
      </c>
      <c r="L283" s="14">
        <v>0</v>
      </c>
      <c r="M283">
        <v>0</v>
      </c>
      <c r="N283" s="14">
        <v>0</v>
      </c>
      <c r="O283">
        <v>0</v>
      </c>
      <c r="P283" s="14">
        <v>0</v>
      </c>
      <c r="Q283">
        <v>0</v>
      </c>
      <c r="R283" s="14">
        <v>0</v>
      </c>
      <c r="S283" s="4">
        <v>0</v>
      </c>
      <c r="T283" s="4">
        <v>0</v>
      </c>
      <c r="U283" s="1">
        <v>92.35</v>
      </c>
      <c r="V283" s="14">
        <v>20</v>
      </c>
      <c r="W283" s="14">
        <v>49</v>
      </c>
      <c r="X283" s="14">
        <v>0</v>
      </c>
    </row>
    <row r="284" spans="1:24" x14ac:dyDescent="0.35">
      <c r="A284" t="s">
        <v>39</v>
      </c>
      <c r="B284" t="s">
        <v>38</v>
      </c>
      <c r="C284" s="16">
        <v>45748</v>
      </c>
      <c r="D284" t="s">
        <v>34</v>
      </c>
      <c r="E284">
        <v>6</v>
      </c>
      <c r="F284" t="s">
        <v>36</v>
      </c>
      <c r="G284" s="4">
        <v>0</v>
      </c>
      <c r="H284" s="14">
        <v>0</v>
      </c>
      <c r="I284" s="4">
        <v>67462.870000000039</v>
      </c>
      <c r="J284" s="14">
        <v>85</v>
      </c>
      <c r="K284" s="4">
        <v>1758.32</v>
      </c>
      <c r="L284" s="14">
        <v>1</v>
      </c>
      <c r="M284">
        <v>0</v>
      </c>
      <c r="N284" s="14">
        <v>0</v>
      </c>
      <c r="O284">
        <v>0</v>
      </c>
      <c r="P284" s="14">
        <v>0</v>
      </c>
      <c r="Q284">
        <v>0</v>
      </c>
      <c r="R284" s="14">
        <v>0</v>
      </c>
      <c r="S284" s="4">
        <v>0</v>
      </c>
      <c r="T284" s="4">
        <v>0</v>
      </c>
      <c r="U284" s="1">
        <v>86.774193548387103</v>
      </c>
      <c r="V284" s="14">
        <v>94</v>
      </c>
      <c r="W284" s="14">
        <v>131</v>
      </c>
      <c r="X284" s="14">
        <v>0</v>
      </c>
    </row>
    <row r="285" spans="1:24" x14ac:dyDescent="0.35">
      <c r="A285" t="s">
        <v>39</v>
      </c>
      <c r="B285" t="s">
        <v>38</v>
      </c>
      <c r="C285" s="16">
        <v>45748</v>
      </c>
      <c r="D285" t="s">
        <v>34</v>
      </c>
      <c r="E285">
        <v>8</v>
      </c>
      <c r="F285" t="s">
        <v>35</v>
      </c>
      <c r="G285" s="4">
        <v>0</v>
      </c>
      <c r="H285" s="14">
        <v>0</v>
      </c>
      <c r="I285" s="4">
        <v>55335.840000000004</v>
      </c>
      <c r="J285" s="14">
        <v>47</v>
      </c>
      <c r="K285" s="4">
        <v>0</v>
      </c>
      <c r="L285" s="14">
        <v>0</v>
      </c>
      <c r="M285">
        <v>0</v>
      </c>
      <c r="N285" s="14">
        <v>0</v>
      </c>
      <c r="O285">
        <v>0</v>
      </c>
      <c r="P285" s="14">
        <v>0</v>
      </c>
      <c r="Q285">
        <v>0</v>
      </c>
      <c r="R285" s="14">
        <v>0</v>
      </c>
      <c r="S285" s="4">
        <v>0</v>
      </c>
      <c r="T285" s="4">
        <v>0</v>
      </c>
      <c r="U285" s="1">
        <v>136.34042553191489</v>
      </c>
      <c r="V285" s="14">
        <v>47</v>
      </c>
      <c r="W285" s="14">
        <v>62</v>
      </c>
      <c r="X285" s="14">
        <v>0</v>
      </c>
    </row>
    <row r="286" spans="1:24" x14ac:dyDescent="0.35">
      <c r="A286" t="s">
        <v>39</v>
      </c>
      <c r="B286" t="s">
        <v>38</v>
      </c>
      <c r="C286" s="16">
        <v>45748</v>
      </c>
      <c r="D286" t="s">
        <v>34</v>
      </c>
      <c r="E286">
        <v>8</v>
      </c>
      <c r="F286" t="s">
        <v>36</v>
      </c>
      <c r="G286" s="4">
        <v>0</v>
      </c>
      <c r="H286" s="14">
        <v>0</v>
      </c>
      <c r="I286" s="4">
        <v>72556.450000000012</v>
      </c>
      <c r="J286" s="14">
        <v>86</v>
      </c>
      <c r="K286" s="4">
        <v>0</v>
      </c>
      <c r="L286" s="14">
        <v>0</v>
      </c>
      <c r="M286">
        <v>0</v>
      </c>
      <c r="N286" s="14">
        <v>0</v>
      </c>
      <c r="O286">
        <v>0</v>
      </c>
      <c r="P286" s="14">
        <v>0</v>
      </c>
      <c r="Q286">
        <v>0</v>
      </c>
      <c r="R286" s="14">
        <v>0</v>
      </c>
      <c r="S286" s="4">
        <v>0</v>
      </c>
      <c r="T286" s="4">
        <v>0</v>
      </c>
      <c r="U286" s="1">
        <v>108.17441860465117</v>
      </c>
      <c r="V286" s="14">
        <v>86</v>
      </c>
      <c r="W286" s="14">
        <v>177</v>
      </c>
      <c r="X286" s="14">
        <v>0</v>
      </c>
    </row>
    <row r="287" spans="1:24" x14ac:dyDescent="0.35">
      <c r="A287" t="s">
        <v>39</v>
      </c>
      <c r="B287" t="s">
        <v>38</v>
      </c>
      <c r="C287" s="16">
        <v>45748</v>
      </c>
      <c r="D287" t="s">
        <v>34</v>
      </c>
      <c r="E287">
        <v>9</v>
      </c>
      <c r="F287" t="s">
        <v>35</v>
      </c>
      <c r="G287" s="4">
        <v>0</v>
      </c>
      <c r="H287" s="14">
        <v>0</v>
      </c>
      <c r="I287" s="4">
        <v>28365.300000000003</v>
      </c>
      <c r="J287" s="14">
        <v>28</v>
      </c>
      <c r="K287" s="4">
        <v>0</v>
      </c>
      <c r="L287" s="14">
        <v>0</v>
      </c>
      <c r="M287">
        <v>0</v>
      </c>
      <c r="N287" s="14">
        <v>0</v>
      </c>
      <c r="O287">
        <v>0</v>
      </c>
      <c r="P287" s="14">
        <v>0</v>
      </c>
      <c r="Q287">
        <v>0</v>
      </c>
      <c r="R287" s="14">
        <v>0</v>
      </c>
      <c r="S287" s="4">
        <v>0</v>
      </c>
      <c r="T287" s="4">
        <v>0</v>
      </c>
      <c r="U287" s="1">
        <v>32.607142857142854</v>
      </c>
      <c r="V287" s="14">
        <v>28</v>
      </c>
      <c r="W287" s="14">
        <v>41</v>
      </c>
      <c r="X287" s="14">
        <v>0</v>
      </c>
    </row>
    <row r="288" spans="1:24" x14ac:dyDescent="0.35">
      <c r="A288" t="s">
        <v>39</v>
      </c>
      <c r="B288" t="s">
        <v>38</v>
      </c>
      <c r="C288" s="16">
        <v>45748</v>
      </c>
      <c r="D288" t="s">
        <v>34</v>
      </c>
      <c r="E288">
        <v>9</v>
      </c>
      <c r="F288" t="s">
        <v>36</v>
      </c>
      <c r="G288" s="4">
        <v>0</v>
      </c>
      <c r="H288" s="14">
        <v>0</v>
      </c>
      <c r="I288" s="4">
        <v>69084.64999999998</v>
      </c>
      <c r="J288" s="14">
        <v>86</v>
      </c>
      <c r="K288" s="4">
        <v>0</v>
      </c>
      <c r="L288" s="14">
        <v>0</v>
      </c>
      <c r="M288">
        <v>0</v>
      </c>
      <c r="N288" s="14">
        <v>0</v>
      </c>
      <c r="O288">
        <v>0</v>
      </c>
      <c r="P288" s="14">
        <v>0</v>
      </c>
      <c r="Q288">
        <v>0</v>
      </c>
      <c r="R288" s="14">
        <v>0</v>
      </c>
      <c r="S288" s="4">
        <v>0</v>
      </c>
      <c r="T288" s="4">
        <v>0</v>
      </c>
      <c r="U288" s="1">
        <v>60.97674418604651</v>
      </c>
      <c r="V288" s="14">
        <v>86</v>
      </c>
      <c r="W288" s="14">
        <v>236</v>
      </c>
      <c r="X288" s="14">
        <v>0</v>
      </c>
    </row>
    <row r="289" spans="1:24" x14ac:dyDescent="0.35">
      <c r="A289" t="s">
        <v>39</v>
      </c>
      <c r="B289" t="s">
        <v>38</v>
      </c>
      <c r="C289" s="16">
        <v>45748</v>
      </c>
      <c r="D289" t="s">
        <v>34</v>
      </c>
      <c r="E289">
        <v>10</v>
      </c>
      <c r="F289" t="s">
        <v>35</v>
      </c>
      <c r="G289" s="4">
        <v>0</v>
      </c>
      <c r="H289" s="14">
        <v>0</v>
      </c>
      <c r="I289" s="4">
        <v>2571.83</v>
      </c>
      <c r="J289" s="14">
        <v>3</v>
      </c>
      <c r="K289" s="4">
        <v>0</v>
      </c>
      <c r="L289" s="14">
        <v>0</v>
      </c>
      <c r="M289">
        <v>0</v>
      </c>
      <c r="N289" s="14">
        <v>0</v>
      </c>
      <c r="O289">
        <v>0</v>
      </c>
      <c r="P289" s="14">
        <v>0</v>
      </c>
      <c r="Q289">
        <v>0</v>
      </c>
      <c r="R289" s="14">
        <v>0</v>
      </c>
      <c r="S289" s="4">
        <v>0</v>
      </c>
      <c r="T289" s="4">
        <v>0</v>
      </c>
      <c r="U289" s="1">
        <v>8</v>
      </c>
      <c r="V289" s="14">
        <v>3</v>
      </c>
      <c r="W289" s="14">
        <v>15</v>
      </c>
      <c r="X289" s="14">
        <v>0</v>
      </c>
    </row>
    <row r="290" spans="1:24" x14ac:dyDescent="0.35">
      <c r="A290" t="s">
        <v>39</v>
      </c>
      <c r="B290" t="s">
        <v>38</v>
      </c>
      <c r="C290" s="16">
        <v>45748</v>
      </c>
      <c r="D290" t="s">
        <v>34</v>
      </c>
      <c r="E290">
        <v>10</v>
      </c>
      <c r="F290" t="s">
        <v>36</v>
      </c>
      <c r="G290" s="4">
        <v>0</v>
      </c>
      <c r="H290" s="14">
        <v>0</v>
      </c>
      <c r="I290" s="4">
        <v>32369.600000000002</v>
      </c>
      <c r="J290" s="14">
        <v>33</v>
      </c>
      <c r="K290" s="4">
        <v>0</v>
      </c>
      <c r="L290" s="14">
        <v>0</v>
      </c>
      <c r="M290">
        <v>0</v>
      </c>
      <c r="N290" s="14">
        <v>0</v>
      </c>
      <c r="O290">
        <v>0</v>
      </c>
      <c r="P290" s="14">
        <v>0</v>
      </c>
      <c r="Q290">
        <v>0</v>
      </c>
      <c r="R290" s="14">
        <v>0</v>
      </c>
      <c r="S290" s="4">
        <v>0</v>
      </c>
      <c r="T290" s="4">
        <v>0</v>
      </c>
      <c r="U290" s="1">
        <v>109.48888888888889</v>
      </c>
      <c r="V290" s="14">
        <v>46</v>
      </c>
      <c r="W290" s="14">
        <v>68</v>
      </c>
      <c r="X290" s="14">
        <v>0</v>
      </c>
    </row>
    <row r="291" spans="1:24" x14ac:dyDescent="0.35">
      <c r="A291" t="s">
        <v>39</v>
      </c>
      <c r="B291" t="s">
        <v>38</v>
      </c>
      <c r="C291" s="16">
        <v>45748</v>
      </c>
      <c r="D291" t="s">
        <v>34</v>
      </c>
      <c r="E291">
        <v>13</v>
      </c>
      <c r="F291" t="s">
        <v>35</v>
      </c>
      <c r="G291" s="4">
        <v>0</v>
      </c>
      <c r="H291" s="14">
        <v>0</v>
      </c>
      <c r="I291" s="4">
        <v>2117.3000000000002</v>
      </c>
      <c r="J291" s="14">
        <v>2</v>
      </c>
      <c r="K291" s="4">
        <v>0</v>
      </c>
      <c r="L291" s="14">
        <v>0</v>
      </c>
      <c r="M291">
        <v>0</v>
      </c>
      <c r="N291" s="14">
        <v>0</v>
      </c>
      <c r="O291">
        <v>0</v>
      </c>
      <c r="P291" s="14">
        <v>0</v>
      </c>
      <c r="Q291">
        <v>0</v>
      </c>
      <c r="R291" s="14">
        <v>0</v>
      </c>
      <c r="S291" s="4">
        <v>0</v>
      </c>
      <c r="T291" s="4">
        <v>0</v>
      </c>
      <c r="U291" s="1">
        <v>105.5</v>
      </c>
      <c r="V291" s="14">
        <v>2</v>
      </c>
      <c r="W291" s="14">
        <v>6</v>
      </c>
      <c r="X291" s="14">
        <v>0</v>
      </c>
    </row>
    <row r="292" spans="1:24" x14ac:dyDescent="0.35">
      <c r="A292" t="s">
        <v>39</v>
      </c>
      <c r="B292" t="s">
        <v>38</v>
      </c>
      <c r="C292" s="16">
        <v>45748</v>
      </c>
      <c r="D292" t="s">
        <v>34</v>
      </c>
      <c r="E292">
        <v>13</v>
      </c>
      <c r="F292" t="s">
        <v>36</v>
      </c>
      <c r="G292" s="4">
        <v>0</v>
      </c>
      <c r="H292" s="14">
        <v>0</v>
      </c>
      <c r="I292" s="4">
        <v>30522.140000000003</v>
      </c>
      <c r="J292" s="14">
        <v>24</v>
      </c>
      <c r="K292" s="4">
        <v>0</v>
      </c>
      <c r="L292" s="14">
        <v>0</v>
      </c>
      <c r="M292">
        <v>0</v>
      </c>
      <c r="N292" s="14">
        <v>0</v>
      </c>
      <c r="O292">
        <v>0</v>
      </c>
      <c r="P292" s="14">
        <v>0</v>
      </c>
      <c r="Q292">
        <v>0</v>
      </c>
      <c r="R292" s="14">
        <v>0</v>
      </c>
      <c r="S292" s="4">
        <v>0</v>
      </c>
      <c r="T292" s="4">
        <v>0</v>
      </c>
      <c r="U292" s="1">
        <v>60.846153846153847</v>
      </c>
      <c r="V292" s="14">
        <v>26</v>
      </c>
      <c r="W292" s="14">
        <v>18</v>
      </c>
      <c r="X292" s="14">
        <v>0</v>
      </c>
    </row>
    <row r="293" spans="1:24" x14ac:dyDescent="0.35">
      <c r="A293" t="s">
        <v>39</v>
      </c>
      <c r="B293" t="s">
        <v>38</v>
      </c>
      <c r="C293" s="16">
        <v>45748</v>
      </c>
      <c r="D293" t="s">
        <v>34</v>
      </c>
      <c r="E293">
        <v>14</v>
      </c>
      <c r="F293" t="s">
        <v>35</v>
      </c>
      <c r="G293" s="4">
        <v>0</v>
      </c>
      <c r="H293" s="14">
        <v>0</v>
      </c>
      <c r="I293" s="4">
        <v>0</v>
      </c>
      <c r="J293" s="14">
        <v>0</v>
      </c>
      <c r="K293" s="4">
        <v>0</v>
      </c>
      <c r="L293" s="14">
        <v>0</v>
      </c>
      <c r="M293">
        <v>0</v>
      </c>
      <c r="N293" s="14">
        <v>0</v>
      </c>
      <c r="O293">
        <v>0</v>
      </c>
      <c r="P293" s="14">
        <v>0</v>
      </c>
      <c r="Q293">
        <v>0</v>
      </c>
      <c r="R293" s="14">
        <v>0</v>
      </c>
      <c r="S293" s="4">
        <v>0</v>
      </c>
      <c r="T293" s="4">
        <v>0</v>
      </c>
      <c r="V293" s="14">
        <v>0</v>
      </c>
      <c r="W293" s="14">
        <v>2</v>
      </c>
      <c r="X293" s="14">
        <v>0</v>
      </c>
    </row>
    <row r="294" spans="1:24" x14ac:dyDescent="0.35">
      <c r="A294" t="s">
        <v>39</v>
      </c>
      <c r="B294" t="s">
        <v>38</v>
      </c>
      <c r="C294" s="16">
        <v>45748</v>
      </c>
      <c r="D294" t="s">
        <v>34</v>
      </c>
      <c r="E294">
        <v>14</v>
      </c>
      <c r="F294" t="s">
        <v>36</v>
      </c>
      <c r="G294" s="4">
        <v>0</v>
      </c>
      <c r="H294" s="14">
        <v>0</v>
      </c>
      <c r="I294" s="4">
        <v>13749.87</v>
      </c>
      <c r="J294" s="14">
        <v>15</v>
      </c>
      <c r="K294" s="4">
        <v>1474.27</v>
      </c>
      <c r="L294" s="14">
        <v>1</v>
      </c>
      <c r="M294">
        <v>0</v>
      </c>
      <c r="N294" s="14">
        <v>0</v>
      </c>
      <c r="O294">
        <v>0</v>
      </c>
      <c r="P294" s="14">
        <v>0</v>
      </c>
      <c r="Q294">
        <v>0</v>
      </c>
      <c r="R294" s="14">
        <v>0</v>
      </c>
      <c r="S294" s="4">
        <v>0</v>
      </c>
      <c r="T294" s="4">
        <v>0</v>
      </c>
      <c r="U294" s="1">
        <v>52.80952380952381</v>
      </c>
      <c r="V294" s="14">
        <v>21</v>
      </c>
      <c r="W294" s="14">
        <v>34</v>
      </c>
      <c r="X294" s="14">
        <v>0</v>
      </c>
    </row>
    <row r="295" spans="1:24" x14ac:dyDescent="0.35">
      <c r="A295" t="s">
        <v>39</v>
      </c>
      <c r="B295" t="s">
        <v>38</v>
      </c>
      <c r="C295" s="16">
        <v>45748</v>
      </c>
      <c r="D295" t="s">
        <v>34</v>
      </c>
      <c r="E295">
        <v>15</v>
      </c>
      <c r="F295" t="s">
        <v>35</v>
      </c>
      <c r="G295" s="4">
        <v>0</v>
      </c>
      <c r="H295" s="14">
        <v>0</v>
      </c>
      <c r="I295" s="4">
        <v>0</v>
      </c>
      <c r="J295" s="14">
        <v>0</v>
      </c>
      <c r="K295" s="4">
        <v>0</v>
      </c>
      <c r="L295" s="14">
        <v>0</v>
      </c>
      <c r="M295">
        <v>0</v>
      </c>
      <c r="N295" s="14">
        <v>0</v>
      </c>
      <c r="O295">
        <v>0</v>
      </c>
      <c r="P295" s="14">
        <v>0</v>
      </c>
      <c r="Q295">
        <v>0</v>
      </c>
      <c r="R295" s="14">
        <v>0</v>
      </c>
      <c r="S295" s="4">
        <v>0</v>
      </c>
      <c r="T295" s="4">
        <v>0</v>
      </c>
      <c r="V295" s="14">
        <v>0</v>
      </c>
      <c r="W295" s="14">
        <v>1</v>
      </c>
      <c r="X295" s="14">
        <v>0</v>
      </c>
    </row>
    <row r="296" spans="1:24" x14ac:dyDescent="0.35">
      <c r="A296" t="s">
        <v>39</v>
      </c>
      <c r="B296" t="s">
        <v>38</v>
      </c>
      <c r="C296" s="16">
        <v>45748</v>
      </c>
      <c r="D296" t="s">
        <v>34</v>
      </c>
      <c r="E296">
        <v>15</v>
      </c>
      <c r="F296" t="s">
        <v>36</v>
      </c>
      <c r="G296" s="4">
        <v>0</v>
      </c>
      <c r="H296" s="14">
        <v>0</v>
      </c>
      <c r="I296" s="4">
        <v>9094.83</v>
      </c>
      <c r="J296" s="14">
        <v>9</v>
      </c>
      <c r="K296" s="4">
        <v>0</v>
      </c>
      <c r="L296" s="14">
        <v>0</v>
      </c>
      <c r="M296">
        <v>0</v>
      </c>
      <c r="N296" s="14">
        <v>0</v>
      </c>
      <c r="O296">
        <v>0</v>
      </c>
      <c r="P296" s="14">
        <v>0</v>
      </c>
      <c r="Q296">
        <v>0</v>
      </c>
      <c r="R296" s="14">
        <v>0</v>
      </c>
      <c r="S296" s="4">
        <v>0</v>
      </c>
      <c r="T296" s="4">
        <v>0</v>
      </c>
      <c r="U296" s="1">
        <v>68.444444444444443</v>
      </c>
      <c r="V296" s="14">
        <v>9</v>
      </c>
      <c r="W296" s="14">
        <v>16</v>
      </c>
      <c r="X296" s="14">
        <v>0</v>
      </c>
    </row>
    <row r="297" spans="1:24" x14ac:dyDescent="0.35">
      <c r="A297" t="s">
        <v>39</v>
      </c>
      <c r="B297" t="s">
        <v>38</v>
      </c>
      <c r="C297" s="16">
        <v>45748</v>
      </c>
      <c r="D297" t="s">
        <v>34</v>
      </c>
      <c r="E297">
        <v>16</v>
      </c>
      <c r="F297" t="s">
        <v>35</v>
      </c>
      <c r="G297" s="4">
        <v>0</v>
      </c>
      <c r="H297" s="14">
        <v>0</v>
      </c>
      <c r="I297" s="4">
        <v>3193.21</v>
      </c>
      <c r="J297" s="14">
        <v>2</v>
      </c>
      <c r="K297" s="4">
        <v>0</v>
      </c>
      <c r="L297" s="14">
        <v>0</v>
      </c>
      <c r="M297">
        <v>0</v>
      </c>
      <c r="N297" s="14">
        <v>0</v>
      </c>
      <c r="O297">
        <v>0</v>
      </c>
      <c r="P297" s="14">
        <v>0</v>
      </c>
      <c r="Q297">
        <v>0</v>
      </c>
      <c r="R297" s="14">
        <v>0</v>
      </c>
      <c r="S297" s="4">
        <v>0</v>
      </c>
      <c r="T297" s="4">
        <v>0</v>
      </c>
      <c r="U297" s="1">
        <v>22</v>
      </c>
      <c r="V297" s="14">
        <v>2</v>
      </c>
      <c r="W297" s="14">
        <v>4</v>
      </c>
      <c r="X297" s="14">
        <v>0</v>
      </c>
    </row>
    <row r="298" spans="1:24" x14ac:dyDescent="0.35">
      <c r="A298" t="s">
        <v>39</v>
      </c>
      <c r="B298" t="s">
        <v>38</v>
      </c>
      <c r="C298" s="16">
        <v>45748</v>
      </c>
      <c r="D298" t="s">
        <v>34</v>
      </c>
      <c r="E298">
        <v>16</v>
      </c>
      <c r="F298" t="s">
        <v>36</v>
      </c>
      <c r="G298" s="4">
        <v>0</v>
      </c>
      <c r="H298" s="14">
        <v>0</v>
      </c>
      <c r="I298" s="4">
        <v>5794.93</v>
      </c>
      <c r="J298" s="14">
        <v>6</v>
      </c>
      <c r="K298" s="4">
        <v>0</v>
      </c>
      <c r="L298" s="14">
        <v>0</v>
      </c>
      <c r="M298">
        <v>0</v>
      </c>
      <c r="N298" s="14">
        <v>0</v>
      </c>
      <c r="O298">
        <v>0</v>
      </c>
      <c r="P298" s="14">
        <v>0</v>
      </c>
      <c r="Q298">
        <v>0</v>
      </c>
      <c r="R298" s="14">
        <v>0</v>
      </c>
      <c r="S298" s="4">
        <v>0</v>
      </c>
      <c r="T298" s="4">
        <v>0</v>
      </c>
      <c r="U298" s="1">
        <v>262.85714285714283</v>
      </c>
      <c r="V298" s="14">
        <v>7</v>
      </c>
      <c r="W298" s="14">
        <v>18</v>
      </c>
      <c r="X298" s="14">
        <v>0</v>
      </c>
    </row>
    <row r="299" spans="1:24" x14ac:dyDescent="0.35">
      <c r="A299" t="s">
        <v>39</v>
      </c>
      <c r="B299" t="s">
        <v>38</v>
      </c>
      <c r="C299" s="16">
        <v>45748</v>
      </c>
      <c r="D299" t="s">
        <v>37</v>
      </c>
      <c r="E299">
        <v>6</v>
      </c>
      <c r="F299" t="s">
        <v>32</v>
      </c>
      <c r="G299" s="4">
        <v>0</v>
      </c>
      <c r="H299" s="14">
        <v>0</v>
      </c>
      <c r="I299" s="4">
        <v>0</v>
      </c>
      <c r="J299" s="14">
        <v>0</v>
      </c>
      <c r="K299" s="4">
        <v>0</v>
      </c>
      <c r="L299" s="14">
        <v>0</v>
      </c>
      <c r="M299">
        <v>0</v>
      </c>
      <c r="N299" s="14">
        <v>0</v>
      </c>
      <c r="O299">
        <v>0</v>
      </c>
      <c r="P299" s="14">
        <v>0</v>
      </c>
      <c r="Q299">
        <v>0</v>
      </c>
      <c r="R299" s="14">
        <v>0</v>
      </c>
      <c r="S299" s="4">
        <v>0</v>
      </c>
      <c r="T299" s="4">
        <v>0</v>
      </c>
      <c r="V299" s="14">
        <v>0</v>
      </c>
      <c r="W299" s="14">
        <v>1</v>
      </c>
      <c r="X299" s="14">
        <v>0</v>
      </c>
    </row>
    <row r="300" spans="1:24" x14ac:dyDescent="0.35">
      <c r="A300" t="s">
        <v>39</v>
      </c>
      <c r="B300" t="s">
        <v>38</v>
      </c>
      <c r="C300" s="16">
        <v>45778</v>
      </c>
      <c r="D300" t="s">
        <v>31</v>
      </c>
      <c r="E300">
        <v>6</v>
      </c>
      <c r="F300" t="s">
        <v>32</v>
      </c>
      <c r="G300" s="4">
        <v>0</v>
      </c>
      <c r="H300" s="14">
        <v>0</v>
      </c>
      <c r="I300" s="4">
        <v>913.87</v>
      </c>
      <c r="J300" s="14">
        <v>1</v>
      </c>
      <c r="K300" s="4">
        <v>0</v>
      </c>
      <c r="L300" s="14">
        <v>0</v>
      </c>
      <c r="M300">
        <v>0</v>
      </c>
      <c r="N300" s="14">
        <v>0</v>
      </c>
      <c r="O300">
        <v>0</v>
      </c>
      <c r="P300" s="14">
        <v>0</v>
      </c>
      <c r="Q300">
        <v>0</v>
      </c>
      <c r="R300" s="14">
        <v>0</v>
      </c>
      <c r="S300" s="4">
        <v>0</v>
      </c>
      <c r="T300" s="4">
        <v>0</v>
      </c>
      <c r="U300" s="1">
        <v>337</v>
      </c>
      <c r="V300" s="14">
        <v>1</v>
      </c>
      <c r="W300" s="14">
        <v>6</v>
      </c>
      <c r="X300" s="14">
        <v>0</v>
      </c>
    </row>
    <row r="301" spans="1:24" x14ac:dyDescent="0.35">
      <c r="A301" t="s">
        <v>39</v>
      </c>
      <c r="B301" t="s">
        <v>38</v>
      </c>
      <c r="C301" s="16">
        <v>45778</v>
      </c>
      <c r="D301" t="s">
        <v>31</v>
      </c>
      <c r="E301">
        <v>13</v>
      </c>
      <c r="F301" t="s">
        <v>32</v>
      </c>
      <c r="G301" s="4">
        <v>0</v>
      </c>
      <c r="H301" s="14">
        <v>0</v>
      </c>
      <c r="I301" s="4">
        <v>190039.31</v>
      </c>
      <c r="J301" s="14">
        <v>3</v>
      </c>
      <c r="K301" s="4">
        <v>0</v>
      </c>
      <c r="L301" s="14">
        <v>0</v>
      </c>
      <c r="M301">
        <v>0</v>
      </c>
      <c r="N301" s="14">
        <v>0</v>
      </c>
      <c r="O301">
        <v>0</v>
      </c>
      <c r="P301" s="14">
        <v>0</v>
      </c>
      <c r="Q301">
        <v>0</v>
      </c>
      <c r="R301" s="14">
        <v>0</v>
      </c>
      <c r="S301" s="4">
        <v>0</v>
      </c>
      <c r="T301" s="4">
        <v>0</v>
      </c>
      <c r="U301" s="1">
        <v>165</v>
      </c>
      <c r="V301" s="14">
        <v>3</v>
      </c>
      <c r="W301" s="14">
        <v>1</v>
      </c>
      <c r="X301" s="14">
        <v>0</v>
      </c>
    </row>
    <row r="302" spans="1:24" x14ac:dyDescent="0.35">
      <c r="A302" t="s">
        <v>39</v>
      </c>
      <c r="B302" t="s">
        <v>38</v>
      </c>
      <c r="C302" s="16">
        <v>45778</v>
      </c>
      <c r="D302" t="s">
        <v>31</v>
      </c>
      <c r="E302">
        <v>14</v>
      </c>
      <c r="F302" t="s">
        <v>32</v>
      </c>
      <c r="G302" s="4">
        <v>0</v>
      </c>
      <c r="H302" s="14">
        <v>0</v>
      </c>
      <c r="I302" s="4">
        <v>0</v>
      </c>
      <c r="J302" s="14">
        <v>0</v>
      </c>
      <c r="K302" s="4">
        <v>0</v>
      </c>
      <c r="L302" s="14">
        <v>0</v>
      </c>
      <c r="M302">
        <v>0</v>
      </c>
      <c r="N302" s="14">
        <v>0</v>
      </c>
      <c r="O302">
        <v>0</v>
      </c>
      <c r="P302" s="14">
        <v>0</v>
      </c>
      <c r="Q302">
        <v>0</v>
      </c>
      <c r="R302" s="14">
        <v>0</v>
      </c>
      <c r="S302" s="4">
        <v>0</v>
      </c>
      <c r="T302" s="4">
        <v>0</v>
      </c>
      <c r="V302" s="14">
        <v>0</v>
      </c>
      <c r="W302" s="14">
        <v>1</v>
      </c>
      <c r="X302" s="14">
        <v>0</v>
      </c>
    </row>
    <row r="303" spans="1:24" x14ac:dyDescent="0.35">
      <c r="A303" t="s">
        <v>39</v>
      </c>
      <c r="B303" t="s">
        <v>38</v>
      </c>
      <c r="C303" s="16">
        <v>45778</v>
      </c>
      <c r="D303" t="s">
        <v>33</v>
      </c>
      <c r="E303">
        <v>6</v>
      </c>
      <c r="F303" t="s">
        <v>32</v>
      </c>
      <c r="G303" s="4">
        <v>0</v>
      </c>
      <c r="H303" s="14">
        <v>0</v>
      </c>
      <c r="I303" s="4">
        <v>157503.72999999998</v>
      </c>
      <c r="J303" s="14">
        <v>6</v>
      </c>
      <c r="K303" s="4">
        <v>1446.1799999999998</v>
      </c>
      <c r="L303" s="14">
        <v>2</v>
      </c>
      <c r="M303">
        <v>0</v>
      </c>
      <c r="N303" s="14">
        <v>0</v>
      </c>
      <c r="O303">
        <v>0</v>
      </c>
      <c r="P303" s="14">
        <v>0</v>
      </c>
      <c r="Q303">
        <v>0</v>
      </c>
      <c r="R303" s="14">
        <v>0</v>
      </c>
      <c r="S303" s="4">
        <v>0</v>
      </c>
      <c r="T303" s="4">
        <v>0</v>
      </c>
      <c r="U303" s="1">
        <v>83.142857142857139</v>
      </c>
      <c r="V303" s="14">
        <v>7</v>
      </c>
      <c r="W303" s="14">
        <v>8</v>
      </c>
      <c r="X303" s="14">
        <v>0</v>
      </c>
    </row>
    <row r="304" spans="1:24" x14ac:dyDescent="0.35">
      <c r="A304" t="s">
        <v>39</v>
      </c>
      <c r="B304" t="s">
        <v>38</v>
      </c>
      <c r="C304" s="16">
        <v>45778</v>
      </c>
      <c r="D304" t="s">
        <v>33</v>
      </c>
      <c r="E304">
        <v>8</v>
      </c>
      <c r="F304" t="s">
        <v>32</v>
      </c>
      <c r="G304" s="4">
        <v>0</v>
      </c>
      <c r="H304" s="14">
        <v>0</v>
      </c>
      <c r="I304" s="4">
        <v>209562.97999999998</v>
      </c>
      <c r="J304" s="14">
        <v>8</v>
      </c>
      <c r="K304" s="4">
        <v>2390.02</v>
      </c>
      <c r="L304" s="14">
        <v>1</v>
      </c>
      <c r="M304">
        <v>0</v>
      </c>
      <c r="N304" s="14">
        <v>0</v>
      </c>
      <c r="O304">
        <v>0</v>
      </c>
      <c r="P304" s="14">
        <v>0</v>
      </c>
      <c r="Q304">
        <v>0</v>
      </c>
      <c r="R304" s="14">
        <v>0</v>
      </c>
      <c r="S304" s="4">
        <v>0</v>
      </c>
      <c r="T304" s="4">
        <v>0</v>
      </c>
      <c r="U304" s="1">
        <v>281.55555555555554</v>
      </c>
      <c r="V304" s="14">
        <v>9</v>
      </c>
      <c r="W304" s="14">
        <v>20</v>
      </c>
      <c r="X304" s="14">
        <v>0</v>
      </c>
    </row>
    <row r="305" spans="1:24" x14ac:dyDescent="0.35">
      <c r="A305" t="s">
        <v>39</v>
      </c>
      <c r="B305" t="s">
        <v>38</v>
      </c>
      <c r="C305" s="16">
        <v>45778</v>
      </c>
      <c r="D305" t="s">
        <v>33</v>
      </c>
      <c r="E305">
        <v>9</v>
      </c>
      <c r="F305" t="s">
        <v>32</v>
      </c>
      <c r="G305" s="4">
        <v>0</v>
      </c>
      <c r="H305" s="14">
        <v>0</v>
      </c>
      <c r="I305" s="4">
        <v>45547.97</v>
      </c>
      <c r="J305" s="14">
        <v>5</v>
      </c>
      <c r="K305" s="4">
        <v>1596.1</v>
      </c>
      <c r="L305" s="14">
        <v>1</v>
      </c>
      <c r="M305">
        <v>0</v>
      </c>
      <c r="N305" s="14">
        <v>0</v>
      </c>
      <c r="O305">
        <v>0</v>
      </c>
      <c r="P305" s="14">
        <v>0</v>
      </c>
      <c r="Q305">
        <v>0</v>
      </c>
      <c r="R305" s="14">
        <v>0</v>
      </c>
      <c r="S305" s="4">
        <v>0</v>
      </c>
      <c r="T305" s="4">
        <v>0</v>
      </c>
      <c r="U305" s="1">
        <v>232.6</v>
      </c>
      <c r="V305" s="14">
        <v>5</v>
      </c>
      <c r="W305" s="14">
        <v>20</v>
      </c>
      <c r="X305" s="14">
        <v>0</v>
      </c>
    </row>
    <row r="306" spans="1:24" x14ac:dyDescent="0.35">
      <c r="A306" t="s">
        <v>39</v>
      </c>
      <c r="B306" t="s">
        <v>38</v>
      </c>
      <c r="C306" s="16">
        <v>45778</v>
      </c>
      <c r="D306" t="s">
        <v>33</v>
      </c>
      <c r="E306">
        <v>10</v>
      </c>
      <c r="F306" t="s">
        <v>32</v>
      </c>
      <c r="G306" s="4">
        <v>0</v>
      </c>
      <c r="H306" s="14">
        <v>0</v>
      </c>
      <c r="I306" s="4">
        <v>99603.43</v>
      </c>
      <c r="J306" s="14">
        <v>5</v>
      </c>
      <c r="K306" s="4">
        <v>0</v>
      </c>
      <c r="L306" s="14">
        <v>0</v>
      </c>
      <c r="M306">
        <v>0</v>
      </c>
      <c r="N306" s="14">
        <v>0</v>
      </c>
      <c r="O306">
        <v>0</v>
      </c>
      <c r="P306" s="14">
        <v>0</v>
      </c>
      <c r="Q306">
        <v>0</v>
      </c>
      <c r="R306" s="14">
        <v>0</v>
      </c>
      <c r="S306" s="4">
        <v>0</v>
      </c>
      <c r="T306" s="4">
        <v>0</v>
      </c>
      <c r="U306" s="1">
        <v>481.28571428571428</v>
      </c>
      <c r="V306" s="14">
        <v>8</v>
      </c>
      <c r="W306" s="14">
        <v>3</v>
      </c>
      <c r="X306" s="14">
        <v>0</v>
      </c>
    </row>
    <row r="307" spans="1:24" x14ac:dyDescent="0.35">
      <c r="A307" t="s">
        <v>39</v>
      </c>
      <c r="B307" t="s">
        <v>38</v>
      </c>
      <c r="C307" s="16">
        <v>45778</v>
      </c>
      <c r="D307" t="s">
        <v>33</v>
      </c>
      <c r="E307">
        <v>13</v>
      </c>
      <c r="F307" t="s">
        <v>32</v>
      </c>
      <c r="G307" s="4">
        <v>0</v>
      </c>
      <c r="H307" s="14">
        <v>0</v>
      </c>
      <c r="I307" s="4">
        <v>14610.52</v>
      </c>
      <c r="J307" s="14">
        <v>1</v>
      </c>
      <c r="K307" s="4">
        <v>272.8</v>
      </c>
      <c r="L307" s="14">
        <v>1</v>
      </c>
      <c r="M307">
        <v>0</v>
      </c>
      <c r="N307" s="14">
        <v>0</v>
      </c>
      <c r="O307">
        <v>0</v>
      </c>
      <c r="P307" s="14">
        <v>0</v>
      </c>
      <c r="Q307">
        <v>0</v>
      </c>
      <c r="R307" s="14">
        <v>0</v>
      </c>
      <c r="S307" s="4">
        <v>0</v>
      </c>
      <c r="T307" s="4">
        <v>0</v>
      </c>
      <c r="U307" s="1">
        <v>312</v>
      </c>
      <c r="V307" s="14">
        <v>1</v>
      </c>
      <c r="W307" s="14">
        <v>1</v>
      </c>
      <c r="X307" s="14">
        <v>0</v>
      </c>
    </row>
    <row r="308" spans="1:24" x14ac:dyDescent="0.35">
      <c r="A308" t="s">
        <v>39</v>
      </c>
      <c r="B308" t="s">
        <v>38</v>
      </c>
      <c r="C308" s="16">
        <v>45778</v>
      </c>
      <c r="D308" t="s">
        <v>33</v>
      </c>
      <c r="E308">
        <v>14</v>
      </c>
      <c r="F308" t="s">
        <v>32</v>
      </c>
      <c r="G308" s="4">
        <v>0</v>
      </c>
      <c r="H308" s="14">
        <v>0</v>
      </c>
      <c r="I308" s="4">
        <v>61491.33</v>
      </c>
      <c r="J308" s="14">
        <v>2</v>
      </c>
      <c r="K308" s="4">
        <v>0</v>
      </c>
      <c r="L308" s="14">
        <v>0</v>
      </c>
      <c r="M308">
        <v>0</v>
      </c>
      <c r="N308" s="14">
        <v>0</v>
      </c>
      <c r="O308">
        <v>0</v>
      </c>
      <c r="P308" s="14">
        <v>0</v>
      </c>
      <c r="Q308">
        <v>0</v>
      </c>
      <c r="R308" s="14">
        <v>0</v>
      </c>
      <c r="S308" s="4">
        <v>0</v>
      </c>
      <c r="T308" s="4">
        <v>0</v>
      </c>
      <c r="U308" s="1">
        <v>283.33333333333331</v>
      </c>
      <c r="V308" s="14">
        <v>3</v>
      </c>
      <c r="W308" s="14">
        <v>2</v>
      </c>
      <c r="X308" s="14">
        <v>0</v>
      </c>
    </row>
    <row r="309" spans="1:24" x14ac:dyDescent="0.35">
      <c r="A309" t="s">
        <v>39</v>
      </c>
      <c r="B309" t="s">
        <v>38</v>
      </c>
      <c r="C309" s="16">
        <v>45778</v>
      </c>
      <c r="D309" t="s">
        <v>33</v>
      </c>
      <c r="E309">
        <v>16</v>
      </c>
      <c r="F309" t="s">
        <v>32</v>
      </c>
      <c r="G309" s="4">
        <v>0</v>
      </c>
      <c r="H309" s="14">
        <v>0</v>
      </c>
      <c r="I309" s="4">
        <v>5300.06</v>
      </c>
      <c r="J309" s="14">
        <v>2</v>
      </c>
      <c r="K309" s="4">
        <v>0</v>
      </c>
      <c r="L309" s="14">
        <v>0</v>
      </c>
      <c r="M309">
        <v>0</v>
      </c>
      <c r="N309" s="14">
        <v>0</v>
      </c>
      <c r="O309">
        <v>0</v>
      </c>
      <c r="P309" s="14">
        <v>0</v>
      </c>
      <c r="Q309">
        <v>0</v>
      </c>
      <c r="R309" s="14">
        <v>0</v>
      </c>
      <c r="S309" s="4">
        <v>0</v>
      </c>
      <c r="T309" s="4">
        <v>0</v>
      </c>
      <c r="U309" s="1">
        <v>145</v>
      </c>
      <c r="V309" s="14">
        <v>2</v>
      </c>
      <c r="W309" s="14">
        <v>4</v>
      </c>
      <c r="X309" s="14">
        <v>0</v>
      </c>
    </row>
    <row r="310" spans="1:24" x14ac:dyDescent="0.35">
      <c r="A310" t="s">
        <v>39</v>
      </c>
      <c r="B310" t="s">
        <v>38</v>
      </c>
      <c r="C310" s="16">
        <v>45778</v>
      </c>
      <c r="D310" t="s">
        <v>34</v>
      </c>
      <c r="E310">
        <v>6</v>
      </c>
      <c r="F310" t="s">
        <v>35</v>
      </c>
      <c r="G310" s="4">
        <v>0</v>
      </c>
      <c r="H310" s="14">
        <v>0</v>
      </c>
      <c r="I310" s="4">
        <v>44767.099999999991</v>
      </c>
      <c r="J310" s="14">
        <v>28</v>
      </c>
      <c r="K310" s="4">
        <v>0</v>
      </c>
      <c r="L310" s="14">
        <v>0</v>
      </c>
      <c r="M310">
        <v>0</v>
      </c>
      <c r="N310" s="14">
        <v>0</v>
      </c>
      <c r="O310">
        <v>0</v>
      </c>
      <c r="P310" s="14">
        <v>0</v>
      </c>
      <c r="Q310">
        <v>0</v>
      </c>
      <c r="R310" s="14">
        <v>0</v>
      </c>
      <c r="S310" s="4">
        <v>0</v>
      </c>
      <c r="T310" s="4">
        <v>0</v>
      </c>
      <c r="U310" s="1">
        <v>156.89655172413794</v>
      </c>
      <c r="V310" s="14">
        <v>29</v>
      </c>
      <c r="W310" s="14">
        <v>58</v>
      </c>
      <c r="X310" s="14">
        <v>0</v>
      </c>
    </row>
    <row r="311" spans="1:24" x14ac:dyDescent="0.35">
      <c r="A311" t="s">
        <v>39</v>
      </c>
      <c r="B311" t="s">
        <v>38</v>
      </c>
      <c r="C311" s="16">
        <v>45778</v>
      </c>
      <c r="D311" t="s">
        <v>34</v>
      </c>
      <c r="E311">
        <v>6</v>
      </c>
      <c r="F311" t="s">
        <v>36</v>
      </c>
      <c r="G311" s="4">
        <v>0</v>
      </c>
      <c r="H311" s="14">
        <v>0</v>
      </c>
      <c r="I311" s="4">
        <v>91390.320000000022</v>
      </c>
      <c r="J311" s="14">
        <v>79</v>
      </c>
      <c r="K311" s="4">
        <v>0</v>
      </c>
      <c r="L311" s="14">
        <v>0</v>
      </c>
      <c r="M311">
        <v>0</v>
      </c>
      <c r="N311" s="14">
        <v>0</v>
      </c>
      <c r="O311">
        <v>0</v>
      </c>
      <c r="P311" s="14">
        <v>0</v>
      </c>
      <c r="Q311">
        <v>0</v>
      </c>
      <c r="R311" s="14">
        <v>0</v>
      </c>
      <c r="S311" s="4">
        <v>0</v>
      </c>
      <c r="T311" s="4">
        <v>0</v>
      </c>
      <c r="U311" s="1">
        <v>140.25641025641025</v>
      </c>
      <c r="V311" s="14">
        <v>79</v>
      </c>
      <c r="W311" s="14">
        <v>139</v>
      </c>
      <c r="X311" s="14">
        <v>0</v>
      </c>
    </row>
    <row r="312" spans="1:24" x14ac:dyDescent="0.35">
      <c r="A312" t="s">
        <v>39</v>
      </c>
      <c r="B312" t="s">
        <v>38</v>
      </c>
      <c r="C312" s="16">
        <v>45778</v>
      </c>
      <c r="D312" t="s">
        <v>34</v>
      </c>
      <c r="E312">
        <v>8</v>
      </c>
      <c r="F312" t="s">
        <v>35</v>
      </c>
      <c r="G312" s="4">
        <v>0</v>
      </c>
      <c r="H312" s="14">
        <v>0</v>
      </c>
      <c r="I312" s="4">
        <v>91087.459999999977</v>
      </c>
      <c r="J312" s="14">
        <v>49</v>
      </c>
      <c r="K312" s="4">
        <v>0</v>
      </c>
      <c r="L312" s="14">
        <v>0</v>
      </c>
      <c r="M312">
        <v>0</v>
      </c>
      <c r="N312" s="14">
        <v>0</v>
      </c>
      <c r="O312">
        <v>0</v>
      </c>
      <c r="P312" s="14">
        <v>0</v>
      </c>
      <c r="Q312">
        <v>0</v>
      </c>
      <c r="R312" s="14">
        <v>0</v>
      </c>
      <c r="S312" s="4">
        <v>0</v>
      </c>
      <c r="T312" s="4">
        <v>0</v>
      </c>
      <c r="U312" s="1">
        <v>72.760000000000005</v>
      </c>
      <c r="V312" s="14">
        <v>50</v>
      </c>
      <c r="W312" s="14">
        <v>53</v>
      </c>
      <c r="X312" s="14">
        <v>0</v>
      </c>
    </row>
    <row r="313" spans="1:24" x14ac:dyDescent="0.35">
      <c r="A313" t="s">
        <v>39</v>
      </c>
      <c r="B313" t="s">
        <v>38</v>
      </c>
      <c r="C313" s="16">
        <v>45778</v>
      </c>
      <c r="D313" t="s">
        <v>34</v>
      </c>
      <c r="E313">
        <v>8</v>
      </c>
      <c r="F313" t="s">
        <v>36</v>
      </c>
      <c r="G313" s="4">
        <v>0</v>
      </c>
      <c r="H313" s="14">
        <v>0</v>
      </c>
      <c r="I313" s="4">
        <v>194443.13000000009</v>
      </c>
      <c r="J313" s="14">
        <v>111</v>
      </c>
      <c r="K313" s="4">
        <v>199.42</v>
      </c>
      <c r="L313" s="14">
        <v>1</v>
      </c>
      <c r="M313">
        <v>0</v>
      </c>
      <c r="N313" s="14">
        <v>0</v>
      </c>
      <c r="O313">
        <v>0</v>
      </c>
      <c r="P313" s="14">
        <v>0</v>
      </c>
      <c r="Q313">
        <v>0</v>
      </c>
      <c r="R313" s="14">
        <v>0</v>
      </c>
      <c r="S313" s="4">
        <v>0</v>
      </c>
      <c r="T313" s="4">
        <v>0</v>
      </c>
      <c r="U313" s="1">
        <v>126.71171171171171</v>
      </c>
      <c r="V313" s="14">
        <v>111</v>
      </c>
      <c r="W313" s="14">
        <v>154</v>
      </c>
      <c r="X313" s="14">
        <v>0</v>
      </c>
    </row>
    <row r="314" spans="1:24" x14ac:dyDescent="0.35">
      <c r="A314" t="s">
        <v>39</v>
      </c>
      <c r="B314" t="s">
        <v>38</v>
      </c>
      <c r="C314" s="16">
        <v>45778</v>
      </c>
      <c r="D314" t="s">
        <v>34</v>
      </c>
      <c r="E314">
        <v>9</v>
      </c>
      <c r="F314" t="s">
        <v>35</v>
      </c>
      <c r="G314" s="4">
        <v>0</v>
      </c>
      <c r="H314" s="14">
        <v>0</v>
      </c>
      <c r="I314" s="4">
        <v>28357.780000000002</v>
      </c>
      <c r="J314" s="14">
        <v>27</v>
      </c>
      <c r="K314" s="4">
        <v>0</v>
      </c>
      <c r="L314" s="14">
        <v>0</v>
      </c>
      <c r="M314">
        <v>0</v>
      </c>
      <c r="N314" s="14">
        <v>0</v>
      </c>
      <c r="O314">
        <v>0</v>
      </c>
      <c r="P314" s="14">
        <v>0</v>
      </c>
      <c r="Q314">
        <v>0</v>
      </c>
      <c r="R314" s="14">
        <v>0</v>
      </c>
      <c r="S314" s="4">
        <v>0</v>
      </c>
      <c r="T314" s="4">
        <v>0</v>
      </c>
      <c r="U314" s="1">
        <v>94.642857142857139</v>
      </c>
      <c r="V314" s="14">
        <v>28</v>
      </c>
      <c r="W314" s="14">
        <v>44</v>
      </c>
      <c r="X314" s="14">
        <v>0</v>
      </c>
    </row>
    <row r="315" spans="1:24" x14ac:dyDescent="0.35">
      <c r="A315" t="s">
        <v>39</v>
      </c>
      <c r="B315" t="s">
        <v>38</v>
      </c>
      <c r="C315" s="16">
        <v>45778</v>
      </c>
      <c r="D315" t="s">
        <v>34</v>
      </c>
      <c r="E315">
        <v>9</v>
      </c>
      <c r="F315" t="s">
        <v>36</v>
      </c>
      <c r="G315" s="4">
        <v>0</v>
      </c>
      <c r="H315" s="14">
        <v>0</v>
      </c>
      <c r="I315" s="4">
        <v>96625.12</v>
      </c>
      <c r="J315" s="14">
        <v>116</v>
      </c>
      <c r="K315" s="4">
        <v>0</v>
      </c>
      <c r="L315" s="14">
        <v>0</v>
      </c>
      <c r="M315">
        <v>0</v>
      </c>
      <c r="N315" s="14">
        <v>0</v>
      </c>
      <c r="O315">
        <v>0</v>
      </c>
      <c r="P315" s="14">
        <v>0</v>
      </c>
      <c r="Q315">
        <v>0</v>
      </c>
      <c r="R315" s="14">
        <v>0</v>
      </c>
      <c r="S315" s="4">
        <v>0</v>
      </c>
      <c r="T315" s="4">
        <v>0</v>
      </c>
      <c r="U315" s="1">
        <v>80.440677966101688</v>
      </c>
      <c r="V315" s="14">
        <v>118</v>
      </c>
      <c r="W315" s="14">
        <v>237</v>
      </c>
      <c r="X315" s="14">
        <v>0</v>
      </c>
    </row>
    <row r="316" spans="1:24" x14ac:dyDescent="0.35">
      <c r="A316" t="s">
        <v>39</v>
      </c>
      <c r="B316" t="s">
        <v>38</v>
      </c>
      <c r="C316" s="16">
        <v>45778</v>
      </c>
      <c r="D316" t="s">
        <v>34</v>
      </c>
      <c r="E316">
        <v>10</v>
      </c>
      <c r="F316" t="s">
        <v>35</v>
      </c>
      <c r="G316" s="4">
        <v>0</v>
      </c>
      <c r="H316" s="14">
        <v>0</v>
      </c>
      <c r="I316" s="4">
        <v>11138.249999999998</v>
      </c>
      <c r="J316" s="14">
        <v>10</v>
      </c>
      <c r="K316" s="4">
        <v>0</v>
      </c>
      <c r="L316" s="14">
        <v>0</v>
      </c>
      <c r="M316">
        <v>0</v>
      </c>
      <c r="N316" s="14">
        <v>0</v>
      </c>
      <c r="O316">
        <v>0</v>
      </c>
      <c r="P316" s="14">
        <v>0</v>
      </c>
      <c r="Q316">
        <v>0</v>
      </c>
      <c r="R316" s="14">
        <v>0</v>
      </c>
      <c r="S316" s="4">
        <v>0</v>
      </c>
      <c r="T316" s="4">
        <v>0</v>
      </c>
      <c r="U316" s="1">
        <v>63.18181818181818</v>
      </c>
      <c r="V316" s="14">
        <v>12</v>
      </c>
      <c r="W316" s="14">
        <v>20</v>
      </c>
      <c r="X316" s="14">
        <v>0</v>
      </c>
    </row>
    <row r="317" spans="1:24" x14ac:dyDescent="0.35">
      <c r="A317" t="s">
        <v>39</v>
      </c>
      <c r="B317" t="s">
        <v>38</v>
      </c>
      <c r="C317" s="16">
        <v>45778</v>
      </c>
      <c r="D317" t="s">
        <v>34</v>
      </c>
      <c r="E317">
        <v>10</v>
      </c>
      <c r="F317" t="s">
        <v>36</v>
      </c>
      <c r="G317" s="4">
        <v>0</v>
      </c>
      <c r="H317" s="14">
        <v>0</v>
      </c>
      <c r="I317" s="4">
        <v>35584.909999999996</v>
      </c>
      <c r="J317" s="14">
        <v>36</v>
      </c>
      <c r="K317" s="4">
        <v>0</v>
      </c>
      <c r="L317" s="14">
        <v>0</v>
      </c>
      <c r="M317">
        <v>0</v>
      </c>
      <c r="N317" s="14">
        <v>0</v>
      </c>
      <c r="O317">
        <v>0</v>
      </c>
      <c r="P317" s="14">
        <v>0</v>
      </c>
      <c r="Q317">
        <v>0</v>
      </c>
      <c r="R317" s="14">
        <v>0</v>
      </c>
      <c r="S317" s="4">
        <v>0</v>
      </c>
      <c r="T317" s="4">
        <v>0</v>
      </c>
      <c r="U317" s="1">
        <v>53.43181818181818</v>
      </c>
      <c r="V317" s="14">
        <v>44</v>
      </c>
      <c r="W317" s="14">
        <v>87</v>
      </c>
      <c r="X317" s="14">
        <v>0</v>
      </c>
    </row>
    <row r="318" spans="1:24" x14ac:dyDescent="0.35">
      <c r="A318" t="s">
        <v>39</v>
      </c>
      <c r="B318" t="s">
        <v>38</v>
      </c>
      <c r="C318" s="16">
        <v>45778</v>
      </c>
      <c r="D318" t="s">
        <v>34</v>
      </c>
      <c r="E318">
        <v>13</v>
      </c>
      <c r="F318" t="s">
        <v>35</v>
      </c>
      <c r="G318" s="4">
        <v>0</v>
      </c>
      <c r="H318" s="14">
        <v>0</v>
      </c>
      <c r="I318" s="4">
        <v>2397.4700000000003</v>
      </c>
      <c r="J318" s="14">
        <v>3</v>
      </c>
      <c r="K318" s="4">
        <v>0</v>
      </c>
      <c r="L318" s="14">
        <v>0</v>
      </c>
      <c r="M318">
        <v>0</v>
      </c>
      <c r="N318" s="14">
        <v>0</v>
      </c>
      <c r="O318">
        <v>0</v>
      </c>
      <c r="P318" s="14">
        <v>0</v>
      </c>
      <c r="Q318">
        <v>0</v>
      </c>
      <c r="R318" s="14">
        <v>0</v>
      </c>
      <c r="S318" s="4">
        <v>0</v>
      </c>
      <c r="T318" s="4">
        <v>0</v>
      </c>
      <c r="U318" s="1">
        <v>41.333333333333336</v>
      </c>
      <c r="V318" s="14">
        <v>3</v>
      </c>
      <c r="W318" s="14">
        <v>1</v>
      </c>
      <c r="X318" s="14">
        <v>0</v>
      </c>
    </row>
    <row r="319" spans="1:24" x14ac:dyDescent="0.35">
      <c r="A319" t="s">
        <v>39</v>
      </c>
      <c r="B319" t="s">
        <v>38</v>
      </c>
      <c r="C319" s="16">
        <v>45778</v>
      </c>
      <c r="D319" t="s">
        <v>34</v>
      </c>
      <c r="E319">
        <v>13</v>
      </c>
      <c r="F319" t="s">
        <v>36</v>
      </c>
      <c r="G319" s="4">
        <v>0</v>
      </c>
      <c r="H319" s="14">
        <v>0</v>
      </c>
      <c r="I319" s="4">
        <v>8864.42</v>
      </c>
      <c r="J319" s="14">
        <v>9</v>
      </c>
      <c r="K319" s="4">
        <v>0</v>
      </c>
      <c r="L319" s="14">
        <v>0</v>
      </c>
      <c r="M319">
        <v>0</v>
      </c>
      <c r="N319" s="14">
        <v>0</v>
      </c>
      <c r="O319">
        <v>0</v>
      </c>
      <c r="P319" s="14">
        <v>0</v>
      </c>
      <c r="Q319">
        <v>0</v>
      </c>
      <c r="R319" s="14">
        <v>0</v>
      </c>
      <c r="S319" s="4">
        <v>0</v>
      </c>
      <c r="T319" s="4">
        <v>0</v>
      </c>
      <c r="U319" s="1">
        <v>54.888888888888886</v>
      </c>
      <c r="V319" s="14">
        <v>9</v>
      </c>
      <c r="W319" s="14">
        <v>19</v>
      </c>
      <c r="X319" s="14">
        <v>0</v>
      </c>
    </row>
    <row r="320" spans="1:24" x14ac:dyDescent="0.35">
      <c r="A320" t="s">
        <v>39</v>
      </c>
      <c r="B320" t="s">
        <v>38</v>
      </c>
      <c r="C320" s="16">
        <v>45778</v>
      </c>
      <c r="D320" t="s">
        <v>34</v>
      </c>
      <c r="E320">
        <v>14</v>
      </c>
      <c r="F320" t="s">
        <v>35</v>
      </c>
      <c r="G320" s="4">
        <v>0</v>
      </c>
      <c r="H320" s="14">
        <v>0</v>
      </c>
      <c r="I320" s="4">
        <v>861.35</v>
      </c>
      <c r="J320" s="14">
        <v>1</v>
      </c>
      <c r="K320" s="4">
        <v>0</v>
      </c>
      <c r="L320" s="14">
        <v>0</v>
      </c>
      <c r="M320">
        <v>0</v>
      </c>
      <c r="N320" s="14">
        <v>0</v>
      </c>
      <c r="O320">
        <v>0</v>
      </c>
      <c r="P320" s="14">
        <v>0</v>
      </c>
      <c r="Q320">
        <v>0</v>
      </c>
      <c r="R320" s="14">
        <v>0</v>
      </c>
      <c r="S320" s="4">
        <v>0</v>
      </c>
      <c r="T320" s="4">
        <v>0</v>
      </c>
      <c r="U320" s="1">
        <v>9</v>
      </c>
      <c r="V320" s="14">
        <v>1</v>
      </c>
      <c r="W320" s="14">
        <v>2</v>
      </c>
      <c r="X320" s="14">
        <v>0</v>
      </c>
    </row>
    <row r="321" spans="1:24" x14ac:dyDescent="0.35">
      <c r="A321" t="s">
        <v>39</v>
      </c>
      <c r="B321" t="s">
        <v>38</v>
      </c>
      <c r="C321" s="16">
        <v>45778</v>
      </c>
      <c r="D321" t="s">
        <v>34</v>
      </c>
      <c r="E321">
        <v>14</v>
      </c>
      <c r="F321" t="s">
        <v>36</v>
      </c>
      <c r="G321" s="4">
        <v>0</v>
      </c>
      <c r="H321" s="14">
        <v>0</v>
      </c>
      <c r="I321" s="4">
        <v>13245.029999999999</v>
      </c>
      <c r="J321" s="14">
        <v>12</v>
      </c>
      <c r="K321" s="4">
        <v>0</v>
      </c>
      <c r="L321" s="14">
        <v>0</v>
      </c>
      <c r="M321">
        <v>0</v>
      </c>
      <c r="N321" s="14">
        <v>0</v>
      </c>
      <c r="O321">
        <v>0</v>
      </c>
      <c r="P321" s="14">
        <v>0</v>
      </c>
      <c r="Q321">
        <v>0</v>
      </c>
      <c r="R321" s="14">
        <v>0</v>
      </c>
      <c r="S321" s="4">
        <v>0</v>
      </c>
      <c r="T321" s="4">
        <v>0</v>
      </c>
      <c r="U321" s="1">
        <v>57.761904761904759</v>
      </c>
      <c r="V321" s="14">
        <v>21</v>
      </c>
      <c r="W321" s="14">
        <v>28</v>
      </c>
      <c r="X321" s="14">
        <v>0</v>
      </c>
    </row>
    <row r="322" spans="1:24" x14ac:dyDescent="0.35">
      <c r="A322" t="s">
        <v>39</v>
      </c>
      <c r="B322" t="s">
        <v>38</v>
      </c>
      <c r="C322" s="16">
        <v>45778</v>
      </c>
      <c r="D322" t="s">
        <v>34</v>
      </c>
      <c r="E322">
        <v>15</v>
      </c>
      <c r="F322" t="s">
        <v>35</v>
      </c>
      <c r="G322" s="4">
        <v>0</v>
      </c>
      <c r="H322" s="14">
        <v>0</v>
      </c>
      <c r="I322" s="4">
        <v>0</v>
      </c>
      <c r="J322" s="14">
        <v>0</v>
      </c>
      <c r="K322" s="4">
        <v>0</v>
      </c>
      <c r="L322" s="14">
        <v>0</v>
      </c>
      <c r="M322">
        <v>0</v>
      </c>
      <c r="N322" s="14">
        <v>0</v>
      </c>
      <c r="O322">
        <v>0</v>
      </c>
      <c r="P322" s="14">
        <v>0</v>
      </c>
      <c r="Q322">
        <v>0</v>
      </c>
      <c r="R322" s="14">
        <v>0</v>
      </c>
      <c r="S322" s="4">
        <v>0</v>
      </c>
      <c r="T322" s="4">
        <v>0</v>
      </c>
      <c r="V322" s="14">
        <v>0</v>
      </c>
      <c r="W322" s="14">
        <v>4</v>
      </c>
      <c r="X322" s="14">
        <v>0</v>
      </c>
    </row>
    <row r="323" spans="1:24" x14ac:dyDescent="0.35">
      <c r="A323" t="s">
        <v>39</v>
      </c>
      <c r="B323" t="s">
        <v>38</v>
      </c>
      <c r="C323" s="16">
        <v>45778</v>
      </c>
      <c r="D323" t="s">
        <v>34</v>
      </c>
      <c r="E323">
        <v>15</v>
      </c>
      <c r="F323" t="s">
        <v>36</v>
      </c>
      <c r="G323" s="4">
        <v>0</v>
      </c>
      <c r="H323" s="14">
        <v>0</v>
      </c>
      <c r="I323" s="4">
        <v>7374.8899999999994</v>
      </c>
      <c r="J323" s="14">
        <v>9</v>
      </c>
      <c r="K323" s="4">
        <v>0</v>
      </c>
      <c r="L323" s="14">
        <v>0</v>
      </c>
      <c r="M323">
        <v>0</v>
      </c>
      <c r="N323" s="14">
        <v>0</v>
      </c>
      <c r="O323">
        <v>0</v>
      </c>
      <c r="P323" s="14">
        <v>0</v>
      </c>
      <c r="Q323">
        <v>0</v>
      </c>
      <c r="R323" s="14">
        <v>0</v>
      </c>
      <c r="S323" s="4">
        <v>0</v>
      </c>
      <c r="T323" s="4">
        <v>0</v>
      </c>
      <c r="U323" s="1">
        <v>103.3</v>
      </c>
      <c r="V323" s="14">
        <v>11</v>
      </c>
      <c r="W323" s="14">
        <v>10</v>
      </c>
      <c r="X323" s="14">
        <v>0</v>
      </c>
    </row>
    <row r="324" spans="1:24" x14ac:dyDescent="0.35">
      <c r="A324" t="s">
        <v>39</v>
      </c>
      <c r="B324" t="s">
        <v>38</v>
      </c>
      <c r="C324" s="16">
        <v>45778</v>
      </c>
      <c r="D324" t="s">
        <v>34</v>
      </c>
      <c r="E324">
        <v>16</v>
      </c>
      <c r="F324" t="s">
        <v>35</v>
      </c>
      <c r="G324" s="4">
        <v>0</v>
      </c>
      <c r="H324" s="14">
        <v>0</v>
      </c>
      <c r="I324" s="4">
        <v>2221.6999999999998</v>
      </c>
      <c r="J324" s="14">
        <v>2</v>
      </c>
      <c r="K324" s="4">
        <v>0</v>
      </c>
      <c r="L324" s="14">
        <v>0</v>
      </c>
      <c r="M324">
        <v>0</v>
      </c>
      <c r="N324" s="14">
        <v>0</v>
      </c>
      <c r="O324">
        <v>0</v>
      </c>
      <c r="P324" s="14">
        <v>0</v>
      </c>
      <c r="Q324">
        <v>0</v>
      </c>
      <c r="R324" s="14">
        <v>0</v>
      </c>
      <c r="S324" s="4">
        <v>0</v>
      </c>
      <c r="T324" s="4">
        <v>0</v>
      </c>
      <c r="U324" s="1">
        <v>15.5</v>
      </c>
      <c r="V324" s="14">
        <v>2</v>
      </c>
      <c r="W324" s="14">
        <v>3</v>
      </c>
      <c r="X324" s="14">
        <v>0</v>
      </c>
    </row>
    <row r="325" spans="1:24" x14ac:dyDescent="0.35">
      <c r="A325" t="s">
        <v>39</v>
      </c>
      <c r="B325" t="s">
        <v>38</v>
      </c>
      <c r="C325" s="16">
        <v>45778</v>
      </c>
      <c r="D325" t="s">
        <v>34</v>
      </c>
      <c r="E325">
        <v>16</v>
      </c>
      <c r="F325" t="s">
        <v>36</v>
      </c>
      <c r="G325" s="4">
        <v>0</v>
      </c>
      <c r="H325" s="14">
        <v>0</v>
      </c>
      <c r="I325" s="4">
        <v>2779.3600000000006</v>
      </c>
      <c r="J325" s="14">
        <v>3</v>
      </c>
      <c r="K325" s="4">
        <v>1791.44</v>
      </c>
      <c r="L325" s="14">
        <v>1</v>
      </c>
      <c r="M325">
        <v>0</v>
      </c>
      <c r="N325" s="14">
        <v>0</v>
      </c>
      <c r="O325">
        <v>0</v>
      </c>
      <c r="P325" s="14">
        <v>0</v>
      </c>
      <c r="Q325">
        <v>0</v>
      </c>
      <c r="R325" s="14">
        <v>0</v>
      </c>
      <c r="S325" s="4">
        <v>0</v>
      </c>
      <c r="T325" s="4">
        <v>0</v>
      </c>
      <c r="U325" s="1">
        <v>41.25</v>
      </c>
      <c r="V325" s="14">
        <v>4</v>
      </c>
      <c r="W325" s="14">
        <v>15</v>
      </c>
      <c r="X325" s="14">
        <v>0</v>
      </c>
    </row>
    <row r="326" spans="1:24" x14ac:dyDescent="0.35">
      <c r="A326" t="s">
        <v>39</v>
      </c>
      <c r="B326" t="s">
        <v>38</v>
      </c>
      <c r="C326" s="16">
        <v>45778</v>
      </c>
      <c r="D326" t="s">
        <v>37</v>
      </c>
      <c r="E326">
        <v>9</v>
      </c>
      <c r="F326" t="s">
        <v>32</v>
      </c>
      <c r="G326" s="4">
        <v>0</v>
      </c>
      <c r="H326" s="14">
        <v>0</v>
      </c>
      <c r="I326" s="4">
        <v>0</v>
      </c>
      <c r="J326" s="14">
        <v>0</v>
      </c>
      <c r="K326" s="4">
        <v>0</v>
      </c>
      <c r="L326" s="14">
        <v>0</v>
      </c>
      <c r="M326">
        <v>0</v>
      </c>
      <c r="N326" s="14">
        <v>0</v>
      </c>
      <c r="O326">
        <v>0</v>
      </c>
      <c r="P326" s="14">
        <v>0</v>
      </c>
      <c r="Q326">
        <v>0</v>
      </c>
      <c r="R326" s="14">
        <v>0</v>
      </c>
      <c r="S326" s="4">
        <v>0</v>
      </c>
      <c r="T326" s="4">
        <v>0</v>
      </c>
      <c r="V326" s="14">
        <v>0</v>
      </c>
      <c r="W326" s="14">
        <v>1</v>
      </c>
      <c r="X326" s="14">
        <v>0</v>
      </c>
    </row>
    <row r="327" spans="1:24" x14ac:dyDescent="0.35">
      <c r="A327" t="s">
        <v>39</v>
      </c>
      <c r="B327" t="s">
        <v>38</v>
      </c>
      <c r="C327" s="16">
        <v>45778</v>
      </c>
      <c r="D327" t="s">
        <v>37</v>
      </c>
      <c r="E327">
        <v>15</v>
      </c>
      <c r="F327" t="s">
        <v>32</v>
      </c>
      <c r="G327" s="4">
        <v>0</v>
      </c>
      <c r="H327" s="14">
        <v>0</v>
      </c>
      <c r="I327" s="4">
        <v>0</v>
      </c>
      <c r="J327" s="14">
        <v>0</v>
      </c>
      <c r="K327" s="4">
        <v>0</v>
      </c>
      <c r="L327" s="14">
        <v>0</v>
      </c>
      <c r="M327">
        <v>0</v>
      </c>
      <c r="N327" s="14">
        <v>0</v>
      </c>
      <c r="O327">
        <v>0</v>
      </c>
      <c r="P327" s="14">
        <v>0</v>
      </c>
      <c r="Q327">
        <v>0</v>
      </c>
      <c r="R327" s="14">
        <v>0</v>
      </c>
      <c r="S327" s="4">
        <v>0</v>
      </c>
      <c r="T327" s="4">
        <v>0</v>
      </c>
      <c r="V327" s="14">
        <v>0</v>
      </c>
      <c r="W327" s="14">
        <v>1</v>
      </c>
      <c r="X327" s="14">
        <v>0</v>
      </c>
    </row>
    <row r="328" spans="1:24" x14ac:dyDescent="0.35">
      <c r="A328" t="s">
        <v>39</v>
      </c>
      <c r="B328" t="s">
        <v>38</v>
      </c>
      <c r="C328" s="16">
        <v>45809</v>
      </c>
      <c r="D328" t="s">
        <v>31</v>
      </c>
      <c r="E328">
        <v>6</v>
      </c>
      <c r="F328" t="s">
        <v>32</v>
      </c>
      <c r="G328" s="4">
        <v>0</v>
      </c>
      <c r="H328" s="14">
        <v>0</v>
      </c>
      <c r="I328" s="4">
        <v>0</v>
      </c>
      <c r="J328" s="14">
        <v>0</v>
      </c>
      <c r="K328" s="4">
        <v>0</v>
      </c>
      <c r="L328" s="14">
        <v>0</v>
      </c>
      <c r="M328">
        <v>0</v>
      </c>
      <c r="N328" s="14">
        <v>0</v>
      </c>
      <c r="O328">
        <v>0</v>
      </c>
      <c r="P328" s="14">
        <v>0</v>
      </c>
      <c r="Q328">
        <v>0</v>
      </c>
      <c r="R328" s="14">
        <v>0</v>
      </c>
      <c r="S328" s="4">
        <v>0</v>
      </c>
      <c r="T328" s="4">
        <v>0</v>
      </c>
      <c r="U328" s="1">
        <v>170</v>
      </c>
      <c r="V328" s="14">
        <v>1</v>
      </c>
      <c r="W328" s="14">
        <v>0</v>
      </c>
      <c r="X328" s="14">
        <v>0</v>
      </c>
    </row>
    <row r="329" spans="1:24" x14ac:dyDescent="0.35">
      <c r="A329" t="s">
        <v>39</v>
      </c>
      <c r="B329" t="s">
        <v>38</v>
      </c>
      <c r="C329" s="16">
        <v>45809</v>
      </c>
      <c r="D329" t="s">
        <v>31</v>
      </c>
      <c r="E329">
        <v>13</v>
      </c>
      <c r="F329" t="s">
        <v>32</v>
      </c>
      <c r="G329" s="4">
        <v>0</v>
      </c>
      <c r="H329" s="14">
        <v>0</v>
      </c>
      <c r="I329" s="4">
        <v>310720.92</v>
      </c>
      <c r="J329" s="14">
        <v>7</v>
      </c>
      <c r="K329" s="4">
        <v>0</v>
      </c>
      <c r="L329" s="14">
        <v>0</v>
      </c>
      <c r="M329">
        <v>0</v>
      </c>
      <c r="N329" s="14">
        <v>0</v>
      </c>
      <c r="O329">
        <v>0</v>
      </c>
      <c r="P329" s="14">
        <v>0</v>
      </c>
      <c r="Q329">
        <v>0</v>
      </c>
      <c r="R329" s="14">
        <v>0</v>
      </c>
      <c r="S329" s="4">
        <v>0</v>
      </c>
      <c r="T329" s="4">
        <v>0</v>
      </c>
      <c r="U329" s="1">
        <v>236</v>
      </c>
      <c r="V329" s="14">
        <v>7</v>
      </c>
      <c r="W329" s="14">
        <v>3</v>
      </c>
      <c r="X329" s="14">
        <v>0</v>
      </c>
    </row>
    <row r="330" spans="1:24" x14ac:dyDescent="0.35">
      <c r="A330" t="s">
        <v>39</v>
      </c>
      <c r="B330" t="s">
        <v>38</v>
      </c>
      <c r="C330" s="16">
        <v>45809</v>
      </c>
      <c r="D330" t="s">
        <v>33</v>
      </c>
      <c r="E330">
        <v>6</v>
      </c>
      <c r="F330" t="s">
        <v>32</v>
      </c>
      <c r="G330" s="4">
        <v>0</v>
      </c>
      <c r="H330" s="14">
        <v>0</v>
      </c>
      <c r="I330" s="4">
        <v>470746.99000000005</v>
      </c>
      <c r="J330" s="14">
        <v>10</v>
      </c>
      <c r="K330" s="4">
        <v>0</v>
      </c>
      <c r="L330" s="14">
        <v>0</v>
      </c>
      <c r="M330">
        <v>0</v>
      </c>
      <c r="N330" s="14">
        <v>0</v>
      </c>
      <c r="O330">
        <v>0</v>
      </c>
      <c r="P330" s="14">
        <v>0</v>
      </c>
      <c r="Q330">
        <v>0</v>
      </c>
      <c r="R330" s="14">
        <v>0</v>
      </c>
      <c r="S330" s="4">
        <v>0</v>
      </c>
      <c r="T330" s="4">
        <v>0</v>
      </c>
      <c r="U330" s="1">
        <v>246.36363636363637</v>
      </c>
      <c r="V330" s="14">
        <v>11</v>
      </c>
      <c r="W330" s="14">
        <v>12</v>
      </c>
      <c r="X330" s="14">
        <v>0</v>
      </c>
    </row>
    <row r="331" spans="1:24" x14ac:dyDescent="0.35">
      <c r="A331" t="s">
        <v>39</v>
      </c>
      <c r="B331" t="s">
        <v>38</v>
      </c>
      <c r="C331" s="16">
        <v>45809</v>
      </c>
      <c r="D331" t="s">
        <v>33</v>
      </c>
      <c r="E331">
        <v>8</v>
      </c>
      <c r="F331" t="s">
        <v>32</v>
      </c>
      <c r="G331" s="4">
        <v>0</v>
      </c>
      <c r="H331" s="14">
        <v>0</v>
      </c>
      <c r="I331" s="4">
        <v>304311.28999999998</v>
      </c>
      <c r="J331" s="14">
        <v>7</v>
      </c>
      <c r="K331" s="4">
        <v>0</v>
      </c>
      <c r="L331" s="14">
        <v>0</v>
      </c>
      <c r="M331">
        <v>0</v>
      </c>
      <c r="N331" s="14">
        <v>0</v>
      </c>
      <c r="O331">
        <v>0</v>
      </c>
      <c r="P331" s="14">
        <v>0</v>
      </c>
      <c r="Q331">
        <v>0</v>
      </c>
      <c r="R331" s="14">
        <v>0</v>
      </c>
      <c r="S331" s="4">
        <v>0</v>
      </c>
      <c r="T331" s="4">
        <v>0</v>
      </c>
      <c r="U331" s="1">
        <v>220.57142857142858</v>
      </c>
      <c r="V331" s="14">
        <v>7</v>
      </c>
      <c r="W331" s="14">
        <v>17</v>
      </c>
      <c r="X331" s="14">
        <v>0</v>
      </c>
    </row>
    <row r="332" spans="1:24" x14ac:dyDescent="0.35">
      <c r="A332" t="s">
        <v>39</v>
      </c>
      <c r="B332" t="s">
        <v>38</v>
      </c>
      <c r="C332" s="16">
        <v>45809</v>
      </c>
      <c r="D332" t="s">
        <v>33</v>
      </c>
      <c r="E332">
        <v>9</v>
      </c>
      <c r="F332" t="s">
        <v>32</v>
      </c>
      <c r="G332" s="4">
        <v>0</v>
      </c>
      <c r="H332" s="14">
        <v>0</v>
      </c>
      <c r="I332" s="4">
        <v>338607.86000000004</v>
      </c>
      <c r="J332" s="14">
        <v>11</v>
      </c>
      <c r="K332" s="4">
        <v>0</v>
      </c>
      <c r="L332" s="14">
        <v>0</v>
      </c>
      <c r="M332">
        <v>0</v>
      </c>
      <c r="N332" s="14">
        <v>0</v>
      </c>
      <c r="O332">
        <v>0</v>
      </c>
      <c r="P332" s="14">
        <v>0</v>
      </c>
      <c r="Q332">
        <v>0</v>
      </c>
      <c r="R332" s="14">
        <v>0</v>
      </c>
      <c r="S332" s="4">
        <v>0</v>
      </c>
      <c r="T332" s="4">
        <v>0</v>
      </c>
      <c r="U332" s="1">
        <v>309</v>
      </c>
      <c r="V332" s="14">
        <v>11</v>
      </c>
      <c r="W332" s="14">
        <v>24</v>
      </c>
      <c r="X332" s="14">
        <v>0</v>
      </c>
    </row>
    <row r="333" spans="1:24" x14ac:dyDescent="0.35">
      <c r="A333" t="s">
        <v>39</v>
      </c>
      <c r="B333" t="s">
        <v>38</v>
      </c>
      <c r="C333" s="16">
        <v>45809</v>
      </c>
      <c r="D333" t="s">
        <v>33</v>
      </c>
      <c r="E333">
        <v>10</v>
      </c>
      <c r="F333" t="s">
        <v>32</v>
      </c>
      <c r="G333" s="4">
        <v>0</v>
      </c>
      <c r="H333" s="14">
        <v>0</v>
      </c>
      <c r="I333" s="4">
        <v>90628.36</v>
      </c>
      <c r="J333" s="14">
        <v>6</v>
      </c>
      <c r="K333" s="4">
        <v>0</v>
      </c>
      <c r="L333" s="14">
        <v>0</v>
      </c>
      <c r="M333">
        <v>0</v>
      </c>
      <c r="N333" s="14">
        <v>0</v>
      </c>
      <c r="O333">
        <v>0</v>
      </c>
      <c r="P333" s="14">
        <v>0</v>
      </c>
      <c r="Q333">
        <v>0</v>
      </c>
      <c r="R333" s="14">
        <v>0</v>
      </c>
      <c r="S333" s="4">
        <v>0</v>
      </c>
      <c r="T333" s="4">
        <v>0</v>
      </c>
      <c r="U333" s="1">
        <v>99</v>
      </c>
      <c r="V333" s="14">
        <v>6</v>
      </c>
      <c r="W333" s="14">
        <v>9</v>
      </c>
      <c r="X333" s="14">
        <v>0</v>
      </c>
    </row>
    <row r="334" spans="1:24" x14ac:dyDescent="0.35">
      <c r="A334" t="s">
        <v>39</v>
      </c>
      <c r="B334" t="s">
        <v>38</v>
      </c>
      <c r="C334" s="16">
        <v>45809</v>
      </c>
      <c r="D334" t="s">
        <v>33</v>
      </c>
      <c r="E334">
        <v>13</v>
      </c>
      <c r="F334" t="s">
        <v>32</v>
      </c>
      <c r="G334" s="4">
        <v>0</v>
      </c>
      <c r="H334" s="14">
        <v>0</v>
      </c>
      <c r="I334" s="4">
        <v>75919.059999999983</v>
      </c>
      <c r="J334" s="14">
        <v>7</v>
      </c>
      <c r="K334" s="4">
        <v>0</v>
      </c>
      <c r="L334" s="14">
        <v>0</v>
      </c>
      <c r="M334">
        <v>0</v>
      </c>
      <c r="N334" s="14">
        <v>0</v>
      </c>
      <c r="O334">
        <v>0</v>
      </c>
      <c r="P334" s="14">
        <v>0</v>
      </c>
      <c r="Q334">
        <v>0</v>
      </c>
      <c r="R334" s="14">
        <v>0</v>
      </c>
      <c r="S334" s="4">
        <v>0</v>
      </c>
      <c r="T334" s="4">
        <v>0</v>
      </c>
      <c r="U334" s="1">
        <v>181.42857142857142</v>
      </c>
      <c r="V334" s="14">
        <v>7</v>
      </c>
      <c r="W334" s="14">
        <v>4</v>
      </c>
      <c r="X334" s="14">
        <v>0</v>
      </c>
    </row>
    <row r="335" spans="1:24" x14ac:dyDescent="0.35">
      <c r="A335" t="s">
        <v>39</v>
      </c>
      <c r="B335" t="s">
        <v>38</v>
      </c>
      <c r="C335" s="16">
        <v>45809</v>
      </c>
      <c r="D335" t="s">
        <v>33</v>
      </c>
      <c r="E335">
        <v>14</v>
      </c>
      <c r="F335" t="s">
        <v>32</v>
      </c>
      <c r="G335" s="4">
        <v>0</v>
      </c>
      <c r="H335" s="14">
        <v>0</v>
      </c>
      <c r="I335" s="4">
        <v>0</v>
      </c>
      <c r="J335" s="14">
        <v>0</v>
      </c>
      <c r="K335" s="4">
        <v>0</v>
      </c>
      <c r="L335" s="14">
        <v>0</v>
      </c>
      <c r="M335">
        <v>0</v>
      </c>
      <c r="N335" s="14">
        <v>0</v>
      </c>
      <c r="O335">
        <v>0</v>
      </c>
      <c r="P335" s="14">
        <v>0</v>
      </c>
      <c r="Q335">
        <v>0</v>
      </c>
      <c r="R335" s="14">
        <v>0</v>
      </c>
      <c r="S335" s="4">
        <v>0</v>
      </c>
      <c r="T335" s="4">
        <v>0</v>
      </c>
      <c r="U335" s="1">
        <v>77</v>
      </c>
      <c r="V335" s="14">
        <v>1</v>
      </c>
      <c r="W335" s="14">
        <v>2</v>
      </c>
      <c r="X335" s="14">
        <v>0</v>
      </c>
    </row>
    <row r="336" spans="1:24" x14ac:dyDescent="0.35">
      <c r="A336" t="s">
        <v>39</v>
      </c>
      <c r="B336" t="s">
        <v>38</v>
      </c>
      <c r="C336" s="16">
        <v>45809</v>
      </c>
      <c r="D336" t="s">
        <v>33</v>
      </c>
      <c r="E336">
        <v>15</v>
      </c>
      <c r="F336" t="s">
        <v>32</v>
      </c>
      <c r="G336" s="4">
        <v>0</v>
      </c>
      <c r="H336" s="14">
        <v>0</v>
      </c>
      <c r="I336" s="4">
        <v>75878.12999999999</v>
      </c>
      <c r="J336" s="14">
        <v>2</v>
      </c>
      <c r="K336" s="4">
        <v>0</v>
      </c>
      <c r="L336" s="14">
        <v>0</v>
      </c>
      <c r="M336">
        <v>0</v>
      </c>
      <c r="N336" s="14">
        <v>0</v>
      </c>
      <c r="O336">
        <v>0</v>
      </c>
      <c r="P336" s="14">
        <v>0</v>
      </c>
      <c r="Q336">
        <v>0</v>
      </c>
      <c r="R336" s="14">
        <v>0</v>
      </c>
      <c r="S336" s="4">
        <v>0</v>
      </c>
      <c r="T336" s="4">
        <v>0</v>
      </c>
      <c r="U336" s="1">
        <v>82.5</v>
      </c>
      <c r="V336" s="14">
        <v>2</v>
      </c>
      <c r="W336" s="14">
        <v>0</v>
      </c>
      <c r="X336" s="14">
        <v>0</v>
      </c>
    </row>
    <row r="337" spans="1:24" x14ac:dyDescent="0.35">
      <c r="A337" t="s">
        <v>39</v>
      </c>
      <c r="B337" t="s">
        <v>38</v>
      </c>
      <c r="C337" s="16">
        <v>45809</v>
      </c>
      <c r="D337" t="s">
        <v>33</v>
      </c>
      <c r="E337">
        <v>16</v>
      </c>
      <c r="F337" t="s">
        <v>32</v>
      </c>
      <c r="G337" s="4">
        <v>0</v>
      </c>
      <c r="H337" s="14">
        <v>0</v>
      </c>
      <c r="I337" s="4">
        <v>1415.56</v>
      </c>
      <c r="J337" s="14">
        <v>1</v>
      </c>
      <c r="K337" s="4">
        <v>0</v>
      </c>
      <c r="L337" s="14">
        <v>0</v>
      </c>
      <c r="M337">
        <v>0</v>
      </c>
      <c r="N337" s="14">
        <v>0</v>
      </c>
      <c r="O337">
        <v>0</v>
      </c>
      <c r="P337" s="14">
        <v>0</v>
      </c>
      <c r="Q337">
        <v>0</v>
      </c>
      <c r="R337" s="14">
        <v>0</v>
      </c>
      <c r="S337" s="4">
        <v>0</v>
      </c>
      <c r="T337" s="4">
        <v>0</v>
      </c>
      <c r="U337" s="1">
        <v>1574</v>
      </c>
      <c r="V337" s="14">
        <v>1</v>
      </c>
      <c r="W337" s="14">
        <v>1</v>
      </c>
      <c r="X337" s="14">
        <v>0</v>
      </c>
    </row>
    <row r="338" spans="1:24" x14ac:dyDescent="0.35">
      <c r="A338" t="s">
        <v>39</v>
      </c>
      <c r="B338" t="s">
        <v>38</v>
      </c>
      <c r="C338" s="16">
        <v>45809</v>
      </c>
      <c r="D338" t="s">
        <v>34</v>
      </c>
      <c r="E338">
        <v>6</v>
      </c>
      <c r="F338" t="s">
        <v>35</v>
      </c>
      <c r="G338" s="4">
        <v>0</v>
      </c>
      <c r="H338" s="14">
        <v>0</v>
      </c>
      <c r="I338" s="4">
        <v>27103.640000000003</v>
      </c>
      <c r="J338" s="14">
        <v>25</v>
      </c>
      <c r="K338" s="4">
        <v>0</v>
      </c>
      <c r="L338" s="14">
        <v>0</v>
      </c>
      <c r="M338">
        <v>0</v>
      </c>
      <c r="N338" s="14">
        <v>0</v>
      </c>
      <c r="O338">
        <v>0</v>
      </c>
      <c r="P338" s="14">
        <v>0</v>
      </c>
      <c r="Q338">
        <v>0</v>
      </c>
      <c r="R338" s="14">
        <v>0</v>
      </c>
      <c r="S338" s="4">
        <v>0</v>
      </c>
      <c r="T338" s="4">
        <v>0</v>
      </c>
      <c r="U338" s="1">
        <v>142.28</v>
      </c>
      <c r="V338" s="14">
        <v>25</v>
      </c>
      <c r="W338" s="14">
        <v>55</v>
      </c>
      <c r="X338" s="14">
        <v>0</v>
      </c>
    </row>
    <row r="339" spans="1:24" x14ac:dyDescent="0.35">
      <c r="A339" t="s">
        <v>39</v>
      </c>
      <c r="B339" t="s">
        <v>38</v>
      </c>
      <c r="C339" s="16">
        <v>45809</v>
      </c>
      <c r="D339" t="s">
        <v>34</v>
      </c>
      <c r="E339">
        <v>6</v>
      </c>
      <c r="F339" t="s">
        <v>36</v>
      </c>
      <c r="G339" s="4">
        <v>0</v>
      </c>
      <c r="H339" s="14">
        <v>0</v>
      </c>
      <c r="I339" s="4">
        <v>67678.25</v>
      </c>
      <c r="J339" s="14">
        <v>72</v>
      </c>
      <c r="K339" s="4">
        <v>0</v>
      </c>
      <c r="L339" s="14">
        <v>0</v>
      </c>
      <c r="M339">
        <v>0</v>
      </c>
      <c r="N339" s="14">
        <v>0</v>
      </c>
      <c r="O339">
        <v>0</v>
      </c>
      <c r="P339" s="14">
        <v>0</v>
      </c>
      <c r="Q339">
        <v>0</v>
      </c>
      <c r="R339" s="14">
        <v>0</v>
      </c>
      <c r="S339" s="4">
        <v>0</v>
      </c>
      <c r="T339" s="4">
        <v>0</v>
      </c>
      <c r="U339" s="1">
        <v>92.479452054794521</v>
      </c>
      <c r="V339" s="14">
        <v>73</v>
      </c>
      <c r="W339" s="14">
        <v>146</v>
      </c>
      <c r="X339" s="14">
        <v>0</v>
      </c>
    </row>
    <row r="340" spans="1:24" x14ac:dyDescent="0.35">
      <c r="A340" t="s">
        <v>39</v>
      </c>
      <c r="B340" t="s">
        <v>38</v>
      </c>
      <c r="C340" s="16">
        <v>45809</v>
      </c>
      <c r="D340" t="s">
        <v>34</v>
      </c>
      <c r="E340">
        <v>8</v>
      </c>
      <c r="F340" t="s">
        <v>35</v>
      </c>
      <c r="G340" s="4">
        <v>0</v>
      </c>
      <c r="H340" s="14">
        <v>0</v>
      </c>
      <c r="I340" s="4">
        <v>34727.000000000007</v>
      </c>
      <c r="J340" s="14">
        <v>34</v>
      </c>
      <c r="K340" s="4">
        <v>0</v>
      </c>
      <c r="L340" s="14">
        <v>0</v>
      </c>
      <c r="M340">
        <v>0</v>
      </c>
      <c r="N340" s="14">
        <v>0</v>
      </c>
      <c r="O340">
        <v>0</v>
      </c>
      <c r="P340" s="14">
        <v>0</v>
      </c>
      <c r="Q340">
        <v>0</v>
      </c>
      <c r="R340" s="14">
        <v>0</v>
      </c>
      <c r="S340" s="4">
        <v>0</v>
      </c>
      <c r="T340" s="4">
        <v>0</v>
      </c>
      <c r="U340" s="1">
        <v>63.942857142857143</v>
      </c>
      <c r="V340" s="14">
        <v>35</v>
      </c>
      <c r="W340" s="14">
        <v>45</v>
      </c>
      <c r="X340" s="14">
        <v>0</v>
      </c>
    </row>
    <row r="341" spans="1:24" x14ac:dyDescent="0.35">
      <c r="A341" t="s">
        <v>39</v>
      </c>
      <c r="B341" t="s">
        <v>38</v>
      </c>
      <c r="C341" s="16">
        <v>45809</v>
      </c>
      <c r="D341" t="s">
        <v>34</v>
      </c>
      <c r="E341">
        <v>8</v>
      </c>
      <c r="F341" t="s">
        <v>36</v>
      </c>
      <c r="G341" s="4">
        <v>0</v>
      </c>
      <c r="H341" s="14">
        <v>0</v>
      </c>
      <c r="I341" s="4">
        <v>63677.170000000027</v>
      </c>
      <c r="J341" s="14">
        <v>80</v>
      </c>
      <c r="K341" s="4">
        <v>0</v>
      </c>
      <c r="L341" s="14">
        <v>0</v>
      </c>
      <c r="M341">
        <v>0</v>
      </c>
      <c r="N341" s="14">
        <v>0</v>
      </c>
      <c r="O341">
        <v>0</v>
      </c>
      <c r="P341" s="14">
        <v>0</v>
      </c>
      <c r="Q341">
        <v>0</v>
      </c>
      <c r="R341" s="14">
        <v>0</v>
      </c>
      <c r="S341" s="4">
        <v>0</v>
      </c>
      <c r="T341" s="4">
        <v>0</v>
      </c>
      <c r="U341" s="1">
        <v>93.012500000000003</v>
      </c>
      <c r="V341" s="14">
        <v>80</v>
      </c>
      <c r="W341" s="14">
        <v>226</v>
      </c>
      <c r="X341" s="14">
        <v>0</v>
      </c>
    </row>
    <row r="342" spans="1:24" x14ac:dyDescent="0.35">
      <c r="A342" t="s">
        <v>39</v>
      </c>
      <c r="B342" t="s">
        <v>38</v>
      </c>
      <c r="C342" s="16">
        <v>45809</v>
      </c>
      <c r="D342" t="s">
        <v>34</v>
      </c>
      <c r="E342">
        <v>9</v>
      </c>
      <c r="F342" t="s">
        <v>35</v>
      </c>
      <c r="G342" s="4">
        <v>0</v>
      </c>
      <c r="H342" s="14">
        <v>0</v>
      </c>
      <c r="I342" s="4">
        <v>40568.109999999993</v>
      </c>
      <c r="J342" s="14">
        <v>36</v>
      </c>
      <c r="K342" s="4">
        <v>0</v>
      </c>
      <c r="L342" s="14">
        <v>0</v>
      </c>
      <c r="M342">
        <v>0</v>
      </c>
      <c r="N342" s="14">
        <v>0</v>
      </c>
      <c r="O342">
        <v>0</v>
      </c>
      <c r="P342" s="14">
        <v>0</v>
      </c>
      <c r="Q342">
        <v>0</v>
      </c>
      <c r="R342" s="14">
        <v>0</v>
      </c>
      <c r="S342" s="4">
        <v>0</v>
      </c>
      <c r="T342" s="4">
        <v>0</v>
      </c>
      <c r="U342" s="1">
        <v>52.888888888888886</v>
      </c>
      <c r="V342" s="14">
        <v>36</v>
      </c>
      <c r="W342" s="14">
        <v>50</v>
      </c>
      <c r="X342" s="14">
        <v>0</v>
      </c>
    </row>
    <row r="343" spans="1:24" x14ac:dyDescent="0.35">
      <c r="A343" t="s">
        <v>39</v>
      </c>
      <c r="B343" t="s">
        <v>38</v>
      </c>
      <c r="C343" s="16">
        <v>45809</v>
      </c>
      <c r="D343" t="s">
        <v>34</v>
      </c>
      <c r="E343">
        <v>9</v>
      </c>
      <c r="F343" t="s">
        <v>36</v>
      </c>
      <c r="G343" s="4">
        <v>0</v>
      </c>
      <c r="H343" s="14">
        <v>0</v>
      </c>
      <c r="I343" s="4">
        <v>105178.95000000001</v>
      </c>
      <c r="J343" s="14">
        <v>119</v>
      </c>
      <c r="K343" s="4">
        <v>0</v>
      </c>
      <c r="L343" s="14">
        <v>0</v>
      </c>
      <c r="M343">
        <v>0</v>
      </c>
      <c r="N343" s="14">
        <v>0</v>
      </c>
      <c r="O343">
        <v>0</v>
      </c>
      <c r="P343" s="14">
        <v>0</v>
      </c>
      <c r="Q343">
        <v>0</v>
      </c>
      <c r="R343" s="14">
        <v>0</v>
      </c>
      <c r="S343" s="4">
        <v>0</v>
      </c>
      <c r="T343" s="4">
        <v>0</v>
      </c>
      <c r="U343" s="1">
        <v>111.7</v>
      </c>
      <c r="V343" s="14">
        <v>120</v>
      </c>
      <c r="W343" s="14">
        <v>258</v>
      </c>
      <c r="X343" s="14">
        <v>0</v>
      </c>
    </row>
    <row r="344" spans="1:24" x14ac:dyDescent="0.35">
      <c r="A344" t="s">
        <v>39</v>
      </c>
      <c r="B344" t="s">
        <v>38</v>
      </c>
      <c r="C344" s="16">
        <v>45809</v>
      </c>
      <c r="D344" t="s">
        <v>34</v>
      </c>
      <c r="E344">
        <v>10</v>
      </c>
      <c r="F344" t="s">
        <v>35</v>
      </c>
      <c r="G344" s="4">
        <v>0</v>
      </c>
      <c r="H344" s="14">
        <v>0</v>
      </c>
      <c r="I344" s="4">
        <v>12151.37</v>
      </c>
      <c r="J344" s="14">
        <v>11</v>
      </c>
      <c r="K344" s="4">
        <v>0</v>
      </c>
      <c r="L344" s="14">
        <v>0</v>
      </c>
      <c r="M344">
        <v>0</v>
      </c>
      <c r="N344" s="14">
        <v>0</v>
      </c>
      <c r="O344">
        <v>0</v>
      </c>
      <c r="P344" s="14">
        <v>0</v>
      </c>
      <c r="Q344">
        <v>0</v>
      </c>
      <c r="R344" s="14">
        <v>0</v>
      </c>
      <c r="S344" s="4">
        <v>0</v>
      </c>
      <c r="T344" s="4">
        <v>0</v>
      </c>
      <c r="U344" s="1">
        <v>76.727272727272734</v>
      </c>
      <c r="V344" s="14">
        <v>11</v>
      </c>
      <c r="W344" s="14">
        <v>17</v>
      </c>
      <c r="X344" s="14">
        <v>0</v>
      </c>
    </row>
    <row r="345" spans="1:24" x14ac:dyDescent="0.35">
      <c r="A345" t="s">
        <v>39</v>
      </c>
      <c r="B345" t="s">
        <v>38</v>
      </c>
      <c r="C345" s="16">
        <v>45809</v>
      </c>
      <c r="D345" t="s">
        <v>34</v>
      </c>
      <c r="E345">
        <v>10</v>
      </c>
      <c r="F345" t="s">
        <v>36</v>
      </c>
      <c r="G345" s="4">
        <v>0</v>
      </c>
      <c r="H345" s="14">
        <v>0</v>
      </c>
      <c r="I345" s="4">
        <v>52364.430000000022</v>
      </c>
      <c r="J345" s="14">
        <v>54</v>
      </c>
      <c r="K345" s="4">
        <v>29.56</v>
      </c>
      <c r="L345" s="14">
        <v>1</v>
      </c>
      <c r="M345">
        <v>0</v>
      </c>
      <c r="N345" s="14">
        <v>0</v>
      </c>
      <c r="O345">
        <v>0</v>
      </c>
      <c r="P345" s="14">
        <v>0</v>
      </c>
      <c r="Q345">
        <v>0</v>
      </c>
      <c r="R345" s="14">
        <v>0</v>
      </c>
      <c r="S345" s="4">
        <v>0</v>
      </c>
      <c r="T345" s="4">
        <v>0</v>
      </c>
      <c r="U345" s="1">
        <v>128.75862068965517</v>
      </c>
      <c r="V345" s="14">
        <v>58</v>
      </c>
      <c r="W345" s="14">
        <v>74</v>
      </c>
      <c r="X345" s="14">
        <v>0</v>
      </c>
    </row>
    <row r="346" spans="1:24" x14ac:dyDescent="0.35">
      <c r="A346" t="s">
        <v>39</v>
      </c>
      <c r="B346" t="s">
        <v>38</v>
      </c>
      <c r="C346" s="16">
        <v>45809</v>
      </c>
      <c r="D346" t="s">
        <v>34</v>
      </c>
      <c r="E346">
        <v>13</v>
      </c>
      <c r="F346" t="s">
        <v>35</v>
      </c>
      <c r="G346" s="4">
        <v>0</v>
      </c>
      <c r="H346" s="14">
        <v>0</v>
      </c>
      <c r="I346" s="4">
        <v>802.64</v>
      </c>
      <c r="J346" s="14">
        <v>1</v>
      </c>
      <c r="K346" s="4">
        <v>0</v>
      </c>
      <c r="L346" s="14">
        <v>0</v>
      </c>
      <c r="M346">
        <v>0</v>
      </c>
      <c r="N346" s="14">
        <v>0</v>
      </c>
      <c r="O346">
        <v>0</v>
      </c>
      <c r="P346" s="14">
        <v>0</v>
      </c>
      <c r="Q346">
        <v>0</v>
      </c>
      <c r="R346" s="14">
        <v>0</v>
      </c>
      <c r="S346" s="4">
        <v>0</v>
      </c>
      <c r="T346" s="4">
        <v>0</v>
      </c>
      <c r="U346" s="1">
        <v>11</v>
      </c>
      <c r="V346" s="14">
        <v>1</v>
      </c>
      <c r="W346" s="14">
        <v>2</v>
      </c>
      <c r="X346" s="14">
        <v>0</v>
      </c>
    </row>
    <row r="347" spans="1:24" x14ac:dyDescent="0.35">
      <c r="A347" t="s">
        <v>39</v>
      </c>
      <c r="B347" t="s">
        <v>38</v>
      </c>
      <c r="C347" s="16">
        <v>45809</v>
      </c>
      <c r="D347" t="s">
        <v>34</v>
      </c>
      <c r="E347">
        <v>13</v>
      </c>
      <c r="F347" t="s">
        <v>36</v>
      </c>
      <c r="G347" s="4">
        <v>0</v>
      </c>
      <c r="H347" s="14">
        <v>0</v>
      </c>
      <c r="I347" s="4">
        <v>10056.51</v>
      </c>
      <c r="J347" s="14">
        <v>10</v>
      </c>
      <c r="K347" s="4">
        <v>272.8</v>
      </c>
      <c r="L347" s="14">
        <v>1</v>
      </c>
      <c r="M347">
        <v>0</v>
      </c>
      <c r="N347" s="14">
        <v>0</v>
      </c>
      <c r="O347">
        <v>0</v>
      </c>
      <c r="P347" s="14">
        <v>0</v>
      </c>
      <c r="Q347">
        <v>0</v>
      </c>
      <c r="R347" s="14">
        <v>0</v>
      </c>
      <c r="S347" s="4">
        <v>0</v>
      </c>
      <c r="T347" s="4">
        <v>0</v>
      </c>
      <c r="U347" s="1">
        <v>54.4</v>
      </c>
      <c r="V347" s="14">
        <v>10</v>
      </c>
      <c r="W347" s="14">
        <v>26</v>
      </c>
      <c r="X347" s="14">
        <v>0</v>
      </c>
    </row>
    <row r="348" spans="1:24" x14ac:dyDescent="0.35">
      <c r="A348" t="s">
        <v>39</v>
      </c>
      <c r="B348" t="s">
        <v>38</v>
      </c>
      <c r="C348" s="16">
        <v>45809</v>
      </c>
      <c r="D348" t="s">
        <v>34</v>
      </c>
      <c r="E348">
        <v>14</v>
      </c>
      <c r="F348" t="s">
        <v>35</v>
      </c>
      <c r="G348" s="4">
        <v>0</v>
      </c>
      <c r="H348" s="14">
        <v>0</v>
      </c>
      <c r="I348" s="4">
        <v>3174.74</v>
      </c>
      <c r="J348" s="14">
        <v>3</v>
      </c>
      <c r="K348" s="4">
        <v>0</v>
      </c>
      <c r="L348" s="14">
        <v>0</v>
      </c>
      <c r="M348">
        <v>0</v>
      </c>
      <c r="N348" s="14">
        <v>0</v>
      </c>
      <c r="O348">
        <v>0</v>
      </c>
      <c r="P348" s="14">
        <v>0</v>
      </c>
      <c r="Q348">
        <v>0</v>
      </c>
      <c r="R348" s="14">
        <v>0</v>
      </c>
      <c r="S348" s="4">
        <v>0</v>
      </c>
      <c r="T348" s="4">
        <v>0</v>
      </c>
      <c r="U348" s="1">
        <v>147.66666666666666</v>
      </c>
      <c r="V348" s="14">
        <v>3</v>
      </c>
      <c r="W348" s="14">
        <v>4</v>
      </c>
      <c r="X348" s="14">
        <v>0</v>
      </c>
    </row>
    <row r="349" spans="1:24" x14ac:dyDescent="0.35">
      <c r="A349" t="s">
        <v>39</v>
      </c>
      <c r="B349" t="s">
        <v>38</v>
      </c>
      <c r="C349" s="16">
        <v>45809</v>
      </c>
      <c r="D349" t="s">
        <v>34</v>
      </c>
      <c r="E349">
        <v>14</v>
      </c>
      <c r="F349" t="s">
        <v>36</v>
      </c>
      <c r="G349" s="4">
        <v>0</v>
      </c>
      <c r="H349" s="14">
        <v>0</v>
      </c>
      <c r="I349" s="4">
        <v>16482</v>
      </c>
      <c r="J349" s="14">
        <v>9</v>
      </c>
      <c r="K349" s="4">
        <v>666.61</v>
      </c>
      <c r="L349" s="14">
        <v>1</v>
      </c>
      <c r="M349">
        <v>0</v>
      </c>
      <c r="N349" s="14">
        <v>0</v>
      </c>
      <c r="O349">
        <v>0</v>
      </c>
      <c r="P349" s="14">
        <v>0</v>
      </c>
      <c r="Q349">
        <v>0</v>
      </c>
      <c r="R349" s="14">
        <v>0</v>
      </c>
      <c r="S349" s="4">
        <v>0</v>
      </c>
      <c r="T349" s="4">
        <v>0</v>
      </c>
      <c r="U349" s="1">
        <v>60.4</v>
      </c>
      <c r="V349" s="14">
        <v>15</v>
      </c>
      <c r="W349" s="14">
        <v>24</v>
      </c>
      <c r="X349" s="14">
        <v>0</v>
      </c>
    </row>
    <row r="350" spans="1:24" x14ac:dyDescent="0.35">
      <c r="A350" t="s">
        <v>39</v>
      </c>
      <c r="B350" t="s">
        <v>38</v>
      </c>
      <c r="C350" s="16">
        <v>45809</v>
      </c>
      <c r="D350" t="s">
        <v>34</v>
      </c>
      <c r="E350">
        <v>15</v>
      </c>
      <c r="F350" t="s">
        <v>35</v>
      </c>
      <c r="G350" s="4">
        <v>0</v>
      </c>
      <c r="H350" s="14">
        <v>0</v>
      </c>
      <c r="I350" s="4">
        <v>1012.16</v>
      </c>
      <c r="J350" s="14">
        <v>1</v>
      </c>
      <c r="K350" s="4">
        <v>0</v>
      </c>
      <c r="L350" s="14">
        <v>0</v>
      </c>
      <c r="M350">
        <v>0</v>
      </c>
      <c r="N350" s="14">
        <v>0</v>
      </c>
      <c r="O350">
        <v>0</v>
      </c>
      <c r="P350" s="14">
        <v>0</v>
      </c>
      <c r="Q350">
        <v>0</v>
      </c>
      <c r="R350" s="14">
        <v>0</v>
      </c>
      <c r="S350" s="4">
        <v>0</v>
      </c>
      <c r="T350" s="4">
        <v>0</v>
      </c>
      <c r="U350" s="1">
        <v>29</v>
      </c>
      <c r="V350" s="14">
        <v>1</v>
      </c>
      <c r="W350" s="14">
        <v>3</v>
      </c>
      <c r="X350" s="14">
        <v>0</v>
      </c>
    </row>
    <row r="351" spans="1:24" x14ac:dyDescent="0.35">
      <c r="A351" t="s">
        <v>39</v>
      </c>
      <c r="B351" t="s">
        <v>38</v>
      </c>
      <c r="C351" s="16">
        <v>45809</v>
      </c>
      <c r="D351" t="s">
        <v>34</v>
      </c>
      <c r="E351">
        <v>15</v>
      </c>
      <c r="F351" t="s">
        <v>36</v>
      </c>
      <c r="G351" s="4">
        <v>0</v>
      </c>
      <c r="H351" s="14">
        <v>0</v>
      </c>
      <c r="I351" s="4">
        <v>6279.7599999999993</v>
      </c>
      <c r="J351" s="14">
        <v>6</v>
      </c>
      <c r="K351" s="4">
        <v>0</v>
      </c>
      <c r="L351" s="14">
        <v>0</v>
      </c>
      <c r="M351">
        <v>0</v>
      </c>
      <c r="N351" s="14">
        <v>0</v>
      </c>
      <c r="O351">
        <v>0</v>
      </c>
      <c r="P351" s="14">
        <v>0</v>
      </c>
      <c r="Q351">
        <v>0</v>
      </c>
      <c r="R351" s="14">
        <v>0</v>
      </c>
      <c r="S351" s="4">
        <v>0</v>
      </c>
      <c r="T351" s="4">
        <v>0</v>
      </c>
      <c r="U351" s="1">
        <v>108.6</v>
      </c>
      <c r="V351" s="14">
        <v>10</v>
      </c>
      <c r="W351" s="14">
        <v>19</v>
      </c>
      <c r="X351" s="14">
        <v>0</v>
      </c>
    </row>
    <row r="352" spans="1:24" x14ac:dyDescent="0.35">
      <c r="A352" t="s">
        <v>39</v>
      </c>
      <c r="B352" t="s">
        <v>38</v>
      </c>
      <c r="C352" s="16">
        <v>45809</v>
      </c>
      <c r="D352" t="s">
        <v>34</v>
      </c>
      <c r="E352">
        <v>16</v>
      </c>
      <c r="F352" t="s">
        <v>35</v>
      </c>
      <c r="G352" s="4">
        <v>0</v>
      </c>
      <c r="H352" s="14">
        <v>0</v>
      </c>
      <c r="I352" s="4">
        <v>0</v>
      </c>
      <c r="J352" s="14">
        <v>0</v>
      </c>
      <c r="K352" s="4">
        <v>0</v>
      </c>
      <c r="L352" s="14">
        <v>0</v>
      </c>
      <c r="M352">
        <v>0</v>
      </c>
      <c r="N352" s="14">
        <v>0</v>
      </c>
      <c r="O352">
        <v>0</v>
      </c>
      <c r="P352" s="14">
        <v>0</v>
      </c>
      <c r="Q352">
        <v>0</v>
      </c>
      <c r="R352" s="14">
        <v>0</v>
      </c>
      <c r="S352" s="4">
        <v>0</v>
      </c>
      <c r="T352" s="4">
        <v>0</v>
      </c>
      <c r="V352" s="14">
        <v>0</v>
      </c>
      <c r="W352" s="14">
        <v>6</v>
      </c>
      <c r="X352" s="14">
        <v>0</v>
      </c>
    </row>
    <row r="353" spans="1:24" x14ac:dyDescent="0.35">
      <c r="A353" t="s">
        <v>39</v>
      </c>
      <c r="B353" t="s">
        <v>38</v>
      </c>
      <c r="C353" s="16">
        <v>45809</v>
      </c>
      <c r="D353" t="s">
        <v>34</v>
      </c>
      <c r="E353">
        <v>16</v>
      </c>
      <c r="F353" t="s">
        <v>36</v>
      </c>
      <c r="G353" s="4">
        <v>0</v>
      </c>
      <c r="H353" s="14">
        <v>0</v>
      </c>
      <c r="I353" s="4">
        <v>4774.84</v>
      </c>
      <c r="J353" s="14">
        <v>5</v>
      </c>
      <c r="K353" s="4">
        <v>272.8</v>
      </c>
      <c r="L353" s="14">
        <v>1</v>
      </c>
      <c r="M353">
        <v>0</v>
      </c>
      <c r="N353" s="14">
        <v>0</v>
      </c>
      <c r="O353">
        <v>0</v>
      </c>
      <c r="P353" s="14">
        <v>0</v>
      </c>
      <c r="Q353">
        <v>0</v>
      </c>
      <c r="R353" s="14">
        <v>0</v>
      </c>
      <c r="S353" s="4">
        <v>0</v>
      </c>
      <c r="T353" s="4">
        <v>0</v>
      </c>
      <c r="U353" s="1">
        <v>85.8</v>
      </c>
      <c r="V353" s="14">
        <v>5</v>
      </c>
      <c r="W353" s="14">
        <v>11</v>
      </c>
      <c r="X353" s="14">
        <v>0</v>
      </c>
    </row>
    <row r="354" spans="1:24" x14ac:dyDescent="0.35">
      <c r="A354" t="s">
        <v>39</v>
      </c>
      <c r="B354" t="s">
        <v>38</v>
      </c>
      <c r="C354" s="16">
        <v>45809</v>
      </c>
      <c r="D354" t="s">
        <v>37</v>
      </c>
      <c r="E354">
        <v>6</v>
      </c>
      <c r="F354" t="s">
        <v>32</v>
      </c>
      <c r="G354" s="4">
        <v>0</v>
      </c>
      <c r="H354" s="14">
        <v>0</v>
      </c>
      <c r="I354" s="4">
        <v>0</v>
      </c>
      <c r="J354" s="14">
        <v>0</v>
      </c>
      <c r="K354" s="4">
        <v>0</v>
      </c>
      <c r="L354" s="14">
        <v>0</v>
      </c>
      <c r="M354">
        <v>0</v>
      </c>
      <c r="N354" s="14">
        <v>0</v>
      </c>
      <c r="O354">
        <v>0</v>
      </c>
      <c r="P354" s="14">
        <v>0</v>
      </c>
      <c r="Q354">
        <v>0</v>
      </c>
      <c r="R354" s="14">
        <v>0</v>
      </c>
      <c r="S354" s="4">
        <v>0</v>
      </c>
      <c r="T354" s="4">
        <v>0</v>
      </c>
      <c r="V354" s="14">
        <v>0</v>
      </c>
      <c r="W354" s="14">
        <v>1</v>
      </c>
      <c r="X354" s="14">
        <v>0</v>
      </c>
    </row>
    <row r="355" spans="1:24" x14ac:dyDescent="0.35">
      <c r="A355" t="s">
        <v>39</v>
      </c>
      <c r="B355" t="s">
        <v>38</v>
      </c>
      <c r="C355" s="16">
        <v>45809</v>
      </c>
      <c r="D355" t="s">
        <v>37</v>
      </c>
      <c r="E355">
        <v>8</v>
      </c>
      <c r="F355" t="s">
        <v>32</v>
      </c>
      <c r="G355" s="4">
        <v>0</v>
      </c>
      <c r="H355" s="14">
        <v>0</v>
      </c>
      <c r="I355" s="4">
        <v>0</v>
      </c>
      <c r="J355" s="14">
        <v>0</v>
      </c>
      <c r="K355" s="4">
        <v>0</v>
      </c>
      <c r="L355" s="14">
        <v>0</v>
      </c>
      <c r="M355">
        <v>0</v>
      </c>
      <c r="N355" s="14">
        <v>0</v>
      </c>
      <c r="O355">
        <v>0</v>
      </c>
      <c r="P355" s="14">
        <v>0</v>
      </c>
      <c r="Q355">
        <v>0</v>
      </c>
      <c r="R355" s="14">
        <v>0</v>
      </c>
      <c r="S355" s="4">
        <v>0</v>
      </c>
      <c r="T355" s="4">
        <v>0</v>
      </c>
      <c r="V355" s="14">
        <v>0</v>
      </c>
      <c r="W355" s="14">
        <v>1</v>
      </c>
      <c r="X355" s="14">
        <v>0</v>
      </c>
    </row>
    <row r="356" spans="1:24" x14ac:dyDescent="0.35">
      <c r="A356" t="s">
        <v>39</v>
      </c>
      <c r="B356" t="s">
        <v>38</v>
      </c>
      <c r="C356" s="16">
        <v>45809</v>
      </c>
      <c r="D356" t="s">
        <v>37</v>
      </c>
      <c r="E356">
        <v>9</v>
      </c>
      <c r="F356" t="s">
        <v>32</v>
      </c>
      <c r="G356" s="4">
        <v>0</v>
      </c>
      <c r="H356" s="14">
        <v>0</v>
      </c>
      <c r="I356" s="4">
        <v>0</v>
      </c>
      <c r="J356" s="14">
        <v>0</v>
      </c>
      <c r="K356" s="4">
        <v>0</v>
      </c>
      <c r="L356" s="14">
        <v>0</v>
      </c>
      <c r="M356">
        <v>0</v>
      </c>
      <c r="N356" s="14">
        <v>0</v>
      </c>
      <c r="O356">
        <v>0</v>
      </c>
      <c r="P356" s="14">
        <v>0</v>
      </c>
      <c r="Q356">
        <v>0</v>
      </c>
      <c r="R356" s="14">
        <v>0</v>
      </c>
      <c r="S356" s="4">
        <v>0</v>
      </c>
      <c r="T356" s="4">
        <v>0</v>
      </c>
      <c r="V356" s="14">
        <v>0</v>
      </c>
      <c r="W356" s="14">
        <v>1</v>
      </c>
      <c r="X356" s="14">
        <v>0</v>
      </c>
    </row>
    <row r="357" spans="1:24" x14ac:dyDescent="0.35">
      <c r="A357" t="s">
        <v>39</v>
      </c>
      <c r="B357" t="s">
        <v>38</v>
      </c>
      <c r="C357" s="16">
        <v>45809</v>
      </c>
      <c r="D357" t="s">
        <v>37</v>
      </c>
      <c r="E357">
        <v>10</v>
      </c>
      <c r="F357" t="s">
        <v>32</v>
      </c>
      <c r="G357" s="4">
        <v>0</v>
      </c>
      <c r="H357" s="14">
        <v>0</v>
      </c>
      <c r="I357" s="4">
        <v>0</v>
      </c>
      <c r="J357" s="14">
        <v>0</v>
      </c>
      <c r="K357" s="4">
        <v>0</v>
      </c>
      <c r="L357" s="14">
        <v>0</v>
      </c>
      <c r="M357">
        <v>0</v>
      </c>
      <c r="N357" s="14">
        <v>0</v>
      </c>
      <c r="O357">
        <v>0</v>
      </c>
      <c r="P357" s="14">
        <v>0</v>
      </c>
      <c r="Q357">
        <v>0</v>
      </c>
      <c r="R357" s="14">
        <v>0</v>
      </c>
      <c r="S357" s="4">
        <v>0</v>
      </c>
      <c r="T357" s="4">
        <v>0</v>
      </c>
      <c r="V357" s="14">
        <v>0</v>
      </c>
      <c r="W357" s="14">
        <v>1</v>
      </c>
      <c r="X357" s="14">
        <v>0</v>
      </c>
    </row>
    <row r="358" spans="1:24" x14ac:dyDescent="0.35">
      <c r="A358" t="s">
        <v>39</v>
      </c>
      <c r="B358" t="s">
        <v>38</v>
      </c>
      <c r="C358" s="16">
        <v>45809</v>
      </c>
      <c r="D358" t="s">
        <v>37</v>
      </c>
      <c r="E358">
        <v>15</v>
      </c>
      <c r="F358" t="s">
        <v>32</v>
      </c>
      <c r="G358" s="4">
        <v>0</v>
      </c>
      <c r="H358" s="14">
        <v>0</v>
      </c>
      <c r="I358" s="4">
        <v>0</v>
      </c>
      <c r="J358" s="14">
        <v>0</v>
      </c>
      <c r="K358" s="4">
        <v>0</v>
      </c>
      <c r="L358" s="14">
        <v>0</v>
      </c>
      <c r="M358">
        <v>0</v>
      </c>
      <c r="N358" s="14">
        <v>0</v>
      </c>
      <c r="O358">
        <v>0</v>
      </c>
      <c r="P358" s="14">
        <v>0</v>
      </c>
      <c r="Q358">
        <v>0</v>
      </c>
      <c r="R358" s="14">
        <v>0</v>
      </c>
      <c r="S358" s="4">
        <v>0</v>
      </c>
      <c r="T358" s="4">
        <v>0</v>
      </c>
      <c r="V358" s="14">
        <v>0</v>
      </c>
      <c r="W358" s="14">
        <v>1</v>
      </c>
      <c r="X358" s="14">
        <v>0</v>
      </c>
    </row>
    <row r="359" spans="1:24" x14ac:dyDescent="0.35">
      <c r="A359" s="7" t="s">
        <v>40</v>
      </c>
      <c r="B359" s="7"/>
      <c r="C359" s="18"/>
      <c r="D359" s="7"/>
      <c r="E359" s="7"/>
      <c r="F359" s="7"/>
      <c r="G359" s="8">
        <f>SUBTOTAL(9,G9:G358)</f>
        <v>7781723.9300000034</v>
      </c>
      <c r="H359" s="15">
        <f t="shared" ref="H359:X359" si="0">SUBTOTAL(9,H9:H358)</f>
        <v>195</v>
      </c>
      <c r="I359" s="8">
        <f t="shared" si="0"/>
        <v>25957933.239999998</v>
      </c>
      <c r="J359" s="15">
        <f t="shared" si="0"/>
        <v>3027</v>
      </c>
      <c r="K359" s="8">
        <f t="shared" si="0"/>
        <v>14347195.900000002</v>
      </c>
      <c r="L359" s="15">
        <f t="shared" si="0"/>
        <v>430</v>
      </c>
      <c r="M359" s="8">
        <f t="shared" si="0"/>
        <v>0</v>
      </c>
      <c r="N359" s="15">
        <f t="shared" si="0"/>
        <v>0</v>
      </c>
      <c r="O359" s="8">
        <f t="shared" si="0"/>
        <v>0</v>
      </c>
      <c r="P359" s="15">
        <f t="shared" si="0"/>
        <v>0</v>
      </c>
      <c r="Q359" s="8">
        <f t="shared" si="0"/>
        <v>0</v>
      </c>
      <c r="R359" s="15">
        <f t="shared" si="0"/>
        <v>0</v>
      </c>
      <c r="S359" s="8">
        <f t="shared" si="0"/>
        <v>9547612.1900000013</v>
      </c>
      <c r="T359" s="8">
        <f t="shared" si="0"/>
        <v>19760127.189999998</v>
      </c>
      <c r="U359" s="21"/>
      <c r="V359" s="15">
        <f t="shared" si="0"/>
        <v>3897</v>
      </c>
      <c r="W359" s="15">
        <f t="shared" si="0"/>
        <v>5845</v>
      </c>
      <c r="X359" s="15">
        <f t="shared" si="0"/>
        <v>101</v>
      </c>
    </row>
  </sheetData>
  <autoFilter ref="A8:X358" xr:uid="{081AF6A1-972C-496A-AA1D-087A82D9D262}"/>
  <pageMargins left="0.7" right="0.7" top="0.75" bottom="0.75" header="0.3" footer="0.3"/>
  <pageSetup scale="24" orientation="portrait" horizontalDpi="1200" verticalDpi="1200" r:id="rId1"/>
  <rowBreaks count="1" manualBreakCount="1">
    <brk id="178" max="2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8344-A235-4207-ADBE-02615FFF5E21}">
  <dimension ref="B3:F16"/>
  <sheetViews>
    <sheetView workbookViewId="0">
      <selection activeCell="E13" sqref="E13"/>
    </sheetView>
  </sheetViews>
  <sheetFormatPr defaultRowHeight="14.5" x14ac:dyDescent="0.35"/>
  <cols>
    <col min="2" max="2" width="25.453125" customWidth="1"/>
    <col min="3" max="3" width="22.36328125" customWidth="1"/>
    <col min="4" max="4" width="24.90625" customWidth="1"/>
    <col min="5" max="5" width="30.36328125" customWidth="1"/>
    <col min="6" max="6" width="40.54296875" customWidth="1"/>
  </cols>
  <sheetData>
    <row r="3" spans="2:6" ht="29" x14ac:dyDescent="0.35">
      <c r="B3" s="22" t="s">
        <v>41</v>
      </c>
      <c r="C3" s="23" t="s">
        <v>42</v>
      </c>
      <c r="D3" s="23" t="s">
        <v>43</v>
      </c>
      <c r="E3" s="23" t="s">
        <v>44</v>
      </c>
      <c r="F3" s="23" t="s">
        <v>45</v>
      </c>
    </row>
    <row r="4" spans="2:6" x14ac:dyDescent="0.35">
      <c r="B4" s="24" t="s">
        <v>46</v>
      </c>
      <c r="C4" s="25">
        <v>946</v>
      </c>
      <c r="D4" s="26">
        <f>C4/C6</f>
        <v>0.59911336288790373</v>
      </c>
      <c r="E4" s="30">
        <f>781+2</f>
        <v>783</v>
      </c>
      <c r="F4" s="26">
        <f>E4/E6</f>
        <v>0.42074153680816767</v>
      </c>
    </row>
    <row r="5" spans="2:6" x14ac:dyDescent="0.35">
      <c r="B5" s="24" t="s">
        <v>47</v>
      </c>
      <c r="C5" s="25">
        <v>633</v>
      </c>
      <c r="D5" s="26">
        <f>C5/C6</f>
        <v>0.40088663711209627</v>
      </c>
      <c r="E5" s="30">
        <f>1009+69</f>
        <v>1078</v>
      </c>
      <c r="F5" s="26">
        <f>E5/E6</f>
        <v>0.57925846319183238</v>
      </c>
    </row>
    <row r="6" spans="2:6" x14ac:dyDescent="0.35">
      <c r="B6" s="24" t="s">
        <v>48</v>
      </c>
      <c r="C6" s="25">
        <f>C4+C5</f>
        <v>1579</v>
      </c>
      <c r="D6" s="27">
        <f>C6/C6</f>
        <v>1</v>
      </c>
      <c r="E6" s="30">
        <f>E4+E5</f>
        <v>1861</v>
      </c>
      <c r="F6" s="27">
        <f>E6/E6</f>
        <v>1</v>
      </c>
    </row>
    <row r="7" spans="2:6" x14ac:dyDescent="0.35">
      <c r="B7" s="24"/>
      <c r="C7" s="25"/>
      <c r="D7" s="27"/>
      <c r="E7" s="30"/>
      <c r="F7" s="27"/>
    </row>
    <row r="8" spans="2:6" x14ac:dyDescent="0.35">
      <c r="B8" s="24" t="s">
        <v>49</v>
      </c>
      <c r="C8" s="25">
        <v>263</v>
      </c>
      <c r="D8" s="26">
        <f>C8/C10</f>
        <v>0.44276094276094274</v>
      </c>
      <c r="E8" s="30">
        <f>354+4</f>
        <v>358</v>
      </c>
      <c r="F8" s="26">
        <f>E8/E10</f>
        <v>0.3702171664943123</v>
      </c>
    </row>
    <row r="9" spans="2:6" x14ac:dyDescent="0.35">
      <c r="B9" s="24" t="s">
        <v>50</v>
      </c>
      <c r="C9" s="25">
        <v>331</v>
      </c>
      <c r="D9" s="26">
        <f>C9/C10</f>
        <v>0.5572390572390572</v>
      </c>
      <c r="E9" s="30">
        <f>583+26</f>
        <v>609</v>
      </c>
      <c r="F9" s="26">
        <f>E9/E10</f>
        <v>0.62978283350568764</v>
      </c>
    </row>
    <row r="10" spans="2:6" x14ac:dyDescent="0.35">
      <c r="B10" s="24" t="s">
        <v>51</v>
      </c>
      <c r="C10" s="25">
        <f>C8+C9</f>
        <v>594</v>
      </c>
      <c r="D10" s="27">
        <f>C10/C10</f>
        <v>1</v>
      </c>
      <c r="E10" s="30">
        <f>E8+E9</f>
        <v>967</v>
      </c>
      <c r="F10" s="27">
        <f>E10/E10</f>
        <v>1</v>
      </c>
    </row>
    <row r="11" spans="2:6" x14ac:dyDescent="0.35">
      <c r="B11" s="24"/>
      <c r="C11" s="24"/>
      <c r="D11" s="24"/>
      <c r="E11" s="31"/>
      <c r="F11" s="24"/>
    </row>
    <row r="12" spans="2:6" x14ac:dyDescent="0.35">
      <c r="B12" s="24" t="s">
        <v>52</v>
      </c>
      <c r="C12" s="25">
        <f>C4+C8</f>
        <v>1209</v>
      </c>
      <c r="D12" s="26">
        <f>C12/C14</f>
        <v>0.55637367694431661</v>
      </c>
      <c r="E12" s="30">
        <f>E4+E8</f>
        <v>1141</v>
      </c>
      <c r="F12" s="26">
        <f>E12/E14</f>
        <v>0.40346534653465349</v>
      </c>
    </row>
    <row r="13" spans="2:6" x14ac:dyDescent="0.35">
      <c r="B13" s="24" t="s">
        <v>53</v>
      </c>
      <c r="C13" s="25">
        <f>C5+C9</f>
        <v>964</v>
      </c>
      <c r="D13" s="26">
        <f>C13/C14</f>
        <v>0.44362632305568339</v>
      </c>
      <c r="E13" s="30">
        <f>E5+E9</f>
        <v>1687</v>
      </c>
      <c r="F13" s="26">
        <f>E13/E14</f>
        <v>0.59653465346534651</v>
      </c>
    </row>
    <row r="14" spans="2:6" x14ac:dyDescent="0.35">
      <c r="B14" s="24" t="s">
        <v>54</v>
      </c>
      <c r="C14" s="25">
        <f>C6+C10</f>
        <v>2173</v>
      </c>
      <c r="D14" s="27">
        <f>C14/C14</f>
        <v>1</v>
      </c>
      <c r="E14" s="30">
        <f>E6+E10</f>
        <v>2828</v>
      </c>
      <c r="F14" s="27">
        <f>E14/E14</f>
        <v>1</v>
      </c>
    </row>
    <row r="15" spans="2:6" x14ac:dyDescent="0.35">
      <c r="B15" s="24"/>
      <c r="C15" s="24"/>
      <c r="D15" s="24"/>
      <c r="E15" s="24"/>
      <c r="F15" s="24"/>
    </row>
    <row r="16" spans="2:6" x14ac:dyDescent="0.35">
      <c r="B16" s="28"/>
      <c r="C16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note xmlns="785685f2-c2e1-4352-89aa-3faca8eaba52" xsi:nil="true"/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>Received/Logged</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ea954166eda03bab63828d44b3bf16f2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59a265db4037a2cfe49c899751f003d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fault="Received/Logged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7989AD-F33E-4F29-A1C9-0021394C9735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067c814-4b34-462c-a21d-c185ff6548d2"/>
    <ds:schemaRef ds:uri="http://schemas.microsoft.com/office/2006/documentManagement/types"/>
    <ds:schemaRef ds:uri="785685f2-c2e1-4352-89aa-3faca8eaba52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D87F022-8329-4606-A83A-F1DA66C16F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045C97-E1C2-40F1-BC38-57B1CD42F4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 Q2 2025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Placencia</dc:creator>
  <cp:keywords/>
  <dc:description/>
  <cp:lastModifiedBy>Ford, Robert@Energy</cp:lastModifiedBy>
  <cp:revision/>
  <dcterms:created xsi:type="dcterms:W3CDTF">2025-10-01T06:14:48Z</dcterms:created>
  <dcterms:modified xsi:type="dcterms:W3CDTF">2026-03-26T22:53:47Z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2025-10-01T05:32:21Z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35ea5b14-5fed-4bc5-bff0-81ff3c7e9513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  <property fmtid="{D5CDD505-2E9C-101B-9397-08002B2CF9AE}" pid="10" name="MediaServiceImageTags">
    <vt:lpwstr/>
  </property>
</Properties>
</file>