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uc-my.sharepoint.com/personal/garima_chatrath_cpuc_ca_gov/Documents/Phase_3B/IOUs_Annual Report_2024_data/"/>
    </mc:Choice>
  </mc:AlternateContent>
  <xr:revisionPtr revIDLastSave="49" documentId="8_{147C9992-6820-4E75-9C8C-559279B4C632}" xr6:coauthVersionLast="47" xr6:coauthVersionMax="47" xr10:uidLastSave="{0066D33C-E3B3-4C43-897C-D1C799432468}"/>
  <bookViews>
    <workbookView xWindow="-108" yWindow="-108" windowWidth="23256" windowHeight="12576" activeTab="1" xr2:uid="{5A75DE74-B25E-4059-A0A9-40D464A41ACF}"/>
  </bookViews>
  <sheets>
    <sheet name="Mixed-Fuel New Construction" sheetId="1" r:id="rId1"/>
    <sheet name="All Electric New Construction" sheetId="2" r:id="rId2"/>
    <sheet name="Mixed-Fuel Upgrades" sheetId="3" r:id="rId3"/>
    <sheet name="All Electric Upgrades" sheetId="5" r:id="rId4"/>
    <sheet name="Reference Sheet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" i="2" l="1"/>
  <c r="J100" i="2" a="1"/>
  <c r="J100" i="2" s="1"/>
  <c r="J99" i="1"/>
  <c r="J98" i="1"/>
  <c r="J96" i="1"/>
  <c r="J96" i="2"/>
  <c r="J95" i="2"/>
  <c r="J95" i="1"/>
  <c r="O93" i="1"/>
  <c r="O85" i="1"/>
  <c r="O78" i="1"/>
  <c r="M95" i="2"/>
  <c r="M87" i="2"/>
  <c r="M80" i="2"/>
  <c r="M90" i="2"/>
  <c r="M83" i="2"/>
  <c r="M76" i="2"/>
  <c r="M90" i="1"/>
  <c r="M83" i="1"/>
  <c r="M76" i="1"/>
  <c r="K96" i="2"/>
  <c r="K96" i="1"/>
  <c r="J7" i="1" l="1"/>
  <c r="J6" i="1"/>
  <c r="F9" i="1" l="1"/>
  <c r="F8" i="1"/>
  <c r="F6" i="1"/>
  <c r="D6" i="1"/>
  <c r="D7" i="1"/>
  <c r="D8" i="1"/>
  <c r="D9" i="1"/>
  <c r="B6" i="2"/>
  <c r="B8" i="2"/>
  <c r="B6" i="1"/>
  <c r="L9" i="5"/>
  <c r="K9" i="5"/>
  <c r="J9" i="5"/>
  <c r="I9" i="5"/>
  <c r="H9" i="5"/>
  <c r="G9" i="5"/>
  <c r="F9" i="5"/>
  <c r="E9" i="5"/>
  <c r="D9" i="5"/>
  <c r="C9" i="5"/>
  <c r="B9" i="5"/>
  <c r="L8" i="5"/>
  <c r="K8" i="5"/>
  <c r="J8" i="5"/>
  <c r="I8" i="5"/>
  <c r="H8" i="5"/>
  <c r="G8" i="5"/>
  <c r="F8" i="5"/>
  <c r="E8" i="5"/>
  <c r="D8" i="5"/>
  <c r="C8" i="5"/>
  <c r="B8" i="5"/>
  <c r="L7" i="5"/>
  <c r="K7" i="5"/>
  <c r="J7" i="5"/>
  <c r="I7" i="5"/>
  <c r="H7" i="5"/>
  <c r="G7" i="5"/>
  <c r="F7" i="5"/>
  <c r="E7" i="5"/>
  <c r="D7" i="5"/>
  <c r="C7" i="5"/>
  <c r="B7" i="5"/>
  <c r="L6" i="5"/>
  <c r="K6" i="5"/>
  <c r="J6" i="5"/>
  <c r="I6" i="5"/>
  <c r="H6" i="5"/>
  <c r="G6" i="5"/>
  <c r="F6" i="5"/>
  <c r="E6" i="5"/>
  <c r="D6" i="5"/>
  <c r="C6" i="5"/>
  <c r="B6" i="5"/>
  <c r="K9" i="3"/>
  <c r="K8" i="3"/>
  <c r="K7" i="3"/>
  <c r="K6" i="3"/>
  <c r="K9" i="2"/>
  <c r="K8" i="2"/>
  <c r="K7" i="2"/>
  <c r="K6" i="2"/>
  <c r="K9" i="1"/>
  <c r="K8" i="1"/>
  <c r="K7" i="1"/>
  <c r="K6" i="1"/>
  <c r="L9" i="3"/>
  <c r="J9" i="3"/>
  <c r="I9" i="3"/>
  <c r="H9" i="3"/>
  <c r="G9" i="3"/>
  <c r="F9" i="3"/>
  <c r="E9" i="3"/>
  <c r="D9" i="3"/>
  <c r="C9" i="3"/>
  <c r="B9" i="3"/>
  <c r="L8" i="3"/>
  <c r="J8" i="3"/>
  <c r="I8" i="3"/>
  <c r="H8" i="3"/>
  <c r="G8" i="3"/>
  <c r="F8" i="3"/>
  <c r="E8" i="3"/>
  <c r="D8" i="3"/>
  <c r="C8" i="3"/>
  <c r="B8" i="3"/>
  <c r="L7" i="3"/>
  <c r="J7" i="3"/>
  <c r="I7" i="3"/>
  <c r="H7" i="3"/>
  <c r="G7" i="3"/>
  <c r="F7" i="3"/>
  <c r="E7" i="3"/>
  <c r="D7" i="3"/>
  <c r="C7" i="3"/>
  <c r="B7" i="3"/>
  <c r="L6" i="3"/>
  <c r="J6" i="3"/>
  <c r="I6" i="3"/>
  <c r="H6" i="3"/>
  <c r="G6" i="3"/>
  <c r="F6" i="3"/>
  <c r="E6" i="3"/>
  <c r="D6" i="3"/>
  <c r="C6" i="3"/>
  <c r="B6" i="3"/>
  <c r="L9" i="1"/>
  <c r="J9" i="1"/>
  <c r="I9" i="1"/>
  <c r="H9" i="1"/>
  <c r="G9" i="1"/>
  <c r="E9" i="1"/>
  <c r="C9" i="1"/>
  <c r="B9" i="1"/>
  <c r="L8" i="1"/>
  <c r="J8" i="1"/>
  <c r="I8" i="1"/>
  <c r="H8" i="1"/>
  <c r="G8" i="1"/>
  <c r="E8" i="1"/>
  <c r="C8" i="1"/>
  <c r="B8" i="1"/>
  <c r="L7" i="1"/>
  <c r="I7" i="1"/>
  <c r="H7" i="1"/>
  <c r="G7" i="1"/>
  <c r="F7" i="1"/>
  <c r="E7" i="1"/>
  <c r="C7" i="1"/>
  <c r="B7" i="1"/>
  <c r="L6" i="1"/>
  <c r="I6" i="1"/>
  <c r="H6" i="1"/>
  <c r="G6" i="1"/>
  <c r="E6" i="1"/>
  <c r="C6" i="1"/>
  <c r="L9" i="2"/>
  <c r="L8" i="2"/>
  <c r="L7" i="2"/>
  <c r="L6" i="2"/>
  <c r="J9" i="2"/>
  <c r="J8" i="2"/>
  <c r="J7" i="2"/>
  <c r="J6" i="2"/>
  <c r="I9" i="2"/>
  <c r="I8" i="2"/>
  <c r="I7" i="2"/>
  <c r="I6" i="2"/>
  <c r="H9" i="2"/>
  <c r="H8" i="2"/>
  <c r="H7" i="2"/>
  <c r="H6" i="2"/>
  <c r="G9" i="2"/>
  <c r="G8" i="2"/>
  <c r="G7" i="2"/>
  <c r="G6" i="2"/>
  <c r="F9" i="2"/>
  <c r="F8" i="2"/>
  <c r="F7" i="2"/>
  <c r="F6" i="2"/>
  <c r="E9" i="2"/>
  <c r="E8" i="2"/>
  <c r="E7" i="2"/>
  <c r="E6" i="2"/>
  <c r="D9" i="2"/>
  <c r="D8" i="2"/>
  <c r="D7" i="2"/>
  <c r="D6" i="2"/>
  <c r="C9" i="2"/>
  <c r="C8" i="2"/>
  <c r="C7" i="2"/>
  <c r="C6" i="2"/>
  <c r="B7" i="2"/>
  <c r="B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<sst xmlns="http://schemas.openxmlformats.org/spreadsheetml/2006/main" count="867" uniqueCount="35">
  <si>
    <t>Report Due: May 01, 2024</t>
  </si>
  <si>
    <t>Reporting Period: January 01, 2023 - December 31, 2023</t>
  </si>
  <si>
    <t>Report Due: May 01, 2025</t>
  </si>
  <si>
    <t>Reporting Period:  January 01, 2024 - December 31, 2024</t>
  </si>
  <si>
    <t>Customer Class</t>
  </si>
  <si>
    <t>Residential</t>
  </si>
  <si>
    <t>Commercial</t>
  </si>
  <si>
    <t>Agriculture</t>
  </si>
  <si>
    <t xml:space="preserve">Category: All Electric New Construction </t>
  </si>
  <si>
    <t>Industrial</t>
  </si>
  <si>
    <t>Total Discounts (Non-Exempted Projects)</t>
  </si>
  <si>
    <t>Total Discounts (Exempted projects)</t>
  </si>
  <si>
    <t>Total Allowances (Non-Exempted Projects)</t>
  </si>
  <si>
    <t>Total Allowances (Exempted projects)</t>
  </si>
  <si>
    <t>Total Electric Line Extensions Energized</t>
  </si>
  <si>
    <t>Total Electric Line Extension Applications for Applicant Install</t>
  </si>
  <si>
    <t>Report Due: May 01, 2026</t>
  </si>
  <si>
    <t>Reporting Period:  January 01, 2025 - December 31, 2025</t>
  </si>
  <si>
    <t>Total Electric Line Extension Requests Received (Applications)</t>
  </si>
  <si>
    <t>Note: Beginning 2026,  Refundable Actual Net to Builders and Non-Refundable Actual Net to Builders need to be included in the reported data.</t>
  </si>
  <si>
    <t xml:space="preserve">Total Estimated Non-Refundable </t>
  </si>
  <si>
    <t xml:space="preserve">Total Estimated Refundable </t>
  </si>
  <si>
    <t>*The term existing facilities refers to existing buildings/facilities/projects that are undergoing</t>
  </si>
  <si>
    <t>upgrades to service lines and/or distribution system infrastructure under Electric Tariff</t>
  </si>
  <si>
    <t>Rules 15/16 (tariff that governs the investor-owned electric utilities’ distribution line extensions</t>
  </si>
  <si>
    <t>and network equipment) and are not new construction projects.</t>
  </si>
  <si>
    <t>*Customer classes vary between IOU's</t>
  </si>
  <si>
    <t>Total Refund Payments Provided to Builders  (Exempted projects)</t>
  </si>
  <si>
    <t>Total Refund Payments Provided to Builders (Non-Exempted Projects)</t>
  </si>
  <si>
    <t>Due Date: May 01, 2025</t>
  </si>
  <si>
    <t>Dates to Pull: January 01, 2024 - December 31, 2024</t>
  </si>
  <si>
    <t>Summary-2024</t>
  </si>
  <si>
    <t>Category: Mixed Fuel New Construction</t>
  </si>
  <si>
    <t xml:space="preserve">Category: Mixed Fuel Upgrades to Existing Facilities </t>
  </si>
  <si>
    <t xml:space="preserve">Category: All Electric Upgrades to Existing Facilities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</si>
</sst>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" fontId="0" fillId="3" borderId="0" xfId="0" applyNumberFormat="1" applyFill="1" applyAlignment="1">
      <alignment horizontal="right" vertical="center"/>
    </xf>
    <xf numFmtId="1" fontId="0" fillId="0" borderId="0" xfId="1" applyNumberFormat="1" applyFont="1" applyAlignment="1">
      <alignment vertical="center"/>
    </xf>
    <xf numFmtId="14" fontId="0" fillId="2" borderId="1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 wrapText="1"/>
    </xf>
    <xf numFmtId="1" fontId="0" fillId="2" borderId="1" xfId="1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1" applyNumberFormat="1" applyFont="1" applyBorder="1" applyAlignment="1">
      <alignment vertical="center"/>
    </xf>
    <xf numFmtId="17" fontId="0" fillId="3" borderId="0" xfId="0" applyNumberFormat="1" applyFill="1" applyAlignment="1">
      <alignment vertical="center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1" applyNumberFormat="1" applyFont="1" applyAlignment="1">
      <alignment vertical="center" wrapText="1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" fontId="0" fillId="4" borderId="1" xfId="1" applyNumberFormat="1" applyFont="1" applyFill="1" applyBorder="1" applyAlignment="1">
      <alignment vertical="center"/>
    </xf>
    <xf numFmtId="0" fontId="0" fillId="4" borderId="0" xfId="0" applyFill="1" applyAlignment="1">
      <alignment vertical="center"/>
    </xf>
    <xf numFmtId="1" fontId="0" fillId="4" borderId="0" xfId="0" applyNumberFormat="1" applyFill="1" applyAlignment="1">
      <alignment vertical="center"/>
    </xf>
    <xf numFmtId="1" fontId="0" fillId="0" borderId="0" xfId="0" applyNumberForma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9A7C-86EB-428A-BC4A-AD8DA8DA3699}">
  <dimension ref="A1:O99"/>
  <sheetViews>
    <sheetView zoomScaleNormal="100" workbookViewId="0">
      <pane xSplit="1" ySplit="5" topLeftCell="E87" activePane="bottomRight" state="frozen"/>
      <selection pane="topRight" activeCell="B1" sqref="B1"/>
      <selection pane="bottomLeft" activeCell="A6" sqref="A6"/>
      <selection pane="bottomRight" activeCell="J100" sqref="J100"/>
    </sheetView>
  </sheetViews>
  <sheetFormatPr defaultColWidth="9.21875" defaultRowHeight="14.4" x14ac:dyDescent="0.3"/>
  <cols>
    <col min="1" max="1" width="22.21875" style="3" customWidth="1"/>
    <col min="2" max="9" width="24.21875" style="2" customWidth="1"/>
    <col min="10" max="10" width="24.21875" style="3" customWidth="1"/>
    <col min="11" max="11" width="24.21875" style="14" customWidth="1"/>
    <col min="12" max="12" width="24.21875" style="3" customWidth="1"/>
    <col min="13" max="16384" width="9.21875" style="3"/>
  </cols>
  <sheetData>
    <row r="1" spans="1:12" x14ac:dyDescent="0.3">
      <c r="A1" s="1" t="s">
        <v>32</v>
      </c>
    </row>
    <row r="2" spans="1:12" x14ac:dyDescent="0.3">
      <c r="A2" s="1" t="s">
        <v>30</v>
      </c>
    </row>
    <row r="3" spans="1:12" x14ac:dyDescent="0.3">
      <c r="A3" s="1" t="s">
        <v>29</v>
      </c>
    </row>
    <row r="4" spans="1:12" x14ac:dyDescent="0.3">
      <c r="A4" s="4" t="s">
        <v>31</v>
      </c>
      <c r="J4" s="5"/>
      <c r="K4" s="15"/>
      <c r="L4" s="5"/>
    </row>
    <row r="5" spans="1:12" ht="43.2" x14ac:dyDescent="0.3">
      <c r="A5" s="6" t="s">
        <v>4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28</v>
      </c>
      <c r="G5" s="7" t="s">
        <v>27</v>
      </c>
      <c r="H5" s="7" t="s">
        <v>20</v>
      </c>
      <c r="I5" s="7" t="s">
        <v>21</v>
      </c>
      <c r="J5" s="8" t="s">
        <v>18</v>
      </c>
      <c r="K5" s="8" t="s">
        <v>14</v>
      </c>
      <c r="L5" s="8" t="s">
        <v>15</v>
      </c>
    </row>
    <row r="6" spans="1:12" x14ac:dyDescent="0.3">
      <c r="A6" s="9" t="s">
        <v>5</v>
      </c>
      <c r="B6" s="10">
        <f t="shared" ref="B6:J9" si="0">SUM(B13,B20,B27,B34,B41,B48,B55,B62,B69,B76,B83,B90)</f>
        <v>14699158.220000001</v>
      </c>
      <c r="C6" s="10">
        <f t="shared" si="0"/>
        <v>0</v>
      </c>
      <c r="D6" s="10">
        <f t="shared" si="0"/>
        <v>19966003.019999992</v>
      </c>
      <c r="E6" s="10">
        <f t="shared" si="0"/>
        <v>0</v>
      </c>
      <c r="F6" s="10">
        <f t="shared" si="0"/>
        <v>65105333.45000001</v>
      </c>
      <c r="G6" s="10">
        <f t="shared" si="0"/>
        <v>0</v>
      </c>
      <c r="H6" s="10">
        <f t="shared" si="0"/>
        <v>12212263.939999999</v>
      </c>
      <c r="I6" s="10">
        <f t="shared" si="0"/>
        <v>37932997.649999999</v>
      </c>
      <c r="J6" s="11">
        <f>SUM(J13,J20,J27,J34,J41,J48,J55,J62,J69,J76,J83,J90)</f>
        <v>6993</v>
      </c>
      <c r="K6" s="11">
        <f t="shared" ref="K6" si="1">SUM(K13,K20,K27,K34,K41,K48,K55,K62,K69,K76,K83,K90)</f>
        <v>5030</v>
      </c>
      <c r="L6" s="11">
        <f>SUM(L13,L20,L27,L34,L41,L48,L55,L62,L69,L76,L83,L90)</f>
        <v>96</v>
      </c>
    </row>
    <row r="7" spans="1:12" x14ac:dyDescent="0.3">
      <c r="A7" s="9" t="s">
        <v>9</v>
      </c>
      <c r="B7" s="10">
        <f t="shared" si="0"/>
        <v>0</v>
      </c>
      <c r="C7" s="10">
        <f t="shared" si="0"/>
        <v>0</v>
      </c>
      <c r="D7" s="10">
        <f t="shared" si="0"/>
        <v>0</v>
      </c>
      <c r="E7" s="10">
        <f t="shared" si="0"/>
        <v>0</v>
      </c>
      <c r="F7" s="10">
        <f t="shared" si="0"/>
        <v>0</v>
      </c>
      <c r="G7" s="10">
        <f t="shared" si="0"/>
        <v>0</v>
      </c>
      <c r="H7" s="10">
        <f t="shared" si="0"/>
        <v>0</v>
      </c>
      <c r="I7" s="10">
        <f t="shared" si="0"/>
        <v>0</v>
      </c>
      <c r="J7" s="11">
        <f>SUM(J14,J21,J28,J35,J42,J49,J56,J63,J70,J77,J84,J91)</f>
        <v>0</v>
      </c>
      <c r="K7" s="11">
        <f t="shared" ref="K7" si="2">SUM(K14,K21,K28,K35,K42,K49,K56,K63,K70,K77,K84,K91)</f>
        <v>0</v>
      </c>
      <c r="L7" s="11">
        <f t="shared" ref="L7:L9" si="3">SUM(L14,L21,L28,L35,L42,L49,L56,L63,L70,L77,L84,L91)</f>
        <v>0</v>
      </c>
    </row>
    <row r="8" spans="1:12" x14ac:dyDescent="0.3">
      <c r="A8" s="9" t="s">
        <v>6</v>
      </c>
      <c r="B8" s="10">
        <f t="shared" si="0"/>
        <v>6157623.9299999997</v>
      </c>
      <c r="C8" s="10">
        <f t="shared" si="0"/>
        <v>0</v>
      </c>
      <c r="D8" s="10">
        <f t="shared" si="0"/>
        <v>45044208.899999999</v>
      </c>
      <c r="E8" s="10">
        <f t="shared" si="0"/>
        <v>0</v>
      </c>
      <c r="F8" s="10">
        <f t="shared" si="0"/>
        <v>4282712.43</v>
      </c>
      <c r="G8" s="10">
        <f t="shared" si="0"/>
        <v>0</v>
      </c>
      <c r="H8" s="10">
        <f t="shared" si="0"/>
        <v>8874220.0100000016</v>
      </c>
      <c r="I8" s="10">
        <f t="shared" si="0"/>
        <v>1266423.5499999998</v>
      </c>
      <c r="J8" s="11">
        <f t="shared" si="0"/>
        <v>1838</v>
      </c>
      <c r="K8" s="11">
        <f t="shared" ref="K8" si="4">SUM(K15,K22,K29,K36,K43,K50,K57,K64,K71,K78,K85,K92)</f>
        <v>1605</v>
      </c>
      <c r="L8" s="11">
        <f t="shared" si="3"/>
        <v>21</v>
      </c>
    </row>
    <row r="9" spans="1:12" x14ac:dyDescent="0.3">
      <c r="A9" s="9" t="s">
        <v>7</v>
      </c>
      <c r="B9" s="10">
        <f t="shared" si="0"/>
        <v>137076.34</v>
      </c>
      <c r="C9" s="10">
        <f t="shared" si="0"/>
        <v>0</v>
      </c>
      <c r="D9" s="10">
        <f t="shared" si="0"/>
        <v>2228721.1700000004</v>
      </c>
      <c r="E9" s="10">
        <f t="shared" si="0"/>
        <v>0</v>
      </c>
      <c r="F9" s="10">
        <f t="shared" si="0"/>
        <v>43071.709999999992</v>
      </c>
      <c r="G9" s="10">
        <f t="shared" si="0"/>
        <v>0</v>
      </c>
      <c r="H9" s="10">
        <f t="shared" si="0"/>
        <v>25196.19</v>
      </c>
      <c r="I9" s="10">
        <f t="shared" si="0"/>
        <v>13729.27</v>
      </c>
      <c r="J9" s="11">
        <f t="shared" si="0"/>
        <v>55</v>
      </c>
      <c r="K9" s="11">
        <f t="shared" ref="K9" si="5">SUM(K16,K23,K30,K37,K44,K51,K58,K65,K72,K79,K86,K93)</f>
        <v>82</v>
      </c>
      <c r="L9" s="11">
        <f t="shared" si="3"/>
        <v>0</v>
      </c>
    </row>
    <row r="10" spans="1:12" x14ac:dyDescent="0.3">
      <c r="J10" s="5"/>
      <c r="K10" s="15"/>
      <c r="L10" s="5"/>
    </row>
    <row r="11" spans="1:12" x14ac:dyDescent="0.3">
      <c r="A11" s="12">
        <v>45292</v>
      </c>
    </row>
    <row r="12" spans="1:12" ht="43.2" x14ac:dyDescent="0.3">
      <c r="A12" s="6" t="s">
        <v>4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28</v>
      </c>
      <c r="G12" s="7" t="s">
        <v>27</v>
      </c>
      <c r="H12" s="7" t="s">
        <v>20</v>
      </c>
      <c r="I12" s="7" t="s">
        <v>21</v>
      </c>
      <c r="J12" s="8" t="s">
        <v>18</v>
      </c>
      <c r="K12" s="8" t="s">
        <v>14</v>
      </c>
      <c r="L12" s="8" t="s">
        <v>15</v>
      </c>
    </row>
    <row r="13" spans="1:12" x14ac:dyDescent="0.3">
      <c r="A13" s="9" t="s">
        <v>5</v>
      </c>
      <c r="B13" s="10">
        <v>1427811.7099999997</v>
      </c>
      <c r="C13" s="10">
        <v>0</v>
      </c>
      <c r="D13" s="10">
        <v>1602866.28</v>
      </c>
      <c r="E13" s="10">
        <v>0</v>
      </c>
      <c r="F13" s="10">
        <v>4653080.3499999987</v>
      </c>
      <c r="G13" s="10">
        <v>0</v>
      </c>
      <c r="H13" s="10">
        <v>1131515.1899999997</v>
      </c>
      <c r="I13" s="10">
        <v>3918313.9900000007</v>
      </c>
      <c r="J13" s="11">
        <v>786</v>
      </c>
      <c r="K13" s="11">
        <v>523</v>
      </c>
      <c r="L13" s="11">
        <v>11</v>
      </c>
    </row>
    <row r="14" spans="1:12" x14ac:dyDescent="0.3">
      <c r="A14" s="9" t="s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1">
        <v>0</v>
      </c>
      <c r="K14" s="11">
        <v>0</v>
      </c>
      <c r="L14" s="11">
        <v>0</v>
      </c>
    </row>
    <row r="15" spans="1:12" x14ac:dyDescent="0.3">
      <c r="A15" s="9" t="s">
        <v>6</v>
      </c>
      <c r="B15" s="10">
        <v>1672016.76</v>
      </c>
      <c r="C15" s="10">
        <v>0</v>
      </c>
      <c r="D15" s="10">
        <v>5989824.7500000009</v>
      </c>
      <c r="E15" s="10">
        <v>0</v>
      </c>
      <c r="F15" s="10">
        <v>84607.939999999988</v>
      </c>
      <c r="G15" s="10">
        <v>0</v>
      </c>
      <c r="H15" s="10">
        <v>1685203.0100000007</v>
      </c>
      <c r="I15" s="10">
        <v>4312.8900000000003</v>
      </c>
      <c r="J15" s="11">
        <v>221</v>
      </c>
      <c r="K15" s="11">
        <v>153</v>
      </c>
      <c r="L15" s="11">
        <v>3</v>
      </c>
    </row>
    <row r="16" spans="1:12" x14ac:dyDescent="0.3">
      <c r="A16" s="9" t="s">
        <v>7</v>
      </c>
      <c r="B16" s="10">
        <v>3388.5099999999998</v>
      </c>
      <c r="C16" s="10">
        <v>0</v>
      </c>
      <c r="D16" s="10">
        <v>118626.19999999998</v>
      </c>
      <c r="E16" s="10">
        <v>0</v>
      </c>
      <c r="F16" s="10">
        <v>1205.07</v>
      </c>
      <c r="G16" s="10">
        <v>0</v>
      </c>
      <c r="H16" s="10">
        <v>979.6</v>
      </c>
      <c r="I16" s="10">
        <v>0</v>
      </c>
      <c r="J16" s="11">
        <v>5</v>
      </c>
      <c r="K16" s="11">
        <v>10</v>
      </c>
      <c r="L16" s="11">
        <v>0</v>
      </c>
    </row>
    <row r="18" spans="1:12" x14ac:dyDescent="0.3">
      <c r="A18" s="12">
        <v>45323</v>
      </c>
    </row>
    <row r="19" spans="1:12" ht="43.2" x14ac:dyDescent="0.3">
      <c r="A19" s="6" t="s">
        <v>4</v>
      </c>
      <c r="B19" s="7" t="s">
        <v>10</v>
      </c>
      <c r="C19" s="7" t="s">
        <v>11</v>
      </c>
      <c r="D19" s="7" t="s">
        <v>12</v>
      </c>
      <c r="E19" s="7" t="s">
        <v>13</v>
      </c>
      <c r="F19" s="7" t="s">
        <v>28</v>
      </c>
      <c r="G19" s="7" t="s">
        <v>27</v>
      </c>
      <c r="H19" s="7" t="s">
        <v>20</v>
      </c>
      <c r="I19" s="7" t="s">
        <v>21</v>
      </c>
      <c r="J19" s="8" t="s">
        <v>18</v>
      </c>
      <c r="K19" s="8" t="s">
        <v>14</v>
      </c>
      <c r="L19" s="8" t="s">
        <v>15</v>
      </c>
    </row>
    <row r="20" spans="1:12" x14ac:dyDescent="0.3">
      <c r="A20" s="9" t="s">
        <v>5</v>
      </c>
      <c r="B20" s="10">
        <v>456137.57000000007</v>
      </c>
      <c r="C20" s="10">
        <v>0</v>
      </c>
      <c r="D20" s="10">
        <v>1806992.0499999993</v>
      </c>
      <c r="E20" s="10">
        <v>0</v>
      </c>
      <c r="F20" s="10">
        <v>4204660.57</v>
      </c>
      <c r="G20" s="10">
        <v>0</v>
      </c>
      <c r="H20" s="10">
        <v>560271.14</v>
      </c>
      <c r="I20" s="10">
        <v>1433906.75</v>
      </c>
      <c r="J20" s="11">
        <v>583</v>
      </c>
      <c r="K20" s="11">
        <v>404</v>
      </c>
      <c r="L20" s="11">
        <v>11</v>
      </c>
    </row>
    <row r="21" spans="1:12" x14ac:dyDescent="0.3">
      <c r="A21" s="9" t="s">
        <v>9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1">
        <v>0</v>
      </c>
      <c r="K21" s="11">
        <v>0</v>
      </c>
      <c r="L21" s="11">
        <v>0</v>
      </c>
    </row>
    <row r="22" spans="1:12" x14ac:dyDescent="0.3">
      <c r="A22" s="9" t="s">
        <v>6</v>
      </c>
      <c r="B22" s="10">
        <v>222453.18999999997</v>
      </c>
      <c r="C22" s="10">
        <v>0</v>
      </c>
      <c r="D22" s="10">
        <v>5748011.950000002</v>
      </c>
      <c r="E22" s="10">
        <v>0</v>
      </c>
      <c r="F22" s="10">
        <v>373240.36999999994</v>
      </c>
      <c r="G22" s="10">
        <v>0</v>
      </c>
      <c r="H22" s="10">
        <v>809628.39000000036</v>
      </c>
      <c r="I22" s="10">
        <v>12328.74</v>
      </c>
      <c r="J22" s="11">
        <v>163</v>
      </c>
      <c r="K22" s="11">
        <v>170</v>
      </c>
      <c r="L22" s="11">
        <v>3</v>
      </c>
    </row>
    <row r="23" spans="1:12" x14ac:dyDescent="0.3">
      <c r="A23" s="9" t="s">
        <v>7</v>
      </c>
      <c r="B23" s="10">
        <v>9218.18</v>
      </c>
      <c r="C23" s="10">
        <v>0</v>
      </c>
      <c r="D23" s="10">
        <v>250724.83000000002</v>
      </c>
      <c r="E23" s="10">
        <v>0</v>
      </c>
      <c r="F23" s="10">
        <v>0</v>
      </c>
      <c r="G23" s="10">
        <v>0</v>
      </c>
      <c r="H23" s="10">
        <v>1760.8</v>
      </c>
      <c r="I23" s="10">
        <v>0</v>
      </c>
      <c r="J23" s="11">
        <v>11</v>
      </c>
      <c r="K23" s="11">
        <v>13</v>
      </c>
      <c r="L23" s="11">
        <v>0</v>
      </c>
    </row>
    <row r="25" spans="1:12" x14ac:dyDescent="0.3">
      <c r="A25" s="12">
        <v>45352</v>
      </c>
    </row>
    <row r="26" spans="1:12" ht="43.2" x14ac:dyDescent="0.3">
      <c r="A26" s="6" t="s">
        <v>4</v>
      </c>
      <c r="B26" s="7" t="s">
        <v>10</v>
      </c>
      <c r="C26" s="7" t="s">
        <v>11</v>
      </c>
      <c r="D26" s="7" t="s">
        <v>12</v>
      </c>
      <c r="E26" s="7" t="s">
        <v>13</v>
      </c>
      <c r="F26" s="7" t="s">
        <v>28</v>
      </c>
      <c r="G26" s="7" t="s">
        <v>27</v>
      </c>
      <c r="H26" s="7" t="s">
        <v>20</v>
      </c>
      <c r="I26" s="7" t="s">
        <v>21</v>
      </c>
      <c r="J26" s="8" t="s">
        <v>18</v>
      </c>
      <c r="K26" s="8" t="s">
        <v>14</v>
      </c>
      <c r="L26" s="8" t="s">
        <v>15</v>
      </c>
    </row>
    <row r="27" spans="1:12" x14ac:dyDescent="0.3">
      <c r="A27" s="9" t="s">
        <v>5</v>
      </c>
      <c r="B27" s="10">
        <v>1446155.1500000004</v>
      </c>
      <c r="C27" s="10">
        <v>0</v>
      </c>
      <c r="D27" s="10">
        <v>1784680.799999998</v>
      </c>
      <c r="E27" s="10">
        <v>0</v>
      </c>
      <c r="F27" s="10">
        <v>3746700.59</v>
      </c>
      <c r="G27" s="10">
        <v>0</v>
      </c>
      <c r="H27" s="10">
        <v>1088989.7200000004</v>
      </c>
      <c r="I27" s="10">
        <v>3969971.03</v>
      </c>
      <c r="J27" s="11">
        <v>576</v>
      </c>
      <c r="K27" s="11">
        <v>473</v>
      </c>
      <c r="L27" s="11">
        <v>9</v>
      </c>
    </row>
    <row r="28" spans="1:12" x14ac:dyDescent="0.3">
      <c r="A28" s="9" t="s">
        <v>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1">
        <v>0</v>
      </c>
      <c r="K28" s="11">
        <v>0</v>
      </c>
      <c r="L28" s="11">
        <v>0</v>
      </c>
    </row>
    <row r="29" spans="1:12" x14ac:dyDescent="0.3">
      <c r="A29" s="9" t="s">
        <v>6</v>
      </c>
      <c r="B29" s="10">
        <v>274308.18000000005</v>
      </c>
      <c r="C29" s="10">
        <v>0</v>
      </c>
      <c r="D29" s="10">
        <v>3191086.1400000006</v>
      </c>
      <c r="E29" s="10">
        <v>0</v>
      </c>
      <c r="F29" s="10">
        <v>91424.880000000019</v>
      </c>
      <c r="G29" s="10">
        <v>0</v>
      </c>
      <c r="H29" s="10">
        <v>506564.73000000016</v>
      </c>
      <c r="I29" s="10">
        <v>69151.89</v>
      </c>
      <c r="J29" s="11">
        <v>176</v>
      </c>
      <c r="K29" s="11">
        <v>171</v>
      </c>
      <c r="L29" s="11">
        <v>5</v>
      </c>
    </row>
    <row r="30" spans="1:12" x14ac:dyDescent="0.3">
      <c r="A30" s="9" t="s">
        <v>7</v>
      </c>
      <c r="B30" s="10">
        <v>468.62</v>
      </c>
      <c r="C30" s="10">
        <v>0</v>
      </c>
      <c r="D30" s="10">
        <v>528573.26999999979</v>
      </c>
      <c r="E30" s="10">
        <v>0</v>
      </c>
      <c r="F30" s="10">
        <v>0</v>
      </c>
      <c r="G30" s="10">
        <v>0</v>
      </c>
      <c r="H30" s="10">
        <v>353.4</v>
      </c>
      <c r="I30" s="10">
        <v>3125.15</v>
      </c>
      <c r="J30" s="11">
        <v>10</v>
      </c>
      <c r="K30" s="11">
        <v>13</v>
      </c>
      <c r="L30" s="11">
        <v>0</v>
      </c>
    </row>
    <row r="32" spans="1:12" x14ac:dyDescent="0.3">
      <c r="A32" s="12">
        <v>45383</v>
      </c>
    </row>
    <row r="33" spans="1:12" ht="43.2" x14ac:dyDescent="0.3">
      <c r="A33" s="6" t="s">
        <v>4</v>
      </c>
      <c r="B33" s="7" t="s">
        <v>10</v>
      </c>
      <c r="C33" s="7" t="s">
        <v>11</v>
      </c>
      <c r="D33" s="7" t="s">
        <v>12</v>
      </c>
      <c r="E33" s="7" t="s">
        <v>13</v>
      </c>
      <c r="F33" s="7" t="s">
        <v>28</v>
      </c>
      <c r="G33" s="7" t="s">
        <v>27</v>
      </c>
      <c r="H33" s="7" t="s">
        <v>20</v>
      </c>
      <c r="I33" s="7" t="s">
        <v>21</v>
      </c>
      <c r="J33" s="8" t="s">
        <v>18</v>
      </c>
      <c r="K33" s="8" t="s">
        <v>14</v>
      </c>
      <c r="L33" s="8" t="s">
        <v>15</v>
      </c>
    </row>
    <row r="34" spans="1:12" x14ac:dyDescent="0.3">
      <c r="A34" s="9" t="s">
        <v>5</v>
      </c>
      <c r="B34" s="10">
        <v>1115909.1100000003</v>
      </c>
      <c r="C34" s="10">
        <v>0</v>
      </c>
      <c r="D34" s="10">
        <v>2067649.8399999996</v>
      </c>
      <c r="E34" s="10">
        <v>0</v>
      </c>
      <c r="F34" s="10">
        <v>4728494.7300000023</v>
      </c>
      <c r="G34" s="10">
        <v>0</v>
      </c>
      <c r="H34" s="10">
        <v>1002068.3500000001</v>
      </c>
      <c r="I34" s="10">
        <v>3374557.7600000012</v>
      </c>
      <c r="J34" s="11">
        <v>635</v>
      </c>
      <c r="K34" s="11">
        <v>471</v>
      </c>
      <c r="L34" s="11">
        <v>13</v>
      </c>
    </row>
    <row r="35" spans="1:12" x14ac:dyDescent="0.3">
      <c r="A35" s="9" t="s">
        <v>9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1">
        <v>0</v>
      </c>
      <c r="K35" s="11">
        <v>0</v>
      </c>
      <c r="L35" s="11">
        <v>0</v>
      </c>
    </row>
    <row r="36" spans="1:12" x14ac:dyDescent="0.3">
      <c r="A36" s="9" t="s">
        <v>6</v>
      </c>
      <c r="B36" s="10">
        <v>237021.31999999998</v>
      </c>
      <c r="C36" s="10">
        <v>0</v>
      </c>
      <c r="D36" s="10">
        <v>4586921.6400000006</v>
      </c>
      <c r="E36" s="10">
        <v>0</v>
      </c>
      <c r="F36" s="10">
        <v>159605.41999999998</v>
      </c>
      <c r="G36" s="10">
        <v>0</v>
      </c>
      <c r="H36" s="10">
        <v>630058.82999999996</v>
      </c>
      <c r="I36" s="10">
        <v>286673.59999999998</v>
      </c>
      <c r="J36" s="11">
        <v>166</v>
      </c>
      <c r="K36" s="11">
        <v>142</v>
      </c>
      <c r="L36" s="11">
        <v>4</v>
      </c>
    </row>
    <row r="37" spans="1:12" x14ac:dyDescent="0.3">
      <c r="A37" s="9" t="s">
        <v>7</v>
      </c>
      <c r="B37" s="10">
        <v>36905.86</v>
      </c>
      <c r="C37" s="10">
        <v>0</v>
      </c>
      <c r="D37" s="10">
        <v>187387.31000000006</v>
      </c>
      <c r="E37" s="10">
        <v>0</v>
      </c>
      <c r="F37" s="10">
        <v>0</v>
      </c>
      <c r="G37" s="10">
        <v>0</v>
      </c>
      <c r="H37" s="10">
        <v>6151.61</v>
      </c>
      <c r="I37" s="10">
        <v>0</v>
      </c>
      <c r="J37" s="11">
        <v>3</v>
      </c>
      <c r="K37" s="11">
        <v>11</v>
      </c>
      <c r="L37" s="11">
        <v>0</v>
      </c>
    </row>
    <row r="39" spans="1:12" x14ac:dyDescent="0.3">
      <c r="A39" s="12">
        <v>45413</v>
      </c>
    </row>
    <row r="40" spans="1:12" ht="43.2" x14ac:dyDescent="0.3">
      <c r="A40" s="6" t="s">
        <v>4</v>
      </c>
      <c r="B40" s="7" t="s">
        <v>10</v>
      </c>
      <c r="C40" s="7" t="s">
        <v>11</v>
      </c>
      <c r="D40" s="7" t="s">
        <v>12</v>
      </c>
      <c r="E40" s="7" t="s">
        <v>13</v>
      </c>
      <c r="F40" s="7" t="s">
        <v>28</v>
      </c>
      <c r="G40" s="7" t="s">
        <v>27</v>
      </c>
      <c r="H40" s="7" t="s">
        <v>20</v>
      </c>
      <c r="I40" s="7" t="s">
        <v>21</v>
      </c>
      <c r="J40" s="8" t="s">
        <v>18</v>
      </c>
      <c r="K40" s="8" t="s">
        <v>14</v>
      </c>
      <c r="L40" s="8" t="s">
        <v>15</v>
      </c>
    </row>
    <row r="41" spans="1:12" x14ac:dyDescent="0.3">
      <c r="A41" s="9" t="s">
        <v>5</v>
      </c>
      <c r="B41" s="10">
        <v>2135947.3199999994</v>
      </c>
      <c r="C41" s="10">
        <v>0</v>
      </c>
      <c r="D41" s="10">
        <v>1608159.01</v>
      </c>
      <c r="E41" s="10">
        <v>0</v>
      </c>
      <c r="F41" s="10">
        <v>6456000.3200000012</v>
      </c>
      <c r="G41" s="10">
        <v>0</v>
      </c>
      <c r="H41" s="10">
        <v>1185717.6300000001</v>
      </c>
      <c r="I41" s="10">
        <v>3528116.56</v>
      </c>
      <c r="J41" s="11">
        <v>639</v>
      </c>
      <c r="K41" s="11">
        <v>472</v>
      </c>
      <c r="L41" s="11">
        <v>7</v>
      </c>
    </row>
    <row r="42" spans="1:12" x14ac:dyDescent="0.3">
      <c r="A42" s="9" t="s">
        <v>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1">
        <v>0</v>
      </c>
      <c r="K42" s="11">
        <v>0</v>
      </c>
      <c r="L42" s="11">
        <v>0</v>
      </c>
    </row>
    <row r="43" spans="1:12" x14ac:dyDescent="0.3">
      <c r="A43" s="9" t="s">
        <v>6</v>
      </c>
      <c r="B43" s="10">
        <v>583588.51</v>
      </c>
      <c r="C43" s="10">
        <v>0</v>
      </c>
      <c r="D43" s="10">
        <v>3369595.350000001</v>
      </c>
      <c r="E43" s="10">
        <v>0</v>
      </c>
      <c r="F43" s="10">
        <v>411502.49999999983</v>
      </c>
      <c r="G43" s="10">
        <v>0</v>
      </c>
      <c r="H43" s="10">
        <v>834572.69000000018</v>
      </c>
      <c r="I43" s="10">
        <v>173357.87</v>
      </c>
      <c r="J43" s="11">
        <v>133</v>
      </c>
      <c r="K43" s="11">
        <v>160</v>
      </c>
      <c r="L43" s="11">
        <v>0</v>
      </c>
    </row>
    <row r="44" spans="1:12" x14ac:dyDescent="0.3">
      <c r="A44" s="9" t="s">
        <v>7</v>
      </c>
      <c r="B44" s="10">
        <v>0</v>
      </c>
      <c r="C44" s="10">
        <v>0</v>
      </c>
      <c r="D44" s="10">
        <v>202986.93</v>
      </c>
      <c r="E44" s="10">
        <v>0</v>
      </c>
      <c r="F44" s="10">
        <v>62.81</v>
      </c>
      <c r="G44" s="10">
        <v>0</v>
      </c>
      <c r="H44" s="10">
        <v>3476.67</v>
      </c>
      <c r="I44" s="10">
        <v>10604.12</v>
      </c>
      <c r="J44" s="11">
        <v>3</v>
      </c>
      <c r="K44" s="11">
        <v>6</v>
      </c>
      <c r="L44" s="11">
        <v>0</v>
      </c>
    </row>
    <row r="46" spans="1:12" x14ac:dyDescent="0.3">
      <c r="A46" s="12">
        <v>45444</v>
      </c>
    </row>
    <row r="47" spans="1:12" ht="43.2" x14ac:dyDescent="0.3">
      <c r="A47" s="6" t="s">
        <v>4</v>
      </c>
      <c r="B47" s="7" t="s">
        <v>10</v>
      </c>
      <c r="C47" s="7" t="s">
        <v>11</v>
      </c>
      <c r="D47" s="7" t="s">
        <v>12</v>
      </c>
      <c r="E47" s="7" t="s">
        <v>13</v>
      </c>
      <c r="F47" s="7" t="s">
        <v>28</v>
      </c>
      <c r="G47" s="7" t="s">
        <v>27</v>
      </c>
      <c r="H47" s="7" t="s">
        <v>20</v>
      </c>
      <c r="I47" s="7" t="s">
        <v>21</v>
      </c>
      <c r="J47" s="8" t="s">
        <v>18</v>
      </c>
      <c r="K47" s="8" t="s">
        <v>14</v>
      </c>
      <c r="L47" s="8" t="s">
        <v>15</v>
      </c>
    </row>
    <row r="48" spans="1:12" x14ac:dyDescent="0.3">
      <c r="A48" s="9" t="s">
        <v>5</v>
      </c>
      <c r="B48" s="10">
        <v>648986.99000000022</v>
      </c>
      <c r="C48" s="10">
        <v>0</v>
      </c>
      <c r="D48" s="10">
        <v>1528572.0399999998</v>
      </c>
      <c r="E48" s="10">
        <v>0</v>
      </c>
      <c r="F48" s="10">
        <v>5273055.1799999978</v>
      </c>
      <c r="G48" s="10">
        <v>0</v>
      </c>
      <c r="H48" s="10">
        <v>799015.36000000022</v>
      </c>
      <c r="I48" s="10">
        <v>2252671.91</v>
      </c>
      <c r="J48" s="11">
        <v>572</v>
      </c>
      <c r="K48" s="11">
        <v>421</v>
      </c>
      <c r="L48" s="11">
        <v>9</v>
      </c>
    </row>
    <row r="49" spans="1:12" x14ac:dyDescent="0.3">
      <c r="A49" s="9" t="s">
        <v>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1">
        <v>0</v>
      </c>
      <c r="K49" s="11">
        <v>0</v>
      </c>
      <c r="L49" s="11">
        <v>0</v>
      </c>
    </row>
    <row r="50" spans="1:12" x14ac:dyDescent="0.3">
      <c r="A50" s="9" t="s">
        <v>6</v>
      </c>
      <c r="B50" s="10">
        <v>705090.38</v>
      </c>
      <c r="C50" s="10">
        <v>0</v>
      </c>
      <c r="D50" s="10">
        <v>3736443.5300000003</v>
      </c>
      <c r="E50" s="10">
        <v>0</v>
      </c>
      <c r="F50" s="10">
        <v>588832.05999999994</v>
      </c>
      <c r="G50" s="10">
        <v>0</v>
      </c>
      <c r="H50" s="10">
        <v>854482.13999999966</v>
      </c>
      <c r="I50" s="10">
        <v>2960.89</v>
      </c>
      <c r="J50" s="11">
        <v>118</v>
      </c>
      <c r="K50" s="11">
        <v>131</v>
      </c>
      <c r="L50" s="11">
        <v>3</v>
      </c>
    </row>
    <row r="51" spans="1:12" x14ac:dyDescent="0.3">
      <c r="A51" s="9" t="s">
        <v>7</v>
      </c>
      <c r="B51" s="10">
        <v>4668.68</v>
      </c>
      <c r="C51" s="10">
        <v>0</v>
      </c>
      <c r="D51" s="10">
        <v>102570.03</v>
      </c>
      <c r="E51" s="10">
        <v>0</v>
      </c>
      <c r="F51" s="10">
        <v>1133.72</v>
      </c>
      <c r="G51" s="10">
        <v>0</v>
      </c>
      <c r="H51" s="10">
        <v>1943.34</v>
      </c>
      <c r="I51" s="10">
        <v>0</v>
      </c>
      <c r="J51" s="11">
        <v>2</v>
      </c>
      <c r="K51" s="11">
        <v>6</v>
      </c>
      <c r="L51" s="11">
        <v>0</v>
      </c>
    </row>
    <row r="53" spans="1:12" x14ac:dyDescent="0.3">
      <c r="A53" s="12">
        <v>45474</v>
      </c>
    </row>
    <row r="54" spans="1:12" ht="33" customHeight="1" x14ac:dyDescent="0.3">
      <c r="A54" s="6" t="s">
        <v>4</v>
      </c>
      <c r="B54" s="7" t="s">
        <v>10</v>
      </c>
      <c r="C54" s="7" t="s">
        <v>11</v>
      </c>
      <c r="D54" s="7" t="s">
        <v>12</v>
      </c>
      <c r="E54" s="7" t="s">
        <v>13</v>
      </c>
      <c r="F54" s="7" t="s">
        <v>28</v>
      </c>
      <c r="G54" s="7" t="s">
        <v>27</v>
      </c>
      <c r="H54" s="7" t="s">
        <v>20</v>
      </c>
      <c r="I54" s="7" t="s">
        <v>21</v>
      </c>
      <c r="J54" s="8" t="s">
        <v>18</v>
      </c>
      <c r="K54" s="8" t="s">
        <v>14</v>
      </c>
      <c r="L54" s="8" t="s">
        <v>15</v>
      </c>
    </row>
    <row r="55" spans="1:12" x14ac:dyDescent="0.3">
      <c r="A55" s="9" t="s">
        <v>5</v>
      </c>
      <c r="B55" s="10">
        <v>1129733.6699999997</v>
      </c>
      <c r="C55" s="10">
        <v>0</v>
      </c>
      <c r="D55" s="10">
        <v>1664449.5299999984</v>
      </c>
      <c r="E55" s="10">
        <v>0</v>
      </c>
      <c r="F55" s="10">
        <v>3623134.7700000009</v>
      </c>
      <c r="G55" s="10">
        <v>0</v>
      </c>
      <c r="H55" s="10">
        <v>875596.00000000035</v>
      </c>
      <c r="I55" s="10">
        <v>2649912.8299999991</v>
      </c>
      <c r="J55" s="11">
        <v>583</v>
      </c>
      <c r="K55" s="11">
        <v>390</v>
      </c>
      <c r="L55" s="11">
        <v>6</v>
      </c>
    </row>
    <row r="56" spans="1:12" x14ac:dyDescent="0.3">
      <c r="A56" s="9" t="s">
        <v>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1">
        <v>0</v>
      </c>
      <c r="K56" s="11">
        <v>0</v>
      </c>
      <c r="L56" s="11">
        <v>0</v>
      </c>
    </row>
    <row r="57" spans="1:12" x14ac:dyDescent="0.3">
      <c r="A57" s="9" t="s">
        <v>6</v>
      </c>
      <c r="B57" s="10">
        <v>501227.8</v>
      </c>
      <c r="C57" s="10">
        <v>0</v>
      </c>
      <c r="D57" s="10">
        <v>3006466.7199999988</v>
      </c>
      <c r="E57" s="10">
        <v>0</v>
      </c>
      <c r="F57" s="10">
        <v>183030.06000000003</v>
      </c>
      <c r="G57" s="10">
        <v>0</v>
      </c>
      <c r="H57" s="10">
        <v>550684.74000000011</v>
      </c>
      <c r="I57" s="10">
        <v>0</v>
      </c>
      <c r="J57" s="11">
        <v>143</v>
      </c>
      <c r="K57" s="11">
        <v>116</v>
      </c>
      <c r="L57" s="11">
        <v>0</v>
      </c>
    </row>
    <row r="58" spans="1:12" x14ac:dyDescent="0.3">
      <c r="A58" s="9" t="s">
        <v>7</v>
      </c>
      <c r="B58" s="10">
        <v>14477.32</v>
      </c>
      <c r="C58" s="10">
        <v>0</v>
      </c>
      <c r="D58" s="10">
        <v>262491.62</v>
      </c>
      <c r="E58" s="10">
        <v>0</v>
      </c>
      <c r="F58" s="10">
        <v>5426.61</v>
      </c>
      <c r="G58" s="10">
        <v>0</v>
      </c>
      <c r="H58" s="10">
        <v>3636.19</v>
      </c>
      <c r="I58" s="10">
        <v>0</v>
      </c>
      <c r="J58" s="11">
        <v>1</v>
      </c>
      <c r="K58" s="11">
        <v>10</v>
      </c>
      <c r="L58" s="11">
        <v>0</v>
      </c>
    </row>
    <row r="60" spans="1:12" x14ac:dyDescent="0.3">
      <c r="A60" s="12">
        <v>45505</v>
      </c>
    </row>
    <row r="61" spans="1:12" ht="43.2" x14ac:dyDescent="0.3">
      <c r="A61" s="6" t="s">
        <v>4</v>
      </c>
      <c r="B61" s="7" t="s">
        <v>10</v>
      </c>
      <c r="C61" s="7" t="s">
        <v>11</v>
      </c>
      <c r="D61" s="7" t="s">
        <v>12</v>
      </c>
      <c r="E61" s="7" t="s">
        <v>13</v>
      </c>
      <c r="F61" s="7" t="s">
        <v>28</v>
      </c>
      <c r="G61" s="7" t="s">
        <v>27</v>
      </c>
      <c r="H61" s="7" t="s">
        <v>20</v>
      </c>
      <c r="I61" s="7" t="s">
        <v>21</v>
      </c>
      <c r="J61" s="8" t="s">
        <v>18</v>
      </c>
      <c r="K61" s="8" t="s">
        <v>14</v>
      </c>
      <c r="L61" s="8" t="s">
        <v>15</v>
      </c>
    </row>
    <row r="62" spans="1:12" x14ac:dyDescent="0.3">
      <c r="A62" s="9" t="s">
        <v>5</v>
      </c>
      <c r="B62" s="10">
        <v>2090290.6700000004</v>
      </c>
      <c r="C62" s="10">
        <v>0</v>
      </c>
      <c r="D62" s="10">
        <v>1427214.4100000008</v>
      </c>
      <c r="E62" s="10">
        <v>0</v>
      </c>
      <c r="F62" s="10">
        <v>4214703.6699999981</v>
      </c>
      <c r="G62" s="10">
        <v>0</v>
      </c>
      <c r="H62" s="10">
        <v>1317703.4700000002</v>
      </c>
      <c r="I62" s="10">
        <v>3940128.4500000007</v>
      </c>
      <c r="J62" s="11">
        <v>536</v>
      </c>
      <c r="K62" s="11">
        <v>393</v>
      </c>
      <c r="L62" s="11">
        <v>6</v>
      </c>
    </row>
    <row r="63" spans="1:12" x14ac:dyDescent="0.3">
      <c r="A63" s="9" t="s">
        <v>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1">
        <v>0</v>
      </c>
      <c r="K63" s="11">
        <v>0</v>
      </c>
      <c r="L63" s="11">
        <v>0</v>
      </c>
    </row>
    <row r="64" spans="1:12" x14ac:dyDescent="0.3">
      <c r="A64" s="9" t="s">
        <v>6</v>
      </c>
      <c r="B64" s="10">
        <v>288095.86000000004</v>
      </c>
      <c r="C64" s="10">
        <v>0</v>
      </c>
      <c r="D64" s="10">
        <v>3805518.6299999985</v>
      </c>
      <c r="E64" s="10">
        <v>0</v>
      </c>
      <c r="F64" s="10">
        <v>379037.46999999991</v>
      </c>
      <c r="G64" s="10">
        <v>0</v>
      </c>
      <c r="H64" s="10">
        <v>573628.38</v>
      </c>
      <c r="I64" s="10">
        <v>6285.55</v>
      </c>
      <c r="J64" s="11">
        <v>129</v>
      </c>
      <c r="K64" s="11">
        <v>142</v>
      </c>
      <c r="L64" s="11">
        <v>0</v>
      </c>
    </row>
    <row r="65" spans="1:15" x14ac:dyDescent="0.3">
      <c r="A65" s="9" t="s">
        <v>7</v>
      </c>
      <c r="B65" s="10">
        <v>8609.41</v>
      </c>
      <c r="C65" s="10">
        <v>0</v>
      </c>
      <c r="D65" s="10">
        <v>58875.11</v>
      </c>
      <c r="E65" s="10">
        <v>0</v>
      </c>
      <c r="F65" s="10">
        <v>2871.1400000000003</v>
      </c>
      <c r="G65" s="10">
        <v>0</v>
      </c>
      <c r="H65" s="10">
        <v>3113.82</v>
      </c>
      <c r="I65" s="10">
        <v>0</v>
      </c>
      <c r="J65" s="11">
        <v>7</v>
      </c>
      <c r="K65" s="11">
        <v>5</v>
      </c>
      <c r="L65" s="11">
        <v>0</v>
      </c>
    </row>
    <row r="67" spans="1:15" x14ac:dyDescent="0.3">
      <c r="A67" s="12">
        <v>45536</v>
      </c>
    </row>
    <row r="68" spans="1:15" ht="43.2" x14ac:dyDescent="0.3">
      <c r="A68" s="6" t="s">
        <v>4</v>
      </c>
      <c r="B68" s="7" t="s">
        <v>10</v>
      </c>
      <c r="C68" s="7" t="s">
        <v>11</v>
      </c>
      <c r="D68" s="7" t="s">
        <v>12</v>
      </c>
      <c r="E68" s="7" t="s">
        <v>13</v>
      </c>
      <c r="F68" s="7" t="s">
        <v>28</v>
      </c>
      <c r="G68" s="7" t="s">
        <v>27</v>
      </c>
      <c r="H68" s="7" t="s">
        <v>20</v>
      </c>
      <c r="I68" s="7" t="s">
        <v>21</v>
      </c>
      <c r="J68" s="8" t="s">
        <v>18</v>
      </c>
      <c r="K68" s="8" t="s">
        <v>14</v>
      </c>
      <c r="L68" s="8" t="s">
        <v>15</v>
      </c>
    </row>
    <row r="69" spans="1:15" x14ac:dyDescent="0.3">
      <c r="A69" s="9" t="s">
        <v>5</v>
      </c>
      <c r="B69" s="10">
        <v>1103783.51</v>
      </c>
      <c r="C69" s="10">
        <v>0</v>
      </c>
      <c r="D69" s="10">
        <v>1410179.3599999987</v>
      </c>
      <c r="E69" s="10">
        <v>0</v>
      </c>
      <c r="F69" s="10">
        <v>2072476.5199999996</v>
      </c>
      <c r="G69" s="10">
        <v>0</v>
      </c>
      <c r="H69" s="10">
        <v>948504.85000000009</v>
      </c>
      <c r="I69" s="10">
        <v>1962805.5500000005</v>
      </c>
      <c r="J69" s="11">
        <v>463</v>
      </c>
      <c r="K69" s="11">
        <v>392</v>
      </c>
      <c r="L69" s="11">
        <v>4</v>
      </c>
    </row>
    <row r="70" spans="1:15" x14ac:dyDescent="0.3">
      <c r="A70" s="9" t="s">
        <v>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1">
        <v>0</v>
      </c>
      <c r="K70" s="11">
        <v>0</v>
      </c>
      <c r="L70" s="11">
        <v>0</v>
      </c>
    </row>
    <row r="71" spans="1:15" x14ac:dyDescent="0.3">
      <c r="A71" s="9" t="s">
        <v>6</v>
      </c>
      <c r="B71" s="10">
        <v>514390.47</v>
      </c>
      <c r="C71" s="10">
        <v>0</v>
      </c>
      <c r="D71" s="10">
        <v>1835777.1700000002</v>
      </c>
      <c r="E71" s="10">
        <v>0</v>
      </c>
      <c r="F71" s="10">
        <v>179828.29</v>
      </c>
      <c r="G71" s="10">
        <v>0</v>
      </c>
      <c r="H71" s="10">
        <v>368329.62</v>
      </c>
      <c r="I71" s="10">
        <v>120189.37</v>
      </c>
      <c r="J71" s="11">
        <v>146</v>
      </c>
      <c r="K71" s="11">
        <v>108</v>
      </c>
      <c r="L71" s="11">
        <v>1</v>
      </c>
    </row>
    <row r="72" spans="1:15" x14ac:dyDescent="0.3">
      <c r="A72" s="9" t="s">
        <v>7</v>
      </c>
      <c r="B72" s="10">
        <v>0</v>
      </c>
      <c r="C72" s="10">
        <v>0</v>
      </c>
      <c r="D72" s="10">
        <v>107829.82</v>
      </c>
      <c r="E72" s="10">
        <v>0</v>
      </c>
      <c r="F72" s="10">
        <v>8343.34</v>
      </c>
      <c r="G72" s="10">
        <v>0</v>
      </c>
      <c r="H72" s="10">
        <v>0</v>
      </c>
      <c r="I72" s="10">
        <v>0</v>
      </c>
      <c r="J72" s="11">
        <v>4</v>
      </c>
      <c r="K72" s="11">
        <v>3</v>
      </c>
      <c r="L72" s="11">
        <v>0</v>
      </c>
    </row>
    <row r="74" spans="1:15" x14ac:dyDescent="0.3">
      <c r="A74" s="12">
        <v>45566</v>
      </c>
    </row>
    <row r="75" spans="1:15" ht="43.2" x14ac:dyDescent="0.3">
      <c r="A75" s="6" t="s">
        <v>4</v>
      </c>
      <c r="B75" s="7" t="s">
        <v>10</v>
      </c>
      <c r="C75" s="7" t="s">
        <v>11</v>
      </c>
      <c r="D75" s="7" t="s">
        <v>12</v>
      </c>
      <c r="E75" s="7" t="s">
        <v>13</v>
      </c>
      <c r="F75" s="7" t="s">
        <v>28</v>
      </c>
      <c r="G75" s="7" t="s">
        <v>27</v>
      </c>
      <c r="H75" s="7" t="s">
        <v>20</v>
      </c>
      <c r="I75" s="7" t="s">
        <v>21</v>
      </c>
      <c r="J75" s="8" t="s">
        <v>18</v>
      </c>
      <c r="K75" s="8" t="s">
        <v>14</v>
      </c>
      <c r="L75" s="8" t="s">
        <v>15</v>
      </c>
    </row>
    <row r="76" spans="1:15" s="19" customFormat="1" x14ac:dyDescent="0.3">
      <c r="A76" s="16" t="s">
        <v>5</v>
      </c>
      <c r="B76" s="17">
        <v>777222.21</v>
      </c>
      <c r="C76" s="17">
        <v>0</v>
      </c>
      <c r="D76" s="17">
        <v>1935004.6699999985</v>
      </c>
      <c r="E76" s="17">
        <v>0</v>
      </c>
      <c r="F76" s="17">
        <v>8358050.7500000019</v>
      </c>
      <c r="G76" s="17">
        <v>0</v>
      </c>
      <c r="H76" s="17">
        <v>1290936.5599999996</v>
      </c>
      <c r="I76" s="17">
        <v>3684768.0100000012</v>
      </c>
      <c r="J76" s="18">
        <v>573</v>
      </c>
      <c r="K76" s="18">
        <v>435</v>
      </c>
      <c r="L76" s="18">
        <v>9</v>
      </c>
      <c r="M76" s="20">
        <f>J76+L76</f>
        <v>582</v>
      </c>
    </row>
    <row r="77" spans="1:15" x14ac:dyDescent="0.3">
      <c r="A77" s="9" t="s">
        <v>9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1">
        <v>0</v>
      </c>
      <c r="K77" s="11">
        <v>0</v>
      </c>
      <c r="L77" s="11">
        <v>0</v>
      </c>
    </row>
    <row r="78" spans="1:15" x14ac:dyDescent="0.3">
      <c r="A78" s="9" t="s">
        <v>6</v>
      </c>
      <c r="B78" s="10">
        <v>321516.44</v>
      </c>
      <c r="C78" s="10">
        <v>0</v>
      </c>
      <c r="D78" s="10">
        <v>3299506.5099999974</v>
      </c>
      <c r="E78" s="10">
        <v>0</v>
      </c>
      <c r="F78" s="10">
        <v>278992.99999999994</v>
      </c>
      <c r="G78" s="10">
        <v>0</v>
      </c>
      <c r="H78" s="10">
        <v>1066718.54</v>
      </c>
      <c r="I78" s="10">
        <v>0</v>
      </c>
      <c r="J78" s="11">
        <v>171</v>
      </c>
      <c r="K78" s="11">
        <v>109</v>
      </c>
      <c r="L78" s="11">
        <v>0</v>
      </c>
      <c r="O78" s="3">
        <f>751+9</f>
        <v>760</v>
      </c>
    </row>
    <row r="79" spans="1:15" x14ac:dyDescent="0.3">
      <c r="A79" s="9" t="s">
        <v>7</v>
      </c>
      <c r="B79" s="10">
        <v>59339.76</v>
      </c>
      <c r="C79" s="10">
        <v>0</v>
      </c>
      <c r="D79" s="10">
        <v>264274.83</v>
      </c>
      <c r="E79" s="10">
        <v>0</v>
      </c>
      <c r="F79" s="10">
        <v>10375.709999999999</v>
      </c>
      <c r="G79" s="10">
        <v>0</v>
      </c>
      <c r="H79" s="10">
        <v>2684.6</v>
      </c>
      <c r="I79" s="10">
        <v>0</v>
      </c>
      <c r="J79" s="11">
        <v>7</v>
      </c>
      <c r="K79" s="11">
        <v>2</v>
      </c>
      <c r="L79" s="11">
        <v>0</v>
      </c>
    </row>
    <row r="81" spans="1:15" x14ac:dyDescent="0.3">
      <c r="A81" s="12">
        <v>45597</v>
      </c>
    </row>
    <row r="82" spans="1:15" ht="43.2" x14ac:dyDescent="0.3">
      <c r="A82" s="6" t="s">
        <v>4</v>
      </c>
      <c r="B82" s="7" t="s">
        <v>10</v>
      </c>
      <c r="C82" s="7" t="s">
        <v>11</v>
      </c>
      <c r="D82" s="7" t="s">
        <v>12</v>
      </c>
      <c r="E82" s="7" t="s">
        <v>13</v>
      </c>
      <c r="F82" s="7" t="s">
        <v>28</v>
      </c>
      <c r="G82" s="7" t="s">
        <v>27</v>
      </c>
      <c r="H82" s="7" t="s">
        <v>20</v>
      </c>
      <c r="I82" s="7" t="s">
        <v>21</v>
      </c>
      <c r="J82" s="8" t="s">
        <v>18</v>
      </c>
      <c r="K82" s="8" t="s">
        <v>14</v>
      </c>
      <c r="L82" s="8" t="s">
        <v>15</v>
      </c>
    </row>
    <row r="83" spans="1:15" s="19" customFormat="1" x14ac:dyDescent="0.3">
      <c r="A83" s="16" t="s">
        <v>5</v>
      </c>
      <c r="B83" s="17">
        <v>1024246.2499999999</v>
      </c>
      <c r="C83" s="17">
        <v>0</v>
      </c>
      <c r="D83" s="17">
        <v>1567329.5899999987</v>
      </c>
      <c r="E83" s="17">
        <v>0</v>
      </c>
      <c r="F83" s="17">
        <v>7590565.120000001</v>
      </c>
      <c r="G83" s="17">
        <v>0</v>
      </c>
      <c r="H83" s="17">
        <v>753980.98999999964</v>
      </c>
      <c r="I83" s="17">
        <v>2521944.21</v>
      </c>
      <c r="J83" s="18">
        <v>531</v>
      </c>
      <c r="K83" s="18">
        <v>327</v>
      </c>
      <c r="L83" s="18">
        <v>5</v>
      </c>
      <c r="M83" s="20">
        <f>J83+L83</f>
        <v>536</v>
      </c>
    </row>
    <row r="84" spans="1:15" x14ac:dyDescent="0.3">
      <c r="A84" s="9" t="s">
        <v>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1">
        <v>0</v>
      </c>
      <c r="K84" s="11">
        <v>0</v>
      </c>
      <c r="L84" s="11">
        <v>0</v>
      </c>
    </row>
    <row r="85" spans="1:15" x14ac:dyDescent="0.3">
      <c r="A85" s="9" t="s">
        <v>6</v>
      </c>
      <c r="B85" s="10">
        <v>761484.64</v>
      </c>
      <c r="C85" s="10">
        <v>0</v>
      </c>
      <c r="D85" s="10">
        <v>2263477.1599999997</v>
      </c>
      <c r="E85" s="10">
        <v>0</v>
      </c>
      <c r="F85" s="10">
        <v>1281063.8800000001</v>
      </c>
      <c r="G85" s="10">
        <v>0</v>
      </c>
      <c r="H85" s="10">
        <v>526199.50000000012</v>
      </c>
      <c r="I85" s="10">
        <v>266103.67</v>
      </c>
      <c r="J85" s="11">
        <v>132</v>
      </c>
      <c r="K85" s="11">
        <v>103</v>
      </c>
      <c r="L85" s="11">
        <v>2</v>
      </c>
      <c r="O85" s="3">
        <f>664+7</f>
        <v>671</v>
      </c>
    </row>
    <row r="86" spans="1:15" x14ac:dyDescent="0.3">
      <c r="A86" s="9" t="s">
        <v>7</v>
      </c>
      <c r="B86" s="10">
        <v>0</v>
      </c>
      <c r="C86" s="10">
        <v>0</v>
      </c>
      <c r="D86" s="10">
        <v>0</v>
      </c>
      <c r="E86" s="10">
        <v>0</v>
      </c>
      <c r="F86" s="10">
        <v>11398.039999999999</v>
      </c>
      <c r="G86" s="10">
        <v>0</v>
      </c>
      <c r="H86" s="10">
        <v>0</v>
      </c>
      <c r="I86" s="10">
        <v>0</v>
      </c>
      <c r="J86" s="11">
        <v>1</v>
      </c>
      <c r="K86" s="11">
        <v>0</v>
      </c>
      <c r="L86" s="11">
        <v>0</v>
      </c>
    </row>
    <row r="88" spans="1:15" x14ac:dyDescent="0.3">
      <c r="A88" s="12">
        <v>45627</v>
      </c>
    </row>
    <row r="89" spans="1:15" ht="43.2" x14ac:dyDescent="0.3">
      <c r="A89" s="6" t="s">
        <v>4</v>
      </c>
      <c r="B89" s="7" t="s">
        <v>10</v>
      </c>
      <c r="C89" s="7" t="s">
        <v>11</v>
      </c>
      <c r="D89" s="7" t="s">
        <v>12</v>
      </c>
      <c r="E89" s="7" t="s">
        <v>13</v>
      </c>
      <c r="F89" s="7" t="s">
        <v>28</v>
      </c>
      <c r="G89" s="7" t="s">
        <v>27</v>
      </c>
      <c r="H89" s="7" t="s">
        <v>20</v>
      </c>
      <c r="I89" s="7" t="s">
        <v>21</v>
      </c>
      <c r="J89" s="8" t="s">
        <v>18</v>
      </c>
      <c r="K89" s="8" t="s">
        <v>14</v>
      </c>
      <c r="L89" s="8" t="s">
        <v>15</v>
      </c>
    </row>
    <row r="90" spans="1:15" s="19" customFormat="1" x14ac:dyDescent="0.3">
      <c r="A90" s="16" t="s">
        <v>5</v>
      </c>
      <c r="B90" s="17">
        <v>1342934.0599999998</v>
      </c>
      <c r="C90" s="17">
        <v>0</v>
      </c>
      <c r="D90" s="17">
        <v>1562905.44</v>
      </c>
      <c r="E90" s="17">
        <v>0</v>
      </c>
      <c r="F90" s="17">
        <v>10184410.880000003</v>
      </c>
      <c r="G90" s="17">
        <v>0</v>
      </c>
      <c r="H90" s="17">
        <v>1257964.6800000004</v>
      </c>
      <c r="I90" s="17">
        <v>4695900.6000000006</v>
      </c>
      <c r="J90" s="18">
        <v>516</v>
      </c>
      <c r="K90" s="18">
        <v>329</v>
      </c>
      <c r="L90" s="18">
        <v>6</v>
      </c>
      <c r="M90" s="20">
        <f>J90+L90</f>
        <v>522</v>
      </c>
    </row>
    <row r="91" spans="1:15" x14ac:dyDescent="0.3">
      <c r="A91" s="9" t="s">
        <v>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1">
        <v>0</v>
      </c>
      <c r="K91" s="11">
        <v>0</v>
      </c>
      <c r="L91" s="11">
        <v>0</v>
      </c>
    </row>
    <row r="92" spans="1:15" x14ac:dyDescent="0.3">
      <c r="A92" s="9" t="s">
        <v>6</v>
      </c>
      <c r="B92" s="10">
        <v>76430.38</v>
      </c>
      <c r="C92" s="10">
        <v>0</v>
      </c>
      <c r="D92" s="10">
        <v>4211579.3500000006</v>
      </c>
      <c r="E92" s="10">
        <v>0</v>
      </c>
      <c r="F92" s="10">
        <v>271546.56000000011</v>
      </c>
      <c r="G92" s="10">
        <v>0</v>
      </c>
      <c r="H92" s="10">
        <v>468149.43999999989</v>
      </c>
      <c r="I92" s="10">
        <v>325059.07999999996</v>
      </c>
      <c r="J92" s="11">
        <v>140</v>
      </c>
      <c r="K92" s="11">
        <v>100</v>
      </c>
      <c r="L92" s="11">
        <v>0</v>
      </c>
    </row>
    <row r="93" spans="1:15" x14ac:dyDescent="0.3">
      <c r="A93" s="9" t="s">
        <v>7</v>
      </c>
      <c r="B93" s="10">
        <v>0</v>
      </c>
      <c r="C93" s="10">
        <v>0</v>
      </c>
      <c r="D93" s="10">
        <v>144381.22</v>
      </c>
      <c r="E93" s="10">
        <v>0</v>
      </c>
      <c r="F93" s="10">
        <v>2255.27</v>
      </c>
      <c r="G93" s="10">
        <v>0</v>
      </c>
      <c r="H93" s="10">
        <v>1096.1600000000001</v>
      </c>
      <c r="I93" s="10">
        <v>0</v>
      </c>
      <c r="J93" s="11">
        <v>1</v>
      </c>
      <c r="K93" s="11">
        <v>3</v>
      </c>
      <c r="L93" s="11">
        <v>0</v>
      </c>
      <c r="O93" s="3">
        <f>657+6</f>
        <v>663</v>
      </c>
    </row>
    <row r="95" spans="1:15" x14ac:dyDescent="0.3">
      <c r="A95" s="3" t="s">
        <v>26</v>
      </c>
      <c r="J95" s="21">
        <f>J76+J83+J90</f>
        <v>1620</v>
      </c>
    </row>
    <row r="96" spans="1:15" x14ac:dyDescent="0.3">
      <c r="J96" s="3">
        <f>6+5+9</f>
        <v>20</v>
      </c>
      <c r="K96" s="14">
        <f>546+430+432</f>
        <v>1408</v>
      </c>
    </row>
    <row r="98" spans="10:10" x14ac:dyDescent="0.3">
      <c r="J98" s="3">
        <f>178+133+141</f>
        <v>452</v>
      </c>
    </row>
    <row r="99" spans="10:10" x14ac:dyDescent="0.3">
      <c r="J99" s="3">
        <f>J98+2</f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CB18-1DF2-4E2D-8120-5D178D38E78B}">
  <dimension ref="A1:M104"/>
  <sheetViews>
    <sheetView tabSelected="1" workbookViewId="0">
      <pane xSplit="1" ySplit="5" topLeftCell="F90" activePane="bottomRight" state="frozen"/>
      <selection pane="topRight" activeCell="B1" sqref="B1"/>
      <selection pane="bottomLeft" activeCell="A6" sqref="A6"/>
      <selection pane="bottomRight" activeCell="K101" sqref="K101"/>
    </sheetView>
  </sheetViews>
  <sheetFormatPr defaultColWidth="40.5546875" defaultRowHeight="14.4" x14ac:dyDescent="0.3"/>
  <cols>
    <col min="1" max="1" width="22" style="3" customWidth="1"/>
    <col min="2" max="9" width="24.21875" style="2" customWidth="1"/>
    <col min="10" max="10" width="24.21875" style="5" customWidth="1"/>
    <col min="11" max="11" width="24.21875" style="15" customWidth="1"/>
    <col min="12" max="12" width="24.21875" style="5" customWidth="1"/>
    <col min="13" max="16384" width="40.5546875" style="3"/>
  </cols>
  <sheetData>
    <row r="1" spans="1:12" x14ac:dyDescent="0.3">
      <c r="A1" s="1" t="s">
        <v>8</v>
      </c>
    </row>
    <row r="2" spans="1:12" x14ac:dyDescent="0.3">
      <c r="A2" s="1" t="s">
        <v>30</v>
      </c>
    </row>
    <row r="3" spans="1:12" x14ac:dyDescent="0.3">
      <c r="A3" s="1" t="s">
        <v>29</v>
      </c>
    </row>
    <row r="4" spans="1:12" x14ac:dyDescent="0.3">
      <c r="A4" s="4" t="s">
        <v>31</v>
      </c>
    </row>
    <row r="5" spans="1:12" ht="43.2" x14ac:dyDescent="0.3">
      <c r="A5" s="6" t="s">
        <v>4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28</v>
      </c>
      <c r="G5" s="7" t="s">
        <v>27</v>
      </c>
      <c r="H5" s="7" t="s">
        <v>20</v>
      </c>
      <c r="I5" s="7" t="s">
        <v>21</v>
      </c>
      <c r="J5" s="8" t="s">
        <v>18</v>
      </c>
      <c r="K5" s="8" t="s">
        <v>14</v>
      </c>
      <c r="L5" s="8" t="s">
        <v>15</v>
      </c>
    </row>
    <row r="6" spans="1:12" x14ac:dyDescent="0.3">
      <c r="A6" s="9" t="s">
        <v>5</v>
      </c>
      <c r="B6" s="10">
        <f t="shared" ref="B6:J6" si="0">SUM(B13,B20,B27,B34,B41,B48,B55,B62,B69,B76,B83,B90)</f>
        <v>1568124.1300000001</v>
      </c>
      <c r="C6" s="10">
        <f t="shared" si="0"/>
        <v>0</v>
      </c>
      <c r="D6" s="10">
        <f t="shared" si="0"/>
        <v>2421358.9999999995</v>
      </c>
      <c r="E6" s="10">
        <f t="shared" si="0"/>
        <v>0</v>
      </c>
      <c r="F6" s="10">
        <f t="shared" si="0"/>
        <v>76456.639999999999</v>
      </c>
      <c r="G6" s="10">
        <f t="shared" si="0"/>
        <v>0</v>
      </c>
      <c r="H6" s="10">
        <f t="shared" si="0"/>
        <v>1025537.47</v>
      </c>
      <c r="I6" s="10">
        <f t="shared" si="0"/>
        <v>2937671.89</v>
      </c>
      <c r="J6" s="11">
        <f t="shared" si="0"/>
        <v>2223</v>
      </c>
      <c r="K6" s="11">
        <f t="shared" ref="K6" si="1">SUM(K13,K20,K27,K34,K41,K48,K55,K62,K69,K76,K83,K90)</f>
        <v>982</v>
      </c>
      <c r="L6" s="11">
        <f>SUM(L13,L20,L27,L34,L41,L48,L55,L62,L69,L76,L83,L90)</f>
        <v>179</v>
      </c>
    </row>
    <row r="7" spans="1:12" x14ac:dyDescent="0.3">
      <c r="A7" s="9" t="s">
        <v>9</v>
      </c>
      <c r="B7" s="10">
        <f t="shared" ref="B7:C9" si="2">SUM(B14,B21,B28,B35,B42,B49,B56,B63,B70,B77,B84,B91)</f>
        <v>0</v>
      </c>
      <c r="C7" s="10">
        <f t="shared" si="2"/>
        <v>0</v>
      </c>
      <c r="D7" s="10">
        <f t="shared" ref="D7:J7" si="3">SUM(D14,D21,D28,D35,D42,D49,D56,D63,D70,D77,D84,D91)</f>
        <v>0</v>
      </c>
      <c r="E7" s="10">
        <f t="shared" si="3"/>
        <v>0</v>
      </c>
      <c r="F7" s="10">
        <f t="shared" si="3"/>
        <v>0</v>
      </c>
      <c r="G7" s="10">
        <f t="shared" si="3"/>
        <v>0</v>
      </c>
      <c r="H7" s="10">
        <f t="shared" si="3"/>
        <v>0</v>
      </c>
      <c r="I7" s="10">
        <f t="shared" si="3"/>
        <v>0</v>
      </c>
      <c r="J7" s="11">
        <f t="shared" si="3"/>
        <v>0</v>
      </c>
      <c r="K7" s="11">
        <f t="shared" ref="K7" si="4">SUM(K14,K21,K28,K35,K42,K49,K56,K63,K70,K77,K84,K91)</f>
        <v>0</v>
      </c>
      <c r="L7" s="11">
        <f t="shared" ref="L7" si="5">SUM(L14,L21,L28,L35,L42,L49,L56,L63,L70,L77,L84,L91)</f>
        <v>0</v>
      </c>
    </row>
    <row r="8" spans="1:12" x14ac:dyDescent="0.3">
      <c r="A8" s="9" t="s">
        <v>6</v>
      </c>
      <c r="B8" s="10">
        <f t="shared" si="2"/>
        <v>815814.25</v>
      </c>
      <c r="C8" s="10">
        <f>SUM(C15,C22,C29,C36,C43,C50,C57,C64,C71,C78,C85,C92)</f>
        <v>0</v>
      </c>
      <c r="D8" s="10">
        <f>SUM(D15,D22,D29,D36,D43,D50,D57,D64,D71,D78,D85,D92)</f>
        <v>7357620.6000000006</v>
      </c>
      <c r="E8" s="10">
        <f t="shared" ref="E8:J8" si="6">SUM(E15,E22,E29,E36,E43,E50,E57,E64,E71,E78,E85,E92)</f>
        <v>0</v>
      </c>
      <c r="F8" s="10">
        <f t="shared" si="6"/>
        <v>510088.18999999994</v>
      </c>
      <c r="G8" s="10">
        <f t="shared" si="6"/>
        <v>0</v>
      </c>
      <c r="H8" s="10">
        <f t="shared" si="6"/>
        <v>1279741.82</v>
      </c>
      <c r="I8" s="10">
        <f t="shared" si="6"/>
        <v>97070.799999999988</v>
      </c>
      <c r="J8" s="11">
        <f t="shared" si="6"/>
        <v>2141</v>
      </c>
      <c r="K8" s="11">
        <f t="shared" ref="K8" si="7">SUM(K15,K22,K29,K36,K43,K50,K57,K64,K71,K78,K85,K92)</f>
        <v>431</v>
      </c>
      <c r="L8" s="11">
        <f t="shared" ref="L8" si="8">SUM(L15,L22,L29,L36,L43,L50,L57,L64,L71,L78,L85,L92)</f>
        <v>47</v>
      </c>
    </row>
    <row r="9" spans="1:12" x14ac:dyDescent="0.3">
      <c r="A9" s="9" t="s">
        <v>7</v>
      </c>
      <c r="B9" s="10">
        <f t="shared" si="2"/>
        <v>34643.81</v>
      </c>
      <c r="C9" s="10">
        <f t="shared" si="2"/>
        <v>0</v>
      </c>
      <c r="D9" s="10">
        <f t="shared" ref="D9:J9" si="9">SUM(D16,D23,D30,D37,D44,D51,D58,D65,D72,D79,D86,D93)</f>
        <v>340326.10000000003</v>
      </c>
      <c r="E9" s="10">
        <f t="shared" si="9"/>
        <v>0</v>
      </c>
      <c r="F9" s="10">
        <f t="shared" si="9"/>
        <v>2311.7800000000002</v>
      </c>
      <c r="G9" s="10">
        <f t="shared" si="9"/>
        <v>0</v>
      </c>
      <c r="H9" s="10">
        <f t="shared" si="9"/>
        <v>7736.54</v>
      </c>
      <c r="I9" s="10">
        <f t="shared" si="9"/>
        <v>7762.76</v>
      </c>
      <c r="J9" s="11">
        <f t="shared" si="9"/>
        <v>112</v>
      </c>
      <c r="K9" s="11">
        <f t="shared" ref="K9" si="10">SUM(K16,K23,K30,K37,K44,K51,K58,K65,K72,K79,K86,K93)</f>
        <v>26</v>
      </c>
      <c r="L9" s="11">
        <f t="shared" ref="L9" si="11">SUM(L16,L23,L30,L37,L44,L51,L58,L65,L72,L79,L86,L93)</f>
        <v>0</v>
      </c>
    </row>
    <row r="11" spans="1:12" x14ac:dyDescent="0.3">
      <c r="A11" s="12">
        <v>45292</v>
      </c>
    </row>
    <row r="12" spans="1:12" ht="43.2" x14ac:dyDescent="0.3">
      <c r="A12" s="6" t="s">
        <v>4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28</v>
      </c>
      <c r="G12" s="7" t="s">
        <v>27</v>
      </c>
      <c r="H12" s="7" t="s">
        <v>20</v>
      </c>
      <c r="I12" s="7" t="s">
        <v>21</v>
      </c>
      <c r="J12" s="8" t="s">
        <v>18</v>
      </c>
      <c r="K12" s="8" t="s">
        <v>14</v>
      </c>
      <c r="L12" s="8" t="s">
        <v>15</v>
      </c>
    </row>
    <row r="13" spans="1:12" x14ac:dyDescent="0.3">
      <c r="A13" s="9" t="s">
        <v>5</v>
      </c>
      <c r="B13" s="10">
        <v>42850.36</v>
      </c>
      <c r="C13" s="10">
        <v>0</v>
      </c>
      <c r="D13" s="10">
        <v>126513.88000000003</v>
      </c>
      <c r="E13" s="10">
        <v>0</v>
      </c>
      <c r="F13" s="10">
        <v>4163.6499999999996</v>
      </c>
      <c r="G13" s="10">
        <v>0</v>
      </c>
      <c r="H13" s="10">
        <v>25576.320000000003</v>
      </c>
      <c r="I13" s="10">
        <v>0</v>
      </c>
      <c r="J13" s="11">
        <v>98</v>
      </c>
      <c r="K13" s="11">
        <v>47</v>
      </c>
      <c r="L13" s="11">
        <v>10</v>
      </c>
    </row>
    <row r="14" spans="1:12" x14ac:dyDescent="0.3">
      <c r="A14" s="9" t="s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1">
        <v>0</v>
      </c>
      <c r="K14" s="11">
        <v>0</v>
      </c>
      <c r="L14" s="11">
        <v>0</v>
      </c>
    </row>
    <row r="15" spans="1:12" x14ac:dyDescent="0.3">
      <c r="A15" s="9" t="s">
        <v>6</v>
      </c>
      <c r="B15" s="10">
        <v>5890.22</v>
      </c>
      <c r="C15" s="10">
        <v>0</v>
      </c>
      <c r="D15" s="10">
        <v>136682.71000000002</v>
      </c>
      <c r="E15" s="10">
        <v>0</v>
      </c>
      <c r="F15" s="10">
        <v>20955.37</v>
      </c>
      <c r="G15" s="10">
        <v>0</v>
      </c>
      <c r="H15" s="10">
        <v>32530.879999999997</v>
      </c>
      <c r="I15" s="10">
        <v>0</v>
      </c>
      <c r="J15" s="11">
        <v>146</v>
      </c>
      <c r="K15" s="11">
        <v>3</v>
      </c>
      <c r="L15" s="11">
        <v>4</v>
      </c>
    </row>
    <row r="16" spans="1:12" x14ac:dyDescent="0.3">
      <c r="A16" s="9" t="s">
        <v>7</v>
      </c>
      <c r="B16" s="10">
        <v>0</v>
      </c>
      <c r="C16" s="10">
        <v>0</v>
      </c>
      <c r="D16" s="10">
        <v>0</v>
      </c>
      <c r="E16" s="10">
        <v>0</v>
      </c>
      <c r="F16" s="10">
        <v>2311.7800000000002</v>
      </c>
      <c r="G16" s="10">
        <v>0</v>
      </c>
      <c r="H16" s="10">
        <v>0</v>
      </c>
      <c r="I16" s="10">
        <v>0</v>
      </c>
      <c r="J16" s="11">
        <v>12</v>
      </c>
      <c r="K16" s="11">
        <v>0</v>
      </c>
      <c r="L16" s="11">
        <v>0</v>
      </c>
    </row>
    <row r="18" spans="1:12" x14ac:dyDescent="0.3">
      <c r="A18" s="12">
        <v>45323</v>
      </c>
    </row>
    <row r="19" spans="1:12" ht="43.2" x14ac:dyDescent="0.3">
      <c r="A19" s="6" t="s">
        <v>4</v>
      </c>
      <c r="B19" s="7" t="s">
        <v>10</v>
      </c>
      <c r="C19" s="7" t="s">
        <v>11</v>
      </c>
      <c r="D19" s="7" t="s">
        <v>12</v>
      </c>
      <c r="E19" s="7" t="s">
        <v>13</v>
      </c>
      <c r="F19" s="7" t="s">
        <v>28</v>
      </c>
      <c r="G19" s="7" t="s">
        <v>27</v>
      </c>
      <c r="H19" s="7" t="s">
        <v>20</v>
      </c>
      <c r="I19" s="7" t="s">
        <v>21</v>
      </c>
      <c r="J19" s="8" t="s">
        <v>18</v>
      </c>
      <c r="K19" s="8" t="s">
        <v>14</v>
      </c>
      <c r="L19" s="8" t="s">
        <v>15</v>
      </c>
    </row>
    <row r="20" spans="1:12" x14ac:dyDescent="0.3">
      <c r="A20" s="9" t="s">
        <v>5</v>
      </c>
      <c r="B20" s="10">
        <v>26556.809999999998</v>
      </c>
      <c r="C20" s="10">
        <v>0</v>
      </c>
      <c r="D20" s="10">
        <v>70076.98</v>
      </c>
      <c r="E20" s="10">
        <v>0</v>
      </c>
      <c r="F20" s="10">
        <v>0</v>
      </c>
      <c r="G20" s="10">
        <v>0</v>
      </c>
      <c r="H20" s="10">
        <v>17009.95</v>
      </c>
      <c r="I20" s="10">
        <v>0</v>
      </c>
      <c r="J20" s="11">
        <v>116</v>
      </c>
      <c r="K20" s="11">
        <v>16</v>
      </c>
      <c r="L20" s="11">
        <v>30</v>
      </c>
    </row>
    <row r="21" spans="1:12" x14ac:dyDescent="0.3">
      <c r="A21" s="9" t="s">
        <v>9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1">
        <v>0</v>
      </c>
      <c r="K21" s="11">
        <v>0</v>
      </c>
      <c r="L21" s="11">
        <v>0</v>
      </c>
    </row>
    <row r="22" spans="1:12" x14ac:dyDescent="0.3">
      <c r="A22" s="9" t="s">
        <v>6</v>
      </c>
      <c r="B22" s="10">
        <v>0</v>
      </c>
      <c r="C22" s="10">
        <v>0</v>
      </c>
      <c r="D22" s="10">
        <v>129244.91</v>
      </c>
      <c r="E22" s="10">
        <v>0</v>
      </c>
      <c r="F22" s="10">
        <v>0</v>
      </c>
      <c r="G22" s="10">
        <v>0</v>
      </c>
      <c r="H22" s="10">
        <v>2549.7199999999998</v>
      </c>
      <c r="I22" s="10">
        <v>0</v>
      </c>
      <c r="J22" s="11">
        <v>189</v>
      </c>
      <c r="K22" s="11">
        <v>3</v>
      </c>
      <c r="L22" s="11">
        <v>7</v>
      </c>
    </row>
    <row r="23" spans="1:12" x14ac:dyDescent="0.3">
      <c r="A23" s="9" t="s">
        <v>7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1">
        <v>13</v>
      </c>
      <c r="K23" s="11">
        <v>0</v>
      </c>
      <c r="L23" s="11">
        <v>0</v>
      </c>
    </row>
    <row r="25" spans="1:12" x14ac:dyDescent="0.3">
      <c r="A25" s="12">
        <v>45352</v>
      </c>
    </row>
    <row r="26" spans="1:12" ht="43.2" x14ac:dyDescent="0.3">
      <c r="A26" s="6" t="s">
        <v>4</v>
      </c>
      <c r="B26" s="7" t="s">
        <v>10</v>
      </c>
      <c r="C26" s="7" t="s">
        <v>11</v>
      </c>
      <c r="D26" s="7" t="s">
        <v>12</v>
      </c>
      <c r="E26" s="7" t="s">
        <v>13</v>
      </c>
      <c r="F26" s="7" t="s">
        <v>28</v>
      </c>
      <c r="G26" s="7" t="s">
        <v>27</v>
      </c>
      <c r="H26" s="7" t="s">
        <v>20</v>
      </c>
      <c r="I26" s="7" t="s">
        <v>21</v>
      </c>
      <c r="J26" s="8" t="s">
        <v>18</v>
      </c>
      <c r="K26" s="8" t="s">
        <v>14</v>
      </c>
      <c r="L26" s="8" t="s">
        <v>15</v>
      </c>
    </row>
    <row r="27" spans="1:12" x14ac:dyDescent="0.3">
      <c r="A27" s="9" t="s">
        <v>5</v>
      </c>
      <c r="B27" s="10">
        <v>3198.93</v>
      </c>
      <c r="C27" s="10">
        <v>0</v>
      </c>
      <c r="D27" s="10">
        <v>55154.340000000011</v>
      </c>
      <c r="E27" s="10">
        <v>0</v>
      </c>
      <c r="F27" s="10">
        <v>629.66999999999996</v>
      </c>
      <c r="G27" s="10">
        <v>0</v>
      </c>
      <c r="H27" s="10">
        <v>18519.240000000002</v>
      </c>
      <c r="I27" s="10">
        <v>0</v>
      </c>
      <c r="J27" s="11">
        <v>110</v>
      </c>
      <c r="K27" s="11">
        <v>30</v>
      </c>
      <c r="L27" s="11">
        <v>7</v>
      </c>
    </row>
    <row r="28" spans="1:12" x14ac:dyDescent="0.3">
      <c r="A28" s="9" t="s">
        <v>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1">
        <v>0</v>
      </c>
      <c r="K28" s="11">
        <v>0</v>
      </c>
      <c r="L28" s="11">
        <v>0</v>
      </c>
    </row>
    <row r="29" spans="1:12" x14ac:dyDescent="0.3">
      <c r="A29" s="9" t="s">
        <v>6</v>
      </c>
      <c r="B29" s="10">
        <v>0</v>
      </c>
      <c r="C29" s="10">
        <v>0</v>
      </c>
      <c r="D29" s="10">
        <v>24525.639999999996</v>
      </c>
      <c r="E29" s="10">
        <v>0</v>
      </c>
      <c r="F29" s="10">
        <v>14</v>
      </c>
      <c r="G29" s="10">
        <v>0</v>
      </c>
      <c r="H29" s="10">
        <v>0</v>
      </c>
      <c r="I29" s="10">
        <v>0</v>
      </c>
      <c r="J29" s="11">
        <v>168</v>
      </c>
      <c r="K29" s="11">
        <v>5</v>
      </c>
      <c r="L29" s="11">
        <v>12</v>
      </c>
    </row>
    <row r="30" spans="1:12" x14ac:dyDescent="0.3">
      <c r="A30" s="9" t="s">
        <v>7</v>
      </c>
      <c r="B30" s="10">
        <v>16646.689999999999</v>
      </c>
      <c r="C30" s="10">
        <v>0</v>
      </c>
      <c r="D30" s="10">
        <v>6712.7</v>
      </c>
      <c r="E30" s="10">
        <v>0</v>
      </c>
      <c r="F30" s="10">
        <v>0</v>
      </c>
      <c r="G30" s="10">
        <v>0</v>
      </c>
      <c r="H30" s="10">
        <v>3133.68</v>
      </c>
      <c r="I30" s="10">
        <v>0</v>
      </c>
      <c r="J30" s="11">
        <v>11</v>
      </c>
      <c r="K30" s="11">
        <v>2</v>
      </c>
      <c r="L30" s="11">
        <v>0</v>
      </c>
    </row>
    <row r="32" spans="1:12" x14ac:dyDescent="0.3">
      <c r="A32" s="12">
        <v>45383</v>
      </c>
    </row>
    <row r="33" spans="1:12" ht="43.2" x14ac:dyDescent="0.3">
      <c r="A33" s="6" t="s">
        <v>4</v>
      </c>
      <c r="B33" s="7" t="s">
        <v>10</v>
      </c>
      <c r="C33" s="7" t="s">
        <v>11</v>
      </c>
      <c r="D33" s="7" t="s">
        <v>12</v>
      </c>
      <c r="E33" s="7" t="s">
        <v>13</v>
      </c>
      <c r="F33" s="7" t="s">
        <v>28</v>
      </c>
      <c r="G33" s="7" t="s">
        <v>27</v>
      </c>
      <c r="H33" s="7" t="s">
        <v>20</v>
      </c>
      <c r="I33" s="7" t="s">
        <v>21</v>
      </c>
      <c r="J33" s="8" t="s">
        <v>18</v>
      </c>
      <c r="K33" s="8" t="s">
        <v>14</v>
      </c>
      <c r="L33" s="8" t="s">
        <v>15</v>
      </c>
    </row>
    <row r="34" spans="1:12" x14ac:dyDescent="0.3">
      <c r="A34" s="9" t="s">
        <v>5</v>
      </c>
      <c r="B34" s="10">
        <v>43305.01</v>
      </c>
      <c r="C34" s="10">
        <v>0</v>
      </c>
      <c r="D34" s="10">
        <v>111274.98000000001</v>
      </c>
      <c r="E34" s="10">
        <v>0</v>
      </c>
      <c r="F34" s="10">
        <v>0</v>
      </c>
      <c r="G34" s="10">
        <v>0</v>
      </c>
      <c r="H34" s="10">
        <v>66918.66</v>
      </c>
      <c r="I34" s="10">
        <v>94376.71</v>
      </c>
      <c r="J34" s="11">
        <v>158</v>
      </c>
      <c r="K34" s="11">
        <v>47</v>
      </c>
      <c r="L34" s="11">
        <v>23</v>
      </c>
    </row>
    <row r="35" spans="1:12" x14ac:dyDescent="0.3">
      <c r="A35" s="9" t="s">
        <v>9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1">
        <v>0</v>
      </c>
      <c r="K35" s="11">
        <v>0</v>
      </c>
      <c r="L35" s="11">
        <v>0</v>
      </c>
    </row>
    <row r="36" spans="1:12" x14ac:dyDescent="0.3">
      <c r="A36" s="9" t="s">
        <v>6</v>
      </c>
      <c r="B36" s="10">
        <v>0</v>
      </c>
      <c r="C36" s="10">
        <v>0</v>
      </c>
      <c r="D36" s="10">
        <v>26077.87</v>
      </c>
      <c r="E36" s="10">
        <v>0</v>
      </c>
      <c r="F36" s="10">
        <v>0</v>
      </c>
      <c r="G36" s="10">
        <v>0</v>
      </c>
      <c r="H36" s="10">
        <v>2757.57</v>
      </c>
      <c r="I36" s="10">
        <v>0</v>
      </c>
      <c r="J36" s="11">
        <v>158</v>
      </c>
      <c r="K36" s="11">
        <v>4</v>
      </c>
      <c r="L36" s="11">
        <v>7</v>
      </c>
    </row>
    <row r="37" spans="1:12" x14ac:dyDescent="0.3">
      <c r="A37" s="9" t="s">
        <v>7</v>
      </c>
      <c r="B37" s="10">
        <v>0</v>
      </c>
      <c r="C37" s="10">
        <v>0</v>
      </c>
      <c r="D37" s="10">
        <v>496.38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1">
        <v>13</v>
      </c>
      <c r="K37" s="11">
        <v>1</v>
      </c>
      <c r="L37" s="11">
        <v>0</v>
      </c>
    </row>
    <row r="39" spans="1:12" x14ac:dyDescent="0.3">
      <c r="A39" s="12">
        <v>45413</v>
      </c>
    </row>
    <row r="40" spans="1:12" ht="43.2" x14ac:dyDescent="0.3">
      <c r="A40" s="6" t="s">
        <v>4</v>
      </c>
      <c r="B40" s="7" t="s">
        <v>10</v>
      </c>
      <c r="C40" s="7" t="s">
        <v>11</v>
      </c>
      <c r="D40" s="7" t="s">
        <v>12</v>
      </c>
      <c r="E40" s="7" t="s">
        <v>13</v>
      </c>
      <c r="F40" s="7" t="s">
        <v>28</v>
      </c>
      <c r="G40" s="7" t="s">
        <v>27</v>
      </c>
      <c r="H40" s="7" t="s">
        <v>20</v>
      </c>
      <c r="I40" s="7" t="s">
        <v>21</v>
      </c>
      <c r="J40" s="8" t="s">
        <v>18</v>
      </c>
      <c r="K40" s="8" t="s">
        <v>14</v>
      </c>
      <c r="L40" s="8" t="s">
        <v>15</v>
      </c>
    </row>
    <row r="41" spans="1:12" x14ac:dyDescent="0.3">
      <c r="A41" s="9" t="s">
        <v>5</v>
      </c>
      <c r="B41" s="10">
        <v>23958.38</v>
      </c>
      <c r="C41" s="10">
        <v>0</v>
      </c>
      <c r="D41" s="10">
        <v>95366.159999999989</v>
      </c>
      <c r="E41" s="10">
        <v>0</v>
      </c>
      <c r="F41" s="10">
        <v>439.18</v>
      </c>
      <c r="G41" s="10">
        <v>0</v>
      </c>
      <c r="H41" s="10">
        <v>23164.59</v>
      </c>
      <c r="I41" s="10">
        <v>0</v>
      </c>
      <c r="J41" s="11">
        <v>155</v>
      </c>
      <c r="K41" s="11">
        <v>73</v>
      </c>
      <c r="L41" s="11">
        <v>16</v>
      </c>
    </row>
    <row r="42" spans="1:12" x14ac:dyDescent="0.3">
      <c r="A42" s="9" t="s">
        <v>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1">
        <v>0</v>
      </c>
      <c r="K42" s="11">
        <v>0</v>
      </c>
      <c r="L42" s="11">
        <v>0</v>
      </c>
    </row>
    <row r="43" spans="1:12" x14ac:dyDescent="0.3">
      <c r="A43" s="9" t="s">
        <v>6</v>
      </c>
      <c r="B43" s="10">
        <v>661.66</v>
      </c>
      <c r="C43" s="10">
        <v>0</v>
      </c>
      <c r="D43" s="10">
        <v>457487.01999999996</v>
      </c>
      <c r="E43" s="10">
        <v>0</v>
      </c>
      <c r="F43" s="10">
        <v>53210.280000000006</v>
      </c>
      <c r="G43" s="10">
        <v>0</v>
      </c>
      <c r="H43" s="10">
        <v>50795.96</v>
      </c>
      <c r="I43" s="10">
        <v>0</v>
      </c>
      <c r="J43" s="11">
        <v>152</v>
      </c>
      <c r="K43" s="11">
        <v>20</v>
      </c>
      <c r="L43" s="11">
        <v>6</v>
      </c>
    </row>
    <row r="44" spans="1:12" x14ac:dyDescent="0.3">
      <c r="A44" s="9" t="s">
        <v>7</v>
      </c>
      <c r="B44" s="10">
        <v>0</v>
      </c>
      <c r="C44" s="10">
        <v>0</v>
      </c>
      <c r="D44" s="10">
        <v>2692.13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1">
        <v>11</v>
      </c>
      <c r="K44" s="11">
        <v>3</v>
      </c>
      <c r="L44" s="11">
        <v>0</v>
      </c>
    </row>
    <row r="46" spans="1:12" x14ac:dyDescent="0.3">
      <c r="A46" s="12">
        <v>45444</v>
      </c>
    </row>
    <row r="47" spans="1:12" ht="43.2" x14ac:dyDescent="0.3">
      <c r="A47" s="6" t="s">
        <v>4</v>
      </c>
      <c r="B47" s="7" t="s">
        <v>10</v>
      </c>
      <c r="C47" s="7" t="s">
        <v>11</v>
      </c>
      <c r="D47" s="7" t="s">
        <v>12</v>
      </c>
      <c r="E47" s="7" t="s">
        <v>13</v>
      </c>
      <c r="F47" s="7" t="s">
        <v>28</v>
      </c>
      <c r="G47" s="7" t="s">
        <v>27</v>
      </c>
      <c r="H47" s="7" t="s">
        <v>20</v>
      </c>
      <c r="I47" s="7" t="s">
        <v>21</v>
      </c>
      <c r="J47" s="8" t="s">
        <v>18</v>
      </c>
      <c r="K47" s="8" t="s">
        <v>14</v>
      </c>
      <c r="L47" s="8" t="s">
        <v>15</v>
      </c>
    </row>
    <row r="48" spans="1:12" x14ac:dyDescent="0.3">
      <c r="A48" s="9" t="s">
        <v>5</v>
      </c>
      <c r="B48" s="10">
        <v>42885.049999999996</v>
      </c>
      <c r="C48" s="10">
        <v>0</v>
      </c>
      <c r="D48" s="10">
        <v>114855.67</v>
      </c>
      <c r="E48" s="10">
        <v>0</v>
      </c>
      <c r="F48" s="10">
        <v>15092.880000000001</v>
      </c>
      <c r="G48" s="10">
        <v>0</v>
      </c>
      <c r="H48" s="10">
        <v>18363.229999999996</v>
      </c>
      <c r="I48" s="10">
        <v>11311.02</v>
      </c>
      <c r="J48" s="11">
        <v>209</v>
      </c>
      <c r="K48" s="11">
        <v>62</v>
      </c>
      <c r="L48" s="11">
        <v>14</v>
      </c>
    </row>
    <row r="49" spans="1:12" x14ac:dyDescent="0.3">
      <c r="A49" s="9" t="s">
        <v>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1">
        <v>0</v>
      </c>
      <c r="K49" s="11">
        <v>0</v>
      </c>
      <c r="L49" s="11">
        <v>0</v>
      </c>
    </row>
    <row r="50" spans="1:12" x14ac:dyDescent="0.3">
      <c r="A50" s="9" t="s">
        <v>6</v>
      </c>
      <c r="B50" s="10">
        <v>14696.62</v>
      </c>
      <c r="C50" s="10">
        <v>0</v>
      </c>
      <c r="D50" s="10">
        <v>171857.57</v>
      </c>
      <c r="E50" s="10">
        <v>0</v>
      </c>
      <c r="F50" s="10">
        <v>57508.39</v>
      </c>
      <c r="G50" s="10">
        <v>0</v>
      </c>
      <c r="H50" s="10">
        <v>16235.83</v>
      </c>
      <c r="I50" s="10">
        <v>0</v>
      </c>
      <c r="J50" s="11">
        <v>194</v>
      </c>
      <c r="K50" s="11">
        <v>13</v>
      </c>
      <c r="L50" s="11">
        <v>3</v>
      </c>
    </row>
    <row r="51" spans="1:12" x14ac:dyDescent="0.3">
      <c r="A51" s="9" t="s">
        <v>7</v>
      </c>
      <c r="B51" s="10">
        <v>0</v>
      </c>
      <c r="C51" s="10">
        <v>0</v>
      </c>
      <c r="D51" s="10">
        <v>55371.22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1">
        <v>6</v>
      </c>
      <c r="K51" s="11">
        <v>1</v>
      </c>
      <c r="L51" s="11">
        <v>0</v>
      </c>
    </row>
    <row r="53" spans="1:12" x14ac:dyDescent="0.3">
      <c r="A53" s="12">
        <v>45474</v>
      </c>
    </row>
    <row r="54" spans="1:12" ht="48" customHeight="1" x14ac:dyDescent="0.3">
      <c r="A54" s="6" t="s">
        <v>4</v>
      </c>
      <c r="B54" s="7" t="s">
        <v>10</v>
      </c>
      <c r="C54" s="7" t="s">
        <v>11</v>
      </c>
      <c r="D54" s="7" t="s">
        <v>12</v>
      </c>
      <c r="E54" s="7" t="s">
        <v>13</v>
      </c>
      <c r="F54" s="7" t="s">
        <v>28</v>
      </c>
      <c r="G54" s="7" t="s">
        <v>27</v>
      </c>
      <c r="H54" s="7" t="s">
        <v>20</v>
      </c>
      <c r="I54" s="7" t="s">
        <v>21</v>
      </c>
      <c r="J54" s="8" t="s">
        <v>18</v>
      </c>
      <c r="K54" s="8" t="s">
        <v>14</v>
      </c>
      <c r="L54" s="8" t="s">
        <v>15</v>
      </c>
    </row>
    <row r="55" spans="1:12" x14ac:dyDescent="0.3">
      <c r="A55" s="9" t="s">
        <v>5</v>
      </c>
      <c r="B55" s="10">
        <v>200256.29000000004</v>
      </c>
      <c r="C55" s="10">
        <v>0</v>
      </c>
      <c r="D55" s="10">
        <v>132778.37999999998</v>
      </c>
      <c r="E55" s="10">
        <v>0</v>
      </c>
      <c r="F55" s="10">
        <v>550.96</v>
      </c>
      <c r="G55" s="10">
        <v>0</v>
      </c>
      <c r="H55" s="10">
        <v>68595.070000000007</v>
      </c>
      <c r="I55" s="10">
        <v>0</v>
      </c>
      <c r="J55" s="11">
        <v>219</v>
      </c>
      <c r="K55" s="11">
        <v>75</v>
      </c>
      <c r="L55" s="11">
        <v>20</v>
      </c>
    </row>
    <row r="56" spans="1:12" x14ac:dyDescent="0.3">
      <c r="A56" s="9" t="s">
        <v>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1">
        <v>0</v>
      </c>
      <c r="K56" s="11">
        <v>0</v>
      </c>
      <c r="L56" s="11">
        <v>0</v>
      </c>
    </row>
    <row r="57" spans="1:12" x14ac:dyDescent="0.3">
      <c r="A57" s="9" t="s">
        <v>6</v>
      </c>
      <c r="B57" s="10">
        <v>20907.46</v>
      </c>
      <c r="C57" s="10">
        <v>0</v>
      </c>
      <c r="D57" s="10">
        <v>586953.55000000005</v>
      </c>
      <c r="E57" s="10">
        <v>0</v>
      </c>
      <c r="F57" s="10">
        <v>6460.86</v>
      </c>
      <c r="G57" s="10">
        <v>0</v>
      </c>
      <c r="H57" s="10">
        <v>48586.549999999996</v>
      </c>
      <c r="I57" s="10">
        <v>2002.48</v>
      </c>
      <c r="J57" s="11">
        <v>241</v>
      </c>
      <c r="K57" s="11">
        <v>41</v>
      </c>
      <c r="L57" s="11">
        <v>2</v>
      </c>
    </row>
    <row r="58" spans="1:12" x14ac:dyDescent="0.3">
      <c r="A58" s="9" t="s">
        <v>7</v>
      </c>
      <c r="B58" s="10">
        <v>0</v>
      </c>
      <c r="C58" s="10">
        <v>0</v>
      </c>
      <c r="D58" s="10">
        <v>10171.82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1">
        <v>9</v>
      </c>
      <c r="K58" s="11">
        <v>5</v>
      </c>
      <c r="L58" s="11">
        <v>0</v>
      </c>
    </row>
    <row r="60" spans="1:12" x14ac:dyDescent="0.3">
      <c r="A60" s="12">
        <v>45505</v>
      </c>
    </row>
    <row r="61" spans="1:12" ht="43.2" x14ac:dyDescent="0.3">
      <c r="A61" s="6" t="s">
        <v>4</v>
      </c>
      <c r="B61" s="7" t="s">
        <v>10</v>
      </c>
      <c r="C61" s="7" t="s">
        <v>11</v>
      </c>
      <c r="D61" s="7" t="s">
        <v>12</v>
      </c>
      <c r="E61" s="7" t="s">
        <v>13</v>
      </c>
      <c r="F61" s="7" t="s">
        <v>28</v>
      </c>
      <c r="G61" s="7" t="s">
        <v>27</v>
      </c>
      <c r="H61" s="7" t="s">
        <v>20</v>
      </c>
      <c r="I61" s="7" t="s">
        <v>21</v>
      </c>
      <c r="J61" s="8" t="s">
        <v>18</v>
      </c>
      <c r="K61" s="8" t="s">
        <v>14</v>
      </c>
      <c r="L61" s="8" t="s">
        <v>15</v>
      </c>
    </row>
    <row r="62" spans="1:12" x14ac:dyDescent="0.3">
      <c r="A62" s="9" t="s">
        <v>5</v>
      </c>
      <c r="B62" s="10">
        <v>27769.87</v>
      </c>
      <c r="C62" s="10">
        <v>0</v>
      </c>
      <c r="D62" s="10">
        <v>260788.88</v>
      </c>
      <c r="E62" s="10">
        <v>0</v>
      </c>
      <c r="F62" s="10">
        <v>3222.5</v>
      </c>
      <c r="G62" s="10">
        <v>0</v>
      </c>
      <c r="H62" s="10">
        <v>30824.580000000005</v>
      </c>
      <c r="I62" s="10">
        <v>0</v>
      </c>
      <c r="J62" s="11">
        <v>233</v>
      </c>
      <c r="K62" s="11">
        <v>97</v>
      </c>
      <c r="L62" s="11">
        <v>12</v>
      </c>
    </row>
    <row r="63" spans="1:12" x14ac:dyDescent="0.3">
      <c r="A63" s="9" t="s">
        <v>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1">
        <v>0</v>
      </c>
      <c r="K63" s="11">
        <v>0</v>
      </c>
      <c r="L63" s="11">
        <v>0</v>
      </c>
    </row>
    <row r="64" spans="1:12" x14ac:dyDescent="0.3">
      <c r="A64" s="9" t="s">
        <v>6</v>
      </c>
      <c r="B64" s="10">
        <v>255751.30999999997</v>
      </c>
      <c r="C64" s="10">
        <v>0</v>
      </c>
      <c r="D64" s="10">
        <v>1684123.9200000004</v>
      </c>
      <c r="E64" s="10">
        <v>0</v>
      </c>
      <c r="F64" s="10">
        <v>1480.7399999999998</v>
      </c>
      <c r="G64" s="10">
        <v>0</v>
      </c>
      <c r="H64" s="10">
        <v>257850.06999999995</v>
      </c>
      <c r="I64" s="10">
        <v>0</v>
      </c>
      <c r="J64" s="11">
        <v>233</v>
      </c>
      <c r="K64" s="11">
        <v>56</v>
      </c>
      <c r="L64" s="11">
        <v>2</v>
      </c>
    </row>
    <row r="65" spans="1:13" x14ac:dyDescent="0.3">
      <c r="A65" s="9" t="s">
        <v>7</v>
      </c>
      <c r="B65" s="10">
        <v>0</v>
      </c>
      <c r="C65" s="10">
        <v>0</v>
      </c>
      <c r="D65" s="10">
        <v>110401.79000000001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1">
        <v>9</v>
      </c>
      <c r="K65" s="11">
        <v>5</v>
      </c>
      <c r="L65" s="11">
        <v>0</v>
      </c>
    </row>
    <row r="67" spans="1:13" x14ac:dyDescent="0.3">
      <c r="A67" s="12">
        <v>45536</v>
      </c>
    </row>
    <row r="68" spans="1:13" ht="43.2" x14ac:dyDescent="0.3">
      <c r="A68" s="6" t="s">
        <v>4</v>
      </c>
      <c r="B68" s="7" t="s">
        <v>10</v>
      </c>
      <c r="C68" s="7" t="s">
        <v>11</v>
      </c>
      <c r="D68" s="7" t="s">
        <v>12</v>
      </c>
      <c r="E68" s="7" t="s">
        <v>13</v>
      </c>
      <c r="F68" s="7" t="s">
        <v>28</v>
      </c>
      <c r="G68" s="7" t="s">
        <v>27</v>
      </c>
      <c r="H68" s="7" t="s">
        <v>20</v>
      </c>
      <c r="I68" s="7" t="s">
        <v>21</v>
      </c>
      <c r="J68" s="8" t="s">
        <v>18</v>
      </c>
      <c r="K68" s="8" t="s">
        <v>14</v>
      </c>
      <c r="L68" s="8" t="s">
        <v>15</v>
      </c>
    </row>
    <row r="69" spans="1:13" x14ac:dyDescent="0.3">
      <c r="A69" s="9" t="s">
        <v>5</v>
      </c>
      <c r="B69" s="10">
        <v>80973.95</v>
      </c>
      <c r="C69" s="10">
        <v>0</v>
      </c>
      <c r="D69" s="10">
        <v>248743.25999999989</v>
      </c>
      <c r="E69" s="10">
        <v>0</v>
      </c>
      <c r="F69" s="10">
        <v>4088.98</v>
      </c>
      <c r="G69" s="10">
        <v>0</v>
      </c>
      <c r="H69" s="10">
        <v>94122.93</v>
      </c>
      <c r="I69" s="10">
        <v>265356.71999999997</v>
      </c>
      <c r="J69" s="11">
        <v>177</v>
      </c>
      <c r="K69" s="11">
        <v>112</v>
      </c>
      <c r="L69" s="11">
        <v>5</v>
      </c>
    </row>
    <row r="70" spans="1:13" x14ac:dyDescent="0.3">
      <c r="A70" s="9" t="s">
        <v>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1">
        <v>0</v>
      </c>
      <c r="K70" s="11">
        <v>0</v>
      </c>
      <c r="L70" s="11">
        <v>0</v>
      </c>
    </row>
    <row r="71" spans="1:13" x14ac:dyDescent="0.3">
      <c r="A71" s="9" t="s">
        <v>6</v>
      </c>
      <c r="B71" s="10">
        <v>372241.66</v>
      </c>
      <c r="C71" s="10">
        <v>0</v>
      </c>
      <c r="D71" s="10">
        <v>557768.81000000006</v>
      </c>
      <c r="E71" s="10">
        <v>0</v>
      </c>
      <c r="F71" s="10">
        <v>3833.26</v>
      </c>
      <c r="G71" s="10">
        <v>0</v>
      </c>
      <c r="H71" s="10">
        <v>409845.87</v>
      </c>
      <c r="I71" s="10">
        <v>0</v>
      </c>
      <c r="J71" s="11">
        <v>182</v>
      </c>
      <c r="K71" s="11">
        <v>55</v>
      </c>
      <c r="L71" s="11">
        <v>0</v>
      </c>
    </row>
    <row r="72" spans="1:13" x14ac:dyDescent="0.3">
      <c r="A72" s="9" t="s">
        <v>7</v>
      </c>
      <c r="B72" s="10">
        <v>0</v>
      </c>
      <c r="C72" s="10">
        <v>0</v>
      </c>
      <c r="D72" s="10">
        <v>40504.5</v>
      </c>
      <c r="E72" s="10">
        <v>0</v>
      </c>
      <c r="F72" s="10">
        <v>0</v>
      </c>
      <c r="G72" s="10">
        <v>0</v>
      </c>
      <c r="H72" s="10">
        <v>1368.96</v>
      </c>
      <c r="I72" s="10">
        <v>7762.76</v>
      </c>
      <c r="J72" s="11">
        <v>5</v>
      </c>
      <c r="K72" s="11">
        <v>2</v>
      </c>
      <c r="L72" s="11">
        <v>0</v>
      </c>
    </row>
    <row r="74" spans="1:13" x14ac:dyDescent="0.3">
      <c r="A74" s="12">
        <v>45566</v>
      </c>
    </row>
    <row r="75" spans="1:13" ht="43.2" x14ac:dyDescent="0.3">
      <c r="A75" s="6" t="s">
        <v>4</v>
      </c>
      <c r="B75" s="7" t="s">
        <v>10</v>
      </c>
      <c r="C75" s="7" t="s">
        <v>11</v>
      </c>
      <c r="D75" s="7" t="s">
        <v>12</v>
      </c>
      <c r="E75" s="7" t="s">
        <v>13</v>
      </c>
      <c r="F75" s="7" t="s">
        <v>28</v>
      </c>
      <c r="G75" s="7" t="s">
        <v>27</v>
      </c>
      <c r="H75" s="7" t="s">
        <v>20</v>
      </c>
      <c r="I75" s="7" t="s">
        <v>21</v>
      </c>
      <c r="J75" s="8" t="s">
        <v>18</v>
      </c>
      <c r="K75" s="8" t="s">
        <v>14</v>
      </c>
      <c r="L75" s="8" t="s">
        <v>15</v>
      </c>
    </row>
    <row r="76" spans="1:13" s="19" customFormat="1" x14ac:dyDescent="0.3">
      <c r="A76" s="16" t="s">
        <v>5</v>
      </c>
      <c r="B76" s="17">
        <v>161091.13000000003</v>
      </c>
      <c r="C76" s="17">
        <v>0</v>
      </c>
      <c r="D76" s="17">
        <v>499322.31999999995</v>
      </c>
      <c r="E76" s="17">
        <v>0</v>
      </c>
      <c r="F76" s="17">
        <v>3148.41</v>
      </c>
      <c r="G76" s="17">
        <v>0</v>
      </c>
      <c r="H76" s="17">
        <v>144268.55000000002</v>
      </c>
      <c r="I76" s="17">
        <v>616855.26</v>
      </c>
      <c r="J76" s="18">
        <v>295</v>
      </c>
      <c r="K76" s="18">
        <v>149</v>
      </c>
      <c r="L76" s="18">
        <v>16</v>
      </c>
      <c r="M76" s="20">
        <f>J76+L76</f>
        <v>311</v>
      </c>
    </row>
    <row r="77" spans="1:13" x14ac:dyDescent="0.3">
      <c r="A77" s="9" t="s">
        <v>9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1">
        <v>0</v>
      </c>
      <c r="K77" s="11">
        <v>0</v>
      </c>
      <c r="L77" s="11">
        <v>0</v>
      </c>
    </row>
    <row r="78" spans="1:13" x14ac:dyDescent="0.3">
      <c r="A78" s="9" t="s">
        <v>6</v>
      </c>
      <c r="B78" s="10">
        <v>54014.87</v>
      </c>
      <c r="C78" s="10">
        <v>0</v>
      </c>
      <c r="D78" s="10">
        <v>1348148.82</v>
      </c>
      <c r="E78" s="10">
        <v>0</v>
      </c>
      <c r="F78" s="10">
        <v>191496.07999999996</v>
      </c>
      <c r="G78" s="10">
        <v>0</v>
      </c>
      <c r="H78" s="10">
        <v>166898.82999999999</v>
      </c>
      <c r="I78" s="10">
        <v>19718.059999999998</v>
      </c>
      <c r="J78" s="11">
        <v>186</v>
      </c>
      <c r="K78" s="11">
        <v>78</v>
      </c>
      <c r="L78" s="11">
        <v>2</v>
      </c>
    </row>
    <row r="79" spans="1:13" x14ac:dyDescent="0.3">
      <c r="A79" s="9" t="s">
        <v>7</v>
      </c>
      <c r="B79" s="10">
        <v>0</v>
      </c>
      <c r="C79" s="10">
        <v>0</v>
      </c>
      <c r="D79" s="10">
        <v>33540.11</v>
      </c>
      <c r="E79" s="10">
        <v>0</v>
      </c>
      <c r="F79" s="10">
        <v>0</v>
      </c>
      <c r="G79" s="10">
        <v>0</v>
      </c>
      <c r="H79" s="10">
        <v>447.72</v>
      </c>
      <c r="I79" s="10">
        <v>0</v>
      </c>
      <c r="J79" s="11">
        <v>7</v>
      </c>
      <c r="K79" s="11">
        <v>2</v>
      </c>
      <c r="L79" s="11">
        <v>0</v>
      </c>
    </row>
    <row r="80" spans="1:13" x14ac:dyDescent="0.3">
      <c r="M80" s="3">
        <f>488+18</f>
        <v>506</v>
      </c>
    </row>
    <row r="81" spans="1:13" x14ac:dyDescent="0.3">
      <c r="A81" s="12">
        <v>45597</v>
      </c>
    </row>
    <row r="82" spans="1:13" ht="43.2" x14ac:dyDescent="0.3">
      <c r="A82" s="6" t="s">
        <v>4</v>
      </c>
      <c r="B82" s="7" t="s">
        <v>10</v>
      </c>
      <c r="C82" s="7" t="s">
        <v>11</v>
      </c>
      <c r="D82" s="7" t="s">
        <v>12</v>
      </c>
      <c r="E82" s="7" t="s">
        <v>13</v>
      </c>
      <c r="F82" s="7" t="s">
        <v>28</v>
      </c>
      <c r="G82" s="7" t="s">
        <v>27</v>
      </c>
      <c r="H82" s="7" t="s">
        <v>20</v>
      </c>
      <c r="I82" s="7" t="s">
        <v>21</v>
      </c>
      <c r="J82" s="8" t="s">
        <v>18</v>
      </c>
      <c r="K82" s="8" t="s">
        <v>14</v>
      </c>
      <c r="L82" s="8" t="s">
        <v>15</v>
      </c>
    </row>
    <row r="83" spans="1:13" s="19" customFormat="1" x14ac:dyDescent="0.3">
      <c r="A83" s="16" t="s">
        <v>5</v>
      </c>
      <c r="B83" s="17">
        <v>750351.53</v>
      </c>
      <c r="C83" s="17">
        <v>0</v>
      </c>
      <c r="D83" s="17">
        <v>219904.42999999993</v>
      </c>
      <c r="E83" s="17">
        <v>0</v>
      </c>
      <c r="F83" s="17">
        <v>59.11</v>
      </c>
      <c r="G83" s="17">
        <v>0</v>
      </c>
      <c r="H83" s="17">
        <v>334423.56</v>
      </c>
      <c r="I83" s="17">
        <v>1114382.7899999998</v>
      </c>
      <c r="J83" s="18">
        <v>210</v>
      </c>
      <c r="K83" s="18">
        <v>120</v>
      </c>
      <c r="L83" s="18">
        <v>15</v>
      </c>
      <c r="M83" s="20">
        <f>J83+L83</f>
        <v>225</v>
      </c>
    </row>
    <row r="84" spans="1:13" x14ac:dyDescent="0.3">
      <c r="A84" s="9" t="s">
        <v>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1">
        <v>0</v>
      </c>
      <c r="K84" s="11">
        <v>0</v>
      </c>
      <c r="L84" s="11">
        <v>0</v>
      </c>
    </row>
    <row r="85" spans="1:13" x14ac:dyDescent="0.3">
      <c r="A85" s="9" t="s">
        <v>6</v>
      </c>
      <c r="B85" s="10">
        <v>85323.05</v>
      </c>
      <c r="C85" s="10">
        <v>0</v>
      </c>
      <c r="D85" s="10">
        <v>1656089.7600000009</v>
      </c>
      <c r="E85" s="10">
        <v>0</v>
      </c>
      <c r="F85" s="10">
        <v>32755.14</v>
      </c>
      <c r="G85" s="10">
        <v>0</v>
      </c>
      <c r="H85" s="10">
        <v>187074.69999999998</v>
      </c>
      <c r="I85" s="10">
        <v>75350.259999999995</v>
      </c>
      <c r="J85" s="11">
        <v>131</v>
      </c>
      <c r="K85" s="11">
        <v>80</v>
      </c>
      <c r="L85" s="11">
        <v>1</v>
      </c>
    </row>
    <row r="86" spans="1:13" x14ac:dyDescent="0.3">
      <c r="A86" s="9" t="s">
        <v>7</v>
      </c>
      <c r="B86" s="10">
        <v>1199.18</v>
      </c>
      <c r="C86" s="10">
        <v>0</v>
      </c>
      <c r="D86" s="10">
        <v>53974.819999999992</v>
      </c>
      <c r="E86" s="10">
        <v>0</v>
      </c>
      <c r="F86" s="10">
        <v>0</v>
      </c>
      <c r="G86" s="10">
        <v>0</v>
      </c>
      <c r="H86" s="10">
        <v>1417.22</v>
      </c>
      <c r="I86" s="10">
        <v>0</v>
      </c>
      <c r="J86" s="11">
        <v>9</v>
      </c>
      <c r="K86" s="11">
        <v>3</v>
      </c>
      <c r="L86" s="11">
        <v>0</v>
      </c>
    </row>
    <row r="87" spans="1:13" x14ac:dyDescent="0.3">
      <c r="M87" s="3">
        <f>350+16</f>
        <v>366</v>
      </c>
    </row>
    <row r="88" spans="1:13" x14ac:dyDescent="0.3">
      <c r="A88" s="12">
        <v>45627</v>
      </c>
    </row>
    <row r="89" spans="1:13" ht="43.2" x14ac:dyDescent="0.3">
      <c r="A89" s="6" t="s">
        <v>4</v>
      </c>
      <c r="B89" s="7" t="s">
        <v>10</v>
      </c>
      <c r="C89" s="7" t="s">
        <v>11</v>
      </c>
      <c r="D89" s="7" t="s">
        <v>12</v>
      </c>
      <c r="E89" s="7" t="s">
        <v>13</v>
      </c>
      <c r="F89" s="7" t="s">
        <v>28</v>
      </c>
      <c r="G89" s="7" t="s">
        <v>27</v>
      </c>
      <c r="H89" s="7" t="s">
        <v>20</v>
      </c>
      <c r="I89" s="7" t="s">
        <v>21</v>
      </c>
      <c r="J89" s="8" t="s">
        <v>18</v>
      </c>
      <c r="K89" s="8" t="s">
        <v>14</v>
      </c>
      <c r="L89" s="8" t="s">
        <v>15</v>
      </c>
    </row>
    <row r="90" spans="1:13" s="19" customFormat="1" x14ac:dyDescent="0.3">
      <c r="A90" s="16" t="s">
        <v>5</v>
      </c>
      <c r="B90" s="17">
        <v>164926.82</v>
      </c>
      <c r="C90" s="17">
        <v>0</v>
      </c>
      <c r="D90" s="17">
        <v>486579.72</v>
      </c>
      <c r="E90" s="17">
        <v>0</v>
      </c>
      <c r="F90" s="17">
        <v>45061.3</v>
      </c>
      <c r="G90" s="17">
        <v>0</v>
      </c>
      <c r="H90" s="17">
        <v>183750.78999999998</v>
      </c>
      <c r="I90" s="17">
        <v>835389.39</v>
      </c>
      <c r="J90" s="18">
        <v>243</v>
      </c>
      <c r="K90" s="18">
        <v>154</v>
      </c>
      <c r="L90" s="18">
        <v>11</v>
      </c>
      <c r="M90" s="20">
        <f>J90+L90</f>
        <v>254</v>
      </c>
    </row>
    <row r="91" spans="1:13" x14ac:dyDescent="0.3">
      <c r="A91" s="9" t="s">
        <v>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1">
        <v>0</v>
      </c>
      <c r="K91" s="11">
        <v>0</v>
      </c>
      <c r="L91" s="11">
        <v>0</v>
      </c>
    </row>
    <row r="92" spans="1:13" x14ac:dyDescent="0.3">
      <c r="A92" s="9" t="s">
        <v>6</v>
      </c>
      <c r="B92" s="10">
        <v>6327.4</v>
      </c>
      <c r="C92" s="10">
        <v>0</v>
      </c>
      <c r="D92" s="10">
        <v>578660.01999999979</v>
      </c>
      <c r="E92" s="10">
        <v>0</v>
      </c>
      <c r="F92" s="10">
        <v>142374.06999999995</v>
      </c>
      <c r="G92" s="10">
        <v>0</v>
      </c>
      <c r="H92" s="10">
        <v>104615.84</v>
      </c>
      <c r="I92" s="10">
        <v>0</v>
      </c>
      <c r="J92" s="11">
        <v>161</v>
      </c>
      <c r="K92" s="11">
        <v>73</v>
      </c>
      <c r="L92" s="11">
        <v>1</v>
      </c>
    </row>
    <row r="93" spans="1:13" x14ac:dyDescent="0.3">
      <c r="A93" s="9" t="s">
        <v>7</v>
      </c>
      <c r="B93" s="10">
        <v>16797.939999999999</v>
      </c>
      <c r="C93" s="10">
        <v>0</v>
      </c>
      <c r="D93" s="10">
        <v>26460.63</v>
      </c>
      <c r="E93" s="10">
        <v>0</v>
      </c>
      <c r="F93" s="10">
        <v>0</v>
      </c>
      <c r="G93" s="10">
        <v>0</v>
      </c>
      <c r="H93" s="10">
        <v>1368.96</v>
      </c>
      <c r="I93" s="10">
        <v>0</v>
      </c>
      <c r="J93" s="11">
        <v>7</v>
      </c>
      <c r="K93" s="11">
        <v>2</v>
      </c>
      <c r="L93" s="11">
        <v>0</v>
      </c>
    </row>
    <row r="95" spans="1:13" x14ac:dyDescent="0.3">
      <c r="A95" s="3" t="s">
        <v>26</v>
      </c>
      <c r="J95" s="5">
        <f>J76+J83+J90</f>
        <v>748</v>
      </c>
      <c r="M95" s="3">
        <f>411+12</f>
        <v>423</v>
      </c>
    </row>
    <row r="96" spans="1:13" x14ac:dyDescent="0.3">
      <c r="J96" s="5">
        <f>L90+L83+L76</f>
        <v>42</v>
      </c>
      <c r="K96" s="15">
        <f>229+203+229</f>
        <v>661</v>
      </c>
    </row>
    <row r="100" spans="10:10" x14ac:dyDescent="0.3">
      <c r="J100" s="5" cm="1">
        <f t="array" ref="J100:J103">J77:J79+J84:J87+J91:J93+L77:L79+L84:L86+L91:L93</f>
        <v>0</v>
      </c>
    </row>
    <row r="101" spans="10:10" x14ac:dyDescent="0.3">
      <c r="J101" s="5">
        <v>482</v>
      </c>
    </row>
    <row r="102" spans="10:10" x14ac:dyDescent="0.3">
      <c r="J102" s="5">
        <v>23</v>
      </c>
    </row>
    <row r="103" spans="10:10" x14ac:dyDescent="0.3">
      <c r="J103" s="5" t="e">
        <v>#N/A</v>
      </c>
    </row>
    <row r="104" spans="10:10" x14ac:dyDescent="0.3">
      <c r="J104" s="5">
        <f>J78+J79+J85+J86+J92+J93+L78+L85+L92</f>
        <v>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A0EC-135C-4DA9-B368-FFD249E9541B}">
  <dimension ref="A1:L100"/>
  <sheetViews>
    <sheetView workbookViewId="0">
      <pane xSplit="1" ySplit="5" topLeftCell="C75" activePane="bottomRight" state="frozen"/>
      <selection pane="topRight" activeCell="B1" sqref="B1"/>
      <selection pane="bottomLeft" activeCell="A6" sqref="A6"/>
      <selection pane="bottomRight" activeCell="A76" sqref="A76:XFD76"/>
    </sheetView>
  </sheetViews>
  <sheetFormatPr defaultColWidth="39.21875" defaultRowHeight="14.4" x14ac:dyDescent="0.3"/>
  <cols>
    <col min="1" max="1" width="22" style="3" customWidth="1"/>
    <col min="2" max="5" width="24.21875" style="2" customWidth="1"/>
    <col min="6" max="6" width="24.77734375" style="2" customWidth="1"/>
    <col min="7" max="9" width="24.21875" style="2" customWidth="1"/>
    <col min="10" max="10" width="24.21875" style="3" customWidth="1"/>
    <col min="11" max="11" width="24.21875" style="14" customWidth="1"/>
    <col min="12" max="12" width="24.21875" style="3" customWidth="1"/>
    <col min="13" max="16384" width="39.21875" style="3"/>
  </cols>
  <sheetData>
    <row r="1" spans="1:12" x14ac:dyDescent="0.3">
      <c r="A1" s="1" t="s">
        <v>33</v>
      </c>
    </row>
    <row r="2" spans="1:12" x14ac:dyDescent="0.3">
      <c r="A2" s="1" t="s">
        <v>30</v>
      </c>
      <c r="E2" s="13"/>
    </row>
    <row r="3" spans="1:12" x14ac:dyDescent="0.3">
      <c r="A3" s="1" t="s">
        <v>29</v>
      </c>
    </row>
    <row r="4" spans="1:12" x14ac:dyDescent="0.3">
      <c r="A4" s="4" t="s">
        <v>31</v>
      </c>
      <c r="J4" s="5"/>
      <c r="K4" s="15"/>
      <c r="L4" s="5"/>
    </row>
    <row r="5" spans="1:12" ht="43.2" x14ac:dyDescent="0.3">
      <c r="A5" s="6" t="s">
        <v>4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28</v>
      </c>
      <c r="G5" s="7" t="s">
        <v>27</v>
      </c>
      <c r="H5" s="7" t="s">
        <v>20</v>
      </c>
      <c r="I5" s="7" t="s">
        <v>21</v>
      </c>
      <c r="J5" s="8" t="s">
        <v>18</v>
      </c>
      <c r="K5" s="8" t="s">
        <v>14</v>
      </c>
      <c r="L5" s="8" t="s">
        <v>15</v>
      </c>
    </row>
    <row r="6" spans="1:12" x14ac:dyDescent="0.3">
      <c r="A6" s="9" t="s">
        <v>5</v>
      </c>
      <c r="B6" s="10">
        <f t="shared" ref="B6:J9" si="0">SUM(B13,B20,B27,B34,B41,B48,B55,B62,B69,B76,B83,B90)</f>
        <v>120982.81</v>
      </c>
      <c r="C6" s="10">
        <f t="shared" si="0"/>
        <v>0</v>
      </c>
      <c r="D6" s="10">
        <f t="shared" si="0"/>
        <v>5567798.4499999993</v>
      </c>
      <c r="E6" s="10">
        <f t="shared" si="0"/>
        <v>0</v>
      </c>
      <c r="F6" s="10">
        <f t="shared" si="0"/>
        <v>41439.420000000006</v>
      </c>
      <c r="G6" s="10">
        <f t="shared" si="0"/>
        <v>0</v>
      </c>
      <c r="H6" s="10">
        <f t="shared" si="0"/>
        <v>256258.84</v>
      </c>
      <c r="I6" s="10">
        <f t="shared" si="0"/>
        <v>12611.49</v>
      </c>
      <c r="J6" s="11">
        <f t="shared" si="0"/>
        <v>9143</v>
      </c>
      <c r="K6" s="11">
        <f t="shared" ref="K6" si="1">SUM(K13,K20,K27,K34,K41,K48,K55,K62,K69,K76,K83,K90)</f>
        <v>5870</v>
      </c>
      <c r="L6" s="11">
        <f>SUM(L13,L20,L27,L34,L41,L48,L55,L62,L69,L76,L83,L90)</f>
        <v>0</v>
      </c>
    </row>
    <row r="7" spans="1:12" x14ac:dyDescent="0.3">
      <c r="A7" s="9" t="s">
        <v>9</v>
      </c>
      <c r="B7" s="10">
        <f t="shared" si="0"/>
        <v>0</v>
      </c>
      <c r="C7" s="10">
        <f t="shared" si="0"/>
        <v>0</v>
      </c>
      <c r="D7" s="10">
        <f t="shared" si="0"/>
        <v>622.48</v>
      </c>
      <c r="E7" s="10">
        <f t="shared" si="0"/>
        <v>0</v>
      </c>
      <c r="F7" s="10">
        <f t="shared" si="0"/>
        <v>0</v>
      </c>
      <c r="G7" s="10">
        <f t="shared" si="0"/>
        <v>0</v>
      </c>
      <c r="H7" s="10">
        <f t="shared" si="0"/>
        <v>0</v>
      </c>
      <c r="I7" s="10">
        <f t="shared" si="0"/>
        <v>0</v>
      </c>
      <c r="J7" s="11">
        <f t="shared" si="0"/>
        <v>0</v>
      </c>
      <c r="K7" s="11">
        <f t="shared" ref="K7" si="2">SUM(K14,K21,K28,K35,K42,K49,K56,K63,K70,K77,K84,K91)</f>
        <v>0</v>
      </c>
      <c r="L7" s="11">
        <f t="shared" ref="L7:L9" si="3">SUM(L14,L21,L28,L35,L42,L49,L56,L63,L70,L77,L84,L91)</f>
        <v>0</v>
      </c>
    </row>
    <row r="8" spans="1:12" x14ac:dyDescent="0.3">
      <c r="A8" s="9" t="s">
        <v>6</v>
      </c>
      <c r="B8" s="10">
        <f t="shared" si="0"/>
        <v>19536.38</v>
      </c>
      <c r="C8" s="10">
        <f t="shared" si="0"/>
        <v>0</v>
      </c>
      <c r="D8" s="10">
        <f t="shared" si="0"/>
        <v>7708703.9699999997</v>
      </c>
      <c r="E8" s="10">
        <f t="shared" si="0"/>
        <v>0</v>
      </c>
      <c r="F8" s="10">
        <f t="shared" si="0"/>
        <v>37581.58</v>
      </c>
      <c r="G8" s="10">
        <f t="shared" si="0"/>
        <v>0</v>
      </c>
      <c r="H8" s="10">
        <f t="shared" si="0"/>
        <v>118386.9</v>
      </c>
      <c r="I8" s="10">
        <f t="shared" si="0"/>
        <v>13041.99</v>
      </c>
      <c r="J8" s="11">
        <f t="shared" si="0"/>
        <v>843</v>
      </c>
      <c r="K8" s="11">
        <f t="shared" ref="K8" si="4">SUM(K15,K22,K29,K36,K43,K50,K57,K64,K71,K78,K85,K92)</f>
        <v>438</v>
      </c>
      <c r="L8" s="11">
        <f t="shared" si="3"/>
        <v>1</v>
      </c>
    </row>
    <row r="9" spans="1:12" x14ac:dyDescent="0.3">
      <c r="A9" s="9" t="s">
        <v>7</v>
      </c>
      <c r="B9" s="10">
        <f t="shared" si="0"/>
        <v>0</v>
      </c>
      <c r="C9" s="10">
        <f t="shared" si="0"/>
        <v>0</v>
      </c>
      <c r="D9" s="10">
        <f t="shared" si="0"/>
        <v>3141695.27</v>
      </c>
      <c r="E9" s="10">
        <f t="shared" si="0"/>
        <v>0</v>
      </c>
      <c r="F9" s="10">
        <f t="shared" si="0"/>
        <v>2510.5499999999997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11">
        <f t="shared" si="0"/>
        <v>97</v>
      </c>
      <c r="K9" s="11">
        <f t="shared" ref="K9" si="5">SUM(K16,K23,K30,K37,K44,K51,K58,K65,K72,K79,K86,K93)</f>
        <v>100</v>
      </c>
      <c r="L9" s="11">
        <f t="shared" si="3"/>
        <v>0</v>
      </c>
    </row>
    <row r="10" spans="1:12" x14ac:dyDescent="0.3">
      <c r="J10" s="5"/>
      <c r="K10" s="15"/>
      <c r="L10" s="5"/>
    </row>
    <row r="11" spans="1:12" x14ac:dyDescent="0.3">
      <c r="A11" s="12">
        <v>45292</v>
      </c>
    </row>
    <row r="12" spans="1:12" ht="43.2" x14ac:dyDescent="0.3">
      <c r="A12" s="6" t="s">
        <v>4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28</v>
      </c>
      <c r="G12" s="7" t="s">
        <v>27</v>
      </c>
      <c r="H12" s="7" t="s">
        <v>20</v>
      </c>
      <c r="I12" s="7" t="s">
        <v>21</v>
      </c>
      <c r="J12" s="8" t="s">
        <v>18</v>
      </c>
      <c r="K12" s="8" t="s">
        <v>14</v>
      </c>
      <c r="L12" s="8" t="s">
        <v>15</v>
      </c>
    </row>
    <row r="13" spans="1:12" x14ac:dyDescent="0.3">
      <c r="A13" s="9" t="s">
        <v>5</v>
      </c>
      <c r="B13" s="10">
        <v>0</v>
      </c>
      <c r="C13" s="10">
        <v>0</v>
      </c>
      <c r="D13" s="10">
        <v>399658.98999999982</v>
      </c>
      <c r="E13" s="10">
        <v>0</v>
      </c>
      <c r="F13" s="10">
        <v>972.18999999999994</v>
      </c>
      <c r="G13" s="10">
        <v>0</v>
      </c>
      <c r="H13" s="10">
        <v>0</v>
      </c>
      <c r="I13" s="10">
        <v>0</v>
      </c>
      <c r="J13" s="11">
        <v>784</v>
      </c>
      <c r="K13" s="11">
        <v>448</v>
      </c>
      <c r="L13" s="11">
        <v>0</v>
      </c>
    </row>
    <row r="14" spans="1:12" x14ac:dyDescent="0.3">
      <c r="A14" s="9" t="s">
        <v>9</v>
      </c>
      <c r="B14" s="10">
        <v>0</v>
      </c>
      <c r="C14" s="10">
        <v>0</v>
      </c>
      <c r="D14" s="10">
        <v>0.77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1">
        <v>0</v>
      </c>
      <c r="K14" s="11">
        <v>0</v>
      </c>
      <c r="L14" s="11">
        <v>0</v>
      </c>
    </row>
    <row r="15" spans="1:12" x14ac:dyDescent="0.3">
      <c r="A15" s="9" t="s">
        <v>6</v>
      </c>
      <c r="B15" s="10">
        <v>0</v>
      </c>
      <c r="C15" s="10">
        <v>0</v>
      </c>
      <c r="D15" s="10">
        <v>242665.56999999995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1">
        <v>100</v>
      </c>
      <c r="K15" s="11">
        <v>25</v>
      </c>
      <c r="L15" s="11">
        <v>0</v>
      </c>
    </row>
    <row r="16" spans="1:12" x14ac:dyDescent="0.3">
      <c r="A16" s="9" t="s">
        <v>7</v>
      </c>
      <c r="B16" s="10">
        <v>0</v>
      </c>
      <c r="C16" s="10">
        <v>0</v>
      </c>
      <c r="D16" s="10">
        <v>554048.20000000007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1">
        <v>12</v>
      </c>
      <c r="K16" s="11">
        <v>14</v>
      </c>
      <c r="L16" s="11">
        <v>0</v>
      </c>
    </row>
    <row r="18" spans="1:12" x14ac:dyDescent="0.3">
      <c r="A18" s="12">
        <v>45323</v>
      </c>
    </row>
    <row r="19" spans="1:12" ht="43.2" x14ac:dyDescent="0.3">
      <c r="A19" s="6" t="s">
        <v>4</v>
      </c>
      <c r="B19" s="7" t="s">
        <v>10</v>
      </c>
      <c r="C19" s="7" t="s">
        <v>11</v>
      </c>
      <c r="D19" s="7" t="s">
        <v>12</v>
      </c>
      <c r="E19" s="7" t="s">
        <v>13</v>
      </c>
      <c r="F19" s="7" t="s">
        <v>28</v>
      </c>
      <c r="G19" s="7" t="s">
        <v>27</v>
      </c>
      <c r="H19" s="7" t="s">
        <v>20</v>
      </c>
      <c r="I19" s="7" t="s">
        <v>21</v>
      </c>
      <c r="J19" s="8" t="s">
        <v>18</v>
      </c>
      <c r="K19" s="8" t="s">
        <v>14</v>
      </c>
      <c r="L19" s="8" t="s">
        <v>15</v>
      </c>
    </row>
    <row r="20" spans="1:12" x14ac:dyDescent="0.3">
      <c r="A20" s="9" t="s">
        <v>5</v>
      </c>
      <c r="B20" s="10">
        <v>0</v>
      </c>
      <c r="C20" s="10">
        <v>0</v>
      </c>
      <c r="D20" s="10">
        <v>371721.08000000025</v>
      </c>
      <c r="E20" s="10">
        <v>0</v>
      </c>
      <c r="F20" s="10">
        <v>1388.8</v>
      </c>
      <c r="G20" s="10">
        <v>0</v>
      </c>
      <c r="H20" s="10">
        <v>0</v>
      </c>
      <c r="I20" s="10">
        <v>0</v>
      </c>
      <c r="J20" s="11">
        <v>718</v>
      </c>
      <c r="K20" s="11">
        <v>389</v>
      </c>
      <c r="L20" s="11">
        <v>0</v>
      </c>
    </row>
    <row r="21" spans="1:12" x14ac:dyDescent="0.3">
      <c r="A21" s="9" t="s">
        <v>9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1">
        <v>0</v>
      </c>
      <c r="K21" s="11">
        <v>0</v>
      </c>
      <c r="L21" s="11">
        <v>0</v>
      </c>
    </row>
    <row r="22" spans="1:12" x14ac:dyDescent="0.3">
      <c r="A22" s="9" t="s">
        <v>6</v>
      </c>
      <c r="B22" s="10">
        <v>0</v>
      </c>
      <c r="C22" s="10">
        <v>0</v>
      </c>
      <c r="D22" s="10">
        <v>585459.95000000007</v>
      </c>
      <c r="E22" s="10">
        <v>0</v>
      </c>
      <c r="F22" s="10">
        <v>4131.0600000000004</v>
      </c>
      <c r="G22" s="10">
        <v>0</v>
      </c>
      <c r="H22" s="10">
        <v>0</v>
      </c>
      <c r="I22" s="10">
        <v>0</v>
      </c>
      <c r="J22" s="11">
        <v>78</v>
      </c>
      <c r="K22" s="11">
        <v>40</v>
      </c>
      <c r="L22" s="11">
        <v>0</v>
      </c>
    </row>
    <row r="23" spans="1:12" x14ac:dyDescent="0.3">
      <c r="A23" s="9" t="s">
        <v>7</v>
      </c>
      <c r="B23" s="10">
        <v>0</v>
      </c>
      <c r="C23" s="10">
        <v>0</v>
      </c>
      <c r="D23" s="10">
        <v>237255.82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1">
        <v>11</v>
      </c>
      <c r="K23" s="11">
        <v>7</v>
      </c>
      <c r="L23" s="11">
        <v>0</v>
      </c>
    </row>
    <row r="25" spans="1:12" x14ac:dyDescent="0.3">
      <c r="A25" s="12">
        <v>45352</v>
      </c>
    </row>
    <row r="26" spans="1:12" ht="43.2" x14ac:dyDescent="0.3">
      <c r="A26" s="6" t="s">
        <v>4</v>
      </c>
      <c r="B26" s="7" t="s">
        <v>10</v>
      </c>
      <c r="C26" s="7" t="s">
        <v>11</v>
      </c>
      <c r="D26" s="7" t="s">
        <v>12</v>
      </c>
      <c r="E26" s="7" t="s">
        <v>13</v>
      </c>
      <c r="F26" s="7" t="s">
        <v>28</v>
      </c>
      <c r="G26" s="7" t="s">
        <v>27</v>
      </c>
      <c r="H26" s="7" t="s">
        <v>20</v>
      </c>
      <c r="I26" s="7" t="s">
        <v>21</v>
      </c>
      <c r="J26" s="8" t="s">
        <v>18</v>
      </c>
      <c r="K26" s="8" t="s">
        <v>14</v>
      </c>
      <c r="L26" s="8" t="s">
        <v>15</v>
      </c>
    </row>
    <row r="27" spans="1:12" x14ac:dyDescent="0.3">
      <c r="A27" s="9" t="s">
        <v>5</v>
      </c>
      <c r="B27" s="10">
        <v>0</v>
      </c>
      <c r="C27" s="10">
        <v>0</v>
      </c>
      <c r="D27" s="10">
        <v>395411.48</v>
      </c>
      <c r="E27" s="10">
        <v>0</v>
      </c>
      <c r="F27" s="10">
        <v>2434.77</v>
      </c>
      <c r="G27" s="10">
        <v>0</v>
      </c>
      <c r="H27" s="10">
        <v>0</v>
      </c>
      <c r="I27" s="10">
        <v>0</v>
      </c>
      <c r="J27" s="11">
        <v>713</v>
      </c>
      <c r="K27" s="11">
        <v>442</v>
      </c>
      <c r="L27" s="11">
        <v>0</v>
      </c>
    </row>
    <row r="28" spans="1:12" x14ac:dyDescent="0.3">
      <c r="A28" s="9" t="s">
        <v>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1">
        <v>0</v>
      </c>
      <c r="K28" s="11">
        <v>0</v>
      </c>
      <c r="L28" s="11">
        <v>0</v>
      </c>
    </row>
    <row r="29" spans="1:12" x14ac:dyDescent="0.3">
      <c r="A29" s="9" t="s">
        <v>6</v>
      </c>
      <c r="B29" s="10">
        <v>0</v>
      </c>
      <c r="C29" s="10">
        <v>0</v>
      </c>
      <c r="D29" s="10">
        <v>890423.21999999974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1">
        <v>62</v>
      </c>
      <c r="K29" s="11">
        <v>34</v>
      </c>
      <c r="L29" s="11">
        <v>0</v>
      </c>
    </row>
    <row r="30" spans="1:12" x14ac:dyDescent="0.3">
      <c r="A30" s="9" t="s">
        <v>7</v>
      </c>
      <c r="B30" s="10">
        <v>0</v>
      </c>
      <c r="C30" s="10">
        <v>0</v>
      </c>
      <c r="D30" s="10">
        <v>272411.96999999997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1">
        <v>14</v>
      </c>
      <c r="K30" s="11">
        <v>7</v>
      </c>
      <c r="L30" s="11">
        <v>0</v>
      </c>
    </row>
    <row r="32" spans="1:12" x14ac:dyDescent="0.3">
      <c r="A32" s="12">
        <v>45383</v>
      </c>
    </row>
    <row r="33" spans="1:12" ht="43.2" x14ac:dyDescent="0.3">
      <c r="A33" s="6" t="s">
        <v>4</v>
      </c>
      <c r="B33" s="7" t="s">
        <v>10</v>
      </c>
      <c r="C33" s="7" t="s">
        <v>11</v>
      </c>
      <c r="D33" s="7" t="s">
        <v>12</v>
      </c>
      <c r="E33" s="7" t="s">
        <v>13</v>
      </c>
      <c r="F33" s="7" t="s">
        <v>28</v>
      </c>
      <c r="G33" s="7" t="s">
        <v>27</v>
      </c>
      <c r="H33" s="7" t="s">
        <v>20</v>
      </c>
      <c r="I33" s="7" t="s">
        <v>21</v>
      </c>
      <c r="J33" s="8" t="s">
        <v>18</v>
      </c>
      <c r="K33" s="8" t="s">
        <v>14</v>
      </c>
      <c r="L33" s="8" t="s">
        <v>15</v>
      </c>
    </row>
    <row r="34" spans="1:12" x14ac:dyDescent="0.3">
      <c r="A34" s="9" t="s">
        <v>5</v>
      </c>
      <c r="B34" s="10">
        <v>0</v>
      </c>
      <c r="C34" s="10">
        <v>0</v>
      </c>
      <c r="D34" s="10">
        <v>408593.40999999986</v>
      </c>
      <c r="E34" s="10">
        <v>0</v>
      </c>
      <c r="F34" s="10">
        <v>596.26</v>
      </c>
      <c r="G34" s="10">
        <v>0</v>
      </c>
      <c r="H34" s="10">
        <v>3316.6600000000003</v>
      </c>
      <c r="I34" s="10">
        <v>0</v>
      </c>
      <c r="J34" s="11">
        <v>745</v>
      </c>
      <c r="K34" s="11">
        <v>529</v>
      </c>
      <c r="L34" s="11">
        <v>0</v>
      </c>
    </row>
    <row r="35" spans="1:12" x14ac:dyDescent="0.3">
      <c r="A35" s="9" t="s">
        <v>9</v>
      </c>
      <c r="B35" s="10">
        <v>0</v>
      </c>
      <c r="C35" s="10">
        <v>0</v>
      </c>
      <c r="D35" s="10">
        <v>621.37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1">
        <v>0</v>
      </c>
      <c r="K35" s="11">
        <v>0</v>
      </c>
      <c r="L35" s="11">
        <v>0</v>
      </c>
    </row>
    <row r="36" spans="1:12" x14ac:dyDescent="0.3">
      <c r="A36" s="9" t="s">
        <v>6</v>
      </c>
      <c r="B36" s="10">
        <v>0</v>
      </c>
      <c r="C36" s="10">
        <v>0</v>
      </c>
      <c r="D36" s="10">
        <v>547020.99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1">
        <v>78</v>
      </c>
      <c r="K36" s="11">
        <v>33</v>
      </c>
      <c r="L36" s="11">
        <v>1</v>
      </c>
    </row>
    <row r="37" spans="1:12" x14ac:dyDescent="0.3">
      <c r="A37" s="9" t="s">
        <v>7</v>
      </c>
      <c r="B37" s="10">
        <v>0</v>
      </c>
      <c r="C37" s="10">
        <v>0</v>
      </c>
      <c r="D37" s="10">
        <v>260600.37999999998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1">
        <v>12</v>
      </c>
      <c r="K37" s="11">
        <v>9</v>
      </c>
      <c r="L37" s="11">
        <v>0</v>
      </c>
    </row>
    <row r="39" spans="1:12" x14ac:dyDescent="0.3">
      <c r="A39" s="12">
        <v>45413</v>
      </c>
    </row>
    <row r="40" spans="1:12" ht="43.2" x14ac:dyDescent="0.3">
      <c r="A40" s="6" t="s">
        <v>4</v>
      </c>
      <c r="B40" s="7" t="s">
        <v>10</v>
      </c>
      <c r="C40" s="7" t="s">
        <v>11</v>
      </c>
      <c r="D40" s="7" t="s">
        <v>12</v>
      </c>
      <c r="E40" s="7" t="s">
        <v>13</v>
      </c>
      <c r="F40" s="7" t="s">
        <v>28</v>
      </c>
      <c r="G40" s="7" t="s">
        <v>27</v>
      </c>
      <c r="H40" s="7" t="s">
        <v>20</v>
      </c>
      <c r="I40" s="7" t="s">
        <v>21</v>
      </c>
      <c r="J40" s="8" t="s">
        <v>18</v>
      </c>
      <c r="K40" s="8" t="s">
        <v>14</v>
      </c>
      <c r="L40" s="8" t="s">
        <v>15</v>
      </c>
    </row>
    <row r="41" spans="1:12" x14ac:dyDescent="0.3">
      <c r="A41" s="9" t="s">
        <v>5</v>
      </c>
      <c r="B41" s="10">
        <v>5893.66</v>
      </c>
      <c r="C41" s="10">
        <v>0</v>
      </c>
      <c r="D41" s="10">
        <v>453414.11999999976</v>
      </c>
      <c r="E41" s="10">
        <v>0</v>
      </c>
      <c r="F41" s="10">
        <v>11784.470000000001</v>
      </c>
      <c r="G41" s="10">
        <v>0</v>
      </c>
      <c r="H41" s="10">
        <v>4910.42</v>
      </c>
      <c r="I41" s="10">
        <v>0</v>
      </c>
      <c r="J41" s="11">
        <v>781</v>
      </c>
      <c r="K41" s="11">
        <v>508</v>
      </c>
      <c r="L41" s="11">
        <v>0</v>
      </c>
    </row>
    <row r="42" spans="1:12" x14ac:dyDescent="0.3">
      <c r="A42" s="9" t="s">
        <v>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1">
        <v>0</v>
      </c>
      <c r="K42" s="11">
        <v>0</v>
      </c>
      <c r="L42" s="11">
        <v>0</v>
      </c>
    </row>
    <row r="43" spans="1:12" x14ac:dyDescent="0.3">
      <c r="A43" s="9" t="s">
        <v>6</v>
      </c>
      <c r="B43" s="10">
        <v>0</v>
      </c>
      <c r="C43" s="10">
        <v>0</v>
      </c>
      <c r="D43" s="10">
        <v>423222.62</v>
      </c>
      <c r="E43" s="10">
        <v>0</v>
      </c>
      <c r="F43" s="10">
        <v>7829.38</v>
      </c>
      <c r="G43" s="10">
        <v>0</v>
      </c>
      <c r="H43" s="10">
        <v>0</v>
      </c>
      <c r="I43" s="10">
        <v>0</v>
      </c>
      <c r="J43" s="11">
        <v>77</v>
      </c>
      <c r="K43" s="11">
        <v>31</v>
      </c>
      <c r="L43" s="11">
        <v>0</v>
      </c>
    </row>
    <row r="44" spans="1:12" x14ac:dyDescent="0.3">
      <c r="A44" s="9" t="s">
        <v>7</v>
      </c>
      <c r="B44" s="10">
        <v>0</v>
      </c>
      <c r="C44" s="10">
        <v>0</v>
      </c>
      <c r="D44" s="10">
        <v>354209.8600000001</v>
      </c>
      <c r="E44" s="10">
        <v>0</v>
      </c>
      <c r="F44" s="10">
        <v>272.8</v>
      </c>
      <c r="G44" s="10">
        <v>0</v>
      </c>
      <c r="H44" s="10">
        <v>0</v>
      </c>
      <c r="I44" s="10">
        <v>0</v>
      </c>
      <c r="J44" s="11">
        <v>15</v>
      </c>
      <c r="K44" s="11">
        <v>13</v>
      </c>
      <c r="L44" s="11">
        <v>0</v>
      </c>
    </row>
    <row r="46" spans="1:12" x14ac:dyDescent="0.3">
      <c r="A46" s="12">
        <v>45444</v>
      </c>
    </row>
    <row r="47" spans="1:12" ht="43.2" x14ac:dyDescent="0.3">
      <c r="A47" s="6" t="s">
        <v>4</v>
      </c>
      <c r="B47" s="7" t="s">
        <v>10</v>
      </c>
      <c r="C47" s="7" t="s">
        <v>11</v>
      </c>
      <c r="D47" s="7" t="s">
        <v>12</v>
      </c>
      <c r="E47" s="7" t="s">
        <v>13</v>
      </c>
      <c r="F47" s="7" t="s">
        <v>28</v>
      </c>
      <c r="G47" s="7" t="s">
        <v>27</v>
      </c>
      <c r="H47" s="7" t="s">
        <v>20</v>
      </c>
      <c r="I47" s="7" t="s">
        <v>21</v>
      </c>
      <c r="J47" s="8" t="s">
        <v>18</v>
      </c>
      <c r="K47" s="8" t="s">
        <v>14</v>
      </c>
      <c r="L47" s="8" t="s">
        <v>15</v>
      </c>
    </row>
    <row r="48" spans="1:12" x14ac:dyDescent="0.3">
      <c r="A48" s="9" t="s">
        <v>5</v>
      </c>
      <c r="B48" s="10">
        <v>4273.2299999999996</v>
      </c>
      <c r="C48" s="10">
        <v>0</v>
      </c>
      <c r="D48" s="10">
        <v>379453.74999999971</v>
      </c>
      <c r="E48" s="10">
        <v>0</v>
      </c>
      <c r="F48" s="10">
        <v>1255.47</v>
      </c>
      <c r="G48" s="10">
        <v>0</v>
      </c>
      <c r="H48" s="10">
        <v>6332.68</v>
      </c>
      <c r="I48" s="10">
        <v>12611.49</v>
      </c>
      <c r="J48" s="11">
        <v>774</v>
      </c>
      <c r="K48" s="11">
        <v>424</v>
      </c>
      <c r="L48" s="11">
        <v>0</v>
      </c>
    </row>
    <row r="49" spans="1:12" x14ac:dyDescent="0.3">
      <c r="A49" s="9" t="s">
        <v>9</v>
      </c>
      <c r="B49" s="10">
        <v>0</v>
      </c>
      <c r="C49" s="10">
        <v>0</v>
      </c>
      <c r="D49" s="10">
        <v>0.34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1">
        <v>0</v>
      </c>
      <c r="K49" s="11">
        <v>0</v>
      </c>
      <c r="L49" s="11">
        <v>0</v>
      </c>
    </row>
    <row r="50" spans="1:12" x14ac:dyDescent="0.3">
      <c r="A50" s="9" t="s">
        <v>6</v>
      </c>
      <c r="B50" s="10">
        <v>19536.38</v>
      </c>
      <c r="C50" s="10">
        <v>0</v>
      </c>
      <c r="D50" s="10">
        <v>856677.17999999993</v>
      </c>
      <c r="E50" s="10">
        <v>0</v>
      </c>
      <c r="F50" s="10">
        <v>10657.55</v>
      </c>
      <c r="G50" s="10">
        <v>0</v>
      </c>
      <c r="H50" s="10">
        <v>50690.09</v>
      </c>
      <c r="I50" s="10">
        <v>0</v>
      </c>
      <c r="J50" s="11">
        <v>88</v>
      </c>
      <c r="K50" s="11">
        <v>25</v>
      </c>
      <c r="L50" s="11">
        <v>0</v>
      </c>
    </row>
    <row r="51" spans="1:12" x14ac:dyDescent="0.3">
      <c r="A51" s="9" t="s">
        <v>7</v>
      </c>
      <c r="B51" s="10">
        <v>0</v>
      </c>
      <c r="C51" s="10">
        <v>0</v>
      </c>
      <c r="D51" s="10">
        <v>576897.16</v>
      </c>
      <c r="E51" s="10">
        <v>0</v>
      </c>
      <c r="F51" s="10">
        <v>621.01</v>
      </c>
      <c r="G51" s="10">
        <v>0</v>
      </c>
      <c r="H51" s="10">
        <v>0</v>
      </c>
      <c r="I51" s="10">
        <v>0</v>
      </c>
      <c r="J51" s="11">
        <v>7</v>
      </c>
      <c r="K51" s="11">
        <v>14</v>
      </c>
      <c r="L51" s="11">
        <v>0</v>
      </c>
    </row>
    <row r="53" spans="1:12" x14ac:dyDescent="0.3">
      <c r="A53" s="12">
        <v>45474</v>
      </c>
    </row>
    <row r="54" spans="1:12" ht="33" customHeight="1" x14ac:dyDescent="0.3">
      <c r="A54" s="6" t="s">
        <v>4</v>
      </c>
      <c r="B54" s="7" t="s">
        <v>10</v>
      </c>
      <c r="C54" s="7" t="s">
        <v>11</v>
      </c>
      <c r="D54" s="7" t="s">
        <v>12</v>
      </c>
      <c r="E54" s="7" t="s">
        <v>13</v>
      </c>
      <c r="F54" s="7" t="s">
        <v>28</v>
      </c>
      <c r="G54" s="7" t="s">
        <v>27</v>
      </c>
      <c r="H54" s="7" t="s">
        <v>20</v>
      </c>
      <c r="I54" s="7" t="s">
        <v>21</v>
      </c>
      <c r="J54" s="8" t="s">
        <v>18</v>
      </c>
      <c r="K54" s="8" t="s">
        <v>14</v>
      </c>
      <c r="L54" s="8" t="s">
        <v>15</v>
      </c>
    </row>
    <row r="55" spans="1:12" x14ac:dyDescent="0.3">
      <c r="A55" s="9" t="s">
        <v>5</v>
      </c>
      <c r="B55" s="10">
        <v>9478.2800000000007</v>
      </c>
      <c r="C55" s="10">
        <v>0</v>
      </c>
      <c r="D55" s="10">
        <v>409777.05999999976</v>
      </c>
      <c r="E55" s="10">
        <v>0</v>
      </c>
      <c r="F55" s="10">
        <v>2599.52</v>
      </c>
      <c r="G55" s="10">
        <v>0</v>
      </c>
      <c r="H55" s="10">
        <v>28148.15</v>
      </c>
      <c r="I55" s="10">
        <v>0</v>
      </c>
      <c r="J55" s="11">
        <v>929</v>
      </c>
      <c r="K55" s="11">
        <v>507</v>
      </c>
      <c r="L55" s="11">
        <v>0</v>
      </c>
    </row>
    <row r="56" spans="1:12" x14ac:dyDescent="0.3">
      <c r="A56" s="9" t="s">
        <v>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1">
        <v>0</v>
      </c>
      <c r="K56" s="11">
        <v>0</v>
      </c>
      <c r="L56" s="11">
        <v>0</v>
      </c>
    </row>
    <row r="57" spans="1:12" x14ac:dyDescent="0.3">
      <c r="A57" s="9" t="s">
        <v>6</v>
      </c>
      <c r="B57" s="10">
        <v>0</v>
      </c>
      <c r="C57" s="10">
        <v>0</v>
      </c>
      <c r="D57" s="10">
        <v>815631.62</v>
      </c>
      <c r="E57" s="10">
        <v>0</v>
      </c>
      <c r="F57" s="10">
        <v>0</v>
      </c>
      <c r="G57" s="10">
        <v>0</v>
      </c>
      <c r="H57" s="10">
        <v>11521.66</v>
      </c>
      <c r="I57" s="10">
        <v>0</v>
      </c>
      <c r="J57" s="11">
        <v>83</v>
      </c>
      <c r="K57" s="11">
        <v>43</v>
      </c>
      <c r="L57" s="11">
        <v>0</v>
      </c>
    </row>
    <row r="58" spans="1:12" x14ac:dyDescent="0.3">
      <c r="A58" s="9" t="s">
        <v>7</v>
      </c>
      <c r="B58" s="10">
        <v>0</v>
      </c>
      <c r="C58" s="10">
        <v>0</v>
      </c>
      <c r="D58" s="10">
        <v>234194.09999999998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1">
        <v>5</v>
      </c>
      <c r="K58" s="11">
        <v>11</v>
      </c>
      <c r="L58" s="11">
        <v>0</v>
      </c>
    </row>
    <row r="60" spans="1:12" x14ac:dyDescent="0.3">
      <c r="A60" s="12">
        <v>45505</v>
      </c>
    </row>
    <row r="61" spans="1:12" ht="43.2" x14ac:dyDescent="0.3">
      <c r="A61" s="6" t="s">
        <v>4</v>
      </c>
      <c r="B61" s="7" t="s">
        <v>10</v>
      </c>
      <c r="C61" s="7" t="s">
        <v>11</v>
      </c>
      <c r="D61" s="7" t="s">
        <v>12</v>
      </c>
      <c r="E61" s="7" t="s">
        <v>13</v>
      </c>
      <c r="F61" s="7" t="s">
        <v>28</v>
      </c>
      <c r="G61" s="7" t="s">
        <v>27</v>
      </c>
      <c r="H61" s="7" t="s">
        <v>20</v>
      </c>
      <c r="I61" s="7" t="s">
        <v>21</v>
      </c>
      <c r="J61" s="8" t="s">
        <v>18</v>
      </c>
      <c r="K61" s="8" t="s">
        <v>14</v>
      </c>
      <c r="L61" s="8" t="s">
        <v>15</v>
      </c>
    </row>
    <row r="62" spans="1:12" x14ac:dyDescent="0.3">
      <c r="A62" s="9" t="s">
        <v>5</v>
      </c>
      <c r="B62" s="10">
        <v>41993.689999999995</v>
      </c>
      <c r="C62" s="10">
        <v>0</v>
      </c>
      <c r="D62" s="10">
        <v>450153.07000000018</v>
      </c>
      <c r="E62" s="10">
        <v>0</v>
      </c>
      <c r="F62" s="10">
        <v>0</v>
      </c>
      <c r="G62" s="10">
        <v>0</v>
      </c>
      <c r="H62" s="10">
        <v>44645.380000000005</v>
      </c>
      <c r="I62" s="10">
        <v>0</v>
      </c>
      <c r="J62" s="11">
        <v>821</v>
      </c>
      <c r="K62" s="11">
        <v>511</v>
      </c>
      <c r="L62" s="11">
        <v>0</v>
      </c>
    </row>
    <row r="63" spans="1:12" x14ac:dyDescent="0.3">
      <c r="A63" s="9" t="s">
        <v>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1">
        <v>0</v>
      </c>
      <c r="K63" s="11">
        <v>0</v>
      </c>
      <c r="L63" s="11">
        <v>0</v>
      </c>
    </row>
    <row r="64" spans="1:12" x14ac:dyDescent="0.3">
      <c r="A64" s="9" t="s">
        <v>6</v>
      </c>
      <c r="B64" s="10">
        <v>0</v>
      </c>
      <c r="C64" s="10">
        <v>0</v>
      </c>
      <c r="D64" s="10">
        <v>1083796.54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1">
        <v>66</v>
      </c>
      <c r="K64" s="11">
        <v>51</v>
      </c>
      <c r="L64" s="11">
        <v>0</v>
      </c>
    </row>
    <row r="65" spans="1:12" x14ac:dyDescent="0.3">
      <c r="A65" s="9" t="s">
        <v>7</v>
      </c>
      <c r="B65" s="10">
        <v>0</v>
      </c>
      <c r="C65" s="10">
        <v>0</v>
      </c>
      <c r="D65" s="10">
        <v>154752.15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1">
        <v>8</v>
      </c>
      <c r="K65" s="11">
        <v>8</v>
      </c>
      <c r="L65" s="11">
        <v>0</v>
      </c>
    </row>
    <row r="67" spans="1:12" x14ac:dyDescent="0.3">
      <c r="A67" s="12">
        <v>45536</v>
      </c>
    </row>
    <row r="68" spans="1:12" ht="43.2" x14ac:dyDescent="0.3">
      <c r="A68" s="6" t="s">
        <v>4</v>
      </c>
      <c r="B68" s="7" t="s">
        <v>10</v>
      </c>
      <c r="C68" s="7" t="s">
        <v>11</v>
      </c>
      <c r="D68" s="7" t="s">
        <v>12</v>
      </c>
      <c r="E68" s="7" t="s">
        <v>13</v>
      </c>
      <c r="F68" s="7" t="s">
        <v>28</v>
      </c>
      <c r="G68" s="7" t="s">
        <v>27</v>
      </c>
      <c r="H68" s="7" t="s">
        <v>20</v>
      </c>
      <c r="I68" s="7" t="s">
        <v>21</v>
      </c>
      <c r="J68" s="8" t="s">
        <v>18</v>
      </c>
      <c r="K68" s="8" t="s">
        <v>14</v>
      </c>
      <c r="L68" s="8" t="s">
        <v>15</v>
      </c>
    </row>
    <row r="69" spans="1:12" x14ac:dyDescent="0.3">
      <c r="A69" s="9" t="s">
        <v>5</v>
      </c>
      <c r="B69" s="10">
        <v>38098.170000000006</v>
      </c>
      <c r="C69" s="10">
        <v>0</v>
      </c>
      <c r="D69" s="10">
        <v>446298.23999999976</v>
      </c>
      <c r="E69" s="10">
        <v>0</v>
      </c>
      <c r="F69" s="10">
        <v>8333.76</v>
      </c>
      <c r="G69" s="10">
        <v>0</v>
      </c>
      <c r="H69" s="10">
        <v>44841.090000000004</v>
      </c>
      <c r="I69" s="10">
        <v>0</v>
      </c>
      <c r="J69" s="11">
        <v>762</v>
      </c>
      <c r="K69" s="11">
        <v>517</v>
      </c>
      <c r="L69" s="11">
        <v>0</v>
      </c>
    </row>
    <row r="70" spans="1:12" x14ac:dyDescent="0.3">
      <c r="A70" s="9" t="s">
        <v>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1">
        <v>0</v>
      </c>
      <c r="K70" s="11">
        <v>0</v>
      </c>
      <c r="L70" s="11">
        <v>0</v>
      </c>
    </row>
    <row r="71" spans="1:12" x14ac:dyDescent="0.3">
      <c r="A71" s="9" t="s">
        <v>6</v>
      </c>
      <c r="B71" s="10">
        <v>0</v>
      </c>
      <c r="C71" s="10">
        <v>0</v>
      </c>
      <c r="D71" s="10">
        <v>683898.55</v>
      </c>
      <c r="E71" s="10">
        <v>0</v>
      </c>
      <c r="F71" s="10">
        <v>6316.55</v>
      </c>
      <c r="G71" s="10">
        <v>0</v>
      </c>
      <c r="H71" s="10">
        <v>8393.59</v>
      </c>
      <c r="I71" s="10">
        <v>0</v>
      </c>
      <c r="J71" s="11">
        <v>44</v>
      </c>
      <c r="K71" s="11">
        <v>47</v>
      </c>
      <c r="L71" s="11">
        <v>0</v>
      </c>
    </row>
    <row r="72" spans="1:12" x14ac:dyDescent="0.3">
      <c r="A72" s="9" t="s">
        <v>7</v>
      </c>
      <c r="B72" s="10">
        <v>0</v>
      </c>
      <c r="C72" s="10">
        <v>0</v>
      </c>
      <c r="D72" s="10">
        <v>20487.48</v>
      </c>
      <c r="E72" s="10">
        <v>0</v>
      </c>
      <c r="F72" s="10">
        <v>1065.48</v>
      </c>
      <c r="G72" s="10">
        <v>0</v>
      </c>
      <c r="H72" s="10">
        <v>0</v>
      </c>
      <c r="I72" s="10">
        <v>0</v>
      </c>
      <c r="J72" s="11">
        <v>3</v>
      </c>
      <c r="K72" s="11">
        <v>3</v>
      </c>
      <c r="L72" s="11">
        <v>0</v>
      </c>
    </row>
    <row r="74" spans="1:12" x14ac:dyDescent="0.3">
      <c r="A74" s="12">
        <v>45566</v>
      </c>
    </row>
    <row r="75" spans="1:12" ht="43.2" x14ac:dyDescent="0.3">
      <c r="A75" s="6" t="s">
        <v>4</v>
      </c>
      <c r="B75" s="7" t="s">
        <v>10</v>
      </c>
      <c r="C75" s="7" t="s">
        <v>11</v>
      </c>
      <c r="D75" s="7" t="s">
        <v>12</v>
      </c>
      <c r="E75" s="7" t="s">
        <v>13</v>
      </c>
      <c r="F75" s="7" t="s">
        <v>28</v>
      </c>
      <c r="G75" s="7" t="s">
        <v>27</v>
      </c>
      <c r="H75" s="7" t="s">
        <v>20</v>
      </c>
      <c r="I75" s="7" t="s">
        <v>21</v>
      </c>
      <c r="J75" s="8" t="s">
        <v>18</v>
      </c>
      <c r="K75" s="8" t="s">
        <v>14</v>
      </c>
      <c r="L75" s="8" t="s">
        <v>15</v>
      </c>
    </row>
    <row r="76" spans="1:12" s="19" customFormat="1" x14ac:dyDescent="0.3">
      <c r="A76" s="16" t="s">
        <v>5</v>
      </c>
      <c r="B76" s="17">
        <v>3271.84</v>
      </c>
      <c r="C76" s="17">
        <v>0</v>
      </c>
      <c r="D76" s="17">
        <v>837979.34000000043</v>
      </c>
      <c r="E76" s="17">
        <v>0</v>
      </c>
      <c r="F76" s="17">
        <v>5429.77</v>
      </c>
      <c r="G76" s="17">
        <v>0</v>
      </c>
      <c r="H76" s="17">
        <v>43716.509999999995</v>
      </c>
      <c r="I76" s="17">
        <v>0</v>
      </c>
      <c r="J76" s="18">
        <v>813</v>
      </c>
      <c r="K76" s="18">
        <v>528</v>
      </c>
      <c r="L76" s="18">
        <v>0</v>
      </c>
    </row>
    <row r="77" spans="1:12" x14ac:dyDescent="0.3">
      <c r="A77" s="9" t="s">
        <v>9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1">
        <v>0</v>
      </c>
      <c r="K77" s="11">
        <v>0</v>
      </c>
      <c r="L77" s="11">
        <v>0</v>
      </c>
    </row>
    <row r="78" spans="1:12" x14ac:dyDescent="0.3">
      <c r="A78" s="9" t="s">
        <v>6</v>
      </c>
      <c r="B78" s="10">
        <v>0</v>
      </c>
      <c r="C78" s="10">
        <v>0</v>
      </c>
      <c r="D78" s="10">
        <v>0.9</v>
      </c>
      <c r="E78" s="10">
        <v>0</v>
      </c>
      <c r="F78" s="10">
        <v>5366.06</v>
      </c>
      <c r="G78" s="10">
        <v>0</v>
      </c>
      <c r="H78" s="10">
        <v>17958.539999999997</v>
      </c>
      <c r="I78" s="10">
        <v>13041.99</v>
      </c>
      <c r="J78" s="11">
        <v>72</v>
      </c>
      <c r="K78" s="11">
        <v>40</v>
      </c>
      <c r="L78" s="11">
        <v>0</v>
      </c>
    </row>
    <row r="79" spans="1:12" x14ac:dyDescent="0.3">
      <c r="A79" s="9" t="s">
        <v>7</v>
      </c>
      <c r="B79" s="10">
        <v>0</v>
      </c>
      <c r="C79" s="10">
        <v>0</v>
      </c>
      <c r="D79" s="10">
        <v>82440.22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1">
        <v>4</v>
      </c>
      <c r="K79" s="11">
        <v>4</v>
      </c>
      <c r="L79" s="11">
        <v>0</v>
      </c>
    </row>
    <row r="81" spans="1:12" x14ac:dyDescent="0.3">
      <c r="A81" s="12">
        <v>45597</v>
      </c>
    </row>
    <row r="82" spans="1:12" ht="43.2" x14ac:dyDescent="0.3">
      <c r="A82" s="6" t="s">
        <v>4</v>
      </c>
      <c r="B82" s="7" t="s">
        <v>10</v>
      </c>
      <c r="C82" s="7" t="s">
        <v>11</v>
      </c>
      <c r="D82" s="7" t="s">
        <v>12</v>
      </c>
      <c r="E82" s="7" t="s">
        <v>13</v>
      </c>
      <c r="F82" s="7" t="s">
        <v>28</v>
      </c>
      <c r="G82" s="7" t="s">
        <v>27</v>
      </c>
      <c r="H82" s="7" t="s">
        <v>20</v>
      </c>
      <c r="I82" s="7" t="s">
        <v>21</v>
      </c>
      <c r="J82" s="8" t="s">
        <v>18</v>
      </c>
      <c r="K82" s="8" t="s">
        <v>14</v>
      </c>
      <c r="L82" s="8" t="s">
        <v>15</v>
      </c>
    </row>
    <row r="83" spans="1:12" x14ac:dyDescent="0.3">
      <c r="A83" s="9" t="s">
        <v>5</v>
      </c>
      <c r="B83" s="10">
        <v>15878.1</v>
      </c>
      <c r="C83" s="10">
        <v>0</v>
      </c>
      <c r="D83" s="10">
        <v>473075.9600000006</v>
      </c>
      <c r="E83" s="10">
        <v>0</v>
      </c>
      <c r="F83" s="10">
        <v>1426.13</v>
      </c>
      <c r="G83" s="10">
        <v>0</v>
      </c>
      <c r="H83" s="10">
        <v>60598.18</v>
      </c>
      <c r="I83" s="10">
        <v>0</v>
      </c>
      <c r="J83" s="11">
        <v>665</v>
      </c>
      <c r="K83" s="11">
        <v>486</v>
      </c>
      <c r="L83" s="11">
        <v>0</v>
      </c>
    </row>
    <row r="84" spans="1:12" x14ac:dyDescent="0.3">
      <c r="A84" s="9" t="s">
        <v>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1">
        <v>0</v>
      </c>
      <c r="K84" s="11">
        <v>0</v>
      </c>
      <c r="L84" s="11">
        <v>0</v>
      </c>
    </row>
    <row r="85" spans="1:12" x14ac:dyDescent="0.3">
      <c r="A85" s="9" t="s">
        <v>6</v>
      </c>
      <c r="B85" s="10">
        <v>0</v>
      </c>
      <c r="C85" s="10">
        <v>0</v>
      </c>
      <c r="D85" s="10">
        <v>762295.25999999989</v>
      </c>
      <c r="E85" s="10">
        <v>0</v>
      </c>
      <c r="F85" s="10">
        <v>0</v>
      </c>
      <c r="G85" s="10">
        <v>0</v>
      </c>
      <c r="H85" s="10">
        <v>1589.35</v>
      </c>
      <c r="I85" s="10">
        <v>0</v>
      </c>
      <c r="J85" s="11">
        <v>46</v>
      </c>
      <c r="K85" s="11">
        <v>32</v>
      </c>
      <c r="L85" s="11">
        <v>0</v>
      </c>
    </row>
    <row r="86" spans="1:12" x14ac:dyDescent="0.3">
      <c r="A86" s="9" t="s">
        <v>7</v>
      </c>
      <c r="B86" s="10">
        <v>0</v>
      </c>
      <c r="C86" s="10">
        <v>0</v>
      </c>
      <c r="D86" s="10">
        <v>196248.00999999998</v>
      </c>
      <c r="E86" s="10">
        <v>0</v>
      </c>
      <c r="F86" s="10">
        <v>545.6</v>
      </c>
      <c r="G86" s="10">
        <v>0</v>
      </c>
      <c r="H86" s="10">
        <v>0</v>
      </c>
      <c r="I86" s="10">
        <v>0</v>
      </c>
      <c r="J86" s="11">
        <v>2</v>
      </c>
      <c r="K86" s="11">
        <v>6</v>
      </c>
      <c r="L86" s="11">
        <v>0</v>
      </c>
    </row>
    <row r="88" spans="1:12" x14ac:dyDescent="0.3">
      <c r="A88" s="12">
        <v>45627</v>
      </c>
    </row>
    <row r="89" spans="1:12" ht="43.2" x14ac:dyDescent="0.3">
      <c r="A89" s="6" t="s">
        <v>4</v>
      </c>
      <c r="B89" s="7" t="s">
        <v>10</v>
      </c>
      <c r="C89" s="7" t="s">
        <v>11</v>
      </c>
      <c r="D89" s="7" t="s">
        <v>12</v>
      </c>
      <c r="E89" s="7" t="s">
        <v>13</v>
      </c>
      <c r="F89" s="7" t="s">
        <v>28</v>
      </c>
      <c r="G89" s="7" t="s">
        <v>27</v>
      </c>
      <c r="H89" s="7" t="s">
        <v>20</v>
      </c>
      <c r="I89" s="7" t="s">
        <v>21</v>
      </c>
      <c r="J89" s="8" t="s">
        <v>18</v>
      </c>
      <c r="K89" s="8" t="s">
        <v>14</v>
      </c>
      <c r="L89" s="8" t="s">
        <v>15</v>
      </c>
    </row>
    <row r="90" spans="1:12" x14ac:dyDescent="0.3">
      <c r="A90" s="9" t="s">
        <v>5</v>
      </c>
      <c r="B90" s="10">
        <v>2095.84</v>
      </c>
      <c r="C90" s="10">
        <v>0</v>
      </c>
      <c r="D90" s="10">
        <v>542261.9499999996</v>
      </c>
      <c r="E90" s="10">
        <v>0</v>
      </c>
      <c r="F90" s="10">
        <v>5218.2800000000007</v>
      </c>
      <c r="G90" s="10">
        <v>0</v>
      </c>
      <c r="H90" s="10">
        <v>19749.77</v>
      </c>
      <c r="I90" s="10">
        <v>0</v>
      </c>
      <c r="J90" s="11">
        <v>638</v>
      </c>
      <c r="K90" s="11">
        <v>581</v>
      </c>
      <c r="L90" s="11">
        <v>0</v>
      </c>
    </row>
    <row r="91" spans="1:12" x14ac:dyDescent="0.3">
      <c r="A91" s="9" t="s">
        <v>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1">
        <v>0</v>
      </c>
      <c r="K91" s="11">
        <v>0</v>
      </c>
      <c r="L91" s="11">
        <v>0</v>
      </c>
    </row>
    <row r="92" spans="1:12" x14ac:dyDescent="0.3">
      <c r="A92" s="9" t="s">
        <v>6</v>
      </c>
      <c r="B92" s="10">
        <v>0</v>
      </c>
      <c r="C92" s="10">
        <v>0</v>
      </c>
      <c r="D92" s="10">
        <v>817611.57000000007</v>
      </c>
      <c r="E92" s="10">
        <v>0</v>
      </c>
      <c r="F92" s="10">
        <v>3280.98</v>
      </c>
      <c r="G92" s="10">
        <v>0</v>
      </c>
      <c r="H92" s="10">
        <v>28233.669999999995</v>
      </c>
      <c r="I92" s="10">
        <v>0</v>
      </c>
      <c r="J92" s="11">
        <v>49</v>
      </c>
      <c r="K92" s="11">
        <v>37</v>
      </c>
      <c r="L92" s="11">
        <v>0</v>
      </c>
    </row>
    <row r="93" spans="1:12" x14ac:dyDescent="0.3">
      <c r="A93" s="9" t="s">
        <v>7</v>
      </c>
      <c r="B93" s="10">
        <v>0</v>
      </c>
      <c r="C93" s="10">
        <v>0</v>
      </c>
      <c r="D93" s="10">
        <v>198149.91999999998</v>
      </c>
      <c r="E93" s="10">
        <v>0</v>
      </c>
      <c r="F93" s="10">
        <v>5.66</v>
      </c>
      <c r="G93" s="10">
        <v>0</v>
      </c>
      <c r="H93" s="10">
        <v>0</v>
      </c>
      <c r="I93" s="10">
        <v>0</v>
      </c>
      <c r="J93" s="11">
        <v>4</v>
      </c>
      <c r="K93" s="11">
        <v>4</v>
      </c>
      <c r="L93" s="11">
        <v>0</v>
      </c>
    </row>
    <row r="95" spans="1:12" x14ac:dyDescent="0.3">
      <c r="A95" s="3" t="s">
        <v>22</v>
      </c>
    </row>
    <row r="96" spans="1:12" x14ac:dyDescent="0.3">
      <c r="A96" s="3" t="s">
        <v>23</v>
      </c>
    </row>
    <row r="97" spans="1:1" x14ac:dyDescent="0.3">
      <c r="A97" s="3" t="s">
        <v>24</v>
      </c>
    </row>
    <row r="98" spans="1:1" x14ac:dyDescent="0.3">
      <c r="A98" s="3" t="s">
        <v>25</v>
      </c>
    </row>
    <row r="100" spans="1:1" x14ac:dyDescent="0.3">
      <c r="A100" s="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EB09-074F-49A7-A5EF-7BCC111968A7}">
  <dimension ref="A1:L100"/>
  <sheetViews>
    <sheetView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E83" sqref="E83"/>
    </sheetView>
  </sheetViews>
  <sheetFormatPr defaultColWidth="39.21875" defaultRowHeight="14.4" x14ac:dyDescent="0.3"/>
  <cols>
    <col min="1" max="1" width="22" style="3" customWidth="1"/>
    <col min="2" max="9" width="24.21875" style="2" customWidth="1"/>
    <col min="10" max="10" width="24.21875" style="3" customWidth="1"/>
    <col min="11" max="11" width="24.21875" style="14" customWidth="1"/>
    <col min="12" max="12" width="24.21875" style="3" customWidth="1"/>
    <col min="13" max="16384" width="39.21875" style="3"/>
  </cols>
  <sheetData>
    <row r="1" spans="1:12" x14ac:dyDescent="0.3">
      <c r="A1" s="1" t="s">
        <v>34</v>
      </c>
    </row>
    <row r="2" spans="1:12" x14ac:dyDescent="0.3">
      <c r="A2" s="1" t="s">
        <v>30</v>
      </c>
      <c r="E2" s="13"/>
    </row>
    <row r="3" spans="1:12" x14ac:dyDescent="0.3">
      <c r="A3" s="1" t="s">
        <v>29</v>
      </c>
    </row>
    <row r="4" spans="1:12" x14ac:dyDescent="0.3">
      <c r="A4" s="4" t="s">
        <v>31</v>
      </c>
      <c r="J4" s="5"/>
      <c r="K4" s="15"/>
      <c r="L4" s="5"/>
    </row>
    <row r="5" spans="1:12" ht="43.2" x14ac:dyDescent="0.3">
      <c r="A5" s="6" t="s">
        <v>4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28</v>
      </c>
      <c r="G5" s="7" t="s">
        <v>27</v>
      </c>
      <c r="H5" s="7" t="s">
        <v>20</v>
      </c>
      <c r="I5" s="7" t="s">
        <v>21</v>
      </c>
      <c r="J5" s="8" t="s">
        <v>18</v>
      </c>
      <c r="K5" s="8" t="s">
        <v>14</v>
      </c>
      <c r="L5" s="8" t="s">
        <v>15</v>
      </c>
    </row>
    <row r="6" spans="1:12" x14ac:dyDescent="0.3">
      <c r="A6" s="9" t="s">
        <v>5</v>
      </c>
      <c r="B6" s="10">
        <f t="shared" ref="B6:L9" si="0">SUM(B13,B20,B27,B34,B41,B48,B55,B62,B69,B76,B83,B90)</f>
        <v>4093.03</v>
      </c>
      <c r="C6" s="10">
        <f t="shared" si="0"/>
        <v>0</v>
      </c>
      <c r="D6" s="10">
        <f t="shared" si="0"/>
        <v>96232.95</v>
      </c>
      <c r="E6" s="10">
        <f t="shared" si="0"/>
        <v>0</v>
      </c>
      <c r="F6" s="10">
        <f t="shared" si="0"/>
        <v>0</v>
      </c>
      <c r="G6" s="10">
        <f t="shared" si="0"/>
        <v>0</v>
      </c>
      <c r="H6" s="10">
        <f t="shared" si="0"/>
        <v>3764.63</v>
      </c>
      <c r="I6" s="10">
        <f t="shared" si="0"/>
        <v>0</v>
      </c>
      <c r="J6" s="11">
        <f t="shared" si="0"/>
        <v>200</v>
      </c>
      <c r="K6" s="11">
        <f t="shared" si="0"/>
        <v>95</v>
      </c>
      <c r="L6" s="11">
        <f>SUM(L13,L20,L27,L34,L41,L48,L55,L62,L69,L76,L83,L90)</f>
        <v>1</v>
      </c>
    </row>
    <row r="7" spans="1:12" x14ac:dyDescent="0.3">
      <c r="A7" s="9" t="s">
        <v>9</v>
      </c>
      <c r="B7" s="10">
        <f t="shared" si="0"/>
        <v>0</v>
      </c>
      <c r="C7" s="10">
        <f t="shared" si="0"/>
        <v>0</v>
      </c>
      <c r="D7" s="10">
        <f>SUM(D14,D21,D28,D35,D42,D49,D56,D63,D70,D77,D84,D91)</f>
        <v>0</v>
      </c>
      <c r="E7" s="10">
        <f t="shared" si="0"/>
        <v>0</v>
      </c>
      <c r="F7" s="10">
        <f t="shared" si="0"/>
        <v>0</v>
      </c>
      <c r="G7" s="10">
        <f t="shared" si="0"/>
        <v>0</v>
      </c>
      <c r="H7" s="10">
        <f t="shared" si="0"/>
        <v>0</v>
      </c>
      <c r="I7" s="10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</row>
    <row r="8" spans="1:12" x14ac:dyDescent="0.3">
      <c r="A8" s="9" t="s">
        <v>6</v>
      </c>
      <c r="B8" s="10">
        <f t="shared" si="0"/>
        <v>30380.59</v>
      </c>
      <c r="C8" s="10">
        <f t="shared" si="0"/>
        <v>0</v>
      </c>
      <c r="D8" s="10">
        <f>SUM(D15,D22,D29,D36,D43,D50,D57,D64,D71,D78,D85,D92)</f>
        <v>658190.2699999999</v>
      </c>
      <c r="E8" s="10">
        <f t="shared" si="0"/>
        <v>0</v>
      </c>
      <c r="F8" s="10">
        <f t="shared" si="0"/>
        <v>0</v>
      </c>
      <c r="G8" s="10">
        <f t="shared" si="0"/>
        <v>0</v>
      </c>
      <c r="H8" s="10">
        <f t="shared" si="0"/>
        <v>49264.99</v>
      </c>
      <c r="I8" s="10">
        <f t="shared" si="0"/>
        <v>0</v>
      </c>
      <c r="J8" s="11">
        <f t="shared" si="0"/>
        <v>164</v>
      </c>
      <c r="K8" s="11">
        <f t="shared" si="0"/>
        <v>42</v>
      </c>
      <c r="L8" s="11">
        <f t="shared" si="0"/>
        <v>0</v>
      </c>
    </row>
    <row r="9" spans="1:12" x14ac:dyDescent="0.3">
      <c r="A9" s="9" t="s">
        <v>7</v>
      </c>
      <c r="B9" s="10">
        <f t="shared" si="0"/>
        <v>815.97</v>
      </c>
      <c r="C9" s="10">
        <f t="shared" si="0"/>
        <v>0</v>
      </c>
      <c r="D9" s="10">
        <f>SUM(D16,D23,D30,D37,D44,D51,D58,D65,D72,D79,D86,D93)</f>
        <v>167994.69</v>
      </c>
      <c r="E9" s="10">
        <f t="shared" si="0"/>
        <v>0</v>
      </c>
      <c r="F9" s="10">
        <f t="shared" si="0"/>
        <v>406.1</v>
      </c>
      <c r="G9" s="10">
        <f t="shared" si="0"/>
        <v>0</v>
      </c>
      <c r="H9" s="10">
        <f t="shared" si="0"/>
        <v>1429.7199999999998</v>
      </c>
      <c r="I9" s="10">
        <f t="shared" si="0"/>
        <v>0</v>
      </c>
      <c r="J9" s="11">
        <f t="shared" si="0"/>
        <v>30</v>
      </c>
      <c r="K9" s="11">
        <f t="shared" si="0"/>
        <v>10</v>
      </c>
      <c r="L9" s="11">
        <f t="shared" si="0"/>
        <v>0</v>
      </c>
    </row>
    <row r="10" spans="1:12" x14ac:dyDescent="0.3">
      <c r="J10" s="5"/>
      <c r="K10" s="15"/>
      <c r="L10" s="5"/>
    </row>
    <row r="11" spans="1:12" x14ac:dyDescent="0.3">
      <c r="A11" s="12">
        <v>45292</v>
      </c>
    </row>
    <row r="12" spans="1:12" ht="43.2" x14ac:dyDescent="0.3">
      <c r="A12" s="6" t="s">
        <v>4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28</v>
      </c>
      <c r="G12" s="7" t="s">
        <v>27</v>
      </c>
      <c r="H12" s="7" t="s">
        <v>20</v>
      </c>
      <c r="I12" s="7" t="s">
        <v>21</v>
      </c>
      <c r="J12" s="8" t="s">
        <v>18</v>
      </c>
      <c r="K12" s="8" t="s">
        <v>14</v>
      </c>
      <c r="L12" s="8" t="s">
        <v>15</v>
      </c>
    </row>
    <row r="13" spans="1:12" x14ac:dyDescent="0.3">
      <c r="A13" s="9" t="s">
        <v>5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1">
        <v>9</v>
      </c>
      <c r="K13" s="11">
        <v>1</v>
      </c>
      <c r="L13" s="11">
        <v>0</v>
      </c>
    </row>
    <row r="14" spans="1:12" x14ac:dyDescent="0.3">
      <c r="A14" s="9" t="s">
        <v>9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1">
        <v>0</v>
      </c>
      <c r="K14" s="11">
        <v>0</v>
      </c>
      <c r="L14" s="11">
        <v>0</v>
      </c>
    </row>
    <row r="15" spans="1:12" x14ac:dyDescent="0.3">
      <c r="A15" s="9" t="s">
        <v>6</v>
      </c>
      <c r="B15" s="10">
        <v>0</v>
      </c>
      <c r="C15" s="10">
        <v>0</v>
      </c>
      <c r="D15" s="10">
        <v>57948.24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1">
        <v>3</v>
      </c>
      <c r="K15" s="11">
        <v>1</v>
      </c>
      <c r="L15" s="11">
        <v>0</v>
      </c>
    </row>
    <row r="16" spans="1:12" x14ac:dyDescent="0.3">
      <c r="A16" s="9" t="s">
        <v>7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1">
        <v>0</v>
      </c>
      <c r="K16" s="11">
        <v>0</v>
      </c>
      <c r="L16" s="11">
        <v>0</v>
      </c>
    </row>
    <row r="18" spans="1:12" x14ac:dyDescent="0.3">
      <c r="A18" s="12">
        <v>45323</v>
      </c>
    </row>
    <row r="19" spans="1:12" ht="43.2" x14ac:dyDescent="0.3">
      <c r="A19" s="6" t="s">
        <v>4</v>
      </c>
      <c r="B19" s="7" t="s">
        <v>10</v>
      </c>
      <c r="C19" s="7" t="s">
        <v>11</v>
      </c>
      <c r="D19" s="7" t="s">
        <v>12</v>
      </c>
      <c r="E19" s="7" t="s">
        <v>13</v>
      </c>
      <c r="F19" s="7" t="s">
        <v>28</v>
      </c>
      <c r="G19" s="7" t="s">
        <v>27</v>
      </c>
      <c r="H19" s="7" t="s">
        <v>20</v>
      </c>
      <c r="I19" s="7" t="s">
        <v>21</v>
      </c>
      <c r="J19" s="8" t="s">
        <v>18</v>
      </c>
      <c r="K19" s="8" t="s">
        <v>14</v>
      </c>
      <c r="L19" s="8" t="s">
        <v>15</v>
      </c>
    </row>
    <row r="20" spans="1:12" x14ac:dyDescent="0.3">
      <c r="A20" s="9" t="s">
        <v>5</v>
      </c>
      <c r="B20" s="10">
        <v>0</v>
      </c>
      <c r="C20" s="10">
        <v>0</v>
      </c>
      <c r="D20" s="10">
        <v>6113.42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1">
        <v>9</v>
      </c>
      <c r="K20" s="11">
        <v>6</v>
      </c>
      <c r="L20" s="11">
        <v>0</v>
      </c>
    </row>
    <row r="21" spans="1:12" x14ac:dyDescent="0.3">
      <c r="A21" s="9" t="s">
        <v>9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1">
        <v>0</v>
      </c>
      <c r="K21" s="11">
        <v>0</v>
      </c>
      <c r="L21" s="11">
        <v>0</v>
      </c>
    </row>
    <row r="22" spans="1:12" x14ac:dyDescent="0.3">
      <c r="A22" s="9" t="s">
        <v>6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1">
        <v>3</v>
      </c>
      <c r="K22" s="11">
        <v>0</v>
      </c>
      <c r="L22" s="11">
        <v>0</v>
      </c>
    </row>
    <row r="23" spans="1:12" x14ac:dyDescent="0.3">
      <c r="A23" s="9" t="s">
        <v>7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1">
        <v>0</v>
      </c>
      <c r="K23" s="11">
        <v>0</v>
      </c>
      <c r="L23" s="11">
        <v>0</v>
      </c>
    </row>
    <row r="25" spans="1:12" x14ac:dyDescent="0.3">
      <c r="A25" s="12">
        <v>45352</v>
      </c>
    </row>
    <row r="26" spans="1:12" ht="43.2" x14ac:dyDescent="0.3">
      <c r="A26" s="6" t="s">
        <v>4</v>
      </c>
      <c r="B26" s="7" t="s">
        <v>10</v>
      </c>
      <c r="C26" s="7" t="s">
        <v>11</v>
      </c>
      <c r="D26" s="7" t="s">
        <v>12</v>
      </c>
      <c r="E26" s="7" t="s">
        <v>13</v>
      </c>
      <c r="F26" s="7" t="s">
        <v>28</v>
      </c>
      <c r="G26" s="7" t="s">
        <v>27</v>
      </c>
      <c r="H26" s="7" t="s">
        <v>20</v>
      </c>
      <c r="I26" s="7" t="s">
        <v>21</v>
      </c>
      <c r="J26" s="8" t="s">
        <v>18</v>
      </c>
      <c r="K26" s="8" t="s">
        <v>14</v>
      </c>
      <c r="L26" s="8" t="s">
        <v>15</v>
      </c>
    </row>
    <row r="27" spans="1:12" x14ac:dyDescent="0.3">
      <c r="A27" s="9" t="s">
        <v>5</v>
      </c>
      <c r="B27" s="10">
        <v>0</v>
      </c>
      <c r="C27" s="10">
        <v>0</v>
      </c>
      <c r="D27" s="10">
        <v>858.47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1">
        <v>3</v>
      </c>
      <c r="K27" s="11">
        <v>1</v>
      </c>
      <c r="L27" s="11">
        <v>0</v>
      </c>
    </row>
    <row r="28" spans="1:12" x14ac:dyDescent="0.3">
      <c r="A28" s="9" t="s">
        <v>9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1">
        <v>0</v>
      </c>
      <c r="K28" s="11">
        <v>0</v>
      </c>
      <c r="L28" s="11">
        <v>0</v>
      </c>
    </row>
    <row r="29" spans="1:12" x14ac:dyDescent="0.3">
      <c r="A29" s="9" t="s">
        <v>6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1">
        <v>4</v>
      </c>
      <c r="K29" s="11">
        <v>0</v>
      </c>
      <c r="L29" s="11">
        <v>0</v>
      </c>
    </row>
    <row r="30" spans="1:12" x14ac:dyDescent="0.3">
      <c r="A30" s="9" t="s">
        <v>7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1">
        <v>0</v>
      </c>
      <c r="K30" s="11">
        <v>0</v>
      </c>
      <c r="L30" s="11">
        <v>0</v>
      </c>
    </row>
    <row r="32" spans="1:12" x14ac:dyDescent="0.3">
      <c r="A32" s="12">
        <v>45383</v>
      </c>
    </row>
    <row r="33" spans="1:12" ht="43.2" x14ac:dyDescent="0.3">
      <c r="A33" s="6" t="s">
        <v>4</v>
      </c>
      <c r="B33" s="7" t="s">
        <v>10</v>
      </c>
      <c r="C33" s="7" t="s">
        <v>11</v>
      </c>
      <c r="D33" s="7" t="s">
        <v>12</v>
      </c>
      <c r="E33" s="7" t="s">
        <v>13</v>
      </c>
      <c r="F33" s="7" t="s">
        <v>28</v>
      </c>
      <c r="G33" s="7" t="s">
        <v>27</v>
      </c>
      <c r="H33" s="7" t="s">
        <v>20</v>
      </c>
      <c r="I33" s="7" t="s">
        <v>21</v>
      </c>
      <c r="J33" s="8" t="s">
        <v>18</v>
      </c>
      <c r="K33" s="8" t="s">
        <v>14</v>
      </c>
      <c r="L33" s="8" t="s">
        <v>15</v>
      </c>
    </row>
    <row r="34" spans="1:12" x14ac:dyDescent="0.3">
      <c r="A34" s="9" t="s">
        <v>5</v>
      </c>
      <c r="B34" s="10">
        <v>0</v>
      </c>
      <c r="C34" s="10">
        <v>0</v>
      </c>
      <c r="D34" s="10">
        <v>8469.83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1">
        <v>3</v>
      </c>
      <c r="K34" s="11">
        <v>6</v>
      </c>
      <c r="L34" s="11">
        <v>0</v>
      </c>
    </row>
    <row r="35" spans="1:12" x14ac:dyDescent="0.3">
      <c r="A35" s="9" t="s">
        <v>9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1">
        <v>0</v>
      </c>
      <c r="K35" s="11">
        <v>0</v>
      </c>
      <c r="L35" s="11">
        <v>0</v>
      </c>
    </row>
    <row r="36" spans="1:12" x14ac:dyDescent="0.3">
      <c r="A36" s="9" t="s">
        <v>6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1">
        <v>6</v>
      </c>
      <c r="K36" s="11">
        <v>0</v>
      </c>
      <c r="L36" s="11">
        <v>0</v>
      </c>
    </row>
    <row r="37" spans="1:12" x14ac:dyDescent="0.3">
      <c r="A37" s="9" t="s">
        <v>7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1">
        <v>0</v>
      </c>
      <c r="K37" s="11">
        <v>0</v>
      </c>
      <c r="L37" s="11">
        <v>0</v>
      </c>
    </row>
    <row r="39" spans="1:12" x14ac:dyDescent="0.3">
      <c r="A39" s="12">
        <v>45413</v>
      </c>
    </row>
    <row r="40" spans="1:12" ht="43.2" x14ac:dyDescent="0.3">
      <c r="A40" s="6" t="s">
        <v>4</v>
      </c>
      <c r="B40" s="7" t="s">
        <v>10</v>
      </c>
      <c r="C40" s="7" t="s">
        <v>11</v>
      </c>
      <c r="D40" s="7" t="s">
        <v>12</v>
      </c>
      <c r="E40" s="7" t="s">
        <v>13</v>
      </c>
      <c r="F40" s="7" t="s">
        <v>28</v>
      </c>
      <c r="G40" s="7" t="s">
        <v>27</v>
      </c>
      <c r="H40" s="7" t="s">
        <v>20</v>
      </c>
      <c r="I40" s="7" t="s">
        <v>21</v>
      </c>
      <c r="J40" s="8" t="s">
        <v>18</v>
      </c>
      <c r="K40" s="8" t="s">
        <v>14</v>
      </c>
      <c r="L40" s="8" t="s">
        <v>15</v>
      </c>
    </row>
    <row r="41" spans="1:12" x14ac:dyDescent="0.3">
      <c r="A41" s="9" t="s">
        <v>5</v>
      </c>
      <c r="B41" s="10">
        <v>0</v>
      </c>
      <c r="C41" s="10">
        <v>0</v>
      </c>
      <c r="D41" s="10">
        <v>4332.3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1">
        <v>8</v>
      </c>
      <c r="K41" s="11">
        <v>6</v>
      </c>
      <c r="L41" s="11">
        <v>0</v>
      </c>
    </row>
    <row r="42" spans="1:12" x14ac:dyDescent="0.3">
      <c r="A42" s="9" t="s">
        <v>9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1">
        <v>0</v>
      </c>
      <c r="K42" s="11">
        <v>0</v>
      </c>
      <c r="L42" s="11">
        <v>0</v>
      </c>
    </row>
    <row r="43" spans="1:12" x14ac:dyDescent="0.3">
      <c r="A43" s="9" t="s">
        <v>6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1">
        <v>3</v>
      </c>
      <c r="K43" s="11">
        <v>0</v>
      </c>
      <c r="L43" s="11">
        <v>0</v>
      </c>
    </row>
    <row r="44" spans="1:12" x14ac:dyDescent="0.3">
      <c r="A44" s="9" t="s">
        <v>7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1">
        <v>1</v>
      </c>
      <c r="K44" s="11">
        <v>0</v>
      </c>
      <c r="L44" s="11">
        <v>0</v>
      </c>
    </row>
    <row r="46" spans="1:12" x14ac:dyDescent="0.3">
      <c r="A46" s="12">
        <v>45444</v>
      </c>
    </row>
    <row r="47" spans="1:12" ht="43.2" x14ac:dyDescent="0.3">
      <c r="A47" s="6" t="s">
        <v>4</v>
      </c>
      <c r="B47" s="7" t="s">
        <v>10</v>
      </c>
      <c r="C47" s="7" t="s">
        <v>11</v>
      </c>
      <c r="D47" s="7" t="s">
        <v>12</v>
      </c>
      <c r="E47" s="7" t="s">
        <v>13</v>
      </c>
      <c r="F47" s="7" t="s">
        <v>28</v>
      </c>
      <c r="G47" s="7" t="s">
        <v>27</v>
      </c>
      <c r="H47" s="7" t="s">
        <v>20</v>
      </c>
      <c r="I47" s="7" t="s">
        <v>21</v>
      </c>
      <c r="J47" s="8" t="s">
        <v>18</v>
      </c>
      <c r="K47" s="8" t="s">
        <v>14</v>
      </c>
      <c r="L47" s="8" t="s">
        <v>15</v>
      </c>
    </row>
    <row r="48" spans="1:12" x14ac:dyDescent="0.3">
      <c r="A48" s="9" t="s">
        <v>5</v>
      </c>
      <c r="B48" s="10">
        <v>0</v>
      </c>
      <c r="C48" s="10">
        <v>0</v>
      </c>
      <c r="D48" s="10">
        <v>2196.7199999999998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1">
        <v>6</v>
      </c>
      <c r="K48" s="11">
        <v>3</v>
      </c>
      <c r="L48" s="11">
        <v>0</v>
      </c>
    </row>
    <row r="49" spans="1:12" x14ac:dyDescent="0.3">
      <c r="A49" s="9" t="s">
        <v>9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1">
        <v>0</v>
      </c>
      <c r="K49" s="11">
        <v>0</v>
      </c>
      <c r="L49" s="11">
        <v>0</v>
      </c>
    </row>
    <row r="50" spans="1:12" x14ac:dyDescent="0.3">
      <c r="A50" s="9" t="s">
        <v>6</v>
      </c>
      <c r="B50" s="10">
        <v>0</v>
      </c>
      <c r="C50" s="10">
        <v>0</v>
      </c>
      <c r="D50" s="10">
        <v>9162.24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1">
        <v>13</v>
      </c>
      <c r="K50" s="11">
        <v>2</v>
      </c>
      <c r="L50" s="11">
        <v>0</v>
      </c>
    </row>
    <row r="51" spans="1:12" x14ac:dyDescent="0.3">
      <c r="A51" s="9" t="s">
        <v>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1">
        <v>0</v>
      </c>
      <c r="K51" s="11">
        <v>0</v>
      </c>
      <c r="L51" s="11">
        <v>0</v>
      </c>
    </row>
    <row r="53" spans="1:12" x14ac:dyDescent="0.3">
      <c r="A53" s="12">
        <v>45474</v>
      </c>
    </row>
    <row r="54" spans="1:12" ht="46.5" customHeight="1" x14ac:dyDescent="0.3">
      <c r="A54" s="6" t="s">
        <v>4</v>
      </c>
      <c r="B54" s="7" t="s">
        <v>10</v>
      </c>
      <c r="C54" s="7" t="s">
        <v>11</v>
      </c>
      <c r="D54" s="7" t="s">
        <v>12</v>
      </c>
      <c r="E54" s="7" t="s">
        <v>13</v>
      </c>
      <c r="F54" s="7" t="s">
        <v>28</v>
      </c>
      <c r="G54" s="7" t="s">
        <v>27</v>
      </c>
      <c r="H54" s="7" t="s">
        <v>20</v>
      </c>
      <c r="I54" s="7" t="s">
        <v>21</v>
      </c>
      <c r="J54" s="8" t="s">
        <v>18</v>
      </c>
      <c r="K54" s="8" t="s">
        <v>14</v>
      </c>
      <c r="L54" s="8" t="s">
        <v>15</v>
      </c>
    </row>
    <row r="55" spans="1:12" x14ac:dyDescent="0.3">
      <c r="A55" s="9" t="s">
        <v>5</v>
      </c>
      <c r="B55" s="10">
        <v>0</v>
      </c>
      <c r="C55" s="10">
        <v>0</v>
      </c>
      <c r="D55" s="10">
        <v>2093.5099999999998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1">
        <v>21</v>
      </c>
      <c r="K55" s="11">
        <v>3</v>
      </c>
      <c r="L55" s="11">
        <v>0</v>
      </c>
    </row>
    <row r="56" spans="1:12" x14ac:dyDescent="0.3">
      <c r="A56" s="9" t="s">
        <v>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1">
        <v>0</v>
      </c>
      <c r="K56" s="11">
        <v>0</v>
      </c>
      <c r="L56" s="11">
        <v>0</v>
      </c>
    </row>
    <row r="57" spans="1:12" x14ac:dyDescent="0.3">
      <c r="A57" s="9" t="s">
        <v>6</v>
      </c>
      <c r="B57" s="10">
        <v>230.09</v>
      </c>
      <c r="C57" s="10">
        <v>0</v>
      </c>
      <c r="D57" s="10">
        <v>3877.75</v>
      </c>
      <c r="E57" s="10">
        <v>0</v>
      </c>
      <c r="F57" s="10">
        <v>0</v>
      </c>
      <c r="G57" s="10">
        <v>0</v>
      </c>
      <c r="H57" s="10">
        <v>5252.85</v>
      </c>
      <c r="I57" s="10">
        <v>0</v>
      </c>
      <c r="J57" s="11">
        <v>20</v>
      </c>
      <c r="K57" s="11">
        <v>1</v>
      </c>
      <c r="L57" s="11">
        <v>0</v>
      </c>
    </row>
    <row r="58" spans="1:12" x14ac:dyDescent="0.3">
      <c r="A58" s="9" t="s">
        <v>7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1">
        <v>2</v>
      </c>
      <c r="K58" s="11">
        <v>0</v>
      </c>
      <c r="L58" s="11">
        <v>0</v>
      </c>
    </row>
    <row r="60" spans="1:12" x14ac:dyDescent="0.3">
      <c r="A60" s="12">
        <v>45505</v>
      </c>
    </row>
    <row r="61" spans="1:12" ht="43.2" x14ac:dyDescent="0.3">
      <c r="A61" s="6" t="s">
        <v>4</v>
      </c>
      <c r="B61" s="7" t="s">
        <v>10</v>
      </c>
      <c r="C61" s="7" t="s">
        <v>11</v>
      </c>
      <c r="D61" s="7" t="s">
        <v>12</v>
      </c>
      <c r="E61" s="7" t="s">
        <v>13</v>
      </c>
      <c r="F61" s="7" t="s">
        <v>28</v>
      </c>
      <c r="G61" s="7" t="s">
        <v>27</v>
      </c>
      <c r="H61" s="7" t="s">
        <v>20</v>
      </c>
      <c r="I61" s="7" t="s">
        <v>21</v>
      </c>
      <c r="J61" s="8" t="s">
        <v>18</v>
      </c>
      <c r="K61" s="8" t="s">
        <v>14</v>
      </c>
      <c r="L61" s="8" t="s">
        <v>15</v>
      </c>
    </row>
    <row r="62" spans="1:12" x14ac:dyDescent="0.3">
      <c r="A62" s="9" t="s">
        <v>5</v>
      </c>
      <c r="B62" s="10">
        <v>0</v>
      </c>
      <c r="C62" s="10">
        <v>0</v>
      </c>
      <c r="D62" s="10">
        <v>10780.12</v>
      </c>
      <c r="E62" s="10">
        <v>0</v>
      </c>
      <c r="F62" s="10">
        <v>0</v>
      </c>
      <c r="G62" s="10">
        <v>0</v>
      </c>
      <c r="H62" s="10">
        <v>1627.75</v>
      </c>
      <c r="I62" s="10">
        <v>0</v>
      </c>
      <c r="J62" s="11">
        <v>32</v>
      </c>
      <c r="K62" s="11">
        <v>7</v>
      </c>
      <c r="L62" s="11">
        <v>0</v>
      </c>
    </row>
    <row r="63" spans="1:12" x14ac:dyDescent="0.3">
      <c r="A63" s="9" t="s">
        <v>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1">
        <v>0</v>
      </c>
      <c r="K63" s="11">
        <v>0</v>
      </c>
      <c r="L63" s="11">
        <v>0</v>
      </c>
    </row>
    <row r="64" spans="1:12" x14ac:dyDescent="0.3">
      <c r="A64" s="9" t="s">
        <v>6</v>
      </c>
      <c r="B64" s="10">
        <v>848.42</v>
      </c>
      <c r="C64" s="10">
        <v>0</v>
      </c>
      <c r="D64" s="10">
        <v>308357.52</v>
      </c>
      <c r="E64" s="10">
        <v>0</v>
      </c>
      <c r="F64" s="10">
        <v>0</v>
      </c>
      <c r="G64" s="10">
        <v>0</v>
      </c>
      <c r="H64" s="10">
        <v>2151.98</v>
      </c>
      <c r="I64" s="10">
        <v>0</v>
      </c>
      <c r="J64" s="11">
        <v>25</v>
      </c>
      <c r="K64" s="11">
        <v>5</v>
      </c>
      <c r="L64" s="11">
        <v>0</v>
      </c>
    </row>
    <row r="65" spans="1:12" x14ac:dyDescent="0.3">
      <c r="A65" s="9" t="s">
        <v>7</v>
      </c>
      <c r="B65" s="10">
        <v>0</v>
      </c>
      <c r="C65" s="10">
        <v>0</v>
      </c>
      <c r="D65" s="10">
        <v>40536.99</v>
      </c>
      <c r="E65" s="10">
        <v>0</v>
      </c>
      <c r="F65" s="10">
        <v>0</v>
      </c>
      <c r="G65" s="10">
        <v>0</v>
      </c>
      <c r="H65" s="10">
        <v>80.599999999999994</v>
      </c>
      <c r="I65" s="10">
        <v>0</v>
      </c>
      <c r="J65" s="11">
        <v>2</v>
      </c>
      <c r="K65" s="11">
        <v>1</v>
      </c>
      <c r="L65" s="11">
        <v>0</v>
      </c>
    </row>
    <row r="67" spans="1:12" x14ac:dyDescent="0.3">
      <c r="A67" s="12">
        <v>45536</v>
      </c>
    </row>
    <row r="68" spans="1:12" ht="43.2" x14ac:dyDescent="0.3">
      <c r="A68" s="6" t="s">
        <v>4</v>
      </c>
      <c r="B68" s="7" t="s">
        <v>10</v>
      </c>
      <c r="C68" s="7" t="s">
        <v>11</v>
      </c>
      <c r="D68" s="7" t="s">
        <v>12</v>
      </c>
      <c r="E68" s="7" t="s">
        <v>13</v>
      </c>
      <c r="F68" s="7" t="s">
        <v>28</v>
      </c>
      <c r="G68" s="7" t="s">
        <v>27</v>
      </c>
      <c r="H68" s="7" t="s">
        <v>20</v>
      </c>
      <c r="I68" s="7" t="s">
        <v>21</v>
      </c>
      <c r="J68" s="8" t="s">
        <v>18</v>
      </c>
      <c r="K68" s="8" t="s">
        <v>14</v>
      </c>
      <c r="L68" s="8" t="s">
        <v>15</v>
      </c>
    </row>
    <row r="69" spans="1:12" x14ac:dyDescent="0.3">
      <c r="A69" s="9" t="s">
        <v>5</v>
      </c>
      <c r="B69" s="10">
        <v>0</v>
      </c>
      <c r="C69" s="10">
        <v>0</v>
      </c>
      <c r="D69" s="10">
        <v>11551.92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1">
        <v>31</v>
      </c>
      <c r="K69" s="11">
        <v>11</v>
      </c>
      <c r="L69" s="11">
        <v>1</v>
      </c>
    </row>
    <row r="70" spans="1:12" x14ac:dyDescent="0.3">
      <c r="A70" s="9" t="s">
        <v>9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1">
        <v>0</v>
      </c>
      <c r="K70" s="11">
        <v>0</v>
      </c>
      <c r="L70" s="11">
        <v>0</v>
      </c>
    </row>
    <row r="71" spans="1:12" x14ac:dyDescent="0.3">
      <c r="A71" s="9" t="s">
        <v>6</v>
      </c>
      <c r="B71" s="10">
        <v>7797.11</v>
      </c>
      <c r="C71" s="10">
        <v>0</v>
      </c>
      <c r="D71" s="10">
        <v>19438.11</v>
      </c>
      <c r="E71" s="10">
        <v>0</v>
      </c>
      <c r="F71" s="10">
        <v>0</v>
      </c>
      <c r="G71" s="10">
        <v>0</v>
      </c>
      <c r="H71" s="10">
        <v>4884.0600000000004</v>
      </c>
      <c r="I71" s="10">
        <v>0</v>
      </c>
      <c r="J71" s="11">
        <v>23</v>
      </c>
      <c r="K71" s="11">
        <v>8</v>
      </c>
      <c r="L71" s="11">
        <v>0</v>
      </c>
    </row>
    <row r="72" spans="1:12" x14ac:dyDescent="0.3">
      <c r="A72" s="9" t="s">
        <v>7</v>
      </c>
      <c r="B72" s="10">
        <v>0</v>
      </c>
      <c r="C72" s="10">
        <v>0</v>
      </c>
      <c r="D72" s="10">
        <v>312.95999999999998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1">
        <v>7</v>
      </c>
      <c r="K72" s="11">
        <v>1</v>
      </c>
      <c r="L72" s="11">
        <v>0</v>
      </c>
    </row>
    <row r="74" spans="1:12" x14ac:dyDescent="0.3">
      <c r="A74" s="12">
        <v>45566</v>
      </c>
    </row>
    <row r="75" spans="1:12" ht="43.2" x14ac:dyDescent="0.3">
      <c r="A75" s="6" t="s">
        <v>4</v>
      </c>
      <c r="B75" s="7" t="s">
        <v>10</v>
      </c>
      <c r="C75" s="7" t="s">
        <v>11</v>
      </c>
      <c r="D75" s="7" t="s">
        <v>12</v>
      </c>
      <c r="E75" s="7" t="s">
        <v>13</v>
      </c>
      <c r="F75" s="7" t="s">
        <v>28</v>
      </c>
      <c r="G75" s="7" t="s">
        <v>27</v>
      </c>
      <c r="H75" s="7" t="s">
        <v>20</v>
      </c>
      <c r="I75" s="7" t="s">
        <v>21</v>
      </c>
      <c r="J75" s="8" t="s">
        <v>18</v>
      </c>
      <c r="K75" s="8" t="s">
        <v>14</v>
      </c>
      <c r="L75" s="8" t="s">
        <v>15</v>
      </c>
    </row>
    <row r="76" spans="1:12" x14ac:dyDescent="0.3">
      <c r="A76" s="9" t="s">
        <v>5</v>
      </c>
      <c r="B76" s="10">
        <v>0</v>
      </c>
      <c r="C76" s="10">
        <v>0</v>
      </c>
      <c r="D76" s="10">
        <v>21552.01</v>
      </c>
      <c r="E76" s="10">
        <v>0</v>
      </c>
      <c r="F76" s="10">
        <v>0</v>
      </c>
      <c r="G76" s="10">
        <v>0</v>
      </c>
      <c r="H76" s="10">
        <v>2136.88</v>
      </c>
      <c r="I76" s="10">
        <v>0</v>
      </c>
      <c r="J76" s="11">
        <v>28</v>
      </c>
      <c r="K76" s="11">
        <v>25</v>
      </c>
      <c r="L76" s="11">
        <v>0</v>
      </c>
    </row>
    <row r="77" spans="1:12" x14ac:dyDescent="0.3">
      <c r="A77" s="9" t="s">
        <v>9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1">
        <v>0</v>
      </c>
      <c r="K77" s="11">
        <v>0</v>
      </c>
      <c r="L77" s="11">
        <v>0</v>
      </c>
    </row>
    <row r="78" spans="1:12" x14ac:dyDescent="0.3">
      <c r="A78" s="9" t="s">
        <v>6</v>
      </c>
      <c r="B78" s="10">
        <v>1604.86</v>
      </c>
      <c r="C78" s="10">
        <v>0</v>
      </c>
      <c r="D78" s="10">
        <v>25453.360000000001</v>
      </c>
      <c r="E78" s="10">
        <v>0</v>
      </c>
      <c r="F78" s="10">
        <v>0</v>
      </c>
      <c r="G78" s="10">
        <v>0</v>
      </c>
      <c r="H78" s="10">
        <v>4288.41</v>
      </c>
      <c r="I78" s="10">
        <v>0</v>
      </c>
      <c r="J78" s="11">
        <v>27</v>
      </c>
      <c r="K78" s="11">
        <v>6</v>
      </c>
      <c r="L78" s="11">
        <v>0</v>
      </c>
    </row>
    <row r="79" spans="1:12" x14ac:dyDescent="0.3">
      <c r="A79" s="9" t="s">
        <v>7</v>
      </c>
      <c r="B79" s="10">
        <v>0</v>
      </c>
      <c r="C79" s="10">
        <v>0</v>
      </c>
      <c r="D79" s="10">
        <v>632.4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1">
        <v>6</v>
      </c>
      <c r="K79" s="11">
        <v>1</v>
      </c>
      <c r="L79" s="11">
        <v>0</v>
      </c>
    </row>
    <row r="81" spans="1:12" x14ac:dyDescent="0.3">
      <c r="A81" s="12">
        <v>45597</v>
      </c>
    </row>
    <row r="82" spans="1:12" ht="43.2" x14ac:dyDescent="0.3">
      <c r="A82" s="6" t="s">
        <v>4</v>
      </c>
      <c r="B82" s="7" t="s">
        <v>10</v>
      </c>
      <c r="C82" s="7" t="s">
        <v>11</v>
      </c>
      <c r="D82" s="7" t="s">
        <v>12</v>
      </c>
      <c r="E82" s="7" t="s">
        <v>13</v>
      </c>
      <c r="F82" s="7" t="s">
        <v>28</v>
      </c>
      <c r="G82" s="7" t="s">
        <v>27</v>
      </c>
      <c r="H82" s="7" t="s">
        <v>20</v>
      </c>
      <c r="I82" s="7" t="s">
        <v>21</v>
      </c>
      <c r="J82" s="8" t="s">
        <v>18</v>
      </c>
      <c r="K82" s="8" t="s">
        <v>14</v>
      </c>
      <c r="L82" s="8" t="s">
        <v>15</v>
      </c>
    </row>
    <row r="83" spans="1:12" x14ac:dyDescent="0.3">
      <c r="A83" s="9" t="s">
        <v>5</v>
      </c>
      <c r="B83" s="10">
        <v>0</v>
      </c>
      <c r="C83" s="10">
        <v>0</v>
      </c>
      <c r="D83" s="10">
        <v>11819.679999999998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1">
        <v>23</v>
      </c>
      <c r="K83" s="11">
        <v>10</v>
      </c>
      <c r="L83" s="11">
        <v>0</v>
      </c>
    </row>
    <row r="84" spans="1:12" x14ac:dyDescent="0.3">
      <c r="A84" s="9" t="s">
        <v>9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1">
        <v>0</v>
      </c>
      <c r="K84" s="11">
        <v>0</v>
      </c>
      <c r="L84" s="11">
        <v>0</v>
      </c>
    </row>
    <row r="85" spans="1:12" x14ac:dyDescent="0.3">
      <c r="A85" s="9" t="s">
        <v>6</v>
      </c>
      <c r="B85" s="10">
        <v>17793.82</v>
      </c>
      <c r="C85" s="10">
        <v>0</v>
      </c>
      <c r="D85" s="10">
        <v>115730.61</v>
      </c>
      <c r="E85" s="10">
        <v>0</v>
      </c>
      <c r="F85" s="10">
        <v>0</v>
      </c>
      <c r="G85" s="10">
        <v>0</v>
      </c>
      <c r="H85" s="10">
        <v>16468.48</v>
      </c>
      <c r="I85" s="10">
        <v>0</v>
      </c>
      <c r="J85" s="11">
        <v>16</v>
      </c>
      <c r="K85" s="11">
        <v>6</v>
      </c>
      <c r="L85" s="11">
        <v>0</v>
      </c>
    </row>
    <row r="86" spans="1:12" x14ac:dyDescent="0.3">
      <c r="A86" s="9" t="s">
        <v>7</v>
      </c>
      <c r="B86" s="10">
        <v>815.97</v>
      </c>
      <c r="C86" s="10">
        <v>0</v>
      </c>
      <c r="D86" s="10">
        <v>90411.47</v>
      </c>
      <c r="E86" s="10">
        <v>0</v>
      </c>
      <c r="F86" s="10">
        <v>0</v>
      </c>
      <c r="G86" s="10">
        <v>0</v>
      </c>
      <c r="H86" s="10">
        <v>1349.12</v>
      </c>
      <c r="I86" s="10">
        <v>0</v>
      </c>
      <c r="J86" s="11">
        <v>7</v>
      </c>
      <c r="K86" s="11">
        <v>5</v>
      </c>
      <c r="L86" s="11">
        <v>0</v>
      </c>
    </row>
    <row r="88" spans="1:12" x14ac:dyDescent="0.3">
      <c r="A88" s="12">
        <v>45627</v>
      </c>
    </row>
    <row r="89" spans="1:12" ht="43.2" x14ac:dyDescent="0.3">
      <c r="A89" s="6" t="s">
        <v>4</v>
      </c>
      <c r="B89" s="7" t="s">
        <v>10</v>
      </c>
      <c r="C89" s="7" t="s">
        <v>11</v>
      </c>
      <c r="D89" s="7" t="s">
        <v>12</v>
      </c>
      <c r="E89" s="7" t="s">
        <v>13</v>
      </c>
      <c r="F89" s="7" t="s">
        <v>28</v>
      </c>
      <c r="G89" s="7" t="s">
        <v>27</v>
      </c>
      <c r="H89" s="7" t="s">
        <v>20</v>
      </c>
      <c r="I89" s="7" t="s">
        <v>21</v>
      </c>
      <c r="J89" s="8" t="s">
        <v>18</v>
      </c>
      <c r="K89" s="8" t="s">
        <v>14</v>
      </c>
      <c r="L89" s="8" t="s">
        <v>15</v>
      </c>
    </row>
    <row r="90" spans="1:12" x14ac:dyDescent="0.3">
      <c r="A90" s="9" t="s">
        <v>5</v>
      </c>
      <c r="B90" s="10">
        <v>4093.03</v>
      </c>
      <c r="C90" s="10">
        <v>0</v>
      </c>
      <c r="D90" s="10">
        <v>16464.97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1">
        <v>27</v>
      </c>
      <c r="K90" s="11">
        <v>16</v>
      </c>
      <c r="L90" s="11">
        <v>0</v>
      </c>
    </row>
    <row r="91" spans="1:12" x14ac:dyDescent="0.3">
      <c r="A91" s="9" t="s">
        <v>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1">
        <v>0</v>
      </c>
      <c r="K91" s="11">
        <v>0</v>
      </c>
      <c r="L91" s="11">
        <v>0</v>
      </c>
    </row>
    <row r="92" spans="1:12" x14ac:dyDescent="0.3">
      <c r="A92" s="9" t="s">
        <v>6</v>
      </c>
      <c r="B92" s="10">
        <v>2106.29</v>
      </c>
      <c r="C92" s="10">
        <v>0</v>
      </c>
      <c r="D92" s="10">
        <v>118222.43999999999</v>
      </c>
      <c r="E92" s="10">
        <v>0</v>
      </c>
      <c r="F92" s="10">
        <v>0</v>
      </c>
      <c r="G92" s="10">
        <v>0</v>
      </c>
      <c r="H92" s="10">
        <v>16219.21</v>
      </c>
      <c r="I92" s="10">
        <v>0</v>
      </c>
      <c r="J92" s="11">
        <v>21</v>
      </c>
      <c r="K92" s="11">
        <v>13</v>
      </c>
      <c r="L92" s="11">
        <v>0</v>
      </c>
    </row>
    <row r="93" spans="1:12" x14ac:dyDescent="0.3">
      <c r="A93" s="9" t="s">
        <v>7</v>
      </c>
      <c r="B93" s="10">
        <v>0</v>
      </c>
      <c r="C93" s="10">
        <v>0</v>
      </c>
      <c r="D93" s="10">
        <v>36100.869999999995</v>
      </c>
      <c r="E93" s="10">
        <v>0</v>
      </c>
      <c r="F93" s="10">
        <v>406.1</v>
      </c>
      <c r="G93" s="10">
        <v>0</v>
      </c>
      <c r="H93" s="10">
        <v>0</v>
      </c>
      <c r="I93" s="10">
        <v>0</v>
      </c>
      <c r="J93" s="11">
        <v>5</v>
      </c>
      <c r="K93" s="11">
        <v>2</v>
      </c>
      <c r="L93" s="11">
        <v>0</v>
      </c>
    </row>
    <row r="95" spans="1:12" x14ac:dyDescent="0.3">
      <c r="A95" s="3" t="s">
        <v>22</v>
      </c>
    </row>
    <row r="96" spans="1:12" x14ac:dyDescent="0.3">
      <c r="A96" s="3" t="s">
        <v>23</v>
      </c>
    </row>
    <row r="97" spans="1:1" x14ac:dyDescent="0.3">
      <c r="A97" s="3" t="s">
        <v>24</v>
      </c>
    </row>
    <row r="98" spans="1:1" x14ac:dyDescent="0.3">
      <c r="A98" s="3" t="s">
        <v>25</v>
      </c>
    </row>
    <row r="100" spans="1:1" x14ac:dyDescent="0.3">
      <c r="A100" s="3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61FF-8E31-4014-947C-CDADB007C517}">
  <dimension ref="A1:A12"/>
  <sheetViews>
    <sheetView workbookViewId="0">
      <selection activeCell="K14" sqref="K14"/>
    </sheetView>
  </sheetViews>
  <sheetFormatPr defaultRowHeight="14.4" x14ac:dyDescent="0.3"/>
  <cols>
    <col min="2" max="2" width="16.44140625" customWidth="1"/>
  </cols>
  <sheetData>
    <row r="1" spans="1:1" x14ac:dyDescent="0.3">
      <c r="A1">
        <v>2024</v>
      </c>
    </row>
    <row r="2" spans="1:1" x14ac:dyDescent="0.3">
      <c r="A2" t="s">
        <v>0</v>
      </c>
    </row>
    <row r="3" spans="1:1" x14ac:dyDescent="0.3">
      <c r="A3" t="s">
        <v>1</v>
      </c>
    </row>
    <row r="5" spans="1:1" x14ac:dyDescent="0.3">
      <c r="A5">
        <v>2025</v>
      </c>
    </row>
    <row r="6" spans="1:1" x14ac:dyDescent="0.3">
      <c r="A6" t="s">
        <v>2</v>
      </c>
    </row>
    <row r="7" spans="1:1" x14ac:dyDescent="0.3">
      <c r="A7" t="s">
        <v>3</v>
      </c>
    </row>
    <row r="9" spans="1:1" x14ac:dyDescent="0.3">
      <c r="A9">
        <v>2026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89de3611917157b7bcfec79458841576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cb0c811e8af9167bc13eb17de89cd7b2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F35AE4-82C5-4A4A-815E-56EF8AF572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049C0C-2033-4617-9766-374AF689A69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637e963-7369-4b7f-b936-01d4ace56392"/>
    <ds:schemaRef ds:uri="52dbaae5-a3d6-41e8-b08c-95cdc5029487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A0E251-623E-4735-A17E-2E6AA7A4C5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Mixed-Fuel New Construction</vt:lpstr>
      <vt:lpstr>All Electric New Construction</vt:lpstr>
      <vt:lpstr>Mixed-Fuel Upgrades</vt:lpstr>
      <vt:lpstr>All Electric Upgrades</vt:lpstr>
      <vt:lpstr>Reference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Kenna, Julya G (Contractor)</dc:creator>
  <cp:keywords/>
  <dc:description/>
  <cp:lastModifiedBy>Chatrath, Garima</cp:lastModifiedBy>
  <cp:revision/>
  <dcterms:created xsi:type="dcterms:W3CDTF">2024-01-16T19:55:57Z</dcterms:created>
  <dcterms:modified xsi:type="dcterms:W3CDTF">2025-07-24T21:58:37Z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2024-04-03T21:46:12Z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36d85f42-350a-447a-8f43-07707c97b6ae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</Properties>
</file>