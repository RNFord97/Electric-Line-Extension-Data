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puc-my.sharepoint.com/personal/garima_chatrath_cpuc_ca_gov/Documents/Phase_3B/Advice Letter_Annual report_July1/"/>
    </mc:Choice>
  </mc:AlternateContent>
  <xr:revisionPtr revIDLastSave="135" documentId="8_{AF3102A8-8351-4D73-94F7-3C9C13146D4D}" xr6:coauthVersionLast="47" xr6:coauthVersionMax="47" xr10:uidLastSave="{E4D10F9A-89E6-43E3-9F00-970D356B8307}"/>
  <bookViews>
    <workbookView xWindow="28680" yWindow="-120" windowWidth="29040" windowHeight="15840" tabRatio="744" activeTab="2" xr2:uid="{5A75DE74-B25E-4059-A0A9-40D464A41ACF}"/>
  </bookViews>
  <sheets>
    <sheet name="All Electric New Construction" sheetId="2" r:id="rId1"/>
    <sheet name="Mixed-Fuel New Construction" sheetId="1" r:id="rId2"/>
    <sheet name="Mixed-Fuel Upgrades" sheetId="6" r:id="rId3"/>
    <sheet name="All Electric Upgrades" sheetId="7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4" i="2" l="1"/>
  <c r="J86" i="2" s="1"/>
  <c r="J84" i="1"/>
  <c r="J85" i="1" s="1"/>
  <c r="J88" i="7"/>
  <c r="J86" i="6"/>
  <c r="K84" i="2"/>
</calcChain>
</file>

<file path=xl/sharedStrings.xml><?xml version="1.0" encoding="utf-8"?>
<sst xmlns="http://schemas.openxmlformats.org/spreadsheetml/2006/main" count="1209" uniqueCount="32">
  <si>
    <t>Reporting Period: January 01, 2023 - December 31, 2023</t>
  </si>
  <si>
    <t>Category: MIXED FUEL NEW CONSTRUCTION</t>
  </si>
  <si>
    <t>Customer Class</t>
  </si>
  <si>
    <t>Residential</t>
  </si>
  <si>
    <t>Commercial</t>
  </si>
  <si>
    <t>Agriculture</t>
  </si>
  <si>
    <t xml:space="preserve">Category: All Electric New Construction </t>
  </si>
  <si>
    <t xml:space="preserve">Category: Upgrades to Existing Facilities </t>
  </si>
  <si>
    <t>Industrial</t>
  </si>
  <si>
    <t>Total Discounts (Non-Exempted Projects)</t>
  </si>
  <si>
    <t>Total Discounts (Exempted projects)</t>
  </si>
  <si>
    <t>Total Allowances (Non-Exempted Projects)</t>
  </si>
  <si>
    <t>Total Allowances (Exempted projects)</t>
  </si>
  <si>
    <t>Total Electric Line Extensions Energized</t>
  </si>
  <si>
    <t>Total Electric Line Extension Applications for Applicant Install</t>
  </si>
  <si>
    <t>Total Electric Line Extension Requests Received (Applications)</t>
  </si>
  <si>
    <t xml:space="preserve">Total Estimated Non-Refundable </t>
  </si>
  <si>
    <t xml:space="preserve">Total Estimated Refundable </t>
  </si>
  <si>
    <t>Total Refund Payments Provided to Builders  (Exempted projects)</t>
  </si>
  <si>
    <t>Total Refund Payments Provided to Builders (Non-Exempted Projects)</t>
  </si>
  <si>
    <t>Report Date: May 01, 2024</t>
  </si>
  <si>
    <t>Notes:</t>
  </si>
  <si>
    <t>*SDG&amp;E did not receive any exempted projects in 2023</t>
  </si>
  <si>
    <t>*All financial figures reported are presented as absolute values. This includes credits for refunds, which may appear as negative numbers in the context of accounting.</t>
  </si>
  <si>
    <t>*At the time of reporting, SDG&amp;E is unable to confidently distinguish "new construction" or "mixed-fuel", therefore a manual quality analysis and quality control was completed. Due to the manual requirements of reporting, data anomalies may exist until system enhancements are complete.</t>
  </si>
  <si>
    <t>*"Total Electric Line Extension Requests Received (Applications)" may include both new construction, upgrades and other until system enhancements are complete.</t>
  </si>
  <si>
    <t>-</t>
  </si>
  <si>
    <t>*"Mixed-Fuel Upgrades" may include projects that were inclusive of an upgrade and new construction, , therefore a manual quality analysis and quality control was completed. Due to the manual requirements of reporting, data anomalies may exist until system enhancements are complete.</t>
  </si>
  <si>
    <t>*"All Electric Upgrades" may include projects that were inclusive of an upgrade and new construction, , therefore a manual quality analysis and quality control was completed. Due to the manual requirements of reporting, data anomalies may exist until system enhancements are complete.</t>
  </si>
  <si>
    <t>*In some portions of the SDG&amp;E service territory, gas service may not be provided by SDG&amp;E and is not able to be distinguished within the report.</t>
  </si>
  <si>
    <t>Total mixed fuel requests</t>
  </si>
  <si>
    <t>Total all-electric requests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</si>
</sst>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Times New Roman"/>
      <family val="1"/>
    </font>
    <font>
      <sz val="12"/>
      <color theme="1"/>
      <name val="Aptos"/>
      <family val="2"/>
    </font>
    <font>
      <b/>
      <sz val="12"/>
      <color rgb="FF000000"/>
      <name val="Century Gothic"/>
      <family val="2"/>
    </font>
    <font>
      <sz val="12"/>
      <color rgb="FF00000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2">
    <xf numFmtId="0" fontId="0" fillId="0" borderId="0" xfId="0"/>
    <xf numFmtId="14" fontId="0" fillId="0" borderId="0" xfId="0" applyNumberFormat="1" applyAlignment="1">
      <alignment horizontal="left"/>
    </xf>
    <xf numFmtId="164" fontId="0" fillId="0" borderId="0" xfId="1" applyNumberFormat="1" applyFont="1" applyFill="1"/>
    <xf numFmtId="17" fontId="0" fillId="0" borderId="0" xfId="0" applyNumberFormat="1" applyAlignment="1">
      <alignment horizontal="left"/>
    </xf>
    <xf numFmtId="14" fontId="0" fillId="0" borderId="1" xfId="0" applyNumberFormat="1" applyBorder="1" applyAlignment="1">
      <alignment horizontal="left"/>
    </xf>
    <xf numFmtId="164" fontId="0" fillId="0" borderId="1" xfId="1" applyNumberFormat="1" applyFont="1" applyFill="1" applyBorder="1" applyAlignment="1">
      <alignment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/>
    </xf>
    <xf numFmtId="164" fontId="0" fillId="0" borderId="1" xfId="1" applyNumberFormat="1" applyFont="1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164" fontId="0" fillId="0" borderId="0" xfId="1" applyNumberFormat="1" applyFont="1" applyFill="1" applyAlignment="1">
      <alignment horizontal="right"/>
    </xf>
    <xf numFmtId="164" fontId="0" fillId="0" borderId="0" xfId="1" applyNumberFormat="1" applyFont="1" applyFill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/>
    </xf>
    <xf numFmtId="14" fontId="0" fillId="0" borderId="0" xfId="0" applyNumberFormat="1"/>
    <xf numFmtId="164" fontId="0" fillId="0" borderId="0" xfId="1" applyNumberFormat="1" applyFont="1" applyFill="1" applyAlignment="1">
      <alignment wrapText="1"/>
    </xf>
    <xf numFmtId="17" fontId="0" fillId="0" borderId="0" xfId="0" applyNumberFormat="1"/>
    <xf numFmtId="14" fontId="0" fillId="0" borderId="1" xfId="0" applyNumberFormat="1" applyBorder="1"/>
    <xf numFmtId="164" fontId="0" fillId="0" borderId="1" xfId="1" applyNumberFormat="1" applyFont="1" applyFill="1" applyBorder="1" applyAlignment="1">
      <alignment horizontal="left" wrapText="1"/>
    </xf>
    <xf numFmtId="164" fontId="0" fillId="0" borderId="1" xfId="1" applyNumberFormat="1" applyFont="1" applyFill="1" applyBorder="1" applyAlignment="1">
      <alignment horizontal="left"/>
    </xf>
    <xf numFmtId="0" fontId="0" fillId="0" borderId="1" xfId="0" applyBorder="1"/>
    <xf numFmtId="164" fontId="0" fillId="0" borderId="1" xfId="1" applyNumberFormat="1" applyFont="1" applyFill="1" applyBorder="1"/>
    <xf numFmtId="164" fontId="0" fillId="0" borderId="0" xfId="1" applyNumberFormat="1" applyFont="1" applyFill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164" fontId="0" fillId="0" borderId="0" xfId="1" applyNumberFormat="1" applyFont="1" applyFill="1" applyAlignment="1">
      <alignment vertical="center"/>
    </xf>
    <xf numFmtId="0" fontId="7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3" fontId="7" fillId="0" borderId="2" xfId="0" applyNumberFormat="1" applyFont="1" applyBorder="1" applyAlignment="1">
      <alignment vertical="center"/>
    </xf>
    <xf numFmtId="0" fontId="4" fillId="0" borderId="0" xfId="0" applyFont="1"/>
    <xf numFmtId="9" fontId="7" fillId="0" borderId="2" xfId="0" applyNumberFormat="1" applyFont="1" applyBorder="1" applyAlignment="1">
      <alignment vertical="center"/>
    </xf>
    <xf numFmtId="0" fontId="0" fillId="2" borderId="0" xfId="0" applyFill="1"/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horizontal="right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right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CC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ECB18-1DF2-4E2D-8120-5D178D38E78B}">
  <sheetPr>
    <pageSetUpPr fitToPage="1"/>
  </sheetPr>
  <dimension ref="A1:L97"/>
  <sheetViews>
    <sheetView view="pageLayout" topLeftCell="A53" zoomScale="80" zoomScaleNormal="100" zoomScalePageLayoutView="80" workbookViewId="0">
      <selection activeCell="J56" sqref="J56"/>
    </sheetView>
  </sheetViews>
  <sheetFormatPr defaultColWidth="40.5546875" defaultRowHeight="14.4" x14ac:dyDescent="0.3"/>
  <cols>
    <col min="1" max="1" width="20.6640625" style="13" customWidth="1"/>
    <col min="2" max="9" width="20.6640625" style="2" customWidth="1"/>
    <col min="10" max="10" width="20.6640625" style="34" customWidth="1"/>
    <col min="11" max="12" width="20.6640625" customWidth="1"/>
  </cols>
  <sheetData>
    <row r="1" spans="1:12" x14ac:dyDescent="0.3">
      <c r="A1" s="1" t="s">
        <v>6</v>
      </c>
    </row>
    <row r="2" spans="1:12" x14ac:dyDescent="0.3">
      <c r="A2" s="1" t="s">
        <v>0</v>
      </c>
    </row>
    <row r="3" spans="1:12" x14ac:dyDescent="0.3">
      <c r="A3" s="1" t="s">
        <v>20</v>
      </c>
    </row>
    <row r="4" spans="1:12" x14ac:dyDescent="0.3">
      <c r="A4" s="3">
        <v>44927</v>
      </c>
    </row>
    <row r="5" spans="1:12" ht="45" customHeight="1" x14ac:dyDescent="0.3">
      <c r="A5" s="4" t="s">
        <v>2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19</v>
      </c>
      <c r="G5" s="5" t="s">
        <v>18</v>
      </c>
      <c r="H5" s="5" t="s">
        <v>16</v>
      </c>
      <c r="I5" s="5" t="s">
        <v>17</v>
      </c>
      <c r="J5" s="35" t="s">
        <v>15</v>
      </c>
      <c r="K5" s="7" t="s">
        <v>13</v>
      </c>
      <c r="L5" s="6" t="s">
        <v>14</v>
      </c>
    </row>
    <row r="6" spans="1:12" s="10" customFormat="1" x14ac:dyDescent="0.3">
      <c r="A6" s="7" t="s">
        <v>3</v>
      </c>
      <c r="B6" s="8">
        <v>29065.32</v>
      </c>
      <c r="C6" s="8" t="s">
        <v>26</v>
      </c>
      <c r="D6" s="8">
        <v>323622.3</v>
      </c>
      <c r="E6" s="8" t="s">
        <v>26</v>
      </c>
      <c r="F6" s="8" t="s">
        <v>26</v>
      </c>
      <c r="G6" s="8" t="s">
        <v>26</v>
      </c>
      <c r="H6" s="8">
        <v>91849.05</v>
      </c>
      <c r="I6" s="8">
        <v>47579.46</v>
      </c>
      <c r="J6" s="36">
        <v>1031</v>
      </c>
      <c r="K6" s="9">
        <v>68</v>
      </c>
      <c r="L6" s="8" t="s">
        <v>26</v>
      </c>
    </row>
    <row r="7" spans="1:12" s="10" customFormat="1" x14ac:dyDescent="0.3">
      <c r="A7" s="7" t="s">
        <v>8</v>
      </c>
      <c r="B7" s="11" t="s">
        <v>26</v>
      </c>
      <c r="C7" s="8" t="s">
        <v>26</v>
      </c>
      <c r="D7" s="11"/>
      <c r="E7" s="8" t="s">
        <v>26</v>
      </c>
      <c r="F7" s="8" t="s">
        <v>26</v>
      </c>
      <c r="G7" s="8" t="s">
        <v>26</v>
      </c>
      <c r="H7" s="11" t="s">
        <v>26</v>
      </c>
      <c r="I7" s="8" t="s">
        <v>26</v>
      </c>
      <c r="J7" s="36" t="s">
        <v>26</v>
      </c>
      <c r="K7" s="9" t="s">
        <v>26</v>
      </c>
      <c r="L7" s="8" t="s">
        <v>26</v>
      </c>
    </row>
    <row r="8" spans="1:12" s="10" customFormat="1" x14ac:dyDescent="0.3">
      <c r="A8" s="7" t="s">
        <v>4</v>
      </c>
      <c r="B8" s="8">
        <v>8956.86</v>
      </c>
      <c r="C8" s="8" t="s">
        <v>26</v>
      </c>
      <c r="D8" s="8">
        <v>772857.27</v>
      </c>
      <c r="E8" s="8" t="s">
        <v>26</v>
      </c>
      <c r="F8" s="8" t="s">
        <v>26</v>
      </c>
      <c r="G8" s="8" t="s">
        <v>26</v>
      </c>
      <c r="H8" s="8">
        <v>13428</v>
      </c>
      <c r="I8" s="8" t="s">
        <v>26</v>
      </c>
      <c r="J8" s="36">
        <v>114</v>
      </c>
      <c r="K8" s="9">
        <v>26</v>
      </c>
      <c r="L8" s="8" t="s">
        <v>26</v>
      </c>
    </row>
    <row r="9" spans="1:12" s="10" customFormat="1" x14ac:dyDescent="0.3">
      <c r="A9" s="7" t="s">
        <v>5</v>
      </c>
      <c r="B9" s="8">
        <v>16525.87</v>
      </c>
      <c r="C9" s="8" t="s">
        <v>26</v>
      </c>
      <c r="D9" s="8">
        <v>23437</v>
      </c>
      <c r="E9" s="8" t="s">
        <v>26</v>
      </c>
      <c r="F9" s="8" t="s">
        <v>26</v>
      </c>
      <c r="G9" s="8" t="s">
        <v>26</v>
      </c>
      <c r="H9" s="8">
        <v>20557</v>
      </c>
      <c r="I9" s="8" t="s">
        <v>26</v>
      </c>
      <c r="J9" s="36">
        <v>1</v>
      </c>
      <c r="K9" s="9">
        <v>5</v>
      </c>
      <c r="L9" s="8" t="s">
        <v>26</v>
      </c>
    </row>
    <row r="10" spans="1:12" x14ac:dyDescent="0.3">
      <c r="A10" s="3">
        <v>44958</v>
      </c>
    </row>
    <row r="11" spans="1:12" ht="33" customHeight="1" x14ac:dyDescent="0.3">
      <c r="A11" s="4" t="s">
        <v>2</v>
      </c>
      <c r="B11" s="5" t="s">
        <v>9</v>
      </c>
      <c r="C11" s="5" t="s">
        <v>10</v>
      </c>
      <c r="D11" s="5" t="s">
        <v>11</v>
      </c>
      <c r="E11" s="5" t="s">
        <v>12</v>
      </c>
      <c r="F11" s="5" t="s">
        <v>19</v>
      </c>
      <c r="G11" s="5" t="s">
        <v>18</v>
      </c>
      <c r="H11" s="5" t="s">
        <v>16</v>
      </c>
      <c r="I11" s="5" t="s">
        <v>17</v>
      </c>
      <c r="J11" s="35" t="s">
        <v>15</v>
      </c>
      <c r="K11" s="7" t="s">
        <v>13</v>
      </c>
      <c r="L11" s="6" t="s">
        <v>14</v>
      </c>
    </row>
    <row r="12" spans="1:12" s="10" customFormat="1" x14ac:dyDescent="0.3">
      <c r="A12" s="7" t="s">
        <v>3</v>
      </c>
      <c r="B12" s="8">
        <v>5946</v>
      </c>
      <c r="C12" s="8" t="s">
        <v>26</v>
      </c>
      <c r="D12" s="8">
        <v>379845.15</v>
      </c>
      <c r="E12" s="8" t="s">
        <v>26</v>
      </c>
      <c r="F12" s="8" t="s">
        <v>26</v>
      </c>
      <c r="G12" s="8" t="s">
        <v>26</v>
      </c>
      <c r="H12" s="8">
        <v>43916.43</v>
      </c>
      <c r="I12" s="8" t="s">
        <v>26</v>
      </c>
      <c r="J12" s="36">
        <v>968</v>
      </c>
      <c r="K12" s="9">
        <v>42</v>
      </c>
      <c r="L12" s="8" t="s">
        <v>26</v>
      </c>
    </row>
    <row r="13" spans="1:12" s="10" customFormat="1" x14ac:dyDescent="0.3">
      <c r="A13" s="7" t="s">
        <v>8</v>
      </c>
      <c r="B13" s="8" t="s">
        <v>26</v>
      </c>
      <c r="C13" s="8" t="s">
        <v>26</v>
      </c>
      <c r="D13" s="8">
        <v>952701</v>
      </c>
      <c r="E13" s="8" t="s">
        <v>26</v>
      </c>
      <c r="F13" s="8" t="s">
        <v>26</v>
      </c>
      <c r="G13" s="8" t="s">
        <v>26</v>
      </c>
      <c r="H13" s="8" t="s">
        <v>26</v>
      </c>
      <c r="I13" s="8" t="s">
        <v>26</v>
      </c>
      <c r="J13" s="36" t="s">
        <v>26</v>
      </c>
      <c r="K13" s="9">
        <v>1</v>
      </c>
      <c r="L13" s="8" t="s">
        <v>26</v>
      </c>
    </row>
    <row r="14" spans="1:12" s="10" customFormat="1" x14ac:dyDescent="0.3">
      <c r="A14" s="7" t="s">
        <v>4</v>
      </c>
      <c r="B14" s="8">
        <v>8232</v>
      </c>
      <c r="C14" s="8" t="s">
        <v>26</v>
      </c>
      <c r="D14" s="8">
        <v>2226948.2400000002</v>
      </c>
      <c r="E14" s="8" t="s">
        <v>26</v>
      </c>
      <c r="F14" s="8" t="s">
        <v>26</v>
      </c>
      <c r="G14" s="8" t="s">
        <v>26</v>
      </c>
      <c r="H14" s="8">
        <v>49097.67</v>
      </c>
      <c r="I14" s="8" t="s">
        <v>26</v>
      </c>
      <c r="J14" s="36">
        <v>104</v>
      </c>
      <c r="K14" s="9">
        <v>25</v>
      </c>
      <c r="L14" s="8" t="s">
        <v>26</v>
      </c>
    </row>
    <row r="15" spans="1:12" s="10" customFormat="1" x14ac:dyDescent="0.3">
      <c r="A15" s="7" t="s">
        <v>5</v>
      </c>
      <c r="B15" s="8">
        <v>4613</v>
      </c>
      <c r="C15" s="8" t="s">
        <v>26</v>
      </c>
      <c r="D15" s="8">
        <v>216</v>
      </c>
      <c r="E15" s="8" t="s">
        <v>26</v>
      </c>
      <c r="F15" s="8" t="s">
        <v>26</v>
      </c>
      <c r="G15" s="8" t="s">
        <v>26</v>
      </c>
      <c r="H15" s="8">
        <v>5102</v>
      </c>
      <c r="I15" s="8" t="s">
        <v>26</v>
      </c>
      <c r="J15" s="36">
        <v>3</v>
      </c>
      <c r="K15" s="9">
        <v>1</v>
      </c>
      <c r="L15" s="8" t="s">
        <v>26</v>
      </c>
    </row>
    <row r="16" spans="1:12" s="13" customFormat="1" x14ac:dyDescent="0.3">
      <c r="A16" s="3">
        <v>44986</v>
      </c>
      <c r="B16" s="12"/>
      <c r="C16" s="12"/>
      <c r="D16" s="12"/>
      <c r="E16" s="12"/>
      <c r="F16" s="12"/>
      <c r="G16" s="12"/>
      <c r="H16" s="12"/>
      <c r="I16" s="12"/>
      <c r="J16" s="37"/>
    </row>
    <row r="17" spans="1:12" ht="33" customHeight="1" x14ac:dyDescent="0.3">
      <c r="A17" s="4" t="s">
        <v>2</v>
      </c>
      <c r="B17" s="5" t="s">
        <v>9</v>
      </c>
      <c r="C17" s="5" t="s">
        <v>10</v>
      </c>
      <c r="D17" s="5" t="s">
        <v>11</v>
      </c>
      <c r="E17" s="5" t="s">
        <v>12</v>
      </c>
      <c r="F17" s="5" t="s">
        <v>19</v>
      </c>
      <c r="G17" s="5" t="s">
        <v>18</v>
      </c>
      <c r="H17" s="5" t="s">
        <v>16</v>
      </c>
      <c r="I17" s="5" t="s">
        <v>17</v>
      </c>
      <c r="J17" s="35" t="s">
        <v>15</v>
      </c>
      <c r="K17" s="7" t="s">
        <v>13</v>
      </c>
      <c r="L17" s="6" t="s">
        <v>14</v>
      </c>
    </row>
    <row r="18" spans="1:12" s="10" customFormat="1" x14ac:dyDescent="0.3">
      <c r="A18" s="7" t="s">
        <v>3</v>
      </c>
      <c r="B18" s="8">
        <v>15339</v>
      </c>
      <c r="C18" s="8" t="s">
        <v>26</v>
      </c>
      <c r="D18" s="8">
        <v>124717.20999999999</v>
      </c>
      <c r="E18" s="8" t="s">
        <v>26</v>
      </c>
      <c r="F18" s="8" t="s">
        <v>26</v>
      </c>
      <c r="G18" s="8" t="s">
        <v>26</v>
      </c>
      <c r="H18" s="8">
        <v>26172.45</v>
      </c>
      <c r="I18" s="8" t="s">
        <v>26</v>
      </c>
      <c r="J18" s="36">
        <v>1326</v>
      </c>
      <c r="K18" s="9">
        <v>34</v>
      </c>
      <c r="L18" s="8" t="s">
        <v>26</v>
      </c>
    </row>
    <row r="19" spans="1:12" s="10" customFormat="1" x14ac:dyDescent="0.3">
      <c r="A19" s="7" t="s">
        <v>8</v>
      </c>
      <c r="B19" s="8" t="s">
        <v>26</v>
      </c>
      <c r="C19" s="8" t="s">
        <v>26</v>
      </c>
      <c r="D19" s="11">
        <v>880616</v>
      </c>
      <c r="E19" s="8" t="s">
        <v>26</v>
      </c>
      <c r="F19" s="8" t="s">
        <v>26</v>
      </c>
      <c r="G19" s="8" t="s">
        <v>26</v>
      </c>
      <c r="H19" s="11">
        <v>0</v>
      </c>
      <c r="I19" s="8" t="s">
        <v>26</v>
      </c>
      <c r="J19" s="36" t="s">
        <v>26</v>
      </c>
      <c r="K19" s="9">
        <v>1</v>
      </c>
      <c r="L19" s="8" t="s">
        <v>26</v>
      </c>
    </row>
    <row r="20" spans="1:12" s="10" customFormat="1" x14ac:dyDescent="0.3">
      <c r="A20" s="7" t="s">
        <v>4</v>
      </c>
      <c r="B20" s="8" t="s">
        <v>26</v>
      </c>
      <c r="C20" s="8" t="s">
        <v>26</v>
      </c>
      <c r="D20" s="8">
        <v>231775</v>
      </c>
      <c r="E20" s="8" t="s">
        <v>26</v>
      </c>
      <c r="F20" s="8" t="s">
        <v>26</v>
      </c>
      <c r="G20" s="8" t="s">
        <v>26</v>
      </c>
      <c r="H20" s="8">
        <v>1980.36</v>
      </c>
      <c r="I20" s="8" t="s">
        <v>26</v>
      </c>
      <c r="J20" s="36">
        <v>3</v>
      </c>
      <c r="K20" s="9">
        <v>11</v>
      </c>
      <c r="L20" s="8" t="s">
        <v>26</v>
      </c>
    </row>
    <row r="21" spans="1:12" s="10" customFormat="1" x14ac:dyDescent="0.3">
      <c r="A21" s="7" t="s">
        <v>5</v>
      </c>
      <c r="B21" s="8" t="s">
        <v>26</v>
      </c>
      <c r="C21" s="8" t="s">
        <v>26</v>
      </c>
      <c r="D21" s="8" t="s">
        <v>26</v>
      </c>
      <c r="E21" s="8" t="s">
        <v>26</v>
      </c>
      <c r="F21" s="8" t="s">
        <v>26</v>
      </c>
      <c r="G21" s="8" t="s">
        <v>26</v>
      </c>
      <c r="H21" s="8" t="s">
        <v>26</v>
      </c>
      <c r="I21" s="8" t="s">
        <v>26</v>
      </c>
      <c r="J21" s="36">
        <v>132</v>
      </c>
      <c r="K21" s="9" t="s">
        <v>26</v>
      </c>
      <c r="L21" s="8" t="s">
        <v>26</v>
      </c>
    </row>
    <row r="22" spans="1:12" s="13" customFormat="1" x14ac:dyDescent="0.3">
      <c r="A22" s="3">
        <v>45017</v>
      </c>
      <c r="B22" s="12"/>
      <c r="C22" s="12"/>
      <c r="D22" s="12"/>
      <c r="E22" s="12"/>
      <c r="F22" s="12"/>
      <c r="G22" s="12"/>
      <c r="H22" s="12"/>
      <c r="I22" s="12"/>
      <c r="J22" s="37"/>
    </row>
    <row r="23" spans="1:12" ht="33" customHeight="1" x14ac:dyDescent="0.3">
      <c r="A23" s="4" t="s">
        <v>2</v>
      </c>
      <c r="B23" s="5" t="s">
        <v>9</v>
      </c>
      <c r="C23" s="5" t="s">
        <v>10</v>
      </c>
      <c r="D23" s="5" t="s">
        <v>11</v>
      </c>
      <c r="E23" s="5" t="s">
        <v>12</v>
      </c>
      <c r="F23" s="5" t="s">
        <v>19</v>
      </c>
      <c r="G23" s="5" t="s">
        <v>18</v>
      </c>
      <c r="H23" s="5" t="s">
        <v>16</v>
      </c>
      <c r="I23" s="5" t="s">
        <v>17</v>
      </c>
      <c r="J23" s="35" t="s">
        <v>15</v>
      </c>
      <c r="K23" s="7" t="s">
        <v>13</v>
      </c>
      <c r="L23" s="6" t="s">
        <v>14</v>
      </c>
    </row>
    <row r="24" spans="1:12" s="10" customFormat="1" x14ac:dyDescent="0.3">
      <c r="A24" s="7" t="s">
        <v>3</v>
      </c>
      <c r="B24" s="8">
        <v>4604.7299999999996</v>
      </c>
      <c r="C24" s="8" t="s">
        <v>26</v>
      </c>
      <c r="D24" s="8">
        <v>393372.08</v>
      </c>
      <c r="E24" s="8" t="s">
        <v>26</v>
      </c>
      <c r="F24" s="8" t="s">
        <v>26</v>
      </c>
      <c r="G24" s="8" t="s">
        <v>26</v>
      </c>
      <c r="H24" s="8">
        <v>2287.58</v>
      </c>
      <c r="I24" s="8" t="s">
        <v>26</v>
      </c>
      <c r="J24" s="36">
        <v>952</v>
      </c>
      <c r="K24" s="9">
        <v>19</v>
      </c>
      <c r="L24" s="8" t="s">
        <v>26</v>
      </c>
    </row>
    <row r="25" spans="1:12" s="10" customFormat="1" x14ac:dyDescent="0.3">
      <c r="A25" s="7" t="s">
        <v>8</v>
      </c>
      <c r="B25" s="8" t="s">
        <v>26</v>
      </c>
      <c r="C25" s="8" t="s">
        <v>26</v>
      </c>
      <c r="D25" s="8"/>
      <c r="E25" s="8" t="s">
        <v>26</v>
      </c>
      <c r="F25" s="8" t="s">
        <v>26</v>
      </c>
      <c r="G25" s="8" t="s">
        <v>26</v>
      </c>
      <c r="H25" s="11" t="s">
        <v>26</v>
      </c>
      <c r="I25" s="8" t="s">
        <v>26</v>
      </c>
      <c r="J25" s="36" t="s">
        <v>26</v>
      </c>
      <c r="K25" s="9" t="s">
        <v>26</v>
      </c>
      <c r="L25" s="8" t="s">
        <v>26</v>
      </c>
    </row>
    <row r="26" spans="1:12" s="10" customFormat="1" x14ac:dyDescent="0.3">
      <c r="A26" s="7" t="s">
        <v>4</v>
      </c>
      <c r="B26" s="8">
        <v>11791.27</v>
      </c>
      <c r="C26" s="8" t="s">
        <v>26</v>
      </c>
      <c r="D26" s="8">
        <v>38921.520000000004</v>
      </c>
      <c r="E26" s="8" t="s">
        <v>26</v>
      </c>
      <c r="F26" s="8" t="s">
        <v>26</v>
      </c>
      <c r="G26" s="8" t="s">
        <v>26</v>
      </c>
      <c r="H26" s="8">
        <v>34886.26</v>
      </c>
      <c r="I26" s="8" t="s">
        <v>26</v>
      </c>
      <c r="J26" s="36">
        <v>104</v>
      </c>
      <c r="K26" s="9">
        <v>6</v>
      </c>
      <c r="L26" s="8" t="s">
        <v>26</v>
      </c>
    </row>
    <row r="27" spans="1:12" s="10" customFormat="1" x14ac:dyDescent="0.3">
      <c r="A27" s="7" t="s">
        <v>5</v>
      </c>
      <c r="B27" s="8" t="s">
        <v>26</v>
      </c>
      <c r="C27" s="8" t="s">
        <v>26</v>
      </c>
      <c r="D27" s="8">
        <v>1184</v>
      </c>
      <c r="E27" s="8" t="s">
        <v>26</v>
      </c>
      <c r="F27" s="8" t="s">
        <v>26</v>
      </c>
      <c r="G27" s="8" t="s">
        <v>26</v>
      </c>
      <c r="H27" s="8" t="s">
        <v>26</v>
      </c>
      <c r="I27" s="8" t="s">
        <v>26</v>
      </c>
      <c r="J27" s="36" t="s">
        <v>26</v>
      </c>
      <c r="K27" s="9">
        <v>1</v>
      </c>
      <c r="L27" s="8" t="s">
        <v>26</v>
      </c>
    </row>
    <row r="28" spans="1:12" s="13" customFormat="1" x14ac:dyDescent="0.3">
      <c r="A28" s="3">
        <v>45047</v>
      </c>
      <c r="B28" s="12"/>
      <c r="C28" s="12"/>
      <c r="D28" s="12"/>
      <c r="E28" s="12"/>
      <c r="F28" s="12"/>
      <c r="G28" s="12"/>
      <c r="H28" s="12"/>
      <c r="I28" s="12"/>
      <c r="J28" s="37"/>
    </row>
    <row r="29" spans="1:12" ht="33" customHeight="1" x14ac:dyDescent="0.3">
      <c r="A29" s="4" t="s">
        <v>2</v>
      </c>
      <c r="B29" s="5" t="s">
        <v>9</v>
      </c>
      <c r="C29" s="5" t="s">
        <v>10</v>
      </c>
      <c r="D29" s="5" t="s">
        <v>11</v>
      </c>
      <c r="E29" s="5" t="s">
        <v>12</v>
      </c>
      <c r="F29" s="5" t="s">
        <v>19</v>
      </c>
      <c r="G29" s="5" t="s">
        <v>18</v>
      </c>
      <c r="H29" s="5" t="s">
        <v>16</v>
      </c>
      <c r="I29" s="5" t="s">
        <v>17</v>
      </c>
      <c r="J29" s="35" t="s">
        <v>15</v>
      </c>
      <c r="K29" s="7" t="s">
        <v>13</v>
      </c>
      <c r="L29" s="6" t="s">
        <v>14</v>
      </c>
    </row>
    <row r="30" spans="1:12" s="10" customFormat="1" x14ac:dyDescent="0.3">
      <c r="A30" s="7" t="s">
        <v>3</v>
      </c>
      <c r="B30" s="8">
        <v>50238.67</v>
      </c>
      <c r="C30" s="8" t="s">
        <v>26</v>
      </c>
      <c r="D30" s="8">
        <v>353569.4</v>
      </c>
      <c r="E30" s="8" t="s">
        <v>26</v>
      </c>
      <c r="F30" s="8" t="s">
        <v>26</v>
      </c>
      <c r="G30" s="8" t="s">
        <v>26</v>
      </c>
      <c r="H30" s="8">
        <v>56055.49</v>
      </c>
      <c r="I30" s="8" t="s">
        <v>26</v>
      </c>
      <c r="J30" s="36">
        <v>963</v>
      </c>
      <c r="K30" s="9">
        <v>43</v>
      </c>
      <c r="L30" s="8" t="s">
        <v>26</v>
      </c>
    </row>
    <row r="31" spans="1:12" s="10" customFormat="1" x14ac:dyDescent="0.3">
      <c r="A31" s="7" t="s">
        <v>8</v>
      </c>
      <c r="B31" s="8" t="s">
        <v>26</v>
      </c>
      <c r="C31" s="8" t="s">
        <v>26</v>
      </c>
      <c r="D31" s="8" t="s">
        <v>26</v>
      </c>
      <c r="E31" s="8" t="s">
        <v>26</v>
      </c>
      <c r="F31" s="8" t="s">
        <v>26</v>
      </c>
      <c r="G31" s="8" t="s">
        <v>26</v>
      </c>
      <c r="H31" s="8"/>
      <c r="I31" s="8" t="s">
        <v>26</v>
      </c>
      <c r="J31" s="36">
        <v>2</v>
      </c>
      <c r="K31" s="9" t="s">
        <v>26</v>
      </c>
      <c r="L31" s="8" t="s">
        <v>26</v>
      </c>
    </row>
    <row r="32" spans="1:12" s="10" customFormat="1" x14ac:dyDescent="0.3">
      <c r="A32" s="7" t="s">
        <v>4</v>
      </c>
      <c r="B32" s="8">
        <v>207242.57</v>
      </c>
      <c r="C32" s="8" t="s">
        <v>26</v>
      </c>
      <c r="D32" s="8">
        <v>636167</v>
      </c>
      <c r="E32" s="8" t="s">
        <v>26</v>
      </c>
      <c r="F32" s="8" t="s">
        <v>26</v>
      </c>
      <c r="G32" s="8" t="s">
        <v>26</v>
      </c>
      <c r="H32" s="8">
        <v>243299.09</v>
      </c>
      <c r="I32" s="8" t="s">
        <v>26</v>
      </c>
      <c r="J32" s="36">
        <v>147</v>
      </c>
      <c r="K32" s="9">
        <v>18</v>
      </c>
      <c r="L32" s="8" t="s">
        <v>26</v>
      </c>
    </row>
    <row r="33" spans="1:12" s="10" customFormat="1" x14ac:dyDescent="0.3">
      <c r="A33" s="7" t="s">
        <v>5</v>
      </c>
      <c r="B33" s="8" t="s">
        <v>26</v>
      </c>
      <c r="C33" s="8" t="s">
        <v>26</v>
      </c>
      <c r="D33" s="8" t="s">
        <v>26</v>
      </c>
      <c r="E33" s="8" t="s">
        <v>26</v>
      </c>
      <c r="F33" s="8" t="s">
        <v>26</v>
      </c>
      <c r="G33" s="8" t="s">
        <v>26</v>
      </c>
      <c r="H33" s="8"/>
      <c r="I33" s="8" t="s">
        <v>26</v>
      </c>
      <c r="J33" s="36">
        <v>4</v>
      </c>
      <c r="K33" s="9" t="s">
        <v>26</v>
      </c>
      <c r="L33" s="8" t="s">
        <v>26</v>
      </c>
    </row>
    <row r="34" spans="1:12" s="13" customFormat="1" x14ac:dyDescent="0.3">
      <c r="A34" s="3">
        <v>45078</v>
      </c>
      <c r="B34" s="12"/>
      <c r="C34" s="12"/>
      <c r="D34" s="12"/>
      <c r="E34" s="12"/>
      <c r="F34" s="12"/>
      <c r="G34" s="12"/>
      <c r="H34" s="12"/>
      <c r="I34" s="12"/>
      <c r="J34" s="37"/>
    </row>
    <row r="35" spans="1:12" ht="33" customHeight="1" x14ac:dyDescent="0.3">
      <c r="A35" s="4" t="s">
        <v>2</v>
      </c>
      <c r="B35" s="5" t="s">
        <v>9</v>
      </c>
      <c r="C35" s="5" t="s">
        <v>10</v>
      </c>
      <c r="D35" s="5" t="s">
        <v>11</v>
      </c>
      <c r="E35" s="5" t="s">
        <v>12</v>
      </c>
      <c r="F35" s="5" t="s">
        <v>19</v>
      </c>
      <c r="G35" s="5" t="s">
        <v>18</v>
      </c>
      <c r="H35" s="5" t="s">
        <v>16</v>
      </c>
      <c r="I35" s="5" t="s">
        <v>17</v>
      </c>
      <c r="J35" s="35" t="s">
        <v>15</v>
      </c>
      <c r="K35" s="7" t="s">
        <v>13</v>
      </c>
      <c r="L35" s="6" t="s">
        <v>14</v>
      </c>
    </row>
    <row r="36" spans="1:12" s="10" customFormat="1" x14ac:dyDescent="0.3">
      <c r="A36" s="7" t="s">
        <v>3</v>
      </c>
      <c r="B36" s="8">
        <v>8149</v>
      </c>
      <c r="C36" s="8" t="s">
        <v>26</v>
      </c>
      <c r="D36" s="8">
        <v>561035.49</v>
      </c>
      <c r="E36" s="8" t="s">
        <v>26</v>
      </c>
      <c r="F36" s="8" t="s">
        <v>26</v>
      </c>
      <c r="G36" s="8" t="s">
        <v>26</v>
      </c>
      <c r="H36" s="8">
        <v>192097.17</v>
      </c>
      <c r="I36" s="8">
        <v>184449.86</v>
      </c>
      <c r="J36" s="36">
        <v>1249</v>
      </c>
      <c r="K36" s="9">
        <v>115</v>
      </c>
      <c r="L36" s="8" t="s">
        <v>26</v>
      </c>
    </row>
    <row r="37" spans="1:12" s="10" customFormat="1" x14ac:dyDescent="0.3">
      <c r="A37" s="7" t="s">
        <v>8</v>
      </c>
      <c r="B37" s="8" t="s">
        <v>26</v>
      </c>
      <c r="C37" s="8" t="s">
        <v>26</v>
      </c>
      <c r="D37" s="8" t="s">
        <v>26</v>
      </c>
      <c r="E37" s="8" t="s">
        <v>26</v>
      </c>
      <c r="F37" s="8" t="s">
        <v>26</v>
      </c>
      <c r="G37" s="8" t="s">
        <v>26</v>
      </c>
      <c r="H37" s="8" t="s">
        <v>26</v>
      </c>
      <c r="I37" s="8" t="s">
        <v>26</v>
      </c>
      <c r="J37" s="36">
        <v>1</v>
      </c>
      <c r="K37" s="9" t="s">
        <v>26</v>
      </c>
      <c r="L37" s="8" t="s">
        <v>26</v>
      </c>
    </row>
    <row r="38" spans="1:12" s="10" customFormat="1" x14ac:dyDescent="0.3">
      <c r="A38" s="7" t="s">
        <v>4</v>
      </c>
      <c r="B38" s="8" t="s">
        <v>26</v>
      </c>
      <c r="C38" s="8" t="s">
        <v>26</v>
      </c>
      <c r="D38" s="8">
        <v>542890</v>
      </c>
      <c r="E38" s="8" t="s">
        <v>26</v>
      </c>
      <c r="F38" s="8" t="s">
        <v>26</v>
      </c>
      <c r="G38" s="8" t="s">
        <v>26</v>
      </c>
      <c r="H38" s="8">
        <v>67473.64</v>
      </c>
      <c r="I38" s="8">
        <v>14732.3</v>
      </c>
      <c r="J38" s="36">
        <v>144</v>
      </c>
      <c r="K38" s="9">
        <v>34</v>
      </c>
      <c r="L38" s="8" t="s">
        <v>26</v>
      </c>
    </row>
    <row r="39" spans="1:12" s="10" customFormat="1" x14ac:dyDescent="0.3">
      <c r="A39" s="7" t="s">
        <v>5</v>
      </c>
      <c r="B39" s="8" t="s">
        <v>26</v>
      </c>
      <c r="C39" s="8" t="s">
        <v>26</v>
      </c>
      <c r="D39" s="8">
        <v>3416</v>
      </c>
      <c r="E39" s="8" t="s">
        <v>26</v>
      </c>
      <c r="F39" s="8" t="s">
        <v>26</v>
      </c>
      <c r="G39" s="8" t="s">
        <v>26</v>
      </c>
      <c r="H39" s="8">
        <v>0</v>
      </c>
      <c r="I39" s="8">
        <v>0</v>
      </c>
      <c r="J39" s="36">
        <v>1</v>
      </c>
      <c r="K39" s="9">
        <v>3</v>
      </c>
      <c r="L39" s="8" t="s">
        <v>26</v>
      </c>
    </row>
    <row r="40" spans="1:12" s="13" customFormat="1" x14ac:dyDescent="0.3">
      <c r="A40" s="3">
        <v>45108</v>
      </c>
      <c r="B40" s="12"/>
      <c r="C40" s="12"/>
      <c r="D40" s="12"/>
      <c r="E40" s="12"/>
      <c r="F40" s="12"/>
      <c r="G40" s="12"/>
      <c r="H40" s="12"/>
      <c r="I40" s="12"/>
      <c r="J40" s="37"/>
      <c r="K40" s="13" t="s">
        <v>26</v>
      </c>
    </row>
    <row r="41" spans="1:12" ht="33" customHeight="1" x14ac:dyDescent="0.3">
      <c r="A41" s="4" t="s">
        <v>2</v>
      </c>
      <c r="B41" s="5" t="s">
        <v>9</v>
      </c>
      <c r="C41" s="5" t="s">
        <v>10</v>
      </c>
      <c r="D41" s="5" t="s">
        <v>11</v>
      </c>
      <c r="E41" s="5" t="s">
        <v>12</v>
      </c>
      <c r="F41" s="5" t="s">
        <v>19</v>
      </c>
      <c r="G41" s="5" t="s">
        <v>18</v>
      </c>
      <c r="H41" s="5" t="s">
        <v>16</v>
      </c>
      <c r="I41" s="5" t="s">
        <v>17</v>
      </c>
      <c r="J41" s="35" t="s">
        <v>15</v>
      </c>
      <c r="K41" s="7" t="s">
        <v>13</v>
      </c>
      <c r="L41" s="6" t="s">
        <v>14</v>
      </c>
    </row>
    <row r="42" spans="1:12" s="10" customFormat="1" x14ac:dyDescent="0.3">
      <c r="A42" s="7" t="s">
        <v>3</v>
      </c>
      <c r="B42" s="8">
        <v>212006.01</v>
      </c>
      <c r="C42" s="8" t="s">
        <v>26</v>
      </c>
      <c r="D42" s="8">
        <v>3312981</v>
      </c>
      <c r="E42" s="8" t="s">
        <v>26</v>
      </c>
      <c r="F42" s="8" t="s">
        <v>26</v>
      </c>
      <c r="G42" s="8" t="s">
        <v>26</v>
      </c>
      <c r="H42" s="8">
        <v>381186.4</v>
      </c>
      <c r="I42" s="8">
        <v>150003.88</v>
      </c>
      <c r="J42" s="36">
        <v>1121</v>
      </c>
      <c r="K42" s="9">
        <v>78</v>
      </c>
      <c r="L42" s="8" t="s">
        <v>26</v>
      </c>
    </row>
    <row r="43" spans="1:12" s="10" customFormat="1" x14ac:dyDescent="0.3">
      <c r="A43" s="7" t="s">
        <v>8</v>
      </c>
      <c r="B43" s="8" t="s">
        <v>26</v>
      </c>
      <c r="C43" s="8" t="s">
        <v>26</v>
      </c>
      <c r="D43" s="8" t="s">
        <v>26</v>
      </c>
      <c r="E43" s="8" t="s">
        <v>26</v>
      </c>
      <c r="F43" s="8" t="s">
        <v>26</v>
      </c>
      <c r="G43" s="8" t="s">
        <v>26</v>
      </c>
      <c r="H43" s="8" t="s">
        <v>26</v>
      </c>
      <c r="I43" s="8" t="s">
        <v>26</v>
      </c>
      <c r="J43" s="36" t="s">
        <v>26</v>
      </c>
      <c r="K43" s="9" t="s">
        <v>26</v>
      </c>
      <c r="L43" s="8" t="s">
        <v>26</v>
      </c>
    </row>
    <row r="44" spans="1:12" s="10" customFormat="1" x14ac:dyDescent="0.3">
      <c r="A44" s="7" t="s">
        <v>4</v>
      </c>
      <c r="B44" s="8">
        <v>12859</v>
      </c>
      <c r="C44" s="8" t="s">
        <v>26</v>
      </c>
      <c r="D44" s="8">
        <v>3506513.06</v>
      </c>
      <c r="E44" s="8" t="s">
        <v>26</v>
      </c>
      <c r="F44" s="8" t="s">
        <v>26</v>
      </c>
      <c r="G44" s="8" t="s">
        <v>26</v>
      </c>
      <c r="H44" s="8">
        <v>52910.85</v>
      </c>
      <c r="I44" s="8" t="s">
        <v>26</v>
      </c>
      <c r="J44" s="36">
        <v>131</v>
      </c>
      <c r="K44" s="9">
        <v>23</v>
      </c>
      <c r="L44" s="8" t="s">
        <v>26</v>
      </c>
    </row>
    <row r="45" spans="1:12" s="10" customFormat="1" x14ac:dyDescent="0.3">
      <c r="A45" s="7" t="s">
        <v>5</v>
      </c>
      <c r="B45" s="8">
        <v>0</v>
      </c>
      <c r="C45" s="8" t="s">
        <v>26</v>
      </c>
      <c r="D45" s="8">
        <v>204421.66999999998</v>
      </c>
      <c r="E45" s="8" t="s">
        <v>26</v>
      </c>
      <c r="F45" s="8" t="s">
        <v>26</v>
      </c>
      <c r="G45" s="8" t="s">
        <v>26</v>
      </c>
      <c r="H45" s="8">
        <v>1096</v>
      </c>
      <c r="I45" s="8" t="s">
        <v>26</v>
      </c>
      <c r="J45" s="36">
        <v>1</v>
      </c>
      <c r="K45" s="9">
        <v>2</v>
      </c>
      <c r="L45" s="8" t="s">
        <v>26</v>
      </c>
    </row>
    <row r="46" spans="1:12" s="13" customFormat="1" x14ac:dyDescent="0.3">
      <c r="A46" s="3">
        <v>45139</v>
      </c>
      <c r="B46" s="12"/>
      <c r="C46" s="12"/>
      <c r="D46" s="12"/>
      <c r="E46" s="12"/>
      <c r="F46" s="12"/>
      <c r="G46" s="12"/>
      <c r="H46" s="12"/>
      <c r="I46" s="12"/>
      <c r="J46" s="37"/>
    </row>
    <row r="47" spans="1:12" ht="33" customHeight="1" x14ac:dyDescent="0.3">
      <c r="A47" s="4" t="s">
        <v>2</v>
      </c>
      <c r="B47" s="5" t="s">
        <v>9</v>
      </c>
      <c r="C47" s="5" t="s">
        <v>10</v>
      </c>
      <c r="D47" s="5" t="s">
        <v>11</v>
      </c>
      <c r="E47" s="5" t="s">
        <v>12</v>
      </c>
      <c r="F47" s="5" t="s">
        <v>19</v>
      </c>
      <c r="G47" s="5" t="s">
        <v>18</v>
      </c>
      <c r="H47" s="5" t="s">
        <v>16</v>
      </c>
      <c r="I47" s="5" t="s">
        <v>17</v>
      </c>
      <c r="J47" s="35" t="s">
        <v>15</v>
      </c>
      <c r="K47" s="7" t="s">
        <v>13</v>
      </c>
      <c r="L47" s="6" t="s">
        <v>14</v>
      </c>
    </row>
    <row r="48" spans="1:12" s="10" customFormat="1" x14ac:dyDescent="0.3">
      <c r="A48" s="7" t="s">
        <v>3</v>
      </c>
      <c r="B48" s="8">
        <v>20407.62</v>
      </c>
      <c r="C48" s="8" t="s">
        <v>26</v>
      </c>
      <c r="D48" s="8">
        <v>1214832.6599999999</v>
      </c>
      <c r="E48" s="8" t="s">
        <v>26</v>
      </c>
      <c r="F48" s="8" t="s">
        <v>26</v>
      </c>
      <c r="G48" s="8" t="s">
        <v>26</v>
      </c>
      <c r="H48" s="8">
        <v>138805.96</v>
      </c>
      <c r="I48" s="8">
        <v>93509.83</v>
      </c>
      <c r="J48" s="36">
        <v>1362</v>
      </c>
      <c r="K48" s="9">
        <v>86</v>
      </c>
      <c r="L48" s="8" t="s">
        <v>26</v>
      </c>
    </row>
    <row r="49" spans="1:12" s="10" customFormat="1" x14ac:dyDescent="0.3">
      <c r="A49" s="7" t="s">
        <v>8</v>
      </c>
      <c r="B49" s="8">
        <v>0</v>
      </c>
      <c r="C49" s="8" t="s">
        <v>26</v>
      </c>
      <c r="D49" s="8">
        <v>53820</v>
      </c>
      <c r="E49" s="8" t="s">
        <v>26</v>
      </c>
      <c r="F49" s="8" t="s">
        <v>26</v>
      </c>
      <c r="G49" s="8" t="s">
        <v>26</v>
      </c>
      <c r="H49" s="8">
        <v>0</v>
      </c>
      <c r="I49" s="8">
        <v>0</v>
      </c>
      <c r="J49" s="36">
        <v>2</v>
      </c>
      <c r="K49" s="9">
        <v>1</v>
      </c>
      <c r="L49" s="8" t="s">
        <v>26</v>
      </c>
    </row>
    <row r="50" spans="1:12" s="10" customFormat="1" x14ac:dyDescent="0.3">
      <c r="A50" s="7" t="s">
        <v>4</v>
      </c>
      <c r="B50" s="8">
        <v>9189</v>
      </c>
      <c r="C50" s="8" t="s">
        <v>26</v>
      </c>
      <c r="D50" s="8">
        <v>2550870.8299999996</v>
      </c>
      <c r="E50" s="8" t="s">
        <v>26</v>
      </c>
      <c r="F50" s="8" t="s">
        <v>26</v>
      </c>
      <c r="G50" s="8" t="s">
        <v>26</v>
      </c>
      <c r="H50" s="8">
        <v>58779.98</v>
      </c>
      <c r="I50" s="8">
        <v>0</v>
      </c>
      <c r="J50" s="36">
        <v>158</v>
      </c>
      <c r="K50" s="9">
        <v>39</v>
      </c>
      <c r="L50" s="8" t="s">
        <v>26</v>
      </c>
    </row>
    <row r="51" spans="1:12" s="10" customFormat="1" x14ac:dyDescent="0.3">
      <c r="A51" s="7" t="s">
        <v>5</v>
      </c>
      <c r="B51" s="8">
        <v>0</v>
      </c>
      <c r="C51" s="8" t="s">
        <v>26</v>
      </c>
      <c r="D51" s="8">
        <v>29254</v>
      </c>
      <c r="E51" s="8" t="s">
        <v>26</v>
      </c>
      <c r="F51" s="8" t="s">
        <v>26</v>
      </c>
      <c r="G51" s="8" t="s">
        <v>26</v>
      </c>
      <c r="H51" s="8">
        <v>0</v>
      </c>
      <c r="I51" s="8">
        <v>0</v>
      </c>
      <c r="J51" s="36">
        <v>1</v>
      </c>
      <c r="K51" s="9">
        <v>1</v>
      </c>
      <c r="L51" s="8" t="s">
        <v>26</v>
      </c>
    </row>
    <row r="52" spans="1:12" s="13" customFormat="1" x14ac:dyDescent="0.3">
      <c r="A52" s="3">
        <v>45170</v>
      </c>
      <c r="B52" s="12"/>
      <c r="C52" s="12"/>
      <c r="D52" s="12"/>
      <c r="E52" s="12"/>
      <c r="F52" s="12"/>
      <c r="G52" s="12"/>
      <c r="H52" s="12"/>
      <c r="I52" s="12"/>
      <c r="J52" s="37"/>
    </row>
    <row r="53" spans="1:12" ht="33" customHeight="1" x14ac:dyDescent="0.3">
      <c r="A53" s="4" t="s">
        <v>2</v>
      </c>
      <c r="B53" s="5" t="s">
        <v>9</v>
      </c>
      <c r="C53" s="5" t="s">
        <v>10</v>
      </c>
      <c r="D53" s="5" t="s">
        <v>11</v>
      </c>
      <c r="E53" s="5" t="s">
        <v>12</v>
      </c>
      <c r="F53" s="5" t="s">
        <v>19</v>
      </c>
      <c r="G53" s="5" t="s">
        <v>18</v>
      </c>
      <c r="H53" s="5" t="s">
        <v>16</v>
      </c>
      <c r="I53" s="5" t="s">
        <v>17</v>
      </c>
      <c r="J53" s="35" t="s">
        <v>15</v>
      </c>
      <c r="K53" s="7" t="s">
        <v>13</v>
      </c>
      <c r="L53" s="6" t="s">
        <v>14</v>
      </c>
    </row>
    <row r="54" spans="1:12" s="10" customFormat="1" x14ac:dyDescent="0.3">
      <c r="A54" s="7" t="s">
        <v>3</v>
      </c>
      <c r="B54" s="8">
        <v>171588.86</v>
      </c>
      <c r="C54" s="8" t="s">
        <v>26</v>
      </c>
      <c r="D54" s="8">
        <v>1035591.41</v>
      </c>
      <c r="E54" s="8" t="s">
        <v>26</v>
      </c>
      <c r="F54" s="8" t="s">
        <v>26</v>
      </c>
      <c r="G54" s="8" t="s">
        <v>26</v>
      </c>
      <c r="H54" s="8">
        <v>618838.67000000004</v>
      </c>
      <c r="I54" s="8">
        <v>604595.38000000012</v>
      </c>
      <c r="J54" s="36">
        <v>1148</v>
      </c>
      <c r="K54" s="9">
        <v>58</v>
      </c>
      <c r="L54" s="8" t="s">
        <v>26</v>
      </c>
    </row>
    <row r="55" spans="1:12" s="10" customFormat="1" x14ac:dyDescent="0.3">
      <c r="A55" s="7" t="s">
        <v>8</v>
      </c>
      <c r="B55" s="8" t="s">
        <v>26</v>
      </c>
      <c r="C55" s="8" t="s">
        <v>26</v>
      </c>
      <c r="D55" s="8" t="s">
        <v>26</v>
      </c>
      <c r="E55" s="8" t="s">
        <v>26</v>
      </c>
      <c r="F55" s="8" t="s">
        <v>26</v>
      </c>
      <c r="G55" s="8" t="s">
        <v>26</v>
      </c>
      <c r="H55" s="8" t="s">
        <v>26</v>
      </c>
      <c r="I55" s="8" t="s">
        <v>26</v>
      </c>
      <c r="J55" s="36" t="s">
        <v>26</v>
      </c>
      <c r="K55" s="9" t="s">
        <v>26</v>
      </c>
      <c r="L55" s="8" t="s">
        <v>26</v>
      </c>
    </row>
    <row r="56" spans="1:12" s="10" customFormat="1" x14ac:dyDescent="0.3">
      <c r="A56" s="7" t="s">
        <v>4</v>
      </c>
      <c r="B56" s="8">
        <v>80614.22</v>
      </c>
      <c r="C56" s="8" t="s">
        <v>26</v>
      </c>
      <c r="D56" s="8">
        <v>1954605.59</v>
      </c>
      <c r="E56" s="8" t="s">
        <v>26</v>
      </c>
      <c r="F56" s="8" t="s">
        <v>26</v>
      </c>
      <c r="G56" s="8" t="s">
        <v>26</v>
      </c>
      <c r="H56" s="8">
        <v>133301</v>
      </c>
      <c r="I56" s="8" t="s">
        <v>26</v>
      </c>
      <c r="J56" s="36">
        <v>120</v>
      </c>
      <c r="K56" s="9">
        <v>31</v>
      </c>
      <c r="L56" s="8" t="s">
        <v>26</v>
      </c>
    </row>
    <row r="57" spans="1:12" s="10" customFormat="1" x14ac:dyDescent="0.3">
      <c r="A57" s="7" t="s">
        <v>5</v>
      </c>
      <c r="B57" s="8">
        <v>0</v>
      </c>
      <c r="C57" s="8" t="s">
        <v>26</v>
      </c>
      <c r="D57" s="8">
        <v>2556</v>
      </c>
      <c r="E57" s="8" t="s">
        <v>26</v>
      </c>
      <c r="F57" s="8" t="s">
        <v>26</v>
      </c>
      <c r="G57" s="8" t="s">
        <v>26</v>
      </c>
      <c r="H57" s="8">
        <v>977.29</v>
      </c>
      <c r="I57" s="8" t="s">
        <v>26</v>
      </c>
      <c r="J57" s="36">
        <v>1</v>
      </c>
      <c r="K57" s="9">
        <v>1</v>
      </c>
      <c r="L57" s="8" t="s">
        <v>26</v>
      </c>
    </row>
    <row r="58" spans="1:12" s="13" customFormat="1" x14ac:dyDescent="0.3">
      <c r="A58" s="3">
        <v>45200</v>
      </c>
      <c r="B58" s="12"/>
      <c r="C58" s="12"/>
      <c r="D58" s="12"/>
      <c r="E58" s="12"/>
      <c r="F58" s="12"/>
      <c r="G58" s="12"/>
      <c r="H58" s="12"/>
      <c r="I58" s="12"/>
      <c r="J58" s="37"/>
    </row>
    <row r="59" spans="1:12" ht="33" customHeight="1" x14ac:dyDescent="0.3">
      <c r="A59" s="4" t="s">
        <v>2</v>
      </c>
      <c r="B59" s="5" t="s">
        <v>9</v>
      </c>
      <c r="C59" s="5" t="s">
        <v>10</v>
      </c>
      <c r="D59" s="5" t="s">
        <v>11</v>
      </c>
      <c r="E59" s="5" t="s">
        <v>12</v>
      </c>
      <c r="F59" s="5" t="s">
        <v>19</v>
      </c>
      <c r="G59" s="5" t="s">
        <v>18</v>
      </c>
      <c r="H59" s="5" t="s">
        <v>16</v>
      </c>
      <c r="I59" s="5" t="s">
        <v>17</v>
      </c>
      <c r="J59" s="35" t="s">
        <v>15</v>
      </c>
      <c r="K59" s="7" t="s">
        <v>13</v>
      </c>
      <c r="L59" s="6" t="s">
        <v>14</v>
      </c>
    </row>
    <row r="60" spans="1:12" s="10" customFormat="1" x14ac:dyDescent="0.3">
      <c r="A60" s="7" t="s">
        <v>3</v>
      </c>
      <c r="B60" s="8">
        <v>17977.309999999998</v>
      </c>
      <c r="C60" s="8" t="s">
        <v>26</v>
      </c>
      <c r="D60" s="8">
        <v>2784916.51</v>
      </c>
      <c r="E60" s="8" t="s">
        <v>26</v>
      </c>
      <c r="F60" s="8" t="s">
        <v>26</v>
      </c>
      <c r="G60" s="8" t="s">
        <v>26</v>
      </c>
      <c r="H60" s="8">
        <v>470903.32</v>
      </c>
      <c r="I60" s="8">
        <v>513556.5</v>
      </c>
      <c r="J60" s="36">
        <v>970</v>
      </c>
      <c r="K60" s="9">
        <v>76</v>
      </c>
      <c r="L60" s="8" t="s">
        <v>26</v>
      </c>
    </row>
    <row r="61" spans="1:12" s="10" customFormat="1" x14ac:dyDescent="0.3">
      <c r="A61" s="7" t="s">
        <v>8</v>
      </c>
      <c r="B61" s="8">
        <v>0</v>
      </c>
      <c r="C61" s="8" t="s">
        <v>26</v>
      </c>
      <c r="D61" s="8">
        <v>590877</v>
      </c>
      <c r="E61" s="8" t="s">
        <v>26</v>
      </c>
      <c r="F61" s="8" t="s">
        <v>26</v>
      </c>
      <c r="G61" s="8" t="s">
        <v>26</v>
      </c>
      <c r="H61" s="8">
        <v>0</v>
      </c>
      <c r="I61" s="8">
        <v>0</v>
      </c>
      <c r="J61" s="36" t="s">
        <v>26</v>
      </c>
      <c r="K61" s="9">
        <v>1</v>
      </c>
      <c r="L61" s="8" t="s">
        <v>26</v>
      </c>
    </row>
    <row r="62" spans="1:12" s="10" customFormat="1" x14ac:dyDescent="0.3">
      <c r="A62" s="7" t="s">
        <v>4</v>
      </c>
      <c r="B62" s="8">
        <v>0</v>
      </c>
      <c r="C62" s="8" t="s">
        <v>26</v>
      </c>
      <c r="D62" s="8">
        <v>1347115.07</v>
      </c>
      <c r="E62" s="8" t="s">
        <v>26</v>
      </c>
      <c r="F62" s="8" t="s">
        <v>26</v>
      </c>
      <c r="G62" s="8" t="s">
        <v>26</v>
      </c>
      <c r="H62" s="8">
        <v>10929.1</v>
      </c>
      <c r="I62" s="8">
        <v>0</v>
      </c>
      <c r="J62" s="36">
        <v>125</v>
      </c>
      <c r="K62" s="9">
        <v>30</v>
      </c>
      <c r="L62" s="8" t="s">
        <v>26</v>
      </c>
    </row>
    <row r="63" spans="1:12" s="10" customFormat="1" x14ac:dyDescent="0.3">
      <c r="A63" s="7" t="s">
        <v>5</v>
      </c>
      <c r="B63" s="8">
        <v>0</v>
      </c>
      <c r="C63" s="8" t="s">
        <v>26</v>
      </c>
      <c r="D63" s="8">
        <v>329341</v>
      </c>
      <c r="E63" s="8" t="s">
        <v>26</v>
      </c>
      <c r="F63" s="8" t="s">
        <v>26</v>
      </c>
      <c r="G63" s="8" t="s">
        <v>26</v>
      </c>
      <c r="H63" s="8">
        <v>2959</v>
      </c>
      <c r="I63" s="8">
        <v>0</v>
      </c>
      <c r="J63" s="36">
        <v>2</v>
      </c>
      <c r="K63" s="9">
        <v>4</v>
      </c>
      <c r="L63" s="8" t="s">
        <v>26</v>
      </c>
    </row>
    <row r="64" spans="1:12" s="13" customFormat="1" x14ac:dyDescent="0.3">
      <c r="A64" s="3">
        <v>45231</v>
      </c>
      <c r="B64" s="12"/>
      <c r="C64" s="12"/>
      <c r="D64" s="12"/>
      <c r="E64" s="12"/>
      <c r="F64" s="12"/>
      <c r="G64" s="12"/>
      <c r="H64" s="12"/>
      <c r="I64" s="12"/>
      <c r="J64" s="37"/>
    </row>
    <row r="65" spans="1:12" ht="33" customHeight="1" x14ac:dyDescent="0.3">
      <c r="A65" s="4" t="s">
        <v>2</v>
      </c>
      <c r="B65" s="5" t="s">
        <v>9</v>
      </c>
      <c r="C65" s="5" t="s">
        <v>10</v>
      </c>
      <c r="D65" s="5" t="s">
        <v>11</v>
      </c>
      <c r="E65" s="5" t="s">
        <v>12</v>
      </c>
      <c r="F65" s="5" t="s">
        <v>19</v>
      </c>
      <c r="G65" s="5" t="s">
        <v>18</v>
      </c>
      <c r="H65" s="5" t="s">
        <v>16</v>
      </c>
      <c r="I65" s="5" t="s">
        <v>17</v>
      </c>
      <c r="J65" s="35" t="s">
        <v>15</v>
      </c>
      <c r="K65" s="7" t="s">
        <v>13</v>
      </c>
      <c r="L65" s="6" t="s">
        <v>14</v>
      </c>
    </row>
    <row r="66" spans="1:12" s="10" customFormat="1" x14ac:dyDescent="0.3">
      <c r="A66" s="7" t="s">
        <v>3</v>
      </c>
      <c r="B66" s="8">
        <v>170969.49</v>
      </c>
      <c r="C66" s="8" t="s">
        <v>26</v>
      </c>
      <c r="D66" s="8">
        <v>355223.22</v>
      </c>
      <c r="E66" s="8" t="s">
        <v>26</v>
      </c>
      <c r="F66" s="8" t="s">
        <v>26</v>
      </c>
      <c r="G66" s="8" t="s">
        <v>26</v>
      </c>
      <c r="H66" s="8">
        <v>1004277.93</v>
      </c>
      <c r="I66" s="8">
        <v>996086.74000000011</v>
      </c>
      <c r="J66" s="36">
        <v>860</v>
      </c>
      <c r="K66" s="9">
        <v>62</v>
      </c>
      <c r="L66" s="8" t="s">
        <v>26</v>
      </c>
    </row>
    <row r="67" spans="1:12" s="10" customFormat="1" x14ac:dyDescent="0.3">
      <c r="A67" s="7" t="s">
        <v>8</v>
      </c>
      <c r="B67" s="8" t="s">
        <v>26</v>
      </c>
      <c r="C67" s="8" t="s">
        <v>26</v>
      </c>
      <c r="D67" s="8" t="s">
        <v>26</v>
      </c>
      <c r="E67" s="8" t="s">
        <v>26</v>
      </c>
      <c r="F67" s="8" t="s">
        <v>26</v>
      </c>
      <c r="G67" s="8" t="s">
        <v>26</v>
      </c>
      <c r="H67" s="8"/>
      <c r="I67" s="8" t="s">
        <v>26</v>
      </c>
      <c r="J67" s="36">
        <v>1</v>
      </c>
      <c r="K67" s="9" t="s">
        <v>26</v>
      </c>
      <c r="L67" s="8" t="s">
        <v>26</v>
      </c>
    </row>
    <row r="68" spans="1:12" s="10" customFormat="1" x14ac:dyDescent="0.3">
      <c r="A68" s="7" t="s">
        <v>4</v>
      </c>
      <c r="B68" s="8">
        <v>9514.44</v>
      </c>
      <c r="C68" s="8" t="s">
        <v>26</v>
      </c>
      <c r="D68" s="8">
        <v>1274101.53</v>
      </c>
      <c r="E68" s="8" t="s">
        <v>26</v>
      </c>
      <c r="F68" s="8" t="s">
        <v>26</v>
      </c>
      <c r="G68" s="8" t="s">
        <v>26</v>
      </c>
      <c r="H68" s="8">
        <v>19812.560000000001</v>
      </c>
      <c r="I68" s="8" t="s">
        <v>26</v>
      </c>
      <c r="J68" s="36">
        <v>140</v>
      </c>
      <c r="K68" s="9">
        <v>21</v>
      </c>
      <c r="L68" s="8" t="s">
        <v>26</v>
      </c>
    </row>
    <row r="69" spans="1:12" s="10" customFormat="1" x14ac:dyDescent="0.3">
      <c r="A69" s="7" t="s">
        <v>5</v>
      </c>
      <c r="B69" s="8" t="s">
        <v>26</v>
      </c>
      <c r="C69" s="8" t="s">
        <v>26</v>
      </c>
      <c r="D69" s="8" t="s">
        <v>26</v>
      </c>
      <c r="E69" s="8" t="s">
        <v>26</v>
      </c>
      <c r="F69" s="8" t="s">
        <v>26</v>
      </c>
      <c r="G69" s="8" t="s">
        <v>26</v>
      </c>
      <c r="H69" s="8"/>
      <c r="I69" s="8" t="s">
        <v>26</v>
      </c>
      <c r="J69" s="36">
        <v>2</v>
      </c>
      <c r="K69" s="9" t="s">
        <v>26</v>
      </c>
      <c r="L69" s="8" t="s">
        <v>26</v>
      </c>
    </row>
    <row r="70" spans="1:12" x14ac:dyDescent="0.3">
      <c r="A70" s="3">
        <v>45261</v>
      </c>
    </row>
    <row r="71" spans="1:12" ht="33" customHeight="1" x14ac:dyDescent="0.3">
      <c r="A71" s="4" t="s">
        <v>2</v>
      </c>
      <c r="B71" s="5" t="s">
        <v>9</v>
      </c>
      <c r="C71" s="5" t="s">
        <v>10</v>
      </c>
      <c r="D71" s="5" t="s">
        <v>11</v>
      </c>
      <c r="E71" s="5" t="s">
        <v>12</v>
      </c>
      <c r="F71" s="5" t="s">
        <v>19</v>
      </c>
      <c r="G71" s="5" t="s">
        <v>18</v>
      </c>
      <c r="H71" s="5" t="s">
        <v>16</v>
      </c>
      <c r="I71" s="5" t="s">
        <v>17</v>
      </c>
      <c r="J71" s="35" t="s">
        <v>15</v>
      </c>
      <c r="K71" s="7" t="s">
        <v>13</v>
      </c>
      <c r="L71" s="6" t="s">
        <v>14</v>
      </c>
    </row>
    <row r="72" spans="1:12" s="10" customFormat="1" x14ac:dyDescent="0.3">
      <c r="A72" s="7" t="s">
        <v>3</v>
      </c>
      <c r="B72" s="8">
        <v>25543</v>
      </c>
      <c r="C72" s="8" t="s">
        <v>26</v>
      </c>
      <c r="D72" s="8">
        <v>507052.02</v>
      </c>
      <c r="E72" s="8" t="s">
        <v>26</v>
      </c>
      <c r="F72" s="8" t="s">
        <v>26</v>
      </c>
      <c r="G72" s="8" t="s">
        <v>26</v>
      </c>
      <c r="H72" s="8">
        <v>92416.06</v>
      </c>
      <c r="I72" s="8">
        <v>39135.339999999997</v>
      </c>
      <c r="J72" s="36">
        <v>730</v>
      </c>
      <c r="K72" s="9">
        <v>38</v>
      </c>
      <c r="L72" s="8" t="s">
        <v>26</v>
      </c>
    </row>
    <row r="73" spans="1:12" s="10" customFormat="1" x14ac:dyDescent="0.3">
      <c r="A73" s="7" t="s">
        <v>8</v>
      </c>
      <c r="B73" s="8">
        <v>5615</v>
      </c>
      <c r="C73" s="8" t="s">
        <v>26</v>
      </c>
      <c r="D73" s="8">
        <v>13789.2</v>
      </c>
      <c r="E73" s="8" t="s">
        <v>26</v>
      </c>
      <c r="F73" s="8" t="s">
        <v>26</v>
      </c>
      <c r="G73" s="8" t="s">
        <v>26</v>
      </c>
      <c r="H73" s="8">
        <v>5615</v>
      </c>
      <c r="I73" s="8" t="s">
        <v>26</v>
      </c>
      <c r="J73" s="36" t="s">
        <v>26</v>
      </c>
      <c r="K73" s="9">
        <v>1</v>
      </c>
      <c r="L73" s="8" t="s">
        <v>26</v>
      </c>
    </row>
    <row r="74" spans="1:12" s="10" customFormat="1" x14ac:dyDescent="0.3">
      <c r="A74" s="7" t="s">
        <v>4</v>
      </c>
      <c r="B74" s="8" t="s">
        <v>26</v>
      </c>
      <c r="C74" s="8" t="s">
        <v>26</v>
      </c>
      <c r="D74" s="8">
        <v>1256180.3399999999</v>
      </c>
      <c r="E74" s="8" t="s">
        <v>26</v>
      </c>
      <c r="F74" s="8" t="s">
        <v>26</v>
      </c>
      <c r="G74" s="8" t="s">
        <v>26</v>
      </c>
      <c r="H74" s="8">
        <v>590</v>
      </c>
      <c r="I74" s="8" t="s">
        <v>26</v>
      </c>
      <c r="J74" s="36">
        <v>81</v>
      </c>
      <c r="K74" s="9">
        <v>17</v>
      </c>
      <c r="L74" s="8" t="s">
        <v>26</v>
      </c>
    </row>
    <row r="75" spans="1:12" s="10" customFormat="1" x14ac:dyDescent="0.3">
      <c r="A75" s="7" t="s">
        <v>5</v>
      </c>
      <c r="B75" s="8">
        <v>32409</v>
      </c>
      <c r="C75" s="8" t="s">
        <v>26</v>
      </c>
      <c r="D75" s="8">
        <v>72904</v>
      </c>
      <c r="E75" s="8" t="s">
        <v>26</v>
      </c>
      <c r="F75" s="8" t="s">
        <v>26</v>
      </c>
      <c r="G75" s="8" t="s">
        <v>26</v>
      </c>
      <c r="H75" s="8">
        <v>33505</v>
      </c>
      <c r="I75" s="8" t="s">
        <v>26</v>
      </c>
      <c r="J75" s="36" t="s">
        <v>26</v>
      </c>
      <c r="K75" s="9">
        <v>2</v>
      </c>
      <c r="L75" s="8" t="s">
        <v>26</v>
      </c>
    </row>
    <row r="77" spans="1:12" x14ac:dyDescent="0.3">
      <c r="A77" s="14" t="s">
        <v>21</v>
      </c>
      <c r="B77" s="15"/>
    </row>
    <row r="78" spans="1:12" x14ac:dyDescent="0.3">
      <c r="A78" s="27" t="s">
        <v>22</v>
      </c>
      <c r="B78" s="15"/>
    </row>
    <row r="79" spans="1:12" x14ac:dyDescent="0.3">
      <c r="A79" s="26" t="s">
        <v>25</v>
      </c>
      <c r="B79" s="15"/>
      <c r="C79" s="15"/>
      <c r="D79" s="15"/>
    </row>
    <row r="80" spans="1:12" x14ac:dyDescent="0.3">
      <c r="A80" s="26" t="s">
        <v>23</v>
      </c>
      <c r="B80" s="15"/>
      <c r="C80" s="15"/>
      <c r="D80" s="15"/>
    </row>
    <row r="81" spans="1:11" ht="30.6" customHeight="1" x14ac:dyDescent="0.3">
      <c r="A81" s="39" t="s">
        <v>24</v>
      </c>
      <c r="B81" s="39"/>
      <c r="C81" s="39"/>
      <c r="D81" s="39"/>
      <c r="E81" s="39"/>
      <c r="F81" s="39"/>
      <c r="G81" s="39"/>
    </row>
    <row r="82" spans="1:11" x14ac:dyDescent="0.3">
      <c r="A82" s="27" t="s">
        <v>29</v>
      </c>
      <c r="B82" s="27"/>
      <c r="C82" s="27"/>
      <c r="D82" s="27"/>
    </row>
    <row r="84" spans="1:11" x14ac:dyDescent="0.3">
      <c r="J84" s="34">
        <f>SUM(J6:J9,J12:J15,J18:J21,J24:J27,J30:J33,J36:J39,J42:J45,J48:J51,J54:J57,J60:J63,J66:J70,J72:J75)</f>
        <v>14205</v>
      </c>
      <c r="K84" s="2">
        <f>SUM(K6:K9,K12:K15,K18:K21,K24:K27,K30:K33,K36:K39,K42:K45,K48:K51,K54:K57,K60:K63,K66:K68,K72:K75)</f>
        <v>1025</v>
      </c>
    </row>
    <row r="86" spans="1:11" ht="28.8" x14ac:dyDescent="0.3">
      <c r="I86" s="18" t="s">
        <v>31</v>
      </c>
      <c r="J86" s="34">
        <f>J84+13118</f>
        <v>27323</v>
      </c>
    </row>
    <row r="94" spans="1:11" ht="15" x14ac:dyDescent="0.3">
      <c r="A94" s="40"/>
      <c r="B94" s="40"/>
      <c r="C94" s="40"/>
      <c r="D94" s="40"/>
      <c r="E94" s="40"/>
    </row>
    <row r="95" spans="1:11" ht="16.2" thickBot="1" x14ac:dyDescent="0.35">
      <c r="A95" s="29"/>
      <c r="B95" s="29"/>
      <c r="C95" s="29"/>
      <c r="D95" s="29"/>
      <c r="E95" s="30"/>
    </row>
    <row r="96" spans="1:11" ht="16.2" thickBot="1" x14ac:dyDescent="0.35">
      <c r="A96" s="31"/>
      <c r="B96" s="31"/>
      <c r="C96" s="31"/>
      <c r="D96" s="33"/>
      <c r="E96" s="30"/>
    </row>
    <row r="97" spans="1:5" ht="15.6" x14ac:dyDescent="0.3">
      <c r="A97" s="32"/>
      <c r="B97" s="32"/>
      <c r="C97" s="32"/>
      <c r="D97" s="32"/>
      <c r="E97" s="30"/>
    </row>
  </sheetData>
  <mergeCells count="2">
    <mergeCell ref="A81:G81"/>
    <mergeCell ref="A94:E94"/>
  </mergeCells>
  <pageMargins left="0.25" right="0.25" top="0.75" bottom="0.75" header="0.3" footer="0.3"/>
  <pageSetup scale="54" fitToHeight="0" orientation="landscape" r:id="rId1"/>
  <headerFooter>
    <oddHeader>&amp;L&amp;A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E9A7C-86EB-428A-BC4A-AD8DA8DA3699}">
  <sheetPr>
    <pageSetUpPr fitToPage="1"/>
  </sheetPr>
  <dimension ref="A1:L85"/>
  <sheetViews>
    <sheetView view="pageLayout" zoomScale="70" zoomScaleNormal="90" zoomScalePageLayoutView="70" workbookViewId="0">
      <selection activeCell="D8" sqref="D8"/>
    </sheetView>
  </sheetViews>
  <sheetFormatPr defaultColWidth="8.6640625" defaultRowHeight="14.4" x14ac:dyDescent="0.3"/>
  <cols>
    <col min="1" max="1" width="20.6640625" style="13" customWidth="1"/>
    <col min="2" max="9" width="20.6640625" style="2" customWidth="1"/>
    <col min="10" max="10" width="20.6640625" style="34" customWidth="1"/>
    <col min="11" max="12" width="20.6640625" customWidth="1"/>
  </cols>
  <sheetData>
    <row r="1" spans="1:12" x14ac:dyDescent="0.3">
      <c r="A1" s="1" t="s">
        <v>1</v>
      </c>
    </row>
    <row r="2" spans="1:12" x14ac:dyDescent="0.3">
      <c r="A2" s="1" t="s">
        <v>0</v>
      </c>
    </row>
    <row r="3" spans="1:12" ht="1.2" customHeight="1" x14ac:dyDescent="0.3">
      <c r="A3" s="1" t="s">
        <v>20</v>
      </c>
    </row>
    <row r="4" spans="1:12" hidden="1" x14ac:dyDescent="0.3">
      <c r="A4" s="3">
        <v>44927</v>
      </c>
    </row>
    <row r="5" spans="1:12" ht="43.8" customHeight="1" x14ac:dyDescent="0.3">
      <c r="A5" s="4" t="s">
        <v>2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19</v>
      </c>
      <c r="G5" s="5" t="s">
        <v>18</v>
      </c>
      <c r="H5" s="5" t="s">
        <v>16</v>
      </c>
      <c r="I5" s="5" t="s">
        <v>17</v>
      </c>
      <c r="J5" s="35" t="s">
        <v>15</v>
      </c>
      <c r="K5" s="6" t="s">
        <v>13</v>
      </c>
      <c r="L5" s="6" t="s">
        <v>14</v>
      </c>
    </row>
    <row r="6" spans="1:12" s="10" customFormat="1" x14ac:dyDescent="0.3">
      <c r="A6" s="7" t="s">
        <v>3</v>
      </c>
      <c r="B6" s="8">
        <v>50957.71</v>
      </c>
      <c r="C6" s="8">
        <v>0</v>
      </c>
      <c r="D6" s="8">
        <v>3597250.9</v>
      </c>
      <c r="E6" s="8">
        <v>0</v>
      </c>
      <c r="F6" s="8">
        <v>-587022.11</v>
      </c>
      <c r="G6" s="8">
        <v>0</v>
      </c>
      <c r="H6" s="8">
        <v>135174</v>
      </c>
      <c r="I6" s="8">
        <v>79865</v>
      </c>
      <c r="J6" s="36">
        <v>143</v>
      </c>
      <c r="K6" s="9">
        <v>127</v>
      </c>
      <c r="L6" s="9" t="s">
        <v>26</v>
      </c>
    </row>
    <row r="7" spans="1:12" s="10" customFormat="1" x14ac:dyDescent="0.3">
      <c r="A7" s="7" t="s">
        <v>8</v>
      </c>
      <c r="B7" s="8">
        <v>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36"/>
      <c r="K7" s="9" t="s">
        <v>26</v>
      </c>
      <c r="L7" s="9" t="s">
        <v>26</v>
      </c>
    </row>
    <row r="8" spans="1:12" s="10" customFormat="1" x14ac:dyDescent="0.3">
      <c r="A8" s="7" t="s">
        <v>4</v>
      </c>
      <c r="B8" s="8">
        <v>0</v>
      </c>
      <c r="C8" s="8">
        <v>0</v>
      </c>
      <c r="D8" s="8">
        <v>1463299.63</v>
      </c>
      <c r="E8" s="8">
        <v>0</v>
      </c>
      <c r="F8" s="8">
        <v>0</v>
      </c>
      <c r="G8" s="8">
        <v>0</v>
      </c>
      <c r="H8" s="8">
        <v>43274.770000000004</v>
      </c>
      <c r="I8" s="8">
        <v>0</v>
      </c>
      <c r="J8" s="36">
        <v>90</v>
      </c>
      <c r="K8" s="9">
        <v>69</v>
      </c>
      <c r="L8" s="9" t="s">
        <v>26</v>
      </c>
    </row>
    <row r="9" spans="1:12" s="10" customFormat="1" x14ac:dyDescent="0.3">
      <c r="A9" s="7" t="s">
        <v>5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2507.4499999999998</v>
      </c>
      <c r="I9" s="8">
        <v>0</v>
      </c>
      <c r="J9" s="36">
        <v>1</v>
      </c>
      <c r="K9" s="9">
        <v>7</v>
      </c>
      <c r="L9" s="9" t="s">
        <v>26</v>
      </c>
    </row>
    <row r="10" spans="1:12" x14ac:dyDescent="0.3">
      <c r="A10" s="3">
        <v>44958</v>
      </c>
      <c r="D10" s="2">
        <v>0</v>
      </c>
    </row>
    <row r="11" spans="1:12" ht="33" customHeight="1" x14ac:dyDescent="0.3">
      <c r="A11" s="4" t="s">
        <v>2</v>
      </c>
      <c r="B11" s="5" t="s">
        <v>9</v>
      </c>
      <c r="C11" s="5" t="s">
        <v>10</v>
      </c>
      <c r="D11" s="5" t="s">
        <v>11</v>
      </c>
      <c r="E11" s="5" t="s">
        <v>12</v>
      </c>
      <c r="F11" s="5" t="s">
        <v>19</v>
      </c>
      <c r="G11" s="5" t="s">
        <v>18</v>
      </c>
      <c r="H11" s="5" t="s">
        <v>16</v>
      </c>
      <c r="I11" s="5" t="s">
        <v>17</v>
      </c>
      <c r="J11" s="35" t="s">
        <v>15</v>
      </c>
      <c r="K11" s="7" t="s">
        <v>13</v>
      </c>
      <c r="L11" s="6" t="s">
        <v>14</v>
      </c>
    </row>
    <row r="12" spans="1:12" s="10" customFormat="1" x14ac:dyDescent="0.3">
      <c r="A12" s="7" t="s">
        <v>3</v>
      </c>
      <c r="B12" s="8">
        <v>112936.73999999999</v>
      </c>
      <c r="C12" s="8">
        <v>0</v>
      </c>
      <c r="D12" s="8">
        <v>4455082.2200000007</v>
      </c>
      <c r="E12" s="8">
        <v>0</v>
      </c>
      <c r="F12" s="8">
        <v>-496012.36000000004</v>
      </c>
      <c r="G12" s="8">
        <v>0</v>
      </c>
      <c r="H12" s="8">
        <v>240083.4</v>
      </c>
      <c r="I12" s="8">
        <v>151196</v>
      </c>
      <c r="J12" s="36">
        <v>164</v>
      </c>
      <c r="K12" s="9">
        <v>112</v>
      </c>
      <c r="L12" s="9" t="s">
        <v>26</v>
      </c>
    </row>
    <row r="13" spans="1:12" s="10" customFormat="1" x14ac:dyDescent="0.3">
      <c r="A13" s="7" t="s">
        <v>8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36">
        <v>1</v>
      </c>
      <c r="K13" s="9" t="s">
        <v>26</v>
      </c>
      <c r="L13" s="9" t="s">
        <v>26</v>
      </c>
    </row>
    <row r="14" spans="1:12" s="10" customFormat="1" x14ac:dyDescent="0.3">
      <c r="A14" s="7" t="s">
        <v>4</v>
      </c>
      <c r="B14" s="8">
        <v>0</v>
      </c>
      <c r="C14" s="8">
        <v>0</v>
      </c>
      <c r="D14" s="8">
        <v>504105.80999999994</v>
      </c>
      <c r="E14" s="8">
        <v>0</v>
      </c>
      <c r="F14" s="8">
        <v>0</v>
      </c>
      <c r="G14" s="8">
        <v>0</v>
      </c>
      <c r="H14" s="8">
        <v>70029.36</v>
      </c>
      <c r="I14" s="8">
        <v>0</v>
      </c>
      <c r="J14" s="36">
        <v>74</v>
      </c>
      <c r="K14" s="9">
        <v>52</v>
      </c>
      <c r="L14" s="9" t="s">
        <v>26</v>
      </c>
    </row>
    <row r="15" spans="1:12" s="10" customFormat="1" x14ac:dyDescent="0.3">
      <c r="A15" s="7" t="s">
        <v>5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36">
        <v>1</v>
      </c>
      <c r="K15" s="9"/>
      <c r="L15" s="9" t="s">
        <v>26</v>
      </c>
    </row>
    <row r="16" spans="1:12" x14ac:dyDescent="0.3">
      <c r="A16" s="3">
        <v>44986</v>
      </c>
    </row>
    <row r="17" spans="1:12" ht="33" customHeight="1" x14ac:dyDescent="0.3">
      <c r="A17" s="4" t="s">
        <v>2</v>
      </c>
      <c r="B17" s="5" t="s">
        <v>9</v>
      </c>
      <c r="C17" s="5" t="s">
        <v>10</v>
      </c>
      <c r="D17" s="5" t="s">
        <v>11</v>
      </c>
      <c r="E17" s="5" t="s">
        <v>12</v>
      </c>
      <c r="F17" s="5" t="s">
        <v>19</v>
      </c>
      <c r="G17" s="5" t="s">
        <v>18</v>
      </c>
      <c r="H17" s="5" t="s">
        <v>16</v>
      </c>
      <c r="I17" s="5" t="s">
        <v>17</v>
      </c>
      <c r="J17" s="35" t="s">
        <v>15</v>
      </c>
      <c r="K17" s="7" t="s">
        <v>13</v>
      </c>
      <c r="L17" s="6" t="s">
        <v>14</v>
      </c>
    </row>
    <row r="18" spans="1:12" s="10" customFormat="1" x14ac:dyDescent="0.3">
      <c r="A18" s="7" t="s">
        <v>3</v>
      </c>
      <c r="B18" s="8">
        <v>52771.9</v>
      </c>
      <c r="C18" s="8">
        <v>0</v>
      </c>
      <c r="D18" s="8">
        <v>1716842.9000000001</v>
      </c>
      <c r="E18" s="8">
        <v>0</v>
      </c>
      <c r="F18" s="8">
        <v>-1068983.3000000003</v>
      </c>
      <c r="G18" s="8">
        <v>0</v>
      </c>
      <c r="H18" s="8">
        <v>267422.03999999998</v>
      </c>
      <c r="I18" s="8">
        <v>216798</v>
      </c>
      <c r="J18" s="36">
        <v>206</v>
      </c>
      <c r="K18" s="9">
        <v>100</v>
      </c>
      <c r="L18" s="9" t="s">
        <v>26</v>
      </c>
    </row>
    <row r="19" spans="1:12" s="10" customFormat="1" x14ac:dyDescent="0.3">
      <c r="A19" s="7" t="s">
        <v>8</v>
      </c>
      <c r="B19" s="8">
        <v>0</v>
      </c>
      <c r="C19" s="8">
        <v>0</v>
      </c>
      <c r="D19" s="8">
        <v>3407782.61</v>
      </c>
      <c r="E19" s="8">
        <v>0</v>
      </c>
      <c r="F19" s="8">
        <v>0</v>
      </c>
      <c r="G19" s="8">
        <v>0</v>
      </c>
      <c r="H19" s="8">
        <v>11468.57</v>
      </c>
      <c r="I19" s="8">
        <v>0</v>
      </c>
      <c r="J19" s="36">
        <v>2</v>
      </c>
      <c r="K19" s="9">
        <v>27</v>
      </c>
      <c r="L19" s="9" t="s">
        <v>26</v>
      </c>
    </row>
    <row r="20" spans="1:12" s="10" customFormat="1" x14ac:dyDescent="0.3">
      <c r="A20" s="7" t="s">
        <v>4</v>
      </c>
      <c r="B20" s="8">
        <v>0</v>
      </c>
      <c r="C20" s="8">
        <v>0</v>
      </c>
      <c r="D20" s="8">
        <v>0</v>
      </c>
      <c r="E20" s="8">
        <v>0</v>
      </c>
      <c r="F20" s="8">
        <v>-176397.78</v>
      </c>
      <c r="G20" s="8">
        <v>0</v>
      </c>
      <c r="H20" s="8">
        <v>0</v>
      </c>
      <c r="I20" s="8">
        <v>0</v>
      </c>
      <c r="J20" s="36">
        <v>77</v>
      </c>
      <c r="K20" s="9" t="s">
        <v>26</v>
      </c>
      <c r="L20" s="9" t="s">
        <v>26</v>
      </c>
    </row>
    <row r="21" spans="1:12" s="10" customFormat="1" x14ac:dyDescent="0.3">
      <c r="A21" s="7" t="s">
        <v>5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36"/>
      <c r="K21" s="9" t="s">
        <v>26</v>
      </c>
      <c r="L21" s="9" t="s">
        <v>26</v>
      </c>
    </row>
    <row r="22" spans="1:12" x14ac:dyDescent="0.3">
      <c r="A22" s="3">
        <v>45017</v>
      </c>
    </row>
    <row r="23" spans="1:12" ht="33" customHeight="1" x14ac:dyDescent="0.3">
      <c r="A23" s="4" t="s">
        <v>2</v>
      </c>
      <c r="B23" s="5" t="s">
        <v>9</v>
      </c>
      <c r="C23" s="5" t="s">
        <v>10</v>
      </c>
      <c r="D23" s="5" t="s">
        <v>11</v>
      </c>
      <c r="E23" s="5" t="s">
        <v>12</v>
      </c>
      <c r="F23" s="5" t="s">
        <v>19</v>
      </c>
      <c r="G23" s="5" t="s">
        <v>18</v>
      </c>
      <c r="H23" s="5" t="s">
        <v>16</v>
      </c>
      <c r="I23" s="5" t="s">
        <v>17</v>
      </c>
      <c r="J23" s="35" t="s">
        <v>15</v>
      </c>
      <c r="K23" s="7" t="s">
        <v>13</v>
      </c>
      <c r="L23" s="6" t="s">
        <v>14</v>
      </c>
    </row>
    <row r="24" spans="1:12" s="10" customFormat="1" x14ac:dyDescent="0.3">
      <c r="A24" s="7" t="s">
        <v>3</v>
      </c>
      <c r="B24" s="8">
        <v>242214.09999999998</v>
      </c>
      <c r="C24" s="8">
        <v>0</v>
      </c>
      <c r="D24" s="8">
        <v>1425142.67</v>
      </c>
      <c r="E24" s="8">
        <v>0</v>
      </c>
      <c r="F24" s="8">
        <v>-352387.18</v>
      </c>
      <c r="G24" s="8">
        <v>0</v>
      </c>
      <c r="H24" s="8">
        <v>278399.28999999998</v>
      </c>
      <c r="I24" s="8">
        <v>84516</v>
      </c>
      <c r="J24" s="36">
        <v>141</v>
      </c>
      <c r="K24" s="9">
        <v>50</v>
      </c>
      <c r="L24" s="9" t="s">
        <v>26</v>
      </c>
    </row>
    <row r="25" spans="1:12" s="10" customFormat="1" x14ac:dyDescent="0.3">
      <c r="A25" s="7" t="s">
        <v>8</v>
      </c>
      <c r="B25" s="8">
        <v>0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36"/>
      <c r="K25" s="9" t="s">
        <v>26</v>
      </c>
      <c r="L25" s="9" t="s">
        <v>26</v>
      </c>
    </row>
    <row r="26" spans="1:12" s="10" customFormat="1" x14ac:dyDescent="0.3">
      <c r="A26" s="7" t="s">
        <v>4</v>
      </c>
      <c r="B26" s="8">
        <v>54488.68</v>
      </c>
      <c r="C26" s="8">
        <v>0</v>
      </c>
      <c r="D26" s="8">
        <v>1873753.59</v>
      </c>
      <c r="E26" s="8">
        <v>0</v>
      </c>
      <c r="F26" s="8">
        <v>-106831.4</v>
      </c>
      <c r="G26" s="8">
        <v>0</v>
      </c>
      <c r="H26" s="8">
        <v>56349.46</v>
      </c>
      <c r="I26" s="8">
        <v>0</v>
      </c>
      <c r="J26" s="36">
        <v>71</v>
      </c>
      <c r="K26" s="9">
        <v>26</v>
      </c>
      <c r="L26" s="9" t="s">
        <v>26</v>
      </c>
    </row>
    <row r="27" spans="1:12" s="10" customFormat="1" x14ac:dyDescent="0.3">
      <c r="A27" s="7" t="s">
        <v>5</v>
      </c>
      <c r="B27" s="8">
        <v>0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36"/>
      <c r="K27" s="9" t="s">
        <v>26</v>
      </c>
      <c r="L27" s="9" t="s">
        <v>26</v>
      </c>
    </row>
    <row r="28" spans="1:12" x14ac:dyDescent="0.3">
      <c r="A28" s="3">
        <v>45047</v>
      </c>
    </row>
    <row r="29" spans="1:12" ht="33" customHeight="1" x14ac:dyDescent="0.3">
      <c r="A29" s="4" t="s">
        <v>2</v>
      </c>
      <c r="B29" s="5" t="s">
        <v>9</v>
      </c>
      <c r="C29" s="5" t="s">
        <v>10</v>
      </c>
      <c r="D29" s="5" t="s">
        <v>11</v>
      </c>
      <c r="E29" s="5" t="s">
        <v>12</v>
      </c>
      <c r="F29" s="5" t="s">
        <v>19</v>
      </c>
      <c r="G29" s="5" t="s">
        <v>18</v>
      </c>
      <c r="H29" s="5" t="s">
        <v>16</v>
      </c>
      <c r="I29" s="5" t="s">
        <v>17</v>
      </c>
      <c r="J29" s="35" t="s">
        <v>15</v>
      </c>
      <c r="K29" s="7" t="s">
        <v>13</v>
      </c>
      <c r="L29" s="6" t="s">
        <v>14</v>
      </c>
    </row>
    <row r="30" spans="1:12" s="10" customFormat="1" x14ac:dyDescent="0.3">
      <c r="A30" s="7" t="s">
        <v>3</v>
      </c>
      <c r="B30" s="8">
        <v>4190.17</v>
      </c>
      <c r="C30" s="8">
        <v>0</v>
      </c>
      <c r="D30" s="8">
        <v>2830800.24</v>
      </c>
      <c r="E30" s="8">
        <v>0</v>
      </c>
      <c r="F30" s="8">
        <v>-451294.22</v>
      </c>
      <c r="G30" s="8">
        <v>0</v>
      </c>
      <c r="H30" s="8">
        <v>159028.59</v>
      </c>
      <c r="I30" s="8">
        <v>143969</v>
      </c>
      <c r="J30" s="36">
        <v>156</v>
      </c>
      <c r="K30" s="9">
        <v>67</v>
      </c>
      <c r="L30" s="9" t="s">
        <v>26</v>
      </c>
    </row>
    <row r="31" spans="1:12" s="10" customFormat="1" x14ac:dyDescent="0.3">
      <c r="A31" s="7" t="s">
        <v>8</v>
      </c>
      <c r="B31" s="8">
        <v>0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36"/>
      <c r="K31" s="9" t="s">
        <v>26</v>
      </c>
      <c r="L31" s="9" t="s">
        <v>26</v>
      </c>
    </row>
    <row r="32" spans="1:12" s="10" customFormat="1" x14ac:dyDescent="0.3">
      <c r="A32" s="7" t="s">
        <v>4</v>
      </c>
      <c r="B32" s="8">
        <v>0</v>
      </c>
      <c r="C32" s="8">
        <v>0</v>
      </c>
      <c r="D32" s="8">
        <v>498342</v>
      </c>
      <c r="E32" s="8">
        <v>0</v>
      </c>
      <c r="F32" s="8">
        <v>0</v>
      </c>
      <c r="G32" s="8">
        <v>0</v>
      </c>
      <c r="H32" s="8">
        <v>29323.699999999997</v>
      </c>
      <c r="I32" s="8">
        <v>0</v>
      </c>
      <c r="J32" s="36">
        <v>61</v>
      </c>
      <c r="K32" s="9">
        <v>35</v>
      </c>
      <c r="L32" s="9" t="s">
        <v>26</v>
      </c>
    </row>
    <row r="33" spans="1:12" s="10" customFormat="1" x14ac:dyDescent="0.3">
      <c r="A33" s="7" t="s">
        <v>5</v>
      </c>
      <c r="B33" s="8">
        <v>0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420.36</v>
      </c>
      <c r="I33" s="8">
        <v>0</v>
      </c>
      <c r="J33" s="36"/>
      <c r="K33" s="9">
        <v>1</v>
      </c>
      <c r="L33" s="9" t="s">
        <v>26</v>
      </c>
    </row>
    <row r="34" spans="1:12" x14ac:dyDescent="0.3">
      <c r="A34" s="3">
        <v>45078</v>
      </c>
    </row>
    <row r="35" spans="1:12" ht="33" customHeight="1" x14ac:dyDescent="0.3">
      <c r="A35" s="4" t="s">
        <v>2</v>
      </c>
      <c r="B35" s="5" t="s">
        <v>9</v>
      </c>
      <c r="C35" s="5" t="s">
        <v>10</v>
      </c>
      <c r="D35" s="5" t="s">
        <v>11</v>
      </c>
      <c r="E35" s="5" t="s">
        <v>12</v>
      </c>
      <c r="F35" s="5" t="s">
        <v>19</v>
      </c>
      <c r="G35" s="5" t="s">
        <v>18</v>
      </c>
      <c r="H35" s="5" t="s">
        <v>16</v>
      </c>
      <c r="I35" s="5" t="s">
        <v>17</v>
      </c>
      <c r="J35" s="35" t="s">
        <v>15</v>
      </c>
      <c r="K35" s="7" t="s">
        <v>13</v>
      </c>
      <c r="L35" s="6" t="s">
        <v>14</v>
      </c>
    </row>
    <row r="36" spans="1:12" s="10" customFormat="1" x14ac:dyDescent="0.3">
      <c r="A36" s="7" t="s">
        <v>3</v>
      </c>
      <c r="B36" s="8">
        <v>27183.54</v>
      </c>
      <c r="C36" s="8">
        <v>0</v>
      </c>
      <c r="D36" s="8">
        <v>2748917.49</v>
      </c>
      <c r="E36" s="8">
        <v>0</v>
      </c>
      <c r="F36" s="8">
        <v>-292797.87999999995</v>
      </c>
      <c r="G36" s="8">
        <v>0</v>
      </c>
      <c r="H36" s="8">
        <v>166315.29</v>
      </c>
      <c r="I36" s="8">
        <v>130607</v>
      </c>
      <c r="J36" s="36">
        <v>153</v>
      </c>
      <c r="K36" s="9">
        <v>174</v>
      </c>
      <c r="L36" s="9" t="s">
        <v>26</v>
      </c>
    </row>
    <row r="37" spans="1:12" s="10" customFormat="1" x14ac:dyDescent="0.3">
      <c r="A37" s="7" t="s">
        <v>8</v>
      </c>
      <c r="B37" s="8">
        <v>0</v>
      </c>
      <c r="C37" s="8">
        <v>0</v>
      </c>
      <c r="D37" s="8">
        <v>0</v>
      </c>
      <c r="E37" s="8">
        <v>0</v>
      </c>
      <c r="F37" s="8" t="s">
        <v>26</v>
      </c>
      <c r="G37" s="8">
        <v>0</v>
      </c>
      <c r="H37" s="8">
        <v>0</v>
      </c>
      <c r="I37" s="8" t="s">
        <v>26</v>
      </c>
      <c r="J37" s="36"/>
      <c r="K37" s="9" t="s">
        <v>26</v>
      </c>
      <c r="L37" s="9" t="s">
        <v>26</v>
      </c>
    </row>
    <row r="38" spans="1:12" s="10" customFormat="1" x14ac:dyDescent="0.3">
      <c r="A38" s="7" t="s">
        <v>4</v>
      </c>
      <c r="B38" s="8">
        <v>111606.73999999999</v>
      </c>
      <c r="C38" s="8">
        <v>0</v>
      </c>
      <c r="D38" s="8">
        <v>2237525.67</v>
      </c>
      <c r="E38" s="8">
        <v>0</v>
      </c>
      <c r="F38" s="8">
        <v>-8480</v>
      </c>
      <c r="G38" s="8">
        <v>0</v>
      </c>
      <c r="H38" s="8">
        <v>64649.700000000004</v>
      </c>
      <c r="I38" s="8" t="s">
        <v>26</v>
      </c>
      <c r="J38" s="36">
        <v>63</v>
      </c>
      <c r="K38" s="9">
        <v>52</v>
      </c>
      <c r="L38" s="9" t="s">
        <v>26</v>
      </c>
    </row>
    <row r="39" spans="1:12" s="10" customFormat="1" x14ac:dyDescent="0.3">
      <c r="A39" s="7" t="s">
        <v>5</v>
      </c>
      <c r="B39" s="8">
        <v>0</v>
      </c>
      <c r="C39" s="8">
        <v>0</v>
      </c>
      <c r="D39" s="8">
        <v>0</v>
      </c>
      <c r="E39" s="8">
        <v>0</v>
      </c>
      <c r="F39" s="8" t="s">
        <v>26</v>
      </c>
      <c r="G39" s="8">
        <v>0</v>
      </c>
      <c r="H39" s="8">
        <v>0</v>
      </c>
      <c r="I39" s="8" t="s">
        <v>26</v>
      </c>
      <c r="J39" s="36">
        <v>1</v>
      </c>
      <c r="K39" s="9" t="s">
        <v>26</v>
      </c>
      <c r="L39" s="9" t="s">
        <v>26</v>
      </c>
    </row>
    <row r="41" spans="1:12" x14ac:dyDescent="0.3">
      <c r="A41" s="3">
        <v>45108</v>
      </c>
    </row>
    <row r="42" spans="1:12" ht="33" customHeight="1" x14ac:dyDescent="0.3">
      <c r="A42" s="4" t="s">
        <v>2</v>
      </c>
      <c r="B42" s="5" t="s">
        <v>9</v>
      </c>
      <c r="C42" s="5" t="s">
        <v>10</v>
      </c>
      <c r="D42" s="5" t="s">
        <v>11</v>
      </c>
      <c r="E42" s="5" t="s">
        <v>12</v>
      </c>
      <c r="F42" s="5" t="s">
        <v>19</v>
      </c>
      <c r="G42" s="5" t="s">
        <v>18</v>
      </c>
      <c r="H42" s="5" t="s">
        <v>16</v>
      </c>
      <c r="I42" s="5" t="s">
        <v>17</v>
      </c>
      <c r="J42" s="35" t="s">
        <v>15</v>
      </c>
      <c r="K42" s="7" t="s">
        <v>13</v>
      </c>
      <c r="L42" s="6" t="s">
        <v>14</v>
      </c>
    </row>
    <row r="43" spans="1:12" s="10" customFormat="1" x14ac:dyDescent="0.3">
      <c r="A43" s="7" t="s">
        <v>3</v>
      </c>
      <c r="B43" s="8">
        <v>150612.86000000002</v>
      </c>
      <c r="C43" s="8">
        <v>0</v>
      </c>
      <c r="D43" s="8">
        <v>12253849.859999998</v>
      </c>
      <c r="E43" s="8">
        <v>0</v>
      </c>
      <c r="F43" s="8">
        <v>-58915.46</v>
      </c>
      <c r="G43" s="8">
        <v>0</v>
      </c>
      <c r="H43" s="8">
        <v>465846.16000000003</v>
      </c>
      <c r="I43" s="8">
        <v>322341</v>
      </c>
      <c r="J43" s="36">
        <v>120</v>
      </c>
      <c r="K43" s="9">
        <v>108</v>
      </c>
      <c r="L43" s="9">
        <v>1</v>
      </c>
    </row>
    <row r="44" spans="1:12" s="10" customFormat="1" x14ac:dyDescent="0.3">
      <c r="A44" s="7" t="s">
        <v>8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 t="s">
        <v>26</v>
      </c>
      <c r="J44" s="36">
        <v>5</v>
      </c>
      <c r="K44" s="9" t="s">
        <v>26</v>
      </c>
      <c r="L44" s="9" t="s">
        <v>26</v>
      </c>
    </row>
    <row r="45" spans="1:12" s="10" customFormat="1" x14ac:dyDescent="0.3">
      <c r="A45" s="7" t="s">
        <v>4</v>
      </c>
      <c r="B45" s="8">
        <v>1181.3499999999999</v>
      </c>
      <c r="C45" s="8">
        <v>0</v>
      </c>
      <c r="D45" s="8">
        <v>8515224.870000001</v>
      </c>
      <c r="E45" s="8">
        <v>0</v>
      </c>
      <c r="F45" s="8">
        <v>0</v>
      </c>
      <c r="G45" s="8">
        <v>0</v>
      </c>
      <c r="H45" s="8">
        <v>26883.57</v>
      </c>
      <c r="I45" s="8">
        <v>15836</v>
      </c>
      <c r="J45" s="36">
        <v>50</v>
      </c>
      <c r="K45" s="9">
        <v>50</v>
      </c>
      <c r="L45" s="9" t="s">
        <v>26</v>
      </c>
    </row>
    <row r="46" spans="1:12" s="10" customFormat="1" x14ac:dyDescent="0.3">
      <c r="A46" s="7" t="s">
        <v>5</v>
      </c>
      <c r="B46" s="8">
        <v>0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 t="s">
        <v>26</v>
      </c>
      <c r="J46" s="36"/>
      <c r="K46" s="9" t="s">
        <v>26</v>
      </c>
      <c r="L46" s="9" t="s">
        <v>26</v>
      </c>
    </row>
    <row r="47" spans="1:12" x14ac:dyDescent="0.3">
      <c r="A47" s="3">
        <v>45139</v>
      </c>
    </row>
    <row r="48" spans="1:12" ht="33" customHeight="1" x14ac:dyDescent="0.3">
      <c r="A48" s="4" t="s">
        <v>2</v>
      </c>
      <c r="B48" s="5" t="s">
        <v>9</v>
      </c>
      <c r="C48" s="5" t="s">
        <v>10</v>
      </c>
      <c r="D48" s="5" t="s">
        <v>11</v>
      </c>
      <c r="E48" s="5" t="s">
        <v>12</v>
      </c>
      <c r="F48" s="5" t="s">
        <v>19</v>
      </c>
      <c r="G48" s="5" t="s">
        <v>18</v>
      </c>
      <c r="H48" s="5" t="s">
        <v>16</v>
      </c>
      <c r="I48" s="5" t="s">
        <v>17</v>
      </c>
      <c r="J48" s="35" t="s">
        <v>15</v>
      </c>
      <c r="K48" s="7" t="s">
        <v>13</v>
      </c>
      <c r="L48" s="6" t="s">
        <v>14</v>
      </c>
    </row>
    <row r="49" spans="1:12" s="10" customFormat="1" x14ac:dyDescent="0.3">
      <c r="A49" s="7" t="s">
        <v>3</v>
      </c>
      <c r="B49" s="8">
        <v>364348.37999999995</v>
      </c>
      <c r="C49" s="8">
        <v>0</v>
      </c>
      <c r="D49" s="8">
        <v>8152895.2800000012</v>
      </c>
      <c r="E49" s="8">
        <v>0</v>
      </c>
      <c r="F49" s="8">
        <v>-714234.6599999998</v>
      </c>
      <c r="G49" s="8">
        <v>0</v>
      </c>
      <c r="H49" s="8">
        <v>550281.25</v>
      </c>
      <c r="I49" s="8">
        <v>345811</v>
      </c>
      <c r="J49" s="36">
        <v>155</v>
      </c>
      <c r="K49" s="9">
        <v>176</v>
      </c>
      <c r="L49" s="9">
        <v>1</v>
      </c>
    </row>
    <row r="50" spans="1:12" s="10" customFormat="1" x14ac:dyDescent="0.3">
      <c r="A50" s="7" t="s">
        <v>8</v>
      </c>
      <c r="B50" s="8">
        <v>0</v>
      </c>
      <c r="C50" s="8">
        <v>0</v>
      </c>
      <c r="D50" s="8">
        <v>104693</v>
      </c>
      <c r="E50" s="8">
        <v>0</v>
      </c>
      <c r="F50" s="8">
        <v>0</v>
      </c>
      <c r="G50" s="8">
        <v>0</v>
      </c>
      <c r="H50" s="8">
        <v>872.13</v>
      </c>
      <c r="I50" s="8" t="s">
        <v>26</v>
      </c>
      <c r="J50" s="36">
        <v>1</v>
      </c>
      <c r="K50" s="9">
        <v>2</v>
      </c>
      <c r="L50" s="9" t="s">
        <v>26</v>
      </c>
    </row>
    <row r="51" spans="1:12" s="10" customFormat="1" x14ac:dyDescent="0.3">
      <c r="A51" s="7" t="s">
        <v>4</v>
      </c>
      <c r="B51" s="8">
        <v>24403.42</v>
      </c>
      <c r="C51" s="8">
        <v>0</v>
      </c>
      <c r="D51" s="8">
        <v>14198164.199999999</v>
      </c>
      <c r="E51" s="8">
        <v>0</v>
      </c>
      <c r="F51" s="8">
        <v>-34125.47</v>
      </c>
      <c r="G51" s="8">
        <v>0</v>
      </c>
      <c r="H51" s="8">
        <v>36267.410000000003</v>
      </c>
      <c r="I51" s="8" t="s">
        <v>26</v>
      </c>
      <c r="J51" s="36">
        <v>65</v>
      </c>
      <c r="K51" s="9">
        <v>60</v>
      </c>
      <c r="L51" s="9" t="s">
        <v>26</v>
      </c>
    </row>
    <row r="52" spans="1:12" s="10" customFormat="1" x14ac:dyDescent="0.3">
      <c r="A52" s="7" t="s">
        <v>5</v>
      </c>
      <c r="B52" s="8">
        <v>0</v>
      </c>
      <c r="C52" s="8">
        <v>0</v>
      </c>
      <c r="D52" s="8">
        <v>3885</v>
      </c>
      <c r="E52" s="8">
        <v>0</v>
      </c>
      <c r="F52" s="8">
        <v>0</v>
      </c>
      <c r="G52" s="8">
        <v>0</v>
      </c>
      <c r="H52" s="8">
        <v>0</v>
      </c>
      <c r="I52" s="8" t="s">
        <v>26</v>
      </c>
      <c r="J52" s="36">
        <v>2</v>
      </c>
      <c r="K52" s="9">
        <v>1</v>
      </c>
      <c r="L52" s="9" t="s">
        <v>26</v>
      </c>
    </row>
    <row r="53" spans="1:12" x14ac:dyDescent="0.3">
      <c r="A53" s="3">
        <v>45170</v>
      </c>
    </row>
    <row r="54" spans="1:12" ht="33" customHeight="1" x14ac:dyDescent="0.3">
      <c r="A54" s="4" t="s">
        <v>2</v>
      </c>
      <c r="B54" s="5" t="s">
        <v>9</v>
      </c>
      <c r="C54" s="5" t="s">
        <v>10</v>
      </c>
      <c r="D54" s="5" t="s">
        <v>11</v>
      </c>
      <c r="E54" s="5" t="s">
        <v>12</v>
      </c>
      <c r="F54" s="5" t="s">
        <v>19</v>
      </c>
      <c r="G54" s="5" t="s">
        <v>18</v>
      </c>
      <c r="H54" s="5" t="s">
        <v>16</v>
      </c>
      <c r="I54" s="5" t="s">
        <v>17</v>
      </c>
      <c r="J54" s="35" t="s">
        <v>15</v>
      </c>
      <c r="K54" s="7" t="s">
        <v>13</v>
      </c>
      <c r="L54" s="6" t="s">
        <v>14</v>
      </c>
    </row>
    <row r="55" spans="1:12" s="10" customFormat="1" x14ac:dyDescent="0.3">
      <c r="A55" s="7" t="s">
        <v>3</v>
      </c>
      <c r="B55" s="8">
        <v>422940.64999999997</v>
      </c>
      <c r="C55" s="8">
        <v>0</v>
      </c>
      <c r="D55" s="8">
        <v>12079601.399999999</v>
      </c>
      <c r="E55" s="8">
        <v>0</v>
      </c>
      <c r="F55" s="8">
        <v>-679658.95</v>
      </c>
      <c r="G55" s="8">
        <v>0</v>
      </c>
      <c r="H55" s="8">
        <v>969102.62999999989</v>
      </c>
      <c r="I55" s="8">
        <v>848969</v>
      </c>
      <c r="J55" s="36">
        <v>183</v>
      </c>
      <c r="K55" s="9">
        <v>120</v>
      </c>
      <c r="L55" s="9" t="s">
        <v>26</v>
      </c>
    </row>
    <row r="56" spans="1:12" s="10" customFormat="1" x14ac:dyDescent="0.3">
      <c r="A56" s="7" t="s">
        <v>8</v>
      </c>
      <c r="B56" s="8">
        <v>0</v>
      </c>
      <c r="C56" s="8">
        <v>0</v>
      </c>
      <c r="D56" s="8">
        <v>348008</v>
      </c>
      <c r="E56" s="8">
        <v>0</v>
      </c>
      <c r="F56" s="8">
        <v>0</v>
      </c>
      <c r="G56" s="8">
        <v>0</v>
      </c>
      <c r="H56" s="8">
        <v>0</v>
      </c>
      <c r="I56" s="8" t="s">
        <v>26</v>
      </c>
      <c r="J56" s="36"/>
      <c r="K56" s="9">
        <v>1</v>
      </c>
      <c r="L56" s="9" t="s">
        <v>26</v>
      </c>
    </row>
    <row r="57" spans="1:12" s="10" customFormat="1" x14ac:dyDescent="0.3">
      <c r="A57" s="7" t="s">
        <v>4</v>
      </c>
      <c r="B57" s="8">
        <v>2140</v>
      </c>
      <c r="C57" s="8">
        <v>0</v>
      </c>
      <c r="D57" s="8">
        <v>4336515.5600000005</v>
      </c>
      <c r="E57" s="8">
        <v>0</v>
      </c>
      <c r="F57" s="8">
        <v>0</v>
      </c>
      <c r="G57" s="8">
        <v>0</v>
      </c>
      <c r="H57" s="8">
        <v>186696.57</v>
      </c>
      <c r="I57" s="8">
        <v>231174</v>
      </c>
      <c r="J57" s="36">
        <v>58</v>
      </c>
      <c r="K57" s="9">
        <v>40</v>
      </c>
      <c r="L57" s="9" t="s">
        <v>26</v>
      </c>
    </row>
    <row r="58" spans="1:12" s="10" customFormat="1" x14ac:dyDescent="0.3">
      <c r="A58" s="7" t="s">
        <v>5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372.22</v>
      </c>
      <c r="I58" s="8" t="s">
        <v>26</v>
      </c>
      <c r="J58" s="36">
        <v>1</v>
      </c>
      <c r="K58" s="9">
        <v>1</v>
      </c>
      <c r="L58" s="9" t="s">
        <v>26</v>
      </c>
    </row>
    <row r="59" spans="1:12" x14ac:dyDescent="0.3">
      <c r="A59" s="3">
        <v>45200</v>
      </c>
    </row>
    <row r="60" spans="1:12" ht="33" customHeight="1" x14ac:dyDescent="0.3">
      <c r="A60" s="4" t="s">
        <v>2</v>
      </c>
      <c r="B60" s="5" t="s">
        <v>9</v>
      </c>
      <c r="C60" s="5" t="s">
        <v>10</v>
      </c>
      <c r="D60" s="5" t="s">
        <v>11</v>
      </c>
      <c r="E60" s="5" t="s">
        <v>12</v>
      </c>
      <c r="F60" s="5" t="s">
        <v>19</v>
      </c>
      <c r="G60" s="5" t="s">
        <v>18</v>
      </c>
      <c r="H60" s="5" t="s">
        <v>16</v>
      </c>
      <c r="I60" s="5" t="s">
        <v>17</v>
      </c>
      <c r="J60" s="35" t="s">
        <v>15</v>
      </c>
      <c r="K60" s="7" t="s">
        <v>13</v>
      </c>
      <c r="L60" s="6" t="s">
        <v>14</v>
      </c>
    </row>
    <row r="61" spans="1:12" s="10" customFormat="1" x14ac:dyDescent="0.3">
      <c r="A61" s="7" t="s">
        <v>3</v>
      </c>
      <c r="B61" s="8">
        <v>41029.82</v>
      </c>
      <c r="C61" s="8">
        <v>0</v>
      </c>
      <c r="D61" s="8">
        <v>2849113.74</v>
      </c>
      <c r="E61" s="8">
        <v>0</v>
      </c>
      <c r="F61" s="8">
        <v>-694603.89999999991</v>
      </c>
      <c r="G61" s="8">
        <v>0</v>
      </c>
      <c r="H61" s="8">
        <v>234367.82</v>
      </c>
      <c r="I61" s="8">
        <v>153296</v>
      </c>
      <c r="J61" s="36">
        <v>139</v>
      </c>
      <c r="K61" s="9">
        <v>105</v>
      </c>
      <c r="L61" s="9" t="s">
        <v>26</v>
      </c>
    </row>
    <row r="62" spans="1:12" s="10" customFormat="1" x14ac:dyDescent="0.3">
      <c r="A62" s="7" t="s">
        <v>8</v>
      </c>
      <c r="B62" s="8">
        <v>0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/>
      <c r="J62" s="36"/>
      <c r="K62" s="9" t="s">
        <v>26</v>
      </c>
      <c r="L62" s="9" t="s">
        <v>26</v>
      </c>
    </row>
    <row r="63" spans="1:12" s="10" customFormat="1" x14ac:dyDescent="0.3">
      <c r="A63" s="7" t="s">
        <v>4</v>
      </c>
      <c r="B63" s="8">
        <v>23444.17</v>
      </c>
      <c r="C63" s="8">
        <v>0</v>
      </c>
      <c r="D63" s="8">
        <v>10874372.579999998</v>
      </c>
      <c r="E63" s="8">
        <v>0</v>
      </c>
      <c r="F63" s="8">
        <v>-4428.8999999999996</v>
      </c>
      <c r="G63" s="8">
        <v>0</v>
      </c>
      <c r="H63" s="8">
        <v>112704.85</v>
      </c>
      <c r="I63" s="8"/>
      <c r="J63" s="36">
        <v>80</v>
      </c>
      <c r="K63" s="9">
        <v>49</v>
      </c>
      <c r="L63" s="9" t="s">
        <v>26</v>
      </c>
    </row>
    <row r="64" spans="1:12" s="10" customFormat="1" x14ac:dyDescent="0.3">
      <c r="A64" s="7" t="s">
        <v>5</v>
      </c>
      <c r="B64" s="8">
        <v>0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/>
      <c r="J64" s="36"/>
      <c r="K64" s="9" t="s">
        <v>26</v>
      </c>
      <c r="L64" s="9" t="s">
        <v>26</v>
      </c>
    </row>
    <row r="65" spans="1:12" x14ac:dyDescent="0.3">
      <c r="A65" s="3">
        <v>45231</v>
      </c>
    </row>
    <row r="66" spans="1:12" ht="33" customHeight="1" x14ac:dyDescent="0.3">
      <c r="A66" s="4" t="s">
        <v>2</v>
      </c>
      <c r="B66" s="5" t="s">
        <v>9</v>
      </c>
      <c r="C66" s="5" t="s">
        <v>10</v>
      </c>
      <c r="D66" s="5" t="s">
        <v>11</v>
      </c>
      <c r="E66" s="5" t="s">
        <v>12</v>
      </c>
      <c r="F66" s="5" t="s">
        <v>19</v>
      </c>
      <c r="G66" s="5" t="s">
        <v>18</v>
      </c>
      <c r="H66" s="5" t="s">
        <v>16</v>
      </c>
      <c r="I66" s="5" t="s">
        <v>17</v>
      </c>
      <c r="J66" s="35" t="s">
        <v>15</v>
      </c>
      <c r="K66" s="7" t="s">
        <v>13</v>
      </c>
      <c r="L66" s="6" t="s">
        <v>14</v>
      </c>
    </row>
    <row r="67" spans="1:12" s="10" customFormat="1" x14ac:dyDescent="0.3">
      <c r="A67" s="7" t="s">
        <v>3</v>
      </c>
      <c r="B67" s="8">
        <v>90578.17</v>
      </c>
      <c r="C67" s="8">
        <v>0</v>
      </c>
      <c r="D67" s="8">
        <v>3072765.9099999997</v>
      </c>
      <c r="E67" s="8">
        <v>0</v>
      </c>
      <c r="F67" s="8">
        <v>-1098212</v>
      </c>
      <c r="G67" s="8">
        <v>0</v>
      </c>
      <c r="H67" s="8">
        <v>329602.35000000003</v>
      </c>
      <c r="I67" s="8">
        <v>219779</v>
      </c>
      <c r="J67" s="36">
        <v>118</v>
      </c>
      <c r="K67" s="9">
        <v>73</v>
      </c>
      <c r="L67" s="9" t="s">
        <v>26</v>
      </c>
    </row>
    <row r="68" spans="1:12" s="10" customFormat="1" x14ac:dyDescent="0.3">
      <c r="A68" s="7" t="s">
        <v>8</v>
      </c>
      <c r="B68" s="8">
        <v>0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/>
      <c r="J68" s="36">
        <v>1</v>
      </c>
      <c r="K68" s="9" t="s">
        <v>26</v>
      </c>
      <c r="L68" s="9" t="s">
        <v>26</v>
      </c>
    </row>
    <row r="69" spans="1:12" s="10" customFormat="1" x14ac:dyDescent="0.3">
      <c r="A69" s="7" t="s">
        <v>4</v>
      </c>
      <c r="B69" s="8">
        <v>113967.99</v>
      </c>
      <c r="C69" s="8">
        <v>0</v>
      </c>
      <c r="D69" s="8">
        <v>11025413.709999999</v>
      </c>
      <c r="E69" s="8">
        <v>0</v>
      </c>
      <c r="F69" s="8">
        <v>0</v>
      </c>
      <c r="G69" s="8">
        <v>0</v>
      </c>
      <c r="H69" s="8">
        <v>107427.59999999999</v>
      </c>
      <c r="I69" s="8"/>
      <c r="J69" s="36">
        <v>56</v>
      </c>
      <c r="K69" s="9">
        <v>22</v>
      </c>
      <c r="L69" s="9" t="s">
        <v>26</v>
      </c>
    </row>
    <row r="70" spans="1:12" s="10" customFormat="1" x14ac:dyDescent="0.3">
      <c r="A70" s="7" t="s">
        <v>5</v>
      </c>
      <c r="B70" s="8">
        <v>0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/>
      <c r="J70" s="36">
        <v>1</v>
      </c>
      <c r="K70" s="9" t="s">
        <v>26</v>
      </c>
      <c r="L70" s="9" t="s">
        <v>26</v>
      </c>
    </row>
    <row r="71" spans="1:12" x14ac:dyDescent="0.3">
      <c r="A71" s="3">
        <v>45261</v>
      </c>
    </row>
    <row r="72" spans="1:12" ht="33" customHeight="1" x14ac:dyDescent="0.3">
      <c r="A72" s="4" t="s">
        <v>2</v>
      </c>
      <c r="B72" s="5" t="s">
        <v>9</v>
      </c>
      <c r="C72" s="5" t="s">
        <v>10</v>
      </c>
      <c r="D72" s="5" t="s">
        <v>11</v>
      </c>
      <c r="E72" s="5" t="s">
        <v>12</v>
      </c>
      <c r="F72" s="5" t="s">
        <v>19</v>
      </c>
      <c r="G72" s="5" t="s">
        <v>18</v>
      </c>
      <c r="H72" s="5" t="s">
        <v>16</v>
      </c>
      <c r="I72" s="5" t="s">
        <v>17</v>
      </c>
      <c r="J72" s="35" t="s">
        <v>15</v>
      </c>
      <c r="K72" s="7" t="s">
        <v>13</v>
      </c>
      <c r="L72" s="6" t="s">
        <v>14</v>
      </c>
    </row>
    <row r="73" spans="1:12" s="10" customFormat="1" x14ac:dyDescent="0.3">
      <c r="A73" s="7" t="s">
        <v>3</v>
      </c>
      <c r="B73" s="8">
        <v>3359.39</v>
      </c>
      <c r="C73" s="8">
        <v>0</v>
      </c>
      <c r="D73" s="8">
        <v>1102731.94</v>
      </c>
      <c r="E73" s="8">
        <v>0</v>
      </c>
      <c r="F73" s="8">
        <v>-497363.9</v>
      </c>
      <c r="G73" s="8">
        <v>0</v>
      </c>
      <c r="H73" s="8">
        <v>141630</v>
      </c>
      <c r="I73" s="8">
        <v>136238</v>
      </c>
      <c r="J73" s="36">
        <v>109</v>
      </c>
      <c r="K73" s="9">
        <v>52</v>
      </c>
      <c r="L73" s="9" t="s">
        <v>26</v>
      </c>
    </row>
    <row r="74" spans="1:12" s="10" customFormat="1" x14ac:dyDescent="0.3">
      <c r="A74" s="7" t="s">
        <v>8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/>
      <c r="J74" s="36"/>
      <c r="K74" s="9" t="s">
        <v>26</v>
      </c>
      <c r="L74" s="9" t="s">
        <v>26</v>
      </c>
    </row>
    <row r="75" spans="1:12" s="10" customFormat="1" x14ac:dyDescent="0.3">
      <c r="A75" s="7" t="s">
        <v>4</v>
      </c>
      <c r="B75" s="8">
        <v>0</v>
      </c>
      <c r="C75" s="8">
        <v>0</v>
      </c>
      <c r="D75" s="8">
        <v>13556578.689999999</v>
      </c>
      <c r="E75" s="8">
        <v>0</v>
      </c>
      <c r="F75" s="8">
        <v>-41163.68</v>
      </c>
      <c r="G75" s="8">
        <v>0</v>
      </c>
      <c r="H75" s="8">
        <v>13385.27</v>
      </c>
      <c r="I75" s="8">
        <v>2121</v>
      </c>
      <c r="J75" s="38"/>
      <c r="K75" s="9">
        <v>17</v>
      </c>
      <c r="L75" s="9" t="s">
        <v>26</v>
      </c>
    </row>
    <row r="76" spans="1:12" s="10" customFormat="1" x14ac:dyDescent="0.3">
      <c r="A76" s="7" t="s">
        <v>5</v>
      </c>
      <c r="B76" s="8">
        <v>0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/>
      <c r="J76" s="36">
        <v>51</v>
      </c>
      <c r="K76" s="9" t="s">
        <v>26</v>
      </c>
      <c r="L76" s="9" t="s">
        <v>26</v>
      </c>
    </row>
    <row r="78" spans="1:12" x14ac:dyDescent="0.3">
      <c r="A78" s="14" t="s">
        <v>21</v>
      </c>
      <c r="B78" s="15"/>
    </row>
    <row r="79" spans="1:12" x14ac:dyDescent="0.3">
      <c r="A79" s="27" t="s">
        <v>22</v>
      </c>
      <c r="B79" s="26"/>
      <c r="C79" s="28"/>
      <c r="D79" s="28"/>
      <c r="E79" s="28"/>
      <c r="F79" s="28"/>
      <c r="G79" s="28"/>
    </row>
    <row r="80" spans="1:12" x14ac:dyDescent="0.3">
      <c r="A80" s="27" t="s">
        <v>25</v>
      </c>
      <c r="B80" s="26"/>
      <c r="C80" s="26"/>
      <c r="D80" s="26"/>
      <c r="E80" s="28"/>
      <c r="F80" s="28"/>
      <c r="G80" s="28"/>
    </row>
    <row r="81" spans="1:10" x14ac:dyDescent="0.3">
      <c r="A81" s="27" t="s">
        <v>23</v>
      </c>
      <c r="B81" s="26"/>
      <c r="C81" s="26"/>
      <c r="D81" s="26"/>
      <c r="E81" s="28"/>
      <c r="F81" s="28"/>
      <c r="G81" s="28"/>
    </row>
    <row r="82" spans="1:10" ht="28.95" customHeight="1" x14ac:dyDescent="0.3">
      <c r="A82" s="39" t="s">
        <v>24</v>
      </c>
      <c r="B82" s="39"/>
      <c r="C82" s="39"/>
      <c r="D82" s="39"/>
      <c r="E82" s="39"/>
      <c r="F82" s="39"/>
      <c r="G82" s="39"/>
    </row>
    <row r="83" spans="1:10" x14ac:dyDescent="0.3">
      <c r="A83" s="41" t="s">
        <v>29</v>
      </c>
      <c r="B83" s="41"/>
      <c r="C83" s="41"/>
      <c r="D83" s="41"/>
      <c r="E83" s="41"/>
      <c r="F83" s="41"/>
      <c r="G83" s="28"/>
    </row>
    <row r="84" spans="1:10" x14ac:dyDescent="0.3">
      <c r="J84" s="34">
        <f>SUM(J6:J9,J12:J15,J18:J21,J24:J27,J30:J33,J36:J39,J43:J46,J49:J52,J55:J58,J61:J64,J67:J70,J73:J76)</f>
        <v>2600</v>
      </c>
    </row>
    <row r="85" spans="1:10" x14ac:dyDescent="0.3">
      <c r="I85" s="2" t="s">
        <v>30</v>
      </c>
      <c r="J85" s="34">
        <f>J84+2114</f>
        <v>4714</v>
      </c>
    </row>
  </sheetData>
  <mergeCells count="2">
    <mergeCell ref="A82:G82"/>
    <mergeCell ref="A83:F83"/>
  </mergeCells>
  <pageMargins left="0.25" right="0.25" top="0.75" bottom="0.75" header="0.3" footer="0.3"/>
  <pageSetup scale="54" fitToHeight="0" orientation="landscape" horizontalDpi="1200" verticalDpi="1200" r:id="rId1"/>
  <headerFooter>
    <oddHeader>&amp;L&amp;A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CC471-9A39-4970-9DFF-D5C30FC592A3}">
  <sheetPr>
    <pageSetUpPr fitToPage="1"/>
  </sheetPr>
  <dimension ref="A1:L86"/>
  <sheetViews>
    <sheetView tabSelected="1" view="pageLayout" topLeftCell="A23" zoomScaleNormal="80" workbookViewId="0">
      <selection activeCell="D38" sqref="D38"/>
    </sheetView>
  </sheetViews>
  <sheetFormatPr defaultColWidth="39.109375" defaultRowHeight="14.4" x14ac:dyDescent="0.3"/>
  <cols>
    <col min="1" max="1" width="20.6640625" customWidth="1"/>
    <col min="2" max="12" width="20.6640625" style="2" customWidth="1"/>
  </cols>
  <sheetData>
    <row r="1" spans="1:12" x14ac:dyDescent="0.3">
      <c r="A1" s="17" t="s">
        <v>7</v>
      </c>
    </row>
    <row r="2" spans="1:12" x14ac:dyDescent="0.3">
      <c r="A2" s="17" t="s">
        <v>0</v>
      </c>
      <c r="E2" s="18"/>
    </row>
    <row r="3" spans="1:12" x14ac:dyDescent="0.3">
      <c r="A3" s="17" t="s">
        <v>20</v>
      </c>
    </row>
    <row r="4" spans="1:12" hidden="1" x14ac:dyDescent="0.3">
      <c r="A4" s="19">
        <v>44927</v>
      </c>
    </row>
    <row r="5" spans="1:12" ht="70.8" customHeight="1" x14ac:dyDescent="0.3">
      <c r="A5" s="20" t="s">
        <v>2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19</v>
      </c>
      <c r="G5" s="5" t="s">
        <v>18</v>
      </c>
      <c r="H5" s="5" t="s">
        <v>16</v>
      </c>
      <c r="I5" s="5" t="s">
        <v>17</v>
      </c>
      <c r="J5" s="21" t="s">
        <v>15</v>
      </c>
      <c r="K5" s="22" t="s">
        <v>13</v>
      </c>
      <c r="L5" s="21" t="s">
        <v>14</v>
      </c>
    </row>
    <row r="6" spans="1:12" x14ac:dyDescent="0.3">
      <c r="A6" s="23" t="s">
        <v>3</v>
      </c>
      <c r="B6" s="24">
        <v>220.75</v>
      </c>
      <c r="C6" s="24">
        <v>0</v>
      </c>
      <c r="D6" s="24">
        <v>1246260.3900000001</v>
      </c>
      <c r="E6" s="24">
        <v>0</v>
      </c>
      <c r="F6" s="24">
        <v>0</v>
      </c>
      <c r="G6" s="24">
        <v>0</v>
      </c>
      <c r="H6" s="24">
        <v>89578.08</v>
      </c>
      <c r="I6" s="24">
        <v>0</v>
      </c>
      <c r="J6" s="24">
        <v>158</v>
      </c>
      <c r="K6" s="24">
        <v>142</v>
      </c>
      <c r="L6" s="24">
        <v>0</v>
      </c>
    </row>
    <row r="7" spans="1:12" x14ac:dyDescent="0.3">
      <c r="A7" s="23" t="s">
        <v>8</v>
      </c>
      <c r="B7" s="24">
        <v>0</v>
      </c>
      <c r="C7" s="24">
        <v>0</v>
      </c>
      <c r="D7" s="24">
        <v>0</v>
      </c>
      <c r="E7" s="24">
        <v>0</v>
      </c>
      <c r="F7" s="24">
        <v>0</v>
      </c>
      <c r="G7" s="24">
        <v>0</v>
      </c>
      <c r="H7" s="24">
        <v>0</v>
      </c>
      <c r="I7" s="24">
        <v>0</v>
      </c>
      <c r="J7" s="24">
        <v>2</v>
      </c>
      <c r="K7" s="24">
        <v>0</v>
      </c>
      <c r="L7" s="24">
        <v>0</v>
      </c>
    </row>
    <row r="8" spans="1:12" x14ac:dyDescent="0.3">
      <c r="A8" s="23" t="s">
        <v>4</v>
      </c>
      <c r="B8" s="24">
        <v>0</v>
      </c>
      <c r="C8" s="24">
        <v>0</v>
      </c>
      <c r="D8" s="24">
        <v>1128452.7</v>
      </c>
      <c r="E8" s="24">
        <v>0</v>
      </c>
      <c r="F8" s="24">
        <v>0</v>
      </c>
      <c r="G8" s="24">
        <v>0</v>
      </c>
      <c r="H8" s="24">
        <v>27614</v>
      </c>
      <c r="I8" s="24">
        <v>0</v>
      </c>
      <c r="J8" s="24">
        <v>30</v>
      </c>
      <c r="K8" s="24">
        <v>31</v>
      </c>
      <c r="L8" s="24">
        <v>0</v>
      </c>
    </row>
    <row r="9" spans="1:12" x14ac:dyDescent="0.3">
      <c r="A9" s="23" t="s">
        <v>5</v>
      </c>
      <c r="B9" s="24">
        <v>0</v>
      </c>
      <c r="C9" s="24">
        <v>0</v>
      </c>
      <c r="D9" s="24">
        <v>0</v>
      </c>
      <c r="E9" s="24">
        <v>0</v>
      </c>
      <c r="F9" s="24">
        <v>0</v>
      </c>
      <c r="G9" s="24">
        <v>0</v>
      </c>
      <c r="H9" s="24">
        <v>2507.4499999999998</v>
      </c>
      <c r="I9" s="24">
        <v>0</v>
      </c>
      <c r="J9" s="24">
        <v>2</v>
      </c>
      <c r="K9" s="24">
        <v>7</v>
      </c>
      <c r="L9" s="24">
        <v>0</v>
      </c>
    </row>
    <row r="10" spans="1:12" x14ac:dyDescent="0.3">
      <c r="A10" s="19">
        <v>44980</v>
      </c>
    </row>
    <row r="11" spans="1:12" ht="33" customHeight="1" x14ac:dyDescent="0.3">
      <c r="A11" s="20" t="s">
        <v>2</v>
      </c>
      <c r="B11" s="5" t="s">
        <v>9</v>
      </c>
      <c r="C11" s="5" t="s">
        <v>10</v>
      </c>
      <c r="D11" s="5" t="s">
        <v>11</v>
      </c>
      <c r="E11" s="5" t="s">
        <v>12</v>
      </c>
      <c r="F11" s="5" t="s">
        <v>19</v>
      </c>
      <c r="G11" s="5" t="s">
        <v>18</v>
      </c>
      <c r="H11" s="5" t="s">
        <v>16</v>
      </c>
      <c r="I11" s="5" t="s">
        <v>17</v>
      </c>
      <c r="J11" s="21" t="s">
        <v>15</v>
      </c>
      <c r="K11" s="22" t="s">
        <v>13</v>
      </c>
      <c r="L11" s="21" t="s">
        <v>14</v>
      </c>
    </row>
    <row r="12" spans="1:12" x14ac:dyDescent="0.3">
      <c r="A12" s="23" t="s">
        <v>3</v>
      </c>
      <c r="B12" s="24">
        <v>0</v>
      </c>
      <c r="C12" s="24">
        <v>0</v>
      </c>
      <c r="D12" s="24">
        <v>739608</v>
      </c>
      <c r="E12" s="24">
        <v>0</v>
      </c>
      <c r="F12" s="24">
        <v>0</v>
      </c>
      <c r="G12" s="24">
        <v>0</v>
      </c>
      <c r="H12" s="24">
        <v>21708.2</v>
      </c>
      <c r="I12" s="24">
        <v>0</v>
      </c>
      <c r="J12" s="24">
        <v>158</v>
      </c>
      <c r="K12" s="24">
        <v>111</v>
      </c>
      <c r="L12" s="24">
        <v>0</v>
      </c>
    </row>
    <row r="13" spans="1:12" x14ac:dyDescent="0.3">
      <c r="A13" s="23" t="s">
        <v>8</v>
      </c>
      <c r="B13" s="24">
        <v>0</v>
      </c>
      <c r="C13" s="24">
        <v>0</v>
      </c>
      <c r="D13" s="24">
        <v>0</v>
      </c>
      <c r="E13" s="24">
        <v>0</v>
      </c>
      <c r="F13" s="24">
        <v>0</v>
      </c>
      <c r="G13" s="24">
        <v>0</v>
      </c>
      <c r="H13" s="24">
        <v>0</v>
      </c>
      <c r="I13" s="24">
        <v>0</v>
      </c>
      <c r="J13" s="24">
        <v>1</v>
      </c>
      <c r="K13" s="24">
        <v>0</v>
      </c>
      <c r="L13" s="24">
        <v>0</v>
      </c>
    </row>
    <row r="14" spans="1:12" x14ac:dyDescent="0.3">
      <c r="A14" s="23" t="s">
        <v>4</v>
      </c>
      <c r="B14" s="24">
        <v>0</v>
      </c>
      <c r="C14" s="24">
        <v>0</v>
      </c>
      <c r="D14" s="24">
        <v>749729</v>
      </c>
      <c r="E14" s="24">
        <v>0</v>
      </c>
      <c r="F14" s="24">
        <v>0</v>
      </c>
      <c r="G14" s="24">
        <v>0</v>
      </c>
      <c r="H14" s="24">
        <v>4238.54</v>
      </c>
      <c r="I14" s="24">
        <v>0</v>
      </c>
      <c r="J14" s="24">
        <v>29</v>
      </c>
      <c r="K14" s="24">
        <v>13</v>
      </c>
      <c r="L14" s="24">
        <v>0</v>
      </c>
    </row>
    <row r="15" spans="1:12" x14ac:dyDescent="0.3">
      <c r="A15" s="23" t="s">
        <v>5</v>
      </c>
      <c r="B15" s="24">
        <v>0</v>
      </c>
      <c r="C15" s="24">
        <v>0</v>
      </c>
      <c r="D15" s="24">
        <v>0</v>
      </c>
      <c r="E15" s="24">
        <v>0</v>
      </c>
      <c r="F15" s="24">
        <v>0</v>
      </c>
      <c r="G15" s="24">
        <v>0</v>
      </c>
      <c r="H15" s="24">
        <v>0</v>
      </c>
      <c r="I15" s="24">
        <v>0</v>
      </c>
      <c r="J15" s="24">
        <v>0</v>
      </c>
      <c r="K15" s="24">
        <v>0</v>
      </c>
      <c r="L15" s="24">
        <v>0</v>
      </c>
    </row>
    <row r="16" spans="1:12" x14ac:dyDescent="0.3">
      <c r="A16" s="19">
        <v>44986</v>
      </c>
    </row>
    <row r="17" spans="1:12" ht="33" customHeight="1" x14ac:dyDescent="0.3">
      <c r="A17" s="20" t="s">
        <v>2</v>
      </c>
      <c r="B17" s="5" t="s">
        <v>9</v>
      </c>
      <c r="C17" s="5" t="s">
        <v>10</v>
      </c>
      <c r="D17" s="5" t="s">
        <v>11</v>
      </c>
      <c r="E17" s="5" t="s">
        <v>12</v>
      </c>
      <c r="F17" s="5" t="s">
        <v>19</v>
      </c>
      <c r="G17" s="5" t="s">
        <v>18</v>
      </c>
      <c r="H17" s="5" t="s">
        <v>16</v>
      </c>
      <c r="I17" s="5" t="s">
        <v>17</v>
      </c>
      <c r="J17" s="21" t="s">
        <v>15</v>
      </c>
      <c r="K17" s="22" t="s">
        <v>13</v>
      </c>
      <c r="L17" s="21" t="s">
        <v>14</v>
      </c>
    </row>
    <row r="18" spans="1:12" x14ac:dyDescent="0.3">
      <c r="A18" s="23" t="s">
        <v>3</v>
      </c>
      <c r="B18" s="24">
        <v>0</v>
      </c>
      <c r="C18" s="24">
        <v>0</v>
      </c>
      <c r="D18" s="24">
        <v>530357</v>
      </c>
      <c r="E18" s="24">
        <v>0</v>
      </c>
      <c r="F18" s="24">
        <v>0</v>
      </c>
      <c r="G18" s="24">
        <v>0</v>
      </c>
      <c r="H18" s="24">
        <v>27098.49</v>
      </c>
      <c r="I18" s="24">
        <v>0</v>
      </c>
      <c r="J18" s="24">
        <v>194</v>
      </c>
      <c r="K18" s="24">
        <v>111</v>
      </c>
      <c r="L18" s="24">
        <v>0</v>
      </c>
    </row>
    <row r="19" spans="1:12" x14ac:dyDescent="0.3">
      <c r="A19" s="23" t="s">
        <v>8</v>
      </c>
      <c r="B19" s="24">
        <v>0</v>
      </c>
      <c r="C19" s="24">
        <v>0</v>
      </c>
      <c r="D19" s="24">
        <v>0</v>
      </c>
      <c r="E19" s="24">
        <v>0</v>
      </c>
      <c r="F19" s="24">
        <v>0</v>
      </c>
      <c r="G19" s="24">
        <v>0</v>
      </c>
      <c r="H19" s="24">
        <v>0</v>
      </c>
      <c r="I19" s="24">
        <v>0</v>
      </c>
      <c r="J19" s="24">
        <v>0</v>
      </c>
      <c r="K19" s="24">
        <v>0</v>
      </c>
      <c r="L19" s="24">
        <v>0</v>
      </c>
    </row>
    <row r="20" spans="1:12" x14ac:dyDescent="0.3">
      <c r="A20" s="23" t="s">
        <v>4</v>
      </c>
      <c r="B20" s="24">
        <v>0</v>
      </c>
      <c r="C20" s="24">
        <v>0</v>
      </c>
      <c r="D20" s="24">
        <v>2969939.06</v>
      </c>
      <c r="E20" s="24">
        <v>0</v>
      </c>
      <c r="F20" s="24">
        <v>0</v>
      </c>
      <c r="G20" s="24">
        <v>0</v>
      </c>
      <c r="H20" s="24">
        <v>7572.5700000000006</v>
      </c>
      <c r="I20" s="24">
        <v>0</v>
      </c>
      <c r="J20" s="24">
        <v>29</v>
      </c>
      <c r="K20" s="24">
        <v>21</v>
      </c>
      <c r="L20" s="24">
        <v>0</v>
      </c>
    </row>
    <row r="21" spans="1:12" x14ac:dyDescent="0.3">
      <c r="A21" s="23" t="s">
        <v>5</v>
      </c>
      <c r="B21" s="24">
        <v>0</v>
      </c>
      <c r="C21" s="24">
        <v>0</v>
      </c>
      <c r="D21" s="24">
        <v>0</v>
      </c>
      <c r="E21" s="24">
        <v>0</v>
      </c>
      <c r="F21" s="24">
        <v>0</v>
      </c>
      <c r="G21" s="24">
        <v>0</v>
      </c>
      <c r="H21" s="24">
        <v>0</v>
      </c>
      <c r="I21" s="24">
        <v>0</v>
      </c>
      <c r="J21" s="24">
        <v>1</v>
      </c>
      <c r="K21" s="24">
        <v>0</v>
      </c>
      <c r="L21" s="24">
        <v>0</v>
      </c>
    </row>
    <row r="22" spans="1:12" x14ac:dyDescent="0.3">
      <c r="A22" s="19">
        <v>45017</v>
      </c>
    </row>
    <row r="23" spans="1:12" ht="33" customHeight="1" x14ac:dyDescent="0.3">
      <c r="A23" s="20" t="s">
        <v>2</v>
      </c>
      <c r="B23" s="5" t="s">
        <v>9</v>
      </c>
      <c r="C23" s="5" t="s">
        <v>10</v>
      </c>
      <c r="D23" s="5" t="s">
        <v>11</v>
      </c>
      <c r="E23" s="5" t="s">
        <v>12</v>
      </c>
      <c r="F23" s="5" t="s">
        <v>19</v>
      </c>
      <c r="G23" s="5" t="s">
        <v>18</v>
      </c>
      <c r="H23" s="5" t="s">
        <v>16</v>
      </c>
      <c r="I23" s="5" t="s">
        <v>17</v>
      </c>
      <c r="J23" s="21" t="s">
        <v>15</v>
      </c>
      <c r="K23" s="22" t="s">
        <v>13</v>
      </c>
      <c r="L23" s="21" t="s">
        <v>14</v>
      </c>
    </row>
    <row r="24" spans="1:12" x14ac:dyDescent="0.3">
      <c r="A24" s="23" t="s">
        <v>3</v>
      </c>
      <c r="B24" s="24">
        <v>0</v>
      </c>
      <c r="C24" s="24">
        <v>0</v>
      </c>
      <c r="D24" s="24">
        <v>1372316.2</v>
      </c>
      <c r="E24" s="24">
        <v>0</v>
      </c>
      <c r="F24" s="24">
        <v>0</v>
      </c>
      <c r="G24" s="24">
        <v>0</v>
      </c>
      <c r="H24" s="24">
        <v>38318.320000000007</v>
      </c>
      <c r="I24" s="24">
        <v>0</v>
      </c>
      <c r="J24" s="2">
        <v>143</v>
      </c>
      <c r="K24" s="24">
        <v>106</v>
      </c>
      <c r="L24" s="24">
        <v>0</v>
      </c>
    </row>
    <row r="25" spans="1:12" x14ac:dyDescent="0.3">
      <c r="A25" s="23" t="s">
        <v>8</v>
      </c>
      <c r="B25" s="24">
        <v>0</v>
      </c>
      <c r="C25" s="24">
        <v>0</v>
      </c>
      <c r="D25" s="24">
        <v>0</v>
      </c>
      <c r="E25" s="24">
        <v>0</v>
      </c>
      <c r="F25" s="24">
        <v>0</v>
      </c>
      <c r="G25" s="24">
        <v>0</v>
      </c>
      <c r="H25" s="24">
        <v>0</v>
      </c>
      <c r="I25" s="24">
        <v>0</v>
      </c>
      <c r="J25" s="24">
        <v>0</v>
      </c>
      <c r="K25" s="24">
        <v>0</v>
      </c>
      <c r="L25" s="24">
        <v>0</v>
      </c>
    </row>
    <row r="26" spans="1:12" x14ac:dyDescent="0.3">
      <c r="A26" s="23" t="s">
        <v>4</v>
      </c>
      <c r="B26" s="24">
        <v>0</v>
      </c>
      <c r="C26" s="24">
        <v>0</v>
      </c>
      <c r="D26" s="24">
        <v>1588165.42</v>
      </c>
      <c r="E26" s="24">
        <v>0</v>
      </c>
      <c r="F26" s="24">
        <v>0</v>
      </c>
      <c r="G26" s="24">
        <v>0</v>
      </c>
      <c r="H26" s="24">
        <v>3553</v>
      </c>
      <c r="I26" s="24">
        <v>0</v>
      </c>
      <c r="J26" s="2">
        <v>22</v>
      </c>
      <c r="K26" s="24">
        <v>12</v>
      </c>
      <c r="L26" s="24">
        <v>0</v>
      </c>
    </row>
    <row r="27" spans="1:12" x14ac:dyDescent="0.3">
      <c r="A27" s="23" t="s">
        <v>5</v>
      </c>
      <c r="B27" s="24">
        <v>0</v>
      </c>
      <c r="C27" s="24">
        <v>0</v>
      </c>
      <c r="D27" s="24">
        <v>0</v>
      </c>
      <c r="E27" s="24">
        <v>0</v>
      </c>
      <c r="F27" s="24">
        <v>0</v>
      </c>
      <c r="G27" s="24">
        <v>0</v>
      </c>
      <c r="H27" s="24">
        <v>0</v>
      </c>
      <c r="I27" s="24">
        <v>0</v>
      </c>
      <c r="J27" s="24">
        <v>0</v>
      </c>
      <c r="K27" s="24">
        <v>0</v>
      </c>
      <c r="L27" s="24">
        <v>0</v>
      </c>
    </row>
    <row r="28" spans="1:12" x14ac:dyDescent="0.3">
      <c r="A28" s="19">
        <v>45047</v>
      </c>
    </row>
    <row r="29" spans="1:12" ht="33" customHeight="1" x14ac:dyDescent="0.3">
      <c r="A29" s="20" t="s">
        <v>2</v>
      </c>
      <c r="B29" s="5" t="s">
        <v>9</v>
      </c>
      <c r="C29" s="5" t="s">
        <v>10</v>
      </c>
      <c r="D29" s="5" t="s">
        <v>11</v>
      </c>
      <c r="E29" s="5" t="s">
        <v>12</v>
      </c>
      <c r="F29" s="5" t="s">
        <v>19</v>
      </c>
      <c r="G29" s="5" t="s">
        <v>18</v>
      </c>
      <c r="H29" s="5" t="s">
        <v>16</v>
      </c>
      <c r="I29" s="5" t="s">
        <v>17</v>
      </c>
      <c r="J29" s="21" t="s">
        <v>15</v>
      </c>
      <c r="K29" s="22" t="s">
        <v>13</v>
      </c>
      <c r="L29" s="21" t="s">
        <v>14</v>
      </c>
    </row>
    <row r="30" spans="1:12" x14ac:dyDescent="0.3">
      <c r="A30" s="23" t="s">
        <v>3</v>
      </c>
      <c r="B30" s="24">
        <v>0</v>
      </c>
      <c r="C30" s="24">
        <v>0</v>
      </c>
      <c r="D30" s="24">
        <v>1350026.91</v>
      </c>
      <c r="E30" s="24">
        <v>0</v>
      </c>
      <c r="F30" s="24">
        <v>0</v>
      </c>
      <c r="G30" s="24">
        <v>0</v>
      </c>
      <c r="H30" s="24">
        <v>46262.44</v>
      </c>
      <c r="I30" s="24">
        <v>0</v>
      </c>
      <c r="J30" s="24">
        <v>137</v>
      </c>
      <c r="K30" s="24">
        <v>111</v>
      </c>
      <c r="L30" s="24">
        <v>0</v>
      </c>
    </row>
    <row r="31" spans="1:12" x14ac:dyDescent="0.3">
      <c r="A31" s="23" t="s">
        <v>8</v>
      </c>
      <c r="B31" s="24">
        <v>0</v>
      </c>
      <c r="C31" s="24">
        <v>0</v>
      </c>
      <c r="D31" s="24">
        <v>0</v>
      </c>
      <c r="E31" s="24">
        <v>0</v>
      </c>
      <c r="F31" s="24">
        <v>0</v>
      </c>
      <c r="G31" s="24">
        <v>0</v>
      </c>
      <c r="H31" s="24">
        <v>0</v>
      </c>
      <c r="I31" s="24">
        <v>0</v>
      </c>
      <c r="J31" s="24">
        <v>0</v>
      </c>
      <c r="K31" s="24">
        <v>0</v>
      </c>
      <c r="L31" s="24">
        <v>0</v>
      </c>
    </row>
    <row r="32" spans="1:12" x14ac:dyDescent="0.3">
      <c r="A32" s="23" t="s">
        <v>4</v>
      </c>
      <c r="B32" s="24">
        <v>0</v>
      </c>
      <c r="C32" s="24">
        <v>0</v>
      </c>
      <c r="D32" s="24">
        <v>769689.53</v>
      </c>
      <c r="E32" s="24">
        <v>0</v>
      </c>
      <c r="F32" s="24">
        <v>0</v>
      </c>
      <c r="G32" s="24">
        <v>0</v>
      </c>
      <c r="H32" s="24">
        <v>21184.7</v>
      </c>
      <c r="I32" s="24">
        <v>0</v>
      </c>
      <c r="J32" s="24">
        <v>22</v>
      </c>
      <c r="K32" s="24">
        <v>19</v>
      </c>
      <c r="L32" s="24">
        <v>0</v>
      </c>
    </row>
    <row r="33" spans="1:12" x14ac:dyDescent="0.3">
      <c r="A33" s="23" t="s">
        <v>5</v>
      </c>
      <c r="B33" s="24">
        <v>0</v>
      </c>
      <c r="C33" s="24">
        <v>0</v>
      </c>
      <c r="D33" s="24">
        <v>0</v>
      </c>
      <c r="E33" s="24">
        <v>0</v>
      </c>
      <c r="F33" s="24">
        <v>0</v>
      </c>
      <c r="G33" s="24">
        <v>0</v>
      </c>
      <c r="H33" s="24">
        <v>420.36</v>
      </c>
      <c r="I33" s="24">
        <v>0</v>
      </c>
      <c r="J33" s="24">
        <v>2</v>
      </c>
      <c r="K33" s="24">
        <v>1</v>
      </c>
      <c r="L33" s="24">
        <v>0</v>
      </c>
    </row>
    <row r="34" spans="1:12" x14ac:dyDescent="0.3">
      <c r="A34" s="19">
        <v>45078</v>
      </c>
    </row>
    <row r="35" spans="1:12" ht="33" customHeight="1" x14ac:dyDescent="0.3">
      <c r="A35" s="20" t="s">
        <v>2</v>
      </c>
      <c r="B35" s="5" t="s">
        <v>9</v>
      </c>
      <c r="C35" s="5" t="s">
        <v>10</v>
      </c>
      <c r="D35" s="5" t="s">
        <v>11</v>
      </c>
      <c r="E35" s="5" t="s">
        <v>12</v>
      </c>
      <c r="F35" s="5" t="s">
        <v>19</v>
      </c>
      <c r="G35" s="5" t="s">
        <v>18</v>
      </c>
      <c r="H35" s="5" t="s">
        <v>16</v>
      </c>
      <c r="I35" s="5" t="s">
        <v>17</v>
      </c>
      <c r="J35" s="21" t="s">
        <v>15</v>
      </c>
      <c r="K35" s="22" t="s">
        <v>13</v>
      </c>
      <c r="L35" s="21" t="s">
        <v>14</v>
      </c>
    </row>
    <row r="36" spans="1:12" x14ac:dyDescent="0.3">
      <c r="A36" s="23" t="s">
        <v>3</v>
      </c>
      <c r="B36" s="24">
        <v>0</v>
      </c>
      <c r="C36" s="24">
        <v>0</v>
      </c>
      <c r="D36" s="24">
        <v>2633721.5099999998</v>
      </c>
      <c r="E36" s="24">
        <v>0</v>
      </c>
      <c r="F36" s="24">
        <v>0</v>
      </c>
      <c r="G36" s="24">
        <v>0</v>
      </c>
      <c r="H36" s="24">
        <v>54174.23</v>
      </c>
      <c r="I36" s="24">
        <v>0</v>
      </c>
      <c r="J36" s="24">
        <v>184</v>
      </c>
      <c r="K36" s="24">
        <v>260</v>
      </c>
      <c r="L36" s="24">
        <v>0</v>
      </c>
    </row>
    <row r="37" spans="1:12" x14ac:dyDescent="0.3">
      <c r="A37" s="23" t="s">
        <v>8</v>
      </c>
      <c r="B37" s="24">
        <v>0</v>
      </c>
      <c r="C37" s="24">
        <v>0</v>
      </c>
      <c r="D37" s="24">
        <v>0</v>
      </c>
      <c r="E37" s="24">
        <v>0</v>
      </c>
      <c r="F37" s="24">
        <v>0</v>
      </c>
      <c r="G37" s="24">
        <v>0</v>
      </c>
      <c r="H37" s="24">
        <v>0</v>
      </c>
      <c r="I37" s="24">
        <v>0</v>
      </c>
      <c r="J37" s="24">
        <v>0</v>
      </c>
      <c r="K37" s="24">
        <v>0</v>
      </c>
      <c r="L37" s="24">
        <v>0</v>
      </c>
    </row>
    <row r="38" spans="1:12" x14ac:dyDescent="0.3">
      <c r="A38" s="23" t="s">
        <v>4</v>
      </c>
      <c r="B38" s="24">
        <v>0</v>
      </c>
      <c r="C38" s="24">
        <v>0</v>
      </c>
      <c r="D38" s="24">
        <v>1337993.56</v>
      </c>
      <c r="E38" s="24">
        <v>0</v>
      </c>
      <c r="F38" s="24">
        <v>0</v>
      </c>
      <c r="G38" s="24">
        <v>0</v>
      </c>
      <c r="H38" s="24">
        <v>10862.7</v>
      </c>
      <c r="I38" s="24">
        <v>0</v>
      </c>
      <c r="J38" s="24">
        <v>33</v>
      </c>
      <c r="K38" s="24">
        <v>23</v>
      </c>
      <c r="L38" s="24">
        <v>0</v>
      </c>
    </row>
    <row r="39" spans="1:12" x14ac:dyDescent="0.3">
      <c r="A39" s="23" t="s">
        <v>5</v>
      </c>
      <c r="B39" s="24">
        <v>0</v>
      </c>
      <c r="C39" s="24">
        <v>0</v>
      </c>
      <c r="D39" s="24">
        <v>1703</v>
      </c>
      <c r="E39" s="24">
        <v>0</v>
      </c>
      <c r="F39" s="24">
        <v>0</v>
      </c>
      <c r="G39" s="24">
        <v>0</v>
      </c>
      <c r="H39" s="24">
        <v>0</v>
      </c>
      <c r="I39" s="24">
        <v>0</v>
      </c>
      <c r="J39" s="24">
        <v>1</v>
      </c>
      <c r="K39" s="24">
        <v>1</v>
      </c>
      <c r="L39" s="24">
        <v>0</v>
      </c>
    </row>
    <row r="40" spans="1:12" x14ac:dyDescent="0.3">
      <c r="A40" s="19">
        <v>45108</v>
      </c>
    </row>
    <row r="41" spans="1:12" ht="33" customHeight="1" x14ac:dyDescent="0.3">
      <c r="A41" s="20" t="s">
        <v>2</v>
      </c>
      <c r="B41" s="5" t="s">
        <v>9</v>
      </c>
      <c r="C41" s="5" t="s">
        <v>10</v>
      </c>
      <c r="D41" s="5" t="s">
        <v>11</v>
      </c>
      <c r="E41" s="5" t="s">
        <v>12</v>
      </c>
      <c r="F41" s="5" t="s">
        <v>19</v>
      </c>
      <c r="G41" s="5" t="s">
        <v>18</v>
      </c>
      <c r="H41" s="5" t="s">
        <v>16</v>
      </c>
      <c r="I41" s="5" t="s">
        <v>17</v>
      </c>
      <c r="J41" s="21" t="s">
        <v>15</v>
      </c>
      <c r="K41" s="22" t="s">
        <v>13</v>
      </c>
      <c r="L41" s="21" t="s">
        <v>14</v>
      </c>
    </row>
    <row r="42" spans="1:12" x14ac:dyDescent="0.3">
      <c r="A42" s="23" t="s">
        <v>3</v>
      </c>
      <c r="B42" s="24">
        <v>0</v>
      </c>
      <c r="C42" s="24">
        <v>0</v>
      </c>
      <c r="D42" s="24">
        <v>1349881.49</v>
      </c>
      <c r="E42" s="24">
        <v>0</v>
      </c>
      <c r="F42" s="24">
        <v>0</v>
      </c>
      <c r="G42" s="24">
        <v>0</v>
      </c>
      <c r="H42" s="24">
        <v>59284.909999999989</v>
      </c>
      <c r="I42" s="24">
        <v>18863</v>
      </c>
      <c r="J42" s="24">
        <v>111</v>
      </c>
      <c r="K42" s="24">
        <v>138</v>
      </c>
      <c r="L42" s="24">
        <v>0</v>
      </c>
    </row>
    <row r="43" spans="1:12" x14ac:dyDescent="0.3">
      <c r="A43" s="23" t="s">
        <v>8</v>
      </c>
      <c r="B43" s="24">
        <v>0</v>
      </c>
      <c r="C43" s="24">
        <v>0</v>
      </c>
      <c r="D43" s="24">
        <v>0</v>
      </c>
      <c r="E43" s="24">
        <v>0</v>
      </c>
      <c r="F43" s="24">
        <v>0</v>
      </c>
      <c r="G43" s="24">
        <v>0</v>
      </c>
      <c r="H43" s="24">
        <v>0</v>
      </c>
      <c r="I43" s="24">
        <v>0</v>
      </c>
      <c r="J43" s="24">
        <v>1</v>
      </c>
      <c r="K43" s="24">
        <v>0</v>
      </c>
      <c r="L43" s="24">
        <v>0</v>
      </c>
    </row>
    <row r="44" spans="1:12" x14ac:dyDescent="0.3">
      <c r="A44" s="23" t="s">
        <v>4</v>
      </c>
      <c r="B44" s="24">
        <v>0</v>
      </c>
      <c r="C44" s="24">
        <v>0</v>
      </c>
      <c r="D44" s="24">
        <v>7337735.5199999996</v>
      </c>
      <c r="E44" s="24">
        <v>0</v>
      </c>
      <c r="F44" s="24">
        <v>0</v>
      </c>
      <c r="G44" s="24">
        <v>0</v>
      </c>
      <c r="H44" s="24">
        <v>61845.77</v>
      </c>
      <c r="I44" s="24">
        <v>28982.42</v>
      </c>
      <c r="J44" s="24">
        <v>16</v>
      </c>
      <c r="K44" s="24">
        <v>39</v>
      </c>
      <c r="L44" s="24">
        <v>0</v>
      </c>
    </row>
    <row r="45" spans="1:12" x14ac:dyDescent="0.3">
      <c r="A45" s="23" t="s">
        <v>5</v>
      </c>
      <c r="B45" s="24">
        <v>0</v>
      </c>
      <c r="C45" s="24">
        <v>0</v>
      </c>
      <c r="D45" s="24">
        <v>0</v>
      </c>
      <c r="E45" s="24">
        <v>0</v>
      </c>
      <c r="F45" s="24">
        <v>0</v>
      </c>
      <c r="G45" s="24">
        <v>0</v>
      </c>
      <c r="H45" s="24">
        <v>0</v>
      </c>
      <c r="I45" s="24">
        <v>0</v>
      </c>
      <c r="J45" s="24">
        <v>1</v>
      </c>
      <c r="K45" s="24">
        <v>0</v>
      </c>
      <c r="L45" s="24">
        <v>0</v>
      </c>
    </row>
    <row r="46" spans="1:12" x14ac:dyDescent="0.3">
      <c r="A46" s="19">
        <v>45139</v>
      </c>
    </row>
    <row r="47" spans="1:12" ht="33" customHeight="1" x14ac:dyDescent="0.3">
      <c r="A47" s="20" t="s">
        <v>2</v>
      </c>
      <c r="B47" s="5" t="s">
        <v>9</v>
      </c>
      <c r="C47" s="5" t="s">
        <v>10</v>
      </c>
      <c r="D47" s="5" t="s">
        <v>11</v>
      </c>
      <c r="E47" s="5" t="s">
        <v>12</v>
      </c>
      <c r="F47" s="5" t="s">
        <v>19</v>
      </c>
      <c r="G47" s="5" t="s">
        <v>18</v>
      </c>
      <c r="H47" s="5" t="s">
        <v>16</v>
      </c>
      <c r="I47" s="5" t="s">
        <v>17</v>
      </c>
      <c r="J47" s="21" t="s">
        <v>15</v>
      </c>
      <c r="K47" s="22" t="s">
        <v>13</v>
      </c>
      <c r="L47" s="21" t="s">
        <v>14</v>
      </c>
    </row>
    <row r="48" spans="1:12" x14ac:dyDescent="0.3">
      <c r="A48" s="23" t="s">
        <v>3</v>
      </c>
      <c r="B48" s="24">
        <v>18538</v>
      </c>
      <c r="C48" s="24">
        <v>0</v>
      </c>
      <c r="D48" s="24">
        <v>2574201.7400000002</v>
      </c>
      <c r="E48" s="24">
        <v>0</v>
      </c>
      <c r="F48" s="24">
        <v>0</v>
      </c>
      <c r="G48" s="24">
        <v>0</v>
      </c>
      <c r="H48" s="24">
        <v>62382.6</v>
      </c>
      <c r="I48" s="24">
        <v>0</v>
      </c>
      <c r="J48" s="2">
        <v>174</v>
      </c>
      <c r="K48" s="24">
        <v>173</v>
      </c>
      <c r="L48" s="24">
        <v>0</v>
      </c>
    </row>
    <row r="49" spans="1:12" x14ac:dyDescent="0.3">
      <c r="A49" s="23" t="s">
        <v>8</v>
      </c>
      <c r="B49" s="24">
        <v>0</v>
      </c>
      <c r="C49" s="24">
        <v>0</v>
      </c>
      <c r="D49" s="24">
        <v>0</v>
      </c>
      <c r="E49" s="24">
        <v>0</v>
      </c>
      <c r="F49" s="24">
        <v>0</v>
      </c>
      <c r="G49" s="24">
        <v>0</v>
      </c>
      <c r="H49" s="24">
        <v>102.13</v>
      </c>
      <c r="I49" s="24">
        <v>0</v>
      </c>
      <c r="J49" s="24">
        <v>0</v>
      </c>
      <c r="K49" s="24">
        <v>1</v>
      </c>
      <c r="L49" s="24">
        <v>0</v>
      </c>
    </row>
    <row r="50" spans="1:12" x14ac:dyDescent="0.3">
      <c r="A50" s="23" t="s">
        <v>4</v>
      </c>
      <c r="B50" s="24">
        <v>0</v>
      </c>
      <c r="C50" s="24">
        <v>0</v>
      </c>
      <c r="D50" s="24">
        <v>13861508</v>
      </c>
      <c r="E50" s="24">
        <v>0</v>
      </c>
      <c r="F50" s="24">
        <v>0</v>
      </c>
      <c r="G50" s="24">
        <v>0</v>
      </c>
      <c r="H50" s="24">
        <v>4119.41</v>
      </c>
      <c r="I50" s="24">
        <v>0</v>
      </c>
      <c r="J50" s="2">
        <v>20</v>
      </c>
      <c r="K50" s="24">
        <v>32</v>
      </c>
      <c r="L50" s="24">
        <v>0</v>
      </c>
    </row>
    <row r="51" spans="1:12" x14ac:dyDescent="0.3">
      <c r="A51" s="23" t="s">
        <v>5</v>
      </c>
      <c r="B51" s="24">
        <v>0</v>
      </c>
      <c r="C51" s="24">
        <v>0</v>
      </c>
      <c r="D51" s="24">
        <v>3885</v>
      </c>
      <c r="E51" s="24">
        <v>0</v>
      </c>
      <c r="F51" s="24">
        <v>0</v>
      </c>
      <c r="G51" s="24">
        <v>0</v>
      </c>
      <c r="H51" s="24">
        <v>0</v>
      </c>
      <c r="I51" s="24">
        <v>0</v>
      </c>
      <c r="J51" s="24">
        <v>0</v>
      </c>
      <c r="K51" s="24">
        <v>1</v>
      </c>
      <c r="L51" s="24">
        <v>0</v>
      </c>
    </row>
    <row r="52" spans="1:12" x14ac:dyDescent="0.3">
      <c r="A52" s="19">
        <v>45170</v>
      </c>
    </row>
    <row r="53" spans="1:12" ht="33" customHeight="1" x14ac:dyDescent="0.3">
      <c r="A53" s="20" t="s">
        <v>2</v>
      </c>
      <c r="B53" s="5" t="s">
        <v>9</v>
      </c>
      <c r="C53" s="5" t="s">
        <v>10</v>
      </c>
      <c r="D53" s="5" t="s">
        <v>11</v>
      </c>
      <c r="E53" s="5" t="s">
        <v>12</v>
      </c>
      <c r="F53" s="5" t="s">
        <v>19</v>
      </c>
      <c r="G53" s="5" t="s">
        <v>18</v>
      </c>
      <c r="H53" s="5" t="s">
        <v>16</v>
      </c>
      <c r="I53" s="5" t="s">
        <v>17</v>
      </c>
      <c r="J53" s="21" t="s">
        <v>15</v>
      </c>
      <c r="K53" s="22" t="s">
        <v>13</v>
      </c>
      <c r="L53" s="21" t="s">
        <v>14</v>
      </c>
    </row>
    <row r="54" spans="1:12" x14ac:dyDescent="0.3">
      <c r="A54" s="23" t="s">
        <v>3</v>
      </c>
      <c r="B54" s="24">
        <v>0</v>
      </c>
      <c r="C54" s="24">
        <v>0</v>
      </c>
      <c r="D54" s="24">
        <v>2548085.6</v>
      </c>
      <c r="E54" s="24">
        <v>0</v>
      </c>
      <c r="F54" s="24">
        <v>0</v>
      </c>
      <c r="G54" s="24">
        <v>0</v>
      </c>
      <c r="H54" s="24">
        <v>28857.579999999998</v>
      </c>
      <c r="I54" s="24">
        <v>0</v>
      </c>
      <c r="J54" s="24">
        <v>160</v>
      </c>
      <c r="K54" s="24">
        <v>132</v>
      </c>
      <c r="L54" s="24">
        <v>0</v>
      </c>
    </row>
    <row r="55" spans="1:12" x14ac:dyDescent="0.3">
      <c r="A55" s="23" t="s">
        <v>8</v>
      </c>
      <c r="B55" s="24">
        <v>0</v>
      </c>
      <c r="C55" s="24">
        <v>0</v>
      </c>
      <c r="D55" s="24">
        <v>348008</v>
      </c>
      <c r="E55" s="24">
        <v>0</v>
      </c>
      <c r="F55" s="24">
        <v>0</v>
      </c>
      <c r="G55" s="24">
        <v>0</v>
      </c>
      <c r="H55" s="24">
        <v>0</v>
      </c>
      <c r="I55" s="24">
        <v>0</v>
      </c>
      <c r="J55" s="24">
        <v>0</v>
      </c>
      <c r="K55" s="24">
        <v>1</v>
      </c>
      <c r="L55" s="24">
        <v>0</v>
      </c>
    </row>
    <row r="56" spans="1:12" x14ac:dyDescent="0.3">
      <c r="A56" s="23" t="s">
        <v>4</v>
      </c>
      <c r="B56" s="24">
        <v>0</v>
      </c>
      <c r="C56" s="24">
        <v>0</v>
      </c>
      <c r="D56" s="24">
        <v>1121952.6499999999</v>
      </c>
      <c r="E56" s="24">
        <v>0</v>
      </c>
      <c r="F56" s="24">
        <v>0</v>
      </c>
      <c r="G56" s="24">
        <v>0</v>
      </c>
      <c r="H56" s="24">
        <v>17454.570000000003</v>
      </c>
      <c r="I56" s="24">
        <v>0</v>
      </c>
      <c r="J56" s="24">
        <v>23</v>
      </c>
      <c r="K56" s="24">
        <v>28</v>
      </c>
      <c r="L56" s="24">
        <v>0</v>
      </c>
    </row>
    <row r="57" spans="1:12" x14ac:dyDescent="0.3">
      <c r="A57" s="23" t="s">
        <v>5</v>
      </c>
      <c r="B57" s="24">
        <v>0</v>
      </c>
      <c r="C57" s="24">
        <v>0</v>
      </c>
      <c r="D57" s="24">
        <v>0</v>
      </c>
      <c r="E57" s="24">
        <v>0</v>
      </c>
      <c r="F57" s="24">
        <v>0</v>
      </c>
      <c r="G57" s="24">
        <v>0</v>
      </c>
      <c r="H57" s="24">
        <v>372.22</v>
      </c>
      <c r="I57" s="24">
        <v>0</v>
      </c>
      <c r="J57" s="24">
        <v>2</v>
      </c>
      <c r="K57" s="24">
        <v>1</v>
      </c>
      <c r="L57" s="24">
        <v>0</v>
      </c>
    </row>
    <row r="58" spans="1:12" x14ac:dyDescent="0.3">
      <c r="A58" s="19">
        <v>45200</v>
      </c>
    </row>
    <row r="59" spans="1:12" ht="33" customHeight="1" x14ac:dyDescent="0.3">
      <c r="A59" s="20" t="s">
        <v>2</v>
      </c>
      <c r="B59" s="5" t="s">
        <v>9</v>
      </c>
      <c r="C59" s="5" t="s">
        <v>10</v>
      </c>
      <c r="D59" s="5" t="s">
        <v>11</v>
      </c>
      <c r="E59" s="5" t="s">
        <v>12</v>
      </c>
      <c r="F59" s="5" t="s">
        <v>19</v>
      </c>
      <c r="G59" s="5" t="s">
        <v>18</v>
      </c>
      <c r="H59" s="5" t="s">
        <v>16</v>
      </c>
      <c r="I59" s="5" t="s">
        <v>17</v>
      </c>
      <c r="J59" s="21" t="s">
        <v>15</v>
      </c>
      <c r="K59" s="22" t="s">
        <v>13</v>
      </c>
      <c r="L59" s="21" t="s">
        <v>14</v>
      </c>
    </row>
    <row r="60" spans="1:12" x14ac:dyDescent="0.3">
      <c r="A60" s="23" t="s">
        <v>3</v>
      </c>
      <c r="B60" s="24">
        <v>0</v>
      </c>
      <c r="C60" s="24">
        <v>0</v>
      </c>
      <c r="D60" s="24">
        <v>2080034.03</v>
      </c>
      <c r="E60" s="24">
        <v>0</v>
      </c>
      <c r="F60" s="24">
        <v>0</v>
      </c>
      <c r="G60" s="24">
        <v>0</v>
      </c>
      <c r="H60" s="24">
        <v>63671.9</v>
      </c>
      <c r="I60" s="24">
        <v>0</v>
      </c>
      <c r="J60" s="24">
        <v>145</v>
      </c>
      <c r="K60" s="24">
        <v>163</v>
      </c>
      <c r="L60" s="24">
        <v>0</v>
      </c>
    </row>
    <row r="61" spans="1:12" x14ac:dyDescent="0.3">
      <c r="A61" s="23" t="s">
        <v>8</v>
      </c>
      <c r="B61" s="24">
        <v>0</v>
      </c>
      <c r="C61" s="24">
        <v>0</v>
      </c>
      <c r="D61" s="24">
        <v>51018</v>
      </c>
      <c r="E61" s="24">
        <v>0</v>
      </c>
      <c r="F61" s="24">
        <v>0</v>
      </c>
      <c r="G61" s="24">
        <v>0</v>
      </c>
      <c r="H61" s="24">
        <v>1539</v>
      </c>
      <c r="I61" s="24">
        <v>0</v>
      </c>
      <c r="J61" s="24">
        <v>0</v>
      </c>
      <c r="K61" s="24">
        <v>1</v>
      </c>
      <c r="L61" s="24">
        <v>0</v>
      </c>
    </row>
    <row r="62" spans="1:12" x14ac:dyDescent="0.3">
      <c r="A62" s="23" t="s">
        <v>4</v>
      </c>
      <c r="B62" s="24">
        <v>0</v>
      </c>
      <c r="C62" s="24">
        <v>0</v>
      </c>
      <c r="D62" s="24">
        <v>3087942.7399999998</v>
      </c>
      <c r="E62" s="24">
        <v>0</v>
      </c>
      <c r="F62" s="24">
        <v>0</v>
      </c>
      <c r="G62" s="24">
        <v>0</v>
      </c>
      <c r="H62" s="24">
        <v>12248.220000000001</v>
      </c>
      <c r="I62" s="24">
        <v>0</v>
      </c>
      <c r="J62" s="24">
        <v>30</v>
      </c>
      <c r="K62" s="24">
        <v>33</v>
      </c>
      <c r="L62" s="24">
        <v>0</v>
      </c>
    </row>
    <row r="63" spans="1:12" x14ac:dyDescent="0.3">
      <c r="A63" s="23" t="s">
        <v>5</v>
      </c>
      <c r="B63" s="24">
        <v>0</v>
      </c>
      <c r="C63" s="24">
        <v>0</v>
      </c>
      <c r="D63" s="24">
        <v>0</v>
      </c>
      <c r="E63" s="24">
        <v>0</v>
      </c>
      <c r="F63" s="24">
        <v>0</v>
      </c>
      <c r="G63" s="24">
        <v>0</v>
      </c>
      <c r="H63" s="24">
        <v>0</v>
      </c>
      <c r="I63" s="24">
        <v>0</v>
      </c>
      <c r="J63" s="24">
        <v>3</v>
      </c>
      <c r="K63" s="24">
        <v>0</v>
      </c>
      <c r="L63" s="24">
        <v>0</v>
      </c>
    </row>
    <row r="65" spans="1:12" x14ac:dyDescent="0.3">
      <c r="A65" s="19">
        <v>45231</v>
      </c>
    </row>
    <row r="66" spans="1:12" ht="33" customHeight="1" x14ac:dyDescent="0.3">
      <c r="A66" s="20" t="s">
        <v>2</v>
      </c>
      <c r="B66" s="5" t="s">
        <v>9</v>
      </c>
      <c r="C66" s="5" t="s">
        <v>10</v>
      </c>
      <c r="D66" s="5" t="s">
        <v>11</v>
      </c>
      <c r="E66" s="5" t="s">
        <v>12</v>
      </c>
      <c r="F66" s="5" t="s">
        <v>19</v>
      </c>
      <c r="G66" s="5" t="s">
        <v>18</v>
      </c>
      <c r="H66" s="5" t="s">
        <v>16</v>
      </c>
      <c r="I66" s="5" t="s">
        <v>17</v>
      </c>
      <c r="J66" s="21" t="s">
        <v>15</v>
      </c>
      <c r="K66" s="22" t="s">
        <v>13</v>
      </c>
      <c r="L66" s="21" t="s">
        <v>14</v>
      </c>
    </row>
    <row r="67" spans="1:12" x14ac:dyDescent="0.3">
      <c r="A67" s="23" t="s">
        <v>3</v>
      </c>
      <c r="B67" s="24">
        <v>0</v>
      </c>
      <c r="C67" s="24">
        <v>0</v>
      </c>
      <c r="D67" s="24">
        <v>1258183.32</v>
      </c>
      <c r="E67" s="24">
        <v>0</v>
      </c>
      <c r="F67" s="24">
        <v>0</v>
      </c>
      <c r="G67" s="24">
        <v>0</v>
      </c>
      <c r="H67" s="24">
        <v>44645.04</v>
      </c>
      <c r="I67" s="24">
        <v>0</v>
      </c>
      <c r="J67" s="24">
        <v>120</v>
      </c>
      <c r="K67" s="24">
        <v>96</v>
      </c>
      <c r="L67" s="24">
        <v>0</v>
      </c>
    </row>
    <row r="68" spans="1:12" x14ac:dyDescent="0.3">
      <c r="A68" s="23" t="s">
        <v>8</v>
      </c>
      <c r="B68" s="24">
        <v>0</v>
      </c>
      <c r="C68" s="24">
        <v>0</v>
      </c>
      <c r="D68" s="24">
        <v>0</v>
      </c>
      <c r="E68" s="24">
        <v>0</v>
      </c>
      <c r="F68" s="24">
        <v>0</v>
      </c>
      <c r="G68" s="24">
        <v>0</v>
      </c>
      <c r="H68" s="24">
        <v>0</v>
      </c>
      <c r="I68" s="24">
        <v>0</v>
      </c>
      <c r="J68" s="24">
        <v>1</v>
      </c>
      <c r="K68" s="24">
        <v>0</v>
      </c>
      <c r="L68" s="24">
        <v>0</v>
      </c>
    </row>
    <row r="69" spans="1:12" x14ac:dyDescent="0.3">
      <c r="A69" s="23" t="s">
        <v>4</v>
      </c>
      <c r="B69" s="24">
        <v>0</v>
      </c>
      <c r="C69" s="24">
        <v>0</v>
      </c>
      <c r="D69" s="24">
        <v>2019308.26</v>
      </c>
      <c r="E69" s="24">
        <v>0</v>
      </c>
      <c r="F69" s="24">
        <v>0</v>
      </c>
      <c r="G69" s="24">
        <v>0</v>
      </c>
      <c r="H69" s="24">
        <v>4255.1499999999996</v>
      </c>
      <c r="I69" s="24">
        <v>0</v>
      </c>
      <c r="J69" s="24">
        <v>18</v>
      </c>
      <c r="K69" s="24">
        <v>17</v>
      </c>
      <c r="L69" s="24">
        <v>0</v>
      </c>
    </row>
    <row r="70" spans="1:12" x14ac:dyDescent="0.3">
      <c r="A70" s="23" t="s">
        <v>5</v>
      </c>
      <c r="B70" s="24">
        <v>0</v>
      </c>
      <c r="C70" s="24">
        <v>0</v>
      </c>
      <c r="D70" s="24">
        <v>0</v>
      </c>
      <c r="E70" s="24">
        <v>0</v>
      </c>
      <c r="F70" s="24">
        <v>0</v>
      </c>
      <c r="G70" s="24">
        <v>0</v>
      </c>
      <c r="H70" s="24">
        <v>0</v>
      </c>
      <c r="I70" s="24">
        <v>0</v>
      </c>
      <c r="J70" s="24">
        <v>1</v>
      </c>
      <c r="K70" s="24">
        <v>0</v>
      </c>
      <c r="L70" s="24">
        <v>0</v>
      </c>
    </row>
    <row r="71" spans="1:12" x14ac:dyDescent="0.3">
      <c r="A71" s="19">
        <v>45261</v>
      </c>
    </row>
    <row r="72" spans="1:12" ht="33" customHeight="1" x14ac:dyDescent="0.3">
      <c r="A72" s="20" t="s">
        <v>2</v>
      </c>
      <c r="B72" s="5" t="s">
        <v>9</v>
      </c>
      <c r="C72" s="5" t="s">
        <v>10</v>
      </c>
      <c r="D72" s="5" t="s">
        <v>11</v>
      </c>
      <c r="E72" s="5" t="s">
        <v>12</v>
      </c>
      <c r="F72" s="5" t="s">
        <v>19</v>
      </c>
      <c r="G72" s="5" t="s">
        <v>18</v>
      </c>
      <c r="H72" s="5" t="s">
        <v>16</v>
      </c>
      <c r="I72" s="5" t="s">
        <v>17</v>
      </c>
      <c r="J72" s="21" t="s">
        <v>15</v>
      </c>
      <c r="K72" s="22" t="s">
        <v>13</v>
      </c>
      <c r="L72" s="21" t="s">
        <v>14</v>
      </c>
    </row>
    <row r="73" spans="1:12" x14ac:dyDescent="0.3">
      <c r="A73" s="23" t="s">
        <v>3</v>
      </c>
      <c r="B73" s="24">
        <v>0</v>
      </c>
      <c r="C73" s="24">
        <v>0</v>
      </c>
      <c r="D73" s="24">
        <v>1049680</v>
      </c>
      <c r="E73" s="24">
        <v>0</v>
      </c>
      <c r="F73" s="24">
        <v>0</v>
      </c>
      <c r="G73" s="24">
        <v>0</v>
      </c>
      <c r="H73" s="24">
        <v>32346</v>
      </c>
      <c r="I73" s="24">
        <v>0</v>
      </c>
      <c r="J73" s="24">
        <v>112</v>
      </c>
      <c r="K73" s="24">
        <v>85</v>
      </c>
      <c r="L73" s="24">
        <v>0</v>
      </c>
    </row>
    <row r="74" spans="1:12" x14ac:dyDescent="0.3">
      <c r="A74" s="23" t="s">
        <v>8</v>
      </c>
      <c r="B74" s="24">
        <v>0</v>
      </c>
      <c r="C74" s="24">
        <v>0</v>
      </c>
      <c r="D74" s="24">
        <v>0</v>
      </c>
      <c r="E74" s="24">
        <v>0</v>
      </c>
      <c r="F74" s="24">
        <v>0</v>
      </c>
      <c r="G74" s="24">
        <v>0</v>
      </c>
      <c r="H74" s="24">
        <v>0</v>
      </c>
      <c r="I74" s="24">
        <v>0</v>
      </c>
      <c r="J74" s="24">
        <v>0</v>
      </c>
      <c r="K74" s="24">
        <v>0</v>
      </c>
      <c r="L74" s="24">
        <v>0</v>
      </c>
    </row>
    <row r="75" spans="1:12" x14ac:dyDescent="0.3">
      <c r="A75" s="23" t="s">
        <v>4</v>
      </c>
      <c r="B75" s="24">
        <v>0</v>
      </c>
      <c r="C75" s="24">
        <v>0</v>
      </c>
      <c r="D75" s="24">
        <v>1832992.28</v>
      </c>
      <c r="E75" s="24">
        <v>0</v>
      </c>
      <c r="F75" s="24">
        <v>0</v>
      </c>
      <c r="G75" s="24">
        <v>0</v>
      </c>
      <c r="H75" s="24">
        <v>3879</v>
      </c>
      <c r="I75" s="24">
        <v>0</v>
      </c>
      <c r="J75" s="24">
        <v>28</v>
      </c>
      <c r="K75" s="24">
        <v>10</v>
      </c>
      <c r="L75" s="24">
        <v>0</v>
      </c>
    </row>
    <row r="76" spans="1:12" x14ac:dyDescent="0.3">
      <c r="A76" s="23" t="s">
        <v>5</v>
      </c>
      <c r="B76" s="24">
        <v>0</v>
      </c>
      <c r="C76" s="24">
        <v>0</v>
      </c>
      <c r="D76" s="24">
        <v>0</v>
      </c>
      <c r="E76" s="24">
        <v>0</v>
      </c>
      <c r="F76" s="24">
        <v>0</v>
      </c>
      <c r="G76" s="24">
        <v>0</v>
      </c>
      <c r="H76" s="24">
        <v>0</v>
      </c>
      <c r="I76" s="24">
        <v>0</v>
      </c>
      <c r="J76" s="24">
        <v>0</v>
      </c>
      <c r="K76" s="24">
        <v>0</v>
      </c>
      <c r="L76" s="24">
        <v>0</v>
      </c>
    </row>
    <row r="78" spans="1:12" x14ac:dyDescent="0.3">
      <c r="A78" s="14" t="s">
        <v>21</v>
      </c>
      <c r="B78" s="15"/>
      <c r="J78"/>
      <c r="K78"/>
      <c r="L78"/>
    </row>
    <row r="79" spans="1:12" x14ac:dyDescent="0.3">
      <c r="A79" s="16" t="s">
        <v>22</v>
      </c>
      <c r="B79" s="15"/>
      <c r="J79"/>
      <c r="K79"/>
      <c r="L79"/>
    </row>
    <row r="80" spans="1:12" x14ac:dyDescent="0.3">
      <c r="A80" s="15" t="s">
        <v>25</v>
      </c>
      <c r="B80" s="15"/>
      <c r="C80" s="15"/>
      <c r="D80" s="15"/>
      <c r="J80"/>
      <c r="K80"/>
      <c r="L80"/>
    </row>
    <row r="81" spans="1:10" customFormat="1" ht="32.1" customHeight="1" x14ac:dyDescent="0.3">
      <c r="A81" s="39" t="s">
        <v>27</v>
      </c>
      <c r="B81" s="39"/>
      <c r="C81" s="39"/>
      <c r="D81" s="39"/>
      <c r="E81" s="39"/>
      <c r="F81" s="39"/>
      <c r="G81" s="2"/>
      <c r="H81" s="2"/>
      <c r="I81" s="2"/>
    </row>
    <row r="82" spans="1:10" customFormat="1" x14ac:dyDescent="0.3">
      <c r="A82" s="15" t="s">
        <v>23</v>
      </c>
      <c r="B82" s="15"/>
      <c r="C82" s="15"/>
      <c r="D82" s="15"/>
      <c r="E82" s="2"/>
      <c r="F82" s="2"/>
      <c r="G82" s="2"/>
      <c r="H82" s="2"/>
      <c r="I82" s="2"/>
    </row>
    <row r="83" spans="1:10" customFormat="1" ht="29.4" customHeight="1" x14ac:dyDescent="0.3">
      <c r="A83" s="39" t="s">
        <v>24</v>
      </c>
      <c r="B83" s="39"/>
      <c r="C83" s="39"/>
      <c r="D83" s="39"/>
      <c r="E83" s="39"/>
      <c r="F83" s="39"/>
      <c r="G83" s="25"/>
      <c r="H83" s="2"/>
      <c r="I83" s="2"/>
    </row>
    <row r="84" spans="1:10" customFormat="1" ht="15" customHeight="1" x14ac:dyDescent="0.3">
      <c r="A84" s="39" t="s">
        <v>29</v>
      </c>
      <c r="B84" s="39"/>
      <c r="C84" s="39"/>
      <c r="D84" s="39"/>
      <c r="E84" s="39"/>
      <c r="F84" s="39"/>
      <c r="G84" s="2"/>
      <c r="H84" s="2"/>
      <c r="I84" s="2"/>
    </row>
    <row r="86" spans="1:10" x14ac:dyDescent="0.3">
      <c r="J86" s="2">
        <f>SUM(J6:J9,J12:J15,J18:J21,J24:J27,J30:J33,J36:J39,J42:J45,J48:J51,J54:J57,J60:J63,J67:J70,J73:J76)</f>
        <v>2114</v>
      </c>
    </row>
  </sheetData>
  <mergeCells count="3">
    <mergeCell ref="A81:F81"/>
    <mergeCell ref="A83:F83"/>
    <mergeCell ref="A84:F84"/>
  </mergeCells>
  <pageMargins left="0.25" right="0.25" top="0.75" bottom="0.75" header="0.3" footer="0.3"/>
  <pageSetup scale="54" fitToHeight="0" orientation="landscape" horizontalDpi="1200" verticalDpi="1200" r:id="rId1"/>
  <headerFooter>
    <oddHeader>&amp;L&amp;A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DBFC1-F35A-42DE-83D8-703687512A67}">
  <sheetPr>
    <pageSetUpPr fitToPage="1"/>
  </sheetPr>
  <dimension ref="A1:L88"/>
  <sheetViews>
    <sheetView view="pageLayout" topLeftCell="A53" zoomScale="80" zoomScaleNormal="80" zoomScalePageLayoutView="80" workbookViewId="0">
      <selection activeCell="B37" sqref="B37"/>
    </sheetView>
  </sheetViews>
  <sheetFormatPr defaultColWidth="39.109375" defaultRowHeight="14.4" x14ac:dyDescent="0.3"/>
  <cols>
    <col min="1" max="1" width="20.6640625" customWidth="1"/>
    <col min="2" max="12" width="20.6640625" style="2" customWidth="1"/>
  </cols>
  <sheetData>
    <row r="1" spans="1:12" x14ac:dyDescent="0.3">
      <c r="A1" s="17" t="s">
        <v>7</v>
      </c>
    </row>
    <row r="2" spans="1:12" x14ac:dyDescent="0.3">
      <c r="A2" s="17" t="s">
        <v>0</v>
      </c>
      <c r="E2" s="18"/>
    </row>
    <row r="3" spans="1:12" x14ac:dyDescent="0.3">
      <c r="A3" s="17" t="s">
        <v>20</v>
      </c>
    </row>
    <row r="4" spans="1:12" x14ac:dyDescent="0.3">
      <c r="A4" s="19">
        <v>44927</v>
      </c>
    </row>
    <row r="5" spans="1:12" ht="61.8" customHeight="1" x14ac:dyDescent="0.3">
      <c r="A5" s="20" t="s">
        <v>2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19</v>
      </c>
      <c r="G5" s="5" t="s">
        <v>18</v>
      </c>
      <c r="H5" s="5" t="s">
        <v>16</v>
      </c>
      <c r="I5" s="5" t="s">
        <v>17</v>
      </c>
      <c r="J5" s="21" t="s">
        <v>15</v>
      </c>
      <c r="K5" s="22" t="s">
        <v>13</v>
      </c>
      <c r="L5" s="21" t="s">
        <v>14</v>
      </c>
    </row>
    <row r="6" spans="1:12" x14ac:dyDescent="0.3">
      <c r="A6" s="23" t="s">
        <v>3</v>
      </c>
      <c r="B6" s="24">
        <v>0</v>
      </c>
      <c r="C6" s="24">
        <v>0</v>
      </c>
      <c r="D6" s="24">
        <v>1023092</v>
      </c>
      <c r="E6" s="24">
        <v>0</v>
      </c>
      <c r="F6" s="24">
        <v>0</v>
      </c>
      <c r="G6" s="24">
        <v>0</v>
      </c>
      <c r="H6" s="24">
        <v>30553</v>
      </c>
      <c r="I6" s="24">
        <v>0</v>
      </c>
      <c r="J6" s="24">
        <v>989</v>
      </c>
      <c r="K6" s="24">
        <v>856</v>
      </c>
      <c r="L6" s="24">
        <v>0</v>
      </c>
    </row>
    <row r="7" spans="1:12" x14ac:dyDescent="0.3">
      <c r="A7" s="23" t="s">
        <v>8</v>
      </c>
      <c r="B7" s="24">
        <v>0</v>
      </c>
      <c r="C7" s="24">
        <v>0</v>
      </c>
      <c r="D7" s="24">
        <v>0</v>
      </c>
      <c r="E7" s="24">
        <v>0</v>
      </c>
      <c r="F7" s="24">
        <v>0</v>
      </c>
      <c r="G7" s="24">
        <v>0</v>
      </c>
      <c r="H7" s="24">
        <v>0</v>
      </c>
      <c r="I7" s="24">
        <v>0</v>
      </c>
      <c r="J7" s="24">
        <v>0</v>
      </c>
      <c r="K7" s="24">
        <v>0</v>
      </c>
      <c r="L7" s="24">
        <v>0</v>
      </c>
    </row>
    <row r="8" spans="1:12" x14ac:dyDescent="0.3">
      <c r="A8" s="23" t="s">
        <v>4</v>
      </c>
      <c r="B8" s="24">
        <v>0</v>
      </c>
      <c r="C8" s="24">
        <v>0</v>
      </c>
      <c r="D8" s="24">
        <v>668242</v>
      </c>
      <c r="E8" s="24">
        <v>0</v>
      </c>
      <c r="F8" s="24">
        <v>0</v>
      </c>
      <c r="G8" s="24">
        <v>0</v>
      </c>
      <c r="H8" s="24">
        <v>32157.760000000002</v>
      </c>
      <c r="I8" s="24">
        <v>0</v>
      </c>
      <c r="J8" s="24">
        <v>62</v>
      </c>
      <c r="K8" s="24">
        <v>64</v>
      </c>
      <c r="L8" s="24">
        <v>0</v>
      </c>
    </row>
    <row r="9" spans="1:12" x14ac:dyDescent="0.3">
      <c r="A9" s="23" t="s">
        <v>5</v>
      </c>
      <c r="B9" s="24">
        <v>0</v>
      </c>
      <c r="C9" s="24">
        <v>0</v>
      </c>
      <c r="D9" s="24">
        <v>16910</v>
      </c>
      <c r="E9" s="24">
        <v>0</v>
      </c>
      <c r="F9" s="24">
        <v>0</v>
      </c>
      <c r="G9" s="24">
        <v>0</v>
      </c>
      <c r="H9" s="24">
        <v>0</v>
      </c>
      <c r="I9" s="24">
        <v>0</v>
      </c>
      <c r="J9" s="24">
        <v>0</v>
      </c>
      <c r="K9" s="24">
        <v>3</v>
      </c>
      <c r="L9" s="24">
        <v>0</v>
      </c>
    </row>
    <row r="10" spans="1:12" x14ac:dyDescent="0.3">
      <c r="A10" s="19">
        <v>44980</v>
      </c>
    </row>
    <row r="11" spans="1:12" ht="33" customHeight="1" x14ac:dyDescent="0.3">
      <c r="A11" s="20" t="s">
        <v>2</v>
      </c>
      <c r="B11" s="5" t="s">
        <v>9</v>
      </c>
      <c r="C11" s="5" t="s">
        <v>10</v>
      </c>
      <c r="D11" s="5" t="s">
        <v>11</v>
      </c>
      <c r="E11" s="5" t="s">
        <v>12</v>
      </c>
      <c r="F11" s="5" t="s">
        <v>19</v>
      </c>
      <c r="G11" s="5" t="s">
        <v>18</v>
      </c>
      <c r="H11" s="5" t="s">
        <v>16</v>
      </c>
      <c r="I11" s="5" t="s">
        <v>17</v>
      </c>
      <c r="J11" s="21" t="s">
        <v>15</v>
      </c>
      <c r="K11" s="22" t="s">
        <v>13</v>
      </c>
      <c r="L11" s="21" t="s">
        <v>14</v>
      </c>
    </row>
    <row r="12" spans="1:12" x14ac:dyDescent="0.3">
      <c r="A12" s="23" t="s">
        <v>3</v>
      </c>
      <c r="B12" s="24">
        <v>0</v>
      </c>
      <c r="C12" s="24">
        <v>0</v>
      </c>
      <c r="D12" s="24">
        <v>730193</v>
      </c>
      <c r="E12" s="24">
        <v>0</v>
      </c>
      <c r="F12" s="24">
        <v>0</v>
      </c>
      <c r="G12" s="24">
        <v>0</v>
      </c>
      <c r="H12" s="24">
        <v>44222.300000000017</v>
      </c>
      <c r="I12" s="24">
        <v>0</v>
      </c>
      <c r="J12" s="24">
        <v>936</v>
      </c>
      <c r="K12" s="24">
        <v>685</v>
      </c>
      <c r="L12" s="24">
        <v>0</v>
      </c>
    </row>
    <row r="13" spans="1:12" x14ac:dyDescent="0.3">
      <c r="A13" s="23" t="s">
        <v>8</v>
      </c>
      <c r="B13" s="24">
        <v>0</v>
      </c>
      <c r="C13" s="24">
        <v>0</v>
      </c>
      <c r="D13" s="24">
        <v>952701</v>
      </c>
      <c r="E13" s="24">
        <v>0</v>
      </c>
      <c r="F13" s="24">
        <v>0</v>
      </c>
      <c r="G13" s="24">
        <v>0</v>
      </c>
      <c r="H13" s="24">
        <v>0</v>
      </c>
      <c r="I13" s="24">
        <v>0</v>
      </c>
      <c r="J13" s="24">
        <v>0</v>
      </c>
      <c r="K13" s="24">
        <v>1</v>
      </c>
      <c r="L13" s="24">
        <v>0</v>
      </c>
    </row>
    <row r="14" spans="1:12" x14ac:dyDescent="0.3">
      <c r="A14" s="23" t="s">
        <v>4</v>
      </c>
      <c r="B14" s="24">
        <v>0</v>
      </c>
      <c r="C14" s="24">
        <v>0</v>
      </c>
      <c r="D14" s="24">
        <v>1116305.2</v>
      </c>
      <c r="E14" s="24">
        <v>0</v>
      </c>
      <c r="F14" s="24">
        <v>0</v>
      </c>
      <c r="G14" s="24">
        <v>0</v>
      </c>
      <c r="H14" s="24">
        <v>8146.16</v>
      </c>
      <c r="I14" s="24">
        <v>0</v>
      </c>
      <c r="J14" s="24">
        <v>47</v>
      </c>
      <c r="K14" s="24">
        <v>37</v>
      </c>
      <c r="L14" s="24">
        <v>0</v>
      </c>
    </row>
    <row r="15" spans="1:12" x14ac:dyDescent="0.3">
      <c r="A15" s="23" t="s">
        <v>5</v>
      </c>
      <c r="B15" s="24">
        <v>0</v>
      </c>
      <c r="C15" s="24">
        <v>0</v>
      </c>
      <c r="D15" s="24">
        <v>0</v>
      </c>
      <c r="E15" s="24">
        <v>0</v>
      </c>
      <c r="F15" s="24">
        <v>0</v>
      </c>
      <c r="G15" s="24">
        <v>0</v>
      </c>
      <c r="H15" s="24">
        <v>0</v>
      </c>
      <c r="I15" s="24">
        <v>0</v>
      </c>
      <c r="J15" s="24">
        <v>3</v>
      </c>
      <c r="K15" s="24">
        <v>0</v>
      </c>
      <c r="L15" s="24">
        <v>0</v>
      </c>
    </row>
    <row r="16" spans="1:12" x14ac:dyDescent="0.3">
      <c r="A16" s="19">
        <v>44986</v>
      </c>
    </row>
    <row r="17" spans="1:12" ht="33" customHeight="1" x14ac:dyDescent="0.3">
      <c r="A17" s="20" t="s">
        <v>2</v>
      </c>
      <c r="B17" s="5" t="s">
        <v>9</v>
      </c>
      <c r="C17" s="5" t="s">
        <v>10</v>
      </c>
      <c r="D17" s="5" t="s">
        <v>11</v>
      </c>
      <c r="E17" s="5" t="s">
        <v>12</v>
      </c>
      <c r="F17" s="5" t="s">
        <v>19</v>
      </c>
      <c r="G17" s="5" t="s">
        <v>18</v>
      </c>
      <c r="H17" s="5" t="s">
        <v>16</v>
      </c>
      <c r="I17" s="5" t="s">
        <v>17</v>
      </c>
      <c r="J17" s="21" t="s">
        <v>15</v>
      </c>
      <c r="K17" s="22" t="s">
        <v>13</v>
      </c>
      <c r="L17" s="21" t="s">
        <v>14</v>
      </c>
    </row>
    <row r="18" spans="1:12" x14ac:dyDescent="0.3">
      <c r="A18" s="23" t="s">
        <v>3</v>
      </c>
      <c r="B18" s="24">
        <v>0</v>
      </c>
      <c r="C18" s="24">
        <v>0</v>
      </c>
      <c r="D18" s="24">
        <v>783458.99</v>
      </c>
      <c r="E18" s="24">
        <v>0</v>
      </c>
      <c r="F18" s="24">
        <v>0</v>
      </c>
      <c r="G18" s="24">
        <v>0</v>
      </c>
      <c r="H18" s="24">
        <v>26391.460000000003</v>
      </c>
      <c r="I18" s="24">
        <v>0</v>
      </c>
      <c r="J18" s="24">
        <v>1295</v>
      </c>
      <c r="K18" s="24">
        <v>668</v>
      </c>
      <c r="L18" s="24">
        <v>0</v>
      </c>
    </row>
    <row r="19" spans="1:12" x14ac:dyDescent="0.3">
      <c r="A19" s="23" t="s">
        <v>8</v>
      </c>
      <c r="B19" s="24">
        <v>0</v>
      </c>
      <c r="C19" s="24">
        <v>0</v>
      </c>
      <c r="D19" s="24">
        <v>880616</v>
      </c>
      <c r="E19" s="24">
        <v>0</v>
      </c>
      <c r="F19" s="24">
        <v>0</v>
      </c>
      <c r="G19" s="24">
        <v>0</v>
      </c>
      <c r="H19" s="24">
        <v>0</v>
      </c>
      <c r="I19" s="24">
        <v>0</v>
      </c>
      <c r="J19" s="24">
        <v>0</v>
      </c>
      <c r="K19" s="24">
        <v>1</v>
      </c>
      <c r="L19" s="24">
        <v>0</v>
      </c>
    </row>
    <row r="20" spans="1:12" x14ac:dyDescent="0.3">
      <c r="A20" s="23" t="s">
        <v>4</v>
      </c>
      <c r="B20" s="24">
        <v>0</v>
      </c>
      <c r="C20" s="24">
        <v>0</v>
      </c>
      <c r="D20" s="24">
        <v>118692</v>
      </c>
      <c r="E20" s="24">
        <v>0</v>
      </c>
      <c r="F20" s="24">
        <v>0</v>
      </c>
      <c r="G20" s="24">
        <v>0</v>
      </c>
      <c r="H20" s="24">
        <v>12104.449999999999</v>
      </c>
      <c r="I20" s="24">
        <v>0</v>
      </c>
      <c r="J20" s="24">
        <v>63</v>
      </c>
      <c r="K20" s="24">
        <v>30</v>
      </c>
      <c r="L20" s="24">
        <v>0</v>
      </c>
    </row>
    <row r="21" spans="1:12" x14ac:dyDescent="0.3">
      <c r="A21" s="23" t="s">
        <v>5</v>
      </c>
      <c r="B21" s="24">
        <v>0</v>
      </c>
      <c r="C21" s="24">
        <v>0</v>
      </c>
      <c r="D21" s="24">
        <v>0</v>
      </c>
      <c r="E21" s="24">
        <v>0</v>
      </c>
      <c r="F21" s="24">
        <v>0</v>
      </c>
      <c r="G21" s="24">
        <v>0</v>
      </c>
      <c r="H21" s="24">
        <v>0</v>
      </c>
      <c r="I21" s="24">
        <v>0</v>
      </c>
      <c r="J21" s="24">
        <v>1</v>
      </c>
      <c r="K21" s="24">
        <v>0</v>
      </c>
      <c r="L21" s="24">
        <v>0</v>
      </c>
    </row>
    <row r="22" spans="1:12" x14ac:dyDescent="0.3">
      <c r="A22" s="19">
        <v>45017</v>
      </c>
      <c r="D22" s="25"/>
    </row>
    <row r="23" spans="1:12" ht="33" customHeight="1" x14ac:dyDescent="0.3">
      <c r="A23" s="20" t="s">
        <v>2</v>
      </c>
      <c r="B23" s="5" t="s">
        <v>9</v>
      </c>
      <c r="C23" s="5" t="s">
        <v>10</v>
      </c>
      <c r="D23" s="5" t="s">
        <v>11</v>
      </c>
      <c r="E23" s="5" t="s">
        <v>12</v>
      </c>
      <c r="F23" s="5" t="s">
        <v>19</v>
      </c>
      <c r="G23" s="5" t="s">
        <v>18</v>
      </c>
      <c r="H23" s="5" t="s">
        <v>16</v>
      </c>
      <c r="I23" s="5" t="s">
        <v>17</v>
      </c>
      <c r="J23" s="21" t="s">
        <v>15</v>
      </c>
      <c r="K23" s="22" t="s">
        <v>13</v>
      </c>
      <c r="L23" s="21" t="s">
        <v>14</v>
      </c>
    </row>
    <row r="24" spans="1:12" x14ac:dyDescent="0.3">
      <c r="A24" s="23" t="s">
        <v>3</v>
      </c>
      <c r="B24" s="24">
        <v>0</v>
      </c>
      <c r="C24" s="24">
        <v>0</v>
      </c>
      <c r="D24" s="24">
        <v>725837</v>
      </c>
      <c r="E24" s="24">
        <v>0</v>
      </c>
      <c r="F24" s="24">
        <v>0</v>
      </c>
      <c r="G24" s="24">
        <v>0</v>
      </c>
      <c r="H24" s="24">
        <v>20767.98</v>
      </c>
      <c r="I24" s="24">
        <v>0</v>
      </c>
      <c r="J24" s="2">
        <v>933</v>
      </c>
      <c r="K24" s="24">
        <v>580</v>
      </c>
      <c r="L24" s="24">
        <v>0</v>
      </c>
    </row>
    <row r="25" spans="1:12" x14ac:dyDescent="0.3">
      <c r="A25" s="23" t="s">
        <v>8</v>
      </c>
      <c r="B25" s="24">
        <v>0</v>
      </c>
      <c r="C25" s="24">
        <v>0</v>
      </c>
      <c r="D25" s="24">
        <v>0</v>
      </c>
      <c r="E25" s="24">
        <v>0</v>
      </c>
      <c r="F25" s="24">
        <v>0</v>
      </c>
      <c r="G25" s="24">
        <v>0</v>
      </c>
      <c r="H25" s="24">
        <v>0</v>
      </c>
      <c r="I25" s="24">
        <v>0</v>
      </c>
      <c r="J25" s="24">
        <v>0</v>
      </c>
      <c r="K25" s="24">
        <v>0</v>
      </c>
      <c r="L25" s="24">
        <v>0</v>
      </c>
    </row>
    <row r="26" spans="1:12" x14ac:dyDescent="0.3">
      <c r="A26" s="23" t="s">
        <v>4</v>
      </c>
      <c r="B26" s="24">
        <v>0</v>
      </c>
      <c r="C26" s="24">
        <v>0</v>
      </c>
      <c r="D26" s="24">
        <v>1182431</v>
      </c>
      <c r="E26" s="24">
        <v>0</v>
      </c>
      <c r="F26" s="24">
        <v>0</v>
      </c>
      <c r="G26" s="24">
        <v>0</v>
      </c>
      <c r="H26" s="24">
        <v>38458.11</v>
      </c>
      <c r="I26" s="24">
        <v>0</v>
      </c>
      <c r="J26" s="2">
        <v>54</v>
      </c>
      <c r="K26" s="24">
        <v>25</v>
      </c>
      <c r="L26" s="24">
        <v>0</v>
      </c>
    </row>
    <row r="27" spans="1:12" x14ac:dyDescent="0.3">
      <c r="A27" s="23" t="s">
        <v>5</v>
      </c>
      <c r="B27" s="24">
        <v>0</v>
      </c>
      <c r="C27" s="24">
        <v>0</v>
      </c>
      <c r="D27" s="24">
        <v>1184</v>
      </c>
      <c r="E27" s="24">
        <v>0</v>
      </c>
      <c r="F27" s="24">
        <v>0</v>
      </c>
      <c r="G27" s="24">
        <v>0</v>
      </c>
      <c r="H27" s="24">
        <v>0</v>
      </c>
      <c r="I27" s="24">
        <v>0</v>
      </c>
      <c r="J27" s="24">
        <v>0</v>
      </c>
      <c r="K27" s="24">
        <v>1</v>
      </c>
      <c r="L27" s="24">
        <v>0</v>
      </c>
    </row>
    <row r="28" spans="1:12" x14ac:dyDescent="0.3">
      <c r="A28" s="19">
        <v>45047</v>
      </c>
    </row>
    <row r="29" spans="1:12" ht="33" customHeight="1" x14ac:dyDescent="0.3">
      <c r="A29" s="20" t="s">
        <v>2</v>
      </c>
      <c r="B29" s="5" t="s">
        <v>9</v>
      </c>
      <c r="C29" s="5" t="s">
        <v>10</v>
      </c>
      <c r="D29" s="5" t="s">
        <v>11</v>
      </c>
      <c r="E29" s="5" t="s">
        <v>12</v>
      </c>
      <c r="F29" s="5" t="s">
        <v>19</v>
      </c>
      <c r="G29" s="5" t="s">
        <v>18</v>
      </c>
      <c r="H29" s="5" t="s">
        <v>16</v>
      </c>
      <c r="I29" s="5" t="s">
        <v>17</v>
      </c>
      <c r="J29" s="21" t="s">
        <v>15</v>
      </c>
      <c r="K29" s="22" t="s">
        <v>13</v>
      </c>
      <c r="L29" s="21" t="s">
        <v>14</v>
      </c>
    </row>
    <row r="30" spans="1:12" x14ac:dyDescent="0.3">
      <c r="A30" s="23" t="s">
        <v>3</v>
      </c>
      <c r="B30" s="24">
        <v>0</v>
      </c>
      <c r="C30" s="24">
        <v>0</v>
      </c>
      <c r="D30" s="24">
        <v>678612</v>
      </c>
      <c r="E30" s="24">
        <v>0</v>
      </c>
      <c r="F30" s="24">
        <v>0</v>
      </c>
      <c r="G30" s="24">
        <v>0</v>
      </c>
      <c r="H30" s="24">
        <v>21967.71</v>
      </c>
      <c r="I30" s="24">
        <v>0</v>
      </c>
      <c r="J30" s="24">
        <v>946</v>
      </c>
      <c r="K30" s="24">
        <v>503</v>
      </c>
      <c r="L30" s="24">
        <v>0</v>
      </c>
    </row>
    <row r="31" spans="1:12" x14ac:dyDescent="0.3">
      <c r="A31" s="23" t="s">
        <v>8</v>
      </c>
      <c r="B31" s="24">
        <v>0</v>
      </c>
      <c r="C31" s="24">
        <v>0</v>
      </c>
      <c r="D31" s="24">
        <v>0</v>
      </c>
      <c r="E31" s="24">
        <v>0</v>
      </c>
      <c r="F31" s="24">
        <v>0</v>
      </c>
      <c r="G31" s="24">
        <v>0</v>
      </c>
      <c r="H31" s="24">
        <v>0</v>
      </c>
      <c r="I31" s="24">
        <v>0</v>
      </c>
      <c r="J31" s="24">
        <v>0</v>
      </c>
      <c r="K31" s="24">
        <v>0</v>
      </c>
      <c r="L31" s="24">
        <v>0</v>
      </c>
    </row>
    <row r="32" spans="1:12" x14ac:dyDescent="0.3">
      <c r="A32" s="23" t="s">
        <v>4</v>
      </c>
      <c r="B32" s="24">
        <v>22098.93</v>
      </c>
      <c r="C32" s="24">
        <v>0</v>
      </c>
      <c r="D32" s="24">
        <v>602872</v>
      </c>
      <c r="E32" s="24">
        <v>0</v>
      </c>
      <c r="F32" s="24">
        <v>0</v>
      </c>
      <c r="G32" s="24">
        <v>0</v>
      </c>
      <c r="H32" s="24">
        <v>15345</v>
      </c>
      <c r="I32" s="24">
        <v>0</v>
      </c>
      <c r="J32" s="24">
        <v>78</v>
      </c>
      <c r="K32" s="24">
        <v>30</v>
      </c>
      <c r="L32" s="24">
        <v>0</v>
      </c>
    </row>
    <row r="33" spans="1:12" x14ac:dyDescent="0.3">
      <c r="A33" s="23" t="s">
        <v>5</v>
      </c>
      <c r="B33" s="24">
        <v>0</v>
      </c>
      <c r="C33" s="24">
        <v>0</v>
      </c>
      <c r="D33" s="24">
        <v>0</v>
      </c>
      <c r="E33" s="24">
        <v>0</v>
      </c>
      <c r="F33" s="24">
        <v>0</v>
      </c>
      <c r="G33" s="24">
        <v>0</v>
      </c>
      <c r="H33" s="24">
        <v>0</v>
      </c>
      <c r="I33" s="24">
        <v>0</v>
      </c>
      <c r="J33" s="24">
        <v>1</v>
      </c>
      <c r="K33" s="24">
        <v>0</v>
      </c>
      <c r="L33" s="24">
        <v>0</v>
      </c>
    </row>
    <row r="34" spans="1:12" x14ac:dyDescent="0.3">
      <c r="A34" s="19">
        <v>45078</v>
      </c>
    </row>
    <row r="35" spans="1:12" ht="33" customHeight="1" x14ac:dyDescent="0.3">
      <c r="A35" s="20" t="s">
        <v>2</v>
      </c>
      <c r="B35" s="5" t="s">
        <v>9</v>
      </c>
      <c r="C35" s="5" t="s">
        <v>10</v>
      </c>
      <c r="D35" s="5" t="s">
        <v>11</v>
      </c>
      <c r="E35" s="5" t="s">
        <v>12</v>
      </c>
      <c r="F35" s="5" t="s">
        <v>19</v>
      </c>
      <c r="G35" s="5" t="s">
        <v>18</v>
      </c>
      <c r="H35" s="5" t="s">
        <v>16</v>
      </c>
      <c r="I35" s="5" t="s">
        <v>17</v>
      </c>
      <c r="J35" s="21" t="s">
        <v>15</v>
      </c>
      <c r="K35" s="22" t="s">
        <v>13</v>
      </c>
      <c r="L35" s="21" t="s">
        <v>14</v>
      </c>
    </row>
    <row r="36" spans="1:12" x14ac:dyDescent="0.3">
      <c r="A36" s="23" t="s">
        <v>3</v>
      </c>
      <c r="B36" s="24">
        <v>0</v>
      </c>
      <c r="C36" s="24">
        <v>0</v>
      </c>
      <c r="D36" s="24">
        <v>1933514</v>
      </c>
      <c r="E36" s="24">
        <v>0</v>
      </c>
      <c r="F36" s="24">
        <v>0</v>
      </c>
      <c r="G36" s="24">
        <v>0</v>
      </c>
      <c r="H36" s="24">
        <v>121984.56999999999</v>
      </c>
      <c r="I36" s="24">
        <v>0</v>
      </c>
      <c r="J36" s="24">
        <v>1233</v>
      </c>
      <c r="K36" s="24">
        <v>1507</v>
      </c>
      <c r="L36" s="24">
        <v>0</v>
      </c>
    </row>
    <row r="37" spans="1:12" x14ac:dyDescent="0.3">
      <c r="A37" s="23" t="s">
        <v>8</v>
      </c>
      <c r="B37" s="24">
        <v>0</v>
      </c>
      <c r="C37" s="24">
        <v>0</v>
      </c>
      <c r="D37" s="24">
        <v>0</v>
      </c>
      <c r="E37" s="24">
        <v>0</v>
      </c>
      <c r="F37" s="24">
        <v>0</v>
      </c>
      <c r="G37" s="24">
        <v>0</v>
      </c>
      <c r="H37" s="24">
        <v>0</v>
      </c>
      <c r="I37" s="24">
        <v>0</v>
      </c>
      <c r="J37" s="24">
        <v>1</v>
      </c>
      <c r="K37" s="24">
        <v>0</v>
      </c>
      <c r="L37" s="24">
        <v>0</v>
      </c>
    </row>
    <row r="38" spans="1:12" x14ac:dyDescent="0.3">
      <c r="A38" s="23" t="s">
        <v>4</v>
      </c>
      <c r="B38" s="24">
        <v>0</v>
      </c>
      <c r="C38" s="24">
        <v>0</v>
      </c>
      <c r="D38" s="24">
        <v>1039070</v>
      </c>
      <c r="E38" s="24">
        <v>0</v>
      </c>
      <c r="F38" s="24">
        <v>0</v>
      </c>
      <c r="G38" s="24">
        <v>0</v>
      </c>
      <c r="H38" s="24">
        <v>18061.37</v>
      </c>
      <c r="I38" s="24">
        <v>0</v>
      </c>
      <c r="J38" s="24">
        <v>61</v>
      </c>
      <c r="K38" s="24">
        <v>78</v>
      </c>
      <c r="L38" s="24">
        <v>0</v>
      </c>
    </row>
    <row r="39" spans="1:12" x14ac:dyDescent="0.3">
      <c r="A39" s="23" t="s">
        <v>5</v>
      </c>
      <c r="B39" s="24">
        <v>0</v>
      </c>
      <c r="C39" s="24">
        <v>0</v>
      </c>
      <c r="D39" s="24">
        <v>3416</v>
      </c>
      <c r="E39" s="24">
        <v>0</v>
      </c>
      <c r="F39" s="24">
        <v>0</v>
      </c>
      <c r="G39" s="24">
        <v>0</v>
      </c>
      <c r="H39" s="24">
        <v>0</v>
      </c>
      <c r="I39" s="24">
        <v>0</v>
      </c>
      <c r="J39" s="24">
        <v>0</v>
      </c>
      <c r="K39" s="24">
        <v>3</v>
      </c>
      <c r="L39" s="24">
        <v>0</v>
      </c>
    </row>
    <row r="40" spans="1:12" x14ac:dyDescent="0.3">
      <c r="A40" s="19">
        <v>45108</v>
      </c>
    </row>
    <row r="41" spans="1:12" ht="33" customHeight="1" x14ac:dyDescent="0.3">
      <c r="A41" s="20" t="s">
        <v>2</v>
      </c>
      <c r="B41" s="5" t="s">
        <v>9</v>
      </c>
      <c r="C41" s="5" t="s">
        <v>10</v>
      </c>
      <c r="D41" s="5" t="s">
        <v>11</v>
      </c>
      <c r="E41" s="5" t="s">
        <v>12</v>
      </c>
      <c r="F41" s="5" t="s">
        <v>19</v>
      </c>
      <c r="G41" s="5" t="s">
        <v>18</v>
      </c>
      <c r="H41" s="5" t="s">
        <v>16</v>
      </c>
      <c r="I41" s="5" t="s">
        <v>17</v>
      </c>
      <c r="J41" s="21" t="s">
        <v>15</v>
      </c>
      <c r="K41" s="22" t="s">
        <v>13</v>
      </c>
      <c r="L41" s="21" t="s">
        <v>14</v>
      </c>
    </row>
    <row r="42" spans="1:12" x14ac:dyDescent="0.3">
      <c r="A42" s="23" t="s">
        <v>3</v>
      </c>
      <c r="B42" s="24">
        <v>0</v>
      </c>
      <c r="C42" s="24">
        <v>0</v>
      </c>
      <c r="D42" s="24">
        <v>1785523</v>
      </c>
      <c r="E42" s="24">
        <v>0</v>
      </c>
      <c r="F42" s="24">
        <v>0</v>
      </c>
      <c r="G42" s="24">
        <v>0</v>
      </c>
      <c r="H42" s="24">
        <v>105200.06000000001</v>
      </c>
      <c r="I42" s="24">
        <v>0</v>
      </c>
      <c r="J42" s="24">
        <v>1115</v>
      </c>
      <c r="K42" s="24">
        <v>847</v>
      </c>
      <c r="L42" s="24">
        <v>0</v>
      </c>
    </row>
    <row r="43" spans="1:12" x14ac:dyDescent="0.3">
      <c r="A43" s="23" t="s">
        <v>8</v>
      </c>
      <c r="B43" s="24">
        <v>0</v>
      </c>
      <c r="C43" s="24">
        <v>0</v>
      </c>
      <c r="D43" s="24">
        <v>0</v>
      </c>
      <c r="E43" s="24">
        <v>0</v>
      </c>
      <c r="F43" s="24">
        <v>0</v>
      </c>
      <c r="G43" s="24">
        <v>0</v>
      </c>
      <c r="H43" s="24">
        <v>0</v>
      </c>
      <c r="I43" s="24">
        <v>0</v>
      </c>
      <c r="J43" s="24">
        <v>0</v>
      </c>
      <c r="K43" s="24">
        <v>0</v>
      </c>
      <c r="L43" s="24">
        <v>0</v>
      </c>
    </row>
    <row r="44" spans="1:12" x14ac:dyDescent="0.3">
      <c r="A44" s="23" t="s">
        <v>4</v>
      </c>
      <c r="B44" s="24">
        <v>0</v>
      </c>
      <c r="C44" s="24">
        <v>0</v>
      </c>
      <c r="D44" s="24">
        <v>1218382.8399999999</v>
      </c>
      <c r="E44" s="24">
        <v>0</v>
      </c>
      <c r="F44" s="24">
        <v>0</v>
      </c>
      <c r="G44" s="24">
        <v>0</v>
      </c>
      <c r="H44" s="24">
        <v>36310.29</v>
      </c>
      <c r="I44" s="24">
        <v>0</v>
      </c>
      <c r="J44" s="24">
        <v>58</v>
      </c>
      <c r="K44" s="24">
        <v>43</v>
      </c>
      <c r="L44" s="24">
        <v>0</v>
      </c>
    </row>
    <row r="45" spans="1:12" x14ac:dyDescent="0.3">
      <c r="A45" s="23" t="s">
        <v>5</v>
      </c>
      <c r="B45" s="24">
        <v>0</v>
      </c>
      <c r="C45" s="24">
        <v>0</v>
      </c>
      <c r="D45" s="24">
        <v>17212</v>
      </c>
      <c r="E45" s="24">
        <v>0</v>
      </c>
      <c r="F45" s="24">
        <v>0</v>
      </c>
      <c r="G45" s="24">
        <v>0</v>
      </c>
      <c r="H45" s="24">
        <v>0</v>
      </c>
      <c r="I45" s="24">
        <v>0</v>
      </c>
      <c r="J45" s="24">
        <v>0</v>
      </c>
      <c r="K45" s="24">
        <v>1</v>
      </c>
      <c r="L45" s="24">
        <v>0</v>
      </c>
    </row>
    <row r="46" spans="1:12" x14ac:dyDescent="0.3">
      <c r="A46" s="19">
        <v>45139</v>
      </c>
    </row>
    <row r="47" spans="1:12" ht="33" customHeight="1" x14ac:dyDescent="0.3">
      <c r="A47" s="20" t="s">
        <v>2</v>
      </c>
      <c r="B47" s="5" t="s">
        <v>9</v>
      </c>
      <c r="C47" s="5" t="s">
        <v>10</v>
      </c>
      <c r="D47" s="5" t="s">
        <v>11</v>
      </c>
      <c r="E47" s="5" t="s">
        <v>12</v>
      </c>
      <c r="F47" s="5" t="s">
        <v>19</v>
      </c>
      <c r="G47" s="5" t="s">
        <v>18</v>
      </c>
      <c r="H47" s="5" t="s">
        <v>16</v>
      </c>
      <c r="I47" s="5" t="s">
        <v>17</v>
      </c>
      <c r="J47" s="21" t="s">
        <v>15</v>
      </c>
      <c r="K47" s="22" t="s">
        <v>13</v>
      </c>
      <c r="L47" s="21" t="s">
        <v>14</v>
      </c>
    </row>
    <row r="48" spans="1:12" x14ac:dyDescent="0.3">
      <c r="A48" s="23" t="s">
        <v>3</v>
      </c>
      <c r="B48" s="24">
        <v>0</v>
      </c>
      <c r="C48" s="24">
        <v>0</v>
      </c>
      <c r="D48" s="24">
        <v>1747187.26</v>
      </c>
      <c r="E48" s="24">
        <v>0</v>
      </c>
      <c r="F48" s="24">
        <v>0</v>
      </c>
      <c r="G48" s="24">
        <v>0</v>
      </c>
      <c r="H48" s="24">
        <v>73939.100000000006</v>
      </c>
      <c r="I48" s="24">
        <v>0</v>
      </c>
      <c r="J48" s="2">
        <v>1332</v>
      </c>
      <c r="K48" s="24">
        <v>1309</v>
      </c>
      <c r="L48" s="24">
        <v>0</v>
      </c>
    </row>
    <row r="49" spans="1:12" x14ac:dyDescent="0.3">
      <c r="A49" s="23" t="s">
        <v>8</v>
      </c>
      <c r="B49" s="24">
        <v>0</v>
      </c>
      <c r="C49" s="24">
        <v>0</v>
      </c>
      <c r="D49" s="24">
        <v>0</v>
      </c>
      <c r="E49" s="24">
        <v>0</v>
      </c>
      <c r="F49" s="24">
        <v>0</v>
      </c>
      <c r="G49" s="24">
        <v>0</v>
      </c>
      <c r="H49" s="24">
        <v>0</v>
      </c>
      <c r="I49" s="24">
        <v>0</v>
      </c>
      <c r="J49" s="24">
        <v>0</v>
      </c>
      <c r="K49" s="24">
        <v>0</v>
      </c>
      <c r="L49" s="24">
        <v>0</v>
      </c>
    </row>
    <row r="50" spans="1:12" x14ac:dyDescent="0.3">
      <c r="A50" s="23" t="s">
        <v>4</v>
      </c>
      <c r="B50" s="24">
        <v>0</v>
      </c>
      <c r="C50" s="24">
        <v>0</v>
      </c>
      <c r="D50" s="24">
        <v>1796712</v>
      </c>
      <c r="E50" s="24">
        <v>0</v>
      </c>
      <c r="F50" s="24">
        <v>0</v>
      </c>
      <c r="G50" s="24">
        <v>0</v>
      </c>
      <c r="H50" s="24">
        <v>37435.94000000001</v>
      </c>
      <c r="I50" s="24">
        <v>0</v>
      </c>
      <c r="J50" s="2">
        <v>77</v>
      </c>
      <c r="K50" s="24">
        <v>96</v>
      </c>
      <c r="L50" s="24">
        <v>0</v>
      </c>
    </row>
    <row r="51" spans="1:12" x14ac:dyDescent="0.3">
      <c r="A51" s="23" t="s">
        <v>5</v>
      </c>
      <c r="B51" s="24">
        <v>0</v>
      </c>
      <c r="C51" s="24">
        <v>0</v>
      </c>
      <c r="D51" s="24">
        <v>29254</v>
      </c>
      <c r="E51" s="24">
        <v>0</v>
      </c>
      <c r="F51" s="24">
        <v>0</v>
      </c>
      <c r="G51" s="24">
        <v>0</v>
      </c>
      <c r="H51" s="24">
        <v>0</v>
      </c>
      <c r="I51" s="24">
        <v>0</v>
      </c>
      <c r="J51" s="24">
        <v>0</v>
      </c>
      <c r="K51" s="24">
        <v>1</v>
      </c>
      <c r="L51" s="24">
        <v>0</v>
      </c>
    </row>
    <row r="52" spans="1:12" x14ac:dyDescent="0.3">
      <c r="A52" s="19">
        <v>45170</v>
      </c>
    </row>
    <row r="53" spans="1:12" ht="33" customHeight="1" x14ac:dyDescent="0.3">
      <c r="A53" s="20" t="s">
        <v>2</v>
      </c>
      <c r="B53" s="5" t="s">
        <v>9</v>
      </c>
      <c r="C53" s="5" t="s">
        <v>10</v>
      </c>
      <c r="D53" s="5" t="s">
        <v>11</v>
      </c>
      <c r="E53" s="5" t="s">
        <v>12</v>
      </c>
      <c r="F53" s="5" t="s">
        <v>19</v>
      </c>
      <c r="G53" s="5" t="s">
        <v>18</v>
      </c>
      <c r="H53" s="5" t="s">
        <v>16</v>
      </c>
      <c r="I53" s="5" t="s">
        <v>17</v>
      </c>
      <c r="J53" s="21" t="s">
        <v>15</v>
      </c>
      <c r="K53" s="22" t="s">
        <v>13</v>
      </c>
      <c r="L53" s="21" t="s">
        <v>14</v>
      </c>
    </row>
    <row r="54" spans="1:12" x14ac:dyDescent="0.3">
      <c r="A54" s="23" t="s">
        <v>3</v>
      </c>
      <c r="B54" s="24">
        <v>0</v>
      </c>
      <c r="C54" s="24">
        <v>0</v>
      </c>
      <c r="D54" s="24">
        <v>1051063.78</v>
      </c>
      <c r="E54" s="24">
        <v>0</v>
      </c>
      <c r="F54" s="24">
        <v>0</v>
      </c>
      <c r="G54" s="24">
        <v>0</v>
      </c>
      <c r="H54" s="24">
        <v>70638.09</v>
      </c>
      <c r="I54" s="24">
        <v>0</v>
      </c>
      <c r="J54" s="24">
        <v>1103</v>
      </c>
      <c r="K54" s="24">
        <v>805</v>
      </c>
      <c r="L54" s="24">
        <v>0</v>
      </c>
    </row>
    <row r="55" spans="1:12" x14ac:dyDescent="0.3">
      <c r="A55" s="23" t="s">
        <v>8</v>
      </c>
      <c r="B55" s="24">
        <v>0</v>
      </c>
      <c r="C55" s="24">
        <v>0</v>
      </c>
      <c r="D55" s="24">
        <v>0</v>
      </c>
      <c r="E55" s="24">
        <v>0</v>
      </c>
      <c r="F55" s="24">
        <v>0</v>
      </c>
      <c r="G55" s="24">
        <v>0</v>
      </c>
      <c r="H55" s="24">
        <v>0</v>
      </c>
      <c r="I55" s="24">
        <v>0</v>
      </c>
      <c r="J55" s="24">
        <v>0</v>
      </c>
      <c r="K55" s="24">
        <v>0</v>
      </c>
      <c r="L55" s="24">
        <v>0</v>
      </c>
    </row>
    <row r="56" spans="1:12" x14ac:dyDescent="0.3">
      <c r="A56" s="23" t="s">
        <v>4</v>
      </c>
      <c r="B56" s="24">
        <v>0</v>
      </c>
      <c r="C56" s="24">
        <v>0</v>
      </c>
      <c r="D56" s="24">
        <v>609277</v>
      </c>
      <c r="E56" s="24">
        <v>0</v>
      </c>
      <c r="F56" s="24">
        <v>0</v>
      </c>
      <c r="G56" s="24">
        <v>0</v>
      </c>
      <c r="H56" s="24">
        <v>25391.18</v>
      </c>
      <c r="I56" s="24">
        <v>0</v>
      </c>
      <c r="J56" s="24">
        <v>81</v>
      </c>
      <c r="K56" s="24">
        <v>59</v>
      </c>
      <c r="L56" s="24">
        <v>0</v>
      </c>
    </row>
    <row r="57" spans="1:12" x14ac:dyDescent="0.3">
      <c r="A57" s="23" t="s">
        <v>5</v>
      </c>
      <c r="B57" s="24">
        <v>0</v>
      </c>
      <c r="C57" s="24">
        <v>0</v>
      </c>
      <c r="D57" s="24">
        <v>2556</v>
      </c>
      <c r="E57" s="24">
        <v>0</v>
      </c>
      <c r="F57" s="24">
        <v>0</v>
      </c>
      <c r="G57" s="24">
        <v>0</v>
      </c>
      <c r="H57" s="24">
        <v>977.29</v>
      </c>
      <c r="I57" s="24">
        <v>0</v>
      </c>
      <c r="J57" s="24">
        <v>0</v>
      </c>
      <c r="K57" s="24">
        <v>1</v>
      </c>
      <c r="L57" s="24">
        <v>0</v>
      </c>
    </row>
    <row r="58" spans="1:12" x14ac:dyDescent="0.3">
      <c r="A58" s="19">
        <v>45200</v>
      </c>
    </row>
    <row r="59" spans="1:12" ht="33" customHeight="1" x14ac:dyDescent="0.3">
      <c r="A59" s="20" t="s">
        <v>2</v>
      </c>
      <c r="B59" s="5" t="s">
        <v>9</v>
      </c>
      <c r="C59" s="5" t="s">
        <v>10</v>
      </c>
      <c r="D59" s="5" t="s">
        <v>11</v>
      </c>
      <c r="E59" s="5" t="s">
        <v>12</v>
      </c>
      <c r="F59" s="5" t="s">
        <v>19</v>
      </c>
      <c r="G59" s="5" t="s">
        <v>18</v>
      </c>
      <c r="H59" s="5" t="s">
        <v>16</v>
      </c>
      <c r="I59" s="5" t="s">
        <v>17</v>
      </c>
      <c r="J59" s="21" t="s">
        <v>15</v>
      </c>
      <c r="K59" s="22" t="s">
        <v>13</v>
      </c>
      <c r="L59" s="21" t="s">
        <v>14</v>
      </c>
    </row>
    <row r="60" spans="1:12" x14ac:dyDescent="0.3">
      <c r="A60" s="23" t="s">
        <v>3</v>
      </c>
      <c r="B60" s="24">
        <v>0</v>
      </c>
      <c r="C60" s="24">
        <v>0</v>
      </c>
      <c r="D60" s="24">
        <v>1015611.36</v>
      </c>
      <c r="E60" s="24">
        <v>0</v>
      </c>
      <c r="F60" s="24">
        <v>0</v>
      </c>
      <c r="G60" s="24">
        <v>0</v>
      </c>
      <c r="H60" s="24">
        <v>39605.320000000007</v>
      </c>
      <c r="I60" s="24">
        <v>0</v>
      </c>
      <c r="J60" s="24">
        <v>972</v>
      </c>
      <c r="K60" s="24">
        <v>859</v>
      </c>
      <c r="L60" s="24">
        <v>0</v>
      </c>
    </row>
    <row r="61" spans="1:12" x14ac:dyDescent="0.3">
      <c r="A61" s="23" t="s">
        <v>8</v>
      </c>
      <c r="B61" s="24">
        <v>0</v>
      </c>
      <c r="C61" s="24">
        <v>0</v>
      </c>
      <c r="D61" s="24">
        <v>0</v>
      </c>
      <c r="E61" s="24">
        <v>0</v>
      </c>
      <c r="F61" s="24">
        <v>0</v>
      </c>
      <c r="G61" s="24">
        <v>0</v>
      </c>
      <c r="H61" s="24">
        <v>0</v>
      </c>
      <c r="I61" s="24">
        <v>0</v>
      </c>
      <c r="J61" s="24">
        <v>0</v>
      </c>
      <c r="K61" s="24">
        <v>0</v>
      </c>
      <c r="L61" s="24">
        <v>0</v>
      </c>
    </row>
    <row r="62" spans="1:12" x14ac:dyDescent="0.3">
      <c r="A62" s="23" t="s">
        <v>4</v>
      </c>
      <c r="B62" s="24">
        <v>0</v>
      </c>
      <c r="C62" s="24">
        <v>0</v>
      </c>
      <c r="D62" s="24">
        <v>725154</v>
      </c>
      <c r="E62" s="24">
        <v>0</v>
      </c>
      <c r="F62" s="24">
        <v>0</v>
      </c>
      <c r="G62" s="24">
        <v>0</v>
      </c>
      <c r="H62" s="24">
        <v>103141.48999999996</v>
      </c>
      <c r="I62" s="24">
        <v>0</v>
      </c>
      <c r="J62" s="24">
        <v>59</v>
      </c>
      <c r="K62" s="24">
        <v>59</v>
      </c>
      <c r="L62" s="24">
        <v>0</v>
      </c>
    </row>
    <row r="63" spans="1:12" x14ac:dyDescent="0.3">
      <c r="A63" s="23" t="s">
        <v>5</v>
      </c>
      <c r="B63" s="24">
        <v>0</v>
      </c>
      <c r="C63" s="24">
        <v>0</v>
      </c>
      <c r="D63" s="24">
        <v>15786</v>
      </c>
      <c r="E63" s="24">
        <v>0</v>
      </c>
      <c r="F63" s="24">
        <v>0</v>
      </c>
      <c r="G63" s="24">
        <v>0</v>
      </c>
      <c r="H63" s="24">
        <v>2959</v>
      </c>
      <c r="I63" s="24">
        <v>0</v>
      </c>
      <c r="J63" s="24">
        <v>2</v>
      </c>
      <c r="K63" s="24">
        <v>3</v>
      </c>
      <c r="L63" s="24">
        <v>0</v>
      </c>
    </row>
    <row r="65" spans="1:12" x14ac:dyDescent="0.3">
      <c r="A65" s="19">
        <v>45231</v>
      </c>
    </row>
    <row r="66" spans="1:12" ht="33" customHeight="1" x14ac:dyDescent="0.3">
      <c r="A66" s="20" t="s">
        <v>2</v>
      </c>
      <c r="B66" s="5" t="s">
        <v>9</v>
      </c>
      <c r="C66" s="5" t="s">
        <v>10</v>
      </c>
      <c r="D66" s="5" t="s">
        <v>11</v>
      </c>
      <c r="E66" s="5" t="s">
        <v>12</v>
      </c>
      <c r="F66" s="5" t="s">
        <v>19</v>
      </c>
      <c r="G66" s="5" t="s">
        <v>18</v>
      </c>
      <c r="H66" s="5" t="s">
        <v>16</v>
      </c>
      <c r="I66" s="5" t="s">
        <v>17</v>
      </c>
      <c r="J66" s="21" t="s">
        <v>15</v>
      </c>
      <c r="K66" s="22" t="s">
        <v>13</v>
      </c>
      <c r="L66" s="21" t="s">
        <v>14</v>
      </c>
    </row>
    <row r="67" spans="1:12" x14ac:dyDescent="0.3">
      <c r="A67" s="23" t="s">
        <v>3</v>
      </c>
      <c r="B67" s="24">
        <v>0</v>
      </c>
      <c r="C67" s="24">
        <v>0</v>
      </c>
      <c r="D67" s="24">
        <v>771805</v>
      </c>
      <c r="E67" s="24">
        <v>0</v>
      </c>
      <c r="F67" s="24">
        <v>0</v>
      </c>
      <c r="G67" s="24">
        <v>0</v>
      </c>
      <c r="H67" s="24">
        <v>36555.050000000003</v>
      </c>
      <c r="I67" s="24">
        <v>0</v>
      </c>
      <c r="J67" s="24">
        <v>814</v>
      </c>
      <c r="K67" s="24">
        <v>721</v>
      </c>
      <c r="L67" s="24">
        <v>0</v>
      </c>
    </row>
    <row r="68" spans="1:12" x14ac:dyDescent="0.3">
      <c r="A68" s="23" t="s">
        <v>8</v>
      </c>
      <c r="B68" s="24">
        <v>0</v>
      </c>
      <c r="C68" s="24">
        <v>0</v>
      </c>
      <c r="D68" s="24">
        <v>0</v>
      </c>
      <c r="E68" s="24">
        <v>0</v>
      </c>
      <c r="F68" s="24">
        <v>0</v>
      </c>
      <c r="G68" s="24">
        <v>0</v>
      </c>
      <c r="H68" s="24">
        <v>0</v>
      </c>
      <c r="I68" s="24">
        <v>0</v>
      </c>
      <c r="J68" s="24">
        <v>1</v>
      </c>
      <c r="K68" s="24">
        <v>0</v>
      </c>
      <c r="L68" s="24">
        <v>0</v>
      </c>
    </row>
    <row r="69" spans="1:12" x14ac:dyDescent="0.3">
      <c r="A69" s="23" t="s">
        <v>4</v>
      </c>
      <c r="B69" s="24">
        <v>0</v>
      </c>
      <c r="C69" s="24">
        <v>0</v>
      </c>
      <c r="D69" s="24">
        <v>416868</v>
      </c>
      <c r="E69" s="24">
        <v>0</v>
      </c>
      <c r="F69" s="24">
        <v>0</v>
      </c>
      <c r="G69" s="24">
        <v>0</v>
      </c>
      <c r="H69" s="24">
        <v>14670.599999999999</v>
      </c>
      <c r="I69" s="24">
        <v>0</v>
      </c>
      <c r="J69" s="24">
        <v>63</v>
      </c>
      <c r="K69" s="24">
        <v>50</v>
      </c>
      <c r="L69" s="24">
        <v>0</v>
      </c>
    </row>
    <row r="70" spans="1:12" x14ac:dyDescent="0.3">
      <c r="A70" s="23" t="s">
        <v>5</v>
      </c>
      <c r="B70" s="24">
        <v>0</v>
      </c>
      <c r="C70" s="24">
        <v>0</v>
      </c>
      <c r="D70" s="24">
        <v>0</v>
      </c>
      <c r="E70" s="24">
        <v>0</v>
      </c>
      <c r="F70" s="24">
        <v>0</v>
      </c>
      <c r="G70" s="24">
        <v>0</v>
      </c>
      <c r="H70" s="24">
        <v>0</v>
      </c>
      <c r="I70" s="24">
        <v>0</v>
      </c>
      <c r="J70" s="24">
        <v>1</v>
      </c>
      <c r="K70" s="24">
        <v>0</v>
      </c>
      <c r="L70" s="24">
        <v>0</v>
      </c>
    </row>
    <row r="71" spans="1:12" x14ac:dyDescent="0.3">
      <c r="A71" s="19">
        <v>45261</v>
      </c>
    </row>
    <row r="72" spans="1:12" ht="33" customHeight="1" x14ac:dyDescent="0.3">
      <c r="A72" s="20" t="s">
        <v>2</v>
      </c>
      <c r="B72" s="5" t="s">
        <v>9</v>
      </c>
      <c r="C72" s="5" t="s">
        <v>10</v>
      </c>
      <c r="D72" s="5" t="s">
        <v>11</v>
      </c>
      <c r="E72" s="5" t="s">
        <v>12</v>
      </c>
      <c r="F72" s="5" t="s">
        <v>19</v>
      </c>
      <c r="G72" s="5" t="s">
        <v>18</v>
      </c>
      <c r="H72" s="5" t="s">
        <v>16</v>
      </c>
      <c r="I72" s="5" t="s">
        <v>17</v>
      </c>
      <c r="J72" s="21" t="s">
        <v>15</v>
      </c>
      <c r="K72" s="22" t="s">
        <v>13</v>
      </c>
      <c r="L72" s="21" t="s">
        <v>14</v>
      </c>
    </row>
    <row r="73" spans="1:12" x14ac:dyDescent="0.3">
      <c r="A73" s="23" t="s">
        <v>3</v>
      </c>
      <c r="B73" s="24">
        <v>0</v>
      </c>
      <c r="C73" s="24">
        <v>0</v>
      </c>
      <c r="D73" s="24">
        <v>591035.04</v>
      </c>
      <c r="E73" s="24">
        <v>0</v>
      </c>
      <c r="F73" s="24">
        <v>0</v>
      </c>
      <c r="G73" s="24">
        <v>0</v>
      </c>
      <c r="H73" s="24">
        <v>46333.640000000014</v>
      </c>
      <c r="I73" s="24">
        <v>0</v>
      </c>
      <c r="J73" s="24">
        <v>702</v>
      </c>
      <c r="K73" s="24">
        <v>557</v>
      </c>
      <c r="L73" s="24">
        <v>0</v>
      </c>
    </row>
    <row r="74" spans="1:12" x14ac:dyDescent="0.3">
      <c r="A74" s="23" t="s">
        <v>8</v>
      </c>
      <c r="B74" s="24">
        <v>0</v>
      </c>
      <c r="C74" s="24">
        <v>0</v>
      </c>
      <c r="D74" s="24">
        <v>0</v>
      </c>
      <c r="E74" s="24">
        <v>0</v>
      </c>
      <c r="F74" s="24">
        <v>0</v>
      </c>
      <c r="G74" s="24">
        <v>0</v>
      </c>
      <c r="H74" s="24">
        <v>0</v>
      </c>
      <c r="I74" s="24">
        <v>0</v>
      </c>
      <c r="J74" s="24">
        <v>0</v>
      </c>
      <c r="K74" s="24">
        <v>0</v>
      </c>
      <c r="L74" s="24">
        <v>0</v>
      </c>
    </row>
    <row r="75" spans="1:12" x14ac:dyDescent="0.3">
      <c r="A75" s="23" t="s">
        <v>4</v>
      </c>
      <c r="B75" s="24">
        <v>0</v>
      </c>
      <c r="C75" s="24">
        <v>0</v>
      </c>
      <c r="D75" s="24">
        <v>7359553.71</v>
      </c>
      <c r="E75" s="24">
        <v>0</v>
      </c>
      <c r="F75" s="24">
        <v>0</v>
      </c>
      <c r="G75" s="24">
        <v>0</v>
      </c>
      <c r="H75" s="24">
        <v>15805.580000000002</v>
      </c>
      <c r="I75" s="24">
        <v>0</v>
      </c>
      <c r="J75" s="24">
        <v>35</v>
      </c>
      <c r="K75" s="24">
        <v>47</v>
      </c>
      <c r="L75" s="24">
        <v>0</v>
      </c>
    </row>
    <row r="76" spans="1:12" x14ac:dyDescent="0.3">
      <c r="A76" s="23" t="s">
        <v>5</v>
      </c>
      <c r="B76" s="24">
        <v>0</v>
      </c>
      <c r="C76" s="24">
        <v>0</v>
      </c>
      <c r="D76" s="24">
        <v>36879</v>
      </c>
      <c r="E76" s="24">
        <v>0</v>
      </c>
      <c r="F76" s="24">
        <v>0</v>
      </c>
      <c r="G76" s="24">
        <v>0</v>
      </c>
      <c r="H76" s="24">
        <v>0</v>
      </c>
      <c r="I76" s="24">
        <v>0</v>
      </c>
      <c r="J76" s="24">
        <v>0</v>
      </c>
      <c r="K76" s="24">
        <v>1</v>
      </c>
      <c r="L76" s="24">
        <v>0</v>
      </c>
    </row>
    <row r="78" spans="1:12" x14ac:dyDescent="0.3">
      <c r="A78" s="14" t="s">
        <v>21</v>
      </c>
      <c r="B78" s="15"/>
      <c r="J78"/>
      <c r="K78"/>
      <c r="L78"/>
    </row>
    <row r="79" spans="1:12" x14ac:dyDescent="0.3">
      <c r="A79" s="16" t="s">
        <v>22</v>
      </c>
      <c r="B79" s="15"/>
      <c r="J79"/>
      <c r="K79"/>
      <c r="L79"/>
    </row>
    <row r="80" spans="1:12" x14ac:dyDescent="0.3">
      <c r="A80" s="27" t="s">
        <v>25</v>
      </c>
      <c r="B80" s="27"/>
      <c r="C80" s="27"/>
      <c r="D80" s="27"/>
      <c r="J80"/>
      <c r="K80"/>
      <c r="L80"/>
    </row>
    <row r="81" spans="1:10" customFormat="1" ht="32.1" customHeight="1" x14ac:dyDescent="0.3">
      <c r="A81" s="39" t="s">
        <v>28</v>
      </c>
      <c r="B81" s="39"/>
      <c r="C81" s="39"/>
      <c r="D81" s="39"/>
      <c r="E81" s="39"/>
      <c r="F81" s="39"/>
      <c r="G81" s="2"/>
      <c r="H81" s="2"/>
      <c r="I81" s="2"/>
    </row>
    <row r="82" spans="1:10" customFormat="1" x14ac:dyDescent="0.3">
      <c r="A82" s="15" t="s">
        <v>23</v>
      </c>
      <c r="B82" s="15"/>
      <c r="C82" s="15"/>
      <c r="D82" s="15"/>
      <c r="E82" s="2"/>
      <c r="F82" s="2"/>
      <c r="G82" s="2"/>
      <c r="H82" s="2"/>
      <c r="I82" s="2"/>
    </row>
    <row r="83" spans="1:10" customFormat="1" ht="29.4" customHeight="1" x14ac:dyDescent="0.3">
      <c r="A83" s="39" t="s">
        <v>24</v>
      </c>
      <c r="B83" s="39"/>
      <c r="C83" s="39"/>
      <c r="D83" s="39"/>
      <c r="E83" s="39"/>
      <c r="F83" s="39"/>
      <c r="G83" s="2"/>
      <c r="H83" s="2"/>
      <c r="I83" s="2"/>
    </row>
    <row r="84" spans="1:10" customFormat="1" ht="21" customHeight="1" x14ac:dyDescent="0.3">
      <c r="A84" s="39" t="s">
        <v>29</v>
      </c>
      <c r="B84" s="39"/>
      <c r="C84" s="39"/>
      <c r="D84" s="39"/>
      <c r="E84" s="39"/>
      <c r="F84" s="39"/>
      <c r="G84" s="2"/>
      <c r="H84" s="2"/>
      <c r="I84" s="2"/>
    </row>
    <row r="88" spans="1:10" x14ac:dyDescent="0.3">
      <c r="J88" s="2">
        <f>SUM(J6:J9,J12:J15,J18:J21,J24:J27,J30:J33,J36:J39,J42:J45,J48:J51,J54:J56,J60:J63,J67:J71,J73:J76)</f>
        <v>13118</v>
      </c>
    </row>
  </sheetData>
  <mergeCells count="3">
    <mergeCell ref="A81:F81"/>
    <mergeCell ref="A83:F83"/>
    <mergeCell ref="A84:F84"/>
  </mergeCells>
  <pageMargins left="0.25" right="0.25" top="0.75" bottom="0.75" header="0.3" footer="0.3"/>
  <pageSetup scale="54" fitToHeight="2" orientation="landscape" horizontalDpi="1200" verticalDpi="1200" r:id="rId1"/>
  <headerFooter>
    <oddHeader>&amp;L&amp;A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DC9A153AAEEE45BACE06E01F8272AC" ma:contentTypeVersion="20" ma:contentTypeDescription="Create a new document." ma:contentTypeScope="" ma:versionID="6466f67e703e94081301edc82c2a1b9f">
  <xsd:schema xmlns:xsd="http://www.w3.org/2001/XMLSchema" xmlns:xs="http://www.w3.org/2001/XMLSchema" xmlns:p="http://schemas.microsoft.com/office/2006/metadata/properties" xmlns:ns2="785685f2-c2e1-4352-89aa-3faca8eaba52" xmlns:ns3="5067c814-4b34-462c-a21d-c185ff6548d2" targetNamespace="http://schemas.microsoft.com/office/2006/metadata/properties" ma:root="true" ma:fieldsID="f19b013c2720bc475b554ea36f007d6e" ns2:_="" ns3:_="">
    <xsd:import namespace="785685f2-c2e1-4352-89aa-3faca8eaba52"/>
    <xsd:import namespace="5067c814-4b34-462c-a21d-c185ff6548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not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Born_x002d_OnDate" minOccurs="0"/>
                <xsd:element ref="ns2:DesignatedStaff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5685f2-c2e1-4352-89aa-3faca8eaba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note" ma:index="18" nillable="true" ma:displayName="note" ma:format="Dropdown" ma:internalName="note">
      <xsd:simpleType>
        <xsd:restriction base="dms:Text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6df981b-247c-4b11-954d-40cb195196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Born_x002d_OnDate" ma:index="25" nillable="true" ma:displayName="Born-On Date" ma:description="Date when the question was sent to the CEC." ma:format="DateOnly" ma:internalName="Born_x002d_OnDate">
      <xsd:simpleType>
        <xsd:restriction base="dms:DateTime"/>
      </xsd:simpleType>
    </xsd:element>
    <xsd:element name="DesignatedStaff" ma:index="26" nillable="true" ma:displayName="Designated Staff" ma:format="Dropdown" ma:list="UserInfo" ma:SharePointGroup="0" ma:internalName="DesignatedStaff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atus" ma:index="27" nillable="true" ma:displayName="Status" ma:description="Estimated status of addressing the issue, from received, to in progress, to completely resolved." ma:format="Dropdown" ma:internalName="Status">
      <xsd:simpleType>
        <xsd:restriction base="dms:Choice">
          <xsd:enumeration value="Received/Logged"/>
          <xsd:enumeration value="Assessing"/>
          <xsd:enumeration value="Proposed Actions"/>
          <xsd:enumeration value="Tabled/On Hold"/>
          <xsd:enumeration value="Completed"/>
          <xsd:enumeration value="In Progress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67c814-4b34-462c-a21d-c185ff6548d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69b5e3c-1897-4e33-84fe-bcccbae8b075}" ma:internalName="TaxCatchAll" ma:showField="CatchAllData" ma:web="5067c814-4b34-462c-a21d-c185ff6548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067c814-4b34-462c-a21d-c185ff6548d2" xsi:nil="true"/>
    <lcf76f155ced4ddcb4097134ff3c332f xmlns="785685f2-c2e1-4352-89aa-3faca8eaba52">
      <Terms xmlns="http://schemas.microsoft.com/office/infopath/2007/PartnerControls"/>
    </lcf76f155ced4ddcb4097134ff3c332f>
    <SharedWithUsers xmlns="5067c814-4b34-462c-a21d-c185ff6548d2">
      <UserInfo>
        <DisplayName>Mellinger, Melanie D</DisplayName>
        <AccountId>228</AccountId>
        <AccountType/>
      </UserInfo>
      <UserInfo>
        <DisplayName>Morgan, Nicole B</DisplayName>
        <AccountId>282</AccountId>
        <AccountType/>
      </UserInfo>
      <UserInfo>
        <DisplayName>Kenna, Julya G (Contractor)</DisplayName>
        <AccountId>185</AccountId>
        <AccountType/>
      </UserInfo>
    </SharedWithUsers>
    <note xmlns="785685f2-c2e1-4352-89aa-3faca8eaba52" xsi:nil="true"/>
    <Born_x002d_OnDate xmlns="785685f2-c2e1-4352-89aa-3faca8eaba52" xsi:nil="true"/>
    <DesignatedStaff xmlns="785685f2-c2e1-4352-89aa-3faca8eaba52">
      <UserInfo>
        <DisplayName/>
        <AccountId xsi:nil="true"/>
        <AccountType/>
      </UserInfo>
    </DesignatedStaff>
    <Status xmlns="785685f2-c2e1-4352-89aa-3faca8eaba5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4952A8B-0E9F-4316-89EC-77041ABFA0E6}"/>
</file>

<file path=customXml/itemProps2.xml><?xml version="1.0" encoding="utf-8"?>
<ds:datastoreItem xmlns:ds="http://schemas.openxmlformats.org/officeDocument/2006/customXml" ds:itemID="{8A095F0F-6F07-4DC7-A323-AA42F60EB257}">
  <ds:schemaRefs>
    <ds:schemaRef ds:uri="http://schemas.microsoft.com/office/2006/metadata/properties"/>
    <ds:schemaRef ds:uri="http://purl.org/dc/terms/"/>
    <ds:schemaRef ds:uri="d6d66ddb-cd26-410c-b38c-16bf27758af5"/>
    <ds:schemaRef ds:uri="http://schemas.microsoft.com/office/2006/documentManagement/types"/>
    <ds:schemaRef ds:uri="6799cfe4-1183-449e-881b-6194030a48a5"/>
    <ds:schemaRef ds:uri="d7300a8b-99fd-440b-9e05-63164db567d0"/>
    <ds:schemaRef ds:uri="http://purl.org/dc/dcmitype/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7DCCB0A-79A4-4F4A-B56C-A247380CD79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Electric New Construction</vt:lpstr>
      <vt:lpstr>Mixed-Fuel New Construction</vt:lpstr>
      <vt:lpstr>Mixed-Fuel Upgrades</vt:lpstr>
      <vt:lpstr>All Electric Upgrades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Kenna, Julya G (Contractor)</dc:creator>
  <cp:keywords/>
  <dc:description/>
  <cp:lastModifiedBy>Chatrath, Garima</cp:lastModifiedBy>
  <cp:revision/>
  <cp:lastPrinted>2024-06-27T23:32:33Z</cp:lastPrinted>
  <dcterms:created xsi:type="dcterms:W3CDTF">2024-01-16T19:55:57Z</dcterms:created>
  <dcterms:modified xsi:type="dcterms:W3CDTF">2025-03-21T18:58:01Z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0x01010061DC9A153AAEEE45BACE06E01F8272AC</vt:lpwstr>
  </property>
  <property fmtid="{D5CDD505-2E9C-101B-9397-08002B2CF9AE}" pid="3" name="MediaServiceImageTags">
    <vt:lpwstr/>
  </property>
</Properties>
</file>