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capuc-my.sharepoint.com/personal/garima_chatrath_cpuc_ca_gov/Documents/Phase_3B/IOUs_Annual Report_2024_data/"/>
    </mc:Choice>
  </mc:AlternateContent>
  <xr:revisionPtr revIDLastSave="8" documentId="8_{2B959AAD-76A6-4695-A20D-C63C9510FB5E}" xr6:coauthVersionLast="47" xr6:coauthVersionMax="47" xr10:uidLastSave="{D57B2360-ABDC-40D1-BC03-6F13B552F695}"/>
  <bookViews>
    <workbookView xWindow="-28920" yWindow="-120" windowWidth="29040" windowHeight="15840" tabRatio="744" xr2:uid="{5A75DE74-B25E-4059-A0A9-40D464A41ACF}"/>
  </bookViews>
  <sheets>
    <sheet name="Mixed-Fuel New Construction" sheetId="1" r:id="rId1"/>
    <sheet name="All Electric New Construction" sheetId="2" r:id="rId2"/>
    <sheet name="Mixed-Fuel Upgrades" sheetId="6" r:id="rId3"/>
    <sheet name="All Electric Upgrades" sheetId="7" r:id="rId4"/>
  </sheets>
  <definedNames>
    <definedName name="_xlnm.Print_Area" localSheetId="1">'All Electric New Construction'!$A$1:$L$89</definedName>
    <definedName name="_xlnm.Print_Area" localSheetId="3">'All Electric Upgrades'!$A$1:$L$92</definedName>
    <definedName name="_xlnm.Print_Area" localSheetId="0">'Mixed-Fuel New Construction'!$A$1:$L$88</definedName>
    <definedName name="_xlnm.Print_Area" localSheetId="2">'Mixed-Fuel Upgrades'!$A$1:$L$93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 i="1" l="1"/>
  <c r="K14" i="1"/>
  <c r="H20" i="2"/>
  <c r="H21" i="2"/>
  <c r="K20" i="2"/>
</calcChain>
</file>

<file path=xl/sharedStrings.xml><?xml version="1.0" encoding="utf-8"?>
<sst xmlns="http://schemas.openxmlformats.org/spreadsheetml/2006/main" count="833" uniqueCount="44">
  <si>
    <t>Category: MIXED FUEL NEW CONSTRUCTION</t>
  </si>
  <si>
    <t>Dates to Pull: January 01, 2024 - December 31, 2024</t>
  </si>
  <si>
    <t>Due Date: May 01, 2025</t>
  </si>
  <si>
    <t>Customer Class</t>
  </si>
  <si>
    <t>Total Discounts (Non-Exempted Projects)</t>
  </si>
  <si>
    <t>Total Discounts (Exempted projects)</t>
  </si>
  <si>
    <t>Total Allowances (Non-Exempted Projects)</t>
  </si>
  <si>
    <t>Total Allowances (Exempted projects)</t>
  </si>
  <si>
    <t>Total Refund Payments Provided to Builders (Non-Exempted Projects)</t>
  </si>
  <si>
    <t>Total Refund Payments Provided to Builders  (Exempted projects)</t>
  </si>
  <si>
    <t>Total Estimated Non-Refundable</t>
  </si>
  <si>
    <t xml:space="preserve">Total Estimated Refundable </t>
  </si>
  <si>
    <t>Total Electric Line Extension Requests Received (Applications)</t>
  </si>
  <si>
    <t>Total Electric Line Extensions Energized</t>
  </si>
  <si>
    <t>Total Electric Line Extension Applications for Applicant Install</t>
  </si>
  <si>
    <t>Residential</t>
  </si>
  <si>
    <t>Industrial</t>
  </si>
  <si>
    <t>Commercial</t>
  </si>
  <si>
    <t>Agriculture</t>
  </si>
  <si>
    <t xml:space="preserve">Total Estimated Non-Refundable </t>
  </si>
  <si>
    <t>Notes:</t>
  </si>
  <si>
    <t>*Customer classes vary between IOU's</t>
  </si>
  <si>
    <t>*Mixed fuel is identified as Projects that have both gas and electric jobs</t>
  </si>
  <si>
    <t>*Total Discounts: 50% Estimated one-time non-refundable discount that is deducted from the applicant cost at the time payments are due.</t>
  </si>
  <si>
    <t>*Total Allowances: Credit given to the customer for service towards their line/main extension costs</t>
  </si>
  <si>
    <t>*Total Estimated Non-Refundable: After 50% non-refundable discount is applied, 50% non-refundable applicant cost that is paid to utility</t>
  </si>
  <si>
    <t>*Total Estimated Refundable: 100% Estimated refundable amount that customer pays. Refunds will be made on the basis of a new customer gas or electric meter set which produces additional revenues to the utility. Customer is eligble for refunds for a 10-year period</t>
  </si>
  <si>
    <t>*Total Electric Line Extension Requests Received (Applications): Total mixed fuel jobs are jobs initiated in 2024 based on system indicators.</t>
  </si>
  <si>
    <t>*In some portions of the SDG&amp;E service territory, gas service may not be provided by SDG&amp;E and is not able to be distinguished within the report.</t>
  </si>
  <si>
    <t>*All financial figures reported are presented as absolute values. This includes credits for refunds, which may appear as negative numbers in the context of accounting.</t>
  </si>
  <si>
    <t>*At the time of reporting, SDG&amp;E is unable to confidently distinguish "new construction" or "mixed-fuel", therefore a manual quality analysis and quality control was completed. Due to the manual requirements of reporting, data anomalies may exist until system enhancements are complete.</t>
  </si>
  <si>
    <t>*For the Commission’s awareness, SDG&amp;E has recently discovered an anomaly in the system used to process estimates that may have resulted in relatively minor underestimates of material costs.  SDG&amp;E is investigating and will advise the Commission accordingly.</t>
  </si>
  <si>
    <t xml:space="preserve">Category: All Electric New Construction </t>
  </si>
  <si>
    <t>*All Electric is identified as Projects that only have electric jobs</t>
  </si>
  <si>
    <t>*Total Electric Line Extension Requests Received (Applications): All electric fuel jobs are jobs initiated in 2024 based on system indicators.</t>
  </si>
  <si>
    <t xml:space="preserve">Category: Upgrades to Existing Facilities </t>
  </si>
  <si>
    <t>*The term existing facilities refers to existing buildings/facilities/projects that are undergoing upgrades to service lines and/or distribution system infrastructure under Electric Tariff Rules 15/16 and are not new construction projects</t>
  </si>
  <si>
    <t>*Upgrade jobs are identified as jobs with specific work types, although there will be data integrity issues of the use of work types and information will not be 100% accurate.</t>
  </si>
  <si>
    <t>*Mixed fuel is identified as Projects that have both gas and electric jobs. SDG&amp;E is unable to break down by all electric and mixed-fuel type of building as our current systems cannot track this.</t>
  </si>
  <si>
    <t>*Total Estimated Refundable: 100% Estimated refundable amount that customer pays. Refunds will be made on the basis of a new customer gas or electric meter set which produces additional revenues to the utility. Customer is eligible for refunds for a 10-year period</t>
  </si>
  <si>
    <t>*Total Electric Line Extension Requests Received (Applications) may include both new construction and upgrades, as the job may change from the time the application was received to when it is designed.</t>
  </si>
  <si>
    <t>*"Mixed-Fuel Upgrades" may include projects that were inclusive of an upgrade and new construction; therefore, a manual quality analysis and quality control was completed. Due to the manual requirements of reporting, data anomalies may exist until system enhancements are complete.</t>
  </si>
  <si>
    <t>*All Electric is identified as Projects that only have electric jobs. SDG&amp;E is unable to break down by all electric and mixed-fuel type of building as our current systems cannot track this.</t>
  </si>
  <si>
    <t>*"All Electric Upgrades" may include projects that were inclusive of an upgrade and new construction; therefore, a manual quality analysis and quality control was completed. Due to the manual requirements of reporting, data anomalies may exist until system enhancements are complete.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</si>
</sst>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6"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rgb="FF000000"/>
      <name val="Calibri"/>
      <family val="2"/>
      <scheme val="minor"/>
    </font>
    <font>
      <sz val="11"/>
      <color rgb="FF000000"/>
      <name val="Calibri"/>
      <scheme val="minor"/>
    </font>
  </fonts>
  <fills count="6">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0"/>
        <bgColor indexed="64"/>
      </patternFill>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3" fontId="1" fillId="0" borderId="0" applyFont="0" applyFill="0" applyBorder="0" applyAlignment="0" applyProtection="0"/>
  </cellStyleXfs>
  <cellXfs count="28">
    <xf numFmtId="0" fontId="0" fillId="0" borderId="0" xfId="0"/>
    <xf numFmtId="14" fontId="0" fillId="0" borderId="0" xfId="0" applyNumberFormat="1"/>
    <xf numFmtId="0" fontId="0" fillId="0" borderId="1" xfId="0" applyBorder="1"/>
    <xf numFmtId="14" fontId="0" fillId="2" borderId="1" xfId="0" applyNumberFormat="1" applyFill="1" applyBorder="1"/>
    <xf numFmtId="0" fontId="0" fillId="2" borderId="1" xfId="0" applyFill="1" applyBorder="1" applyAlignment="1">
      <alignment horizontal="left" wrapText="1"/>
    </xf>
    <xf numFmtId="0" fontId="0" fillId="2" borderId="1" xfId="0" applyFill="1" applyBorder="1" applyAlignment="1">
      <alignment horizontal="left"/>
    </xf>
    <xf numFmtId="17" fontId="0" fillId="3" borderId="0" xfId="0" applyNumberFormat="1" applyFill="1"/>
    <xf numFmtId="164" fontId="0" fillId="0" borderId="0" xfId="1" applyNumberFormat="1" applyFont="1"/>
    <xf numFmtId="164" fontId="0" fillId="2" borderId="1" xfId="1" applyNumberFormat="1" applyFont="1" applyFill="1" applyBorder="1" applyAlignment="1">
      <alignment wrapText="1"/>
    </xf>
    <xf numFmtId="164" fontId="0" fillId="0" borderId="1" xfId="1" applyNumberFormat="1" applyFont="1" applyBorder="1"/>
    <xf numFmtId="0" fontId="2" fillId="0" borderId="0" xfId="0" applyFont="1"/>
    <xf numFmtId="164" fontId="0" fillId="0" borderId="0" xfId="1" applyNumberFormat="1" applyFont="1" applyAlignment="1">
      <alignment wrapText="1"/>
    </xf>
    <xf numFmtId="164" fontId="0" fillId="2" borderId="1" xfId="1" applyNumberFormat="1" applyFont="1" applyFill="1" applyBorder="1" applyAlignment="1">
      <alignment horizontal="left" wrapText="1"/>
    </xf>
    <xf numFmtId="164" fontId="0" fillId="2" borderId="1" xfId="1" applyNumberFormat="1" applyFont="1" applyFill="1" applyBorder="1" applyAlignment="1">
      <alignment horizontal="left"/>
    </xf>
    <xf numFmtId="14" fontId="3" fillId="0" borderId="0" xfId="0" applyNumberFormat="1" applyFont="1"/>
    <xf numFmtId="17" fontId="3" fillId="3" borderId="0" xfId="0" applyNumberFormat="1" applyFont="1" applyFill="1"/>
    <xf numFmtId="14" fontId="3" fillId="2" borderId="1" xfId="0" applyNumberFormat="1" applyFont="1" applyFill="1" applyBorder="1"/>
    <xf numFmtId="0" fontId="3" fillId="0" borderId="1" xfId="0" applyFont="1" applyBorder="1"/>
    <xf numFmtId="0" fontId="3" fillId="0" borderId="0" xfId="0" applyFont="1"/>
    <xf numFmtId="0" fontId="0" fillId="4" borderId="0" xfId="0" applyFill="1"/>
    <xf numFmtId="164" fontId="0" fillId="4" borderId="0" xfId="1" applyNumberFormat="1" applyFont="1" applyFill="1"/>
    <xf numFmtId="0" fontId="4" fillId="4" borderId="0" xfId="0" applyFont="1" applyFill="1"/>
    <xf numFmtId="0" fontId="2" fillId="4" borderId="0" xfId="0" applyFont="1" applyFill="1"/>
    <xf numFmtId="0" fontId="3" fillId="4" borderId="0" xfId="0" applyFont="1" applyFill="1"/>
    <xf numFmtId="0" fontId="5" fillId="0" borderId="0" xfId="0" applyFont="1"/>
    <xf numFmtId="0" fontId="0" fillId="5" borderId="1" xfId="0" applyFill="1" applyBorder="1"/>
    <xf numFmtId="164" fontId="0" fillId="5" borderId="1" xfId="1" applyNumberFormat="1" applyFont="1" applyFill="1" applyBorder="1"/>
    <xf numFmtId="0" fontId="0" fillId="5" borderId="0" xfId="0" applyFill="1"/>
  </cellXfs>
  <cellStyles count="2">
    <cellStyle name="Comma" xfId="1" builtinId="3"/>
    <cellStyle name="Normal" xfId="0" builtinId="0"/>
  </cellStyles>
  <dxfs count="0"/>
  <tableStyles count="0" defaultTableStyle="TableStyleMedium2" defaultPivotStyle="PivotStyleLight16"/>
  <colors>
    <mruColors>
      <color rgb="FFFFFFCC"/>
      <color rgb="FF0000FF"/>
      <color rgb="FFCC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E9A7C-86EB-428A-BC4A-AD8DA8DA3699}">
  <sheetPr>
    <pageSetUpPr fitToPage="1"/>
  </sheetPr>
  <dimension ref="A1:L88"/>
  <sheetViews>
    <sheetView tabSelected="1" showRuler="0" topLeftCell="F50" zoomScale="110" zoomScaleNormal="110" workbookViewId="0">
      <selection activeCell="E73" sqref="E73"/>
    </sheetView>
  </sheetViews>
  <sheetFormatPr defaultRowHeight="14.4" x14ac:dyDescent="0.3"/>
  <cols>
    <col min="1" max="1" width="48.77734375" customWidth="1"/>
    <col min="2" max="2" width="37.109375" style="7" customWidth="1"/>
    <col min="3" max="3" width="40.88671875" style="7" customWidth="1"/>
    <col min="4" max="4" width="37.109375" style="7" customWidth="1"/>
    <col min="5" max="5" width="36.5546875" style="7" customWidth="1"/>
    <col min="6" max="6" width="39.44140625" style="7" customWidth="1"/>
    <col min="7" max="7" width="34" style="7" customWidth="1"/>
    <col min="8" max="9" width="31.44140625" style="7" customWidth="1"/>
    <col min="10" max="12" width="35.88671875" customWidth="1"/>
  </cols>
  <sheetData>
    <row r="1" spans="1:12" x14ac:dyDescent="0.3">
      <c r="A1" s="1" t="s">
        <v>0</v>
      </c>
    </row>
    <row r="2" spans="1:12" x14ac:dyDescent="0.3">
      <c r="A2" s="1" t="s">
        <v>1</v>
      </c>
    </row>
    <row r="3" spans="1:12" x14ac:dyDescent="0.3">
      <c r="A3" s="1" t="s">
        <v>2</v>
      </c>
    </row>
    <row r="4" spans="1:12" x14ac:dyDescent="0.3">
      <c r="A4" s="6">
        <v>45292</v>
      </c>
    </row>
    <row r="5" spans="1:12" ht="33" customHeight="1" x14ac:dyDescent="0.3">
      <c r="A5" s="3" t="s">
        <v>3</v>
      </c>
      <c r="B5" s="8" t="s">
        <v>4</v>
      </c>
      <c r="C5" s="8" t="s">
        <v>5</v>
      </c>
      <c r="D5" s="8" t="s">
        <v>6</v>
      </c>
      <c r="E5" s="8" t="s">
        <v>7</v>
      </c>
      <c r="F5" s="8" t="s">
        <v>8</v>
      </c>
      <c r="G5" s="8" t="s">
        <v>9</v>
      </c>
      <c r="H5" s="8" t="s">
        <v>10</v>
      </c>
      <c r="I5" s="8" t="s">
        <v>11</v>
      </c>
      <c r="J5" s="4" t="s">
        <v>12</v>
      </c>
      <c r="K5" s="4" t="s">
        <v>13</v>
      </c>
      <c r="L5" s="4" t="s">
        <v>14</v>
      </c>
    </row>
    <row r="6" spans="1:12" x14ac:dyDescent="0.3">
      <c r="A6" s="2" t="s">
        <v>15</v>
      </c>
      <c r="B6" s="9">
        <v>227247.37</v>
      </c>
      <c r="C6" s="9">
        <v>0</v>
      </c>
      <c r="D6" s="9">
        <v>2227365.4300000002</v>
      </c>
      <c r="E6" s="9">
        <v>0</v>
      </c>
      <c r="F6" s="9">
        <v>94869.119999999966</v>
      </c>
      <c r="G6" s="9">
        <v>0</v>
      </c>
      <c r="H6" s="9">
        <v>877887</v>
      </c>
      <c r="I6" s="9">
        <v>327231.42</v>
      </c>
      <c r="J6" s="9">
        <v>153</v>
      </c>
      <c r="K6" s="9">
        <v>106</v>
      </c>
      <c r="L6" s="9">
        <v>2</v>
      </c>
    </row>
    <row r="7" spans="1:12" x14ac:dyDescent="0.3">
      <c r="A7" s="2" t="s">
        <v>16</v>
      </c>
      <c r="B7" s="9">
        <v>0</v>
      </c>
      <c r="C7" s="9">
        <v>0</v>
      </c>
      <c r="D7" s="9">
        <v>0</v>
      </c>
      <c r="E7" s="9">
        <v>0</v>
      </c>
      <c r="F7" s="9">
        <v>0</v>
      </c>
      <c r="G7" s="9">
        <v>0</v>
      </c>
      <c r="H7" s="9">
        <v>0</v>
      </c>
      <c r="I7" s="9">
        <v>0</v>
      </c>
      <c r="J7" s="9">
        <v>0</v>
      </c>
      <c r="K7" s="9">
        <v>0</v>
      </c>
      <c r="L7" s="9">
        <v>0</v>
      </c>
    </row>
    <row r="8" spans="1:12" x14ac:dyDescent="0.3">
      <c r="A8" s="2" t="s">
        <v>17</v>
      </c>
      <c r="B8" s="9">
        <v>4930.8500000000004</v>
      </c>
      <c r="C8" s="9">
        <v>0</v>
      </c>
      <c r="D8" s="9">
        <v>9232983.8200000003</v>
      </c>
      <c r="E8" s="9">
        <v>0</v>
      </c>
      <c r="F8" s="9">
        <v>62584</v>
      </c>
      <c r="G8" s="9">
        <v>0</v>
      </c>
      <c r="H8" s="9">
        <v>1021932</v>
      </c>
      <c r="I8" s="9">
        <v>53570.239999999998</v>
      </c>
      <c r="J8" s="9">
        <v>71</v>
      </c>
      <c r="K8" s="9">
        <v>47</v>
      </c>
      <c r="L8" s="9">
        <v>1</v>
      </c>
    </row>
    <row r="9" spans="1:12" x14ac:dyDescent="0.3">
      <c r="A9" s="2" t="s">
        <v>18</v>
      </c>
      <c r="B9" s="9">
        <v>0</v>
      </c>
      <c r="C9" s="9">
        <v>0</v>
      </c>
      <c r="D9" s="9">
        <v>0</v>
      </c>
      <c r="E9" s="9">
        <v>0</v>
      </c>
      <c r="F9" s="9">
        <v>0</v>
      </c>
      <c r="G9" s="9">
        <v>0</v>
      </c>
      <c r="H9" s="9">
        <v>1658</v>
      </c>
      <c r="I9" s="9">
        <v>0</v>
      </c>
      <c r="J9" s="9">
        <v>0</v>
      </c>
      <c r="K9" s="9">
        <v>2</v>
      </c>
      <c r="L9" s="9">
        <v>0</v>
      </c>
    </row>
    <row r="10" spans="1:12" x14ac:dyDescent="0.3">
      <c r="A10" s="6">
        <v>45323</v>
      </c>
    </row>
    <row r="11" spans="1:12" ht="33" customHeight="1" x14ac:dyDescent="0.3">
      <c r="A11" s="3" t="s">
        <v>3</v>
      </c>
      <c r="B11" s="8" t="s">
        <v>4</v>
      </c>
      <c r="C11" s="8" t="s">
        <v>5</v>
      </c>
      <c r="D11" s="8" t="s">
        <v>6</v>
      </c>
      <c r="E11" s="8" t="s">
        <v>7</v>
      </c>
      <c r="F11" s="8" t="s">
        <v>8</v>
      </c>
      <c r="G11" s="8" t="s">
        <v>9</v>
      </c>
      <c r="H11" s="8" t="s">
        <v>19</v>
      </c>
      <c r="I11" s="8" t="s">
        <v>11</v>
      </c>
      <c r="J11" s="4" t="s">
        <v>12</v>
      </c>
      <c r="K11" s="5" t="s">
        <v>13</v>
      </c>
      <c r="L11" s="4" t="s">
        <v>14</v>
      </c>
    </row>
    <row r="12" spans="1:12" x14ac:dyDescent="0.3">
      <c r="A12" s="2" t="s">
        <v>15</v>
      </c>
      <c r="B12" s="9">
        <v>105335.55</v>
      </c>
      <c r="C12" s="9">
        <v>0</v>
      </c>
      <c r="D12" s="9">
        <v>4308801.6900000004</v>
      </c>
      <c r="E12" s="9">
        <v>0</v>
      </c>
      <c r="F12" s="9">
        <v>233948.46000000002</v>
      </c>
      <c r="G12" s="9">
        <v>0</v>
      </c>
      <c r="H12" s="9">
        <v>923804</v>
      </c>
      <c r="I12" s="9">
        <v>721402.58</v>
      </c>
      <c r="J12" s="9">
        <v>102</v>
      </c>
      <c r="K12" s="9">
        <v>120</v>
      </c>
      <c r="L12" s="9">
        <v>9</v>
      </c>
    </row>
    <row r="13" spans="1:12" x14ac:dyDescent="0.3">
      <c r="A13" s="2" t="s">
        <v>16</v>
      </c>
      <c r="B13" s="9">
        <v>0</v>
      </c>
      <c r="C13" s="9">
        <v>0</v>
      </c>
      <c r="D13" s="9">
        <v>51810.06</v>
      </c>
      <c r="E13" s="9">
        <v>0</v>
      </c>
      <c r="F13" s="9">
        <v>0</v>
      </c>
      <c r="G13" s="9">
        <v>0</v>
      </c>
      <c r="H13" s="9">
        <v>0</v>
      </c>
      <c r="I13" s="9">
        <v>0</v>
      </c>
      <c r="J13" s="9">
        <v>0</v>
      </c>
      <c r="K13" s="9">
        <v>1</v>
      </c>
      <c r="L13" s="9">
        <v>0</v>
      </c>
    </row>
    <row r="14" spans="1:12" x14ac:dyDescent="0.3">
      <c r="A14" s="2" t="s">
        <v>17</v>
      </c>
      <c r="B14" s="9">
        <v>10147</v>
      </c>
      <c r="C14" s="9">
        <v>0</v>
      </c>
      <c r="D14" s="9">
        <f>13425740.83  - 4130376</f>
        <v>9295364.8300000001</v>
      </c>
      <c r="E14" s="9">
        <v>0</v>
      </c>
      <c r="F14" s="9">
        <v>0</v>
      </c>
      <c r="G14" s="9">
        <v>0</v>
      </c>
      <c r="H14" s="9">
        <v>62890</v>
      </c>
      <c r="I14" s="9">
        <v>0</v>
      </c>
      <c r="J14" s="9">
        <v>57</v>
      </c>
      <c r="K14" s="9">
        <f>41 - 1</f>
        <v>40</v>
      </c>
      <c r="L14" s="9">
        <v>0</v>
      </c>
    </row>
    <row r="15" spans="1:12" x14ac:dyDescent="0.3">
      <c r="A15" s="2" t="s">
        <v>18</v>
      </c>
      <c r="B15" s="9">
        <v>0</v>
      </c>
      <c r="C15" s="9">
        <v>0</v>
      </c>
      <c r="D15" s="9">
        <v>3981</v>
      </c>
      <c r="E15" s="9">
        <v>0</v>
      </c>
      <c r="F15" s="9">
        <v>0</v>
      </c>
      <c r="G15" s="9">
        <v>0</v>
      </c>
      <c r="H15" s="9">
        <v>3302</v>
      </c>
      <c r="I15" s="9">
        <v>0</v>
      </c>
      <c r="J15" s="9">
        <v>0</v>
      </c>
      <c r="K15" s="9">
        <v>3</v>
      </c>
      <c r="L15" s="9">
        <v>0</v>
      </c>
    </row>
    <row r="16" spans="1:12" x14ac:dyDescent="0.3">
      <c r="A16" s="6">
        <v>45352</v>
      </c>
    </row>
    <row r="17" spans="1:12" ht="33" customHeight="1" x14ac:dyDescent="0.3">
      <c r="A17" s="3" t="s">
        <v>3</v>
      </c>
      <c r="B17" s="8" t="s">
        <v>4</v>
      </c>
      <c r="C17" s="8" t="s">
        <v>5</v>
      </c>
      <c r="D17" s="8" t="s">
        <v>6</v>
      </c>
      <c r="E17" s="8" t="s">
        <v>7</v>
      </c>
      <c r="F17" s="8" t="s">
        <v>8</v>
      </c>
      <c r="G17" s="8" t="s">
        <v>9</v>
      </c>
      <c r="H17" s="8" t="s">
        <v>19</v>
      </c>
      <c r="I17" s="8" t="s">
        <v>11</v>
      </c>
      <c r="J17" s="4" t="s">
        <v>12</v>
      </c>
      <c r="K17" s="5" t="s">
        <v>13</v>
      </c>
      <c r="L17" s="4" t="s">
        <v>14</v>
      </c>
    </row>
    <row r="18" spans="1:12" x14ac:dyDescent="0.3">
      <c r="A18" s="2" t="s">
        <v>15</v>
      </c>
      <c r="B18" s="9">
        <v>9003.4599999999991</v>
      </c>
      <c r="C18" s="9">
        <v>0</v>
      </c>
      <c r="D18" s="9">
        <v>4842633.82</v>
      </c>
      <c r="E18" s="9">
        <v>0</v>
      </c>
      <c r="F18" s="9">
        <v>636483.31000000006</v>
      </c>
      <c r="G18" s="9">
        <v>0</v>
      </c>
      <c r="H18" s="9">
        <v>1364302.3599999999</v>
      </c>
      <c r="I18" s="9">
        <v>708377.92</v>
      </c>
      <c r="J18" s="9">
        <v>138</v>
      </c>
      <c r="K18" s="9">
        <v>227</v>
      </c>
      <c r="L18" s="9">
        <v>4</v>
      </c>
    </row>
    <row r="19" spans="1:12" x14ac:dyDescent="0.3">
      <c r="A19" s="2" t="s">
        <v>16</v>
      </c>
      <c r="B19" s="9">
        <v>0</v>
      </c>
      <c r="C19" s="9">
        <v>0</v>
      </c>
      <c r="D19" s="9">
        <v>0</v>
      </c>
      <c r="E19" s="9">
        <v>0</v>
      </c>
      <c r="F19" s="9">
        <v>0</v>
      </c>
      <c r="G19" s="9">
        <v>0</v>
      </c>
      <c r="H19" s="9">
        <v>0</v>
      </c>
      <c r="I19" s="9">
        <v>0</v>
      </c>
      <c r="J19" s="9">
        <v>0</v>
      </c>
      <c r="K19" s="9">
        <v>0</v>
      </c>
      <c r="L19" s="9">
        <v>0</v>
      </c>
    </row>
    <row r="20" spans="1:12" x14ac:dyDescent="0.3">
      <c r="A20" s="2" t="s">
        <v>17</v>
      </c>
      <c r="B20" s="9">
        <v>21638.69</v>
      </c>
      <c r="C20" s="9">
        <v>0</v>
      </c>
      <c r="D20" s="9">
        <v>5085182.3600000003</v>
      </c>
      <c r="E20" s="9">
        <v>0</v>
      </c>
      <c r="F20" s="9">
        <v>101242</v>
      </c>
      <c r="G20" s="9">
        <v>0</v>
      </c>
      <c r="H20" s="9">
        <v>177498</v>
      </c>
      <c r="I20" s="9">
        <v>81657.259999999995</v>
      </c>
      <c r="J20" s="9">
        <v>61</v>
      </c>
      <c r="K20" s="9">
        <v>96</v>
      </c>
      <c r="L20" s="9">
        <v>4</v>
      </c>
    </row>
    <row r="21" spans="1:12" x14ac:dyDescent="0.3">
      <c r="A21" s="2" t="s">
        <v>18</v>
      </c>
      <c r="B21" s="9">
        <v>0</v>
      </c>
      <c r="C21" s="9">
        <v>0</v>
      </c>
      <c r="D21" s="9">
        <v>0</v>
      </c>
      <c r="E21" s="9">
        <v>0</v>
      </c>
      <c r="F21" s="9">
        <v>0</v>
      </c>
      <c r="G21" s="9">
        <v>0</v>
      </c>
      <c r="H21" s="9">
        <v>1346</v>
      </c>
      <c r="I21" s="9">
        <v>0</v>
      </c>
      <c r="J21" s="9">
        <v>0</v>
      </c>
      <c r="K21" s="9">
        <v>2</v>
      </c>
      <c r="L21" s="9">
        <v>0</v>
      </c>
    </row>
    <row r="22" spans="1:12" x14ac:dyDescent="0.3">
      <c r="A22" s="6">
        <v>45383</v>
      </c>
    </row>
    <row r="23" spans="1:12" ht="33" customHeight="1" x14ac:dyDescent="0.3">
      <c r="A23" s="3" t="s">
        <v>3</v>
      </c>
      <c r="B23" s="8" t="s">
        <v>4</v>
      </c>
      <c r="C23" s="8" t="s">
        <v>5</v>
      </c>
      <c r="D23" s="8" t="s">
        <v>6</v>
      </c>
      <c r="E23" s="8" t="s">
        <v>7</v>
      </c>
      <c r="F23" s="8" t="s">
        <v>8</v>
      </c>
      <c r="G23" s="8" t="s">
        <v>9</v>
      </c>
      <c r="H23" s="8" t="s">
        <v>19</v>
      </c>
      <c r="I23" s="8" t="s">
        <v>11</v>
      </c>
      <c r="J23" s="4" t="s">
        <v>12</v>
      </c>
      <c r="K23" s="5" t="s">
        <v>13</v>
      </c>
      <c r="L23" s="4" t="s">
        <v>14</v>
      </c>
    </row>
    <row r="24" spans="1:12" x14ac:dyDescent="0.3">
      <c r="A24" s="2" t="s">
        <v>15</v>
      </c>
      <c r="B24" s="9">
        <v>145156.13</v>
      </c>
      <c r="C24" s="9">
        <v>0</v>
      </c>
      <c r="D24" s="9">
        <v>3500216.7699999996</v>
      </c>
      <c r="E24" s="9">
        <v>0</v>
      </c>
      <c r="F24" s="9">
        <v>104925.59</v>
      </c>
      <c r="G24" s="9">
        <v>0</v>
      </c>
      <c r="H24" s="9">
        <v>496229</v>
      </c>
      <c r="I24" s="9">
        <v>214316.37</v>
      </c>
      <c r="J24" s="9">
        <v>129</v>
      </c>
      <c r="K24" s="9">
        <v>114</v>
      </c>
      <c r="L24" s="9">
        <v>8</v>
      </c>
    </row>
    <row r="25" spans="1:12" x14ac:dyDescent="0.3">
      <c r="A25" s="2" t="s">
        <v>16</v>
      </c>
      <c r="B25" s="9">
        <v>0</v>
      </c>
      <c r="C25" s="9">
        <v>0</v>
      </c>
      <c r="D25" s="9">
        <v>0</v>
      </c>
      <c r="E25" s="9">
        <v>0</v>
      </c>
      <c r="F25" s="9">
        <v>0</v>
      </c>
      <c r="G25" s="9">
        <v>0</v>
      </c>
      <c r="H25" s="9">
        <v>0</v>
      </c>
      <c r="I25" s="9">
        <v>0</v>
      </c>
      <c r="J25" s="9">
        <v>0</v>
      </c>
      <c r="K25" s="9">
        <v>0</v>
      </c>
      <c r="L25" s="9">
        <v>0</v>
      </c>
    </row>
    <row r="26" spans="1:12" x14ac:dyDescent="0.3">
      <c r="A26" s="2" t="s">
        <v>17</v>
      </c>
      <c r="B26" s="9">
        <v>7424.89</v>
      </c>
      <c r="C26" s="9">
        <v>0</v>
      </c>
      <c r="D26" s="9">
        <v>4822815.8600000003</v>
      </c>
      <c r="E26" s="9">
        <v>0</v>
      </c>
      <c r="F26" s="9">
        <v>351067</v>
      </c>
      <c r="G26" s="9">
        <v>0</v>
      </c>
      <c r="H26" s="9">
        <v>464015</v>
      </c>
      <c r="I26" s="9">
        <v>283919.71999999997</v>
      </c>
      <c r="J26" s="9">
        <v>70</v>
      </c>
      <c r="K26" s="9">
        <v>58</v>
      </c>
      <c r="L26" s="9">
        <v>1</v>
      </c>
    </row>
    <row r="27" spans="1:12" x14ac:dyDescent="0.3">
      <c r="A27" s="2" t="s">
        <v>18</v>
      </c>
      <c r="B27" s="9">
        <v>0</v>
      </c>
      <c r="C27" s="9">
        <v>0</v>
      </c>
      <c r="D27" s="9">
        <v>0</v>
      </c>
      <c r="E27" s="9">
        <v>0</v>
      </c>
      <c r="F27" s="9">
        <v>0</v>
      </c>
      <c r="G27" s="9">
        <v>0</v>
      </c>
      <c r="H27" s="9">
        <v>768</v>
      </c>
      <c r="I27" s="9">
        <v>0</v>
      </c>
      <c r="J27" s="9">
        <v>0</v>
      </c>
      <c r="K27" s="9">
        <v>1</v>
      </c>
      <c r="L27" s="9">
        <v>0</v>
      </c>
    </row>
    <row r="28" spans="1:12" x14ac:dyDescent="0.3">
      <c r="A28" s="6">
        <v>45413</v>
      </c>
    </row>
    <row r="29" spans="1:12" ht="33" customHeight="1" x14ac:dyDescent="0.3">
      <c r="A29" s="3" t="s">
        <v>3</v>
      </c>
      <c r="B29" s="8" t="s">
        <v>4</v>
      </c>
      <c r="C29" s="8" t="s">
        <v>5</v>
      </c>
      <c r="D29" s="8" t="s">
        <v>6</v>
      </c>
      <c r="E29" s="8" t="s">
        <v>7</v>
      </c>
      <c r="F29" s="8" t="s">
        <v>8</v>
      </c>
      <c r="G29" s="8" t="s">
        <v>9</v>
      </c>
      <c r="H29" s="8" t="s">
        <v>19</v>
      </c>
      <c r="I29" s="8" t="s">
        <v>11</v>
      </c>
      <c r="J29" s="4" t="s">
        <v>12</v>
      </c>
      <c r="K29" s="5" t="s">
        <v>13</v>
      </c>
      <c r="L29" s="4" t="s">
        <v>14</v>
      </c>
    </row>
    <row r="30" spans="1:12" x14ac:dyDescent="0.3">
      <c r="A30" s="2" t="s">
        <v>15</v>
      </c>
      <c r="B30" s="9">
        <v>71809.55</v>
      </c>
      <c r="C30" s="9">
        <v>0</v>
      </c>
      <c r="D30" s="9">
        <v>1452175.9999999998</v>
      </c>
      <c r="E30" s="9">
        <v>0</v>
      </c>
      <c r="F30" s="9">
        <v>323862.78999999998</v>
      </c>
      <c r="G30" s="9">
        <v>0</v>
      </c>
      <c r="H30" s="9">
        <v>876544</v>
      </c>
      <c r="I30" s="9">
        <v>541179.62</v>
      </c>
      <c r="J30" s="9">
        <v>122</v>
      </c>
      <c r="K30" s="9">
        <v>143</v>
      </c>
      <c r="L30" s="9">
        <v>4</v>
      </c>
    </row>
    <row r="31" spans="1:12" x14ac:dyDescent="0.3">
      <c r="A31" s="2" t="s">
        <v>16</v>
      </c>
      <c r="B31" s="9">
        <v>0</v>
      </c>
      <c r="C31" s="9">
        <v>0</v>
      </c>
      <c r="D31" s="9">
        <v>0</v>
      </c>
      <c r="E31" s="9">
        <v>0</v>
      </c>
      <c r="F31" s="9">
        <v>0</v>
      </c>
      <c r="G31" s="9">
        <v>0</v>
      </c>
      <c r="H31" s="9">
        <v>0</v>
      </c>
      <c r="I31" s="9">
        <v>0</v>
      </c>
      <c r="J31" s="9">
        <v>0</v>
      </c>
      <c r="K31" s="9">
        <v>0</v>
      </c>
      <c r="L31" s="9">
        <v>0</v>
      </c>
    </row>
    <row r="32" spans="1:12" x14ac:dyDescent="0.3">
      <c r="A32" s="2" t="s">
        <v>17</v>
      </c>
      <c r="B32" s="9">
        <v>16657.580000000002</v>
      </c>
      <c r="C32" s="9">
        <v>0</v>
      </c>
      <c r="D32" s="9">
        <v>8488010.2599999998</v>
      </c>
      <c r="E32" s="9">
        <v>0</v>
      </c>
      <c r="F32" s="9">
        <v>0</v>
      </c>
      <c r="G32" s="9">
        <v>0</v>
      </c>
      <c r="H32" s="9">
        <v>73614</v>
      </c>
      <c r="I32" s="9">
        <v>0</v>
      </c>
      <c r="J32" s="9">
        <v>86</v>
      </c>
      <c r="K32" s="9">
        <v>40</v>
      </c>
      <c r="L32" s="9">
        <v>1</v>
      </c>
    </row>
    <row r="33" spans="1:12" x14ac:dyDescent="0.3">
      <c r="A33" s="2" t="s">
        <v>18</v>
      </c>
      <c r="B33" s="9">
        <v>0</v>
      </c>
      <c r="C33" s="9">
        <v>0</v>
      </c>
      <c r="D33" s="9">
        <v>0</v>
      </c>
      <c r="E33" s="9">
        <v>0</v>
      </c>
      <c r="F33" s="9">
        <v>0</v>
      </c>
      <c r="G33" s="9">
        <v>0</v>
      </c>
      <c r="H33" s="9">
        <v>902</v>
      </c>
      <c r="I33" s="9">
        <v>0</v>
      </c>
      <c r="J33" s="9">
        <v>0</v>
      </c>
      <c r="K33" s="9">
        <v>1</v>
      </c>
      <c r="L33" s="9">
        <v>0</v>
      </c>
    </row>
    <row r="34" spans="1:12" x14ac:dyDescent="0.3">
      <c r="A34" s="6">
        <v>45444</v>
      </c>
    </row>
    <row r="35" spans="1:12" ht="33" customHeight="1" x14ac:dyDescent="0.3">
      <c r="A35" s="3" t="s">
        <v>3</v>
      </c>
      <c r="B35" s="8" t="s">
        <v>4</v>
      </c>
      <c r="C35" s="8" t="s">
        <v>5</v>
      </c>
      <c r="D35" s="8" t="s">
        <v>6</v>
      </c>
      <c r="E35" s="8" t="s">
        <v>7</v>
      </c>
      <c r="F35" s="8" t="s">
        <v>8</v>
      </c>
      <c r="G35" s="8" t="s">
        <v>9</v>
      </c>
      <c r="H35" s="8" t="s">
        <v>19</v>
      </c>
      <c r="I35" s="8" t="s">
        <v>11</v>
      </c>
      <c r="J35" s="4" t="s">
        <v>12</v>
      </c>
      <c r="K35" s="5" t="s">
        <v>13</v>
      </c>
      <c r="L35" s="4" t="s">
        <v>14</v>
      </c>
    </row>
    <row r="36" spans="1:12" x14ac:dyDescent="0.3">
      <c r="A36" s="2" t="s">
        <v>15</v>
      </c>
      <c r="B36" s="9">
        <v>265263.94</v>
      </c>
      <c r="C36" s="9">
        <v>0</v>
      </c>
      <c r="D36" s="9">
        <v>1897308.35</v>
      </c>
      <c r="E36" s="9">
        <v>0</v>
      </c>
      <c r="F36" s="9">
        <v>628177.32999999984</v>
      </c>
      <c r="G36" s="9">
        <v>0</v>
      </c>
      <c r="H36" s="9">
        <v>1473574.6400000001</v>
      </c>
      <c r="I36" s="9">
        <v>878966.19000000006</v>
      </c>
      <c r="J36" s="9">
        <v>104</v>
      </c>
      <c r="K36" s="9">
        <v>118</v>
      </c>
      <c r="L36" s="9">
        <v>6</v>
      </c>
    </row>
    <row r="37" spans="1:12" x14ac:dyDescent="0.3">
      <c r="A37" s="2" t="s">
        <v>16</v>
      </c>
      <c r="B37" s="9">
        <v>0</v>
      </c>
      <c r="C37" s="9">
        <v>0</v>
      </c>
      <c r="D37" s="9">
        <v>948476</v>
      </c>
      <c r="E37" s="9">
        <v>0</v>
      </c>
      <c r="F37" s="9">
        <v>0</v>
      </c>
      <c r="G37" s="9">
        <v>0</v>
      </c>
      <c r="H37" s="9">
        <v>0</v>
      </c>
      <c r="I37" s="9">
        <v>0</v>
      </c>
      <c r="J37" s="9">
        <v>0</v>
      </c>
      <c r="K37" s="9">
        <v>1</v>
      </c>
      <c r="L37" s="9">
        <v>0</v>
      </c>
    </row>
    <row r="38" spans="1:12" x14ac:dyDescent="0.3">
      <c r="A38" s="2" t="s">
        <v>17</v>
      </c>
      <c r="B38" s="9">
        <v>0</v>
      </c>
      <c r="C38" s="9">
        <v>0</v>
      </c>
      <c r="D38" s="9">
        <v>29706433.079999998</v>
      </c>
      <c r="E38" s="9">
        <v>0</v>
      </c>
      <c r="F38" s="9">
        <v>0</v>
      </c>
      <c r="G38" s="9">
        <v>0</v>
      </c>
      <c r="H38" s="9">
        <v>168044</v>
      </c>
      <c r="I38" s="9">
        <v>0</v>
      </c>
      <c r="J38" s="9">
        <v>62</v>
      </c>
      <c r="K38" s="9">
        <v>48</v>
      </c>
      <c r="L38" s="9">
        <v>0</v>
      </c>
    </row>
    <row r="39" spans="1:12" x14ac:dyDescent="0.3">
      <c r="A39" s="2" t="s">
        <v>18</v>
      </c>
      <c r="B39" s="9">
        <v>0</v>
      </c>
      <c r="C39" s="9">
        <v>0</v>
      </c>
      <c r="D39" s="9">
        <v>155874</v>
      </c>
      <c r="E39" s="9">
        <v>0</v>
      </c>
      <c r="F39" s="9">
        <v>0</v>
      </c>
      <c r="G39" s="9">
        <v>0</v>
      </c>
      <c r="H39" s="9">
        <v>1722</v>
      </c>
      <c r="I39" s="9">
        <v>0</v>
      </c>
      <c r="J39" s="9">
        <v>0</v>
      </c>
      <c r="K39" s="9">
        <v>3</v>
      </c>
      <c r="L39" s="9">
        <v>0</v>
      </c>
    </row>
    <row r="40" spans="1:12" x14ac:dyDescent="0.3">
      <c r="A40" s="6">
        <v>45474</v>
      </c>
    </row>
    <row r="41" spans="1:12" ht="33" customHeight="1" x14ac:dyDescent="0.3">
      <c r="A41" s="3" t="s">
        <v>3</v>
      </c>
      <c r="B41" s="8" t="s">
        <v>4</v>
      </c>
      <c r="C41" s="8" t="s">
        <v>5</v>
      </c>
      <c r="D41" s="8" t="s">
        <v>6</v>
      </c>
      <c r="E41" s="8" t="s">
        <v>7</v>
      </c>
      <c r="F41" s="8" t="s">
        <v>8</v>
      </c>
      <c r="G41" s="8" t="s">
        <v>9</v>
      </c>
      <c r="H41" s="8" t="s">
        <v>19</v>
      </c>
      <c r="I41" s="8" t="s">
        <v>11</v>
      </c>
      <c r="J41" s="4" t="s">
        <v>12</v>
      </c>
      <c r="K41" s="5" t="s">
        <v>13</v>
      </c>
      <c r="L41" s="4" t="s">
        <v>14</v>
      </c>
    </row>
    <row r="42" spans="1:12" x14ac:dyDescent="0.3">
      <c r="A42" s="2" t="s">
        <v>15</v>
      </c>
      <c r="B42" s="9">
        <v>20077.39</v>
      </c>
      <c r="C42" s="9">
        <v>0</v>
      </c>
      <c r="D42" s="9">
        <v>7767465.7999999998</v>
      </c>
      <c r="E42" s="9">
        <v>0</v>
      </c>
      <c r="F42" s="9">
        <v>16305.079999999998</v>
      </c>
      <c r="G42" s="9">
        <v>0</v>
      </c>
      <c r="H42" s="9">
        <v>382021.28</v>
      </c>
      <c r="I42" s="9">
        <v>244478.49000000002</v>
      </c>
      <c r="J42" s="9">
        <v>76</v>
      </c>
      <c r="K42" s="9">
        <v>162</v>
      </c>
      <c r="L42" s="9">
        <v>4</v>
      </c>
    </row>
    <row r="43" spans="1:12" x14ac:dyDescent="0.3">
      <c r="A43" s="2" t="s">
        <v>16</v>
      </c>
      <c r="B43" s="9">
        <v>0</v>
      </c>
      <c r="C43" s="9">
        <v>0</v>
      </c>
      <c r="D43" s="9">
        <v>0</v>
      </c>
      <c r="E43" s="9">
        <v>0</v>
      </c>
      <c r="F43" s="9">
        <v>0</v>
      </c>
      <c r="G43" s="9">
        <v>0</v>
      </c>
      <c r="H43" s="9">
        <v>0</v>
      </c>
      <c r="I43" s="9">
        <v>0</v>
      </c>
      <c r="J43" s="9">
        <v>0</v>
      </c>
      <c r="K43" s="9">
        <v>0</v>
      </c>
      <c r="L43" s="9">
        <v>0</v>
      </c>
    </row>
    <row r="44" spans="1:12" x14ac:dyDescent="0.3">
      <c r="A44" s="2" t="s">
        <v>17</v>
      </c>
      <c r="B44" s="9">
        <v>11526.400000000001</v>
      </c>
      <c r="C44" s="9">
        <v>0</v>
      </c>
      <c r="D44" s="9">
        <v>16697185.189999999</v>
      </c>
      <c r="E44" s="9">
        <v>0</v>
      </c>
      <c r="F44" s="9">
        <v>691351.02</v>
      </c>
      <c r="G44" s="9">
        <v>0</v>
      </c>
      <c r="H44" s="9">
        <v>241835</v>
      </c>
      <c r="I44" s="9">
        <v>26972.34</v>
      </c>
      <c r="J44" s="9">
        <v>43</v>
      </c>
      <c r="K44" s="9">
        <v>63</v>
      </c>
      <c r="L44" s="9">
        <v>1</v>
      </c>
    </row>
    <row r="45" spans="1:12" x14ac:dyDescent="0.3">
      <c r="A45" s="2" t="s">
        <v>18</v>
      </c>
      <c r="B45" s="9">
        <v>0</v>
      </c>
      <c r="C45" s="9">
        <v>0</v>
      </c>
      <c r="D45" s="9">
        <v>0</v>
      </c>
      <c r="E45" s="9">
        <v>0</v>
      </c>
      <c r="F45" s="9">
        <v>0</v>
      </c>
      <c r="G45" s="9">
        <v>0</v>
      </c>
      <c r="H45" s="9">
        <v>1108</v>
      </c>
      <c r="I45" s="9">
        <v>0</v>
      </c>
      <c r="J45" s="9">
        <v>0</v>
      </c>
      <c r="K45" s="9">
        <v>1</v>
      </c>
      <c r="L45" s="9">
        <v>0</v>
      </c>
    </row>
    <row r="46" spans="1:12" x14ac:dyDescent="0.3">
      <c r="A46" s="6">
        <v>45505</v>
      </c>
    </row>
    <row r="47" spans="1:12" ht="33" customHeight="1" x14ac:dyDescent="0.3">
      <c r="A47" s="3" t="s">
        <v>3</v>
      </c>
      <c r="B47" s="8" t="s">
        <v>4</v>
      </c>
      <c r="C47" s="8" t="s">
        <v>5</v>
      </c>
      <c r="D47" s="8" t="s">
        <v>6</v>
      </c>
      <c r="E47" s="8" t="s">
        <v>7</v>
      </c>
      <c r="F47" s="8" t="s">
        <v>8</v>
      </c>
      <c r="G47" s="8" t="s">
        <v>9</v>
      </c>
      <c r="H47" s="8" t="s">
        <v>19</v>
      </c>
      <c r="I47" s="8" t="s">
        <v>11</v>
      </c>
      <c r="J47" s="4" t="s">
        <v>12</v>
      </c>
      <c r="K47" s="5" t="s">
        <v>13</v>
      </c>
      <c r="L47" s="4" t="s">
        <v>14</v>
      </c>
    </row>
    <row r="48" spans="1:12" x14ac:dyDescent="0.3">
      <c r="A48" s="2" t="s">
        <v>15</v>
      </c>
      <c r="B48" s="9">
        <v>12497.07</v>
      </c>
      <c r="C48" s="9">
        <v>0</v>
      </c>
      <c r="D48" s="9">
        <v>5305551.6599999983</v>
      </c>
      <c r="E48" s="9">
        <v>0</v>
      </c>
      <c r="F48" s="9">
        <v>278266.99</v>
      </c>
      <c r="G48" s="9">
        <v>0</v>
      </c>
      <c r="H48" s="9">
        <v>599076.01</v>
      </c>
      <c r="I48" s="9">
        <v>530427.57999999996</v>
      </c>
      <c r="J48" s="9">
        <v>115</v>
      </c>
      <c r="K48" s="9">
        <v>157</v>
      </c>
      <c r="L48" s="9">
        <v>13</v>
      </c>
    </row>
    <row r="49" spans="1:12" x14ac:dyDescent="0.3">
      <c r="A49" s="2" t="s">
        <v>16</v>
      </c>
      <c r="B49" s="9">
        <v>0</v>
      </c>
      <c r="C49" s="9">
        <v>0</v>
      </c>
      <c r="D49" s="9">
        <v>0</v>
      </c>
      <c r="E49" s="9">
        <v>0</v>
      </c>
      <c r="F49" s="9">
        <v>0</v>
      </c>
      <c r="G49" s="9">
        <v>0</v>
      </c>
      <c r="H49" s="9">
        <v>0</v>
      </c>
      <c r="I49" s="9">
        <v>0</v>
      </c>
      <c r="J49" s="9">
        <v>0</v>
      </c>
      <c r="K49" s="9">
        <v>0</v>
      </c>
      <c r="L49" s="9">
        <v>0</v>
      </c>
    </row>
    <row r="50" spans="1:12" x14ac:dyDescent="0.3">
      <c r="A50" s="2" t="s">
        <v>17</v>
      </c>
      <c r="B50" s="9">
        <v>0</v>
      </c>
      <c r="C50" s="9">
        <v>0</v>
      </c>
      <c r="D50" s="9">
        <v>45914984.329999998</v>
      </c>
      <c r="E50" s="9">
        <v>0</v>
      </c>
      <c r="F50" s="9">
        <v>0</v>
      </c>
      <c r="G50" s="9">
        <v>0</v>
      </c>
      <c r="H50" s="9">
        <v>135177</v>
      </c>
      <c r="I50" s="9">
        <v>0</v>
      </c>
      <c r="J50" s="9">
        <v>39</v>
      </c>
      <c r="K50" s="9">
        <v>73</v>
      </c>
      <c r="L50" s="9">
        <v>0</v>
      </c>
    </row>
    <row r="51" spans="1:12" x14ac:dyDescent="0.3">
      <c r="A51" s="2" t="s">
        <v>18</v>
      </c>
      <c r="B51" s="9">
        <v>0</v>
      </c>
      <c r="C51" s="9">
        <v>0</v>
      </c>
      <c r="D51" s="9">
        <v>0</v>
      </c>
      <c r="E51" s="9">
        <v>0</v>
      </c>
      <c r="F51" s="9">
        <v>0</v>
      </c>
      <c r="G51" s="9">
        <v>0</v>
      </c>
      <c r="H51" s="9">
        <v>0</v>
      </c>
      <c r="I51" s="9">
        <v>0</v>
      </c>
      <c r="J51" s="9">
        <v>0</v>
      </c>
      <c r="K51" s="9">
        <v>0</v>
      </c>
      <c r="L51" s="9">
        <v>0</v>
      </c>
    </row>
    <row r="52" spans="1:12" x14ac:dyDescent="0.3">
      <c r="A52" s="6">
        <v>45536</v>
      </c>
    </row>
    <row r="53" spans="1:12" ht="33" customHeight="1" x14ac:dyDescent="0.3">
      <c r="A53" s="3" t="s">
        <v>3</v>
      </c>
      <c r="B53" s="8" t="s">
        <v>4</v>
      </c>
      <c r="C53" s="8" t="s">
        <v>5</v>
      </c>
      <c r="D53" s="8" t="s">
        <v>6</v>
      </c>
      <c r="E53" s="8" t="s">
        <v>7</v>
      </c>
      <c r="F53" s="8" t="s">
        <v>8</v>
      </c>
      <c r="G53" s="8" t="s">
        <v>9</v>
      </c>
      <c r="H53" s="8" t="s">
        <v>19</v>
      </c>
      <c r="I53" s="8" t="s">
        <v>11</v>
      </c>
      <c r="J53" s="4" t="s">
        <v>12</v>
      </c>
      <c r="K53" s="5" t="s">
        <v>13</v>
      </c>
      <c r="L53" s="4" t="s">
        <v>14</v>
      </c>
    </row>
    <row r="54" spans="1:12" x14ac:dyDescent="0.3">
      <c r="A54" s="2" t="s">
        <v>15</v>
      </c>
      <c r="B54" s="9">
        <v>49700.17</v>
      </c>
      <c r="C54" s="9">
        <v>0</v>
      </c>
      <c r="D54" s="9">
        <v>3196842.03</v>
      </c>
      <c r="E54" s="9">
        <v>0</v>
      </c>
      <c r="F54" s="9">
        <v>26958</v>
      </c>
      <c r="G54" s="9">
        <v>0</v>
      </c>
      <c r="H54" s="9">
        <v>396388</v>
      </c>
      <c r="I54" s="9">
        <v>118398.52</v>
      </c>
      <c r="J54" s="9">
        <v>104</v>
      </c>
      <c r="K54" s="9">
        <v>136</v>
      </c>
      <c r="L54" s="9">
        <v>7</v>
      </c>
    </row>
    <row r="55" spans="1:12" x14ac:dyDescent="0.3">
      <c r="A55" s="2" t="s">
        <v>16</v>
      </c>
      <c r="B55" s="9">
        <v>0</v>
      </c>
      <c r="C55" s="9">
        <v>0</v>
      </c>
      <c r="D55" s="9">
        <v>0</v>
      </c>
      <c r="E55" s="9">
        <v>0</v>
      </c>
      <c r="F55" s="9">
        <v>0</v>
      </c>
      <c r="G55" s="9">
        <v>0</v>
      </c>
      <c r="H55" s="9">
        <v>0</v>
      </c>
      <c r="I55" s="9">
        <v>0</v>
      </c>
      <c r="J55" s="9">
        <v>0</v>
      </c>
      <c r="K55" s="9">
        <v>0</v>
      </c>
      <c r="L55" s="9">
        <v>0</v>
      </c>
    </row>
    <row r="56" spans="1:12" x14ac:dyDescent="0.3">
      <c r="A56" s="2" t="s">
        <v>17</v>
      </c>
      <c r="B56" s="9">
        <v>0</v>
      </c>
      <c r="C56" s="9">
        <v>0</v>
      </c>
      <c r="D56" s="9">
        <v>12863734.450000001</v>
      </c>
      <c r="E56" s="9">
        <v>0</v>
      </c>
      <c r="F56" s="9">
        <v>0</v>
      </c>
      <c r="G56" s="9">
        <v>0</v>
      </c>
      <c r="H56" s="9">
        <v>240472</v>
      </c>
      <c r="I56" s="9">
        <v>0</v>
      </c>
      <c r="J56" s="9">
        <v>40</v>
      </c>
      <c r="K56" s="9">
        <v>71</v>
      </c>
      <c r="L56" s="9">
        <v>1</v>
      </c>
    </row>
    <row r="57" spans="1:12" x14ac:dyDescent="0.3">
      <c r="A57" s="2" t="s">
        <v>18</v>
      </c>
      <c r="B57" s="9">
        <v>0</v>
      </c>
      <c r="C57" s="9">
        <v>0</v>
      </c>
      <c r="D57" s="9">
        <v>0</v>
      </c>
      <c r="E57" s="9">
        <v>0</v>
      </c>
      <c r="F57" s="9">
        <v>0</v>
      </c>
      <c r="G57" s="9">
        <v>0</v>
      </c>
      <c r="H57" s="9">
        <v>0</v>
      </c>
      <c r="I57" s="9">
        <v>0</v>
      </c>
      <c r="J57" s="9">
        <v>0</v>
      </c>
      <c r="K57" s="9">
        <v>0</v>
      </c>
      <c r="L57" s="9">
        <v>0</v>
      </c>
    </row>
    <row r="58" spans="1:12" x14ac:dyDescent="0.3">
      <c r="A58" s="6">
        <v>45566</v>
      </c>
    </row>
    <row r="59" spans="1:12" ht="33" customHeight="1" x14ac:dyDescent="0.3">
      <c r="A59" s="3" t="s">
        <v>3</v>
      </c>
      <c r="B59" s="8" t="s">
        <v>4</v>
      </c>
      <c r="C59" s="8" t="s">
        <v>5</v>
      </c>
      <c r="D59" s="8" t="s">
        <v>6</v>
      </c>
      <c r="E59" s="8" t="s">
        <v>7</v>
      </c>
      <c r="F59" s="8" t="s">
        <v>8</v>
      </c>
      <c r="G59" s="8" t="s">
        <v>9</v>
      </c>
      <c r="H59" s="8" t="s">
        <v>19</v>
      </c>
      <c r="I59" s="8" t="s">
        <v>11</v>
      </c>
      <c r="J59" s="4" t="s">
        <v>12</v>
      </c>
      <c r="K59" s="5" t="s">
        <v>13</v>
      </c>
      <c r="L59" s="4" t="s">
        <v>14</v>
      </c>
    </row>
    <row r="60" spans="1:12" s="27" customFormat="1" x14ac:dyDescent="0.3">
      <c r="A60" s="25" t="s">
        <v>15</v>
      </c>
      <c r="B60" s="26">
        <v>108789.73000000001</v>
      </c>
      <c r="C60" s="26">
        <v>0</v>
      </c>
      <c r="D60" s="26">
        <v>5455226.6099999994</v>
      </c>
      <c r="E60" s="26">
        <v>0</v>
      </c>
      <c r="F60" s="26">
        <v>477913.47000000003</v>
      </c>
      <c r="G60" s="26">
        <v>0</v>
      </c>
      <c r="H60" s="26">
        <v>1256218</v>
      </c>
      <c r="I60" s="26">
        <v>960504.36000000022</v>
      </c>
      <c r="J60" s="26">
        <v>121</v>
      </c>
      <c r="K60" s="26">
        <v>165</v>
      </c>
      <c r="L60" s="26">
        <v>11</v>
      </c>
    </row>
    <row r="61" spans="1:12" x14ac:dyDescent="0.3">
      <c r="A61" s="2" t="s">
        <v>16</v>
      </c>
      <c r="B61" s="9">
        <v>0</v>
      </c>
      <c r="C61" s="9">
        <v>0</v>
      </c>
      <c r="D61" s="9">
        <v>0</v>
      </c>
      <c r="E61" s="9">
        <v>0</v>
      </c>
      <c r="F61" s="9">
        <v>0</v>
      </c>
      <c r="G61" s="9">
        <v>0</v>
      </c>
      <c r="H61" s="9">
        <v>0</v>
      </c>
      <c r="I61" s="9">
        <v>0</v>
      </c>
      <c r="J61" s="9">
        <v>0</v>
      </c>
      <c r="K61" s="9">
        <v>0</v>
      </c>
      <c r="L61" s="9">
        <v>0</v>
      </c>
    </row>
    <row r="62" spans="1:12" x14ac:dyDescent="0.3">
      <c r="A62" s="2" t="s">
        <v>17</v>
      </c>
      <c r="B62" s="9">
        <v>24072.949999999997</v>
      </c>
      <c r="C62" s="9">
        <v>0</v>
      </c>
      <c r="D62" s="9">
        <v>5477943.4399999995</v>
      </c>
      <c r="E62" s="9">
        <v>0</v>
      </c>
      <c r="F62" s="9">
        <v>0</v>
      </c>
      <c r="G62" s="9">
        <v>0</v>
      </c>
      <c r="H62" s="9">
        <v>380415</v>
      </c>
      <c r="I62" s="9">
        <v>0</v>
      </c>
      <c r="J62" s="9">
        <v>43</v>
      </c>
      <c r="K62" s="9">
        <v>51</v>
      </c>
      <c r="L62" s="9">
        <v>1</v>
      </c>
    </row>
    <row r="63" spans="1:12" x14ac:dyDescent="0.3">
      <c r="A63" s="2" t="s">
        <v>18</v>
      </c>
      <c r="B63" s="9">
        <v>0</v>
      </c>
      <c r="C63" s="9">
        <v>0</v>
      </c>
      <c r="D63" s="9">
        <v>0</v>
      </c>
      <c r="E63" s="9">
        <v>0</v>
      </c>
      <c r="F63" s="9">
        <v>0</v>
      </c>
      <c r="G63" s="9">
        <v>0</v>
      </c>
      <c r="H63" s="9">
        <v>2656</v>
      </c>
      <c r="I63" s="9">
        <v>0</v>
      </c>
      <c r="J63" s="9">
        <v>0</v>
      </c>
      <c r="K63" s="9">
        <v>2</v>
      </c>
      <c r="L63" s="9">
        <v>0</v>
      </c>
    </row>
    <row r="64" spans="1:12" x14ac:dyDescent="0.3">
      <c r="A64" s="6">
        <v>45597</v>
      </c>
    </row>
    <row r="65" spans="1:12" ht="33" customHeight="1" x14ac:dyDescent="0.3">
      <c r="A65" s="3" t="s">
        <v>3</v>
      </c>
      <c r="B65" s="8" t="s">
        <v>4</v>
      </c>
      <c r="C65" s="8" t="s">
        <v>5</v>
      </c>
      <c r="D65" s="8" t="s">
        <v>6</v>
      </c>
      <c r="E65" s="8" t="s">
        <v>7</v>
      </c>
      <c r="F65" s="8" t="s">
        <v>8</v>
      </c>
      <c r="G65" s="8" t="s">
        <v>9</v>
      </c>
      <c r="H65" s="8" t="s">
        <v>19</v>
      </c>
      <c r="I65" s="8" t="s">
        <v>11</v>
      </c>
      <c r="J65" s="4" t="s">
        <v>12</v>
      </c>
      <c r="K65" s="5" t="s">
        <v>13</v>
      </c>
      <c r="L65" s="4" t="s">
        <v>14</v>
      </c>
    </row>
    <row r="66" spans="1:12" s="27" customFormat="1" x14ac:dyDescent="0.3">
      <c r="A66" s="25" t="s">
        <v>15</v>
      </c>
      <c r="B66" s="26">
        <v>9924.39</v>
      </c>
      <c r="C66" s="26">
        <v>0</v>
      </c>
      <c r="D66" s="26">
        <v>2346496.41</v>
      </c>
      <c r="E66" s="26">
        <v>0</v>
      </c>
      <c r="F66" s="26">
        <v>321048.23</v>
      </c>
      <c r="G66" s="26">
        <v>0</v>
      </c>
      <c r="H66" s="26">
        <v>668843.55000000005</v>
      </c>
      <c r="I66" s="26">
        <v>482094.55</v>
      </c>
      <c r="J66" s="26">
        <v>91</v>
      </c>
      <c r="K66" s="26">
        <v>137</v>
      </c>
      <c r="L66" s="26">
        <v>5</v>
      </c>
    </row>
    <row r="67" spans="1:12" x14ac:dyDescent="0.3">
      <c r="A67" s="2" t="s">
        <v>16</v>
      </c>
      <c r="B67" s="9">
        <v>0</v>
      </c>
      <c r="C67" s="9">
        <v>0</v>
      </c>
      <c r="D67" s="9">
        <v>0</v>
      </c>
      <c r="E67" s="9">
        <v>0</v>
      </c>
      <c r="F67" s="9">
        <v>0</v>
      </c>
      <c r="G67" s="9">
        <v>0</v>
      </c>
      <c r="H67" s="9">
        <v>0</v>
      </c>
      <c r="I67" s="9">
        <v>0</v>
      </c>
      <c r="J67" s="9">
        <v>0</v>
      </c>
      <c r="K67" s="9">
        <v>0</v>
      </c>
      <c r="L67" s="9">
        <v>0</v>
      </c>
    </row>
    <row r="68" spans="1:12" x14ac:dyDescent="0.3">
      <c r="A68" s="2" t="s">
        <v>17</v>
      </c>
      <c r="B68" s="9">
        <v>11271.36</v>
      </c>
      <c r="C68" s="9">
        <v>0</v>
      </c>
      <c r="D68" s="9">
        <v>7892915.6200000001</v>
      </c>
      <c r="E68" s="9">
        <v>0</v>
      </c>
      <c r="F68" s="9">
        <v>0</v>
      </c>
      <c r="G68" s="9">
        <v>0</v>
      </c>
      <c r="H68" s="9">
        <v>166976</v>
      </c>
      <c r="I68" s="9">
        <v>0</v>
      </c>
      <c r="J68" s="9">
        <v>35</v>
      </c>
      <c r="K68" s="9">
        <v>44</v>
      </c>
      <c r="L68" s="9">
        <v>2</v>
      </c>
    </row>
    <row r="69" spans="1:12" x14ac:dyDescent="0.3">
      <c r="A69" s="2" t="s">
        <v>18</v>
      </c>
      <c r="B69" s="9">
        <v>0</v>
      </c>
      <c r="C69" s="9">
        <v>0</v>
      </c>
      <c r="D69" s="9">
        <v>0</v>
      </c>
      <c r="E69" s="9">
        <v>0</v>
      </c>
      <c r="F69" s="9">
        <v>0</v>
      </c>
      <c r="G69" s="9">
        <v>0</v>
      </c>
      <c r="H69" s="9">
        <v>1276</v>
      </c>
      <c r="I69" s="9">
        <v>0</v>
      </c>
      <c r="J69" s="9">
        <v>0</v>
      </c>
      <c r="K69" s="9">
        <v>1</v>
      </c>
      <c r="L69" s="9">
        <v>0</v>
      </c>
    </row>
    <row r="70" spans="1:12" x14ac:dyDescent="0.3">
      <c r="A70" s="6">
        <v>45627</v>
      </c>
    </row>
    <row r="71" spans="1:12" ht="33" customHeight="1" x14ac:dyDescent="0.3">
      <c r="A71" s="3" t="s">
        <v>3</v>
      </c>
      <c r="B71" s="8" t="s">
        <v>4</v>
      </c>
      <c r="C71" s="8" t="s">
        <v>5</v>
      </c>
      <c r="D71" s="8" t="s">
        <v>6</v>
      </c>
      <c r="E71" s="8" t="s">
        <v>7</v>
      </c>
      <c r="F71" s="8" t="s">
        <v>8</v>
      </c>
      <c r="G71" s="8" t="s">
        <v>9</v>
      </c>
      <c r="H71" s="8" t="s">
        <v>19</v>
      </c>
      <c r="I71" s="8" t="s">
        <v>11</v>
      </c>
      <c r="J71" s="4" t="s">
        <v>12</v>
      </c>
      <c r="K71" s="5" t="s">
        <v>13</v>
      </c>
      <c r="L71" s="4" t="s">
        <v>14</v>
      </c>
    </row>
    <row r="72" spans="1:12" s="27" customFormat="1" x14ac:dyDescent="0.3">
      <c r="A72" s="25" t="s">
        <v>15</v>
      </c>
      <c r="B72" s="26">
        <v>75007.56</v>
      </c>
      <c r="C72" s="26">
        <v>0</v>
      </c>
      <c r="D72" s="26">
        <v>4338794.5300000012</v>
      </c>
      <c r="E72" s="26">
        <v>0</v>
      </c>
      <c r="F72" s="26">
        <v>170664.19</v>
      </c>
      <c r="G72" s="26">
        <v>0</v>
      </c>
      <c r="H72" s="26">
        <v>492974</v>
      </c>
      <c r="I72" s="26">
        <v>380940.19</v>
      </c>
      <c r="J72" s="26">
        <v>94</v>
      </c>
      <c r="K72" s="26">
        <v>115</v>
      </c>
      <c r="L72" s="26">
        <v>4</v>
      </c>
    </row>
    <row r="73" spans="1:12" x14ac:dyDescent="0.3">
      <c r="A73" s="2" t="s">
        <v>16</v>
      </c>
      <c r="B73" s="9">
        <v>0</v>
      </c>
      <c r="C73" s="9">
        <v>0</v>
      </c>
      <c r="D73" s="9">
        <v>0</v>
      </c>
      <c r="E73" s="9">
        <v>0</v>
      </c>
      <c r="F73" s="9">
        <v>0</v>
      </c>
      <c r="G73" s="9">
        <v>0</v>
      </c>
      <c r="H73" s="9">
        <v>0</v>
      </c>
      <c r="I73" s="9">
        <v>0</v>
      </c>
      <c r="J73" s="9">
        <v>0</v>
      </c>
      <c r="K73" s="9">
        <v>0</v>
      </c>
      <c r="L73" s="9">
        <v>0</v>
      </c>
    </row>
    <row r="74" spans="1:12" x14ac:dyDescent="0.3">
      <c r="A74" s="2" t="s">
        <v>17</v>
      </c>
      <c r="B74" s="9">
        <v>0</v>
      </c>
      <c r="C74" s="9">
        <v>0</v>
      </c>
      <c r="D74" s="9">
        <v>9594364.0299999993</v>
      </c>
      <c r="E74" s="9">
        <v>0</v>
      </c>
      <c r="F74" s="9">
        <v>98533</v>
      </c>
      <c r="G74" s="9">
        <v>0</v>
      </c>
      <c r="H74" s="9">
        <v>130252</v>
      </c>
      <c r="I74" s="9">
        <v>0</v>
      </c>
      <c r="J74" s="9">
        <v>26</v>
      </c>
      <c r="K74" s="9">
        <v>44</v>
      </c>
      <c r="L74" s="9">
        <v>0</v>
      </c>
    </row>
    <row r="75" spans="1:12" x14ac:dyDescent="0.3">
      <c r="A75" s="2" t="s">
        <v>18</v>
      </c>
      <c r="B75" s="9">
        <v>0</v>
      </c>
      <c r="C75" s="9">
        <v>0</v>
      </c>
      <c r="D75" s="9">
        <v>0</v>
      </c>
      <c r="E75" s="9">
        <v>0</v>
      </c>
      <c r="F75" s="9">
        <v>0</v>
      </c>
      <c r="G75" s="9">
        <v>0</v>
      </c>
      <c r="H75" s="9">
        <v>0</v>
      </c>
      <c r="I75" s="9">
        <v>0</v>
      </c>
      <c r="J75" s="9">
        <v>0</v>
      </c>
      <c r="K75" s="9">
        <v>0</v>
      </c>
      <c r="L75" s="9">
        <v>0</v>
      </c>
    </row>
    <row r="77" spans="1:12" x14ac:dyDescent="0.3">
      <c r="A77" s="22" t="s">
        <v>20</v>
      </c>
      <c r="B77" s="20"/>
      <c r="C77" s="20"/>
      <c r="D77" s="20"/>
      <c r="E77" s="20"/>
      <c r="F77" s="20"/>
      <c r="G77" s="20"/>
      <c r="H77" s="20"/>
    </row>
    <row r="78" spans="1:12" x14ac:dyDescent="0.3">
      <c r="A78" s="19" t="s">
        <v>21</v>
      </c>
      <c r="B78" s="20"/>
      <c r="C78" s="20"/>
      <c r="D78" s="20"/>
      <c r="E78" s="20"/>
      <c r="F78" s="20"/>
      <c r="G78" s="20"/>
      <c r="H78" s="20"/>
      <c r="I78" s="19"/>
    </row>
    <row r="79" spans="1:12" x14ac:dyDescent="0.3">
      <c r="A79" s="19" t="s">
        <v>22</v>
      </c>
      <c r="B79" s="20"/>
      <c r="C79" s="20"/>
      <c r="D79" s="20"/>
      <c r="E79" s="20"/>
      <c r="F79" s="20"/>
      <c r="G79" s="20"/>
      <c r="H79" s="20"/>
      <c r="I79" s="19"/>
    </row>
    <row r="80" spans="1:12" x14ac:dyDescent="0.3">
      <c r="A80" s="19" t="s">
        <v>23</v>
      </c>
      <c r="B80" s="20"/>
      <c r="C80" s="20"/>
      <c r="D80" s="20"/>
      <c r="E80" s="20"/>
      <c r="F80" s="20"/>
      <c r="G80" s="20"/>
      <c r="H80" s="20"/>
      <c r="I80" s="19"/>
    </row>
    <row r="81" spans="1:9" x14ac:dyDescent="0.3">
      <c r="A81" s="19" t="s">
        <v>24</v>
      </c>
      <c r="B81" s="20"/>
      <c r="C81" s="20"/>
      <c r="D81" s="20"/>
      <c r="E81" s="20"/>
      <c r="F81" s="20"/>
      <c r="G81" s="20"/>
      <c r="H81" s="20"/>
      <c r="I81" s="19"/>
    </row>
    <row r="82" spans="1:9" x14ac:dyDescent="0.3">
      <c r="A82" s="19" t="s">
        <v>25</v>
      </c>
      <c r="B82" s="20"/>
      <c r="C82" s="20"/>
      <c r="D82" s="20"/>
      <c r="E82" s="20"/>
      <c r="F82" s="20"/>
      <c r="G82" s="20"/>
      <c r="H82" s="20"/>
      <c r="I82" s="19"/>
    </row>
    <row r="83" spans="1:9" x14ac:dyDescent="0.3">
      <c r="A83" s="19" t="s">
        <v>26</v>
      </c>
      <c r="B83" s="20"/>
      <c r="C83" s="20"/>
      <c r="D83" s="20"/>
      <c r="E83" s="20"/>
      <c r="F83" s="20"/>
      <c r="G83" s="20"/>
      <c r="H83" s="20"/>
      <c r="I83" s="19"/>
    </row>
    <row r="84" spans="1:9" x14ac:dyDescent="0.3">
      <c r="A84" s="19" t="s">
        <v>27</v>
      </c>
      <c r="B84" s="20"/>
      <c r="C84" s="20"/>
      <c r="D84" s="20"/>
      <c r="E84" s="20"/>
      <c r="F84" s="20"/>
      <c r="G84" s="20"/>
      <c r="H84" s="20"/>
      <c r="I84" s="19"/>
    </row>
    <row r="85" spans="1:9" x14ac:dyDescent="0.3">
      <c r="A85" s="19" t="s">
        <v>28</v>
      </c>
      <c r="B85" s="20"/>
      <c r="C85" s="20"/>
      <c r="D85" s="20"/>
      <c r="E85" s="20"/>
      <c r="F85" s="20"/>
      <c r="G85" s="20"/>
      <c r="H85" s="20"/>
      <c r="I85" s="19"/>
    </row>
    <row r="86" spans="1:9" x14ac:dyDescent="0.3">
      <c r="A86" s="19" t="s">
        <v>29</v>
      </c>
      <c r="B86" s="20"/>
      <c r="C86" s="20"/>
      <c r="D86" s="20"/>
      <c r="E86" s="20"/>
      <c r="F86" s="20"/>
      <c r="G86" s="20"/>
      <c r="H86" s="20"/>
      <c r="I86" s="19"/>
    </row>
    <row r="87" spans="1:9" x14ac:dyDescent="0.3">
      <c r="A87" s="19" t="s">
        <v>30</v>
      </c>
      <c r="B87" s="20"/>
      <c r="C87" s="20"/>
      <c r="D87" s="20"/>
      <c r="E87" s="20"/>
      <c r="F87" s="20"/>
      <c r="G87" s="20"/>
      <c r="H87" s="20"/>
      <c r="I87" s="19"/>
    </row>
    <row r="88" spans="1:9" x14ac:dyDescent="0.3">
      <c r="A88" s="24" t="s">
        <v>31</v>
      </c>
    </row>
  </sheetData>
  <pageMargins left="0.7" right="0.7" top="0.75" bottom="0.75" header="0.3" footer="0.3"/>
  <pageSetup paperSize="5" scale="32" orientation="landscape" r:id="rId1"/>
  <headerFooter>
    <oddFooter>&amp;A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ECB18-1DF2-4E2D-8120-5D178D38E78B}">
  <sheetPr>
    <pageSetUpPr fitToPage="1"/>
  </sheetPr>
  <dimension ref="A1:L88"/>
  <sheetViews>
    <sheetView topLeftCell="G47" zoomScaleNormal="100" workbookViewId="0">
      <selection activeCell="D75" sqref="D75"/>
    </sheetView>
  </sheetViews>
  <sheetFormatPr defaultColWidth="40.5546875" defaultRowHeight="14.4" x14ac:dyDescent="0.3"/>
  <cols>
    <col min="1" max="1" width="32.88671875" customWidth="1"/>
    <col min="2" max="2" width="40.5546875" style="7"/>
    <col min="3" max="3" width="40.5546875" style="7" customWidth="1"/>
    <col min="4" max="4" width="40.5546875" style="7"/>
    <col min="5" max="7" width="40.5546875" style="7" customWidth="1"/>
    <col min="8" max="9" width="40.5546875" style="7"/>
  </cols>
  <sheetData>
    <row r="1" spans="1:12" x14ac:dyDescent="0.3">
      <c r="A1" s="1" t="s">
        <v>32</v>
      </c>
    </row>
    <row r="2" spans="1:12" x14ac:dyDescent="0.3">
      <c r="A2" s="1" t="s">
        <v>1</v>
      </c>
    </row>
    <row r="3" spans="1:12" x14ac:dyDescent="0.3">
      <c r="A3" s="1" t="s">
        <v>2</v>
      </c>
    </row>
    <row r="4" spans="1:12" x14ac:dyDescent="0.3">
      <c r="A4" s="6">
        <v>45292</v>
      </c>
    </row>
    <row r="5" spans="1:12" ht="33" customHeight="1" x14ac:dyDescent="0.3">
      <c r="A5" s="3" t="s">
        <v>3</v>
      </c>
      <c r="B5" s="8" t="s">
        <v>4</v>
      </c>
      <c r="C5" s="8" t="s">
        <v>5</v>
      </c>
      <c r="D5" s="8" t="s">
        <v>6</v>
      </c>
      <c r="E5" s="8" t="s">
        <v>7</v>
      </c>
      <c r="F5" s="8" t="s">
        <v>8</v>
      </c>
      <c r="G5" s="8" t="s">
        <v>9</v>
      </c>
      <c r="H5" s="8" t="s">
        <v>19</v>
      </c>
      <c r="I5" s="8" t="s">
        <v>11</v>
      </c>
      <c r="J5" s="4" t="s">
        <v>12</v>
      </c>
      <c r="K5" s="5" t="s">
        <v>13</v>
      </c>
      <c r="L5" s="4" t="s">
        <v>14</v>
      </c>
    </row>
    <row r="6" spans="1:12" x14ac:dyDescent="0.3">
      <c r="A6" s="2" t="s">
        <v>15</v>
      </c>
      <c r="B6" s="9">
        <v>55524</v>
      </c>
      <c r="C6" s="9">
        <v>0</v>
      </c>
      <c r="D6" s="9">
        <v>480516</v>
      </c>
      <c r="E6" s="9">
        <v>0</v>
      </c>
      <c r="F6" s="9">
        <v>0</v>
      </c>
      <c r="G6" s="9">
        <v>0</v>
      </c>
      <c r="H6" s="9">
        <v>100789</v>
      </c>
      <c r="I6" s="9">
        <v>0</v>
      </c>
      <c r="J6" s="9">
        <v>276</v>
      </c>
      <c r="K6" s="9">
        <v>102</v>
      </c>
      <c r="L6" s="9">
        <v>0</v>
      </c>
    </row>
    <row r="7" spans="1:12" x14ac:dyDescent="0.3">
      <c r="A7" s="2" t="s">
        <v>16</v>
      </c>
      <c r="B7" s="9">
        <v>0</v>
      </c>
      <c r="C7" s="9">
        <v>0</v>
      </c>
      <c r="D7" s="9">
        <v>0</v>
      </c>
      <c r="E7" s="9">
        <v>0</v>
      </c>
      <c r="F7" s="9">
        <v>0</v>
      </c>
      <c r="G7" s="9">
        <v>0</v>
      </c>
      <c r="H7" s="9">
        <v>0</v>
      </c>
      <c r="I7" s="9">
        <v>0</v>
      </c>
      <c r="J7" s="9">
        <v>1</v>
      </c>
      <c r="K7" s="9">
        <v>0</v>
      </c>
      <c r="L7" s="9">
        <v>0</v>
      </c>
    </row>
    <row r="8" spans="1:12" x14ac:dyDescent="0.3">
      <c r="A8" s="2" t="s">
        <v>17</v>
      </c>
      <c r="B8" s="9">
        <v>0</v>
      </c>
      <c r="C8" s="9">
        <v>0</v>
      </c>
      <c r="D8" s="9">
        <v>435912</v>
      </c>
      <c r="E8" s="9">
        <v>0</v>
      </c>
      <c r="F8" s="9">
        <v>0</v>
      </c>
      <c r="G8" s="9">
        <v>0</v>
      </c>
      <c r="H8" s="9">
        <v>17037</v>
      </c>
      <c r="I8" s="9">
        <v>0</v>
      </c>
      <c r="J8" s="9">
        <v>92</v>
      </c>
      <c r="K8" s="9">
        <v>31</v>
      </c>
      <c r="L8" s="9">
        <v>0</v>
      </c>
    </row>
    <row r="9" spans="1:12" x14ac:dyDescent="0.3">
      <c r="A9" s="2" t="s">
        <v>18</v>
      </c>
      <c r="B9" s="9">
        <v>0</v>
      </c>
      <c r="C9" s="9">
        <v>0</v>
      </c>
      <c r="D9" s="9">
        <v>2105</v>
      </c>
      <c r="E9" s="9">
        <v>0</v>
      </c>
      <c r="F9" s="9">
        <v>0</v>
      </c>
      <c r="G9" s="9">
        <v>0</v>
      </c>
      <c r="H9" s="9">
        <v>504</v>
      </c>
      <c r="I9" s="9">
        <v>0</v>
      </c>
      <c r="J9" s="9">
        <v>0</v>
      </c>
      <c r="K9" s="9">
        <v>1</v>
      </c>
      <c r="L9" s="9">
        <v>0</v>
      </c>
    </row>
    <row r="10" spans="1:12" x14ac:dyDescent="0.3">
      <c r="A10" s="6">
        <v>45323</v>
      </c>
    </row>
    <row r="11" spans="1:12" ht="33" customHeight="1" x14ac:dyDescent="0.3">
      <c r="A11" s="3" t="s">
        <v>3</v>
      </c>
      <c r="B11" s="8" t="s">
        <v>4</v>
      </c>
      <c r="C11" s="8" t="s">
        <v>5</v>
      </c>
      <c r="D11" s="8" t="s">
        <v>6</v>
      </c>
      <c r="E11" s="8" t="s">
        <v>7</v>
      </c>
      <c r="F11" s="8" t="s">
        <v>8</v>
      </c>
      <c r="G11" s="8" t="s">
        <v>9</v>
      </c>
      <c r="H11" s="8" t="s">
        <v>19</v>
      </c>
      <c r="I11" s="8" t="s">
        <v>11</v>
      </c>
      <c r="J11" s="4" t="s">
        <v>12</v>
      </c>
      <c r="K11" s="5" t="s">
        <v>13</v>
      </c>
      <c r="L11" s="4" t="s">
        <v>14</v>
      </c>
    </row>
    <row r="12" spans="1:12" x14ac:dyDescent="0.3">
      <c r="A12" s="2" t="s">
        <v>15</v>
      </c>
      <c r="B12" s="9">
        <v>3600</v>
      </c>
      <c r="C12" s="9">
        <v>0</v>
      </c>
      <c r="D12" s="9">
        <v>291776.56999999995</v>
      </c>
      <c r="E12" s="9">
        <v>0</v>
      </c>
      <c r="F12" s="9">
        <v>0</v>
      </c>
      <c r="G12" s="9">
        <v>0</v>
      </c>
      <c r="H12" s="9">
        <v>92607</v>
      </c>
      <c r="I12" s="9">
        <v>0</v>
      </c>
      <c r="J12" s="9">
        <v>170</v>
      </c>
      <c r="K12" s="9">
        <v>70</v>
      </c>
      <c r="L12" s="9">
        <v>0</v>
      </c>
    </row>
    <row r="13" spans="1:12" x14ac:dyDescent="0.3">
      <c r="A13" s="2" t="s">
        <v>16</v>
      </c>
      <c r="B13" s="9">
        <v>0</v>
      </c>
      <c r="C13" s="9">
        <v>0</v>
      </c>
      <c r="D13" s="9">
        <v>0</v>
      </c>
      <c r="E13" s="9">
        <v>0</v>
      </c>
      <c r="F13" s="9">
        <v>0</v>
      </c>
      <c r="G13" s="9">
        <v>0</v>
      </c>
      <c r="H13" s="9">
        <v>0</v>
      </c>
      <c r="I13" s="9">
        <v>0</v>
      </c>
      <c r="J13" s="9">
        <v>0</v>
      </c>
      <c r="K13" s="9">
        <v>0</v>
      </c>
      <c r="L13" s="9">
        <v>0</v>
      </c>
    </row>
    <row r="14" spans="1:12" x14ac:dyDescent="0.3">
      <c r="A14" s="2" t="s">
        <v>17</v>
      </c>
      <c r="B14" s="9">
        <v>19561</v>
      </c>
      <c r="C14" s="9">
        <v>0</v>
      </c>
      <c r="D14" s="9">
        <v>5844916.6799999997</v>
      </c>
      <c r="E14" s="9">
        <v>0</v>
      </c>
      <c r="F14" s="9">
        <v>0</v>
      </c>
      <c r="G14" s="9">
        <v>0</v>
      </c>
      <c r="H14" s="9">
        <v>43935</v>
      </c>
      <c r="I14" s="9">
        <v>0</v>
      </c>
      <c r="J14" s="9">
        <v>63</v>
      </c>
      <c r="K14" s="9">
        <v>29</v>
      </c>
      <c r="L14" s="9">
        <v>0</v>
      </c>
    </row>
    <row r="15" spans="1:12" x14ac:dyDescent="0.3">
      <c r="A15" s="2" t="s">
        <v>18</v>
      </c>
      <c r="B15" s="9">
        <v>0</v>
      </c>
      <c r="C15" s="9">
        <v>0</v>
      </c>
      <c r="D15" s="9">
        <v>4670</v>
      </c>
      <c r="E15" s="9">
        <v>0</v>
      </c>
      <c r="F15" s="9">
        <v>0</v>
      </c>
      <c r="G15" s="9">
        <v>0</v>
      </c>
      <c r="H15" s="9">
        <v>1086</v>
      </c>
      <c r="I15" s="9">
        <v>0</v>
      </c>
      <c r="J15" s="9">
        <v>1</v>
      </c>
      <c r="K15" s="9">
        <v>1</v>
      </c>
      <c r="L15" s="9">
        <v>0</v>
      </c>
    </row>
    <row r="16" spans="1:12" x14ac:dyDescent="0.3">
      <c r="A16" s="6">
        <v>45352</v>
      </c>
    </row>
    <row r="17" spans="1:12" ht="33" customHeight="1" x14ac:dyDescent="0.3">
      <c r="A17" s="3" t="s">
        <v>3</v>
      </c>
      <c r="B17" s="8" t="s">
        <v>4</v>
      </c>
      <c r="C17" s="8" t="s">
        <v>5</v>
      </c>
      <c r="D17" s="8" t="s">
        <v>6</v>
      </c>
      <c r="E17" s="8" t="s">
        <v>7</v>
      </c>
      <c r="F17" s="8" t="s">
        <v>8</v>
      </c>
      <c r="G17" s="8" t="s">
        <v>9</v>
      </c>
      <c r="H17" s="8" t="s">
        <v>19</v>
      </c>
      <c r="I17" s="8" t="s">
        <v>11</v>
      </c>
      <c r="J17" s="4" t="s">
        <v>12</v>
      </c>
      <c r="K17" s="5" t="s">
        <v>13</v>
      </c>
      <c r="L17" s="4" t="s">
        <v>14</v>
      </c>
    </row>
    <row r="18" spans="1:12" x14ac:dyDescent="0.3">
      <c r="A18" s="2" t="s">
        <v>15</v>
      </c>
      <c r="B18" s="9">
        <v>116385.04</v>
      </c>
      <c r="C18" s="9">
        <v>0</v>
      </c>
      <c r="D18" s="9">
        <v>737098.53</v>
      </c>
      <c r="E18" s="9">
        <v>0</v>
      </c>
      <c r="F18" s="9">
        <v>22201.549999999996</v>
      </c>
      <c r="G18" s="9">
        <v>0</v>
      </c>
      <c r="H18" s="9">
        <v>203090</v>
      </c>
      <c r="I18" s="9">
        <v>88744.28</v>
      </c>
      <c r="J18" s="9">
        <v>210</v>
      </c>
      <c r="K18" s="9">
        <v>145</v>
      </c>
      <c r="L18" s="9">
        <v>0</v>
      </c>
    </row>
    <row r="19" spans="1:12" x14ac:dyDescent="0.3">
      <c r="A19" s="2" t="s">
        <v>16</v>
      </c>
      <c r="B19" s="9">
        <v>0</v>
      </c>
      <c r="C19" s="9">
        <v>0</v>
      </c>
      <c r="D19" s="9">
        <v>0</v>
      </c>
      <c r="E19" s="9">
        <v>0</v>
      </c>
      <c r="F19" s="9">
        <v>0</v>
      </c>
      <c r="G19" s="9">
        <v>0</v>
      </c>
      <c r="H19" s="9">
        <v>0</v>
      </c>
      <c r="I19" s="9">
        <v>0</v>
      </c>
      <c r="J19" s="9">
        <v>0</v>
      </c>
      <c r="K19" s="9">
        <v>0</v>
      </c>
      <c r="L19" s="9">
        <v>0</v>
      </c>
    </row>
    <row r="20" spans="1:12" x14ac:dyDescent="0.3">
      <c r="A20" s="2" t="s">
        <v>17</v>
      </c>
      <c r="B20" s="9">
        <v>0</v>
      </c>
      <c r="C20" s="9">
        <v>0</v>
      </c>
      <c r="D20" s="9">
        <v>2721192.84</v>
      </c>
      <c r="E20" s="9">
        <v>0</v>
      </c>
      <c r="F20" s="9">
        <v>0</v>
      </c>
      <c r="G20" s="9">
        <v>0</v>
      </c>
      <c r="H20" s="9">
        <f>38488 - 490</f>
        <v>37998</v>
      </c>
      <c r="I20" s="9">
        <v>0</v>
      </c>
      <c r="J20" s="9">
        <v>85</v>
      </c>
      <c r="K20" s="9">
        <f>33 - 1</f>
        <v>32</v>
      </c>
      <c r="L20" s="9">
        <v>0</v>
      </c>
    </row>
    <row r="21" spans="1:12" x14ac:dyDescent="0.3">
      <c r="A21" s="2" t="s">
        <v>18</v>
      </c>
      <c r="B21" s="9">
        <v>0</v>
      </c>
      <c r="C21" s="9">
        <v>0</v>
      </c>
      <c r="D21" s="9">
        <v>103591</v>
      </c>
      <c r="E21" s="9">
        <v>0</v>
      </c>
      <c r="F21" s="9">
        <v>0</v>
      </c>
      <c r="G21" s="9">
        <v>0</v>
      </c>
      <c r="H21" s="9">
        <f>1462 + 490</f>
        <v>1952</v>
      </c>
      <c r="I21" s="9">
        <v>0</v>
      </c>
      <c r="J21" s="9">
        <v>0</v>
      </c>
      <c r="K21" s="9">
        <v>5</v>
      </c>
      <c r="L21" s="9">
        <v>0</v>
      </c>
    </row>
    <row r="22" spans="1:12" x14ac:dyDescent="0.3">
      <c r="A22" s="6">
        <v>45383</v>
      </c>
    </row>
    <row r="23" spans="1:12" ht="33" customHeight="1" x14ac:dyDescent="0.3">
      <c r="A23" s="3" t="s">
        <v>3</v>
      </c>
      <c r="B23" s="8" t="s">
        <v>4</v>
      </c>
      <c r="C23" s="8" t="s">
        <v>5</v>
      </c>
      <c r="D23" s="8" t="s">
        <v>6</v>
      </c>
      <c r="E23" s="8" t="s">
        <v>7</v>
      </c>
      <c r="F23" s="8" t="s">
        <v>8</v>
      </c>
      <c r="G23" s="8" t="s">
        <v>9</v>
      </c>
      <c r="H23" s="8" t="s">
        <v>19</v>
      </c>
      <c r="I23" s="8" t="s">
        <v>11</v>
      </c>
      <c r="J23" s="4" t="s">
        <v>12</v>
      </c>
      <c r="K23" s="5" t="s">
        <v>13</v>
      </c>
      <c r="L23" s="4" t="s">
        <v>14</v>
      </c>
    </row>
    <row r="24" spans="1:12" x14ac:dyDescent="0.3">
      <c r="A24" s="2" t="s">
        <v>15</v>
      </c>
      <c r="B24" s="9">
        <v>0</v>
      </c>
      <c r="C24" s="9">
        <v>0</v>
      </c>
      <c r="D24" s="9">
        <v>1036166.97</v>
      </c>
      <c r="E24" s="9">
        <v>0</v>
      </c>
      <c r="F24" s="9">
        <v>0</v>
      </c>
      <c r="G24" s="9">
        <v>0</v>
      </c>
      <c r="H24" s="9">
        <v>16010</v>
      </c>
      <c r="I24" s="9">
        <v>0</v>
      </c>
      <c r="J24" s="9">
        <v>287</v>
      </c>
      <c r="K24" s="9">
        <v>112</v>
      </c>
      <c r="L24" s="9">
        <v>0</v>
      </c>
    </row>
    <row r="25" spans="1:12" x14ac:dyDescent="0.3">
      <c r="A25" s="2" t="s">
        <v>16</v>
      </c>
      <c r="B25" s="9">
        <v>0</v>
      </c>
      <c r="C25" s="9">
        <v>0</v>
      </c>
      <c r="D25" s="9">
        <v>0</v>
      </c>
      <c r="E25" s="9">
        <v>0</v>
      </c>
      <c r="F25" s="9">
        <v>0</v>
      </c>
      <c r="G25" s="9">
        <v>0</v>
      </c>
      <c r="H25" s="9">
        <v>0</v>
      </c>
      <c r="I25" s="9">
        <v>0</v>
      </c>
      <c r="J25" s="9">
        <v>0</v>
      </c>
      <c r="K25" s="9">
        <v>0</v>
      </c>
      <c r="L25" s="9">
        <v>0</v>
      </c>
    </row>
    <row r="26" spans="1:12" x14ac:dyDescent="0.3">
      <c r="A26" s="2" t="s">
        <v>17</v>
      </c>
      <c r="B26" s="9">
        <v>0</v>
      </c>
      <c r="C26" s="9">
        <v>0</v>
      </c>
      <c r="D26" s="9">
        <v>3219178.17</v>
      </c>
      <c r="E26" s="9">
        <v>0</v>
      </c>
      <c r="F26" s="9">
        <v>21544</v>
      </c>
      <c r="G26" s="9">
        <v>0</v>
      </c>
      <c r="H26" s="9">
        <v>69995</v>
      </c>
      <c r="I26" s="9">
        <v>17463.39</v>
      </c>
      <c r="J26" s="9">
        <v>84</v>
      </c>
      <c r="K26" s="9">
        <v>25</v>
      </c>
      <c r="L26" s="9">
        <v>0</v>
      </c>
    </row>
    <row r="27" spans="1:12" x14ac:dyDescent="0.3">
      <c r="A27" s="2" t="s">
        <v>18</v>
      </c>
      <c r="B27" s="9">
        <v>0</v>
      </c>
      <c r="C27" s="9">
        <v>0</v>
      </c>
      <c r="D27" s="9">
        <v>0</v>
      </c>
      <c r="E27" s="9">
        <v>0</v>
      </c>
      <c r="F27" s="9">
        <v>0</v>
      </c>
      <c r="G27" s="9">
        <v>0</v>
      </c>
      <c r="H27" s="9">
        <v>0</v>
      </c>
      <c r="I27" s="9">
        <v>0</v>
      </c>
      <c r="J27" s="9">
        <v>2</v>
      </c>
      <c r="K27" s="9">
        <v>0</v>
      </c>
      <c r="L27" s="9">
        <v>0</v>
      </c>
    </row>
    <row r="28" spans="1:12" x14ac:dyDescent="0.3">
      <c r="A28" s="6">
        <v>45413</v>
      </c>
    </row>
    <row r="29" spans="1:12" ht="33" customHeight="1" x14ac:dyDescent="0.3">
      <c r="A29" s="3" t="s">
        <v>3</v>
      </c>
      <c r="B29" s="8" t="s">
        <v>4</v>
      </c>
      <c r="C29" s="8" t="s">
        <v>5</v>
      </c>
      <c r="D29" s="8" t="s">
        <v>6</v>
      </c>
      <c r="E29" s="8" t="s">
        <v>7</v>
      </c>
      <c r="F29" s="8" t="s">
        <v>8</v>
      </c>
      <c r="G29" s="8" t="s">
        <v>9</v>
      </c>
      <c r="H29" s="8" t="s">
        <v>19</v>
      </c>
      <c r="I29" s="8" t="s">
        <v>11</v>
      </c>
      <c r="J29" s="4" t="s">
        <v>12</v>
      </c>
      <c r="K29" s="5" t="s">
        <v>13</v>
      </c>
      <c r="L29" s="4" t="s">
        <v>14</v>
      </c>
    </row>
    <row r="30" spans="1:12" x14ac:dyDescent="0.3">
      <c r="A30" s="2" t="s">
        <v>15</v>
      </c>
      <c r="B30" s="9">
        <v>19200.620000000003</v>
      </c>
      <c r="C30" s="9">
        <v>0</v>
      </c>
      <c r="D30" s="9">
        <v>3037718</v>
      </c>
      <c r="E30" s="9">
        <v>0</v>
      </c>
      <c r="F30" s="9">
        <v>2157.6100000000006</v>
      </c>
      <c r="G30" s="9">
        <v>0</v>
      </c>
      <c r="H30" s="9">
        <v>62811</v>
      </c>
      <c r="I30" s="9">
        <v>35595.5</v>
      </c>
      <c r="J30" s="9">
        <v>740</v>
      </c>
      <c r="K30" s="9">
        <v>126</v>
      </c>
      <c r="L30" s="9">
        <v>0</v>
      </c>
    </row>
    <row r="31" spans="1:12" x14ac:dyDescent="0.3">
      <c r="A31" s="2" t="s">
        <v>16</v>
      </c>
      <c r="B31" s="9">
        <v>0</v>
      </c>
      <c r="C31" s="9">
        <v>0</v>
      </c>
      <c r="D31" s="9">
        <v>0</v>
      </c>
      <c r="E31" s="9">
        <v>0</v>
      </c>
      <c r="F31" s="9">
        <v>0</v>
      </c>
      <c r="G31" s="9">
        <v>0</v>
      </c>
      <c r="H31" s="9">
        <v>0</v>
      </c>
      <c r="I31" s="9">
        <v>0</v>
      </c>
      <c r="J31" s="9">
        <v>0</v>
      </c>
      <c r="K31" s="9">
        <v>0</v>
      </c>
      <c r="L31" s="9">
        <v>0</v>
      </c>
    </row>
    <row r="32" spans="1:12" x14ac:dyDescent="0.3">
      <c r="A32" s="2" t="s">
        <v>17</v>
      </c>
      <c r="B32" s="9">
        <v>0</v>
      </c>
      <c r="C32" s="9">
        <v>0</v>
      </c>
      <c r="D32" s="9">
        <v>3063999.52</v>
      </c>
      <c r="E32" s="9">
        <v>0</v>
      </c>
      <c r="F32" s="9">
        <v>0</v>
      </c>
      <c r="G32" s="9">
        <v>0</v>
      </c>
      <c r="H32" s="9">
        <v>6918</v>
      </c>
      <c r="I32" s="9">
        <v>0</v>
      </c>
      <c r="J32" s="9">
        <v>105</v>
      </c>
      <c r="K32" s="9">
        <v>26</v>
      </c>
      <c r="L32" s="9">
        <v>0</v>
      </c>
    </row>
    <row r="33" spans="1:12" x14ac:dyDescent="0.3">
      <c r="A33" s="2" t="s">
        <v>18</v>
      </c>
      <c r="B33" s="9">
        <v>0</v>
      </c>
      <c r="C33" s="9">
        <v>0</v>
      </c>
      <c r="D33" s="9">
        <v>2875.23</v>
      </c>
      <c r="E33" s="9">
        <v>0</v>
      </c>
      <c r="F33" s="9">
        <v>0</v>
      </c>
      <c r="G33" s="9">
        <v>0</v>
      </c>
      <c r="H33" s="9">
        <v>0</v>
      </c>
      <c r="I33" s="9">
        <v>0</v>
      </c>
      <c r="J33" s="9">
        <v>0</v>
      </c>
      <c r="K33" s="9">
        <v>1</v>
      </c>
      <c r="L33" s="9">
        <v>0</v>
      </c>
    </row>
    <row r="34" spans="1:12" x14ac:dyDescent="0.3">
      <c r="A34" s="6">
        <v>45444</v>
      </c>
    </row>
    <row r="35" spans="1:12" ht="33" customHeight="1" x14ac:dyDescent="0.3">
      <c r="A35" s="3" t="s">
        <v>3</v>
      </c>
      <c r="B35" s="8" t="s">
        <v>4</v>
      </c>
      <c r="C35" s="8" t="s">
        <v>5</v>
      </c>
      <c r="D35" s="8" t="s">
        <v>6</v>
      </c>
      <c r="E35" s="8" t="s">
        <v>7</v>
      </c>
      <c r="F35" s="8" t="s">
        <v>8</v>
      </c>
      <c r="G35" s="8" t="s">
        <v>9</v>
      </c>
      <c r="H35" s="8" t="s">
        <v>19</v>
      </c>
      <c r="I35" s="8" t="s">
        <v>11</v>
      </c>
      <c r="J35" s="4" t="s">
        <v>12</v>
      </c>
      <c r="K35" s="5" t="s">
        <v>13</v>
      </c>
      <c r="L35" s="4" t="s">
        <v>14</v>
      </c>
    </row>
    <row r="36" spans="1:12" x14ac:dyDescent="0.3">
      <c r="A36" s="2" t="s">
        <v>15</v>
      </c>
      <c r="B36" s="9">
        <v>8301</v>
      </c>
      <c r="C36" s="9">
        <v>0</v>
      </c>
      <c r="D36" s="9">
        <v>480984.91000000003</v>
      </c>
      <c r="E36" s="9">
        <v>0</v>
      </c>
      <c r="F36" s="9">
        <v>0</v>
      </c>
      <c r="G36" s="9">
        <v>0</v>
      </c>
      <c r="H36" s="9">
        <v>78996</v>
      </c>
      <c r="I36" s="9">
        <v>55383.57</v>
      </c>
      <c r="J36" s="9">
        <v>776</v>
      </c>
      <c r="K36" s="9">
        <v>126</v>
      </c>
      <c r="L36" s="9">
        <v>0</v>
      </c>
    </row>
    <row r="37" spans="1:12" x14ac:dyDescent="0.3">
      <c r="A37" s="2" t="s">
        <v>16</v>
      </c>
      <c r="B37" s="9">
        <v>0</v>
      </c>
      <c r="C37" s="9">
        <v>0</v>
      </c>
      <c r="D37" s="9">
        <v>0</v>
      </c>
      <c r="E37" s="9">
        <v>0</v>
      </c>
      <c r="F37" s="9">
        <v>0</v>
      </c>
      <c r="G37" s="9">
        <v>0</v>
      </c>
      <c r="H37" s="9">
        <v>0</v>
      </c>
      <c r="I37" s="9">
        <v>0</v>
      </c>
      <c r="J37" s="9">
        <v>0</v>
      </c>
      <c r="K37" s="9">
        <v>0</v>
      </c>
      <c r="L37" s="9">
        <v>0</v>
      </c>
    </row>
    <row r="38" spans="1:12" x14ac:dyDescent="0.3">
      <c r="A38" s="2" t="s">
        <v>17</v>
      </c>
      <c r="B38" s="9">
        <v>0</v>
      </c>
      <c r="C38" s="9">
        <v>0</v>
      </c>
      <c r="D38" s="9">
        <v>783385.27</v>
      </c>
      <c r="E38" s="9">
        <v>0</v>
      </c>
      <c r="F38" s="9">
        <v>0</v>
      </c>
      <c r="G38" s="9">
        <v>0</v>
      </c>
      <c r="H38" s="9">
        <v>458</v>
      </c>
      <c r="I38" s="9">
        <v>0</v>
      </c>
      <c r="J38" s="9">
        <v>154</v>
      </c>
      <c r="K38" s="9">
        <v>26</v>
      </c>
      <c r="L38" s="9">
        <v>0</v>
      </c>
    </row>
    <row r="39" spans="1:12" x14ac:dyDescent="0.3">
      <c r="A39" s="2" t="s">
        <v>18</v>
      </c>
      <c r="B39" s="9">
        <v>0</v>
      </c>
      <c r="C39" s="9">
        <v>0</v>
      </c>
      <c r="D39" s="9">
        <v>0</v>
      </c>
      <c r="E39" s="9">
        <v>0</v>
      </c>
      <c r="F39" s="9">
        <v>0</v>
      </c>
      <c r="G39" s="9">
        <v>0</v>
      </c>
      <c r="H39" s="9">
        <v>0</v>
      </c>
      <c r="I39" s="9">
        <v>0</v>
      </c>
      <c r="J39" s="9">
        <v>1</v>
      </c>
      <c r="K39" s="9">
        <v>0</v>
      </c>
      <c r="L39" s="9">
        <v>0</v>
      </c>
    </row>
    <row r="40" spans="1:12" x14ac:dyDescent="0.3">
      <c r="A40" s="6">
        <v>45474</v>
      </c>
    </row>
    <row r="41" spans="1:12" ht="33" customHeight="1" x14ac:dyDescent="0.3">
      <c r="A41" s="3" t="s">
        <v>3</v>
      </c>
      <c r="B41" s="8" t="s">
        <v>4</v>
      </c>
      <c r="C41" s="8" t="s">
        <v>5</v>
      </c>
      <c r="D41" s="8" t="s">
        <v>6</v>
      </c>
      <c r="E41" s="8" t="s">
        <v>7</v>
      </c>
      <c r="F41" s="8" t="s">
        <v>8</v>
      </c>
      <c r="G41" s="8" t="s">
        <v>9</v>
      </c>
      <c r="H41" s="8" t="s">
        <v>19</v>
      </c>
      <c r="I41" s="8" t="s">
        <v>11</v>
      </c>
      <c r="J41" s="4" t="s">
        <v>12</v>
      </c>
      <c r="K41" s="5" t="s">
        <v>13</v>
      </c>
      <c r="L41" s="4" t="s">
        <v>14</v>
      </c>
    </row>
    <row r="42" spans="1:12" x14ac:dyDescent="0.3">
      <c r="A42" s="2" t="s">
        <v>15</v>
      </c>
      <c r="B42" s="9">
        <v>0</v>
      </c>
      <c r="C42" s="9">
        <v>0</v>
      </c>
      <c r="D42" s="9">
        <v>876869</v>
      </c>
      <c r="E42" s="9">
        <v>0</v>
      </c>
      <c r="F42" s="9">
        <v>0</v>
      </c>
      <c r="G42" s="9">
        <v>0</v>
      </c>
      <c r="H42" s="9">
        <v>29459</v>
      </c>
      <c r="I42" s="9">
        <v>0</v>
      </c>
      <c r="J42" s="9">
        <v>480</v>
      </c>
      <c r="K42" s="9">
        <v>162</v>
      </c>
      <c r="L42" s="9">
        <v>0</v>
      </c>
    </row>
    <row r="43" spans="1:12" x14ac:dyDescent="0.3">
      <c r="A43" s="2" t="s">
        <v>16</v>
      </c>
      <c r="B43" s="9">
        <v>0</v>
      </c>
      <c r="C43" s="9">
        <v>0</v>
      </c>
      <c r="D43" s="9">
        <v>0</v>
      </c>
      <c r="E43" s="9">
        <v>0</v>
      </c>
      <c r="F43" s="9">
        <v>0</v>
      </c>
      <c r="G43" s="9">
        <v>0</v>
      </c>
      <c r="H43" s="9">
        <v>0</v>
      </c>
      <c r="I43" s="9">
        <v>0</v>
      </c>
      <c r="J43" s="9">
        <v>1</v>
      </c>
      <c r="K43" s="9">
        <v>0</v>
      </c>
      <c r="L43" s="9">
        <v>0</v>
      </c>
    </row>
    <row r="44" spans="1:12" x14ac:dyDescent="0.3">
      <c r="A44" s="2" t="s">
        <v>17</v>
      </c>
      <c r="B44" s="9">
        <v>0</v>
      </c>
      <c r="C44" s="9">
        <v>0</v>
      </c>
      <c r="D44" s="9">
        <v>2186885</v>
      </c>
      <c r="E44" s="9">
        <v>0</v>
      </c>
      <c r="F44" s="9">
        <v>0</v>
      </c>
      <c r="G44" s="9">
        <v>0</v>
      </c>
      <c r="H44" s="9">
        <v>15368</v>
      </c>
      <c r="I44" s="9">
        <v>0</v>
      </c>
      <c r="J44" s="9">
        <v>154</v>
      </c>
      <c r="K44" s="9">
        <v>31</v>
      </c>
      <c r="L44" s="9">
        <v>0</v>
      </c>
    </row>
    <row r="45" spans="1:12" x14ac:dyDescent="0.3">
      <c r="A45" s="2" t="s">
        <v>18</v>
      </c>
      <c r="B45" s="9">
        <v>0</v>
      </c>
      <c r="C45" s="9">
        <v>0</v>
      </c>
      <c r="D45" s="9">
        <v>0</v>
      </c>
      <c r="E45" s="9">
        <v>0</v>
      </c>
      <c r="F45" s="9">
        <v>0</v>
      </c>
      <c r="G45" s="9">
        <v>0</v>
      </c>
      <c r="H45" s="9">
        <v>0</v>
      </c>
      <c r="I45" s="9">
        <v>0</v>
      </c>
      <c r="J45" s="9">
        <v>0</v>
      </c>
      <c r="K45" s="9">
        <v>0</v>
      </c>
      <c r="L45" s="9">
        <v>0</v>
      </c>
    </row>
    <row r="46" spans="1:12" x14ac:dyDescent="0.3">
      <c r="A46" s="6">
        <v>45505</v>
      </c>
    </row>
    <row r="47" spans="1:12" ht="33" customHeight="1" x14ac:dyDescent="0.3">
      <c r="A47" s="3" t="s">
        <v>3</v>
      </c>
      <c r="B47" s="8" t="s">
        <v>4</v>
      </c>
      <c r="C47" s="8" t="s">
        <v>5</v>
      </c>
      <c r="D47" s="8" t="s">
        <v>6</v>
      </c>
      <c r="E47" s="8" t="s">
        <v>7</v>
      </c>
      <c r="F47" s="8" t="s">
        <v>8</v>
      </c>
      <c r="G47" s="8" t="s">
        <v>9</v>
      </c>
      <c r="H47" s="8" t="s">
        <v>19</v>
      </c>
      <c r="I47" s="8" t="s">
        <v>11</v>
      </c>
      <c r="J47" s="4" t="s">
        <v>12</v>
      </c>
      <c r="K47" s="5" t="s">
        <v>13</v>
      </c>
      <c r="L47" s="4" t="s">
        <v>14</v>
      </c>
    </row>
    <row r="48" spans="1:12" x14ac:dyDescent="0.3">
      <c r="A48" s="2" t="s">
        <v>15</v>
      </c>
      <c r="B48" s="9">
        <v>0</v>
      </c>
      <c r="C48" s="9">
        <v>0</v>
      </c>
      <c r="D48" s="9">
        <v>729323</v>
      </c>
      <c r="E48" s="9">
        <v>0</v>
      </c>
      <c r="F48" s="9">
        <v>0</v>
      </c>
      <c r="G48" s="9">
        <v>0</v>
      </c>
      <c r="H48" s="9">
        <v>63206</v>
      </c>
      <c r="I48" s="9">
        <v>0</v>
      </c>
      <c r="J48" s="9">
        <v>376</v>
      </c>
      <c r="K48" s="9">
        <v>141</v>
      </c>
      <c r="L48" s="9">
        <v>0</v>
      </c>
    </row>
    <row r="49" spans="1:12" x14ac:dyDescent="0.3">
      <c r="A49" s="2" t="s">
        <v>16</v>
      </c>
      <c r="B49" s="9">
        <v>0</v>
      </c>
      <c r="C49" s="9">
        <v>0</v>
      </c>
      <c r="D49" s="9">
        <v>0</v>
      </c>
      <c r="E49" s="9">
        <v>0</v>
      </c>
      <c r="F49" s="9">
        <v>0</v>
      </c>
      <c r="G49" s="9">
        <v>0</v>
      </c>
      <c r="H49" s="9">
        <v>0</v>
      </c>
      <c r="I49" s="9">
        <v>0</v>
      </c>
      <c r="J49" s="9">
        <v>0</v>
      </c>
      <c r="K49" s="9">
        <v>0</v>
      </c>
      <c r="L49" s="9">
        <v>0</v>
      </c>
    </row>
    <row r="50" spans="1:12" x14ac:dyDescent="0.3">
      <c r="A50" s="2" t="s">
        <v>17</v>
      </c>
      <c r="B50" s="9">
        <v>0</v>
      </c>
      <c r="C50" s="9">
        <v>0</v>
      </c>
      <c r="D50" s="9">
        <v>1160768.7</v>
      </c>
      <c r="E50" s="9">
        <v>0</v>
      </c>
      <c r="F50" s="9">
        <v>0</v>
      </c>
      <c r="G50" s="9">
        <v>0</v>
      </c>
      <c r="H50" s="9">
        <v>29865</v>
      </c>
      <c r="I50" s="9">
        <v>0</v>
      </c>
      <c r="J50" s="9">
        <v>197</v>
      </c>
      <c r="K50" s="9">
        <v>39</v>
      </c>
      <c r="L50" s="9">
        <v>0</v>
      </c>
    </row>
    <row r="51" spans="1:12" x14ac:dyDescent="0.3">
      <c r="A51" s="2" t="s">
        <v>18</v>
      </c>
      <c r="B51" s="9">
        <v>0</v>
      </c>
      <c r="C51" s="9">
        <v>0</v>
      </c>
      <c r="D51" s="9">
        <v>0</v>
      </c>
      <c r="E51" s="9">
        <v>0</v>
      </c>
      <c r="F51" s="9">
        <v>0</v>
      </c>
      <c r="G51" s="9">
        <v>0</v>
      </c>
      <c r="H51" s="9">
        <v>0</v>
      </c>
      <c r="I51" s="9">
        <v>0</v>
      </c>
      <c r="J51" s="9">
        <v>0</v>
      </c>
      <c r="K51" s="9">
        <v>0</v>
      </c>
      <c r="L51" s="9">
        <v>0</v>
      </c>
    </row>
    <row r="52" spans="1:12" x14ac:dyDescent="0.3">
      <c r="A52" s="6">
        <v>45536</v>
      </c>
    </row>
    <row r="53" spans="1:12" ht="33" customHeight="1" x14ac:dyDescent="0.3">
      <c r="A53" s="3" t="s">
        <v>3</v>
      </c>
      <c r="B53" s="8" t="s">
        <v>4</v>
      </c>
      <c r="C53" s="8" t="s">
        <v>5</v>
      </c>
      <c r="D53" s="8" t="s">
        <v>6</v>
      </c>
      <c r="E53" s="8" t="s">
        <v>7</v>
      </c>
      <c r="F53" s="8" t="s">
        <v>8</v>
      </c>
      <c r="G53" s="8" t="s">
        <v>9</v>
      </c>
      <c r="H53" s="8" t="s">
        <v>19</v>
      </c>
      <c r="I53" s="8" t="s">
        <v>11</v>
      </c>
      <c r="J53" s="4" t="s">
        <v>12</v>
      </c>
      <c r="K53" s="5" t="s">
        <v>13</v>
      </c>
      <c r="L53" s="4" t="s">
        <v>14</v>
      </c>
    </row>
    <row r="54" spans="1:12" x14ac:dyDescent="0.3">
      <c r="A54" s="2" t="s">
        <v>15</v>
      </c>
      <c r="B54" s="9">
        <v>47050.490000000005</v>
      </c>
      <c r="C54" s="9">
        <v>0</v>
      </c>
      <c r="D54" s="9">
        <v>743477</v>
      </c>
      <c r="E54" s="9">
        <v>0</v>
      </c>
      <c r="F54" s="9">
        <v>110715.34999999999</v>
      </c>
      <c r="G54" s="9">
        <v>0</v>
      </c>
      <c r="H54" s="9">
        <v>175486</v>
      </c>
      <c r="I54" s="9">
        <v>109761.42</v>
      </c>
      <c r="J54" s="9">
        <v>268</v>
      </c>
      <c r="K54" s="9">
        <v>140</v>
      </c>
      <c r="L54" s="9">
        <v>0</v>
      </c>
    </row>
    <row r="55" spans="1:12" x14ac:dyDescent="0.3">
      <c r="A55" s="2" t="s">
        <v>16</v>
      </c>
      <c r="B55" s="9">
        <v>0</v>
      </c>
      <c r="C55" s="9">
        <v>0</v>
      </c>
      <c r="D55" s="9">
        <v>270626.02</v>
      </c>
      <c r="E55" s="9">
        <v>0</v>
      </c>
      <c r="F55" s="9">
        <v>0</v>
      </c>
      <c r="G55" s="9">
        <v>0</v>
      </c>
      <c r="H55" s="9">
        <v>-1731</v>
      </c>
      <c r="I55" s="9">
        <v>0</v>
      </c>
      <c r="J55" s="9">
        <v>0</v>
      </c>
      <c r="K55" s="9">
        <v>1</v>
      </c>
      <c r="L55" s="9">
        <v>0</v>
      </c>
    </row>
    <row r="56" spans="1:12" x14ac:dyDescent="0.3">
      <c r="A56" s="2" t="s">
        <v>17</v>
      </c>
      <c r="B56" s="9">
        <v>0</v>
      </c>
      <c r="C56" s="9">
        <v>0</v>
      </c>
      <c r="D56" s="9">
        <v>2520890.2499999995</v>
      </c>
      <c r="E56" s="9">
        <v>0</v>
      </c>
      <c r="F56" s="9">
        <v>0</v>
      </c>
      <c r="G56" s="9">
        <v>0</v>
      </c>
      <c r="H56" s="9">
        <v>100783</v>
      </c>
      <c r="I56" s="9">
        <v>0</v>
      </c>
      <c r="J56" s="9">
        <v>150</v>
      </c>
      <c r="K56" s="9">
        <v>42</v>
      </c>
      <c r="L56" s="9">
        <v>0</v>
      </c>
    </row>
    <row r="57" spans="1:12" x14ac:dyDescent="0.3">
      <c r="A57" s="2" t="s">
        <v>18</v>
      </c>
      <c r="B57" s="9">
        <v>6668</v>
      </c>
      <c r="C57" s="9">
        <v>0</v>
      </c>
      <c r="D57" s="9">
        <v>21545</v>
      </c>
      <c r="E57" s="9">
        <v>0</v>
      </c>
      <c r="F57" s="9">
        <v>0</v>
      </c>
      <c r="G57" s="9">
        <v>0</v>
      </c>
      <c r="H57" s="9">
        <v>12936</v>
      </c>
      <c r="I57" s="9">
        <v>0</v>
      </c>
      <c r="J57" s="9">
        <v>1</v>
      </c>
      <c r="K57" s="9">
        <v>3</v>
      </c>
      <c r="L57" s="9">
        <v>0</v>
      </c>
    </row>
    <row r="58" spans="1:12" x14ac:dyDescent="0.3">
      <c r="A58" s="6">
        <v>45566</v>
      </c>
    </row>
    <row r="59" spans="1:12" ht="33" customHeight="1" x14ac:dyDescent="0.3">
      <c r="A59" s="3" t="s">
        <v>3</v>
      </c>
      <c r="B59" s="8" t="s">
        <v>4</v>
      </c>
      <c r="C59" s="8" t="s">
        <v>5</v>
      </c>
      <c r="D59" s="8" t="s">
        <v>6</v>
      </c>
      <c r="E59" s="8" t="s">
        <v>7</v>
      </c>
      <c r="F59" s="8" t="s">
        <v>8</v>
      </c>
      <c r="G59" s="8" t="s">
        <v>9</v>
      </c>
      <c r="H59" s="8" t="s">
        <v>19</v>
      </c>
      <c r="I59" s="8" t="s">
        <v>11</v>
      </c>
      <c r="J59" s="4" t="s">
        <v>12</v>
      </c>
      <c r="K59" s="5" t="s">
        <v>13</v>
      </c>
      <c r="L59" s="4" t="s">
        <v>14</v>
      </c>
    </row>
    <row r="60" spans="1:12" s="27" customFormat="1" x14ac:dyDescent="0.3">
      <c r="A60" s="25" t="s">
        <v>15</v>
      </c>
      <c r="B60" s="26">
        <v>61602.61</v>
      </c>
      <c r="C60" s="26">
        <v>0</v>
      </c>
      <c r="D60" s="26">
        <v>931111.67999999993</v>
      </c>
      <c r="E60" s="26">
        <v>0</v>
      </c>
      <c r="F60" s="26">
        <v>99543</v>
      </c>
      <c r="G60" s="26">
        <v>0</v>
      </c>
      <c r="H60" s="26">
        <v>291257</v>
      </c>
      <c r="I60" s="26">
        <v>80333.53</v>
      </c>
      <c r="J60" s="26">
        <v>280</v>
      </c>
      <c r="K60" s="26">
        <v>187</v>
      </c>
      <c r="L60" s="26">
        <v>0</v>
      </c>
    </row>
    <row r="61" spans="1:12" x14ac:dyDescent="0.3">
      <c r="A61" s="2" t="s">
        <v>16</v>
      </c>
      <c r="B61" s="9">
        <v>0</v>
      </c>
      <c r="C61" s="9">
        <v>0</v>
      </c>
      <c r="D61" s="9">
        <v>0</v>
      </c>
      <c r="E61" s="9">
        <v>0</v>
      </c>
      <c r="F61" s="9">
        <v>0</v>
      </c>
      <c r="G61" s="9">
        <v>0</v>
      </c>
      <c r="H61" s="9">
        <v>0</v>
      </c>
      <c r="I61" s="9">
        <v>0</v>
      </c>
      <c r="J61" s="9">
        <v>0</v>
      </c>
      <c r="K61" s="9">
        <v>0</v>
      </c>
      <c r="L61" s="9">
        <v>0</v>
      </c>
    </row>
    <row r="62" spans="1:12" x14ac:dyDescent="0.3">
      <c r="A62" s="2" t="s">
        <v>17</v>
      </c>
      <c r="B62" s="9">
        <v>0</v>
      </c>
      <c r="C62" s="9">
        <v>0</v>
      </c>
      <c r="D62" s="9">
        <v>2201313.0099999998</v>
      </c>
      <c r="E62" s="9">
        <v>0</v>
      </c>
      <c r="F62" s="9">
        <v>0</v>
      </c>
      <c r="G62" s="9">
        <v>0</v>
      </c>
      <c r="H62" s="9">
        <v>139957</v>
      </c>
      <c r="I62" s="9">
        <v>0</v>
      </c>
      <c r="J62" s="9">
        <v>183</v>
      </c>
      <c r="K62" s="9">
        <v>41</v>
      </c>
      <c r="L62" s="9">
        <v>0</v>
      </c>
    </row>
    <row r="63" spans="1:12" x14ac:dyDescent="0.3">
      <c r="A63" s="2" t="s">
        <v>18</v>
      </c>
      <c r="B63" s="9">
        <v>0</v>
      </c>
      <c r="C63" s="9">
        <v>0</v>
      </c>
      <c r="D63" s="9">
        <v>0</v>
      </c>
      <c r="E63" s="9">
        <v>0</v>
      </c>
      <c r="F63" s="9">
        <v>0</v>
      </c>
      <c r="G63" s="9">
        <v>0</v>
      </c>
      <c r="H63" s="9">
        <v>0</v>
      </c>
      <c r="I63" s="9">
        <v>0</v>
      </c>
      <c r="J63" s="9">
        <v>0</v>
      </c>
      <c r="K63" s="9">
        <v>0</v>
      </c>
      <c r="L63" s="9">
        <v>0</v>
      </c>
    </row>
    <row r="64" spans="1:12" x14ac:dyDescent="0.3">
      <c r="A64" s="6">
        <v>45597</v>
      </c>
    </row>
    <row r="65" spans="1:12" ht="33" customHeight="1" x14ac:dyDescent="0.3">
      <c r="A65" s="3" t="s">
        <v>3</v>
      </c>
      <c r="B65" s="8" t="s">
        <v>4</v>
      </c>
      <c r="C65" s="8" t="s">
        <v>5</v>
      </c>
      <c r="D65" s="8" t="s">
        <v>6</v>
      </c>
      <c r="E65" s="8" t="s">
        <v>7</v>
      </c>
      <c r="F65" s="8" t="s">
        <v>8</v>
      </c>
      <c r="G65" s="8" t="s">
        <v>9</v>
      </c>
      <c r="H65" s="8" t="s">
        <v>19</v>
      </c>
      <c r="I65" s="8" t="s">
        <v>11</v>
      </c>
      <c r="J65" s="4" t="s">
        <v>12</v>
      </c>
      <c r="K65" s="5" t="s">
        <v>13</v>
      </c>
      <c r="L65" s="4" t="s">
        <v>14</v>
      </c>
    </row>
    <row r="66" spans="1:12" s="27" customFormat="1" x14ac:dyDescent="0.3">
      <c r="A66" s="25" t="s">
        <v>15</v>
      </c>
      <c r="B66" s="26">
        <v>32229</v>
      </c>
      <c r="C66" s="26">
        <v>0</v>
      </c>
      <c r="D66" s="26">
        <v>836203.91999999993</v>
      </c>
      <c r="E66" s="26">
        <v>0</v>
      </c>
      <c r="F66" s="26">
        <v>0</v>
      </c>
      <c r="G66" s="26">
        <v>0</v>
      </c>
      <c r="H66" s="26">
        <v>95306</v>
      </c>
      <c r="I66" s="26">
        <v>0</v>
      </c>
      <c r="J66" s="26">
        <v>223</v>
      </c>
      <c r="K66" s="26">
        <v>141</v>
      </c>
      <c r="L66" s="26">
        <v>0</v>
      </c>
    </row>
    <row r="67" spans="1:12" x14ac:dyDescent="0.3">
      <c r="A67" s="2" t="s">
        <v>16</v>
      </c>
      <c r="B67" s="9">
        <v>0</v>
      </c>
      <c r="C67" s="9">
        <v>0</v>
      </c>
      <c r="D67" s="9">
        <v>44571</v>
      </c>
      <c r="E67" s="9">
        <v>0</v>
      </c>
      <c r="F67" s="9">
        <v>0</v>
      </c>
      <c r="G67" s="9">
        <v>0</v>
      </c>
      <c r="H67" s="9">
        <v>0</v>
      </c>
      <c r="I67" s="9">
        <v>0</v>
      </c>
      <c r="J67" s="9">
        <v>0</v>
      </c>
      <c r="K67" s="9">
        <v>1</v>
      </c>
      <c r="L67" s="9">
        <v>0</v>
      </c>
    </row>
    <row r="68" spans="1:12" x14ac:dyDescent="0.3">
      <c r="A68" s="2" t="s">
        <v>17</v>
      </c>
      <c r="B68" s="9">
        <v>25393.98</v>
      </c>
      <c r="C68" s="9">
        <v>0</v>
      </c>
      <c r="D68" s="9">
        <v>356476.44</v>
      </c>
      <c r="E68" s="9">
        <v>0</v>
      </c>
      <c r="F68" s="9">
        <v>43249</v>
      </c>
      <c r="G68" s="9">
        <v>0</v>
      </c>
      <c r="H68" s="9">
        <v>60359.62</v>
      </c>
      <c r="I68" s="9">
        <v>23147.620000000003</v>
      </c>
      <c r="J68" s="9">
        <v>159</v>
      </c>
      <c r="K68" s="9">
        <v>36</v>
      </c>
      <c r="L68" s="9">
        <v>0</v>
      </c>
    </row>
    <row r="69" spans="1:12" x14ac:dyDescent="0.3">
      <c r="A69" s="2" t="s">
        <v>18</v>
      </c>
      <c r="B69" s="9">
        <v>0</v>
      </c>
      <c r="C69" s="9">
        <v>0</v>
      </c>
      <c r="D69" s="9">
        <v>181253</v>
      </c>
      <c r="E69" s="9">
        <v>0</v>
      </c>
      <c r="F69" s="9">
        <v>0</v>
      </c>
      <c r="G69" s="9">
        <v>0</v>
      </c>
      <c r="H69" s="9">
        <v>860</v>
      </c>
      <c r="I69" s="9">
        <v>0</v>
      </c>
      <c r="J69" s="9">
        <v>0</v>
      </c>
      <c r="K69" s="9">
        <v>1</v>
      </c>
      <c r="L69" s="9">
        <v>0</v>
      </c>
    </row>
    <row r="70" spans="1:12" x14ac:dyDescent="0.3">
      <c r="A70" s="6">
        <v>45627</v>
      </c>
    </row>
    <row r="71" spans="1:12" ht="33" customHeight="1" x14ac:dyDescent="0.3">
      <c r="A71" s="3" t="s">
        <v>3</v>
      </c>
      <c r="B71" s="8" t="s">
        <v>4</v>
      </c>
      <c r="C71" s="8" t="s">
        <v>5</v>
      </c>
      <c r="D71" s="8" t="s">
        <v>6</v>
      </c>
      <c r="E71" s="8" t="s">
        <v>7</v>
      </c>
      <c r="F71" s="8" t="s">
        <v>8</v>
      </c>
      <c r="G71" s="8" t="s">
        <v>9</v>
      </c>
      <c r="H71" s="8" t="s">
        <v>19</v>
      </c>
      <c r="I71" s="8" t="s">
        <v>11</v>
      </c>
      <c r="J71" s="4" t="s">
        <v>12</v>
      </c>
      <c r="K71" s="5" t="s">
        <v>13</v>
      </c>
      <c r="L71" s="4" t="s">
        <v>14</v>
      </c>
    </row>
    <row r="72" spans="1:12" s="27" customFormat="1" x14ac:dyDescent="0.3">
      <c r="A72" s="25" t="s">
        <v>15</v>
      </c>
      <c r="B72" s="26">
        <v>14909</v>
      </c>
      <c r="C72" s="26">
        <v>0</v>
      </c>
      <c r="D72" s="26">
        <v>772664.80999999994</v>
      </c>
      <c r="E72" s="26">
        <v>0</v>
      </c>
      <c r="F72" s="26">
        <v>11507.419999999998</v>
      </c>
      <c r="G72" s="26">
        <v>0</v>
      </c>
      <c r="H72" s="26">
        <v>141500.70000000001</v>
      </c>
      <c r="I72" s="26">
        <v>44745.88</v>
      </c>
      <c r="J72" s="26">
        <v>236</v>
      </c>
      <c r="K72" s="26">
        <v>120</v>
      </c>
      <c r="L72" s="26">
        <v>0</v>
      </c>
    </row>
    <row r="73" spans="1:12" x14ac:dyDescent="0.3">
      <c r="A73" s="2" t="s">
        <v>16</v>
      </c>
      <c r="B73" s="9">
        <v>0</v>
      </c>
      <c r="C73" s="9">
        <v>0</v>
      </c>
      <c r="D73" s="9">
        <v>29157</v>
      </c>
      <c r="E73" s="9">
        <v>0</v>
      </c>
      <c r="F73" s="9">
        <v>0</v>
      </c>
      <c r="G73" s="9">
        <v>0</v>
      </c>
      <c r="H73" s="9">
        <v>0</v>
      </c>
      <c r="I73" s="9">
        <v>0</v>
      </c>
      <c r="J73" s="9">
        <v>0</v>
      </c>
      <c r="K73" s="9">
        <v>1</v>
      </c>
      <c r="L73" s="9">
        <v>0</v>
      </c>
    </row>
    <row r="74" spans="1:12" x14ac:dyDescent="0.3">
      <c r="A74" s="2" t="s">
        <v>17</v>
      </c>
      <c r="B74" s="9">
        <v>0</v>
      </c>
      <c r="C74" s="9">
        <v>0</v>
      </c>
      <c r="D74" s="9">
        <v>873629.46000000008</v>
      </c>
      <c r="E74" s="9">
        <v>0</v>
      </c>
      <c r="F74" s="9">
        <v>0</v>
      </c>
      <c r="G74" s="9">
        <v>0</v>
      </c>
      <c r="H74" s="9">
        <v>74954</v>
      </c>
      <c r="I74" s="9">
        <v>0</v>
      </c>
      <c r="J74" s="9">
        <v>127</v>
      </c>
      <c r="K74" s="9">
        <v>37</v>
      </c>
      <c r="L74" s="9">
        <v>0</v>
      </c>
    </row>
    <row r="75" spans="1:12" x14ac:dyDescent="0.3">
      <c r="A75" s="2" t="s">
        <v>18</v>
      </c>
      <c r="B75" s="9">
        <v>0</v>
      </c>
      <c r="C75" s="9">
        <v>0</v>
      </c>
      <c r="D75" s="9">
        <v>472006</v>
      </c>
      <c r="E75" s="9">
        <v>0</v>
      </c>
      <c r="F75" s="9">
        <v>0</v>
      </c>
      <c r="G75" s="9">
        <v>0</v>
      </c>
      <c r="H75" s="9">
        <v>0</v>
      </c>
      <c r="I75" s="9">
        <v>0</v>
      </c>
      <c r="J75" s="9">
        <v>0</v>
      </c>
      <c r="K75" s="9">
        <v>1</v>
      </c>
      <c r="L75" s="9">
        <v>0</v>
      </c>
    </row>
    <row r="77" spans="1:12" x14ac:dyDescent="0.3">
      <c r="A77" s="22" t="s">
        <v>20</v>
      </c>
      <c r="B77" s="20"/>
      <c r="C77" s="20"/>
      <c r="D77" s="20"/>
      <c r="E77" s="20"/>
      <c r="F77" s="20"/>
      <c r="G77" s="20"/>
    </row>
    <row r="78" spans="1:12" x14ac:dyDescent="0.3">
      <c r="A78" s="19" t="s">
        <v>21</v>
      </c>
      <c r="B78" s="20"/>
      <c r="C78" s="20"/>
      <c r="D78" s="20"/>
      <c r="E78" s="20"/>
      <c r="F78" s="20"/>
      <c r="G78" s="20"/>
    </row>
    <row r="79" spans="1:12" x14ac:dyDescent="0.3">
      <c r="A79" s="19" t="s">
        <v>33</v>
      </c>
      <c r="B79" s="20"/>
      <c r="C79" s="20"/>
      <c r="D79" s="20"/>
      <c r="E79" s="20"/>
      <c r="F79" s="20"/>
      <c r="G79" s="20"/>
    </row>
    <row r="80" spans="1:12" x14ac:dyDescent="0.3">
      <c r="A80" s="19" t="s">
        <v>23</v>
      </c>
      <c r="B80" s="20"/>
      <c r="C80" s="20"/>
      <c r="D80" s="20"/>
      <c r="E80" s="20"/>
      <c r="F80" s="20"/>
      <c r="G80" s="20"/>
    </row>
    <row r="81" spans="1:7" x14ac:dyDescent="0.3">
      <c r="A81" s="19" t="s">
        <v>24</v>
      </c>
      <c r="B81" s="20"/>
      <c r="C81" s="20"/>
      <c r="D81" s="20"/>
      <c r="E81" s="20"/>
      <c r="F81" s="20"/>
      <c r="G81" s="20"/>
    </row>
    <row r="82" spans="1:7" x14ac:dyDescent="0.3">
      <c r="A82" s="19" t="s">
        <v>25</v>
      </c>
      <c r="B82" s="20"/>
      <c r="C82" s="20"/>
      <c r="D82" s="20"/>
      <c r="E82" s="20"/>
      <c r="F82" s="20"/>
      <c r="G82" s="20"/>
    </row>
    <row r="83" spans="1:7" x14ac:dyDescent="0.3">
      <c r="A83" s="19" t="s">
        <v>26</v>
      </c>
      <c r="B83" s="20"/>
      <c r="C83" s="20"/>
      <c r="D83" s="20"/>
      <c r="E83" s="20"/>
      <c r="F83" s="20"/>
      <c r="G83" s="20"/>
    </row>
    <row r="84" spans="1:7" x14ac:dyDescent="0.3">
      <c r="A84" s="19" t="s">
        <v>34</v>
      </c>
      <c r="B84" s="20"/>
      <c r="C84" s="20"/>
      <c r="D84" s="20"/>
      <c r="E84" s="20"/>
      <c r="F84" s="20"/>
      <c r="G84" s="20"/>
    </row>
    <row r="85" spans="1:7" x14ac:dyDescent="0.3">
      <c r="A85" s="19" t="s">
        <v>28</v>
      </c>
      <c r="B85" s="20"/>
      <c r="C85" s="20"/>
      <c r="D85" s="20"/>
      <c r="E85" s="20"/>
      <c r="F85" s="20"/>
      <c r="G85" s="20"/>
    </row>
    <row r="86" spans="1:7" x14ac:dyDescent="0.3">
      <c r="A86" s="19" t="s">
        <v>29</v>
      </c>
      <c r="B86" s="20"/>
      <c r="C86" s="20"/>
      <c r="D86" s="20"/>
      <c r="E86" s="20"/>
      <c r="F86" s="20"/>
      <c r="G86" s="20"/>
    </row>
    <row r="87" spans="1:7" x14ac:dyDescent="0.3">
      <c r="A87" s="19" t="s">
        <v>30</v>
      </c>
      <c r="B87" s="20"/>
      <c r="C87" s="20"/>
      <c r="D87" s="20"/>
      <c r="E87" s="20"/>
      <c r="F87" s="20"/>
      <c r="G87" s="20"/>
    </row>
    <row r="88" spans="1:7" x14ac:dyDescent="0.3">
      <c r="A88" s="24" t="s">
        <v>31</v>
      </c>
    </row>
  </sheetData>
  <pageMargins left="0.7" right="0.7" top="0.75" bottom="0.75" header="0.3" footer="0.3"/>
  <pageSetup paperSize="5" scale="33" orientation="landscape" r:id="rId1"/>
  <headerFooter>
    <oddFooter>&amp;A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CC471-9A39-4970-9DFF-D5C30FC592A3}">
  <sheetPr>
    <pageSetUpPr fitToPage="1"/>
  </sheetPr>
  <dimension ref="A1:L92"/>
  <sheetViews>
    <sheetView topLeftCell="G47" zoomScaleNormal="100" workbookViewId="0">
      <selection activeCell="K70" sqref="K70"/>
    </sheetView>
  </sheetViews>
  <sheetFormatPr defaultColWidth="39.109375" defaultRowHeight="14.4" x14ac:dyDescent="0.3"/>
  <cols>
    <col min="1" max="1" width="61.5546875" style="18" customWidth="1"/>
    <col min="2" max="2" width="37.5546875" style="7" customWidth="1"/>
    <col min="3" max="3" width="36" style="7" customWidth="1"/>
    <col min="4" max="4" width="39.109375" style="7"/>
    <col min="5" max="7" width="39.109375" style="7" customWidth="1"/>
    <col min="8" max="12" width="39.109375" style="7"/>
  </cols>
  <sheetData>
    <row r="1" spans="1:12" x14ac:dyDescent="0.3">
      <c r="A1" s="14" t="s">
        <v>35</v>
      </c>
    </row>
    <row r="2" spans="1:12" x14ac:dyDescent="0.3">
      <c r="A2" s="14" t="s">
        <v>1</v>
      </c>
      <c r="E2" s="11"/>
    </row>
    <row r="3" spans="1:12" x14ac:dyDescent="0.3">
      <c r="A3" s="14" t="s">
        <v>2</v>
      </c>
    </row>
    <row r="4" spans="1:12" x14ac:dyDescent="0.3">
      <c r="A4" s="15">
        <v>45292</v>
      </c>
    </row>
    <row r="5" spans="1:12" ht="33" customHeight="1" x14ac:dyDescent="0.3">
      <c r="A5" s="16" t="s">
        <v>3</v>
      </c>
      <c r="B5" s="8" t="s">
        <v>4</v>
      </c>
      <c r="C5" s="8" t="s">
        <v>5</v>
      </c>
      <c r="D5" s="8" t="s">
        <v>6</v>
      </c>
      <c r="E5" s="8" t="s">
        <v>7</v>
      </c>
      <c r="F5" s="8" t="s">
        <v>8</v>
      </c>
      <c r="G5" s="8" t="s">
        <v>9</v>
      </c>
      <c r="H5" s="8" t="s">
        <v>19</v>
      </c>
      <c r="I5" s="8" t="s">
        <v>11</v>
      </c>
      <c r="J5" s="12" t="s">
        <v>12</v>
      </c>
      <c r="K5" s="13" t="s">
        <v>13</v>
      </c>
      <c r="L5" s="12" t="s">
        <v>14</v>
      </c>
    </row>
    <row r="6" spans="1:12" x14ac:dyDescent="0.3">
      <c r="A6" s="17" t="s">
        <v>15</v>
      </c>
      <c r="B6" s="9">
        <v>0</v>
      </c>
      <c r="C6" s="9">
        <v>0</v>
      </c>
      <c r="D6" s="9">
        <v>37048</v>
      </c>
      <c r="E6" s="9">
        <v>0</v>
      </c>
      <c r="F6" s="9">
        <v>0</v>
      </c>
      <c r="G6" s="9">
        <v>0</v>
      </c>
      <c r="H6" s="9">
        <v>24948</v>
      </c>
      <c r="I6" s="9">
        <v>0</v>
      </c>
      <c r="J6" s="9">
        <v>118</v>
      </c>
      <c r="K6" s="9">
        <v>36</v>
      </c>
      <c r="L6" s="9">
        <v>0</v>
      </c>
    </row>
    <row r="7" spans="1:12" x14ac:dyDescent="0.3">
      <c r="A7" s="17" t="s">
        <v>16</v>
      </c>
      <c r="B7" s="9">
        <v>0</v>
      </c>
      <c r="C7" s="9">
        <v>0</v>
      </c>
      <c r="D7" s="9">
        <v>0</v>
      </c>
      <c r="E7" s="9">
        <v>0</v>
      </c>
      <c r="F7" s="9">
        <v>0</v>
      </c>
      <c r="G7" s="9">
        <v>0</v>
      </c>
      <c r="H7" s="9">
        <v>0</v>
      </c>
      <c r="I7" s="9">
        <v>0</v>
      </c>
      <c r="J7" s="9">
        <v>0</v>
      </c>
      <c r="K7" s="9">
        <v>0</v>
      </c>
      <c r="L7" s="9">
        <v>0</v>
      </c>
    </row>
    <row r="8" spans="1:12" x14ac:dyDescent="0.3">
      <c r="A8" s="17" t="s">
        <v>17</v>
      </c>
      <c r="B8" s="9">
        <v>0</v>
      </c>
      <c r="C8" s="9">
        <v>0</v>
      </c>
      <c r="D8" s="9">
        <v>5750</v>
      </c>
      <c r="E8" s="9">
        <v>0</v>
      </c>
      <c r="F8" s="9">
        <v>0</v>
      </c>
      <c r="G8" s="9">
        <v>0</v>
      </c>
      <c r="H8" s="9">
        <v>3323</v>
      </c>
      <c r="I8" s="9">
        <v>0</v>
      </c>
      <c r="J8" s="9">
        <v>11</v>
      </c>
      <c r="K8" s="9">
        <v>2</v>
      </c>
      <c r="L8" s="9">
        <v>0</v>
      </c>
    </row>
    <row r="9" spans="1:12" x14ac:dyDescent="0.3">
      <c r="A9" s="17" t="s">
        <v>18</v>
      </c>
      <c r="B9" s="9">
        <v>0</v>
      </c>
      <c r="C9" s="9">
        <v>0</v>
      </c>
      <c r="D9" s="9">
        <v>0</v>
      </c>
      <c r="E9" s="9">
        <v>0</v>
      </c>
      <c r="F9" s="9">
        <v>0</v>
      </c>
      <c r="G9" s="9">
        <v>0</v>
      </c>
      <c r="H9" s="9">
        <v>0</v>
      </c>
      <c r="I9" s="9">
        <v>0</v>
      </c>
      <c r="J9" s="9">
        <v>0</v>
      </c>
      <c r="K9" s="9">
        <v>0</v>
      </c>
      <c r="L9" s="9">
        <v>0</v>
      </c>
    </row>
    <row r="10" spans="1:12" x14ac:dyDescent="0.3">
      <c r="A10" s="15">
        <v>45345</v>
      </c>
    </row>
    <row r="11" spans="1:12" ht="33" customHeight="1" x14ac:dyDescent="0.3">
      <c r="A11" s="16" t="s">
        <v>3</v>
      </c>
      <c r="B11" s="8" t="s">
        <v>4</v>
      </c>
      <c r="C11" s="8" t="s">
        <v>5</v>
      </c>
      <c r="D11" s="8" t="s">
        <v>6</v>
      </c>
      <c r="E11" s="8" t="s">
        <v>7</v>
      </c>
      <c r="F11" s="8" t="s">
        <v>8</v>
      </c>
      <c r="G11" s="8" t="s">
        <v>9</v>
      </c>
      <c r="H11" s="8" t="s">
        <v>19</v>
      </c>
      <c r="I11" s="8" t="s">
        <v>11</v>
      </c>
      <c r="J11" s="12" t="s">
        <v>12</v>
      </c>
      <c r="K11" s="13" t="s">
        <v>13</v>
      </c>
      <c r="L11" s="12" t="s">
        <v>14</v>
      </c>
    </row>
    <row r="12" spans="1:12" x14ac:dyDescent="0.3">
      <c r="A12" s="17" t="s">
        <v>15</v>
      </c>
      <c r="B12" s="9">
        <v>0</v>
      </c>
      <c r="C12" s="9">
        <v>0</v>
      </c>
      <c r="D12" s="9">
        <v>51341</v>
      </c>
      <c r="E12" s="9">
        <v>0</v>
      </c>
      <c r="F12" s="9">
        <v>0</v>
      </c>
      <c r="G12" s="9">
        <v>0</v>
      </c>
      <c r="H12" s="9">
        <v>20749</v>
      </c>
      <c r="I12" s="9">
        <v>0</v>
      </c>
      <c r="J12" s="9">
        <v>100</v>
      </c>
      <c r="K12" s="9">
        <v>27</v>
      </c>
      <c r="L12" s="9">
        <v>0</v>
      </c>
    </row>
    <row r="13" spans="1:12" x14ac:dyDescent="0.3">
      <c r="A13" s="17" t="s">
        <v>16</v>
      </c>
      <c r="B13" s="9">
        <v>0</v>
      </c>
      <c r="C13" s="9">
        <v>0</v>
      </c>
      <c r="D13" s="9">
        <v>0</v>
      </c>
      <c r="E13" s="9">
        <v>0</v>
      </c>
      <c r="F13" s="9">
        <v>0</v>
      </c>
      <c r="G13" s="9">
        <v>0</v>
      </c>
      <c r="H13" s="9">
        <v>0</v>
      </c>
      <c r="I13" s="9">
        <v>0</v>
      </c>
      <c r="J13" s="9">
        <v>0</v>
      </c>
      <c r="K13" s="9">
        <v>0</v>
      </c>
      <c r="L13" s="9">
        <v>0</v>
      </c>
    </row>
    <row r="14" spans="1:12" x14ac:dyDescent="0.3">
      <c r="A14" s="17" t="s">
        <v>17</v>
      </c>
      <c r="B14" s="9">
        <v>0</v>
      </c>
      <c r="C14" s="9">
        <v>0</v>
      </c>
      <c r="D14" s="9">
        <v>745637.17</v>
      </c>
      <c r="E14" s="9">
        <v>0</v>
      </c>
      <c r="F14" s="9">
        <v>0</v>
      </c>
      <c r="G14" s="9">
        <v>0</v>
      </c>
      <c r="H14" s="9">
        <v>10272</v>
      </c>
      <c r="I14" s="9">
        <v>0</v>
      </c>
      <c r="J14" s="9">
        <v>15</v>
      </c>
      <c r="K14" s="9">
        <v>7</v>
      </c>
      <c r="L14" s="9">
        <v>0</v>
      </c>
    </row>
    <row r="15" spans="1:12" x14ac:dyDescent="0.3">
      <c r="A15" s="17" t="s">
        <v>18</v>
      </c>
      <c r="B15" s="9">
        <v>0</v>
      </c>
      <c r="C15" s="9">
        <v>0</v>
      </c>
      <c r="D15" s="9">
        <v>0</v>
      </c>
      <c r="E15" s="9">
        <v>0</v>
      </c>
      <c r="F15" s="9">
        <v>0</v>
      </c>
      <c r="G15" s="9">
        <v>0</v>
      </c>
      <c r="H15" s="9">
        <v>0</v>
      </c>
      <c r="I15" s="9">
        <v>0</v>
      </c>
      <c r="J15" s="9">
        <v>1</v>
      </c>
      <c r="K15" s="9">
        <v>0</v>
      </c>
      <c r="L15" s="9">
        <v>0</v>
      </c>
    </row>
    <row r="16" spans="1:12" x14ac:dyDescent="0.3">
      <c r="A16" s="15">
        <v>45352</v>
      </c>
    </row>
    <row r="17" spans="1:12" ht="33" customHeight="1" x14ac:dyDescent="0.3">
      <c r="A17" s="16" t="s">
        <v>3</v>
      </c>
      <c r="B17" s="8" t="s">
        <v>4</v>
      </c>
      <c r="C17" s="8" t="s">
        <v>5</v>
      </c>
      <c r="D17" s="8" t="s">
        <v>6</v>
      </c>
      <c r="E17" s="8" t="s">
        <v>7</v>
      </c>
      <c r="F17" s="8" t="s">
        <v>8</v>
      </c>
      <c r="G17" s="8" t="s">
        <v>9</v>
      </c>
      <c r="H17" s="8" t="s">
        <v>19</v>
      </c>
      <c r="I17" s="8" t="s">
        <v>11</v>
      </c>
      <c r="J17" s="12" t="s">
        <v>12</v>
      </c>
      <c r="K17" s="13" t="s">
        <v>13</v>
      </c>
      <c r="L17" s="12" t="s">
        <v>14</v>
      </c>
    </row>
    <row r="18" spans="1:12" x14ac:dyDescent="0.3">
      <c r="A18" s="17" t="s">
        <v>15</v>
      </c>
      <c r="B18" s="9">
        <v>0</v>
      </c>
      <c r="C18" s="9">
        <v>0</v>
      </c>
      <c r="D18" s="9">
        <v>101609.60000000001</v>
      </c>
      <c r="E18" s="9">
        <v>0</v>
      </c>
      <c r="F18" s="9">
        <v>0</v>
      </c>
      <c r="G18" s="9">
        <v>0</v>
      </c>
      <c r="H18" s="9">
        <v>15353</v>
      </c>
      <c r="I18" s="9">
        <v>0</v>
      </c>
      <c r="J18" s="9">
        <v>101</v>
      </c>
      <c r="K18" s="9">
        <v>33</v>
      </c>
      <c r="L18" s="9">
        <v>0</v>
      </c>
    </row>
    <row r="19" spans="1:12" x14ac:dyDescent="0.3">
      <c r="A19" s="17" t="s">
        <v>16</v>
      </c>
      <c r="B19" s="9">
        <v>0</v>
      </c>
      <c r="C19" s="9">
        <v>0</v>
      </c>
      <c r="D19" s="9">
        <v>0</v>
      </c>
      <c r="E19" s="9">
        <v>0</v>
      </c>
      <c r="F19" s="9">
        <v>0</v>
      </c>
      <c r="G19" s="9">
        <v>0</v>
      </c>
      <c r="H19" s="9">
        <v>0</v>
      </c>
      <c r="I19" s="9">
        <v>0</v>
      </c>
      <c r="J19" s="9">
        <v>0</v>
      </c>
      <c r="K19" s="9">
        <v>0</v>
      </c>
      <c r="L19" s="9">
        <v>0</v>
      </c>
    </row>
    <row r="20" spans="1:12" x14ac:dyDescent="0.3">
      <c r="A20" s="17" t="s">
        <v>17</v>
      </c>
      <c r="B20" s="9">
        <v>0</v>
      </c>
      <c r="C20" s="9">
        <v>0</v>
      </c>
      <c r="D20" s="9">
        <v>584751</v>
      </c>
      <c r="E20" s="9">
        <v>0</v>
      </c>
      <c r="F20" s="9">
        <v>0</v>
      </c>
      <c r="G20" s="9">
        <v>0</v>
      </c>
      <c r="H20" s="9">
        <v>6057</v>
      </c>
      <c r="I20" s="9">
        <v>0</v>
      </c>
      <c r="J20" s="9">
        <v>13</v>
      </c>
      <c r="K20" s="9">
        <v>6</v>
      </c>
      <c r="L20" s="9">
        <v>0</v>
      </c>
    </row>
    <row r="21" spans="1:12" x14ac:dyDescent="0.3">
      <c r="A21" s="17" t="s">
        <v>18</v>
      </c>
      <c r="B21" s="9">
        <v>0</v>
      </c>
      <c r="C21" s="9">
        <v>0</v>
      </c>
      <c r="D21" s="9">
        <v>0</v>
      </c>
      <c r="E21" s="9">
        <v>0</v>
      </c>
      <c r="F21" s="9">
        <v>0</v>
      </c>
      <c r="G21" s="9">
        <v>0</v>
      </c>
      <c r="H21" s="9">
        <v>0</v>
      </c>
      <c r="I21" s="9">
        <v>0</v>
      </c>
      <c r="J21" s="9">
        <v>0</v>
      </c>
      <c r="K21" s="9">
        <v>0</v>
      </c>
      <c r="L21" s="9">
        <v>0</v>
      </c>
    </row>
    <row r="22" spans="1:12" x14ac:dyDescent="0.3">
      <c r="A22" s="15">
        <v>45383</v>
      </c>
    </row>
    <row r="23" spans="1:12" ht="33" customHeight="1" x14ac:dyDescent="0.3">
      <c r="A23" s="16" t="s">
        <v>3</v>
      </c>
      <c r="B23" s="8" t="s">
        <v>4</v>
      </c>
      <c r="C23" s="8" t="s">
        <v>5</v>
      </c>
      <c r="D23" s="8" t="s">
        <v>6</v>
      </c>
      <c r="E23" s="8" t="s">
        <v>7</v>
      </c>
      <c r="F23" s="8" t="s">
        <v>8</v>
      </c>
      <c r="G23" s="8" t="s">
        <v>9</v>
      </c>
      <c r="H23" s="8" t="s">
        <v>19</v>
      </c>
      <c r="I23" s="8" t="s">
        <v>11</v>
      </c>
      <c r="J23" s="12" t="s">
        <v>12</v>
      </c>
      <c r="K23" s="13" t="s">
        <v>13</v>
      </c>
      <c r="L23" s="12" t="s">
        <v>14</v>
      </c>
    </row>
    <row r="24" spans="1:12" x14ac:dyDescent="0.3">
      <c r="A24" s="17" t="s">
        <v>15</v>
      </c>
      <c r="B24" s="9">
        <v>0</v>
      </c>
      <c r="C24" s="9">
        <v>0</v>
      </c>
      <c r="D24" s="9">
        <v>37366</v>
      </c>
      <c r="E24" s="9">
        <v>0</v>
      </c>
      <c r="F24" s="9">
        <v>0</v>
      </c>
      <c r="G24" s="9">
        <v>0</v>
      </c>
      <c r="H24" s="9">
        <v>23450</v>
      </c>
      <c r="I24" s="9">
        <v>0</v>
      </c>
      <c r="J24" s="9">
        <v>119</v>
      </c>
      <c r="K24" s="9">
        <v>25</v>
      </c>
      <c r="L24" s="9">
        <v>0</v>
      </c>
    </row>
    <row r="25" spans="1:12" x14ac:dyDescent="0.3">
      <c r="A25" s="17" t="s">
        <v>16</v>
      </c>
      <c r="B25" s="9">
        <v>0</v>
      </c>
      <c r="C25" s="9">
        <v>0</v>
      </c>
      <c r="D25" s="9">
        <v>0</v>
      </c>
      <c r="E25" s="9">
        <v>0</v>
      </c>
      <c r="F25" s="9">
        <v>0</v>
      </c>
      <c r="G25" s="9">
        <v>0</v>
      </c>
      <c r="H25" s="9">
        <v>0</v>
      </c>
      <c r="I25" s="9">
        <v>0</v>
      </c>
      <c r="J25" s="9">
        <v>0</v>
      </c>
      <c r="K25" s="9">
        <v>0</v>
      </c>
      <c r="L25" s="9">
        <v>0</v>
      </c>
    </row>
    <row r="26" spans="1:12" x14ac:dyDescent="0.3">
      <c r="A26" s="17" t="s">
        <v>17</v>
      </c>
      <c r="B26" s="9">
        <v>0</v>
      </c>
      <c r="C26" s="9">
        <v>0</v>
      </c>
      <c r="D26" s="9">
        <v>891606</v>
      </c>
      <c r="E26" s="9">
        <v>0</v>
      </c>
      <c r="F26" s="9">
        <v>0</v>
      </c>
      <c r="G26" s="9">
        <v>0</v>
      </c>
      <c r="H26" s="9">
        <v>0</v>
      </c>
      <c r="I26" s="9">
        <v>0</v>
      </c>
      <c r="J26" s="9">
        <v>13</v>
      </c>
      <c r="K26" s="9">
        <v>2</v>
      </c>
      <c r="L26" s="9">
        <v>0</v>
      </c>
    </row>
    <row r="27" spans="1:12" x14ac:dyDescent="0.3">
      <c r="A27" s="17" t="s">
        <v>18</v>
      </c>
      <c r="B27" s="9">
        <v>0</v>
      </c>
      <c r="C27" s="9">
        <v>0</v>
      </c>
      <c r="D27" s="9">
        <v>0</v>
      </c>
      <c r="E27" s="9">
        <v>0</v>
      </c>
      <c r="F27" s="9">
        <v>0</v>
      </c>
      <c r="G27" s="9">
        <v>0</v>
      </c>
      <c r="H27" s="9">
        <v>0</v>
      </c>
      <c r="I27" s="9">
        <v>0</v>
      </c>
      <c r="J27" s="9">
        <v>0</v>
      </c>
      <c r="K27" s="9">
        <v>0</v>
      </c>
      <c r="L27" s="9">
        <v>0</v>
      </c>
    </row>
    <row r="28" spans="1:12" x14ac:dyDescent="0.3">
      <c r="A28" s="15">
        <v>45413</v>
      </c>
    </row>
    <row r="29" spans="1:12" ht="33" customHeight="1" x14ac:dyDescent="0.3">
      <c r="A29" s="16" t="s">
        <v>3</v>
      </c>
      <c r="B29" s="8" t="s">
        <v>4</v>
      </c>
      <c r="C29" s="8" t="s">
        <v>5</v>
      </c>
      <c r="D29" s="8" t="s">
        <v>6</v>
      </c>
      <c r="E29" s="8" t="s">
        <v>7</v>
      </c>
      <c r="F29" s="8" t="s">
        <v>8</v>
      </c>
      <c r="G29" s="8" t="s">
        <v>9</v>
      </c>
      <c r="H29" s="8" t="s">
        <v>19</v>
      </c>
      <c r="I29" s="8" t="s">
        <v>11</v>
      </c>
      <c r="J29" s="12" t="s">
        <v>12</v>
      </c>
      <c r="K29" s="13" t="s">
        <v>13</v>
      </c>
      <c r="L29" s="12" t="s">
        <v>14</v>
      </c>
    </row>
    <row r="30" spans="1:12" x14ac:dyDescent="0.3">
      <c r="A30" s="17" t="s">
        <v>15</v>
      </c>
      <c r="B30" s="9">
        <v>0</v>
      </c>
      <c r="C30" s="9">
        <v>0</v>
      </c>
      <c r="D30" s="9">
        <v>114952</v>
      </c>
      <c r="E30" s="9">
        <v>0</v>
      </c>
      <c r="F30" s="9">
        <v>0</v>
      </c>
      <c r="G30" s="9">
        <v>0</v>
      </c>
      <c r="H30" s="9">
        <v>27880</v>
      </c>
      <c r="I30" s="9">
        <v>0</v>
      </c>
      <c r="J30" s="9">
        <v>119</v>
      </c>
      <c r="K30" s="9">
        <v>30</v>
      </c>
      <c r="L30" s="9">
        <v>0</v>
      </c>
    </row>
    <row r="31" spans="1:12" x14ac:dyDescent="0.3">
      <c r="A31" s="17" t="s">
        <v>16</v>
      </c>
      <c r="B31" s="9">
        <v>0</v>
      </c>
      <c r="C31" s="9">
        <v>0</v>
      </c>
      <c r="D31" s="9">
        <v>0</v>
      </c>
      <c r="E31" s="9">
        <v>0</v>
      </c>
      <c r="F31" s="9">
        <v>0</v>
      </c>
      <c r="G31" s="9">
        <v>0</v>
      </c>
      <c r="H31" s="9">
        <v>0</v>
      </c>
      <c r="I31" s="9">
        <v>0</v>
      </c>
      <c r="J31" s="9">
        <v>0</v>
      </c>
      <c r="K31" s="9">
        <v>0</v>
      </c>
      <c r="L31" s="9">
        <v>0</v>
      </c>
    </row>
    <row r="32" spans="1:12" x14ac:dyDescent="0.3">
      <c r="A32" s="17" t="s">
        <v>17</v>
      </c>
      <c r="B32" s="9">
        <v>0</v>
      </c>
      <c r="C32" s="9">
        <v>0</v>
      </c>
      <c r="D32" s="9">
        <v>71614.17</v>
      </c>
      <c r="E32" s="9">
        <v>0</v>
      </c>
      <c r="F32" s="9">
        <v>0</v>
      </c>
      <c r="G32" s="9">
        <v>0</v>
      </c>
      <c r="H32" s="9">
        <v>164</v>
      </c>
      <c r="I32" s="9">
        <v>0</v>
      </c>
      <c r="J32" s="9">
        <v>11</v>
      </c>
      <c r="K32" s="9">
        <v>4</v>
      </c>
      <c r="L32" s="9">
        <v>0</v>
      </c>
    </row>
    <row r="33" spans="1:12" x14ac:dyDescent="0.3">
      <c r="A33" s="17" t="s">
        <v>18</v>
      </c>
      <c r="B33" s="9">
        <v>0</v>
      </c>
      <c r="C33" s="9">
        <v>0</v>
      </c>
      <c r="D33" s="9">
        <v>0</v>
      </c>
      <c r="E33" s="9">
        <v>0</v>
      </c>
      <c r="F33" s="9">
        <v>0</v>
      </c>
      <c r="G33" s="9">
        <v>0</v>
      </c>
      <c r="H33" s="9">
        <v>0</v>
      </c>
      <c r="I33" s="9">
        <v>0</v>
      </c>
      <c r="J33" s="9">
        <v>0</v>
      </c>
      <c r="K33" s="9">
        <v>0</v>
      </c>
      <c r="L33" s="9">
        <v>0</v>
      </c>
    </row>
    <row r="34" spans="1:12" x14ac:dyDescent="0.3">
      <c r="A34" s="15">
        <v>45444</v>
      </c>
    </row>
    <row r="35" spans="1:12" ht="33" customHeight="1" x14ac:dyDescent="0.3">
      <c r="A35" s="16" t="s">
        <v>3</v>
      </c>
      <c r="B35" s="8" t="s">
        <v>4</v>
      </c>
      <c r="C35" s="8" t="s">
        <v>5</v>
      </c>
      <c r="D35" s="8" t="s">
        <v>6</v>
      </c>
      <c r="E35" s="8" t="s">
        <v>7</v>
      </c>
      <c r="F35" s="8" t="s">
        <v>8</v>
      </c>
      <c r="G35" s="8" t="s">
        <v>9</v>
      </c>
      <c r="H35" s="8" t="s">
        <v>19</v>
      </c>
      <c r="I35" s="8" t="s">
        <v>11</v>
      </c>
      <c r="J35" s="12" t="s">
        <v>12</v>
      </c>
      <c r="K35" s="13" t="s">
        <v>13</v>
      </c>
      <c r="L35" s="12" t="s">
        <v>14</v>
      </c>
    </row>
    <row r="36" spans="1:12" x14ac:dyDescent="0.3">
      <c r="A36" s="17" t="s">
        <v>15</v>
      </c>
      <c r="B36" s="9">
        <v>0</v>
      </c>
      <c r="C36" s="9">
        <v>0</v>
      </c>
      <c r="D36" s="9">
        <v>34700</v>
      </c>
      <c r="E36" s="9">
        <v>0</v>
      </c>
      <c r="F36" s="9">
        <v>0</v>
      </c>
      <c r="G36" s="9">
        <v>0</v>
      </c>
      <c r="H36" s="9">
        <v>28605</v>
      </c>
      <c r="I36" s="9">
        <v>0</v>
      </c>
      <c r="J36" s="9">
        <v>106</v>
      </c>
      <c r="K36" s="9">
        <v>26</v>
      </c>
      <c r="L36" s="9">
        <v>0</v>
      </c>
    </row>
    <row r="37" spans="1:12" x14ac:dyDescent="0.3">
      <c r="A37" s="17" t="s">
        <v>16</v>
      </c>
      <c r="B37" s="9">
        <v>0</v>
      </c>
      <c r="C37" s="9">
        <v>0</v>
      </c>
      <c r="D37" s="9">
        <v>0</v>
      </c>
      <c r="E37" s="9">
        <v>0</v>
      </c>
      <c r="F37" s="9">
        <v>0</v>
      </c>
      <c r="G37" s="9">
        <v>0</v>
      </c>
      <c r="H37" s="9">
        <v>0</v>
      </c>
      <c r="I37" s="9">
        <v>0</v>
      </c>
      <c r="J37" s="9">
        <v>0</v>
      </c>
      <c r="K37" s="9">
        <v>0</v>
      </c>
      <c r="L37" s="9">
        <v>0</v>
      </c>
    </row>
    <row r="38" spans="1:12" x14ac:dyDescent="0.3">
      <c r="A38" s="17" t="s">
        <v>17</v>
      </c>
      <c r="B38" s="9">
        <v>0</v>
      </c>
      <c r="C38" s="9">
        <v>0</v>
      </c>
      <c r="D38" s="9">
        <v>365.89</v>
      </c>
      <c r="E38" s="9">
        <v>0</v>
      </c>
      <c r="F38" s="9">
        <v>0</v>
      </c>
      <c r="G38" s="9">
        <v>0</v>
      </c>
      <c r="H38" s="9">
        <v>0</v>
      </c>
      <c r="I38" s="9">
        <v>0</v>
      </c>
      <c r="J38" s="9">
        <v>5</v>
      </c>
      <c r="K38" s="9">
        <v>1</v>
      </c>
      <c r="L38" s="9">
        <v>0</v>
      </c>
    </row>
    <row r="39" spans="1:12" x14ac:dyDescent="0.3">
      <c r="A39" s="17" t="s">
        <v>18</v>
      </c>
      <c r="B39" s="9">
        <v>0</v>
      </c>
      <c r="C39" s="9">
        <v>0</v>
      </c>
      <c r="D39" s="9">
        <v>0</v>
      </c>
      <c r="E39" s="9">
        <v>0</v>
      </c>
      <c r="F39" s="9">
        <v>0</v>
      </c>
      <c r="G39" s="9">
        <v>0</v>
      </c>
      <c r="H39" s="9">
        <v>0</v>
      </c>
      <c r="I39" s="9">
        <v>0</v>
      </c>
      <c r="J39" s="9">
        <v>0</v>
      </c>
      <c r="K39" s="9">
        <v>0</v>
      </c>
      <c r="L39" s="9">
        <v>0</v>
      </c>
    </row>
    <row r="40" spans="1:12" x14ac:dyDescent="0.3">
      <c r="A40" s="15">
        <v>45474</v>
      </c>
    </row>
    <row r="41" spans="1:12" ht="33" customHeight="1" x14ac:dyDescent="0.3">
      <c r="A41" s="16" t="s">
        <v>3</v>
      </c>
      <c r="B41" s="8" t="s">
        <v>4</v>
      </c>
      <c r="C41" s="8" t="s">
        <v>5</v>
      </c>
      <c r="D41" s="8" t="s">
        <v>6</v>
      </c>
      <c r="E41" s="8" t="s">
        <v>7</v>
      </c>
      <c r="F41" s="8" t="s">
        <v>8</v>
      </c>
      <c r="G41" s="8" t="s">
        <v>9</v>
      </c>
      <c r="H41" s="8" t="s">
        <v>19</v>
      </c>
      <c r="I41" s="8" t="s">
        <v>11</v>
      </c>
      <c r="J41" s="12" t="s">
        <v>12</v>
      </c>
      <c r="K41" s="13" t="s">
        <v>13</v>
      </c>
      <c r="L41" s="12" t="s">
        <v>14</v>
      </c>
    </row>
    <row r="42" spans="1:12" x14ac:dyDescent="0.3">
      <c r="A42" s="17" t="s">
        <v>15</v>
      </c>
      <c r="B42" s="9">
        <v>0</v>
      </c>
      <c r="C42" s="9">
        <v>0</v>
      </c>
      <c r="D42" s="9">
        <v>105574</v>
      </c>
      <c r="E42" s="9">
        <v>0</v>
      </c>
      <c r="F42" s="9">
        <v>0</v>
      </c>
      <c r="G42" s="9">
        <v>0</v>
      </c>
      <c r="H42" s="9">
        <v>10123</v>
      </c>
      <c r="I42" s="9">
        <v>0</v>
      </c>
      <c r="J42" s="9">
        <v>100</v>
      </c>
      <c r="K42" s="9">
        <v>19</v>
      </c>
      <c r="L42" s="9">
        <v>0</v>
      </c>
    </row>
    <row r="43" spans="1:12" x14ac:dyDescent="0.3">
      <c r="A43" s="17" t="s">
        <v>16</v>
      </c>
      <c r="B43" s="9">
        <v>0</v>
      </c>
      <c r="C43" s="9">
        <v>0</v>
      </c>
      <c r="D43" s="9">
        <v>2479.5500000000002</v>
      </c>
      <c r="E43" s="9">
        <v>0</v>
      </c>
      <c r="F43" s="9">
        <v>0</v>
      </c>
      <c r="G43" s="9">
        <v>0</v>
      </c>
      <c r="H43" s="9">
        <v>0</v>
      </c>
      <c r="I43" s="9">
        <v>0</v>
      </c>
      <c r="J43" s="9">
        <v>0</v>
      </c>
      <c r="K43" s="9">
        <v>1</v>
      </c>
      <c r="L43" s="9">
        <v>0</v>
      </c>
    </row>
    <row r="44" spans="1:12" x14ac:dyDescent="0.3">
      <c r="A44" s="17" t="s">
        <v>17</v>
      </c>
      <c r="B44" s="9">
        <v>0</v>
      </c>
      <c r="C44" s="9">
        <v>0</v>
      </c>
      <c r="D44" s="9">
        <v>0</v>
      </c>
      <c r="E44" s="9">
        <v>0</v>
      </c>
      <c r="F44" s="9">
        <v>0</v>
      </c>
      <c r="G44" s="9">
        <v>0</v>
      </c>
      <c r="H44" s="9">
        <v>7099</v>
      </c>
      <c r="I44" s="9">
        <v>0</v>
      </c>
      <c r="J44" s="9">
        <v>5</v>
      </c>
      <c r="K44" s="9">
        <v>2</v>
      </c>
      <c r="L44" s="9">
        <v>0</v>
      </c>
    </row>
    <row r="45" spans="1:12" x14ac:dyDescent="0.3">
      <c r="A45" s="17" t="s">
        <v>18</v>
      </c>
      <c r="B45" s="9">
        <v>0</v>
      </c>
      <c r="C45" s="9">
        <v>0</v>
      </c>
      <c r="D45" s="9">
        <v>0</v>
      </c>
      <c r="E45" s="9">
        <v>0</v>
      </c>
      <c r="F45" s="9">
        <v>0</v>
      </c>
      <c r="G45" s="9">
        <v>0</v>
      </c>
      <c r="H45" s="9">
        <v>0</v>
      </c>
      <c r="I45" s="9">
        <v>0</v>
      </c>
      <c r="J45" s="9">
        <v>0</v>
      </c>
      <c r="K45" s="9">
        <v>0</v>
      </c>
      <c r="L45" s="9">
        <v>0</v>
      </c>
    </row>
    <row r="46" spans="1:12" x14ac:dyDescent="0.3">
      <c r="A46" s="15">
        <v>45505</v>
      </c>
    </row>
    <row r="47" spans="1:12" ht="33" customHeight="1" x14ac:dyDescent="0.3">
      <c r="A47" s="16" t="s">
        <v>3</v>
      </c>
      <c r="B47" s="8" t="s">
        <v>4</v>
      </c>
      <c r="C47" s="8" t="s">
        <v>5</v>
      </c>
      <c r="D47" s="8" t="s">
        <v>6</v>
      </c>
      <c r="E47" s="8" t="s">
        <v>7</v>
      </c>
      <c r="F47" s="8" t="s">
        <v>8</v>
      </c>
      <c r="G47" s="8" t="s">
        <v>9</v>
      </c>
      <c r="H47" s="8" t="s">
        <v>19</v>
      </c>
      <c r="I47" s="8" t="s">
        <v>11</v>
      </c>
      <c r="J47" s="12" t="s">
        <v>12</v>
      </c>
      <c r="K47" s="13" t="s">
        <v>13</v>
      </c>
      <c r="L47" s="12" t="s">
        <v>14</v>
      </c>
    </row>
    <row r="48" spans="1:12" x14ac:dyDescent="0.3">
      <c r="A48" s="17" t="s">
        <v>15</v>
      </c>
      <c r="B48" s="9">
        <v>0</v>
      </c>
      <c r="C48" s="9">
        <v>0</v>
      </c>
      <c r="D48" s="9">
        <v>59275</v>
      </c>
      <c r="E48" s="9">
        <v>0</v>
      </c>
      <c r="F48" s="9">
        <v>0</v>
      </c>
      <c r="G48" s="9">
        <v>0</v>
      </c>
      <c r="H48" s="9">
        <v>20757</v>
      </c>
      <c r="I48" s="9">
        <v>0</v>
      </c>
      <c r="J48" s="9">
        <v>106</v>
      </c>
      <c r="K48" s="9">
        <v>28</v>
      </c>
      <c r="L48" s="9">
        <v>0</v>
      </c>
    </row>
    <row r="49" spans="1:12" x14ac:dyDescent="0.3">
      <c r="A49" s="17" t="s">
        <v>16</v>
      </c>
      <c r="B49" s="9">
        <v>0</v>
      </c>
      <c r="C49" s="9">
        <v>0</v>
      </c>
      <c r="D49" s="9">
        <v>0</v>
      </c>
      <c r="E49" s="9">
        <v>0</v>
      </c>
      <c r="F49" s="9">
        <v>0</v>
      </c>
      <c r="G49" s="9">
        <v>0</v>
      </c>
      <c r="H49" s="9">
        <v>0</v>
      </c>
      <c r="I49" s="9">
        <v>0</v>
      </c>
      <c r="J49" s="9">
        <v>0</v>
      </c>
      <c r="K49" s="9">
        <v>0</v>
      </c>
      <c r="L49" s="9">
        <v>0</v>
      </c>
    </row>
    <row r="50" spans="1:12" x14ac:dyDescent="0.3">
      <c r="A50" s="17" t="s">
        <v>17</v>
      </c>
      <c r="B50" s="9">
        <v>0</v>
      </c>
      <c r="C50" s="9">
        <v>0</v>
      </c>
      <c r="D50" s="9">
        <v>147838</v>
      </c>
      <c r="E50" s="9">
        <v>0</v>
      </c>
      <c r="F50" s="9">
        <v>0</v>
      </c>
      <c r="G50" s="9">
        <v>0</v>
      </c>
      <c r="H50" s="9">
        <v>27113</v>
      </c>
      <c r="I50" s="9">
        <v>0</v>
      </c>
      <c r="J50" s="9">
        <v>2</v>
      </c>
      <c r="K50" s="9">
        <v>3</v>
      </c>
      <c r="L50" s="9">
        <v>0</v>
      </c>
    </row>
    <row r="51" spans="1:12" x14ac:dyDescent="0.3">
      <c r="A51" s="17" t="s">
        <v>18</v>
      </c>
      <c r="B51" s="9">
        <v>0</v>
      </c>
      <c r="C51" s="9">
        <v>0</v>
      </c>
      <c r="D51" s="9">
        <v>0</v>
      </c>
      <c r="E51" s="9">
        <v>0</v>
      </c>
      <c r="F51" s="9">
        <v>0</v>
      </c>
      <c r="G51" s="9">
        <v>0</v>
      </c>
      <c r="H51" s="9">
        <v>0</v>
      </c>
      <c r="I51" s="9">
        <v>0</v>
      </c>
      <c r="J51" s="9">
        <v>0</v>
      </c>
      <c r="K51" s="9">
        <v>0</v>
      </c>
      <c r="L51" s="9">
        <v>0</v>
      </c>
    </row>
    <row r="52" spans="1:12" x14ac:dyDescent="0.3">
      <c r="A52" s="15">
        <v>45536</v>
      </c>
    </row>
    <row r="53" spans="1:12" ht="33" customHeight="1" x14ac:dyDescent="0.3">
      <c r="A53" s="16" t="s">
        <v>3</v>
      </c>
      <c r="B53" s="8" t="s">
        <v>4</v>
      </c>
      <c r="C53" s="8" t="s">
        <v>5</v>
      </c>
      <c r="D53" s="8" t="s">
        <v>6</v>
      </c>
      <c r="E53" s="8" t="s">
        <v>7</v>
      </c>
      <c r="F53" s="8" t="s">
        <v>8</v>
      </c>
      <c r="G53" s="8" t="s">
        <v>9</v>
      </c>
      <c r="H53" s="8" t="s">
        <v>19</v>
      </c>
      <c r="I53" s="8" t="s">
        <v>11</v>
      </c>
      <c r="J53" s="12" t="s">
        <v>12</v>
      </c>
      <c r="K53" s="13" t="s">
        <v>13</v>
      </c>
      <c r="L53" s="12" t="s">
        <v>14</v>
      </c>
    </row>
    <row r="54" spans="1:12" x14ac:dyDescent="0.3">
      <c r="A54" s="17" t="s">
        <v>15</v>
      </c>
      <c r="B54" s="9">
        <v>0</v>
      </c>
      <c r="C54" s="9">
        <v>0</v>
      </c>
      <c r="D54" s="9">
        <v>55399</v>
      </c>
      <c r="E54" s="9">
        <v>0</v>
      </c>
      <c r="F54" s="9">
        <v>0</v>
      </c>
      <c r="G54" s="9">
        <v>0</v>
      </c>
      <c r="H54" s="9">
        <v>33334</v>
      </c>
      <c r="I54" s="9">
        <v>0</v>
      </c>
      <c r="J54" s="9">
        <v>79</v>
      </c>
      <c r="K54" s="9">
        <v>33</v>
      </c>
      <c r="L54" s="9">
        <v>0</v>
      </c>
    </row>
    <row r="55" spans="1:12" x14ac:dyDescent="0.3">
      <c r="A55" s="17" t="s">
        <v>16</v>
      </c>
      <c r="B55" s="9">
        <v>0</v>
      </c>
      <c r="C55" s="9">
        <v>0</v>
      </c>
      <c r="D55" s="9">
        <v>0</v>
      </c>
      <c r="E55" s="9">
        <v>0</v>
      </c>
      <c r="F55" s="9">
        <v>0</v>
      </c>
      <c r="G55" s="9">
        <v>0</v>
      </c>
      <c r="H55" s="9">
        <v>0</v>
      </c>
      <c r="I55" s="9">
        <v>0</v>
      </c>
      <c r="J55" s="9">
        <v>0</v>
      </c>
      <c r="K55" s="9">
        <v>0</v>
      </c>
      <c r="L55" s="9">
        <v>0</v>
      </c>
    </row>
    <row r="56" spans="1:12" x14ac:dyDescent="0.3">
      <c r="A56" s="17" t="s">
        <v>17</v>
      </c>
      <c r="B56" s="9">
        <v>0</v>
      </c>
      <c r="C56" s="9">
        <v>0</v>
      </c>
      <c r="D56" s="9">
        <v>1876798</v>
      </c>
      <c r="E56" s="9">
        <v>0</v>
      </c>
      <c r="F56" s="9">
        <v>0</v>
      </c>
      <c r="G56" s="9">
        <v>0</v>
      </c>
      <c r="H56" s="9">
        <v>2481</v>
      </c>
      <c r="I56" s="9">
        <v>0</v>
      </c>
      <c r="J56" s="9">
        <v>8</v>
      </c>
      <c r="K56" s="9">
        <v>5</v>
      </c>
      <c r="L56" s="9">
        <v>0</v>
      </c>
    </row>
    <row r="57" spans="1:12" x14ac:dyDescent="0.3">
      <c r="A57" s="17" t="s">
        <v>18</v>
      </c>
      <c r="B57" s="9">
        <v>0</v>
      </c>
      <c r="C57" s="9">
        <v>0</v>
      </c>
      <c r="D57" s="9">
        <v>0</v>
      </c>
      <c r="E57" s="9">
        <v>0</v>
      </c>
      <c r="F57" s="9">
        <v>0</v>
      </c>
      <c r="G57" s="9">
        <v>0</v>
      </c>
      <c r="H57" s="9">
        <v>0</v>
      </c>
      <c r="I57" s="9">
        <v>0</v>
      </c>
      <c r="J57" s="9">
        <v>0</v>
      </c>
      <c r="K57" s="9">
        <v>0</v>
      </c>
      <c r="L57" s="9">
        <v>0</v>
      </c>
    </row>
    <row r="58" spans="1:12" x14ac:dyDescent="0.3">
      <c r="A58" s="15">
        <v>45566</v>
      </c>
    </row>
    <row r="59" spans="1:12" ht="33" customHeight="1" x14ac:dyDescent="0.3">
      <c r="A59" s="16" t="s">
        <v>3</v>
      </c>
      <c r="B59" s="8" t="s">
        <v>4</v>
      </c>
      <c r="C59" s="8" t="s">
        <v>5</v>
      </c>
      <c r="D59" s="8" t="s">
        <v>6</v>
      </c>
      <c r="E59" s="8" t="s">
        <v>7</v>
      </c>
      <c r="F59" s="8" t="s">
        <v>8</v>
      </c>
      <c r="G59" s="8" t="s">
        <v>9</v>
      </c>
      <c r="H59" s="8" t="s">
        <v>19</v>
      </c>
      <c r="I59" s="8" t="s">
        <v>11</v>
      </c>
      <c r="J59" s="12" t="s">
        <v>12</v>
      </c>
      <c r="K59" s="13" t="s">
        <v>13</v>
      </c>
      <c r="L59" s="12" t="s">
        <v>14</v>
      </c>
    </row>
    <row r="60" spans="1:12" x14ac:dyDescent="0.3">
      <c r="A60" s="17" t="s">
        <v>15</v>
      </c>
      <c r="B60" s="9">
        <v>0</v>
      </c>
      <c r="C60" s="9">
        <v>0</v>
      </c>
      <c r="D60" s="9">
        <v>65633</v>
      </c>
      <c r="E60" s="9">
        <v>0</v>
      </c>
      <c r="F60" s="9">
        <v>0</v>
      </c>
      <c r="G60" s="9">
        <v>0</v>
      </c>
      <c r="H60" s="9">
        <v>34215</v>
      </c>
      <c r="I60" s="9">
        <v>0</v>
      </c>
      <c r="J60" s="9">
        <v>87</v>
      </c>
      <c r="K60" s="9">
        <v>24</v>
      </c>
      <c r="L60" s="9">
        <v>0</v>
      </c>
    </row>
    <row r="61" spans="1:12" x14ac:dyDescent="0.3">
      <c r="A61" s="17" t="s">
        <v>16</v>
      </c>
      <c r="B61" s="9">
        <v>0</v>
      </c>
      <c r="C61" s="9">
        <v>0</v>
      </c>
      <c r="D61" s="9">
        <v>0</v>
      </c>
      <c r="E61" s="9">
        <v>0</v>
      </c>
      <c r="F61" s="9">
        <v>0</v>
      </c>
      <c r="G61" s="9">
        <v>0</v>
      </c>
      <c r="H61" s="9">
        <v>0</v>
      </c>
      <c r="I61" s="9">
        <v>0</v>
      </c>
      <c r="J61" s="9">
        <v>0</v>
      </c>
      <c r="K61" s="9">
        <v>0</v>
      </c>
      <c r="L61" s="9">
        <v>0</v>
      </c>
    </row>
    <row r="62" spans="1:12" x14ac:dyDescent="0.3">
      <c r="A62" s="17" t="s">
        <v>17</v>
      </c>
      <c r="B62" s="9">
        <v>0</v>
      </c>
      <c r="C62" s="9">
        <v>0</v>
      </c>
      <c r="D62" s="9">
        <v>2514</v>
      </c>
      <c r="E62" s="9">
        <v>0</v>
      </c>
      <c r="F62" s="9">
        <v>0</v>
      </c>
      <c r="G62" s="9">
        <v>0</v>
      </c>
      <c r="H62" s="9">
        <v>35</v>
      </c>
      <c r="I62" s="9">
        <v>0</v>
      </c>
      <c r="J62" s="9">
        <v>7</v>
      </c>
      <c r="K62" s="9">
        <v>1</v>
      </c>
      <c r="L62" s="9">
        <v>0</v>
      </c>
    </row>
    <row r="63" spans="1:12" x14ac:dyDescent="0.3">
      <c r="A63" s="17" t="s">
        <v>18</v>
      </c>
      <c r="B63" s="9">
        <v>0</v>
      </c>
      <c r="C63" s="9">
        <v>0</v>
      </c>
      <c r="D63" s="9">
        <v>0</v>
      </c>
      <c r="E63" s="9">
        <v>0</v>
      </c>
      <c r="F63" s="9">
        <v>0</v>
      </c>
      <c r="G63" s="9">
        <v>0</v>
      </c>
      <c r="H63" s="9">
        <v>0</v>
      </c>
      <c r="I63" s="9">
        <v>0</v>
      </c>
      <c r="J63" s="9">
        <v>0</v>
      </c>
      <c r="K63" s="9">
        <v>0</v>
      </c>
      <c r="L63" s="9">
        <v>0</v>
      </c>
    </row>
    <row r="65" spans="1:12" x14ac:dyDescent="0.3">
      <c r="A65" s="15">
        <v>45597</v>
      </c>
    </row>
    <row r="66" spans="1:12" ht="33" customHeight="1" x14ac:dyDescent="0.3">
      <c r="A66" s="16" t="s">
        <v>3</v>
      </c>
      <c r="B66" s="8" t="s">
        <v>4</v>
      </c>
      <c r="C66" s="8" t="s">
        <v>5</v>
      </c>
      <c r="D66" s="8" t="s">
        <v>6</v>
      </c>
      <c r="E66" s="8" t="s">
        <v>7</v>
      </c>
      <c r="F66" s="8" t="s">
        <v>8</v>
      </c>
      <c r="G66" s="8" t="s">
        <v>9</v>
      </c>
      <c r="H66" s="8" t="s">
        <v>19</v>
      </c>
      <c r="I66" s="8" t="s">
        <v>11</v>
      </c>
      <c r="J66" s="12" t="s">
        <v>12</v>
      </c>
      <c r="K66" s="13" t="s">
        <v>13</v>
      </c>
      <c r="L66" s="12" t="s">
        <v>14</v>
      </c>
    </row>
    <row r="67" spans="1:12" x14ac:dyDescent="0.3">
      <c r="A67" s="17" t="s">
        <v>15</v>
      </c>
      <c r="B67" s="9">
        <v>0</v>
      </c>
      <c r="C67" s="9">
        <v>0</v>
      </c>
      <c r="D67" s="9">
        <v>28922</v>
      </c>
      <c r="E67" s="9">
        <v>0</v>
      </c>
      <c r="F67" s="9">
        <v>0</v>
      </c>
      <c r="G67" s="9">
        <v>0</v>
      </c>
      <c r="H67" s="9">
        <v>35082</v>
      </c>
      <c r="I67" s="9">
        <v>0</v>
      </c>
      <c r="J67" s="9">
        <v>57</v>
      </c>
      <c r="K67" s="9">
        <v>27</v>
      </c>
      <c r="L67" s="9">
        <v>0</v>
      </c>
    </row>
    <row r="68" spans="1:12" x14ac:dyDescent="0.3">
      <c r="A68" s="17" t="s">
        <v>16</v>
      </c>
      <c r="B68" s="9">
        <v>0</v>
      </c>
      <c r="C68" s="9">
        <v>0</v>
      </c>
      <c r="D68" s="9">
        <v>0</v>
      </c>
      <c r="E68" s="9">
        <v>0</v>
      </c>
      <c r="F68" s="9">
        <v>0</v>
      </c>
      <c r="G68" s="9">
        <v>0</v>
      </c>
      <c r="H68" s="9">
        <v>0</v>
      </c>
      <c r="I68" s="9">
        <v>0</v>
      </c>
      <c r="J68" s="9">
        <v>0</v>
      </c>
      <c r="K68" s="9">
        <v>0</v>
      </c>
      <c r="L68" s="9">
        <v>0</v>
      </c>
    </row>
    <row r="69" spans="1:12" x14ac:dyDescent="0.3">
      <c r="A69" s="17" t="s">
        <v>17</v>
      </c>
      <c r="B69" s="9">
        <v>0</v>
      </c>
      <c r="C69" s="9">
        <v>0</v>
      </c>
      <c r="D69" s="9">
        <v>0</v>
      </c>
      <c r="E69" s="9">
        <v>0</v>
      </c>
      <c r="F69" s="9">
        <v>0</v>
      </c>
      <c r="G69" s="9">
        <v>0</v>
      </c>
      <c r="H69" s="9">
        <v>3087</v>
      </c>
      <c r="I69" s="9">
        <v>0</v>
      </c>
      <c r="J69" s="9">
        <v>4</v>
      </c>
      <c r="K69" s="9">
        <v>1</v>
      </c>
      <c r="L69" s="9">
        <v>0</v>
      </c>
    </row>
    <row r="70" spans="1:12" x14ac:dyDescent="0.3">
      <c r="A70" s="17" t="s">
        <v>18</v>
      </c>
      <c r="B70" s="9">
        <v>0</v>
      </c>
      <c r="C70" s="9">
        <v>0</v>
      </c>
      <c r="D70" s="9">
        <v>0</v>
      </c>
      <c r="E70" s="9">
        <v>0</v>
      </c>
      <c r="F70" s="9">
        <v>0</v>
      </c>
      <c r="G70" s="9">
        <v>0</v>
      </c>
      <c r="H70" s="9">
        <v>0</v>
      </c>
      <c r="I70" s="9">
        <v>0</v>
      </c>
      <c r="J70" s="9">
        <v>0</v>
      </c>
      <c r="K70" s="9">
        <v>0</v>
      </c>
      <c r="L70" s="9">
        <v>0</v>
      </c>
    </row>
    <row r="71" spans="1:12" x14ac:dyDescent="0.3">
      <c r="A71" s="15">
        <v>45627</v>
      </c>
    </row>
    <row r="72" spans="1:12" ht="33" customHeight="1" x14ac:dyDescent="0.3">
      <c r="A72" s="16" t="s">
        <v>3</v>
      </c>
      <c r="B72" s="8" t="s">
        <v>4</v>
      </c>
      <c r="C72" s="8" t="s">
        <v>5</v>
      </c>
      <c r="D72" s="8" t="s">
        <v>6</v>
      </c>
      <c r="E72" s="8" t="s">
        <v>7</v>
      </c>
      <c r="F72" s="8" t="s">
        <v>8</v>
      </c>
      <c r="G72" s="8" t="s">
        <v>9</v>
      </c>
      <c r="H72" s="8" t="s">
        <v>19</v>
      </c>
      <c r="I72" s="8" t="s">
        <v>11</v>
      </c>
      <c r="J72" s="12" t="s">
        <v>12</v>
      </c>
      <c r="K72" s="13" t="s">
        <v>13</v>
      </c>
      <c r="L72" s="12" t="s">
        <v>14</v>
      </c>
    </row>
    <row r="73" spans="1:12" x14ac:dyDescent="0.3">
      <c r="A73" s="17" t="s">
        <v>15</v>
      </c>
      <c r="B73" s="9">
        <v>0</v>
      </c>
      <c r="C73" s="9">
        <v>0</v>
      </c>
      <c r="D73" s="9">
        <v>9547</v>
      </c>
      <c r="E73" s="9">
        <v>0</v>
      </c>
      <c r="F73" s="9">
        <v>0</v>
      </c>
      <c r="G73" s="9">
        <v>0</v>
      </c>
      <c r="H73" s="9">
        <v>26074</v>
      </c>
      <c r="I73" s="9">
        <v>0</v>
      </c>
      <c r="J73" s="9">
        <v>41</v>
      </c>
      <c r="K73" s="9">
        <v>19</v>
      </c>
      <c r="L73" s="9">
        <v>0</v>
      </c>
    </row>
    <row r="74" spans="1:12" x14ac:dyDescent="0.3">
      <c r="A74" s="17" t="s">
        <v>16</v>
      </c>
      <c r="B74" s="9">
        <v>0</v>
      </c>
      <c r="C74" s="9">
        <v>0</v>
      </c>
      <c r="D74" s="9">
        <v>0</v>
      </c>
      <c r="E74" s="9">
        <v>0</v>
      </c>
      <c r="F74" s="9">
        <v>0</v>
      </c>
      <c r="G74" s="9">
        <v>0</v>
      </c>
      <c r="H74" s="9">
        <v>0</v>
      </c>
      <c r="I74" s="9">
        <v>0</v>
      </c>
      <c r="J74" s="9">
        <v>0</v>
      </c>
      <c r="K74" s="9">
        <v>0</v>
      </c>
      <c r="L74" s="9">
        <v>0</v>
      </c>
    </row>
    <row r="75" spans="1:12" x14ac:dyDescent="0.3">
      <c r="A75" s="17" t="s">
        <v>17</v>
      </c>
      <c r="B75" s="9">
        <v>0</v>
      </c>
      <c r="C75" s="9">
        <v>0</v>
      </c>
      <c r="D75" s="9">
        <v>0</v>
      </c>
      <c r="E75" s="9">
        <v>0</v>
      </c>
      <c r="F75" s="9">
        <v>0</v>
      </c>
      <c r="G75" s="9">
        <v>0</v>
      </c>
      <c r="H75" s="9">
        <v>0</v>
      </c>
      <c r="I75" s="9">
        <v>0</v>
      </c>
      <c r="J75" s="9">
        <v>4</v>
      </c>
      <c r="K75" s="9">
        <v>1</v>
      </c>
      <c r="L75" s="9">
        <v>0</v>
      </c>
    </row>
    <row r="76" spans="1:12" x14ac:dyDescent="0.3">
      <c r="A76" s="17" t="s">
        <v>18</v>
      </c>
      <c r="B76" s="9">
        <v>0</v>
      </c>
      <c r="C76" s="9">
        <v>0</v>
      </c>
      <c r="D76" s="9">
        <v>0</v>
      </c>
      <c r="E76" s="9">
        <v>0</v>
      </c>
      <c r="F76" s="9">
        <v>0</v>
      </c>
      <c r="G76" s="9">
        <v>0</v>
      </c>
      <c r="H76" s="9">
        <v>0</v>
      </c>
      <c r="I76" s="9">
        <v>0</v>
      </c>
      <c r="J76" s="9">
        <v>0</v>
      </c>
      <c r="K76" s="9">
        <v>0</v>
      </c>
      <c r="L76" s="9">
        <v>0</v>
      </c>
    </row>
    <row r="78" spans="1:12" x14ac:dyDescent="0.3">
      <c r="A78" s="22" t="s">
        <v>20</v>
      </c>
      <c r="B78" s="20"/>
      <c r="C78" s="20"/>
      <c r="D78" s="20"/>
      <c r="E78" s="20"/>
      <c r="F78" s="20"/>
      <c r="G78" s="20"/>
      <c r="H78" s="20"/>
    </row>
    <row r="79" spans="1:12" x14ac:dyDescent="0.3">
      <c r="A79" s="19" t="s">
        <v>36</v>
      </c>
      <c r="B79" s="20"/>
      <c r="C79" s="20"/>
      <c r="D79" s="20"/>
      <c r="E79" s="20"/>
      <c r="F79" s="20"/>
      <c r="G79" s="20"/>
      <c r="H79" s="20"/>
      <c r="I79" s="19"/>
    </row>
    <row r="80" spans="1:12" x14ac:dyDescent="0.3">
      <c r="A80" s="19" t="s">
        <v>21</v>
      </c>
      <c r="B80" s="20"/>
      <c r="C80" s="20"/>
      <c r="D80" s="20"/>
      <c r="E80" s="20"/>
      <c r="F80" s="20"/>
      <c r="G80" s="20"/>
      <c r="H80" s="20"/>
      <c r="I80" s="19"/>
    </row>
    <row r="81" spans="1:9" x14ac:dyDescent="0.3">
      <c r="A81" s="19" t="s">
        <v>37</v>
      </c>
      <c r="B81" s="20"/>
      <c r="C81" s="20"/>
      <c r="D81" s="20"/>
      <c r="E81" s="20"/>
      <c r="F81" s="20"/>
      <c r="G81" s="20"/>
      <c r="H81" s="20"/>
      <c r="I81" s="19"/>
    </row>
    <row r="82" spans="1:9" x14ac:dyDescent="0.3">
      <c r="A82" s="19" t="s">
        <v>38</v>
      </c>
      <c r="B82" s="20"/>
      <c r="C82" s="20"/>
      <c r="D82" s="20"/>
      <c r="E82" s="20"/>
      <c r="F82" s="20"/>
      <c r="G82" s="20"/>
      <c r="H82" s="20"/>
      <c r="I82" s="19"/>
    </row>
    <row r="83" spans="1:9" x14ac:dyDescent="0.3">
      <c r="A83" s="19" t="s">
        <v>23</v>
      </c>
      <c r="B83" s="20"/>
      <c r="C83" s="20"/>
      <c r="D83" s="20"/>
      <c r="E83" s="20"/>
      <c r="F83" s="20"/>
      <c r="G83" s="20"/>
      <c r="H83" s="20"/>
      <c r="I83" s="19"/>
    </row>
    <row r="84" spans="1:9" x14ac:dyDescent="0.3">
      <c r="A84" s="19" t="s">
        <v>24</v>
      </c>
      <c r="B84" s="20"/>
      <c r="C84" s="20"/>
      <c r="D84" s="20"/>
      <c r="E84" s="20"/>
      <c r="F84" s="20"/>
      <c r="G84" s="20"/>
      <c r="H84" s="20"/>
      <c r="I84" s="19"/>
    </row>
    <row r="85" spans="1:9" x14ac:dyDescent="0.3">
      <c r="A85" s="19" t="s">
        <v>25</v>
      </c>
      <c r="B85" s="20"/>
      <c r="C85" s="20"/>
      <c r="D85" s="20"/>
      <c r="E85" s="20"/>
      <c r="F85" s="20"/>
      <c r="G85" s="20"/>
      <c r="H85" s="20"/>
      <c r="I85" s="19"/>
    </row>
    <row r="86" spans="1:9" x14ac:dyDescent="0.3">
      <c r="A86" s="19" t="s">
        <v>39</v>
      </c>
      <c r="B86" s="20"/>
      <c r="C86" s="20"/>
      <c r="D86" s="20"/>
      <c r="E86" s="20"/>
      <c r="F86" s="20"/>
      <c r="G86" s="20"/>
      <c r="H86" s="20"/>
      <c r="I86" s="19"/>
    </row>
    <row r="87" spans="1:9" x14ac:dyDescent="0.3">
      <c r="A87" s="19" t="s">
        <v>28</v>
      </c>
      <c r="B87" s="20"/>
      <c r="C87" s="20"/>
      <c r="D87" s="20"/>
      <c r="E87" s="20"/>
      <c r="F87" s="20"/>
      <c r="G87" s="20"/>
      <c r="H87" s="20"/>
      <c r="I87" s="19"/>
    </row>
    <row r="88" spans="1:9" x14ac:dyDescent="0.3">
      <c r="A88" s="19" t="s">
        <v>40</v>
      </c>
      <c r="B88" s="20"/>
      <c r="C88" s="20"/>
      <c r="D88" s="20"/>
      <c r="E88" s="20"/>
      <c r="F88" s="20"/>
      <c r="G88" s="20"/>
      <c r="H88" s="20"/>
      <c r="I88" s="19"/>
    </row>
    <row r="89" spans="1:9" x14ac:dyDescent="0.3">
      <c r="A89" s="23" t="s">
        <v>41</v>
      </c>
      <c r="B89" s="20"/>
      <c r="C89" s="20"/>
      <c r="D89" s="20"/>
      <c r="E89" s="20"/>
      <c r="F89" s="20"/>
      <c r="G89" s="20"/>
      <c r="H89" s="20"/>
      <c r="I89" s="21"/>
    </row>
    <row r="90" spans="1:9" x14ac:dyDescent="0.3">
      <c r="A90" s="23" t="s">
        <v>29</v>
      </c>
      <c r="B90" s="20"/>
      <c r="C90" s="20"/>
      <c r="D90" s="20"/>
      <c r="E90" s="20"/>
      <c r="F90" s="20"/>
      <c r="G90" s="20"/>
      <c r="H90" s="20"/>
      <c r="I90" s="21"/>
    </row>
    <row r="91" spans="1:9" x14ac:dyDescent="0.3">
      <c r="A91" s="23" t="s">
        <v>30</v>
      </c>
      <c r="B91" s="20"/>
      <c r="C91" s="20"/>
      <c r="D91" s="20"/>
      <c r="E91" s="20"/>
      <c r="F91" s="20"/>
      <c r="G91" s="20"/>
      <c r="H91" s="20"/>
    </row>
    <row r="92" spans="1:9" x14ac:dyDescent="0.3">
      <c r="A92" s="24" t="s">
        <v>31</v>
      </c>
    </row>
  </sheetData>
  <pageMargins left="0.7" right="0.7" top="0.75" bottom="0.75" header="0.3" footer="0.3"/>
  <pageSetup paperSize="5" scale="32" orientation="landscape" r:id="rId1"/>
  <headerFooter>
    <oddFooter>&amp;A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DBFC1-F35A-42DE-83D8-703687512A67}">
  <sheetPr>
    <pageSetUpPr fitToPage="1"/>
  </sheetPr>
  <dimension ref="A1:L91"/>
  <sheetViews>
    <sheetView topLeftCell="G47" zoomScaleNormal="100" workbookViewId="0">
      <selection activeCell="L66" sqref="L66"/>
    </sheetView>
  </sheetViews>
  <sheetFormatPr defaultColWidth="39.109375" defaultRowHeight="14.4" x14ac:dyDescent="0.3"/>
  <cols>
    <col min="2" max="2" width="37.5546875" style="7" customWidth="1"/>
    <col min="3" max="3" width="36" style="7" customWidth="1"/>
    <col min="4" max="4" width="39.109375" style="7"/>
    <col min="5" max="7" width="39.109375" style="7" customWidth="1"/>
    <col min="8" max="12" width="39.109375" style="7"/>
  </cols>
  <sheetData>
    <row r="1" spans="1:12" x14ac:dyDescent="0.3">
      <c r="A1" s="1" t="s">
        <v>35</v>
      </c>
    </row>
    <row r="2" spans="1:12" x14ac:dyDescent="0.3">
      <c r="A2" s="1" t="s">
        <v>1</v>
      </c>
      <c r="E2" s="11"/>
    </row>
    <row r="3" spans="1:12" x14ac:dyDescent="0.3">
      <c r="A3" s="1" t="s">
        <v>2</v>
      </c>
    </row>
    <row r="4" spans="1:12" x14ac:dyDescent="0.3">
      <c r="A4" s="6">
        <v>45292</v>
      </c>
    </row>
    <row r="5" spans="1:12" ht="33" customHeight="1" x14ac:dyDescent="0.3">
      <c r="A5" s="3" t="s">
        <v>3</v>
      </c>
      <c r="B5" s="8" t="s">
        <v>4</v>
      </c>
      <c r="C5" s="8" t="s">
        <v>5</v>
      </c>
      <c r="D5" s="8" t="s">
        <v>6</v>
      </c>
      <c r="E5" s="8" t="s">
        <v>7</v>
      </c>
      <c r="F5" s="8" t="s">
        <v>8</v>
      </c>
      <c r="G5" s="8" t="s">
        <v>9</v>
      </c>
      <c r="H5" s="8" t="s">
        <v>19</v>
      </c>
      <c r="I5" s="8" t="s">
        <v>11</v>
      </c>
      <c r="J5" s="12" t="s">
        <v>12</v>
      </c>
      <c r="K5" s="13" t="s">
        <v>13</v>
      </c>
      <c r="L5" s="12" t="s">
        <v>14</v>
      </c>
    </row>
    <row r="6" spans="1:12" x14ac:dyDescent="0.3">
      <c r="A6" s="2" t="s">
        <v>15</v>
      </c>
      <c r="B6" s="9">
        <v>0</v>
      </c>
      <c r="C6" s="9">
        <v>0</v>
      </c>
      <c r="D6" s="9">
        <v>643808</v>
      </c>
      <c r="E6" s="9">
        <v>0</v>
      </c>
      <c r="F6" s="9">
        <v>0</v>
      </c>
      <c r="G6" s="9">
        <v>0</v>
      </c>
      <c r="H6" s="9">
        <v>34977</v>
      </c>
      <c r="I6" s="9">
        <v>0</v>
      </c>
      <c r="J6" s="9">
        <v>895</v>
      </c>
      <c r="K6" s="9">
        <v>656</v>
      </c>
      <c r="L6" s="9">
        <v>0</v>
      </c>
    </row>
    <row r="7" spans="1:12" x14ac:dyDescent="0.3">
      <c r="A7" s="2" t="s">
        <v>16</v>
      </c>
      <c r="B7" s="9">
        <v>0</v>
      </c>
      <c r="C7" s="9">
        <v>0</v>
      </c>
      <c r="D7" s="9">
        <v>0</v>
      </c>
      <c r="E7" s="9">
        <v>0</v>
      </c>
      <c r="F7" s="9">
        <v>0</v>
      </c>
      <c r="G7" s="9">
        <v>0</v>
      </c>
      <c r="H7" s="9">
        <v>4408</v>
      </c>
      <c r="I7" s="9">
        <v>0</v>
      </c>
      <c r="J7" s="9">
        <v>0</v>
      </c>
      <c r="K7" s="9">
        <v>1</v>
      </c>
      <c r="L7" s="9">
        <v>0</v>
      </c>
    </row>
    <row r="8" spans="1:12" x14ac:dyDescent="0.3">
      <c r="A8" s="2" t="s">
        <v>17</v>
      </c>
      <c r="B8" s="9">
        <v>0</v>
      </c>
      <c r="C8" s="9">
        <v>0</v>
      </c>
      <c r="D8" s="9">
        <v>15924</v>
      </c>
      <c r="E8" s="9">
        <v>0</v>
      </c>
      <c r="F8" s="9">
        <v>0</v>
      </c>
      <c r="G8" s="9">
        <v>0</v>
      </c>
      <c r="H8" s="9">
        <v>142015</v>
      </c>
      <c r="I8" s="9">
        <v>0</v>
      </c>
      <c r="J8" s="9">
        <v>73</v>
      </c>
      <c r="K8" s="9">
        <v>17</v>
      </c>
      <c r="L8" s="9">
        <v>0</v>
      </c>
    </row>
    <row r="9" spans="1:12" x14ac:dyDescent="0.3">
      <c r="A9" s="2" t="s">
        <v>18</v>
      </c>
      <c r="B9" s="9">
        <v>0</v>
      </c>
      <c r="C9" s="9">
        <v>0</v>
      </c>
      <c r="D9" s="9">
        <v>0</v>
      </c>
      <c r="E9" s="9">
        <v>0</v>
      </c>
      <c r="F9" s="9">
        <v>0</v>
      </c>
      <c r="G9" s="9">
        <v>0</v>
      </c>
      <c r="H9" s="9">
        <v>0</v>
      </c>
      <c r="I9" s="9">
        <v>0</v>
      </c>
      <c r="J9" s="9">
        <v>1</v>
      </c>
      <c r="K9" s="9">
        <v>0</v>
      </c>
      <c r="L9" s="9">
        <v>0</v>
      </c>
    </row>
    <row r="10" spans="1:12" x14ac:dyDescent="0.3">
      <c r="A10" s="6">
        <v>45345</v>
      </c>
    </row>
    <row r="11" spans="1:12" ht="33" customHeight="1" x14ac:dyDescent="0.3">
      <c r="A11" s="3" t="s">
        <v>3</v>
      </c>
      <c r="B11" s="8" t="s">
        <v>4</v>
      </c>
      <c r="C11" s="8" t="s">
        <v>5</v>
      </c>
      <c r="D11" s="8" t="s">
        <v>6</v>
      </c>
      <c r="E11" s="8" t="s">
        <v>7</v>
      </c>
      <c r="F11" s="8" t="s">
        <v>8</v>
      </c>
      <c r="G11" s="8" t="s">
        <v>9</v>
      </c>
      <c r="H11" s="8" t="s">
        <v>19</v>
      </c>
      <c r="I11" s="8" t="s">
        <v>11</v>
      </c>
      <c r="J11" s="12" t="s">
        <v>12</v>
      </c>
      <c r="K11" s="13" t="s">
        <v>13</v>
      </c>
      <c r="L11" s="12" t="s">
        <v>14</v>
      </c>
    </row>
    <row r="12" spans="1:12" x14ac:dyDescent="0.3">
      <c r="A12" s="2" t="s">
        <v>15</v>
      </c>
      <c r="B12" s="9">
        <v>0</v>
      </c>
      <c r="C12" s="9">
        <v>0</v>
      </c>
      <c r="D12" s="9">
        <v>748384</v>
      </c>
      <c r="E12" s="9">
        <v>0</v>
      </c>
      <c r="F12" s="9">
        <v>0</v>
      </c>
      <c r="G12" s="9">
        <v>0</v>
      </c>
      <c r="H12" s="9">
        <v>27093</v>
      </c>
      <c r="I12" s="9">
        <v>0</v>
      </c>
      <c r="J12" s="9">
        <v>667</v>
      </c>
      <c r="K12" s="9">
        <v>488</v>
      </c>
      <c r="L12" s="9">
        <v>0</v>
      </c>
    </row>
    <row r="13" spans="1:12" x14ac:dyDescent="0.3">
      <c r="A13" s="2" t="s">
        <v>16</v>
      </c>
      <c r="B13" s="9">
        <v>0</v>
      </c>
      <c r="C13" s="9">
        <v>0</v>
      </c>
      <c r="D13" s="9">
        <v>0</v>
      </c>
      <c r="E13" s="9">
        <v>0</v>
      </c>
      <c r="F13" s="9">
        <v>0</v>
      </c>
      <c r="G13" s="9">
        <v>0</v>
      </c>
      <c r="H13" s="9">
        <v>0</v>
      </c>
      <c r="I13" s="9">
        <v>0</v>
      </c>
      <c r="J13" s="9">
        <v>1</v>
      </c>
      <c r="K13" s="9">
        <v>0</v>
      </c>
      <c r="L13" s="9">
        <v>0</v>
      </c>
    </row>
    <row r="14" spans="1:12" x14ac:dyDescent="0.3">
      <c r="A14" s="2" t="s">
        <v>17</v>
      </c>
      <c r="B14" s="9">
        <v>0</v>
      </c>
      <c r="C14" s="9">
        <v>0</v>
      </c>
      <c r="D14" s="9">
        <v>287735</v>
      </c>
      <c r="E14" s="9">
        <v>0</v>
      </c>
      <c r="F14" s="9">
        <v>0</v>
      </c>
      <c r="G14" s="9">
        <v>0</v>
      </c>
      <c r="H14" s="9">
        <v>4491</v>
      </c>
      <c r="I14" s="9">
        <v>0</v>
      </c>
      <c r="J14" s="9">
        <v>60</v>
      </c>
      <c r="K14" s="9">
        <v>23</v>
      </c>
      <c r="L14" s="9">
        <v>0</v>
      </c>
    </row>
    <row r="15" spans="1:12" x14ac:dyDescent="0.3">
      <c r="A15" s="2" t="s">
        <v>18</v>
      </c>
      <c r="B15" s="9">
        <v>0</v>
      </c>
      <c r="C15" s="9">
        <v>0</v>
      </c>
      <c r="D15" s="9">
        <v>0</v>
      </c>
      <c r="E15" s="9">
        <v>0</v>
      </c>
      <c r="F15" s="9">
        <v>0</v>
      </c>
      <c r="G15" s="9">
        <v>0</v>
      </c>
      <c r="H15" s="9">
        <v>0</v>
      </c>
      <c r="I15" s="9">
        <v>0</v>
      </c>
      <c r="J15" s="9">
        <v>4</v>
      </c>
      <c r="K15" s="9">
        <v>0</v>
      </c>
      <c r="L15" s="9">
        <v>0</v>
      </c>
    </row>
    <row r="16" spans="1:12" x14ac:dyDescent="0.3">
      <c r="A16" s="6">
        <v>45352</v>
      </c>
    </row>
    <row r="17" spans="1:12" ht="33" customHeight="1" x14ac:dyDescent="0.3">
      <c r="A17" s="3" t="s">
        <v>3</v>
      </c>
      <c r="B17" s="8" t="s">
        <v>4</v>
      </c>
      <c r="C17" s="8" t="s">
        <v>5</v>
      </c>
      <c r="D17" s="8" t="s">
        <v>6</v>
      </c>
      <c r="E17" s="8" t="s">
        <v>7</v>
      </c>
      <c r="F17" s="8" t="s">
        <v>8</v>
      </c>
      <c r="G17" s="8" t="s">
        <v>9</v>
      </c>
      <c r="H17" s="8" t="s">
        <v>19</v>
      </c>
      <c r="I17" s="8" t="s">
        <v>11</v>
      </c>
      <c r="J17" s="12" t="s">
        <v>12</v>
      </c>
      <c r="K17" s="13" t="s">
        <v>13</v>
      </c>
      <c r="L17" s="12" t="s">
        <v>14</v>
      </c>
    </row>
    <row r="18" spans="1:12" x14ac:dyDescent="0.3">
      <c r="A18" s="2" t="s">
        <v>15</v>
      </c>
      <c r="B18" s="9">
        <v>0</v>
      </c>
      <c r="C18" s="9">
        <v>0</v>
      </c>
      <c r="D18" s="9">
        <v>1046944.7899999999</v>
      </c>
      <c r="E18" s="9">
        <v>0</v>
      </c>
      <c r="F18" s="9">
        <v>0</v>
      </c>
      <c r="G18" s="9">
        <v>0</v>
      </c>
      <c r="H18" s="9">
        <v>48060</v>
      </c>
      <c r="I18" s="9">
        <v>0</v>
      </c>
      <c r="J18" s="9">
        <v>713</v>
      </c>
      <c r="K18" s="9">
        <v>958</v>
      </c>
      <c r="L18" s="9">
        <v>0</v>
      </c>
    </row>
    <row r="19" spans="1:12" x14ac:dyDescent="0.3">
      <c r="A19" s="2" t="s">
        <v>16</v>
      </c>
      <c r="B19" s="9">
        <v>0</v>
      </c>
      <c r="C19" s="9">
        <v>0</v>
      </c>
      <c r="D19" s="9">
        <v>112126</v>
      </c>
      <c r="E19" s="9">
        <v>0</v>
      </c>
      <c r="F19" s="9">
        <v>0</v>
      </c>
      <c r="G19" s="9">
        <v>0</v>
      </c>
      <c r="H19" s="9">
        <v>0</v>
      </c>
      <c r="I19" s="9">
        <v>0</v>
      </c>
      <c r="J19" s="9">
        <v>0</v>
      </c>
      <c r="K19" s="9">
        <v>1</v>
      </c>
      <c r="L19" s="9">
        <v>0</v>
      </c>
    </row>
    <row r="20" spans="1:12" x14ac:dyDescent="0.3">
      <c r="A20" s="2" t="s">
        <v>17</v>
      </c>
      <c r="B20" s="9">
        <v>0</v>
      </c>
      <c r="C20" s="9">
        <v>0</v>
      </c>
      <c r="D20" s="9">
        <v>374301.22</v>
      </c>
      <c r="E20" s="9">
        <v>0</v>
      </c>
      <c r="F20" s="9">
        <v>0</v>
      </c>
      <c r="G20" s="9">
        <v>0</v>
      </c>
      <c r="H20" s="9">
        <v>61874</v>
      </c>
      <c r="I20" s="9">
        <v>0</v>
      </c>
      <c r="J20" s="9">
        <v>66</v>
      </c>
      <c r="K20" s="9">
        <v>33</v>
      </c>
      <c r="L20" s="9">
        <v>0</v>
      </c>
    </row>
    <row r="21" spans="1:12" x14ac:dyDescent="0.3">
      <c r="A21" s="2" t="s">
        <v>18</v>
      </c>
      <c r="B21" s="9">
        <v>0</v>
      </c>
      <c r="C21" s="9">
        <v>0</v>
      </c>
      <c r="D21" s="9">
        <v>0</v>
      </c>
      <c r="E21" s="9">
        <v>0</v>
      </c>
      <c r="F21" s="9">
        <v>0</v>
      </c>
      <c r="G21" s="9">
        <v>0</v>
      </c>
      <c r="H21" s="9">
        <v>0</v>
      </c>
      <c r="I21" s="9">
        <v>0</v>
      </c>
      <c r="J21" s="9">
        <v>0</v>
      </c>
      <c r="K21" s="9">
        <v>0</v>
      </c>
      <c r="L21" s="9">
        <v>0</v>
      </c>
    </row>
    <row r="22" spans="1:12" x14ac:dyDescent="0.3">
      <c r="A22" s="6">
        <v>45383</v>
      </c>
    </row>
    <row r="23" spans="1:12" ht="33" customHeight="1" x14ac:dyDescent="0.3">
      <c r="A23" s="3" t="s">
        <v>3</v>
      </c>
      <c r="B23" s="8" t="s">
        <v>4</v>
      </c>
      <c r="C23" s="8" t="s">
        <v>5</v>
      </c>
      <c r="D23" s="8" t="s">
        <v>6</v>
      </c>
      <c r="E23" s="8" t="s">
        <v>7</v>
      </c>
      <c r="F23" s="8" t="s">
        <v>8</v>
      </c>
      <c r="G23" s="8" t="s">
        <v>9</v>
      </c>
      <c r="H23" s="8" t="s">
        <v>19</v>
      </c>
      <c r="I23" s="8" t="s">
        <v>11</v>
      </c>
      <c r="J23" s="12" t="s">
        <v>12</v>
      </c>
      <c r="K23" s="13" t="s">
        <v>13</v>
      </c>
      <c r="L23" s="12" t="s">
        <v>14</v>
      </c>
    </row>
    <row r="24" spans="1:12" x14ac:dyDescent="0.3">
      <c r="A24" s="2" t="s">
        <v>15</v>
      </c>
      <c r="B24" s="9">
        <v>0</v>
      </c>
      <c r="C24" s="9">
        <v>0</v>
      </c>
      <c r="D24" s="9">
        <v>701972</v>
      </c>
      <c r="E24" s="9">
        <v>0</v>
      </c>
      <c r="F24" s="9">
        <v>0</v>
      </c>
      <c r="G24" s="9">
        <v>0</v>
      </c>
      <c r="H24" s="9">
        <v>24333</v>
      </c>
      <c r="I24" s="9">
        <v>0</v>
      </c>
      <c r="J24" s="9">
        <v>832</v>
      </c>
      <c r="K24" s="9">
        <v>548</v>
      </c>
      <c r="L24" s="9">
        <v>0</v>
      </c>
    </row>
    <row r="25" spans="1:12" x14ac:dyDescent="0.3">
      <c r="A25" s="2" t="s">
        <v>16</v>
      </c>
      <c r="B25" s="9">
        <v>0</v>
      </c>
      <c r="C25" s="9">
        <v>0</v>
      </c>
      <c r="D25" s="9">
        <v>0</v>
      </c>
      <c r="E25" s="9">
        <v>0</v>
      </c>
      <c r="F25" s="9">
        <v>0</v>
      </c>
      <c r="G25" s="9">
        <v>0</v>
      </c>
      <c r="H25" s="9">
        <v>0</v>
      </c>
      <c r="I25" s="9">
        <v>0</v>
      </c>
      <c r="J25" s="9">
        <v>0</v>
      </c>
      <c r="K25" s="9">
        <v>0</v>
      </c>
      <c r="L25" s="9">
        <v>0</v>
      </c>
    </row>
    <row r="26" spans="1:12" x14ac:dyDescent="0.3">
      <c r="A26" s="2" t="s">
        <v>17</v>
      </c>
      <c r="B26" s="9">
        <v>0</v>
      </c>
      <c r="C26" s="9">
        <v>0</v>
      </c>
      <c r="D26" s="9">
        <v>30967</v>
      </c>
      <c r="E26" s="9">
        <v>0</v>
      </c>
      <c r="F26" s="9">
        <v>0</v>
      </c>
      <c r="G26" s="9">
        <v>0</v>
      </c>
      <c r="H26" s="9">
        <v>13387</v>
      </c>
      <c r="I26" s="9">
        <v>0</v>
      </c>
      <c r="J26" s="9">
        <v>84</v>
      </c>
      <c r="K26" s="9">
        <v>20</v>
      </c>
      <c r="L26" s="9">
        <v>0</v>
      </c>
    </row>
    <row r="27" spans="1:12" x14ac:dyDescent="0.3">
      <c r="A27" s="2" t="s">
        <v>18</v>
      </c>
      <c r="B27" s="9">
        <v>0</v>
      </c>
      <c r="C27" s="9">
        <v>0</v>
      </c>
      <c r="D27" s="9">
        <v>0</v>
      </c>
      <c r="E27" s="9">
        <v>0</v>
      </c>
      <c r="F27" s="9">
        <v>0</v>
      </c>
      <c r="G27" s="9">
        <v>0</v>
      </c>
      <c r="H27" s="9">
        <v>0</v>
      </c>
      <c r="I27" s="9">
        <v>0</v>
      </c>
      <c r="J27" s="9">
        <v>1</v>
      </c>
      <c r="K27" s="9">
        <v>0</v>
      </c>
      <c r="L27" s="9">
        <v>0</v>
      </c>
    </row>
    <row r="28" spans="1:12" x14ac:dyDescent="0.3">
      <c r="A28" s="6">
        <v>45413</v>
      </c>
    </row>
    <row r="29" spans="1:12" ht="33" customHeight="1" x14ac:dyDescent="0.3">
      <c r="A29" s="3" t="s">
        <v>3</v>
      </c>
      <c r="B29" s="8" t="s">
        <v>4</v>
      </c>
      <c r="C29" s="8" t="s">
        <v>5</v>
      </c>
      <c r="D29" s="8" t="s">
        <v>6</v>
      </c>
      <c r="E29" s="8" t="s">
        <v>7</v>
      </c>
      <c r="F29" s="8" t="s">
        <v>8</v>
      </c>
      <c r="G29" s="8" t="s">
        <v>9</v>
      </c>
      <c r="H29" s="8" t="s">
        <v>19</v>
      </c>
      <c r="I29" s="8" t="s">
        <v>11</v>
      </c>
      <c r="J29" s="12" t="s">
        <v>12</v>
      </c>
      <c r="K29" s="13" t="s">
        <v>13</v>
      </c>
      <c r="L29" s="12" t="s">
        <v>14</v>
      </c>
    </row>
    <row r="30" spans="1:12" x14ac:dyDescent="0.3">
      <c r="A30" s="2" t="s">
        <v>15</v>
      </c>
      <c r="B30" s="9">
        <v>0</v>
      </c>
      <c r="C30" s="9">
        <v>0</v>
      </c>
      <c r="D30" s="9">
        <v>926817.72</v>
      </c>
      <c r="E30" s="9">
        <v>0</v>
      </c>
      <c r="F30" s="9">
        <v>0</v>
      </c>
      <c r="G30" s="9">
        <v>0</v>
      </c>
      <c r="H30" s="9">
        <v>28272</v>
      </c>
      <c r="I30" s="9">
        <v>0</v>
      </c>
      <c r="J30" s="9">
        <v>914</v>
      </c>
      <c r="K30" s="9">
        <v>586</v>
      </c>
      <c r="L30" s="9">
        <v>0</v>
      </c>
    </row>
    <row r="31" spans="1:12" x14ac:dyDescent="0.3">
      <c r="A31" s="2" t="s">
        <v>16</v>
      </c>
      <c r="B31" s="9">
        <v>0</v>
      </c>
      <c r="C31" s="9">
        <v>0</v>
      </c>
      <c r="D31" s="9">
        <v>0</v>
      </c>
      <c r="E31" s="9">
        <v>0</v>
      </c>
      <c r="F31" s="9">
        <v>0</v>
      </c>
      <c r="G31" s="9">
        <v>0</v>
      </c>
      <c r="H31" s="9">
        <v>0</v>
      </c>
      <c r="I31" s="9">
        <v>0</v>
      </c>
      <c r="J31" s="9">
        <v>0</v>
      </c>
      <c r="K31" s="9">
        <v>0</v>
      </c>
      <c r="L31" s="9">
        <v>0</v>
      </c>
    </row>
    <row r="32" spans="1:12" x14ac:dyDescent="0.3">
      <c r="A32" s="2" t="s">
        <v>17</v>
      </c>
      <c r="B32" s="9">
        <v>0</v>
      </c>
      <c r="C32" s="9">
        <v>0</v>
      </c>
      <c r="D32" s="9">
        <v>4511172.16</v>
      </c>
      <c r="E32" s="9">
        <v>0</v>
      </c>
      <c r="F32" s="9">
        <v>0</v>
      </c>
      <c r="G32" s="9">
        <v>0</v>
      </c>
      <c r="H32" s="9">
        <v>21249</v>
      </c>
      <c r="I32" s="9">
        <v>0</v>
      </c>
      <c r="J32" s="9">
        <v>85</v>
      </c>
      <c r="K32" s="9">
        <v>25</v>
      </c>
      <c r="L32" s="9">
        <v>0</v>
      </c>
    </row>
    <row r="33" spans="1:12" x14ac:dyDescent="0.3">
      <c r="A33" s="2" t="s">
        <v>18</v>
      </c>
      <c r="B33" s="9">
        <v>0</v>
      </c>
      <c r="C33" s="9">
        <v>0</v>
      </c>
      <c r="D33" s="9">
        <v>0</v>
      </c>
      <c r="E33" s="9">
        <v>0</v>
      </c>
      <c r="F33" s="9">
        <v>0</v>
      </c>
      <c r="G33" s="9">
        <v>0</v>
      </c>
      <c r="H33" s="9">
        <v>0</v>
      </c>
      <c r="I33" s="9">
        <v>0</v>
      </c>
      <c r="J33" s="9">
        <v>0</v>
      </c>
      <c r="K33" s="9">
        <v>0</v>
      </c>
      <c r="L33" s="9">
        <v>0</v>
      </c>
    </row>
    <row r="34" spans="1:12" x14ac:dyDescent="0.3">
      <c r="A34" s="6">
        <v>45444</v>
      </c>
    </row>
    <row r="35" spans="1:12" ht="33" customHeight="1" x14ac:dyDescent="0.3">
      <c r="A35" s="3" t="s">
        <v>3</v>
      </c>
      <c r="B35" s="8" t="s">
        <v>4</v>
      </c>
      <c r="C35" s="8" t="s">
        <v>5</v>
      </c>
      <c r="D35" s="8" t="s">
        <v>6</v>
      </c>
      <c r="E35" s="8" t="s">
        <v>7</v>
      </c>
      <c r="F35" s="8" t="s">
        <v>8</v>
      </c>
      <c r="G35" s="8" t="s">
        <v>9</v>
      </c>
      <c r="H35" s="8" t="s">
        <v>19</v>
      </c>
      <c r="I35" s="8" t="s">
        <v>11</v>
      </c>
      <c r="J35" s="12" t="s">
        <v>12</v>
      </c>
      <c r="K35" s="13" t="s">
        <v>13</v>
      </c>
      <c r="L35" s="12" t="s">
        <v>14</v>
      </c>
    </row>
    <row r="36" spans="1:12" x14ac:dyDescent="0.3">
      <c r="A36" s="2" t="s">
        <v>15</v>
      </c>
      <c r="B36" s="9">
        <v>0</v>
      </c>
      <c r="C36" s="9">
        <v>0</v>
      </c>
      <c r="D36" s="9">
        <v>690098</v>
      </c>
      <c r="E36" s="9">
        <v>0</v>
      </c>
      <c r="F36" s="9">
        <v>0</v>
      </c>
      <c r="G36" s="9">
        <v>0</v>
      </c>
      <c r="H36" s="9">
        <v>8843</v>
      </c>
      <c r="I36" s="9">
        <v>0</v>
      </c>
      <c r="J36" s="9">
        <v>783</v>
      </c>
      <c r="K36" s="9">
        <v>476</v>
      </c>
      <c r="L36" s="9">
        <v>0</v>
      </c>
    </row>
    <row r="37" spans="1:12" x14ac:dyDescent="0.3">
      <c r="A37" s="2" t="s">
        <v>16</v>
      </c>
      <c r="B37" s="9">
        <v>0</v>
      </c>
      <c r="C37" s="9">
        <v>0</v>
      </c>
      <c r="D37" s="9">
        <v>0</v>
      </c>
      <c r="E37" s="9">
        <v>0</v>
      </c>
      <c r="F37" s="9">
        <v>0</v>
      </c>
      <c r="G37" s="9">
        <v>0</v>
      </c>
      <c r="H37" s="9">
        <v>0</v>
      </c>
      <c r="I37" s="9">
        <v>0</v>
      </c>
      <c r="J37" s="9">
        <v>0</v>
      </c>
      <c r="K37" s="9">
        <v>0</v>
      </c>
      <c r="L37" s="9">
        <v>0</v>
      </c>
    </row>
    <row r="38" spans="1:12" x14ac:dyDescent="0.3">
      <c r="A38" s="2" t="s">
        <v>17</v>
      </c>
      <c r="B38" s="9">
        <v>4158.46</v>
      </c>
      <c r="C38" s="9">
        <v>0</v>
      </c>
      <c r="D38" s="9">
        <v>203129.24</v>
      </c>
      <c r="E38" s="9">
        <v>0</v>
      </c>
      <c r="F38" s="9">
        <v>0</v>
      </c>
      <c r="G38" s="9">
        <v>0</v>
      </c>
      <c r="H38" s="9">
        <v>48918</v>
      </c>
      <c r="I38" s="9">
        <v>0</v>
      </c>
      <c r="J38" s="9">
        <v>73</v>
      </c>
      <c r="K38" s="9">
        <v>20</v>
      </c>
      <c r="L38" s="9">
        <v>0</v>
      </c>
    </row>
    <row r="39" spans="1:12" x14ac:dyDescent="0.3">
      <c r="A39" s="2" t="s">
        <v>18</v>
      </c>
      <c r="B39" s="9">
        <v>0</v>
      </c>
      <c r="C39" s="9">
        <v>0</v>
      </c>
      <c r="D39" s="9">
        <v>0</v>
      </c>
      <c r="E39" s="9">
        <v>0</v>
      </c>
      <c r="F39" s="9">
        <v>0</v>
      </c>
      <c r="G39" s="9">
        <v>0</v>
      </c>
      <c r="H39" s="9">
        <v>0</v>
      </c>
      <c r="I39" s="9">
        <v>0</v>
      </c>
      <c r="J39" s="9">
        <v>0</v>
      </c>
      <c r="K39" s="9">
        <v>0</v>
      </c>
      <c r="L39" s="9">
        <v>0</v>
      </c>
    </row>
    <row r="40" spans="1:12" x14ac:dyDescent="0.3">
      <c r="A40" s="6">
        <v>45474</v>
      </c>
    </row>
    <row r="41" spans="1:12" ht="33" customHeight="1" x14ac:dyDescent="0.3">
      <c r="A41" s="3" t="s">
        <v>3</v>
      </c>
      <c r="B41" s="8" t="s">
        <v>4</v>
      </c>
      <c r="C41" s="8" t="s">
        <v>5</v>
      </c>
      <c r="D41" s="8" t="s">
        <v>6</v>
      </c>
      <c r="E41" s="8" t="s">
        <v>7</v>
      </c>
      <c r="F41" s="8" t="s">
        <v>8</v>
      </c>
      <c r="G41" s="8" t="s">
        <v>9</v>
      </c>
      <c r="H41" s="8" t="s">
        <v>19</v>
      </c>
      <c r="I41" s="8" t="s">
        <v>11</v>
      </c>
      <c r="J41" s="12" t="s">
        <v>12</v>
      </c>
      <c r="K41" s="13" t="s">
        <v>13</v>
      </c>
      <c r="L41" s="12" t="s">
        <v>14</v>
      </c>
    </row>
    <row r="42" spans="1:12" x14ac:dyDescent="0.3">
      <c r="A42" s="2" t="s">
        <v>15</v>
      </c>
      <c r="B42" s="9">
        <v>0</v>
      </c>
      <c r="C42" s="9">
        <v>0</v>
      </c>
      <c r="D42" s="9">
        <v>1244660.58</v>
      </c>
      <c r="E42" s="9">
        <v>0</v>
      </c>
      <c r="F42" s="9">
        <v>0</v>
      </c>
      <c r="G42" s="9">
        <v>0</v>
      </c>
      <c r="H42" s="9">
        <v>45342</v>
      </c>
      <c r="I42" s="9">
        <v>0</v>
      </c>
      <c r="J42" s="9">
        <v>766</v>
      </c>
      <c r="K42" s="9">
        <v>600</v>
      </c>
      <c r="L42" s="9">
        <v>0</v>
      </c>
    </row>
    <row r="43" spans="1:12" x14ac:dyDescent="0.3">
      <c r="A43" s="2" t="s">
        <v>16</v>
      </c>
      <c r="B43" s="9">
        <v>0</v>
      </c>
      <c r="C43" s="9">
        <v>0</v>
      </c>
      <c r="D43" s="9">
        <v>0</v>
      </c>
      <c r="E43" s="9">
        <v>0</v>
      </c>
      <c r="F43" s="9">
        <v>0</v>
      </c>
      <c r="G43" s="9">
        <v>0</v>
      </c>
      <c r="H43" s="9">
        <v>0</v>
      </c>
      <c r="I43" s="9">
        <v>0</v>
      </c>
      <c r="J43" s="9">
        <v>1</v>
      </c>
      <c r="K43" s="9">
        <v>0</v>
      </c>
      <c r="L43" s="9">
        <v>0</v>
      </c>
    </row>
    <row r="44" spans="1:12" x14ac:dyDescent="0.3">
      <c r="A44" s="2" t="s">
        <v>17</v>
      </c>
      <c r="B44" s="9">
        <v>0</v>
      </c>
      <c r="C44" s="9">
        <v>0</v>
      </c>
      <c r="D44" s="9">
        <v>876071.05</v>
      </c>
      <c r="E44" s="9">
        <v>0</v>
      </c>
      <c r="F44" s="9">
        <v>0</v>
      </c>
      <c r="G44" s="9">
        <v>0</v>
      </c>
      <c r="H44" s="9">
        <v>92687</v>
      </c>
      <c r="I44" s="9">
        <v>0</v>
      </c>
      <c r="J44" s="9">
        <v>52</v>
      </c>
      <c r="K44" s="9">
        <v>39</v>
      </c>
      <c r="L44" s="9">
        <v>0</v>
      </c>
    </row>
    <row r="45" spans="1:12" x14ac:dyDescent="0.3">
      <c r="A45" s="2" t="s">
        <v>18</v>
      </c>
      <c r="B45" s="9">
        <v>0</v>
      </c>
      <c r="C45" s="9">
        <v>0</v>
      </c>
      <c r="D45" s="9">
        <v>0</v>
      </c>
      <c r="E45" s="9">
        <v>0</v>
      </c>
      <c r="F45" s="9">
        <v>0</v>
      </c>
      <c r="G45" s="9">
        <v>0</v>
      </c>
      <c r="H45" s="9">
        <v>0</v>
      </c>
      <c r="I45" s="9">
        <v>0</v>
      </c>
      <c r="J45" s="9">
        <v>1</v>
      </c>
      <c r="K45" s="9">
        <v>0</v>
      </c>
      <c r="L45" s="9">
        <v>0</v>
      </c>
    </row>
    <row r="46" spans="1:12" x14ac:dyDescent="0.3">
      <c r="A46" s="6">
        <v>45505</v>
      </c>
    </row>
    <row r="47" spans="1:12" ht="33" customHeight="1" x14ac:dyDescent="0.3">
      <c r="A47" s="3" t="s">
        <v>3</v>
      </c>
      <c r="B47" s="8" t="s">
        <v>4</v>
      </c>
      <c r="C47" s="8" t="s">
        <v>5</v>
      </c>
      <c r="D47" s="8" t="s">
        <v>6</v>
      </c>
      <c r="E47" s="8" t="s">
        <v>7</v>
      </c>
      <c r="F47" s="8" t="s">
        <v>8</v>
      </c>
      <c r="G47" s="8" t="s">
        <v>9</v>
      </c>
      <c r="H47" s="8" t="s">
        <v>19</v>
      </c>
      <c r="I47" s="8" t="s">
        <v>11</v>
      </c>
      <c r="J47" s="12" t="s">
        <v>12</v>
      </c>
      <c r="K47" s="13" t="s">
        <v>13</v>
      </c>
      <c r="L47" s="12" t="s">
        <v>14</v>
      </c>
    </row>
    <row r="48" spans="1:12" x14ac:dyDescent="0.3">
      <c r="A48" s="2" t="s">
        <v>15</v>
      </c>
      <c r="B48" s="9">
        <v>0</v>
      </c>
      <c r="C48" s="9">
        <v>0</v>
      </c>
      <c r="D48" s="9">
        <v>1218149.02</v>
      </c>
      <c r="E48" s="9">
        <v>0</v>
      </c>
      <c r="F48" s="9">
        <v>0</v>
      </c>
      <c r="G48" s="9">
        <v>0</v>
      </c>
      <c r="H48" s="9">
        <v>27923</v>
      </c>
      <c r="I48" s="9">
        <v>0</v>
      </c>
      <c r="J48" s="9">
        <v>816</v>
      </c>
      <c r="K48" s="9">
        <v>568</v>
      </c>
      <c r="L48" s="9">
        <v>0</v>
      </c>
    </row>
    <row r="49" spans="1:12" x14ac:dyDescent="0.3">
      <c r="A49" s="2" t="s">
        <v>16</v>
      </c>
      <c r="B49" s="9">
        <v>0</v>
      </c>
      <c r="C49" s="9">
        <v>0</v>
      </c>
      <c r="D49" s="9">
        <v>0</v>
      </c>
      <c r="E49" s="9">
        <v>0</v>
      </c>
      <c r="F49" s="9">
        <v>0</v>
      </c>
      <c r="G49" s="9">
        <v>0</v>
      </c>
      <c r="H49" s="9">
        <v>0</v>
      </c>
      <c r="I49" s="9">
        <v>0</v>
      </c>
      <c r="J49" s="9">
        <v>0</v>
      </c>
      <c r="K49" s="9">
        <v>0</v>
      </c>
      <c r="L49" s="9">
        <v>0</v>
      </c>
    </row>
    <row r="50" spans="1:12" x14ac:dyDescent="0.3">
      <c r="A50" s="2" t="s">
        <v>17</v>
      </c>
      <c r="B50" s="9">
        <v>0</v>
      </c>
      <c r="C50" s="9">
        <v>0</v>
      </c>
      <c r="D50" s="9">
        <v>1542890</v>
      </c>
      <c r="E50" s="9">
        <v>0</v>
      </c>
      <c r="F50" s="9">
        <v>0</v>
      </c>
      <c r="G50" s="9">
        <v>0</v>
      </c>
      <c r="H50" s="9">
        <v>56559</v>
      </c>
      <c r="I50" s="9">
        <v>0</v>
      </c>
      <c r="J50" s="9">
        <v>50</v>
      </c>
      <c r="K50" s="9">
        <v>35</v>
      </c>
      <c r="L50" s="9">
        <v>0</v>
      </c>
    </row>
    <row r="51" spans="1:12" x14ac:dyDescent="0.3">
      <c r="A51" s="2" t="s">
        <v>18</v>
      </c>
      <c r="B51" s="9">
        <v>0</v>
      </c>
      <c r="C51" s="9">
        <v>0</v>
      </c>
      <c r="D51" s="9">
        <v>0</v>
      </c>
      <c r="E51" s="9">
        <v>0</v>
      </c>
      <c r="F51" s="9">
        <v>0</v>
      </c>
      <c r="G51" s="9">
        <v>0</v>
      </c>
      <c r="H51" s="9">
        <v>0</v>
      </c>
      <c r="I51" s="9">
        <v>0</v>
      </c>
      <c r="J51" s="9">
        <v>0</v>
      </c>
      <c r="K51" s="9">
        <v>0</v>
      </c>
      <c r="L51" s="9">
        <v>0</v>
      </c>
    </row>
    <row r="52" spans="1:12" x14ac:dyDescent="0.3">
      <c r="A52" s="6">
        <v>45536</v>
      </c>
    </row>
    <row r="53" spans="1:12" ht="33" customHeight="1" x14ac:dyDescent="0.3">
      <c r="A53" s="3" t="s">
        <v>3</v>
      </c>
      <c r="B53" s="8" t="s">
        <v>4</v>
      </c>
      <c r="C53" s="8" t="s">
        <v>5</v>
      </c>
      <c r="D53" s="8" t="s">
        <v>6</v>
      </c>
      <c r="E53" s="8" t="s">
        <v>7</v>
      </c>
      <c r="F53" s="8" t="s">
        <v>8</v>
      </c>
      <c r="G53" s="8" t="s">
        <v>9</v>
      </c>
      <c r="H53" s="8" t="s">
        <v>19</v>
      </c>
      <c r="I53" s="8" t="s">
        <v>11</v>
      </c>
      <c r="J53" s="12" t="s">
        <v>12</v>
      </c>
      <c r="K53" s="13" t="s">
        <v>13</v>
      </c>
      <c r="L53" s="12" t="s">
        <v>14</v>
      </c>
    </row>
    <row r="54" spans="1:12" x14ac:dyDescent="0.3">
      <c r="A54" s="2" t="s">
        <v>15</v>
      </c>
      <c r="B54" s="9">
        <v>3059.37</v>
      </c>
      <c r="C54" s="9">
        <v>0</v>
      </c>
      <c r="D54" s="9">
        <v>1168496</v>
      </c>
      <c r="E54" s="9">
        <v>0</v>
      </c>
      <c r="F54" s="9">
        <v>0</v>
      </c>
      <c r="G54" s="9">
        <v>0</v>
      </c>
      <c r="H54" s="9">
        <v>33443</v>
      </c>
      <c r="I54" s="9">
        <v>0</v>
      </c>
      <c r="J54" s="9">
        <v>695</v>
      </c>
      <c r="K54" s="9">
        <v>513</v>
      </c>
      <c r="L54" s="9">
        <v>0</v>
      </c>
    </row>
    <row r="55" spans="1:12" x14ac:dyDescent="0.3">
      <c r="A55" s="2" t="s">
        <v>16</v>
      </c>
      <c r="B55" s="9">
        <v>0</v>
      </c>
      <c r="C55" s="9">
        <v>0</v>
      </c>
      <c r="D55" s="9">
        <v>0</v>
      </c>
      <c r="E55" s="9">
        <v>0</v>
      </c>
      <c r="F55" s="9">
        <v>0</v>
      </c>
      <c r="G55" s="9">
        <v>0</v>
      </c>
      <c r="H55" s="9">
        <v>0</v>
      </c>
      <c r="I55" s="9">
        <v>0</v>
      </c>
      <c r="J55" s="9">
        <v>0</v>
      </c>
      <c r="K55" s="9">
        <v>0</v>
      </c>
      <c r="L55" s="9">
        <v>0</v>
      </c>
    </row>
    <row r="56" spans="1:12" x14ac:dyDescent="0.3">
      <c r="A56" s="2" t="s">
        <v>17</v>
      </c>
      <c r="B56" s="9">
        <v>0</v>
      </c>
      <c r="C56" s="9">
        <v>0</v>
      </c>
      <c r="D56" s="9">
        <v>304442.86000000004</v>
      </c>
      <c r="E56" s="9">
        <v>0</v>
      </c>
      <c r="F56" s="9">
        <v>0</v>
      </c>
      <c r="G56" s="9">
        <v>0</v>
      </c>
      <c r="H56" s="9">
        <v>34124</v>
      </c>
      <c r="I56" s="9">
        <v>0</v>
      </c>
      <c r="J56" s="9">
        <v>66</v>
      </c>
      <c r="K56" s="9">
        <v>29</v>
      </c>
      <c r="L56" s="9">
        <v>0</v>
      </c>
    </row>
    <row r="57" spans="1:12" x14ac:dyDescent="0.3">
      <c r="A57" s="2" t="s">
        <v>18</v>
      </c>
      <c r="B57" s="9">
        <v>0</v>
      </c>
      <c r="C57" s="9">
        <v>0</v>
      </c>
      <c r="D57" s="9">
        <v>0</v>
      </c>
      <c r="E57" s="9">
        <v>0</v>
      </c>
      <c r="F57" s="9">
        <v>0</v>
      </c>
      <c r="G57" s="9">
        <v>0</v>
      </c>
      <c r="H57" s="9">
        <v>0</v>
      </c>
      <c r="I57" s="9">
        <v>0</v>
      </c>
      <c r="J57" s="9">
        <v>2</v>
      </c>
      <c r="K57" s="9">
        <v>0</v>
      </c>
      <c r="L57" s="9">
        <v>0</v>
      </c>
    </row>
    <row r="58" spans="1:12" x14ac:dyDescent="0.3">
      <c r="A58" s="6">
        <v>45566</v>
      </c>
    </row>
    <row r="59" spans="1:12" ht="33" customHeight="1" x14ac:dyDescent="0.3">
      <c r="A59" s="3" t="s">
        <v>3</v>
      </c>
      <c r="B59" s="8" t="s">
        <v>4</v>
      </c>
      <c r="C59" s="8" t="s">
        <v>5</v>
      </c>
      <c r="D59" s="8" t="s">
        <v>6</v>
      </c>
      <c r="E59" s="8" t="s">
        <v>7</v>
      </c>
      <c r="F59" s="8" t="s">
        <v>8</v>
      </c>
      <c r="G59" s="8" t="s">
        <v>9</v>
      </c>
      <c r="H59" s="8" t="s">
        <v>19</v>
      </c>
      <c r="I59" s="8" t="s">
        <v>11</v>
      </c>
      <c r="J59" s="12" t="s">
        <v>12</v>
      </c>
      <c r="K59" s="13" t="s">
        <v>13</v>
      </c>
      <c r="L59" s="12" t="s">
        <v>14</v>
      </c>
    </row>
    <row r="60" spans="1:12" x14ac:dyDescent="0.3">
      <c r="A60" s="2" t="s">
        <v>15</v>
      </c>
      <c r="B60" s="9">
        <v>0</v>
      </c>
      <c r="C60" s="9">
        <v>0</v>
      </c>
      <c r="D60" s="9">
        <v>1222164</v>
      </c>
      <c r="E60" s="9">
        <v>0</v>
      </c>
      <c r="F60" s="9">
        <v>0</v>
      </c>
      <c r="G60" s="9">
        <v>0</v>
      </c>
      <c r="H60" s="9">
        <v>40878</v>
      </c>
      <c r="I60" s="9">
        <v>0</v>
      </c>
      <c r="J60" s="9">
        <v>906</v>
      </c>
      <c r="K60" s="9">
        <v>582</v>
      </c>
      <c r="L60" s="9">
        <v>0</v>
      </c>
    </row>
    <row r="61" spans="1:12" x14ac:dyDescent="0.3">
      <c r="A61" s="2" t="s">
        <v>16</v>
      </c>
      <c r="B61" s="9">
        <v>0</v>
      </c>
      <c r="C61" s="9">
        <v>0</v>
      </c>
      <c r="D61" s="9">
        <v>0</v>
      </c>
      <c r="E61" s="9">
        <v>0</v>
      </c>
      <c r="F61" s="9">
        <v>0</v>
      </c>
      <c r="G61" s="9">
        <v>0</v>
      </c>
      <c r="H61" s="9">
        <v>0</v>
      </c>
      <c r="I61" s="9">
        <v>0</v>
      </c>
      <c r="J61" s="9">
        <v>0</v>
      </c>
      <c r="K61" s="9">
        <v>0</v>
      </c>
      <c r="L61" s="9">
        <v>0</v>
      </c>
    </row>
    <row r="62" spans="1:12" x14ac:dyDescent="0.3">
      <c r="A62" s="2" t="s">
        <v>17</v>
      </c>
      <c r="B62" s="9">
        <v>0</v>
      </c>
      <c r="C62" s="9">
        <v>0</v>
      </c>
      <c r="D62" s="9">
        <v>79675</v>
      </c>
      <c r="E62" s="9">
        <v>0</v>
      </c>
      <c r="F62" s="9">
        <v>0</v>
      </c>
      <c r="G62" s="9">
        <v>0</v>
      </c>
      <c r="H62" s="9">
        <v>44667</v>
      </c>
      <c r="I62" s="9">
        <v>0</v>
      </c>
      <c r="J62" s="9">
        <v>77</v>
      </c>
      <c r="K62" s="9">
        <v>29</v>
      </c>
      <c r="L62" s="9">
        <v>0</v>
      </c>
    </row>
    <row r="63" spans="1:12" x14ac:dyDescent="0.3">
      <c r="A63" s="2" t="s">
        <v>18</v>
      </c>
      <c r="B63" s="9">
        <v>0</v>
      </c>
      <c r="C63" s="9">
        <v>0</v>
      </c>
      <c r="D63" s="9">
        <v>0</v>
      </c>
      <c r="E63" s="9">
        <v>0</v>
      </c>
      <c r="F63" s="9">
        <v>0</v>
      </c>
      <c r="G63" s="9">
        <v>0</v>
      </c>
      <c r="H63" s="9">
        <v>0</v>
      </c>
      <c r="I63" s="9">
        <v>0</v>
      </c>
      <c r="J63" s="9">
        <v>0</v>
      </c>
      <c r="K63" s="9">
        <v>0</v>
      </c>
      <c r="L63" s="9">
        <v>0</v>
      </c>
    </row>
    <row r="65" spans="1:12" x14ac:dyDescent="0.3">
      <c r="A65" s="6">
        <v>45597</v>
      </c>
    </row>
    <row r="66" spans="1:12" ht="33" customHeight="1" x14ac:dyDescent="0.3">
      <c r="A66" s="3" t="s">
        <v>3</v>
      </c>
      <c r="B66" s="8" t="s">
        <v>4</v>
      </c>
      <c r="C66" s="8" t="s">
        <v>5</v>
      </c>
      <c r="D66" s="8" t="s">
        <v>6</v>
      </c>
      <c r="E66" s="8" t="s">
        <v>7</v>
      </c>
      <c r="F66" s="8" t="s">
        <v>8</v>
      </c>
      <c r="G66" s="8" t="s">
        <v>9</v>
      </c>
      <c r="H66" s="8" t="s">
        <v>19</v>
      </c>
      <c r="I66" s="8" t="s">
        <v>11</v>
      </c>
      <c r="J66" s="12" t="s">
        <v>12</v>
      </c>
      <c r="K66" s="13" t="s">
        <v>13</v>
      </c>
      <c r="L66" s="12" t="s">
        <v>14</v>
      </c>
    </row>
    <row r="67" spans="1:12" x14ac:dyDescent="0.3">
      <c r="A67" s="2" t="s">
        <v>15</v>
      </c>
      <c r="B67" s="9">
        <v>0</v>
      </c>
      <c r="C67" s="9">
        <v>0</v>
      </c>
      <c r="D67" s="9">
        <v>1078430.07</v>
      </c>
      <c r="E67" s="9">
        <v>0</v>
      </c>
      <c r="F67" s="9">
        <v>0</v>
      </c>
      <c r="G67" s="9">
        <v>0</v>
      </c>
      <c r="H67" s="9">
        <v>30024.559999999998</v>
      </c>
      <c r="I67" s="9">
        <v>0</v>
      </c>
      <c r="J67" s="9">
        <v>705</v>
      </c>
      <c r="K67" s="9">
        <v>488</v>
      </c>
      <c r="L67" s="9">
        <v>0</v>
      </c>
    </row>
    <row r="68" spans="1:12" x14ac:dyDescent="0.3">
      <c r="A68" s="2" t="s">
        <v>16</v>
      </c>
      <c r="B68" s="9">
        <v>0</v>
      </c>
      <c r="C68" s="9">
        <v>0</v>
      </c>
      <c r="D68" s="9">
        <v>0</v>
      </c>
      <c r="E68" s="9">
        <v>0</v>
      </c>
      <c r="F68" s="9">
        <v>0</v>
      </c>
      <c r="G68" s="9">
        <v>0</v>
      </c>
      <c r="H68" s="9">
        <v>0</v>
      </c>
      <c r="I68" s="9">
        <v>0</v>
      </c>
      <c r="J68" s="9">
        <v>0</v>
      </c>
      <c r="K68" s="9">
        <v>0</v>
      </c>
      <c r="L68" s="9">
        <v>0</v>
      </c>
    </row>
    <row r="69" spans="1:12" x14ac:dyDescent="0.3">
      <c r="A69" s="2" t="s">
        <v>17</v>
      </c>
      <c r="B69" s="9">
        <v>0</v>
      </c>
      <c r="C69" s="9">
        <v>0</v>
      </c>
      <c r="D69" s="9">
        <v>1985596.87</v>
      </c>
      <c r="E69" s="9">
        <v>0</v>
      </c>
      <c r="F69" s="9">
        <v>0</v>
      </c>
      <c r="G69" s="9">
        <v>0</v>
      </c>
      <c r="H69" s="9">
        <v>795</v>
      </c>
      <c r="I69" s="9">
        <v>0</v>
      </c>
      <c r="J69" s="9">
        <v>57</v>
      </c>
      <c r="K69" s="9">
        <v>20</v>
      </c>
      <c r="L69" s="9">
        <v>0</v>
      </c>
    </row>
    <row r="70" spans="1:12" x14ac:dyDescent="0.3">
      <c r="A70" s="2" t="s">
        <v>18</v>
      </c>
      <c r="B70" s="9">
        <v>0</v>
      </c>
      <c r="C70" s="9">
        <v>0</v>
      </c>
      <c r="D70" s="9">
        <v>0</v>
      </c>
      <c r="E70" s="9">
        <v>0</v>
      </c>
      <c r="F70" s="9">
        <v>0</v>
      </c>
      <c r="G70" s="9">
        <v>0</v>
      </c>
      <c r="H70" s="9">
        <v>0</v>
      </c>
      <c r="I70" s="9">
        <v>0</v>
      </c>
      <c r="J70" s="9">
        <v>1</v>
      </c>
      <c r="K70" s="9">
        <v>0</v>
      </c>
      <c r="L70" s="9">
        <v>0</v>
      </c>
    </row>
    <row r="71" spans="1:12" x14ac:dyDescent="0.3">
      <c r="A71" s="6">
        <v>45627</v>
      </c>
    </row>
    <row r="72" spans="1:12" ht="33" customHeight="1" x14ac:dyDescent="0.3">
      <c r="A72" s="3" t="s">
        <v>3</v>
      </c>
      <c r="B72" s="8" t="s">
        <v>4</v>
      </c>
      <c r="C72" s="8" t="s">
        <v>5</v>
      </c>
      <c r="D72" s="8" t="s">
        <v>6</v>
      </c>
      <c r="E72" s="8" t="s">
        <v>7</v>
      </c>
      <c r="F72" s="8" t="s">
        <v>8</v>
      </c>
      <c r="G72" s="8" t="s">
        <v>9</v>
      </c>
      <c r="H72" s="8" t="s">
        <v>19</v>
      </c>
      <c r="I72" s="8" t="s">
        <v>11</v>
      </c>
      <c r="J72" s="12" t="s">
        <v>12</v>
      </c>
      <c r="K72" s="13" t="s">
        <v>13</v>
      </c>
      <c r="L72" s="12" t="s">
        <v>14</v>
      </c>
    </row>
    <row r="73" spans="1:12" x14ac:dyDescent="0.3">
      <c r="A73" s="2" t="s">
        <v>15</v>
      </c>
      <c r="B73" s="9">
        <v>0</v>
      </c>
      <c r="C73" s="9">
        <v>0</v>
      </c>
      <c r="D73" s="9">
        <v>1107181.3800000001</v>
      </c>
      <c r="E73" s="9">
        <v>0</v>
      </c>
      <c r="F73" s="9">
        <v>0</v>
      </c>
      <c r="G73" s="9">
        <v>0</v>
      </c>
      <c r="H73" s="9">
        <v>20603.260000000002</v>
      </c>
      <c r="I73" s="9">
        <v>0</v>
      </c>
      <c r="J73" s="9">
        <v>642</v>
      </c>
      <c r="K73" s="9">
        <v>492</v>
      </c>
      <c r="L73" s="9">
        <v>0</v>
      </c>
    </row>
    <row r="74" spans="1:12" x14ac:dyDescent="0.3">
      <c r="A74" s="2" t="s">
        <v>16</v>
      </c>
      <c r="B74" s="9">
        <v>0</v>
      </c>
      <c r="C74" s="9">
        <v>0</v>
      </c>
      <c r="D74" s="9">
        <v>0</v>
      </c>
      <c r="E74" s="9">
        <v>0</v>
      </c>
      <c r="F74" s="9">
        <v>0</v>
      </c>
      <c r="G74" s="9">
        <v>0</v>
      </c>
      <c r="H74" s="9">
        <v>0</v>
      </c>
      <c r="I74" s="9">
        <v>0</v>
      </c>
      <c r="J74" s="9">
        <v>0</v>
      </c>
      <c r="K74" s="9">
        <v>0</v>
      </c>
      <c r="L74" s="9">
        <v>0</v>
      </c>
    </row>
    <row r="75" spans="1:12" x14ac:dyDescent="0.3">
      <c r="A75" s="2" t="s">
        <v>17</v>
      </c>
      <c r="B75" s="9">
        <v>0</v>
      </c>
      <c r="C75" s="9">
        <v>0</v>
      </c>
      <c r="D75" s="9">
        <v>113540</v>
      </c>
      <c r="E75" s="9">
        <v>0</v>
      </c>
      <c r="F75" s="9">
        <v>0</v>
      </c>
      <c r="G75" s="9">
        <v>0</v>
      </c>
      <c r="H75" s="9">
        <v>59432</v>
      </c>
      <c r="I75" s="9">
        <v>0</v>
      </c>
      <c r="J75" s="9">
        <v>36</v>
      </c>
      <c r="K75" s="9">
        <v>10</v>
      </c>
      <c r="L75" s="9">
        <v>0</v>
      </c>
    </row>
    <row r="76" spans="1:12" x14ac:dyDescent="0.3">
      <c r="A76" s="2" t="s">
        <v>18</v>
      </c>
      <c r="B76" s="9">
        <v>0</v>
      </c>
      <c r="C76" s="9">
        <v>0</v>
      </c>
      <c r="D76" s="9">
        <v>0</v>
      </c>
      <c r="E76" s="9">
        <v>0</v>
      </c>
      <c r="F76" s="9">
        <v>0</v>
      </c>
      <c r="G76" s="9">
        <v>0</v>
      </c>
      <c r="H76" s="9">
        <v>0</v>
      </c>
      <c r="I76" s="9">
        <v>0</v>
      </c>
      <c r="J76" s="9">
        <v>0</v>
      </c>
      <c r="K76" s="9">
        <v>0</v>
      </c>
      <c r="L76" s="9">
        <v>0</v>
      </c>
    </row>
    <row r="78" spans="1:12" x14ac:dyDescent="0.3">
      <c r="A78" s="10" t="s">
        <v>20</v>
      </c>
    </row>
    <row r="79" spans="1:12" x14ac:dyDescent="0.3">
      <c r="A79" s="19" t="s">
        <v>36</v>
      </c>
      <c r="B79" s="20"/>
      <c r="C79" s="20"/>
      <c r="D79" s="20"/>
      <c r="E79" s="20"/>
      <c r="F79" s="20"/>
      <c r="G79" s="20"/>
      <c r="H79" s="20"/>
    </row>
    <row r="80" spans="1:12" x14ac:dyDescent="0.3">
      <c r="A80" s="19" t="s">
        <v>21</v>
      </c>
      <c r="B80" s="20"/>
      <c r="C80" s="20"/>
      <c r="D80" s="20"/>
      <c r="E80" s="20"/>
      <c r="F80" s="20"/>
      <c r="G80" s="20"/>
      <c r="H80" s="20"/>
    </row>
    <row r="81" spans="1:8" x14ac:dyDescent="0.3">
      <c r="A81" s="19" t="s">
        <v>37</v>
      </c>
      <c r="B81" s="20"/>
      <c r="C81" s="20"/>
      <c r="D81" s="20"/>
      <c r="E81" s="20"/>
      <c r="F81" s="20"/>
      <c r="G81" s="20"/>
      <c r="H81" s="20"/>
    </row>
    <row r="82" spans="1:8" x14ac:dyDescent="0.3">
      <c r="A82" s="19" t="s">
        <v>42</v>
      </c>
      <c r="B82" s="20"/>
      <c r="C82" s="20"/>
      <c r="D82" s="20"/>
      <c r="E82" s="20"/>
      <c r="F82" s="20"/>
      <c r="G82" s="20"/>
      <c r="H82" s="20"/>
    </row>
    <row r="83" spans="1:8" x14ac:dyDescent="0.3">
      <c r="A83" s="19" t="s">
        <v>23</v>
      </c>
      <c r="B83" s="20"/>
      <c r="C83" s="20"/>
      <c r="D83" s="20"/>
      <c r="E83" s="20"/>
      <c r="F83" s="20"/>
      <c r="G83" s="20"/>
      <c r="H83" s="20"/>
    </row>
    <row r="84" spans="1:8" x14ac:dyDescent="0.3">
      <c r="A84" s="19" t="s">
        <v>24</v>
      </c>
      <c r="B84" s="20"/>
      <c r="C84" s="20"/>
      <c r="D84" s="20"/>
      <c r="E84" s="20"/>
      <c r="F84" s="20"/>
      <c r="G84" s="20"/>
      <c r="H84" s="20"/>
    </row>
    <row r="85" spans="1:8" x14ac:dyDescent="0.3">
      <c r="A85" s="19" t="s">
        <v>25</v>
      </c>
      <c r="B85" s="20"/>
      <c r="C85" s="20"/>
      <c r="D85" s="20"/>
      <c r="E85" s="20"/>
      <c r="F85" s="20"/>
      <c r="G85" s="20"/>
      <c r="H85" s="20"/>
    </row>
    <row r="86" spans="1:8" x14ac:dyDescent="0.3">
      <c r="A86" s="19" t="s">
        <v>39</v>
      </c>
      <c r="B86" s="20"/>
      <c r="C86" s="20"/>
      <c r="D86" s="20"/>
      <c r="E86" s="20"/>
      <c r="F86" s="20"/>
      <c r="G86" s="20"/>
      <c r="H86" s="20"/>
    </row>
    <row r="87" spans="1:8" x14ac:dyDescent="0.3">
      <c r="A87" s="19" t="s">
        <v>28</v>
      </c>
      <c r="B87" s="20"/>
      <c r="C87" s="20"/>
      <c r="D87" s="20"/>
      <c r="E87" s="20"/>
      <c r="F87" s="20"/>
      <c r="G87" s="20"/>
      <c r="H87" s="20"/>
    </row>
    <row r="88" spans="1:8" x14ac:dyDescent="0.3">
      <c r="A88" s="19" t="s">
        <v>40</v>
      </c>
      <c r="B88" s="20"/>
      <c r="C88" s="20"/>
      <c r="D88" s="20"/>
      <c r="E88" s="20"/>
      <c r="F88" s="20"/>
      <c r="G88" s="20"/>
      <c r="H88" s="20"/>
    </row>
    <row r="89" spans="1:8" x14ac:dyDescent="0.3">
      <c r="A89" s="21" t="s">
        <v>43</v>
      </c>
      <c r="B89" s="21"/>
      <c r="C89" s="21"/>
      <c r="D89" s="21"/>
      <c r="E89" s="20"/>
      <c r="F89" s="20"/>
      <c r="G89" s="20"/>
      <c r="H89" s="20"/>
    </row>
    <row r="90" spans="1:8" x14ac:dyDescent="0.3">
      <c r="A90" s="21" t="s">
        <v>29</v>
      </c>
      <c r="B90" s="21"/>
      <c r="C90" s="21"/>
      <c r="D90" s="21"/>
      <c r="E90" s="20"/>
      <c r="F90" s="20"/>
      <c r="G90" s="20"/>
      <c r="H90" s="20"/>
    </row>
    <row r="91" spans="1:8" x14ac:dyDescent="0.3">
      <c r="A91" s="24" t="s">
        <v>31</v>
      </c>
    </row>
  </sheetData>
  <pageMargins left="0.25" right="0.25" top="0.5" bottom="0.5" header="0.3" footer="0.3"/>
  <pageSetup paperSize="5" scale="35" orientation="landscape" r:id="rId1"/>
  <headerFooter>
    <oddFooter>&amp;A</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DC9A153AAEEE45BACE06E01F8272AC" ma:contentTypeVersion="17" ma:contentTypeDescription="Create a new document." ma:contentTypeScope="" ma:versionID="89de3611917157b7bcfec79458841576">
  <xsd:schema xmlns:xsd="http://www.w3.org/2001/XMLSchema" xmlns:xs="http://www.w3.org/2001/XMLSchema" xmlns:p="http://schemas.microsoft.com/office/2006/metadata/properties" xmlns:ns2="785685f2-c2e1-4352-89aa-3faca8eaba52" xmlns:ns3="5067c814-4b34-462c-a21d-c185ff6548d2" targetNamespace="http://schemas.microsoft.com/office/2006/metadata/properties" ma:root="true" ma:fieldsID="cb0c811e8af9167bc13eb17de89cd7b2" ns2:_="" ns3:_="">
    <xsd:import namespace="785685f2-c2e1-4352-89aa-3faca8eaba52"/>
    <xsd:import namespace="5067c814-4b34-462c-a21d-c185ff6548d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note"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685f2-c2e1-4352-89aa-3faca8eaba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note" ma:index="18" nillable="true" ma:displayName="note" ma:format="Dropdown" ma:internalName="note">
      <xsd:simpleType>
        <xsd:restriction base="dms:Text">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96df981b-247c-4b11-954d-40cb1951968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067c814-4b34-462c-a21d-c185ff6548d2"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569b5e3c-1897-4e33-84fe-bcccbae8b075}" ma:internalName="TaxCatchAll" ma:showField="CatchAllData" ma:web="5067c814-4b34-462c-a21d-c185ff654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5067c814-4b34-462c-a21d-c185ff6548d2">
      <UserInfo>
        <DisplayName>Morgan, Nicole B</DisplayName>
        <AccountId>4494</AccountId>
        <AccountType/>
      </UserInfo>
      <UserInfo>
        <DisplayName>Sedurifa, Grace A</DisplayName>
        <AccountId>228</AccountId>
        <AccountType/>
      </UserInfo>
      <UserInfo>
        <DisplayName>Kenna, Julya G (Contractor)</DisplayName>
        <AccountId>10808</AccountId>
        <AccountType/>
      </UserInfo>
    </SharedWithUsers>
    <note xmlns="785685f2-c2e1-4352-89aa-3faca8eaba52" xsi:nil="true"/>
    <TaxCatchAll xmlns="5067c814-4b34-462c-a21d-c185ff6548d2" xsi:nil="true"/>
    <lcf76f155ced4ddcb4097134ff3c332f xmlns="785685f2-c2e1-4352-89aa-3faca8eaba52">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FE0F822-F1E0-4EA1-94D5-0294C71E8373}"/>
</file>

<file path=customXml/itemProps2.xml><?xml version="1.0" encoding="utf-8"?>
<ds:datastoreItem xmlns:ds="http://schemas.openxmlformats.org/officeDocument/2006/customXml" ds:itemID="{8A095F0F-6F07-4DC7-A323-AA42F60EB257}">
  <ds:schemaRefs>
    <ds:schemaRef ds:uri="http://schemas.microsoft.com/office/2006/metadata/properties"/>
    <ds:schemaRef ds:uri="http://schemas.microsoft.com/office/infopath/2007/PartnerControls"/>
    <ds:schemaRef ds:uri="57ef0748-4052-4f24-9296-5ba6afd63df1"/>
  </ds:schemaRefs>
</ds:datastoreItem>
</file>

<file path=customXml/itemProps3.xml><?xml version="1.0" encoding="utf-8"?>
<ds:datastoreItem xmlns:ds="http://schemas.openxmlformats.org/officeDocument/2006/customXml" ds:itemID="{67DCCB0A-79A4-4F4A-B56C-A247380CD79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Mixed-Fuel New Construction</vt:lpstr>
      <vt:lpstr>All Electric New Construction</vt:lpstr>
      <vt:lpstr>Mixed-Fuel Upgrades</vt:lpstr>
      <vt:lpstr>All Electric Upgrades</vt:lpstr>
      <vt:lpstr>'All Electric New Construction'!Print_Area</vt:lpstr>
      <vt:lpstr>'All Electric Upgrades'!Print_Area</vt:lpstr>
      <vt:lpstr>'Mixed-Fuel New Construction'!Print_Area</vt:lpstr>
      <vt:lpstr>'Mixed-Fuel Upgrades'!Print_Area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Kenna, Julya G (Contractor)</dc:creator>
  <cp:keywords/>
  <dc:description/>
  <cp:lastModifiedBy>Chatrath, Garima</cp:lastModifiedBy>
  <cp:revision/>
  <dcterms:created xsi:type="dcterms:W3CDTF">2024-01-16T19:55:57Z</dcterms:created>
  <dcterms:modified xsi:type="dcterms:W3CDTF">2025-07-23T17:44:28Z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0x01010061DC9A153AAEEE45BACE06E01F8272AC</vt:lpwstr>
  </property>
  <property fmtid="{D5CDD505-2E9C-101B-9397-08002B2CF9AE}" pid="3" name="MediaServiceImageTags">
    <vt:lpwstr/>
  </property>
</Properties>
</file>