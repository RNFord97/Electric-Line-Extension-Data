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energysolutionsonline-my.sharepoint.com/personal/erubin_energy-solution_com/Documents/"/>
    </mc:Choice>
  </mc:AlternateContent>
  <xr:revisionPtr revIDLastSave="0" documentId="8_{9FDCC0A7-D987-47E8-A48A-5CAC9BDB7E2C}" xr6:coauthVersionLast="47" xr6:coauthVersionMax="47" xr10:uidLastSave="{00000000-0000-0000-0000-000000000000}"/>
  <bookViews>
    <workbookView xWindow="28680" yWindow="-120" windowWidth="29040" windowHeight="15840" xr2:uid="{532273A8-9975-4052-A183-C034F8BA4DB4}"/>
  </bookViews>
  <sheets>
    <sheet name="2013-2015 T24 Savings CPUC Data" sheetId="3" r:id="rId1"/>
  </sheets>
  <externalReferences>
    <externalReference r:id="rId2"/>
    <externalReference r:id="rId3"/>
  </externalReferences>
  <definedNames>
    <definedName name="_xlnm._FilterDatabase" localSheetId="0" hidden="1">'2013-2015 T24 Savings CPUC Data'!$A$11:$O$297</definedName>
    <definedName name="a">[1]Lifetime!$D$9:$D$11</definedName>
    <definedName name="Compliance" localSheetId="0">'2013-2015 T24 Savings CPUC Data'!#REF!</definedName>
    <definedName name="Compliance">#REF!</definedName>
    <definedName name="Costs_StdDetail_list">[1]Costs!$G$28:$G$30</definedName>
    <definedName name="lifetime_by_StdDetail_BaseCase">[2]Lifetime!$D$9:$D$10</definedName>
    <definedName name="lifetime_StdDetail_list">[2]Lifetime!$C$9:$C$10</definedName>
    <definedName name="NOMAD" localSheetId="0">'2013-2015 T24 Savings CPUC Data'!$E:$I</definedName>
    <definedName name="NOMA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<sst xmlns="http://schemas.openxmlformats.org/spreadsheetml/2006/main" count="602" uniqueCount="296">
  <si>
    <t>N/A</t>
  </si>
  <si>
    <r>
      <rPr>
        <b/>
        <i/>
        <sz val="10"/>
        <color rgb="FF000000"/>
        <rFont val="Arial"/>
        <family val="2"/>
      </rPr>
      <t xml:space="preserve">Attribution
</t>
    </r>
    <r>
      <rPr>
        <i/>
        <sz val="10"/>
        <color rgb="FF000000"/>
        <rFont val="Arial"/>
        <family val="2"/>
      </rPr>
      <t>For evaluated codes and standards, use the CPUC evaluation value. For non-evaluated codes and standards, use the following default assumptions - T20 = 74%, T24 = 80%, Fed = 29%</t>
    </r>
  </si>
  <si>
    <t>Standard</t>
  </si>
  <si>
    <t>C&amp;S Group</t>
  </si>
  <si>
    <t>Annual NOMAD 2014</t>
  </si>
  <si>
    <t>Annual NOMAD 2017</t>
  </si>
  <si>
    <t>Annual NOMAD 2020</t>
  </si>
  <si>
    <t>Annual NOMAD 2023</t>
  </si>
  <si>
    <t>Annual NOMAD 2026</t>
  </si>
  <si>
    <t>Utility Programs Effect (units)</t>
  </si>
  <si>
    <t>Weighted Attribution Score</t>
  </si>
  <si>
    <t>NRA-Lighting-Alterations-New Measures</t>
  </si>
  <si>
    <t>2013 T-24</t>
  </si>
  <si>
    <t>NRA-Lighting-Alterations-Existing Measures</t>
  </si>
  <si>
    <t>NRA-Lighting-Egress Lighting Control</t>
  </si>
  <si>
    <t>NRA-Lighting-MF Building Corridors</t>
  </si>
  <si>
    <t>NRA-Lighting-Hotel Corridors</t>
  </si>
  <si>
    <t>NRA-Lighting-Warehouses and Libraries</t>
  </si>
  <si>
    <t>NRA-Envelope-Cool Roofs</t>
  </si>
  <si>
    <t>NRA-HVAC-Equipment Efficiency</t>
  </si>
  <si>
    <t>NRA-Process-Air Compressors</t>
  </si>
  <si>
    <t>NRNC-Lighting-Egress Lighting Control</t>
  </si>
  <si>
    <t>NRNC-Lighting-MF Building Corridors</t>
  </si>
  <si>
    <t>NRNC-Lighting-Hotel Corridors</t>
  </si>
  <si>
    <t>NRNC-Lighting-Warehouses and Libraries</t>
  </si>
  <si>
    <t>NRNC-Lighting-Parking Garage</t>
  </si>
  <si>
    <t>NRNC-Lighting-Controllable Lighting</t>
  </si>
  <si>
    <t>NRNC-Lighting-DR Lighting Controls</t>
  </si>
  <si>
    <t>NRNC-Lighting-Outdoor Lighting &amp; Controls</t>
  </si>
  <si>
    <t>NRNC-Lighting-Office Plug Load Control</t>
  </si>
  <si>
    <t>NRNC-HVAC-Garage Exhaust</t>
  </si>
  <si>
    <t>NRNC-HVAC-Laboratory Exhaust</t>
  </si>
  <si>
    <t>NRNC-HVAC-Small ECM Motor</t>
  </si>
  <si>
    <t>NRNC-HVAC-Water &amp; Space Heating ACM</t>
  </si>
  <si>
    <t>NRNC-HVAC-Cooling Towers Water</t>
  </si>
  <si>
    <t>NRNC-HVAC-Occupant Controlled Smart Thermostats</t>
  </si>
  <si>
    <t>NRNC-HVAC-Acceptance Requirements</t>
  </si>
  <si>
    <t>NRNC-Refrigeration-Warehouse</t>
  </si>
  <si>
    <t>NRNC-Refrigeration-Supermarket</t>
  </si>
  <si>
    <t>NRNC-Process-Process Boilers</t>
  </si>
  <si>
    <t>NRNC-Process-Air Compressors</t>
  </si>
  <si>
    <t>NRNC-Process-Data Centers</t>
  </si>
  <si>
    <t>NRNC-DHW - Hotel DHW Control and Solar</t>
  </si>
  <si>
    <t>NRNC-DHW-Solar Water Heating</t>
  </si>
  <si>
    <t>NRNC-Solar-Solar Ready</t>
  </si>
  <si>
    <t>NRNC-Whole Building</t>
  </si>
  <si>
    <t>RNC-Lighting</t>
  </si>
  <si>
    <t>RNC-DHW - MF DHW Control and Solar</t>
  </si>
  <si>
    <t xml:space="preserve">RNC-DHW - High Efficiency Water Heater Ready </t>
  </si>
  <si>
    <t>RNC-DHW - Solar for Electrically Heated Homes</t>
  </si>
  <si>
    <t>RNC-Solar - Solar Ready &amp; Oriented Homes</t>
  </si>
  <si>
    <t>RNC-SF Whole Building</t>
  </si>
  <si>
    <t>RNC-MF Whole Building</t>
  </si>
  <si>
    <t>RA-SF Whole Building</t>
  </si>
  <si>
    <t>RA-MF Whole Building</t>
  </si>
  <si>
    <t>NRA-Lighting-Alterations</t>
  </si>
  <si>
    <t>2016 T-24</t>
  </si>
  <si>
    <t>NRA-Lighting-Outdoor Lighting Controls</t>
  </si>
  <si>
    <t>NRA-Lighting-ASHARE Measure-Elevator Lighting &amp; Ventilation</t>
  </si>
  <si>
    <t>NRA-HVAC-ASHARE Measure-DDC</t>
  </si>
  <si>
    <t>NRA-HVAC-ASHRAE Equipment Efficiency</t>
  </si>
  <si>
    <t>NRA-Process-ASHARE Measure-Escalator Speed Control</t>
  </si>
  <si>
    <t>RNC-Single Family Whole Building</t>
  </si>
  <si>
    <t>RNC-Multifamily Whole Building</t>
  </si>
  <si>
    <t>RA-Single Family Whole Building</t>
  </si>
  <si>
    <t>RA-Multifamily Whole Building</t>
  </si>
  <si>
    <t>NRA-Indoor Lighting-Alterations (Control)</t>
  </si>
  <si>
    <t>2019 T-24</t>
  </si>
  <si>
    <t>NRA-Indoor Lighting-Alterations (LPD)</t>
  </si>
  <si>
    <t>NRA-Indoor Lighting-New LPD</t>
  </si>
  <si>
    <t>NRA-Indoor Lighting-New Controls</t>
  </si>
  <si>
    <t>NRA-Outdoor Lighting-LPA (General Hardscape)</t>
  </si>
  <si>
    <t>NRA-Outdoor Lighting-LPA (Specific Applications)</t>
  </si>
  <si>
    <t>NRA-Outdoor Lighting-Controls</t>
  </si>
  <si>
    <t>NRA-MECH-ASHRAE 90.1</t>
  </si>
  <si>
    <t>NRA-MECH-Cooling Towers</t>
  </si>
  <si>
    <t>NRA-MECH-HE Fume Hoods in Lab Spaces</t>
  </si>
  <si>
    <t>NRA-MECH-Variable Exhaust Flow Control</t>
  </si>
  <si>
    <t>NRNC-Indoor Lighting-LPD</t>
  </si>
  <si>
    <t>NRNC-Indoor Lighting-Controls</t>
  </si>
  <si>
    <t>NRNC-Indoor Lighting-Advanced Daylighting Design</t>
  </si>
  <si>
    <t>NRNC- Outdoor Lighting-LPA (General Hardscape)</t>
  </si>
  <si>
    <t>NRNC- Outdoor Lighting-LPA (Specific Applications)</t>
  </si>
  <si>
    <t>NRNC-Outdoor Lighting-Controls</t>
  </si>
  <si>
    <t>NRNC-Envelope-Dock Seals</t>
  </si>
  <si>
    <t>NRNC-MECH-Adiabatic Condensers for Refrigeration</t>
  </si>
  <si>
    <t>NRNC-MECH-ASHRAE 90.1</t>
  </si>
  <si>
    <t>NRNC-MECH-Cooling Towers</t>
  </si>
  <si>
    <t>NRNC-MECH-Economizer FDD</t>
  </si>
  <si>
    <t>NRNC-MECH-HE Fume Hoods in Lab Spaces</t>
  </si>
  <si>
    <t>NRNC-MECH-Variable Exhaust Flow Control</t>
  </si>
  <si>
    <t>NRNC-MECH-Ventilation &amp; IAQ</t>
  </si>
  <si>
    <t>NRNC-DR-DR Cleanup</t>
  </si>
  <si>
    <t>RNC(SF)-Envelope-High Performance Attics</t>
  </si>
  <si>
    <t>RNC(SF)-Envelope-High Performance Walls</t>
  </si>
  <si>
    <t>RNC(SF)-Envelope-QII</t>
  </si>
  <si>
    <t>RNC(SF)-Envelope-Windows and Doors</t>
  </si>
  <si>
    <t>RNC(SF)-MECH-Quality HVAC</t>
  </si>
  <si>
    <t>RNC(MF)-Envelope-High Performance Attics</t>
  </si>
  <si>
    <t>RNC(MF)-Envelope-QII</t>
  </si>
  <si>
    <t>RNC(MF)-Envelope-Windows and Doors</t>
  </si>
  <si>
    <t>RNC(MF)-MECH-Quality HVAC</t>
  </si>
  <si>
    <t>RA(SF)-Envelope-High Performance Walls</t>
  </si>
  <si>
    <t>RA(SF)-Envelope-QII</t>
  </si>
  <si>
    <t>RA(SF)-Envelope-Windows and Doors</t>
  </si>
  <si>
    <t>RA(SF)-MECH-Quality HVAC</t>
  </si>
  <si>
    <t>RA(MF)-Envelope-QII</t>
  </si>
  <si>
    <t>RA(MF)-Envelope-Windows and Doors</t>
  </si>
  <si>
    <t>RA(MF)-MECH-Quality HVAC</t>
  </si>
  <si>
    <t>RNC-MECH-IAQ</t>
  </si>
  <si>
    <t>RNC-DHW-Compact Distribution</t>
  </si>
  <si>
    <t>RNC-DHW-Drain Water Heat Recovery</t>
  </si>
  <si>
    <t>MFA - Multifamily Restructuring - Refrigerant Charge Verification</t>
  </si>
  <si>
    <t>Refrigerant Charge Verification (Alterations)</t>
  </si>
  <si>
    <t>2022 T-24</t>
  </si>
  <si>
    <t>MFA - Multifamily Restructuring - Airflow and Fan Watt Draw</t>
  </si>
  <si>
    <t>MFA - Multifamily Restructuring - Duct Sealing and Testing</t>
  </si>
  <si>
    <t>MFA - Multifamily Restructuring - Duct Insulation</t>
  </si>
  <si>
    <t>MFA - Multifamily Restructuring - Fenestration Properties</t>
  </si>
  <si>
    <t xml:space="preserve">MFA - Outdoor Lighting - Multifamily Outdoor Lighting Power Allowances </t>
  </si>
  <si>
    <t>NRA - Air Distribution - Duct Leakage Testing</t>
  </si>
  <si>
    <t>NRA - Air Distribution - Fan Energy Index</t>
  </si>
  <si>
    <t>NRA - Air Distribution - Fan Power Budget</t>
  </si>
  <si>
    <t>NRA - Computer Room Efficiency - Uninterruptible Power Supply (UPS) Efficiency</t>
  </si>
  <si>
    <t>NRA - Daylighting - Automatic Daylight Dimming to 10%</t>
  </si>
  <si>
    <t>NRA - Daylighting - Prescriptive to Mandatory Automatic Daylighting Controls in the Secondary Sidelit Daylit Zone</t>
  </si>
  <si>
    <t>NRNC - Computer Room Efficiency - Increased Temperature Thresholds for Economizers</t>
  </si>
  <si>
    <t>NRA - Nonresidential Grid Integration - Demand Responsive Lighting Systems</t>
  </si>
  <si>
    <t>NRA - Nonresidential High Performance Envelope - Roof Recovers</t>
  </si>
  <si>
    <t>NRA - Nonresidential High Performance Envelope - Cool Roofs: Steep-Sloped</t>
  </si>
  <si>
    <t>NRA - Nonresidential High Performance Envelope - Roof Replacements</t>
  </si>
  <si>
    <t>NRA - Nonresidential HVAC Controls - VAV Deadband Airflow</t>
  </si>
  <si>
    <t>NRA - Nonresidential HVAC Controls - Exhaust Air Heat Recovery</t>
  </si>
  <si>
    <t>NRA - Nonresidential HVAC Controls - Expand Economizer Requirements</t>
  </si>
  <si>
    <t>NRA - Nonresidential HVAC Controls - Dedicated Outdoor Air Systems (DOAS)</t>
  </si>
  <si>
    <t>NRA - Nonresidential Indoor Lighting  - Multi-zone Occupancy Sensing in Large Offices</t>
  </si>
  <si>
    <t>NRA - Nonresidential Indoor Lighting  - Lighting Power Densities</t>
  </si>
  <si>
    <t xml:space="preserve">NRA - Outdoor Lighting - Nonresidential Lighting Zone Reclassification </t>
  </si>
  <si>
    <t xml:space="preserve">NRA - Outdoor Lighting - Nonresidential Lighting Power Allowances for General Hardscapes </t>
  </si>
  <si>
    <t>NRA - Reduce Infiltration - Require air barrier where not currently required (CZ1-9 all buildings; hotel/motel all CZs)</t>
  </si>
  <si>
    <t>NRNC - Computer Room Efficiency - Uninterruptible Power Supply (UPS) Efficiency</t>
  </si>
  <si>
    <t>NRA - Controlled Environment Horticulture - Efficient Dehumidification</t>
  </si>
  <si>
    <t>SFA - Residential Energy Savings &amp; Process Improvements for Additions and Alterations  - Prescriptive attic insulation for alterations</t>
  </si>
  <si>
    <t>SFA - Residential Energy Savings &amp; Process Improvements for Additions and Alterations  - Cool roof for steep-sloped roofs</t>
  </si>
  <si>
    <t>SFA - Residential Energy Savings &amp; Process Improvements for Additions and Alterations  - Prescriptive duct insulation</t>
  </si>
  <si>
    <t>SFA - Residential Energy Savings &amp; Process Improvements for Additions and Alterations  - Prescriptive duct sealing</t>
  </si>
  <si>
    <t>SFA - Residential Energy Savings &amp; Process Improvements for Additions and Alterations  - Electric resistance space heating</t>
  </si>
  <si>
    <t>SFA - Residential Energy Savings &amp; Process Improvements for Additions and Alterations  - Roof deck insulation for low-sloped roofs</t>
  </si>
  <si>
    <t>SFA - Residential Energy Savings &amp; Process Improvements for Additions and Alterations  - Cool roof for low-sloped roof</t>
  </si>
  <si>
    <t>SFNC - Residential Energy Savings &amp; Process Improvements for Additions and Alterations  - Prescriptive attic insulation for additions</t>
  </si>
  <si>
    <t>MFNC - High Efficiency Boilers and Service Water Heating - Gas Service Water Heating (MF)</t>
  </si>
  <si>
    <t>MFNC - Multifamily All Electric Package - Single Zone Heat Pump Electric Space Heating for Mid-rise and High-rise MF</t>
  </si>
  <si>
    <t>MFNC - Multifamily All Electric Package - Central HPWH for Low-rise, Mid-rise and High-rise MF - Prescriptive Alternative for Central HPWH</t>
  </si>
  <si>
    <t>MFNC - Multifamily Domestic Hot Water - Hot Water Distribution - Increased Insulation</t>
  </si>
  <si>
    <t>MFNC - Multifamily Indoor Air Quality - Kitchen Exhaust Minimum Capture</t>
  </si>
  <si>
    <t>MFNC - Multifamily Indoor Air Quality - Heat or Energy Recovery Ventilator</t>
  </si>
  <si>
    <t>MFNC - Multifamily Indoor Air Quality - Central Ventilation Duct Sealing</t>
  </si>
  <si>
    <t>MFNC - Multifamily Restructuring - Refrigerant Charge Verification</t>
  </si>
  <si>
    <t>MFNC - Multifamily Restructuring - Airflow and Fan Watt Draw</t>
  </si>
  <si>
    <t>MFNC - Multifamily Restructuring - Duct Sealing and Testing</t>
  </si>
  <si>
    <t>MFNC - Multifamily Restructuring - Duct Insulation</t>
  </si>
  <si>
    <t>MFNC - Multifamily Restructuring - Fenestration Properties</t>
  </si>
  <si>
    <t>MFNC - Multifamily Restructuring - Wall U-Factor</t>
  </si>
  <si>
    <t>MFNC - Multifamily Restructuring - Roof Assemblies</t>
  </si>
  <si>
    <t>MFA - Multifamily Restructuring - Roof Assemblies</t>
  </si>
  <si>
    <t xml:space="preserve">MFNC - Outdoor Lighting - Multifamily Outdoor Lighting Power Allowances </t>
  </si>
  <si>
    <t>NRNC - Air Distribution - Duct Leakage Testing</t>
  </si>
  <si>
    <t>NRNC - Air Distribution - Fan Energy Index</t>
  </si>
  <si>
    <t>NRNC - Air Distribution - Fan Power Budget</t>
  </si>
  <si>
    <t>NRA - Controlled Environment Horticulture - Lighting Efficacy</t>
  </si>
  <si>
    <t>NRNC - Controlled Environment Horticulture - Efficient Dehumidification</t>
  </si>
  <si>
    <t>NRNC - Controlled Environment Horticulture - Lighting Efficacy</t>
  </si>
  <si>
    <t>NRA - High Efficiency Boilers and Service Water Heating - Oxygen Concentration - Process Boilers</t>
  </si>
  <si>
    <t>NRNC - High Efficiency Boilers and Service Water Heating - Oxygen Concentration - Process Boilers</t>
  </si>
  <si>
    <t>NRA - Pipe Sizing and Leak Testing for Compressed Air Systems - Compressed Air System Monitoring</t>
  </si>
  <si>
    <t>NRNC - Daylighting - Automatic Daylight Dimming to 10%</t>
  </si>
  <si>
    <t>NRNC - Daylighting - Prescriptive to Mandatory Automatic Daylighting Controls in the Secondary Sidelit Daylit Zone</t>
  </si>
  <si>
    <t xml:space="preserve">NRNC - Pipe Sizing and Leak Testing for Compressed Air Systems - Pipe Sizing for Compressed Air Systems </t>
  </si>
  <si>
    <t>NRNC - High Efficiency Boilers and Service Water Heating - Gas Service Water Heating (NR)</t>
  </si>
  <si>
    <t>NRNC - High Efficiency Boilers and Service Water Heating - Gas Boiler Systems</t>
  </si>
  <si>
    <t>NRNC - Nonresidential Grid Integration - Demand Responsive Lighting Systems</t>
  </si>
  <si>
    <t>NRNC - Nonresidential High Performance Envelope - Cool Roofs: Steep-Sloped</t>
  </si>
  <si>
    <t>NRNC - Nonresidential High Performance Envelope - High Performance Windows</t>
  </si>
  <si>
    <t>NRNC - Nonresidential High Performance Envelope - Opaque Envelope: Wall</t>
  </si>
  <si>
    <t>NRNC - Nonresidential HVAC Controls - VAV Deadband Airflow</t>
  </si>
  <si>
    <t>NRNC - Nonresidential HVAC Controls - Exhaust Air Heat Recovery</t>
  </si>
  <si>
    <t>NRNC - Nonresidential HVAC Controls - Expand Economizer Requirements</t>
  </si>
  <si>
    <t>NRNC - Nonresidential HVAC Controls - Dedicated Outdoor Air Systems (DOAS)</t>
  </si>
  <si>
    <t>NRNC - Nonresidential Indoor Lighting  - Multi-zone Occupancy Sensing in Large Offices</t>
  </si>
  <si>
    <t>NRNC - Nonresidential Indoor Lighting  - Lighting Power Densities</t>
  </si>
  <si>
    <t xml:space="preserve">NRNC - Outdoor Lighting - Nonresidential Lighting Zone Reclassification </t>
  </si>
  <si>
    <t xml:space="preserve">NRNC - Outdoor Lighting - Nonresidential Lighting Power Allowances for General Hardscapes </t>
  </si>
  <si>
    <t>NRNC - Pipe Sizing and Leak Testing for Compressed Air Systems - Leak Testing for Compressed Air Systems</t>
  </si>
  <si>
    <t>NRNC - Pipe Sizing and Leak Testing for Compressed Air Systems - Compressed Air System Monitoring</t>
  </si>
  <si>
    <t>NRA - Refrigeration System Opportunities - Automatic Door Closers​ for Refrigerated Spaces</t>
  </si>
  <si>
    <t>NRNC - Reduce Infiltration - Require air barrier where not currently required (CZ1-9 all buildings; hotel/motel all CZs)</t>
  </si>
  <si>
    <t>NRNC - Refrigeration System Opportunities - Automatic Door Closers​ for Refrigerated Spaces</t>
  </si>
  <si>
    <t>NRNC - Refrigeration System Opportunities - Design and Control Requirements for Transcritical CO2 Systems - Adiabatic Condenser</t>
  </si>
  <si>
    <t>NRNC - Steam Trap Monitoring - Steam Trap Strainers</t>
  </si>
  <si>
    <t>NRNC - Steam Trap Monitoring - Steam Trap FDD</t>
  </si>
  <si>
    <t>Solar Pool Heating - Residential (New Construction + Additions)</t>
  </si>
  <si>
    <t>2025 T-24</t>
  </si>
  <si>
    <t>Solar Pool Heating - Residential (Alterations)</t>
  </si>
  <si>
    <t>Solar Pool Heating - Nonresidential (New Construction + Additions)</t>
  </si>
  <si>
    <t>Solar Pool Heating - Nonresidential (Alterations)</t>
  </si>
  <si>
    <t>CPC Appendix M Pipe Sizing (New Construction + Additions)</t>
  </si>
  <si>
    <t>DHW Pipe Insulation Enhancement (New Construction + Additions)</t>
  </si>
  <si>
    <t>DHW Balancing Valves (New Construction + Additions)</t>
  </si>
  <si>
    <t>DHW Balancing Valves (Alterations)</t>
  </si>
  <si>
    <t>DHW Master Mixing Valves (New Construction + Additions)</t>
  </si>
  <si>
    <t>Central HPWH Clean-up  (New Construction + Additions)</t>
  </si>
  <si>
    <t>Central Domestic Hot Water (DHW) Electric Ready  (New Construction + Additions)</t>
  </si>
  <si>
    <t>Individual HPWH Ventilation (New Construction + Additions)</t>
  </si>
  <si>
    <t>Individual HPWH Ventilation (Alterations)</t>
  </si>
  <si>
    <t>Individual DHW Electric Ready Clean-up (New Construction + Additions)</t>
  </si>
  <si>
    <t>Cool Roof Improvements (New Construction + Additions)</t>
  </si>
  <si>
    <t>Improved wall performance (New Construction + Additions)</t>
  </si>
  <si>
    <t>Improved wall performance (Alterations)</t>
  </si>
  <si>
    <t>High Performance Windows (New Construction + Additions)</t>
  </si>
  <si>
    <t>Window Alterations (Alterations)</t>
  </si>
  <si>
    <t>Slab Perimeter Insulation (New Construction + Additions)</t>
  </si>
  <si>
    <t>Visible Transmittance (New Construction + Additions)</t>
  </si>
  <si>
    <t>Visible Transmittance (Alterations)</t>
  </si>
  <si>
    <t>Skylights (Alterations)</t>
  </si>
  <si>
    <t>Snapshot QII (New Construction + Additions)</t>
  </si>
  <si>
    <t>Central Ventilation Shaft Sealing (New Construction + Additions)</t>
  </si>
  <si>
    <t>Verification (HERS/ATT) Clean-Up  (New Construction + Additions)</t>
  </si>
  <si>
    <t>Additions and Alterations Clean-Up (New Construction + Additions)</t>
  </si>
  <si>
    <t>Additions and Alterations Clean-Up (Alterations)</t>
  </si>
  <si>
    <t>Compartmentalization and Balanced or supply-only ventilation (New Construction + Additions)</t>
  </si>
  <si>
    <t>Revise Automatic Daylighting Controls Exceptions (New Construction + Additions)</t>
  </si>
  <si>
    <t>Revise Automatic Daylighting Controls Exceptions (Alterations)</t>
  </si>
  <si>
    <t>Prescriptive Metal Roof U-Value (New Construction + Additions)</t>
  </si>
  <si>
    <t>Prescriptive Woodframed and Other Roof U-Value (New Construction + Additions)</t>
  </si>
  <si>
    <t>Prescriptive Heavy Mass Walls U-Value (New Construction + Additions)</t>
  </si>
  <si>
    <t>Prescriptive Light Mass Walls U-Value (New Construction + Additions)</t>
  </si>
  <si>
    <t>Prescriptive Metal Building Walls U-Value (New Construction + Additions)</t>
  </si>
  <si>
    <t>Prescriptive Woodframed Walls U-Value (New Construction + Additions)</t>
  </si>
  <si>
    <t>Reduced Infiltration Vestibules: require vestibules for certain buildings (Thermal bridging) (New Construction + Additions)</t>
  </si>
  <si>
    <t>Windows/Fenestration (New Construction + Additions)</t>
  </si>
  <si>
    <t>Windows/Fenestration (Alterations)</t>
  </si>
  <si>
    <t>Guideline 36 (New Construction + Additions)</t>
  </si>
  <si>
    <t>Guideline 36 (Alterations)</t>
  </si>
  <si>
    <t>Cooling Tower Efficiency (New Construction + Additions)</t>
  </si>
  <si>
    <t>Cooling Tower Efficiency (Alterations)</t>
  </si>
  <si>
    <t>Blowdown Controls (New Construction + Additions)</t>
  </si>
  <si>
    <t>Blowdown Controls (Alterations)</t>
  </si>
  <si>
    <t>Limit Hot Water Supply Temperatures (New Construction + Additions)</t>
  </si>
  <si>
    <t>Limit Hot Water Supply Temperatures (Alterations)</t>
  </si>
  <si>
    <t>Mechanical Heat Recovery (New Construction + Additions)</t>
  </si>
  <si>
    <t>Horticulture Lighting Efficacy (New Construction + Additions)</t>
  </si>
  <si>
    <t>Horticulture Lighting Efficacy (Alterations)</t>
  </si>
  <si>
    <t>Electrification Readiness (New Construction + Additions)</t>
  </si>
  <si>
    <t>ACH Setbacks (New Construction + Additions)</t>
  </si>
  <si>
    <t>ACH Setbacks (Alterations)</t>
  </si>
  <si>
    <t>Heat Recovery (New Construction + Additions)</t>
  </si>
  <si>
    <t>Heat Recovery (Alterations)</t>
  </si>
  <si>
    <t>Exhaust Fan Control (New Construction + Additions)</t>
  </si>
  <si>
    <t>Exhaust Fan Control (Alterations)</t>
  </si>
  <si>
    <t>Reheat Limitation (New Construction + Additions)</t>
  </si>
  <si>
    <t>Reheat Limitation (Alterations)</t>
  </si>
  <si>
    <t>Process Load Pipe Insulation and Verification (New Construction + Additions)</t>
  </si>
  <si>
    <t>Process Load Pipe Insulation and Verification (Alterations)</t>
  </si>
  <si>
    <t>Evaporator Specific Efficiency Proposal (New Construction + Additions)</t>
  </si>
  <si>
    <t>Evaporator Specific Efficiency Proposal (Alterations)</t>
  </si>
  <si>
    <t>High-Performance Windows (New Construction + Additions)</t>
  </si>
  <si>
    <t>High-Performance Windows (Alterations)</t>
  </si>
  <si>
    <t>Mandatory R-value requirements for framed walls (New Construction + Additions)</t>
  </si>
  <si>
    <t>Refrigerant Charge Verification (New Construction + Additions)</t>
  </si>
  <si>
    <t>Supplemental Heating Combined (New Construction + Additions)</t>
  </si>
  <si>
    <t>Supplemental Heating Combined (Alterations)</t>
  </si>
  <si>
    <t>Optimal and Verified Sizing (Design) (New Construction + Additions)</t>
  </si>
  <si>
    <t>Optimal and Verified Sizing (Design) (Alterations)</t>
  </si>
  <si>
    <t>Design (Alterations)</t>
  </si>
  <si>
    <t>Defrost (New Construction + Additions)</t>
  </si>
  <si>
    <t>Defrost (Alterations)</t>
  </si>
  <si>
    <t>Variable Capacity Zoned Systems (New Construction + Additions)</t>
  </si>
  <si>
    <t>Effective Year</t>
  </si>
  <si>
    <t xml:space="preserve">1st Year Statewide Electricity Savings (GWh) </t>
  </si>
  <si>
    <t>1st Year Statewide Peak Demand Savings (MW)</t>
  </si>
  <si>
    <t>1st Year Statewide Natural Gas Savings (million therms)</t>
  </si>
  <si>
    <t>1st Year Year Statewide Water Savings (billion gal)</t>
  </si>
  <si>
    <t>ID</t>
  </si>
  <si>
    <t>Savings Are Not Counted for the Estimated Already-Compliant Market Share in the Effective Year</t>
  </si>
  <si>
    <t>Savings by Standard</t>
  </si>
  <si>
    <t>Purpose:</t>
  </si>
  <si>
    <t>2013-2025 T24 savings by standard</t>
  </si>
  <si>
    <t>Contact:</t>
  </si>
  <si>
    <t>Rezvan Ziazi, &lt;rmohammadiziazi@energy-solution.com&gt;; Eric Rubin &lt;erubin@energy-solution.com&gt;</t>
  </si>
  <si>
    <t>Description:</t>
  </si>
  <si>
    <t>1st year savings were calculated using data compiled by the CA IOU team for reporting to CPUC</t>
  </si>
  <si>
    <t xml:space="preserve">Savings were calculated as: [per-installation annual energy savings] x [total annual installations] x (1 - [% installations already compliant in the effective year]) </t>
  </si>
  <si>
    <t>Notes:</t>
  </si>
  <si>
    <t>Only includes IOU-led measures</t>
  </si>
  <si>
    <t>2013 and 2016 data based on CPUC evaluation; other T24 cycles have not yet been evaluated by CPUC, so 2019 through 2025 are based on CA IOUs' best available data</t>
  </si>
  <si>
    <t>Savings may not align with CEC impact analysis due to: only IOU-led measures; different data sources for measure input data in some cases; potentially different approaches to accounting fo the already-compliant 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</si>
</sst>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i/>
      <sz val="10"/>
      <color theme="1"/>
      <name val="Aptos Narrow"/>
      <family val="2"/>
      <scheme val="minor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sz val="11"/>
      <color theme="1"/>
      <name val="Aptos Display"/>
      <family val="2"/>
      <scheme val="major"/>
    </font>
    <font>
      <sz val="11"/>
      <color theme="1"/>
      <name val="Calibri"/>
      <family val="2"/>
    </font>
    <font>
      <sz val="10"/>
      <name val="Arial"/>
      <family val="2"/>
    </font>
    <font>
      <sz val="9"/>
      <color rgb="FF242424"/>
      <name val="Consolas"/>
      <family val="3"/>
    </font>
    <font>
      <sz val="11"/>
      <color rgb="FF242424"/>
      <name val="Calibri"/>
      <family val="2"/>
    </font>
    <font>
      <b/>
      <sz val="11"/>
      <name val="Aptos Display"/>
      <family val="2"/>
      <scheme val="major"/>
    </font>
    <font>
      <b/>
      <i/>
      <sz val="2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56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9" fontId="3" fillId="0" borderId="4" xfId="1" applyFont="1" applyFill="1" applyBorder="1" applyAlignment="1">
      <alignment horizontal="center" vertical="center"/>
    </xf>
    <xf numFmtId="1" fontId="3" fillId="0" borderId="4" xfId="1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9" fontId="3" fillId="6" borderId="4" xfId="1" applyFont="1" applyFill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8" xfId="0" applyBorder="1"/>
    <xf numFmtId="0" fontId="0" fillId="0" borderId="3" xfId="0" applyBorder="1" applyAlignment="1">
      <alignment horizontal="right"/>
    </xf>
    <xf numFmtId="0" fontId="1" fillId="0" borderId="9" xfId="0" applyFont="1" applyBorder="1" applyAlignment="1">
      <alignment horizontal="center"/>
    </xf>
    <xf numFmtId="0" fontId="0" fillId="0" borderId="9" xfId="0" applyBorder="1"/>
    <xf numFmtId="0" fontId="0" fillId="0" borderId="13" xfId="0" applyBorder="1"/>
    <xf numFmtId="0" fontId="0" fillId="0" borderId="0" xfId="0" applyAlignment="1">
      <alignment horizontal="center"/>
    </xf>
    <xf numFmtId="0" fontId="12" fillId="0" borderId="0" xfId="0" applyFont="1"/>
    <xf numFmtId="9" fontId="13" fillId="0" borderId="4" xfId="1" applyFont="1" applyFill="1" applyBorder="1" applyAlignment="1">
      <alignment horizontal="center"/>
    </xf>
    <xf numFmtId="9" fontId="3" fillId="0" borderId="5" xfId="1" applyFont="1" applyFill="1" applyBorder="1" applyAlignment="1">
      <alignment horizontal="center" vertical="center"/>
    </xf>
    <xf numFmtId="9" fontId="11" fillId="5" borderId="5" xfId="0" applyNumberFormat="1" applyFont="1" applyFill="1" applyBorder="1" applyAlignment="1">
      <alignment horizontal="center"/>
    </xf>
    <xf numFmtId="9" fontId="11" fillId="5" borderId="7" xfId="0" applyNumberFormat="1" applyFont="1" applyFill="1" applyBorder="1" applyAlignment="1">
      <alignment horizontal="center"/>
    </xf>
    <xf numFmtId="9" fontId="3" fillId="6" borderId="5" xfId="1" applyFont="1" applyFill="1" applyBorder="1" applyAlignment="1">
      <alignment horizontal="center" vertical="center"/>
    </xf>
    <xf numFmtId="3" fontId="14" fillId="7" borderId="1" xfId="0" applyNumberFormat="1" applyFont="1" applyFill="1" applyBorder="1" applyAlignment="1">
      <alignment horizontal="center" vertical="center" wrapText="1"/>
    </xf>
    <xf numFmtId="3" fontId="14" fillId="7" borderId="4" xfId="0" applyNumberFormat="1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9" fontId="13" fillId="0" borderId="2" xfId="1" applyFont="1" applyFill="1" applyBorder="1" applyAlignment="1">
      <alignment horizontal="center"/>
    </xf>
    <xf numFmtId="9" fontId="3" fillId="6" borderId="10" xfId="1" applyFont="1" applyFill="1" applyBorder="1" applyAlignment="1">
      <alignment horizontal="center" vertical="center"/>
    </xf>
    <xf numFmtId="3" fontId="3" fillId="0" borderId="5" xfId="0" applyNumberFormat="1" applyFont="1" applyBorder="1" applyAlignment="1">
      <alignment vertical="center"/>
    </xf>
    <xf numFmtId="3" fontId="3" fillId="0" borderId="10" xfId="0" applyNumberFormat="1" applyFont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3" fontId="3" fillId="0" borderId="12" xfId="0" applyNumberFormat="1" applyFont="1" applyBorder="1" applyAlignment="1">
      <alignment vertical="center"/>
    </xf>
    <xf numFmtId="0" fontId="2" fillId="8" borderId="4" xfId="0" applyFont="1" applyFill="1" applyBorder="1" applyAlignment="1">
      <alignment horizontal="center" vertical="center" wrapText="1"/>
    </xf>
    <xf numFmtId="3" fontId="14" fillId="7" borderId="11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2" fillId="0" borderId="4" xfId="0" applyFont="1" applyBorder="1"/>
    <xf numFmtId="0" fontId="0" fillId="0" borderId="0" xfId="0" applyBorder="1"/>
    <xf numFmtId="9" fontId="3" fillId="6" borderId="0" xfId="1" applyFont="1" applyFill="1" applyBorder="1" applyAlignment="1">
      <alignment horizontal="center" vertical="center"/>
    </xf>
    <xf numFmtId="0" fontId="12" fillId="0" borderId="5" xfId="0" applyFont="1" applyBorder="1"/>
    <xf numFmtId="3" fontId="0" fillId="0" borderId="4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2" fillId="0" borderId="0" xfId="0" applyFont="1" applyBorder="1"/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horizontal="right" indent="1"/>
    </xf>
    <xf numFmtId="0" fontId="12" fillId="3" borderId="0" xfId="0" applyFont="1" applyFill="1" applyBorder="1"/>
  </cellXfs>
  <cellStyles count="3">
    <cellStyle name="Currency 13 2" xfId="2" xr:uid="{E5A5528A-336D-4E8F-9A38-8F90D03AA3AA}"/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indexed="1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34BAF0"/>
        </patternFill>
      </fill>
    </dxf>
    <dxf>
      <fill>
        <patternFill>
          <bgColor rgb="FF1098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1098CE"/>
      <color rgb="FF34BA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ysolutionsonline.sharepoint.com/sites/projects/cross-cutting/PGE%20Tech%20Support/Impacts%20Modeling/Documentation/Federal/DOE%20-%20Upstream%20Savings%20Analyses/2022-2024%20Analyses/Microwave%20Ovens%20TSD%202023.xlsx" TargetMode="External"/><Relationship Id="rId1" Type="http://schemas.openxmlformats.org/officeDocument/2006/relationships/externalLinkPath" Target="/sites/projects/cross-cutting/PGE%20Tech%20Support/Impacts%20Modeling/Documentation/Federal/DOE%20-%20Upstream%20Savings%20Analyses/2022-2024%20Analyses/Microwave%20Ovens%20TSD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energysolutionsonline.sharepoint.com/sites/projects/cross-cutting/PGE%20Tech%20Support/Impacts%20Modeling/Documentation/Federal/DOE%20-%20Upstream%20Savings%20Analyses/2022-2024%20Analyses/Appliance%20Standard%20MeasureSET%20-%20Room%20Air%20Conditioners%20TSD%202023.xlsx" TargetMode="External"/><Relationship Id="rId2" Type="http://schemas.microsoft.com/office/2019/04/relationships/externalLinkLongPath" Target="/sites/projects/cross-cutting/PGE%20Tech%20Support/Impacts%20Modeling/Documentation/Federal/DOE%20-%20Upstream%20Savings%20Analyses/2022-2024%20Analyses/Appliance%20Standard%20MeasureSET%20-%20Room%20Air%20Conditioners%20TSD%202023.xlsx?DD745AF3" TargetMode="External"/><Relationship Id="rId1" Type="http://schemas.openxmlformats.org/officeDocument/2006/relationships/externalLinkPath" Target="file:///\\DD745AF3\Appliance%20Standard%20MeasureSET%20-%20Room%20Air%20Conditioners%20TSD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ronyms"/>
      <sheetName val="INPUT&gt;&gt;"/>
      <sheetName val="README"/>
      <sheetName val="Planning"/>
      <sheetName val="Grouping"/>
      <sheetName val="Lifetime"/>
      <sheetName val="Installations &amp; Stock"/>
      <sheetName val="UEC &amp; UES"/>
      <sheetName val="Allocation Factors"/>
      <sheetName val="NOMAD"/>
      <sheetName val="Costs"/>
      <sheetName val="OUTPUT&gt;&gt;"/>
      <sheetName val="CASE Tables"/>
      <sheetName val="APP Tables"/>
      <sheetName val="Net Present Value"/>
      <sheetName val="Payback Period"/>
      <sheetName val="GHG Savings"/>
      <sheetName val="CPUC Inputs"/>
      <sheetName val="USEFUL TABS &gt;&gt;"/>
      <sheetName val="Extra CASE Tables"/>
      <sheetName val="Costs Helper"/>
      <sheetName val="Studywide Assumptions"/>
      <sheetName val="Load Factors"/>
      <sheetName val="Price Forecast"/>
      <sheetName val="Install. Adj. Factor Helper"/>
      <sheetName val="Data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cronyms"/>
      <sheetName val="INPUT&gt;&gt;"/>
      <sheetName val="README"/>
      <sheetName val="Planning"/>
      <sheetName val="Grouping"/>
      <sheetName val="Lifetime"/>
      <sheetName val="Installations &amp; Stock"/>
      <sheetName val="UEC &amp; UES"/>
      <sheetName val="Allocation Factors"/>
      <sheetName val="NOMAD"/>
      <sheetName val="Costs"/>
      <sheetName val="OUTPUT&gt;&gt;"/>
      <sheetName val="CASE Tables"/>
      <sheetName val="APP Tables"/>
      <sheetName val="Net Present Value"/>
      <sheetName val="Payback Period"/>
      <sheetName val="GHG Savings"/>
      <sheetName val="CPUC Inputs"/>
      <sheetName val="USEFUL TABS &gt;&gt;"/>
      <sheetName val="Extra CASE Tables"/>
      <sheetName val="Costs Helper"/>
      <sheetName val="Studywide Assumptions"/>
      <sheetName val="Load Factors"/>
      <sheetName val="Price Forecast"/>
      <sheetName val="Install. Adj. Factor Helper"/>
      <sheetName val="Data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06DB-E976-4612-82EB-46C621FEAFC2}">
  <sheetPr>
    <tabColor theme="6" tint="0.59999389629810485"/>
  </sheetPr>
  <dimension ref="A2:HB297"/>
  <sheetViews>
    <sheetView showGridLines="0" tabSelected="1" zoomScale="80" zoomScaleNormal="85" workbookViewId="0">
      <pane xSplit="2" ySplit="11" topLeftCell="C12" activePane="bottomRight" state="frozen"/>
      <selection pane="topRight" activeCell="C1" sqref="C1"/>
      <selection pane="bottomLeft" activeCell="A6" sqref="A6"/>
      <selection pane="bottomRight" activeCell="B20" sqref="B20"/>
    </sheetView>
  </sheetViews>
  <sheetFormatPr defaultColWidth="9.109375" defaultRowHeight="15" customHeight="1" x14ac:dyDescent="0.3"/>
  <cols>
    <col min="1" max="1" width="15.6640625" style="27" customWidth="1"/>
    <col min="2" max="2" width="68" customWidth="1"/>
    <col min="3" max="3" width="22" customWidth="1"/>
    <col min="4" max="4" width="17.109375" customWidth="1"/>
    <col min="5" max="9" width="10.33203125" customWidth="1"/>
    <col min="10" max="10" width="10" hidden="1" customWidth="1"/>
    <col min="11" max="11" width="29.44140625" hidden="1" customWidth="1"/>
    <col min="12" max="15" width="16.88671875" customWidth="1"/>
    <col min="19" max="21" width="15" customWidth="1"/>
    <col min="16035" max="16037" width="9.109375" bestFit="1" customWidth="1"/>
  </cols>
  <sheetData>
    <row r="2" spans="1:33" s="1" customFormat="1" ht="14.4" x14ac:dyDescent="0.3">
      <c r="A2" s="54" t="s">
        <v>285</v>
      </c>
      <c r="B2" s="1" t="s">
        <v>286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33" s="1" customFormat="1" ht="14.4" x14ac:dyDescent="0.3">
      <c r="A3" s="54" t="s">
        <v>287</v>
      </c>
      <c r="B3" s="1" t="s">
        <v>288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33" s="1" customFormat="1" ht="14.4" x14ac:dyDescent="0.3">
      <c r="A4" s="54" t="s">
        <v>289</v>
      </c>
      <c r="B4" s="1" t="s">
        <v>290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33" s="1" customFormat="1" ht="14.4" x14ac:dyDescent="0.3">
      <c r="A5" s="54"/>
      <c r="B5" s="1" t="s">
        <v>291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33" s="1" customFormat="1" ht="14.4" x14ac:dyDescent="0.3">
      <c r="A6" s="54" t="s">
        <v>292</v>
      </c>
      <c r="B6" s="1" t="s">
        <v>293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33" s="1" customFormat="1" ht="14.4" x14ac:dyDescent="0.3">
      <c r="A7" s="54"/>
      <c r="B7" s="1" t="s">
        <v>294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33" s="1" customFormat="1" ht="14.4" x14ac:dyDescent="0.3">
      <c r="A8" s="54"/>
      <c r="B8" s="1" t="s">
        <v>295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33" s="1" customFormat="1" ht="36" customHeight="1" x14ac:dyDescent="0.3">
      <c r="A9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33" s="3" customFormat="1" ht="40.799999999999997" customHeight="1" x14ac:dyDescent="0.3">
      <c r="A10" s="53" t="s">
        <v>284</v>
      </c>
      <c r="C10" s="4"/>
      <c r="D10" s="5"/>
      <c r="E10" s="45" t="s">
        <v>283</v>
      </c>
      <c r="F10" s="45"/>
      <c r="G10" s="45"/>
      <c r="H10" s="45"/>
      <c r="I10" s="45"/>
      <c r="J10" s="6" t="s">
        <v>0</v>
      </c>
      <c r="K10" s="7" t="s">
        <v>1</v>
      </c>
      <c r="L10" s="8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3" s="9" customFormat="1" ht="88.5" customHeight="1" x14ac:dyDescent="0.3">
      <c r="A11" s="36" t="s">
        <v>282</v>
      </c>
      <c r="B11" s="35" t="s">
        <v>2</v>
      </c>
      <c r="C11" s="36" t="s">
        <v>3</v>
      </c>
      <c r="D11" s="36" t="s">
        <v>277</v>
      </c>
      <c r="E11" s="44" t="s">
        <v>4</v>
      </c>
      <c r="F11" s="44" t="s">
        <v>5</v>
      </c>
      <c r="G11" s="44" t="s">
        <v>6</v>
      </c>
      <c r="H11" s="44" t="s">
        <v>7</v>
      </c>
      <c r="I11" s="44" t="s">
        <v>8</v>
      </c>
      <c r="J11" s="34" t="s">
        <v>9</v>
      </c>
      <c r="K11" s="34" t="s">
        <v>10</v>
      </c>
      <c r="L11" s="43" t="s">
        <v>278</v>
      </c>
      <c r="M11" s="43" t="s">
        <v>279</v>
      </c>
      <c r="N11" s="43" t="s">
        <v>280</v>
      </c>
      <c r="O11" s="43" t="s">
        <v>281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ht="14.4" x14ac:dyDescent="0.3">
      <c r="A12" s="10">
        <v>265</v>
      </c>
      <c r="B12" s="39" t="s">
        <v>11</v>
      </c>
      <c r="C12" s="16" t="s">
        <v>12</v>
      </c>
      <c r="D12" s="10">
        <v>2014</v>
      </c>
      <c r="E12" s="29">
        <v>0.22676643245441089</v>
      </c>
      <c r="F12" s="29">
        <v>0.29331172450892856</v>
      </c>
      <c r="G12" s="29">
        <v>0.34762372158724442</v>
      </c>
      <c r="H12" s="29">
        <v>0.38655923249306773</v>
      </c>
      <c r="I12" s="29">
        <v>0.41195069445366833</v>
      </c>
      <c r="J12" s="52" t="e">
        <v>#VALUE!</v>
      </c>
      <c r="K12" s="52" t="e">
        <v>#VALUE!</v>
      </c>
      <c r="L12" s="50">
        <v>179.61669423162357</v>
      </c>
      <c r="M12" s="50">
        <v>34.883681211079413</v>
      </c>
      <c r="N12" s="50">
        <v>-0.31885118238561627</v>
      </c>
      <c r="O12" s="50">
        <v>0</v>
      </c>
    </row>
    <row r="13" spans="1:33" ht="14.4" x14ac:dyDescent="0.3">
      <c r="A13" s="10">
        <v>266</v>
      </c>
      <c r="B13" s="39" t="s">
        <v>13</v>
      </c>
      <c r="C13" s="16" t="s">
        <v>12</v>
      </c>
      <c r="D13" s="10">
        <v>2014</v>
      </c>
      <c r="E13" s="29">
        <v>0.13452727134482687</v>
      </c>
      <c r="F13" s="29">
        <v>0.21743166344997128</v>
      </c>
      <c r="G13" s="29">
        <v>0.29549397680751216</v>
      </c>
      <c r="H13" s="29">
        <v>0.3498612871419976</v>
      </c>
      <c r="I13" s="29">
        <v>0.38027141034284845</v>
      </c>
      <c r="J13" s="52" t="e">
        <v>#VALUE!</v>
      </c>
      <c r="K13" s="52" t="e">
        <v>#VALUE!</v>
      </c>
      <c r="L13" s="50">
        <v>132.0830593852798</v>
      </c>
      <c r="M13" s="50">
        <v>19.694867149748013</v>
      </c>
      <c r="N13" s="50">
        <v>0</v>
      </c>
      <c r="O13" s="50">
        <v>0</v>
      </c>
    </row>
    <row r="14" spans="1:33" ht="14.4" x14ac:dyDescent="0.3">
      <c r="A14" s="10">
        <v>267</v>
      </c>
      <c r="B14" s="39" t="s">
        <v>14</v>
      </c>
      <c r="C14" s="16" t="s">
        <v>12</v>
      </c>
      <c r="D14" s="10">
        <v>2014</v>
      </c>
      <c r="E14" s="29">
        <v>0.14446923367729422</v>
      </c>
      <c r="F14" s="29">
        <v>0.19281141885584613</v>
      </c>
      <c r="G14" s="29">
        <v>0.24134381558940868</v>
      </c>
      <c r="H14" s="29">
        <v>0.28605372196777423</v>
      </c>
      <c r="I14" s="29">
        <v>0.32409622846303748</v>
      </c>
      <c r="J14" s="13">
        <v>0</v>
      </c>
      <c r="K14" s="30">
        <v>0.80999999999999994</v>
      </c>
      <c r="L14" s="50">
        <v>79.180335465527946</v>
      </c>
      <c r="M14" s="50">
        <v>0</v>
      </c>
      <c r="N14" s="50">
        <v>0</v>
      </c>
      <c r="O14" s="50">
        <v>0</v>
      </c>
    </row>
    <row r="15" spans="1:33" ht="14.4" x14ac:dyDescent="0.3">
      <c r="A15" s="10">
        <v>268</v>
      </c>
      <c r="B15" s="39" t="s">
        <v>15</v>
      </c>
      <c r="C15" s="16" t="s">
        <v>12</v>
      </c>
      <c r="D15" s="10">
        <v>2014</v>
      </c>
      <c r="E15" s="29">
        <v>8.8061477677520733E-2</v>
      </c>
      <c r="F15" s="29">
        <v>0.12081804446284222</v>
      </c>
      <c r="G15" s="29">
        <v>0.15383239734987458</v>
      </c>
      <c r="H15" s="29">
        <v>0.18361592809951829</v>
      </c>
      <c r="I15" s="29">
        <v>0.20791558433344701</v>
      </c>
      <c r="J15" s="13">
        <v>0</v>
      </c>
      <c r="K15" s="30">
        <v>0.67749999999999999</v>
      </c>
      <c r="L15" s="50">
        <v>4.6589407048737943</v>
      </c>
      <c r="M15" s="50">
        <v>0.46782446195143201</v>
      </c>
      <c r="N15" s="50">
        <v>0</v>
      </c>
      <c r="O15" s="50">
        <v>0</v>
      </c>
    </row>
    <row r="16" spans="1:33" ht="14.4" x14ac:dyDescent="0.3">
      <c r="A16" s="10">
        <v>269</v>
      </c>
      <c r="B16" s="39" t="s">
        <v>16</v>
      </c>
      <c r="C16" s="16" t="s">
        <v>12</v>
      </c>
      <c r="D16" s="10">
        <v>2014</v>
      </c>
      <c r="E16" s="29">
        <v>0.14632365342939982</v>
      </c>
      <c r="F16" s="29">
        <v>0.20222182271031233</v>
      </c>
      <c r="G16" s="29">
        <v>0.25317493124801815</v>
      </c>
      <c r="H16" s="29">
        <v>0.29286153675738125</v>
      </c>
      <c r="I16" s="29">
        <v>0.32015267482285592</v>
      </c>
      <c r="J16" s="13">
        <v>0</v>
      </c>
      <c r="K16" s="30">
        <v>0.67749999999999999</v>
      </c>
      <c r="L16" s="50">
        <v>1.6035006026047589</v>
      </c>
      <c r="M16" s="50">
        <v>0.16101445675572063</v>
      </c>
      <c r="N16" s="50">
        <v>0</v>
      </c>
      <c r="O16" s="50">
        <v>0</v>
      </c>
    </row>
    <row r="17" spans="1:15" ht="14.4" x14ac:dyDescent="0.3">
      <c r="A17" s="10">
        <v>270</v>
      </c>
      <c r="B17" s="39" t="s">
        <v>17</v>
      </c>
      <c r="C17" s="16" t="s">
        <v>12</v>
      </c>
      <c r="D17" s="10">
        <v>2014</v>
      </c>
      <c r="E17" s="29">
        <v>0.2541325134346793</v>
      </c>
      <c r="F17" s="29">
        <v>0.34043016988670266</v>
      </c>
      <c r="G17" s="29">
        <v>0.4076236634824415</v>
      </c>
      <c r="H17" s="29">
        <v>0.45155932279688499</v>
      </c>
      <c r="I17" s="29">
        <v>0.47710093832527173</v>
      </c>
      <c r="J17" s="13">
        <v>0</v>
      </c>
      <c r="K17" s="30">
        <v>0.75</v>
      </c>
      <c r="L17" s="50">
        <v>44.427872561841461</v>
      </c>
      <c r="M17" s="50">
        <v>4.599137523040369</v>
      </c>
      <c r="N17" s="50">
        <v>0</v>
      </c>
      <c r="O17" s="50">
        <v>0</v>
      </c>
    </row>
    <row r="18" spans="1:15" ht="14.4" x14ac:dyDescent="0.3">
      <c r="A18" s="10">
        <v>271</v>
      </c>
      <c r="B18" s="39" t="s">
        <v>18</v>
      </c>
      <c r="C18" s="16" t="s">
        <v>12</v>
      </c>
      <c r="D18" s="10">
        <v>2014</v>
      </c>
      <c r="E18" s="29">
        <v>0.43841212791753031</v>
      </c>
      <c r="F18" s="29">
        <v>0.54726263373908457</v>
      </c>
      <c r="G18" s="29">
        <v>0.62547075446187428</v>
      </c>
      <c r="H18" s="29">
        <v>0.67490474076189877</v>
      </c>
      <c r="I18" s="29">
        <v>0.70366588937439511</v>
      </c>
      <c r="J18" s="13">
        <v>0</v>
      </c>
      <c r="K18" s="30">
        <v>0.57000000000000006</v>
      </c>
      <c r="L18" s="50">
        <v>9.9184549868382685</v>
      </c>
      <c r="M18" s="50">
        <v>3.4598470190873698</v>
      </c>
      <c r="N18" s="50">
        <v>-5.5625458827109363E-2</v>
      </c>
      <c r="O18" s="50">
        <v>0</v>
      </c>
    </row>
    <row r="19" spans="1:15" ht="14.4" x14ac:dyDescent="0.3">
      <c r="A19" s="10">
        <v>272</v>
      </c>
      <c r="B19" s="39" t="s">
        <v>19</v>
      </c>
      <c r="C19" s="16" t="s">
        <v>12</v>
      </c>
      <c r="D19" s="10">
        <v>2014</v>
      </c>
      <c r="E19" s="29">
        <v>0.25277417584073947</v>
      </c>
      <c r="F19" s="29">
        <v>0.35336418206708337</v>
      </c>
      <c r="G19" s="29">
        <v>0.42014296728303729</v>
      </c>
      <c r="H19" s="29">
        <v>0.45592596915118577</v>
      </c>
      <c r="I19" s="29">
        <v>0.47292387771656991</v>
      </c>
      <c r="J19" s="13">
        <v>0</v>
      </c>
      <c r="K19" s="30">
        <v>0.2525</v>
      </c>
      <c r="L19" s="50">
        <v>66.097338806952393</v>
      </c>
      <c r="M19" s="50">
        <v>21.29240782268516</v>
      </c>
      <c r="N19" s="50">
        <v>1.9606966984039038</v>
      </c>
      <c r="O19" s="50">
        <v>0</v>
      </c>
    </row>
    <row r="20" spans="1:15" ht="14.4" x14ac:dyDescent="0.3">
      <c r="A20" s="10">
        <v>273</v>
      </c>
      <c r="B20" s="39" t="s">
        <v>20</v>
      </c>
      <c r="C20" s="16" t="s">
        <v>12</v>
      </c>
      <c r="D20" s="10">
        <v>2014</v>
      </c>
      <c r="E20" s="29">
        <v>0.37000062958531743</v>
      </c>
      <c r="F20" s="29">
        <v>0.48990712947250253</v>
      </c>
      <c r="G20" s="29">
        <v>0.5877137100370482</v>
      </c>
      <c r="H20" s="29">
        <v>0.65627667545321289</v>
      </c>
      <c r="I20" s="29">
        <v>0.6993947194129263</v>
      </c>
      <c r="J20" s="13">
        <v>0</v>
      </c>
      <c r="K20" s="30">
        <v>0.54</v>
      </c>
      <c r="L20" s="50">
        <v>7.9932844547219695</v>
      </c>
      <c r="M20" s="50">
        <v>0</v>
      </c>
      <c r="N20" s="50">
        <v>0</v>
      </c>
      <c r="O20" s="50">
        <v>0</v>
      </c>
    </row>
    <row r="21" spans="1:15" ht="14.4" x14ac:dyDescent="0.3">
      <c r="A21" s="10">
        <v>274</v>
      </c>
      <c r="B21" s="39" t="s">
        <v>21</v>
      </c>
      <c r="C21" s="16" t="s">
        <v>12</v>
      </c>
      <c r="D21" s="10">
        <v>2014</v>
      </c>
      <c r="E21" s="29">
        <v>7.4507175579610521E-2</v>
      </c>
      <c r="F21" s="29">
        <v>0.11434063930359289</v>
      </c>
      <c r="G21" s="29">
        <v>0.16030175137281563</v>
      </c>
      <c r="H21" s="29">
        <v>0.20917812948017192</v>
      </c>
      <c r="I21" s="29">
        <v>0.25684543293875789</v>
      </c>
      <c r="J21" s="13">
        <v>0</v>
      </c>
      <c r="K21" s="30">
        <v>0.81750000000000012</v>
      </c>
      <c r="L21" s="50">
        <v>0</v>
      </c>
      <c r="M21" s="50">
        <v>0</v>
      </c>
      <c r="N21" s="50">
        <v>0</v>
      </c>
      <c r="O21" s="50">
        <v>0</v>
      </c>
    </row>
    <row r="22" spans="1:15" ht="14.4" x14ac:dyDescent="0.3">
      <c r="A22" s="10">
        <v>275</v>
      </c>
      <c r="B22" s="39" t="s">
        <v>22</v>
      </c>
      <c r="C22" s="16" t="s">
        <v>12</v>
      </c>
      <c r="D22" s="10">
        <v>2014</v>
      </c>
      <c r="E22" s="29">
        <v>4.2628850134833689E-2</v>
      </c>
      <c r="F22" s="29">
        <v>6.8085971524535452E-2</v>
      </c>
      <c r="G22" s="29">
        <v>9.8723727629971281E-2</v>
      </c>
      <c r="H22" s="29">
        <v>0.13197940091625912</v>
      </c>
      <c r="I22" s="29">
        <v>0.16426513164781709</v>
      </c>
      <c r="J22" s="13">
        <v>0</v>
      </c>
      <c r="K22" s="30">
        <v>0.84</v>
      </c>
      <c r="L22" s="50">
        <v>0</v>
      </c>
      <c r="M22" s="50">
        <v>0</v>
      </c>
      <c r="N22" s="50">
        <v>0</v>
      </c>
      <c r="O22" s="50">
        <v>0</v>
      </c>
    </row>
    <row r="23" spans="1:15" ht="14.4" x14ac:dyDescent="0.3">
      <c r="A23" s="10">
        <v>276</v>
      </c>
      <c r="B23" s="39" t="s">
        <v>23</v>
      </c>
      <c r="C23" s="16" t="s">
        <v>12</v>
      </c>
      <c r="D23" s="10">
        <v>2014</v>
      </c>
      <c r="E23" s="29">
        <v>6.6090229390119853E-2</v>
      </c>
      <c r="F23" s="29">
        <v>0.11089075221144469</v>
      </c>
      <c r="G23" s="29">
        <v>0.16494042858024599</v>
      </c>
      <c r="H23" s="29">
        <v>0.22017097249155532</v>
      </c>
      <c r="I23" s="29">
        <v>0.26781322800528395</v>
      </c>
      <c r="J23" s="13">
        <v>0</v>
      </c>
      <c r="K23" s="30">
        <v>0.84</v>
      </c>
      <c r="L23" s="50">
        <v>0</v>
      </c>
      <c r="M23" s="50">
        <v>0</v>
      </c>
      <c r="N23" s="50">
        <v>0</v>
      </c>
      <c r="O23" s="50">
        <v>0</v>
      </c>
    </row>
    <row r="24" spans="1:15" ht="14.4" x14ac:dyDescent="0.3">
      <c r="A24" s="10">
        <v>277</v>
      </c>
      <c r="B24" s="39" t="s">
        <v>24</v>
      </c>
      <c r="C24" s="16" t="s">
        <v>12</v>
      </c>
      <c r="D24" s="10">
        <v>2014</v>
      </c>
      <c r="E24" s="29">
        <v>0.11374674864351751</v>
      </c>
      <c r="F24" s="29">
        <v>0.19381022789860666</v>
      </c>
      <c r="G24" s="29">
        <v>0.28420748598816364</v>
      </c>
      <c r="H24" s="29">
        <v>0.36542488834336689</v>
      </c>
      <c r="I24" s="29">
        <v>0.42472001096537515</v>
      </c>
      <c r="J24" s="13">
        <v>0</v>
      </c>
      <c r="K24" s="30">
        <v>0.84</v>
      </c>
      <c r="L24" s="50">
        <v>0</v>
      </c>
      <c r="M24" s="50">
        <v>0</v>
      </c>
      <c r="N24" s="50">
        <v>0</v>
      </c>
      <c r="O24" s="50">
        <v>0</v>
      </c>
    </row>
    <row r="25" spans="1:15" ht="14.4" x14ac:dyDescent="0.3">
      <c r="A25" s="10">
        <v>278</v>
      </c>
      <c r="B25" s="39" t="s">
        <v>25</v>
      </c>
      <c r="C25" s="16" t="s">
        <v>12</v>
      </c>
      <c r="D25" s="10">
        <v>2014</v>
      </c>
      <c r="E25" s="29">
        <v>0.25383398661979045</v>
      </c>
      <c r="F25" s="29">
        <v>0.39881104588702992</v>
      </c>
      <c r="G25" s="29">
        <v>0.49007646738818011</v>
      </c>
      <c r="H25" s="29">
        <v>0.52973378207017063</v>
      </c>
      <c r="I25" s="29">
        <v>0.54415415282848356</v>
      </c>
      <c r="J25" s="13">
        <v>0</v>
      </c>
      <c r="K25" s="30">
        <v>0.65500000000000003</v>
      </c>
      <c r="L25" s="50">
        <v>0</v>
      </c>
      <c r="M25" s="50">
        <v>0</v>
      </c>
      <c r="N25" s="50">
        <v>0</v>
      </c>
      <c r="O25" s="50">
        <v>0</v>
      </c>
    </row>
    <row r="26" spans="1:15" ht="14.4" x14ac:dyDescent="0.3">
      <c r="A26" s="10">
        <v>279</v>
      </c>
      <c r="B26" s="39" t="s">
        <v>26</v>
      </c>
      <c r="C26" s="16" t="s">
        <v>12</v>
      </c>
      <c r="D26" s="10">
        <v>2014</v>
      </c>
      <c r="E26" s="29">
        <v>0.1398466189221946</v>
      </c>
      <c r="F26" s="29">
        <v>0.21056948603658363</v>
      </c>
      <c r="G26" s="29">
        <v>0.28681778826334736</v>
      </c>
      <c r="H26" s="29">
        <v>0.3559819430716763</v>
      </c>
      <c r="I26" s="29">
        <v>0.4095568454467684</v>
      </c>
      <c r="J26" s="13">
        <v>0</v>
      </c>
      <c r="K26" s="30">
        <v>0.72</v>
      </c>
      <c r="L26" s="50">
        <v>0</v>
      </c>
      <c r="M26" s="50">
        <v>0</v>
      </c>
      <c r="N26" s="50">
        <v>0</v>
      </c>
      <c r="O26" s="50">
        <v>0</v>
      </c>
    </row>
    <row r="27" spans="1:15" ht="14.4" x14ac:dyDescent="0.3">
      <c r="A27" s="10">
        <v>280</v>
      </c>
      <c r="B27" s="39" t="s">
        <v>27</v>
      </c>
      <c r="C27" s="16" t="s">
        <v>12</v>
      </c>
      <c r="D27" s="10">
        <v>2014</v>
      </c>
      <c r="E27" s="29">
        <v>1.1151750329860207E-2</v>
      </c>
      <c r="F27" s="29">
        <v>4.1421690170379541E-2</v>
      </c>
      <c r="G27" s="29">
        <v>0.10319716055806435</v>
      </c>
      <c r="H27" s="29">
        <v>0.15439962708049507</v>
      </c>
      <c r="I27" s="29">
        <v>0.17358570634349554</v>
      </c>
      <c r="J27" s="13">
        <v>0</v>
      </c>
      <c r="K27" s="30">
        <v>0.83000000000000007</v>
      </c>
      <c r="L27" s="50">
        <v>0</v>
      </c>
      <c r="M27" s="50">
        <v>0</v>
      </c>
      <c r="N27" s="50">
        <v>0</v>
      </c>
      <c r="O27" s="50">
        <v>0</v>
      </c>
    </row>
    <row r="28" spans="1:15" ht="14.4" x14ac:dyDescent="0.3">
      <c r="A28" s="10">
        <v>281</v>
      </c>
      <c r="B28" s="39" t="s">
        <v>28</v>
      </c>
      <c r="C28" s="16" t="s">
        <v>12</v>
      </c>
      <c r="D28" s="10">
        <v>2014</v>
      </c>
      <c r="E28" s="29">
        <v>0.25277417584073947</v>
      </c>
      <c r="F28" s="29">
        <v>0.35336418206708337</v>
      </c>
      <c r="G28" s="29">
        <v>0.42014296728303729</v>
      </c>
      <c r="H28" s="29">
        <v>0.45592596915118577</v>
      </c>
      <c r="I28" s="29">
        <v>0.47292387771656991</v>
      </c>
      <c r="J28" s="13">
        <v>0</v>
      </c>
      <c r="K28" s="30">
        <v>0.65249999999999997</v>
      </c>
      <c r="L28" s="50">
        <v>0</v>
      </c>
      <c r="M28" s="50">
        <v>0</v>
      </c>
      <c r="N28" s="50">
        <v>0</v>
      </c>
      <c r="O28" s="50">
        <v>0</v>
      </c>
    </row>
    <row r="29" spans="1:15" ht="14.4" x14ac:dyDescent="0.3">
      <c r="A29" s="10">
        <v>282</v>
      </c>
      <c r="B29" s="39" t="s">
        <v>29</v>
      </c>
      <c r="C29" s="16" t="s">
        <v>12</v>
      </c>
      <c r="D29" s="10">
        <v>2014</v>
      </c>
      <c r="E29" s="29">
        <v>5.8452489996195116E-2</v>
      </c>
      <c r="F29" s="29">
        <v>9.9204396882279958E-2</v>
      </c>
      <c r="G29" s="29">
        <v>0.15277854988601827</v>
      </c>
      <c r="H29" s="29">
        <v>0.21114225666422101</v>
      </c>
      <c r="I29" s="29">
        <v>0.26303526404378696</v>
      </c>
      <c r="J29" s="13">
        <v>0</v>
      </c>
      <c r="K29" s="30">
        <v>0.77750000000000008</v>
      </c>
      <c r="L29" s="50">
        <v>0</v>
      </c>
      <c r="M29" s="50">
        <v>0</v>
      </c>
      <c r="N29" s="50">
        <v>0</v>
      </c>
      <c r="O29" s="50">
        <v>0</v>
      </c>
    </row>
    <row r="30" spans="1:15" ht="14.4" x14ac:dyDescent="0.3">
      <c r="A30" s="10">
        <v>283</v>
      </c>
      <c r="B30" s="39" t="s">
        <v>30</v>
      </c>
      <c r="C30" s="16" t="s">
        <v>12</v>
      </c>
      <c r="D30" s="10">
        <v>2014</v>
      </c>
      <c r="E30" s="29">
        <v>1.1151750329860207E-2</v>
      </c>
      <c r="F30" s="29">
        <v>4.1421690170379541E-2</v>
      </c>
      <c r="G30" s="29">
        <v>0.10319716055806435</v>
      </c>
      <c r="H30" s="29">
        <v>0.15439962708049507</v>
      </c>
      <c r="I30" s="29">
        <v>0.17358570634349554</v>
      </c>
      <c r="J30" s="13">
        <v>0</v>
      </c>
      <c r="K30" s="30">
        <v>0.78249999999999997</v>
      </c>
      <c r="L30" s="50">
        <v>0</v>
      </c>
      <c r="M30" s="50">
        <v>0</v>
      </c>
      <c r="N30" s="50">
        <v>0</v>
      </c>
      <c r="O30" s="50">
        <v>0</v>
      </c>
    </row>
    <row r="31" spans="1:15" ht="14.4" x14ac:dyDescent="0.3">
      <c r="A31" s="10">
        <v>284</v>
      </c>
      <c r="B31" s="39" t="s">
        <v>31</v>
      </c>
      <c r="C31" s="16" t="s">
        <v>12</v>
      </c>
      <c r="D31" s="10">
        <v>2014</v>
      </c>
      <c r="E31" s="29">
        <v>1.1151750329860207E-2</v>
      </c>
      <c r="F31" s="29">
        <v>4.1421690170379541E-2</v>
      </c>
      <c r="G31" s="29">
        <v>0.10319716055806435</v>
      </c>
      <c r="H31" s="29">
        <v>0.15439962708049507</v>
      </c>
      <c r="I31" s="29">
        <v>0.17358570634349554</v>
      </c>
      <c r="J31" s="13">
        <v>0</v>
      </c>
      <c r="K31" s="30">
        <v>0.55000000000000004</v>
      </c>
      <c r="L31" s="50">
        <v>0</v>
      </c>
      <c r="M31" s="50">
        <v>0</v>
      </c>
      <c r="N31" s="50">
        <v>0</v>
      </c>
      <c r="O31" s="50">
        <v>0</v>
      </c>
    </row>
    <row r="32" spans="1:15" ht="14.4" x14ac:dyDescent="0.3">
      <c r="A32" s="10">
        <v>285</v>
      </c>
      <c r="B32" s="39" t="s">
        <v>32</v>
      </c>
      <c r="C32" s="16" t="s">
        <v>12</v>
      </c>
      <c r="D32" s="10">
        <v>2014</v>
      </c>
      <c r="E32" s="29">
        <v>0.13943568699846659</v>
      </c>
      <c r="F32" s="29">
        <v>0.22626359065117066</v>
      </c>
      <c r="G32" s="29">
        <v>0.3043756691741179</v>
      </c>
      <c r="H32" s="29">
        <v>0.35741980309396015</v>
      </c>
      <c r="I32" s="29">
        <v>0.3869321463508138</v>
      </c>
      <c r="J32" s="13">
        <v>0</v>
      </c>
      <c r="K32" s="30">
        <v>0.66249999999999998</v>
      </c>
      <c r="L32" s="50">
        <v>0</v>
      </c>
      <c r="M32" s="50">
        <v>0</v>
      </c>
      <c r="N32" s="50">
        <v>0</v>
      </c>
      <c r="O32" s="50">
        <v>0</v>
      </c>
    </row>
    <row r="33" spans="1:15" ht="14.4" x14ac:dyDescent="0.3">
      <c r="A33" s="10">
        <v>286</v>
      </c>
      <c r="B33" s="39" t="s">
        <v>33</v>
      </c>
      <c r="C33" s="16" t="s">
        <v>12</v>
      </c>
      <c r="D33" s="10">
        <v>2014</v>
      </c>
      <c r="E33" s="29">
        <v>0.13943568699846659</v>
      </c>
      <c r="F33" s="29">
        <v>0.22626359065117066</v>
      </c>
      <c r="G33" s="29">
        <v>0.3043756691741179</v>
      </c>
      <c r="H33" s="29">
        <v>0.35741980309396015</v>
      </c>
      <c r="I33" s="29">
        <v>0.3869321463508138</v>
      </c>
      <c r="J33" s="13">
        <v>0</v>
      </c>
      <c r="K33" s="30">
        <v>0.79499999999999993</v>
      </c>
      <c r="L33" s="50">
        <v>0</v>
      </c>
      <c r="M33" s="50">
        <v>0</v>
      </c>
      <c r="N33" s="50">
        <v>0</v>
      </c>
      <c r="O33" s="50">
        <v>0</v>
      </c>
    </row>
    <row r="34" spans="1:15" ht="14.4" x14ac:dyDescent="0.3">
      <c r="A34" s="10">
        <v>287</v>
      </c>
      <c r="B34" s="39" t="s">
        <v>34</v>
      </c>
      <c r="C34" s="16" t="s">
        <v>12</v>
      </c>
      <c r="D34" s="10">
        <v>2014</v>
      </c>
      <c r="E34" s="29">
        <v>0.13943568699846659</v>
      </c>
      <c r="F34" s="29">
        <v>0.22626359065117066</v>
      </c>
      <c r="G34" s="29">
        <v>0.3043756691741179</v>
      </c>
      <c r="H34" s="29">
        <v>0.35741980309396015</v>
      </c>
      <c r="I34" s="29">
        <v>0.3869321463508138</v>
      </c>
      <c r="J34" s="13">
        <v>0</v>
      </c>
      <c r="K34" s="30">
        <v>0.77</v>
      </c>
      <c r="L34" s="50">
        <v>0</v>
      </c>
      <c r="M34" s="50">
        <v>0</v>
      </c>
      <c r="N34" s="50">
        <v>0</v>
      </c>
      <c r="O34" s="50">
        <v>0</v>
      </c>
    </row>
    <row r="35" spans="1:15" ht="14.4" x14ac:dyDescent="0.3">
      <c r="A35" s="10">
        <v>288</v>
      </c>
      <c r="B35" s="39" t="s">
        <v>35</v>
      </c>
      <c r="C35" s="16" t="s">
        <v>12</v>
      </c>
      <c r="D35" s="10">
        <v>2014</v>
      </c>
      <c r="E35" s="29">
        <v>0.13943568699846659</v>
      </c>
      <c r="F35" s="29">
        <v>0.22626359065117066</v>
      </c>
      <c r="G35" s="29">
        <v>0.3043756691741179</v>
      </c>
      <c r="H35" s="29">
        <v>0.35741980309396015</v>
      </c>
      <c r="I35" s="29">
        <v>0.3869321463508138</v>
      </c>
      <c r="J35" s="13">
        <v>0</v>
      </c>
      <c r="K35" s="30">
        <v>0.72750000000000004</v>
      </c>
      <c r="L35" s="50">
        <v>0</v>
      </c>
      <c r="M35" s="50">
        <v>0</v>
      </c>
      <c r="N35" s="50">
        <v>0</v>
      </c>
      <c r="O35" s="50">
        <v>0</v>
      </c>
    </row>
    <row r="36" spans="1:15" ht="14.4" x14ac:dyDescent="0.3">
      <c r="A36" s="10">
        <v>289</v>
      </c>
      <c r="B36" s="39" t="s">
        <v>36</v>
      </c>
      <c r="C36" s="16" t="s">
        <v>12</v>
      </c>
      <c r="D36" s="10">
        <v>2014</v>
      </c>
      <c r="E36" s="29">
        <v>0.13943568699846659</v>
      </c>
      <c r="F36" s="29">
        <v>0.22626359065117066</v>
      </c>
      <c r="G36" s="29">
        <v>0.3043756691741179</v>
      </c>
      <c r="H36" s="29">
        <v>0.35741980309396015</v>
      </c>
      <c r="I36" s="29">
        <v>0.3869321463508138</v>
      </c>
      <c r="J36" s="13">
        <v>0</v>
      </c>
      <c r="K36" s="30">
        <v>0.79</v>
      </c>
      <c r="L36" s="50">
        <v>0</v>
      </c>
      <c r="M36" s="50">
        <v>0</v>
      </c>
      <c r="N36" s="50">
        <v>0</v>
      </c>
      <c r="O36" s="50">
        <v>0</v>
      </c>
    </row>
    <row r="37" spans="1:15" ht="14.4" x14ac:dyDescent="0.3">
      <c r="A37" s="10">
        <v>290</v>
      </c>
      <c r="B37" s="39" t="s">
        <v>37</v>
      </c>
      <c r="C37" s="16" t="s">
        <v>12</v>
      </c>
      <c r="D37" s="10">
        <v>2014</v>
      </c>
      <c r="E37" s="29">
        <v>1.5200900186780552E-3</v>
      </c>
      <c r="F37" s="29">
        <v>3.8691335129648796E-3</v>
      </c>
      <c r="G37" s="29">
        <v>9.4943455061988532E-3</v>
      </c>
      <c r="H37" s="29">
        <v>2.246555458339768E-2</v>
      </c>
      <c r="I37" s="29">
        <v>4.9937122366223038E-2</v>
      </c>
      <c r="J37" s="13">
        <v>0</v>
      </c>
      <c r="K37" s="30">
        <v>0.81749999999999989</v>
      </c>
      <c r="L37" s="50">
        <v>0</v>
      </c>
      <c r="M37" s="50">
        <v>0</v>
      </c>
      <c r="N37" s="50">
        <v>0</v>
      </c>
      <c r="O37" s="50">
        <v>0</v>
      </c>
    </row>
    <row r="38" spans="1:15" ht="14.4" x14ac:dyDescent="0.3">
      <c r="A38" s="10">
        <v>291</v>
      </c>
      <c r="B38" s="39" t="s">
        <v>38</v>
      </c>
      <c r="C38" s="16" t="s">
        <v>12</v>
      </c>
      <c r="D38" s="10">
        <v>2014</v>
      </c>
      <c r="E38" s="29">
        <v>1.5200900186780552E-3</v>
      </c>
      <c r="F38" s="29">
        <v>3.8691335129648796E-3</v>
      </c>
      <c r="G38" s="29">
        <v>9.4943455061988532E-3</v>
      </c>
      <c r="H38" s="29">
        <v>2.246555458339768E-2</v>
      </c>
      <c r="I38" s="29">
        <v>4.9937122366223038E-2</v>
      </c>
      <c r="J38" s="13">
        <v>0</v>
      </c>
      <c r="K38" s="30">
        <v>0.61</v>
      </c>
      <c r="L38" s="50">
        <v>0</v>
      </c>
      <c r="M38" s="50">
        <v>0</v>
      </c>
      <c r="N38" s="50">
        <v>0</v>
      </c>
      <c r="O38" s="50">
        <v>0</v>
      </c>
    </row>
    <row r="39" spans="1:15" ht="14.4" x14ac:dyDescent="0.3">
      <c r="A39" s="10">
        <v>292</v>
      </c>
      <c r="B39" s="39" t="s">
        <v>39</v>
      </c>
      <c r="C39" s="16" t="s">
        <v>12</v>
      </c>
      <c r="D39" s="10">
        <v>2014</v>
      </c>
      <c r="E39" s="29">
        <v>1.1151750329860207E-2</v>
      </c>
      <c r="F39" s="29">
        <v>4.1421690170379541E-2</v>
      </c>
      <c r="G39" s="29">
        <v>0.10319716055806435</v>
      </c>
      <c r="H39" s="29">
        <v>0.15439962708049507</v>
      </c>
      <c r="I39" s="29">
        <v>0.17358570634349554</v>
      </c>
      <c r="J39" s="13">
        <v>0</v>
      </c>
      <c r="K39" s="30">
        <v>0.79</v>
      </c>
      <c r="L39" s="50">
        <v>0</v>
      </c>
      <c r="M39" s="50">
        <v>0</v>
      </c>
      <c r="N39" s="50">
        <v>0</v>
      </c>
      <c r="O39" s="50">
        <v>0</v>
      </c>
    </row>
    <row r="40" spans="1:15" ht="14.4" x14ac:dyDescent="0.3">
      <c r="A40" s="10">
        <v>293</v>
      </c>
      <c r="B40" s="39" t="s">
        <v>40</v>
      </c>
      <c r="C40" s="16" t="s">
        <v>12</v>
      </c>
      <c r="D40" s="10">
        <v>2014</v>
      </c>
      <c r="E40" s="29">
        <v>0.13943568699846659</v>
      </c>
      <c r="F40" s="29">
        <v>0.22626359065117066</v>
      </c>
      <c r="G40" s="29">
        <v>0.3043756691741179</v>
      </c>
      <c r="H40" s="29">
        <v>0.35741980309396015</v>
      </c>
      <c r="I40" s="29">
        <v>0.3869321463508138</v>
      </c>
      <c r="J40" s="13">
        <v>0</v>
      </c>
      <c r="K40" s="30">
        <v>0.63500000000000001</v>
      </c>
      <c r="L40" s="50">
        <v>0</v>
      </c>
      <c r="M40" s="50">
        <v>0</v>
      </c>
      <c r="N40" s="50">
        <v>0</v>
      </c>
      <c r="O40" s="50">
        <v>0</v>
      </c>
    </row>
    <row r="41" spans="1:15" ht="14.4" x14ac:dyDescent="0.3">
      <c r="A41" s="10">
        <v>294</v>
      </c>
      <c r="B41" s="39" t="s">
        <v>41</v>
      </c>
      <c r="C41" s="16" t="s">
        <v>12</v>
      </c>
      <c r="D41" s="10">
        <v>2014</v>
      </c>
      <c r="E41" s="29">
        <v>0.2664554193888431</v>
      </c>
      <c r="F41" s="29">
        <v>0.2757900656537719</v>
      </c>
      <c r="G41" s="29">
        <v>0.27877032774032473</v>
      </c>
      <c r="H41" s="29">
        <v>0.27969500428266203</v>
      </c>
      <c r="I41" s="29">
        <v>0.2799793411558939</v>
      </c>
      <c r="J41" s="13">
        <v>0</v>
      </c>
      <c r="K41" s="30">
        <v>0.69124999999999992</v>
      </c>
      <c r="L41" s="50">
        <v>0</v>
      </c>
      <c r="M41" s="50">
        <v>0</v>
      </c>
      <c r="N41" s="50">
        <v>0</v>
      </c>
      <c r="O41" s="50">
        <v>0</v>
      </c>
    </row>
    <row r="42" spans="1:15" ht="14.4" x14ac:dyDescent="0.3">
      <c r="A42" s="10">
        <v>295</v>
      </c>
      <c r="B42" s="39" t="s">
        <v>42</v>
      </c>
      <c r="C42" s="16" t="s">
        <v>12</v>
      </c>
      <c r="D42" s="10">
        <v>2014</v>
      </c>
      <c r="E42" s="29">
        <v>1.3559450997092914E-2</v>
      </c>
      <c r="F42" s="29">
        <v>2.4220886700270207E-2</v>
      </c>
      <c r="G42" s="29">
        <v>3.5424844544617834E-2</v>
      </c>
      <c r="H42" s="29">
        <v>4.3930030251447892E-2</v>
      </c>
      <c r="I42" s="29">
        <v>4.892822606639901E-2</v>
      </c>
      <c r="J42" s="13">
        <v>0</v>
      </c>
      <c r="K42" s="30">
        <v>0.82000000000000017</v>
      </c>
      <c r="L42" s="50">
        <v>0</v>
      </c>
      <c r="M42" s="50">
        <v>0</v>
      </c>
      <c r="N42" s="50">
        <v>0</v>
      </c>
      <c r="O42" s="50">
        <v>0</v>
      </c>
    </row>
    <row r="43" spans="1:15" ht="14.4" x14ac:dyDescent="0.3">
      <c r="A43" s="10">
        <v>296</v>
      </c>
      <c r="B43" s="39" t="s">
        <v>43</v>
      </c>
      <c r="C43" s="16" t="s">
        <v>12</v>
      </c>
      <c r="D43" s="10">
        <v>2014</v>
      </c>
      <c r="E43" s="29">
        <v>1.3559450997092914E-2</v>
      </c>
      <c r="F43" s="29">
        <v>2.4220886700270207E-2</v>
      </c>
      <c r="G43" s="29">
        <v>3.5424844544617834E-2</v>
      </c>
      <c r="H43" s="29">
        <v>4.3930030251447892E-2</v>
      </c>
      <c r="I43" s="29">
        <v>4.892822606639901E-2</v>
      </c>
      <c r="J43" s="13">
        <v>0</v>
      </c>
      <c r="K43" s="30">
        <v>0.86</v>
      </c>
      <c r="L43" s="50">
        <v>0</v>
      </c>
      <c r="M43" s="50">
        <v>0</v>
      </c>
      <c r="N43" s="50">
        <v>0</v>
      </c>
      <c r="O43" s="50">
        <v>0</v>
      </c>
    </row>
    <row r="44" spans="1:15" ht="14.4" x14ac:dyDescent="0.3">
      <c r="A44" s="10">
        <v>297</v>
      </c>
      <c r="B44" s="39" t="s">
        <v>44</v>
      </c>
      <c r="C44" s="16" t="s">
        <v>12</v>
      </c>
      <c r="D44" s="10">
        <v>2014</v>
      </c>
      <c r="E44" s="29">
        <v>1.3559450997092914E-2</v>
      </c>
      <c r="F44" s="29">
        <v>2.4220886700270207E-2</v>
      </c>
      <c r="G44" s="29">
        <v>3.5424844544617834E-2</v>
      </c>
      <c r="H44" s="29">
        <v>4.3930030251447892E-2</v>
      </c>
      <c r="I44" s="29">
        <v>4.892822606639901E-2</v>
      </c>
      <c r="J44" s="13">
        <v>0</v>
      </c>
      <c r="K44" s="30">
        <v>0.65</v>
      </c>
      <c r="L44" s="50">
        <v>0</v>
      </c>
      <c r="M44" s="50">
        <v>0</v>
      </c>
      <c r="N44" s="50">
        <v>0</v>
      </c>
      <c r="O44" s="50">
        <v>0</v>
      </c>
    </row>
    <row r="45" spans="1:15" ht="14.4" x14ac:dyDescent="0.3">
      <c r="A45" s="10">
        <v>298</v>
      </c>
      <c r="B45" s="39" t="s">
        <v>45</v>
      </c>
      <c r="C45" s="16" t="s">
        <v>12</v>
      </c>
      <c r="D45" s="10">
        <v>2014</v>
      </c>
      <c r="E45" s="29">
        <v>7.5497205695577232E-2</v>
      </c>
      <c r="F45" s="29">
        <v>0.12548990803612328</v>
      </c>
      <c r="G45" s="29">
        <v>0.18529171065250136</v>
      </c>
      <c r="H45" s="29">
        <v>0.24626554261724468</v>
      </c>
      <c r="I45" s="29">
        <v>0.29910269465166717</v>
      </c>
      <c r="J45" s="13">
        <v>0</v>
      </c>
      <c r="K45" s="30">
        <v>0.66</v>
      </c>
      <c r="L45" s="50">
        <v>0</v>
      </c>
      <c r="M45" s="50">
        <v>0</v>
      </c>
      <c r="N45" s="50">
        <v>0</v>
      </c>
      <c r="O45" s="50">
        <v>0</v>
      </c>
    </row>
    <row r="46" spans="1:15" ht="14.4" x14ac:dyDescent="0.3">
      <c r="A46" s="10">
        <v>299</v>
      </c>
      <c r="B46" s="39" t="s">
        <v>46</v>
      </c>
      <c r="C46" s="16" t="s">
        <v>12</v>
      </c>
      <c r="D46" s="10">
        <v>2014</v>
      </c>
      <c r="E46" s="29">
        <v>0.17212746520370736</v>
      </c>
      <c r="F46" s="29">
        <v>0.24267060277338312</v>
      </c>
      <c r="G46" s="29">
        <v>0.27871890245108077</v>
      </c>
      <c r="H46" s="29">
        <v>0.29273862632643982</v>
      </c>
      <c r="I46" s="29">
        <v>0.29759782014742991</v>
      </c>
      <c r="J46" s="13">
        <v>0</v>
      </c>
      <c r="K46" s="30">
        <v>0.79999999999999993</v>
      </c>
      <c r="L46" s="50">
        <v>0</v>
      </c>
      <c r="M46" s="50">
        <v>0</v>
      </c>
      <c r="N46" s="50">
        <v>0</v>
      </c>
      <c r="O46" s="50">
        <v>0</v>
      </c>
    </row>
    <row r="47" spans="1:15" ht="14.4" x14ac:dyDescent="0.3">
      <c r="A47" s="10">
        <v>300</v>
      </c>
      <c r="B47" s="39" t="s">
        <v>47</v>
      </c>
      <c r="C47" s="16" t="s">
        <v>12</v>
      </c>
      <c r="D47" s="10">
        <v>2014</v>
      </c>
      <c r="E47" s="29">
        <v>1.3559450997092914E-2</v>
      </c>
      <c r="F47" s="29">
        <v>2.4220886700270207E-2</v>
      </c>
      <c r="G47" s="29">
        <v>3.5424844544617834E-2</v>
      </c>
      <c r="H47" s="29">
        <v>4.3930030251447892E-2</v>
      </c>
      <c r="I47" s="29">
        <v>4.892822606639901E-2</v>
      </c>
      <c r="J47" s="13">
        <v>0</v>
      </c>
      <c r="K47" s="30">
        <v>0.82000000000000017</v>
      </c>
      <c r="L47" s="50">
        <v>0</v>
      </c>
      <c r="M47" s="50">
        <v>0</v>
      </c>
      <c r="N47" s="50">
        <v>0</v>
      </c>
      <c r="O47" s="50">
        <v>0</v>
      </c>
    </row>
    <row r="48" spans="1:15" ht="14.4" x14ac:dyDescent="0.3">
      <c r="A48" s="10">
        <v>301</v>
      </c>
      <c r="B48" s="39" t="s">
        <v>48</v>
      </c>
      <c r="C48" s="16" t="s">
        <v>12</v>
      </c>
      <c r="D48" s="10">
        <v>2014</v>
      </c>
      <c r="E48" s="29">
        <v>0.17212746520370736</v>
      </c>
      <c r="F48" s="29">
        <v>0.24267060277338312</v>
      </c>
      <c r="G48" s="29">
        <v>0.27871890245108077</v>
      </c>
      <c r="H48" s="29">
        <v>0.29273862632643982</v>
      </c>
      <c r="I48" s="29">
        <v>0.29759782014742991</v>
      </c>
      <c r="J48" s="13">
        <v>0</v>
      </c>
      <c r="K48" s="30">
        <v>0.80999999999999994</v>
      </c>
      <c r="L48" s="50">
        <v>0</v>
      </c>
      <c r="M48" s="50">
        <v>0</v>
      </c>
      <c r="N48" s="50">
        <v>0</v>
      </c>
      <c r="O48" s="50">
        <v>0</v>
      </c>
    </row>
    <row r="49" spans="1:15" ht="14.4" x14ac:dyDescent="0.3">
      <c r="A49" s="10">
        <v>302</v>
      </c>
      <c r="B49" s="39" t="s">
        <v>49</v>
      </c>
      <c r="C49" s="16" t="s">
        <v>12</v>
      </c>
      <c r="D49" s="10">
        <v>2014</v>
      </c>
      <c r="E49" s="29">
        <v>1.3559450997092914E-2</v>
      </c>
      <c r="F49" s="29">
        <v>2.4220886700270207E-2</v>
      </c>
      <c r="G49" s="29">
        <v>3.5424844544617834E-2</v>
      </c>
      <c r="H49" s="29">
        <v>4.3930030251447892E-2</v>
      </c>
      <c r="I49" s="29">
        <v>4.892822606639901E-2</v>
      </c>
      <c r="J49" s="13">
        <v>0</v>
      </c>
      <c r="K49" s="30">
        <v>0.86</v>
      </c>
      <c r="L49" s="50">
        <v>0</v>
      </c>
      <c r="M49" s="50">
        <v>0</v>
      </c>
      <c r="N49" s="50">
        <v>0</v>
      </c>
      <c r="O49" s="50">
        <v>0</v>
      </c>
    </row>
    <row r="50" spans="1:15" ht="14.4" x14ac:dyDescent="0.3">
      <c r="A50" s="10">
        <v>303</v>
      </c>
      <c r="B50" s="39" t="s">
        <v>50</v>
      </c>
      <c r="C50" s="16" t="s">
        <v>12</v>
      </c>
      <c r="D50" s="10">
        <v>2014</v>
      </c>
      <c r="E50" s="29">
        <v>1.3559450997092914E-2</v>
      </c>
      <c r="F50" s="29">
        <v>2.4220886700270207E-2</v>
      </c>
      <c r="G50" s="29">
        <v>3.5424844544617834E-2</v>
      </c>
      <c r="H50" s="29">
        <v>4.3930030251447892E-2</v>
      </c>
      <c r="I50" s="29">
        <v>4.892822606639901E-2</v>
      </c>
      <c r="J50" s="13">
        <v>0</v>
      </c>
      <c r="K50" s="30">
        <v>0.7</v>
      </c>
      <c r="L50" s="50">
        <v>0</v>
      </c>
      <c r="M50" s="50">
        <v>0</v>
      </c>
      <c r="N50" s="50">
        <v>0</v>
      </c>
      <c r="O50" s="50">
        <v>0</v>
      </c>
    </row>
    <row r="51" spans="1:15" ht="14.4" x14ac:dyDescent="0.3">
      <c r="A51" s="10">
        <v>304</v>
      </c>
      <c r="B51" s="39" t="s">
        <v>51</v>
      </c>
      <c r="C51" s="16" t="s">
        <v>12</v>
      </c>
      <c r="D51" s="10">
        <v>2014</v>
      </c>
      <c r="E51" s="29">
        <v>0.3850925938096203</v>
      </c>
      <c r="F51" s="29">
        <v>0.42593479633996711</v>
      </c>
      <c r="G51" s="29">
        <v>0.44741330853030181</v>
      </c>
      <c r="H51" s="29">
        <v>0.45799176577135015</v>
      </c>
      <c r="I51" s="29">
        <v>0.46303352184225499</v>
      </c>
      <c r="J51" s="13">
        <v>0</v>
      </c>
      <c r="K51" s="30">
        <v>0.67754735993550996</v>
      </c>
      <c r="L51" s="50">
        <v>0</v>
      </c>
      <c r="M51" s="50">
        <v>0</v>
      </c>
      <c r="N51" s="50">
        <v>0</v>
      </c>
      <c r="O51" s="50">
        <v>0</v>
      </c>
    </row>
    <row r="52" spans="1:15" ht="14.4" x14ac:dyDescent="0.3">
      <c r="A52" s="10">
        <v>305</v>
      </c>
      <c r="B52" s="39" t="s">
        <v>52</v>
      </c>
      <c r="C52" s="16" t="s">
        <v>12</v>
      </c>
      <c r="D52" s="10">
        <v>2014</v>
      </c>
      <c r="E52" s="29">
        <v>0.25485548008359665</v>
      </c>
      <c r="F52" s="29">
        <v>0.34260074329629886</v>
      </c>
      <c r="G52" s="29">
        <v>0.40146569770805302</v>
      </c>
      <c r="H52" s="29">
        <v>0.43477034866142905</v>
      </c>
      <c r="I52" s="29">
        <v>0.45182169754934925</v>
      </c>
      <c r="J52" s="13">
        <v>0</v>
      </c>
      <c r="K52" s="30">
        <v>0.72024806121160723</v>
      </c>
      <c r="L52" s="50">
        <v>0</v>
      </c>
      <c r="M52" s="50">
        <v>0</v>
      </c>
      <c r="N52" s="50">
        <v>0</v>
      </c>
      <c r="O52" s="50">
        <v>0</v>
      </c>
    </row>
    <row r="53" spans="1:15" ht="14.4" x14ac:dyDescent="0.3">
      <c r="A53" s="10">
        <v>306</v>
      </c>
      <c r="B53" s="39" t="s">
        <v>53</v>
      </c>
      <c r="C53" s="16" t="s">
        <v>12</v>
      </c>
      <c r="D53" s="10">
        <v>2014</v>
      </c>
      <c r="E53" s="29">
        <v>0.26998760545313649</v>
      </c>
      <c r="F53" s="29">
        <v>0.28955497364513411</v>
      </c>
      <c r="G53" s="29">
        <v>0.29652054239857906</v>
      </c>
      <c r="H53" s="29">
        <v>0.29885832266264983</v>
      </c>
      <c r="I53" s="29">
        <v>0.2996272718240367</v>
      </c>
      <c r="J53" s="13">
        <v>0</v>
      </c>
      <c r="K53" s="30">
        <v>0.67754735993550996</v>
      </c>
      <c r="L53" s="50">
        <v>7.7891101118494763</v>
      </c>
      <c r="M53" s="50">
        <v>10.3364965217235</v>
      </c>
      <c r="N53" s="50">
        <v>0.27049662636800098</v>
      </c>
      <c r="O53" s="50">
        <v>0</v>
      </c>
    </row>
    <row r="54" spans="1:15" ht="14.4" x14ac:dyDescent="0.3">
      <c r="A54" s="10">
        <v>307</v>
      </c>
      <c r="B54" s="39" t="s">
        <v>54</v>
      </c>
      <c r="C54" s="16" t="s">
        <v>12</v>
      </c>
      <c r="D54" s="10">
        <v>2014</v>
      </c>
      <c r="E54" s="29">
        <v>0.17212746520370736</v>
      </c>
      <c r="F54" s="29">
        <v>0.24267060277338312</v>
      </c>
      <c r="G54" s="29">
        <v>0.27871890245108077</v>
      </c>
      <c r="H54" s="29">
        <v>0.29273862632643982</v>
      </c>
      <c r="I54" s="29">
        <v>0.29759782014742991</v>
      </c>
      <c r="J54" s="13">
        <v>0</v>
      </c>
      <c r="K54" s="30">
        <v>0.72024806121160723</v>
      </c>
      <c r="L54" s="50">
        <v>1.4769651273055622</v>
      </c>
      <c r="M54" s="50">
        <v>1.486175932919974</v>
      </c>
      <c r="N54" s="50">
        <v>4.3567110556168284E-2</v>
      </c>
      <c r="O54" s="50">
        <v>0</v>
      </c>
    </row>
    <row r="55" spans="1:15" ht="14.4" x14ac:dyDescent="0.3">
      <c r="A55" s="10">
        <v>308</v>
      </c>
      <c r="B55" s="39" t="s">
        <v>55</v>
      </c>
      <c r="C55" s="16" t="s">
        <v>56</v>
      </c>
      <c r="D55" s="10">
        <v>2017</v>
      </c>
      <c r="E55" s="12"/>
      <c r="F55" s="12">
        <v>0.18</v>
      </c>
      <c r="G55" s="12">
        <v>0.24</v>
      </c>
      <c r="H55" s="12">
        <v>0.28999999999999998</v>
      </c>
      <c r="I55" s="12">
        <v>0.34</v>
      </c>
      <c r="J55" s="13">
        <v>0</v>
      </c>
      <c r="K55" s="31">
        <v>0.56999999999999995</v>
      </c>
      <c r="L55" s="50">
        <v>82.397109870600005</v>
      </c>
      <c r="M55" s="50">
        <v>15.694687594400005</v>
      </c>
      <c r="N55" s="50">
        <v>-0.156946875944</v>
      </c>
      <c r="O55" s="50">
        <v>0</v>
      </c>
    </row>
    <row r="56" spans="1:15" ht="14.4" x14ac:dyDescent="0.3">
      <c r="A56" s="10">
        <v>309</v>
      </c>
      <c r="B56" s="39" t="s">
        <v>57</v>
      </c>
      <c r="C56" s="16" t="s">
        <v>56</v>
      </c>
      <c r="D56" s="10">
        <v>2017</v>
      </c>
      <c r="E56" s="12"/>
      <c r="F56" s="12">
        <v>0.73</v>
      </c>
      <c r="G56" s="12">
        <v>0.79</v>
      </c>
      <c r="H56" s="12">
        <v>0.81</v>
      </c>
      <c r="I56" s="12">
        <v>0.82</v>
      </c>
      <c r="J56" s="13">
        <v>0</v>
      </c>
      <c r="K56" s="32">
        <v>0.75</v>
      </c>
      <c r="L56" s="50">
        <v>0.67776345000000005</v>
      </c>
      <c r="M56" s="50">
        <v>0</v>
      </c>
      <c r="N56" s="50">
        <v>0</v>
      </c>
      <c r="O56" s="50">
        <v>0</v>
      </c>
    </row>
    <row r="57" spans="1:15" ht="14.4" x14ac:dyDescent="0.3">
      <c r="A57" s="10">
        <v>310</v>
      </c>
      <c r="B57" s="39" t="s">
        <v>58</v>
      </c>
      <c r="C57" s="16" t="s">
        <v>56</v>
      </c>
      <c r="D57" s="10">
        <v>2017</v>
      </c>
      <c r="E57" s="12"/>
      <c r="F57" s="12">
        <v>0.73</v>
      </c>
      <c r="G57" s="12">
        <v>0.79</v>
      </c>
      <c r="H57" s="12">
        <v>0.81</v>
      </c>
      <c r="I57" s="12">
        <v>0.82</v>
      </c>
      <c r="J57" s="13">
        <v>0</v>
      </c>
      <c r="K57" s="32">
        <v>0.75</v>
      </c>
      <c r="L57" s="50">
        <v>0.98521920000000007</v>
      </c>
      <c r="M57" s="50">
        <v>3.51864E-2</v>
      </c>
      <c r="N57" s="50">
        <v>0</v>
      </c>
      <c r="O57" s="50">
        <v>0</v>
      </c>
    </row>
    <row r="58" spans="1:15" ht="14.4" x14ac:dyDescent="0.3">
      <c r="A58" s="10">
        <v>311</v>
      </c>
      <c r="B58" s="39" t="s">
        <v>59</v>
      </c>
      <c r="C58" s="16" t="s">
        <v>56</v>
      </c>
      <c r="D58" s="10">
        <v>2017</v>
      </c>
      <c r="E58" s="12"/>
      <c r="F58" s="12">
        <v>0.73</v>
      </c>
      <c r="G58" s="12">
        <v>0.79</v>
      </c>
      <c r="H58" s="12">
        <v>0.81</v>
      </c>
      <c r="I58" s="12">
        <v>0.82</v>
      </c>
      <c r="J58" s="13">
        <v>0</v>
      </c>
      <c r="K58" s="32">
        <v>0.75</v>
      </c>
      <c r="L58" s="50">
        <v>1.1329056090000003</v>
      </c>
      <c r="M58" s="50">
        <v>0.25129906236000005</v>
      </c>
      <c r="N58" s="50">
        <v>0.14418798660000004</v>
      </c>
      <c r="O58" s="50">
        <v>0</v>
      </c>
    </row>
    <row r="59" spans="1:15" ht="14.4" x14ac:dyDescent="0.3">
      <c r="A59" s="10">
        <v>312</v>
      </c>
      <c r="B59" s="39" t="s">
        <v>60</v>
      </c>
      <c r="C59" s="16" t="s">
        <v>56</v>
      </c>
      <c r="D59" s="10">
        <v>2017</v>
      </c>
      <c r="E59" s="12"/>
      <c r="F59" s="12">
        <v>0.73</v>
      </c>
      <c r="G59" s="12">
        <v>0.79</v>
      </c>
      <c r="H59" s="12">
        <v>0.81</v>
      </c>
      <c r="I59" s="12">
        <v>0.82</v>
      </c>
      <c r="J59" s="13">
        <v>0</v>
      </c>
      <c r="K59" s="32">
        <v>0.75</v>
      </c>
      <c r="L59" s="50">
        <v>3.6555300000000006</v>
      </c>
      <c r="M59" s="50">
        <v>5.2395930000000011</v>
      </c>
      <c r="N59" s="50">
        <v>0</v>
      </c>
      <c r="O59" s="50">
        <v>0</v>
      </c>
    </row>
    <row r="60" spans="1:15" ht="14.4" x14ac:dyDescent="0.3">
      <c r="A60" s="10">
        <v>313</v>
      </c>
      <c r="B60" s="39" t="s">
        <v>61</v>
      </c>
      <c r="C60" s="16" t="s">
        <v>56</v>
      </c>
      <c r="D60" s="10">
        <v>2017</v>
      </c>
      <c r="E60" s="12"/>
      <c r="F60" s="12">
        <v>0.73</v>
      </c>
      <c r="G60" s="12">
        <v>0.79</v>
      </c>
      <c r="H60" s="12">
        <v>0.81</v>
      </c>
      <c r="I60" s="12">
        <v>0.82</v>
      </c>
      <c r="J60" s="13">
        <v>0</v>
      </c>
      <c r="K60" s="32">
        <v>0.75</v>
      </c>
      <c r="L60" s="50">
        <v>0.1849392</v>
      </c>
      <c r="M60" s="50">
        <v>7.5600000000000016E-4</v>
      </c>
      <c r="N60" s="50">
        <v>0</v>
      </c>
      <c r="O60" s="50">
        <v>0</v>
      </c>
    </row>
    <row r="61" spans="1:15" ht="14.4" x14ac:dyDescent="0.3">
      <c r="A61" s="10">
        <v>314</v>
      </c>
      <c r="B61" s="39" t="s">
        <v>45</v>
      </c>
      <c r="C61" s="16" t="s">
        <v>56</v>
      </c>
      <c r="D61" s="10">
        <v>2017</v>
      </c>
      <c r="E61" s="12"/>
      <c r="F61" s="12">
        <v>0.27</v>
      </c>
      <c r="G61" s="12">
        <v>0.37</v>
      </c>
      <c r="H61" s="12">
        <v>0.44</v>
      </c>
      <c r="I61" s="12">
        <v>0.51</v>
      </c>
      <c r="J61" s="13">
        <v>0</v>
      </c>
      <c r="K61" s="32">
        <v>0.51</v>
      </c>
      <c r="L61" s="50">
        <v>51.636227635650002</v>
      </c>
      <c r="M61" s="50">
        <v>31.835869670099999</v>
      </c>
      <c r="N61" s="50">
        <v>-0.13200238643700002</v>
      </c>
      <c r="O61" s="50">
        <v>0</v>
      </c>
    </row>
    <row r="62" spans="1:15" ht="14.4" x14ac:dyDescent="0.3">
      <c r="A62" s="10">
        <v>315</v>
      </c>
      <c r="B62" s="39" t="s">
        <v>62</v>
      </c>
      <c r="C62" s="16" t="s">
        <v>56</v>
      </c>
      <c r="D62" s="10">
        <v>2017</v>
      </c>
      <c r="E62" s="12"/>
      <c r="F62" s="12">
        <v>0.05</v>
      </c>
      <c r="G62" s="12">
        <v>7.0000000000000007E-2</v>
      </c>
      <c r="H62" s="12">
        <v>0.09</v>
      </c>
      <c r="I62" s="12">
        <v>0.11</v>
      </c>
      <c r="J62" s="13">
        <v>0</v>
      </c>
      <c r="K62" s="32">
        <v>0.68</v>
      </c>
      <c r="L62" s="50">
        <v>41.967426916999997</v>
      </c>
      <c r="M62" s="50">
        <v>23.482346999999997</v>
      </c>
      <c r="N62" s="50">
        <v>4.2743462575000004</v>
      </c>
      <c r="O62" s="50">
        <v>0</v>
      </c>
    </row>
    <row r="63" spans="1:15" ht="14.4" x14ac:dyDescent="0.3">
      <c r="A63" s="10">
        <v>316</v>
      </c>
      <c r="B63" s="39" t="s">
        <v>63</v>
      </c>
      <c r="C63" s="16" t="s">
        <v>56</v>
      </c>
      <c r="D63" s="10">
        <v>2017</v>
      </c>
      <c r="E63" s="12"/>
      <c r="F63" s="12">
        <v>0.05</v>
      </c>
      <c r="G63" s="12">
        <v>7.0000000000000007E-2</v>
      </c>
      <c r="H63" s="12">
        <v>0.09</v>
      </c>
      <c r="I63" s="12">
        <v>0.11</v>
      </c>
      <c r="J63" s="13">
        <v>0</v>
      </c>
      <c r="K63" s="32">
        <v>0.61</v>
      </c>
      <c r="L63" s="50">
        <v>28.21983075</v>
      </c>
      <c r="M63" s="50">
        <v>5.9185000000000008</v>
      </c>
      <c r="N63" s="50">
        <v>2.4210892500000001</v>
      </c>
      <c r="O63" s="50">
        <v>0</v>
      </c>
    </row>
    <row r="64" spans="1:15" ht="14.4" x14ac:dyDescent="0.3">
      <c r="A64" s="10">
        <v>317</v>
      </c>
      <c r="B64" s="39" t="s">
        <v>64</v>
      </c>
      <c r="C64" s="16" t="s">
        <v>56</v>
      </c>
      <c r="D64" s="10">
        <v>2017</v>
      </c>
      <c r="E64" s="12"/>
      <c r="F64" s="12">
        <v>0.05</v>
      </c>
      <c r="G64" s="12">
        <v>7.0000000000000007E-2</v>
      </c>
      <c r="H64" s="12">
        <v>0.09</v>
      </c>
      <c r="I64" s="12">
        <v>0.11</v>
      </c>
      <c r="J64" s="13">
        <v>0</v>
      </c>
      <c r="K64" s="32">
        <v>0.68</v>
      </c>
      <c r="L64" s="50">
        <v>16.597859564</v>
      </c>
      <c r="M64" s="50">
        <v>9.2871240000000004</v>
      </c>
      <c r="N64" s="50">
        <v>1.69047769</v>
      </c>
      <c r="O64" s="50">
        <v>0</v>
      </c>
    </row>
    <row r="65" spans="1:15" ht="14.4" x14ac:dyDescent="0.3">
      <c r="A65" s="10">
        <v>318</v>
      </c>
      <c r="B65" s="39" t="s">
        <v>65</v>
      </c>
      <c r="C65" s="16" t="s">
        <v>56</v>
      </c>
      <c r="D65" s="10">
        <v>2017</v>
      </c>
      <c r="E65" s="12"/>
      <c r="F65" s="12">
        <v>0.05</v>
      </c>
      <c r="G65" s="12">
        <v>7.0000000000000007E-2</v>
      </c>
      <c r="H65" s="12">
        <v>0.09</v>
      </c>
      <c r="I65" s="12">
        <v>0.11</v>
      </c>
      <c r="J65" s="13">
        <v>0</v>
      </c>
      <c r="K65" s="32">
        <v>0.61</v>
      </c>
      <c r="L65" s="50">
        <v>18.458940077999998</v>
      </c>
      <c r="M65" s="50">
        <v>3.8713640000000002</v>
      </c>
      <c r="N65" s="50">
        <v>1.5836644019999999</v>
      </c>
      <c r="O65" s="50">
        <v>0</v>
      </c>
    </row>
    <row r="66" spans="1:15" ht="14.4" x14ac:dyDescent="0.3">
      <c r="A66" s="10">
        <v>319</v>
      </c>
      <c r="B66" s="39" t="s">
        <v>66</v>
      </c>
      <c r="C66" s="16" t="s">
        <v>67</v>
      </c>
      <c r="D66" s="10">
        <v>2020</v>
      </c>
      <c r="E66" s="29">
        <v>7.9602779085775378E-3</v>
      </c>
      <c r="F66" s="29">
        <v>2.0180250066675735E-2</v>
      </c>
      <c r="G66" s="29">
        <v>4.9017324812545199E-2</v>
      </c>
      <c r="H66" s="29">
        <v>0.11326208825794444</v>
      </c>
      <c r="I66" s="29">
        <v>0.2397025583805828</v>
      </c>
      <c r="J66" s="52" t="e">
        <v>#VALUE!</v>
      </c>
      <c r="K66" s="52" t="e">
        <v>#VALUE!</v>
      </c>
      <c r="L66" s="50">
        <v>0.2757849758043619</v>
      </c>
      <c r="M66" s="50">
        <v>3.3284393631560917E-2</v>
      </c>
      <c r="N66" s="50">
        <v>0</v>
      </c>
      <c r="O66" s="50">
        <v>0</v>
      </c>
    </row>
    <row r="67" spans="1:15" ht="14.4" x14ac:dyDescent="0.3">
      <c r="A67" s="10">
        <v>320</v>
      </c>
      <c r="B67" s="39" t="s">
        <v>68</v>
      </c>
      <c r="C67" s="16" t="s">
        <v>67</v>
      </c>
      <c r="D67" s="10">
        <v>2020</v>
      </c>
      <c r="E67" s="29">
        <v>3.4147426202152067E-2</v>
      </c>
      <c r="F67" s="29">
        <v>0.10430891416749441</v>
      </c>
      <c r="G67" s="29">
        <v>0.2768702077362919</v>
      </c>
      <c r="H67" s="29">
        <v>0.55714572429408582</v>
      </c>
      <c r="I67" s="29">
        <v>0.80518751984393522</v>
      </c>
      <c r="J67" s="52" t="e">
        <v>#VALUE!</v>
      </c>
      <c r="K67" s="52" t="e">
        <v>#VALUE!</v>
      </c>
      <c r="L67" s="50">
        <v>21.62158078868487</v>
      </c>
      <c r="M67" s="50">
        <v>2.7478932106020908</v>
      </c>
      <c r="N67" s="50">
        <v>0</v>
      </c>
      <c r="O67" s="50">
        <v>0</v>
      </c>
    </row>
    <row r="68" spans="1:15" ht="14.4" x14ac:dyDescent="0.3">
      <c r="A68" s="10">
        <v>321</v>
      </c>
      <c r="B68" s="39" t="s">
        <v>69</v>
      </c>
      <c r="C68" s="16" t="s">
        <v>67</v>
      </c>
      <c r="D68" s="10">
        <v>2020</v>
      </c>
      <c r="E68" s="29">
        <v>3.4147426202152067E-2</v>
      </c>
      <c r="F68" s="29">
        <v>0.10430891416749441</v>
      </c>
      <c r="G68" s="29">
        <v>0.2768702077362919</v>
      </c>
      <c r="H68" s="29">
        <v>0.55714572429408582</v>
      </c>
      <c r="I68" s="29">
        <v>0.80518751984393522</v>
      </c>
      <c r="J68" s="28" t="e">
        <v>#VALUE!</v>
      </c>
      <c r="K68" s="28" t="e">
        <v>#VALUE!</v>
      </c>
      <c r="L68" s="50">
        <v>197.99293712180329</v>
      </c>
      <c r="M68" s="50">
        <v>27.261993168341796</v>
      </c>
      <c r="N68" s="50">
        <v>0</v>
      </c>
      <c r="O68" s="50">
        <v>0</v>
      </c>
    </row>
    <row r="69" spans="1:15" ht="14.4" x14ac:dyDescent="0.3">
      <c r="A69" s="10">
        <v>322</v>
      </c>
      <c r="B69" s="39" t="s">
        <v>70</v>
      </c>
      <c r="C69" s="16" t="s">
        <v>67</v>
      </c>
      <c r="D69" s="10">
        <v>2020</v>
      </c>
      <c r="E69" s="29">
        <v>7.9602779085775378E-3</v>
      </c>
      <c r="F69" s="29">
        <v>2.0180250066675735E-2</v>
      </c>
      <c r="G69" s="29">
        <v>4.9017324812545199E-2</v>
      </c>
      <c r="H69" s="29">
        <v>0.11326208825794444</v>
      </c>
      <c r="I69" s="29">
        <v>0.2397025583805828</v>
      </c>
      <c r="J69" s="52" t="e">
        <v>#VALUE!</v>
      </c>
      <c r="K69" s="52" t="e">
        <v>#VALUE!</v>
      </c>
      <c r="L69" s="50">
        <v>17.212786420892932</v>
      </c>
      <c r="M69" s="50">
        <v>0.44363341799967321</v>
      </c>
      <c r="N69" s="50">
        <v>0</v>
      </c>
      <c r="O69" s="50">
        <v>0</v>
      </c>
    </row>
    <row r="70" spans="1:15" ht="14.4" x14ac:dyDescent="0.3">
      <c r="A70" s="10">
        <v>323</v>
      </c>
      <c r="B70" s="39" t="s">
        <v>71</v>
      </c>
      <c r="C70" s="16" t="s">
        <v>67</v>
      </c>
      <c r="D70" s="10">
        <v>2020</v>
      </c>
      <c r="E70" s="29">
        <v>3.4147426202152067E-2</v>
      </c>
      <c r="F70" s="29">
        <v>0.10430891416749441</v>
      </c>
      <c r="G70" s="29">
        <v>0.2768702077362919</v>
      </c>
      <c r="H70" s="29">
        <v>0.55714572429408582</v>
      </c>
      <c r="I70" s="29">
        <v>0.80518751984393522</v>
      </c>
      <c r="J70" s="52" t="e">
        <v>#VALUE!</v>
      </c>
      <c r="K70" s="52" t="e">
        <v>#VALUE!</v>
      </c>
      <c r="L70" s="50">
        <v>32.135887968199192</v>
      </c>
      <c r="M70" s="50">
        <v>0.54234734419778108</v>
      </c>
      <c r="N70" s="50">
        <v>0</v>
      </c>
      <c r="O70" s="50">
        <v>0</v>
      </c>
    </row>
    <row r="71" spans="1:15" ht="14.4" x14ac:dyDescent="0.3">
      <c r="A71" s="10">
        <v>324</v>
      </c>
      <c r="B71" s="39" t="s">
        <v>72</v>
      </c>
      <c r="C71" s="16" t="s">
        <v>67</v>
      </c>
      <c r="D71" s="10">
        <v>2020</v>
      </c>
      <c r="E71" s="29">
        <v>3.4147426202152067E-2</v>
      </c>
      <c r="F71" s="29">
        <v>0.10430891416749441</v>
      </c>
      <c r="G71" s="29">
        <v>0.2768702077362919</v>
      </c>
      <c r="H71" s="29">
        <v>0.55714572429408582</v>
      </c>
      <c r="I71" s="29">
        <v>0.80518751984393522</v>
      </c>
      <c r="J71" s="52" t="e">
        <v>#VALUE!</v>
      </c>
      <c r="K71" s="52" t="e">
        <v>#VALUE!</v>
      </c>
      <c r="L71" s="50">
        <v>31.586309326078769</v>
      </c>
      <c r="M71" s="50">
        <v>0.7375923881089822</v>
      </c>
      <c r="N71" s="50">
        <v>0</v>
      </c>
      <c r="O71" s="50">
        <v>0</v>
      </c>
    </row>
    <row r="72" spans="1:15" ht="14.4" x14ac:dyDescent="0.3">
      <c r="A72" s="10">
        <v>325</v>
      </c>
      <c r="B72" s="39" t="s">
        <v>73</v>
      </c>
      <c r="C72" s="16" t="s">
        <v>67</v>
      </c>
      <c r="D72" s="10">
        <v>2020</v>
      </c>
      <c r="E72" s="29">
        <v>7.9602779085775378E-3</v>
      </c>
      <c r="F72" s="29">
        <v>2.0180250066675735E-2</v>
      </c>
      <c r="G72" s="29">
        <v>4.9017324812545199E-2</v>
      </c>
      <c r="H72" s="29">
        <v>0.11326208825794444</v>
      </c>
      <c r="I72" s="29">
        <v>0.2397025583805828</v>
      </c>
      <c r="J72" s="52" t="e">
        <v>#VALUE!</v>
      </c>
      <c r="K72" s="52" t="e">
        <v>#VALUE!</v>
      </c>
      <c r="L72" s="50">
        <v>19.029163330500971</v>
      </c>
      <c r="M72" s="50">
        <v>0.52304047135310017</v>
      </c>
      <c r="N72" s="50">
        <v>0</v>
      </c>
      <c r="O72" s="50">
        <v>0</v>
      </c>
    </row>
    <row r="73" spans="1:15" ht="14.4" x14ac:dyDescent="0.3">
      <c r="A73" s="10">
        <v>326</v>
      </c>
      <c r="B73" s="39" t="s">
        <v>74</v>
      </c>
      <c r="C73" s="16" t="s">
        <v>67</v>
      </c>
      <c r="D73" s="10">
        <v>2020</v>
      </c>
      <c r="E73" s="29">
        <v>7.9602779085775378E-3</v>
      </c>
      <c r="F73" s="29">
        <v>2.0180250066675735E-2</v>
      </c>
      <c r="G73" s="29">
        <v>4.9017324812545199E-2</v>
      </c>
      <c r="H73" s="29">
        <v>0.11326208825794444</v>
      </c>
      <c r="I73" s="29">
        <v>0.2397025583805828</v>
      </c>
      <c r="J73" s="13">
        <v>0</v>
      </c>
      <c r="K73" s="33">
        <v>0.66</v>
      </c>
      <c r="L73" s="50">
        <v>6.4096232307634455</v>
      </c>
      <c r="M73" s="50">
        <v>4.2128532510804249</v>
      </c>
      <c r="N73" s="50">
        <v>0</v>
      </c>
      <c r="O73" s="50">
        <v>0</v>
      </c>
    </row>
    <row r="74" spans="1:15" ht="14.4" x14ac:dyDescent="0.3">
      <c r="A74" s="10">
        <v>327</v>
      </c>
      <c r="B74" s="39" t="s">
        <v>75</v>
      </c>
      <c r="C74" s="16" t="s">
        <v>67</v>
      </c>
      <c r="D74" s="10">
        <v>2020</v>
      </c>
      <c r="E74" s="29">
        <v>7.9602779085775378E-3</v>
      </c>
      <c r="F74" s="29">
        <v>2.0180250066675735E-2</v>
      </c>
      <c r="G74" s="29">
        <v>4.9017324812545199E-2</v>
      </c>
      <c r="H74" s="29">
        <v>0.11326208825794444</v>
      </c>
      <c r="I74" s="29">
        <v>0.2397025583805828</v>
      </c>
      <c r="J74" s="13">
        <v>0</v>
      </c>
      <c r="K74" s="33">
        <v>0.66</v>
      </c>
      <c r="L74" s="50">
        <v>0.34235376306748372</v>
      </c>
      <c r="M74" s="50">
        <v>0.38990289682685647</v>
      </c>
      <c r="N74" s="50">
        <v>0</v>
      </c>
      <c r="O74" s="50">
        <v>0</v>
      </c>
    </row>
    <row r="75" spans="1:15" ht="14.4" x14ac:dyDescent="0.3">
      <c r="A75" s="10">
        <v>328</v>
      </c>
      <c r="B75" s="39" t="s">
        <v>76</v>
      </c>
      <c r="C75" s="16" t="s">
        <v>67</v>
      </c>
      <c r="D75" s="10">
        <v>2020</v>
      </c>
      <c r="E75" s="29">
        <v>7.9602779085775378E-3</v>
      </c>
      <c r="F75" s="29">
        <v>2.0180250066675735E-2</v>
      </c>
      <c r="G75" s="29">
        <v>4.9017324812545199E-2</v>
      </c>
      <c r="H75" s="29">
        <v>0.11326208825794444</v>
      </c>
      <c r="I75" s="29">
        <v>0.2397025583805828</v>
      </c>
      <c r="J75" s="13">
        <v>0</v>
      </c>
      <c r="K75" s="33">
        <v>0.66</v>
      </c>
      <c r="L75" s="50">
        <v>9.9853180894682758</v>
      </c>
      <c r="M75" s="50">
        <v>1.7402982955930424</v>
      </c>
      <c r="N75" s="50">
        <v>0.61813873887184567</v>
      </c>
      <c r="O75" s="50">
        <v>0</v>
      </c>
    </row>
    <row r="76" spans="1:15" ht="14.4" x14ac:dyDescent="0.3">
      <c r="A76" s="10">
        <v>329</v>
      </c>
      <c r="B76" s="39" t="s">
        <v>77</v>
      </c>
      <c r="C76" s="16" t="s">
        <v>67</v>
      </c>
      <c r="D76" s="10">
        <v>2020</v>
      </c>
      <c r="E76" s="29">
        <v>7.9602779085775378E-3</v>
      </c>
      <c r="F76" s="29">
        <v>2.0180250066675735E-2</v>
      </c>
      <c r="G76" s="29">
        <v>4.9017324812545199E-2</v>
      </c>
      <c r="H76" s="29">
        <v>0.11326208825794444</v>
      </c>
      <c r="I76" s="29">
        <v>0.2397025583805828</v>
      </c>
      <c r="J76" s="13">
        <v>0</v>
      </c>
      <c r="K76" s="33">
        <v>0.66</v>
      </c>
      <c r="L76" s="50">
        <v>5.7352159470180313</v>
      </c>
      <c r="M76" s="50">
        <v>0.58152135943476824</v>
      </c>
      <c r="N76" s="50">
        <v>0</v>
      </c>
      <c r="O76" s="50">
        <v>0</v>
      </c>
    </row>
    <row r="77" spans="1:15" ht="14.4" x14ac:dyDescent="0.3">
      <c r="A77" s="10">
        <v>330</v>
      </c>
      <c r="B77" s="39" t="s">
        <v>78</v>
      </c>
      <c r="C77" s="16" t="s">
        <v>67</v>
      </c>
      <c r="D77" s="10">
        <v>2020</v>
      </c>
      <c r="E77" s="29">
        <v>3.4147426202152067E-2</v>
      </c>
      <c r="F77" s="29">
        <v>0.10430891416749441</v>
      </c>
      <c r="G77" s="29">
        <v>0.2768702077362919</v>
      </c>
      <c r="H77" s="29">
        <v>0.55714572429408582</v>
      </c>
      <c r="I77" s="29">
        <v>0.80518751984393522</v>
      </c>
      <c r="J77" s="13">
        <v>0</v>
      </c>
      <c r="K77" s="33">
        <v>0.66</v>
      </c>
      <c r="L77" s="50">
        <v>68.118826431241303</v>
      </c>
      <c r="M77" s="50">
        <v>9.4006872994282062</v>
      </c>
      <c r="N77" s="50">
        <v>0</v>
      </c>
      <c r="O77" s="50">
        <v>0</v>
      </c>
    </row>
    <row r="78" spans="1:15" ht="14.4" x14ac:dyDescent="0.3">
      <c r="A78" s="10">
        <v>331</v>
      </c>
      <c r="B78" s="39" t="s">
        <v>79</v>
      </c>
      <c r="C78" s="16" t="s">
        <v>67</v>
      </c>
      <c r="D78" s="10">
        <v>2020</v>
      </c>
      <c r="E78" s="29">
        <v>7.9602779085775378E-3</v>
      </c>
      <c r="F78" s="29">
        <v>2.0180250066675735E-2</v>
      </c>
      <c r="G78" s="29">
        <v>4.9017324812545199E-2</v>
      </c>
      <c r="H78" s="29">
        <v>0.11326208825794444</v>
      </c>
      <c r="I78" s="29">
        <v>0.2397025583805828</v>
      </c>
      <c r="J78" s="13">
        <v>0</v>
      </c>
      <c r="K78" s="33">
        <v>0.66</v>
      </c>
      <c r="L78" s="50">
        <v>11.222546549887154</v>
      </c>
      <c r="M78" s="50">
        <v>0.41164236079020061</v>
      </c>
      <c r="N78" s="50">
        <v>0</v>
      </c>
      <c r="O78" s="50">
        <v>0</v>
      </c>
    </row>
    <row r="79" spans="1:15" ht="14.4" x14ac:dyDescent="0.3">
      <c r="A79" s="10">
        <v>332</v>
      </c>
      <c r="B79" s="39" t="s">
        <v>80</v>
      </c>
      <c r="C79" s="16" t="s">
        <v>67</v>
      </c>
      <c r="D79" s="10">
        <v>2020</v>
      </c>
      <c r="E79" s="29">
        <v>7.9602779085775378E-3</v>
      </c>
      <c r="F79" s="29">
        <v>2.0180250066675735E-2</v>
      </c>
      <c r="G79" s="29">
        <v>4.9017324812545199E-2</v>
      </c>
      <c r="H79" s="29">
        <v>0.11326208825794444</v>
      </c>
      <c r="I79" s="29">
        <v>0.2397025583805828</v>
      </c>
      <c r="J79" s="13">
        <v>0</v>
      </c>
      <c r="K79" s="33">
        <v>0.66</v>
      </c>
      <c r="L79" s="50">
        <v>0</v>
      </c>
      <c r="M79" s="50">
        <v>0</v>
      </c>
      <c r="N79" s="50">
        <v>0</v>
      </c>
      <c r="O79" s="50">
        <v>0</v>
      </c>
    </row>
    <row r="80" spans="1:15" ht="14.4" x14ac:dyDescent="0.3">
      <c r="A80" s="10">
        <v>333</v>
      </c>
      <c r="B80" s="39" t="s">
        <v>81</v>
      </c>
      <c r="C80" s="16" t="s">
        <v>67</v>
      </c>
      <c r="D80" s="10">
        <v>2020</v>
      </c>
      <c r="E80" s="29">
        <v>3.6631300466937106E-2</v>
      </c>
      <c r="F80" s="29">
        <v>8.6296826132881602E-2</v>
      </c>
      <c r="G80" s="29">
        <v>0.18919682900506582</v>
      </c>
      <c r="H80" s="29">
        <v>0.3651886167077813</v>
      </c>
      <c r="I80" s="29">
        <v>0.5862631150537323</v>
      </c>
      <c r="J80" s="13">
        <v>0</v>
      </c>
      <c r="K80" s="33">
        <v>0.66</v>
      </c>
      <c r="L80" s="50">
        <v>12.226911818603607</v>
      </c>
      <c r="M80" s="50">
        <v>0.20270079274873354</v>
      </c>
      <c r="N80" s="50">
        <v>0</v>
      </c>
      <c r="O80" s="50">
        <v>0</v>
      </c>
    </row>
    <row r="81" spans="1:15" ht="14.4" x14ac:dyDescent="0.3">
      <c r="A81" s="10">
        <v>334</v>
      </c>
      <c r="B81" s="39" t="s">
        <v>82</v>
      </c>
      <c r="C81" s="16" t="s">
        <v>67</v>
      </c>
      <c r="D81" s="10">
        <v>2020</v>
      </c>
      <c r="E81" s="29">
        <v>3.6631300466937106E-2</v>
      </c>
      <c r="F81" s="29">
        <v>8.6296826132881602E-2</v>
      </c>
      <c r="G81" s="29">
        <v>0.18919682900506582</v>
      </c>
      <c r="H81" s="29">
        <v>0.3651886167077813</v>
      </c>
      <c r="I81" s="29">
        <v>0.5862631150537323</v>
      </c>
      <c r="J81" s="13">
        <v>0</v>
      </c>
      <c r="K81" s="33">
        <v>0.66</v>
      </c>
      <c r="L81" s="50">
        <v>11.959346772175278</v>
      </c>
      <c r="M81" s="50">
        <v>0.27567307813827763</v>
      </c>
      <c r="N81" s="50">
        <v>0</v>
      </c>
      <c r="O81" s="50">
        <v>0</v>
      </c>
    </row>
    <row r="82" spans="1:15" ht="14.4" x14ac:dyDescent="0.3">
      <c r="A82" s="10">
        <v>336</v>
      </c>
      <c r="B82" s="39" t="s">
        <v>84</v>
      </c>
      <c r="C82" s="16" t="s">
        <v>67</v>
      </c>
      <c r="D82" s="10">
        <v>2020</v>
      </c>
      <c r="E82" s="29">
        <v>7.9602779085775378E-3</v>
      </c>
      <c r="F82" s="29">
        <v>2.0180250066675735E-2</v>
      </c>
      <c r="G82" s="29">
        <v>4.9017324812545199E-2</v>
      </c>
      <c r="H82" s="29">
        <v>0.11326208825794444</v>
      </c>
      <c r="I82" s="29">
        <v>0.2397025583805828</v>
      </c>
      <c r="J82" s="13">
        <v>0</v>
      </c>
      <c r="K82" s="33">
        <v>0.66</v>
      </c>
      <c r="L82" s="50">
        <v>7.2274683314246566E-2</v>
      </c>
      <c r="M82" s="50">
        <v>-3.8039307007498194E-3</v>
      </c>
      <c r="N82" s="50">
        <v>1.8068670828561641E-2</v>
      </c>
      <c r="O82" s="50">
        <v>0</v>
      </c>
    </row>
    <row r="83" spans="1:15" ht="14.4" x14ac:dyDescent="0.3">
      <c r="A83" s="10">
        <v>337</v>
      </c>
      <c r="B83" s="39" t="s">
        <v>85</v>
      </c>
      <c r="C83" s="16" t="s">
        <v>67</v>
      </c>
      <c r="D83" s="10">
        <v>2020</v>
      </c>
      <c r="E83" s="29">
        <v>7.9602779085775378E-3</v>
      </c>
      <c r="F83" s="29">
        <v>2.0180250066675735E-2</v>
      </c>
      <c r="G83" s="29">
        <v>4.9017324812545199E-2</v>
      </c>
      <c r="H83" s="29">
        <v>0.11326208825794444</v>
      </c>
      <c r="I83" s="29">
        <v>0.2397025583805828</v>
      </c>
      <c r="J83" s="13">
        <v>0</v>
      </c>
      <c r="K83" s="33">
        <v>0.66</v>
      </c>
      <c r="L83" s="50">
        <v>0.64666821912746919</v>
      </c>
      <c r="M83" s="50">
        <v>5.70589605112473E-2</v>
      </c>
      <c r="N83" s="50">
        <v>0</v>
      </c>
      <c r="O83" s="50">
        <v>0</v>
      </c>
    </row>
    <row r="84" spans="1:15" ht="14.4" x14ac:dyDescent="0.3">
      <c r="A84" s="10">
        <v>338</v>
      </c>
      <c r="B84" s="39" t="s">
        <v>86</v>
      </c>
      <c r="C84" s="16" t="s">
        <v>67</v>
      </c>
      <c r="D84" s="10">
        <v>2020</v>
      </c>
      <c r="E84" s="29">
        <v>4.7288313344263332E-3</v>
      </c>
      <c r="F84" s="29">
        <v>1.5673725312498454E-2</v>
      </c>
      <c r="G84" s="29">
        <v>4.9992849290064055E-2</v>
      </c>
      <c r="H84" s="29">
        <v>0.14761978542910117</v>
      </c>
      <c r="I84" s="29">
        <v>0.3627464460359402</v>
      </c>
      <c r="J84" s="13">
        <v>0</v>
      </c>
      <c r="K84" s="33">
        <v>0.66</v>
      </c>
      <c r="L84" s="50">
        <v>21.984115474578626</v>
      </c>
      <c r="M84" s="50">
        <v>8.7695160082034178</v>
      </c>
      <c r="N84" s="50">
        <v>3.9140294609249362</v>
      </c>
      <c r="O84" s="50">
        <v>0</v>
      </c>
    </row>
    <row r="85" spans="1:15" ht="14.4" x14ac:dyDescent="0.3">
      <c r="A85" s="10">
        <v>339</v>
      </c>
      <c r="B85" s="39" t="s">
        <v>87</v>
      </c>
      <c r="C85" s="16" t="s">
        <v>67</v>
      </c>
      <c r="D85" s="10">
        <v>2020</v>
      </c>
      <c r="E85" s="29">
        <v>7.9602779085775378E-3</v>
      </c>
      <c r="F85" s="29">
        <v>2.0180250066675735E-2</v>
      </c>
      <c r="G85" s="29">
        <v>4.9017324812545199E-2</v>
      </c>
      <c r="H85" s="29">
        <v>0.11326208825794444</v>
      </c>
      <c r="I85" s="29">
        <v>0.2397025583805828</v>
      </c>
      <c r="J85" s="13">
        <v>0</v>
      </c>
      <c r="K85" s="33">
        <v>0.66</v>
      </c>
      <c r="L85" s="50">
        <v>1.0460809427062001</v>
      </c>
      <c r="M85" s="50">
        <v>0.98902198219495296</v>
      </c>
      <c r="N85" s="50">
        <v>0</v>
      </c>
      <c r="O85" s="50">
        <v>0</v>
      </c>
    </row>
    <row r="86" spans="1:15" ht="14.4" x14ac:dyDescent="0.3">
      <c r="A86" s="10">
        <v>340</v>
      </c>
      <c r="B86" s="39" t="s">
        <v>88</v>
      </c>
      <c r="C86" s="16" t="s">
        <v>67</v>
      </c>
      <c r="D86" s="10">
        <v>2020</v>
      </c>
      <c r="E86" s="29">
        <v>7.9602779085775378E-3</v>
      </c>
      <c r="F86" s="29">
        <v>2.0180250066675735E-2</v>
      </c>
      <c r="G86" s="29">
        <v>4.9017324812545199E-2</v>
      </c>
      <c r="H86" s="29">
        <v>0.11326208825794444</v>
      </c>
      <c r="I86" s="29">
        <v>0.2397025583805828</v>
      </c>
      <c r="J86" s="13">
        <v>0</v>
      </c>
      <c r="K86" s="33">
        <v>0.66</v>
      </c>
      <c r="L86" s="50">
        <v>0.83686475416496009</v>
      </c>
      <c r="M86" s="50">
        <v>1.0175514624505766</v>
      </c>
      <c r="N86" s="50">
        <v>1.0460809427062002E-2</v>
      </c>
      <c r="O86" s="50">
        <v>0</v>
      </c>
    </row>
    <row r="87" spans="1:15" ht="14.4" x14ac:dyDescent="0.3">
      <c r="A87" s="10">
        <v>341</v>
      </c>
      <c r="B87" s="39" t="s">
        <v>89</v>
      </c>
      <c r="C87" s="16" t="s">
        <v>67</v>
      </c>
      <c r="D87" s="10">
        <v>2020</v>
      </c>
      <c r="E87" s="29">
        <v>7.9602779085775378E-3</v>
      </c>
      <c r="F87" s="29">
        <v>2.0180250066675735E-2</v>
      </c>
      <c r="G87" s="29">
        <v>4.9017324812545199E-2</v>
      </c>
      <c r="H87" s="29">
        <v>0.11326208825794444</v>
      </c>
      <c r="I87" s="29">
        <v>0.2397025583805828</v>
      </c>
      <c r="J87" s="13">
        <v>0</v>
      </c>
      <c r="K87" s="33">
        <v>0.66</v>
      </c>
      <c r="L87" s="50">
        <v>6.6568787263121836</v>
      </c>
      <c r="M87" s="50">
        <v>1.1697086904805694</v>
      </c>
      <c r="N87" s="50">
        <v>0.40892255033060554</v>
      </c>
      <c r="O87" s="50">
        <v>0</v>
      </c>
    </row>
    <row r="88" spans="1:15" ht="14.4" x14ac:dyDescent="0.3">
      <c r="A88" s="10">
        <v>342</v>
      </c>
      <c r="B88" s="39" t="s">
        <v>90</v>
      </c>
      <c r="C88" s="16" t="s">
        <v>67</v>
      </c>
      <c r="D88" s="10">
        <v>2020</v>
      </c>
      <c r="E88" s="29">
        <v>7.9602779085775378E-3</v>
      </c>
      <c r="F88" s="29">
        <v>2.0180250066675735E-2</v>
      </c>
      <c r="G88" s="29">
        <v>4.9017324812545199E-2</v>
      </c>
      <c r="H88" s="29">
        <v>0.11326208825794444</v>
      </c>
      <c r="I88" s="29">
        <v>0.2397025583805828</v>
      </c>
      <c r="J88" s="13">
        <v>0</v>
      </c>
      <c r="K88" s="33">
        <v>0.66</v>
      </c>
      <c r="L88" s="50">
        <v>3.127942585729047</v>
      </c>
      <c r="M88" s="50">
        <v>0.31715726861737659</v>
      </c>
      <c r="N88" s="50">
        <v>0</v>
      </c>
      <c r="O88" s="50">
        <v>0</v>
      </c>
    </row>
    <row r="89" spans="1:15" ht="14.4" x14ac:dyDescent="0.3">
      <c r="A89" s="10">
        <v>343</v>
      </c>
      <c r="B89" s="39" t="s">
        <v>91</v>
      </c>
      <c r="C89" s="16" t="s">
        <v>67</v>
      </c>
      <c r="D89" s="10">
        <v>2020</v>
      </c>
      <c r="E89" s="29">
        <v>7.9602779085775378E-3</v>
      </c>
      <c r="F89" s="29">
        <v>2.0180250066675735E-2</v>
      </c>
      <c r="G89" s="29">
        <v>4.9017324812545199E-2</v>
      </c>
      <c r="H89" s="29">
        <v>0.11326208825794444</v>
      </c>
      <c r="I89" s="29">
        <v>0.2397025583805828</v>
      </c>
      <c r="J89" s="13">
        <v>0</v>
      </c>
      <c r="K89" s="33">
        <v>0.66</v>
      </c>
      <c r="L89" s="50">
        <v>2.6627514905248737</v>
      </c>
      <c r="M89" s="50">
        <v>0.57058960511247292</v>
      </c>
      <c r="N89" s="50">
        <v>0.85588440766870932</v>
      </c>
      <c r="O89" s="50">
        <v>0</v>
      </c>
    </row>
    <row r="90" spans="1:15" ht="14.4" x14ac:dyDescent="0.3">
      <c r="A90" s="10">
        <v>344</v>
      </c>
      <c r="B90" s="39" t="s">
        <v>92</v>
      </c>
      <c r="C90" s="16" t="s">
        <v>67</v>
      </c>
      <c r="D90" s="10">
        <v>2020</v>
      </c>
      <c r="E90" s="29">
        <v>7.9602779085775378E-3</v>
      </c>
      <c r="F90" s="29">
        <v>2.0180250066675735E-2</v>
      </c>
      <c r="G90" s="29">
        <v>4.9017324812545199E-2</v>
      </c>
      <c r="H90" s="29">
        <v>0.11326208825794444</v>
      </c>
      <c r="I90" s="29">
        <v>0.2397025583805828</v>
      </c>
      <c r="J90" s="13">
        <v>0</v>
      </c>
      <c r="K90" s="33">
        <v>0.66</v>
      </c>
      <c r="L90" s="50">
        <v>0</v>
      </c>
      <c r="M90" s="50">
        <v>0</v>
      </c>
      <c r="N90" s="50">
        <v>0</v>
      </c>
      <c r="O90" s="50">
        <v>0</v>
      </c>
    </row>
    <row r="91" spans="1:15" ht="14.4" x14ac:dyDescent="0.3">
      <c r="A91" s="10">
        <v>345</v>
      </c>
      <c r="B91" s="39" t="s">
        <v>93</v>
      </c>
      <c r="C91" s="16" t="s">
        <v>67</v>
      </c>
      <c r="D91" s="10">
        <v>2020</v>
      </c>
      <c r="E91" s="29">
        <v>7.9602779085775378E-3</v>
      </c>
      <c r="F91" s="29">
        <v>2.0180250066675735E-2</v>
      </c>
      <c r="G91" s="29">
        <v>4.9017324812545199E-2</v>
      </c>
      <c r="H91" s="29">
        <v>0.11326208825794444</v>
      </c>
      <c r="I91" s="29">
        <v>0.2397025583805828</v>
      </c>
      <c r="J91" s="13">
        <v>0</v>
      </c>
      <c r="K91" s="33">
        <v>0.66</v>
      </c>
      <c r="L91" s="50">
        <v>2.6900665474433025</v>
      </c>
      <c r="M91" s="50">
        <v>4.4879312482044753</v>
      </c>
      <c r="N91" s="50">
        <v>0.26671148403769279</v>
      </c>
      <c r="O91" s="50">
        <v>0</v>
      </c>
    </row>
    <row r="92" spans="1:15" ht="14.4" x14ac:dyDescent="0.3">
      <c r="A92" s="10">
        <v>346</v>
      </c>
      <c r="B92" s="39" t="s">
        <v>94</v>
      </c>
      <c r="C92" s="16" t="s">
        <v>67</v>
      </c>
      <c r="D92" s="10">
        <v>2020</v>
      </c>
      <c r="E92" s="29">
        <v>7.9602779085775378E-3</v>
      </c>
      <c r="F92" s="29">
        <v>2.0180250066675735E-2</v>
      </c>
      <c r="G92" s="29">
        <v>4.9017324812545199E-2</v>
      </c>
      <c r="H92" s="29">
        <v>0.11326208825794444</v>
      </c>
      <c r="I92" s="29">
        <v>0.2397025583805828</v>
      </c>
      <c r="J92" s="13">
        <v>0</v>
      </c>
      <c r="K92" s="33">
        <v>0.66</v>
      </c>
      <c r="L92" s="50">
        <v>1.9980811693561056</v>
      </c>
      <c r="M92" s="50">
        <v>2.2984775767943186</v>
      </c>
      <c r="N92" s="50">
        <v>0.5619711344220516</v>
      </c>
      <c r="O92" s="50">
        <v>0</v>
      </c>
    </row>
    <row r="93" spans="1:15" ht="14.4" x14ac:dyDescent="0.3">
      <c r="A93" s="10">
        <v>347</v>
      </c>
      <c r="B93" s="39" t="s">
        <v>95</v>
      </c>
      <c r="C93" s="16" t="s">
        <v>67</v>
      </c>
      <c r="D93" s="10">
        <v>2020</v>
      </c>
      <c r="E93" s="29">
        <v>7.9602779085775378E-3</v>
      </c>
      <c r="F93" s="29">
        <v>2.0180250066675735E-2</v>
      </c>
      <c r="G93" s="29">
        <v>4.9017324812545199E-2</v>
      </c>
      <c r="H93" s="29">
        <v>0.11326208825794444</v>
      </c>
      <c r="I93" s="29">
        <v>0.2397025583805828</v>
      </c>
      <c r="J93" s="13">
        <v>0</v>
      </c>
      <c r="K93" s="33">
        <v>0.66</v>
      </c>
      <c r="L93" s="50">
        <v>7.7078627454951176</v>
      </c>
      <c r="M93" s="50">
        <v>10.916605913452598</v>
      </c>
      <c r="N93" s="50">
        <v>2.3454881690647325</v>
      </c>
      <c r="O93" s="50">
        <v>0</v>
      </c>
    </row>
    <row r="94" spans="1:15" ht="14.4" x14ac:dyDescent="0.3">
      <c r="A94" s="10">
        <v>348</v>
      </c>
      <c r="B94" s="39" t="s">
        <v>96</v>
      </c>
      <c r="C94" s="16" t="s">
        <v>67</v>
      </c>
      <c r="D94" s="10">
        <v>2020</v>
      </c>
      <c r="E94" s="29">
        <v>7.9602779085775378E-3</v>
      </c>
      <c r="F94" s="29">
        <v>2.0180250066675735E-2</v>
      </c>
      <c r="G94" s="29">
        <v>4.9017324812545199E-2</v>
      </c>
      <c r="H94" s="29">
        <v>0.11326208825794444</v>
      </c>
      <c r="I94" s="29">
        <v>0.2397025583805828</v>
      </c>
      <c r="J94" s="13">
        <v>0</v>
      </c>
      <c r="K94" s="33">
        <v>0.66</v>
      </c>
      <c r="L94" s="50">
        <v>4.3546362091067969</v>
      </c>
      <c r="M94" s="50">
        <v>6.1854290650880026</v>
      </c>
      <c r="N94" s="50">
        <v>0.67172090672260754</v>
      </c>
      <c r="O94" s="50">
        <v>0</v>
      </c>
    </row>
    <row r="95" spans="1:15" ht="14.4" x14ac:dyDescent="0.3">
      <c r="A95" s="10">
        <v>349</v>
      </c>
      <c r="B95" s="39" t="s">
        <v>97</v>
      </c>
      <c r="C95" s="16" t="s">
        <v>67</v>
      </c>
      <c r="D95" s="10">
        <v>2020</v>
      </c>
      <c r="E95" s="29">
        <v>7.9602779085775378E-3</v>
      </c>
      <c r="F95" s="29">
        <v>2.0180250066675735E-2</v>
      </c>
      <c r="G95" s="29">
        <v>4.9017324812545199E-2</v>
      </c>
      <c r="H95" s="29">
        <v>0.11326208825794444</v>
      </c>
      <c r="I95" s="29">
        <v>0.2397025583805828</v>
      </c>
      <c r="J95" s="13">
        <v>0</v>
      </c>
      <c r="K95" s="33">
        <v>0.66</v>
      </c>
      <c r="L95" s="50">
        <v>6.9481856413409551</v>
      </c>
      <c r="M95" s="50">
        <v>7.2497974046380582</v>
      </c>
      <c r="N95" s="50">
        <v>-0.14856726843116014</v>
      </c>
      <c r="O95" s="50">
        <v>0</v>
      </c>
    </row>
    <row r="96" spans="1:15" ht="14.4" x14ac:dyDescent="0.3">
      <c r="A96" s="10">
        <v>350</v>
      </c>
      <c r="B96" s="39" t="s">
        <v>98</v>
      </c>
      <c r="C96" s="16" t="s">
        <v>67</v>
      </c>
      <c r="D96" s="10">
        <v>2020</v>
      </c>
      <c r="E96" s="29">
        <v>7.9602779085775378E-3</v>
      </c>
      <c r="F96" s="29">
        <v>2.0180250066675735E-2</v>
      </c>
      <c r="G96" s="29">
        <v>4.9017324812545199E-2</v>
      </c>
      <c r="H96" s="29">
        <v>0.11326208825794444</v>
      </c>
      <c r="I96" s="29">
        <v>0.2397025583805828</v>
      </c>
      <c r="J96" s="13">
        <v>0</v>
      </c>
      <c r="K96" s="33">
        <v>0.66</v>
      </c>
      <c r="L96" s="50">
        <v>0.22658315302834775</v>
      </c>
      <c r="M96" s="50">
        <v>0.23672930606275713</v>
      </c>
      <c r="N96" s="50">
        <v>8.1634730294779089E-3</v>
      </c>
      <c r="O96" s="50">
        <v>0</v>
      </c>
    </row>
    <row r="97" spans="1:15" ht="14.4" x14ac:dyDescent="0.3">
      <c r="A97" s="10">
        <v>351</v>
      </c>
      <c r="B97" s="39" t="s">
        <v>99</v>
      </c>
      <c r="C97" s="16" t="s">
        <v>67</v>
      </c>
      <c r="D97" s="10">
        <v>2020</v>
      </c>
      <c r="E97" s="29">
        <v>7.9602779085775378E-3</v>
      </c>
      <c r="F97" s="29">
        <v>2.0180250066675735E-2</v>
      </c>
      <c r="G97" s="29">
        <v>4.9017324812545199E-2</v>
      </c>
      <c r="H97" s="29">
        <v>0.11326208825794444</v>
      </c>
      <c r="I97" s="29">
        <v>0.2397025583805828</v>
      </c>
      <c r="J97" s="13">
        <v>0</v>
      </c>
      <c r="K97" s="33">
        <v>0.66</v>
      </c>
      <c r="L97" s="50">
        <v>0.56322791746372891</v>
      </c>
      <c r="M97" s="50">
        <v>0.84215578402403457</v>
      </c>
      <c r="N97" s="50">
        <v>0.18502660093481849</v>
      </c>
      <c r="O97" s="50">
        <v>0</v>
      </c>
    </row>
    <row r="98" spans="1:15" ht="14.4" x14ac:dyDescent="0.3">
      <c r="A98" s="10">
        <v>352</v>
      </c>
      <c r="B98" s="39" t="s">
        <v>100</v>
      </c>
      <c r="C98" s="16" t="s">
        <v>67</v>
      </c>
      <c r="D98" s="10">
        <v>2020</v>
      </c>
      <c r="E98" s="29">
        <v>7.9602779085775378E-3</v>
      </c>
      <c r="F98" s="29">
        <v>2.0180250066675735E-2</v>
      </c>
      <c r="G98" s="29">
        <v>4.9017324812545199E-2</v>
      </c>
      <c r="H98" s="29">
        <v>0.11326208825794444</v>
      </c>
      <c r="I98" s="29">
        <v>0.2397025583805828</v>
      </c>
      <c r="J98" s="13">
        <v>0</v>
      </c>
      <c r="K98" s="33">
        <v>0.66</v>
      </c>
      <c r="L98" s="50">
        <v>0.60665526645045387</v>
      </c>
      <c r="M98" s="50">
        <v>0.95671472326214702</v>
      </c>
      <c r="N98" s="50">
        <v>0.13480048660664334</v>
      </c>
      <c r="O98" s="50">
        <v>0</v>
      </c>
    </row>
    <row r="99" spans="1:15" ht="14.4" x14ac:dyDescent="0.3">
      <c r="A99" s="10">
        <v>353</v>
      </c>
      <c r="B99" s="39" t="s">
        <v>101</v>
      </c>
      <c r="C99" s="16" t="s">
        <v>67</v>
      </c>
      <c r="D99" s="10">
        <v>2020</v>
      </c>
      <c r="E99" s="29">
        <v>7.9602779085775378E-3</v>
      </c>
      <c r="F99" s="29">
        <v>2.0180250066675735E-2</v>
      </c>
      <c r="G99" s="29">
        <v>4.9017324812545199E-2</v>
      </c>
      <c r="H99" s="29">
        <v>0.11326208825794444</v>
      </c>
      <c r="I99" s="29">
        <v>0.2397025583805828</v>
      </c>
      <c r="J99" s="13">
        <v>0</v>
      </c>
      <c r="K99" s="33">
        <v>0.66</v>
      </c>
      <c r="L99" s="50">
        <v>0.9347228922799341</v>
      </c>
      <c r="M99" s="50">
        <v>1.3629424264369405</v>
      </c>
      <c r="N99" s="50">
        <v>-7.5023023245538315E-3</v>
      </c>
      <c r="O99" s="50">
        <v>0</v>
      </c>
    </row>
    <row r="100" spans="1:15" ht="14.4" x14ac:dyDescent="0.3">
      <c r="A100" s="10">
        <v>354</v>
      </c>
      <c r="B100" s="39" t="s">
        <v>102</v>
      </c>
      <c r="C100" s="16" t="s">
        <v>67</v>
      </c>
      <c r="D100" s="10">
        <v>2020</v>
      </c>
      <c r="E100" s="29">
        <v>7.9602779085775378E-3</v>
      </c>
      <c r="F100" s="29">
        <v>2.0180250066675735E-2</v>
      </c>
      <c r="G100" s="29">
        <v>4.9017324812545199E-2</v>
      </c>
      <c r="H100" s="29">
        <v>0.11326208825794444</v>
      </c>
      <c r="I100" s="29">
        <v>0.2397025583805828</v>
      </c>
      <c r="J100" s="13">
        <v>0</v>
      </c>
      <c r="K100" s="33">
        <v>0.66</v>
      </c>
      <c r="L100" s="50">
        <v>0.28572560721792312</v>
      </c>
      <c r="M100" s="50">
        <v>0.32868229348158756</v>
      </c>
      <c r="N100" s="50">
        <v>8.0361872222353373E-2</v>
      </c>
      <c r="O100" s="50">
        <v>0</v>
      </c>
    </row>
    <row r="101" spans="1:15" ht="14.4" x14ac:dyDescent="0.3">
      <c r="A101" s="10">
        <v>355</v>
      </c>
      <c r="B101" s="39" t="s">
        <v>103</v>
      </c>
      <c r="C101" s="16" t="s">
        <v>67</v>
      </c>
      <c r="D101" s="10">
        <v>2020</v>
      </c>
      <c r="E101" s="29">
        <v>7.9602779085775378E-3</v>
      </c>
      <c r="F101" s="29">
        <v>2.0180250066675735E-2</v>
      </c>
      <c r="G101" s="29">
        <v>4.9017324812545199E-2</v>
      </c>
      <c r="H101" s="29">
        <v>0.11326208825794444</v>
      </c>
      <c r="I101" s="29">
        <v>0.2397025583805828</v>
      </c>
      <c r="J101" s="13">
        <v>0</v>
      </c>
      <c r="K101" s="33">
        <v>0.66</v>
      </c>
      <c r="L101" s="50">
        <v>0.41622458825673631</v>
      </c>
      <c r="M101" s="50">
        <v>0.58949671932644032</v>
      </c>
      <c r="N101" s="50">
        <v>0.12665636112949552</v>
      </c>
      <c r="O101" s="50">
        <v>0</v>
      </c>
    </row>
    <row r="102" spans="1:15" ht="14.4" x14ac:dyDescent="0.3">
      <c r="A102" s="10">
        <v>356</v>
      </c>
      <c r="B102" s="39" t="s">
        <v>104</v>
      </c>
      <c r="C102" s="16" t="s">
        <v>67</v>
      </c>
      <c r="D102" s="10">
        <v>2020</v>
      </c>
      <c r="E102" s="29">
        <v>7.9602779085775378E-3</v>
      </c>
      <c r="F102" s="29">
        <v>2.0180250066675735E-2</v>
      </c>
      <c r="G102" s="29">
        <v>4.9017324812545199E-2</v>
      </c>
      <c r="H102" s="29">
        <v>0.11326208825794444</v>
      </c>
      <c r="I102" s="29">
        <v>0.2397025583805828</v>
      </c>
      <c r="J102" s="13">
        <v>0</v>
      </c>
      <c r="K102" s="33">
        <v>0.66</v>
      </c>
      <c r="L102" s="50">
        <v>1.8724935699159229</v>
      </c>
      <c r="M102" s="50">
        <v>2.659734497987841</v>
      </c>
      <c r="N102" s="50">
        <v>0.28883998989072129</v>
      </c>
      <c r="O102" s="50">
        <v>0</v>
      </c>
    </row>
    <row r="103" spans="1:15" ht="14.4" x14ac:dyDescent="0.3">
      <c r="A103" s="10">
        <v>357</v>
      </c>
      <c r="B103" s="39" t="s">
        <v>105</v>
      </c>
      <c r="C103" s="16" t="s">
        <v>67</v>
      </c>
      <c r="D103" s="10">
        <v>2020</v>
      </c>
      <c r="E103" s="29">
        <v>7.9602779085775378E-3</v>
      </c>
      <c r="F103" s="29">
        <v>2.0180250066675735E-2</v>
      </c>
      <c r="G103" s="29">
        <v>4.9017324812545199E-2</v>
      </c>
      <c r="H103" s="29">
        <v>0.11326208825794444</v>
      </c>
      <c r="I103" s="29">
        <v>0.2397025583805828</v>
      </c>
      <c r="J103" s="13">
        <v>0</v>
      </c>
      <c r="K103" s="33">
        <v>0.66</v>
      </c>
      <c r="L103" s="50">
        <v>0.30572016821900205</v>
      </c>
      <c r="M103" s="50">
        <v>0.31899108580407465</v>
      </c>
      <c r="N103" s="50">
        <v>-6.5369598109710466E-3</v>
      </c>
      <c r="O103" s="50">
        <v>0</v>
      </c>
    </row>
    <row r="104" spans="1:15" ht="14.4" x14ac:dyDescent="0.3">
      <c r="A104" s="10">
        <v>358</v>
      </c>
      <c r="B104" s="39" t="s">
        <v>106</v>
      </c>
      <c r="C104" s="16" t="s">
        <v>67</v>
      </c>
      <c r="D104" s="10">
        <v>2020</v>
      </c>
      <c r="E104" s="29">
        <v>7.9602779085775378E-3</v>
      </c>
      <c r="F104" s="29">
        <v>2.0180250066675735E-2</v>
      </c>
      <c r="G104" s="29">
        <v>4.9017324812545199E-2</v>
      </c>
      <c r="H104" s="29">
        <v>0.11326208825794444</v>
      </c>
      <c r="I104" s="29">
        <v>0.2397025583805828</v>
      </c>
      <c r="J104" s="13">
        <v>0</v>
      </c>
      <c r="K104" s="33">
        <v>0.66</v>
      </c>
      <c r="L104" s="50">
        <v>3.041430754304136E-2</v>
      </c>
      <c r="M104" s="50">
        <v>4.5476412337297864E-2</v>
      </c>
      <c r="N104" s="50">
        <v>9.9914364504801959E-3</v>
      </c>
      <c r="O104" s="50">
        <v>0</v>
      </c>
    </row>
    <row r="105" spans="1:15" ht="14.4" x14ac:dyDescent="0.3">
      <c r="A105" s="10">
        <v>359</v>
      </c>
      <c r="B105" s="39" t="s">
        <v>107</v>
      </c>
      <c r="C105" s="16" t="s">
        <v>67</v>
      </c>
      <c r="D105" s="10">
        <v>2020</v>
      </c>
      <c r="E105" s="29">
        <v>7.9602779085775378E-3</v>
      </c>
      <c r="F105" s="29">
        <v>2.0180250066675735E-2</v>
      </c>
      <c r="G105" s="29">
        <v>4.9017324812545199E-2</v>
      </c>
      <c r="H105" s="29">
        <v>0.11326208825794444</v>
      </c>
      <c r="I105" s="29">
        <v>0.2397025583805828</v>
      </c>
      <c r="J105" s="13">
        <v>0</v>
      </c>
      <c r="K105" s="33">
        <v>0.66</v>
      </c>
      <c r="L105" s="50">
        <v>0.2608617645736952</v>
      </c>
      <c r="M105" s="50">
        <v>0.41138733100272329</v>
      </c>
      <c r="N105" s="50">
        <v>5.7964209240856629E-2</v>
      </c>
      <c r="O105" s="50">
        <v>0</v>
      </c>
    </row>
    <row r="106" spans="1:15" ht="14.4" x14ac:dyDescent="0.3">
      <c r="A106" s="10">
        <v>360</v>
      </c>
      <c r="B106" s="39" t="s">
        <v>108</v>
      </c>
      <c r="C106" s="16" t="s">
        <v>67</v>
      </c>
      <c r="D106" s="10">
        <v>2020</v>
      </c>
      <c r="E106" s="29">
        <v>7.9602779085775378E-3</v>
      </c>
      <c r="F106" s="29">
        <v>2.0180250066675735E-2</v>
      </c>
      <c r="G106" s="29">
        <v>4.9017324812545199E-2</v>
      </c>
      <c r="H106" s="29">
        <v>0.11326208825794444</v>
      </c>
      <c r="I106" s="29">
        <v>0.2397025583805828</v>
      </c>
      <c r="J106" s="13">
        <v>0</v>
      </c>
      <c r="K106" s="33">
        <v>0.66</v>
      </c>
      <c r="L106" s="50">
        <v>4.112780726031711E-2</v>
      </c>
      <c r="M106" s="50">
        <v>5.9969466763225392E-2</v>
      </c>
      <c r="N106" s="50">
        <v>-3.3010130228036867E-4</v>
      </c>
      <c r="O106" s="50">
        <v>0</v>
      </c>
    </row>
    <row r="107" spans="1:15" ht="14.4" x14ac:dyDescent="0.3">
      <c r="A107" s="10">
        <v>361</v>
      </c>
      <c r="B107" s="39" t="s">
        <v>109</v>
      </c>
      <c r="C107" s="16" t="s">
        <v>67</v>
      </c>
      <c r="D107" s="10">
        <v>2020</v>
      </c>
      <c r="E107" s="29">
        <v>7.9602779085775378E-3</v>
      </c>
      <c r="F107" s="29">
        <v>2.0180250066675735E-2</v>
      </c>
      <c r="G107" s="29">
        <v>4.9017324812545199E-2</v>
      </c>
      <c r="H107" s="29">
        <v>0.11326208825794444</v>
      </c>
      <c r="I107" s="29">
        <v>0.2397025583805828</v>
      </c>
      <c r="J107" s="13">
        <v>0</v>
      </c>
      <c r="K107" s="33">
        <v>0.66</v>
      </c>
      <c r="L107" s="50">
        <v>0</v>
      </c>
      <c r="M107" s="50">
        <v>0</v>
      </c>
      <c r="N107" s="50">
        <v>0</v>
      </c>
      <c r="O107" s="50">
        <v>0</v>
      </c>
    </row>
    <row r="108" spans="1:15" ht="14.4" x14ac:dyDescent="0.3">
      <c r="A108" s="10">
        <v>362</v>
      </c>
      <c r="B108" s="39" t="s">
        <v>110</v>
      </c>
      <c r="C108" s="16" t="s">
        <v>67</v>
      </c>
      <c r="D108" s="10">
        <v>2020</v>
      </c>
      <c r="E108" s="29">
        <v>7.9602779085775378E-3</v>
      </c>
      <c r="F108" s="29">
        <v>2.0180250066675735E-2</v>
      </c>
      <c r="G108" s="29">
        <v>4.9017324812545199E-2</v>
      </c>
      <c r="H108" s="29">
        <v>0.11326208825794444</v>
      </c>
      <c r="I108" s="29">
        <v>0.2397025583805828</v>
      </c>
      <c r="J108" s="13">
        <v>0</v>
      </c>
      <c r="K108" s="33">
        <v>0.66</v>
      </c>
      <c r="L108" s="50">
        <v>0</v>
      </c>
      <c r="M108" s="50">
        <v>0</v>
      </c>
      <c r="N108" s="50">
        <v>0</v>
      </c>
      <c r="O108" s="50">
        <v>0</v>
      </c>
    </row>
    <row r="109" spans="1:15" ht="14.4" x14ac:dyDescent="0.3">
      <c r="A109" s="10">
        <v>363</v>
      </c>
      <c r="B109" s="39" t="s">
        <v>111</v>
      </c>
      <c r="C109" s="16" t="s">
        <v>67</v>
      </c>
      <c r="D109" s="10">
        <v>2020</v>
      </c>
      <c r="E109" s="29">
        <v>7.9602779085775378E-3</v>
      </c>
      <c r="F109" s="29">
        <v>2.0180250066675735E-2</v>
      </c>
      <c r="G109" s="29">
        <v>4.9017324812545199E-2</v>
      </c>
      <c r="H109" s="29">
        <v>0.11326208825794444</v>
      </c>
      <c r="I109" s="29">
        <v>0.2397025583805828</v>
      </c>
      <c r="J109" s="13">
        <v>0</v>
      </c>
      <c r="K109" s="33">
        <v>0.66</v>
      </c>
      <c r="L109" s="50">
        <v>0</v>
      </c>
      <c r="M109" s="50">
        <v>0</v>
      </c>
      <c r="N109" s="50">
        <v>0</v>
      </c>
      <c r="O109" s="50">
        <v>0</v>
      </c>
    </row>
    <row r="110" spans="1:15" ht="14.4" x14ac:dyDescent="0.3">
      <c r="A110" s="10">
        <v>576.09999999999991</v>
      </c>
      <c r="B110" s="39" t="s">
        <v>168</v>
      </c>
      <c r="C110" s="16" t="s">
        <v>114</v>
      </c>
      <c r="D110" s="10">
        <v>2023</v>
      </c>
      <c r="E110" s="29">
        <v>9.1225633983798085E-2</v>
      </c>
      <c r="F110" s="29">
        <v>0.11626304453268299</v>
      </c>
      <c r="G110" s="29">
        <v>0.14411915301521333</v>
      </c>
      <c r="H110" s="29">
        <v>0.17378559429490004</v>
      </c>
      <c r="I110" s="29">
        <v>0.20394472448844961</v>
      </c>
      <c r="J110" s="15">
        <v>0</v>
      </c>
      <c r="K110" s="33">
        <v>0.66</v>
      </c>
      <c r="L110" s="50">
        <v>16.461495819268414</v>
      </c>
      <c r="M110" s="50">
        <v>0.69402010079228393</v>
      </c>
      <c r="N110" s="50">
        <v>-0.18837688450076276</v>
      </c>
      <c r="O110" s="50">
        <v>0</v>
      </c>
    </row>
    <row r="111" spans="1:15" ht="14.4" x14ac:dyDescent="0.3">
      <c r="A111" s="10">
        <v>576.20000000000005</v>
      </c>
      <c r="B111" s="39" t="s">
        <v>122</v>
      </c>
      <c r="C111" s="16" t="s">
        <v>114</v>
      </c>
      <c r="D111" s="10">
        <v>2023</v>
      </c>
      <c r="E111" s="29">
        <v>9.1225633983798085E-2</v>
      </c>
      <c r="F111" s="29">
        <v>0.11626304453268299</v>
      </c>
      <c r="G111" s="29">
        <v>0.14411915301521333</v>
      </c>
      <c r="H111" s="29">
        <v>0.17378559429490004</v>
      </c>
      <c r="I111" s="29">
        <v>0.20394472448844961</v>
      </c>
      <c r="J111" s="52" t="e">
        <v>#VALUE!</v>
      </c>
      <c r="K111" s="52" t="e">
        <v>#VALUE!</v>
      </c>
      <c r="L111" s="50">
        <v>60.561515938183831</v>
      </c>
      <c r="M111" s="50">
        <v>2.0655360142627499</v>
      </c>
      <c r="N111" s="50">
        <v>-0.41310720285254998</v>
      </c>
      <c r="O111" s="50">
        <v>0</v>
      </c>
    </row>
    <row r="112" spans="1:15" ht="14.4" x14ac:dyDescent="0.3">
      <c r="A112" s="10">
        <v>576.29999999999973</v>
      </c>
      <c r="B112" s="39" t="s">
        <v>167</v>
      </c>
      <c r="C112" s="16" t="s">
        <v>114</v>
      </c>
      <c r="D112" s="10">
        <v>2023</v>
      </c>
      <c r="E112" s="29">
        <v>9.1225633983798085E-2</v>
      </c>
      <c r="F112" s="29">
        <v>0.11626304453268299</v>
      </c>
      <c r="G112" s="29">
        <v>0.14411915301521333</v>
      </c>
      <c r="H112" s="29">
        <v>0.17378559429490004</v>
      </c>
      <c r="I112" s="29">
        <v>0.20394472448844961</v>
      </c>
      <c r="J112" s="47">
        <v>0</v>
      </c>
      <c r="K112" s="48">
        <v>0.66</v>
      </c>
      <c r="L112" s="50">
        <v>0.29214941385732335</v>
      </c>
      <c r="M112" s="50">
        <v>3.4701005039614201E-2</v>
      </c>
      <c r="N112" s="50">
        <v>0</v>
      </c>
      <c r="O112" s="50">
        <v>0</v>
      </c>
    </row>
    <row r="113" spans="1:15" ht="14.4" x14ac:dyDescent="0.3">
      <c r="A113" s="10">
        <v>576.40000000000009</v>
      </c>
      <c r="B113" s="39" t="s">
        <v>121</v>
      </c>
      <c r="C113" s="16" t="s">
        <v>114</v>
      </c>
      <c r="D113" s="10">
        <v>2023</v>
      </c>
      <c r="E113" s="29">
        <v>9.1225633983798085E-2</v>
      </c>
      <c r="F113" s="29">
        <v>0.11626304453268299</v>
      </c>
      <c r="G113" s="29">
        <v>0.14411915301521333</v>
      </c>
      <c r="H113" s="29">
        <v>0.17378559429490004</v>
      </c>
      <c r="I113" s="29">
        <v>0.20394472448844961</v>
      </c>
      <c r="J113" s="52" t="e">
        <v>#VALUE!</v>
      </c>
      <c r="K113" s="52" t="e">
        <v>#VALUE!</v>
      </c>
      <c r="L113" s="50">
        <v>0.99145728684611989</v>
      </c>
      <c r="M113" s="50">
        <v>8.2621440570510005E-2</v>
      </c>
      <c r="N113" s="50">
        <v>0</v>
      </c>
      <c r="O113" s="50">
        <v>0</v>
      </c>
    </row>
    <row r="114" spans="1:15" ht="14.4" x14ac:dyDescent="0.3">
      <c r="A114" s="10">
        <v>576.5</v>
      </c>
      <c r="B114" s="39" t="s">
        <v>166</v>
      </c>
      <c r="C114" s="16" t="s">
        <v>114</v>
      </c>
      <c r="D114" s="10">
        <v>2023</v>
      </c>
      <c r="E114" s="29">
        <v>9.1225633983798085E-2</v>
      </c>
      <c r="F114" s="29">
        <v>0.11626304453268299</v>
      </c>
      <c r="G114" s="29">
        <v>0.14411915301521333</v>
      </c>
      <c r="H114" s="29">
        <v>0.17378559429490004</v>
      </c>
      <c r="I114" s="29">
        <v>0.20394472448844961</v>
      </c>
      <c r="J114" s="47">
        <v>0</v>
      </c>
      <c r="K114" s="48">
        <v>0.66</v>
      </c>
      <c r="L114" s="50">
        <v>13.989462317398752</v>
      </c>
      <c r="M114" s="50">
        <v>0.76342211087151235</v>
      </c>
      <c r="N114" s="50">
        <v>-0.18837688450076276</v>
      </c>
      <c r="O114" s="50">
        <v>0</v>
      </c>
    </row>
    <row r="115" spans="1:15" ht="14.4" x14ac:dyDescent="0.3">
      <c r="A115" s="10">
        <v>576.59999999999991</v>
      </c>
      <c r="B115" s="39" t="s">
        <v>120</v>
      </c>
      <c r="C115" s="16" t="s">
        <v>114</v>
      </c>
      <c r="D115" s="10">
        <v>2023</v>
      </c>
      <c r="E115" s="29">
        <v>9.1225633983798085E-2</v>
      </c>
      <c r="F115" s="29">
        <v>0.11626304453268299</v>
      </c>
      <c r="G115" s="29">
        <v>0.14411915301521333</v>
      </c>
      <c r="H115" s="29">
        <v>0.17378559429490004</v>
      </c>
      <c r="I115" s="29">
        <v>0.20394472448844961</v>
      </c>
      <c r="J115" s="52" t="e">
        <v>#VALUE!</v>
      </c>
      <c r="K115" s="52" t="e">
        <v>#VALUE!</v>
      </c>
      <c r="L115" s="50">
        <v>33.29644054991553</v>
      </c>
      <c r="M115" s="50">
        <v>1.4045644896986698</v>
      </c>
      <c r="N115" s="50">
        <v>-0.33048576228203996</v>
      </c>
      <c r="O115" s="50">
        <v>0</v>
      </c>
    </row>
    <row r="116" spans="1:15" ht="14.4" x14ac:dyDescent="0.3">
      <c r="A116" s="10">
        <v>577.09999999999991</v>
      </c>
      <c r="B116" s="39" t="s">
        <v>140</v>
      </c>
      <c r="C116" s="16" t="s">
        <v>114</v>
      </c>
      <c r="D116" s="10">
        <v>2023</v>
      </c>
      <c r="E116" s="29">
        <v>0.21149500382759368</v>
      </c>
      <c r="F116" s="29">
        <v>0.34748078673910304</v>
      </c>
      <c r="G116" s="29">
        <v>0.46006650926621345</v>
      </c>
      <c r="H116" s="29">
        <v>0.54942412388501716</v>
      </c>
      <c r="I116" s="29">
        <v>0.61799812480958682</v>
      </c>
      <c r="J116" s="55">
        <v>0.16141790351166863</v>
      </c>
      <c r="K116" s="55">
        <v>0.21149500382759368</v>
      </c>
      <c r="L116" s="50">
        <v>0.31540311328048798</v>
      </c>
      <c r="M116" s="50">
        <v>0</v>
      </c>
      <c r="N116" s="50">
        <v>0</v>
      </c>
      <c r="O116" s="50">
        <v>0</v>
      </c>
    </row>
    <row r="117" spans="1:15" ht="14.4" x14ac:dyDescent="0.3">
      <c r="A117" s="10">
        <v>577.20000000000005</v>
      </c>
      <c r="B117" s="39" t="s">
        <v>123</v>
      </c>
      <c r="C117" s="16" t="s">
        <v>114</v>
      </c>
      <c r="D117" s="10">
        <v>2023</v>
      </c>
      <c r="E117" s="29">
        <v>0.21149500382759368</v>
      </c>
      <c r="F117" s="29">
        <v>0.34748078673910304</v>
      </c>
      <c r="G117" s="29">
        <v>0.46006650926621345</v>
      </c>
      <c r="H117" s="29">
        <v>0.54942412388501716</v>
      </c>
      <c r="I117" s="29">
        <v>0.61799812480958682</v>
      </c>
      <c r="J117" s="52" t="e">
        <v>#VALUE!</v>
      </c>
      <c r="K117" s="52" t="e">
        <v>#VALUE!</v>
      </c>
      <c r="L117" s="50">
        <v>0.67586381417247432</v>
      </c>
      <c r="M117" s="50">
        <v>4.5057587611498286E-2</v>
      </c>
      <c r="N117" s="50">
        <v>0</v>
      </c>
      <c r="O117" s="50">
        <v>0</v>
      </c>
    </row>
    <row r="118" spans="1:15" ht="14.4" x14ac:dyDescent="0.3">
      <c r="A118" s="10">
        <v>577.59999999999991</v>
      </c>
      <c r="B118" s="39" t="s">
        <v>126</v>
      </c>
      <c r="C118" s="16" t="s">
        <v>114</v>
      </c>
      <c r="D118" s="10">
        <v>2023</v>
      </c>
      <c r="E118" s="29">
        <v>0.21149500382759368</v>
      </c>
      <c r="F118" s="29">
        <v>0.34748078673910304</v>
      </c>
      <c r="G118" s="29">
        <v>0.46006650926621345</v>
      </c>
      <c r="H118" s="29">
        <v>0.54942412388501716</v>
      </c>
      <c r="I118" s="29">
        <v>0.61799812480958682</v>
      </c>
      <c r="J118" s="52" t="e">
        <v>#VALUE!</v>
      </c>
      <c r="K118" s="52" t="e">
        <v>#VALUE!</v>
      </c>
      <c r="L118" s="50">
        <v>2.8386280195243918</v>
      </c>
      <c r="M118" s="50">
        <v>0.36046070089198623</v>
      </c>
      <c r="N118" s="50">
        <v>0</v>
      </c>
      <c r="O118" s="50">
        <v>-1.6220731540139385E-3</v>
      </c>
    </row>
    <row r="119" spans="1:15" ht="14.4" x14ac:dyDescent="0.3">
      <c r="A119" s="10">
        <v>578.09999999999991</v>
      </c>
      <c r="B119" s="39" t="s">
        <v>170</v>
      </c>
      <c r="C119" s="16" t="s">
        <v>114</v>
      </c>
      <c r="D119" s="10">
        <v>2023</v>
      </c>
      <c r="E119" s="29">
        <v>0.23564304366316421</v>
      </c>
      <c r="F119" s="29">
        <v>0.33433881118507702</v>
      </c>
      <c r="G119" s="29">
        <v>0.44076337429416912</v>
      </c>
      <c r="H119" s="29">
        <v>0.54102692298146149</v>
      </c>
      <c r="I119" s="29">
        <v>0.62416297698332546</v>
      </c>
      <c r="J119" s="47">
        <v>0</v>
      </c>
      <c r="K119" s="48">
        <v>0.66</v>
      </c>
      <c r="L119" s="50">
        <v>-9.1794615403707702E-2</v>
      </c>
      <c r="M119" s="50">
        <v>0</v>
      </c>
      <c r="N119" s="50">
        <v>0.41307576931668466</v>
      </c>
      <c r="O119" s="50">
        <v>0</v>
      </c>
    </row>
    <row r="120" spans="1:15" ht="14.4" x14ac:dyDescent="0.3">
      <c r="A120" s="10">
        <v>578.20000000000005</v>
      </c>
      <c r="B120" s="39" t="s">
        <v>141</v>
      </c>
      <c r="C120" s="16" t="s">
        <v>114</v>
      </c>
      <c r="D120" s="10">
        <v>2023</v>
      </c>
      <c r="E120" s="29">
        <v>0.23564304366316421</v>
      </c>
      <c r="F120" s="29">
        <v>0.33433881118507702</v>
      </c>
      <c r="G120" s="29">
        <v>0.44076337429416912</v>
      </c>
      <c r="H120" s="29">
        <v>0.54102692298146149</v>
      </c>
      <c r="I120" s="29">
        <v>0.62416297698332546</v>
      </c>
      <c r="J120" s="47">
        <v>0</v>
      </c>
      <c r="K120" s="48">
        <v>0.66</v>
      </c>
      <c r="L120" s="50">
        <v>-4.5897307701853851E-2</v>
      </c>
      <c r="M120" s="50">
        <v>0</v>
      </c>
      <c r="N120" s="50">
        <v>0.13769192310556155</v>
      </c>
      <c r="O120" s="50">
        <v>0</v>
      </c>
    </row>
    <row r="121" spans="1:15" ht="14.4" x14ac:dyDescent="0.3">
      <c r="A121" s="10">
        <v>578.29999999999995</v>
      </c>
      <c r="B121" s="39" t="s">
        <v>171</v>
      </c>
      <c r="C121" s="16" t="s">
        <v>114</v>
      </c>
      <c r="D121" s="10">
        <v>2023</v>
      </c>
      <c r="E121" s="29">
        <v>0.23564304366316421</v>
      </c>
      <c r="F121" s="29">
        <v>0.33433881118507702</v>
      </c>
      <c r="G121" s="29">
        <v>0.44076337429416912</v>
      </c>
      <c r="H121" s="29">
        <v>0.54102692298146149</v>
      </c>
      <c r="I121" s="29">
        <v>0.62416297698332546</v>
      </c>
      <c r="J121" s="47">
        <v>0</v>
      </c>
      <c r="K121" s="48">
        <v>0.66</v>
      </c>
      <c r="L121" s="50">
        <v>98.679211558985784</v>
      </c>
      <c r="M121" s="50">
        <v>6.7469042321725166</v>
      </c>
      <c r="N121" s="50">
        <v>0</v>
      </c>
      <c r="O121" s="50">
        <v>0</v>
      </c>
    </row>
    <row r="122" spans="1:15" ht="14.4" x14ac:dyDescent="0.3">
      <c r="A122" s="10">
        <v>578.40000000000009</v>
      </c>
      <c r="B122" s="39" t="s">
        <v>169</v>
      </c>
      <c r="C122" s="16" t="s">
        <v>114</v>
      </c>
      <c r="D122" s="10">
        <v>2023</v>
      </c>
      <c r="E122" s="29">
        <v>0.23564304366316421</v>
      </c>
      <c r="F122" s="29">
        <v>0.33433881118507702</v>
      </c>
      <c r="G122" s="29">
        <v>0.44076337429416912</v>
      </c>
      <c r="H122" s="29">
        <v>0.54102692298146149</v>
      </c>
      <c r="I122" s="29">
        <v>0.62416297698332546</v>
      </c>
      <c r="J122" s="47">
        <v>0</v>
      </c>
      <c r="K122" s="48">
        <v>0.66</v>
      </c>
      <c r="L122" s="50">
        <v>36.21297577676269</v>
      </c>
      <c r="M122" s="50">
        <v>2.7997357698130849</v>
      </c>
      <c r="N122" s="50">
        <v>0</v>
      </c>
      <c r="O122" s="50">
        <v>0</v>
      </c>
    </row>
    <row r="123" spans="1:15" ht="14.4" x14ac:dyDescent="0.3">
      <c r="A123" s="10">
        <v>579.09999999999991</v>
      </c>
      <c r="B123" s="39" t="s">
        <v>175</v>
      </c>
      <c r="C123" s="16" t="s">
        <v>114</v>
      </c>
      <c r="D123" s="10">
        <v>2023</v>
      </c>
      <c r="E123" s="29">
        <v>3.0219444063013783E-3</v>
      </c>
      <c r="F123" s="29">
        <v>8.2618201851089677E-3</v>
      </c>
      <c r="G123" s="29">
        <v>2.0900531697547544E-2</v>
      </c>
      <c r="H123" s="29">
        <v>5.0531004553289037E-2</v>
      </c>
      <c r="I123" s="29">
        <v>0.11559856922131279</v>
      </c>
      <c r="J123" s="47">
        <v>0</v>
      </c>
      <c r="K123" s="48">
        <v>0.66</v>
      </c>
      <c r="L123" s="50">
        <v>8.1544195204945336</v>
      </c>
      <c r="M123" s="50">
        <v>0.13558417254979033</v>
      </c>
      <c r="N123" s="50">
        <v>-8.6591572384740023E-2</v>
      </c>
      <c r="O123" s="50">
        <v>0</v>
      </c>
    </row>
    <row r="124" spans="1:15" ht="14.4" x14ac:dyDescent="0.3">
      <c r="A124" s="10">
        <v>579.20000000000005</v>
      </c>
      <c r="B124" s="39" t="s">
        <v>124</v>
      </c>
      <c r="C124" s="16" t="s">
        <v>114</v>
      </c>
      <c r="D124" s="10">
        <v>2023</v>
      </c>
      <c r="E124" s="29">
        <v>3.0219444063013783E-3</v>
      </c>
      <c r="F124" s="29">
        <v>8.2618201851089677E-3</v>
      </c>
      <c r="G124" s="29">
        <v>2.0900531697547544E-2</v>
      </c>
      <c r="H124" s="29">
        <v>5.0531004553289037E-2</v>
      </c>
      <c r="I124" s="29">
        <v>0.11559856922131279</v>
      </c>
      <c r="J124" s="52" t="e">
        <v>#VALUE!</v>
      </c>
      <c r="K124" s="52" t="e">
        <v>#VALUE!</v>
      </c>
      <c r="L124" s="50">
        <v>40.703735834800497</v>
      </c>
      <c r="M124" s="50">
        <v>0.5791760872224937</v>
      </c>
      <c r="N124" s="50">
        <v>-0.24686193881614479</v>
      </c>
      <c r="O124" s="50">
        <v>0</v>
      </c>
    </row>
    <row r="125" spans="1:15" ht="14.4" x14ac:dyDescent="0.3">
      <c r="A125" s="10">
        <v>579.29999999999995</v>
      </c>
      <c r="B125" s="39" t="s">
        <v>176</v>
      </c>
      <c r="C125" s="16" t="s">
        <v>114</v>
      </c>
      <c r="D125" s="10">
        <v>2023</v>
      </c>
      <c r="E125" s="29">
        <v>3.0219444063013783E-3</v>
      </c>
      <c r="F125" s="29">
        <v>8.2618201851089677E-3</v>
      </c>
      <c r="G125" s="29">
        <v>2.0900531697547544E-2</v>
      </c>
      <c r="H125" s="29">
        <v>5.0531004553289037E-2</v>
      </c>
      <c r="I125" s="29">
        <v>0.11559856922131279</v>
      </c>
      <c r="J125" s="47">
        <v>0</v>
      </c>
      <c r="K125" s="48">
        <v>0.66</v>
      </c>
      <c r="L125" s="50">
        <v>0</v>
      </c>
      <c r="M125" s="50">
        <v>0</v>
      </c>
      <c r="N125" s="50">
        <v>0</v>
      </c>
      <c r="O125" s="50">
        <v>0</v>
      </c>
    </row>
    <row r="126" spans="1:15" ht="14.4" x14ac:dyDescent="0.3">
      <c r="A126" s="10">
        <v>579.40000000000009</v>
      </c>
      <c r="B126" s="39" t="s">
        <v>125</v>
      </c>
      <c r="C126" s="16" t="s">
        <v>114</v>
      </c>
      <c r="D126" s="10">
        <v>2023</v>
      </c>
      <c r="E126" s="29">
        <v>3.0219444063013783E-3</v>
      </c>
      <c r="F126" s="29">
        <v>8.2618201851089677E-3</v>
      </c>
      <c r="G126" s="29">
        <v>2.0900531697547544E-2</v>
      </c>
      <c r="H126" s="29">
        <v>5.0531004553289037E-2</v>
      </c>
      <c r="I126" s="29">
        <v>0.11559856922131279</v>
      </c>
      <c r="J126" s="52" t="e">
        <v>#VALUE!</v>
      </c>
      <c r="K126" s="52" t="e">
        <v>#VALUE!</v>
      </c>
      <c r="L126" s="50">
        <v>0</v>
      </c>
      <c r="M126" s="50">
        <v>0</v>
      </c>
      <c r="N126" s="50">
        <v>0</v>
      </c>
      <c r="O126" s="50">
        <v>0</v>
      </c>
    </row>
    <row r="127" spans="1:15" ht="14.4" x14ac:dyDescent="0.3">
      <c r="A127" s="10">
        <v>580.09999999999991</v>
      </c>
      <c r="B127" s="39" t="s">
        <v>149</v>
      </c>
      <c r="C127" s="16" t="s">
        <v>114</v>
      </c>
      <c r="D127" s="10">
        <v>2023</v>
      </c>
      <c r="E127" s="29">
        <v>0.15878322850765364</v>
      </c>
      <c r="F127" s="29">
        <v>0.24906765480664969</v>
      </c>
      <c r="G127" s="29">
        <v>0.33933457769337305</v>
      </c>
      <c r="H127" s="29">
        <v>0.40891096172395391</v>
      </c>
      <c r="I127" s="29">
        <v>0.45254603369932805</v>
      </c>
      <c r="J127" s="47">
        <v>0</v>
      </c>
      <c r="K127" s="48">
        <v>0.66</v>
      </c>
      <c r="L127" s="50">
        <v>1.4580919110408893E-2</v>
      </c>
      <c r="M127" s="50">
        <v>6.5913313038887837E-3</v>
      </c>
      <c r="N127" s="50">
        <v>3.8364771161964194E-4</v>
      </c>
      <c r="O127" s="50">
        <v>0</v>
      </c>
    </row>
    <row r="128" spans="1:15" ht="14.4" x14ac:dyDescent="0.3">
      <c r="A128" s="10">
        <v>580.19999999999982</v>
      </c>
      <c r="B128" s="39" t="s">
        <v>148</v>
      </c>
      <c r="C128" s="16" t="s">
        <v>114</v>
      </c>
      <c r="D128" s="10">
        <v>2023</v>
      </c>
      <c r="E128" s="29">
        <v>2.7135165639867991E-2</v>
      </c>
      <c r="F128" s="29">
        <v>5.9066399810517638E-2</v>
      </c>
      <c r="G128" s="29">
        <v>0.11292732545298059</v>
      </c>
      <c r="H128" s="29">
        <v>0.17930884682287559</v>
      </c>
      <c r="I128" s="29">
        <v>0.23556389139776396</v>
      </c>
      <c r="J128" s="47">
        <v>0</v>
      </c>
      <c r="K128" s="48">
        <v>0.66</v>
      </c>
      <c r="L128" s="50">
        <v>50.883322349195062</v>
      </c>
      <c r="M128" s="50">
        <v>28.957909150555345</v>
      </c>
      <c r="N128" s="50">
        <v>-1.7446044017784803</v>
      </c>
      <c r="O128" s="50">
        <v>0</v>
      </c>
    </row>
    <row r="129" spans="1:15" ht="14.4" x14ac:dyDescent="0.3">
      <c r="A129" s="10">
        <v>580.29999999999973</v>
      </c>
      <c r="B129" s="39" t="s">
        <v>147</v>
      </c>
      <c r="C129" s="16" t="s">
        <v>114</v>
      </c>
      <c r="D129" s="10">
        <v>2023</v>
      </c>
      <c r="E129" s="29">
        <v>6.3250881967408648E-2</v>
      </c>
      <c r="F129" s="29">
        <v>9.8656383784730475E-2</v>
      </c>
      <c r="G129" s="29">
        <v>0.14651913859475066</v>
      </c>
      <c r="H129" s="29">
        <v>0.20523442268059827</v>
      </c>
      <c r="I129" s="29">
        <v>0.26925396651662642</v>
      </c>
      <c r="J129" s="47">
        <v>0</v>
      </c>
      <c r="K129" s="48">
        <v>0.66</v>
      </c>
      <c r="L129" s="50">
        <v>37.605742636061706</v>
      </c>
      <c r="M129" s="50">
        <v>11.367400394451909</v>
      </c>
      <c r="N129" s="50">
        <v>1.7002290915127767</v>
      </c>
      <c r="O129" s="50">
        <v>0</v>
      </c>
    </row>
    <row r="130" spans="1:15" ht="14.4" x14ac:dyDescent="0.3">
      <c r="A130" s="10">
        <v>580.39999999999964</v>
      </c>
      <c r="B130" s="39" t="s">
        <v>146</v>
      </c>
      <c r="C130" s="16" t="s">
        <v>114</v>
      </c>
      <c r="D130" s="10">
        <v>2023</v>
      </c>
      <c r="E130" s="29">
        <v>2.0884658536968075E-2</v>
      </c>
      <c r="F130" s="29">
        <v>3.4700538091549896E-2</v>
      </c>
      <c r="G130" s="29">
        <v>5.6594303957075529E-2</v>
      </c>
      <c r="H130" s="29">
        <v>9.024293374066121E-2</v>
      </c>
      <c r="I130" s="29">
        <v>0.13959957191695158</v>
      </c>
      <c r="J130" s="47">
        <v>0</v>
      </c>
      <c r="K130" s="48">
        <v>0.66</v>
      </c>
      <c r="L130" s="50">
        <v>9.3750623369124533</v>
      </c>
      <c r="M130" s="50">
        <v>7.0693584921187921E-2</v>
      </c>
      <c r="N130" s="50">
        <v>0</v>
      </c>
      <c r="O130" s="50">
        <v>0</v>
      </c>
    </row>
    <row r="131" spans="1:15" ht="14.4" x14ac:dyDescent="0.3">
      <c r="A131" s="10">
        <v>580.59999999999945</v>
      </c>
      <c r="B131" s="39" t="s">
        <v>145</v>
      </c>
      <c r="C131" s="16" t="s">
        <v>114</v>
      </c>
      <c r="D131" s="10">
        <v>2023</v>
      </c>
      <c r="E131" s="29">
        <v>0.25942476519712032</v>
      </c>
      <c r="F131" s="29">
        <v>0.3399164039821097</v>
      </c>
      <c r="G131" s="29">
        <v>0.40322454166570865</v>
      </c>
      <c r="H131" s="29">
        <v>0.44542410863348492</v>
      </c>
      <c r="I131" s="29">
        <v>0.47054066662616623</v>
      </c>
      <c r="J131" s="47">
        <v>0</v>
      </c>
      <c r="K131" s="48">
        <v>0.66</v>
      </c>
      <c r="L131" s="50">
        <v>2.3175844959657921</v>
      </c>
      <c r="M131" s="50">
        <v>1.4310315083424823</v>
      </c>
      <c r="N131" s="50">
        <v>0.15895888437860162</v>
      </c>
      <c r="O131" s="50">
        <v>0</v>
      </c>
    </row>
    <row r="132" spans="1:15" ht="14.4" x14ac:dyDescent="0.3">
      <c r="A132" s="10">
        <v>580.69999999999936</v>
      </c>
      <c r="B132" s="39" t="s">
        <v>144</v>
      </c>
      <c r="C132" s="16" t="s">
        <v>114</v>
      </c>
      <c r="D132" s="10">
        <v>2023</v>
      </c>
      <c r="E132" s="29">
        <v>7.6925998632648138E-2</v>
      </c>
      <c r="F132" s="29">
        <v>0.10162200100720975</v>
      </c>
      <c r="G132" s="29">
        <v>0.12777116265120977</v>
      </c>
      <c r="H132" s="29">
        <v>0.15331734896164109</v>
      </c>
      <c r="I132" s="29">
        <v>0.17638518616352825</v>
      </c>
      <c r="J132" s="47">
        <v>0</v>
      </c>
      <c r="K132" s="48">
        <v>0.66</v>
      </c>
      <c r="L132" s="50">
        <v>0.18172432613924067</v>
      </c>
      <c r="M132" s="50">
        <v>0.1230701776649322</v>
      </c>
      <c r="N132" s="50">
        <v>1.0751458262682373E-2</v>
      </c>
      <c r="O132" s="50">
        <v>0</v>
      </c>
    </row>
    <row r="133" spans="1:15" ht="14.4" x14ac:dyDescent="0.3">
      <c r="A133" s="10">
        <v>580.79999999999995</v>
      </c>
      <c r="B133" s="39" t="s">
        <v>143</v>
      </c>
      <c r="C133" s="16" t="s">
        <v>114</v>
      </c>
      <c r="D133" s="10">
        <v>2023</v>
      </c>
      <c r="E133" s="29">
        <v>2.5261118045503426E-2</v>
      </c>
      <c r="F133" s="29">
        <v>4.9092599849220549E-2</v>
      </c>
      <c r="G133" s="29">
        <v>8.8039075501102196E-2</v>
      </c>
      <c r="H133" s="29">
        <v>0.14048735513506874</v>
      </c>
      <c r="I133" s="29">
        <v>0.19534331798799354</v>
      </c>
      <c r="J133" s="47">
        <v>0</v>
      </c>
      <c r="K133" s="48">
        <v>0.66</v>
      </c>
      <c r="L133" s="50">
        <v>6.4439332164649876</v>
      </c>
      <c r="M133" s="50">
        <v>3.988934686847462</v>
      </c>
      <c r="N133" s="50">
        <v>-2.8318566451030661E-2</v>
      </c>
      <c r="O133" s="50">
        <v>0</v>
      </c>
    </row>
    <row r="134" spans="1:15" ht="14.4" x14ac:dyDescent="0.3">
      <c r="A134" s="10">
        <v>580.89999999999918</v>
      </c>
      <c r="B134" s="39" t="s">
        <v>142</v>
      </c>
      <c r="C134" s="16" t="s">
        <v>114</v>
      </c>
      <c r="D134" s="10">
        <v>2023</v>
      </c>
      <c r="E134" s="29">
        <v>1.4805164746079085E-2</v>
      </c>
      <c r="F134" s="29">
        <v>1.7376948837548891E-2</v>
      </c>
      <c r="G134" s="29">
        <v>1.9995806196253928E-2</v>
      </c>
      <c r="H134" s="29">
        <v>2.2654234845925037E-2</v>
      </c>
      <c r="I134" s="29">
        <v>2.5344241897104151E-2</v>
      </c>
      <c r="J134" s="47">
        <v>0</v>
      </c>
      <c r="K134" s="48">
        <v>0.66</v>
      </c>
      <c r="L134" s="50">
        <v>7.3201880668527064</v>
      </c>
      <c r="M134" s="50">
        <v>3.3457772124837128</v>
      </c>
      <c r="N134" s="50">
        <v>0.41028512652632443</v>
      </c>
      <c r="O134" s="50">
        <v>0</v>
      </c>
    </row>
    <row r="135" spans="1:15" ht="14.4" x14ac:dyDescent="0.3">
      <c r="A135" s="10">
        <v>581.09999999999991</v>
      </c>
      <c r="B135" s="39" t="s">
        <v>179</v>
      </c>
      <c r="C135" s="16" t="s">
        <v>114</v>
      </c>
      <c r="D135" s="10">
        <v>2023</v>
      </c>
      <c r="E135" s="29">
        <v>0.23031931843240838</v>
      </c>
      <c r="F135" s="29">
        <v>0.31128579650781907</v>
      </c>
      <c r="G135" s="29">
        <v>0.38831959385911841</v>
      </c>
      <c r="H135" s="29">
        <v>0.45200634575415088</v>
      </c>
      <c r="I135" s="29">
        <v>0.49882122105158533</v>
      </c>
      <c r="J135" s="47">
        <v>0</v>
      </c>
      <c r="K135" s="48">
        <v>0.66</v>
      </c>
      <c r="L135" s="50">
        <v>0</v>
      </c>
      <c r="M135" s="50">
        <v>0</v>
      </c>
      <c r="N135" s="50">
        <v>0.20615521272728843</v>
      </c>
      <c r="O135" s="50">
        <v>0</v>
      </c>
    </row>
    <row r="136" spans="1:15" ht="14.4" x14ac:dyDescent="0.3">
      <c r="A136" s="10">
        <v>581.19999999999982</v>
      </c>
      <c r="B136" s="39" t="s">
        <v>178</v>
      </c>
      <c r="C136" s="16" t="s">
        <v>114</v>
      </c>
      <c r="D136" s="10">
        <v>2023</v>
      </c>
      <c r="E136" s="29">
        <v>0.23031931843240838</v>
      </c>
      <c r="F136" s="29">
        <v>0.31128579650781907</v>
      </c>
      <c r="G136" s="29">
        <v>0.38831959385911841</v>
      </c>
      <c r="H136" s="29">
        <v>0.45200634575415088</v>
      </c>
      <c r="I136" s="29">
        <v>0.49882122105158533</v>
      </c>
      <c r="J136" s="47">
        <v>0</v>
      </c>
      <c r="K136" s="48">
        <v>0.66</v>
      </c>
      <c r="L136" s="50">
        <v>0</v>
      </c>
      <c r="M136" s="50">
        <v>0</v>
      </c>
      <c r="N136" s="50">
        <v>1.3062743933720002E-2</v>
      </c>
      <c r="O136" s="50">
        <v>0</v>
      </c>
    </row>
    <row r="137" spans="1:15" ht="14.4" x14ac:dyDescent="0.3">
      <c r="A137" s="10">
        <v>581.29999999999995</v>
      </c>
      <c r="B137" s="39" t="s">
        <v>150</v>
      </c>
      <c r="C137" s="16" t="s">
        <v>114</v>
      </c>
      <c r="D137" s="10">
        <v>2023</v>
      </c>
      <c r="E137" s="29">
        <v>0.23031931843240838</v>
      </c>
      <c r="F137" s="29">
        <v>0.31128579650781907</v>
      </c>
      <c r="G137" s="29">
        <v>0.38831959385911841</v>
      </c>
      <c r="H137" s="29">
        <v>0.45200634575415088</v>
      </c>
      <c r="I137" s="29">
        <v>0.49882122105158533</v>
      </c>
      <c r="J137" s="47">
        <v>0</v>
      </c>
      <c r="K137" s="48">
        <v>0.66</v>
      </c>
      <c r="L137" s="50">
        <v>0</v>
      </c>
      <c r="M137" s="50">
        <v>0</v>
      </c>
      <c r="N137" s="50">
        <v>8.0077843469152836E-4</v>
      </c>
      <c r="O137" s="50">
        <v>0</v>
      </c>
    </row>
    <row r="138" spans="1:15" ht="14.4" x14ac:dyDescent="0.3">
      <c r="A138" s="10">
        <v>581.40000000000009</v>
      </c>
      <c r="B138" s="39" t="s">
        <v>173</v>
      </c>
      <c r="C138" s="16" t="s">
        <v>114</v>
      </c>
      <c r="D138" s="10">
        <v>2023</v>
      </c>
      <c r="E138" s="29">
        <v>0.23031931843240838</v>
      </c>
      <c r="F138" s="29">
        <v>0.31128579650781907</v>
      </c>
      <c r="G138" s="29">
        <v>0.38831959385911841</v>
      </c>
      <c r="H138" s="29">
        <v>0.45200634575415088</v>
      </c>
      <c r="I138" s="29">
        <v>0.49882122105158533</v>
      </c>
      <c r="J138" s="15">
        <v>0</v>
      </c>
      <c r="K138" s="33">
        <v>0.66</v>
      </c>
      <c r="L138" s="50">
        <v>0</v>
      </c>
      <c r="M138" s="50">
        <v>0</v>
      </c>
      <c r="N138" s="50">
        <v>1.6439809627375474E-2</v>
      </c>
      <c r="O138" s="50">
        <v>0</v>
      </c>
    </row>
    <row r="139" spans="1:15" ht="14.4" x14ac:dyDescent="0.3">
      <c r="A139" s="10">
        <v>581.5</v>
      </c>
      <c r="B139" s="39" t="s">
        <v>172</v>
      </c>
      <c r="C139" s="16" t="s">
        <v>114</v>
      </c>
      <c r="D139" s="10">
        <v>2023</v>
      </c>
      <c r="E139" s="29">
        <v>0.23031931843240838</v>
      </c>
      <c r="F139" s="29">
        <v>0.31128579650781907</v>
      </c>
      <c r="G139" s="29">
        <v>0.38831959385911841</v>
      </c>
      <c r="H139" s="29">
        <v>0.45200634575415088</v>
      </c>
      <c r="I139" s="29">
        <v>0.49882122105158533</v>
      </c>
      <c r="J139" s="15">
        <v>0</v>
      </c>
      <c r="K139" s="33">
        <v>0.66</v>
      </c>
      <c r="L139" s="50">
        <v>0</v>
      </c>
      <c r="M139" s="50">
        <v>0</v>
      </c>
      <c r="N139" s="50">
        <v>0.32331625600505098</v>
      </c>
      <c r="O139" s="50">
        <v>0</v>
      </c>
    </row>
    <row r="140" spans="1:15" ht="14.4" x14ac:dyDescent="0.3">
      <c r="A140" s="10">
        <v>582.09999999999991</v>
      </c>
      <c r="B140" s="39" t="s">
        <v>151</v>
      </c>
      <c r="C140" s="16" t="s">
        <v>114</v>
      </c>
      <c r="D140" s="10">
        <v>2023</v>
      </c>
      <c r="E140" s="29">
        <v>5.9489740408259405E-2</v>
      </c>
      <c r="F140" s="29">
        <v>9.0197059514404571E-2</v>
      </c>
      <c r="G140" s="29">
        <v>0.13201877034363824</v>
      </c>
      <c r="H140" s="29">
        <v>0.18550632756713753</v>
      </c>
      <c r="I140" s="29">
        <v>0.24867093607808863</v>
      </c>
      <c r="J140" s="15">
        <v>0</v>
      </c>
      <c r="K140" s="33">
        <v>0.66</v>
      </c>
      <c r="L140" s="50">
        <v>-5.4489626685758488</v>
      </c>
      <c r="M140" s="50">
        <v>0</v>
      </c>
      <c r="N140" s="50">
        <v>0.57014557070300365</v>
      </c>
      <c r="O140" s="50">
        <v>0</v>
      </c>
    </row>
    <row r="141" spans="1:15" ht="14.4" x14ac:dyDescent="0.3">
      <c r="A141" s="10">
        <v>582.29999999999995</v>
      </c>
      <c r="B141" s="39" t="s">
        <v>152</v>
      </c>
      <c r="C141" s="16" t="s">
        <v>114</v>
      </c>
      <c r="D141" s="10">
        <v>2023</v>
      </c>
      <c r="E141" s="29">
        <v>3.6981875669913795E-3</v>
      </c>
      <c r="F141" s="29">
        <v>7.3882785279427675E-3</v>
      </c>
      <c r="G141" s="29">
        <v>1.4349826701162015E-2</v>
      </c>
      <c r="H141" s="29">
        <v>2.6834634621935711E-2</v>
      </c>
      <c r="I141" s="29">
        <v>4.7316783481199026E-2</v>
      </c>
      <c r="J141" s="15">
        <v>0</v>
      </c>
      <c r="K141" s="33">
        <v>0.66</v>
      </c>
      <c r="L141" s="50">
        <v>-6.1990633774582697</v>
      </c>
      <c r="M141" s="50">
        <v>-4.8269002122751994</v>
      </c>
      <c r="N141" s="50">
        <v>0.77853229230245136</v>
      </c>
      <c r="O141" s="50">
        <v>0</v>
      </c>
    </row>
    <row r="142" spans="1:15" ht="14.4" x14ac:dyDescent="0.3">
      <c r="A142" s="10">
        <v>583.20000000000005</v>
      </c>
      <c r="B142" s="39" t="s">
        <v>153</v>
      </c>
      <c r="C142" s="16" t="s">
        <v>114</v>
      </c>
      <c r="D142" s="10">
        <v>2023</v>
      </c>
      <c r="E142" s="29">
        <v>8.9048376620829442E-2</v>
      </c>
      <c r="F142" s="29">
        <v>0.16323263857806825</v>
      </c>
      <c r="G142" s="29">
        <v>0.22260555596312498</v>
      </c>
      <c r="H142" s="29">
        <v>0.26024963771376874</v>
      </c>
      <c r="I142" s="29">
        <v>0.28071355569267908</v>
      </c>
      <c r="J142" s="15">
        <v>0</v>
      </c>
      <c r="K142" s="33">
        <v>0.66</v>
      </c>
      <c r="L142" s="50">
        <v>0</v>
      </c>
      <c r="M142" s="50">
        <v>0</v>
      </c>
      <c r="N142" s="50">
        <v>2.2192510868586937E-2</v>
      </c>
      <c r="O142" s="50">
        <v>0</v>
      </c>
    </row>
    <row r="143" spans="1:15" ht="14.4" x14ac:dyDescent="0.3">
      <c r="A143" s="10">
        <v>584.09999999999991</v>
      </c>
      <c r="B143" s="39" t="s">
        <v>156</v>
      </c>
      <c r="C143" s="16" t="s">
        <v>114</v>
      </c>
      <c r="D143" s="10">
        <v>2023</v>
      </c>
      <c r="E143" s="29">
        <v>8.7791597699038812E-2</v>
      </c>
      <c r="F143" s="29">
        <v>0.1133349656822253</v>
      </c>
      <c r="G143" s="29">
        <v>0.14124286157788352</v>
      </c>
      <c r="H143" s="29">
        <v>0.1703197276693319</v>
      </c>
      <c r="I143" s="29">
        <v>0.19915317882987413</v>
      </c>
      <c r="J143" s="15">
        <v>0</v>
      </c>
      <c r="K143" s="33">
        <v>0.66</v>
      </c>
      <c r="L143" s="50">
        <v>0.20972415177230666</v>
      </c>
      <c r="M143" s="50">
        <v>0.67204102058784121</v>
      </c>
      <c r="N143" s="50">
        <v>0.14517116177444833</v>
      </c>
      <c r="O143" s="50">
        <v>0</v>
      </c>
    </row>
    <row r="144" spans="1:15" ht="14.4" x14ac:dyDescent="0.3">
      <c r="A144" s="10">
        <v>584.19999999999982</v>
      </c>
      <c r="B144" s="39" t="s">
        <v>155</v>
      </c>
      <c r="C144" s="16" t="s">
        <v>114</v>
      </c>
      <c r="D144" s="10">
        <v>2023</v>
      </c>
      <c r="E144" s="29">
        <v>8.7791597699038812E-2</v>
      </c>
      <c r="F144" s="29">
        <v>0.1133349656822253</v>
      </c>
      <c r="G144" s="29">
        <v>0.14124286157788352</v>
      </c>
      <c r="H144" s="29">
        <v>0.1703197276693319</v>
      </c>
      <c r="I144" s="29">
        <v>0.19915317882987413</v>
      </c>
      <c r="J144" s="15">
        <v>0</v>
      </c>
      <c r="K144" s="33">
        <v>0.66</v>
      </c>
      <c r="L144" s="50">
        <v>3.0268277680708906E-2</v>
      </c>
      <c r="M144" s="50">
        <v>1.0205067349667218</v>
      </c>
      <c r="N144" s="50">
        <v>0.1685095562881142</v>
      </c>
      <c r="O144" s="50">
        <v>0</v>
      </c>
    </row>
    <row r="145" spans="1:15" ht="14.4" x14ac:dyDescent="0.3">
      <c r="A145" s="10">
        <v>584.29999999999973</v>
      </c>
      <c r="B145" s="39" t="s">
        <v>154</v>
      </c>
      <c r="C145" s="16" t="s">
        <v>114</v>
      </c>
      <c r="D145" s="10">
        <v>2023</v>
      </c>
      <c r="E145" s="29">
        <v>8.7791597699038812E-2</v>
      </c>
      <c r="F145" s="29">
        <v>0.1133349656822253</v>
      </c>
      <c r="G145" s="29">
        <v>0.14124286157788352</v>
      </c>
      <c r="H145" s="29">
        <v>0.1703197276693319</v>
      </c>
      <c r="I145" s="29">
        <v>0.19915317882987413</v>
      </c>
      <c r="J145" s="15">
        <v>0</v>
      </c>
      <c r="K145" s="33">
        <v>0.66</v>
      </c>
      <c r="L145" s="50">
        <v>0</v>
      </c>
      <c r="M145" s="50">
        <v>0</v>
      </c>
      <c r="N145" s="50">
        <v>0</v>
      </c>
      <c r="O145" s="50">
        <v>0</v>
      </c>
    </row>
    <row r="146" spans="1:15" ht="14.4" x14ac:dyDescent="0.3">
      <c r="A146" s="10">
        <v>585.09999999999991</v>
      </c>
      <c r="B146" s="39" t="s">
        <v>163</v>
      </c>
      <c r="C146" s="16" t="s">
        <v>114</v>
      </c>
      <c r="D146" s="10">
        <v>2023</v>
      </c>
      <c r="E146" s="29">
        <v>0.58999999999938146</v>
      </c>
      <c r="F146" s="29">
        <v>0.58999999999970776</v>
      </c>
      <c r="G146" s="29">
        <v>0.58999999999986197</v>
      </c>
      <c r="H146" s="29">
        <v>0.58999999999993469</v>
      </c>
      <c r="I146" s="29">
        <v>0.58999999999996922</v>
      </c>
      <c r="J146" s="15">
        <v>0</v>
      </c>
      <c r="K146" s="33">
        <v>0.66</v>
      </c>
      <c r="L146" s="50">
        <v>0.15990000000002547</v>
      </c>
      <c r="M146" s="50">
        <v>6.1500000000009797E-2</v>
      </c>
      <c r="N146" s="50">
        <v>-8.2000000000013052E-3</v>
      </c>
      <c r="O146" s="50">
        <v>0</v>
      </c>
    </row>
    <row r="147" spans="1:15" ht="14.4" x14ac:dyDescent="0.3">
      <c r="A147" s="10">
        <v>585.1099999999999</v>
      </c>
      <c r="B147" s="39" t="s">
        <v>116</v>
      </c>
      <c r="C147" s="16" t="s">
        <v>114</v>
      </c>
      <c r="D147" s="10">
        <v>2023</v>
      </c>
      <c r="E147" s="29">
        <v>0.16702268823083002</v>
      </c>
      <c r="F147" s="29">
        <v>0.18376698188290508</v>
      </c>
      <c r="G147" s="29">
        <v>0.19761465465602665</v>
      </c>
      <c r="H147" s="29">
        <v>0.20887736046068323</v>
      </c>
      <c r="I147" s="29">
        <v>0.21791401719011139</v>
      </c>
      <c r="J147" s="46" t="e">
        <v>#VALUE!</v>
      </c>
      <c r="K147" s="49" t="e">
        <v>#VALUE!</v>
      </c>
      <c r="L147" s="50">
        <v>0.42720622535123104</v>
      </c>
      <c r="M147" s="50">
        <v>0.11075716953550435</v>
      </c>
      <c r="N147" s="50">
        <v>7.9112263953931665E-3</v>
      </c>
      <c r="O147" s="50">
        <v>0</v>
      </c>
    </row>
    <row r="148" spans="1:15" ht="14.4" x14ac:dyDescent="0.3">
      <c r="A148" s="10">
        <v>585.11999999999989</v>
      </c>
      <c r="B148" s="39" t="s">
        <v>160</v>
      </c>
      <c r="C148" s="16" t="s">
        <v>114</v>
      </c>
      <c r="D148" s="10">
        <v>2023</v>
      </c>
      <c r="E148" s="29">
        <v>3.0219444063013783E-3</v>
      </c>
      <c r="F148" s="29">
        <v>8.2618201851089677E-3</v>
      </c>
      <c r="G148" s="29">
        <v>2.0900531697547544E-2</v>
      </c>
      <c r="H148" s="29">
        <v>5.0531004553289037E-2</v>
      </c>
      <c r="I148" s="29">
        <v>0.11559856922131279</v>
      </c>
      <c r="J148" s="15">
        <v>0</v>
      </c>
      <c r="K148" s="33">
        <v>0.66</v>
      </c>
      <c r="L148" s="50">
        <v>0</v>
      </c>
      <c r="M148" s="50">
        <v>0</v>
      </c>
      <c r="N148" s="50">
        <v>0</v>
      </c>
      <c r="O148" s="50">
        <v>0</v>
      </c>
    </row>
    <row r="149" spans="1:15" ht="14.4" x14ac:dyDescent="0.3">
      <c r="A149" s="10">
        <v>585.1400000000001</v>
      </c>
      <c r="B149" s="39" t="s">
        <v>162</v>
      </c>
      <c r="C149" s="16" t="s">
        <v>114</v>
      </c>
      <c r="D149" s="10">
        <v>2023</v>
      </c>
      <c r="E149" s="29">
        <v>4.9999999999947579E-2</v>
      </c>
      <c r="F149" s="29">
        <v>4.9999999999975245E-2</v>
      </c>
      <c r="G149" s="29">
        <v>4.9999999999988311E-2</v>
      </c>
      <c r="H149" s="29">
        <v>4.9999999999994479E-2</v>
      </c>
      <c r="I149" s="29">
        <v>4.9999999999997394E-2</v>
      </c>
      <c r="J149" s="15">
        <v>0</v>
      </c>
      <c r="K149" s="33">
        <v>0.66</v>
      </c>
      <c r="L149" s="50">
        <v>3.8000000000000221E-2</v>
      </c>
      <c r="M149" s="50">
        <v>-1.9000000000000111E-2</v>
      </c>
      <c r="N149" s="50">
        <v>0</v>
      </c>
      <c r="O149" s="50">
        <v>0</v>
      </c>
    </row>
    <row r="150" spans="1:15" ht="14.4" x14ac:dyDescent="0.3">
      <c r="A150" s="10">
        <v>585.15000000000009</v>
      </c>
      <c r="B150" s="39" t="s">
        <v>117</v>
      </c>
      <c r="C150" s="16" t="s">
        <v>114</v>
      </c>
      <c r="D150" s="10">
        <v>2023</v>
      </c>
      <c r="E150" s="29">
        <v>3.0219444063013783E-3</v>
      </c>
      <c r="F150" s="29">
        <v>8.2618201851089677E-3</v>
      </c>
      <c r="G150" s="29">
        <v>2.0900531697547544E-2</v>
      </c>
      <c r="H150" s="29">
        <v>5.0531004553289037E-2</v>
      </c>
      <c r="I150" s="29">
        <v>0.11559856922131279</v>
      </c>
      <c r="J150" s="46" t="e">
        <v>#VALUE!</v>
      </c>
      <c r="K150" s="49" t="e">
        <v>#VALUE!</v>
      </c>
      <c r="L150" s="50">
        <v>0</v>
      </c>
      <c r="M150" s="50">
        <v>0</v>
      </c>
      <c r="N150" s="50">
        <v>0</v>
      </c>
      <c r="O150" s="50">
        <v>0</v>
      </c>
    </row>
    <row r="151" spans="1:15" ht="14.4" x14ac:dyDescent="0.3">
      <c r="A151" s="10">
        <v>585.20000000000005</v>
      </c>
      <c r="B151" s="39" t="s">
        <v>164</v>
      </c>
      <c r="C151" s="16" t="s">
        <v>114</v>
      </c>
      <c r="D151" s="10">
        <v>2023</v>
      </c>
      <c r="E151" s="29">
        <v>0.58999999999938146</v>
      </c>
      <c r="F151" s="29">
        <v>0.58999999999970776</v>
      </c>
      <c r="G151" s="29">
        <v>0.58999999999986197</v>
      </c>
      <c r="H151" s="29">
        <v>0.58999999999993469</v>
      </c>
      <c r="I151" s="29">
        <v>0.58999999999996922</v>
      </c>
      <c r="J151" s="15">
        <v>0</v>
      </c>
      <c r="K151" s="33">
        <v>0.66</v>
      </c>
      <c r="L151" s="50">
        <v>0.88150000000014039</v>
      </c>
      <c r="M151" s="50">
        <v>9.8400000000015669E-2</v>
      </c>
      <c r="N151" s="50">
        <v>1.2300000000001959E-2</v>
      </c>
      <c r="O151" s="50">
        <v>0</v>
      </c>
    </row>
    <row r="152" spans="1:15" ht="14.4" x14ac:dyDescent="0.3">
      <c r="A152" s="10">
        <v>585.29999999999995</v>
      </c>
      <c r="B152" s="39" t="s">
        <v>158</v>
      </c>
      <c r="C152" s="16" t="s">
        <v>114</v>
      </c>
      <c r="D152" s="10">
        <v>2023</v>
      </c>
      <c r="E152" s="29">
        <v>0.13585353258819283</v>
      </c>
      <c r="F152" s="29">
        <v>0.17957294011689026</v>
      </c>
      <c r="G152" s="29">
        <v>0.21123863107316718</v>
      </c>
      <c r="H152" s="29">
        <v>0.23021389421733038</v>
      </c>
      <c r="I152" s="29">
        <v>0.24032066358353196</v>
      </c>
      <c r="J152" s="15">
        <v>0</v>
      </c>
      <c r="K152" s="33">
        <v>0.66</v>
      </c>
      <c r="L152" s="50">
        <v>1.2239599081944446</v>
      </c>
      <c r="M152" s="50">
        <v>0.3848930528913348</v>
      </c>
      <c r="N152" s="50">
        <v>0</v>
      </c>
      <c r="O152" s="50">
        <v>0</v>
      </c>
    </row>
    <row r="153" spans="1:15" ht="14.4" x14ac:dyDescent="0.3">
      <c r="A153" s="10">
        <v>585.40000000000009</v>
      </c>
      <c r="B153" s="39" t="s">
        <v>115</v>
      </c>
      <c r="C153" s="16" t="s">
        <v>114</v>
      </c>
      <c r="D153" s="10">
        <v>2023</v>
      </c>
      <c r="E153" s="29">
        <v>0.13585353258819283</v>
      </c>
      <c r="F153" s="29">
        <v>0.17957294011689026</v>
      </c>
      <c r="G153" s="29">
        <v>0.21123863107316718</v>
      </c>
      <c r="H153" s="29">
        <v>0.23021389421733038</v>
      </c>
      <c r="I153" s="29">
        <v>0.24032066358353196</v>
      </c>
      <c r="J153" s="46" t="e">
        <v>#VALUE!</v>
      </c>
      <c r="K153" s="49" t="e">
        <v>#VALUE!</v>
      </c>
      <c r="L153" s="50">
        <v>2.8097192861067439</v>
      </c>
      <c r="M153" s="50">
        <v>0.86216043847658985</v>
      </c>
      <c r="N153" s="50">
        <v>-7.697861057826696E-3</v>
      </c>
      <c r="O153" s="50">
        <v>0</v>
      </c>
    </row>
    <row r="154" spans="1:15" ht="14.4" x14ac:dyDescent="0.3">
      <c r="A154" s="10">
        <v>585.5</v>
      </c>
      <c r="B154" s="39" t="s">
        <v>161</v>
      </c>
      <c r="C154" s="16" t="s">
        <v>114</v>
      </c>
      <c r="D154" s="10">
        <v>2023</v>
      </c>
      <c r="E154" s="29">
        <v>8.3367176313205352E-2</v>
      </c>
      <c r="F154" s="29">
        <v>0.11367789566011045</v>
      </c>
      <c r="G154" s="29">
        <v>0.15130636542464171</v>
      </c>
      <c r="H154" s="29">
        <v>0.19683300702526629</v>
      </c>
      <c r="I154" s="29">
        <v>0.25023219222051962</v>
      </c>
      <c r="J154" s="15">
        <v>0</v>
      </c>
      <c r="K154" s="33">
        <v>0.66</v>
      </c>
      <c r="L154" s="50">
        <v>-0.23291842796267279</v>
      </c>
      <c r="M154" s="50">
        <v>8.0316699297473381E-3</v>
      </c>
      <c r="N154" s="50">
        <v>0</v>
      </c>
      <c r="O154" s="50">
        <v>0</v>
      </c>
    </row>
    <row r="155" spans="1:15" ht="14.4" x14ac:dyDescent="0.3">
      <c r="A155" s="10">
        <v>585.59999999999991</v>
      </c>
      <c r="B155" s="39" t="s">
        <v>118</v>
      </c>
      <c r="C155" s="16" t="s">
        <v>114</v>
      </c>
      <c r="D155" s="10">
        <v>2023</v>
      </c>
      <c r="E155" s="29">
        <v>8.3367176313205352E-2</v>
      </c>
      <c r="F155" s="29">
        <v>0.11367789566011045</v>
      </c>
      <c r="G155" s="29">
        <v>0.15130636542464171</v>
      </c>
      <c r="H155" s="29">
        <v>0.19683300702526629</v>
      </c>
      <c r="I155" s="29">
        <v>0.25023219222051962</v>
      </c>
      <c r="J155" s="46" t="e">
        <v>#VALUE!</v>
      </c>
      <c r="K155" s="49" t="e">
        <v>#VALUE!</v>
      </c>
      <c r="L155" s="50">
        <v>4.0399299746629103</v>
      </c>
      <c r="M155" s="50">
        <v>0.9718320614994278</v>
      </c>
      <c r="N155" s="50">
        <v>0.18472840838418875</v>
      </c>
      <c r="O155" s="50">
        <v>0</v>
      </c>
    </row>
    <row r="156" spans="1:15" ht="14.4" x14ac:dyDescent="0.3">
      <c r="A156" s="10">
        <v>585.70000000000005</v>
      </c>
      <c r="B156" s="39" t="s">
        <v>157</v>
      </c>
      <c r="C156" s="16" t="s">
        <v>114</v>
      </c>
      <c r="D156" s="10">
        <v>2023</v>
      </c>
      <c r="E156" s="29">
        <v>0.13438034078186009</v>
      </c>
      <c r="F156" s="29">
        <v>0.17241710200723784</v>
      </c>
      <c r="G156" s="29">
        <v>0.21339613276527084</v>
      </c>
      <c r="H156" s="29">
        <v>0.25544238548587134</v>
      </c>
      <c r="I156" s="29">
        <v>0.29647810346160675</v>
      </c>
      <c r="J156" s="15">
        <v>0</v>
      </c>
      <c r="K156" s="33">
        <v>0.66</v>
      </c>
      <c r="L156" s="50">
        <v>0.71477530993356342</v>
      </c>
      <c r="M156" s="50">
        <v>0.23825843664452118</v>
      </c>
      <c r="N156" s="50">
        <v>0</v>
      </c>
      <c r="O156" s="50">
        <v>0</v>
      </c>
    </row>
    <row r="157" spans="1:15" ht="14.4" x14ac:dyDescent="0.3">
      <c r="A157" s="10">
        <v>585.79999999999995</v>
      </c>
      <c r="B157" s="39" t="s">
        <v>112</v>
      </c>
      <c r="C157" s="16" t="s">
        <v>114</v>
      </c>
      <c r="D157" s="10">
        <v>2023</v>
      </c>
      <c r="E157" s="29">
        <v>0.13438034078186009</v>
      </c>
      <c r="F157" s="29">
        <v>0.17241710200723784</v>
      </c>
      <c r="G157" s="29">
        <v>0.21339613276527084</v>
      </c>
      <c r="H157" s="29">
        <v>0.25544238548587134</v>
      </c>
      <c r="I157" s="29">
        <v>0.29647810346160675</v>
      </c>
      <c r="J157" s="46" t="e">
        <v>#VALUE!</v>
      </c>
      <c r="K157" s="49" t="e">
        <v>#VALUE!</v>
      </c>
      <c r="L157" s="50">
        <v>2.3602476380097874</v>
      </c>
      <c r="M157" s="50">
        <v>0.81901337596554147</v>
      </c>
      <c r="N157" s="50">
        <v>0</v>
      </c>
      <c r="O157" s="50">
        <v>0</v>
      </c>
    </row>
    <row r="158" spans="1:15" ht="14.4" x14ac:dyDescent="0.3">
      <c r="A158" s="10">
        <v>585.90000000000009</v>
      </c>
      <c r="B158" s="39" t="s">
        <v>159</v>
      </c>
      <c r="C158" s="16" t="s">
        <v>114</v>
      </c>
      <c r="D158" s="10">
        <v>2023</v>
      </c>
      <c r="E158" s="29">
        <v>0.16702268823083002</v>
      </c>
      <c r="F158" s="29">
        <v>0.18376698188290508</v>
      </c>
      <c r="G158" s="29">
        <v>0.19761465465602665</v>
      </c>
      <c r="H158" s="29">
        <v>0.20887736046068323</v>
      </c>
      <c r="I158" s="29">
        <v>0.21791401719011139</v>
      </c>
      <c r="J158" s="15">
        <v>0</v>
      </c>
      <c r="K158" s="33">
        <v>0.66</v>
      </c>
      <c r="L158" s="50">
        <v>0.29271537662954716</v>
      </c>
      <c r="M158" s="50">
        <v>8.7023490349324842E-2</v>
      </c>
      <c r="N158" s="50">
        <v>0</v>
      </c>
      <c r="O158" s="50">
        <v>0</v>
      </c>
    </row>
    <row r="159" spans="1:15" ht="14.4" x14ac:dyDescent="0.3">
      <c r="A159" s="10">
        <v>586.09999999999991</v>
      </c>
      <c r="B159" s="39" t="s">
        <v>180</v>
      </c>
      <c r="C159" s="16" t="s">
        <v>114</v>
      </c>
      <c r="D159" s="10">
        <v>2023</v>
      </c>
      <c r="E159" s="29">
        <v>0.3413683081316356</v>
      </c>
      <c r="F159" s="29">
        <v>0.69141533595274973</v>
      </c>
      <c r="G159" s="29">
        <v>0.8965132527608034</v>
      </c>
      <c r="H159" s="29">
        <v>0.96005257655593312</v>
      </c>
      <c r="I159" s="29">
        <v>0.97547788962233961</v>
      </c>
      <c r="J159" s="15">
        <v>0</v>
      </c>
      <c r="K159" s="33">
        <v>0.66</v>
      </c>
      <c r="L159" s="50">
        <v>1.076038776761544E-2</v>
      </c>
      <c r="M159" s="50">
        <v>2.3522305492822054E-2</v>
      </c>
      <c r="N159" s="50">
        <v>0</v>
      </c>
      <c r="O159" s="50">
        <v>0</v>
      </c>
    </row>
    <row r="160" spans="1:15" ht="14.4" x14ac:dyDescent="0.3">
      <c r="A160" s="10">
        <v>586.20000000000005</v>
      </c>
      <c r="B160" s="39" t="s">
        <v>127</v>
      </c>
      <c r="C160" s="16" t="s">
        <v>114</v>
      </c>
      <c r="D160" s="10">
        <v>2023</v>
      </c>
      <c r="E160" s="29">
        <v>0.3413683081316356</v>
      </c>
      <c r="F160" s="29">
        <v>0.69141533595274973</v>
      </c>
      <c r="G160" s="29">
        <v>0.8965132527608034</v>
      </c>
      <c r="H160" s="29">
        <v>0.96005257655593312</v>
      </c>
      <c r="I160" s="29">
        <v>0.97547788962233961</v>
      </c>
      <c r="J160" s="46" t="e">
        <v>#VALUE!</v>
      </c>
      <c r="K160" s="49" t="e">
        <v>#VALUE!</v>
      </c>
      <c r="L160" s="50">
        <v>0.2920608740847031</v>
      </c>
      <c r="M160" s="50">
        <v>0.62433580795838284</v>
      </c>
      <c r="N160" s="50">
        <v>0</v>
      </c>
      <c r="O160" s="50">
        <v>0</v>
      </c>
    </row>
    <row r="161" spans="1:15" ht="14.4" x14ac:dyDescent="0.3">
      <c r="A161" s="10">
        <v>587.1099999999999</v>
      </c>
      <c r="B161" s="39" t="s">
        <v>128</v>
      </c>
      <c r="C161" s="16" t="s">
        <v>114</v>
      </c>
      <c r="D161" s="10">
        <v>2023</v>
      </c>
      <c r="E161" s="29">
        <v>9.9149567347099031E-3</v>
      </c>
      <c r="F161" s="29">
        <v>1.5032843252400762E-2</v>
      </c>
      <c r="G161" s="29">
        <v>2.2003128390606374E-2</v>
      </c>
      <c r="H161" s="29">
        <v>3.0917721261189589E-2</v>
      </c>
      <c r="I161" s="29">
        <v>4.1445156013014774E-2</v>
      </c>
      <c r="J161" s="46" t="e">
        <v>#VALUE!</v>
      </c>
      <c r="K161" s="49" t="e">
        <v>#VALUE!</v>
      </c>
      <c r="L161" s="50">
        <v>18.703287979659038</v>
      </c>
      <c r="M161" s="50">
        <v>1.6474398738559777</v>
      </c>
      <c r="N161" s="50">
        <v>3.7794208870813604</v>
      </c>
      <c r="O161" s="50">
        <v>0</v>
      </c>
    </row>
    <row r="162" spans="1:15" ht="14.4" x14ac:dyDescent="0.3">
      <c r="A162" s="10">
        <v>587.11999999999989</v>
      </c>
      <c r="B162" s="39" t="s">
        <v>130</v>
      </c>
      <c r="C162" s="16" t="s">
        <v>114</v>
      </c>
      <c r="D162" s="10">
        <v>2023</v>
      </c>
      <c r="E162" s="29">
        <v>9.9149567347099031E-3</v>
      </c>
      <c r="F162" s="29">
        <v>1.5032843252400762E-2</v>
      </c>
      <c r="G162" s="29">
        <v>2.2003128390606374E-2</v>
      </c>
      <c r="H162" s="29">
        <v>3.0917721261189589E-2</v>
      </c>
      <c r="I162" s="29">
        <v>4.1445156013014774E-2</v>
      </c>
      <c r="J162" s="46" t="e">
        <v>#VALUE!</v>
      </c>
      <c r="K162" s="49" t="e">
        <v>#VALUE!</v>
      </c>
      <c r="L162" s="50">
        <v>17.249664561550826</v>
      </c>
      <c r="M162" s="50">
        <v>1.3567151902343346</v>
      </c>
      <c r="N162" s="50">
        <v>3.9732373428291221</v>
      </c>
      <c r="O162" s="50">
        <v>0</v>
      </c>
    </row>
    <row r="163" spans="1:15" ht="14.4" x14ac:dyDescent="0.3">
      <c r="A163" s="10">
        <v>587.29999999999995</v>
      </c>
      <c r="B163" s="39" t="s">
        <v>181</v>
      </c>
      <c r="C163" s="16" t="s">
        <v>114</v>
      </c>
      <c r="D163" s="10">
        <v>2023</v>
      </c>
      <c r="E163" s="29">
        <v>9.9149567347099031E-3</v>
      </c>
      <c r="F163" s="29">
        <v>1.5032843252400762E-2</v>
      </c>
      <c r="G163" s="29">
        <v>2.2003128390606374E-2</v>
      </c>
      <c r="H163" s="29">
        <v>3.0917721261189589E-2</v>
      </c>
      <c r="I163" s="29">
        <v>4.1445156013014774E-2</v>
      </c>
      <c r="J163" s="15">
        <v>0</v>
      </c>
      <c r="K163" s="33">
        <v>0.66</v>
      </c>
      <c r="L163" s="50">
        <v>0.52718075963391287</v>
      </c>
      <c r="M163" s="50">
        <v>8.1402911414060072E-2</v>
      </c>
      <c r="N163" s="50">
        <v>0</v>
      </c>
      <c r="O163" s="50">
        <v>0</v>
      </c>
    </row>
    <row r="164" spans="1:15" ht="14.4" x14ac:dyDescent="0.3">
      <c r="A164" s="10">
        <v>587.40000000000009</v>
      </c>
      <c r="B164" s="39" t="s">
        <v>129</v>
      </c>
      <c r="C164" s="16" t="s">
        <v>114</v>
      </c>
      <c r="D164" s="10">
        <v>2023</v>
      </c>
      <c r="E164" s="29">
        <v>9.9149567347099031E-3</v>
      </c>
      <c r="F164" s="29">
        <v>1.5032843252400762E-2</v>
      </c>
      <c r="G164" s="29">
        <v>2.2003128390606374E-2</v>
      </c>
      <c r="H164" s="29">
        <v>3.0917721261189589E-2</v>
      </c>
      <c r="I164" s="29">
        <v>4.1445156013014774E-2</v>
      </c>
      <c r="J164" s="46" t="e">
        <v>#VALUE!</v>
      </c>
      <c r="K164" s="49" t="e">
        <v>#VALUE!</v>
      </c>
      <c r="L164" s="50">
        <v>4.7485031658201713</v>
      </c>
      <c r="M164" s="50">
        <v>0.38763291149552415</v>
      </c>
      <c r="N164" s="50">
        <v>-9.6908227873881037E-2</v>
      </c>
      <c r="O164" s="50">
        <v>0</v>
      </c>
    </row>
    <row r="165" spans="1:15" ht="14.4" x14ac:dyDescent="0.3">
      <c r="A165" s="10">
        <v>587.70000000000005</v>
      </c>
      <c r="B165" s="39" t="s">
        <v>182</v>
      </c>
      <c r="C165" s="16" t="s">
        <v>114</v>
      </c>
      <c r="D165" s="10">
        <v>2023</v>
      </c>
      <c r="E165" s="29">
        <v>9.9149567347099031E-3</v>
      </c>
      <c r="F165" s="29">
        <v>1.5032843252400762E-2</v>
      </c>
      <c r="G165" s="29">
        <v>2.2003128390606374E-2</v>
      </c>
      <c r="H165" s="29">
        <v>3.0917721261189589E-2</v>
      </c>
      <c r="I165" s="29">
        <v>4.1445156013014774E-2</v>
      </c>
      <c r="J165" s="15">
        <v>0</v>
      </c>
      <c r="K165" s="33">
        <v>0.66</v>
      </c>
      <c r="L165" s="50">
        <v>1.6891530854687351</v>
      </c>
      <c r="M165" s="50">
        <v>0.10258856525661648</v>
      </c>
      <c r="N165" s="50">
        <v>-2.5358050588333743E-2</v>
      </c>
      <c r="O165" s="50">
        <v>0</v>
      </c>
    </row>
    <row r="166" spans="1:15" ht="14.4" x14ac:dyDescent="0.3">
      <c r="A166" s="10">
        <v>587.79999999999995</v>
      </c>
      <c r="B166" s="39" t="s">
        <v>183</v>
      </c>
      <c r="C166" s="16" t="s">
        <v>114</v>
      </c>
      <c r="D166" s="10">
        <v>2023</v>
      </c>
      <c r="E166" s="29">
        <v>9.9149567347099031E-3</v>
      </c>
      <c r="F166" s="29">
        <v>1.5032843252400762E-2</v>
      </c>
      <c r="G166" s="29">
        <v>2.2003128390606374E-2</v>
      </c>
      <c r="H166" s="29">
        <v>3.0917721261189589E-2</v>
      </c>
      <c r="I166" s="29">
        <v>4.1445156013014774E-2</v>
      </c>
      <c r="J166" s="15">
        <v>0</v>
      </c>
      <c r="K166" s="33">
        <v>0.66</v>
      </c>
      <c r="L166" s="50">
        <v>1.3788715766386028</v>
      </c>
      <c r="M166" s="50">
        <v>0.12433346270828068</v>
      </c>
      <c r="N166" s="50">
        <v>0.24676776548948598</v>
      </c>
      <c r="O166" s="50">
        <v>0</v>
      </c>
    </row>
    <row r="167" spans="1:15" ht="14.4" x14ac:dyDescent="0.3">
      <c r="A167" s="10">
        <v>588.09999999999991</v>
      </c>
      <c r="B167" s="39" t="s">
        <v>187</v>
      </c>
      <c r="C167" s="16" t="s">
        <v>114</v>
      </c>
      <c r="D167" s="10">
        <v>2023</v>
      </c>
      <c r="E167" s="29">
        <v>0</v>
      </c>
      <c r="F167" s="29">
        <v>0</v>
      </c>
      <c r="G167" s="29">
        <v>3.0682624871172033E-3</v>
      </c>
      <c r="H167" s="29">
        <v>1.3128670725752458E-2</v>
      </c>
      <c r="I167" s="29">
        <v>2.45665272578479E-2</v>
      </c>
      <c r="J167" s="15">
        <v>0</v>
      </c>
      <c r="K167" s="33">
        <v>0.66</v>
      </c>
      <c r="L167" s="50">
        <v>27.13896155504181</v>
      </c>
      <c r="M167" s="50">
        <v>2.6941587289186959</v>
      </c>
      <c r="N167" s="50">
        <v>5.921227975645485E-2</v>
      </c>
      <c r="O167" s="50">
        <v>0</v>
      </c>
    </row>
    <row r="168" spans="1:15" ht="14.4" x14ac:dyDescent="0.3">
      <c r="A168" s="10">
        <v>588.20000000000005</v>
      </c>
      <c r="B168" s="39" t="s">
        <v>134</v>
      </c>
      <c r="C168" s="16" t="s">
        <v>114</v>
      </c>
      <c r="D168" s="10">
        <v>2023</v>
      </c>
      <c r="E168" s="29">
        <v>6.2760972542352808E-3</v>
      </c>
      <c r="F168" s="29">
        <v>1.6782387674904139E-2</v>
      </c>
      <c r="G168" s="29">
        <v>2.8705335020992089E-2</v>
      </c>
      <c r="H168" s="29">
        <v>4.2155413182459293E-2</v>
      </c>
      <c r="I168" s="29">
        <v>5.7226408612447772E-2</v>
      </c>
      <c r="J168" s="46" t="e">
        <v>#VALUE!</v>
      </c>
      <c r="K168" s="49" t="e">
        <v>#VALUE!</v>
      </c>
      <c r="L168" s="50">
        <v>15.038160013035389</v>
      </c>
      <c r="M168" s="50">
        <v>1.4750806636990126</v>
      </c>
      <c r="N168" s="50">
        <v>6.7049121077227838E-2</v>
      </c>
      <c r="O168" s="50">
        <v>0</v>
      </c>
    </row>
    <row r="169" spans="1:15" ht="14.4" x14ac:dyDescent="0.3">
      <c r="A169" s="10">
        <v>588.29999999999973</v>
      </c>
      <c r="B169" s="39" t="s">
        <v>186</v>
      </c>
      <c r="C169" s="16" t="s">
        <v>114</v>
      </c>
      <c r="D169" s="10">
        <v>2023</v>
      </c>
      <c r="E169" s="29">
        <v>0.31547985086569408</v>
      </c>
      <c r="F169" s="29">
        <v>0.36363671737520503</v>
      </c>
      <c r="G169" s="29">
        <v>0.40907107494846179</v>
      </c>
      <c r="H169" s="29">
        <v>0.4505289029808956</v>
      </c>
      <c r="I169" s="29">
        <v>0.48722120379658018</v>
      </c>
      <c r="J169" s="15">
        <v>0</v>
      </c>
      <c r="K169" s="33">
        <v>0.66</v>
      </c>
      <c r="L169" s="50">
        <v>2.3691982466430321</v>
      </c>
      <c r="M169" s="50">
        <v>0.13744024899209165</v>
      </c>
      <c r="N169" s="50">
        <v>-2.2435871743207162E-2</v>
      </c>
      <c r="O169" s="50">
        <v>0</v>
      </c>
    </row>
    <row r="170" spans="1:15" ht="14.4" x14ac:dyDescent="0.3">
      <c r="A170" s="10">
        <v>588.40000000000009</v>
      </c>
      <c r="B170" s="39" t="s">
        <v>133</v>
      </c>
      <c r="C170" s="16" t="s">
        <v>114</v>
      </c>
      <c r="D170" s="10">
        <v>2023</v>
      </c>
      <c r="E170" s="29">
        <v>0.31547985086569408</v>
      </c>
      <c r="F170" s="29">
        <v>0.36363671737520503</v>
      </c>
      <c r="G170" s="29">
        <v>0.40907107494846179</v>
      </c>
      <c r="H170" s="29">
        <v>0.4505289029808956</v>
      </c>
      <c r="I170" s="29">
        <v>0.48722120379658018</v>
      </c>
      <c r="J170" s="46" t="e">
        <v>#VALUE!</v>
      </c>
      <c r="K170" s="49" t="e">
        <v>#VALUE!</v>
      </c>
      <c r="L170" s="50">
        <v>7.8284299533003798</v>
      </c>
      <c r="M170" s="50">
        <v>0.3581757637679272</v>
      </c>
      <c r="N170" s="50">
        <v>-4.3246260722286933E-2</v>
      </c>
      <c r="O170" s="50">
        <v>0</v>
      </c>
    </row>
    <row r="171" spans="1:15" ht="14.4" x14ac:dyDescent="0.3">
      <c r="A171" s="10">
        <v>588.49999999999955</v>
      </c>
      <c r="B171" s="39" t="s">
        <v>185</v>
      </c>
      <c r="C171" s="16" t="s">
        <v>114</v>
      </c>
      <c r="D171" s="10">
        <v>2023</v>
      </c>
      <c r="E171" s="29">
        <v>3.1246791352355474E-2</v>
      </c>
      <c r="F171" s="29">
        <v>4.3348160810089173E-2</v>
      </c>
      <c r="G171" s="29">
        <v>5.6841153332650281E-2</v>
      </c>
      <c r="H171" s="29">
        <v>7.1764436813864213E-2</v>
      </c>
      <c r="I171" s="29">
        <v>8.812249063766929E-2</v>
      </c>
      <c r="J171" s="15">
        <v>0</v>
      </c>
      <c r="K171" s="33">
        <v>0.66</v>
      </c>
      <c r="L171" s="50">
        <v>-5.0496014637325788E-2</v>
      </c>
      <c r="M171" s="50">
        <v>7.7971787307635409E-3</v>
      </c>
      <c r="N171" s="50">
        <v>0.12698262504386335</v>
      </c>
      <c r="O171" s="50">
        <v>4.3085816302142653E-5</v>
      </c>
    </row>
    <row r="172" spans="1:15" ht="14.4" x14ac:dyDescent="0.3">
      <c r="A172" s="10">
        <v>588.59999999999991</v>
      </c>
      <c r="B172" s="39" t="s">
        <v>132</v>
      </c>
      <c r="C172" s="16" t="s">
        <v>114</v>
      </c>
      <c r="D172" s="10">
        <v>2023</v>
      </c>
      <c r="E172" s="29">
        <v>3.1246791352355474E-2</v>
      </c>
      <c r="F172" s="29">
        <v>4.3348160810089173E-2</v>
      </c>
      <c r="G172" s="29">
        <v>5.6841153332650281E-2</v>
      </c>
      <c r="H172" s="29">
        <v>7.1764436813864213E-2</v>
      </c>
      <c r="I172" s="29">
        <v>8.812249063766929E-2</v>
      </c>
      <c r="J172" s="46" t="e">
        <v>#VALUE!</v>
      </c>
      <c r="K172" s="49" t="e">
        <v>#VALUE!</v>
      </c>
      <c r="L172" s="50">
        <v>-0.1949294682690885</v>
      </c>
      <c r="M172" s="50">
        <v>2.7847066895584076E-2</v>
      </c>
      <c r="N172" s="50">
        <v>0.28775302458770208</v>
      </c>
      <c r="O172" s="50">
        <v>8.2822295247227801E-4</v>
      </c>
    </row>
    <row r="173" spans="1:15" ht="14.4" x14ac:dyDescent="0.3">
      <c r="A173" s="10">
        <v>588.69999999999936</v>
      </c>
      <c r="B173" s="39" t="s">
        <v>184</v>
      </c>
      <c r="C173" s="16" t="s">
        <v>114</v>
      </c>
      <c r="D173" s="10">
        <v>2023</v>
      </c>
      <c r="E173" s="29">
        <v>0</v>
      </c>
      <c r="F173" s="29">
        <v>0</v>
      </c>
      <c r="G173" s="29">
        <v>6.2493582704710948E-2</v>
      </c>
      <c r="H173" s="29">
        <v>0.42181381367602278</v>
      </c>
      <c r="I173" s="29">
        <v>0.80699405548173797</v>
      </c>
      <c r="J173" s="15">
        <v>0</v>
      </c>
      <c r="K173" s="33">
        <v>0.66</v>
      </c>
      <c r="L173" s="50">
        <v>0.49145825837538071</v>
      </c>
      <c r="M173" s="50">
        <v>5.3424403616335492E-2</v>
      </c>
      <c r="N173" s="50">
        <v>5.9321902716840055E-2</v>
      </c>
      <c r="O173" s="50">
        <v>0</v>
      </c>
    </row>
    <row r="174" spans="1:15" ht="14.4" x14ac:dyDescent="0.3">
      <c r="A174" s="10">
        <v>588.79999999999995</v>
      </c>
      <c r="B174" s="39" t="s">
        <v>131</v>
      </c>
      <c r="C174" s="16" t="s">
        <v>114</v>
      </c>
      <c r="D174" s="10">
        <v>2023</v>
      </c>
      <c r="E174" s="29">
        <v>0</v>
      </c>
      <c r="F174" s="29">
        <v>0</v>
      </c>
      <c r="G174" s="29">
        <v>6.2493582704710948E-2</v>
      </c>
      <c r="H174" s="29">
        <v>0.42181381367602278</v>
      </c>
      <c r="I174" s="29">
        <v>0.80699405548173797</v>
      </c>
      <c r="J174" s="46" t="e">
        <v>#VALUE!</v>
      </c>
      <c r="K174" s="49" t="e">
        <v>#VALUE!</v>
      </c>
      <c r="L174" s="50">
        <v>1.7172129733822123</v>
      </c>
      <c r="M174" s="50">
        <v>0.15032840844423406</v>
      </c>
      <c r="N174" s="50">
        <v>0.12141909912803522</v>
      </c>
      <c r="O174" s="50">
        <v>0</v>
      </c>
    </row>
    <row r="175" spans="1:15" ht="14.4" x14ac:dyDescent="0.3">
      <c r="A175" s="10">
        <v>589.09999999999991</v>
      </c>
      <c r="B175" s="39" t="s">
        <v>189</v>
      </c>
      <c r="C175" s="16" t="s">
        <v>114</v>
      </c>
      <c r="D175" s="10">
        <v>2023</v>
      </c>
      <c r="E175" s="29">
        <v>0</v>
      </c>
      <c r="F175" s="29">
        <v>0</v>
      </c>
      <c r="G175" s="29">
        <v>1.4512643946528014E-3</v>
      </c>
      <c r="H175" s="29">
        <v>1.0011408741425228E-2</v>
      </c>
      <c r="I175" s="29">
        <v>3.03219873662979E-2</v>
      </c>
      <c r="J175" s="15">
        <v>0</v>
      </c>
      <c r="K175" s="33">
        <v>0.66</v>
      </c>
      <c r="L175" s="50">
        <v>16.796146439292979</v>
      </c>
      <c r="M175" s="50">
        <v>1.6798126416475496</v>
      </c>
      <c r="N175" s="50">
        <v>0</v>
      </c>
      <c r="O175" s="50">
        <v>0</v>
      </c>
    </row>
    <row r="176" spans="1:15" ht="14.4" x14ac:dyDescent="0.3">
      <c r="A176" s="10">
        <v>589.20000000000005</v>
      </c>
      <c r="B176" s="39" t="s">
        <v>136</v>
      </c>
      <c r="C176" s="16" t="s">
        <v>114</v>
      </c>
      <c r="D176" s="10">
        <v>2023</v>
      </c>
      <c r="E176" s="29">
        <v>0</v>
      </c>
      <c r="F176" s="29">
        <v>0</v>
      </c>
      <c r="G176" s="29">
        <v>1.4512643946528014E-3</v>
      </c>
      <c r="H176" s="29">
        <v>1.0011408741425228E-2</v>
      </c>
      <c r="I176" s="29">
        <v>3.03219873662979E-2</v>
      </c>
      <c r="J176" s="46" t="e">
        <v>#VALUE!</v>
      </c>
      <c r="K176" s="49" t="e">
        <v>#VALUE!</v>
      </c>
      <c r="L176" s="50">
        <v>76.130122667784391</v>
      </c>
      <c r="M176" s="50">
        <v>6.1379292658031632</v>
      </c>
      <c r="N176" s="50">
        <v>0</v>
      </c>
      <c r="O176" s="50">
        <v>0</v>
      </c>
    </row>
    <row r="177" spans="1:15" ht="14.4" x14ac:dyDescent="0.3">
      <c r="A177" s="10">
        <v>589.29999999999973</v>
      </c>
      <c r="B177" s="39" t="s">
        <v>188</v>
      </c>
      <c r="C177" s="16" t="s">
        <v>114</v>
      </c>
      <c r="D177" s="10">
        <v>2023</v>
      </c>
      <c r="E177" s="29">
        <v>1.3812719449558881E-2</v>
      </c>
      <c r="F177" s="29">
        <v>3.0798651066609273E-2</v>
      </c>
      <c r="G177" s="29">
        <v>6.4025360051166852E-2</v>
      </c>
      <c r="H177" s="29">
        <v>0.12221783637712595</v>
      </c>
      <c r="I177" s="29">
        <v>0.20681343115483816</v>
      </c>
      <c r="J177" s="15">
        <v>0</v>
      </c>
      <c r="K177" s="33">
        <v>0.66</v>
      </c>
      <c r="L177" s="50">
        <v>33.864835872570488</v>
      </c>
      <c r="M177" s="50">
        <v>3.9851310228478485</v>
      </c>
      <c r="N177" s="50">
        <v>0.48278018999258071</v>
      </c>
      <c r="O177" s="50">
        <v>0</v>
      </c>
    </row>
    <row r="178" spans="1:15" ht="14.4" x14ac:dyDescent="0.3">
      <c r="A178" s="10">
        <v>589.40000000000009</v>
      </c>
      <c r="B178" s="39" t="s">
        <v>135</v>
      </c>
      <c r="C178" s="16" t="s">
        <v>114</v>
      </c>
      <c r="D178" s="10">
        <v>2023</v>
      </c>
      <c r="E178" s="29">
        <v>1.3812719449558881E-2</v>
      </c>
      <c r="F178" s="29">
        <v>3.0798651066609273E-2</v>
      </c>
      <c r="G178" s="29">
        <v>6.4025360051166852E-2</v>
      </c>
      <c r="H178" s="29">
        <v>0.12221783637712595</v>
      </c>
      <c r="I178" s="29">
        <v>0.20681343115483816</v>
      </c>
      <c r="J178" s="46" t="e">
        <v>#VALUE!</v>
      </c>
      <c r="K178" s="49" t="e">
        <v>#VALUE!</v>
      </c>
      <c r="L178" s="50">
        <v>52.605485065918849</v>
      </c>
      <c r="M178" s="50">
        <v>6.1883642535412626</v>
      </c>
      <c r="N178" s="50">
        <v>0.75489266071567174</v>
      </c>
      <c r="O178" s="50">
        <v>0</v>
      </c>
    </row>
    <row r="179" spans="1:15" ht="14.4" x14ac:dyDescent="0.3">
      <c r="A179" s="10">
        <v>590.09999999999991</v>
      </c>
      <c r="B179" s="39" t="s">
        <v>165</v>
      </c>
      <c r="C179" s="16" t="s">
        <v>114</v>
      </c>
      <c r="D179" s="10">
        <v>2023</v>
      </c>
      <c r="E179" s="29">
        <v>0.2</v>
      </c>
      <c r="F179" s="29">
        <v>0.2</v>
      </c>
      <c r="G179" s="29">
        <v>0.2</v>
      </c>
      <c r="H179" s="29">
        <v>0.2</v>
      </c>
      <c r="I179" s="29">
        <v>0.2</v>
      </c>
      <c r="J179" s="15">
        <v>0</v>
      </c>
      <c r="K179" s="33">
        <v>0.66</v>
      </c>
      <c r="L179" s="50">
        <v>1.8240000000000001</v>
      </c>
      <c r="M179" s="50">
        <v>0.36</v>
      </c>
      <c r="N179" s="50">
        <v>0</v>
      </c>
      <c r="O179" s="50">
        <v>0</v>
      </c>
    </row>
    <row r="180" spans="1:15" ht="14.4" x14ac:dyDescent="0.3">
      <c r="A180" s="10">
        <v>590.20000000000005</v>
      </c>
      <c r="B180" s="39" t="s">
        <v>119</v>
      </c>
      <c r="C180" s="16" t="s">
        <v>114</v>
      </c>
      <c r="D180" s="10">
        <v>2023</v>
      </c>
      <c r="E180" s="29">
        <v>0.2</v>
      </c>
      <c r="F180" s="29">
        <v>0.2</v>
      </c>
      <c r="G180" s="29">
        <v>0.2</v>
      </c>
      <c r="H180" s="29">
        <v>0.2</v>
      </c>
      <c r="I180" s="29">
        <v>0.2</v>
      </c>
      <c r="J180" s="46" t="e">
        <v>#VALUE!</v>
      </c>
      <c r="K180" s="49" t="e">
        <v>#VALUE!</v>
      </c>
      <c r="L180" s="50">
        <v>7.5759999999999996</v>
      </c>
      <c r="M180" s="50">
        <v>1.48</v>
      </c>
      <c r="N180" s="50">
        <v>0</v>
      </c>
      <c r="O180" s="50">
        <v>0</v>
      </c>
    </row>
    <row r="181" spans="1:15" ht="14.4" x14ac:dyDescent="0.3">
      <c r="A181" s="10">
        <v>590.29999999999995</v>
      </c>
      <c r="B181" s="39" t="s">
        <v>191</v>
      </c>
      <c r="C181" s="16" t="s">
        <v>114</v>
      </c>
      <c r="D181" s="10">
        <v>2023</v>
      </c>
      <c r="E181" s="29">
        <v>0.2</v>
      </c>
      <c r="F181" s="29">
        <v>0.2</v>
      </c>
      <c r="G181" s="29">
        <v>0.2</v>
      </c>
      <c r="H181" s="29">
        <v>0.2</v>
      </c>
      <c r="I181" s="29">
        <v>0.2</v>
      </c>
      <c r="J181" s="15">
        <v>0</v>
      </c>
      <c r="K181" s="33">
        <v>0.66</v>
      </c>
      <c r="L181" s="50">
        <v>4.7279999999999998</v>
      </c>
      <c r="M181" s="50">
        <v>0.60799999999999998</v>
      </c>
      <c r="N181" s="50">
        <v>0</v>
      </c>
      <c r="O181" s="50">
        <v>0</v>
      </c>
    </row>
    <row r="182" spans="1:15" ht="14.4" x14ac:dyDescent="0.3">
      <c r="A182" s="10">
        <v>590.40000000000009</v>
      </c>
      <c r="B182" s="39" t="s">
        <v>138</v>
      </c>
      <c r="C182" s="16" t="s">
        <v>114</v>
      </c>
      <c r="D182" s="10">
        <v>2023</v>
      </c>
      <c r="E182" s="29">
        <v>0.2</v>
      </c>
      <c r="F182" s="29">
        <v>0.2</v>
      </c>
      <c r="G182" s="29">
        <v>0.2</v>
      </c>
      <c r="H182" s="29">
        <v>0.2</v>
      </c>
      <c r="I182" s="29">
        <v>0.2</v>
      </c>
      <c r="J182" s="46" t="e">
        <v>#VALUE!</v>
      </c>
      <c r="K182" s="49" t="e">
        <v>#VALUE!</v>
      </c>
      <c r="L182" s="50">
        <v>14.72</v>
      </c>
      <c r="M182" s="50">
        <v>1.88</v>
      </c>
      <c r="N182" s="50">
        <v>0</v>
      </c>
      <c r="O182" s="50">
        <v>0</v>
      </c>
    </row>
    <row r="183" spans="1:15" ht="14.4" x14ac:dyDescent="0.3">
      <c r="A183" s="10">
        <v>590.5</v>
      </c>
      <c r="B183" s="39" t="s">
        <v>190</v>
      </c>
      <c r="C183" s="16" t="s">
        <v>114</v>
      </c>
      <c r="D183" s="10">
        <v>2023</v>
      </c>
      <c r="E183" s="29">
        <v>0.2</v>
      </c>
      <c r="F183" s="29">
        <v>0.2</v>
      </c>
      <c r="G183" s="29">
        <v>0.2</v>
      </c>
      <c r="H183" s="29">
        <v>0.2</v>
      </c>
      <c r="I183" s="29">
        <v>0.2</v>
      </c>
      <c r="J183" s="15">
        <v>0</v>
      </c>
      <c r="K183" s="33">
        <v>0.66</v>
      </c>
      <c r="L183" s="50">
        <v>0.55200000000000005</v>
      </c>
      <c r="M183" s="50">
        <v>8.7999999999999995E-2</v>
      </c>
      <c r="N183" s="50">
        <v>0</v>
      </c>
      <c r="O183" s="50">
        <v>0</v>
      </c>
    </row>
    <row r="184" spans="1:15" ht="14.4" x14ac:dyDescent="0.3">
      <c r="A184" s="10">
        <v>590.59999999999991</v>
      </c>
      <c r="B184" s="39" t="s">
        <v>137</v>
      </c>
      <c r="C184" s="16" t="s">
        <v>114</v>
      </c>
      <c r="D184" s="10">
        <v>2023</v>
      </c>
      <c r="E184" s="29">
        <v>0.2</v>
      </c>
      <c r="F184" s="29">
        <v>0.2</v>
      </c>
      <c r="G184" s="29">
        <v>0.2</v>
      </c>
      <c r="H184" s="29">
        <v>0.2</v>
      </c>
      <c r="I184" s="29">
        <v>0.2</v>
      </c>
      <c r="J184" s="46" t="e">
        <v>#VALUE!</v>
      </c>
      <c r="K184" s="49" t="e">
        <v>#VALUE!</v>
      </c>
      <c r="L184" s="50">
        <v>1.704</v>
      </c>
      <c r="M184" s="50">
        <v>0.27200000000000002</v>
      </c>
      <c r="N184" s="50">
        <v>0</v>
      </c>
      <c r="O184" s="50">
        <v>0</v>
      </c>
    </row>
    <row r="185" spans="1:15" ht="14.4" x14ac:dyDescent="0.3">
      <c r="A185" s="10">
        <v>591.29999999999995</v>
      </c>
      <c r="B185" s="39" t="s">
        <v>177</v>
      </c>
      <c r="C185" s="16" t="s">
        <v>114</v>
      </c>
      <c r="D185" s="10">
        <v>2023</v>
      </c>
      <c r="E185" s="29">
        <v>0.11542756227569809</v>
      </c>
      <c r="F185" s="29">
        <v>0.1635013781134893</v>
      </c>
      <c r="G185" s="29">
        <v>0.22094886736555319</v>
      </c>
      <c r="H185" s="29">
        <v>0.28608059640852151</v>
      </c>
      <c r="I185" s="29">
        <v>0.35566423579024875</v>
      </c>
      <c r="J185" s="15">
        <v>0</v>
      </c>
      <c r="K185" s="33">
        <v>0.66</v>
      </c>
      <c r="L185" s="50">
        <v>9.7093038888441061</v>
      </c>
      <c r="M185" s="50">
        <v>0.89239925448934798</v>
      </c>
      <c r="N185" s="50">
        <v>0</v>
      </c>
      <c r="O185" s="50">
        <v>0</v>
      </c>
    </row>
    <row r="186" spans="1:15" ht="14.4" x14ac:dyDescent="0.3">
      <c r="A186" s="10">
        <v>591.39999999999964</v>
      </c>
      <c r="B186" s="39" t="s">
        <v>193</v>
      </c>
      <c r="C186" s="16" t="s">
        <v>114</v>
      </c>
      <c r="D186" s="10">
        <v>2023</v>
      </c>
      <c r="E186" s="29">
        <v>0.11542756227569809</v>
      </c>
      <c r="F186" s="29">
        <v>0.1635013781134893</v>
      </c>
      <c r="G186" s="29">
        <v>0.22094886736555319</v>
      </c>
      <c r="H186" s="29">
        <v>0.28608059640852151</v>
      </c>
      <c r="I186" s="29">
        <v>0.35566423579024875</v>
      </c>
      <c r="J186" s="15">
        <v>0</v>
      </c>
      <c r="K186" s="33">
        <v>0.66</v>
      </c>
      <c r="L186" s="50">
        <v>6.4252746323233056</v>
      </c>
      <c r="M186" s="50">
        <v>0.6782234334119045</v>
      </c>
      <c r="N186" s="50">
        <v>0</v>
      </c>
      <c r="O186" s="50">
        <v>0</v>
      </c>
    </row>
    <row r="187" spans="1:15" ht="14.4" x14ac:dyDescent="0.3">
      <c r="A187" s="10">
        <v>591.5</v>
      </c>
      <c r="B187" s="39" t="s">
        <v>192</v>
      </c>
      <c r="C187" s="16" t="s">
        <v>114</v>
      </c>
      <c r="D187" s="10">
        <v>2023</v>
      </c>
      <c r="E187" s="29">
        <v>0.11542756227569809</v>
      </c>
      <c r="F187" s="29">
        <v>0.1635013781134893</v>
      </c>
      <c r="G187" s="29">
        <v>0.22094886736555319</v>
      </c>
      <c r="H187" s="29">
        <v>0.28608059640852151</v>
      </c>
      <c r="I187" s="29">
        <v>0.35566423579024875</v>
      </c>
      <c r="J187" s="15">
        <v>0</v>
      </c>
      <c r="K187" s="33">
        <v>0.66</v>
      </c>
      <c r="L187" s="50">
        <v>0.99948716502806978</v>
      </c>
      <c r="M187" s="50">
        <v>0.13564468668238089</v>
      </c>
      <c r="N187" s="50">
        <v>0</v>
      </c>
      <c r="O187" s="50">
        <v>0</v>
      </c>
    </row>
    <row r="188" spans="1:15" ht="14.4" x14ac:dyDescent="0.3">
      <c r="A188" s="10">
        <v>591.59999999999991</v>
      </c>
      <c r="B188" s="39" t="s">
        <v>174</v>
      </c>
      <c r="C188" s="16" t="s">
        <v>114</v>
      </c>
      <c r="D188" s="10">
        <v>2023</v>
      </c>
      <c r="E188" s="29">
        <v>0.11542756227569809</v>
      </c>
      <c r="F188" s="29">
        <v>0.1635013781134893</v>
      </c>
      <c r="G188" s="29">
        <v>0.22094886736555319</v>
      </c>
      <c r="H188" s="29">
        <v>0.28608059640852151</v>
      </c>
      <c r="I188" s="29">
        <v>0.35566423579024875</v>
      </c>
      <c r="J188" s="15">
        <v>0</v>
      </c>
      <c r="K188" s="33">
        <v>0.66</v>
      </c>
      <c r="L188" s="50">
        <v>14.492563892907013</v>
      </c>
      <c r="M188" s="50">
        <v>1.5349267177216785</v>
      </c>
      <c r="N188" s="50">
        <v>0</v>
      </c>
      <c r="O188" s="50">
        <v>0</v>
      </c>
    </row>
    <row r="189" spans="1:15" ht="14.4" x14ac:dyDescent="0.3">
      <c r="A189" s="10">
        <v>592.09999999999991</v>
      </c>
      <c r="B189" s="39" t="s">
        <v>195</v>
      </c>
      <c r="C189" s="16" t="s">
        <v>114</v>
      </c>
      <c r="D189" s="10">
        <v>2023</v>
      </c>
      <c r="E189" s="29">
        <v>3.2079126735925813E-2</v>
      </c>
      <c r="F189" s="29">
        <v>0.13982182003436056</v>
      </c>
      <c r="G189" s="29">
        <v>0.22547031806313458</v>
      </c>
      <c r="H189" s="29">
        <v>0.27051841427653883</v>
      </c>
      <c r="I189" s="29">
        <v>0.28919001373263931</v>
      </c>
      <c r="J189" s="15">
        <v>0</v>
      </c>
      <c r="K189" s="33">
        <v>0.66</v>
      </c>
      <c r="L189" s="50">
        <v>-0.1488142434875861</v>
      </c>
      <c r="M189" s="50">
        <v>6.1276453200770735E-2</v>
      </c>
      <c r="N189" s="50">
        <v>0.33264360308989827</v>
      </c>
      <c r="O189" s="50">
        <v>0</v>
      </c>
    </row>
    <row r="190" spans="1:15" ht="14.4" x14ac:dyDescent="0.3">
      <c r="A190" s="10">
        <v>592.20000000000005</v>
      </c>
      <c r="B190" s="39" t="s">
        <v>139</v>
      </c>
      <c r="C190" s="16" t="s">
        <v>114</v>
      </c>
      <c r="D190" s="10">
        <v>2023</v>
      </c>
      <c r="E190" s="29">
        <v>3.2079126735925813E-2</v>
      </c>
      <c r="F190" s="29">
        <v>0.13982182003436056</v>
      </c>
      <c r="G190" s="29">
        <v>0.22547031806313458</v>
      </c>
      <c r="H190" s="29">
        <v>0.27051841427653883</v>
      </c>
      <c r="I190" s="29">
        <v>0.28919001373263931</v>
      </c>
      <c r="J190" s="46" t="e">
        <v>#VALUE!</v>
      </c>
      <c r="K190" s="49" t="e">
        <v>#VALUE!</v>
      </c>
      <c r="L190" s="50">
        <v>-0.14589631714469223</v>
      </c>
      <c r="M190" s="50">
        <v>7.2948158572346114E-2</v>
      </c>
      <c r="N190" s="50">
        <v>0.36474079286173061</v>
      </c>
      <c r="O190" s="50">
        <v>0</v>
      </c>
    </row>
    <row r="191" spans="1:15" ht="14.4" x14ac:dyDescent="0.3">
      <c r="A191" s="10">
        <v>593.29999999999995</v>
      </c>
      <c r="B191" s="39" t="s">
        <v>196</v>
      </c>
      <c r="C191" s="16" t="s">
        <v>114</v>
      </c>
      <c r="D191" s="10">
        <v>2023</v>
      </c>
      <c r="E191" s="29">
        <v>6.60707056373281E-2</v>
      </c>
      <c r="F191" s="29">
        <v>0.24412346116141859</v>
      </c>
      <c r="G191" s="29">
        <v>0.38768248688470491</v>
      </c>
      <c r="H191" s="29">
        <v>0.4969684391205082</v>
      </c>
      <c r="I191" s="29">
        <v>0.57658021853220021</v>
      </c>
      <c r="J191" s="15">
        <v>0</v>
      </c>
      <c r="K191" s="33">
        <v>0.66</v>
      </c>
      <c r="L191" s="50">
        <v>5.4927959865063422E-2</v>
      </c>
      <c r="M191" s="50">
        <v>0</v>
      </c>
      <c r="N191" s="50">
        <v>0</v>
      </c>
      <c r="O191" s="50">
        <v>0</v>
      </c>
    </row>
    <row r="192" spans="1:15" ht="14.4" x14ac:dyDescent="0.3">
      <c r="A192" s="10">
        <v>593.40000000000009</v>
      </c>
      <c r="B192" s="39" t="s">
        <v>194</v>
      </c>
      <c r="C192" s="16" t="s">
        <v>114</v>
      </c>
      <c r="D192" s="10">
        <v>2023</v>
      </c>
      <c r="E192" s="29">
        <v>6.60707056373281E-2</v>
      </c>
      <c r="F192" s="29">
        <v>0.24412346116141859</v>
      </c>
      <c r="G192" s="29">
        <v>0.38768248688470491</v>
      </c>
      <c r="H192" s="29">
        <v>0.4969684391205082</v>
      </c>
      <c r="I192" s="29">
        <v>0.57658021853220021</v>
      </c>
      <c r="J192" s="15">
        <v>0</v>
      </c>
      <c r="K192" s="33">
        <v>0.66</v>
      </c>
      <c r="L192" s="50">
        <v>0.12681802459666966</v>
      </c>
      <c r="M192" s="50">
        <v>0</v>
      </c>
      <c r="N192" s="50">
        <v>0</v>
      </c>
      <c r="O192" s="50">
        <v>0</v>
      </c>
    </row>
    <row r="193" spans="1:15" ht="14.4" x14ac:dyDescent="0.3">
      <c r="A193" s="10">
        <v>593.5</v>
      </c>
      <c r="B193" s="39" t="s">
        <v>197</v>
      </c>
      <c r="C193" s="16" t="s">
        <v>114</v>
      </c>
      <c r="D193" s="10">
        <v>2023</v>
      </c>
      <c r="E193" s="29">
        <v>6.60707056373281E-2</v>
      </c>
      <c r="F193" s="29">
        <v>0.24412346116141859</v>
      </c>
      <c r="G193" s="29">
        <v>0.38768248688470491</v>
      </c>
      <c r="H193" s="29">
        <v>0.4969684391205082</v>
      </c>
      <c r="I193" s="29">
        <v>0.57658021853220021</v>
      </c>
      <c r="J193" s="15">
        <v>0</v>
      </c>
      <c r="K193" s="33">
        <v>0.66</v>
      </c>
      <c r="L193" s="50">
        <v>0.76195321766741608</v>
      </c>
      <c r="M193" s="50">
        <v>0.56783611801357248</v>
      </c>
      <c r="N193" s="50">
        <v>0</v>
      </c>
      <c r="O193" s="50">
        <v>-5.1640379977181952E-3</v>
      </c>
    </row>
    <row r="194" spans="1:15" ht="14.4" x14ac:dyDescent="0.3">
      <c r="A194" s="10">
        <v>594.09999999999991</v>
      </c>
      <c r="B194" s="39" t="s">
        <v>199</v>
      </c>
      <c r="C194" s="16" t="s">
        <v>114</v>
      </c>
      <c r="D194" s="10">
        <v>2023</v>
      </c>
      <c r="E194" s="29">
        <v>1.0346171110975346E-2</v>
      </c>
      <c r="F194" s="29">
        <v>1.487986508969525E-2</v>
      </c>
      <c r="G194" s="29">
        <v>2.0904879356106371E-2</v>
      </c>
      <c r="H194" s="29">
        <v>2.8681887456717875E-2</v>
      </c>
      <c r="I194" s="29">
        <v>3.8351406579387473E-2</v>
      </c>
      <c r="J194" s="15">
        <v>0</v>
      </c>
      <c r="K194" s="33">
        <v>0.66</v>
      </c>
      <c r="L194" s="50">
        <v>6.0973523196791994E-2</v>
      </c>
      <c r="M194" s="50">
        <v>0</v>
      </c>
      <c r="N194" s="50">
        <v>3.0650992064864817</v>
      </c>
      <c r="O194" s="50">
        <v>1.73907718537268E-2</v>
      </c>
    </row>
    <row r="195" spans="1:15" ht="14.4" x14ac:dyDescent="0.3">
      <c r="A195" s="10">
        <v>594.20000000000005</v>
      </c>
      <c r="B195" s="39" t="s">
        <v>198</v>
      </c>
      <c r="C195" s="16" t="s">
        <v>114</v>
      </c>
      <c r="D195" s="10">
        <v>2023</v>
      </c>
      <c r="E195" s="29">
        <v>0.79861821959359724</v>
      </c>
      <c r="F195" s="29">
        <v>0.79906421479421874</v>
      </c>
      <c r="G195" s="29">
        <v>0.79936637091471519</v>
      </c>
      <c r="H195" s="29">
        <v>0.79957101604221803</v>
      </c>
      <c r="I195" s="29">
        <v>0.79970959029951727</v>
      </c>
      <c r="J195" s="15">
        <v>0</v>
      </c>
      <c r="K195" s="33">
        <v>0.66</v>
      </c>
      <c r="L195" s="50">
        <v>4.209008663113422E-3</v>
      </c>
      <c r="M195" s="50">
        <v>0</v>
      </c>
      <c r="N195" s="50">
        <v>0.21085129112358661</v>
      </c>
      <c r="O195" s="50">
        <v>1.196160176260043E-3</v>
      </c>
    </row>
    <row r="196" spans="1:15" ht="14.4" x14ac:dyDescent="0.3">
      <c r="A196" s="11">
        <v>728.1</v>
      </c>
      <c r="B196" s="39" t="s">
        <v>200</v>
      </c>
      <c r="C196" s="16" t="s">
        <v>201</v>
      </c>
      <c r="D196" s="16">
        <v>2026</v>
      </c>
      <c r="E196" s="29">
        <v>0.10864641221167121</v>
      </c>
      <c r="F196" s="29">
        <v>0.12185039742033754</v>
      </c>
      <c r="G196" s="29">
        <v>0.13567462362464666</v>
      </c>
      <c r="H196" s="29">
        <v>0.15008627631604574</v>
      </c>
      <c r="I196" s="29">
        <v>0.16504329088251668</v>
      </c>
      <c r="J196" s="15">
        <v>0</v>
      </c>
      <c r="K196" s="33">
        <v>0.66</v>
      </c>
      <c r="L196" s="50">
        <v>0</v>
      </c>
      <c r="M196" s="50">
        <v>0</v>
      </c>
      <c r="N196" s="50">
        <v>1.0515081634051746</v>
      </c>
      <c r="O196" s="50">
        <v>0</v>
      </c>
    </row>
    <row r="197" spans="1:15" ht="14.4" x14ac:dyDescent="0.3">
      <c r="A197" s="11">
        <v>728.2</v>
      </c>
      <c r="B197" s="39" t="s">
        <v>202</v>
      </c>
      <c r="C197" s="16" t="s">
        <v>201</v>
      </c>
      <c r="D197" s="16">
        <v>2026</v>
      </c>
      <c r="E197" s="29">
        <v>0.10864641221167121</v>
      </c>
      <c r="F197" s="29">
        <v>0.12185039742033754</v>
      </c>
      <c r="G197" s="29">
        <v>0.13567462362464666</v>
      </c>
      <c r="H197" s="29">
        <v>0.15008627631604574</v>
      </c>
      <c r="I197" s="29">
        <v>0.16504329088251668</v>
      </c>
      <c r="J197" s="15">
        <v>0</v>
      </c>
      <c r="K197" s="33">
        <v>0.66</v>
      </c>
      <c r="L197" s="50">
        <v>0</v>
      </c>
      <c r="M197" s="50">
        <v>0</v>
      </c>
      <c r="N197" s="50">
        <v>2.3366848075670554</v>
      </c>
      <c r="O197" s="50">
        <v>0</v>
      </c>
    </row>
    <row r="198" spans="1:15" ht="14.4" x14ac:dyDescent="0.3">
      <c r="A198" s="11">
        <v>728.3</v>
      </c>
      <c r="B198" s="39" t="s">
        <v>203</v>
      </c>
      <c r="C198" s="16" t="s">
        <v>201</v>
      </c>
      <c r="D198" s="16">
        <v>2026</v>
      </c>
      <c r="E198" s="29">
        <v>0.1291107676967819</v>
      </c>
      <c r="F198" s="29">
        <v>0.138689196491875</v>
      </c>
      <c r="G198" s="29">
        <v>0.14742936887245442</v>
      </c>
      <c r="H198" s="29">
        <v>0.15527451218998745</v>
      </c>
      <c r="I198" s="29">
        <v>0.16221297408817076</v>
      </c>
      <c r="J198" s="15">
        <v>0</v>
      </c>
      <c r="K198" s="33">
        <v>0.66</v>
      </c>
      <c r="L198" s="50">
        <v>0</v>
      </c>
      <c r="M198" s="50">
        <v>0</v>
      </c>
      <c r="N198" s="50">
        <v>0.57031182257918189</v>
      </c>
      <c r="O198" s="50">
        <v>0</v>
      </c>
    </row>
    <row r="199" spans="1:15" ht="14.4" x14ac:dyDescent="0.3">
      <c r="A199" s="11">
        <v>728.4</v>
      </c>
      <c r="B199" s="39" t="s">
        <v>204</v>
      </c>
      <c r="C199" s="16" t="s">
        <v>201</v>
      </c>
      <c r="D199" s="16">
        <v>2026</v>
      </c>
      <c r="E199" s="29">
        <v>0.1291107676967819</v>
      </c>
      <c r="F199" s="29">
        <v>0.138689196491875</v>
      </c>
      <c r="G199" s="29">
        <v>0.14742936887245442</v>
      </c>
      <c r="H199" s="29">
        <v>0.15527451218998745</v>
      </c>
      <c r="I199" s="29">
        <v>0.16221297408817076</v>
      </c>
      <c r="J199" s="15">
        <v>0</v>
      </c>
      <c r="K199" s="33">
        <v>0.66</v>
      </c>
      <c r="L199" s="50">
        <v>0</v>
      </c>
      <c r="M199" s="50">
        <v>0</v>
      </c>
      <c r="N199" s="50">
        <v>0</v>
      </c>
      <c r="O199" s="50">
        <v>0</v>
      </c>
    </row>
    <row r="200" spans="1:15" ht="14.4" x14ac:dyDescent="0.3">
      <c r="A200" s="11">
        <v>729.01</v>
      </c>
      <c r="B200" s="39" t="s">
        <v>205</v>
      </c>
      <c r="C200" s="16" t="s">
        <v>201</v>
      </c>
      <c r="D200" s="16">
        <v>2026</v>
      </c>
      <c r="E200" s="29">
        <v>0</v>
      </c>
      <c r="F200" s="29">
        <v>0</v>
      </c>
      <c r="G200" s="29">
        <v>2.762063267699157E-3</v>
      </c>
      <c r="H200" s="29">
        <v>7.0468405891498031E-3</v>
      </c>
      <c r="I200" s="29">
        <v>1.1506132430028721E-2</v>
      </c>
      <c r="J200" s="15">
        <v>0</v>
      </c>
      <c r="K200" s="33">
        <v>0.66</v>
      </c>
      <c r="L200" s="50">
        <v>0.60300443169756912</v>
      </c>
      <c r="M200" s="50">
        <v>7.1523120453189551E-2</v>
      </c>
      <c r="N200" s="50">
        <v>0</v>
      </c>
      <c r="O200" s="50">
        <v>1.5697371581459224E-3</v>
      </c>
    </row>
    <row r="201" spans="1:15" ht="14.4" x14ac:dyDescent="0.3">
      <c r="A201" s="11">
        <v>729.02</v>
      </c>
      <c r="B201" s="39" t="s">
        <v>205</v>
      </c>
      <c r="C201" s="16" t="s">
        <v>201</v>
      </c>
      <c r="D201" s="16">
        <v>2026</v>
      </c>
      <c r="E201" s="29">
        <v>0</v>
      </c>
      <c r="F201" s="29">
        <v>0</v>
      </c>
      <c r="G201" s="29">
        <v>2.762063267699157E-3</v>
      </c>
      <c r="H201" s="29">
        <v>7.0468405891498031E-3</v>
      </c>
      <c r="I201" s="29">
        <v>1.1506132430028721E-2</v>
      </c>
      <c r="J201" s="15">
        <v>0</v>
      </c>
      <c r="K201" s="33">
        <v>0.66</v>
      </c>
      <c r="L201" s="50">
        <v>0</v>
      </c>
      <c r="M201" s="50">
        <v>0</v>
      </c>
      <c r="N201" s="50">
        <v>0.20530577836650155</v>
      </c>
      <c r="O201" s="50">
        <v>7.6193255586373522E-3</v>
      </c>
    </row>
    <row r="202" spans="1:15" ht="14.4" x14ac:dyDescent="0.3">
      <c r="A202" s="11">
        <v>729.03</v>
      </c>
      <c r="B202" s="39" t="s">
        <v>206</v>
      </c>
      <c r="C202" s="16" t="s">
        <v>201</v>
      </c>
      <c r="D202" s="16">
        <v>2026</v>
      </c>
      <c r="E202" s="29">
        <v>8.796175073132368E-3</v>
      </c>
      <c r="F202" s="29">
        <v>9.1232744274312178E-3</v>
      </c>
      <c r="G202" s="29">
        <v>9.451285171049921E-3</v>
      </c>
      <c r="H202" s="29">
        <v>9.7802091254098923E-3</v>
      </c>
      <c r="I202" s="29">
        <v>1.0110048111006929E-2</v>
      </c>
      <c r="J202" s="15">
        <v>0</v>
      </c>
      <c r="K202" s="33">
        <v>0.66</v>
      </c>
      <c r="L202" s="50">
        <v>0.93975188352761485</v>
      </c>
      <c r="M202" s="50">
        <v>0.11129109481854482</v>
      </c>
      <c r="N202" s="50">
        <v>0</v>
      </c>
      <c r="O202" s="50">
        <v>0</v>
      </c>
    </row>
    <row r="203" spans="1:15" ht="14.4" x14ac:dyDescent="0.3">
      <c r="A203" s="11">
        <v>729.04</v>
      </c>
      <c r="B203" s="39" t="s">
        <v>206</v>
      </c>
      <c r="C203" s="16" t="s">
        <v>201</v>
      </c>
      <c r="D203" s="16">
        <v>2026</v>
      </c>
      <c r="E203" s="29">
        <v>8.796175073132368E-3</v>
      </c>
      <c r="F203" s="29">
        <v>9.1232744274312178E-3</v>
      </c>
      <c r="G203" s="29">
        <v>9.451285171049921E-3</v>
      </c>
      <c r="H203" s="29">
        <v>9.7802091254098923E-3</v>
      </c>
      <c r="I203" s="29">
        <v>1.0110048111006929E-2</v>
      </c>
      <c r="J203" s="15">
        <v>0</v>
      </c>
      <c r="K203" s="33">
        <v>0.66</v>
      </c>
      <c r="L203" s="50">
        <v>0</v>
      </c>
      <c r="M203" s="50">
        <v>0</v>
      </c>
      <c r="N203" s="50">
        <v>0.41852690689368299</v>
      </c>
      <c r="O203" s="50">
        <v>0</v>
      </c>
    </row>
    <row r="204" spans="1:15" ht="14.4" x14ac:dyDescent="0.3">
      <c r="A204" s="11">
        <v>729.05</v>
      </c>
      <c r="B204" s="39" t="s">
        <v>207</v>
      </c>
      <c r="C204" s="16" t="s">
        <v>201</v>
      </c>
      <c r="D204" s="16">
        <v>2026</v>
      </c>
      <c r="E204" s="29">
        <v>3.431968492418478E-2</v>
      </c>
      <c r="F204" s="29">
        <v>7.834711717163792E-2</v>
      </c>
      <c r="G204" s="29">
        <v>0.13332792035144156</v>
      </c>
      <c r="H204" s="29">
        <v>0.19972451848154049</v>
      </c>
      <c r="I204" s="29">
        <v>0.27673788737598048</v>
      </c>
      <c r="J204" s="15">
        <v>0</v>
      </c>
      <c r="K204" s="33">
        <v>0.66</v>
      </c>
      <c r="L204" s="50">
        <v>4.8689280117763184E-3</v>
      </c>
      <c r="M204" s="50">
        <v>5.7043404892750363E-4</v>
      </c>
      <c r="N204" s="50">
        <v>0</v>
      </c>
      <c r="O204" s="50">
        <v>0</v>
      </c>
    </row>
    <row r="205" spans="1:15" ht="14.4" x14ac:dyDescent="0.3">
      <c r="A205" s="11">
        <v>729.06</v>
      </c>
      <c r="B205" s="39" t="s">
        <v>208</v>
      </c>
      <c r="C205" s="16" t="s">
        <v>201</v>
      </c>
      <c r="D205" s="16">
        <v>2026</v>
      </c>
      <c r="E205" s="29">
        <v>3.431968492418478E-2</v>
      </c>
      <c r="F205" s="29">
        <v>7.834711717163792E-2</v>
      </c>
      <c r="G205" s="29">
        <v>0.13332792035144156</v>
      </c>
      <c r="H205" s="29">
        <v>0.19972451848154049</v>
      </c>
      <c r="I205" s="29">
        <v>0.27673788737598048</v>
      </c>
      <c r="J205" s="15">
        <v>0</v>
      </c>
      <c r="K205" s="33">
        <v>0.66</v>
      </c>
      <c r="L205" s="50">
        <v>4.0399856492265247E-2</v>
      </c>
      <c r="M205" s="50">
        <v>4.7092085144342819E-3</v>
      </c>
      <c r="N205" s="50">
        <v>0</v>
      </c>
      <c r="O205" s="50">
        <v>0</v>
      </c>
    </row>
    <row r="206" spans="1:15" ht="14.4" x14ac:dyDescent="0.3">
      <c r="A206" s="11">
        <v>729.07</v>
      </c>
      <c r="B206" s="39" t="s">
        <v>207</v>
      </c>
      <c r="C206" s="16" t="s">
        <v>201</v>
      </c>
      <c r="D206" s="16">
        <v>2026</v>
      </c>
      <c r="E206" s="29">
        <v>3.4240357317675295E-2</v>
      </c>
      <c r="F206" s="29">
        <v>7.8234001647311577E-2</v>
      </c>
      <c r="G206" s="29">
        <v>0.13323325885610524</v>
      </c>
      <c r="H206" s="29">
        <v>0.19968647068243481</v>
      </c>
      <c r="I206" s="29">
        <v>0.27674950450100538</v>
      </c>
      <c r="J206" s="15">
        <v>0</v>
      </c>
      <c r="K206" s="33">
        <v>0.66</v>
      </c>
      <c r="L206" s="50">
        <v>0</v>
      </c>
      <c r="M206" s="50">
        <v>0</v>
      </c>
      <c r="N206" s="50">
        <v>9.351845585971524E-4</v>
      </c>
      <c r="O206" s="50">
        <v>0</v>
      </c>
    </row>
    <row r="207" spans="1:15" ht="14.4" x14ac:dyDescent="0.3">
      <c r="A207" s="11">
        <v>729.08</v>
      </c>
      <c r="B207" s="39" t="s">
        <v>208</v>
      </c>
      <c r="C207" s="16" t="s">
        <v>201</v>
      </c>
      <c r="D207" s="16">
        <v>2026</v>
      </c>
      <c r="E207" s="29">
        <v>3.4240357317675295E-2</v>
      </c>
      <c r="F207" s="29">
        <v>7.8234001647311577E-2</v>
      </c>
      <c r="G207" s="29">
        <v>0.13323325885610524</v>
      </c>
      <c r="H207" s="29">
        <v>0.19968647068243481</v>
      </c>
      <c r="I207" s="29">
        <v>0.27674950450100538</v>
      </c>
      <c r="J207" s="15">
        <v>0</v>
      </c>
      <c r="K207" s="33">
        <v>0.66</v>
      </c>
      <c r="L207" s="50">
        <v>0</v>
      </c>
      <c r="M207" s="50">
        <v>0</v>
      </c>
      <c r="N207" s="50">
        <v>7.3880789084405435E-3</v>
      </c>
      <c r="O207" s="50">
        <v>0</v>
      </c>
    </row>
    <row r="208" spans="1:15" ht="14.4" x14ac:dyDescent="0.3">
      <c r="A208" s="11">
        <v>729.09</v>
      </c>
      <c r="B208" s="39" t="s">
        <v>209</v>
      </c>
      <c r="C208" s="16" t="s">
        <v>201</v>
      </c>
      <c r="D208" s="16">
        <v>2026</v>
      </c>
      <c r="E208" s="29">
        <v>3.4290751842997007E-2</v>
      </c>
      <c r="F208" s="29">
        <v>4.7879036258258352E-2</v>
      </c>
      <c r="G208" s="29">
        <v>6.2644150594517653E-2</v>
      </c>
      <c r="H208" s="29">
        <v>7.8636178292705208E-2</v>
      </c>
      <c r="I208" s="29">
        <v>9.5896472809117575E-2</v>
      </c>
      <c r="J208" s="15">
        <v>0</v>
      </c>
      <c r="K208" s="33">
        <v>0.66</v>
      </c>
      <c r="L208" s="50">
        <v>0.52613917114899056</v>
      </c>
      <c r="M208" s="50">
        <v>0.30646710653740655</v>
      </c>
      <c r="N208" s="50">
        <v>0</v>
      </c>
      <c r="O208" s="50">
        <v>0</v>
      </c>
    </row>
    <row r="209" spans="1:15" ht="14.4" x14ac:dyDescent="0.3">
      <c r="A209" s="11">
        <v>729.1</v>
      </c>
      <c r="B209" s="39" t="s">
        <v>209</v>
      </c>
      <c r="C209" s="16" t="s">
        <v>201</v>
      </c>
      <c r="D209" s="16">
        <v>2026</v>
      </c>
      <c r="E209" s="29">
        <v>3.4290751842997007E-2</v>
      </c>
      <c r="F209" s="29">
        <v>4.7879036258258352E-2</v>
      </c>
      <c r="G209" s="29">
        <v>6.2644150594517653E-2</v>
      </c>
      <c r="H209" s="29">
        <v>7.8636178292705208E-2</v>
      </c>
      <c r="I209" s="29">
        <v>9.5896472809117575E-2</v>
      </c>
      <c r="J209" s="15">
        <v>0</v>
      </c>
      <c r="K209" s="33">
        <v>0.66</v>
      </c>
      <c r="L209" s="50">
        <v>0</v>
      </c>
      <c r="M209" s="50">
        <v>0</v>
      </c>
      <c r="N209" s="50">
        <v>0.28285613876709403</v>
      </c>
      <c r="O209" s="50">
        <v>0</v>
      </c>
    </row>
    <row r="210" spans="1:15" ht="14.4" x14ac:dyDescent="0.3">
      <c r="A210" s="11">
        <v>729.11</v>
      </c>
      <c r="B210" s="39" t="s">
        <v>210</v>
      </c>
      <c r="C210" s="16" t="s">
        <v>201</v>
      </c>
      <c r="D210" s="16">
        <v>2026</v>
      </c>
      <c r="E210" s="29">
        <v>0</v>
      </c>
      <c r="F210" s="29">
        <v>0</v>
      </c>
      <c r="G210" s="29">
        <v>0</v>
      </c>
      <c r="H210" s="29">
        <v>0</v>
      </c>
      <c r="I210" s="29">
        <v>0</v>
      </c>
      <c r="J210" s="15">
        <v>0</v>
      </c>
      <c r="K210" s="33">
        <v>0.66</v>
      </c>
      <c r="L210" s="50">
        <v>0</v>
      </c>
      <c r="M210" s="50">
        <v>0</v>
      </c>
      <c r="N210" s="50">
        <v>0</v>
      </c>
      <c r="O210" s="50">
        <v>0</v>
      </c>
    </row>
    <row r="211" spans="1:15" ht="14.4" x14ac:dyDescent="0.3">
      <c r="A211" s="11">
        <v>729.12</v>
      </c>
      <c r="B211" s="39" t="s">
        <v>211</v>
      </c>
      <c r="C211" s="16" t="s">
        <v>201</v>
      </c>
      <c r="D211" s="16">
        <v>2026</v>
      </c>
      <c r="E211" s="29">
        <v>0</v>
      </c>
      <c r="F211" s="29">
        <v>0</v>
      </c>
      <c r="G211" s="29">
        <v>0</v>
      </c>
      <c r="H211" s="29">
        <v>0</v>
      </c>
      <c r="I211" s="29">
        <v>0</v>
      </c>
      <c r="J211" s="15">
        <v>0</v>
      </c>
      <c r="K211" s="33">
        <v>0.66</v>
      </c>
      <c r="L211" s="50">
        <v>0</v>
      </c>
      <c r="M211" s="50">
        <v>0</v>
      </c>
      <c r="N211" s="50">
        <v>0</v>
      </c>
      <c r="O211" s="50">
        <v>0</v>
      </c>
    </row>
    <row r="212" spans="1:15" ht="14.4" x14ac:dyDescent="0.3">
      <c r="A212" s="11">
        <v>729.14</v>
      </c>
      <c r="B212" s="39" t="s">
        <v>212</v>
      </c>
      <c r="C212" s="16" t="s">
        <v>201</v>
      </c>
      <c r="D212" s="16">
        <v>2026</v>
      </c>
      <c r="E212" s="29">
        <v>6.8643718145590796E-2</v>
      </c>
      <c r="F212" s="29">
        <v>0.12589784972943691</v>
      </c>
      <c r="G212" s="29">
        <v>0.19635159928005602</v>
      </c>
      <c r="H212" s="29">
        <v>0.27920335601584217</v>
      </c>
      <c r="I212" s="29">
        <v>0.37159307417019127</v>
      </c>
      <c r="J212" s="15">
        <v>0</v>
      </c>
      <c r="K212" s="33">
        <v>0.66</v>
      </c>
      <c r="L212" s="50">
        <v>0.91062597625939812</v>
      </c>
      <c r="M212" s="50">
        <v>6.9679648865914434E-2</v>
      </c>
      <c r="N212" s="50">
        <v>0</v>
      </c>
      <c r="O212" s="50">
        <v>0</v>
      </c>
    </row>
    <row r="213" spans="1:15" ht="14.4" x14ac:dyDescent="0.3">
      <c r="A213" s="11">
        <v>729.15</v>
      </c>
      <c r="B213" s="39" t="s">
        <v>213</v>
      </c>
      <c r="C213" s="16" t="s">
        <v>201</v>
      </c>
      <c r="D213" s="16">
        <v>2026</v>
      </c>
      <c r="E213" s="29">
        <v>6.8643718145590796E-2</v>
      </c>
      <c r="F213" s="29">
        <v>0.12589784972943691</v>
      </c>
      <c r="G213" s="29">
        <v>0.19635159928005602</v>
      </c>
      <c r="H213" s="29">
        <v>0.27920335601584217</v>
      </c>
      <c r="I213" s="29">
        <v>0.37159307417019127</v>
      </c>
      <c r="J213" s="15">
        <v>0</v>
      </c>
      <c r="K213" s="33">
        <v>0.66</v>
      </c>
      <c r="L213" s="50">
        <v>0.18142552768946962</v>
      </c>
      <c r="M213" s="50">
        <v>1.4606590998522254E-2</v>
      </c>
      <c r="N213" s="50">
        <v>0</v>
      </c>
      <c r="O213" s="50">
        <v>0</v>
      </c>
    </row>
    <row r="214" spans="1:15" ht="14.4" x14ac:dyDescent="0.3">
      <c r="A214" s="11">
        <v>729.16</v>
      </c>
      <c r="B214" s="39" t="s">
        <v>212</v>
      </c>
      <c r="C214" s="16" t="s">
        <v>201</v>
      </c>
      <c r="D214" s="16">
        <v>2026</v>
      </c>
      <c r="E214" s="29">
        <v>6.8643718145590796E-2</v>
      </c>
      <c r="F214" s="29">
        <v>0.12589784972943691</v>
      </c>
      <c r="G214" s="29">
        <v>0.19635159928005602</v>
      </c>
      <c r="H214" s="29">
        <v>0.27920335601584217</v>
      </c>
      <c r="I214" s="29">
        <v>0.37159307417019127</v>
      </c>
      <c r="J214" s="15">
        <v>0</v>
      </c>
      <c r="K214" s="33">
        <v>0.66</v>
      </c>
      <c r="L214" s="50">
        <v>1.4014511765692113</v>
      </c>
      <c r="M214" s="50">
        <v>0.1011707348629412</v>
      </c>
      <c r="N214" s="50">
        <v>0</v>
      </c>
      <c r="O214" s="50">
        <v>0</v>
      </c>
    </row>
    <row r="215" spans="1:15" ht="14.4" x14ac:dyDescent="0.3">
      <c r="A215" s="11">
        <v>729.17</v>
      </c>
      <c r="B215" s="39" t="s">
        <v>213</v>
      </c>
      <c r="C215" s="16" t="s">
        <v>201</v>
      </c>
      <c r="D215" s="16">
        <v>2026</v>
      </c>
      <c r="E215" s="29">
        <v>6.8643718145590796E-2</v>
      </c>
      <c r="F215" s="29">
        <v>0.12589784972943691</v>
      </c>
      <c r="G215" s="29">
        <v>0.19635159928005602</v>
      </c>
      <c r="H215" s="29">
        <v>0.27920335601584217</v>
      </c>
      <c r="I215" s="29">
        <v>0.37159307417019127</v>
      </c>
      <c r="J215" s="15">
        <v>0</v>
      </c>
      <c r="K215" s="33">
        <v>0.66</v>
      </c>
      <c r="L215" s="50">
        <v>0.29727138900703609</v>
      </c>
      <c r="M215" s="50">
        <v>2.1443012749429353E-2</v>
      </c>
      <c r="N215" s="50">
        <v>0</v>
      </c>
      <c r="O215" s="50">
        <v>0</v>
      </c>
    </row>
    <row r="216" spans="1:15" ht="14.4" x14ac:dyDescent="0.3">
      <c r="A216" s="11">
        <v>729.18</v>
      </c>
      <c r="B216" s="39" t="s">
        <v>214</v>
      </c>
      <c r="C216" s="16" t="s">
        <v>201</v>
      </c>
      <c r="D216" s="16">
        <v>2026</v>
      </c>
      <c r="E216" s="29">
        <v>0</v>
      </c>
      <c r="F216" s="29">
        <v>0</v>
      </c>
      <c r="G216" s="29">
        <v>0</v>
      </c>
      <c r="H216" s="29">
        <v>0</v>
      </c>
      <c r="I216" s="29">
        <v>0</v>
      </c>
      <c r="J216" s="15">
        <v>0</v>
      </c>
      <c r="K216" s="33">
        <v>0.66</v>
      </c>
      <c r="L216" s="50">
        <v>0</v>
      </c>
      <c r="M216" s="50">
        <v>0</v>
      </c>
      <c r="N216" s="50">
        <v>0</v>
      </c>
      <c r="O216" s="50">
        <v>0</v>
      </c>
    </row>
    <row r="217" spans="1:15" ht="14.4" x14ac:dyDescent="0.3">
      <c r="A217" s="11">
        <v>730.1</v>
      </c>
      <c r="B217" s="39" t="s">
        <v>215</v>
      </c>
      <c r="C217" s="16" t="s">
        <v>201</v>
      </c>
      <c r="D217" s="16">
        <v>2026</v>
      </c>
      <c r="E217" s="29">
        <v>5.665619809871375E-3</v>
      </c>
      <c r="F217" s="29">
        <v>6.8324366169354714E-3</v>
      </c>
      <c r="G217" s="29">
        <v>8.0106736246070998E-3</v>
      </c>
      <c r="H217" s="29">
        <v>9.200411779913981E-3</v>
      </c>
      <c r="I217" s="29">
        <v>1.0401731917270691E-2</v>
      </c>
      <c r="J217" s="15">
        <v>0</v>
      </c>
      <c r="K217" s="33">
        <v>0.66</v>
      </c>
      <c r="L217" s="50">
        <v>1.0680344275106792</v>
      </c>
      <c r="M217" s="50">
        <v>1.981670618165992E-2</v>
      </c>
      <c r="N217" s="50">
        <v>6.5465731581095635E-7</v>
      </c>
      <c r="O217" s="50">
        <v>0</v>
      </c>
    </row>
    <row r="218" spans="1:15" ht="14.4" x14ac:dyDescent="0.3">
      <c r="A218" s="11">
        <v>730.2</v>
      </c>
      <c r="B218" s="39" t="s">
        <v>216</v>
      </c>
      <c r="C218" s="16" t="s">
        <v>201</v>
      </c>
      <c r="D218" s="16">
        <v>2026</v>
      </c>
      <c r="E218" s="29">
        <v>0</v>
      </c>
      <c r="F218" s="29">
        <v>0</v>
      </c>
      <c r="G218" s="29">
        <v>0</v>
      </c>
      <c r="H218" s="29">
        <v>0</v>
      </c>
      <c r="I218" s="29">
        <v>0</v>
      </c>
      <c r="J218" s="15">
        <v>0</v>
      </c>
      <c r="K218" s="33">
        <v>0.66</v>
      </c>
      <c r="L218" s="50">
        <v>0</v>
      </c>
      <c r="M218" s="50">
        <v>0</v>
      </c>
      <c r="N218" s="50">
        <v>0</v>
      </c>
      <c r="O218" s="50">
        <v>0</v>
      </c>
    </row>
    <row r="219" spans="1:15" ht="14.4" x14ac:dyDescent="0.3">
      <c r="A219" s="11">
        <v>730.3</v>
      </c>
      <c r="B219" s="39" t="s">
        <v>217</v>
      </c>
      <c r="C219" s="16" t="s">
        <v>201</v>
      </c>
      <c r="D219" s="16">
        <v>2026</v>
      </c>
      <c r="E219" s="29">
        <v>0</v>
      </c>
      <c r="F219" s="29">
        <v>0</v>
      </c>
      <c r="G219" s="29">
        <v>0</v>
      </c>
      <c r="H219" s="29">
        <v>0</v>
      </c>
      <c r="I219" s="29">
        <v>0</v>
      </c>
      <c r="J219" s="15">
        <v>0</v>
      </c>
      <c r="K219" s="33">
        <v>0.66</v>
      </c>
      <c r="L219" s="50">
        <v>0</v>
      </c>
      <c r="M219" s="50">
        <v>0</v>
      </c>
      <c r="N219" s="50">
        <v>0</v>
      </c>
      <c r="O219" s="50">
        <v>0</v>
      </c>
    </row>
    <row r="220" spans="1:15" ht="14.4" x14ac:dyDescent="0.3">
      <c r="A220" s="11">
        <v>730.4</v>
      </c>
      <c r="B220" s="39" t="s">
        <v>218</v>
      </c>
      <c r="C220" s="16" t="s">
        <v>201</v>
      </c>
      <c r="D220" s="16">
        <v>2026</v>
      </c>
      <c r="E220" s="29">
        <v>6.4772484035160727E-2</v>
      </c>
      <c r="F220" s="29">
        <v>0.13335417081694861</v>
      </c>
      <c r="G220" s="29">
        <v>0.2206179703747102</v>
      </c>
      <c r="H220" s="29">
        <v>0.32447310149780323</v>
      </c>
      <c r="I220" s="29">
        <v>0.43867750758917134</v>
      </c>
      <c r="J220" s="15">
        <v>0</v>
      </c>
      <c r="K220" s="33">
        <v>0.66</v>
      </c>
      <c r="L220" s="50">
        <v>8.5882341338856805E-2</v>
      </c>
      <c r="M220" s="50">
        <v>5.0519024316974581E-2</v>
      </c>
      <c r="N220" s="50">
        <v>3.0504945506606659E-4</v>
      </c>
      <c r="O220" s="50">
        <v>0</v>
      </c>
    </row>
    <row r="221" spans="1:15" ht="14.4" x14ac:dyDescent="0.3">
      <c r="A221" s="11">
        <v>730.5</v>
      </c>
      <c r="B221" s="39" t="s">
        <v>219</v>
      </c>
      <c r="C221" s="16" t="s">
        <v>201</v>
      </c>
      <c r="D221" s="16">
        <v>2026</v>
      </c>
      <c r="E221" s="29">
        <v>0.22986099475525482</v>
      </c>
      <c r="F221" s="29">
        <v>0.27324844406764465</v>
      </c>
      <c r="G221" s="29">
        <v>0.31922802716607263</v>
      </c>
      <c r="H221" s="29">
        <v>0.36722324198354039</v>
      </c>
      <c r="I221" s="29">
        <v>0.41653803182240129</v>
      </c>
      <c r="J221" s="15">
        <v>0</v>
      </c>
      <c r="K221" s="33">
        <v>0.66</v>
      </c>
      <c r="L221" s="50">
        <v>-0.12571806877409847</v>
      </c>
      <c r="M221" s="50">
        <v>-2.1850172023178422E-3</v>
      </c>
      <c r="N221" s="50">
        <v>6.4631556649148436E-2</v>
      </c>
      <c r="O221" s="50">
        <v>0</v>
      </c>
    </row>
    <row r="222" spans="1:15" ht="14.4" x14ac:dyDescent="0.3">
      <c r="A222" s="11">
        <v>731.1</v>
      </c>
      <c r="B222" s="39" t="s">
        <v>220</v>
      </c>
      <c r="C222" s="16" t="s">
        <v>201</v>
      </c>
      <c r="D222" s="16">
        <v>2026</v>
      </c>
      <c r="E222" s="29">
        <v>0.22986099475525482</v>
      </c>
      <c r="F222" s="29">
        <v>0.27324844406764465</v>
      </c>
      <c r="G222" s="29">
        <v>0.31922802716607263</v>
      </c>
      <c r="H222" s="29">
        <v>0.36722324198354039</v>
      </c>
      <c r="I222" s="29">
        <v>0.41653803182240129</v>
      </c>
      <c r="J222" s="15">
        <v>0</v>
      </c>
      <c r="K222" s="33">
        <v>0.66</v>
      </c>
      <c r="L222" s="50">
        <v>-8.9971858224643041E-6</v>
      </c>
      <c r="M222" s="50">
        <v>-1.9204859776279835E-7</v>
      </c>
      <c r="N222" s="50">
        <v>8.8342354970902467E-6</v>
      </c>
      <c r="O222" s="50">
        <v>0</v>
      </c>
    </row>
    <row r="223" spans="1:15" ht="14.4" x14ac:dyDescent="0.3">
      <c r="A223" s="11">
        <v>731.2</v>
      </c>
      <c r="B223" s="39" t="s">
        <v>221</v>
      </c>
      <c r="C223" s="16" t="s">
        <v>201</v>
      </c>
      <c r="D223" s="16">
        <v>2026</v>
      </c>
      <c r="E223" s="29">
        <v>0</v>
      </c>
      <c r="F223" s="29">
        <v>0</v>
      </c>
      <c r="G223" s="29">
        <v>0</v>
      </c>
      <c r="H223" s="29">
        <v>0</v>
      </c>
      <c r="I223" s="29">
        <v>0</v>
      </c>
      <c r="J223" s="15">
        <v>0</v>
      </c>
      <c r="K223" s="33">
        <v>0.66</v>
      </c>
      <c r="L223" s="50">
        <v>0</v>
      </c>
      <c r="M223" s="50">
        <v>0</v>
      </c>
      <c r="N223" s="50">
        <v>0</v>
      </c>
      <c r="O223" s="50">
        <v>0</v>
      </c>
    </row>
    <row r="224" spans="1:15" ht="14.4" x14ac:dyDescent="0.3">
      <c r="A224" s="11">
        <v>731.3</v>
      </c>
      <c r="B224" s="39" t="s">
        <v>222</v>
      </c>
      <c r="C224" s="16" t="s">
        <v>201</v>
      </c>
      <c r="D224" s="16">
        <v>2026</v>
      </c>
      <c r="E224" s="29">
        <v>0</v>
      </c>
      <c r="F224" s="29">
        <v>0</v>
      </c>
      <c r="G224" s="29">
        <v>0</v>
      </c>
      <c r="H224" s="29">
        <v>0</v>
      </c>
      <c r="I224" s="29">
        <v>0</v>
      </c>
      <c r="J224" s="15">
        <v>0</v>
      </c>
      <c r="K224" s="33">
        <v>0.66</v>
      </c>
      <c r="L224" s="50">
        <v>0</v>
      </c>
      <c r="M224" s="50">
        <v>0</v>
      </c>
      <c r="N224" s="50">
        <v>0</v>
      </c>
      <c r="O224" s="50">
        <v>0</v>
      </c>
    </row>
    <row r="225" spans="1:15" ht="14.4" x14ac:dyDescent="0.3">
      <c r="A225" s="11">
        <v>731.4</v>
      </c>
      <c r="B225" s="39" t="s">
        <v>223</v>
      </c>
      <c r="C225" s="16" t="s">
        <v>201</v>
      </c>
      <c r="D225" s="16">
        <v>2026</v>
      </c>
      <c r="E225" s="29">
        <v>0</v>
      </c>
      <c r="F225" s="29">
        <v>0</v>
      </c>
      <c r="G225" s="29">
        <v>0</v>
      </c>
      <c r="H225" s="29">
        <v>0</v>
      </c>
      <c r="I225" s="29">
        <v>0</v>
      </c>
      <c r="J225" s="15">
        <v>0</v>
      </c>
      <c r="K225" s="33">
        <v>0.66</v>
      </c>
      <c r="L225" s="50">
        <v>0</v>
      </c>
      <c r="M225" s="50">
        <v>0</v>
      </c>
      <c r="N225" s="50">
        <v>0</v>
      </c>
      <c r="O225" s="50">
        <v>0</v>
      </c>
    </row>
    <row r="226" spans="1:15" ht="14.4" x14ac:dyDescent="0.3">
      <c r="A226" s="11">
        <v>731.5</v>
      </c>
      <c r="B226" s="39" t="s">
        <v>224</v>
      </c>
      <c r="C226" s="16" t="s">
        <v>201</v>
      </c>
      <c r="D226" s="16">
        <v>2026</v>
      </c>
      <c r="E226" s="29">
        <v>0.22986099475525482</v>
      </c>
      <c r="F226" s="29">
        <v>0.27324844406764465</v>
      </c>
      <c r="G226" s="29">
        <v>0.31922802716607263</v>
      </c>
      <c r="H226" s="29">
        <v>0.36722324198354039</v>
      </c>
      <c r="I226" s="29">
        <v>0.41653803182240129</v>
      </c>
      <c r="J226" s="15">
        <v>0</v>
      </c>
      <c r="K226" s="33">
        <v>0.66</v>
      </c>
      <c r="L226" s="50">
        <v>0</v>
      </c>
      <c r="M226" s="50">
        <v>0</v>
      </c>
      <c r="N226" s="50">
        <v>0</v>
      </c>
      <c r="O226" s="50">
        <v>0</v>
      </c>
    </row>
    <row r="227" spans="1:15" ht="14.4" x14ac:dyDescent="0.3">
      <c r="A227" s="11">
        <v>731.6</v>
      </c>
      <c r="B227" s="39" t="s">
        <v>225</v>
      </c>
      <c r="C227" s="16" t="s">
        <v>201</v>
      </c>
      <c r="D227" s="16">
        <v>2026</v>
      </c>
      <c r="E227" s="29">
        <v>0.22986099475525482</v>
      </c>
      <c r="F227" s="29">
        <v>0.27324844406764465</v>
      </c>
      <c r="G227" s="29">
        <v>0.31922802716607263</v>
      </c>
      <c r="H227" s="29">
        <v>0.36722324198354039</v>
      </c>
      <c r="I227" s="29">
        <v>0.41653803182240129</v>
      </c>
      <c r="J227" s="15">
        <v>0</v>
      </c>
      <c r="K227" s="33">
        <v>0.66</v>
      </c>
      <c r="L227" s="50">
        <v>3.1986172907725208E-2</v>
      </c>
      <c r="M227" s="50">
        <v>5.2317613679448314E-3</v>
      </c>
      <c r="N227" s="50">
        <v>1.3855792699992441E-5</v>
      </c>
      <c r="O227" s="50">
        <v>0</v>
      </c>
    </row>
    <row r="228" spans="1:15" ht="14.4" x14ac:dyDescent="0.3">
      <c r="A228" s="11">
        <v>731.7</v>
      </c>
      <c r="B228" s="39" t="s">
        <v>226</v>
      </c>
      <c r="C228" s="16" t="s">
        <v>201</v>
      </c>
      <c r="D228" s="16">
        <v>2026</v>
      </c>
      <c r="E228" s="29">
        <v>0</v>
      </c>
      <c r="F228" s="29">
        <v>0</v>
      </c>
      <c r="G228" s="29">
        <v>0</v>
      </c>
      <c r="H228" s="29">
        <v>0</v>
      </c>
      <c r="I228" s="29">
        <v>0</v>
      </c>
      <c r="J228" s="15">
        <v>0</v>
      </c>
      <c r="K228" s="33">
        <v>0.66</v>
      </c>
      <c r="L228" s="50">
        <v>0</v>
      </c>
      <c r="M228" s="50">
        <v>0</v>
      </c>
      <c r="N228" s="50">
        <v>0</v>
      </c>
      <c r="O228" s="50">
        <v>0</v>
      </c>
    </row>
    <row r="229" spans="1:15" ht="14.4" x14ac:dyDescent="0.3">
      <c r="A229" s="11">
        <v>731.8</v>
      </c>
      <c r="B229" s="39" t="s">
        <v>227</v>
      </c>
      <c r="C229" s="16" t="s">
        <v>201</v>
      </c>
      <c r="D229" s="16">
        <v>2026</v>
      </c>
      <c r="E229" s="29">
        <v>0</v>
      </c>
      <c r="F229" s="29">
        <v>0</v>
      </c>
      <c r="G229" s="29">
        <v>0</v>
      </c>
      <c r="H229" s="29">
        <v>0</v>
      </c>
      <c r="I229" s="29">
        <v>0</v>
      </c>
      <c r="J229" s="15">
        <v>0</v>
      </c>
      <c r="K229" s="33">
        <v>0.66</v>
      </c>
      <c r="L229" s="50">
        <v>0</v>
      </c>
      <c r="M229" s="50">
        <v>0</v>
      </c>
      <c r="N229" s="50">
        <v>0</v>
      </c>
      <c r="O229" s="50">
        <v>0</v>
      </c>
    </row>
    <row r="230" spans="1:15" ht="14.4" x14ac:dyDescent="0.3">
      <c r="A230" s="11">
        <v>731.9</v>
      </c>
      <c r="B230" s="39" t="s">
        <v>228</v>
      </c>
      <c r="C230" s="16" t="s">
        <v>201</v>
      </c>
      <c r="D230" s="16">
        <v>2026</v>
      </c>
      <c r="E230" s="29">
        <v>0</v>
      </c>
      <c r="F230" s="29">
        <v>0</v>
      </c>
      <c r="G230" s="29">
        <v>0</v>
      </c>
      <c r="H230" s="29">
        <v>0</v>
      </c>
      <c r="I230" s="29">
        <v>0</v>
      </c>
      <c r="J230" s="15">
        <v>0</v>
      </c>
      <c r="K230" s="33">
        <v>0.66</v>
      </c>
      <c r="L230" s="50">
        <v>0</v>
      </c>
      <c r="M230" s="50">
        <v>0</v>
      </c>
      <c r="N230" s="50">
        <v>0</v>
      </c>
      <c r="O230" s="50">
        <v>0</v>
      </c>
    </row>
    <row r="231" spans="1:15" ht="14.4" x14ac:dyDescent="0.3">
      <c r="A231" s="11">
        <v>732</v>
      </c>
      <c r="B231" s="39" t="s">
        <v>229</v>
      </c>
      <c r="C231" s="16" t="s">
        <v>201</v>
      </c>
      <c r="D231" s="16">
        <v>2026</v>
      </c>
      <c r="E231" s="29">
        <v>3.5655923196416649E-3</v>
      </c>
      <c r="F231" s="29">
        <v>6.9656996225392256E-3</v>
      </c>
      <c r="G231" s="29">
        <v>1.1112895679537702E-2</v>
      </c>
      <c r="H231" s="29">
        <v>1.6123875114151649E-2</v>
      </c>
      <c r="I231" s="29">
        <v>2.2110043609184577E-2</v>
      </c>
      <c r="J231" s="15">
        <v>0</v>
      </c>
      <c r="K231" s="33">
        <v>0.66</v>
      </c>
      <c r="L231" s="50">
        <v>1.4929973401931087</v>
      </c>
      <c r="M231" s="50">
        <v>0.23113513000219263</v>
      </c>
      <c r="N231" s="50">
        <v>1.0254072215696998E-3</v>
      </c>
      <c r="O231" s="50">
        <v>0</v>
      </c>
    </row>
    <row r="232" spans="1:15" ht="14.4" x14ac:dyDescent="0.3">
      <c r="A232" s="11">
        <v>733.1</v>
      </c>
      <c r="B232" s="39" t="s">
        <v>230</v>
      </c>
      <c r="C232" s="16" t="s">
        <v>201</v>
      </c>
      <c r="D232" s="16">
        <v>2026</v>
      </c>
      <c r="E232" s="29">
        <v>0.22986099475525482</v>
      </c>
      <c r="F232" s="29">
        <v>0.27324844406764465</v>
      </c>
      <c r="G232" s="29">
        <v>0.31922802716607263</v>
      </c>
      <c r="H232" s="29">
        <v>0.36722324198354039</v>
      </c>
      <c r="I232" s="29">
        <v>0.41653803182240129</v>
      </c>
      <c r="J232" s="15">
        <v>0</v>
      </c>
      <c r="K232" s="33">
        <v>0.66</v>
      </c>
      <c r="L232" s="50">
        <v>3.040420316173468</v>
      </c>
      <c r="M232" s="50">
        <v>1.2602778512636133E-2</v>
      </c>
      <c r="N232" s="50">
        <v>0</v>
      </c>
      <c r="O232" s="50">
        <v>0</v>
      </c>
    </row>
    <row r="233" spans="1:15" ht="14.4" x14ac:dyDescent="0.3">
      <c r="A233" s="11">
        <v>733.2</v>
      </c>
      <c r="B233" s="39" t="s">
        <v>231</v>
      </c>
      <c r="C233" s="16" t="s">
        <v>201</v>
      </c>
      <c r="D233" s="16">
        <v>2026</v>
      </c>
      <c r="E233" s="29">
        <v>0.22986099475525482</v>
      </c>
      <c r="F233" s="29">
        <v>0.27324844406764465</v>
      </c>
      <c r="G233" s="29">
        <v>0.31922802716607263</v>
      </c>
      <c r="H233" s="29">
        <v>0.36722324198354039</v>
      </c>
      <c r="I233" s="29">
        <v>0.41653803182240129</v>
      </c>
      <c r="J233" s="15">
        <v>0</v>
      </c>
      <c r="K233" s="33">
        <v>0.66</v>
      </c>
      <c r="L233" s="50">
        <v>11.563049285343652</v>
      </c>
      <c r="M233" s="50">
        <v>4.7785535193745336E-2</v>
      </c>
      <c r="N233" s="50">
        <v>0</v>
      </c>
      <c r="O233" s="50">
        <v>0</v>
      </c>
    </row>
    <row r="234" spans="1:15" ht="14.4" x14ac:dyDescent="0.3">
      <c r="A234" s="11">
        <v>734.1</v>
      </c>
      <c r="B234" s="39" t="s">
        <v>232</v>
      </c>
      <c r="C234" s="16" t="s">
        <v>201</v>
      </c>
      <c r="D234" s="16">
        <v>2026</v>
      </c>
      <c r="E234" s="29">
        <v>0.14713836611266767</v>
      </c>
      <c r="F234" s="29">
        <v>0.17351085546512252</v>
      </c>
      <c r="G234" s="29">
        <v>0.20169636732921256</v>
      </c>
      <c r="H234" s="29">
        <v>0.23161574147777839</v>
      </c>
      <c r="I234" s="29">
        <v>0.26314764215318337</v>
      </c>
      <c r="J234" s="15">
        <v>0</v>
      </c>
      <c r="K234" s="33">
        <v>0.66</v>
      </c>
      <c r="L234" s="50">
        <v>4.585375084453621E-2</v>
      </c>
      <c r="M234" s="50">
        <v>1.7289153816501712E-2</v>
      </c>
      <c r="N234" s="50">
        <v>1.174331632005363E-2</v>
      </c>
      <c r="O234" s="50">
        <v>0</v>
      </c>
    </row>
    <row r="235" spans="1:15" ht="14.4" x14ac:dyDescent="0.3">
      <c r="A235" s="11">
        <v>734.2</v>
      </c>
      <c r="B235" s="39" t="s">
        <v>233</v>
      </c>
      <c r="C235" s="16" t="s">
        <v>201</v>
      </c>
      <c r="D235" s="16">
        <v>2026</v>
      </c>
      <c r="E235" s="29">
        <v>0.24747757352155483</v>
      </c>
      <c r="F235" s="29">
        <v>0.29437265379393557</v>
      </c>
      <c r="G235" s="29">
        <v>0.34385520803582592</v>
      </c>
      <c r="H235" s="29">
        <v>0.39518220480893318</v>
      </c>
      <c r="I235" s="29">
        <v>0.44748609230028918</v>
      </c>
      <c r="J235" s="15">
        <v>0</v>
      </c>
      <c r="K235" s="33">
        <v>0.66</v>
      </c>
      <c r="L235" s="50">
        <v>0.42960613670968051</v>
      </c>
      <c r="M235" s="50">
        <v>6.1658090412772745E-2</v>
      </c>
      <c r="N235" s="50">
        <v>1.2984943045060097E-2</v>
      </c>
      <c r="O235" s="50">
        <v>0</v>
      </c>
    </row>
    <row r="236" spans="1:15" ht="14.4" x14ac:dyDescent="0.3">
      <c r="A236" s="11">
        <v>734.3</v>
      </c>
      <c r="B236" s="39" t="s">
        <v>234</v>
      </c>
      <c r="C236" s="16" t="s">
        <v>201</v>
      </c>
      <c r="D236" s="16">
        <v>2026</v>
      </c>
      <c r="E236" s="29">
        <v>3.2364654118871974E-2</v>
      </c>
      <c r="F236" s="29">
        <v>3.6989477669418097E-2</v>
      </c>
      <c r="G236" s="29">
        <v>4.1751575888776309E-2</v>
      </c>
      <c r="H236" s="29">
        <v>4.6653368618896532E-2</v>
      </c>
      <c r="I236" s="29">
        <v>5.1697201087068892E-2</v>
      </c>
      <c r="J236" s="15">
        <v>0</v>
      </c>
      <c r="K236" s="33">
        <v>0.66</v>
      </c>
      <c r="L236" s="50">
        <v>0.12653375987401891</v>
      </c>
      <c r="M236" s="50">
        <v>1.176442419872531E-2</v>
      </c>
      <c r="N236" s="50">
        <v>2.3792517406649618E-3</v>
      </c>
      <c r="O236" s="50">
        <v>0</v>
      </c>
    </row>
    <row r="237" spans="1:15" ht="14.4" x14ac:dyDescent="0.3">
      <c r="A237" s="11">
        <v>734.4</v>
      </c>
      <c r="B237" s="39" t="s">
        <v>235</v>
      </c>
      <c r="C237" s="16" t="s">
        <v>201</v>
      </c>
      <c r="D237" s="16">
        <v>2026</v>
      </c>
      <c r="E237" s="29">
        <v>0.32293790363081165</v>
      </c>
      <c r="F237" s="29">
        <v>0.38380487450746698</v>
      </c>
      <c r="G237" s="29">
        <v>0.4463538563402159</v>
      </c>
      <c r="H237" s="29">
        <v>0.50899026730314312</v>
      </c>
      <c r="I237" s="29">
        <v>0.57011064813451551</v>
      </c>
      <c r="J237" s="15">
        <v>0</v>
      </c>
      <c r="K237" s="33">
        <v>0.66</v>
      </c>
      <c r="L237" s="50">
        <v>8.5915932584270188E-2</v>
      </c>
      <c r="M237" s="50">
        <v>1.745046739191615E-2</v>
      </c>
      <c r="N237" s="50">
        <v>1.5747636276177184E-2</v>
      </c>
      <c r="O237" s="50">
        <v>0</v>
      </c>
    </row>
    <row r="238" spans="1:15" ht="14.4" x14ac:dyDescent="0.3">
      <c r="A238" s="11">
        <v>734.5</v>
      </c>
      <c r="B238" s="39" t="s">
        <v>236</v>
      </c>
      <c r="C238" s="16" t="s">
        <v>201</v>
      </c>
      <c r="D238" s="16">
        <v>2026</v>
      </c>
      <c r="E238" s="29">
        <v>6.7654544934993522E-3</v>
      </c>
      <c r="F238" s="29">
        <v>7.6391350769097017E-3</v>
      </c>
      <c r="G238" s="29">
        <v>8.5191483855009496E-3</v>
      </c>
      <c r="H238" s="29">
        <v>9.405527577985056E-3</v>
      </c>
      <c r="I238" s="29">
        <v>1.029830577639745E-2</v>
      </c>
      <c r="J238" s="15">
        <v>0</v>
      </c>
      <c r="K238" s="33">
        <v>0.66</v>
      </c>
      <c r="L238" s="50">
        <v>4.0118273869875508E-2</v>
      </c>
      <c r="M238" s="50">
        <v>2.6052788927389336E-2</v>
      </c>
      <c r="N238" s="50">
        <v>1.6947225475338688E-2</v>
      </c>
      <c r="O238" s="50">
        <v>0</v>
      </c>
    </row>
    <row r="239" spans="1:15" ht="14.4" x14ac:dyDescent="0.3">
      <c r="A239" s="11">
        <v>734.6</v>
      </c>
      <c r="B239" s="39" t="s">
        <v>237</v>
      </c>
      <c r="C239" s="16" t="s">
        <v>201</v>
      </c>
      <c r="D239" s="16">
        <v>2026</v>
      </c>
      <c r="E239" s="29">
        <v>6.2184139019307118E-2</v>
      </c>
      <c r="F239" s="29">
        <v>7.1871828916442712E-2</v>
      </c>
      <c r="G239" s="29">
        <v>8.2024009836525677E-2</v>
      </c>
      <c r="H239" s="29">
        <v>9.2649569511572771E-2</v>
      </c>
      <c r="I239" s="29">
        <v>0.10375593993390103</v>
      </c>
      <c r="J239" s="15">
        <v>0</v>
      </c>
      <c r="K239" s="33">
        <v>0.66</v>
      </c>
      <c r="L239" s="50">
        <v>0.11294438221214149</v>
      </c>
      <c r="M239" s="50">
        <v>1.2238766820346393E-2</v>
      </c>
      <c r="N239" s="50">
        <v>8.0429526421920729E-3</v>
      </c>
      <c r="O239" s="50">
        <v>0</v>
      </c>
    </row>
    <row r="240" spans="1:15" ht="14.4" x14ac:dyDescent="0.3">
      <c r="A240" s="11">
        <v>734.7</v>
      </c>
      <c r="B240" s="39" t="s">
        <v>238</v>
      </c>
      <c r="C240" s="16" t="s">
        <v>201</v>
      </c>
      <c r="D240" s="16">
        <v>2026</v>
      </c>
      <c r="E240" s="29">
        <v>6.2184139019307118E-2</v>
      </c>
      <c r="F240" s="29">
        <v>7.1871828916442712E-2</v>
      </c>
      <c r="G240" s="29">
        <v>8.2024009836525677E-2</v>
      </c>
      <c r="H240" s="29">
        <v>9.2649569511572771E-2</v>
      </c>
      <c r="I240" s="29">
        <v>0.10375593993390103</v>
      </c>
      <c r="J240" s="15">
        <v>0</v>
      </c>
      <c r="K240" s="33">
        <v>0.66</v>
      </c>
      <c r="L240" s="50">
        <v>8.3953174876080396</v>
      </c>
      <c r="M240" s="50">
        <v>0.15537705863022638</v>
      </c>
      <c r="N240" s="50">
        <v>2.8869720474042772E-2</v>
      </c>
      <c r="O240" s="50">
        <v>0</v>
      </c>
    </row>
    <row r="241" spans="1:15" ht="14.4" x14ac:dyDescent="0.3">
      <c r="A241" s="11">
        <v>734.8</v>
      </c>
      <c r="B241" s="39" t="s">
        <v>239</v>
      </c>
      <c r="C241" s="16" t="s">
        <v>201</v>
      </c>
      <c r="D241" s="16">
        <v>2026</v>
      </c>
      <c r="E241" s="29">
        <v>3.8077040044688752E-2</v>
      </c>
      <c r="F241" s="29">
        <v>8.3340890502438161E-2</v>
      </c>
      <c r="G241" s="29">
        <v>0.14749634405421563</v>
      </c>
      <c r="H241" s="29">
        <v>0.23261263124507062</v>
      </c>
      <c r="I241" s="29">
        <v>0.33615250518754314</v>
      </c>
      <c r="J241" s="15">
        <v>0</v>
      </c>
      <c r="K241" s="33">
        <v>0.66</v>
      </c>
      <c r="L241" s="50">
        <v>0.36283418878862883</v>
      </c>
      <c r="M241" s="50">
        <v>6.5221003168659851E-3</v>
      </c>
      <c r="N241" s="50">
        <v>2.2294629653303068E-3</v>
      </c>
      <c r="O241" s="50">
        <v>0</v>
      </c>
    </row>
    <row r="242" spans="1:15" ht="14.4" x14ac:dyDescent="0.3">
      <c r="A242" s="11">
        <v>734.9</v>
      </c>
      <c r="B242" s="39" t="s">
        <v>240</v>
      </c>
      <c r="C242" s="16" t="s">
        <v>201</v>
      </c>
      <c r="D242" s="16">
        <v>2026</v>
      </c>
      <c r="E242" s="29">
        <v>3.8077040044688752E-2</v>
      </c>
      <c r="F242" s="29">
        <v>8.3340890502438161E-2</v>
      </c>
      <c r="G242" s="29">
        <v>0.14749634405421563</v>
      </c>
      <c r="H242" s="29">
        <v>0.23261263124507062</v>
      </c>
      <c r="I242" s="29">
        <v>0.33615250518754314</v>
      </c>
      <c r="J242" s="15">
        <v>0</v>
      </c>
      <c r="K242" s="33">
        <v>0.66</v>
      </c>
      <c r="L242" s="50">
        <v>6.9782293968824955</v>
      </c>
      <c r="M242" s="50">
        <v>0.15538565686164599</v>
      </c>
      <c r="N242" s="50">
        <v>5.7718501462418526E-2</v>
      </c>
      <c r="O242" s="50">
        <v>0</v>
      </c>
    </row>
    <row r="243" spans="1:15" ht="14.4" x14ac:dyDescent="0.3">
      <c r="A243" s="11">
        <v>735.1</v>
      </c>
      <c r="B243" s="39" t="s">
        <v>241</v>
      </c>
      <c r="C243" s="16" t="s">
        <v>201</v>
      </c>
      <c r="D243" s="16">
        <v>2026</v>
      </c>
      <c r="E243" s="29">
        <v>0</v>
      </c>
      <c r="F243" s="29">
        <v>0</v>
      </c>
      <c r="G243" s="29">
        <v>5.3881451874935498E-3</v>
      </c>
      <c r="H243" s="29">
        <v>1.3954134714127851E-2</v>
      </c>
      <c r="I243" s="29">
        <v>2.3126723125657063E-2</v>
      </c>
      <c r="J243" s="15">
        <v>0</v>
      </c>
      <c r="K243" s="33">
        <v>0.66</v>
      </c>
      <c r="L243" s="50">
        <v>7.0167522644435421</v>
      </c>
      <c r="M243" s="50">
        <v>6.7131939651547681</v>
      </c>
      <c r="N243" s="50">
        <v>0.12127961524463668</v>
      </c>
      <c r="O243" s="50">
        <v>7.4542482615079448E-3</v>
      </c>
    </row>
    <row r="244" spans="1:15" ht="14.4" x14ac:dyDescent="0.3">
      <c r="A244" s="11">
        <v>735.2</v>
      </c>
      <c r="B244" s="39" t="s">
        <v>242</v>
      </c>
      <c r="C244" s="16" t="s">
        <v>201</v>
      </c>
      <c r="D244" s="16">
        <v>2026</v>
      </c>
      <c r="E244" s="29">
        <v>0</v>
      </c>
      <c r="F244" s="29">
        <v>0</v>
      </c>
      <c r="G244" s="29">
        <v>5.3881451874935498E-3</v>
      </c>
      <c r="H244" s="29">
        <v>1.3954134714127851E-2</v>
      </c>
      <c r="I244" s="29">
        <v>2.3126723125657063E-2</v>
      </c>
      <c r="J244" s="15">
        <v>0</v>
      </c>
      <c r="K244" s="33">
        <v>0.66</v>
      </c>
      <c r="L244" s="50">
        <v>32.070004363537663</v>
      </c>
      <c r="M244" s="50">
        <v>27.396705636762885</v>
      </c>
      <c r="N244" s="50">
        <v>0.49735515814363512</v>
      </c>
      <c r="O244" s="50">
        <v>4.1740008031388123E-2</v>
      </c>
    </row>
    <row r="245" spans="1:15" ht="14.4" x14ac:dyDescent="0.3">
      <c r="A245" s="11">
        <v>736.1</v>
      </c>
      <c r="B245" s="39" t="s">
        <v>243</v>
      </c>
      <c r="C245" s="16" t="s">
        <v>201</v>
      </c>
      <c r="D245" s="16">
        <v>2026</v>
      </c>
      <c r="E245" s="29">
        <v>0.14494660350416885</v>
      </c>
      <c r="F245" s="29">
        <v>0.17127152825719658</v>
      </c>
      <c r="G245" s="29">
        <v>0.19940988518875141</v>
      </c>
      <c r="H245" s="29">
        <v>0.22924595093689834</v>
      </c>
      <c r="I245" s="29">
        <v>0.26061389125710871</v>
      </c>
      <c r="J245" s="15">
        <v>0</v>
      </c>
      <c r="K245" s="33">
        <v>0.66</v>
      </c>
      <c r="L245" s="50">
        <v>6.0969374464634414E-2</v>
      </c>
      <c r="M245" s="50">
        <v>1.145395402556631E-3</v>
      </c>
      <c r="N245" s="50">
        <v>0</v>
      </c>
      <c r="O245" s="50">
        <v>0</v>
      </c>
    </row>
    <row r="246" spans="1:15" ht="14.4" x14ac:dyDescent="0.3">
      <c r="A246" s="11">
        <v>736.2</v>
      </c>
      <c r="B246" s="39" t="s">
        <v>244</v>
      </c>
      <c r="C246" s="16" t="s">
        <v>201</v>
      </c>
      <c r="D246" s="16">
        <v>2026</v>
      </c>
      <c r="E246" s="29">
        <v>0.14494660350416885</v>
      </c>
      <c r="F246" s="29">
        <v>0.17127152825719658</v>
      </c>
      <c r="G246" s="29">
        <v>0.19940988518875141</v>
      </c>
      <c r="H246" s="29">
        <v>0.22924595093689834</v>
      </c>
      <c r="I246" s="29">
        <v>0.26061389125710871</v>
      </c>
      <c r="J246" s="15">
        <v>0</v>
      </c>
      <c r="K246" s="33">
        <v>0.66</v>
      </c>
      <c r="L246" s="50">
        <v>0.21819914664280191</v>
      </c>
      <c r="M246" s="50">
        <v>4.0635953889981485E-3</v>
      </c>
      <c r="N246" s="50">
        <v>0</v>
      </c>
      <c r="O246" s="50">
        <v>0</v>
      </c>
    </row>
    <row r="247" spans="1:15" ht="14.4" x14ac:dyDescent="0.3">
      <c r="A247" s="11">
        <v>736.3</v>
      </c>
      <c r="B247" s="39" t="s">
        <v>245</v>
      </c>
      <c r="C247" s="16" t="s">
        <v>201</v>
      </c>
      <c r="D247" s="16">
        <v>2026</v>
      </c>
      <c r="E247" s="29">
        <v>6.7654544934993522E-3</v>
      </c>
      <c r="F247" s="29">
        <v>7.6391350769097017E-3</v>
      </c>
      <c r="G247" s="29">
        <v>8.5191483855009496E-3</v>
      </c>
      <c r="H247" s="29">
        <v>9.405527577985056E-3</v>
      </c>
      <c r="I247" s="29">
        <v>1.029830577639745E-2</v>
      </c>
      <c r="J247" s="15">
        <v>0</v>
      </c>
      <c r="K247" s="33">
        <v>0.66</v>
      </c>
      <c r="L247" s="50">
        <v>0</v>
      </c>
      <c r="M247" s="50">
        <v>0</v>
      </c>
      <c r="N247" s="50">
        <v>0</v>
      </c>
      <c r="O247" s="50">
        <v>2.140122488755873E-3</v>
      </c>
    </row>
    <row r="248" spans="1:15" ht="14.4" x14ac:dyDescent="0.3">
      <c r="A248" s="11">
        <v>736.4</v>
      </c>
      <c r="B248" s="39" t="s">
        <v>246</v>
      </c>
      <c r="C248" s="16" t="s">
        <v>201</v>
      </c>
      <c r="D248" s="16">
        <v>2026</v>
      </c>
      <c r="E248" s="29">
        <v>6.7654544934993522E-3</v>
      </c>
      <c r="F248" s="29">
        <v>7.6391350769097017E-3</v>
      </c>
      <c r="G248" s="29">
        <v>8.5191483855009496E-3</v>
      </c>
      <c r="H248" s="29">
        <v>9.405527577985056E-3</v>
      </c>
      <c r="I248" s="29">
        <v>1.029830577639745E-2</v>
      </c>
      <c r="J248" s="15">
        <v>0</v>
      </c>
      <c r="K248" s="33">
        <v>0.66</v>
      </c>
      <c r="L248" s="50">
        <v>0</v>
      </c>
      <c r="M248" s="50">
        <v>0</v>
      </c>
      <c r="N248" s="50">
        <v>0</v>
      </c>
      <c r="O248" s="50">
        <v>6.9680672256337527E-3</v>
      </c>
    </row>
    <row r="249" spans="1:15" ht="14.4" x14ac:dyDescent="0.3">
      <c r="A249" s="11">
        <v>737.1</v>
      </c>
      <c r="B249" s="39" t="s">
        <v>247</v>
      </c>
      <c r="C249" s="16" t="s">
        <v>201</v>
      </c>
      <c r="D249" s="16">
        <v>2026</v>
      </c>
      <c r="E249" s="29">
        <v>0.29935773895109541</v>
      </c>
      <c r="F249" s="29">
        <v>0.32684884435869216</v>
      </c>
      <c r="G249" s="29">
        <v>0.35448643461895518</v>
      </c>
      <c r="H249" s="29">
        <v>0.38194729281322204</v>
      </c>
      <c r="I249" s="29">
        <v>0.40891638843252359</v>
      </c>
      <c r="J249" s="15">
        <v>0</v>
      </c>
      <c r="K249" s="33">
        <v>0.66</v>
      </c>
      <c r="L249" s="50">
        <v>0</v>
      </c>
      <c r="M249" s="50">
        <v>0</v>
      </c>
      <c r="N249" s="50">
        <v>0.49473698288197782</v>
      </c>
      <c r="O249" s="50">
        <v>0</v>
      </c>
    </row>
    <row r="250" spans="1:15" ht="14.4" x14ac:dyDescent="0.3">
      <c r="A250" s="11">
        <v>737.2</v>
      </c>
      <c r="B250" s="39" t="s">
        <v>248</v>
      </c>
      <c r="C250" s="16" t="s">
        <v>201</v>
      </c>
      <c r="D250" s="16">
        <v>2026</v>
      </c>
      <c r="E250" s="29">
        <v>0.29935773895109541</v>
      </c>
      <c r="F250" s="29">
        <v>0.32684884435869216</v>
      </c>
      <c r="G250" s="29">
        <v>0.35448643461895518</v>
      </c>
      <c r="H250" s="29">
        <v>0.38194729281322204</v>
      </c>
      <c r="I250" s="29">
        <v>0.40891638843252359</v>
      </c>
      <c r="J250" s="15">
        <v>0</v>
      </c>
      <c r="K250" s="33">
        <v>0.66</v>
      </c>
      <c r="L250" s="50">
        <v>0</v>
      </c>
      <c r="M250" s="50">
        <v>0</v>
      </c>
      <c r="N250" s="50">
        <v>0.92031718321056089</v>
      </c>
      <c r="O250" s="50">
        <v>0</v>
      </c>
    </row>
    <row r="251" spans="1:15" ht="14.4" x14ac:dyDescent="0.3">
      <c r="A251" s="11">
        <v>737.3</v>
      </c>
      <c r="B251" s="39" t="s">
        <v>247</v>
      </c>
      <c r="C251" s="16" t="s">
        <v>201</v>
      </c>
      <c r="D251" s="16">
        <v>2026</v>
      </c>
      <c r="E251" s="29">
        <v>0.31052277938797457</v>
      </c>
      <c r="F251" s="29">
        <v>0.33512220671386544</v>
      </c>
      <c r="G251" s="29">
        <v>0.35969465232350212</v>
      </c>
      <c r="H251" s="29">
        <v>0.38402198479106997</v>
      </c>
      <c r="I251" s="29">
        <v>0.40789470052637034</v>
      </c>
      <c r="J251" s="15">
        <v>0</v>
      </c>
      <c r="K251" s="33">
        <v>0.66</v>
      </c>
      <c r="L251" s="50">
        <v>0.80467110198466285</v>
      </c>
      <c r="M251" s="50">
        <v>0.13322369238156667</v>
      </c>
      <c r="N251" s="50">
        <v>0</v>
      </c>
      <c r="O251" s="50">
        <v>0</v>
      </c>
    </row>
    <row r="252" spans="1:15" ht="14.4" x14ac:dyDescent="0.3">
      <c r="A252" s="11">
        <v>737.4</v>
      </c>
      <c r="B252" s="39" t="s">
        <v>248</v>
      </c>
      <c r="C252" s="16" t="s">
        <v>201</v>
      </c>
      <c r="D252" s="16">
        <v>2026</v>
      </c>
      <c r="E252" s="29">
        <v>0.31052277938797457</v>
      </c>
      <c r="F252" s="29">
        <v>0.33512220671386544</v>
      </c>
      <c r="G252" s="29">
        <v>0.35969465232350212</v>
      </c>
      <c r="H252" s="29">
        <v>0.38402198479106997</v>
      </c>
      <c r="I252" s="29">
        <v>0.40789470052637034</v>
      </c>
      <c r="J252" s="15">
        <v>0</v>
      </c>
      <c r="K252" s="33">
        <v>0.66</v>
      </c>
      <c r="L252" s="50">
        <v>1.6306579947503759</v>
      </c>
      <c r="M252" s="50">
        <v>0.27710528015365865</v>
      </c>
      <c r="N252" s="50">
        <v>0</v>
      </c>
      <c r="O252" s="50">
        <v>0</v>
      </c>
    </row>
    <row r="253" spans="1:15" ht="14.4" x14ac:dyDescent="0.3">
      <c r="A253" s="11">
        <v>737.5</v>
      </c>
      <c r="B253" s="39" t="s">
        <v>249</v>
      </c>
      <c r="C253" s="16" t="s">
        <v>201</v>
      </c>
      <c r="D253" s="16">
        <v>2026</v>
      </c>
      <c r="E253" s="29">
        <v>6.574769206099719E-2</v>
      </c>
      <c r="F253" s="29">
        <v>0.10317873711911389</v>
      </c>
      <c r="G253" s="29">
        <v>0.15035679291486126</v>
      </c>
      <c r="H253" s="29">
        <v>0.20728873842287343</v>
      </c>
      <c r="I253" s="29">
        <v>0.27249277649135201</v>
      </c>
      <c r="J253" s="15">
        <v>0</v>
      </c>
      <c r="K253" s="33">
        <v>0.66</v>
      </c>
      <c r="L253" s="50">
        <v>0.87737371155142951</v>
      </c>
      <c r="M253" s="50">
        <v>0.14404643025471231</v>
      </c>
      <c r="N253" s="50">
        <v>0</v>
      </c>
      <c r="O253" s="50">
        <v>0</v>
      </c>
    </row>
    <row r="254" spans="1:15" ht="14.4" x14ac:dyDescent="0.3">
      <c r="A254" s="11">
        <v>737.6</v>
      </c>
      <c r="B254" s="39" t="s">
        <v>249</v>
      </c>
      <c r="C254" s="16" t="s">
        <v>201</v>
      </c>
      <c r="D254" s="16">
        <v>2026</v>
      </c>
      <c r="E254" s="29">
        <v>6.574769206099719E-2</v>
      </c>
      <c r="F254" s="29">
        <v>0.10317873711911389</v>
      </c>
      <c r="G254" s="29">
        <v>0.15035679291486126</v>
      </c>
      <c r="H254" s="29">
        <v>0.20728873842287343</v>
      </c>
      <c r="I254" s="29">
        <v>0.27249277649135201</v>
      </c>
      <c r="J254" s="15">
        <v>0</v>
      </c>
      <c r="K254" s="33">
        <v>0.66</v>
      </c>
      <c r="L254" s="50">
        <v>0.32737825057889153</v>
      </c>
      <c r="M254" s="50">
        <v>0</v>
      </c>
      <c r="N254" s="50">
        <v>0</v>
      </c>
      <c r="O254" s="50">
        <v>0</v>
      </c>
    </row>
    <row r="255" spans="1:15" ht="14.4" x14ac:dyDescent="0.3">
      <c r="A255" s="11">
        <v>737.7</v>
      </c>
      <c r="B255" s="39" t="s">
        <v>249</v>
      </c>
      <c r="C255" s="16" t="s">
        <v>201</v>
      </c>
      <c r="D255" s="16">
        <v>2026</v>
      </c>
      <c r="E255" s="29">
        <v>6.574769206099719E-2</v>
      </c>
      <c r="F255" s="29">
        <v>0.10317873711911389</v>
      </c>
      <c r="G255" s="29">
        <v>0.15035679291486126</v>
      </c>
      <c r="H255" s="29">
        <v>0.20728873842287343</v>
      </c>
      <c r="I255" s="29">
        <v>0.27249277649135201</v>
      </c>
      <c r="J255" s="15">
        <v>0</v>
      </c>
      <c r="K255" s="33">
        <v>0.66</v>
      </c>
      <c r="L255" s="50">
        <v>-0.15714156027786794</v>
      </c>
      <c r="M255" s="50">
        <v>-6.5475650115778316E-3</v>
      </c>
      <c r="N255" s="50">
        <v>2.6190260046311326E-2</v>
      </c>
      <c r="O255" s="50">
        <v>0</v>
      </c>
    </row>
    <row r="256" spans="1:15" ht="14.4" x14ac:dyDescent="0.3">
      <c r="A256" s="11">
        <v>737.8</v>
      </c>
      <c r="B256" s="39" t="s">
        <v>249</v>
      </c>
      <c r="C256" s="16" t="s">
        <v>201</v>
      </c>
      <c r="D256" s="16">
        <v>2026</v>
      </c>
      <c r="E256" s="29">
        <v>6.574769206099719E-2</v>
      </c>
      <c r="F256" s="29">
        <v>0.10317873711911389</v>
      </c>
      <c r="G256" s="29">
        <v>0.15035679291486126</v>
      </c>
      <c r="H256" s="29">
        <v>0.20728873842287343</v>
      </c>
      <c r="I256" s="29">
        <v>0.27249277649135201</v>
      </c>
      <c r="J256" s="15">
        <v>0</v>
      </c>
      <c r="K256" s="33">
        <v>0.66</v>
      </c>
      <c r="L256" s="50">
        <v>5.892808510420048E-2</v>
      </c>
      <c r="M256" s="50">
        <v>0</v>
      </c>
      <c r="N256" s="50">
        <v>6.5475650115778316E-3</v>
      </c>
      <c r="O256" s="50">
        <v>0</v>
      </c>
    </row>
    <row r="257" spans="1:15" ht="14.4" x14ac:dyDescent="0.3">
      <c r="A257" s="11">
        <v>738.01</v>
      </c>
      <c r="B257" s="39" t="s">
        <v>250</v>
      </c>
      <c r="C257" s="16" t="s">
        <v>201</v>
      </c>
      <c r="D257" s="16">
        <v>2026</v>
      </c>
      <c r="E257" s="29">
        <v>3.8722162892940309E-2</v>
      </c>
      <c r="F257" s="29">
        <v>9.0679993529512115E-2</v>
      </c>
      <c r="G257" s="29">
        <v>0.15751571488076377</v>
      </c>
      <c r="H257" s="29">
        <v>0.23897154160798276</v>
      </c>
      <c r="I257" s="29">
        <v>0.33195970490089172</v>
      </c>
      <c r="J257" s="15">
        <v>0</v>
      </c>
      <c r="K257" s="33">
        <v>0.66</v>
      </c>
      <c r="L257" s="50">
        <v>15.98333867048666</v>
      </c>
      <c r="M257" s="50">
        <v>0.85639512412972818</v>
      </c>
      <c r="N257" s="50">
        <v>0</v>
      </c>
      <c r="O257" s="50">
        <v>0</v>
      </c>
    </row>
    <row r="258" spans="1:15" ht="14.4" x14ac:dyDescent="0.3">
      <c r="A258" s="11">
        <v>738.02</v>
      </c>
      <c r="B258" s="39" t="s">
        <v>251</v>
      </c>
      <c r="C258" s="16" t="s">
        <v>201</v>
      </c>
      <c r="D258" s="16">
        <v>2026</v>
      </c>
      <c r="E258" s="29">
        <v>3.8722162892940309E-2</v>
      </c>
      <c r="F258" s="29">
        <v>9.0679993529512115E-2</v>
      </c>
      <c r="G258" s="29">
        <v>0.15751571488076377</v>
      </c>
      <c r="H258" s="29">
        <v>0.23897154160798276</v>
      </c>
      <c r="I258" s="29">
        <v>0.33195970490089172</v>
      </c>
      <c r="J258" s="15">
        <v>0</v>
      </c>
      <c r="K258" s="33">
        <v>0.66</v>
      </c>
      <c r="L258" s="50">
        <v>36.659844229244712</v>
      </c>
      <c r="M258" s="50">
        <v>1.9645368242424726</v>
      </c>
      <c r="N258" s="50">
        <v>0</v>
      </c>
      <c r="O258" s="50">
        <v>0</v>
      </c>
    </row>
    <row r="259" spans="1:15" ht="14.4" x14ac:dyDescent="0.3">
      <c r="A259" s="11">
        <v>738.03</v>
      </c>
      <c r="B259" s="39" t="s">
        <v>250</v>
      </c>
      <c r="C259" s="16" t="s">
        <v>201</v>
      </c>
      <c r="D259" s="16">
        <v>2026</v>
      </c>
      <c r="E259" s="29">
        <v>3.8722162892940309E-2</v>
      </c>
      <c r="F259" s="29">
        <v>9.0679993529512115E-2</v>
      </c>
      <c r="G259" s="29">
        <v>0.15751571488076377</v>
      </c>
      <c r="H259" s="29">
        <v>0.23897154160798276</v>
      </c>
      <c r="I259" s="29">
        <v>0.33195970490089172</v>
      </c>
      <c r="J259" s="15">
        <v>0</v>
      </c>
      <c r="K259" s="33">
        <v>0.66</v>
      </c>
      <c r="L259" s="50">
        <v>5.3394967555812987E-2</v>
      </c>
      <c r="M259" s="50">
        <v>6.0058865480803461E-3</v>
      </c>
      <c r="N259" s="50">
        <v>0</v>
      </c>
      <c r="O259" s="50">
        <v>0</v>
      </c>
    </row>
    <row r="260" spans="1:15" ht="14.4" x14ac:dyDescent="0.3">
      <c r="A260" s="11">
        <v>738.04</v>
      </c>
      <c r="B260" s="39" t="s">
        <v>251</v>
      </c>
      <c r="C260" s="16" t="s">
        <v>201</v>
      </c>
      <c r="D260" s="16">
        <v>2026</v>
      </c>
      <c r="E260" s="29">
        <v>3.8722162892940309E-2</v>
      </c>
      <c r="F260" s="29">
        <v>9.0679993529512115E-2</v>
      </c>
      <c r="G260" s="29">
        <v>0.15751571488076377</v>
      </c>
      <c r="H260" s="29">
        <v>0.23897154160798276</v>
      </c>
      <c r="I260" s="29">
        <v>0.33195970490089172</v>
      </c>
      <c r="J260" s="15">
        <v>0</v>
      </c>
      <c r="K260" s="33">
        <v>0.66</v>
      </c>
      <c r="L260" s="50">
        <v>0.12192651851106087</v>
      </c>
      <c r="M260" s="50">
        <v>1.3720660661528664E-2</v>
      </c>
      <c r="N260" s="50">
        <v>0</v>
      </c>
      <c r="O260" s="50">
        <v>0</v>
      </c>
    </row>
    <row r="261" spans="1:15" ht="14.4" x14ac:dyDescent="0.3">
      <c r="A261" s="11">
        <v>738.05</v>
      </c>
      <c r="B261" s="39" t="s">
        <v>250</v>
      </c>
      <c r="C261" s="16" t="s">
        <v>201</v>
      </c>
      <c r="D261" s="16">
        <v>2026</v>
      </c>
      <c r="E261" s="29">
        <v>3.8722162892940309E-2</v>
      </c>
      <c r="F261" s="29">
        <v>9.0679993529512115E-2</v>
      </c>
      <c r="G261" s="29">
        <v>0.15751571488076377</v>
      </c>
      <c r="H261" s="29">
        <v>0.23897154160798276</v>
      </c>
      <c r="I261" s="29">
        <v>0.33195970490089172</v>
      </c>
      <c r="J261" s="15">
        <v>0</v>
      </c>
      <c r="K261" s="33">
        <v>0.66</v>
      </c>
      <c r="L261" s="50">
        <v>0.12380586346010981</v>
      </c>
      <c r="M261" s="50">
        <v>1.3934008044144311E-2</v>
      </c>
      <c r="N261" s="50">
        <v>0</v>
      </c>
      <c r="O261" s="50">
        <v>0</v>
      </c>
    </row>
    <row r="262" spans="1:15" ht="14.4" x14ac:dyDescent="0.3">
      <c r="A262" s="11">
        <v>738.06</v>
      </c>
      <c r="B262" s="39" t="s">
        <v>251</v>
      </c>
      <c r="C262" s="16" t="s">
        <v>201</v>
      </c>
      <c r="D262" s="16">
        <v>2026</v>
      </c>
      <c r="E262" s="29">
        <v>3.8722162892940309E-2</v>
      </c>
      <c r="F262" s="29">
        <v>9.0679993529512115E-2</v>
      </c>
      <c r="G262" s="29">
        <v>0.15751571488076377</v>
      </c>
      <c r="H262" s="29">
        <v>0.23897154160798276</v>
      </c>
      <c r="I262" s="29">
        <v>0.33195970490089172</v>
      </c>
      <c r="J262" s="15">
        <v>0</v>
      </c>
      <c r="K262" s="33">
        <v>0.66</v>
      </c>
      <c r="L262" s="50">
        <v>0.28396980909361558</v>
      </c>
      <c r="M262" s="50">
        <v>3.1961091362617024E-2</v>
      </c>
      <c r="N262" s="50">
        <v>0</v>
      </c>
      <c r="O262" s="50">
        <v>0</v>
      </c>
    </row>
    <row r="263" spans="1:15" ht="14.4" x14ac:dyDescent="0.3">
      <c r="A263" s="11">
        <v>738.07</v>
      </c>
      <c r="B263" s="39" t="s">
        <v>250</v>
      </c>
      <c r="C263" s="16" t="s">
        <v>201</v>
      </c>
      <c r="D263" s="16">
        <v>2026</v>
      </c>
      <c r="E263" s="29">
        <v>3.8722162892940309E-2</v>
      </c>
      <c r="F263" s="29">
        <v>9.0679993529512115E-2</v>
      </c>
      <c r="G263" s="29">
        <v>0.15751571488076377</v>
      </c>
      <c r="H263" s="29">
        <v>0.23897154160798276</v>
      </c>
      <c r="I263" s="29">
        <v>0.33195970490089172</v>
      </c>
      <c r="J263" s="15">
        <v>0</v>
      </c>
      <c r="K263" s="33">
        <v>0.66</v>
      </c>
      <c r="L263" s="50">
        <v>1.0796374433522893</v>
      </c>
      <c r="M263" s="50">
        <v>6.7232254778245779E-2</v>
      </c>
      <c r="N263" s="50">
        <v>0</v>
      </c>
      <c r="O263" s="50">
        <v>0</v>
      </c>
    </row>
    <row r="264" spans="1:15" ht="14.4" x14ac:dyDescent="0.3">
      <c r="A264" s="11">
        <v>738.08</v>
      </c>
      <c r="B264" s="39" t="s">
        <v>251</v>
      </c>
      <c r="C264" s="16" t="s">
        <v>201</v>
      </c>
      <c r="D264" s="16">
        <v>2026</v>
      </c>
      <c r="E264" s="29">
        <v>3.8722162892940309E-2</v>
      </c>
      <c r="F264" s="29">
        <v>9.0679993529512115E-2</v>
      </c>
      <c r="G264" s="29">
        <v>0.15751571488076377</v>
      </c>
      <c r="H264" s="29">
        <v>0.23897154160798276</v>
      </c>
      <c r="I264" s="29">
        <v>0.33195970490089172</v>
      </c>
      <c r="J264" s="15">
        <v>0</v>
      </c>
      <c r="K264" s="33">
        <v>0.66</v>
      </c>
      <c r="L264" s="50">
        <v>2.4484884943070924</v>
      </c>
      <c r="M264" s="50">
        <v>0.15245760780415599</v>
      </c>
      <c r="N264" s="50">
        <v>0</v>
      </c>
      <c r="O264" s="50">
        <v>0</v>
      </c>
    </row>
    <row r="265" spans="1:15" ht="14.4" x14ac:dyDescent="0.3">
      <c r="A265" s="11">
        <v>738.09</v>
      </c>
      <c r="B265" s="39" t="s">
        <v>250</v>
      </c>
      <c r="C265" s="16" t="s">
        <v>201</v>
      </c>
      <c r="D265" s="16">
        <v>2026</v>
      </c>
      <c r="E265" s="29">
        <v>3.8722162892940309E-2</v>
      </c>
      <c r="F265" s="29">
        <v>9.0679993529512115E-2</v>
      </c>
      <c r="G265" s="29">
        <v>0.15751571488076377</v>
      </c>
      <c r="H265" s="29">
        <v>0.23897154160798276</v>
      </c>
      <c r="I265" s="29">
        <v>0.33195970490089172</v>
      </c>
      <c r="J265" s="15">
        <v>0</v>
      </c>
      <c r="K265" s="33">
        <v>0.66</v>
      </c>
      <c r="L265" s="50">
        <v>2.2692861211220521</v>
      </c>
      <c r="M265" s="50">
        <v>0.25525017829341473</v>
      </c>
      <c r="N265" s="50">
        <v>0</v>
      </c>
      <c r="O265" s="50">
        <v>0</v>
      </c>
    </row>
    <row r="266" spans="1:15" ht="14.4" x14ac:dyDescent="0.3">
      <c r="A266" s="11">
        <v>738.1</v>
      </c>
      <c r="B266" s="39" t="s">
        <v>251</v>
      </c>
      <c r="C266" s="16" t="s">
        <v>201</v>
      </c>
      <c r="D266" s="16">
        <v>2026</v>
      </c>
      <c r="E266" s="29">
        <v>3.8722162892940309E-2</v>
      </c>
      <c r="F266" s="29">
        <v>9.0679993529512115E-2</v>
      </c>
      <c r="G266" s="29">
        <v>0.15751571488076377</v>
      </c>
      <c r="H266" s="29">
        <v>0.23897154160798276</v>
      </c>
      <c r="I266" s="29">
        <v>0.33195970490089172</v>
      </c>
      <c r="J266" s="15">
        <v>0</v>
      </c>
      <c r="K266" s="33">
        <v>0.66</v>
      </c>
      <c r="L266" s="50">
        <v>5.1818770367200848</v>
      </c>
      <c r="M266" s="50">
        <v>0.58312807811496814</v>
      </c>
      <c r="N266" s="50">
        <v>0</v>
      </c>
      <c r="O266" s="50">
        <v>0</v>
      </c>
    </row>
    <row r="267" spans="1:15" ht="14.4" x14ac:dyDescent="0.3">
      <c r="A267" s="11">
        <v>738.11</v>
      </c>
      <c r="B267" s="39" t="s">
        <v>250</v>
      </c>
      <c r="C267" s="16" t="s">
        <v>201</v>
      </c>
      <c r="D267" s="16">
        <v>2026</v>
      </c>
      <c r="E267" s="29">
        <v>3.8722162892940309E-2</v>
      </c>
      <c r="F267" s="29">
        <v>9.0679993529512115E-2</v>
      </c>
      <c r="G267" s="29">
        <v>0.15751571488076377</v>
      </c>
      <c r="H267" s="29">
        <v>0.23897154160798276</v>
      </c>
      <c r="I267" s="29">
        <v>0.33195970490089172</v>
      </c>
      <c r="J267" s="15">
        <v>0</v>
      </c>
      <c r="K267" s="33">
        <v>0.66</v>
      </c>
      <c r="L267" s="50">
        <v>0.94394093697504011</v>
      </c>
      <c r="M267" s="50">
        <v>9.0185439838379608E-2</v>
      </c>
      <c r="N267" s="50">
        <v>0</v>
      </c>
      <c r="O267" s="50">
        <v>0</v>
      </c>
    </row>
    <row r="268" spans="1:15" ht="14.4" x14ac:dyDescent="0.3">
      <c r="A268" s="11">
        <v>738.12</v>
      </c>
      <c r="B268" s="39" t="s">
        <v>251</v>
      </c>
      <c r="C268" s="16" t="s">
        <v>201</v>
      </c>
      <c r="D268" s="16">
        <v>2026</v>
      </c>
      <c r="E268" s="29">
        <v>3.8722162892940309E-2</v>
      </c>
      <c r="F268" s="29">
        <v>9.0679993529512115E-2</v>
      </c>
      <c r="G268" s="29">
        <v>0.15751571488076377</v>
      </c>
      <c r="H268" s="29">
        <v>0.23897154160798276</v>
      </c>
      <c r="I268" s="29">
        <v>0.33195970490089172</v>
      </c>
      <c r="J268" s="15">
        <v>0</v>
      </c>
      <c r="K268" s="33">
        <v>0.66</v>
      </c>
      <c r="L268" s="50">
        <v>2.0141414897238108</v>
      </c>
      <c r="M268" s="50">
        <v>0.19239560498854319</v>
      </c>
      <c r="N268" s="50">
        <v>0</v>
      </c>
      <c r="O268" s="50">
        <v>0</v>
      </c>
    </row>
    <row r="269" spans="1:15" ht="14.4" x14ac:dyDescent="0.3">
      <c r="A269" s="10">
        <v>739</v>
      </c>
      <c r="B269" s="39" t="s">
        <v>252</v>
      </c>
      <c r="C269" s="16" t="s">
        <v>201</v>
      </c>
      <c r="D269" s="16">
        <v>2026</v>
      </c>
      <c r="E269" s="29">
        <v>0</v>
      </c>
      <c r="F269" s="29">
        <v>0</v>
      </c>
      <c r="G269" s="29">
        <v>0</v>
      </c>
      <c r="H269" s="29">
        <v>0</v>
      </c>
      <c r="I269" s="29">
        <v>0</v>
      </c>
      <c r="J269" s="15">
        <v>0</v>
      </c>
      <c r="K269" s="33">
        <v>0.66</v>
      </c>
      <c r="L269" s="50">
        <v>0</v>
      </c>
      <c r="M269" s="50">
        <v>0</v>
      </c>
      <c r="N269" s="50">
        <v>0</v>
      </c>
      <c r="O269" s="50">
        <v>0</v>
      </c>
    </row>
    <row r="270" spans="1:15" ht="14.4" x14ac:dyDescent="0.3">
      <c r="A270" s="11">
        <v>740.1</v>
      </c>
      <c r="B270" s="39" t="s">
        <v>253</v>
      </c>
      <c r="C270" s="16" t="s">
        <v>201</v>
      </c>
      <c r="D270" s="16">
        <v>2026</v>
      </c>
      <c r="E270" s="29">
        <v>6.2184139019307118E-2</v>
      </c>
      <c r="F270" s="29">
        <v>7.1871828916442712E-2</v>
      </c>
      <c r="G270" s="29">
        <v>8.2024009836525677E-2</v>
      </c>
      <c r="H270" s="29">
        <v>9.2649569511572771E-2</v>
      </c>
      <c r="I270" s="29">
        <v>0.10375593993390103</v>
      </c>
      <c r="J270" s="15">
        <v>0</v>
      </c>
      <c r="K270" s="33">
        <v>0.66</v>
      </c>
      <c r="L270" s="50">
        <v>1.553069218959348</v>
      </c>
      <c r="M270" s="50">
        <v>0.19791389463469466</v>
      </c>
      <c r="N270" s="50">
        <v>1.4467357716437013</v>
      </c>
      <c r="O270" s="50">
        <v>0</v>
      </c>
    </row>
    <row r="271" spans="1:15" ht="14.4" x14ac:dyDescent="0.3">
      <c r="A271" s="11">
        <v>740.2</v>
      </c>
      <c r="B271" s="39" t="s">
        <v>254</v>
      </c>
      <c r="C271" s="16" t="s">
        <v>201</v>
      </c>
      <c r="D271" s="16">
        <v>2026</v>
      </c>
      <c r="E271" s="29">
        <v>6.2184139019307118E-2</v>
      </c>
      <c r="F271" s="29">
        <v>7.1871828916442712E-2</v>
      </c>
      <c r="G271" s="29">
        <v>8.2024009836525677E-2</v>
      </c>
      <c r="H271" s="29">
        <v>9.2649569511572771E-2</v>
      </c>
      <c r="I271" s="29">
        <v>0.10375593993390103</v>
      </c>
      <c r="J271" s="15">
        <v>0</v>
      </c>
      <c r="K271" s="33">
        <v>0.66</v>
      </c>
      <c r="L271" s="50">
        <v>3.8530868310635995</v>
      </c>
      <c r="M271" s="50">
        <v>0.49220218420594014</v>
      </c>
      <c r="N271" s="50">
        <v>3.5069085268049012</v>
      </c>
      <c r="O271" s="50">
        <v>0</v>
      </c>
    </row>
    <row r="272" spans="1:15" ht="14.4" x14ac:dyDescent="0.3">
      <c r="A272" s="11">
        <v>740.3</v>
      </c>
      <c r="B272" s="39" t="s">
        <v>255</v>
      </c>
      <c r="C272" s="16" t="s">
        <v>201</v>
      </c>
      <c r="D272" s="16">
        <v>2026</v>
      </c>
      <c r="E272" s="29">
        <v>6.2184139019307118E-2</v>
      </c>
      <c r="F272" s="29">
        <v>7.1871828916442712E-2</v>
      </c>
      <c r="G272" s="29">
        <v>8.2024009836525677E-2</v>
      </c>
      <c r="H272" s="29">
        <v>9.2649569511572771E-2</v>
      </c>
      <c r="I272" s="29">
        <v>0.10375593993390103</v>
      </c>
      <c r="J272" s="15">
        <v>0</v>
      </c>
      <c r="K272" s="33">
        <v>0.66</v>
      </c>
      <c r="L272" s="50">
        <v>0.59207495847274616</v>
      </c>
      <c r="M272" s="50">
        <v>2.0520403999273407E-2</v>
      </c>
      <c r="N272" s="50">
        <v>0.27553231138612078</v>
      </c>
      <c r="O272" s="50">
        <v>0</v>
      </c>
    </row>
    <row r="273" spans="1:66" ht="14.4" x14ac:dyDescent="0.3">
      <c r="A273" s="11">
        <v>740.4</v>
      </c>
      <c r="B273" s="39" t="s">
        <v>256</v>
      </c>
      <c r="C273" s="16" t="s">
        <v>201</v>
      </c>
      <c r="D273" s="16">
        <v>2026</v>
      </c>
      <c r="E273" s="29">
        <v>6.2184139019307118E-2</v>
      </c>
      <c r="F273" s="29">
        <v>7.1871828916442712E-2</v>
      </c>
      <c r="G273" s="29">
        <v>8.2024009836525677E-2</v>
      </c>
      <c r="H273" s="29">
        <v>9.2649569511572771E-2</v>
      </c>
      <c r="I273" s="29">
        <v>0.10375593993390103</v>
      </c>
      <c r="J273" s="15">
        <v>0</v>
      </c>
      <c r="K273" s="33">
        <v>0.66</v>
      </c>
      <c r="L273" s="50">
        <v>0.87239142065149977</v>
      </c>
      <c r="M273" s="50">
        <v>3.0974194715884383E-2</v>
      </c>
      <c r="N273" s="50">
        <v>0.40693961547301222</v>
      </c>
      <c r="O273" s="50">
        <v>0</v>
      </c>
    </row>
    <row r="274" spans="1:66" ht="14.4" x14ac:dyDescent="0.3">
      <c r="A274" s="11">
        <v>740.5</v>
      </c>
      <c r="B274" s="39" t="s">
        <v>257</v>
      </c>
      <c r="C274" s="16" t="s">
        <v>201</v>
      </c>
      <c r="D274" s="16">
        <v>2026</v>
      </c>
      <c r="E274" s="29">
        <v>0.20551332975058081</v>
      </c>
      <c r="F274" s="29">
        <v>0.25278644917409698</v>
      </c>
      <c r="G274" s="29">
        <v>0.30486520515322435</v>
      </c>
      <c r="H274" s="29">
        <v>0.36094637838446081</v>
      </c>
      <c r="I274" s="29">
        <v>0.41987589791178231</v>
      </c>
      <c r="J274" s="15">
        <v>0</v>
      </c>
      <c r="K274" s="33">
        <v>0.66</v>
      </c>
      <c r="L274" s="50">
        <v>0.35348601200636465</v>
      </c>
      <c r="M274" s="50">
        <v>4.0352284475658404E-2</v>
      </c>
      <c r="N274" s="50">
        <v>0</v>
      </c>
      <c r="O274" s="50">
        <v>0</v>
      </c>
    </row>
    <row r="275" spans="1:66" ht="14.4" x14ac:dyDescent="0.3">
      <c r="A275" s="11">
        <v>740.6</v>
      </c>
      <c r="B275" s="39" t="s">
        <v>258</v>
      </c>
      <c r="C275" s="16" t="s">
        <v>201</v>
      </c>
      <c r="D275" s="16">
        <v>2026</v>
      </c>
      <c r="E275" s="29">
        <v>0.20551332975058081</v>
      </c>
      <c r="F275" s="29">
        <v>0.25278644917409698</v>
      </c>
      <c r="G275" s="29">
        <v>0.30486520515322435</v>
      </c>
      <c r="H275" s="29">
        <v>0.36094637838446081</v>
      </c>
      <c r="I275" s="29">
        <v>0.41987589791178231</v>
      </c>
      <c r="J275" s="15">
        <v>0</v>
      </c>
      <c r="K275" s="33">
        <v>0.66</v>
      </c>
      <c r="L275" s="50">
        <v>1.0760925380160347</v>
      </c>
      <c r="M275" s="50">
        <v>0.12284161392891113</v>
      </c>
      <c r="N275" s="50">
        <v>0</v>
      </c>
      <c r="O275" s="50">
        <v>0</v>
      </c>
    </row>
    <row r="276" spans="1:66" ht="14.4" x14ac:dyDescent="0.3">
      <c r="A276" s="11">
        <v>740.7</v>
      </c>
      <c r="B276" s="39" t="s">
        <v>259</v>
      </c>
      <c r="C276" s="16" t="s">
        <v>201</v>
      </c>
      <c r="D276" s="16">
        <v>2026</v>
      </c>
      <c r="E276" s="29">
        <v>6.2184139019307118E-2</v>
      </c>
      <c r="F276" s="29">
        <v>7.1871828916442712E-2</v>
      </c>
      <c r="G276" s="29">
        <v>8.2024009836525677E-2</v>
      </c>
      <c r="H276" s="29">
        <v>9.2649569511572771E-2</v>
      </c>
      <c r="I276" s="29">
        <v>0.10375593993390103</v>
      </c>
      <c r="J276" s="15">
        <v>0</v>
      </c>
      <c r="K276" s="33">
        <v>0.66</v>
      </c>
      <c r="L276" s="50">
        <v>9.7466536357532068</v>
      </c>
      <c r="M276" s="50">
        <v>0.86841290625106837</v>
      </c>
      <c r="N276" s="50">
        <v>1.6225452089592798</v>
      </c>
      <c r="O276" s="50">
        <v>0</v>
      </c>
    </row>
    <row r="277" spans="1:66" ht="14.4" x14ac:dyDescent="0.3">
      <c r="A277" s="11">
        <v>740.8</v>
      </c>
      <c r="B277" s="39" t="s">
        <v>260</v>
      </c>
      <c r="C277" s="16" t="s">
        <v>201</v>
      </c>
      <c r="D277" s="16">
        <v>2026</v>
      </c>
      <c r="E277" s="29">
        <v>6.2184139019307118E-2</v>
      </c>
      <c r="F277" s="29">
        <v>7.1871828916442712E-2</v>
      </c>
      <c r="G277" s="29">
        <v>8.2024009836525677E-2</v>
      </c>
      <c r="H277" s="29">
        <v>9.2649569511572771E-2</v>
      </c>
      <c r="I277" s="29">
        <v>0.10375593993390103</v>
      </c>
      <c r="J277" s="15">
        <v>0</v>
      </c>
      <c r="K277" s="33">
        <v>0.66</v>
      </c>
      <c r="L277" s="50">
        <v>3.0791740819385347</v>
      </c>
      <c r="M277" s="50">
        <v>0.27589229818152183</v>
      </c>
      <c r="N277" s="50">
        <v>0.50172267063403964</v>
      </c>
      <c r="O277" s="50">
        <v>0</v>
      </c>
    </row>
    <row r="278" spans="1:66" ht="14.4" x14ac:dyDescent="0.3">
      <c r="A278" s="11">
        <v>741.1</v>
      </c>
      <c r="B278" s="39" t="s">
        <v>262</v>
      </c>
      <c r="C278" s="16" t="s">
        <v>201</v>
      </c>
      <c r="D278" s="16">
        <v>2026</v>
      </c>
      <c r="E278" s="29">
        <v>0.83927896771015342</v>
      </c>
      <c r="F278" s="29">
        <v>0.85890545663737827</v>
      </c>
      <c r="G278" s="29">
        <v>0.8761143544120924</v>
      </c>
      <c r="H278" s="29">
        <v>0.89111680038138275</v>
      </c>
      <c r="I278" s="29">
        <v>0.90413016448911265</v>
      </c>
      <c r="J278" s="15">
        <v>0</v>
      </c>
      <c r="K278" s="33">
        <v>0.66</v>
      </c>
      <c r="L278" s="50">
        <v>0.2292747185931597</v>
      </c>
      <c r="M278" s="50">
        <v>2.7104593034338748E-4</v>
      </c>
      <c r="N278" s="50">
        <v>0.51990069046580245</v>
      </c>
      <c r="O278" s="50">
        <v>0</v>
      </c>
    </row>
    <row r="279" spans="1:66" ht="14.4" x14ac:dyDescent="0.3">
      <c r="A279" s="11">
        <v>741.2</v>
      </c>
      <c r="B279" s="39" t="s">
        <v>261</v>
      </c>
      <c r="C279" s="16" t="s">
        <v>201</v>
      </c>
      <c r="D279" s="16">
        <v>2026</v>
      </c>
      <c r="E279" s="29">
        <v>0.83927896771015342</v>
      </c>
      <c r="F279" s="29">
        <v>0.85890545663737827</v>
      </c>
      <c r="G279" s="29">
        <v>0.8761143544120924</v>
      </c>
      <c r="H279" s="29">
        <v>0.89111680038138275</v>
      </c>
      <c r="I279" s="29">
        <v>0.90413016448911265</v>
      </c>
      <c r="J279" s="15">
        <v>0</v>
      </c>
      <c r="K279" s="33">
        <v>0.66</v>
      </c>
      <c r="L279" s="50">
        <v>2.7501081749204711E-3</v>
      </c>
      <c r="M279" s="50">
        <v>3.2511461943563503E-7</v>
      </c>
      <c r="N279" s="50">
        <v>4.0795152591172838E-3</v>
      </c>
      <c r="O279" s="50">
        <v>0</v>
      </c>
    </row>
    <row r="280" spans="1:66" ht="14.4" x14ac:dyDescent="0.3">
      <c r="A280" s="19">
        <v>742.1</v>
      </c>
      <c r="B280" s="40" t="s">
        <v>263</v>
      </c>
      <c r="C280" s="16" t="s">
        <v>201</v>
      </c>
      <c r="D280" s="16">
        <v>2026</v>
      </c>
      <c r="E280" s="29">
        <v>7.9863081016881776E-2</v>
      </c>
      <c r="F280" s="29">
        <v>0.17415019883190985</v>
      </c>
      <c r="G280" s="29">
        <v>0.29412213207571469</v>
      </c>
      <c r="H280" s="29">
        <v>0.42195577506250365</v>
      </c>
      <c r="I280" s="29">
        <v>0.53481737306262001</v>
      </c>
      <c r="J280" s="18">
        <v>0</v>
      </c>
      <c r="K280" s="33">
        <v>0.66</v>
      </c>
      <c r="L280" s="50">
        <v>8.0435953873213201E-2</v>
      </c>
      <c r="M280" s="50">
        <v>7.8940991603190496E-3</v>
      </c>
      <c r="N280" s="50">
        <v>0</v>
      </c>
      <c r="O280" s="50">
        <v>0</v>
      </c>
    </row>
    <row r="281" spans="1:66" s="14" customFormat="1" ht="14.4" x14ac:dyDescent="0.3">
      <c r="A281" s="21">
        <v>742.2</v>
      </c>
      <c r="B281" s="41" t="s">
        <v>264</v>
      </c>
      <c r="C281" s="16" t="s">
        <v>201</v>
      </c>
      <c r="D281" s="16">
        <v>2026</v>
      </c>
      <c r="E281" s="29">
        <v>7.9863081016881776E-2</v>
      </c>
      <c r="F281" s="29">
        <v>0.17415019883190985</v>
      </c>
      <c r="G281" s="29">
        <v>0.29412213207571469</v>
      </c>
      <c r="H281" s="29">
        <v>0.42195577506250365</v>
      </c>
      <c r="I281" s="29">
        <v>0.53481737306262001</v>
      </c>
      <c r="J281" s="14">
        <v>0</v>
      </c>
      <c r="K281" s="33">
        <v>0.66</v>
      </c>
      <c r="L281" s="50">
        <v>0.10202663071807075</v>
      </c>
      <c r="M281" s="50">
        <v>1.0018153173080972E-2</v>
      </c>
      <c r="N281" s="50">
        <v>0</v>
      </c>
      <c r="O281" s="50">
        <v>0</v>
      </c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 s="22"/>
    </row>
    <row r="282" spans="1:66" s="14" customFormat="1" ht="14.4" x14ac:dyDescent="0.3">
      <c r="A282" s="21">
        <v>744.2</v>
      </c>
      <c r="B282" s="41" t="s">
        <v>265</v>
      </c>
      <c r="C282" s="16" t="s">
        <v>201</v>
      </c>
      <c r="D282" s="16">
        <v>2026</v>
      </c>
      <c r="E282" s="29">
        <v>3.0824799115705421E-2</v>
      </c>
      <c r="F282" s="29">
        <v>3.4242625975273284E-2</v>
      </c>
      <c r="G282" s="29">
        <v>3.7789897531566467E-2</v>
      </c>
      <c r="H282" s="29">
        <v>4.1470413319589887E-2</v>
      </c>
      <c r="I282" s="29">
        <v>4.5287991297165354E-2</v>
      </c>
      <c r="J282" s="14">
        <v>0</v>
      </c>
      <c r="K282" s="33">
        <v>0.66</v>
      </c>
      <c r="L282" s="50">
        <v>3.6861430656016445</v>
      </c>
      <c r="M282" s="50">
        <v>0.97953452092910853</v>
      </c>
      <c r="N282" s="50">
        <v>0</v>
      </c>
      <c r="O282" s="50">
        <v>0</v>
      </c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 s="22"/>
    </row>
    <row r="283" spans="1:66" s="14" customFormat="1" ht="14.4" x14ac:dyDescent="0.3">
      <c r="A283" s="21">
        <v>744.3</v>
      </c>
      <c r="B283" s="41" t="s">
        <v>266</v>
      </c>
      <c r="C283" s="16" t="s">
        <v>201</v>
      </c>
      <c r="D283" s="16">
        <v>2026</v>
      </c>
      <c r="E283" s="29">
        <v>3.0824799115705421E-2</v>
      </c>
      <c r="F283" s="29">
        <v>3.4242625975273284E-2</v>
      </c>
      <c r="G283" s="29">
        <v>3.7789897531566467E-2</v>
      </c>
      <c r="H283" s="29">
        <v>4.1470413319589887E-2</v>
      </c>
      <c r="I283" s="29">
        <v>4.5287991297165354E-2</v>
      </c>
      <c r="J283" s="14">
        <v>0</v>
      </c>
      <c r="K283" s="33">
        <v>0.66</v>
      </c>
      <c r="L283" s="50">
        <v>-0.12560874623730622</v>
      </c>
      <c r="M283" s="50">
        <v>9.6078514301832958E-3</v>
      </c>
      <c r="N283" s="50">
        <v>9.1600639432035488E-2</v>
      </c>
      <c r="O283" s="50">
        <v>0</v>
      </c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 s="22"/>
    </row>
    <row r="284" spans="1:66" s="14" customFormat="1" ht="14.4" x14ac:dyDescent="0.3">
      <c r="A284" s="21">
        <v>744.4</v>
      </c>
      <c r="B284" s="41" t="s">
        <v>267</v>
      </c>
      <c r="C284" s="16" t="s">
        <v>201</v>
      </c>
      <c r="D284" s="16">
        <v>2026</v>
      </c>
      <c r="E284" s="29">
        <v>0</v>
      </c>
      <c r="F284" s="29">
        <v>0</v>
      </c>
      <c r="G284" s="29">
        <v>0</v>
      </c>
      <c r="H284" s="29">
        <v>0</v>
      </c>
      <c r="I284" s="29">
        <v>0</v>
      </c>
      <c r="J284" s="14">
        <v>0</v>
      </c>
      <c r="K284" s="33">
        <v>0.66</v>
      </c>
      <c r="L284" s="50">
        <v>0</v>
      </c>
      <c r="M284" s="50">
        <v>0</v>
      </c>
      <c r="N284" s="50">
        <v>0</v>
      </c>
      <c r="O284" s="50">
        <v>0</v>
      </c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 s="22"/>
    </row>
    <row r="285" spans="1:66" s="14" customFormat="1" ht="14.4" x14ac:dyDescent="0.3">
      <c r="A285" s="21">
        <v>745.1</v>
      </c>
      <c r="B285" s="41" t="s">
        <v>268</v>
      </c>
      <c r="C285" s="16" t="s">
        <v>201</v>
      </c>
      <c r="D285" s="16">
        <v>2026</v>
      </c>
      <c r="E285" s="29">
        <v>5.1115903350510668E-3</v>
      </c>
      <c r="F285" s="29">
        <v>6.4252961237472768E-3</v>
      </c>
      <c r="G285" s="29">
        <v>7.7535595788351631E-3</v>
      </c>
      <c r="H285" s="29">
        <v>9.0964976737300633E-3</v>
      </c>
      <c r="I285" s="29">
        <v>1.045422720438696E-2</v>
      </c>
      <c r="J285" s="14">
        <v>0</v>
      </c>
      <c r="K285" s="33">
        <v>0.66</v>
      </c>
      <c r="L285" s="50">
        <v>0.6234138368612363</v>
      </c>
      <c r="M285" s="50">
        <v>0.1781182391032104</v>
      </c>
      <c r="N285" s="50">
        <v>0</v>
      </c>
      <c r="O285" s="50">
        <v>0</v>
      </c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 s="22"/>
    </row>
    <row r="286" spans="1:66" s="14" customFormat="1" ht="14.4" x14ac:dyDescent="0.3">
      <c r="A286" s="21">
        <v>745.2</v>
      </c>
      <c r="B286" s="41" t="s">
        <v>113</v>
      </c>
      <c r="C286" s="16" t="s">
        <v>201</v>
      </c>
      <c r="D286" s="16">
        <v>2026</v>
      </c>
      <c r="E286" s="29">
        <v>5.1115903350510668E-3</v>
      </c>
      <c r="F286" s="29">
        <v>6.4252961237472768E-3</v>
      </c>
      <c r="G286" s="29">
        <v>7.7535595788351631E-3</v>
      </c>
      <c r="H286" s="29">
        <v>9.0964976737300633E-3</v>
      </c>
      <c r="I286" s="29">
        <v>1.045422720438696E-2</v>
      </c>
      <c r="J286" s="14">
        <v>0</v>
      </c>
      <c r="K286" s="33">
        <v>0.66</v>
      </c>
      <c r="L286" s="50">
        <v>2.7608327060997602</v>
      </c>
      <c r="M286" s="50">
        <v>0.53435471730963102</v>
      </c>
      <c r="N286" s="50">
        <v>0</v>
      </c>
      <c r="O286" s="50">
        <v>0</v>
      </c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 s="22"/>
    </row>
    <row r="287" spans="1:66" s="14" customFormat="1" ht="14.4" x14ac:dyDescent="0.3">
      <c r="A287" s="21">
        <v>746.1</v>
      </c>
      <c r="B287" s="41" t="s">
        <v>269</v>
      </c>
      <c r="C287" s="16" t="s">
        <v>201</v>
      </c>
      <c r="D287" s="16">
        <v>2026</v>
      </c>
      <c r="E287" s="29">
        <v>7.4768655875327682E-3</v>
      </c>
      <c r="F287" s="29">
        <v>8.1598578751011092E-3</v>
      </c>
      <c r="G287" s="29">
        <v>8.8466929605267707E-3</v>
      </c>
      <c r="H287" s="29">
        <v>9.53738643726635E-3</v>
      </c>
      <c r="I287" s="29">
        <v>1.0231953884790364E-2</v>
      </c>
      <c r="J287" s="14">
        <v>0</v>
      </c>
      <c r="K287" s="33">
        <v>0.66</v>
      </c>
      <c r="L287" s="50">
        <v>5.8792221939243445</v>
      </c>
      <c r="M287" s="50">
        <v>1.2471077381051641</v>
      </c>
      <c r="N287" s="50">
        <v>0</v>
      </c>
      <c r="O287" s="50">
        <v>0</v>
      </c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 s="22"/>
    </row>
    <row r="288" spans="1:66" s="14" customFormat="1" ht="14.4" x14ac:dyDescent="0.3">
      <c r="A288" s="21">
        <v>746.2</v>
      </c>
      <c r="B288" s="41" t="s">
        <v>270</v>
      </c>
      <c r="C288" s="16" t="s">
        <v>201</v>
      </c>
      <c r="D288" s="16">
        <v>2026</v>
      </c>
      <c r="E288" s="29">
        <v>7.4768655875327682E-3</v>
      </c>
      <c r="F288" s="29">
        <v>8.1598578751011092E-3</v>
      </c>
      <c r="G288" s="29">
        <v>8.8466929605267707E-3</v>
      </c>
      <c r="H288" s="29">
        <v>9.53738643726635E-3</v>
      </c>
      <c r="I288" s="29">
        <v>1.0231953884790364E-2</v>
      </c>
      <c r="J288" s="14">
        <v>0</v>
      </c>
      <c r="K288" s="33">
        <v>0.66</v>
      </c>
      <c r="L288" s="50">
        <v>0</v>
      </c>
      <c r="M288" s="50">
        <v>0</v>
      </c>
      <c r="N288" s="50">
        <v>0</v>
      </c>
      <c r="O288" s="50">
        <v>0</v>
      </c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 s="22"/>
    </row>
    <row r="289" spans="1:66" s="14" customFormat="1" ht="14.4" x14ac:dyDescent="0.3">
      <c r="A289" s="21">
        <v>747.1</v>
      </c>
      <c r="B289" s="41" t="s">
        <v>271</v>
      </c>
      <c r="C289" s="16" t="s">
        <v>201</v>
      </c>
      <c r="D289" s="16">
        <v>2026</v>
      </c>
      <c r="E289" s="29">
        <v>7.4768655875327682E-3</v>
      </c>
      <c r="F289" s="29">
        <v>8.1598578751011092E-3</v>
      </c>
      <c r="G289" s="29">
        <v>8.8466929605267707E-3</v>
      </c>
      <c r="H289" s="29">
        <v>9.53738643726635E-3</v>
      </c>
      <c r="I289" s="29">
        <v>1.0231953884790364E-2</v>
      </c>
      <c r="J289" s="14">
        <v>0</v>
      </c>
      <c r="K289" s="33">
        <v>0.66</v>
      </c>
      <c r="L289" s="50">
        <v>1.9185249964082229E-2</v>
      </c>
      <c r="M289" s="50">
        <v>5.6212032601519E-3</v>
      </c>
      <c r="N289" s="50">
        <v>0</v>
      </c>
      <c r="O289" s="50">
        <v>0</v>
      </c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 s="22"/>
    </row>
    <row r="290" spans="1:66" s="14" customFormat="1" ht="14.4" x14ac:dyDescent="0.3">
      <c r="A290" s="21">
        <v>747.2</v>
      </c>
      <c r="B290" s="41" t="s">
        <v>272</v>
      </c>
      <c r="C290" s="16" t="s">
        <v>201</v>
      </c>
      <c r="D290" s="16">
        <v>2026</v>
      </c>
      <c r="E290" s="29">
        <v>7.4768655875327682E-3</v>
      </c>
      <c r="F290" s="29">
        <v>8.1598578751011092E-3</v>
      </c>
      <c r="G290" s="29">
        <v>8.8466929605267707E-3</v>
      </c>
      <c r="H290" s="29">
        <v>9.53738643726635E-3</v>
      </c>
      <c r="I290" s="29">
        <v>1.0231953884790364E-2</v>
      </c>
      <c r="J290" s="14">
        <v>0</v>
      </c>
      <c r="K290" s="33">
        <v>0.66</v>
      </c>
      <c r="L290" s="50">
        <v>44.442775777689818</v>
      </c>
      <c r="M290" s="50">
        <v>8.1355396656787055E-3</v>
      </c>
      <c r="N290" s="50">
        <v>0</v>
      </c>
      <c r="O290" s="50">
        <v>0</v>
      </c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 s="22"/>
    </row>
    <row r="291" spans="1:66" s="14" customFormat="1" ht="14.4" x14ac:dyDescent="0.3">
      <c r="A291" s="21">
        <v>747.3</v>
      </c>
      <c r="B291" s="41" t="s">
        <v>273</v>
      </c>
      <c r="C291" s="16" t="s">
        <v>201</v>
      </c>
      <c r="D291" s="16">
        <v>2026</v>
      </c>
      <c r="E291" s="29">
        <v>7.4768655875327682E-3</v>
      </c>
      <c r="F291" s="29">
        <v>8.1598578751011092E-3</v>
      </c>
      <c r="G291" s="29">
        <v>8.8466929605267707E-3</v>
      </c>
      <c r="H291" s="29">
        <v>9.53738643726635E-3</v>
      </c>
      <c r="I291" s="29">
        <v>1.0231953884790364E-2</v>
      </c>
      <c r="J291" s="23">
        <v>0</v>
      </c>
      <c r="K291" s="33">
        <v>0.66</v>
      </c>
      <c r="L291" s="50">
        <v>6.0909152847830033</v>
      </c>
      <c r="M291" s="50">
        <v>0.14391021026498618</v>
      </c>
      <c r="N291" s="50">
        <v>0</v>
      </c>
      <c r="O291" s="50">
        <v>0</v>
      </c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 s="22"/>
    </row>
    <row r="292" spans="1:66" s="14" customFormat="1" ht="14.4" x14ac:dyDescent="0.3">
      <c r="A292" s="21">
        <v>747.4</v>
      </c>
      <c r="B292" s="41" t="s">
        <v>274</v>
      </c>
      <c r="C292" s="16" t="s">
        <v>201</v>
      </c>
      <c r="D292" s="16">
        <v>2026</v>
      </c>
      <c r="E292" s="29">
        <v>5.4844804555242788E-3</v>
      </c>
      <c r="F292" s="29">
        <v>6.6977031579710713E-3</v>
      </c>
      <c r="G292" s="29">
        <v>7.9245762926857168E-3</v>
      </c>
      <c r="H292" s="29">
        <v>9.1652106616373578E-3</v>
      </c>
      <c r="I292" s="29">
        <v>1.0419716869943172E-2</v>
      </c>
      <c r="J292" s="23">
        <v>0</v>
      </c>
      <c r="K292" s="33">
        <v>0.66</v>
      </c>
      <c r="L292" s="50">
        <v>2.8416193234872331</v>
      </c>
      <c r="M292" s="50">
        <v>0.97793779721399965</v>
      </c>
      <c r="N292" s="50">
        <v>0</v>
      </c>
      <c r="O292" s="50">
        <v>0</v>
      </c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 s="22"/>
    </row>
    <row r="293" spans="1:66" s="14" customFormat="1" ht="14.4" x14ac:dyDescent="0.3">
      <c r="A293" s="21">
        <v>747.5</v>
      </c>
      <c r="B293" s="41" t="s">
        <v>275</v>
      </c>
      <c r="C293" s="16" t="s">
        <v>201</v>
      </c>
      <c r="D293" s="16">
        <v>2026</v>
      </c>
      <c r="E293" s="29">
        <v>5.4844804555242788E-3</v>
      </c>
      <c r="F293" s="29">
        <v>6.6977031579710713E-3</v>
      </c>
      <c r="G293" s="29">
        <v>7.9245762926857168E-3</v>
      </c>
      <c r="H293" s="29">
        <v>9.1652106616373578E-3</v>
      </c>
      <c r="I293" s="29">
        <v>1.0419716869943172E-2</v>
      </c>
      <c r="J293" s="23">
        <v>0</v>
      </c>
      <c r="K293" s="33">
        <v>0.66</v>
      </c>
      <c r="L293" s="50">
        <v>5.6990243105649849</v>
      </c>
      <c r="M293" s="50">
        <v>2.0450183914653093</v>
      </c>
      <c r="N293" s="50">
        <v>0</v>
      </c>
      <c r="O293" s="50">
        <v>0</v>
      </c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 s="22"/>
    </row>
    <row r="294" spans="1:66" s="14" customFormat="1" ht="14.4" x14ac:dyDescent="0.3">
      <c r="A294" s="21">
        <v>747.6</v>
      </c>
      <c r="B294" s="41" t="s">
        <v>274</v>
      </c>
      <c r="C294" s="16" t="s">
        <v>201</v>
      </c>
      <c r="D294" s="16">
        <v>2026</v>
      </c>
      <c r="E294" s="29">
        <v>5.4844804555242788E-3</v>
      </c>
      <c r="F294" s="29">
        <v>6.6977031579710713E-3</v>
      </c>
      <c r="G294" s="29">
        <v>7.9245762926857168E-3</v>
      </c>
      <c r="H294" s="29">
        <v>9.1652106616373578E-3</v>
      </c>
      <c r="I294" s="29">
        <v>1.0419716869943172E-2</v>
      </c>
      <c r="J294" s="14">
        <v>0</v>
      </c>
      <c r="K294" s="33">
        <v>0.66</v>
      </c>
      <c r="L294" s="50">
        <v>0.22554617859809986</v>
      </c>
      <c r="M294" s="50">
        <v>8.4486127252367038E-2</v>
      </c>
      <c r="N294" s="50">
        <v>0</v>
      </c>
      <c r="O294" s="50">
        <v>0</v>
      </c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 s="22"/>
    </row>
    <row r="295" spans="1:66" s="14" customFormat="1" ht="14.4" x14ac:dyDescent="0.3">
      <c r="A295" s="24">
        <v>747.7</v>
      </c>
      <c r="B295" s="42" t="s">
        <v>275</v>
      </c>
      <c r="C295" s="16" t="s">
        <v>201</v>
      </c>
      <c r="D295" s="20">
        <v>2026</v>
      </c>
      <c r="E295" s="37">
        <v>5.4844804555242788E-3</v>
      </c>
      <c r="F295" s="37">
        <v>6.6977031579710713E-3</v>
      </c>
      <c r="G295" s="37">
        <v>7.9245762926857168E-3</v>
      </c>
      <c r="H295" s="37">
        <v>9.1652106616373578E-3</v>
      </c>
      <c r="I295" s="37">
        <v>1.0419716869943172E-2</v>
      </c>
      <c r="J295" s="25">
        <v>0</v>
      </c>
      <c r="K295" s="38">
        <v>0.66</v>
      </c>
      <c r="L295" s="51">
        <v>0.22999749763134641</v>
      </c>
      <c r="M295" s="51">
        <v>3.4935355045077471E-2</v>
      </c>
      <c r="N295" s="51">
        <v>0</v>
      </c>
      <c r="O295" s="51">
        <v>0</v>
      </c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 s="22"/>
    </row>
    <row r="296" spans="1:66" s="14" customFormat="1" ht="14.4" x14ac:dyDescent="0.3">
      <c r="A296" s="11">
        <v>747.8</v>
      </c>
      <c r="B296" s="39" t="s">
        <v>276</v>
      </c>
      <c r="C296" s="16" t="s">
        <v>201</v>
      </c>
      <c r="D296" s="16">
        <v>2026</v>
      </c>
      <c r="E296" s="29">
        <v>5.4844804555242788E-3</v>
      </c>
      <c r="F296" s="29">
        <v>6.6977031579710713E-3</v>
      </c>
      <c r="G296" s="29">
        <v>7.9245762926857168E-3</v>
      </c>
      <c r="H296" s="29">
        <v>9.1652106616373578E-3</v>
      </c>
      <c r="I296" s="29">
        <v>1.0419716869943172E-2</v>
      </c>
      <c r="J296" s="15">
        <v>0</v>
      </c>
      <c r="K296" s="17">
        <v>0.66</v>
      </c>
      <c r="L296" s="50">
        <v>0</v>
      </c>
      <c r="M296" s="50">
        <v>0</v>
      </c>
      <c r="N296" s="50">
        <v>0</v>
      </c>
      <c r="O296" s="50">
        <v>0</v>
      </c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 s="22"/>
    </row>
    <row r="297" spans="1:66" s="25" customFormat="1" ht="14.4" x14ac:dyDescent="0.3">
      <c r="A297" s="10">
        <v>944</v>
      </c>
      <c r="B297" s="39" t="s">
        <v>83</v>
      </c>
      <c r="C297" s="16" t="s">
        <v>67</v>
      </c>
      <c r="D297" s="10">
        <v>2020</v>
      </c>
      <c r="E297" s="29">
        <v>7.9602779085775378E-3</v>
      </c>
      <c r="F297" s="29">
        <v>2.0180250066675735E-2</v>
      </c>
      <c r="G297" s="29">
        <v>4.9017324812545199E-2</v>
      </c>
      <c r="H297" s="29">
        <v>0.11326208825794444</v>
      </c>
      <c r="I297" s="29">
        <v>0.2397025583805828</v>
      </c>
      <c r="J297" s="13">
        <v>0</v>
      </c>
      <c r="K297" s="17">
        <v>0.66</v>
      </c>
      <c r="L297" s="50">
        <v>6.495211671530317</v>
      </c>
      <c r="M297" s="50">
        <v>0.18068670828561642</v>
      </c>
      <c r="N297" s="50">
        <v>0</v>
      </c>
      <c r="O297" s="50">
        <v>0</v>
      </c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 s="26"/>
    </row>
  </sheetData>
  <autoFilter ref="A11:O297" xr:uid="{DB4806DB-E976-4612-82EB-46C621FEAFC2}">
    <sortState xmlns:xlrd2="http://schemas.microsoft.com/office/spreadsheetml/2017/richdata2" ref="A12:O297">
      <sortCondition ref="A11:A297"/>
    </sortState>
  </autoFilter>
  <mergeCells count="1">
    <mergeCell ref="E10:I10"/>
  </mergeCells>
  <conditionalFormatting sqref="A10:A1048576">
    <cfRule type="containsText" dxfId="12" priority="406" operator="containsText" text="Missing">
      <formula>NOT(ISERROR(SEARCH("Missing",A10)))</formula>
    </cfRule>
    <cfRule type="duplicateValues" dxfId="11" priority="407"/>
  </conditionalFormatting>
  <conditionalFormatting sqref="A11">
    <cfRule type="cellIs" dxfId="10" priority="133" operator="equal">
      <formula>FALSE</formula>
    </cfRule>
    <cfRule type="cellIs" dxfId="9" priority="134" operator="equal">
      <formula>TRUE</formula>
    </cfRule>
  </conditionalFormatting>
  <conditionalFormatting sqref="A270 A11:A196 A298:A1048576">
    <cfRule type="duplicateValues" dxfId="8" priority="410"/>
  </conditionalFormatting>
  <conditionalFormatting sqref="C2:C11 C298:C1048576">
    <cfRule type="containsText" dxfId="7" priority="13" operator="containsText" text="2025 T-24">
      <formula>NOT(ISERROR(SEARCH("2025 T-24",C2)))</formula>
    </cfRule>
    <cfRule type="containsText" dxfId="6" priority="14" operator="containsText" text="2022 T-24">
      <formula>NOT(ISERROR(SEARCH("2022 T-24",C2)))</formula>
    </cfRule>
    <cfRule type="containsText" dxfId="5" priority="15" operator="containsText" text="2019 T-24">
      <formula>NOT(ISERROR(SEARCH("2019 T-24",C2)))</formula>
    </cfRule>
    <cfRule type="containsText" dxfId="4" priority="16" operator="containsText" text="2016 T-24">
      <formula>NOT(ISERROR(SEARCH("2016 T-24",C2)))</formula>
    </cfRule>
    <cfRule type="containsText" dxfId="3" priority="17" operator="containsText" text="2013 T-24">
      <formula>NOT(ISERROR(SEARCH("2013 T-24",C2)))</formula>
    </cfRule>
  </conditionalFormatting>
  <conditionalFormatting sqref="D12:D196">
    <cfRule type="cellIs" dxfId="2" priority="42" stopIfTrue="1" operator="equal">
      <formula>#REF!</formula>
    </cfRule>
  </conditionalFormatting>
  <conditionalFormatting sqref="K14:K54 K73:K110 K138:K297">
    <cfRule type="dataBar" priority="405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{722D59AB-E3FF-4B6C-B017-954705048AC6}</x14:id>
        </ext>
      </extLst>
    </cfRule>
  </conditionalFormatting>
  <conditionalFormatting sqref="L12:L29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{7A74F954-C3E9-44F6-884D-85D34EF39741}</x14:id>
        </ext>
      </extLst>
    </cfRule>
  </conditionalFormatting>
  <conditionalFormatting sqref="M12:M297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{253FD3DD-FF56-4AFA-A4A6-A18CFBB47479}</x14:id>
        </ext>
      </extLst>
    </cfRule>
  </conditionalFormatting>
  <conditionalFormatting sqref="N12:N297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{C1BEBC37-5F3D-4FCD-B337-6F5A4AE447CE}</x14:id>
        </ext>
      </extLst>
    </cfRule>
  </conditionalFormatting>
  <conditionalFormatting sqref="O12:O29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{24651FAF-20F2-439D-A9C5-011BD4A71110}</x14:id>
        </ext>
      </extLst>
    </cfRule>
  </conditionalFormatting>
  <conditionalFormatting sqref="S12:S16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{AD60A26C-5264-409F-BFC3-8CF9C403C62E}</x14:id>
        </ext>
      </extLst>
    </cfRule>
  </conditionalFormatting>
  <conditionalFormatting sqref="T12:T16">
    <cfRule type="dataBar" priority="4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{CC2D3779-28BC-4BC4-A718-3EC73CE560AF}</x14:id>
        </ext>
      </extLst>
    </cfRule>
  </conditionalFormatting>
  <conditionalFormatting sqref="U12:U16">
    <cfRule type="dataBar" priority="4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{A09AF344-19F2-4BE2-9922-A6290225723A}</x14:id>
        </ext>
      </extLst>
    </cfRule>
  </conditionalFormatting>
  <conditionalFormatting sqref="R10">
    <cfRule type="containsText" dxfId="1" priority="1" operator="containsText" text="Missing">
      <formula>NOT(ISERROR(SEARCH("Missing",R10)))</formula>
    </cfRule>
    <cfRule type="duplicateValues" dxfId="0" priority="2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2D59AB-E3FF-4B6C-B017-954705048A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K14:K54 K73:K110 K138:K297</xm:sqref>
        </x14:conditionalFormatting>
        <x14:conditionalFormatting xmlns:xm="http://schemas.microsoft.com/office/excel/2006/main">
          <x14:cfRule type="dataBar" id="{7A74F954-C3E9-44F6-884D-85D34EF397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L12:L297</xm:sqref>
        </x14:conditionalFormatting>
        <x14:conditionalFormatting xmlns:xm="http://schemas.microsoft.com/office/excel/2006/main">
          <x14:cfRule type="dataBar" id="{253FD3DD-FF56-4AFA-A4A6-A18CFBB474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M12:M297</xm:sqref>
        </x14:conditionalFormatting>
        <x14:conditionalFormatting xmlns:xm="http://schemas.microsoft.com/office/excel/2006/main">
          <x14:cfRule type="dataBar" id="{C1BEBC37-5F3D-4FCD-B337-6F5A4AE447C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N12:N297</xm:sqref>
        </x14:conditionalFormatting>
        <x14:conditionalFormatting xmlns:xm="http://schemas.microsoft.com/office/excel/2006/main">
          <x14:cfRule type="dataBar" id="{24651FAF-20F2-439D-A9C5-011BD4A7111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O12:O297</xm:sqref>
        </x14:conditionalFormatting>
        <x14:conditionalFormatting xmlns:xm="http://schemas.microsoft.com/office/excel/2006/main">
          <x14:cfRule type="dataBar" id="{AD60A26C-5264-409F-BFC3-8CF9C403C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S12:S16</xm:sqref>
        </x14:conditionalFormatting>
        <x14:conditionalFormatting xmlns:xm="http://schemas.microsoft.com/office/excel/2006/main">
          <x14:cfRule type="dataBar" id="{CC2D3779-28BC-4BC4-A718-3EC73CE560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T12:T16</xm:sqref>
        </x14:conditionalFormatting>
        <x14:conditionalFormatting xmlns:xm="http://schemas.microsoft.com/office/excel/2006/main">
          <x14:cfRule type="dataBar" id="{A09AF344-19F2-4BE2-9922-A6290225723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U12:U16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7" ma:contentTypeDescription="Create a new document." ma:contentTypeScope="" ma:versionID="89de3611917157b7bcfec79458841576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cb0c811e8af9167bc13eb17de89cd7b2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785685f2-c2e1-4352-89aa-3faca8eaba52" xsi:nil="true"/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  <SharedWithUsers xmlns="5067c814-4b34-462c-a21d-c185ff6548d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C23CCC2-B377-41C2-A87C-8FB01A86B2EF}"/>
</file>

<file path=customXml/itemProps2.xml><?xml version="1.0" encoding="utf-8"?>
<ds:datastoreItem xmlns:ds="http://schemas.openxmlformats.org/officeDocument/2006/customXml" ds:itemID="{CDC80138-BE6F-4C1D-A2F3-1CD0333694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9BE542-C31B-43B0-B54C-2D0825A8A5C6}">
  <ds:schemaRefs>
    <ds:schemaRef ds:uri="http://purl.org/dc/terms/"/>
    <ds:schemaRef ds:uri="cfc7c16e-daae-4003-a877-f80617e7c2e4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cc4e120-8bfa-46c7-810b-289e6cc14a5a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2013-2015 T24 Savings CPUC Data</vt:lpstr>
      <vt:lpstr>'2013-2015 T24 Savings CPUC Data'!NOMAD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Rezvan Mohammadiziazi</dc:creator>
  <cp:keywords/>
  <dc:description/>
  <cp:lastModifiedBy>Eric Rubin</cp:lastModifiedBy>
  <cp:revision/>
  <dcterms:created xsi:type="dcterms:W3CDTF">2025-01-06T15:57:24Z</dcterms:created>
  <dcterms:modified xsi:type="dcterms:W3CDTF">2025-01-08T06:32:59Z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  <property fmtid="{D5CDD505-2E9C-101B-9397-08002B2CF9AE}" pid="3" name="Order">
    <vt:r8>642900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